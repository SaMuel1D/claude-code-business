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xkids-my.sharepoint.com/personal/benjamin_hering_axkid_com/Documents/Desktop/"/>
    </mc:Choice>
  </mc:AlternateContent>
  <xr:revisionPtr revIDLastSave="178" documentId="8_{1E5BA503-169F-480B-8B1B-37FAFF1AF19D}" xr6:coauthVersionLast="47" xr6:coauthVersionMax="47" xr10:uidLastSave="{CEC30AB4-C3E8-44F1-BA15-04938F8150E0}"/>
  <bookViews>
    <workbookView xWindow="28680" yWindow="-120" windowWidth="29040" windowHeight="15840" tabRatio="881" firstSheet="1" activeTab="1" xr2:uid="{B3E57574-2C80-4CB0-854F-4F0B247D681C}"/>
  </bookViews>
  <sheets>
    <sheet name="One" sheetId="15" r:id="rId1"/>
    <sheet name="Minikid 2" sheetId="5" r:id="rId2"/>
    <sheet name="Rekid" sheetId="7" r:id="rId3"/>
    <sheet name="Move" sheetId="8" r:id="rId4"/>
    <sheet name="Modukid Seat" sheetId="3" r:id="rId5"/>
    <sheet name="Modukid Infant" sheetId="4" r:id="rId6"/>
    <sheet name="Minikid 1" sheetId="6" r:id="rId7"/>
    <sheet name="Wolmax" sheetId="9" r:id="rId8"/>
    <sheet name="Duofix" sheetId="10" r:id="rId9"/>
    <sheet name="Kidzone" sheetId="11" r:id="rId10"/>
    <sheet name="Ersatzteilpreiseliste" sheetId="12" r:id="rId11"/>
    <sheet name="Aufwand" sheetId="13" r:id="rId12"/>
    <sheet name="USD GBP" sheetId="2" state="hidden" r:id="rId13"/>
  </sheets>
  <definedNames>
    <definedName name="_xlnm._FilterDatabase" localSheetId="10" hidden="1">Ersatzteilpreiseliste!$A$1:$U$189</definedName>
    <definedName name="_xlnm._FilterDatabase" localSheetId="9" hidden="1">Kidzone!$A$27:$F$36</definedName>
    <definedName name="_xlnm.Print_Area" localSheetId="8">Duofix!$A$1:$G$41</definedName>
    <definedName name="_xlnm.Print_Area" localSheetId="9">Kidzone!$A$1:$G$39</definedName>
    <definedName name="_xlnm.Print_Area" localSheetId="6">'Minikid 1'!$A$1:$G$44</definedName>
    <definedName name="_xlnm.Print_Area" localSheetId="1">'Minikid 2'!$A$1:$G$45</definedName>
    <definedName name="_xlnm.Print_Area" localSheetId="5">'Modukid Infant'!$A$1:$G$29</definedName>
    <definedName name="_xlnm.Print_Area" localSheetId="4">'Modukid Seat'!$A$1:$G$36</definedName>
    <definedName name="_xlnm.Print_Area" localSheetId="3">Move!$A$1:$G$38</definedName>
    <definedName name="_xlnm.Print_Area" localSheetId="2">Rekid!$A$1:$G$43</definedName>
    <definedName name="_xlnm.Print_Area" localSheetId="7">Wolmax!$A$1:$G$38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6" l="1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3" i="15"/>
  <c r="B43" i="15"/>
  <c r="G40" i="15"/>
  <c r="E40" i="15"/>
  <c r="C40" i="15"/>
  <c r="B40" i="15"/>
  <c r="F4" i="12" l="1"/>
  <c r="E4" i="12" s="1"/>
  <c r="F5" i="12"/>
  <c r="F6" i="12"/>
  <c r="E6" i="12" s="1"/>
  <c r="F7" i="12"/>
  <c r="E7" i="12" s="1"/>
  <c r="F8" i="12"/>
  <c r="F9" i="12"/>
  <c r="F10" i="12"/>
  <c r="F11" i="12"/>
  <c r="F12" i="12"/>
  <c r="E12" i="12" s="1"/>
  <c r="F13" i="12"/>
  <c r="E13" i="12" s="1"/>
  <c r="F14" i="12"/>
  <c r="E14" i="12" s="1"/>
  <c r="F15" i="12"/>
  <c r="E15" i="12" s="1"/>
  <c r="F16" i="12"/>
  <c r="E16" i="12" s="1"/>
  <c r="F17" i="12"/>
  <c r="E17" i="12" s="1"/>
  <c r="F18" i="12"/>
  <c r="E18" i="12" s="1"/>
  <c r="F19" i="12"/>
  <c r="E19" i="12" s="1"/>
  <c r="F20" i="12"/>
  <c r="F21" i="12"/>
  <c r="F22" i="12"/>
  <c r="F23" i="12"/>
  <c r="F24" i="12"/>
  <c r="F25" i="12"/>
  <c r="F26" i="12"/>
  <c r="F27" i="12"/>
  <c r="F28" i="12"/>
  <c r="E28" i="12" s="1"/>
  <c r="F29" i="12"/>
  <c r="E29" i="12" s="1"/>
  <c r="F30" i="12"/>
  <c r="E30" i="12" s="1"/>
  <c r="F31" i="12"/>
  <c r="E31" i="12" s="1"/>
  <c r="F32" i="12"/>
  <c r="E32" i="12" s="1"/>
  <c r="F33" i="12"/>
  <c r="E33" i="12" s="1"/>
  <c r="F34" i="12"/>
  <c r="E34" i="12" s="1"/>
  <c r="F35" i="12"/>
  <c r="E35" i="12" s="1"/>
  <c r="F36" i="12"/>
  <c r="E36" i="12" s="1"/>
  <c r="F37" i="12"/>
  <c r="F38" i="12"/>
  <c r="E38" i="12" s="1"/>
  <c r="F39" i="12"/>
  <c r="F40" i="12"/>
  <c r="F41" i="12"/>
  <c r="F42" i="12"/>
  <c r="F43" i="12"/>
  <c r="F44" i="12"/>
  <c r="F45" i="12"/>
  <c r="E45" i="12" s="1"/>
  <c r="F46" i="12"/>
  <c r="E46" i="12" s="1"/>
  <c r="F47" i="12"/>
  <c r="E47" i="12" s="1"/>
  <c r="F48" i="12"/>
  <c r="E48" i="12" s="1"/>
  <c r="F49" i="12"/>
  <c r="E49" i="12" s="1"/>
  <c r="F50" i="12"/>
  <c r="E50" i="12" s="1"/>
  <c r="F51" i="12"/>
  <c r="E51" i="12" s="1"/>
  <c r="F52" i="12"/>
  <c r="F53" i="12"/>
  <c r="F54" i="12"/>
  <c r="E54" i="12" s="1"/>
  <c r="F55" i="12"/>
  <c r="E55" i="12" s="1"/>
  <c r="F56" i="12"/>
  <c r="E56" i="12" s="1"/>
  <c r="F57" i="12"/>
  <c r="F58" i="12"/>
  <c r="F59" i="12"/>
  <c r="F60" i="12"/>
  <c r="F61" i="12"/>
  <c r="E61" i="12" s="1"/>
  <c r="F62" i="12"/>
  <c r="E62" i="12" s="1"/>
  <c r="F63" i="12"/>
  <c r="E63" i="12" s="1"/>
  <c r="F64" i="12"/>
  <c r="E64" i="12" s="1"/>
  <c r="F65" i="12"/>
  <c r="E65" i="12" s="1"/>
  <c r="F66" i="12"/>
  <c r="E66" i="12" s="1"/>
  <c r="F67" i="12"/>
  <c r="E67" i="12" s="1"/>
  <c r="F68" i="12"/>
  <c r="E68" i="12" s="1"/>
  <c r="F69" i="12"/>
  <c r="F70" i="12"/>
  <c r="F71" i="12"/>
  <c r="E71" i="12" s="1"/>
  <c r="F72" i="12"/>
  <c r="E72" i="12" s="1"/>
  <c r="F73" i="12"/>
  <c r="F74" i="12"/>
  <c r="F75" i="12"/>
  <c r="F76" i="12"/>
  <c r="F77" i="12"/>
  <c r="E77" i="12" s="1"/>
  <c r="F78" i="12"/>
  <c r="E78" i="12" s="1"/>
  <c r="F79" i="12"/>
  <c r="E79" i="12" s="1"/>
  <c r="F80" i="12"/>
  <c r="E80" i="12" s="1"/>
  <c r="F81" i="12"/>
  <c r="E81" i="12" s="1"/>
  <c r="F82" i="12"/>
  <c r="E82" i="12" s="1"/>
  <c r="F83" i="12"/>
  <c r="E83" i="12" s="1"/>
  <c r="F84" i="12"/>
  <c r="F85" i="12"/>
  <c r="F86" i="12"/>
  <c r="E86" i="12" s="1"/>
  <c r="F87" i="12"/>
  <c r="E87" i="12" s="1"/>
  <c r="F88" i="12"/>
  <c r="E88" i="12" s="1"/>
  <c r="F89" i="12"/>
  <c r="F90" i="12"/>
  <c r="F91" i="12"/>
  <c r="E91" i="12" s="1"/>
  <c r="F92" i="12"/>
  <c r="F93" i="12"/>
  <c r="E93" i="12" s="1"/>
  <c r="F94" i="12"/>
  <c r="E94" i="12" s="1"/>
  <c r="F95" i="12"/>
  <c r="E95" i="12" s="1"/>
  <c r="F96" i="12"/>
  <c r="E96" i="12" s="1"/>
  <c r="F97" i="12"/>
  <c r="E97" i="12" s="1"/>
  <c r="F98" i="12"/>
  <c r="E98" i="12" s="1"/>
  <c r="F99" i="12"/>
  <c r="E99" i="12" s="1"/>
  <c r="F100" i="12"/>
  <c r="F101" i="12"/>
  <c r="F102" i="12"/>
  <c r="F103" i="12"/>
  <c r="F104" i="12"/>
  <c r="E104" i="12" s="1"/>
  <c r="F105" i="12"/>
  <c r="E105" i="12" s="1"/>
  <c r="F106" i="12"/>
  <c r="F107" i="12"/>
  <c r="F108" i="12"/>
  <c r="F109" i="12"/>
  <c r="E109" i="12" s="1"/>
  <c r="F110" i="12"/>
  <c r="E110" i="12" s="1"/>
  <c r="F111" i="12"/>
  <c r="E111" i="12" s="1"/>
  <c r="F112" i="12"/>
  <c r="E112" i="12" s="1"/>
  <c r="F113" i="12"/>
  <c r="E113" i="12" s="1"/>
  <c r="F114" i="12"/>
  <c r="E114" i="12" s="1"/>
  <c r="F115" i="12"/>
  <c r="E115" i="12" s="1"/>
  <c r="F116" i="12"/>
  <c r="E116" i="12" s="1"/>
  <c r="F117" i="12"/>
  <c r="F118" i="12"/>
  <c r="F119" i="12"/>
  <c r="F120" i="12"/>
  <c r="F121" i="12"/>
  <c r="E121" i="12" s="1"/>
  <c r="F122" i="12"/>
  <c r="F123" i="12"/>
  <c r="F124" i="12"/>
  <c r="F125" i="12"/>
  <c r="E125" i="12" s="1"/>
  <c r="F126" i="12"/>
  <c r="E126" i="12" s="1"/>
  <c r="F127" i="12"/>
  <c r="E127" i="12" s="1"/>
  <c r="F128" i="12"/>
  <c r="E128" i="12" s="1"/>
  <c r="F129" i="12"/>
  <c r="E129" i="12" s="1"/>
  <c r="F130" i="12"/>
  <c r="E130" i="12" s="1"/>
  <c r="F131" i="12"/>
  <c r="E131" i="12" s="1"/>
  <c r="F132" i="12"/>
  <c r="F133" i="12"/>
  <c r="F134" i="12"/>
  <c r="E134" i="12" s="1"/>
  <c r="F135" i="12"/>
  <c r="F136" i="12"/>
  <c r="F137" i="12"/>
  <c r="F138" i="12"/>
  <c r="F139" i="12"/>
  <c r="F140" i="12"/>
  <c r="F141" i="12"/>
  <c r="E141" i="12" s="1"/>
  <c r="F142" i="12"/>
  <c r="E142" i="12" s="1"/>
  <c r="F143" i="12"/>
  <c r="E143" i="12" s="1"/>
  <c r="F144" i="12"/>
  <c r="E144" i="12" s="1"/>
  <c r="F145" i="12"/>
  <c r="E145" i="12" s="1"/>
  <c r="F146" i="12"/>
  <c r="E146" i="12" s="1"/>
  <c r="F147" i="12"/>
  <c r="E147" i="12" s="1"/>
  <c r="F148" i="12"/>
  <c r="E148" i="12" s="1"/>
  <c r="F149" i="12"/>
  <c r="C27" i="15" s="1"/>
  <c r="F150" i="12"/>
  <c r="E150" i="12" s="1"/>
  <c r="C28" i="15" s="1"/>
  <c r="F151" i="12"/>
  <c r="E151" i="12" s="1"/>
  <c r="C37" i="15" s="1"/>
  <c r="F152" i="12"/>
  <c r="F153" i="12"/>
  <c r="F154" i="12"/>
  <c r="F155" i="12"/>
  <c r="F156" i="12"/>
  <c r="F157" i="12"/>
  <c r="E157" i="12" s="1"/>
  <c r="F158" i="12"/>
  <c r="E158" i="12" s="1"/>
  <c r="F159" i="12"/>
  <c r="E159" i="12" s="1"/>
  <c r="F160" i="12"/>
  <c r="E160" i="12" s="1"/>
  <c r="F161" i="12"/>
  <c r="E161" i="12" s="1"/>
  <c r="F162" i="12"/>
  <c r="E162" i="12" s="1"/>
  <c r="F163" i="12"/>
  <c r="E163" i="12" s="1"/>
  <c r="F164" i="12"/>
  <c r="F165" i="12"/>
  <c r="F166" i="12"/>
  <c r="E166" i="12" s="1"/>
  <c r="F167" i="12"/>
  <c r="F168" i="12"/>
  <c r="F169" i="12"/>
  <c r="F170" i="12"/>
  <c r="E170" i="12" s="1"/>
  <c r="F171" i="12"/>
  <c r="F172" i="12"/>
  <c r="E172" i="12" s="1"/>
  <c r="F173" i="12"/>
  <c r="E173" i="12" s="1"/>
  <c r="F174" i="12"/>
  <c r="E174" i="12" s="1"/>
  <c r="F175" i="12"/>
  <c r="E175" i="12" s="1"/>
  <c r="F176" i="12"/>
  <c r="E176" i="12" s="1"/>
  <c r="F177" i="12"/>
  <c r="E177" i="12" s="1"/>
  <c r="F178" i="12"/>
  <c r="E178" i="12" s="1"/>
  <c r="F179" i="12"/>
  <c r="E179" i="12" s="1"/>
  <c r="F180" i="12"/>
  <c r="E180" i="12" s="1"/>
  <c r="C33" i="15" s="1"/>
  <c r="F181" i="12"/>
  <c r="E181" i="12" s="1"/>
  <c r="C30" i="15" s="1"/>
  <c r="F182" i="12"/>
  <c r="E182" i="12" s="1"/>
  <c r="F183" i="12"/>
  <c r="E183" i="12" s="1"/>
  <c r="F184" i="12"/>
  <c r="E184" i="12" s="1"/>
  <c r="F185" i="12"/>
  <c r="F186" i="12"/>
  <c r="F187" i="12"/>
  <c r="E5" i="12"/>
  <c r="E8" i="12"/>
  <c r="E9" i="12"/>
  <c r="E10" i="12"/>
  <c r="E11" i="12"/>
  <c r="E20" i="12"/>
  <c r="E21" i="12"/>
  <c r="E22" i="12"/>
  <c r="E23" i="12"/>
  <c r="E24" i="12"/>
  <c r="E25" i="12"/>
  <c r="E26" i="12"/>
  <c r="E27" i="12"/>
  <c r="E37" i="12"/>
  <c r="E39" i="12"/>
  <c r="E40" i="12"/>
  <c r="E41" i="12"/>
  <c r="E42" i="12"/>
  <c r="E43" i="12"/>
  <c r="E44" i="12"/>
  <c r="E52" i="12"/>
  <c r="E53" i="12"/>
  <c r="E57" i="12"/>
  <c r="E58" i="12"/>
  <c r="E59" i="12"/>
  <c r="E60" i="12"/>
  <c r="E69" i="12"/>
  <c r="E70" i="12"/>
  <c r="E73" i="12"/>
  <c r="E74" i="12"/>
  <c r="E75" i="12"/>
  <c r="E76" i="12"/>
  <c r="E84" i="12"/>
  <c r="E85" i="12"/>
  <c r="E89" i="12"/>
  <c r="E90" i="12"/>
  <c r="E92" i="12"/>
  <c r="E100" i="12"/>
  <c r="E101" i="12"/>
  <c r="E102" i="12"/>
  <c r="E103" i="12"/>
  <c r="E106" i="12"/>
  <c r="E107" i="12"/>
  <c r="E108" i="12"/>
  <c r="E117" i="12"/>
  <c r="E118" i="12"/>
  <c r="E119" i="12"/>
  <c r="E120" i="12"/>
  <c r="E122" i="12"/>
  <c r="E123" i="12"/>
  <c r="E124" i="12"/>
  <c r="E132" i="12"/>
  <c r="E133" i="12"/>
  <c r="E135" i="12"/>
  <c r="E136" i="12"/>
  <c r="E137" i="12"/>
  <c r="E138" i="12"/>
  <c r="E139" i="12"/>
  <c r="E140" i="12"/>
  <c r="E149" i="12"/>
  <c r="E152" i="12"/>
  <c r="E153" i="12"/>
  <c r="E154" i="12"/>
  <c r="E155" i="12"/>
  <c r="E156" i="12"/>
  <c r="E164" i="12"/>
  <c r="E165" i="12"/>
  <c r="E167" i="12"/>
  <c r="E168" i="12"/>
  <c r="E169" i="12"/>
  <c r="E171" i="12"/>
  <c r="E185" i="12"/>
  <c r="E186" i="12"/>
  <c r="E187" i="12"/>
  <c r="F3" i="12"/>
  <c r="E3" i="12" s="1"/>
  <c r="C7" i="13"/>
  <c r="B5" i="13"/>
  <c r="B4" i="13"/>
  <c r="B3" i="13"/>
  <c r="B2" i="13"/>
  <c r="C5" i="13" s="1"/>
  <c r="E28" i="11"/>
  <c r="E29" i="11"/>
  <c r="E30" i="11"/>
  <c r="E31" i="11"/>
  <c r="E32" i="11"/>
  <c r="E33" i="11"/>
  <c r="E34" i="11"/>
  <c r="E35" i="11"/>
  <c r="E36" i="11"/>
  <c r="E37" i="11"/>
  <c r="E38" i="11"/>
  <c r="E27" i="11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27" i="10"/>
  <c r="E28" i="9"/>
  <c r="E29" i="9"/>
  <c r="E30" i="9"/>
  <c r="E31" i="9"/>
  <c r="E32" i="9"/>
  <c r="E33" i="9"/>
  <c r="E34" i="9"/>
  <c r="E35" i="9"/>
  <c r="E36" i="9"/>
  <c r="E37" i="9"/>
  <c r="E27" i="9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27" i="6"/>
  <c r="E28" i="4"/>
  <c r="E27" i="4"/>
  <c r="E28" i="3"/>
  <c r="E29" i="3"/>
  <c r="E30" i="3"/>
  <c r="E31" i="3"/>
  <c r="E32" i="3"/>
  <c r="E33" i="3"/>
  <c r="E34" i="3"/>
  <c r="E35" i="3"/>
  <c r="E27" i="3"/>
  <c r="E28" i="8"/>
  <c r="E29" i="8"/>
  <c r="E30" i="8"/>
  <c r="E31" i="8"/>
  <c r="E32" i="8"/>
  <c r="E33" i="8"/>
  <c r="E34" i="8"/>
  <c r="E35" i="8"/>
  <c r="E36" i="8"/>
  <c r="E37" i="8"/>
  <c r="E27" i="8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27" i="7"/>
  <c r="E28" i="15"/>
  <c r="E29" i="15"/>
  <c r="E30" i="15"/>
  <c r="E31" i="15"/>
  <c r="E32" i="15"/>
  <c r="E33" i="15"/>
  <c r="E35" i="15"/>
  <c r="E36" i="15"/>
  <c r="E37" i="15"/>
  <c r="E38" i="15"/>
  <c r="E39" i="15"/>
  <c r="E41" i="15"/>
  <c r="E42" i="15"/>
  <c r="E44" i="15"/>
  <c r="E27" i="1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C29" i="15"/>
  <c r="C31" i="15"/>
  <c r="C32" i="15"/>
  <c r="C34" i="15"/>
  <c r="C35" i="15"/>
  <c r="C36" i="15"/>
  <c r="C38" i="15"/>
  <c r="C39" i="15"/>
  <c r="C41" i="15"/>
  <c r="C42" i="15"/>
  <c r="C44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1" i="15"/>
  <c r="B42" i="15"/>
  <c r="B44" i="15"/>
  <c r="B27" i="15"/>
  <c r="G30" i="15"/>
  <c r="G45" i="15"/>
  <c r="G28" i="15"/>
  <c r="G29" i="15"/>
  <c r="G31" i="15"/>
  <c r="G32" i="15"/>
  <c r="G33" i="15"/>
  <c r="G34" i="15"/>
  <c r="G35" i="15"/>
  <c r="G36" i="15"/>
  <c r="G37" i="15"/>
  <c r="G38" i="15"/>
  <c r="G39" i="15"/>
  <c r="G41" i="15"/>
  <c r="G42" i="15"/>
  <c r="G44" i="15"/>
  <c r="G27" i="15"/>
  <c r="H19" i="15" l="1"/>
  <c r="F19" i="15" s="1"/>
  <c r="G30" i="5"/>
  <c r="G31" i="5"/>
  <c r="F24" i="15" l="1"/>
  <c r="F23" i="15" s="1"/>
  <c r="C41" i="6"/>
  <c r="B41" i="6"/>
  <c r="G42" i="5"/>
  <c r="C42" i="5"/>
  <c r="B42" i="5"/>
  <c r="C38" i="11" l="1"/>
  <c r="C37" i="11"/>
  <c r="C36" i="11"/>
  <c r="C35" i="11"/>
  <c r="C34" i="11"/>
  <c r="C33" i="11"/>
  <c r="C32" i="11"/>
  <c r="C31" i="11"/>
  <c r="C30" i="11"/>
  <c r="C29" i="11"/>
  <c r="C28" i="11"/>
  <c r="C27" i="11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37" i="9"/>
  <c r="C36" i="9"/>
  <c r="C35" i="9"/>
  <c r="C34" i="9"/>
  <c r="C33" i="9"/>
  <c r="C32" i="9"/>
  <c r="C31" i="9"/>
  <c r="C30" i="9"/>
  <c r="C29" i="9"/>
  <c r="C28" i="9"/>
  <c r="C27" i="9"/>
  <c r="C28" i="8"/>
  <c r="C37" i="8"/>
  <c r="C36" i="8"/>
  <c r="C35" i="8"/>
  <c r="C34" i="8"/>
  <c r="C33" i="8"/>
  <c r="C32" i="8"/>
  <c r="C31" i="8"/>
  <c r="C30" i="8"/>
  <c r="C29" i="8"/>
  <c r="C27" i="8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43" i="6"/>
  <c r="C42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44" i="5"/>
  <c r="C43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8" i="4"/>
  <c r="C27" i="4"/>
  <c r="C35" i="3"/>
  <c r="C34" i="3"/>
  <c r="C33" i="3"/>
  <c r="C32" i="3"/>
  <c r="C31" i="3"/>
  <c r="C30" i="3"/>
  <c r="C29" i="3"/>
  <c r="C28" i="3"/>
  <c r="C27" i="3"/>
  <c r="G37" i="11" l="1"/>
  <c r="B37" i="11"/>
  <c r="G39" i="10"/>
  <c r="B39" i="10"/>
  <c r="G36" i="9"/>
  <c r="B36" i="9"/>
  <c r="G36" i="8"/>
  <c r="B36" i="8"/>
  <c r="G41" i="7"/>
  <c r="B41" i="7"/>
  <c r="B42" i="6"/>
  <c r="B43" i="5"/>
  <c r="G43" i="5"/>
  <c r="G28" i="11" l="1"/>
  <c r="G29" i="11"/>
  <c r="G30" i="11"/>
  <c r="G31" i="11"/>
  <c r="G32" i="11"/>
  <c r="G33" i="11"/>
  <c r="G34" i="11"/>
  <c r="G35" i="11"/>
  <c r="G36" i="11"/>
  <c r="G27" i="11"/>
  <c r="G28" i="10"/>
  <c r="G29" i="10"/>
  <c r="G30" i="10"/>
  <c r="G31" i="10"/>
  <c r="G32" i="10"/>
  <c r="G33" i="10"/>
  <c r="G34" i="10"/>
  <c r="G35" i="10"/>
  <c r="G36" i="10"/>
  <c r="G37" i="10"/>
  <c r="G38" i="10"/>
  <c r="G27" i="10"/>
  <c r="G27" i="9"/>
  <c r="G28" i="9"/>
  <c r="G29" i="9"/>
  <c r="G30" i="9"/>
  <c r="G31" i="9"/>
  <c r="G32" i="9"/>
  <c r="G33" i="9"/>
  <c r="G34" i="9"/>
  <c r="G35" i="9"/>
  <c r="G27" i="8"/>
  <c r="H19" i="10" l="1"/>
  <c r="F19" i="10" s="1"/>
  <c r="F24" i="10" s="1"/>
  <c r="F23" i="10" s="1"/>
  <c r="H19" i="11"/>
  <c r="F19" i="11" s="1"/>
  <c r="F24" i="11" s="1"/>
  <c r="F23" i="11" s="1"/>
  <c r="H19" i="9"/>
  <c r="F19" i="9" s="1"/>
  <c r="F24" i="9" s="1"/>
  <c r="F23" i="9" s="1"/>
  <c r="G35" i="8"/>
  <c r="G34" i="8"/>
  <c r="G33" i="8"/>
  <c r="G32" i="8"/>
  <c r="G31" i="8"/>
  <c r="G30" i="8"/>
  <c r="G29" i="8"/>
  <c r="G28" i="8"/>
  <c r="G27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6"/>
  <c r="G27" i="5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G41" i="5"/>
  <c r="G40" i="5"/>
  <c r="G39" i="5"/>
  <c r="G38" i="5"/>
  <c r="G37" i="5"/>
  <c r="G36" i="5"/>
  <c r="G35" i="5"/>
  <c r="G34" i="5"/>
  <c r="G33" i="5"/>
  <c r="G32" i="5"/>
  <c r="G29" i="5"/>
  <c r="G28" i="5"/>
  <c r="G30" i="3"/>
  <c r="G27" i="4"/>
  <c r="H19" i="4" s="1"/>
  <c r="F19" i="4" s="1"/>
  <c r="F24" i="4" s="1"/>
  <c r="F23" i="4" s="1"/>
  <c r="G27" i="3"/>
  <c r="B27" i="4"/>
  <c r="H19" i="7" l="1"/>
  <c r="F19" i="7" s="1"/>
  <c r="F24" i="7" s="1"/>
  <c r="F23" i="7" s="1"/>
  <c r="H19" i="8"/>
  <c r="F19" i="8" s="1"/>
  <c r="F24" i="8" s="1"/>
  <c r="F23" i="8" s="1"/>
  <c r="H19" i="6"/>
  <c r="F19" i="6" s="1"/>
  <c r="F24" i="6" s="1"/>
  <c r="F23" i="6" s="1"/>
  <c r="H19" i="5"/>
  <c r="F19" i="5" s="1"/>
  <c r="F24" i="5" s="1"/>
  <c r="F23" i="5" s="1"/>
  <c r="C3" i="13"/>
  <c r="C4" i="13"/>
  <c r="C2" i="13"/>
  <c r="G34" i="3"/>
  <c r="G33" i="3"/>
  <c r="G32" i="3"/>
  <c r="G31" i="3"/>
  <c r="G29" i="3"/>
  <c r="G28" i="3"/>
  <c r="B27" i="3"/>
  <c r="H19" i="3" l="1"/>
  <c r="F19" i="3" s="1"/>
  <c r="F24" i="3" s="1"/>
  <c r="F23" i="3" s="1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38" i="10"/>
  <c r="B37" i="10"/>
  <c r="B36" i="10"/>
  <c r="B35" i="10"/>
  <c r="B34" i="10"/>
  <c r="B33" i="10"/>
  <c r="B32" i="10"/>
  <c r="B31" i="10"/>
  <c r="B30" i="10"/>
  <c r="B29" i="10"/>
  <c r="B28" i="10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35" i="8"/>
  <c r="B34" i="8"/>
  <c r="B33" i="8"/>
  <c r="B32" i="8"/>
  <c r="B31" i="8"/>
  <c r="B30" i="8"/>
  <c r="B29" i="8"/>
  <c r="B28" i="8"/>
  <c r="B35" i="9"/>
  <c r="B34" i="9"/>
  <c r="B33" i="9"/>
  <c r="B32" i="9"/>
  <c r="B31" i="9"/>
  <c r="B30" i="9"/>
  <c r="B29" i="9"/>
  <c r="B28" i="9"/>
  <c r="B28" i="11"/>
  <c r="B29" i="11"/>
  <c r="B30" i="11"/>
  <c r="B31" i="11"/>
  <c r="B32" i="11"/>
  <c r="B33" i="11"/>
  <c r="B34" i="11"/>
  <c r="B35" i="11"/>
  <c r="B36" i="11"/>
  <c r="B27" i="11"/>
  <c r="B27" i="10"/>
  <c r="B27" i="9"/>
  <c r="B27" i="8"/>
  <c r="B27" i="5"/>
  <c r="B34" i="3"/>
  <c r="B33" i="3"/>
  <c r="B32" i="3"/>
  <c r="B31" i="3"/>
  <c r="B30" i="3"/>
  <c r="B29" i="3"/>
  <c r="B28" i="3"/>
</calcChain>
</file>

<file path=xl/sharedStrings.xml><?xml version="1.0" encoding="utf-8"?>
<sst xmlns="http://schemas.openxmlformats.org/spreadsheetml/2006/main" count="1710" uniqueCount="468">
  <si>
    <t>Garantieleistung - Axkid GmbH</t>
  </si>
  <si>
    <t>Datum:</t>
  </si>
  <si>
    <t>Axkid GmbH</t>
  </si>
  <si>
    <t>Birkenleiten 43</t>
  </si>
  <si>
    <t>81543 München</t>
  </si>
  <si>
    <t>kundenservice@axkid.com</t>
  </si>
  <si>
    <t>Kunde</t>
  </si>
  <si>
    <t>Name</t>
  </si>
  <si>
    <t xml:space="preserve"> Plz: </t>
  </si>
  <si>
    <t>Ort:</t>
  </si>
  <si>
    <t>Adresse</t>
  </si>
  <si>
    <t>Produkt</t>
  </si>
  <si>
    <t>Händler</t>
  </si>
  <si>
    <t>Reklanummer</t>
  </si>
  <si>
    <t>Seriennummer</t>
  </si>
  <si>
    <t>Aufwand</t>
  </si>
  <si>
    <t>Teile</t>
  </si>
  <si>
    <t>Reinigungspauschale (nach Zustand) Brutto</t>
  </si>
  <si>
    <t>Frachtkosten Brutto</t>
  </si>
  <si>
    <t>Enthaltene Mehrwertsteuer, 19%</t>
  </si>
  <si>
    <t>Garantie / Reparatur (inkl. MwSt.)</t>
  </si>
  <si>
    <t>Gesamt</t>
  </si>
  <si>
    <t>Art. Nr</t>
  </si>
  <si>
    <t>Art. Bezeichnung</t>
  </si>
  <si>
    <t xml:space="preserve"> Brutto VK </t>
  </si>
  <si>
    <t>One</t>
  </si>
  <si>
    <t xml:space="preserve"> EAN </t>
  </si>
  <si>
    <t>Menge</t>
  </si>
  <si>
    <t>ü</t>
  </si>
  <si>
    <t>Brutto VK</t>
  </si>
  <si>
    <t>Minikid 2.0</t>
  </si>
  <si>
    <t>EAN</t>
  </si>
  <si>
    <t>Nieten</t>
  </si>
  <si>
    <t>Rekid</t>
  </si>
  <si>
    <t>Move</t>
  </si>
  <si>
    <t>Modukid Seat</t>
  </si>
  <si>
    <t>Modukid Infant</t>
  </si>
  <si>
    <t>Minikid 1.0</t>
  </si>
  <si>
    <t>Wolmax</t>
  </si>
  <si>
    <t>Duofix</t>
  </si>
  <si>
    <t>Kidzone</t>
  </si>
  <si>
    <t>Ersatzteile</t>
  </si>
  <si>
    <t>Part name</t>
  </si>
  <si>
    <t>Artikel</t>
  </si>
  <si>
    <t>Netto
EK</t>
  </si>
  <si>
    <t>Netto
VK</t>
  </si>
  <si>
    <t>Brutto
VK</t>
  </si>
  <si>
    <t>Axkid ONE</t>
  </si>
  <si>
    <t>Axkid ONE +</t>
  </si>
  <si>
    <r>
      <t>Box Size</t>
    </r>
    <r>
      <rPr>
        <sz val="11"/>
        <color theme="0"/>
        <rFont val="宋体"/>
        <family val="3"/>
        <charset val="134"/>
      </rPr>
      <t>（cm）</t>
    </r>
  </si>
  <si>
    <t>Gross Weight</t>
    <phoneticPr fontId="10" type="noConversion"/>
  </si>
  <si>
    <t>N.T Weight</t>
    <phoneticPr fontId="10" type="noConversion"/>
  </si>
  <si>
    <t>EPS Back support (Minikid)</t>
  </si>
  <si>
    <t>Ersatzteil - Styropor [Rücken] - Minikid, Rekid, Duofix &amp; Kidzone</t>
  </si>
  <si>
    <t>10X12X18</t>
    <phoneticPr fontId="10" type="noConversion"/>
  </si>
  <si>
    <t>Ersatzteil - Styropor [Links] - Minikid, Rekid, Duofix &amp; Kidzone</t>
  </si>
  <si>
    <t>EPS seat right (Minikid 1.0)</t>
  </si>
  <si>
    <t>Ersatzteil - Styropor [Rechts] - Minikid, Rekid, Duofix &amp; Kidzone</t>
  </si>
  <si>
    <t>Seat cushion fixed</t>
  </si>
  <si>
    <t>Ersatzteil - Schaumstoff Sitzfläche Geklebt</t>
  </si>
  <si>
    <t>48X32X22</t>
    <phoneticPr fontId="10" type="noConversion"/>
  </si>
  <si>
    <t>Seat cushion</t>
  </si>
  <si>
    <t xml:space="preserve">Ersatzteil - Schaumstoff Sitzfläche </t>
  </si>
  <si>
    <t>40X40X50</t>
    <phoneticPr fontId="10" type="noConversion"/>
  </si>
  <si>
    <t>EPS Back support (Move, Wolmax)</t>
  </si>
  <si>
    <t>Ersatzteil - Styropor [Rücken] - Move &amp; Wolmax</t>
  </si>
  <si>
    <t>EPS seat left (Move, Wolmax)</t>
  </si>
  <si>
    <t>Ersatzteil - Styropor [Links] - Move &amp; Wolmax</t>
  </si>
  <si>
    <t>23X13X16.5</t>
    <phoneticPr fontId="10" type="noConversion"/>
  </si>
  <si>
    <t>EPS seat right (Move, Wolmax)</t>
  </si>
  <si>
    <t>Ersatzteil - Styropor [Rechts] - Move &amp; Wolmax</t>
  </si>
  <si>
    <t>47X18X24</t>
    <phoneticPr fontId="10" type="noConversion"/>
  </si>
  <si>
    <t>Support leg holder</t>
  </si>
  <si>
    <t>Stützfußhalter</t>
  </si>
  <si>
    <t>57X24.5X28</t>
    <phoneticPr fontId="10" type="noConversion"/>
  </si>
  <si>
    <t>Textile cover christmas tree</t>
  </si>
  <si>
    <t>Ersatzteil - Tannenbaum</t>
  </si>
  <si>
    <t>29X18X12</t>
    <phoneticPr fontId="10" type="noConversion"/>
  </si>
  <si>
    <t>Rubber Handle (Modukid Infant)</t>
  </si>
  <si>
    <t>Tragegriff</t>
  </si>
  <si>
    <t>EPS seat left (Minikid 2.0)</t>
  </si>
  <si>
    <t>Ersatzteil - Styropor [Links] - Minikid 2</t>
  </si>
  <si>
    <t>EPS seat right (Minikid 2.0)</t>
  </si>
  <si>
    <t>Ersatzteil - Styropor [Rechts] - Minikid 2</t>
  </si>
  <si>
    <t>Seat cushion fixed (Modukid)</t>
  </si>
  <si>
    <t>Ersatzteil - Schaumstoff Sitzfläche Geklebt - Modukid Seat</t>
  </si>
  <si>
    <t>38X40X22</t>
    <phoneticPr fontId="10" type="noConversion"/>
  </si>
  <si>
    <t>5-point harness (Holmbergs) + 4 rivets</t>
  </si>
  <si>
    <t>Ersatzteil - 5 Punkt Gurtsystem Holmberg</t>
  </si>
  <si>
    <t>Harness adjuster strap (Holmbergs)</t>
  </si>
  <si>
    <t>Verstellriemen - Holmberg</t>
  </si>
  <si>
    <t>34X35X20</t>
    <phoneticPr fontId="10" type="noConversion"/>
  </si>
  <si>
    <t>Harness adjuster cover + 2 rivets</t>
  </si>
  <si>
    <t>Ersatzteil - Gurtabdeckung</t>
  </si>
  <si>
    <t>34X35X28</t>
    <phoneticPr fontId="10" type="noConversion"/>
  </si>
  <si>
    <t>Belt clip black</t>
  </si>
  <si>
    <t>Gurtklemme schwarz</t>
  </si>
  <si>
    <t>Side retractor Left</t>
  </si>
  <si>
    <t>Ersatzteil - Gurtaufroller [Links]</t>
  </si>
  <si>
    <t>Side retractor Right</t>
  </si>
  <si>
    <t>Ersatzteil - Gurtaufroller [Rechts]</t>
  </si>
  <si>
    <t>Support leg (Minikid 1.0)</t>
  </si>
  <si>
    <t>Ersatzteil - Stützfuß - Minikid 1, Rekid, Wolmax, Duofix &amp; Kidzone</t>
  </si>
  <si>
    <t>Support leg rubber foot (old)</t>
  </si>
  <si>
    <t>Ersatzteil - Gummifuß - Minikid 1 &amp; Rekid</t>
  </si>
  <si>
    <t>29X18X20</t>
    <phoneticPr fontId="10" type="noConversion"/>
  </si>
  <si>
    <t>Support leg (Minikid 2.0)</t>
  </si>
  <si>
    <t>Ersatzteil - Stützfuß - Minikid 2 &amp; Move</t>
  </si>
  <si>
    <t>Support leg rubber foot (new)</t>
  </si>
  <si>
    <t>Ersatzteil - Gummifuß - Minikid 2 &amp; Move</t>
  </si>
  <si>
    <t>Isofix LH Modukid Base</t>
  </si>
  <si>
    <t>Isofix Base</t>
  </si>
  <si>
    <t>Isofix RH Modukid Base</t>
  </si>
  <si>
    <t>Head support Unit (Duofix, Kidzone)</t>
  </si>
  <si>
    <t>Ersatzteil - Kopfstütze - Duofix &amp; Kidzofix</t>
  </si>
  <si>
    <t>26X33X22</t>
    <phoneticPr fontId="10" type="noConversion"/>
  </si>
  <si>
    <t>Head support Unit (Minikid 1.0, Rekid)</t>
  </si>
  <si>
    <t>Ersatzteil - Kopfstütze - Minikid 1 &amp; Rekid</t>
  </si>
  <si>
    <t>57X25X28</t>
    <phoneticPr fontId="10" type="noConversion"/>
  </si>
  <si>
    <t>Head support Unit (Minikid 2.0)</t>
  </si>
  <si>
    <t xml:space="preserve">Ersatzteil - Kopfstütze - Minikid 2                           </t>
  </si>
  <si>
    <t>Textile cover attachment pin</t>
  </si>
  <si>
    <t>Ersatzteil - Strohhalm</t>
  </si>
  <si>
    <t>Cover Red (Modukid)</t>
  </si>
  <si>
    <t>Bezug rot</t>
  </si>
  <si>
    <t>Textile cover head support (Modu)</t>
  </si>
  <si>
    <t xml:space="preserve">Bezug Kopfstütze </t>
  </si>
  <si>
    <t>Textile cover buckle Red (Modu, Mini)</t>
  </si>
  <si>
    <t>Ersatzteil - Gurtschlosspolster - Minikid 2 &amp; Modukid Seat [Rot]</t>
  </si>
  <si>
    <t>Headrest insert Black (Modukid)</t>
  </si>
  <si>
    <t>Kopfstützen Einlage schwarz</t>
  </si>
  <si>
    <t>Cover Red (Modukid Infant)</t>
  </si>
  <si>
    <t>Sunscreen Black</t>
  </si>
  <si>
    <t>Zubehör - Sonnenschutz - Modukid Infant [Schwarz]</t>
  </si>
  <si>
    <t>44X27X23.5</t>
    <phoneticPr fontId="10" type="noConversion"/>
  </si>
  <si>
    <t>Shoulder pads Black (Modukid Infant)</t>
  </si>
  <si>
    <t>Schulterpolster schwarz</t>
  </si>
  <si>
    <t>Textile cover buckle Black (Modu Infant)</t>
  </si>
  <si>
    <t>Gurtschlosspolster schwarz</t>
  </si>
  <si>
    <t>Headrest insert Black</t>
  </si>
  <si>
    <t>Ersatzteil - Kopfstützen Einlage - Modukid Infant [Schwarz]</t>
  </si>
  <si>
    <t>Baby insert Black</t>
  </si>
  <si>
    <t>Ersatzteil - Inlay - Modukid Infant [Schwarz]</t>
  </si>
  <si>
    <t>Baby cushion Black</t>
  </si>
  <si>
    <t>Ersatzteil - Schaustoff Sitzfläche - Modukid Infant [Schwarz]</t>
  </si>
  <si>
    <t>Head support brake unit</t>
  </si>
  <si>
    <t>Ersatzteil - Bremseinheit Kopfstütze - Modukid Seat, Minikid, Rekid, Duofix &amp; Kidzone</t>
  </si>
  <si>
    <t>5-point harness</t>
  </si>
  <si>
    <t xml:space="preserve">Ersatzteil - 5 Punkt Gurtsystem Shield - Modukid          </t>
  </si>
  <si>
    <t>Support leg Modukid Base</t>
  </si>
  <si>
    <t>Stützfuß Base</t>
  </si>
  <si>
    <t>3-point harness</t>
  </si>
  <si>
    <t>3 Punkt Gurt - Shield</t>
  </si>
  <si>
    <t>ARB Modukid Base</t>
  </si>
  <si>
    <t xml:space="preserve">Distanzverstellung </t>
  </si>
  <si>
    <t>Head support Unit (Modukid)</t>
  </si>
  <si>
    <t>Kopfstütze</t>
  </si>
  <si>
    <t>ASIP connector + 2 rivets</t>
  </si>
  <si>
    <t>Ersatzteil - ASIP Befestigung - Minikid 2, Move, Modukid Seat</t>
  </si>
  <si>
    <t>Angle adjuster + 6 rivets</t>
  </si>
  <si>
    <t>Ersatzteil - Neigungsverstellung - Minikid</t>
  </si>
  <si>
    <t>Cover Grey (Modukid Infant)</t>
  </si>
  <si>
    <t>Bezug grau</t>
  </si>
  <si>
    <t>Cover Black (Modukid Infant)</t>
  </si>
  <si>
    <t>Bezug schwarz</t>
  </si>
  <si>
    <t>Cover Petrol (Modukid Infant)</t>
  </si>
  <si>
    <t>Bezug petrol</t>
  </si>
  <si>
    <t>Cover Pink (Modukid Infant)</t>
  </si>
  <si>
    <t>Bezug pink</t>
  </si>
  <si>
    <t>Head support retractor system</t>
  </si>
  <si>
    <t>Ersatzteil - Spannrolle Kopfstütze - Minikid 2 &amp; Modukid Seat</t>
  </si>
  <si>
    <t>29X18X4</t>
    <phoneticPr fontId="10" type="noConversion"/>
  </si>
  <si>
    <t>Cover Grey (Modukid)</t>
  </si>
  <si>
    <t>Textile cover buckle Grey (Modu, Mini)</t>
  </si>
  <si>
    <t>Ersatzteil - Gurtschlosspolster - Minikid 2 &amp; Modukid Seat [Grau]</t>
  </si>
  <si>
    <t>Cover Black (Modukid)</t>
  </si>
  <si>
    <t>Textile cover buckle Black (Modu, Mini)</t>
  </si>
  <si>
    <t>Ersatzteil - Gurtschlosspolster - Minikid 2 &amp; Modukid Seat [Schwarz]</t>
  </si>
  <si>
    <t>Cover Petrol (Modukid)</t>
  </si>
  <si>
    <t>Textile cover buckle Petrol (Modu, Mini)</t>
  </si>
  <si>
    <t>Ersatzteil - Gurtschlosspolster - Minikid 2 &amp; Modukid Seat [Petrol]</t>
  </si>
  <si>
    <t>Cover Pink (Modukid)</t>
  </si>
  <si>
    <t>Textile cover buckle Pink (Modu, Mini)</t>
  </si>
  <si>
    <t>Gurtschlosspolster rosa</t>
  </si>
  <si>
    <t>Support leg foot Modukid Base</t>
  </si>
  <si>
    <t>Gummifuß Base</t>
  </si>
  <si>
    <t>ASIP connector Modukid + 2 rivets</t>
  </si>
  <si>
    <t>Ersatzteil - ASIP Befestigung - Modukid Seat</t>
  </si>
  <si>
    <t>Belt clip blue</t>
  </si>
  <si>
    <t>Ersatzteil - Gurtklemme [Blau]</t>
  </si>
  <si>
    <t>Textile cover head support (Minikid 2.0)</t>
  </si>
  <si>
    <t>Ersatzteil - Stoffbezug Kopfstütze - Minikid 2 [Schwarz]</t>
  </si>
  <si>
    <t>26X25X22</t>
    <phoneticPr fontId="10" type="noConversion"/>
  </si>
  <si>
    <t>Cover Red (Minikid 2.0)</t>
  </si>
  <si>
    <t>Ersatzteil - Stoffbezug - Minikid 2 [Rot]</t>
  </si>
  <si>
    <t>Shoulder pads Red (Modukid)</t>
  </si>
  <si>
    <t>Schulterpolster rot</t>
  </si>
  <si>
    <t>Shoulder pads Grey (Modukid)</t>
  </si>
  <si>
    <t>Schulterpolster grau</t>
  </si>
  <si>
    <t>Shoulder pads Black (Modukid)</t>
  </si>
  <si>
    <t>Shoulder pads Petrol (Modukid)</t>
  </si>
  <si>
    <t>Schulterpolster petrol</t>
  </si>
  <si>
    <t>Shoulder pads Pink (Modukid)</t>
  </si>
  <si>
    <t>Schulterpolster rosa</t>
  </si>
  <si>
    <t>ASIP</t>
  </si>
  <si>
    <t xml:space="preserve">Ersatzteil - ASIP [Seitenaufprallschutz] - Minikid 2 &amp; Modukid Seat                      </t>
  </si>
  <si>
    <t>Cover Grey (Minikid 2.0)</t>
  </si>
  <si>
    <t xml:space="preserve">Ersatzteil - Stoffbezug - Minikid 2 [Grau]            </t>
  </si>
  <si>
    <t>Cover Black (Minikid 2.0)</t>
  </si>
  <si>
    <t xml:space="preserve">Ersatzteil - Stoffbezug - Minikid 2 [Schwarz]            </t>
  </si>
  <si>
    <t>Cover Green (Minikid 2.0)</t>
  </si>
  <si>
    <t>Ersatzteil - Stoffbezug - Minikid 2 [Olivegrün]</t>
  </si>
  <si>
    <t>Cover Petrol (Minikid 2.0)</t>
  </si>
  <si>
    <t>Ersatzteil - Stoffbezug - Minikid 2 [Petrol]</t>
  </si>
  <si>
    <t>Cover Pink (Minikid 2.0)</t>
  </si>
  <si>
    <t>Ersatzteil - Stoffbezug - Minikid 2 [Rosa]</t>
  </si>
  <si>
    <t>Textile cover buckle Green (Modu, Mini)</t>
  </si>
  <si>
    <t>Ersatzteil - Gurtschlosspolster - Minikid 2 [Olivegrün]</t>
  </si>
  <si>
    <t>Shoulder pads Red (Minikid 2.0)</t>
  </si>
  <si>
    <t xml:space="preserve">Ersatzteil - Schulterpolster Set - Minikid 2 [Rot]                </t>
  </si>
  <si>
    <t>Shoulder pads Grey (Minikid 2.0)</t>
  </si>
  <si>
    <t xml:space="preserve">Ersatzteil - Schulterpolster Set - Minikid 2 [Grau]                </t>
  </si>
  <si>
    <t>Shoulder pads Black (Minikid 2.0)</t>
  </si>
  <si>
    <t xml:space="preserve">Ersatzteil - Schulterpolster Set - Minikid 2 [Schwarz]                </t>
  </si>
  <si>
    <t>Shoulder pads Green (Minikid 2.0)</t>
  </si>
  <si>
    <t xml:space="preserve">Ersatzteil - Schulterpolster Set - Minikid 2 [Olivegrün]                </t>
  </si>
  <si>
    <t>Shoulder pads Petrol (Minikid 2.0)</t>
  </si>
  <si>
    <t xml:space="preserve">Ersatzteil - Schulterpolster Set - Minikid 2 [Petrol]                </t>
  </si>
  <si>
    <t>Head support plate</t>
  </si>
  <si>
    <t>Ersatzteil - Kopfstütze Rückenplatte - Minikid, Modukid Seat, Rekid, Duofix &amp; Kidzone</t>
  </si>
  <si>
    <t>10X9X25</t>
    <phoneticPr fontId="10" type="noConversion"/>
  </si>
  <si>
    <t>Cover Red (Minikid 1.0)</t>
  </si>
  <si>
    <t>Ersatzteil - Stoffbezug - Minikid 1 [Rot]</t>
  </si>
  <si>
    <t>Cover Grey (Minikid 1.0)</t>
  </si>
  <si>
    <t>Ersatzteil - Stoffbezug - Minikid 1 [Grau]</t>
  </si>
  <si>
    <t>Cover Black (Minikid 1.0)</t>
  </si>
  <si>
    <t>Ersatzteil - Stoffbezug - Minikid 1 [Schwarz]</t>
  </si>
  <si>
    <t>Cover Petrol (Minikid 1.0)</t>
  </si>
  <si>
    <t>Ersatzteil - Stoffbezug - Minikid 1 [Petrol]</t>
  </si>
  <si>
    <t>Cover Green (Minikid 1.0)</t>
  </si>
  <si>
    <t>Bezug olivegrün</t>
  </si>
  <si>
    <t>Cover Red (Rekid)</t>
  </si>
  <si>
    <t>Ersatzteil - Stoffbezug - Rekid [Rot]</t>
  </si>
  <si>
    <t>Cover Grey (Rekid)</t>
  </si>
  <si>
    <t>Ersatzteil - Stoffbezug - Rekid [Grau]</t>
  </si>
  <si>
    <t>Cover Black (Rekid)</t>
  </si>
  <si>
    <t>Ersatzteil - Stoffbezug - Rekid [Schwarz]</t>
  </si>
  <si>
    <t>Cover Petrol (Rekid)</t>
  </si>
  <si>
    <t>Ersatzteil - Stoffbezug - Rekid [Petrol]</t>
  </si>
  <si>
    <t>Cover Grey (Move)</t>
  </si>
  <si>
    <t>Ersatzteil - Stoffbezug - Move [Grau]</t>
  </si>
  <si>
    <t>Cover Black (Move)</t>
  </si>
  <si>
    <t>Ersatzteil - Stoffbezug - Move [Schwarz]</t>
  </si>
  <si>
    <t>Cover Black (Wolmax)</t>
  </si>
  <si>
    <t>Ersatzteil - Stoffbezug - Wolmax [Schwarz]</t>
  </si>
  <si>
    <t>Cover Black (Duofix)</t>
  </si>
  <si>
    <t>Ersatzteil - Stoffbezug - Duofix [Schwarz]</t>
  </si>
  <si>
    <t>Cover Black (Kidzone)</t>
  </si>
  <si>
    <t>Ersatzteil - Stoffbezug - Kidzone [Schwarz]</t>
  </si>
  <si>
    <t>Shoulder pads Black (Move, Wolmax)</t>
  </si>
  <si>
    <t xml:space="preserve">Ersatzteil - Schulterpolster Set - Move &amp; Wolmax [Schwarz]                </t>
  </si>
  <si>
    <t>Textile cover buckle Black (Move, Wol)</t>
  </si>
  <si>
    <t>Ersatzteil - Gurtschlosspolster - Move &amp; Wolmax [Schwarz]</t>
  </si>
  <si>
    <t>Head support Unit (Move, Wolmax)</t>
  </si>
  <si>
    <t>Cover Red (Duofix)</t>
  </si>
  <si>
    <t>Ersatzteil - Stoffbezug - Duofix [Rot]</t>
  </si>
  <si>
    <t>Cover Grey (Duofix)</t>
  </si>
  <si>
    <t>Ersatzteil - Stoffbezug - Duofix [Grau]</t>
  </si>
  <si>
    <t>/</t>
    <phoneticPr fontId="10" type="noConversion"/>
  </si>
  <si>
    <t>Cover Petrol (Duofix)</t>
  </si>
  <si>
    <t>Ersatzteil - Stoffbezug - Duofix [Petrol]</t>
  </si>
  <si>
    <t>Cover Red (Kidzone)</t>
  </si>
  <si>
    <t>Ersatzteil - Stoffbezug - Kidzone [Rot]</t>
  </si>
  <si>
    <t>Cover Grey (Kidzone)</t>
  </si>
  <si>
    <t>Ersatzteil - Stoffbezug - Kidzone [Grau]</t>
  </si>
  <si>
    <t>Cover Petrol (Kidzone)</t>
  </si>
  <si>
    <t>Ersatzteil - Stoffbezug - Kidzone [Petrol]</t>
  </si>
  <si>
    <t>Shoulder pads Black (Minikid, Rekid)</t>
  </si>
  <si>
    <t xml:space="preserve">Ersatzteil - Schulterpolster Set - Minikid 1 &amp; Rekid [Schwarz]                </t>
  </si>
  <si>
    <t>Shoulder pads Black (Duofix, Kidzone)</t>
  </si>
  <si>
    <t>Textile cover head support (Minikid)</t>
  </si>
  <si>
    <t>Ersatzteil - Stoffbezug Kopfstütze - Minikid 1 [Schwarz]</t>
  </si>
  <si>
    <t>38X26X15</t>
    <phoneticPr fontId="10" type="noConversion"/>
  </si>
  <si>
    <t>Textile cover head support (Rekid)</t>
  </si>
  <si>
    <t>43X30X15</t>
    <phoneticPr fontId="10" type="noConversion"/>
  </si>
  <si>
    <t>Textile cover head support (Move)</t>
  </si>
  <si>
    <t>Textile cover head support (Wolmax)</t>
  </si>
  <si>
    <t>Ersatzteil - Stoffbezug Kopfstütze - Wolmax  [Schwarz]</t>
  </si>
  <si>
    <t>Textile cover head support (Duofix)</t>
  </si>
  <si>
    <t>Tether strap seat (Kidzone)</t>
  </si>
  <si>
    <t>Haltegurte</t>
  </si>
  <si>
    <t>Heel + 4 rivets</t>
  </si>
  <si>
    <t xml:space="preserve">Absatz </t>
  </si>
  <si>
    <t>Ersatzteil - Spannrolle Kopfstütze - Minikid 1 &amp; Rekid</t>
  </si>
  <si>
    <t>Support leg strap + 4 rivets</t>
  </si>
  <si>
    <t>Ersatzteil - Gurt für Stützfuß - Minikid 2 &amp; Move</t>
  </si>
  <si>
    <t>Ersatzteil - Gurt für Stützfuß - Minikid 1, Rekid, Wolmax, Duofix &amp; Kidzone</t>
  </si>
  <si>
    <t>Cover Tar (Solid)</t>
  </si>
  <si>
    <t>Ersatzteil - Stoffbezug - Minikid 2 Tar [Schwarz]</t>
  </si>
  <si>
    <t>Cover Granite (Solid)</t>
  </si>
  <si>
    <t>Ersatzteil - Stoffbezug - Minikid 2 Granite [Grau]</t>
  </si>
  <si>
    <t>Cover Shellfish (Solid)</t>
  </si>
  <si>
    <t>Ersatzteil - Stoffbezug - Minikid 2 Shellfish [Rot]</t>
  </si>
  <si>
    <t>Cover Sea (Solid)</t>
  </si>
  <si>
    <t>Ersatzteil - Stoffbezug - Minikid 2 Sea [Blau]</t>
  </si>
  <si>
    <t>Cover Moss (Solid)</t>
  </si>
  <si>
    <t>Ersatzteil - Stoffbezug - Minikid 2 Moss [Grün]</t>
  </si>
  <si>
    <t>Cover Shell Black (Premium)</t>
  </si>
  <si>
    <t>Ersatzteil - Stoffbezug - Minikid 2 Shell Black [Schwarz]]</t>
  </si>
  <si>
    <t>Cover Granite Melange (Premium)</t>
  </si>
  <si>
    <t>Ersatzteil - Stoffbezug - Minikid 2 Granite Melange [Grau]</t>
  </si>
  <si>
    <t>Cover Sky Grey (Premium)</t>
  </si>
  <si>
    <t>Ersatzteil - Stoffbezug - Minikid 2 Sky Grey [Grau]</t>
  </si>
  <si>
    <t xml:space="preserve">Textile cover buckle Tar (Modu, Mini) </t>
  </si>
  <si>
    <t>Ersatzteil - Gurtschlosspolster - Minikid 2 &amp; Modukid Seat Tar [Schwarz]</t>
  </si>
  <si>
    <t>Shoulder pads Tar (Minikid 2)</t>
  </si>
  <si>
    <t xml:space="preserve">Ersatzteil - Schulterpolster Set - Minikid 2 Tar [Schwarz]                </t>
  </si>
  <si>
    <t xml:space="preserve">Textile cover buckle Granite (Modu, Mini) </t>
  </si>
  <si>
    <t>Ersatzteil - Gurtschlosspolster - Minikid 2 &amp; Modukid Seat Granite [Grau]</t>
  </si>
  <si>
    <t>Shoulder pads Granite (Minikid 2)</t>
  </si>
  <si>
    <t>Ersatzteil - Schulterpolster Set - Minikid 2 Granite [Grau]</t>
  </si>
  <si>
    <t xml:space="preserve">Textile cover buckle Shellfish (Modu, Mini) </t>
  </si>
  <si>
    <t>Ersatzteil - Gurtschlosspolster - Minikid 2 &amp; Modukid Seat Shellfish [Rot]</t>
  </si>
  <si>
    <t>Shoulder pads Shellfish (Minikid 2)</t>
  </si>
  <si>
    <t>Ersatzteil - Schulterpolster Set - Minikid 2 Shellfish [Rot]</t>
  </si>
  <si>
    <t xml:space="preserve">Textile cover buckle Sea (Modu, Mini) </t>
  </si>
  <si>
    <t>Ersatzteil - Gurtschlosspolster - Minikid 2 &amp; Modukid Seat Sea [Blau]</t>
  </si>
  <si>
    <t>Shoulder pads Sea (Minikid 2)</t>
  </si>
  <si>
    <t>Ersatzteil - Schulterpolster Set - Minikid 2 Sea [Blau]</t>
  </si>
  <si>
    <t xml:space="preserve">Textile cover buckle Moss (Modu, Mini) </t>
  </si>
  <si>
    <t>Ersatzteil - Gurtschlosspolster - Minikid 2 &amp; Modukid Seat Moss [Grün]</t>
  </si>
  <si>
    <t>Shoulder pads Moss (Minikid 2)</t>
  </si>
  <si>
    <t>Ersatzteil - Schulterpolster Set - Minikid 2 Moss [Grün]</t>
  </si>
  <si>
    <t xml:space="preserve">Textile cover buckle Shell Black (Modu, Mini) </t>
  </si>
  <si>
    <t>Ersatzteil - Gurtschlosspolster - Minikid 2 &amp; Modukid Seat Shell Black [Black]</t>
  </si>
  <si>
    <t>Shoulder pads Shell Black (Minikid 2)</t>
  </si>
  <si>
    <t>Ersatzteil - Schulterpolster Set - Minikid 2 Shell Black [Schwarz]</t>
  </si>
  <si>
    <t xml:space="preserve">Textile cover buckle Granite Melange (Modu, Mini) </t>
  </si>
  <si>
    <t>Ersatzteil - Gurtschlosspolster - Minikid 2 &amp; Modukid Seat Granite Melange [Grau]</t>
  </si>
  <si>
    <t>Shoulder pads Granite Melange (Minikid 2)</t>
  </si>
  <si>
    <t>Ersatzteil - Schulterpolster Set - Minikid 2 Granite Melange [Grau]</t>
  </si>
  <si>
    <t xml:space="preserve">Textile cover buckle Sky Grey (Modu, Mini) </t>
  </si>
  <si>
    <t>Ersatzteil - Gurtschlosspolster - Minikid 2 &amp; Modukid Seat Sky Grey [Grau]</t>
  </si>
  <si>
    <t>Shoulder pads Sky Grey (Minikid 2)</t>
  </si>
  <si>
    <t>Ersatzteil - Schulterpolster Set - Minikid 2 Sky Grey [Grau]</t>
  </si>
  <si>
    <t xml:space="preserve">Ersatzteil - Stützfuß Komplett - Axkid One </t>
  </si>
  <si>
    <t xml:space="preserve">  ARB COMPLETE AXKID ONE</t>
  </si>
  <si>
    <t>Ersatzteil - Prallbügel ARB Komplett - Axkid One</t>
  </si>
  <si>
    <t xml:space="preserve">  SUPPORT LEG FOOT COMPLETE AXKID ONE</t>
  </si>
  <si>
    <t>Ersatzteil - Spieldose Stützfuß - Axkid One</t>
  </si>
  <si>
    <t xml:space="preserve">  ARB KNOB AXKID ONE</t>
  </si>
  <si>
    <t>Ersatzteil - Drehknopf Prallbügel - Axkid One</t>
  </si>
  <si>
    <t xml:space="preserve">  HEADREAST FOAM AXKID ONE</t>
  </si>
  <si>
    <t>Ersatzteil - Styropor Kopfstütze - Axkid One</t>
  </si>
  <si>
    <t xml:space="preserve">  HEADREST BUTTON AXKID ONE</t>
  </si>
  <si>
    <t>Ersatzteil - Verstellung Kopfstütze - Axkid One</t>
  </si>
  <si>
    <t>SUPPORT LEG BUTTON AXKID ONE</t>
  </si>
  <si>
    <t xml:space="preserve">Ersatzteil - Verstellknopf Stützfuß - Axkid One </t>
  </si>
  <si>
    <t xml:space="preserve">Ersatzteil - Gurt für Stützfuß - Axkid One </t>
  </si>
  <si>
    <t>1101931</t>
  </si>
  <si>
    <t>Ersatzteil - ASIP [Seitenaufprallschutz] - Axkid One</t>
  </si>
  <si>
    <t>1101932</t>
  </si>
  <si>
    <t>Ersatzteil - Prallbügel Abdeckung (RH+LH) - Axkid One</t>
  </si>
  <si>
    <t>SIDE COVER AXKID ONE</t>
  </si>
  <si>
    <t xml:space="preserve">Ersatzteil - Seitenabdeckung - Axkid One </t>
  </si>
  <si>
    <t>40X24X20</t>
    <phoneticPr fontId="12" type="noConversion"/>
  </si>
  <si>
    <t xml:space="preserve">  CARRIER SEAT SIDE AXKID ONE</t>
  </si>
  <si>
    <t xml:space="preserve">Ersatzteil - Halterung Seitenabdeckung - Axkid One </t>
  </si>
  <si>
    <t>VELCRO AXKID ONE</t>
  </si>
  <si>
    <t xml:space="preserve">Ersatzteil - Klettverschluss - Axkid One  </t>
  </si>
  <si>
    <t xml:space="preserve">Ersatzteil - 5 Punkt Gurtsystem - Axkid One </t>
  </si>
  <si>
    <t>TEXTILE MAIN AXKID ONE TAR</t>
  </si>
  <si>
    <t xml:space="preserve">Ersatzteil - Stoffbezug - Axkid One Tar </t>
  </si>
  <si>
    <t>TEXTILE HEADREST AXKID ONE TAR</t>
  </si>
  <si>
    <t>Ersatzteil - Bezug Kopfstütze - Axkid One Tar</t>
  </si>
  <si>
    <t>TEXTILE BUCKLE &amp; SHOULDER PAD (LH &amp; RH) AXKID ONE TAR</t>
  </si>
  <si>
    <t>Ersatzteil - Gurtschlosspolster &amp; Schulterpolster (LH + RH) - Axkid One Tar</t>
  </si>
  <si>
    <t>TEXTILE MAIN AXKID ONE GRANITE</t>
  </si>
  <si>
    <t>Ersatzteil - Stoffbezug - Axkid One Granite</t>
  </si>
  <si>
    <t>52X40X18</t>
    <phoneticPr fontId="12" type="noConversion"/>
  </si>
  <si>
    <t>TEXTILE MAIN AXKID ONE BRICK MELANGE</t>
  </si>
  <si>
    <t>Ersatzteil - Stoffbezug - Axkid One Brick Melange</t>
  </si>
  <si>
    <t>TEXTILE MAIN AXKID ONE TILE MELANGE</t>
  </si>
  <si>
    <t>Ersatzteil - Stoffbezug - Axkid One Tile Melange</t>
  </si>
  <si>
    <t>Ersatzteil - Isofix Connectoren (LH+RH) - Axkid One</t>
  </si>
  <si>
    <t>LABELS AXKID ONE</t>
  </si>
  <si>
    <t xml:space="preserve">Ersatzteil - Aufkleber - Axkid One </t>
  </si>
  <si>
    <t>INSERT 0-3 Y AXKID ONE</t>
  </si>
  <si>
    <t>Ersatzteil - Styropor Inlay 0-3 Jahre - Axkid One</t>
  </si>
  <si>
    <t>TEXTILE 0-6 M AXKID ONE</t>
  </si>
  <si>
    <t xml:space="preserve">Zubehör - Sitzverkleinerer 0-6 Monate - Axkid One  </t>
  </si>
  <si>
    <t>COVER SIGNAL BUTTON SUPPORT LEG AXKID ONE</t>
  </si>
  <si>
    <t>Ersatzteil - Abdeckung Spieldose [Akustisches Signal] - Axkid One</t>
  </si>
  <si>
    <t>COVER SUPPORT LEG TOP AXKID ONE</t>
  </si>
  <si>
    <t xml:space="preserve">Ersatzteil - Abdeckung Stützfuß - Axkid One </t>
  </si>
  <si>
    <t>SPARE PART KIT HEADREST COVER AXKID ONE GRANITE MELANGE</t>
  </si>
  <si>
    <t>Ersatzteil - Bezug Kopfstütze - Axkid One Granite Melange</t>
  </si>
  <si>
    <t>SPARE PART KIT TEXTILE ACCESSORIES AXKID ONE GRANITE MELANGE</t>
  </si>
  <si>
    <t>Ersatzteil - Gurtschlosspolster &amp; Schulterpolster (LH + RH) - Axkid One Granite Melange</t>
  </si>
  <si>
    <t>SPARE PART KIT HEADREST COVER AXKID ONE TILE MELANGE</t>
  </si>
  <si>
    <t>Ersatzteil - Bezug Kopfstütze - Axkid One Tile Melange</t>
  </si>
  <si>
    <t>SPARE PART KIT TEXTILE ACCESSORIES AXKID ONE TILE MELANGE</t>
  </si>
  <si>
    <t>Ersatzteil - Gurtschlosspolster &amp; Schulterpolster (LH + RH) - Axkid One Tile Melange</t>
  </si>
  <si>
    <t>SPARE PART KIT HEADREST COVER AXKID ONE BRICK MELANGE</t>
  </si>
  <si>
    <t>Ersatzteil - Bezug Kopfstütze - Axkid One Brick Melange</t>
  </si>
  <si>
    <t>SPARE PART KIT TEXTILE ACCESSORIES AXKID ONE BRICK MELANGE</t>
  </si>
  <si>
    <t>Ersatzteil - Gurtschlosspolster &amp; Schulterpolster (LH + RH) - Axkid One Brick Melange</t>
  </si>
  <si>
    <t>ASIP Carrier (LH &amp; RH) Axkid One</t>
  </si>
  <si>
    <t xml:space="preserve">Ersatzteil - ASIP Befestigung (LH+RH) - Axkid One </t>
  </si>
  <si>
    <t>Support leg Top cover Axkid One</t>
  </si>
  <si>
    <t xml:space="preserve">Ersatzteil - Abdeckung Stützfuß 2021- Axkid One </t>
  </si>
  <si>
    <t>Assembly Tool ASIP Carrier Axkid One</t>
  </si>
  <si>
    <t>Ersatzteil - Werkzeug ASIP - Axkid One</t>
  </si>
  <si>
    <t>ISOFIX Spacer LH Axkid One 10 PCS</t>
  </si>
  <si>
    <t>Ersatzteil - ISOFIX Abstandhalter LH [10stk] - Axkid One</t>
  </si>
  <si>
    <t>ISOFIX Spacer RH Axkid One 10 PCS</t>
  </si>
  <si>
    <t>Ersatzteil - ISOFIX Abstandhalter RH [10stk] - Axkid One</t>
  </si>
  <si>
    <t>Harness Friction Decrease - Axkid One</t>
  </si>
  <si>
    <t>SPARE PART KIT RECLINE BUSHING AND STOP SCREW AXKID ONE</t>
  </si>
  <si>
    <t xml:space="preserve">Ersatzteil - Recline Busching &amp; Stop Screw - Axkid One </t>
  </si>
  <si>
    <t>Rivet (long variant)</t>
  </si>
  <si>
    <t xml:space="preserve">Ersatzteil - Nieten - Universal </t>
  </si>
  <si>
    <t>34X33X17</t>
    <phoneticPr fontId="10" type="noConversion"/>
  </si>
  <si>
    <t>Aufwand-Klasse</t>
  </si>
  <si>
    <t>Betrag Netto</t>
  </si>
  <si>
    <t>Betrag Brutto</t>
  </si>
  <si>
    <t>Pauschale aufwand</t>
  </si>
  <si>
    <t>Axkid spare parts</t>
  </si>
  <si>
    <t xml:space="preserve">USD </t>
  </si>
  <si>
    <t>GBP (dist)</t>
  </si>
  <si>
    <t>GBP (ret)</t>
  </si>
  <si>
    <t>Minikid (2018)</t>
  </si>
  <si>
    <t>Minikid (2017 and earlier)</t>
  </si>
  <si>
    <t>Babyfix</t>
  </si>
  <si>
    <t>Cover Red</t>
  </si>
  <si>
    <t>Cover Grey</t>
  </si>
  <si>
    <t>Cover Black</t>
  </si>
  <si>
    <t>Cover Petrol</t>
  </si>
  <si>
    <t>Cover Pink</t>
  </si>
  <si>
    <t>Cover Blue</t>
  </si>
  <si>
    <t>Cover Green</t>
  </si>
  <si>
    <t>Shoulder pads Red</t>
  </si>
  <si>
    <t>Shoulder pads Grey</t>
  </si>
  <si>
    <t>Shoulder pads Black</t>
  </si>
  <si>
    <t>Shoulder pads Petrol</t>
  </si>
  <si>
    <t>Shoulder pads Pink</t>
  </si>
  <si>
    <t>Shoulder pads Blue</t>
  </si>
  <si>
    <t>Shoulder pads Green</t>
  </si>
  <si>
    <t>Textile cover buckle Red</t>
  </si>
  <si>
    <t>Textile cover buckle Grey</t>
  </si>
  <si>
    <t>Textile cover buckle Black</t>
  </si>
  <si>
    <t>Textile cover buckle Petrol</t>
  </si>
  <si>
    <t>Textile cover buckle Pink</t>
  </si>
  <si>
    <t>Textile cover buckle Blue</t>
  </si>
  <si>
    <t>Textile cover buckle Green</t>
  </si>
  <si>
    <t>Textile cover head support</t>
  </si>
  <si>
    <t>Seat cushion fixed Modukid</t>
  </si>
  <si>
    <t>Head support Unit</t>
  </si>
  <si>
    <t>EPS seat left</t>
  </si>
  <si>
    <t>EPS seat right</t>
  </si>
  <si>
    <t>EPS Back support</t>
  </si>
  <si>
    <t>Support leg</t>
  </si>
  <si>
    <t>Sun cover Babyfix</t>
  </si>
  <si>
    <t>Headsupport cushion Babyfix</t>
  </si>
  <si>
    <t>Baby cushion Babyfix</t>
  </si>
  <si>
    <t xml:space="preserve">Harness adjuster strap </t>
  </si>
  <si>
    <t>Cover Babyfix Grey</t>
  </si>
  <si>
    <t>Cover Babyfix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</si>
</sst>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kr&quot;_-;\-* #,##0.00\ &quot;kr&quot;_-;_-* &quot;-&quot;??\ &quot;kr&quot;_-;_-@_-"/>
    <numFmt numFmtId="165" formatCode="_-* #,##0.00_-;\-* #,##0.00_-;_-* &quot;-&quot;??_-;_-@_-"/>
    <numFmt numFmtId="166" formatCode="_-* #,##0.00\ [$€-1]_-;\-* #,##0.00\ [$€-1]_-;_-* &quot;-&quot;??\ [$€-1]_-;_-@_-"/>
    <numFmt numFmtId="167" formatCode="#,##0.0\ [$€-1];\-#,##0.0\ [$€-1]"/>
    <numFmt numFmtId="168" formatCode="_-* #,##0.00\ [$€-407]_-;\-* #,##0.00\ [$€-407]_-;_-* &quot;-&quot;??\ [$€-407]_-;_-@_-"/>
    <numFmt numFmtId="169" formatCode="#,##0.00\ [$€-1];[Red]\-#,##0.00\ [$€-1]"/>
  </numFmts>
  <fonts count="28">
    <font>
      <sz val="11"/>
      <color theme="1"/>
      <name val="Calibri"/>
      <family val="2"/>
      <scheme val="minor"/>
    </font>
    <font>
      <sz val="11"/>
      <color rgb="FF002060"/>
      <name val="Neue Haas Grotesk Text Pro"/>
      <family val="2"/>
    </font>
    <font>
      <b/>
      <sz val="11"/>
      <color rgb="FF002060"/>
      <name val="Neue Haas Grotesk Text Pro"/>
      <family val="2"/>
    </font>
    <font>
      <sz val="11"/>
      <color theme="0"/>
      <name val="Neue Haas Grotesk Text Pro"/>
      <family val="2"/>
    </font>
    <font>
      <sz val="11"/>
      <color rgb="FF002060"/>
      <name val="Wingdings"/>
      <charset val="2"/>
    </font>
    <font>
      <b/>
      <sz val="28"/>
      <color rgb="FF222C61"/>
      <name val="Neue Haas Grotesk Text Pro"/>
      <family val="2"/>
    </font>
    <font>
      <sz val="11"/>
      <color rgb="FF222C61"/>
      <name val="Neue Haas Grotesk Text Pro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2060"/>
      <name val="Neue Haas Grotesk Text Pro"/>
      <family val="2"/>
    </font>
    <font>
      <sz val="11"/>
      <color rgb="FF002060"/>
      <name val="Neue Haas Grotesk Text Pro"/>
      <family val="2"/>
    </font>
    <font>
      <sz val="11"/>
      <color theme="0"/>
      <name val="宋体"/>
      <family val="3"/>
      <charset val="134"/>
    </font>
    <font>
      <sz val="11"/>
      <color rgb="FFFF0000"/>
      <name val="Calibri"/>
      <family val="2"/>
      <scheme val="minor"/>
    </font>
    <font>
      <sz val="11"/>
      <name val="Wingdings"/>
      <charset val="2"/>
    </font>
    <font>
      <b/>
      <sz val="11"/>
      <name val="Calibri"/>
      <family val="2"/>
      <scheme val="minor"/>
    </font>
    <font>
      <sz val="11"/>
      <color rgb="FF002060"/>
      <name val="Neue Haas Grotesk Text Pro"/>
      <family val="2"/>
      <charset val="1"/>
    </font>
    <font>
      <sz val="11"/>
      <color rgb="FFFF0000"/>
      <name val="Neue Haas Grotesk Text Pro"/>
      <family val="2"/>
      <charset val="1"/>
    </font>
    <font>
      <b/>
      <sz val="14"/>
      <name val="Calibri"/>
      <family val="2"/>
    </font>
    <font>
      <b/>
      <sz val="12"/>
      <name val="Calibri"/>
      <family val="2"/>
    </font>
    <font>
      <sz val="14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444444"/>
      <name val="Calibri"/>
      <family val="2"/>
      <charset val="1"/>
    </font>
    <font>
      <b/>
      <sz val="26"/>
      <color rgb="FF222C61"/>
      <name val="Neue Haas Grotesk Text Pro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E54"/>
        <bgColor indexed="64"/>
      </patternFill>
    </fill>
    <fill>
      <patternFill patternType="solid">
        <fgColor rgb="FF222C6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8F9DB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8F9DB"/>
        <bgColor rgb="FF000000"/>
      </patternFill>
    </fill>
    <fill>
      <patternFill patternType="solid">
        <fgColor rgb="FFF8CBAD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</fills>
  <borders count="4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</cellStyleXfs>
  <cellXfs count="255">
    <xf numFmtId="0" fontId="0" fillId="0" borderId="0" xfId="0"/>
    <xf numFmtId="0" fontId="1" fillId="0" borderId="0" xfId="0" applyFont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 wrapText="1"/>
    </xf>
    <xf numFmtId="0" fontId="1" fillId="3" borderId="2" xfId="0" applyFont="1" applyFill="1" applyBorder="1"/>
    <xf numFmtId="0" fontId="1" fillId="2" borderId="2" xfId="0" applyFont="1" applyFill="1" applyBorder="1"/>
    <xf numFmtId="0" fontId="1" fillId="0" borderId="2" xfId="0" applyFont="1" applyBorder="1"/>
    <xf numFmtId="0" fontId="1" fillId="3" borderId="1" xfId="0" applyFont="1" applyFill="1" applyBorder="1"/>
    <xf numFmtId="0" fontId="1" fillId="2" borderId="1" xfId="0" applyFont="1" applyFill="1" applyBorder="1"/>
    <xf numFmtId="0" fontId="1" fillId="0" borderId="1" xfId="0" applyFont="1" applyBorder="1"/>
    <xf numFmtId="0" fontId="4" fillId="2" borderId="2" xfId="0" applyFont="1" applyFill="1" applyBorder="1"/>
    <xf numFmtId="0" fontId="4" fillId="3" borderId="2" xfId="0" applyFont="1" applyFill="1" applyBorder="1"/>
    <xf numFmtId="0" fontId="2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6" fillId="6" borderId="0" xfId="0" applyFont="1" applyFill="1"/>
    <xf numFmtId="0" fontId="1" fillId="3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4" fillId="3" borderId="1" xfId="0" applyFont="1" applyFill="1" applyBorder="1"/>
    <xf numFmtId="0" fontId="7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3" borderId="0" xfId="0" applyFont="1" applyFill="1"/>
    <xf numFmtId="0" fontId="0" fillId="7" borderId="0" xfId="0" applyFill="1" applyAlignment="1">
      <alignment vertical="center"/>
    </xf>
    <xf numFmtId="0" fontId="1" fillId="7" borderId="2" xfId="0" applyFont="1" applyFill="1" applyBorder="1"/>
    <xf numFmtId="0" fontId="1" fillId="7" borderId="1" xfId="0" applyFont="1" applyFill="1" applyBorder="1"/>
    <xf numFmtId="0" fontId="4" fillId="7" borderId="2" xfId="0" applyFont="1" applyFill="1" applyBorder="1"/>
    <xf numFmtId="0" fontId="0" fillId="0" borderId="0" xfId="0" applyAlignment="1">
      <alignment vertical="center"/>
    </xf>
    <xf numFmtId="0" fontId="8" fillId="3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0" fillId="7" borderId="0" xfId="0" applyFill="1"/>
    <xf numFmtId="0" fontId="0" fillId="0" borderId="0" xfId="0" applyAlignment="1">
      <alignment horizontal="left" vertical="center" wrapText="1"/>
    </xf>
    <xf numFmtId="0" fontId="4" fillId="0" borderId="2" xfId="0" applyFont="1" applyBorder="1"/>
    <xf numFmtId="0" fontId="1" fillId="7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2" fillId="4" borderId="0" xfId="0" applyFont="1" applyFill="1" applyAlignment="1">
      <alignment horizontal="left" vertical="center" wrapText="1"/>
    </xf>
    <xf numFmtId="166" fontId="6" fillId="6" borderId="0" xfId="0" applyNumberFormat="1" applyFont="1" applyFill="1"/>
    <xf numFmtId="167" fontId="6" fillId="6" borderId="0" xfId="1" applyNumberFormat="1" applyFont="1" applyFill="1"/>
    <xf numFmtId="0" fontId="0" fillId="8" borderId="0" xfId="0" applyFill="1" applyAlignment="1">
      <alignment horizontal="left" vertical="center" wrapText="1"/>
    </xf>
    <xf numFmtId="0" fontId="0" fillId="8" borderId="0" xfId="0" applyFill="1" applyAlignment="1">
      <alignment vertical="center"/>
    </xf>
    <xf numFmtId="0" fontId="1" fillId="8" borderId="2" xfId="0" applyFont="1" applyFill="1" applyBorder="1"/>
    <xf numFmtId="0" fontId="1" fillId="8" borderId="1" xfId="0" applyFont="1" applyFill="1" applyBorder="1"/>
    <xf numFmtId="0" fontId="4" fillId="8" borderId="2" xfId="0" applyFont="1" applyFill="1" applyBorder="1"/>
    <xf numFmtId="0" fontId="0" fillId="8" borderId="0" xfId="0" applyFill="1" applyAlignment="1">
      <alignment horizontal="left"/>
    </xf>
    <xf numFmtId="0" fontId="0" fillId="8" borderId="0" xfId="0" applyFill="1"/>
    <xf numFmtId="0" fontId="4" fillId="8" borderId="1" xfId="0" applyFont="1" applyFill="1" applyBorder="1"/>
    <xf numFmtId="0" fontId="8" fillId="8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1" xfId="0" applyFont="1" applyBorder="1"/>
    <xf numFmtId="0" fontId="8" fillId="0" borderId="0" xfId="0" applyFont="1" applyAlignment="1">
      <alignment horizontal="left" vertical="center" wrapText="1"/>
    </xf>
    <xf numFmtId="0" fontId="4" fillId="2" borderId="1" xfId="0" applyFont="1" applyFill="1" applyBorder="1"/>
    <xf numFmtId="0" fontId="4" fillId="2" borderId="0" xfId="0" applyFont="1" applyFill="1"/>
    <xf numFmtId="0" fontId="8" fillId="2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8" fillId="8" borderId="0" xfId="0" applyFont="1" applyFill="1" applyAlignment="1">
      <alignment horizontal="left"/>
    </xf>
    <xf numFmtId="0" fontId="8" fillId="3" borderId="0" xfId="0" applyFont="1" applyFill="1" applyAlignment="1">
      <alignment vertical="center"/>
    </xf>
    <xf numFmtId="0" fontId="0" fillId="0" borderId="0" xfId="0" applyAlignment="1">
      <alignment horizontal="right"/>
    </xf>
    <xf numFmtId="0" fontId="1" fillId="0" borderId="10" xfId="0" applyFont="1" applyBorder="1"/>
    <xf numFmtId="0" fontId="13" fillId="0" borderId="0" xfId="0" applyFont="1"/>
    <xf numFmtId="168" fontId="8" fillId="0" borderId="4" xfId="0" applyNumberFormat="1" applyFont="1" applyBorder="1" applyAlignment="1">
      <alignment horizontal="left"/>
    </xf>
    <xf numFmtId="0" fontId="8" fillId="0" borderId="11" xfId="0" applyFont="1" applyBorder="1" applyAlignment="1">
      <alignment horizontal="left" vertical="center" wrapText="1"/>
    </xf>
    <xf numFmtId="1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8" fillId="0" borderId="12" xfId="0" applyFont="1" applyBorder="1"/>
    <xf numFmtId="0" fontId="8" fillId="0" borderId="4" xfId="0" applyFont="1" applyBorder="1" applyAlignment="1">
      <alignment vertical="center" wrapText="1"/>
    </xf>
    <xf numFmtId="0" fontId="8" fillId="0" borderId="17" xfId="0" applyFont="1" applyBorder="1"/>
    <xf numFmtId="0" fontId="8" fillId="0" borderId="0" xfId="0" applyFont="1"/>
    <xf numFmtId="0" fontId="15" fillId="10" borderId="13" xfId="0" applyFont="1" applyFill="1" applyBorder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168" fontId="15" fillId="10" borderId="0" xfId="0" applyNumberFormat="1" applyFont="1" applyFill="1" applyAlignment="1">
      <alignment horizontal="left" vertical="center" wrapText="1"/>
    </xf>
    <xf numFmtId="168" fontId="15" fillId="10" borderId="0" xfId="0" applyNumberFormat="1" applyFont="1" applyFill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5" fillId="10" borderId="10" xfId="0" applyFont="1" applyFill="1" applyBorder="1" applyAlignment="1">
      <alignment horizontal="center" vertical="center" wrapText="1"/>
    </xf>
    <xf numFmtId="0" fontId="1" fillId="0" borderId="13" xfId="0" applyFont="1" applyBorder="1"/>
    <xf numFmtId="0" fontId="14" fillId="0" borderId="4" xfId="0" applyFont="1" applyBorder="1" applyAlignment="1">
      <alignment horizontal="center"/>
    </xf>
    <xf numFmtId="0" fontId="8" fillId="11" borderId="15" xfId="0" applyFont="1" applyFill="1" applyBorder="1" applyProtection="1">
      <protection locked="0"/>
    </xf>
    <xf numFmtId="0" fontId="8" fillId="0" borderId="18" xfId="0" applyFont="1" applyBorder="1" applyAlignment="1">
      <alignment horizontal="left" vertical="center" wrapText="1"/>
    </xf>
    <xf numFmtId="0" fontId="8" fillId="0" borderId="20" xfId="0" applyFont="1" applyBorder="1"/>
    <xf numFmtId="0" fontId="8" fillId="11" borderId="14" xfId="0" applyFont="1" applyFill="1" applyBorder="1" applyProtection="1">
      <protection locked="0"/>
    </xf>
    <xf numFmtId="0" fontId="8" fillId="0" borderId="0" xfId="0" applyFont="1" applyAlignment="1">
      <alignment horizontal="left"/>
    </xf>
    <xf numFmtId="4" fontId="20" fillId="0" borderId="0" xfId="0" applyNumberFormat="1" applyFont="1"/>
    <xf numFmtId="4" fontId="0" fillId="0" borderId="0" xfId="0" applyNumberFormat="1"/>
    <xf numFmtId="4" fontId="21" fillId="0" borderId="7" xfId="0" applyNumberFormat="1" applyFont="1" applyBorder="1"/>
    <xf numFmtId="4" fontId="22" fillId="0" borderId="0" xfId="0" applyNumberFormat="1" applyFont="1"/>
    <xf numFmtId="4" fontId="21" fillId="0" borderId="0" xfId="0" applyNumberFormat="1" applyFont="1"/>
    <xf numFmtId="4" fontId="17" fillId="0" borderId="0" xfId="0" applyNumberFormat="1" applyFont="1"/>
    <xf numFmtId="4" fontId="16" fillId="0" borderId="0" xfId="0" applyNumberFormat="1" applyFont="1"/>
    <xf numFmtId="4" fontId="26" fillId="0" borderId="0" xfId="0" quotePrefix="1" applyNumberFormat="1" applyFont="1"/>
    <xf numFmtId="4" fontId="21" fillId="0" borderId="9" xfId="0" applyNumberFormat="1" applyFont="1" applyBorder="1"/>
    <xf numFmtId="1" fontId="23" fillId="0" borderId="4" xfId="2" applyNumberFormat="1" applyFont="1" applyBorder="1" applyAlignment="1" applyProtection="1">
      <alignment horizontal="center" wrapText="1"/>
    </xf>
    <xf numFmtId="4" fontId="24" fillId="0" borderId="9" xfId="0" applyNumberFormat="1" applyFont="1" applyBorder="1" applyAlignment="1">
      <alignment horizontal="right"/>
    </xf>
    <xf numFmtId="0" fontId="0" fillId="0" borderId="0" xfId="0" applyAlignment="1">
      <alignment horizontal="left" vertical="center"/>
    </xf>
    <xf numFmtId="168" fontId="0" fillId="0" borderId="0" xfId="1" applyNumberFormat="1" applyFont="1" applyFill="1" applyAlignment="1" applyProtection="1">
      <alignment horizontal="right"/>
    </xf>
    <xf numFmtId="168" fontId="0" fillId="0" borderId="0" xfId="0" applyNumberFormat="1" applyAlignment="1">
      <alignment horizontal="right"/>
    </xf>
    <xf numFmtId="166" fontId="0" fillId="0" borderId="0" xfId="1" applyNumberFormat="1" applyFont="1" applyFill="1" applyAlignment="1">
      <alignment horizontal="right"/>
    </xf>
    <xf numFmtId="166" fontId="0" fillId="0" borderId="0" xfId="1" applyNumberFormat="1" applyFont="1" applyAlignment="1">
      <alignment horizontal="left"/>
    </xf>
    <xf numFmtId="166" fontId="0" fillId="0" borderId="0" xfId="0" applyNumberFormat="1" applyAlignment="1">
      <alignment horizontal="left"/>
    </xf>
    <xf numFmtId="4" fontId="14" fillId="0" borderId="4" xfId="0" applyNumberFormat="1" applyFont="1" applyBorder="1" applyAlignment="1">
      <alignment horizontal="center"/>
    </xf>
    <xf numFmtId="0" fontId="8" fillId="0" borderId="2" xfId="0" applyFont="1" applyBorder="1"/>
    <xf numFmtId="0" fontId="8" fillId="0" borderId="0" xfId="0" applyFont="1" applyAlignment="1">
      <alignment horizontal="center"/>
    </xf>
    <xf numFmtId="0" fontId="8" fillId="0" borderId="4" xfId="0" applyFont="1" applyBorder="1"/>
    <xf numFmtId="168" fontId="0" fillId="0" borderId="0" xfId="0" applyNumberFormat="1"/>
    <xf numFmtId="0" fontId="0" fillId="0" borderId="13" xfId="0" applyBorder="1"/>
    <xf numFmtId="0" fontId="0" fillId="0" borderId="10" xfId="0" applyBorder="1"/>
    <xf numFmtId="168" fontId="5" fillId="6" borderId="0" xfId="0" applyNumberFormat="1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6" fillId="6" borderId="0" xfId="0" applyFont="1" applyFill="1" applyAlignment="1">
      <alignment vertical="center"/>
    </xf>
    <xf numFmtId="167" fontId="6" fillId="6" borderId="0" xfId="1" applyNumberFormat="1" applyFont="1" applyFill="1" applyAlignment="1" applyProtection="1">
      <alignment vertical="center"/>
    </xf>
    <xf numFmtId="166" fontId="6" fillId="6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" fontId="1" fillId="6" borderId="0" xfId="0" applyNumberFormat="1" applyFont="1" applyFill="1" applyAlignment="1">
      <alignment vertical="center"/>
    </xf>
    <xf numFmtId="168" fontId="2" fillId="4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8" fillId="3" borderId="0" xfId="0" applyFont="1" applyFill="1" applyAlignment="1">
      <alignment vertical="center" wrapText="1"/>
    </xf>
    <xf numFmtId="168" fontId="8" fillId="0" borderId="0" xfId="0" applyNumberFormat="1" applyFont="1" applyAlignment="1">
      <alignment horizontal="left"/>
    </xf>
    <xf numFmtId="1" fontId="8" fillId="0" borderId="0" xfId="0" applyNumberFormat="1" applyFont="1" applyAlignment="1">
      <alignment vertical="center" wrapText="1"/>
    </xf>
    <xf numFmtId="0" fontId="8" fillId="0" borderId="1" xfId="0" applyFont="1" applyBorder="1" applyAlignment="1">
      <alignment horizontal="center"/>
    </xf>
    <xf numFmtId="0" fontId="1" fillId="9" borderId="0" xfId="0" applyFont="1" applyFill="1"/>
    <xf numFmtId="0" fontId="8" fillId="9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vertical="center"/>
    </xf>
    <xf numFmtId="0" fontId="8" fillId="3" borderId="0" xfId="0" applyFont="1" applyFill="1"/>
    <xf numFmtId="0" fontId="8" fillId="0" borderId="1" xfId="0" applyFont="1" applyBorder="1"/>
    <xf numFmtId="0" fontId="4" fillId="3" borderId="0" xfId="0" applyFont="1" applyFill="1"/>
    <xf numFmtId="0" fontId="8" fillId="9" borderId="0" xfId="0" applyFont="1" applyFill="1" applyAlignment="1">
      <alignment horizontal="left"/>
    </xf>
    <xf numFmtId="0" fontId="8" fillId="9" borderId="0" xfId="0" applyFont="1" applyFill="1"/>
    <xf numFmtId="0" fontId="1" fillId="0" borderId="3" xfId="0" applyFont="1" applyBorder="1"/>
    <xf numFmtId="0" fontId="1" fillId="9" borderId="2" xfId="0" applyFont="1" applyFill="1" applyBorder="1"/>
    <xf numFmtId="0" fontId="4" fillId="0" borderId="0" xfId="0" applyFont="1"/>
    <xf numFmtId="0" fontId="8" fillId="12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vertical="center"/>
    </xf>
    <xf numFmtId="0" fontId="8" fillId="0" borderId="0" xfId="0" applyFont="1" applyAlignment="1">
      <alignment horizontal="left" wrapText="1"/>
    </xf>
    <xf numFmtId="1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49" fontId="8" fillId="0" borderId="27" xfId="0" applyNumberFormat="1" applyFont="1" applyBorder="1"/>
    <xf numFmtId="169" fontId="8" fillId="0" borderId="0" xfId="0" applyNumberFormat="1" applyFont="1"/>
    <xf numFmtId="169" fontId="8" fillId="0" borderId="0" xfId="0" applyNumberFormat="1" applyFont="1" applyAlignment="1">
      <alignment wrapText="1"/>
    </xf>
    <xf numFmtId="0" fontId="8" fillId="15" borderId="0" xfId="0" applyFont="1" applyFill="1" applyAlignment="1">
      <alignment horizontal="left"/>
    </xf>
    <xf numFmtId="0" fontId="8" fillId="15" borderId="0" xfId="0" applyFont="1" applyFill="1"/>
    <xf numFmtId="1" fontId="8" fillId="0" borderId="0" xfId="0" applyNumberFormat="1" applyFont="1" applyAlignment="1">
      <alignment horizontal="left"/>
    </xf>
    <xf numFmtId="168" fontId="0" fillId="0" borderId="2" xfId="0" applyNumberFormat="1" applyBorder="1"/>
    <xf numFmtId="1" fontId="8" fillId="0" borderId="0" xfId="0" applyNumberFormat="1" applyFont="1"/>
    <xf numFmtId="168" fontId="8" fillId="0" borderId="2" xfId="0" applyNumberFormat="1" applyFont="1" applyBorder="1" applyAlignment="1">
      <alignment horizontal="left"/>
    </xf>
    <xf numFmtId="168" fontId="8" fillId="0" borderId="0" xfId="0" applyNumberFormat="1" applyFont="1"/>
    <xf numFmtId="1" fontId="21" fillId="0" borderId="0" xfId="0" applyNumberFormat="1" applyFont="1"/>
    <xf numFmtId="0" fontId="21" fillId="0" borderId="0" xfId="0" applyFont="1" applyAlignment="1">
      <alignment horizontal="left"/>
    </xf>
    <xf numFmtId="0" fontId="23" fillId="0" borderId="0" xfId="0" applyFont="1"/>
    <xf numFmtId="168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" fontId="11" fillId="0" borderId="0" xfId="0" applyNumberFormat="1" applyFont="1"/>
    <xf numFmtId="4" fontId="8" fillId="0" borderId="7" xfId="0" applyNumberFormat="1" applyFont="1" applyBorder="1"/>
    <xf numFmtId="4" fontId="8" fillId="0" borderId="0" xfId="0" applyNumberFormat="1" applyFont="1"/>
    <xf numFmtId="4" fontId="8" fillId="0" borderId="28" xfId="0" applyNumberFormat="1" applyFont="1" applyBorder="1"/>
    <xf numFmtId="4" fontId="8" fillId="0" borderId="29" xfId="0" applyNumberFormat="1" applyFont="1" applyBorder="1"/>
    <xf numFmtId="4" fontId="8" fillId="0" borderId="13" xfId="0" applyNumberFormat="1" applyFont="1" applyBorder="1"/>
    <xf numFmtId="4" fontId="8" fillId="0" borderId="10" xfId="0" applyNumberFormat="1" applyFont="1" applyBorder="1"/>
    <xf numFmtId="4" fontId="21" fillId="0" borderId="13" xfId="0" applyNumberFormat="1" applyFont="1" applyBorder="1"/>
    <xf numFmtId="4" fontId="16" fillId="0" borderId="10" xfId="0" applyNumberFormat="1" applyFont="1" applyBorder="1"/>
    <xf numFmtId="4" fontId="16" fillId="0" borderId="30" xfId="0" applyNumberFormat="1" applyFont="1" applyBorder="1"/>
    <xf numFmtId="4" fontId="16" fillId="0" borderId="9" xfId="0" applyNumberFormat="1" applyFont="1" applyBorder="1"/>
    <xf numFmtId="4" fontId="16" fillId="0" borderId="31" xfId="0" applyNumberFormat="1" applyFont="1" applyBorder="1"/>
    <xf numFmtId="4" fontId="23" fillId="0" borderId="0" xfId="0" applyNumberFormat="1" applyFont="1"/>
    <xf numFmtId="4" fontId="18" fillId="13" borderId="32" xfId="0" applyNumberFormat="1" applyFont="1" applyFill="1" applyBorder="1"/>
    <xf numFmtId="4" fontId="18" fillId="13" borderId="33" xfId="0" applyNumberFormat="1" applyFont="1" applyFill="1" applyBorder="1"/>
    <xf numFmtId="14" fontId="19" fillId="14" borderId="34" xfId="0" applyNumberFormat="1" applyFont="1" applyFill="1" applyBorder="1" applyProtection="1">
      <protection locked="0"/>
    </xf>
    <xf numFmtId="4" fontId="24" fillId="0" borderId="28" xfId="0" applyNumberFormat="1" applyFont="1" applyBorder="1"/>
    <xf numFmtId="4" fontId="21" fillId="0" borderId="29" xfId="0" applyNumberFormat="1" applyFont="1" applyBorder="1"/>
    <xf numFmtId="4" fontId="16" fillId="0" borderId="13" xfId="0" applyNumberFormat="1" applyFont="1" applyBorder="1"/>
    <xf numFmtId="4" fontId="25" fillId="13" borderId="13" xfId="0" applyNumberFormat="1" applyFont="1" applyFill="1" applyBorder="1"/>
    <xf numFmtId="4" fontId="25" fillId="13" borderId="0" xfId="0" applyNumberFormat="1" applyFont="1" applyFill="1"/>
    <xf numFmtId="4" fontId="25" fillId="13" borderId="0" xfId="0" applyNumberFormat="1" applyFont="1" applyFill="1" applyAlignment="1">
      <alignment wrapText="1"/>
    </xf>
    <xf numFmtId="4" fontId="25" fillId="13" borderId="10" xfId="0" applyNumberFormat="1" applyFont="1" applyFill="1" applyBorder="1" applyAlignment="1">
      <alignment wrapText="1"/>
    </xf>
    <xf numFmtId="4" fontId="23" fillId="14" borderId="23" xfId="0" applyNumberFormat="1" applyFont="1" applyFill="1" applyBorder="1" applyProtection="1">
      <protection locked="0"/>
    </xf>
    <xf numFmtId="3" fontId="26" fillId="0" borderId="41" xfId="0" quotePrefix="1" applyNumberFormat="1" applyFont="1" applyBorder="1"/>
    <xf numFmtId="49" fontId="21" fillId="14" borderId="6" xfId="0" applyNumberFormat="1" applyFont="1" applyFill="1" applyBorder="1" applyProtection="1">
      <protection locked="0"/>
    </xf>
    <xf numFmtId="49" fontId="21" fillId="14" borderId="22" xfId="0" applyNumberFormat="1" applyFont="1" applyFill="1" applyBorder="1" applyProtection="1">
      <protection locked="0"/>
    </xf>
    <xf numFmtId="49" fontId="24" fillId="0" borderId="28" xfId="0" applyNumberFormat="1" applyFont="1" applyBorder="1"/>
    <xf numFmtId="49" fontId="21" fillId="0" borderId="7" xfId="0" applyNumberFormat="1" applyFont="1" applyBorder="1"/>
    <xf numFmtId="49" fontId="21" fillId="0" borderId="29" xfId="0" applyNumberFormat="1" applyFont="1" applyBorder="1"/>
    <xf numFmtId="49" fontId="21" fillId="0" borderId="11" xfId="0" applyNumberFormat="1" applyFont="1" applyBorder="1"/>
    <xf numFmtId="49" fontId="21" fillId="0" borderId="0" xfId="0" applyNumberFormat="1" applyFont="1" applyAlignment="1">
      <alignment horizontal="right"/>
    </xf>
    <xf numFmtId="49" fontId="21" fillId="14" borderId="4" xfId="0" applyNumberFormat="1" applyFont="1" applyFill="1" applyBorder="1" applyProtection="1">
      <protection locked="0"/>
    </xf>
    <xf numFmtId="49" fontId="21" fillId="0" borderId="36" xfId="0" applyNumberFormat="1" applyFont="1" applyBorder="1"/>
    <xf numFmtId="49" fontId="21" fillId="0" borderId="0" xfId="0" applyNumberFormat="1" applyFont="1"/>
    <xf numFmtId="49" fontId="21" fillId="0" borderId="10" xfId="0" applyNumberFormat="1" applyFont="1" applyBorder="1"/>
    <xf numFmtId="49" fontId="21" fillId="0" borderId="13" xfId="0" applyNumberFormat="1" applyFont="1" applyBorder="1"/>
    <xf numFmtId="49" fontId="24" fillId="0" borderId="13" xfId="0" applyNumberFormat="1" applyFont="1" applyBorder="1"/>
    <xf numFmtId="3" fontId="26" fillId="0" borderId="42" xfId="0" quotePrefix="1" applyNumberFormat="1" applyFont="1" applyBorder="1"/>
    <xf numFmtId="0" fontId="23" fillId="0" borderId="4" xfId="0" applyFont="1" applyBorder="1" applyAlignment="1">
      <alignment horizontal="left"/>
    </xf>
    <xf numFmtId="4" fontId="23" fillId="0" borderId="4" xfId="0" applyNumberFormat="1" applyFont="1" applyBorder="1"/>
    <xf numFmtId="4" fontId="0" fillId="0" borderId="4" xfId="0" applyNumberFormat="1" applyBorder="1"/>
    <xf numFmtId="4" fontId="23" fillId="14" borderId="4" xfId="0" applyNumberFormat="1" applyFont="1" applyFill="1" applyBorder="1" applyProtection="1">
      <protection locked="0"/>
    </xf>
    <xf numFmtId="0" fontId="23" fillId="0" borderId="4" xfId="0" applyFont="1" applyBorder="1" applyAlignment="1">
      <alignment horizontal="left" wrapText="1"/>
    </xf>
    <xf numFmtId="0" fontId="21" fillId="0" borderId="4" xfId="0" applyFont="1" applyBorder="1" applyAlignment="1">
      <alignment horizontal="left"/>
    </xf>
    <xf numFmtId="1" fontId="23" fillId="0" borderId="4" xfId="0" applyNumberFormat="1" applyFont="1" applyBorder="1" applyAlignment="1">
      <alignment horizontal="left" wrapText="1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/>
    </xf>
    <xf numFmtId="4" fontId="19" fillId="13" borderId="33" xfId="0" applyNumberFormat="1" applyFont="1" applyFill="1" applyBorder="1" applyAlignment="1">
      <alignment vertical="center"/>
    </xf>
    <xf numFmtId="4" fontId="19" fillId="13" borderId="33" xfId="0" applyNumberFormat="1" applyFont="1" applyFill="1" applyBorder="1" applyAlignment="1">
      <alignment horizontal="left" vertical="center"/>
    </xf>
    <xf numFmtId="2" fontId="8" fillId="11" borderId="4" xfId="0" applyNumberFormat="1" applyFont="1" applyFill="1" applyBorder="1" applyProtection="1">
      <protection locked="0"/>
    </xf>
    <xf numFmtId="49" fontId="16" fillId="0" borderId="13" xfId="0" applyNumberFormat="1" applyFont="1" applyBorder="1"/>
    <xf numFmtId="49" fontId="16" fillId="0" borderId="0" xfId="0" applyNumberFormat="1" applyFont="1"/>
    <xf numFmtId="49" fontId="16" fillId="0" borderId="10" xfId="0" applyNumberFormat="1" applyFont="1" applyBorder="1"/>
    <xf numFmtId="2" fontId="8" fillId="11" borderId="19" xfId="0" applyNumberFormat="1" applyFont="1" applyFill="1" applyBorder="1" applyProtection="1">
      <protection locked="0"/>
    </xf>
    <xf numFmtId="49" fontId="8" fillId="0" borderId="43" xfId="0" applyNumberFormat="1" applyFont="1" applyBorder="1"/>
    <xf numFmtId="49" fontId="8" fillId="16" borderId="43" xfId="0" applyNumberFormat="1" applyFont="1" applyFill="1" applyBorder="1"/>
    <xf numFmtId="49" fontId="8" fillId="0" borderId="0" xfId="0" applyNumberFormat="1" applyFont="1"/>
    <xf numFmtId="49" fontId="8" fillId="17" borderId="0" xfId="0" applyNumberFormat="1" applyFont="1" applyFill="1"/>
    <xf numFmtId="0" fontId="8" fillId="0" borderId="0" xfId="0" applyFont="1" applyAlignment="1">
      <alignment vertical="center"/>
    </xf>
    <xf numFmtId="49" fontId="8" fillId="9" borderId="0" xfId="0" applyNumberFormat="1" applyFont="1" applyFill="1"/>
    <xf numFmtId="49" fontId="23" fillId="14" borderId="14" xfId="0" applyNumberFormat="1" applyFont="1" applyFill="1" applyBorder="1" applyProtection="1">
      <protection locked="0"/>
    </xf>
    <xf numFmtId="49" fontId="23" fillId="14" borderId="15" xfId="0" applyNumberFormat="1" applyFont="1" applyFill="1" applyBorder="1" applyProtection="1">
      <protection locked="0"/>
    </xf>
    <xf numFmtId="49" fontId="23" fillId="14" borderId="15" xfId="2" applyNumberFormat="1" applyFont="1" applyFill="1" applyBorder="1" applyAlignment="1" applyProtection="1">
      <alignment horizontal="center"/>
      <protection locked="0"/>
    </xf>
    <xf numFmtId="166" fontId="23" fillId="14" borderId="15" xfId="0" applyNumberFormat="1" applyFont="1" applyFill="1" applyBorder="1" applyProtection="1">
      <protection locked="0"/>
    </xf>
    <xf numFmtId="49" fontId="8" fillId="11" borderId="14" xfId="0" applyNumberFormat="1" applyFont="1" applyFill="1" applyBorder="1" applyProtection="1">
      <protection locked="0"/>
    </xf>
    <xf numFmtId="49" fontId="15" fillId="11" borderId="15" xfId="0" applyNumberFormat="1" applyFont="1" applyFill="1" applyBorder="1" applyProtection="1">
      <protection locked="0"/>
    </xf>
    <xf numFmtId="49" fontId="8" fillId="11" borderId="15" xfId="0" applyNumberFormat="1" applyFont="1" applyFill="1" applyBorder="1" applyProtection="1">
      <protection locked="0"/>
    </xf>
    <xf numFmtId="4" fontId="21" fillId="0" borderId="8" xfId="0" applyNumberFormat="1" applyFont="1" applyBorder="1" applyAlignment="1">
      <alignment horizontal="right"/>
    </xf>
    <xf numFmtId="4" fontId="21" fillId="0" borderId="21" xfId="0" applyNumberFormat="1" applyFont="1" applyBorder="1" applyAlignment="1">
      <alignment horizontal="right"/>
    </xf>
    <xf numFmtId="166" fontId="21" fillId="14" borderId="5" xfId="0" applyNumberFormat="1" applyFont="1" applyFill="1" applyBorder="1" applyAlignment="1" applyProtection="1">
      <protection locked="0"/>
    </xf>
    <xf numFmtId="166" fontId="21" fillId="14" borderId="35" xfId="0" applyNumberFormat="1" applyFont="1" applyFill="1" applyBorder="1" applyAlignment="1" applyProtection="1">
      <protection locked="0"/>
    </xf>
    <xf numFmtId="4" fontId="21" fillId="0" borderId="0" xfId="0" applyNumberFormat="1" applyFont="1" applyAlignment="1"/>
    <xf numFmtId="4" fontId="21" fillId="0" borderId="5" xfId="0" applyNumberFormat="1" applyFont="1" applyBorder="1" applyAlignment="1"/>
    <xf numFmtId="4" fontId="21" fillId="0" borderId="35" xfId="0" applyNumberFormat="1" applyFont="1" applyBorder="1" applyAlignment="1"/>
    <xf numFmtId="4" fontId="24" fillId="0" borderId="40" xfId="0" applyNumberFormat="1" applyFont="1" applyBorder="1" applyAlignment="1">
      <alignment horizontal="left" wrapText="1"/>
    </xf>
    <xf numFmtId="4" fontId="24" fillId="0" borderId="24" xfId="0" applyNumberFormat="1" applyFont="1" applyBorder="1" applyAlignment="1">
      <alignment horizontal="left" wrapText="1"/>
    </xf>
    <xf numFmtId="4" fontId="24" fillId="0" borderId="26" xfId="0" applyNumberFormat="1" applyFont="1" applyBorder="1" applyAlignment="1"/>
    <xf numFmtId="4" fontId="24" fillId="0" borderId="37" xfId="0" applyNumberFormat="1" applyFont="1" applyBorder="1" applyAlignment="1"/>
    <xf numFmtId="4" fontId="24" fillId="0" borderId="0" xfId="0" applyNumberFormat="1" applyFont="1" applyAlignment="1"/>
    <xf numFmtId="4" fontId="23" fillId="0" borderId="8" xfId="0" applyNumberFormat="1" applyFont="1" applyBorder="1" applyAlignment="1">
      <alignment horizontal="right"/>
    </xf>
    <xf numFmtId="4" fontId="23" fillId="0" borderId="21" xfId="0" applyNumberFormat="1" applyFont="1" applyBorder="1" applyAlignment="1">
      <alignment horizontal="right"/>
    </xf>
    <xf numFmtId="4" fontId="23" fillId="0" borderId="5" xfId="0" applyNumberFormat="1" applyFont="1" applyBorder="1" applyAlignment="1"/>
    <xf numFmtId="4" fontId="23" fillId="0" borderId="35" xfId="0" applyNumberFormat="1" applyFont="1" applyBorder="1" applyAlignment="1"/>
    <xf numFmtId="4" fontId="23" fillId="0" borderId="0" xfId="0" applyNumberFormat="1" applyFont="1" applyAlignment="1"/>
    <xf numFmtId="4" fontId="21" fillId="0" borderId="38" xfId="0" applyNumberFormat="1" applyFont="1" applyBorder="1" applyAlignment="1">
      <alignment horizontal="right"/>
    </xf>
    <xf numFmtId="4" fontId="21" fillId="0" borderId="16" xfId="0" applyNumberFormat="1" applyFont="1" applyBorder="1" applyAlignment="1">
      <alignment horizontal="right"/>
    </xf>
    <xf numFmtId="166" fontId="21" fillId="0" borderId="25" xfId="0" applyNumberFormat="1" applyFont="1" applyBorder="1" applyAlignment="1"/>
    <xf numFmtId="166" fontId="21" fillId="0" borderId="39" xfId="0" applyNumberFormat="1" applyFont="1" applyBorder="1" applyAlignment="1"/>
    <xf numFmtId="49" fontId="21" fillId="14" borderId="5" xfId="0" applyNumberFormat="1" applyFont="1" applyFill="1" applyBorder="1" applyAlignment="1" applyProtection="1">
      <protection locked="0"/>
    </xf>
    <xf numFmtId="49" fontId="21" fillId="14" borderId="35" xfId="0" applyNumberFormat="1" applyFont="1" applyFill="1" applyBorder="1" applyAlignment="1" applyProtection="1">
      <protection locked="0"/>
    </xf>
    <xf numFmtId="49" fontId="21" fillId="14" borderId="21" xfId="0" applyNumberFormat="1" applyFont="1" applyFill="1" applyBorder="1" applyAlignment="1" applyProtection="1">
      <protection locked="0"/>
    </xf>
    <xf numFmtId="49" fontId="21" fillId="14" borderId="26" xfId="0" applyNumberFormat="1" applyFont="1" applyFill="1" applyBorder="1" applyAlignment="1" applyProtection="1">
      <protection locked="0"/>
    </xf>
    <xf numFmtId="49" fontId="21" fillId="14" borderId="24" xfId="0" applyNumberFormat="1" applyFont="1" applyFill="1" applyBorder="1" applyAlignment="1" applyProtection="1">
      <protection locked="0"/>
    </xf>
    <xf numFmtId="49" fontId="21" fillId="14" borderId="37" xfId="0" applyNumberFormat="1" applyFont="1" applyFill="1" applyBorder="1" applyAlignment="1" applyProtection="1">
      <protection locked="0"/>
    </xf>
    <xf numFmtId="164" fontId="21" fillId="14" borderId="5" xfId="1" applyFont="1" applyFill="1" applyBorder="1" applyAlignment="1" applyProtection="1">
      <protection locked="0"/>
    </xf>
    <xf numFmtId="164" fontId="21" fillId="14" borderId="35" xfId="1" applyFont="1" applyFill="1" applyBorder="1" applyAlignment="1" applyProtection="1">
      <protection locked="0"/>
    </xf>
    <xf numFmtId="0" fontId="27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/>
    </xf>
  </cellXfs>
  <cellStyles count="3">
    <cellStyle name="Komma" xfId="2" builtinId="3"/>
    <cellStyle name="Standard" xfId="0" builtinId="0"/>
    <cellStyle name="Währung" xfId="1" builtinId="4"/>
  </cellStyles>
  <dxfs count="0"/>
  <tableStyles count="0" defaultTableStyle="TableStyleMedium2" defaultPivotStyle="PivotStyleLight16"/>
  <colors>
    <mruColors>
      <color rgb="FFF2F5BD"/>
      <color rgb="FFF8F9DB"/>
      <color rgb="FFFFCCFF"/>
      <color rgb="FF222C61"/>
      <color rgb="FFFAC6FB"/>
      <color rgb="FFFFEE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8328-AB31-8A40-A83D-8ED58DE51F49}">
  <sheetPr codeName="Blad3">
    <tabColor rgb="FF00B050"/>
  </sheetPr>
  <dimension ref="A1:K46"/>
  <sheetViews>
    <sheetView zoomScale="85" zoomScaleNormal="85" workbookViewId="0">
      <selection activeCell="F27" sqref="F27:F28"/>
    </sheetView>
  </sheetViews>
  <sheetFormatPr defaultColWidth="10.7109375" defaultRowHeight="15"/>
  <cols>
    <col min="1" max="1" width="13.28515625" style="87" customWidth="1"/>
    <col min="2" max="2" width="49.28515625" style="87" customWidth="1"/>
    <col min="3" max="3" width="11" style="87" bestFit="1" customWidth="1"/>
    <col min="4" max="4" width="10.7109375" style="87"/>
    <col min="5" max="5" width="21.28515625" style="87" customWidth="1"/>
    <col min="6" max="6" width="10.7109375" style="87"/>
    <col min="7" max="7" width="20.28515625" style="87" customWidth="1"/>
    <col min="8" max="8" width="10.7109375" style="87" hidden="1" customWidth="1"/>
    <col min="9" max="16384" width="10.7109375" style="87"/>
  </cols>
  <sheetData>
    <row r="1" spans="1:11" ht="19.5" thickBot="1">
      <c r="A1" s="169" t="s">
        <v>0</v>
      </c>
      <c r="B1" s="170"/>
      <c r="C1" s="170"/>
      <c r="D1" s="170"/>
      <c r="E1" s="170"/>
      <c r="F1" s="204" t="s">
        <v>1</v>
      </c>
      <c r="G1" s="171"/>
      <c r="H1" s="86"/>
      <c r="I1" s="86"/>
      <c r="J1" s="86"/>
      <c r="K1" s="86"/>
    </row>
    <row r="2" spans="1:11" s="158" customFormat="1">
      <c r="A2" s="159"/>
      <c r="B2" s="157"/>
      <c r="C2" s="157"/>
      <c r="D2" s="157"/>
      <c r="E2" s="157"/>
      <c r="F2" s="157"/>
      <c r="G2" s="160"/>
    </row>
    <row r="3" spans="1:11" s="158" customFormat="1">
      <c r="A3" s="161" t="s">
        <v>2</v>
      </c>
      <c r="G3" s="162"/>
    </row>
    <row r="4" spans="1:11" s="158" customFormat="1">
      <c r="A4" s="161" t="s">
        <v>3</v>
      </c>
      <c r="G4" s="162"/>
    </row>
    <row r="5" spans="1:11">
      <c r="A5" s="161" t="s">
        <v>4</v>
      </c>
      <c r="B5" s="92"/>
      <c r="D5" s="168"/>
      <c r="E5" s="168"/>
      <c r="F5" s="168"/>
      <c r="G5" s="164"/>
      <c r="H5" s="91"/>
      <c r="I5" s="92"/>
      <c r="J5" s="92"/>
      <c r="K5" s="92"/>
    </row>
    <row r="6" spans="1:11">
      <c r="A6" t="s">
        <v>5</v>
      </c>
      <c r="B6" s="92"/>
      <c r="C6" s="168"/>
      <c r="D6" s="168"/>
      <c r="E6" s="168"/>
      <c r="F6" s="168"/>
      <c r="G6" s="164"/>
      <c r="H6" s="91"/>
      <c r="I6" s="92"/>
      <c r="J6" s="92"/>
      <c r="K6" s="92"/>
    </row>
    <row r="7" spans="1:11">
      <c r="A7" s="163"/>
      <c r="B7" s="92"/>
      <c r="C7" s="168"/>
      <c r="D7" s="168"/>
      <c r="E7" s="168"/>
      <c r="F7" s="168"/>
      <c r="G7" s="164"/>
      <c r="H7" s="91"/>
      <c r="I7" s="92"/>
      <c r="J7" s="92"/>
      <c r="K7" s="92"/>
    </row>
    <row r="8" spans="1:11" ht="15.75" thickBot="1">
      <c r="A8" s="165"/>
      <c r="B8" s="166"/>
      <c r="C8" s="166"/>
      <c r="D8" s="166"/>
      <c r="E8" s="166"/>
      <c r="F8" s="166"/>
      <c r="G8" s="167"/>
      <c r="H8" s="89"/>
      <c r="I8" s="92"/>
      <c r="J8" s="92"/>
      <c r="K8" s="92"/>
    </row>
    <row r="9" spans="1:11">
      <c r="A9" s="183" t="s">
        <v>6</v>
      </c>
      <c r="B9" s="184"/>
      <c r="C9" s="184"/>
      <c r="D9" s="184"/>
      <c r="E9" s="184"/>
      <c r="F9" s="184"/>
      <c r="G9" s="185"/>
      <c r="H9" s="89"/>
      <c r="I9" s="90"/>
      <c r="J9" s="90"/>
      <c r="K9" s="90"/>
    </row>
    <row r="10" spans="1:11">
      <c r="A10" s="186" t="s">
        <v>7</v>
      </c>
      <c r="B10" s="181"/>
      <c r="C10" s="187" t="s">
        <v>8</v>
      </c>
      <c r="D10" s="188"/>
      <c r="E10" s="187" t="s">
        <v>9</v>
      </c>
      <c r="F10" s="245"/>
      <c r="G10" s="246"/>
      <c r="H10" s="89"/>
      <c r="I10" s="90"/>
      <c r="J10" s="90"/>
      <c r="K10" s="90"/>
    </row>
    <row r="11" spans="1:11">
      <c r="A11" s="189" t="s">
        <v>10</v>
      </c>
      <c r="B11" s="182"/>
      <c r="C11" s="190"/>
      <c r="D11" s="190"/>
      <c r="E11" s="190"/>
      <c r="F11" s="190"/>
      <c r="G11" s="191"/>
      <c r="H11" s="89"/>
      <c r="I11" s="90"/>
      <c r="J11" s="90"/>
      <c r="K11" s="90"/>
    </row>
    <row r="12" spans="1:11">
      <c r="A12" s="192"/>
      <c r="B12" s="190"/>
      <c r="C12" s="190"/>
      <c r="D12" s="190"/>
      <c r="E12" s="190"/>
      <c r="F12" s="190"/>
      <c r="G12" s="191"/>
      <c r="H12" s="89"/>
      <c r="I12" s="90"/>
      <c r="J12" s="90"/>
      <c r="K12" s="90"/>
    </row>
    <row r="13" spans="1:11">
      <c r="A13" s="193" t="s">
        <v>11</v>
      </c>
      <c r="B13" s="190"/>
      <c r="C13" s="190"/>
      <c r="D13" s="190"/>
      <c r="E13" s="190"/>
      <c r="F13" s="190"/>
      <c r="G13" s="191"/>
      <c r="H13" s="89"/>
      <c r="I13" s="90"/>
      <c r="J13" s="90"/>
      <c r="K13" s="90"/>
    </row>
    <row r="14" spans="1:11">
      <c r="A14" s="186" t="s">
        <v>12</v>
      </c>
      <c r="B14" s="245"/>
      <c r="C14" s="247"/>
      <c r="D14" s="247"/>
      <c r="E14" s="247"/>
      <c r="F14" s="247"/>
      <c r="G14" s="246"/>
      <c r="H14" s="89"/>
      <c r="I14" s="90"/>
      <c r="J14" s="90"/>
      <c r="K14" s="90"/>
    </row>
    <row r="15" spans="1:11">
      <c r="A15" s="189" t="s">
        <v>13</v>
      </c>
      <c r="B15" s="245"/>
      <c r="C15" s="247"/>
      <c r="D15" s="247"/>
      <c r="E15" s="247"/>
      <c r="F15" s="247"/>
      <c r="G15" s="246"/>
      <c r="H15" s="89"/>
      <c r="I15" s="90"/>
      <c r="J15" s="90"/>
      <c r="K15" s="90"/>
    </row>
    <row r="16" spans="1:11">
      <c r="A16" s="186" t="s">
        <v>14</v>
      </c>
      <c r="B16" s="245"/>
      <c r="C16" s="247"/>
      <c r="D16" s="247"/>
      <c r="E16" s="247"/>
      <c r="F16" s="247"/>
      <c r="G16" s="246"/>
      <c r="H16" s="89"/>
      <c r="I16" s="90"/>
      <c r="J16" s="90"/>
      <c r="K16" s="90"/>
    </row>
    <row r="17" spans="1:11" ht="15.75" thickBot="1">
      <c r="A17" s="186"/>
      <c r="B17" s="248"/>
      <c r="C17" s="249"/>
      <c r="D17" s="249"/>
      <c r="E17" s="249"/>
      <c r="F17" s="249"/>
      <c r="G17" s="250"/>
      <c r="H17" s="89"/>
      <c r="I17" s="90"/>
      <c r="J17" s="90"/>
      <c r="K17" s="90"/>
    </row>
    <row r="18" spans="1:11" ht="15.75" thickBot="1">
      <c r="A18" s="174"/>
      <c r="B18" s="92"/>
      <c r="C18" s="92"/>
      <c r="D18" s="92"/>
      <c r="E18" s="92"/>
      <c r="F18" s="92"/>
      <c r="G18" s="164"/>
      <c r="H18" s="89"/>
      <c r="I18" s="92"/>
      <c r="J18" s="92"/>
      <c r="K18" s="92"/>
    </row>
    <row r="19" spans="1:11">
      <c r="A19" s="241" t="s">
        <v>15</v>
      </c>
      <c r="B19" s="242"/>
      <c r="C19" s="242"/>
      <c r="D19" s="242"/>
      <c r="E19" s="242"/>
      <c r="F19" s="243" t="str">
        <f>IF(SUM(F27:F45)=0,"",H19*Aufwand!C2)</f>
        <v/>
      </c>
      <c r="G19" s="244"/>
      <c r="H19" s="93" t="str">
        <f>IF(SUM(F27:F44)=0,"",SUM(G27:G44))</f>
        <v/>
      </c>
      <c r="I19" s="90"/>
      <c r="J19" s="228"/>
      <c r="K19" s="228"/>
    </row>
    <row r="20" spans="1:11">
      <c r="A20" s="224" t="s">
        <v>16</v>
      </c>
      <c r="B20" s="225"/>
      <c r="C20" s="225"/>
      <c r="D20" s="225"/>
      <c r="E20" s="225"/>
      <c r="F20" s="229"/>
      <c r="G20" s="230"/>
      <c r="H20" s="89"/>
      <c r="I20" s="90"/>
      <c r="J20" s="228"/>
      <c r="K20" s="228"/>
    </row>
    <row r="21" spans="1:11">
      <c r="A21" s="224" t="s">
        <v>17</v>
      </c>
      <c r="B21" s="225"/>
      <c r="C21" s="225"/>
      <c r="D21" s="225"/>
      <c r="E21" s="225"/>
      <c r="F21" s="226"/>
      <c r="G21" s="227"/>
      <c r="H21" s="89"/>
      <c r="I21" s="90"/>
      <c r="J21" s="228"/>
      <c r="K21" s="228"/>
    </row>
    <row r="22" spans="1:11">
      <c r="A22" s="224" t="s">
        <v>18</v>
      </c>
      <c r="B22" s="225"/>
      <c r="C22" s="225"/>
      <c r="D22" s="225"/>
      <c r="E22" s="225"/>
      <c r="F22" s="226"/>
      <c r="G22" s="227"/>
      <c r="H22" s="89"/>
      <c r="I22" s="90"/>
      <c r="J22" s="228"/>
      <c r="K22" s="228"/>
    </row>
    <row r="23" spans="1:11">
      <c r="A23" s="236" t="s">
        <v>19</v>
      </c>
      <c r="B23" s="237"/>
      <c r="C23" s="237"/>
      <c r="D23" s="237"/>
      <c r="E23" s="237"/>
      <c r="F23" s="238" t="str">
        <f>IF(F24="","",F24-(F24/1.19))</f>
        <v/>
      </c>
      <c r="G23" s="239"/>
      <c r="H23" s="89"/>
      <c r="I23" s="90"/>
      <c r="J23" s="240"/>
      <c r="K23" s="240"/>
    </row>
    <row r="24" spans="1:11" ht="16.5" customHeight="1" thickBot="1">
      <c r="A24" s="231" t="s">
        <v>20</v>
      </c>
      <c r="B24" s="232"/>
      <c r="C24" s="94"/>
      <c r="D24" s="94"/>
      <c r="E24" s="96" t="s">
        <v>21</v>
      </c>
      <c r="F24" s="233" t="str">
        <f>IF(F19="","",SUM(F19:F22))</f>
        <v/>
      </c>
      <c r="G24" s="234"/>
      <c r="H24" s="89"/>
      <c r="I24" s="90"/>
      <c r="J24" s="235"/>
      <c r="K24" s="235"/>
    </row>
    <row r="25" spans="1:11">
      <c r="A25" s="174"/>
      <c r="B25" s="92"/>
      <c r="C25" s="92"/>
      <c r="D25" s="92"/>
      <c r="E25" s="92"/>
      <c r="F25" s="92"/>
      <c r="G25" s="164"/>
      <c r="H25" s="89"/>
      <c r="I25" s="92"/>
      <c r="J25" s="92"/>
      <c r="K25" s="92"/>
    </row>
    <row r="26" spans="1:11">
      <c r="A26" s="175" t="s">
        <v>22</v>
      </c>
      <c r="B26" s="176" t="s">
        <v>23</v>
      </c>
      <c r="C26" s="177" t="s">
        <v>24</v>
      </c>
      <c r="D26" s="177" t="s">
        <v>25</v>
      </c>
      <c r="E26" s="177" t="s">
        <v>26</v>
      </c>
      <c r="F26" s="177" t="s">
        <v>27</v>
      </c>
      <c r="G26" s="178" t="s">
        <v>15</v>
      </c>
      <c r="H26" s="89"/>
      <c r="I26" s="90"/>
      <c r="J26" s="90"/>
      <c r="K26" s="90"/>
    </row>
    <row r="27" spans="1:11">
      <c r="A27" s="195">
        <v>1101922</v>
      </c>
      <c r="B27" s="196" t="str">
        <f>VLOOKUP(A27,Ersatzteilpreiseliste!A:C,3,FALSE)</f>
        <v>Ersatzteil - Prallbügel ARB Komplett - Axkid One</v>
      </c>
      <c r="C27" s="197">
        <f>VLOOKUP(A27,Ersatzteilpreiseliste!A:F,6,FALSE)</f>
        <v>156</v>
      </c>
      <c r="D27" s="103" t="s">
        <v>28</v>
      </c>
      <c r="E27" s="95">
        <f>VLOOKUP(A27,Ersatzteilpreiseliste!A:R,18,FALSE)</f>
        <v>7350057584811</v>
      </c>
      <c r="F27" s="198"/>
      <c r="G27" s="194" t="str">
        <f>IF(F27="","",H27)</f>
        <v/>
      </c>
      <c r="H27" s="89">
        <v>3</v>
      </c>
      <c r="I27" s="90"/>
      <c r="J27" s="90"/>
      <c r="K27" s="90"/>
    </row>
    <row r="28" spans="1:11">
      <c r="A28" s="199">
        <v>1101924</v>
      </c>
      <c r="B28" s="196" t="str">
        <f>VLOOKUP(A28,Ersatzteilpreiseliste!A:C,3,FALSE)</f>
        <v>Ersatzteil - Spieldose Stützfuß - Axkid One</v>
      </c>
      <c r="C28" s="197">
        <f>VLOOKUP(A28,Ersatzteilpreiseliste!A:F,6,FALSE)</f>
        <v>24</v>
      </c>
      <c r="D28" s="103" t="s">
        <v>28</v>
      </c>
      <c r="E28" s="95">
        <f>VLOOKUP(A28,Ersatzteilpreiseliste!A:R,18,FALSE)</f>
        <v>7350057584828</v>
      </c>
      <c r="F28" s="198"/>
      <c r="G28" s="194" t="str">
        <f t="shared" ref="G28:G45" si="0">IF(F28="","",H28)</f>
        <v/>
      </c>
      <c r="H28" s="89">
        <v>1</v>
      </c>
      <c r="I28" s="90"/>
      <c r="J28" s="90"/>
      <c r="K28" s="90"/>
    </row>
    <row r="29" spans="1:11">
      <c r="A29" s="199">
        <v>1101926</v>
      </c>
      <c r="B29" s="196" t="str">
        <f>VLOOKUP(A29,Ersatzteilpreiseliste!A:C,3,FALSE)</f>
        <v>Ersatzteil - Styropor Kopfstütze - Axkid One</v>
      </c>
      <c r="C29" s="197">
        <f>VLOOKUP(A29,Ersatzteilpreiseliste!A:F,6,FALSE)</f>
        <v>48</v>
      </c>
      <c r="D29" s="103" t="s">
        <v>28</v>
      </c>
      <c r="E29" s="95">
        <f>VLOOKUP(A29,Ersatzteilpreiseliste!A:R,18,FALSE)</f>
        <v>7350057584842</v>
      </c>
      <c r="F29" s="198"/>
      <c r="G29" s="194" t="str">
        <f t="shared" si="0"/>
        <v/>
      </c>
      <c r="H29" s="89">
        <v>1</v>
      </c>
      <c r="I29" s="90"/>
      <c r="J29" s="90"/>
      <c r="K29" s="90"/>
    </row>
    <row r="30" spans="1:11">
      <c r="A30" s="195">
        <v>1103019</v>
      </c>
      <c r="B30" s="196" t="str">
        <f>VLOOKUP(A30,Ersatzteilpreiseliste!A:C,3,FALSE)</f>
        <v xml:space="preserve">Ersatzteil - Abdeckung Stützfuß 2021- Axkid One </v>
      </c>
      <c r="C30" s="197">
        <f>VLOOKUP(A30,Ersatzteilpreiseliste!A:F,6,FALSE)</f>
        <v>8</v>
      </c>
      <c r="D30" s="103" t="s">
        <v>28</v>
      </c>
      <c r="E30" s="95">
        <f>VLOOKUP(A30,Ersatzteilpreiseliste!A:R,18,FALSE)</f>
        <v>7350057586464</v>
      </c>
      <c r="F30" s="198"/>
      <c r="G30" s="194" t="str">
        <f t="shared" si="0"/>
        <v/>
      </c>
      <c r="H30" s="89">
        <v>1</v>
      </c>
      <c r="I30" s="90"/>
      <c r="J30" s="90"/>
      <c r="K30" s="90"/>
    </row>
    <row r="31" spans="1:11">
      <c r="A31" s="195">
        <v>1103028</v>
      </c>
      <c r="B31" s="196" t="str">
        <f>VLOOKUP(A31,Ersatzteilpreiseliste!A:C,3,FALSE)</f>
        <v>Ersatzteil - ISOFIX Abstandhalter LH [10stk] - Axkid One</v>
      </c>
      <c r="C31" s="197">
        <f>VLOOKUP(A31,Ersatzteilpreiseliste!A:F,6,FALSE)</f>
        <v>42</v>
      </c>
      <c r="D31" s="103" t="s">
        <v>28</v>
      </c>
      <c r="E31" s="95">
        <f>VLOOKUP(A31,Ersatzteilpreiseliste!A:R,18,FALSE)</f>
        <v>7350057586501</v>
      </c>
      <c r="F31" s="198"/>
      <c r="G31" s="194" t="str">
        <f t="shared" si="0"/>
        <v/>
      </c>
      <c r="H31" s="89">
        <v>1</v>
      </c>
      <c r="I31" s="90"/>
      <c r="J31" s="90"/>
      <c r="K31" s="90"/>
    </row>
    <row r="32" spans="1:11">
      <c r="A32" s="195">
        <v>1103031</v>
      </c>
      <c r="B32" s="196" t="str">
        <f>VLOOKUP(A32,Ersatzteilpreiseliste!A:C,3,FALSE)</f>
        <v>Ersatzteil - ISOFIX Abstandhalter RH [10stk] - Axkid One</v>
      </c>
      <c r="C32" s="197">
        <f>VLOOKUP(A32,Ersatzteilpreiseliste!A:F,6,FALSE)</f>
        <v>42</v>
      </c>
      <c r="D32" s="103" t="s">
        <v>28</v>
      </c>
      <c r="E32" s="95">
        <f>VLOOKUP(A32,Ersatzteilpreiseliste!A:R,18,FALSE)</f>
        <v>7350057586525</v>
      </c>
      <c r="F32" s="198"/>
      <c r="G32" s="194" t="str">
        <f t="shared" si="0"/>
        <v/>
      </c>
      <c r="H32" s="89">
        <v>1</v>
      </c>
      <c r="I32" s="90"/>
      <c r="J32" s="90"/>
      <c r="K32" s="90"/>
    </row>
    <row r="33" spans="1:11">
      <c r="A33" s="200">
        <v>1102859</v>
      </c>
      <c r="B33" s="196" t="str">
        <f>VLOOKUP(A33,Ersatzteilpreiseliste!A:C,3,FALSE)</f>
        <v xml:space="preserve">Ersatzteil - ASIP Befestigung (LH+RH) - Axkid One </v>
      </c>
      <c r="C33" s="197">
        <f>VLOOKUP(A33,Ersatzteilpreiseliste!A:F,6,FALSE)</f>
        <v>12</v>
      </c>
      <c r="D33" s="103" t="s">
        <v>28</v>
      </c>
      <c r="E33" s="95">
        <f>VLOOKUP(A33,Ersatzteilpreiseliste!A:R,18,FALSE)</f>
        <v>7350057586426</v>
      </c>
      <c r="F33" s="198"/>
      <c r="G33" s="194" t="str">
        <f t="shared" si="0"/>
        <v/>
      </c>
      <c r="H33" s="89">
        <v>2</v>
      </c>
      <c r="I33" s="90"/>
      <c r="J33" s="90"/>
      <c r="K33" s="90"/>
    </row>
    <row r="34" spans="1:11">
      <c r="A34" s="200">
        <v>1103021</v>
      </c>
      <c r="B34" s="196" t="str">
        <f>VLOOKUP(A34,Ersatzteilpreiseliste!A:C,3,FALSE)</f>
        <v>Ersatzteil - Werkzeug ASIP - Axkid One</v>
      </c>
      <c r="C34" s="197">
        <f>VLOOKUP(A34,Ersatzteilpreiseliste!A:F,6,FALSE)</f>
        <v>18</v>
      </c>
      <c r="D34" s="103" t="s">
        <v>28</v>
      </c>
      <c r="E34" s="95"/>
      <c r="F34" s="198"/>
      <c r="G34" s="194" t="str">
        <f t="shared" si="0"/>
        <v/>
      </c>
      <c r="H34" s="89">
        <v>2</v>
      </c>
      <c r="I34" s="90"/>
      <c r="J34" s="90"/>
      <c r="K34" s="90"/>
    </row>
    <row r="35" spans="1:11">
      <c r="A35" s="195">
        <v>1101934</v>
      </c>
      <c r="B35" s="196" t="str">
        <f>VLOOKUP(A35,Ersatzteilpreiseliste!A:C,3,FALSE)</f>
        <v xml:space="preserve">Ersatzteil - Halterung Seitenabdeckung - Axkid One </v>
      </c>
      <c r="C35" s="197">
        <f>VLOOKUP(A35,Ersatzteilpreiseliste!A:F,6,FALSE)</f>
        <v>6</v>
      </c>
      <c r="D35" s="103" t="s">
        <v>28</v>
      </c>
      <c r="E35" s="95">
        <f>VLOOKUP(A35,Ersatzteilpreiseliste!A:R,18,FALSE)</f>
        <v>7350057584927</v>
      </c>
      <c r="F35" s="198"/>
      <c r="G35" s="194" t="str">
        <f t="shared" si="0"/>
        <v/>
      </c>
      <c r="H35" s="89">
        <v>2</v>
      </c>
      <c r="I35" s="90"/>
      <c r="J35" s="90"/>
      <c r="K35" s="90"/>
    </row>
    <row r="36" spans="1:11">
      <c r="A36" s="199">
        <v>1101927</v>
      </c>
      <c r="B36" s="196" t="str">
        <f>VLOOKUP(A36,Ersatzteilpreiseliste!A:C,3,FALSE)</f>
        <v>Ersatzteil - Verstellung Kopfstütze - Axkid One</v>
      </c>
      <c r="C36" s="197">
        <f>VLOOKUP(A36,Ersatzteilpreiseliste!A:F,6,FALSE)</f>
        <v>10</v>
      </c>
      <c r="D36" s="103" t="s">
        <v>28</v>
      </c>
      <c r="E36" s="95">
        <f>VLOOKUP(A36,Ersatzteilpreiseliste!A:R,18,FALSE)</f>
        <v>7350057584859</v>
      </c>
      <c r="F36" s="198"/>
      <c r="G36" s="194" t="str">
        <f t="shared" si="0"/>
        <v/>
      </c>
      <c r="H36" s="89">
        <v>4</v>
      </c>
      <c r="I36" s="90"/>
      <c r="J36" s="90"/>
      <c r="K36" s="90"/>
    </row>
    <row r="37" spans="1:11">
      <c r="A37" s="199">
        <v>1101925</v>
      </c>
      <c r="B37" s="196" t="str">
        <f>VLOOKUP(A37,Ersatzteilpreiseliste!A:C,3,FALSE)</f>
        <v>Ersatzteil - Drehknopf Prallbügel - Axkid One</v>
      </c>
      <c r="C37" s="197">
        <f>VLOOKUP(A37,Ersatzteilpreiseliste!A:F,6,FALSE)</f>
        <v>6</v>
      </c>
      <c r="D37" s="103" t="s">
        <v>28</v>
      </c>
      <c r="E37" s="95">
        <f>VLOOKUP(A37,Ersatzteilpreiseliste!A:R,18,FALSE)</f>
        <v>7350057584835</v>
      </c>
      <c r="F37" s="198"/>
      <c r="G37" s="194" t="str">
        <f t="shared" si="0"/>
        <v/>
      </c>
      <c r="H37" s="89">
        <v>1</v>
      </c>
      <c r="I37" s="90"/>
      <c r="J37" s="90"/>
      <c r="K37" s="90"/>
    </row>
    <row r="38" spans="1:11">
      <c r="A38" s="199">
        <v>1103343</v>
      </c>
      <c r="B38" s="196" t="str">
        <f>VLOOKUP(A38,Ersatzteilpreiseliste!A:C,3,FALSE)</f>
        <v xml:space="preserve">Ersatzteil - Recline Busching &amp; Stop Screw - Axkid One </v>
      </c>
      <c r="C38" s="197">
        <f>VLOOKUP(A38,Ersatzteilpreiseliste!A:F,6,FALSE)</f>
        <v>6</v>
      </c>
      <c r="D38" s="103" t="s">
        <v>28</v>
      </c>
      <c r="E38" s="95">
        <f>VLOOKUP(A38,Ersatzteilpreiseliste!A:R,18,FALSE)</f>
        <v>7350057586792</v>
      </c>
      <c r="F38" s="198"/>
      <c r="G38" s="194" t="str">
        <f t="shared" si="0"/>
        <v/>
      </c>
      <c r="H38" s="89">
        <v>3</v>
      </c>
      <c r="I38" s="90"/>
      <c r="J38" s="90"/>
      <c r="K38" s="90"/>
    </row>
    <row r="39" spans="1:11" ht="15.6" customHeight="1">
      <c r="A39" s="199">
        <v>1101933</v>
      </c>
      <c r="B39" s="196" t="str">
        <f>VLOOKUP(A39,Ersatzteilpreiseliste!A:C,3,FALSE)</f>
        <v xml:space="preserve">Ersatzteil - Seitenabdeckung - Axkid One </v>
      </c>
      <c r="C39" s="197">
        <f>VLOOKUP(A39,Ersatzteilpreiseliste!A:F,6,FALSE)</f>
        <v>6</v>
      </c>
      <c r="D39" s="103" t="s">
        <v>28</v>
      </c>
      <c r="E39" s="95">
        <f>VLOOKUP(A39,Ersatzteilpreiseliste!A:R,18,FALSE)</f>
        <v>7350057584910</v>
      </c>
      <c r="F39" s="198"/>
      <c r="G39" s="194" t="str">
        <f t="shared" si="0"/>
        <v/>
      </c>
      <c r="H39" s="89">
        <v>2</v>
      </c>
      <c r="I39" s="90"/>
      <c r="J39" s="90"/>
      <c r="K39" s="90"/>
    </row>
    <row r="40" spans="1:11" ht="15.6" customHeight="1">
      <c r="A40" s="201">
        <v>1101936</v>
      </c>
      <c r="B40" s="196" t="str">
        <f>VLOOKUP(A40,Ersatzteilpreiseliste!A:C,3,FALSE)</f>
        <v xml:space="preserve">Ersatzteil - 5 Punkt Gurtsystem - Axkid One </v>
      </c>
      <c r="C40" s="197">
        <f>VLOOKUP(A40,Ersatzteilpreiseliste!A:F,6,FALSE)</f>
        <v>58</v>
      </c>
      <c r="D40" s="103" t="s">
        <v>28</v>
      </c>
      <c r="E40" s="95">
        <f>VLOOKUP(A40,Ersatzteilpreiseliste!A:R,18,FALSE)</f>
        <v>7350057584941</v>
      </c>
      <c r="F40" s="198"/>
      <c r="G40" s="194" t="str">
        <f t="shared" si="0"/>
        <v/>
      </c>
      <c r="H40" s="89">
        <v>4</v>
      </c>
      <c r="I40" s="90"/>
      <c r="J40" s="90"/>
      <c r="K40" s="90"/>
    </row>
    <row r="41" spans="1:11">
      <c r="A41" s="199">
        <v>1101987</v>
      </c>
      <c r="B41" s="196" t="str">
        <f>VLOOKUP(A41,Ersatzteilpreiseliste!A:C,3,FALSE)</f>
        <v xml:space="preserve">Ersatzteil - Aufkleber - Axkid One </v>
      </c>
      <c r="C41" s="197">
        <f>VLOOKUP(A41,Ersatzteilpreiseliste!A:F,6,FALSE)</f>
        <v>6</v>
      </c>
      <c r="D41" s="103" t="s">
        <v>28</v>
      </c>
      <c r="E41" s="95">
        <f>VLOOKUP(A41,Ersatzteilpreiseliste!A:R,18,FALSE)</f>
        <v>7350057584965</v>
      </c>
      <c r="F41" s="198"/>
      <c r="G41" s="194" t="str">
        <f t="shared" si="0"/>
        <v/>
      </c>
      <c r="H41" s="89">
        <v>1</v>
      </c>
      <c r="I41" s="90"/>
      <c r="J41" s="90"/>
      <c r="K41" s="90"/>
    </row>
    <row r="42" spans="1:11">
      <c r="A42" s="199">
        <v>1101928</v>
      </c>
      <c r="B42" s="196" t="str">
        <f>VLOOKUP(A42,Ersatzteilpreiseliste!A:C,3,FALSE)</f>
        <v xml:space="preserve">Ersatzteil - Verstellknopf Stützfuß - Axkid One </v>
      </c>
      <c r="C42" s="197">
        <f>VLOOKUP(A42,Ersatzteilpreiseliste!A:F,6,FALSE)</f>
        <v>6</v>
      </c>
      <c r="D42" s="103" t="s">
        <v>28</v>
      </c>
      <c r="E42" s="95">
        <f>VLOOKUP(A42,Ersatzteilpreiseliste!A:R,18,FALSE)</f>
        <v>7350057584866</v>
      </c>
      <c r="F42" s="198"/>
      <c r="G42" s="194" t="str">
        <f t="shared" si="0"/>
        <v/>
      </c>
      <c r="H42" s="89">
        <v>1</v>
      </c>
      <c r="I42" s="90"/>
      <c r="J42" s="90"/>
      <c r="K42" s="90"/>
    </row>
    <row r="43" spans="1:11">
      <c r="A43" s="199">
        <v>1103295</v>
      </c>
      <c r="B43" s="196" t="str">
        <f>VLOOKUP(A43,Ersatzteilpreiseliste!A:C,3,FALSE)</f>
        <v>Harness Friction Decrease - Axkid One</v>
      </c>
      <c r="C43" s="197"/>
      <c r="D43" s="103" t="s">
        <v>28</v>
      </c>
      <c r="E43" s="95"/>
      <c r="F43" s="198"/>
      <c r="G43" s="194" t="str">
        <f t="shared" si="0"/>
        <v/>
      </c>
      <c r="H43" s="89">
        <v>1</v>
      </c>
      <c r="I43" s="90"/>
      <c r="J43" s="90"/>
      <c r="K43" s="90"/>
    </row>
    <row r="44" spans="1:11">
      <c r="A44" s="195">
        <v>1101935</v>
      </c>
      <c r="B44" s="196" t="str">
        <f>VLOOKUP(A44,Ersatzteilpreiseliste!A:C,3,FALSE)</f>
        <v xml:space="preserve">Ersatzteil - Klettverschluss - Axkid One  </v>
      </c>
      <c r="C44" s="197">
        <f>VLOOKUP(A44,Ersatzteilpreiseliste!A:F,6,FALSE)</f>
        <v>6</v>
      </c>
      <c r="D44" s="103" t="s">
        <v>28</v>
      </c>
      <c r="E44" s="95">
        <f>VLOOKUP(A44,Ersatzteilpreiseliste!A:R,18,FALSE)</f>
        <v>7350057584873</v>
      </c>
      <c r="F44" s="198"/>
      <c r="G44" s="194" t="str">
        <f t="shared" si="0"/>
        <v/>
      </c>
      <c r="H44" s="89">
        <v>1</v>
      </c>
      <c r="I44" s="90"/>
      <c r="J44" s="90"/>
      <c r="K44" s="90"/>
    </row>
    <row r="45" spans="1:11" ht="15.75" thickBot="1">
      <c r="A45" s="217"/>
      <c r="B45" s="218"/>
      <c r="C45" s="220"/>
      <c r="D45" s="218"/>
      <c r="E45" s="219"/>
      <c r="F45" s="179"/>
      <c r="G45" s="180" t="str">
        <f t="shared" si="0"/>
        <v/>
      </c>
      <c r="H45" s="89"/>
      <c r="I45" s="90"/>
      <c r="J45" s="90"/>
      <c r="K45" s="90"/>
    </row>
    <row r="46" spans="1:11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</row>
  </sheetData>
  <sheetProtection algorithmName="SHA-512" hashValue="NuFlaqhZxPLlUn9+Wsyz8CerI9XFxsnHrnnm/WtKC0rA3UwlVRHChFND1guUZ5P9A1IcdRyES/hrg16S+yiHaA==" saltValue="MB7XC7uU8tKq1+tx991HCw==" spinCount="100000" sheet="1" selectLockedCells="1"/>
  <mergeCells count="23">
    <mergeCell ref="A19:E19"/>
    <mergeCell ref="F19:G19"/>
    <mergeCell ref="J19:K19"/>
    <mergeCell ref="F10:G10"/>
    <mergeCell ref="B14:G14"/>
    <mergeCell ref="B15:G15"/>
    <mergeCell ref="B16:G16"/>
    <mergeCell ref="B17:G17"/>
    <mergeCell ref="A24:B24"/>
    <mergeCell ref="F24:G24"/>
    <mergeCell ref="J24:K24"/>
    <mergeCell ref="F22:G22"/>
    <mergeCell ref="J22:K22"/>
    <mergeCell ref="A23:E23"/>
    <mergeCell ref="F23:G23"/>
    <mergeCell ref="J23:K23"/>
    <mergeCell ref="A21:E21"/>
    <mergeCell ref="F21:G21"/>
    <mergeCell ref="J21:K21"/>
    <mergeCell ref="A22:E22"/>
    <mergeCell ref="A20:E20"/>
    <mergeCell ref="F20:G20"/>
    <mergeCell ref="J20:K20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BC36-FFB6-4B90-B65E-94DA4002E84E}">
  <sheetPr codeName="Blad6">
    <tabColor rgb="FF00B050"/>
    <pageSetUpPr fitToPage="1"/>
  </sheetPr>
  <dimension ref="A1:LA46"/>
  <sheetViews>
    <sheetView tabSelected="1" topLeftCell="A19" zoomScale="85" zoomScaleNormal="85" workbookViewId="0">
      <selection activeCell="F31" sqref="F31"/>
    </sheetView>
  </sheetViews>
  <sheetFormatPr defaultColWidth="10.7109375" defaultRowHeight="15"/>
  <cols>
    <col min="1" max="1" width="16.42578125" style="72" customWidth="1"/>
    <col min="2" max="2" width="72.28515625" style="72" bestFit="1" customWidth="1"/>
    <col min="3" max="3" width="12.42578125" style="72" customWidth="1"/>
    <col min="4" max="5" width="18.42578125" style="72" customWidth="1"/>
    <col min="6" max="7" width="12.42578125" style="72" customWidth="1"/>
    <col min="8" max="8" width="10.7109375" style="72" hidden="1" customWidth="1"/>
    <col min="9" max="16384" width="10.7109375" style="72"/>
  </cols>
  <sheetData>
    <row r="1" spans="1:11" s="87" customFormat="1" ht="19.5" thickBot="1">
      <c r="A1" s="169" t="s">
        <v>0</v>
      </c>
      <c r="B1" s="170"/>
      <c r="C1" s="170"/>
      <c r="D1" s="170"/>
      <c r="E1" s="170"/>
      <c r="F1" s="204" t="s">
        <v>1</v>
      </c>
      <c r="G1" s="171"/>
      <c r="H1" s="86"/>
      <c r="I1" s="86"/>
      <c r="J1" s="86"/>
      <c r="K1" s="86"/>
    </row>
    <row r="2" spans="1:11" s="87" customFormat="1">
      <c r="A2" s="159"/>
      <c r="B2" s="157"/>
      <c r="C2" s="157"/>
      <c r="D2" s="157"/>
      <c r="E2" s="157"/>
      <c r="F2" s="157"/>
      <c r="G2" s="160"/>
      <c r="H2" s="89"/>
      <c r="I2" s="90"/>
      <c r="J2" s="90"/>
      <c r="K2" s="90"/>
    </row>
    <row r="3" spans="1:11" s="87" customFormat="1">
      <c r="A3" s="161" t="s">
        <v>2</v>
      </c>
      <c r="B3" s="158"/>
      <c r="C3" s="158"/>
      <c r="D3" s="158"/>
      <c r="E3" s="158"/>
      <c r="F3" s="158"/>
      <c r="G3" s="162"/>
      <c r="H3" s="89"/>
      <c r="I3" s="90"/>
      <c r="J3" s="90"/>
      <c r="K3" s="90"/>
    </row>
    <row r="4" spans="1:11" s="87" customFormat="1">
      <c r="A4" s="161" t="s">
        <v>3</v>
      </c>
      <c r="B4" s="158"/>
      <c r="C4" s="158"/>
      <c r="D4" s="158"/>
      <c r="E4" s="158"/>
      <c r="F4" s="158"/>
      <c r="G4" s="162"/>
      <c r="H4" s="91"/>
      <c r="I4" s="92"/>
      <c r="J4" s="92"/>
      <c r="K4" s="92"/>
    </row>
    <row r="5" spans="1:11" s="87" customFormat="1">
      <c r="A5" s="161" t="s">
        <v>4</v>
      </c>
      <c r="B5" s="92"/>
      <c r="D5" s="168"/>
      <c r="E5" s="168"/>
      <c r="F5" s="168"/>
      <c r="G5" s="164"/>
      <c r="H5" s="91"/>
      <c r="I5" s="92"/>
      <c r="J5" s="92"/>
      <c r="K5" s="92"/>
    </row>
    <row r="6" spans="1:11" s="87" customFormat="1">
      <c r="A6" t="s">
        <v>5</v>
      </c>
      <c r="B6" s="92"/>
      <c r="C6" s="168"/>
      <c r="D6" s="168"/>
      <c r="E6" s="168"/>
      <c r="F6" s="168"/>
      <c r="G6" s="164"/>
      <c r="H6" s="91"/>
      <c r="I6" s="92"/>
      <c r="J6" s="92"/>
      <c r="K6" s="92"/>
    </row>
    <row r="7" spans="1:11" s="87" customFormat="1">
      <c r="A7" s="163"/>
      <c r="B7" s="92"/>
      <c r="C7" s="168"/>
      <c r="D7" s="168"/>
      <c r="E7" s="168"/>
      <c r="F7" s="168"/>
      <c r="G7" s="164"/>
      <c r="H7" s="91"/>
      <c r="I7" s="92"/>
      <c r="J7" s="92"/>
      <c r="K7" s="92"/>
    </row>
    <row r="8" spans="1:11" s="87" customFormat="1" ht="15.75" thickBot="1">
      <c r="A8" s="165"/>
      <c r="B8" s="166"/>
      <c r="C8" s="166"/>
      <c r="D8" s="166"/>
      <c r="E8" s="166"/>
      <c r="F8" s="166"/>
      <c r="G8" s="167"/>
      <c r="H8" s="89"/>
      <c r="I8" s="92"/>
      <c r="J8" s="92"/>
      <c r="K8" s="92"/>
    </row>
    <row r="9" spans="1:11" s="87" customFormat="1">
      <c r="A9" s="183" t="s">
        <v>6</v>
      </c>
      <c r="B9" s="184"/>
      <c r="C9" s="184"/>
      <c r="D9" s="184"/>
      <c r="E9" s="184"/>
      <c r="F9" s="184"/>
      <c r="G9" s="185"/>
      <c r="H9" s="89"/>
      <c r="I9" s="90"/>
      <c r="J9" s="90"/>
      <c r="K9" s="90"/>
    </row>
    <row r="10" spans="1:11" s="87" customFormat="1">
      <c r="A10" s="186" t="s">
        <v>7</v>
      </c>
      <c r="B10" s="181"/>
      <c r="C10" s="187" t="s">
        <v>8</v>
      </c>
      <c r="D10" s="188"/>
      <c r="E10" s="187" t="s">
        <v>9</v>
      </c>
      <c r="F10" s="245"/>
      <c r="G10" s="246"/>
      <c r="H10" s="89"/>
      <c r="I10" s="90"/>
      <c r="J10" s="90"/>
      <c r="K10" s="90"/>
    </row>
    <row r="11" spans="1:11" s="87" customFormat="1">
      <c r="A11" s="189" t="s">
        <v>10</v>
      </c>
      <c r="B11" s="182"/>
      <c r="C11" s="190"/>
      <c r="D11" s="190"/>
      <c r="E11" s="190"/>
      <c r="F11" s="190"/>
      <c r="G11" s="191"/>
      <c r="H11" s="89"/>
      <c r="I11" s="90"/>
      <c r="J11" s="90"/>
      <c r="K11" s="90"/>
    </row>
    <row r="12" spans="1:11" s="87" customFormat="1">
      <c r="A12" s="192"/>
      <c r="B12" s="190"/>
      <c r="C12" s="190"/>
      <c r="D12" s="190"/>
      <c r="E12" s="190"/>
      <c r="F12" s="190"/>
      <c r="G12" s="191"/>
      <c r="H12" s="89"/>
      <c r="I12" s="90"/>
      <c r="J12" s="90"/>
      <c r="K12" s="90"/>
    </row>
    <row r="13" spans="1:11" s="87" customFormat="1">
      <c r="A13" s="193" t="s">
        <v>11</v>
      </c>
      <c r="B13" s="190"/>
      <c r="C13" s="190"/>
      <c r="D13" s="190"/>
      <c r="E13" s="190"/>
      <c r="F13" s="190"/>
      <c r="G13" s="191"/>
      <c r="H13" s="89"/>
      <c r="I13" s="90"/>
      <c r="J13" s="90"/>
      <c r="K13" s="90"/>
    </row>
    <row r="14" spans="1:11" s="87" customFormat="1">
      <c r="A14" s="186" t="s">
        <v>12</v>
      </c>
      <c r="B14" s="245"/>
      <c r="C14" s="247"/>
      <c r="D14" s="247"/>
      <c r="E14" s="247"/>
      <c r="F14" s="247"/>
      <c r="G14" s="246"/>
      <c r="H14" s="89"/>
      <c r="I14" s="90"/>
      <c r="J14" s="90"/>
      <c r="K14" s="90"/>
    </row>
    <row r="15" spans="1:11" s="87" customFormat="1">
      <c r="A15" s="189" t="s">
        <v>13</v>
      </c>
      <c r="B15" s="245"/>
      <c r="C15" s="247"/>
      <c r="D15" s="247"/>
      <c r="E15" s="247"/>
      <c r="F15" s="247"/>
      <c r="G15" s="246"/>
      <c r="H15" s="89"/>
      <c r="I15" s="90"/>
      <c r="J15" s="90"/>
      <c r="K15" s="90"/>
    </row>
    <row r="16" spans="1:11" s="87" customFormat="1">
      <c r="A16" s="186" t="s">
        <v>14</v>
      </c>
      <c r="B16" s="245"/>
      <c r="C16" s="247"/>
      <c r="D16" s="247"/>
      <c r="E16" s="247"/>
      <c r="F16" s="247"/>
      <c r="G16" s="246"/>
      <c r="H16" s="89"/>
      <c r="I16" s="90"/>
      <c r="J16" s="90"/>
      <c r="K16" s="90"/>
    </row>
    <row r="17" spans="1:313" s="87" customFormat="1" ht="15.75" thickBot="1">
      <c r="A17" s="186"/>
      <c r="B17" s="248"/>
      <c r="C17" s="249"/>
      <c r="D17" s="249"/>
      <c r="E17" s="249"/>
      <c r="F17" s="249"/>
      <c r="G17" s="250"/>
      <c r="H17" s="89"/>
      <c r="I17" s="90"/>
      <c r="J17" s="90"/>
      <c r="K17" s="90"/>
    </row>
    <row r="18" spans="1:313" s="87" customFormat="1" ht="15.75" thickBot="1">
      <c r="A18" s="174"/>
      <c r="B18" s="92"/>
      <c r="C18" s="92"/>
      <c r="D18" s="92"/>
      <c r="E18" s="92"/>
      <c r="F18" s="92"/>
      <c r="G18" s="164"/>
      <c r="H18" s="89"/>
      <c r="I18" s="92"/>
      <c r="J18" s="92"/>
      <c r="K18" s="92"/>
    </row>
    <row r="19" spans="1:313" s="87" customFormat="1">
      <c r="A19" s="241" t="s">
        <v>15</v>
      </c>
      <c r="B19" s="242"/>
      <c r="C19" s="242"/>
      <c r="D19" s="242"/>
      <c r="E19" s="242"/>
      <c r="F19" s="243">
        <f>IF(SUM(F27:F45)=0,"",H19*Aufwand!C2)</f>
        <v>71.399999999999991</v>
      </c>
      <c r="G19" s="244"/>
      <c r="H19" s="93">
        <f>IF(SUM(F27:F43)=0,"",SUM(G27:G43))</f>
        <v>4</v>
      </c>
      <c r="I19" s="90"/>
      <c r="J19" s="228"/>
      <c r="K19" s="228"/>
    </row>
    <row r="20" spans="1:313" s="87" customFormat="1">
      <c r="A20" s="224" t="s">
        <v>16</v>
      </c>
      <c r="B20" s="225"/>
      <c r="C20" s="225"/>
      <c r="D20" s="225"/>
      <c r="E20" s="225"/>
      <c r="F20" s="229"/>
      <c r="G20" s="230"/>
      <c r="H20" s="89"/>
      <c r="I20" s="90"/>
      <c r="J20" s="228"/>
      <c r="K20" s="228"/>
    </row>
    <row r="21" spans="1:313" s="87" customFormat="1">
      <c r="A21" s="224" t="s">
        <v>17</v>
      </c>
      <c r="B21" s="225"/>
      <c r="C21" s="225"/>
      <c r="D21" s="225"/>
      <c r="E21" s="225"/>
      <c r="F21" s="226"/>
      <c r="G21" s="227"/>
      <c r="H21" s="89"/>
      <c r="I21" s="90"/>
      <c r="J21" s="228"/>
      <c r="K21" s="228"/>
    </row>
    <row r="22" spans="1:313" s="87" customFormat="1">
      <c r="A22" s="224" t="s">
        <v>18</v>
      </c>
      <c r="B22" s="225"/>
      <c r="C22" s="225"/>
      <c r="D22" s="225"/>
      <c r="E22" s="225"/>
      <c r="F22" s="226"/>
      <c r="G22" s="227"/>
      <c r="H22" s="89"/>
      <c r="I22" s="90"/>
      <c r="J22" s="228"/>
      <c r="K22" s="228"/>
    </row>
    <row r="23" spans="1:313" s="87" customFormat="1">
      <c r="A23" s="236" t="s">
        <v>19</v>
      </c>
      <c r="B23" s="237"/>
      <c r="C23" s="237"/>
      <c r="D23" s="237"/>
      <c r="E23" s="237"/>
      <c r="F23" s="238">
        <f>IF(F24="","",F24-(F24/1.19))</f>
        <v>11.399999999999999</v>
      </c>
      <c r="G23" s="239"/>
      <c r="H23" s="89"/>
      <c r="I23" s="90"/>
      <c r="J23" s="240"/>
      <c r="K23" s="240"/>
    </row>
    <row r="24" spans="1:313" s="87" customFormat="1" ht="16.5" customHeight="1" thickBot="1">
      <c r="A24" s="231" t="s">
        <v>20</v>
      </c>
      <c r="B24" s="232"/>
      <c r="C24" s="94"/>
      <c r="D24" s="94"/>
      <c r="E24" s="96" t="s">
        <v>21</v>
      </c>
      <c r="F24" s="233">
        <f>IF(F19="","",SUM(F19:F22))</f>
        <v>71.399999999999991</v>
      </c>
      <c r="G24" s="234"/>
      <c r="H24" s="89"/>
      <c r="I24" s="90"/>
      <c r="J24" s="235"/>
      <c r="K24" s="235"/>
    </row>
    <row r="25" spans="1:313" s="1" customFormat="1" ht="7.15" customHeight="1">
      <c r="A25" s="79"/>
      <c r="G25" s="63"/>
      <c r="H25" s="64"/>
    </row>
    <row r="26" spans="1:313" ht="14.65" customHeight="1">
      <c r="A26" s="73" t="s">
        <v>22</v>
      </c>
      <c r="B26" s="74" t="s">
        <v>23</v>
      </c>
      <c r="C26" s="75" t="s">
        <v>29</v>
      </c>
      <c r="D26" s="76" t="s">
        <v>30</v>
      </c>
      <c r="E26" s="76" t="s">
        <v>31</v>
      </c>
      <c r="F26" s="77" t="s">
        <v>27</v>
      </c>
      <c r="G26" s="78" t="s">
        <v>15</v>
      </c>
    </row>
    <row r="27" spans="1:313">
      <c r="A27" s="202">
        <v>1002108</v>
      </c>
      <c r="B27" s="68" t="str">
        <f>VLOOKUP(A27,Ersatzteilpreiseliste!A:C,3,FALSE)</f>
        <v>Ersatzteil - Schaumstoff Sitzfläche Geklebt</v>
      </c>
      <c r="C27" s="65">
        <f>VLOOKUP(A27,Ersatzteilpreiseliste!A:F,6,FALSE)</f>
        <v>8</v>
      </c>
      <c r="D27" s="80" t="s">
        <v>28</v>
      </c>
      <c r="E27" s="67">
        <f>VLOOKUP(A27,Ersatzteilpreiseliste!A:R,18,FALSE)</f>
        <v>7350057583746</v>
      </c>
      <c r="F27" s="206"/>
      <c r="G27" s="69" t="str">
        <f>IF(F27="","",H27)</f>
        <v/>
      </c>
      <c r="H27" s="64">
        <v>1</v>
      </c>
    </row>
    <row r="28" spans="1:313">
      <c r="A28" s="202">
        <v>1006504</v>
      </c>
      <c r="B28" s="68" t="str">
        <f>VLOOKUP(A28,Ersatzteilpreiseliste!A:C,3,FALSE)</f>
        <v xml:space="preserve">Ersatzteil - Kopfstütze - Minikid 2                           </v>
      </c>
      <c r="C28" s="65">
        <f>VLOOKUP(A28,Ersatzteilpreiseliste!A:F,6,FALSE)</f>
        <v>26</v>
      </c>
      <c r="D28" s="80" t="s">
        <v>28</v>
      </c>
      <c r="E28" s="67">
        <f>VLOOKUP(A28,Ersatzteilpreiseliste!A:R,18,FALSE)</f>
        <v>7350057583760</v>
      </c>
      <c r="F28" s="206"/>
      <c r="G28" s="69" t="str">
        <f t="shared" ref="G28:G43" si="0">IF(F28="","",H28)</f>
        <v/>
      </c>
      <c r="H28" s="64">
        <v>2</v>
      </c>
    </row>
    <row r="29" spans="1:313">
      <c r="A29" s="202">
        <v>1101197</v>
      </c>
      <c r="B29" s="68" t="str">
        <f>VLOOKUP(A29,Ersatzteilpreiseliste!A:C,3,FALSE)</f>
        <v>Ersatzteil - Kopfstütze Rückenplatte - Minikid, Modukid Seat, Rekid, Duofix &amp; Kidzone</v>
      </c>
      <c r="C29" s="65">
        <f>VLOOKUP(A29,Ersatzteilpreiseliste!A:F,6,FALSE)</f>
        <v>20</v>
      </c>
      <c r="D29" s="80" t="s">
        <v>28</v>
      </c>
      <c r="E29" s="67">
        <f>VLOOKUP(A29,Ersatzteilpreiseliste!A:R,18,FALSE)</f>
        <v>7350057583807</v>
      </c>
      <c r="F29" s="206"/>
      <c r="G29" s="69" t="str">
        <f t="shared" si="0"/>
        <v/>
      </c>
      <c r="H29" s="64">
        <v>2</v>
      </c>
      <c r="LA29" s="104"/>
    </row>
    <row r="30" spans="1:313">
      <c r="A30" s="202">
        <v>1002287</v>
      </c>
      <c r="B30" s="68" t="str">
        <f>VLOOKUP(A30,Ersatzteilpreiseliste!A:C,3,FALSE)</f>
        <v>Ersatzteil - Styropor [Links] - Minikid 2</v>
      </c>
      <c r="C30" s="65">
        <f>VLOOKUP(A30,Ersatzteilpreiseliste!A:F,6,FALSE)</f>
        <v>14</v>
      </c>
      <c r="D30" s="80" t="s">
        <v>28</v>
      </c>
      <c r="E30" s="67">
        <f>VLOOKUP(A30,Ersatzteilpreiseliste!A:R,18,FALSE)</f>
        <v>7350057583814</v>
      </c>
      <c r="F30" s="206">
        <v>1</v>
      </c>
      <c r="G30" s="69">
        <f t="shared" si="0"/>
        <v>2</v>
      </c>
      <c r="H30" s="64">
        <v>2</v>
      </c>
    </row>
    <row r="31" spans="1:313">
      <c r="A31" s="202">
        <v>1002288</v>
      </c>
      <c r="B31" s="68" t="str">
        <f>VLOOKUP(A31,Ersatzteilpreiseliste!A:C,3,FALSE)</f>
        <v>Ersatzteil - Styropor [Rechts] - Minikid 2</v>
      </c>
      <c r="C31" s="65">
        <f>VLOOKUP(A31,Ersatzteilpreiseliste!A:F,6,FALSE)</f>
        <v>14</v>
      </c>
      <c r="D31" s="80" t="s">
        <v>28</v>
      </c>
      <c r="E31" s="67">
        <f>VLOOKUP(A31,Ersatzteilpreiseliste!A:R,18,FALSE)</f>
        <v>7350057583821</v>
      </c>
      <c r="F31" s="206">
        <v>1</v>
      </c>
      <c r="G31" s="69">
        <f t="shared" si="0"/>
        <v>2</v>
      </c>
      <c r="H31" s="64">
        <v>2</v>
      </c>
    </row>
    <row r="32" spans="1:313" ht="13.9" customHeight="1">
      <c r="A32" s="202">
        <v>1002101</v>
      </c>
      <c r="B32" s="70" t="str">
        <f>VLOOKUP(A32,Ersatzteilpreiseliste!A:C,3,FALSE)</f>
        <v>Ersatzteil - Styropor [Rücken] - Minikid, Rekid, Duofix &amp; Kidzone</v>
      </c>
      <c r="C32" s="65">
        <f>VLOOKUP(A32,Ersatzteilpreiseliste!A:F,6,FALSE)</f>
        <v>14</v>
      </c>
      <c r="D32" s="80" t="s">
        <v>28</v>
      </c>
      <c r="E32" s="67">
        <f>VLOOKUP(A32,Ersatzteilpreiseliste!A:R,18,FALSE)</f>
        <v>7350057583876</v>
      </c>
      <c r="F32" s="206"/>
      <c r="G32" s="69" t="str">
        <f t="shared" si="0"/>
        <v/>
      </c>
      <c r="H32" s="64">
        <v>2</v>
      </c>
    </row>
    <row r="33" spans="1:8">
      <c r="A33" s="202">
        <v>1100939</v>
      </c>
      <c r="B33" s="68" t="str">
        <f>VLOOKUP(A33,Ersatzteilpreiseliste!A:C,3,FALSE)</f>
        <v>Ersatzteil - Gurtklemme [Blau]</v>
      </c>
      <c r="C33" s="65">
        <f>VLOOKUP(A33,Ersatzteilpreiseliste!A:F,6,FALSE)</f>
        <v>6</v>
      </c>
      <c r="D33" s="80" t="s">
        <v>28</v>
      </c>
      <c r="E33" s="67">
        <f>VLOOKUP(A33,Ersatzteilpreiseliste!A:R,18,FALSE)</f>
        <v>7350057583890</v>
      </c>
      <c r="F33" s="206"/>
      <c r="G33" s="69" t="str">
        <f t="shared" si="0"/>
        <v/>
      </c>
      <c r="H33" s="64">
        <v>1</v>
      </c>
    </row>
    <row r="34" spans="1:8">
      <c r="A34" s="202">
        <v>1004445</v>
      </c>
      <c r="B34" s="68" t="str">
        <f>VLOOKUP(A34,Ersatzteilpreiseliste!A:C,3,FALSE)</f>
        <v>Ersatzteil - Stützfuß - Minikid 2 &amp; Move</v>
      </c>
      <c r="C34" s="65">
        <f>VLOOKUP(A34,Ersatzteilpreiseliste!A:F,6,FALSE)</f>
        <v>60</v>
      </c>
      <c r="D34" s="80" t="s">
        <v>28</v>
      </c>
      <c r="E34" s="67">
        <f>VLOOKUP(A34,Ersatzteilpreiseliste!A:R,18,FALSE)</f>
        <v>7350057583913</v>
      </c>
      <c r="F34" s="206"/>
      <c r="G34" s="69" t="str">
        <f t="shared" si="0"/>
        <v/>
      </c>
      <c r="H34" s="64">
        <v>3</v>
      </c>
    </row>
    <row r="35" spans="1:8">
      <c r="A35" s="202">
        <v>1101314</v>
      </c>
      <c r="B35" s="68" t="str">
        <f>VLOOKUP(A35,Ersatzteilpreiseliste!A:C,3,FALSE)</f>
        <v>Ersatzteil - Gurt für Stützfuß - Minikid 2 &amp; Move</v>
      </c>
      <c r="C35" s="65">
        <f>VLOOKUP(A35,Ersatzteilpreiseliste!A:F,6,FALSE)</f>
        <v>6</v>
      </c>
      <c r="D35" s="80" t="s">
        <v>28</v>
      </c>
      <c r="E35" s="67">
        <f>VLOOKUP(A35,Ersatzteilpreiseliste!A:R,18,FALSE)</f>
        <v>7350057584187</v>
      </c>
      <c r="F35" s="206"/>
      <c r="G35" s="69" t="str">
        <f t="shared" si="0"/>
        <v/>
      </c>
      <c r="H35" s="64">
        <v>3</v>
      </c>
    </row>
    <row r="36" spans="1:8">
      <c r="A36" s="202">
        <v>1003124</v>
      </c>
      <c r="B36" s="68" t="str">
        <f>VLOOKUP(A36,Ersatzteilpreiseliste!A:C,3,FALSE)</f>
        <v>Ersatzteil - 5 Punkt Gurtsystem Holmberg</v>
      </c>
      <c r="C36" s="65">
        <f>VLOOKUP(A36,Ersatzteilpreiseliste!A:F,6,FALSE)</f>
        <v>60</v>
      </c>
      <c r="D36" s="80" t="s">
        <v>28</v>
      </c>
      <c r="E36" s="67">
        <f>VLOOKUP(A36,Ersatzteilpreiseliste!A:R,18,FALSE)</f>
        <v>7350057583968</v>
      </c>
      <c r="F36" s="206"/>
      <c r="G36" s="69" t="str">
        <f t="shared" si="0"/>
        <v/>
      </c>
      <c r="H36" s="64">
        <v>3</v>
      </c>
    </row>
    <row r="37" spans="1:8">
      <c r="A37" s="202">
        <v>1003400</v>
      </c>
      <c r="B37" s="68" t="str">
        <f>VLOOKUP(A37,Ersatzteilpreiseliste!A:C,3,FALSE)</f>
        <v>Ersatzteil - Gurtaufroller [Links]</v>
      </c>
      <c r="C37" s="65">
        <f>VLOOKUP(A37,Ersatzteilpreiseliste!A:F,6,FALSE)</f>
        <v>46</v>
      </c>
      <c r="D37" s="80" t="s">
        <v>28</v>
      </c>
      <c r="E37" s="67">
        <f>VLOOKUP(A37,Ersatzteilpreiseliste!A:R,18,FALSE)</f>
        <v>7350057584019</v>
      </c>
      <c r="F37" s="206"/>
      <c r="G37" s="69" t="str">
        <f t="shared" si="0"/>
        <v/>
      </c>
      <c r="H37" s="64">
        <v>1</v>
      </c>
    </row>
    <row r="38" spans="1:8">
      <c r="A38" s="202">
        <v>1003409</v>
      </c>
      <c r="B38" s="68" t="str">
        <f>VLOOKUP(A38,Ersatzteilpreiseliste!A:C,3,FALSE)</f>
        <v>Ersatzteil - Gurtaufroller [Rechts]</v>
      </c>
      <c r="C38" s="65">
        <f>VLOOKUP(A38,Ersatzteilpreiseliste!A:F,6,FALSE)</f>
        <v>46</v>
      </c>
      <c r="D38" s="80" t="s">
        <v>28</v>
      </c>
      <c r="E38" s="67">
        <f>VLOOKUP(A38,Ersatzteilpreiseliste!A:R,18,FALSE)</f>
        <v>7350057584026</v>
      </c>
      <c r="F38" s="206"/>
      <c r="G38" s="69" t="str">
        <f t="shared" si="0"/>
        <v/>
      </c>
      <c r="H38" s="64">
        <v>1</v>
      </c>
    </row>
    <row r="39" spans="1:8">
      <c r="A39" s="202">
        <v>1100816</v>
      </c>
      <c r="B39" s="68" t="str">
        <f>VLOOKUP(A39,Ersatzteilpreiseliste!A:C,3,FALSE)</f>
        <v>Ersatzteil - ASIP Befestigung - Minikid 2, Move, Modukid Seat</v>
      </c>
      <c r="C39" s="65">
        <f>VLOOKUP(A39,Ersatzteilpreiseliste!A:F,6,FALSE)</f>
        <v>10</v>
      </c>
      <c r="D39" s="80" t="s">
        <v>28</v>
      </c>
      <c r="E39" s="67">
        <f>VLOOKUP(A39,Ersatzteilpreiseliste!A:R,18,FALSE)</f>
        <v>7350057584064</v>
      </c>
      <c r="F39" s="206"/>
      <c r="G39" s="69" t="str">
        <f t="shared" si="0"/>
        <v/>
      </c>
      <c r="H39" s="64">
        <v>1</v>
      </c>
    </row>
    <row r="40" spans="1:8">
      <c r="A40" s="202">
        <v>1100791</v>
      </c>
      <c r="B40" s="68" t="str">
        <f>VLOOKUP(A40,Ersatzteilpreiseliste!A:C,3,FALSE)</f>
        <v>Ersatzteil - Bremseinheit Kopfstütze - Modukid Seat, Minikid, Rekid, Duofix &amp; Kidzone</v>
      </c>
      <c r="C40" s="65">
        <f>VLOOKUP(A40,Ersatzteilpreiseliste!A:F,6,FALSE)</f>
        <v>6</v>
      </c>
      <c r="D40" s="80" t="s">
        <v>28</v>
      </c>
      <c r="E40" s="67">
        <f>VLOOKUP(A40,Ersatzteilpreiseliste!A:R,18,FALSE)</f>
        <v>7350057584088</v>
      </c>
      <c r="F40" s="206"/>
      <c r="G40" s="69" t="str">
        <f t="shared" si="0"/>
        <v/>
      </c>
      <c r="H40" s="64">
        <v>2</v>
      </c>
    </row>
    <row r="41" spans="1:8">
      <c r="A41" s="202">
        <v>1100834</v>
      </c>
      <c r="B41" s="68" t="str">
        <f>VLOOKUP(A41,Ersatzteilpreiseliste!A:C,3,FALSE)</f>
        <v>Ersatzteil - Spannrolle Kopfstütze - Minikid 2 &amp; Modukid Seat</v>
      </c>
      <c r="C41" s="65">
        <f>VLOOKUP(A41,Ersatzteilpreiseliste!A:F,6,FALSE)</f>
        <v>26</v>
      </c>
      <c r="D41" s="80" t="s">
        <v>28</v>
      </c>
      <c r="E41" s="67">
        <f>VLOOKUP(A41,Ersatzteilpreiseliste!A:R,18,FALSE)</f>
        <v>7350057584095</v>
      </c>
      <c r="F41" s="206"/>
      <c r="G41" s="69" t="str">
        <f t="shared" si="0"/>
        <v/>
      </c>
      <c r="H41" s="64">
        <v>3</v>
      </c>
    </row>
    <row r="42" spans="1:8">
      <c r="A42" s="202">
        <v>1100817</v>
      </c>
      <c r="B42" s="68" t="str">
        <f>VLOOKUP(A42,Ersatzteilpreiseliste!A:C,3,FALSE)</f>
        <v>Ersatzteil - Neigungsverstellung - Minikid</v>
      </c>
      <c r="C42" s="65">
        <f>VLOOKUP(A42,Ersatzteilpreiseliste!A:F,6,FALSE)</f>
        <v>32</v>
      </c>
      <c r="D42" s="80" t="s">
        <v>28</v>
      </c>
      <c r="E42" s="67">
        <f>VLOOKUP(A42,Ersatzteilpreiseliste!A:R,18,FALSE)</f>
        <v>7350057584040</v>
      </c>
      <c r="F42" s="206"/>
      <c r="G42" s="69" t="str">
        <f t="shared" ref="G42" si="1">IF(F42="","",H42)</f>
        <v/>
      </c>
      <c r="H42" s="64">
        <v>3</v>
      </c>
    </row>
    <row r="43" spans="1:8">
      <c r="A43" s="202">
        <v>1003207</v>
      </c>
      <c r="B43" s="68" t="str">
        <f>VLOOKUP(A43,Ersatzteilpreiseliste!A:C,3,FALSE)</f>
        <v>Ersatzteil - Gurtabdeckung</v>
      </c>
      <c r="C43" s="65">
        <f>VLOOKUP(A43,Ersatzteilpreiseliste!A:F,6,FALSE)</f>
        <v>6</v>
      </c>
      <c r="D43" s="80" t="s">
        <v>28</v>
      </c>
      <c r="E43" s="67">
        <f>VLOOKUP(A43,Ersatzteilpreiseliste!A:R,18,FALSE)</f>
        <v>7350057583999</v>
      </c>
      <c r="F43" s="206"/>
      <c r="G43" s="83" t="str">
        <f t="shared" si="0"/>
        <v/>
      </c>
      <c r="H43" s="64">
        <v>1</v>
      </c>
    </row>
    <row r="44" spans="1:8">
      <c r="A44" s="202">
        <v>1900028</v>
      </c>
      <c r="B44" s="68" t="s">
        <v>32</v>
      </c>
      <c r="C44" s="65">
        <f>VLOOKUP(A44,Ersatzteilpreiseliste!A:F,6,FALSE)</f>
        <v>0.2</v>
      </c>
      <c r="D44" s="80" t="s">
        <v>28</v>
      </c>
      <c r="E44" s="67">
        <f>VLOOKUP(A44,Ersatzteilpreiseliste!A:R,18,FALSE)</f>
        <v>7350057584101</v>
      </c>
      <c r="F44" s="206"/>
      <c r="G44" s="69"/>
    </row>
    <row r="45" spans="1:8" ht="15.75" thickBot="1">
      <c r="A45" s="221"/>
      <c r="B45" s="222"/>
      <c r="C45" s="81"/>
      <c r="D45" s="81"/>
      <c r="E45" s="223"/>
      <c r="F45" s="81"/>
      <c r="G45" s="71"/>
    </row>
    <row r="46" spans="1:8">
      <c r="D46" s="105"/>
    </row>
  </sheetData>
  <sheetProtection algorithmName="SHA-512" hashValue="DEQv5WMfY92tHBOd48neOL52Ilm+phivBOX7mR2K+NufOB9orWX65YR3jFikeuNNCgoV99Gbn+Akr5kp506aAQ==" saltValue="hdhZCtoPG6ODJRPjRU98mw==" spinCount="100000" sheet="1" selectLockedCells="1"/>
  <mergeCells count="23">
    <mergeCell ref="F10:G10"/>
    <mergeCell ref="B14:G14"/>
    <mergeCell ref="J24:K24"/>
    <mergeCell ref="J19:K19"/>
    <mergeCell ref="J20:K20"/>
    <mergeCell ref="J21:K21"/>
    <mergeCell ref="J22:K22"/>
    <mergeCell ref="J23:K23"/>
    <mergeCell ref="A23:E23"/>
    <mergeCell ref="F23:G23"/>
    <mergeCell ref="A24:B24"/>
    <mergeCell ref="F24:G24"/>
    <mergeCell ref="B15:G15"/>
    <mergeCell ref="A22:E22"/>
    <mergeCell ref="F22:G22"/>
    <mergeCell ref="B16:G16"/>
    <mergeCell ref="B17:G17"/>
    <mergeCell ref="A20:E20"/>
    <mergeCell ref="F20:G20"/>
    <mergeCell ref="A21:E21"/>
    <mergeCell ref="F21:G21"/>
    <mergeCell ref="F19:G19"/>
    <mergeCell ref="A19:E19"/>
  </mergeCells>
  <pageMargins left="0.70866141732283472" right="0.70866141732283472" top="0.19685039370078741" bottom="0.19685039370078741" header="0.31496062992125984" footer="0.31496062992125984"/>
  <pageSetup paperSize="9" scale="8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3DC7-0BC6-413F-B204-83912693E5AD}">
  <sheetPr codeName="Blad8">
    <tabColor rgb="FF00B050"/>
    <pageSetUpPr fitToPage="1"/>
  </sheetPr>
  <dimension ref="A1:LA43"/>
  <sheetViews>
    <sheetView zoomScale="85" zoomScaleNormal="85" workbookViewId="0">
      <selection activeCell="F30" sqref="F30"/>
    </sheetView>
  </sheetViews>
  <sheetFormatPr defaultColWidth="10.7109375" defaultRowHeight="15"/>
  <cols>
    <col min="1" max="1" width="16.42578125" customWidth="1"/>
    <col min="2" max="2" width="70.5703125" customWidth="1"/>
    <col min="3" max="3" width="12.42578125" customWidth="1"/>
    <col min="4" max="5" width="18.42578125" customWidth="1"/>
    <col min="6" max="7" width="12.42578125" customWidth="1"/>
    <col min="8" max="8" width="10.7109375" style="64" hidden="1" customWidth="1"/>
  </cols>
  <sheetData>
    <row r="1" spans="1:11" s="87" customFormat="1" ht="19.5" thickBot="1">
      <c r="A1" s="169" t="s">
        <v>0</v>
      </c>
      <c r="B1" s="170"/>
      <c r="C1" s="170"/>
      <c r="D1" s="170"/>
      <c r="E1" s="170"/>
      <c r="F1" s="204" t="s">
        <v>1</v>
      </c>
      <c r="G1" s="171"/>
      <c r="H1" s="86"/>
      <c r="I1" s="86"/>
      <c r="J1" s="86"/>
      <c r="K1" s="86"/>
    </row>
    <row r="2" spans="1:11" s="87" customFormat="1">
      <c r="A2" s="159"/>
      <c r="B2" s="157"/>
      <c r="C2" s="157"/>
      <c r="D2" s="157"/>
      <c r="E2" s="157"/>
      <c r="F2" s="157"/>
      <c r="G2" s="160"/>
      <c r="H2" s="89"/>
      <c r="I2" s="90"/>
      <c r="J2" s="90"/>
      <c r="K2" s="90"/>
    </row>
    <row r="3" spans="1:11" s="87" customFormat="1">
      <c r="A3" s="161" t="s">
        <v>2</v>
      </c>
      <c r="B3" s="158"/>
      <c r="C3" s="158"/>
      <c r="D3" s="158"/>
      <c r="E3" s="158"/>
      <c r="F3" s="158"/>
      <c r="G3" s="162"/>
      <c r="H3" s="89"/>
      <c r="I3" s="90"/>
      <c r="J3" s="90"/>
      <c r="K3" s="90"/>
    </row>
    <row r="4" spans="1:11" s="87" customFormat="1">
      <c r="A4" s="161" t="s">
        <v>3</v>
      </c>
      <c r="B4" s="158"/>
      <c r="C4" s="158"/>
      <c r="D4" s="158"/>
      <c r="E4" s="158"/>
      <c r="F4" s="158"/>
      <c r="G4" s="162"/>
      <c r="H4" s="91"/>
      <c r="I4" s="92"/>
      <c r="J4" s="92"/>
      <c r="K4" s="92"/>
    </row>
    <row r="5" spans="1:11" s="87" customFormat="1">
      <c r="A5" s="161" t="s">
        <v>4</v>
      </c>
      <c r="B5" s="92"/>
      <c r="D5" s="168"/>
      <c r="E5" s="168"/>
      <c r="F5" s="168"/>
      <c r="G5" s="164"/>
      <c r="H5" s="91"/>
      <c r="I5" s="92"/>
      <c r="J5" s="92"/>
      <c r="K5" s="92"/>
    </row>
    <row r="6" spans="1:11" s="87" customFormat="1">
      <c r="A6" t="s">
        <v>5</v>
      </c>
      <c r="B6" s="92"/>
      <c r="C6" s="168"/>
      <c r="D6" s="168"/>
      <c r="E6" s="168"/>
      <c r="F6" s="168"/>
      <c r="G6" s="164"/>
      <c r="H6" s="91"/>
      <c r="I6" s="92"/>
      <c r="J6" s="92"/>
      <c r="K6" s="92"/>
    </row>
    <row r="7" spans="1:11" s="87" customFormat="1">
      <c r="A7" s="163"/>
      <c r="B7" s="92"/>
      <c r="C7" s="168"/>
      <c r="D7" s="168"/>
      <c r="E7" s="168"/>
      <c r="F7" s="168"/>
      <c r="G7" s="164"/>
      <c r="H7" s="91"/>
      <c r="I7" s="92"/>
      <c r="J7" s="92"/>
      <c r="K7" s="92"/>
    </row>
    <row r="8" spans="1:11" s="87" customFormat="1" ht="15.75" thickBot="1">
      <c r="A8" s="165"/>
      <c r="B8" s="166"/>
      <c r="C8" s="166"/>
      <c r="D8" s="166"/>
      <c r="E8" s="166"/>
      <c r="F8" s="166"/>
      <c r="G8" s="167"/>
      <c r="H8" s="89"/>
      <c r="I8" s="92"/>
      <c r="J8" s="92"/>
      <c r="K8" s="92"/>
    </row>
    <row r="9" spans="1:11" s="87" customFormat="1">
      <c r="A9" s="183" t="s">
        <v>6</v>
      </c>
      <c r="B9" s="184"/>
      <c r="C9" s="184"/>
      <c r="D9" s="184"/>
      <c r="E9" s="184"/>
      <c r="F9" s="184"/>
      <c r="G9" s="185"/>
      <c r="H9" s="89"/>
      <c r="I9" s="90"/>
      <c r="J9" s="90"/>
      <c r="K9" s="90"/>
    </row>
    <row r="10" spans="1:11" s="87" customFormat="1">
      <c r="A10" s="186" t="s">
        <v>7</v>
      </c>
      <c r="B10" s="181"/>
      <c r="C10" s="187" t="s">
        <v>8</v>
      </c>
      <c r="D10" s="188"/>
      <c r="E10" s="187" t="s">
        <v>9</v>
      </c>
      <c r="F10" s="245"/>
      <c r="G10" s="246"/>
      <c r="H10" s="89"/>
      <c r="I10" s="90"/>
      <c r="J10" s="90"/>
      <c r="K10" s="90"/>
    </row>
    <row r="11" spans="1:11" s="87" customFormat="1">
      <c r="A11" s="189" t="s">
        <v>10</v>
      </c>
      <c r="B11" s="182"/>
      <c r="C11" s="190"/>
      <c r="D11" s="190"/>
      <c r="E11" s="190"/>
      <c r="F11" s="190"/>
      <c r="G11" s="191"/>
      <c r="H11" s="89"/>
      <c r="I11" s="90"/>
      <c r="J11" s="90"/>
      <c r="K11" s="90"/>
    </row>
    <row r="12" spans="1:11" s="87" customFormat="1">
      <c r="A12" s="192"/>
      <c r="B12" s="190"/>
      <c r="C12" s="190"/>
      <c r="D12" s="190"/>
      <c r="E12" s="190"/>
      <c r="F12" s="190"/>
      <c r="G12" s="191"/>
      <c r="H12" s="89"/>
      <c r="I12" s="90"/>
      <c r="J12" s="90"/>
      <c r="K12" s="90"/>
    </row>
    <row r="13" spans="1:11" s="87" customFormat="1">
      <c r="A13" s="193" t="s">
        <v>11</v>
      </c>
      <c r="B13" s="190"/>
      <c r="C13" s="190"/>
      <c r="D13" s="190"/>
      <c r="E13" s="190"/>
      <c r="F13" s="190"/>
      <c r="G13" s="191"/>
      <c r="H13" s="89"/>
      <c r="I13" s="90"/>
      <c r="J13" s="90"/>
      <c r="K13" s="90"/>
    </row>
    <row r="14" spans="1:11" s="87" customFormat="1">
      <c r="A14" s="186" t="s">
        <v>12</v>
      </c>
      <c r="B14" s="245"/>
      <c r="C14" s="247"/>
      <c r="D14" s="247"/>
      <c r="E14" s="247"/>
      <c r="F14" s="247"/>
      <c r="G14" s="246"/>
      <c r="H14" s="89"/>
      <c r="I14" s="90"/>
      <c r="J14" s="90"/>
      <c r="K14" s="90"/>
    </row>
    <row r="15" spans="1:11" s="87" customFormat="1">
      <c r="A15" s="189" t="s">
        <v>13</v>
      </c>
      <c r="B15" s="245"/>
      <c r="C15" s="247"/>
      <c r="D15" s="247"/>
      <c r="E15" s="247"/>
      <c r="F15" s="247"/>
      <c r="G15" s="246"/>
      <c r="H15" s="89"/>
      <c r="I15" s="90"/>
      <c r="J15" s="90"/>
      <c r="K15" s="90"/>
    </row>
    <row r="16" spans="1:11" s="87" customFormat="1">
      <c r="A16" s="186" t="s">
        <v>14</v>
      </c>
      <c r="B16" s="245"/>
      <c r="C16" s="247"/>
      <c r="D16" s="247"/>
      <c r="E16" s="247"/>
      <c r="F16" s="247"/>
      <c r="G16" s="246"/>
      <c r="H16" s="89"/>
      <c r="I16" s="90"/>
      <c r="J16" s="90"/>
      <c r="K16" s="90"/>
    </row>
    <row r="17" spans="1:313" s="87" customFormat="1" ht="15.75" thickBot="1">
      <c r="A17" s="186"/>
      <c r="B17" s="248"/>
      <c r="C17" s="249"/>
      <c r="D17" s="249"/>
      <c r="E17" s="249"/>
      <c r="F17" s="249"/>
      <c r="G17" s="250"/>
      <c r="H17" s="89"/>
      <c r="I17" s="90"/>
      <c r="J17" s="90"/>
      <c r="K17" s="90"/>
    </row>
    <row r="18" spans="1:313" s="87" customFormat="1" ht="15.75" thickBot="1">
      <c r="A18" s="174"/>
      <c r="B18" s="92"/>
      <c r="C18" s="92"/>
      <c r="D18" s="92"/>
      <c r="E18" s="92"/>
      <c r="F18" s="92"/>
      <c r="G18" s="164"/>
      <c r="H18" s="89"/>
      <c r="I18" s="92"/>
      <c r="J18" s="92"/>
      <c r="K18" s="92"/>
    </row>
    <row r="19" spans="1:313" s="87" customFormat="1">
      <c r="A19" s="241" t="s">
        <v>15</v>
      </c>
      <c r="B19" s="242"/>
      <c r="C19" s="242"/>
      <c r="D19" s="242"/>
      <c r="E19" s="242"/>
      <c r="F19" s="243" t="str">
        <f>IF(SUM(F27:F45)=0,"",H19*Aufwand!C2)</f>
        <v/>
      </c>
      <c r="G19" s="244"/>
      <c r="H19" s="93" t="str">
        <f>IF(SUM(F27:F43)=0,"",SUM(G27:G43))</f>
        <v/>
      </c>
      <c r="I19" s="90"/>
      <c r="J19" s="228"/>
      <c r="K19" s="228"/>
    </row>
    <row r="20" spans="1:313" s="87" customFormat="1">
      <c r="A20" s="224" t="s">
        <v>16</v>
      </c>
      <c r="B20" s="225"/>
      <c r="C20" s="225"/>
      <c r="D20" s="225"/>
      <c r="E20" s="225"/>
      <c r="F20" s="229"/>
      <c r="G20" s="230"/>
      <c r="H20" s="89"/>
      <c r="I20" s="90"/>
      <c r="J20" s="228"/>
      <c r="K20" s="228"/>
    </row>
    <row r="21" spans="1:313" s="87" customFormat="1">
      <c r="A21" s="224" t="s">
        <v>17</v>
      </c>
      <c r="B21" s="225"/>
      <c r="C21" s="225"/>
      <c r="D21" s="225"/>
      <c r="E21" s="225"/>
      <c r="F21" s="226"/>
      <c r="G21" s="227"/>
      <c r="H21" s="89"/>
      <c r="I21" s="90"/>
      <c r="J21" s="228"/>
      <c r="K21" s="228"/>
    </row>
    <row r="22" spans="1:313" s="87" customFormat="1">
      <c r="A22" s="224" t="s">
        <v>18</v>
      </c>
      <c r="B22" s="225"/>
      <c r="C22" s="225"/>
      <c r="D22" s="225"/>
      <c r="E22" s="225"/>
      <c r="F22" s="226"/>
      <c r="G22" s="227"/>
      <c r="H22" s="89"/>
      <c r="I22" s="90"/>
      <c r="J22" s="228"/>
      <c r="K22" s="228"/>
    </row>
    <row r="23" spans="1:313" s="87" customFormat="1">
      <c r="A23" s="236" t="s">
        <v>19</v>
      </c>
      <c r="B23" s="237"/>
      <c r="C23" s="237"/>
      <c r="D23" s="237"/>
      <c r="E23" s="237"/>
      <c r="F23" s="238" t="str">
        <f>IF(F24="","",F24-(F24/1.19))</f>
        <v/>
      </c>
      <c r="G23" s="239"/>
      <c r="H23" s="89"/>
      <c r="I23" s="90"/>
      <c r="J23" s="240"/>
      <c r="K23" s="240"/>
    </row>
    <row r="24" spans="1:313" s="87" customFormat="1" ht="16.5" customHeight="1" thickBot="1">
      <c r="A24" s="231" t="s">
        <v>20</v>
      </c>
      <c r="B24" s="232"/>
      <c r="C24" s="94"/>
      <c r="D24" s="94"/>
      <c r="E24" s="96" t="s">
        <v>21</v>
      </c>
      <c r="F24" s="233" t="str">
        <f>IF(F19="","",SUM(F19:F22))</f>
        <v/>
      </c>
      <c r="G24" s="234"/>
      <c r="H24" s="89"/>
      <c r="I24" s="90"/>
      <c r="J24" s="235"/>
      <c r="K24" s="235"/>
    </row>
    <row r="25" spans="1:313" s="1" customFormat="1" ht="7.15" customHeight="1">
      <c r="A25" s="79"/>
      <c r="G25" s="63"/>
      <c r="H25" s="64"/>
    </row>
    <row r="26" spans="1:313">
      <c r="A26" s="73" t="s">
        <v>22</v>
      </c>
      <c r="B26" s="74" t="s">
        <v>23</v>
      </c>
      <c r="C26" s="75" t="s">
        <v>29</v>
      </c>
      <c r="D26" s="76" t="s">
        <v>33</v>
      </c>
      <c r="E26" s="76" t="s">
        <v>31</v>
      </c>
      <c r="F26" s="77" t="s">
        <v>27</v>
      </c>
      <c r="G26" s="78" t="s">
        <v>15</v>
      </c>
    </row>
    <row r="27" spans="1:313" s="1" customFormat="1">
      <c r="A27" s="202">
        <v>1002108</v>
      </c>
      <c r="B27" s="68" t="str">
        <f>VLOOKUP(A27,Ersatzteilpreiseliste!A:C,3,FALSE)</f>
        <v>Ersatzteil - Schaumstoff Sitzfläche Geklebt</v>
      </c>
      <c r="C27" s="65">
        <f>VLOOKUP(A27,Ersatzteilpreiseliste!A:F,6,FALSE)</f>
        <v>8</v>
      </c>
      <c r="D27" s="80" t="s">
        <v>28</v>
      </c>
      <c r="E27" s="67">
        <f>VLOOKUP(A27,Ersatzteilpreiseliste!A:R,18,FALSE)</f>
        <v>7350057583746</v>
      </c>
      <c r="F27" s="206"/>
      <c r="G27" s="69" t="str">
        <f>IF(F27="","",H27)</f>
        <v/>
      </c>
      <c r="H27" s="64">
        <v>1</v>
      </c>
    </row>
    <row r="28" spans="1:313" s="1" customFormat="1">
      <c r="A28" s="202">
        <v>1006003</v>
      </c>
      <c r="B28" s="68" t="str">
        <f>VLOOKUP(A28,Ersatzteilpreiseliste!A:C,3,FALSE)</f>
        <v>Ersatzteil - Kopfstütze - Minikid 1 &amp; Rekid</v>
      </c>
      <c r="C28" s="65">
        <f>VLOOKUP(A28,Ersatzteilpreiseliste!A:F,6,FALSE)</f>
        <v>26</v>
      </c>
      <c r="D28" s="80" t="s">
        <v>28</v>
      </c>
      <c r="E28" s="67">
        <f>VLOOKUP(A28,Ersatzteilpreiseliste!A:R,18,FALSE)</f>
        <v>7350057583777</v>
      </c>
      <c r="F28" s="206"/>
      <c r="G28" s="69" t="str">
        <f t="shared" ref="G28:G41" si="0">IF(F28="","",H28)</f>
        <v/>
      </c>
      <c r="H28" s="64">
        <v>2</v>
      </c>
    </row>
    <row r="29" spans="1:313" s="1" customFormat="1">
      <c r="A29" s="202">
        <v>1101197</v>
      </c>
      <c r="B29" s="68" t="str">
        <f>VLOOKUP(A29,Ersatzteilpreiseliste!A:C,3,FALSE)</f>
        <v>Ersatzteil - Kopfstütze Rückenplatte - Minikid, Modukid Seat, Rekid, Duofix &amp; Kidzone</v>
      </c>
      <c r="C29" s="65">
        <f>VLOOKUP(A29,Ersatzteilpreiseliste!A:F,6,FALSE)</f>
        <v>20</v>
      </c>
      <c r="D29" s="80" t="s">
        <v>28</v>
      </c>
      <c r="E29" s="67">
        <f>VLOOKUP(A29,Ersatzteilpreiseliste!A:R,18,FALSE)</f>
        <v>7350057583807</v>
      </c>
      <c r="F29" s="206"/>
      <c r="G29" s="69" t="str">
        <f t="shared" si="0"/>
        <v/>
      </c>
      <c r="H29" s="64">
        <v>2</v>
      </c>
      <c r="LA29" s="38"/>
    </row>
    <row r="30" spans="1:313" s="1" customFormat="1">
      <c r="A30" s="202">
        <v>1002103</v>
      </c>
      <c r="B30" s="68" t="str">
        <f>VLOOKUP(A30,Ersatzteilpreiseliste!A:C,3,FALSE)</f>
        <v>Ersatzteil - Styropor [Links] - Minikid, Rekid, Duofix &amp; Kidzone</v>
      </c>
      <c r="C30" s="65">
        <f>VLOOKUP(A30,Ersatzteilpreiseliste!A:F,6,FALSE)</f>
        <v>14</v>
      </c>
      <c r="D30" s="80" t="s">
        <v>28</v>
      </c>
      <c r="E30" s="67">
        <f>VLOOKUP(A30,Ersatzteilpreiseliste!A:R,18,FALSE)</f>
        <v>7350057583852</v>
      </c>
      <c r="F30" s="206"/>
      <c r="G30" s="69" t="str">
        <f t="shared" si="0"/>
        <v/>
      </c>
      <c r="H30" s="64">
        <v>2</v>
      </c>
    </row>
    <row r="31" spans="1:313" s="1" customFormat="1">
      <c r="A31" s="202">
        <v>1002104</v>
      </c>
      <c r="B31" s="68" t="str">
        <f>VLOOKUP(A31,Ersatzteilpreiseliste!A:C,3,FALSE)</f>
        <v>Ersatzteil - Styropor [Rechts] - Minikid, Rekid, Duofix &amp; Kidzone</v>
      </c>
      <c r="C31" s="65">
        <f>VLOOKUP(A31,Ersatzteilpreiseliste!A:F,6,FALSE)</f>
        <v>14</v>
      </c>
      <c r="D31" s="80" t="s">
        <v>28</v>
      </c>
      <c r="E31" s="67">
        <f>VLOOKUP(A31,Ersatzteilpreiseliste!A:R,18,FALSE)</f>
        <v>7350057583869</v>
      </c>
      <c r="F31" s="206"/>
      <c r="G31" s="69" t="str">
        <f t="shared" si="0"/>
        <v/>
      </c>
      <c r="H31" s="64">
        <v>2</v>
      </c>
    </row>
    <row r="32" spans="1:313" s="1" customFormat="1">
      <c r="A32" s="202">
        <v>1002101</v>
      </c>
      <c r="B32" s="70" t="str">
        <f>VLOOKUP(A32,Ersatzteilpreiseliste!A:C,3,FALSE)</f>
        <v>Ersatzteil - Styropor [Rücken] - Minikid, Rekid, Duofix &amp; Kidzone</v>
      </c>
      <c r="C32" s="65">
        <f>VLOOKUP(A32,Ersatzteilpreiseliste!A:F,6,FALSE)</f>
        <v>14</v>
      </c>
      <c r="D32" s="80" t="s">
        <v>28</v>
      </c>
      <c r="E32" s="67">
        <f>VLOOKUP(A32,Ersatzteilpreiseliste!A:R,18,FALSE)</f>
        <v>7350057583876</v>
      </c>
      <c r="F32" s="206"/>
      <c r="G32" s="69" t="str">
        <f t="shared" si="0"/>
        <v/>
      </c>
      <c r="H32" s="64">
        <v>2</v>
      </c>
    </row>
    <row r="33" spans="1:8" s="1" customFormat="1">
      <c r="A33" s="202">
        <v>1003215</v>
      </c>
      <c r="B33" s="68" t="str">
        <f>VLOOKUP(A33,Ersatzteilpreiseliste!A:C,3,FALSE)</f>
        <v>Gurtklemme schwarz</v>
      </c>
      <c r="C33" s="65">
        <f>VLOOKUP(A33,Ersatzteilpreiseliste!A:F,6,FALSE)</f>
        <v>6</v>
      </c>
      <c r="D33" s="80" t="s">
        <v>28</v>
      </c>
      <c r="E33" s="67">
        <f>VLOOKUP(A33,Ersatzteilpreiseliste!A:R,18,FALSE)</f>
        <v>7350057583906</v>
      </c>
      <c r="F33" s="206"/>
      <c r="G33" s="69" t="str">
        <f t="shared" si="0"/>
        <v/>
      </c>
      <c r="H33" s="64">
        <v>1</v>
      </c>
    </row>
    <row r="34" spans="1:8" s="1" customFormat="1">
      <c r="A34" s="202">
        <v>1004000</v>
      </c>
      <c r="B34" s="68" t="str">
        <f>VLOOKUP(A34,Ersatzteilpreiseliste!A:C,3,FALSE)</f>
        <v>Ersatzteil - Stützfuß - Minikid 1, Rekid, Wolmax, Duofix &amp; Kidzone</v>
      </c>
      <c r="C34" s="65">
        <f>VLOOKUP(A34,Ersatzteilpreiseliste!A:F,6,FALSE)</f>
        <v>80</v>
      </c>
      <c r="D34" s="80" t="s">
        <v>28</v>
      </c>
      <c r="E34" s="67">
        <f>VLOOKUP(A34,Ersatzteilpreiseliste!A:R,18,FALSE)</f>
        <v>7350057583920</v>
      </c>
      <c r="F34" s="206"/>
      <c r="G34" s="69" t="str">
        <f t="shared" si="0"/>
        <v/>
      </c>
      <c r="H34" s="64">
        <v>3</v>
      </c>
    </row>
    <row r="35" spans="1:8" s="1" customFormat="1">
      <c r="A35" s="202">
        <v>1101315</v>
      </c>
      <c r="B35" s="68" t="str">
        <f>VLOOKUP(A35,Ersatzteilpreiseliste!A:C,3,FALSE)</f>
        <v>Ersatzteil - Gurt für Stützfuß - Minikid 1, Rekid, Wolmax, Duofix &amp; Kidzone</v>
      </c>
      <c r="C35" s="65">
        <f>VLOOKUP(A35,Ersatzteilpreiseliste!A:F,6,FALSE)</f>
        <v>6</v>
      </c>
      <c r="D35" s="80" t="s">
        <v>28</v>
      </c>
      <c r="E35" s="67">
        <f>VLOOKUP(A35,Ersatzteilpreiseliste!A:R,18,FALSE)</f>
        <v>7350057584194</v>
      </c>
      <c r="F35" s="206"/>
      <c r="G35" s="69" t="str">
        <f t="shared" si="0"/>
        <v/>
      </c>
      <c r="H35" s="64">
        <v>3</v>
      </c>
    </row>
    <row r="36" spans="1:8" s="1" customFormat="1">
      <c r="A36" s="202">
        <v>1003124</v>
      </c>
      <c r="B36" s="68" t="str">
        <f>VLOOKUP(A36,Ersatzteilpreiseliste!A:C,3,FALSE)</f>
        <v>Ersatzteil - 5 Punkt Gurtsystem Holmberg</v>
      </c>
      <c r="C36" s="65">
        <f>VLOOKUP(A36,Ersatzteilpreiseliste!A:F,6,FALSE)</f>
        <v>60</v>
      </c>
      <c r="D36" s="80" t="s">
        <v>28</v>
      </c>
      <c r="E36" s="67">
        <f>VLOOKUP(A36,Ersatzteilpreiseliste!A:R,18,FALSE)</f>
        <v>7350057583968</v>
      </c>
      <c r="F36" s="206"/>
      <c r="G36" s="69" t="str">
        <f t="shared" si="0"/>
        <v/>
      </c>
      <c r="H36" s="64">
        <v>3</v>
      </c>
    </row>
    <row r="37" spans="1:8" s="1" customFormat="1">
      <c r="A37" s="202">
        <v>1003400</v>
      </c>
      <c r="B37" s="68" t="str">
        <f>VLOOKUP(A37,Ersatzteilpreiseliste!A:C,3,FALSE)</f>
        <v>Ersatzteil - Gurtaufroller [Links]</v>
      </c>
      <c r="C37" s="65">
        <f>VLOOKUP(A37,Ersatzteilpreiseliste!A:F,6,FALSE)</f>
        <v>46</v>
      </c>
      <c r="D37" s="80" t="s">
        <v>28</v>
      </c>
      <c r="E37" s="67">
        <f>VLOOKUP(A37,Ersatzteilpreiseliste!A:R,18,FALSE)</f>
        <v>7350057584019</v>
      </c>
      <c r="F37" s="206"/>
      <c r="G37" s="69" t="str">
        <f t="shared" si="0"/>
        <v/>
      </c>
      <c r="H37" s="64">
        <v>1</v>
      </c>
    </row>
    <row r="38" spans="1:8" s="1" customFormat="1">
      <c r="A38" s="202">
        <v>1003409</v>
      </c>
      <c r="B38" s="68" t="str">
        <f>VLOOKUP(A38,Ersatzteilpreiseliste!A:C,3,FALSE)</f>
        <v>Ersatzteil - Gurtaufroller [Rechts]</v>
      </c>
      <c r="C38" s="65">
        <f>VLOOKUP(A38,Ersatzteilpreiseliste!A:F,6,FALSE)</f>
        <v>46</v>
      </c>
      <c r="D38" s="80" t="s">
        <v>28</v>
      </c>
      <c r="E38" s="67">
        <f>VLOOKUP(A38,Ersatzteilpreiseliste!A:R,18,FALSE)</f>
        <v>7350057584026</v>
      </c>
      <c r="F38" s="206"/>
      <c r="G38" s="69" t="str">
        <f t="shared" si="0"/>
        <v/>
      </c>
      <c r="H38" s="64">
        <v>1</v>
      </c>
    </row>
    <row r="39" spans="1:8" s="1" customFormat="1">
      <c r="A39" s="202">
        <v>1100791</v>
      </c>
      <c r="B39" s="68" t="str">
        <f>VLOOKUP(A39,Ersatzteilpreiseliste!A:C,3,FALSE)</f>
        <v>Ersatzteil - Bremseinheit Kopfstütze - Modukid Seat, Minikid, Rekid, Duofix &amp; Kidzone</v>
      </c>
      <c r="C39" s="65">
        <f>VLOOKUP(A39,Ersatzteilpreiseliste!A:F,6,FALSE)</f>
        <v>6</v>
      </c>
      <c r="D39" s="80" t="s">
        <v>28</v>
      </c>
      <c r="E39" s="67">
        <f>VLOOKUP(A39,Ersatzteilpreiseliste!A:R,18,FALSE)</f>
        <v>7350057584088</v>
      </c>
      <c r="F39" s="206"/>
      <c r="G39" s="69" t="str">
        <f t="shared" si="0"/>
        <v/>
      </c>
      <c r="H39" s="64">
        <v>2</v>
      </c>
    </row>
    <row r="40" spans="1:8" s="1" customFormat="1">
      <c r="A40" s="202">
        <v>1101281</v>
      </c>
      <c r="B40" s="68" t="str">
        <f>VLOOKUP(A40,Ersatzteilpreiseliste!A:C,3,FALSE)</f>
        <v>Ersatzteil - Spannrolle Kopfstütze - Minikid 1 &amp; Rekid</v>
      </c>
      <c r="C40" s="65">
        <f>VLOOKUP(A40,Ersatzteilpreiseliste!A:F,6,FALSE)</f>
        <v>54</v>
      </c>
      <c r="D40" s="80" t="s">
        <v>28</v>
      </c>
      <c r="E40" s="67">
        <f>VLOOKUP(A40,Ersatzteilpreiseliste!A:R,18,FALSE)</f>
        <v>7350057584224</v>
      </c>
      <c r="F40" s="206"/>
      <c r="G40" s="69" t="str">
        <f t="shared" si="0"/>
        <v/>
      </c>
      <c r="H40" s="64">
        <v>2</v>
      </c>
    </row>
    <row r="41" spans="1:8" s="72" customFormat="1">
      <c r="A41" s="202">
        <v>1003207</v>
      </c>
      <c r="B41" s="68" t="str">
        <f>VLOOKUP(A41,Ersatzteilpreiseliste!A:C,3,FALSE)</f>
        <v>Ersatzteil - Gurtabdeckung</v>
      </c>
      <c r="C41" s="65">
        <f>VLOOKUP(A41,Ersatzteilpreiseliste!A:F,6,FALSE)</f>
        <v>6</v>
      </c>
      <c r="D41" s="80" t="s">
        <v>28</v>
      </c>
      <c r="E41" s="67">
        <f>VLOOKUP(A41,Ersatzteilpreiseliste!A:R,18,FALSE)</f>
        <v>7350057583999</v>
      </c>
      <c r="F41" s="206"/>
      <c r="G41" s="83" t="str">
        <f t="shared" si="0"/>
        <v/>
      </c>
      <c r="H41" s="64">
        <v>1</v>
      </c>
    </row>
    <row r="42" spans="1:8">
      <c r="A42" s="202">
        <v>1900028</v>
      </c>
      <c r="B42" s="68" t="s">
        <v>32</v>
      </c>
      <c r="C42" s="65">
        <f>VLOOKUP(A42,Ersatzteilpreiseliste!A:F,6,FALSE)</f>
        <v>0.2</v>
      </c>
      <c r="D42" s="80" t="s">
        <v>28</v>
      </c>
      <c r="E42" s="67">
        <f>VLOOKUP(A42,Ersatzteilpreiseliste!A:R,18,FALSE)</f>
        <v>7350057584101</v>
      </c>
      <c r="F42" s="206"/>
      <c r="G42" s="69"/>
    </row>
    <row r="43" spans="1:8" ht="15.75" thickBot="1">
      <c r="A43" s="84"/>
      <c r="B43" s="81"/>
      <c r="C43" s="81"/>
      <c r="D43" s="81"/>
      <c r="E43" s="81"/>
      <c r="F43" s="81"/>
      <c r="G43" s="71"/>
    </row>
  </sheetData>
  <sheetProtection algorithmName="SHA-512" hashValue="+woYd+w0ZvK5DSsO/n+rt79PUKyO37I40D34NeUKZZ9SOP3HqFEZYN8j89518DfRq1e2iJfQKxn2qZ0QDp7Rqg==" saltValue="vrPf5WQzSvb3lH1qJjob4g==" spinCount="100000" sheet="1" selectLockedCells="1"/>
  <mergeCells count="23">
    <mergeCell ref="A24:B24"/>
    <mergeCell ref="J24:K24"/>
    <mergeCell ref="J19:K19"/>
    <mergeCell ref="J20:K20"/>
    <mergeCell ref="J21:K21"/>
    <mergeCell ref="J22:K22"/>
    <mergeCell ref="J23:K23"/>
    <mergeCell ref="B15:G15"/>
    <mergeCell ref="F10:G10"/>
    <mergeCell ref="B14:G14"/>
    <mergeCell ref="F24:G24"/>
    <mergeCell ref="B16:G16"/>
    <mergeCell ref="B17:G17"/>
    <mergeCell ref="A22:E22"/>
    <mergeCell ref="F22:G22"/>
    <mergeCell ref="A23:E23"/>
    <mergeCell ref="F23:G23"/>
    <mergeCell ref="F19:G19"/>
    <mergeCell ref="A19:E19"/>
    <mergeCell ref="A20:E20"/>
    <mergeCell ref="F20:G20"/>
    <mergeCell ref="A21:E21"/>
    <mergeCell ref="F21:G21"/>
  </mergeCells>
  <pageMargins left="0.70866141732283472" right="0.70866141732283472" top="0.19685039370078741" bottom="0.19685039370078741" header="0.31496062992125984" footer="0.31496062992125984"/>
  <pageSetup paperSize="9" scale="9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8F51-59D6-4120-AE4B-49C1BB654F55}">
  <sheetPr codeName="Blad9">
    <tabColor rgb="FF00B050"/>
  </sheetPr>
  <dimension ref="A1:K38"/>
  <sheetViews>
    <sheetView zoomScale="85" zoomScaleNormal="85" workbookViewId="0">
      <selection activeCell="F27" sqref="F27:F28"/>
    </sheetView>
  </sheetViews>
  <sheetFormatPr defaultColWidth="10.7109375" defaultRowHeight="15"/>
  <cols>
    <col min="1" max="1" width="16.42578125" customWidth="1"/>
    <col min="2" max="2" width="45.42578125" customWidth="1"/>
    <col min="3" max="3" width="12.42578125" customWidth="1"/>
    <col min="4" max="5" width="18.42578125" customWidth="1"/>
    <col min="6" max="7" width="12.42578125" customWidth="1"/>
    <col min="8" max="8" width="10.7109375" style="64" hidden="1" customWidth="1"/>
  </cols>
  <sheetData>
    <row r="1" spans="1:11" s="87" customFormat="1" ht="19.5" thickBot="1">
      <c r="A1" s="169" t="s">
        <v>0</v>
      </c>
      <c r="B1" s="170"/>
      <c r="C1" s="170"/>
      <c r="D1" s="170"/>
      <c r="E1" s="170"/>
      <c r="F1" s="204" t="s">
        <v>1</v>
      </c>
      <c r="G1" s="171"/>
      <c r="H1" s="86"/>
      <c r="I1" s="86"/>
      <c r="J1" s="86"/>
      <c r="K1" s="86"/>
    </row>
    <row r="2" spans="1:11" s="87" customFormat="1">
      <c r="A2" s="159"/>
      <c r="B2" s="157"/>
      <c r="C2" s="157"/>
      <c r="D2" s="157"/>
      <c r="E2" s="157"/>
      <c r="F2" s="157"/>
      <c r="G2" s="160"/>
      <c r="H2" s="89"/>
      <c r="I2" s="90"/>
      <c r="J2" s="90"/>
      <c r="K2" s="90"/>
    </row>
    <row r="3" spans="1:11" s="87" customFormat="1">
      <c r="A3" s="161" t="s">
        <v>2</v>
      </c>
      <c r="B3" s="158"/>
      <c r="C3" s="158"/>
      <c r="D3" s="158"/>
      <c r="E3" s="158"/>
      <c r="F3" s="158"/>
      <c r="G3" s="162"/>
      <c r="H3" s="89"/>
      <c r="I3" s="90"/>
      <c r="J3" s="90"/>
      <c r="K3" s="90"/>
    </row>
    <row r="4" spans="1:11" s="87" customFormat="1">
      <c r="A4" s="161" t="s">
        <v>3</v>
      </c>
      <c r="B4" s="158"/>
      <c r="C4" s="158"/>
      <c r="D4" s="158"/>
      <c r="E4" s="158"/>
      <c r="F4" s="158"/>
      <c r="G4" s="162"/>
      <c r="H4" s="91"/>
      <c r="I4" s="92"/>
      <c r="J4" s="92"/>
      <c r="K4" s="92"/>
    </row>
    <row r="5" spans="1:11" s="87" customFormat="1">
      <c r="A5" s="161" t="s">
        <v>4</v>
      </c>
      <c r="B5" s="92"/>
      <c r="D5" s="168"/>
      <c r="E5" s="168"/>
      <c r="F5" s="168"/>
      <c r="G5" s="164"/>
      <c r="H5" s="91"/>
      <c r="I5" s="92"/>
      <c r="J5" s="92"/>
      <c r="K5" s="92"/>
    </row>
    <row r="6" spans="1:11" s="87" customFormat="1">
      <c r="A6" t="s">
        <v>5</v>
      </c>
      <c r="B6" s="92"/>
      <c r="C6" s="168"/>
      <c r="D6" s="168"/>
      <c r="E6" s="168"/>
      <c r="F6" s="168"/>
      <c r="G6" s="164"/>
      <c r="H6" s="91"/>
      <c r="I6" s="92"/>
      <c r="J6" s="92"/>
      <c r="K6" s="92"/>
    </row>
    <row r="7" spans="1:11" s="87" customFormat="1">
      <c r="A7" s="163"/>
      <c r="B7" s="92"/>
      <c r="C7" s="168"/>
      <c r="D7" s="168"/>
      <c r="E7" s="168"/>
      <c r="F7" s="168"/>
      <c r="G7" s="164"/>
      <c r="H7" s="91"/>
      <c r="I7" s="92"/>
      <c r="J7" s="92"/>
      <c r="K7" s="92"/>
    </row>
    <row r="8" spans="1:11" s="87" customFormat="1" ht="15.75" thickBot="1">
      <c r="A8" s="165"/>
      <c r="B8" s="166"/>
      <c r="C8" s="166"/>
      <c r="D8" s="166"/>
      <c r="E8" s="166"/>
      <c r="F8" s="166"/>
      <c r="G8" s="167"/>
      <c r="H8" s="89"/>
      <c r="I8" s="92"/>
      <c r="J8" s="92"/>
      <c r="K8" s="92"/>
    </row>
    <row r="9" spans="1:11" s="87" customFormat="1">
      <c r="A9" s="183" t="s">
        <v>6</v>
      </c>
      <c r="B9" s="184"/>
      <c r="C9" s="184"/>
      <c r="D9" s="184"/>
      <c r="E9" s="184"/>
      <c r="F9" s="184"/>
      <c r="G9" s="185"/>
      <c r="H9" s="89"/>
      <c r="I9" s="90"/>
      <c r="J9" s="90"/>
      <c r="K9" s="90"/>
    </row>
    <row r="10" spans="1:11" s="87" customFormat="1">
      <c r="A10" s="186" t="s">
        <v>7</v>
      </c>
      <c r="B10" s="181"/>
      <c r="C10" s="187" t="s">
        <v>8</v>
      </c>
      <c r="D10" s="188"/>
      <c r="E10" s="187" t="s">
        <v>9</v>
      </c>
      <c r="F10" s="245"/>
      <c r="G10" s="246"/>
      <c r="H10" s="89"/>
      <c r="I10" s="90"/>
      <c r="J10" s="90"/>
      <c r="K10" s="90"/>
    </row>
    <row r="11" spans="1:11" s="87" customFormat="1">
      <c r="A11" s="189" t="s">
        <v>10</v>
      </c>
      <c r="B11" s="182"/>
      <c r="C11" s="190"/>
      <c r="D11" s="190"/>
      <c r="E11" s="190"/>
      <c r="F11" s="190"/>
      <c r="G11" s="191"/>
      <c r="H11" s="89"/>
      <c r="I11" s="90"/>
      <c r="J11" s="90"/>
      <c r="K11" s="90"/>
    </row>
    <row r="12" spans="1:11" s="87" customFormat="1">
      <c r="A12" s="192"/>
      <c r="B12" s="190"/>
      <c r="C12" s="190"/>
      <c r="D12" s="190"/>
      <c r="E12" s="190"/>
      <c r="F12" s="190"/>
      <c r="G12" s="191"/>
      <c r="H12" s="89"/>
      <c r="I12" s="90"/>
      <c r="J12" s="90"/>
      <c r="K12" s="90"/>
    </row>
    <row r="13" spans="1:11" s="87" customFormat="1">
      <c r="A13" s="193" t="s">
        <v>11</v>
      </c>
      <c r="B13" s="190"/>
      <c r="C13" s="190"/>
      <c r="D13" s="190"/>
      <c r="E13" s="190"/>
      <c r="F13" s="190"/>
      <c r="G13" s="191"/>
      <c r="H13" s="89"/>
      <c r="I13" s="90"/>
      <c r="J13" s="90"/>
      <c r="K13" s="90"/>
    </row>
    <row r="14" spans="1:11" s="87" customFormat="1">
      <c r="A14" s="186" t="s">
        <v>12</v>
      </c>
      <c r="B14" s="245"/>
      <c r="C14" s="247"/>
      <c r="D14" s="247"/>
      <c r="E14" s="247"/>
      <c r="F14" s="247"/>
      <c r="G14" s="246"/>
      <c r="H14" s="89"/>
      <c r="I14" s="90"/>
      <c r="J14" s="90"/>
      <c r="K14" s="90"/>
    </row>
    <row r="15" spans="1:11" s="87" customFormat="1">
      <c r="A15" s="189" t="s">
        <v>13</v>
      </c>
      <c r="B15" s="245"/>
      <c r="C15" s="247"/>
      <c r="D15" s="247"/>
      <c r="E15" s="247"/>
      <c r="F15" s="247"/>
      <c r="G15" s="246"/>
      <c r="H15" s="89"/>
      <c r="I15" s="90"/>
      <c r="J15" s="90"/>
      <c r="K15" s="90"/>
    </row>
    <row r="16" spans="1:11" s="87" customFormat="1">
      <c r="A16" s="186" t="s">
        <v>14</v>
      </c>
      <c r="B16" s="245"/>
      <c r="C16" s="247"/>
      <c r="D16" s="247"/>
      <c r="E16" s="247"/>
      <c r="F16" s="247"/>
      <c r="G16" s="246"/>
      <c r="H16" s="89"/>
      <c r="I16" s="90"/>
      <c r="J16" s="90"/>
      <c r="K16" s="90"/>
    </row>
    <row r="17" spans="1:11" s="87" customFormat="1" ht="15.75" thickBot="1">
      <c r="A17" s="186"/>
      <c r="B17" s="248"/>
      <c r="C17" s="249"/>
      <c r="D17" s="249"/>
      <c r="E17" s="249"/>
      <c r="F17" s="249"/>
      <c r="G17" s="250"/>
      <c r="H17" s="89"/>
      <c r="I17" s="90"/>
      <c r="J17" s="90"/>
      <c r="K17" s="90"/>
    </row>
    <row r="18" spans="1:11" s="87" customFormat="1" ht="15.75" thickBot="1">
      <c r="A18" s="174"/>
      <c r="B18" s="92"/>
      <c r="C18" s="92"/>
      <c r="D18" s="92"/>
      <c r="E18" s="92"/>
      <c r="F18" s="92"/>
      <c r="G18" s="164"/>
      <c r="H18" s="89"/>
      <c r="I18" s="92"/>
      <c r="J18" s="92"/>
      <c r="K18" s="92"/>
    </row>
    <row r="19" spans="1:11" s="87" customFormat="1">
      <c r="A19" s="241" t="s">
        <v>15</v>
      </c>
      <c r="B19" s="242"/>
      <c r="C19" s="242"/>
      <c r="D19" s="242"/>
      <c r="E19" s="242"/>
      <c r="F19" s="243" t="str">
        <f>IF(SUM(F27:F45)=0,"",H19*Aufwand!C2)</f>
        <v/>
      </c>
      <c r="G19" s="244"/>
      <c r="H19" s="93" t="str">
        <f>IF(SUM(F27:F43)=0,"",SUM(G27:G43))</f>
        <v/>
      </c>
      <c r="I19" s="90"/>
      <c r="J19" s="228"/>
      <c r="K19" s="228"/>
    </row>
    <row r="20" spans="1:11" s="87" customFormat="1">
      <c r="A20" s="224" t="s">
        <v>16</v>
      </c>
      <c r="B20" s="225"/>
      <c r="C20" s="225"/>
      <c r="D20" s="225"/>
      <c r="E20" s="225"/>
      <c r="F20" s="229"/>
      <c r="G20" s="230"/>
      <c r="H20" s="89"/>
      <c r="I20" s="90"/>
      <c r="J20" s="228"/>
      <c r="K20" s="228"/>
    </row>
    <row r="21" spans="1:11" s="87" customFormat="1">
      <c r="A21" s="224" t="s">
        <v>17</v>
      </c>
      <c r="B21" s="225"/>
      <c r="C21" s="225"/>
      <c r="D21" s="225"/>
      <c r="E21" s="225"/>
      <c r="F21" s="226"/>
      <c r="G21" s="227"/>
      <c r="H21" s="89"/>
      <c r="I21" s="90"/>
      <c r="J21" s="228"/>
      <c r="K21" s="228"/>
    </row>
    <row r="22" spans="1:11" s="87" customFormat="1">
      <c r="A22" s="224" t="s">
        <v>18</v>
      </c>
      <c r="B22" s="225"/>
      <c r="C22" s="225"/>
      <c r="D22" s="225"/>
      <c r="E22" s="225"/>
      <c r="F22" s="226"/>
      <c r="G22" s="227"/>
      <c r="H22" s="89"/>
      <c r="I22" s="90"/>
      <c r="J22" s="228"/>
      <c r="K22" s="228"/>
    </row>
    <row r="23" spans="1:11" s="87" customFormat="1">
      <c r="A23" s="236" t="s">
        <v>19</v>
      </c>
      <c r="B23" s="237"/>
      <c r="C23" s="237"/>
      <c r="D23" s="237"/>
      <c r="E23" s="237"/>
      <c r="F23" s="238" t="str">
        <f>IF(F24="","",F24-(F24/1.19))</f>
        <v/>
      </c>
      <c r="G23" s="239"/>
      <c r="H23" s="89"/>
      <c r="I23" s="90"/>
      <c r="J23" s="240"/>
      <c r="K23" s="240"/>
    </row>
    <row r="24" spans="1:11" s="87" customFormat="1" ht="16.5" customHeight="1" thickBot="1">
      <c r="A24" s="231" t="s">
        <v>20</v>
      </c>
      <c r="B24" s="232"/>
      <c r="C24" s="94"/>
      <c r="D24" s="94"/>
      <c r="E24" s="96" t="s">
        <v>21</v>
      </c>
      <c r="F24" s="233" t="str">
        <f>IF(F19="","",SUM(F19:F22))</f>
        <v/>
      </c>
      <c r="G24" s="234"/>
      <c r="H24" s="89"/>
      <c r="I24" s="90"/>
      <c r="J24" s="235"/>
      <c r="K24" s="235"/>
    </row>
    <row r="25" spans="1:11" s="1" customFormat="1" ht="7.15" customHeight="1">
      <c r="A25" s="79"/>
      <c r="G25" s="63"/>
      <c r="H25" s="64"/>
    </row>
    <row r="26" spans="1:11">
      <c r="A26" s="73" t="s">
        <v>22</v>
      </c>
      <c r="B26" s="74" t="s">
        <v>23</v>
      </c>
      <c r="C26" s="75" t="s">
        <v>29</v>
      </c>
      <c r="D26" s="76" t="s">
        <v>34</v>
      </c>
      <c r="E26" s="76" t="s">
        <v>31</v>
      </c>
      <c r="F26" s="77" t="s">
        <v>27</v>
      </c>
      <c r="G26" s="78" t="s">
        <v>15</v>
      </c>
    </row>
    <row r="27" spans="1:11" s="1" customFormat="1" ht="15" customHeight="1">
      <c r="A27" s="202">
        <v>1002108</v>
      </c>
      <c r="B27" s="68" t="str">
        <f>VLOOKUP(A27,Ersatzteilpreiseliste!A:C,3,FALSE)</f>
        <v>Ersatzteil - Schaumstoff Sitzfläche Geklebt</v>
      </c>
      <c r="C27" s="65">
        <f>VLOOKUP(A27,Ersatzteilpreiseliste!A:F,6,FALSE)</f>
        <v>8</v>
      </c>
      <c r="D27" s="80" t="s">
        <v>28</v>
      </c>
      <c r="E27" s="67">
        <f>VLOOKUP(A27,Ersatzteilpreiseliste!A:R,18,FALSE)</f>
        <v>7350057583746</v>
      </c>
      <c r="F27" s="206"/>
      <c r="G27" s="69" t="str">
        <f t="shared" ref="G27:G36" si="0">IF(F27="","",H27)</f>
        <v/>
      </c>
      <c r="H27" s="64">
        <v>1</v>
      </c>
    </row>
    <row r="28" spans="1:11" s="1" customFormat="1" ht="15" customHeight="1">
      <c r="A28" s="202">
        <v>1101232</v>
      </c>
      <c r="B28" s="68" t="str">
        <f>VLOOKUP(A28,Ersatzteilpreiseliste!A:C,3,FALSE)</f>
        <v>Kopfstütze</v>
      </c>
      <c r="C28" s="65">
        <f>VLOOKUP(A28,Ersatzteilpreiseliste!A:F,6,FALSE)</f>
        <v>24</v>
      </c>
      <c r="D28" s="80" t="s">
        <v>28</v>
      </c>
      <c r="E28" s="67">
        <f>VLOOKUP(A28,Ersatzteilpreiseliste!A:R,18,FALSE)</f>
        <v>7350057583784</v>
      </c>
      <c r="F28" s="206"/>
      <c r="G28" s="69" t="str">
        <f t="shared" si="0"/>
        <v/>
      </c>
      <c r="H28" s="64">
        <v>2</v>
      </c>
    </row>
    <row r="29" spans="1:11" s="1" customFormat="1" ht="15" customHeight="1">
      <c r="A29" s="202">
        <v>1002118</v>
      </c>
      <c r="B29" s="68" t="str">
        <f>VLOOKUP(A29,Ersatzteilpreiseliste!A:C,3,FALSE)</f>
        <v>Ersatzteil - Styropor [Links] - Move &amp; Wolmax</v>
      </c>
      <c r="C29" s="65">
        <f>VLOOKUP(A29,Ersatzteilpreiseliste!A:F,6,FALSE)</f>
        <v>14</v>
      </c>
      <c r="D29" s="80" t="s">
        <v>28</v>
      </c>
      <c r="E29" s="67">
        <f>VLOOKUP(A29,Ersatzteilpreiseliste!A:R,18,FALSE)</f>
        <v>7350057583838</v>
      </c>
      <c r="F29" s="206"/>
      <c r="G29" s="69" t="str">
        <f t="shared" si="0"/>
        <v/>
      </c>
      <c r="H29" s="64">
        <v>2</v>
      </c>
    </row>
    <row r="30" spans="1:11" s="1" customFormat="1" ht="15" customHeight="1">
      <c r="A30" s="202">
        <v>1002119</v>
      </c>
      <c r="B30" s="68" t="str">
        <f>VLOOKUP(A30,Ersatzteilpreiseliste!A:C,3,FALSE)</f>
        <v>Ersatzteil - Styropor [Rechts] - Move &amp; Wolmax</v>
      </c>
      <c r="C30" s="65">
        <f>VLOOKUP(A30,Ersatzteilpreiseliste!A:F,6,FALSE)</f>
        <v>14</v>
      </c>
      <c r="D30" s="80" t="s">
        <v>28</v>
      </c>
      <c r="E30" s="67">
        <f>VLOOKUP(A30,Ersatzteilpreiseliste!A:R,18,FALSE)</f>
        <v>7350057583845</v>
      </c>
      <c r="F30" s="206"/>
      <c r="G30" s="69" t="str">
        <f t="shared" si="0"/>
        <v/>
      </c>
      <c r="H30" s="64">
        <v>2</v>
      </c>
    </row>
    <row r="31" spans="1:11" s="1" customFormat="1" ht="15" customHeight="1">
      <c r="A31" s="202">
        <v>1002117</v>
      </c>
      <c r="B31" s="70" t="str">
        <f>VLOOKUP(A31,Ersatzteilpreiseliste!A:C,3,FALSE)</f>
        <v>Ersatzteil - Styropor [Rücken] - Move &amp; Wolmax</v>
      </c>
      <c r="C31" s="65">
        <f>VLOOKUP(A31,Ersatzteilpreiseliste!A:F,6,FALSE)</f>
        <v>14</v>
      </c>
      <c r="D31" s="80" t="s">
        <v>28</v>
      </c>
      <c r="E31" s="67">
        <f>VLOOKUP(A31,Ersatzteilpreiseliste!A:R,18,FALSE)</f>
        <v>7350057583883</v>
      </c>
      <c r="F31" s="206"/>
      <c r="G31" s="69" t="str">
        <f t="shared" si="0"/>
        <v/>
      </c>
      <c r="H31" s="64">
        <v>2</v>
      </c>
    </row>
    <row r="32" spans="1:11" s="1" customFormat="1" ht="15" customHeight="1">
      <c r="A32" s="202">
        <v>1100939</v>
      </c>
      <c r="B32" s="68" t="str">
        <f>VLOOKUP(A32,Ersatzteilpreiseliste!A:C,3,FALSE)</f>
        <v>Ersatzteil - Gurtklemme [Blau]</v>
      </c>
      <c r="C32" s="65">
        <f>VLOOKUP(A32,Ersatzteilpreiseliste!A:F,6,FALSE)</f>
        <v>6</v>
      </c>
      <c r="D32" s="80" t="s">
        <v>28</v>
      </c>
      <c r="E32" s="67">
        <f>VLOOKUP(A32,Ersatzteilpreiseliste!A:R,18,FALSE)</f>
        <v>7350057583890</v>
      </c>
      <c r="F32" s="206"/>
      <c r="G32" s="69" t="str">
        <f t="shared" si="0"/>
        <v/>
      </c>
      <c r="H32" s="64">
        <v>1</v>
      </c>
    </row>
    <row r="33" spans="1:8" s="1" customFormat="1" ht="15" customHeight="1">
      <c r="A33" s="202">
        <v>1004445</v>
      </c>
      <c r="B33" s="68" t="str">
        <f>VLOOKUP(A33,Ersatzteilpreiseliste!A:C,3,FALSE)</f>
        <v>Ersatzteil - Stützfuß - Minikid 2 &amp; Move</v>
      </c>
      <c r="C33" s="65">
        <f>VLOOKUP(A33,Ersatzteilpreiseliste!A:F,6,FALSE)</f>
        <v>60</v>
      </c>
      <c r="D33" s="80" t="s">
        <v>28</v>
      </c>
      <c r="E33" s="67">
        <f>VLOOKUP(A33,Ersatzteilpreiseliste!A:R,18,FALSE)</f>
        <v>7350057583913</v>
      </c>
      <c r="F33" s="206"/>
      <c r="G33" s="69" t="str">
        <f t="shared" si="0"/>
        <v/>
      </c>
      <c r="H33" s="64">
        <v>3</v>
      </c>
    </row>
    <row r="34" spans="1:8" s="1" customFormat="1" ht="15" customHeight="1">
      <c r="A34" s="202">
        <v>1101314</v>
      </c>
      <c r="B34" s="68" t="str">
        <f>VLOOKUP(A34,Ersatzteilpreiseliste!A:C,3,FALSE)</f>
        <v>Ersatzteil - Gurt für Stützfuß - Minikid 2 &amp; Move</v>
      </c>
      <c r="C34" s="65">
        <f>VLOOKUP(A34,Ersatzteilpreiseliste!A:F,6,FALSE)</f>
        <v>6</v>
      </c>
      <c r="D34" s="80" t="s">
        <v>28</v>
      </c>
      <c r="E34" s="67">
        <f>VLOOKUP(A34,Ersatzteilpreiseliste!A:R,18,FALSE)</f>
        <v>7350057584187</v>
      </c>
      <c r="F34" s="206"/>
      <c r="G34" s="69" t="str">
        <f t="shared" si="0"/>
        <v/>
      </c>
      <c r="H34" s="64">
        <v>3</v>
      </c>
    </row>
    <row r="35" spans="1:8" s="1" customFormat="1" ht="15" customHeight="1">
      <c r="A35" s="202">
        <v>1003124</v>
      </c>
      <c r="B35" s="68" t="str">
        <f>VLOOKUP(A35,Ersatzteilpreiseliste!A:C,3,FALSE)</f>
        <v>Ersatzteil - 5 Punkt Gurtsystem Holmberg</v>
      </c>
      <c r="C35" s="65">
        <f>VLOOKUP(A35,Ersatzteilpreiseliste!A:F,6,FALSE)</f>
        <v>60</v>
      </c>
      <c r="D35" s="80" t="s">
        <v>28</v>
      </c>
      <c r="E35" s="67">
        <f>VLOOKUP(A35,Ersatzteilpreiseliste!A:R,18,FALSE)</f>
        <v>7350057583968</v>
      </c>
      <c r="F35" s="206"/>
      <c r="G35" s="69" t="str">
        <f t="shared" si="0"/>
        <v/>
      </c>
      <c r="H35" s="64">
        <v>3</v>
      </c>
    </row>
    <row r="36" spans="1:8" s="72" customFormat="1" ht="15" customHeight="1">
      <c r="A36" s="202">
        <v>1003207</v>
      </c>
      <c r="B36" s="68" t="str">
        <f>VLOOKUP(A36,Ersatzteilpreiseliste!A:C,3,FALSE)</f>
        <v>Ersatzteil - Gurtabdeckung</v>
      </c>
      <c r="C36" s="65">
        <f>VLOOKUP(A36,Ersatzteilpreiseliste!A:F,6,FALSE)</f>
        <v>6</v>
      </c>
      <c r="D36" s="80" t="s">
        <v>28</v>
      </c>
      <c r="E36" s="67">
        <f>VLOOKUP(A36,Ersatzteilpreiseliste!A:R,18,FALSE)</f>
        <v>7350057583999</v>
      </c>
      <c r="F36" s="206"/>
      <c r="G36" s="83" t="str">
        <f t="shared" si="0"/>
        <v/>
      </c>
      <c r="H36" s="64">
        <v>1</v>
      </c>
    </row>
    <row r="37" spans="1:8">
      <c r="A37" s="202">
        <v>1900028</v>
      </c>
      <c r="B37" s="68" t="s">
        <v>32</v>
      </c>
      <c r="C37" s="65">
        <f>VLOOKUP(A37,Ersatzteilpreiseliste!A:F,6,FALSE)</f>
        <v>0.2</v>
      </c>
      <c r="D37" s="80" t="s">
        <v>28</v>
      </c>
      <c r="E37" s="67">
        <f>VLOOKUP(A37,Ersatzteilpreiseliste!A:R,18,FALSE)</f>
        <v>7350057584101</v>
      </c>
      <c r="F37" s="206"/>
      <c r="G37" s="69"/>
    </row>
    <row r="38" spans="1:8" ht="15.75" thickBot="1">
      <c r="A38" s="84"/>
      <c r="B38" s="81"/>
      <c r="C38" s="81"/>
      <c r="D38" s="81"/>
      <c r="E38" s="81"/>
      <c r="F38" s="81"/>
      <c r="G38" s="71"/>
    </row>
  </sheetData>
  <sheetProtection algorithmName="SHA-512" hashValue="smlJlBucq4Kthmm3VHb+43xZXN2DJlTw9ouE6yMtBSBiI08ADsDdOuzOJ7WYUaSXZoiGq3Hm+AtoyMzHqpy8Dg==" saltValue="FBIyr+hxxQuptOyYBTCk0Q==" spinCount="100000" sheet="1" selectLockedCells="1"/>
  <mergeCells count="23">
    <mergeCell ref="A24:B24"/>
    <mergeCell ref="J24:K24"/>
    <mergeCell ref="J19:K19"/>
    <mergeCell ref="J20:K20"/>
    <mergeCell ref="J21:K21"/>
    <mergeCell ref="J22:K22"/>
    <mergeCell ref="J23:K23"/>
    <mergeCell ref="B15:G15"/>
    <mergeCell ref="F10:G10"/>
    <mergeCell ref="B14:G14"/>
    <mergeCell ref="F24:G24"/>
    <mergeCell ref="B16:G16"/>
    <mergeCell ref="B17:G17"/>
    <mergeCell ref="A22:E22"/>
    <mergeCell ref="F22:G22"/>
    <mergeCell ref="A23:E23"/>
    <mergeCell ref="F23:G23"/>
    <mergeCell ref="F19:G19"/>
    <mergeCell ref="A19:E19"/>
    <mergeCell ref="A20:E20"/>
    <mergeCell ref="F20:G20"/>
    <mergeCell ref="A21:E21"/>
    <mergeCell ref="F21:G21"/>
  </mergeCells>
  <pageMargins left="0.70866141732283472" right="0.70866141732283472" top="0.78740157480314965" bottom="0.78740157480314965" header="0.31496062992125984" footer="0.31496062992125984"/>
  <pageSetup paperSize="9" scale="8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9487-39EB-44E0-AF42-872815A783A0}">
  <sheetPr codeName="Blad4">
    <tabColor rgb="FF00B050"/>
  </sheetPr>
  <dimension ref="A1:K36"/>
  <sheetViews>
    <sheetView zoomScale="85" zoomScaleNormal="85" workbookViewId="0">
      <selection activeCell="F28" sqref="F27:F28"/>
    </sheetView>
  </sheetViews>
  <sheetFormatPr defaultColWidth="10.7109375" defaultRowHeight="15"/>
  <cols>
    <col min="1" max="1" width="16.42578125" customWidth="1"/>
    <col min="2" max="2" width="72.28515625" bestFit="1" customWidth="1"/>
    <col min="3" max="3" width="12.42578125" style="107" customWidth="1"/>
    <col min="4" max="5" width="18.42578125" customWidth="1"/>
    <col min="6" max="7" width="12.42578125" customWidth="1"/>
    <col min="8" max="8" width="10.7109375" style="64" hidden="1" customWidth="1"/>
  </cols>
  <sheetData>
    <row r="1" spans="1:11" s="87" customFormat="1" ht="19.5" thickBot="1">
      <c r="A1" s="169" t="s">
        <v>0</v>
      </c>
      <c r="B1" s="170"/>
      <c r="C1" s="170"/>
      <c r="D1" s="170"/>
      <c r="E1" s="170"/>
      <c r="F1" s="204" t="s">
        <v>1</v>
      </c>
      <c r="G1" s="171"/>
      <c r="H1" s="86"/>
      <c r="I1" s="86"/>
      <c r="J1" s="86"/>
      <c r="K1" s="86"/>
    </row>
    <row r="2" spans="1:11" s="87" customFormat="1">
      <c r="A2" s="159"/>
      <c r="B2" s="157"/>
      <c r="C2" s="157"/>
      <c r="D2" s="157"/>
      <c r="E2" s="157"/>
      <c r="F2" s="157"/>
      <c r="G2" s="160"/>
      <c r="H2" s="89"/>
      <c r="I2" s="90"/>
      <c r="J2" s="90"/>
      <c r="K2" s="90"/>
    </row>
    <row r="3" spans="1:11" s="87" customFormat="1">
      <c r="A3" s="161" t="s">
        <v>2</v>
      </c>
      <c r="B3" s="158"/>
      <c r="C3" s="158"/>
      <c r="D3" s="158"/>
      <c r="E3" s="158"/>
      <c r="F3" s="158"/>
      <c r="G3" s="162"/>
      <c r="H3" s="89"/>
      <c r="I3" s="90"/>
      <c r="J3" s="90"/>
      <c r="K3" s="90"/>
    </row>
    <row r="4" spans="1:11" s="87" customFormat="1">
      <c r="A4" s="161" t="s">
        <v>3</v>
      </c>
      <c r="B4" s="158"/>
      <c r="C4" s="158"/>
      <c r="D4" s="158"/>
      <c r="E4" s="158"/>
      <c r="F4" s="158"/>
      <c r="G4" s="162"/>
      <c r="H4" s="91"/>
      <c r="I4" s="92"/>
      <c r="J4" s="92"/>
      <c r="K4" s="92"/>
    </row>
    <row r="5" spans="1:11" s="87" customFormat="1">
      <c r="A5" s="161" t="s">
        <v>4</v>
      </c>
      <c r="B5" s="92"/>
      <c r="D5" s="168"/>
      <c r="E5" s="168"/>
      <c r="F5" s="168"/>
      <c r="G5" s="164"/>
      <c r="H5" s="91"/>
      <c r="I5" s="92"/>
      <c r="J5" s="92"/>
      <c r="K5" s="92"/>
    </row>
    <row r="6" spans="1:11" s="87" customFormat="1">
      <c r="A6" t="s">
        <v>5</v>
      </c>
      <c r="B6" s="92"/>
      <c r="C6" s="168"/>
      <c r="D6" s="168"/>
      <c r="E6" s="168"/>
      <c r="F6" s="168"/>
      <c r="G6" s="164"/>
      <c r="H6" s="91"/>
      <c r="I6" s="92"/>
      <c r="J6" s="92"/>
      <c r="K6" s="92"/>
    </row>
    <row r="7" spans="1:11" s="87" customFormat="1">
      <c r="A7" s="163"/>
      <c r="B7" s="92"/>
      <c r="C7" s="168"/>
      <c r="D7" s="168"/>
      <c r="E7" s="168"/>
      <c r="F7" s="168"/>
      <c r="G7" s="164"/>
      <c r="H7" s="91"/>
      <c r="I7" s="92"/>
      <c r="J7" s="92"/>
      <c r="K7" s="92"/>
    </row>
    <row r="8" spans="1:11" s="87" customFormat="1" ht="15.75" thickBot="1">
      <c r="A8" s="165"/>
      <c r="B8" s="166"/>
      <c r="C8" s="166"/>
      <c r="D8" s="166"/>
      <c r="E8" s="166"/>
      <c r="F8" s="166"/>
      <c r="G8" s="167"/>
      <c r="H8" s="89"/>
      <c r="I8" s="92"/>
      <c r="J8" s="92"/>
      <c r="K8" s="92"/>
    </row>
    <row r="9" spans="1:11" s="87" customFormat="1">
      <c r="A9" s="172" t="s">
        <v>6</v>
      </c>
      <c r="B9" s="88"/>
      <c r="C9" s="88"/>
      <c r="D9" s="88"/>
      <c r="E9" s="88"/>
      <c r="F9" s="88"/>
      <c r="G9" s="173"/>
      <c r="H9" s="89"/>
      <c r="I9" s="90"/>
      <c r="J9" s="90"/>
      <c r="K9" s="90"/>
    </row>
    <row r="10" spans="1:11" s="87" customFormat="1">
      <c r="A10" s="186" t="s">
        <v>7</v>
      </c>
      <c r="B10" s="181"/>
      <c r="C10" s="187" t="s">
        <v>8</v>
      </c>
      <c r="D10" s="188"/>
      <c r="E10" s="187" t="s">
        <v>9</v>
      </c>
      <c r="F10" s="245"/>
      <c r="G10" s="246"/>
      <c r="H10" s="89"/>
      <c r="I10" s="90"/>
      <c r="J10" s="90"/>
      <c r="K10" s="90"/>
    </row>
    <row r="11" spans="1:11" s="87" customFormat="1">
      <c r="A11" s="189" t="s">
        <v>10</v>
      </c>
      <c r="B11" s="182"/>
      <c r="C11" s="190"/>
      <c r="D11" s="190"/>
      <c r="E11" s="190"/>
      <c r="F11" s="190"/>
      <c r="G11" s="191"/>
      <c r="H11" s="89"/>
      <c r="I11" s="90"/>
      <c r="J11" s="90"/>
      <c r="K11" s="90"/>
    </row>
    <row r="12" spans="1:11" s="87" customFormat="1">
      <c r="A12" s="192"/>
      <c r="B12" s="190"/>
      <c r="C12" s="190"/>
      <c r="D12" s="190"/>
      <c r="E12" s="190"/>
      <c r="F12" s="190"/>
      <c r="G12" s="191"/>
      <c r="H12" s="89"/>
      <c r="I12" s="90"/>
      <c r="J12" s="90"/>
      <c r="K12" s="90"/>
    </row>
    <row r="13" spans="1:11" s="87" customFormat="1">
      <c r="A13" s="193" t="s">
        <v>11</v>
      </c>
      <c r="B13" s="190"/>
      <c r="C13" s="190"/>
      <c r="D13" s="190"/>
      <c r="E13" s="190"/>
      <c r="F13" s="190"/>
      <c r="G13" s="191"/>
      <c r="H13" s="89"/>
      <c r="I13" s="90"/>
      <c r="J13" s="90"/>
      <c r="K13" s="90"/>
    </row>
    <row r="14" spans="1:11" s="87" customFormat="1">
      <c r="A14" s="186" t="s">
        <v>12</v>
      </c>
      <c r="B14" s="245"/>
      <c r="C14" s="247"/>
      <c r="D14" s="247"/>
      <c r="E14" s="247"/>
      <c r="F14" s="247"/>
      <c r="G14" s="246"/>
      <c r="H14" s="89"/>
      <c r="I14" s="90"/>
      <c r="J14" s="90"/>
      <c r="K14" s="90"/>
    </row>
    <row r="15" spans="1:11" s="87" customFormat="1">
      <c r="A15" s="189" t="s">
        <v>13</v>
      </c>
      <c r="B15" s="245"/>
      <c r="C15" s="247"/>
      <c r="D15" s="247"/>
      <c r="E15" s="247"/>
      <c r="F15" s="247"/>
      <c r="G15" s="246"/>
      <c r="H15" s="89"/>
      <c r="I15" s="90"/>
      <c r="J15" s="90"/>
      <c r="K15" s="90"/>
    </row>
    <row r="16" spans="1:11" s="87" customFormat="1">
      <c r="A16" s="186" t="s">
        <v>14</v>
      </c>
      <c r="B16" s="245"/>
      <c r="C16" s="247"/>
      <c r="D16" s="247"/>
      <c r="E16" s="247"/>
      <c r="F16" s="247"/>
      <c r="G16" s="246"/>
      <c r="H16" s="89"/>
      <c r="I16" s="90"/>
      <c r="J16" s="90"/>
      <c r="K16" s="90"/>
    </row>
    <row r="17" spans="1:11" s="87" customFormat="1" ht="15.75" thickBot="1">
      <c r="A17" s="186"/>
      <c r="B17" s="248"/>
      <c r="C17" s="249"/>
      <c r="D17" s="249"/>
      <c r="E17" s="249"/>
      <c r="F17" s="249"/>
      <c r="G17" s="250"/>
      <c r="H17" s="89"/>
      <c r="I17" s="90"/>
      <c r="J17" s="90"/>
      <c r="K17" s="90"/>
    </row>
    <row r="18" spans="1:11" s="87" customFormat="1" ht="15.75" thickBot="1">
      <c r="A18" s="174"/>
      <c r="B18" s="92"/>
      <c r="C18" s="92"/>
      <c r="D18" s="92"/>
      <c r="E18" s="92"/>
      <c r="F18" s="92"/>
      <c r="G18" s="164"/>
      <c r="H18" s="89"/>
      <c r="I18" s="92"/>
      <c r="J18" s="92"/>
      <c r="K18" s="92"/>
    </row>
    <row r="19" spans="1:11" s="87" customFormat="1">
      <c r="A19" s="241" t="s">
        <v>15</v>
      </c>
      <c r="B19" s="242"/>
      <c r="C19" s="242"/>
      <c r="D19" s="242"/>
      <c r="E19" s="242"/>
      <c r="F19" s="243" t="str">
        <f>IF(SUM(F27:F45)=0,"",H19*Aufwand!C2)</f>
        <v/>
      </c>
      <c r="G19" s="244"/>
      <c r="H19" s="93" t="str">
        <f>IF(SUM(F27:F43)=0,"",SUM(G27:G43))</f>
        <v/>
      </c>
      <c r="I19" s="90"/>
      <c r="J19" s="228"/>
      <c r="K19" s="228"/>
    </row>
    <row r="20" spans="1:11" s="87" customFormat="1">
      <c r="A20" s="224" t="s">
        <v>16</v>
      </c>
      <c r="B20" s="225"/>
      <c r="C20" s="225"/>
      <c r="D20" s="225"/>
      <c r="E20" s="225"/>
      <c r="F20" s="229"/>
      <c r="G20" s="230"/>
      <c r="H20" s="89"/>
      <c r="I20" s="90"/>
      <c r="J20" s="228"/>
      <c r="K20" s="228"/>
    </row>
    <row r="21" spans="1:11" s="87" customFormat="1">
      <c r="A21" s="224" t="s">
        <v>17</v>
      </c>
      <c r="B21" s="225"/>
      <c r="C21" s="225"/>
      <c r="D21" s="225"/>
      <c r="E21" s="225"/>
      <c r="F21" s="226"/>
      <c r="G21" s="227"/>
      <c r="H21" s="89"/>
      <c r="I21" s="90"/>
      <c r="J21" s="228"/>
      <c r="K21" s="228"/>
    </row>
    <row r="22" spans="1:11" s="87" customFormat="1">
      <c r="A22" s="224" t="s">
        <v>18</v>
      </c>
      <c r="B22" s="225"/>
      <c r="C22" s="225"/>
      <c r="D22" s="225"/>
      <c r="E22" s="225"/>
      <c r="F22" s="226"/>
      <c r="G22" s="227"/>
      <c r="H22" s="89"/>
      <c r="I22" s="90"/>
      <c r="J22" s="228"/>
      <c r="K22" s="228"/>
    </row>
    <row r="23" spans="1:11" s="87" customFormat="1">
      <c r="A23" s="236" t="s">
        <v>19</v>
      </c>
      <c r="B23" s="237"/>
      <c r="C23" s="237"/>
      <c r="D23" s="237"/>
      <c r="E23" s="237"/>
      <c r="F23" s="238" t="str">
        <f>IF(F24="","",F24-(F24/1.19))</f>
        <v/>
      </c>
      <c r="G23" s="239"/>
      <c r="H23" s="89"/>
      <c r="I23" s="90"/>
      <c r="J23" s="240"/>
      <c r="K23" s="240"/>
    </row>
    <row r="24" spans="1:11" s="87" customFormat="1" ht="16.5" customHeight="1" thickBot="1">
      <c r="A24" s="231" t="s">
        <v>20</v>
      </c>
      <c r="B24" s="232"/>
      <c r="C24" s="94"/>
      <c r="D24" s="94"/>
      <c r="E24" s="96" t="s">
        <v>21</v>
      </c>
      <c r="F24" s="233" t="str">
        <f>IF(F19="","",SUM(F19:F22))</f>
        <v/>
      </c>
      <c r="G24" s="234"/>
      <c r="H24" s="89"/>
      <c r="I24" s="90"/>
      <c r="J24" s="235"/>
      <c r="K24" s="235"/>
    </row>
    <row r="25" spans="1:11" s="1" customFormat="1" ht="7.15" customHeight="1">
      <c r="A25" s="79"/>
      <c r="G25" s="63"/>
      <c r="H25" s="64"/>
    </row>
    <row r="26" spans="1:11" ht="14.65" customHeight="1">
      <c r="A26" s="73" t="s">
        <v>22</v>
      </c>
      <c r="B26" s="74" t="s">
        <v>23</v>
      </c>
      <c r="C26" s="75" t="s">
        <v>29</v>
      </c>
      <c r="D26" s="76" t="s">
        <v>35</v>
      </c>
      <c r="E26" s="76" t="s">
        <v>31</v>
      </c>
      <c r="F26" s="77" t="s">
        <v>27</v>
      </c>
      <c r="G26" s="78" t="s">
        <v>15</v>
      </c>
    </row>
    <row r="27" spans="1:11">
      <c r="A27" s="202">
        <v>1002321</v>
      </c>
      <c r="B27" s="68" t="str">
        <f>VLOOKUP(A27,Ersatzteilpreiseliste!A:C,3,FALSE)</f>
        <v>Ersatzteil - Schaumstoff Sitzfläche Geklebt - Modukid Seat</v>
      </c>
      <c r="C27" s="65">
        <f>VLOOKUP(A27,Ersatzteilpreiseliste!A:F,6,FALSE)</f>
        <v>8</v>
      </c>
      <c r="D27" s="80" t="s">
        <v>28</v>
      </c>
      <c r="E27" s="67">
        <f>VLOOKUP(A27,Ersatzteilpreiseliste!A:R,18,FALSE)</f>
        <v>7350057583739</v>
      </c>
      <c r="F27" s="206"/>
      <c r="G27" s="69" t="str">
        <f>IF(F27="","",H27)</f>
        <v/>
      </c>
      <c r="H27" s="64">
        <v>1</v>
      </c>
    </row>
    <row r="28" spans="1:11">
      <c r="A28" s="203">
        <v>1100815</v>
      </c>
      <c r="B28" s="106" t="str">
        <f>VLOOKUP(A28,Ersatzteilpreiseliste!A:C,3,FALSE)</f>
        <v>Kopfstütze</v>
      </c>
      <c r="C28" s="65">
        <f>VLOOKUP(A28,Ersatzteilpreiseliste!A:F,6,FALSE)</f>
        <v>24</v>
      </c>
      <c r="D28" s="80" t="s">
        <v>28</v>
      </c>
      <c r="E28" s="67">
        <f>VLOOKUP(A28,Ersatzteilpreiseliste!A:R,18,FALSE)</f>
        <v>7350057583753</v>
      </c>
      <c r="F28" s="206"/>
      <c r="G28" s="69" t="str">
        <f t="shared" ref="G28:G34" si="0">IF(F28="","",H28)</f>
        <v/>
      </c>
      <c r="H28" s="64">
        <v>2</v>
      </c>
    </row>
    <row r="29" spans="1:11">
      <c r="A29" s="202">
        <v>1101197</v>
      </c>
      <c r="B29" s="68" t="str">
        <f>VLOOKUP(A29,Ersatzteilpreiseliste!A:C,3,FALSE)</f>
        <v>Ersatzteil - Kopfstütze Rückenplatte - Minikid, Modukid Seat, Rekid, Duofix &amp; Kidzone</v>
      </c>
      <c r="C29" s="65">
        <f>VLOOKUP(A29,Ersatzteilpreiseliste!A:F,6,FALSE)</f>
        <v>20</v>
      </c>
      <c r="D29" s="80" t="s">
        <v>28</v>
      </c>
      <c r="E29" s="67">
        <f>VLOOKUP(A29,Ersatzteilpreiseliste!A:R,18,FALSE)</f>
        <v>7350057583807</v>
      </c>
      <c r="F29" s="206"/>
      <c r="G29" s="69" t="str">
        <f t="shared" si="0"/>
        <v/>
      </c>
      <c r="H29" s="64">
        <v>2</v>
      </c>
    </row>
    <row r="30" spans="1:11">
      <c r="A30" s="202">
        <v>1002101</v>
      </c>
      <c r="B30" s="70" t="str">
        <f>VLOOKUP(A30,Ersatzteilpreiseliste!A:C,3,FALSE)</f>
        <v>Ersatzteil - Styropor [Rücken] - Minikid, Rekid, Duofix &amp; Kidzone</v>
      </c>
      <c r="C30" s="65">
        <f>VLOOKUP(A30,Ersatzteilpreiseliste!A:F,6,FALSE)</f>
        <v>14</v>
      </c>
      <c r="D30" s="80" t="s">
        <v>28</v>
      </c>
      <c r="E30" s="67">
        <f>VLOOKUP(A30,Ersatzteilpreiseliste!A:R,18,FALSE)</f>
        <v>7350057583876</v>
      </c>
      <c r="F30" s="206"/>
      <c r="G30" s="69" t="str">
        <f>IF(F30="","",H30)</f>
        <v/>
      </c>
      <c r="H30" s="64">
        <v>2</v>
      </c>
    </row>
    <row r="31" spans="1:11">
      <c r="A31" s="203">
        <v>1100810</v>
      </c>
      <c r="B31" s="106" t="str">
        <f>VLOOKUP(A31,Ersatzteilpreiseliste!A:C,3,FALSE)</f>
        <v xml:space="preserve">Ersatzteil - 5 Punkt Gurtsystem Shield - Modukid          </v>
      </c>
      <c r="C31" s="65">
        <f>VLOOKUP(A31,Ersatzteilpreiseliste!A:F,6,FALSE)</f>
        <v>40</v>
      </c>
      <c r="D31" s="80" t="s">
        <v>28</v>
      </c>
      <c r="E31" s="67">
        <f>VLOOKUP(A31,Ersatzteilpreiseliste!A:R,18,FALSE)</f>
        <v>7350057583951</v>
      </c>
      <c r="F31" s="206"/>
      <c r="G31" s="69" t="str">
        <f t="shared" si="0"/>
        <v/>
      </c>
      <c r="H31" s="64">
        <v>3</v>
      </c>
    </row>
    <row r="32" spans="1:11">
      <c r="A32" s="202">
        <v>1100859</v>
      </c>
      <c r="B32" s="68" t="str">
        <f>VLOOKUP(A32,Ersatzteilpreiseliste!A:C,3,FALSE)</f>
        <v>Ersatzteil - ASIP Befestigung - Modukid Seat</v>
      </c>
      <c r="C32" s="65">
        <f>VLOOKUP(A32,Ersatzteilpreiseliste!A:F,6,FALSE)</f>
        <v>10</v>
      </c>
      <c r="D32" s="80" t="s">
        <v>28</v>
      </c>
      <c r="E32" s="67">
        <f>VLOOKUP(A32,Ersatzteilpreiseliste!A:R,18,FALSE)</f>
        <v>7350057584071</v>
      </c>
      <c r="F32" s="206"/>
      <c r="G32" s="69" t="str">
        <f t="shared" si="0"/>
        <v/>
      </c>
      <c r="H32" s="64">
        <v>1</v>
      </c>
    </row>
    <row r="33" spans="1:8">
      <c r="A33" s="202">
        <v>1100791</v>
      </c>
      <c r="B33" s="68" t="str">
        <f>VLOOKUP(A33,Ersatzteilpreiseliste!A:C,3,FALSE)</f>
        <v>Ersatzteil - Bremseinheit Kopfstütze - Modukid Seat, Minikid, Rekid, Duofix &amp; Kidzone</v>
      </c>
      <c r="C33" s="65">
        <f>VLOOKUP(A33,Ersatzteilpreiseliste!A:F,6,FALSE)</f>
        <v>6</v>
      </c>
      <c r="D33" s="80" t="s">
        <v>28</v>
      </c>
      <c r="E33" s="67">
        <f>VLOOKUP(A33,Ersatzteilpreiseliste!A:R,18,FALSE)</f>
        <v>7350057584088</v>
      </c>
      <c r="F33" s="206"/>
      <c r="G33" s="69" t="str">
        <f t="shared" si="0"/>
        <v/>
      </c>
      <c r="H33" s="64">
        <v>2</v>
      </c>
    </row>
    <row r="34" spans="1:8">
      <c r="A34" s="202">
        <v>1100834</v>
      </c>
      <c r="B34" s="68" t="str">
        <f>VLOOKUP(A34,Ersatzteilpreiseliste!A:C,3,FALSE)</f>
        <v>Ersatzteil - Spannrolle Kopfstütze - Minikid 2 &amp; Modukid Seat</v>
      </c>
      <c r="C34" s="65">
        <f>VLOOKUP(A34,Ersatzteilpreiseliste!A:F,6,FALSE)</f>
        <v>26</v>
      </c>
      <c r="D34" s="80" t="s">
        <v>28</v>
      </c>
      <c r="E34" s="67">
        <f>VLOOKUP(A34,Ersatzteilpreiseliste!A:R,18,FALSE)</f>
        <v>7350057584095</v>
      </c>
      <c r="F34" s="206"/>
      <c r="G34" s="69" t="str">
        <f t="shared" si="0"/>
        <v/>
      </c>
      <c r="H34" s="64">
        <v>2</v>
      </c>
    </row>
    <row r="35" spans="1:8">
      <c r="A35" s="202">
        <v>1900028</v>
      </c>
      <c r="B35" s="68" t="s">
        <v>32</v>
      </c>
      <c r="C35" s="65">
        <f>VLOOKUP(A35,Ersatzteilpreiseliste!A:F,6,FALSE)</f>
        <v>0.2</v>
      </c>
      <c r="D35" s="80" t="s">
        <v>28</v>
      </c>
      <c r="E35" s="67">
        <f>VLOOKUP(A35,Ersatzteilpreiseliste!A:R,18,FALSE)</f>
        <v>7350057584101</v>
      </c>
      <c r="F35" s="206"/>
      <c r="G35" s="69"/>
    </row>
    <row r="36" spans="1:8" ht="15.75" thickBot="1">
      <c r="A36" s="84"/>
      <c r="B36" s="81"/>
      <c r="C36" s="81"/>
      <c r="D36" s="81"/>
      <c r="E36" s="81"/>
      <c r="F36" s="81"/>
      <c r="G36" s="71"/>
    </row>
  </sheetData>
  <sheetProtection algorithmName="SHA-512" hashValue="+y8U+xwsTQSjHrf0Bys/N8RS3vbxlyn/fPlwHyogafjVkeX3lE6gs4bT3tamDNVXWTWhT7u5Yq8c6w7crJz1hw==" saltValue="N55lXQJ9/kkBiCTjCA7cGg==" spinCount="100000" sheet="1" selectLockedCells="1"/>
  <mergeCells count="23">
    <mergeCell ref="B14:G14"/>
    <mergeCell ref="B15:G15"/>
    <mergeCell ref="F10:G10"/>
    <mergeCell ref="A24:B24"/>
    <mergeCell ref="B16:G16"/>
    <mergeCell ref="B17:G17"/>
    <mergeCell ref="F19:G19"/>
    <mergeCell ref="A20:E20"/>
    <mergeCell ref="F20:G20"/>
    <mergeCell ref="A19:E19"/>
    <mergeCell ref="F24:G24"/>
    <mergeCell ref="F21:G21"/>
    <mergeCell ref="A22:E22"/>
    <mergeCell ref="F22:G22"/>
    <mergeCell ref="F23:G23"/>
    <mergeCell ref="A23:E23"/>
    <mergeCell ref="A21:E21"/>
    <mergeCell ref="J24:K24"/>
    <mergeCell ref="J19:K19"/>
    <mergeCell ref="J20:K20"/>
    <mergeCell ref="J21:K21"/>
    <mergeCell ref="J22:K22"/>
    <mergeCell ref="J23:K23"/>
  </mergeCells>
  <pageMargins left="0.70866141732283472" right="0.70866141732283472" top="0.78740157480314965" bottom="0.3937007874015748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259D-3B75-41E1-86E0-E23FF0880043}">
  <sheetPr codeName="Blad5">
    <tabColor rgb="FF00B050"/>
  </sheetPr>
  <dimension ref="A1:K29"/>
  <sheetViews>
    <sheetView zoomScaleNormal="100" workbookViewId="0">
      <selection activeCell="G1" sqref="G1"/>
    </sheetView>
  </sheetViews>
  <sheetFormatPr defaultColWidth="10.7109375" defaultRowHeight="15"/>
  <cols>
    <col min="1" max="1" width="16.42578125" customWidth="1"/>
    <col min="2" max="2" width="27.42578125" customWidth="1"/>
    <col min="3" max="3" width="12.42578125" customWidth="1"/>
    <col min="4" max="5" width="18.42578125" customWidth="1"/>
    <col min="6" max="7" width="12.42578125" customWidth="1"/>
    <col min="8" max="8" width="10.7109375" hidden="1" customWidth="1"/>
  </cols>
  <sheetData>
    <row r="1" spans="1:11" s="87" customFormat="1" ht="19.5" thickBot="1">
      <c r="A1" s="169" t="s">
        <v>0</v>
      </c>
      <c r="B1" s="170"/>
      <c r="C1" s="170"/>
      <c r="D1" s="170"/>
      <c r="E1" s="170"/>
      <c r="F1" s="204" t="s">
        <v>1</v>
      </c>
      <c r="G1" s="171"/>
      <c r="H1" s="86"/>
      <c r="I1" s="86"/>
      <c r="J1" s="86"/>
      <c r="K1" s="86"/>
    </row>
    <row r="2" spans="1:11" s="87" customFormat="1">
      <c r="A2" s="159"/>
      <c r="B2" s="157"/>
      <c r="C2" s="157"/>
      <c r="D2" s="157"/>
      <c r="E2" s="157"/>
      <c r="F2" s="157"/>
      <c r="G2" s="160"/>
      <c r="H2" s="89"/>
      <c r="I2" s="90"/>
      <c r="J2" s="90"/>
      <c r="K2" s="90"/>
    </row>
    <row r="3" spans="1:11" s="87" customFormat="1">
      <c r="A3" s="161" t="s">
        <v>2</v>
      </c>
      <c r="B3" s="158"/>
      <c r="C3" s="158"/>
      <c r="D3" s="158"/>
      <c r="E3" s="158"/>
      <c r="F3" s="158"/>
      <c r="G3" s="162"/>
      <c r="H3" s="89"/>
      <c r="I3" s="90"/>
      <c r="J3" s="90"/>
      <c r="K3" s="90"/>
    </row>
    <row r="4" spans="1:11" s="87" customFormat="1">
      <c r="A4" s="161" t="s">
        <v>3</v>
      </c>
      <c r="B4" s="158"/>
      <c r="C4" s="158"/>
      <c r="D4" s="158"/>
      <c r="E4" s="158"/>
      <c r="F4" s="158"/>
      <c r="G4" s="162"/>
      <c r="H4" s="91"/>
      <c r="I4" s="92"/>
      <c r="J4" s="92"/>
      <c r="K4" s="92"/>
    </row>
    <row r="5" spans="1:11" s="87" customFormat="1">
      <c r="A5" s="161" t="s">
        <v>4</v>
      </c>
      <c r="B5" s="92"/>
      <c r="D5" s="168"/>
      <c r="E5" s="168"/>
      <c r="F5" s="168"/>
      <c r="G5" s="164"/>
      <c r="H5" s="91"/>
      <c r="I5" s="92"/>
      <c r="J5" s="92"/>
      <c r="K5" s="92"/>
    </row>
    <row r="6" spans="1:11" s="87" customFormat="1">
      <c r="A6" t="s">
        <v>5</v>
      </c>
      <c r="B6" s="92"/>
      <c r="C6" s="168"/>
      <c r="D6" s="168"/>
      <c r="E6" s="168"/>
      <c r="F6" s="168"/>
      <c r="G6" s="164"/>
      <c r="H6" s="91"/>
      <c r="I6" s="92"/>
      <c r="J6" s="92"/>
      <c r="K6" s="92"/>
    </row>
    <row r="7" spans="1:11" s="87" customFormat="1">
      <c r="A7" s="163"/>
      <c r="B7" s="92"/>
      <c r="C7" s="168"/>
      <c r="D7" s="168"/>
      <c r="E7" s="168"/>
      <c r="F7" s="168"/>
      <c r="G7" s="164"/>
      <c r="H7" s="91"/>
      <c r="I7" s="92"/>
      <c r="J7" s="92"/>
      <c r="K7" s="92"/>
    </row>
    <row r="8" spans="1:11" s="87" customFormat="1" ht="15.75" thickBot="1">
      <c r="A8" s="165"/>
      <c r="B8" s="166"/>
      <c r="C8" s="166"/>
      <c r="D8" s="166"/>
      <c r="E8" s="166"/>
      <c r="F8" s="166"/>
      <c r="G8" s="167"/>
      <c r="H8" s="89"/>
      <c r="I8" s="92"/>
      <c r="J8" s="92"/>
      <c r="K8" s="92"/>
    </row>
    <row r="9" spans="1:11" s="87" customFormat="1">
      <c r="A9" s="183" t="s">
        <v>6</v>
      </c>
      <c r="B9" s="184"/>
      <c r="C9" s="184"/>
      <c r="D9" s="184"/>
      <c r="E9" s="184"/>
      <c r="F9" s="184"/>
      <c r="G9" s="185"/>
      <c r="H9" s="89"/>
      <c r="I9" s="90"/>
      <c r="J9" s="90"/>
      <c r="K9" s="90"/>
    </row>
    <row r="10" spans="1:11" s="87" customFormat="1">
      <c r="A10" s="186" t="s">
        <v>7</v>
      </c>
      <c r="B10" s="181"/>
      <c r="C10" s="187" t="s">
        <v>8</v>
      </c>
      <c r="D10" s="188"/>
      <c r="E10" s="187" t="s">
        <v>9</v>
      </c>
      <c r="F10" s="245"/>
      <c r="G10" s="246"/>
      <c r="H10" s="89"/>
      <c r="I10" s="90"/>
      <c r="J10" s="90"/>
      <c r="K10" s="90"/>
    </row>
    <row r="11" spans="1:11" s="87" customFormat="1">
      <c r="A11" s="189" t="s">
        <v>10</v>
      </c>
      <c r="B11" s="182"/>
      <c r="C11" s="190"/>
      <c r="D11" s="190"/>
      <c r="E11" s="190"/>
      <c r="F11" s="190"/>
      <c r="G11" s="191"/>
      <c r="H11" s="89"/>
      <c r="I11" s="90"/>
      <c r="J11" s="90"/>
      <c r="K11" s="90"/>
    </row>
    <row r="12" spans="1:11" s="87" customFormat="1">
      <c r="A12" s="192"/>
      <c r="B12" s="190"/>
      <c r="C12" s="190"/>
      <c r="D12" s="190"/>
      <c r="E12" s="190"/>
      <c r="F12" s="190"/>
      <c r="G12" s="191"/>
      <c r="H12" s="89"/>
      <c r="I12" s="90"/>
      <c r="J12" s="90"/>
      <c r="K12" s="90"/>
    </row>
    <row r="13" spans="1:11" s="87" customFormat="1">
      <c r="A13" s="193" t="s">
        <v>11</v>
      </c>
      <c r="B13" s="190"/>
      <c r="C13" s="190"/>
      <c r="D13" s="190"/>
      <c r="E13" s="190"/>
      <c r="F13" s="190"/>
      <c r="G13" s="191"/>
      <c r="H13" s="89"/>
      <c r="I13" s="90"/>
      <c r="J13" s="90"/>
      <c r="K13" s="90"/>
    </row>
    <row r="14" spans="1:11" s="87" customFormat="1">
      <c r="A14" s="186" t="s">
        <v>12</v>
      </c>
      <c r="B14" s="245"/>
      <c r="C14" s="247"/>
      <c r="D14" s="247"/>
      <c r="E14" s="247"/>
      <c r="F14" s="247"/>
      <c r="G14" s="246"/>
      <c r="H14" s="89"/>
      <c r="I14" s="90"/>
      <c r="J14" s="90"/>
      <c r="K14" s="90"/>
    </row>
    <row r="15" spans="1:11" s="87" customFormat="1">
      <c r="A15" s="189" t="s">
        <v>13</v>
      </c>
      <c r="B15" s="245"/>
      <c r="C15" s="247"/>
      <c r="D15" s="247"/>
      <c r="E15" s="247"/>
      <c r="F15" s="247"/>
      <c r="G15" s="246"/>
      <c r="H15" s="89"/>
      <c r="I15" s="90"/>
      <c r="J15" s="90"/>
      <c r="K15" s="90"/>
    </row>
    <row r="16" spans="1:11" s="87" customFormat="1">
      <c r="A16" s="186" t="s">
        <v>14</v>
      </c>
      <c r="B16" s="245"/>
      <c r="C16" s="247"/>
      <c r="D16" s="247"/>
      <c r="E16" s="247"/>
      <c r="F16" s="247"/>
      <c r="G16" s="246"/>
      <c r="H16" s="89"/>
      <c r="I16" s="90"/>
      <c r="J16" s="90"/>
      <c r="K16" s="90"/>
    </row>
    <row r="17" spans="1:11" s="87" customFormat="1" ht="15.75" thickBot="1">
      <c r="A17" s="186"/>
      <c r="B17" s="248"/>
      <c r="C17" s="249"/>
      <c r="D17" s="249"/>
      <c r="E17" s="249"/>
      <c r="F17" s="249"/>
      <c r="G17" s="250"/>
      <c r="H17" s="89"/>
      <c r="I17" s="90"/>
      <c r="J17" s="90"/>
      <c r="K17" s="90"/>
    </row>
    <row r="18" spans="1:11" s="87" customFormat="1" ht="15.75" thickBot="1">
      <c r="A18" s="174"/>
      <c r="B18" s="92"/>
      <c r="C18" s="92"/>
      <c r="D18" s="92"/>
      <c r="E18" s="92"/>
      <c r="F18" s="92"/>
      <c r="G18" s="164"/>
      <c r="H18" s="89"/>
      <c r="I18" s="92"/>
      <c r="J18" s="92"/>
      <c r="K18" s="92"/>
    </row>
    <row r="19" spans="1:11" s="87" customFormat="1">
      <c r="A19" s="241" t="s">
        <v>15</v>
      </c>
      <c r="B19" s="242"/>
      <c r="C19" s="242"/>
      <c r="D19" s="242"/>
      <c r="E19" s="242"/>
      <c r="F19" s="243" t="str">
        <f>IF(SUM(F27:F45)=0,"",H19*Aufwand!C2)</f>
        <v/>
      </c>
      <c r="G19" s="244"/>
      <c r="H19" s="93" t="str">
        <f>IF(SUM(F27:F43)=0,"",SUM(G27:G43))</f>
        <v/>
      </c>
      <c r="I19" s="90"/>
      <c r="J19" s="228"/>
      <c r="K19" s="228"/>
    </row>
    <row r="20" spans="1:11" s="87" customFormat="1">
      <c r="A20" s="224" t="s">
        <v>16</v>
      </c>
      <c r="B20" s="225"/>
      <c r="C20" s="225"/>
      <c r="D20" s="225"/>
      <c r="E20" s="225"/>
      <c r="F20" s="229"/>
      <c r="G20" s="230"/>
      <c r="H20" s="89"/>
      <c r="I20" s="90"/>
      <c r="J20" s="228"/>
      <c r="K20" s="228"/>
    </row>
    <row r="21" spans="1:11" s="87" customFormat="1">
      <c r="A21" s="224" t="s">
        <v>17</v>
      </c>
      <c r="B21" s="225"/>
      <c r="C21" s="225"/>
      <c r="D21" s="225"/>
      <c r="E21" s="225"/>
      <c r="F21" s="226"/>
      <c r="G21" s="227"/>
      <c r="H21" s="89"/>
      <c r="I21" s="90"/>
      <c r="J21" s="228"/>
      <c r="K21" s="228"/>
    </row>
    <row r="22" spans="1:11" s="87" customFormat="1">
      <c r="A22" s="224" t="s">
        <v>18</v>
      </c>
      <c r="B22" s="225"/>
      <c r="C22" s="225"/>
      <c r="D22" s="225"/>
      <c r="E22" s="225"/>
      <c r="F22" s="226"/>
      <c r="G22" s="227"/>
      <c r="H22" s="89"/>
      <c r="I22" s="90"/>
      <c r="J22" s="228"/>
      <c r="K22" s="228"/>
    </row>
    <row r="23" spans="1:11" s="87" customFormat="1">
      <c r="A23" s="236" t="s">
        <v>19</v>
      </c>
      <c r="B23" s="237"/>
      <c r="C23" s="237"/>
      <c r="D23" s="237"/>
      <c r="E23" s="237"/>
      <c r="F23" s="238" t="str">
        <f>IF(F24="","",F24-(F24/1.19))</f>
        <v/>
      </c>
      <c r="G23" s="239"/>
      <c r="H23" s="89"/>
      <c r="I23" s="90"/>
      <c r="J23" s="240"/>
      <c r="K23" s="240"/>
    </row>
    <row r="24" spans="1:11" s="87" customFormat="1" ht="16.5" customHeight="1" thickBot="1">
      <c r="A24" s="231" t="s">
        <v>20</v>
      </c>
      <c r="B24" s="232"/>
      <c r="C24" s="94"/>
      <c r="D24" s="94"/>
      <c r="E24" s="96" t="s">
        <v>21</v>
      </c>
      <c r="F24" s="233" t="str">
        <f>IF(F19="","",SUM(F19:F22))</f>
        <v/>
      </c>
      <c r="G24" s="234"/>
      <c r="H24" s="89"/>
      <c r="I24" s="90"/>
      <c r="J24" s="235"/>
      <c r="K24" s="235"/>
    </row>
    <row r="25" spans="1:11" ht="7.15" customHeight="1">
      <c r="A25" s="108"/>
      <c r="C25" s="107"/>
      <c r="G25" s="109"/>
      <c r="H25" s="64"/>
    </row>
    <row r="26" spans="1:11" s="72" customFormat="1" ht="14.65" customHeight="1">
      <c r="A26" s="73" t="s">
        <v>22</v>
      </c>
      <c r="B26" s="74" t="s">
        <v>23</v>
      </c>
      <c r="C26" s="75" t="s">
        <v>29</v>
      </c>
      <c r="D26" s="76" t="s">
        <v>36</v>
      </c>
      <c r="E26" s="76" t="s">
        <v>31</v>
      </c>
      <c r="F26" s="77" t="s">
        <v>27</v>
      </c>
      <c r="G26" s="78" t="s">
        <v>15</v>
      </c>
    </row>
    <row r="27" spans="1:11" s="1" customFormat="1">
      <c r="A27" s="202">
        <v>1100813</v>
      </c>
      <c r="B27" s="68" t="str">
        <f>VLOOKUP(A27,Ersatzteilpreiseliste!A:C,3,FALSE)</f>
        <v>3 Punkt Gurt - Shield</v>
      </c>
      <c r="C27" s="65">
        <f>VLOOKUP(A27,Ersatzteilpreiseliste!A:F,6,FALSE)</f>
        <v>40</v>
      </c>
      <c r="D27" s="80" t="s">
        <v>28</v>
      </c>
      <c r="E27" s="67">
        <f>VLOOKUP(A27,Ersatzteilpreiseliste!A:R,18,FALSE)</f>
        <v>7350057583975</v>
      </c>
      <c r="F27" s="206"/>
      <c r="G27" s="69" t="str">
        <f>IF(F27="","",H27)</f>
        <v/>
      </c>
      <c r="H27" s="64">
        <v>3</v>
      </c>
    </row>
    <row r="28" spans="1:11">
      <c r="A28" s="202">
        <v>1900028</v>
      </c>
      <c r="B28" s="68" t="s">
        <v>32</v>
      </c>
      <c r="C28" s="65">
        <f>VLOOKUP(A28,Ersatzteilpreiseliste!A:F,6,FALSE)</f>
        <v>0.2</v>
      </c>
      <c r="D28" s="80" t="s">
        <v>28</v>
      </c>
      <c r="E28" s="67">
        <f>VLOOKUP(A28,Ersatzteilpreiseliste!A:R,18,FALSE)</f>
        <v>7350057584101</v>
      </c>
      <c r="F28" s="206"/>
      <c r="G28" s="69"/>
    </row>
    <row r="29" spans="1:11" ht="15.75" thickBot="1">
      <c r="A29" s="84"/>
      <c r="B29" s="81"/>
      <c r="C29" s="81"/>
      <c r="D29" s="81"/>
      <c r="E29" s="81"/>
      <c r="F29" s="81"/>
      <c r="G29" s="71"/>
    </row>
  </sheetData>
  <sheetProtection algorithmName="SHA-512" hashValue="lpusdh0g4DwhLpmXaon95lxxxp69RJi2cj1J2Ni3r11emCscZ/cc38zX1UZ0phpO0z/NcF36ukr2tK/01ZUG+w==" saltValue="jbbqbF4T0c+5my64jQFnpg==" spinCount="100000" sheet="1" selectLockedCells="1"/>
  <mergeCells count="23">
    <mergeCell ref="J24:K24"/>
    <mergeCell ref="J19:K19"/>
    <mergeCell ref="J20:K20"/>
    <mergeCell ref="J21:K21"/>
    <mergeCell ref="J22:K22"/>
    <mergeCell ref="J23:K23"/>
    <mergeCell ref="A23:E23"/>
    <mergeCell ref="F23:G23"/>
    <mergeCell ref="A24:B24"/>
    <mergeCell ref="F24:G24"/>
    <mergeCell ref="A22:E22"/>
    <mergeCell ref="F22:G22"/>
    <mergeCell ref="F10:G10"/>
    <mergeCell ref="A21:E21"/>
    <mergeCell ref="F21:G21"/>
    <mergeCell ref="B14:G14"/>
    <mergeCell ref="B15:G15"/>
    <mergeCell ref="B16:G16"/>
    <mergeCell ref="B17:G17"/>
    <mergeCell ref="A20:E20"/>
    <mergeCell ref="F20:G20"/>
    <mergeCell ref="A19:E19"/>
    <mergeCell ref="F19:G19"/>
  </mergeCells>
  <pageMargins left="0.7" right="0.7" top="0.78740157499999996" bottom="0.78740157499999996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EC24E-1109-40AE-9C01-2C1411819F4E}">
  <sheetPr codeName="Blad7">
    <tabColor rgb="FF00B050"/>
    <pageSetUpPr fitToPage="1"/>
  </sheetPr>
  <dimension ref="A1:LA44"/>
  <sheetViews>
    <sheetView zoomScale="85" zoomScaleNormal="85" workbookViewId="0">
      <selection activeCell="F27" sqref="F27:F28"/>
    </sheetView>
  </sheetViews>
  <sheetFormatPr defaultColWidth="10.7109375" defaultRowHeight="15"/>
  <cols>
    <col min="1" max="1" width="16.42578125" customWidth="1"/>
    <col min="2" max="2" width="72.28515625" bestFit="1" customWidth="1"/>
    <col min="3" max="3" width="12.42578125" customWidth="1"/>
    <col min="4" max="5" width="18.42578125" customWidth="1"/>
    <col min="6" max="7" width="12.42578125" customWidth="1"/>
    <col min="8" max="8" width="10.7109375" style="64" hidden="1" customWidth="1"/>
  </cols>
  <sheetData>
    <row r="1" spans="1:11" s="87" customFormat="1" ht="19.5" thickBot="1">
      <c r="A1" s="169" t="s">
        <v>0</v>
      </c>
      <c r="B1" s="170"/>
      <c r="C1" s="170"/>
      <c r="D1" s="170"/>
      <c r="E1" s="170"/>
      <c r="F1" s="204" t="s">
        <v>1</v>
      </c>
      <c r="G1" s="171"/>
      <c r="H1" s="86"/>
      <c r="I1" s="86"/>
      <c r="J1" s="86"/>
      <c r="K1" s="86"/>
    </row>
    <row r="2" spans="1:11" s="87" customFormat="1">
      <c r="A2" s="159"/>
      <c r="B2" s="157"/>
      <c r="C2" s="157"/>
      <c r="D2" s="157"/>
      <c r="E2" s="157"/>
      <c r="F2" s="157"/>
      <c r="G2" s="160"/>
      <c r="H2" s="89"/>
      <c r="I2" s="90"/>
      <c r="J2" s="90"/>
      <c r="K2" s="90"/>
    </row>
    <row r="3" spans="1:11" s="87" customFormat="1">
      <c r="A3" s="161" t="s">
        <v>2</v>
      </c>
      <c r="B3" s="158"/>
      <c r="C3" s="158"/>
      <c r="D3" s="158"/>
      <c r="E3" s="158"/>
      <c r="F3" s="158"/>
      <c r="G3" s="162"/>
      <c r="H3" s="89"/>
      <c r="I3" s="90"/>
      <c r="J3" s="90"/>
      <c r="K3" s="90"/>
    </row>
    <row r="4" spans="1:11" s="87" customFormat="1">
      <c r="A4" s="161" t="s">
        <v>3</v>
      </c>
      <c r="B4" s="158"/>
      <c r="C4" s="158"/>
      <c r="D4" s="158"/>
      <c r="E4" s="158"/>
      <c r="F4" s="158"/>
      <c r="G4" s="162"/>
      <c r="H4" s="91"/>
      <c r="I4" s="92"/>
      <c r="J4" s="92"/>
      <c r="K4" s="92"/>
    </row>
    <row r="5" spans="1:11" s="87" customFormat="1">
      <c r="A5" s="161" t="s">
        <v>4</v>
      </c>
      <c r="B5" s="92"/>
      <c r="D5" s="168"/>
      <c r="E5" s="168"/>
      <c r="F5" s="168"/>
      <c r="G5" s="164"/>
      <c r="H5" s="91"/>
      <c r="I5" s="92"/>
      <c r="J5" s="92"/>
      <c r="K5" s="92"/>
    </row>
    <row r="6" spans="1:11" s="87" customFormat="1">
      <c r="A6" t="s">
        <v>5</v>
      </c>
      <c r="B6" s="92"/>
      <c r="C6" s="168"/>
      <c r="D6" s="168"/>
      <c r="E6" s="168"/>
      <c r="F6" s="168"/>
      <c r="G6" s="164"/>
      <c r="H6" s="91"/>
      <c r="I6" s="92"/>
      <c r="J6" s="92"/>
      <c r="K6" s="92"/>
    </row>
    <row r="7" spans="1:11" s="87" customFormat="1">
      <c r="A7" s="163"/>
      <c r="B7" s="92"/>
      <c r="C7" s="168"/>
      <c r="D7" s="168"/>
      <c r="E7" s="168"/>
      <c r="F7" s="168"/>
      <c r="G7" s="164"/>
      <c r="H7" s="91"/>
      <c r="I7" s="92"/>
      <c r="J7" s="92"/>
      <c r="K7" s="92"/>
    </row>
    <row r="8" spans="1:11" s="87" customFormat="1" ht="15.75" thickBot="1">
      <c r="A8" s="165"/>
      <c r="B8" s="166"/>
      <c r="C8" s="166"/>
      <c r="D8" s="166"/>
      <c r="E8" s="166"/>
      <c r="F8" s="166"/>
      <c r="G8" s="167"/>
      <c r="H8" s="89"/>
      <c r="I8" s="92"/>
      <c r="J8" s="92"/>
      <c r="K8" s="92"/>
    </row>
    <row r="9" spans="1:11" s="87" customFormat="1">
      <c r="A9" s="183" t="s">
        <v>6</v>
      </c>
      <c r="B9" s="184"/>
      <c r="C9" s="184"/>
      <c r="D9" s="184"/>
      <c r="E9" s="184"/>
      <c r="F9" s="184"/>
      <c r="G9" s="185"/>
      <c r="H9" s="89"/>
      <c r="I9" s="90"/>
      <c r="J9" s="90"/>
      <c r="K9" s="90"/>
    </row>
    <row r="10" spans="1:11" s="87" customFormat="1">
      <c r="A10" s="186" t="s">
        <v>7</v>
      </c>
      <c r="B10" s="181"/>
      <c r="C10" s="187" t="s">
        <v>8</v>
      </c>
      <c r="D10" s="188"/>
      <c r="E10" s="187" t="s">
        <v>9</v>
      </c>
      <c r="F10" s="245"/>
      <c r="G10" s="246"/>
      <c r="H10" s="89"/>
      <c r="I10" s="90"/>
      <c r="J10" s="90"/>
      <c r="K10" s="90"/>
    </row>
    <row r="11" spans="1:11" s="87" customFormat="1">
      <c r="A11" s="189" t="s">
        <v>10</v>
      </c>
      <c r="B11" s="182"/>
      <c r="C11" s="190"/>
      <c r="D11" s="190"/>
      <c r="E11" s="190"/>
      <c r="F11" s="190"/>
      <c r="G11" s="191"/>
      <c r="H11" s="89"/>
      <c r="I11" s="90"/>
      <c r="J11" s="90"/>
      <c r="K11" s="90"/>
    </row>
    <row r="12" spans="1:11" s="87" customFormat="1">
      <c r="A12" s="192"/>
      <c r="B12" s="190"/>
      <c r="C12" s="190"/>
      <c r="D12" s="190"/>
      <c r="E12" s="190"/>
      <c r="F12" s="190"/>
      <c r="G12" s="191"/>
      <c r="H12" s="89"/>
      <c r="I12" s="90"/>
      <c r="J12" s="90"/>
      <c r="K12" s="90"/>
    </row>
    <row r="13" spans="1:11" s="87" customFormat="1">
      <c r="A13" s="193" t="s">
        <v>11</v>
      </c>
      <c r="B13" s="190"/>
      <c r="C13" s="190"/>
      <c r="D13" s="190"/>
      <c r="E13" s="190"/>
      <c r="F13" s="190"/>
      <c r="G13" s="191"/>
      <c r="H13" s="89"/>
      <c r="I13" s="90"/>
      <c r="J13" s="90"/>
      <c r="K13" s="90"/>
    </row>
    <row r="14" spans="1:11" s="87" customFormat="1">
      <c r="A14" s="186" t="s">
        <v>12</v>
      </c>
      <c r="B14" s="245"/>
      <c r="C14" s="247"/>
      <c r="D14" s="247"/>
      <c r="E14" s="247"/>
      <c r="F14" s="247"/>
      <c r="G14" s="246"/>
      <c r="H14" s="89"/>
      <c r="I14" s="90"/>
      <c r="J14" s="90"/>
      <c r="K14" s="90"/>
    </row>
    <row r="15" spans="1:11" s="87" customFormat="1">
      <c r="A15" s="189" t="s">
        <v>13</v>
      </c>
      <c r="B15" s="245"/>
      <c r="C15" s="247"/>
      <c r="D15" s="247"/>
      <c r="E15" s="247"/>
      <c r="F15" s="247"/>
      <c r="G15" s="246"/>
      <c r="H15" s="89"/>
      <c r="I15" s="90"/>
      <c r="J15" s="90"/>
      <c r="K15" s="90"/>
    </row>
    <row r="16" spans="1:11" s="87" customFormat="1">
      <c r="A16" s="186" t="s">
        <v>14</v>
      </c>
      <c r="B16" s="245"/>
      <c r="C16" s="247"/>
      <c r="D16" s="247"/>
      <c r="E16" s="247"/>
      <c r="F16" s="247"/>
      <c r="G16" s="246"/>
      <c r="H16" s="89"/>
      <c r="I16" s="90"/>
      <c r="J16" s="90"/>
      <c r="K16" s="90"/>
    </row>
    <row r="17" spans="1:313" s="87" customFormat="1" ht="15.75" thickBot="1">
      <c r="A17" s="186"/>
      <c r="B17" s="248"/>
      <c r="C17" s="249"/>
      <c r="D17" s="249"/>
      <c r="E17" s="249"/>
      <c r="F17" s="249"/>
      <c r="G17" s="250"/>
      <c r="H17" s="89"/>
      <c r="I17" s="90"/>
      <c r="J17" s="90"/>
      <c r="K17" s="90"/>
    </row>
    <row r="18" spans="1:313" s="87" customFormat="1" ht="15.75" thickBot="1">
      <c r="A18" s="174"/>
      <c r="B18" s="92"/>
      <c r="C18" s="92"/>
      <c r="D18" s="92"/>
      <c r="E18" s="92"/>
      <c r="F18" s="92"/>
      <c r="G18" s="164"/>
      <c r="H18" s="89"/>
      <c r="I18" s="92"/>
      <c r="J18" s="92"/>
      <c r="K18" s="92"/>
    </row>
    <row r="19" spans="1:313" s="87" customFormat="1">
      <c r="A19" s="241" t="s">
        <v>15</v>
      </c>
      <c r="B19" s="242"/>
      <c r="C19" s="242"/>
      <c r="D19" s="242"/>
      <c r="E19" s="242"/>
      <c r="F19" s="243" t="str">
        <f>IF(SUM(F27:F45)=0,"",H19*Aufwand!C2)</f>
        <v/>
      </c>
      <c r="G19" s="244"/>
      <c r="H19" s="93" t="str">
        <f>IF(SUM(F27:F43)=0,"",SUM(G27:G43))</f>
        <v/>
      </c>
      <c r="I19" s="90"/>
      <c r="J19" s="228"/>
      <c r="K19" s="228"/>
    </row>
    <row r="20" spans="1:313" s="87" customFormat="1">
      <c r="A20" s="224" t="s">
        <v>16</v>
      </c>
      <c r="B20" s="225"/>
      <c r="C20" s="225"/>
      <c r="D20" s="225"/>
      <c r="E20" s="225"/>
      <c r="F20" s="229"/>
      <c r="G20" s="230"/>
      <c r="H20" s="89"/>
      <c r="I20" s="90"/>
      <c r="J20" s="228"/>
      <c r="K20" s="228"/>
    </row>
    <row r="21" spans="1:313" s="87" customFormat="1">
      <c r="A21" s="224" t="s">
        <v>17</v>
      </c>
      <c r="B21" s="225"/>
      <c r="C21" s="225"/>
      <c r="D21" s="225"/>
      <c r="E21" s="225"/>
      <c r="F21" s="226"/>
      <c r="G21" s="227"/>
      <c r="H21" s="89"/>
      <c r="I21" s="90"/>
      <c r="J21" s="228"/>
      <c r="K21" s="228"/>
    </row>
    <row r="22" spans="1:313" s="87" customFormat="1">
      <c r="A22" s="224" t="s">
        <v>18</v>
      </c>
      <c r="B22" s="225"/>
      <c r="C22" s="225"/>
      <c r="D22" s="225"/>
      <c r="E22" s="225"/>
      <c r="F22" s="226"/>
      <c r="G22" s="227"/>
      <c r="H22" s="89"/>
      <c r="I22" s="90"/>
      <c r="J22" s="228"/>
      <c r="K22" s="228"/>
    </row>
    <row r="23" spans="1:313" s="87" customFormat="1">
      <c r="A23" s="236" t="s">
        <v>19</v>
      </c>
      <c r="B23" s="237"/>
      <c r="C23" s="237"/>
      <c r="D23" s="237"/>
      <c r="E23" s="237"/>
      <c r="F23" s="238" t="str">
        <f>IF(F24="","",F24-(F24/1.19))</f>
        <v/>
      </c>
      <c r="G23" s="239"/>
      <c r="H23" s="89"/>
      <c r="I23" s="90"/>
      <c r="J23" s="240"/>
      <c r="K23" s="240"/>
    </row>
    <row r="24" spans="1:313" s="87" customFormat="1" ht="16.5" customHeight="1" thickBot="1">
      <c r="A24" s="231" t="s">
        <v>20</v>
      </c>
      <c r="B24" s="232"/>
      <c r="C24" s="94"/>
      <c r="D24" s="94"/>
      <c r="E24" s="96" t="s">
        <v>21</v>
      </c>
      <c r="F24" s="233" t="str">
        <f>IF(F19="","",SUM(F19:F22))</f>
        <v/>
      </c>
      <c r="G24" s="234"/>
      <c r="H24" s="89"/>
      <c r="I24" s="90"/>
      <c r="J24" s="235"/>
      <c r="K24" s="235"/>
    </row>
    <row r="25" spans="1:313" s="1" customFormat="1" ht="7.15" customHeight="1">
      <c r="A25" s="79"/>
      <c r="G25" s="63"/>
      <c r="H25" s="64"/>
    </row>
    <row r="26" spans="1:313">
      <c r="A26" s="73" t="s">
        <v>22</v>
      </c>
      <c r="B26" s="74" t="s">
        <v>23</v>
      </c>
      <c r="C26" s="75" t="s">
        <v>29</v>
      </c>
      <c r="D26" s="76" t="s">
        <v>37</v>
      </c>
      <c r="E26" s="76" t="s">
        <v>31</v>
      </c>
      <c r="F26" s="77" t="s">
        <v>27</v>
      </c>
      <c r="G26" s="78" t="s">
        <v>15</v>
      </c>
    </row>
    <row r="27" spans="1:313" s="1" customFormat="1">
      <c r="A27" s="202">
        <v>1002108</v>
      </c>
      <c r="B27" s="68" t="str">
        <f>VLOOKUP(A27,Ersatzteilpreiseliste!A:C,3,FALSE)</f>
        <v>Ersatzteil - Schaumstoff Sitzfläche Geklebt</v>
      </c>
      <c r="C27" s="65">
        <f>VLOOKUP(A27,Ersatzteilpreiseliste!A:F,6,FALSE)</f>
        <v>8</v>
      </c>
      <c r="D27" s="80" t="s">
        <v>28</v>
      </c>
      <c r="E27" s="67">
        <f>VLOOKUP(A27,Ersatzteilpreiseliste!A:R,18,FALSE)</f>
        <v>7350057583746</v>
      </c>
      <c r="F27" s="206"/>
      <c r="G27" s="69" t="str">
        <f>IF(F27="","",H27)</f>
        <v/>
      </c>
      <c r="H27" s="64">
        <v>1</v>
      </c>
    </row>
    <row r="28" spans="1:313" s="1" customFormat="1">
      <c r="A28" s="202">
        <v>1006003</v>
      </c>
      <c r="B28" s="68" t="str">
        <f>VLOOKUP(A28,Ersatzteilpreiseliste!A:C,3,FALSE)</f>
        <v>Ersatzteil - Kopfstütze - Minikid 1 &amp; Rekid</v>
      </c>
      <c r="C28" s="65">
        <f>VLOOKUP(A28,Ersatzteilpreiseliste!A:F,6,FALSE)</f>
        <v>26</v>
      </c>
      <c r="D28" s="80" t="s">
        <v>28</v>
      </c>
      <c r="E28" s="67">
        <f>VLOOKUP(A28,Ersatzteilpreiseliste!A:R,18,FALSE)</f>
        <v>7350057583777</v>
      </c>
      <c r="F28" s="206"/>
      <c r="G28" s="69" t="str">
        <f t="shared" ref="G28:G43" si="0">IF(F28="","",H28)</f>
        <v/>
      </c>
      <c r="H28" s="64">
        <v>2</v>
      </c>
    </row>
    <row r="29" spans="1:313" s="1" customFormat="1">
      <c r="A29" s="202">
        <v>1101197</v>
      </c>
      <c r="B29" s="68" t="str">
        <f>VLOOKUP(A29,Ersatzteilpreiseliste!A:C,3,FALSE)</f>
        <v>Ersatzteil - Kopfstütze Rückenplatte - Minikid, Modukid Seat, Rekid, Duofix &amp; Kidzone</v>
      </c>
      <c r="C29" s="65">
        <f>VLOOKUP(A29,Ersatzteilpreiseliste!A:F,6,FALSE)</f>
        <v>20</v>
      </c>
      <c r="D29" s="80" t="s">
        <v>28</v>
      </c>
      <c r="E29" s="67">
        <f>VLOOKUP(A29,Ersatzteilpreiseliste!A:R,18,FALSE)</f>
        <v>7350057583807</v>
      </c>
      <c r="F29" s="206"/>
      <c r="G29" s="69" t="str">
        <f t="shared" si="0"/>
        <v/>
      </c>
      <c r="H29" s="64">
        <v>2</v>
      </c>
      <c r="LA29" s="38"/>
    </row>
    <row r="30" spans="1:313" s="1" customFormat="1">
      <c r="A30" s="202">
        <v>1002103</v>
      </c>
      <c r="B30" s="68" t="str">
        <f>VLOOKUP(A30,Ersatzteilpreiseliste!A:C,3,FALSE)</f>
        <v>Ersatzteil - Styropor [Links] - Minikid, Rekid, Duofix &amp; Kidzone</v>
      </c>
      <c r="C30" s="65">
        <f>VLOOKUP(A30,Ersatzteilpreiseliste!A:F,6,FALSE)</f>
        <v>14</v>
      </c>
      <c r="D30" s="80" t="s">
        <v>28</v>
      </c>
      <c r="E30" s="67">
        <f>VLOOKUP(A30,Ersatzteilpreiseliste!A:R,18,FALSE)</f>
        <v>7350057583852</v>
      </c>
      <c r="F30" s="206"/>
      <c r="G30" s="69" t="str">
        <f t="shared" si="0"/>
        <v/>
      </c>
      <c r="H30" s="64">
        <v>2</v>
      </c>
    </row>
    <row r="31" spans="1:313" s="1" customFormat="1">
      <c r="A31" s="202">
        <v>1002104</v>
      </c>
      <c r="B31" s="68" t="str">
        <f>VLOOKUP(A31,Ersatzteilpreiseliste!A:C,3,FALSE)</f>
        <v>Ersatzteil - Styropor [Rechts] - Minikid, Rekid, Duofix &amp; Kidzone</v>
      </c>
      <c r="C31" s="65">
        <f>VLOOKUP(A31,Ersatzteilpreiseliste!A:F,6,FALSE)</f>
        <v>14</v>
      </c>
      <c r="D31" s="80" t="s">
        <v>28</v>
      </c>
      <c r="E31" s="67">
        <f>VLOOKUP(A31,Ersatzteilpreiseliste!A:R,18,FALSE)</f>
        <v>7350057583869</v>
      </c>
      <c r="F31" s="206"/>
      <c r="G31" s="69" t="str">
        <f t="shared" si="0"/>
        <v/>
      </c>
      <c r="H31" s="64">
        <v>2</v>
      </c>
    </row>
    <row r="32" spans="1:313" s="1" customFormat="1" ht="13.9" customHeight="1">
      <c r="A32" s="202">
        <v>1002101</v>
      </c>
      <c r="B32" s="70" t="str">
        <f>VLOOKUP(A32,Ersatzteilpreiseliste!A:C,3,FALSE)</f>
        <v>Ersatzteil - Styropor [Rücken] - Minikid, Rekid, Duofix &amp; Kidzone</v>
      </c>
      <c r="C32" s="65">
        <f>VLOOKUP(A32,Ersatzteilpreiseliste!A:F,6,FALSE)</f>
        <v>14</v>
      </c>
      <c r="D32" s="80" t="s">
        <v>28</v>
      </c>
      <c r="E32" s="67">
        <f>VLOOKUP(A32,Ersatzteilpreiseliste!A:R,18,FALSE)</f>
        <v>7350057583876</v>
      </c>
      <c r="F32" s="206"/>
      <c r="G32" s="69" t="str">
        <f t="shared" si="0"/>
        <v/>
      </c>
      <c r="H32" s="64">
        <v>2</v>
      </c>
    </row>
    <row r="33" spans="1:8" s="1" customFormat="1">
      <c r="A33" s="202">
        <v>1003215</v>
      </c>
      <c r="B33" s="68" t="str">
        <f>VLOOKUP(A33,Ersatzteilpreiseliste!A:C,3,FALSE)</f>
        <v>Gurtklemme schwarz</v>
      </c>
      <c r="C33" s="65">
        <f>VLOOKUP(A33,Ersatzteilpreiseliste!A:F,6,FALSE)</f>
        <v>6</v>
      </c>
      <c r="D33" s="80" t="s">
        <v>28</v>
      </c>
      <c r="E33" s="67">
        <f>VLOOKUP(A33,Ersatzteilpreiseliste!A:R,18,FALSE)</f>
        <v>7350057583906</v>
      </c>
      <c r="F33" s="206"/>
      <c r="G33" s="69" t="str">
        <f t="shared" si="0"/>
        <v/>
      </c>
      <c r="H33" s="64">
        <v>1</v>
      </c>
    </row>
    <row r="34" spans="1:8" s="1" customFormat="1">
      <c r="A34" s="202">
        <v>1004000</v>
      </c>
      <c r="B34" s="68" t="str">
        <f>VLOOKUP(A34,Ersatzteilpreiseliste!A:C,3,FALSE)</f>
        <v>Ersatzteil - Stützfuß - Minikid 1, Rekid, Wolmax, Duofix &amp; Kidzone</v>
      </c>
      <c r="C34" s="65">
        <f>VLOOKUP(A34,Ersatzteilpreiseliste!A:F,6,FALSE)</f>
        <v>80</v>
      </c>
      <c r="D34" s="80" t="s">
        <v>28</v>
      </c>
      <c r="E34" s="67">
        <f>VLOOKUP(A34,Ersatzteilpreiseliste!A:R,18,FALSE)</f>
        <v>7350057583920</v>
      </c>
      <c r="F34" s="206"/>
      <c r="G34" s="69" t="str">
        <f t="shared" si="0"/>
        <v/>
      </c>
      <c r="H34" s="64">
        <v>3</v>
      </c>
    </row>
    <row r="35" spans="1:8" s="1" customFormat="1">
      <c r="A35" s="202">
        <v>1101315</v>
      </c>
      <c r="B35" s="68" t="str">
        <f>VLOOKUP(A35,Ersatzteilpreiseliste!A:C,3,FALSE)</f>
        <v>Ersatzteil - Gurt für Stützfuß - Minikid 1, Rekid, Wolmax, Duofix &amp; Kidzone</v>
      </c>
      <c r="C35" s="65">
        <f>VLOOKUP(A35,Ersatzteilpreiseliste!A:F,6,FALSE)</f>
        <v>6</v>
      </c>
      <c r="D35" s="80" t="s">
        <v>28</v>
      </c>
      <c r="E35" s="67">
        <f>VLOOKUP(A35,Ersatzteilpreiseliste!A:R,18,FALSE)</f>
        <v>7350057584194</v>
      </c>
      <c r="F35" s="206"/>
      <c r="G35" s="69" t="str">
        <f t="shared" si="0"/>
        <v/>
      </c>
      <c r="H35" s="64">
        <v>3</v>
      </c>
    </row>
    <row r="36" spans="1:8" s="1" customFormat="1">
      <c r="A36" s="202">
        <v>1003124</v>
      </c>
      <c r="B36" s="68" t="str">
        <f>VLOOKUP(A36,Ersatzteilpreiseliste!A:C,3,FALSE)</f>
        <v>Ersatzteil - 5 Punkt Gurtsystem Holmberg</v>
      </c>
      <c r="C36" s="65">
        <f>VLOOKUP(A36,Ersatzteilpreiseliste!A:F,6,FALSE)</f>
        <v>60</v>
      </c>
      <c r="D36" s="80" t="s">
        <v>28</v>
      </c>
      <c r="E36" s="67">
        <f>VLOOKUP(A36,Ersatzteilpreiseliste!A:R,18,FALSE)</f>
        <v>7350057583968</v>
      </c>
      <c r="F36" s="206"/>
      <c r="G36" s="69" t="str">
        <f t="shared" si="0"/>
        <v/>
      </c>
      <c r="H36" s="64">
        <v>3</v>
      </c>
    </row>
    <row r="37" spans="1:8" s="1" customFormat="1">
      <c r="A37" s="202">
        <v>1003400</v>
      </c>
      <c r="B37" s="68" t="str">
        <f>VLOOKUP(A37,Ersatzteilpreiseliste!A:C,3,FALSE)</f>
        <v>Ersatzteil - Gurtaufroller [Links]</v>
      </c>
      <c r="C37" s="65">
        <f>VLOOKUP(A37,Ersatzteilpreiseliste!A:F,6,FALSE)</f>
        <v>46</v>
      </c>
      <c r="D37" s="80" t="s">
        <v>28</v>
      </c>
      <c r="E37" s="67">
        <f>VLOOKUP(A37,Ersatzteilpreiseliste!A:R,18,FALSE)</f>
        <v>7350057584019</v>
      </c>
      <c r="F37" s="206"/>
      <c r="G37" s="69" t="str">
        <f t="shared" si="0"/>
        <v/>
      </c>
      <c r="H37" s="64">
        <v>1</v>
      </c>
    </row>
    <row r="38" spans="1:8" s="1" customFormat="1">
      <c r="A38" s="202">
        <v>1003409</v>
      </c>
      <c r="B38" s="68" t="str">
        <f>VLOOKUP(A38,Ersatzteilpreiseliste!A:C,3,FALSE)</f>
        <v>Ersatzteil - Gurtaufroller [Rechts]</v>
      </c>
      <c r="C38" s="65">
        <f>VLOOKUP(A38,Ersatzteilpreiseliste!A:F,6,FALSE)</f>
        <v>46</v>
      </c>
      <c r="D38" s="80" t="s">
        <v>28</v>
      </c>
      <c r="E38" s="67">
        <f>VLOOKUP(A38,Ersatzteilpreiseliste!A:R,18,FALSE)</f>
        <v>7350057584026</v>
      </c>
      <c r="F38" s="206"/>
      <c r="G38" s="69" t="str">
        <f t="shared" si="0"/>
        <v/>
      </c>
      <c r="H38" s="64">
        <v>1</v>
      </c>
    </row>
    <row r="39" spans="1:8" s="1" customFormat="1">
      <c r="A39" s="202">
        <v>1100791</v>
      </c>
      <c r="B39" s="68" t="str">
        <f>VLOOKUP(A39,Ersatzteilpreiseliste!A:C,3,FALSE)</f>
        <v>Ersatzteil - Bremseinheit Kopfstütze - Modukid Seat, Minikid, Rekid, Duofix &amp; Kidzone</v>
      </c>
      <c r="C39" s="65">
        <f>VLOOKUP(A39,Ersatzteilpreiseliste!A:F,6,FALSE)</f>
        <v>6</v>
      </c>
      <c r="D39" s="80" t="s">
        <v>28</v>
      </c>
      <c r="E39" s="67">
        <f>VLOOKUP(A39,Ersatzteilpreiseliste!A:R,18,FALSE)</f>
        <v>7350057584088</v>
      </c>
      <c r="F39" s="206"/>
      <c r="G39" s="69" t="str">
        <f t="shared" si="0"/>
        <v/>
      </c>
      <c r="H39" s="64">
        <v>2</v>
      </c>
    </row>
    <row r="40" spans="1:8" s="1" customFormat="1">
      <c r="A40" s="202">
        <v>1101281</v>
      </c>
      <c r="B40" s="68" t="str">
        <f>VLOOKUP(A40,Ersatzteilpreiseliste!A:C,3,FALSE)</f>
        <v>Ersatzteil - Spannrolle Kopfstütze - Minikid 1 &amp; Rekid</v>
      </c>
      <c r="C40" s="65">
        <f>VLOOKUP(A40,Ersatzteilpreiseliste!A:F,6,FALSE)</f>
        <v>54</v>
      </c>
      <c r="D40" s="80" t="s">
        <v>28</v>
      </c>
      <c r="E40" s="67">
        <f>VLOOKUP(A40,Ersatzteilpreiseliste!A:R,18,FALSE)</f>
        <v>7350057584224</v>
      </c>
      <c r="F40" s="206"/>
      <c r="G40" s="69" t="str">
        <f t="shared" si="0"/>
        <v/>
      </c>
      <c r="H40" s="64">
        <v>2</v>
      </c>
    </row>
    <row r="41" spans="1:8" s="72" customFormat="1">
      <c r="A41" s="202">
        <v>1100817</v>
      </c>
      <c r="B41" s="68" t="str">
        <f>VLOOKUP(A41,Ersatzteilpreiseliste!A:C,3,FALSE)</f>
        <v>Ersatzteil - Neigungsverstellung - Minikid</v>
      </c>
      <c r="C41" s="65">
        <f>VLOOKUP(A41,Ersatzteilpreiseliste!A:F,6,FALSE)</f>
        <v>32</v>
      </c>
      <c r="D41" s="80" t="s">
        <v>28</v>
      </c>
      <c r="E41" s="67">
        <f>VLOOKUP(A41,Ersatzteilpreiseliste!A:R,18,FALSE)</f>
        <v>7350057584040</v>
      </c>
      <c r="F41" s="206"/>
      <c r="G41" s="69" t="str">
        <f t="shared" si="0"/>
        <v/>
      </c>
      <c r="H41" s="64">
        <v>3</v>
      </c>
    </row>
    <row r="42" spans="1:8" s="72" customFormat="1">
      <c r="A42" s="202">
        <v>1003207</v>
      </c>
      <c r="B42" s="68" t="str">
        <f>VLOOKUP(A42,Ersatzteilpreiseliste!A:C,3,FALSE)</f>
        <v>Ersatzteil - Gurtabdeckung</v>
      </c>
      <c r="C42" s="65">
        <f>VLOOKUP(A42,Ersatzteilpreiseliste!A:F,6,FALSE)</f>
        <v>6</v>
      </c>
      <c r="D42" s="80" t="s">
        <v>28</v>
      </c>
      <c r="E42" s="67">
        <f>VLOOKUP(A42,Ersatzteilpreiseliste!A:R,18,FALSE)</f>
        <v>7350057583999</v>
      </c>
      <c r="F42" s="206"/>
      <c r="G42" s="69" t="str">
        <f t="shared" si="0"/>
        <v/>
      </c>
      <c r="H42" s="64">
        <v>1</v>
      </c>
    </row>
    <row r="43" spans="1:8">
      <c r="A43" s="202">
        <v>1900028</v>
      </c>
      <c r="B43" s="68" t="s">
        <v>32</v>
      </c>
      <c r="C43" s="65">
        <f>VLOOKUP(A43,Ersatzteilpreiseliste!A:F,6,FALSE)</f>
        <v>0.2</v>
      </c>
      <c r="D43" s="80" t="s">
        <v>28</v>
      </c>
      <c r="E43" s="67">
        <f>VLOOKUP(A43,Ersatzteilpreiseliste!A:R,18,FALSE)</f>
        <v>7350057584101</v>
      </c>
      <c r="F43" s="206"/>
      <c r="G43" s="69" t="str">
        <f t="shared" si="0"/>
        <v/>
      </c>
    </row>
    <row r="44" spans="1:8" ht="15.75" thickBot="1">
      <c r="A44" s="84"/>
      <c r="B44" s="81"/>
      <c r="C44" s="81"/>
      <c r="D44" s="81"/>
      <c r="E44" s="81"/>
      <c r="F44" s="81"/>
      <c r="G44" s="71"/>
    </row>
  </sheetData>
  <sheetProtection algorithmName="SHA-512" hashValue="9XkbqqnMvcLvV3e3i/xZL7xZWCzLvVJASEhoupp0m2Teh7w3wk0jXABA1GB25zlBpYeGqOIDaXVlmJKz/ovGSQ==" saltValue="C9gq/TO5VOzYsnlWh4N8Cw==" spinCount="100000" sheet="1" selectLockedCells="1"/>
  <mergeCells count="23">
    <mergeCell ref="F10:G10"/>
    <mergeCell ref="B14:G14"/>
    <mergeCell ref="J24:K24"/>
    <mergeCell ref="J19:K19"/>
    <mergeCell ref="J20:K20"/>
    <mergeCell ref="J21:K21"/>
    <mergeCell ref="J22:K22"/>
    <mergeCell ref="J23:K23"/>
    <mergeCell ref="A23:E23"/>
    <mergeCell ref="F23:G23"/>
    <mergeCell ref="A24:B24"/>
    <mergeCell ref="F24:G24"/>
    <mergeCell ref="B15:G15"/>
    <mergeCell ref="A22:E22"/>
    <mergeCell ref="F22:G22"/>
    <mergeCell ref="B16:G16"/>
    <mergeCell ref="B17:G17"/>
    <mergeCell ref="A20:E20"/>
    <mergeCell ref="F20:G20"/>
    <mergeCell ref="A21:E21"/>
    <mergeCell ref="F21:G21"/>
    <mergeCell ref="F19:G19"/>
    <mergeCell ref="A19:E19"/>
  </mergeCells>
  <pageMargins left="0.70866141732283472" right="0.70866141732283472" top="0.19685039370078741" bottom="0.19685039370078741" header="0.31496062992125984" footer="0.31496062992125984"/>
  <pageSetup paperSize="9" scale="9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2AAF-482D-4D2E-8FF5-06060B89AD88}">
  <sheetPr codeName="Blad10">
    <tabColor rgb="FF00B050"/>
  </sheetPr>
  <dimension ref="A1:K38"/>
  <sheetViews>
    <sheetView zoomScale="85" zoomScaleNormal="85" workbookViewId="0">
      <selection activeCell="F27" sqref="F27:F28"/>
    </sheetView>
  </sheetViews>
  <sheetFormatPr defaultColWidth="10.7109375" defaultRowHeight="15"/>
  <cols>
    <col min="1" max="1" width="16.42578125" customWidth="1"/>
    <col min="2" max="2" width="62.7109375" bestFit="1" customWidth="1"/>
    <col min="3" max="3" width="12.42578125" customWidth="1"/>
    <col min="4" max="5" width="18.42578125" customWidth="1"/>
    <col min="6" max="7" width="12.42578125" customWidth="1"/>
    <col min="8" max="8" width="10.7109375" hidden="1" customWidth="1"/>
  </cols>
  <sheetData>
    <row r="1" spans="1:11" s="87" customFormat="1" ht="19.5" thickBot="1">
      <c r="A1" s="169" t="s">
        <v>0</v>
      </c>
      <c r="B1" s="170"/>
      <c r="C1" s="170"/>
      <c r="D1" s="170"/>
      <c r="E1" s="170"/>
      <c r="F1" s="204" t="s">
        <v>1</v>
      </c>
      <c r="G1" s="171"/>
      <c r="H1" s="86"/>
      <c r="I1" s="86"/>
      <c r="J1" s="86"/>
      <c r="K1" s="86"/>
    </row>
    <row r="2" spans="1:11" s="87" customFormat="1">
      <c r="A2" s="159"/>
      <c r="B2" s="157"/>
      <c r="C2" s="157"/>
      <c r="D2" s="157"/>
      <c r="E2" s="157"/>
      <c r="F2" s="157"/>
      <c r="G2" s="160"/>
      <c r="H2" s="89"/>
      <c r="I2" s="90"/>
      <c r="J2" s="90"/>
      <c r="K2" s="90"/>
    </row>
    <row r="3" spans="1:11" s="87" customFormat="1">
      <c r="A3" s="161" t="s">
        <v>2</v>
      </c>
      <c r="B3" s="158"/>
      <c r="C3" s="158"/>
      <c r="D3" s="158"/>
      <c r="E3" s="158"/>
      <c r="F3" s="158"/>
      <c r="G3" s="162"/>
      <c r="H3" s="89"/>
      <c r="I3" s="90"/>
      <c r="J3" s="90"/>
      <c r="K3" s="90"/>
    </row>
    <row r="4" spans="1:11" s="87" customFormat="1">
      <c r="A4" s="161" t="s">
        <v>3</v>
      </c>
      <c r="B4" s="158"/>
      <c r="C4" s="158"/>
      <c r="D4" s="158"/>
      <c r="E4" s="158"/>
      <c r="F4" s="158"/>
      <c r="G4" s="162"/>
      <c r="H4" s="91"/>
      <c r="I4" s="92"/>
      <c r="J4" s="92"/>
      <c r="K4" s="92"/>
    </row>
    <row r="5" spans="1:11" s="87" customFormat="1">
      <c r="A5" s="161" t="s">
        <v>4</v>
      </c>
      <c r="B5" s="92"/>
      <c r="D5" s="168"/>
      <c r="E5" s="168"/>
      <c r="F5" s="168"/>
      <c r="G5" s="164"/>
      <c r="H5" s="91"/>
      <c r="I5" s="92"/>
      <c r="J5" s="92"/>
      <c r="K5" s="92"/>
    </row>
    <row r="6" spans="1:11" s="87" customFormat="1">
      <c r="A6" t="s">
        <v>5</v>
      </c>
      <c r="B6" s="92"/>
      <c r="C6" s="168"/>
      <c r="D6" s="168"/>
      <c r="E6" s="168"/>
      <c r="F6" s="168"/>
      <c r="G6" s="164"/>
      <c r="H6" s="91"/>
      <c r="I6" s="92"/>
      <c r="J6" s="92"/>
      <c r="K6" s="92"/>
    </row>
    <row r="7" spans="1:11" s="87" customFormat="1">
      <c r="A7" s="163"/>
      <c r="B7" s="92"/>
      <c r="C7" s="168"/>
      <c r="D7" s="168"/>
      <c r="E7" s="168"/>
      <c r="F7" s="168"/>
      <c r="G7" s="164"/>
      <c r="H7" s="91"/>
      <c r="I7" s="92"/>
      <c r="J7" s="92"/>
      <c r="K7" s="92"/>
    </row>
    <row r="8" spans="1:11" s="87" customFormat="1" ht="15.75" thickBot="1">
      <c r="A8" s="165"/>
      <c r="B8" s="166"/>
      <c r="C8" s="166"/>
      <c r="D8" s="166"/>
      <c r="E8" s="166"/>
      <c r="F8" s="166"/>
      <c r="G8" s="167"/>
      <c r="H8" s="89"/>
      <c r="I8" s="92"/>
      <c r="J8" s="92"/>
      <c r="K8" s="92"/>
    </row>
    <row r="9" spans="1:11" s="87" customFormat="1">
      <c r="A9" s="183" t="s">
        <v>6</v>
      </c>
      <c r="B9" s="184"/>
      <c r="C9" s="184"/>
      <c r="D9" s="184"/>
      <c r="E9" s="184"/>
      <c r="F9" s="184"/>
      <c r="G9" s="185"/>
      <c r="H9" s="89"/>
      <c r="I9" s="90"/>
      <c r="J9" s="90"/>
      <c r="K9" s="90"/>
    </row>
    <row r="10" spans="1:11" s="87" customFormat="1">
      <c r="A10" s="186" t="s">
        <v>7</v>
      </c>
      <c r="B10" s="181"/>
      <c r="C10" s="187" t="s">
        <v>8</v>
      </c>
      <c r="D10" s="188"/>
      <c r="E10" s="187" t="s">
        <v>9</v>
      </c>
      <c r="F10" s="245"/>
      <c r="G10" s="246"/>
      <c r="H10" s="89"/>
      <c r="I10" s="90"/>
      <c r="J10" s="90"/>
      <c r="K10" s="90"/>
    </row>
    <row r="11" spans="1:11" s="87" customFormat="1">
      <c r="A11" s="189" t="s">
        <v>10</v>
      </c>
      <c r="B11" s="182"/>
      <c r="C11" s="190"/>
      <c r="D11" s="190"/>
      <c r="E11" s="190"/>
      <c r="F11" s="190"/>
      <c r="G11" s="191"/>
      <c r="H11" s="89"/>
      <c r="I11" s="90"/>
      <c r="J11" s="90"/>
      <c r="K11" s="90"/>
    </row>
    <row r="12" spans="1:11" s="87" customFormat="1">
      <c r="A12" s="192"/>
      <c r="B12" s="190"/>
      <c r="C12" s="190"/>
      <c r="D12" s="190"/>
      <c r="E12" s="190"/>
      <c r="F12" s="190"/>
      <c r="G12" s="191"/>
      <c r="H12" s="89"/>
      <c r="I12" s="90"/>
      <c r="J12" s="90"/>
      <c r="K12" s="90"/>
    </row>
    <row r="13" spans="1:11" s="87" customFormat="1">
      <c r="A13" s="193" t="s">
        <v>11</v>
      </c>
      <c r="B13" s="190"/>
      <c r="C13" s="190"/>
      <c r="D13" s="190"/>
      <c r="E13" s="190"/>
      <c r="F13" s="190"/>
      <c r="G13" s="191"/>
      <c r="H13" s="89"/>
      <c r="I13" s="90"/>
      <c r="J13" s="90"/>
      <c r="K13" s="90"/>
    </row>
    <row r="14" spans="1:11" s="87" customFormat="1">
      <c r="A14" s="186" t="s">
        <v>12</v>
      </c>
      <c r="B14" s="245"/>
      <c r="C14" s="247"/>
      <c r="D14" s="247"/>
      <c r="E14" s="247"/>
      <c r="F14" s="247"/>
      <c r="G14" s="246"/>
      <c r="H14" s="89"/>
      <c r="I14" s="90"/>
      <c r="J14" s="90"/>
      <c r="K14" s="90"/>
    </row>
    <row r="15" spans="1:11" s="87" customFormat="1">
      <c r="A15" s="189" t="s">
        <v>13</v>
      </c>
      <c r="B15" s="245"/>
      <c r="C15" s="247"/>
      <c r="D15" s="247"/>
      <c r="E15" s="247"/>
      <c r="F15" s="247"/>
      <c r="G15" s="246"/>
      <c r="H15" s="89"/>
      <c r="I15" s="90"/>
      <c r="J15" s="90"/>
      <c r="K15" s="90"/>
    </row>
    <row r="16" spans="1:11" s="87" customFormat="1">
      <c r="A16" s="186" t="s">
        <v>14</v>
      </c>
      <c r="B16" s="245"/>
      <c r="C16" s="247"/>
      <c r="D16" s="247"/>
      <c r="E16" s="247"/>
      <c r="F16" s="247"/>
      <c r="G16" s="246"/>
      <c r="H16" s="89"/>
      <c r="I16" s="90"/>
      <c r="J16" s="90"/>
      <c r="K16" s="90"/>
    </row>
    <row r="17" spans="1:11" s="87" customFormat="1" ht="15.75" thickBot="1">
      <c r="A17" s="186"/>
      <c r="B17" s="248"/>
      <c r="C17" s="249"/>
      <c r="D17" s="249"/>
      <c r="E17" s="249"/>
      <c r="F17" s="249"/>
      <c r="G17" s="250"/>
      <c r="H17" s="89"/>
      <c r="I17" s="90"/>
      <c r="J17" s="90"/>
      <c r="K17" s="90"/>
    </row>
    <row r="18" spans="1:11" s="87" customFormat="1" ht="15.75" thickBot="1">
      <c r="A18" s="207"/>
      <c r="B18" s="208"/>
      <c r="C18" s="208"/>
      <c r="D18" s="208"/>
      <c r="E18" s="208"/>
      <c r="F18" s="208"/>
      <c r="G18" s="209"/>
      <c r="H18" s="89"/>
      <c r="I18" s="92"/>
      <c r="J18" s="92"/>
      <c r="K18" s="92"/>
    </row>
    <row r="19" spans="1:11" s="87" customFormat="1">
      <c r="A19" s="241" t="s">
        <v>15</v>
      </c>
      <c r="B19" s="242"/>
      <c r="C19" s="242"/>
      <c r="D19" s="242"/>
      <c r="E19" s="242"/>
      <c r="F19" s="243" t="str">
        <f>IF(SUM(F27:F45)=0,"",H19*Aufwand!C2)</f>
        <v/>
      </c>
      <c r="G19" s="244"/>
      <c r="H19" s="93" t="str">
        <f>IF(SUM(F27:F43)=0,"",SUM(G27:G43))</f>
        <v/>
      </c>
      <c r="I19" s="90"/>
      <c r="J19" s="228"/>
      <c r="K19" s="228"/>
    </row>
    <row r="20" spans="1:11" s="87" customFormat="1">
      <c r="A20" s="224" t="s">
        <v>16</v>
      </c>
      <c r="B20" s="225"/>
      <c r="C20" s="225"/>
      <c r="D20" s="225"/>
      <c r="E20" s="225"/>
      <c r="F20" s="229"/>
      <c r="G20" s="230"/>
      <c r="H20" s="89"/>
      <c r="I20" s="90"/>
      <c r="J20" s="228"/>
      <c r="K20" s="228"/>
    </row>
    <row r="21" spans="1:11" s="87" customFormat="1">
      <c r="A21" s="224" t="s">
        <v>17</v>
      </c>
      <c r="B21" s="225"/>
      <c r="C21" s="225"/>
      <c r="D21" s="225"/>
      <c r="E21" s="225"/>
      <c r="F21" s="226"/>
      <c r="G21" s="227"/>
      <c r="H21" s="89"/>
      <c r="I21" s="90"/>
      <c r="J21" s="228"/>
      <c r="K21" s="228"/>
    </row>
    <row r="22" spans="1:11" s="87" customFormat="1">
      <c r="A22" s="224" t="s">
        <v>18</v>
      </c>
      <c r="B22" s="225"/>
      <c r="C22" s="225"/>
      <c r="D22" s="225"/>
      <c r="E22" s="225"/>
      <c r="F22" s="226"/>
      <c r="G22" s="227"/>
      <c r="H22" s="89"/>
      <c r="I22" s="90"/>
      <c r="J22" s="228"/>
      <c r="K22" s="228"/>
    </row>
    <row r="23" spans="1:11" s="87" customFormat="1">
      <c r="A23" s="236" t="s">
        <v>19</v>
      </c>
      <c r="B23" s="237"/>
      <c r="C23" s="237"/>
      <c r="D23" s="237"/>
      <c r="E23" s="237"/>
      <c r="F23" s="238" t="str">
        <f>IF(F24="","",F24-(F24/1.19))</f>
        <v/>
      </c>
      <c r="G23" s="239"/>
      <c r="H23" s="89"/>
      <c r="I23" s="90"/>
      <c r="J23" s="240"/>
      <c r="K23" s="240"/>
    </row>
    <row r="24" spans="1:11" s="87" customFormat="1" ht="16.5" customHeight="1" thickBot="1">
      <c r="A24" s="231" t="s">
        <v>20</v>
      </c>
      <c r="B24" s="232"/>
      <c r="C24" s="94"/>
      <c r="D24" s="94"/>
      <c r="E24" s="96" t="s">
        <v>21</v>
      </c>
      <c r="F24" s="233" t="str">
        <f>IF(F19="","",SUM(F19:F22))</f>
        <v/>
      </c>
      <c r="G24" s="234"/>
      <c r="H24" s="89"/>
      <c r="I24" s="90"/>
      <c r="J24" s="235"/>
      <c r="K24" s="235"/>
    </row>
    <row r="25" spans="1:11" s="1" customFormat="1" ht="7.15" customHeight="1">
      <c r="A25" s="79"/>
      <c r="G25" s="63"/>
      <c r="H25" s="64"/>
    </row>
    <row r="26" spans="1:11">
      <c r="A26" s="73" t="s">
        <v>22</v>
      </c>
      <c r="B26" s="74" t="s">
        <v>23</v>
      </c>
      <c r="C26" s="75" t="s">
        <v>29</v>
      </c>
      <c r="D26" s="76" t="s">
        <v>38</v>
      </c>
      <c r="E26" s="76" t="s">
        <v>31</v>
      </c>
      <c r="F26" s="77" t="s">
        <v>27</v>
      </c>
      <c r="G26" s="78" t="s">
        <v>15</v>
      </c>
      <c r="H26" s="64"/>
    </row>
    <row r="27" spans="1:11" s="1" customFormat="1">
      <c r="A27" s="202">
        <v>1002108</v>
      </c>
      <c r="B27" s="68" t="str">
        <f>VLOOKUP(A27,Ersatzteilpreiseliste!A:C,3,FALSE)</f>
        <v>Ersatzteil - Schaumstoff Sitzfläche Geklebt</v>
      </c>
      <c r="C27" s="65">
        <f>VLOOKUP(A27,Ersatzteilpreiseliste!A:F,6,FALSE)</f>
        <v>8</v>
      </c>
      <c r="D27" s="80" t="s">
        <v>28</v>
      </c>
      <c r="E27" s="67">
        <f>VLOOKUP(A27,Ersatzteilpreiseliste!A:R,18,FALSE)</f>
        <v>7350057583746</v>
      </c>
      <c r="F27" s="206"/>
      <c r="G27" s="69" t="str">
        <f>IF(F27="","",H27)</f>
        <v/>
      </c>
      <c r="H27" s="64">
        <v>1</v>
      </c>
      <c r="I27" s="64"/>
    </row>
    <row r="28" spans="1:11" s="1" customFormat="1">
      <c r="A28" s="202">
        <v>1101232</v>
      </c>
      <c r="B28" s="68" t="str">
        <f>VLOOKUP(A28,Ersatzteilpreiseliste!A:C,3,FALSE)</f>
        <v>Kopfstütze</v>
      </c>
      <c r="C28" s="65">
        <f>VLOOKUP(A28,Ersatzteilpreiseliste!A:F,6,FALSE)</f>
        <v>24</v>
      </c>
      <c r="D28" s="80" t="s">
        <v>28</v>
      </c>
      <c r="E28" s="67">
        <f>VLOOKUP(A28,Ersatzteilpreiseliste!A:R,18,FALSE)</f>
        <v>7350057583784</v>
      </c>
      <c r="F28" s="206"/>
      <c r="G28" s="69" t="str">
        <f t="shared" ref="G28:G36" si="0">IF(F28="","",H28)</f>
        <v/>
      </c>
      <c r="H28" s="64">
        <v>2</v>
      </c>
      <c r="I28" s="64"/>
    </row>
    <row r="29" spans="1:11" s="1" customFormat="1">
      <c r="A29" s="202">
        <v>1002118</v>
      </c>
      <c r="B29" s="68" t="str">
        <f>VLOOKUP(A29,Ersatzteilpreiseliste!A:C,3,FALSE)</f>
        <v>Ersatzteil - Styropor [Links] - Move &amp; Wolmax</v>
      </c>
      <c r="C29" s="65">
        <f>VLOOKUP(A29,Ersatzteilpreiseliste!A:F,6,FALSE)</f>
        <v>14</v>
      </c>
      <c r="D29" s="80" t="s">
        <v>28</v>
      </c>
      <c r="E29" s="67">
        <f>VLOOKUP(A29,Ersatzteilpreiseliste!A:R,18,FALSE)</f>
        <v>7350057583838</v>
      </c>
      <c r="F29" s="206"/>
      <c r="G29" s="69" t="str">
        <f t="shared" si="0"/>
        <v/>
      </c>
      <c r="H29" s="64">
        <v>2</v>
      </c>
      <c r="I29" s="64"/>
    </row>
    <row r="30" spans="1:11" s="1" customFormat="1">
      <c r="A30" s="202">
        <v>1002119</v>
      </c>
      <c r="B30" s="68" t="str">
        <f>VLOOKUP(A30,Ersatzteilpreiseliste!A:C,3,FALSE)</f>
        <v>Ersatzteil - Styropor [Rechts] - Move &amp; Wolmax</v>
      </c>
      <c r="C30" s="65">
        <f>VLOOKUP(A30,Ersatzteilpreiseliste!A:F,6,FALSE)</f>
        <v>14</v>
      </c>
      <c r="D30" s="80" t="s">
        <v>28</v>
      </c>
      <c r="E30" s="67">
        <f>VLOOKUP(A30,Ersatzteilpreiseliste!A:R,18,FALSE)</f>
        <v>7350057583845</v>
      </c>
      <c r="F30" s="206"/>
      <c r="G30" s="69" t="str">
        <f t="shared" si="0"/>
        <v/>
      </c>
      <c r="H30" s="64">
        <v>2</v>
      </c>
      <c r="I30" s="64"/>
    </row>
    <row r="31" spans="1:11" s="1" customFormat="1">
      <c r="A31" s="202">
        <v>1002117</v>
      </c>
      <c r="B31" s="70" t="str">
        <f>VLOOKUP(A31,Ersatzteilpreiseliste!A:C,3,FALSE)</f>
        <v>Ersatzteil - Styropor [Rücken] - Move &amp; Wolmax</v>
      </c>
      <c r="C31" s="65">
        <f>VLOOKUP(A31,Ersatzteilpreiseliste!A:F,6,FALSE)</f>
        <v>14</v>
      </c>
      <c r="D31" s="80" t="s">
        <v>28</v>
      </c>
      <c r="E31" s="67">
        <f>VLOOKUP(A31,Ersatzteilpreiseliste!A:R,18,FALSE)</f>
        <v>7350057583883</v>
      </c>
      <c r="F31" s="206"/>
      <c r="G31" s="69" t="str">
        <f t="shared" si="0"/>
        <v/>
      </c>
      <c r="H31" s="64">
        <v>2</v>
      </c>
      <c r="I31" s="64"/>
    </row>
    <row r="32" spans="1:11" s="1" customFormat="1">
      <c r="A32" s="202">
        <v>1003215</v>
      </c>
      <c r="B32" s="68" t="str">
        <f>VLOOKUP(A32,Ersatzteilpreiseliste!A:C,3,FALSE)</f>
        <v>Gurtklemme schwarz</v>
      </c>
      <c r="C32" s="65">
        <f>VLOOKUP(A32,Ersatzteilpreiseliste!A:F,6,FALSE)</f>
        <v>6</v>
      </c>
      <c r="D32" s="80" t="s">
        <v>28</v>
      </c>
      <c r="E32" s="67">
        <f>VLOOKUP(A32,Ersatzteilpreiseliste!A:R,18,FALSE)</f>
        <v>7350057583906</v>
      </c>
      <c r="F32" s="206"/>
      <c r="G32" s="69" t="str">
        <f t="shared" si="0"/>
        <v/>
      </c>
      <c r="H32" s="64">
        <v>1</v>
      </c>
      <c r="I32" s="64"/>
    </row>
    <row r="33" spans="1:9" s="1" customFormat="1">
      <c r="A33" s="202">
        <v>1004000</v>
      </c>
      <c r="B33" s="68" t="str">
        <f>VLOOKUP(A33,Ersatzteilpreiseliste!A:C,3,FALSE)</f>
        <v>Ersatzteil - Stützfuß - Minikid 1, Rekid, Wolmax, Duofix &amp; Kidzone</v>
      </c>
      <c r="C33" s="65">
        <f>VLOOKUP(A33,Ersatzteilpreiseliste!A:F,6,FALSE)</f>
        <v>80</v>
      </c>
      <c r="D33" s="80" t="s">
        <v>28</v>
      </c>
      <c r="E33" s="67">
        <f>VLOOKUP(A33,Ersatzteilpreiseliste!A:R,18,FALSE)</f>
        <v>7350057583920</v>
      </c>
      <c r="F33" s="206"/>
      <c r="G33" s="69" t="str">
        <f t="shared" si="0"/>
        <v/>
      </c>
      <c r="H33" s="64">
        <v>3</v>
      </c>
      <c r="I33" s="64"/>
    </row>
    <row r="34" spans="1:9" s="1" customFormat="1">
      <c r="A34" s="202">
        <v>1101315</v>
      </c>
      <c r="B34" s="68" t="str">
        <f>VLOOKUP(A34,Ersatzteilpreiseliste!A:C,3,FALSE)</f>
        <v>Ersatzteil - Gurt für Stützfuß - Minikid 1, Rekid, Wolmax, Duofix &amp; Kidzone</v>
      </c>
      <c r="C34" s="65">
        <f>VLOOKUP(A34,Ersatzteilpreiseliste!A:F,6,FALSE)</f>
        <v>6</v>
      </c>
      <c r="D34" s="80" t="s">
        <v>28</v>
      </c>
      <c r="E34" s="67">
        <f>VLOOKUP(A34,Ersatzteilpreiseliste!A:R,18,FALSE)</f>
        <v>7350057584194</v>
      </c>
      <c r="F34" s="206"/>
      <c r="G34" s="69" t="str">
        <f t="shared" si="0"/>
        <v/>
      </c>
      <c r="H34" s="64">
        <v>3</v>
      </c>
      <c r="I34" s="64"/>
    </row>
    <row r="35" spans="1:9" s="1" customFormat="1">
      <c r="A35" s="202">
        <v>1003124</v>
      </c>
      <c r="B35" s="68" t="str">
        <f>VLOOKUP(A35,Ersatzteilpreiseliste!A:C,3,FALSE)</f>
        <v>Ersatzteil - 5 Punkt Gurtsystem Holmberg</v>
      </c>
      <c r="C35" s="65">
        <f>VLOOKUP(A35,Ersatzteilpreiseliste!A:F,6,FALSE)</f>
        <v>60</v>
      </c>
      <c r="D35" s="80" t="s">
        <v>28</v>
      </c>
      <c r="E35" s="67">
        <f>VLOOKUP(A35,Ersatzteilpreiseliste!A:R,18,FALSE)</f>
        <v>7350057583968</v>
      </c>
      <c r="F35" s="206"/>
      <c r="G35" s="69" t="str">
        <f t="shared" si="0"/>
        <v/>
      </c>
      <c r="H35" s="64">
        <v>3</v>
      </c>
      <c r="I35" s="64"/>
    </row>
    <row r="36" spans="1:9" s="72" customFormat="1">
      <c r="A36" s="202">
        <v>1003207</v>
      </c>
      <c r="B36" s="68" t="str">
        <f>VLOOKUP(A36,Ersatzteilpreiseliste!A:C,3,FALSE)</f>
        <v>Ersatzteil - Gurtabdeckung</v>
      </c>
      <c r="C36" s="65">
        <f>VLOOKUP(A36,Ersatzteilpreiseliste!A:F,6,FALSE)</f>
        <v>6</v>
      </c>
      <c r="D36" s="80" t="s">
        <v>28</v>
      </c>
      <c r="E36" s="67">
        <f>VLOOKUP(A36,Ersatzteilpreiseliste!A:R,18,FALSE)</f>
        <v>7350057583999</v>
      </c>
      <c r="F36" s="206"/>
      <c r="G36" s="83" t="str">
        <f t="shared" si="0"/>
        <v/>
      </c>
      <c r="H36" s="64">
        <v>1</v>
      </c>
    </row>
    <row r="37" spans="1:9">
      <c r="A37" s="202">
        <v>1900028</v>
      </c>
      <c r="B37" s="68" t="s">
        <v>32</v>
      </c>
      <c r="C37" s="65">
        <f>VLOOKUP(A37,Ersatzteilpreiseliste!A:F,6,FALSE)</f>
        <v>0.2</v>
      </c>
      <c r="D37" s="80" t="s">
        <v>28</v>
      </c>
      <c r="E37" s="67">
        <f>VLOOKUP(A37,Ersatzteilpreiseliste!A:R,18,FALSE)</f>
        <v>7350057584101</v>
      </c>
      <c r="F37" s="206"/>
      <c r="G37" s="69"/>
      <c r="H37" s="64"/>
      <c r="I37" s="64"/>
    </row>
    <row r="38" spans="1:9" ht="15.75" thickBot="1">
      <c r="A38" s="84"/>
      <c r="B38" s="81"/>
      <c r="C38" s="81"/>
      <c r="D38" s="81"/>
      <c r="E38" s="81"/>
      <c r="F38" s="81"/>
      <c r="G38" s="71"/>
      <c r="H38" s="64"/>
      <c r="I38" s="64"/>
    </row>
  </sheetData>
  <sheetProtection algorithmName="SHA-512" hashValue="W6s6YJ11c8tvuMdHasuX+VyXZUVVDjnA6mw1C33ybNAtHQvauhieMEv9QGJi5vIJUk3ILot9f+vS4M34aCwOdA==" saltValue="FzTcPPI9Uky5dFH0oKyLUA==" spinCount="100000" sheet="1" selectLockedCells="1"/>
  <mergeCells count="23">
    <mergeCell ref="A24:B24"/>
    <mergeCell ref="J24:K24"/>
    <mergeCell ref="J19:K19"/>
    <mergeCell ref="J20:K20"/>
    <mergeCell ref="J21:K21"/>
    <mergeCell ref="J22:K22"/>
    <mergeCell ref="J23:K23"/>
    <mergeCell ref="B15:G15"/>
    <mergeCell ref="F10:G10"/>
    <mergeCell ref="B14:G14"/>
    <mergeCell ref="F24:G24"/>
    <mergeCell ref="B16:G16"/>
    <mergeCell ref="B17:G17"/>
    <mergeCell ref="A22:E22"/>
    <mergeCell ref="F22:G22"/>
    <mergeCell ref="A23:E23"/>
    <mergeCell ref="F23:G23"/>
    <mergeCell ref="F19:G19"/>
    <mergeCell ref="A19:E19"/>
    <mergeCell ref="A20:E20"/>
    <mergeCell ref="F20:G20"/>
    <mergeCell ref="A21:E21"/>
    <mergeCell ref="F21:G21"/>
  </mergeCells>
  <pageMargins left="0.70866141732283472" right="0.70866141732283472" top="0.78740157480314965" bottom="0.78740157480314965" header="0.31496062992125984" footer="0.31496062992125984"/>
  <pageSetup paperSize="9" scale="8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892D-1059-44E1-9DC0-4BE3205BD965}">
  <sheetPr codeName="Blad11">
    <tabColor rgb="FF00B050"/>
    <pageSetUpPr fitToPage="1"/>
  </sheetPr>
  <dimension ref="A1:LA41"/>
  <sheetViews>
    <sheetView zoomScale="85" zoomScaleNormal="85" workbookViewId="0">
      <selection activeCell="F30" sqref="F30"/>
    </sheetView>
  </sheetViews>
  <sheetFormatPr defaultColWidth="10.7109375" defaultRowHeight="15"/>
  <cols>
    <col min="1" max="1" width="16.42578125" customWidth="1"/>
    <col min="2" max="2" width="72.28515625" bestFit="1" customWidth="1"/>
    <col min="3" max="3" width="12.42578125" customWidth="1"/>
    <col min="4" max="5" width="18.42578125" customWidth="1"/>
    <col min="6" max="7" width="12.42578125" customWidth="1"/>
    <col min="8" max="8" width="10.7109375" style="64" hidden="1" customWidth="1"/>
  </cols>
  <sheetData>
    <row r="1" spans="1:11" s="87" customFormat="1" ht="19.5" thickBot="1">
      <c r="A1" s="169" t="s">
        <v>0</v>
      </c>
      <c r="B1" s="170"/>
      <c r="C1" s="170"/>
      <c r="D1" s="170"/>
      <c r="E1" s="170"/>
      <c r="F1" s="204" t="s">
        <v>1</v>
      </c>
      <c r="G1" s="171"/>
      <c r="H1" s="86"/>
      <c r="I1" s="86"/>
      <c r="J1" s="86"/>
      <c r="K1" s="86"/>
    </row>
    <row r="2" spans="1:11" s="87" customFormat="1">
      <c r="A2" s="159"/>
      <c r="B2" s="157"/>
      <c r="C2" s="157"/>
      <c r="D2" s="157"/>
      <c r="E2" s="157"/>
      <c r="F2" s="157"/>
      <c r="G2" s="160"/>
      <c r="H2" s="89"/>
      <c r="I2" s="90"/>
      <c r="J2" s="90"/>
      <c r="K2" s="90"/>
    </row>
    <row r="3" spans="1:11" s="87" customFormat="1">
      <c r="A3" s="161" t="s">
        <v>2</v>
      </c>
      <c r="B3" s="158"/>
      <c r="C3" s="158"/>
      <c r="D3" s="158"/>
      <c r="E3" s="158"/>
      <c r="F3" s="158"/>
      <c r="G3" s="162"/>
      <c r="H3" s="89"/>
      <c r="I3" s="90"/>
      <c r="J3" s="90"/>
      <c r="K3" s="90"/>
    </row>
    <row r="4" spans="1:11" s="87" customFormat="1">
      <c r="A4" s="161" t="s">
        <v>3</v>
      </c>
      <c r="B4" s="158"/>
      <c r="C4" s="158"/>
      <c r="D4" s="158"/>
      <c r="E4" s="158"/>
      <c r="F4" s="158"/>
      <c r="G4" s="162"/>
      <c r="H4" s="91"/>
      <c r="I4" s="92"/>
      <c r="J4" s="92"/>
      <c r="K4" s="92"/>
    </row>
    <row r="5" spans="1:11" s="87" customFormat="1">
      <c r="A5" s="161" t="s">
        <v>4</v>
      </c>
      <c r="B5" s="92"/>
      <c r="D5" s="168"/>
      <c r="E5" s="168"/>
      <c r="F5" s="168"/>
      <c r="G5" s="164"/>
      <c r="H5" s="91"/>
      <c r="I5" s="92"/>
      <c r="J5" s="92"/>
      <c r="K5" s="92"/>
    </row>
    <row r="6" spans="1:11" s="87" customFormat="1">
      <c r="A6" t="s">
        <v>5</v>
      </c>
      <c r="B6" s="92"/>
      <c r="C6" s="168"/>
      <c r="D6" s="168"/>
      <c r="E6" s="168"/>
      <c r="F6" s="168"/>
      <c r="G6" s="164"/>
      <c r="H6" s="91"/>
      <c r="I6" s="92"/>
      <c r="J6" s="92"/>
      <c r="K6" s="92"/>
    </row>
    <row r="7" spans="1:11" s="87" customFormat="1">
      <c r="A7" s="163"/>
      <c r="B7" s="92"/>
      <c r="C7" s="168"/>
      <c r="D7" s="168"/>
      <c r="E7" s="168"/>
      <c r="F7" s="168"/>
      <c r="G7" s="164"/>
      <c r="H7" s="91"/>
      <c r="I7" s="92"/>
      <c r="J7" s="92"/>
      <c r="K7" s="92"/>
    </row>
    <row r="8" spans="1:11" s="87" customFormat="1" ht="15.75" thickBot="1">
      <c r="A8" s="165"/>
      <c r="B8" s="166"/>
      <c r="C8" s="166"/>
      <c r="D8" s="166"/>
      <c r="E8" s="166"/>
      <c r="F8" s="166"/>
      <c r="G8" s="167"/>
      <c r="H8" s="89"/>
      <c r="I8" s="92"/>
      <c r="J8" s="92"/>
      <c r="K8" s="92"/>
    </row>
    <row r="9" spans="1:11" s="87" customFormat="1">
      <c r="A9" s="183" t="s">
        <v>6</v>
      </c>
      <c r="B9" s="184"/>
      <c r="C9" s="184"/>
      <c r="D9" s="184"/>
      <c r="E9" s="184"/>
      <c r="F9" s="184"/>
      <c r="G9" s="185"/>
      <c r="H9" s="89"/>
      <c r="I9" s="90"/>
      <c r="J9" s="90"/>
      <c r="K9" s="90"/>
    </row>
    <row r="10" spans="1:11" s="87" customFormat="1">
      <c r="A10" s="186" t="s">
        <v>7</v>
      </c>
      <c r="B10" s="181"/>
      <c r="C10" s="187" t="s">
        <v>8</v>
      </c>
      <c r="D10" s="188"/>
      <c r="E10" s="187" t="s">
        <v>9</v>
      </c>
      <c r="F10" s="245"/>
      <c r="G10" s="246"/>
      <c r="H10" s="89"/>
      <c r="I10" s="90"/>
      <c r="J10" s="90"/>
      <c r="K10" s="90"/>
    </row>
    <row r="11" spans="1:11" s="87" customFormat="1">
      <c r="A11" s="189" t="s">
        <v>10</v>
      </c>
      <c r="B11" s="182"/>
      <c r="C11" s="190"/>
      <c r="D11" s="190"/>
      <c r="E11" s="190"/>
      <c r="F11" s="190"/>
      <c r="G11" s="191"/>
      <c r="H11" s="89"/>
      <c r="I11" s="90"/>
      <c r="J11" s="90"/>
      <c r="K11" s="90"/>
    </row>
    <row r="12" spans="1:11" s="87" customFormat="1">
      <c r="A12" s="192"/>
      <c r="B12" s="190"/>
      <c r="C12" s="190"/>
      <c r="D12" s="190"/>
      <c r="E12" s="190"/>
      <c r="F12" s="190"/>
      <c r="G12" s="191"/>
      <c r="H12" s="89"/>
      <c r="I12" s="90"/>
      <c r="J12" s="90"/>
      <c r="K12" s="90"/>
    </row>
    <row r="13" spans="1:11" s="87" customFormat="1">
      <c r="A13" s="193" t="s">
        <v>11</v>
      </c>
      <c r="B13" s="190"/>
      <c r="C13" s="190"/>
      <c r="D13" s="190"/>
      <c r="E13" s="190"/>
      <c r="F13" s="190"/>
      <c r="G13" s="191"/>
      <c r="H13" s="89"/>
      <c r="I13" s="90"/>
      <c r="J13" s="90"/>
      <c r="K13" s="90"/>
    </row>
    <row r="14" spans="1:11" s="87" customFormat="1">
      <c r="A14" s="186" t="s">
        <v>12</v>
      </c>
      <c r="B14" s="245"/>
      <c r="C14" s="247"/>
      <c r="D14" s="247"/>
      <c r="E14" s="247"/>
      <c r="F14" s="247"/>
      <c r="G14" s="246"/>
      <c r="H14" s="89"/>
      <c r="I14" s="90"/>
      <c r="J14" s="90"/>
      <c r="K14" s="90"/>
    </row>
    <row r="15" spans="1:11" s="87" customFormat="1">
      <c r="A15" s="189" t="s">
        <v>13</v>
      </c>
      <c r="B15" s="245"/>
      <c r="C15" s="247"/>
      <c r="D15" s="247"/>
      <c r="E15" s="247"/>
      <c r="F15" s="247"/>
      <c r="G15" s="246"/>
      <c r="H15" s="89"/>
      <c r="I15" s="90"/>
      <c r="J15" s="90"/>
      <c r="K15" s="90"/>
    </row>
    <row r="16" spans="1:11" s="87" customFormat="1">
      <c r="A16" s="186" t="s">
        <v>14</v>
      </c>
      <c r="B16" s="245"/>
      <c r="C16" s="247"/>
      <c r="D16" s="247"/>
      <c r="E16" s="247"/>
      <c r="F16" s="247"/>
      <c r="G16" s="246"/>
      <c r="H16" s="89"/>
      <c r="I16" s="90"/>
      <c r="J16" s="90"/>
      <c r="K16" s="90"/>
    </row>
    <row r="17" spans="1:313" s="87" customFormat="1" ht="15.75" thickBot="1">
      <c r="A17" s="186"/>
      <c r="B17" s="248"/>
      <c r="C17" s="249"/>
      <c r="D17" s="249"/>
      <c r="E17" s="249"/>
      <c r="F17" s="249"/>
      <c r="G17" s="250"/>
      <c r="H17" s="89"/>
      <c r="I17" s="90"/>
      <c r="J17" s="90"/>
      <c r="K17" s="90"/>
    </row>
    <row r="18" spans="1:313" s="87" customFormat="1" ht="15.75" thickBot="1">
      <c r="A18" s="174"/>
      <c r="B18" s="92"/>
      <c r="C18" s="92"/>
      <c r="D18" s="92"/>
      <c r="E18" s="92"/>
      <c r="F18" s="92"/>
      <c r="G18" s="164"/>
      <c r="H18" s="89"/>
      <c r="I18" s="92"/>
      <c r="J18" s="92"/>
      <c r="K18" s="92"/>
    </row>
    <row r="19" spans="1:313" s="87" customFormat="1">
      <c r="A19" s="241" t="s">
        <v>15</v>
      </c>
      <c r="B19" s="242"/>
      <c r="C19" s="242"/>
      <c r="D19" s="242"/>
      <c r="E19" s="242"/>
      <c r="F19" s="243" t="str">
        <f>IF(SUM(F27:F45)=0,"",H19*Aufwand!C2)</f>
        <v/>
      </c>
      <c r="G19" s="244"/>
      <c r="H19" s="93" t="str">
        <f>IF(SUM(F27:F43)=0,"",SUM(G27:G43))</f>
        <v/>
      </c>
      <c r="I19" s="90"/>
      <c r="J19" s="228"/>
      <c r="K19" s="228"/>
    </row>
    <row r="20" spans="1:313" s="87" customFormat="1">
      <c r="A20" s="224" t="s">
        <v>16</v>
      </c>
      <c r="B20" s="225"/>
      <c r="C20" s="225"/>
      <c r="D20" s="225"/>
      <c r="E20" s="225"/>
      <c r="F20" s="229"/>
      <c r="G20" s="230"/>
      <c r="H20" s="89"/>
      <c r="I20" s="90"/>
      <c r="J20" s="228"/>
      <c r="K20" s="228"/>
    </row>
    <row r="21" spans="1:313" s="87" customFormat="1">
      <c r="A21" s="224" t="s">
        <v>17</v>
      </c>
      <c r="B21" s="225"/>
      <c r="C21" s="225"/>
      <c r="D21" s="225"/>
      <c r="E21" s="225"/>
      <c r="F21" s="251"/>
      <c r="G21" s="252"/>
      <c r="H21" s="89"/>
      <c r="I21" s="90"/>
      <c r="J21" s="228"/>
      <c r="K21" s="228"/>
    </row>
    <row r="22" spans="1:313" s="87" customFormat="1">
      <c r="A22" s="224" t="s">
        <v>18</v>
      </c>
      <c r="B22" s="225"/>
      <c r="C22" s="225"/>
      <c r="D22" s="225"/>
      <c r="E22" s="225"/>
      <c r="F22" s="251"/>
      <c r="G22" s="252"/>
      <c r="H22" s="89"/>
      <c r="I22" s="90"/>
      <c r="J22" s="228"/>
      <c r="K22" s="228"/>
    </row>
    <row r="23" spans="1:313" s="87" customFormat="1">
      <c r="A23" s="236" t="s">
        <v>19</v>
      </c>
      <c r="B23" s="237"/>
      <c r="C23" s="237"/>
      <c r="D23" s="237"/>
      <c r="E23" s="237"/>
      <c r="F23" s="238" t="str">
        <f>IF(F24="","",F24-(F24/1.19))</f>
        <v/>
      </c>
      <c r="G23" s="239"/>
      <c r="H23" s="89"/>
      <c r="I23" s="90"/>
      <c r="J23" s="240"/>
      <c r="K23" s="240"/>
    </row>
    <row r="24" spans="1:313" s="87" customFormat="1" ht="16.5" customHeight="1" thickBot="1">
      <c r="A24" s="231" t="s">
        <v>20</v>
      </c>
      <c r="B24" s="232"/>
      <c r="C24" s="94"/>
      <c r="D24" s="94"/>
      <c r="E24" s="96" t="s">
        <v>21</v>
      </c>
      <c r="F24" s="233" t="str">
        <f>IF(F19="","",SUM(F19:F22))</f>
        <v/>
      </c>
      <c r="G24" s="234"/>
      <c r="H24" s="89"/>
      <c r="I24" s="90"/>
      <c r="J24" s="235"/>
      <c r="K24" s="235"/>
    </row>
    <row r="25" spans="1:313" s="1" customFormat="1" ht="7.15" customHeight="1">
      <c r="A25" s="79"/>
      <c r="G25" s="63"/>
      <c r="H25" s="64"/>
    </row>
    <row r="26" spans="1:313">
      <c r="A26" s="73" t="s">
        <v>22</v>
      </c>
      <c r="B26" s="74" t="s">
        <v>23</v>
      </c>
      <c r="C26" s="75" t="s">
        <v>29</v>
      </c>
      <c r="D26" s="76" t="s">
        <v>39</v>
      </c>
      <c r="E26" s="76" t="s">
        <v>31</v>
      </c>
      <c r="F26" s="77" t="s">
        <v>27</v>
      </c>
      <c r="G26" s="78" t="s">
        <v>15</v>
      </c>
    </row>
    <row r="27" spans="1:313" s="1" customFormat="1">
      <c r="A27" s="66">
        <v>1002108</v>
      </c>
      <c r="B27" s="68" t="str">
        <f>VLOOKUP(A27,Ersatzteilpreiseliste!A:C,3,FALSE)</f>
        <v>Ersatzteil - Schaumstoff Sitzfläche Geklebt</v>
      </c>
      <c r="C27" s="65">
        <f>VLOOKUP(A27,Ersatzteilpreiseliste!A:F,6,FALSE)</f>
        <v>8</v>
      </c>
      <c r="D27" s="80" t="s">
        <v>28</v>
      </c>
      <c r="E27" s="67">
        <f>VLOOKUP(A27,Ersatzteilpreiseliste!A:R,18,FALSE)</f>
        <v>7350057583746</v>
      </c>
      <c r="F27" s="206"/>
      <c r="G27" s="69" t="str">
        <f>IF(F27="","",H27)</f>
        <v/>
      </c>
      <c r="H27" s="64">
        <v>1</v>
      </c>
    </row>
    <row r="28" spans="1:313" s="1" customFormat="1">
      <c r="A28" s="66">
        <v>1006000</v>
      </c>
      <c r="B28" s="68" t="str">
        <f>VLOOKUP(A28,Ersatzteilpreiseliste!A:C,3,FALSE)</f>
        <v>Ersatzteil - Kopfstütze - Duofix &amp; Kidzofix</v>
      </c>
      <c r="C28" s="65">
        <f>VLOOKUP(A28,Ersatzteilpreiseliste!A:F,6,FALSE)</f>
        <v>26</v>
      </c>
      <c r="D28" s="80" t="s">
        <v>28</v>
      </c>
      <c r="E28" s="67">
        <f>VLOOKUP(A28,Ersatzteilpreiseliste!A:R,18,FALSE)</f>
        <v>7350057583791</v>
      </c>
      <c r="F28" s="206"/>
      <c r="G28" s="69" t="str">
        <f t="shared" ref="G28:G39" si="0">IF(F28="","",H28)</f>
        <v/>
      </c>
      <c r="H28" s="64">
        <v>2</v>
      </c>
    </row>
    <row r="29" spans="1:313" s="1" customFormat="1">
      <c r="A29" s="66">
        <v>1101197</v>
      </c>
      <c r="B29" s="68" t="str">
        <f>VLOOKUP(A29,Ersatzteilpreiseliste!A:C,3,FALSE)</f>
        <v>Ersatzteil - Kopfstütze Rückenplatte - Minikid, Modukid Seat, Rekid, Duofix &amp; Kidzone</v>
      </c>
      <c r="C29" s="65">
        <f>VLOOKUP(A29,Ersatzteilpreiseliste!A:F,6,FALSE)</f>
        <v>20</v>
      </c>
      <c r="D29" s="80" t="s">
        <v>28</v>
      </c>
      <c r="E29" s="67">
        <f>VLOOKUP(A29,Ersatzteilpreiseliste!A:R,18,FALSE)</f>
        <v>7350057583807</v>
      </c>
      <c r="F29" s="206"/>
      <c r="G29" s="69" t="str">
        <f t="shared" si="0"/>
        <v/>
      </c>
      <c r="H29" s="64">
        <v>2</v>
      </c>
      <c r="LA29" s="38"/>
    </row>
    <row r="30" spans="1:313" s="1" customFormat="1">
      <c r="A30" s="66">
        <v>1002103</v>
      </c>
      <c r="B30" s="68" t="str">
        <f>VLOOKUP(A30,Ersatzteilpreiseliste!A:C,3,FALSE)</f>
        <v>Ersatzteil - Styropor [Links] - Minikid, Rekid, Duofix &amp; Kidzone</v>
      </c>
      <c r="C30" s="65">
        <f>VLOOKUP(A30,Ersatzteilpreiseliste!A:F,6,FALSE)</f>
        <v>14</v>
      </c>
      <c r="D30" s="80" t="s">
        <v>28</v>
      </c>
      <c r="E30" s="67">
        <f>VLOOKUP(A30,Ersatzteilpreiseliste!A:R,18,FALSE)</f>
        <v>7350057583852</v>
      </c>
      <c r="F30" s="206"/>
      <c r="G30" s="69" t="str">
        <f t="shared" si="0"/>
        <v/>
      </c>
      <c r="H30" s="64">
        <v>2</v>
      </c>
    </row>
    <row r="31" spans="1:313" s="1" customFormat="1">
      <c r="A31" s="66">
        <v>1002104</v>
      </c>
      <c r="B31" s="68" t="str">
        <f>VLOOKUP(A31,Ersatzteilpreiseliste!A:C,3,FALSE)</f>
        <v>Ersatzteil - Styropor [Rechts] - Minikid, Rekid, Duofix &amp; Kidzone</v>
      </c>
      <c r="C31" s="65">
        <f>VLOOKUP(A31,Ersatzteilpreiseliste!A:F,6,FALSE)</f>
        <v>14</v>
      </c>
      <c r="D31" s="80" t="s">
        <v>28</v>
      </c>
      <c r="E31" s="67">
        <f>VLOOKUP(A31,Ersatzteilpreiseliste!A:R,18,FALSE)</f>
        <v>7350057583869</v>
      </c>
      <c r="F31" s="206"/>
      <c r="G31" s="69" t="str">
        <f t="shared" si="0"/>
        <v/>
      </c>
      <c r="H31" s="64">
        <v>2</v>
      </c>
    </row>
    <row r="32" spans="1:313" s="1" customFormat="1">
      <c r="A32" s="66">
        <v>1002101</v>
      </c>
      <c r="B32" s="70" t="str">
        <f>VLOOKUP(A32,Ersatzteilpreiseliste!A:C,3,FALSE)</f>
        <v>Ersatzteil - Styropor [Rücken] - Minikid, Rekid, Duofix &amp; Kidzone</v>
      </c>
      <c r="C32" s="65">
        <f>VLOOKUP(A32,Ersatzteilpreiseliste!A:F,6,FALSE)</f>
        <v>14</v>
      </c>
      <c r="D32" s="80" t="s">
        <v>28</v>
      </c>
      <c r="E32" s="67">
        <f>VLOOKUP(A32,Ersatzteilpreiseliste!A:R,18,FALSE)</f>
        <v>7350057583876</v>
      </c>
      <c r="F32" s="206"/>
      <c r="G32" s="69" t="str">
        <f t="shared" si="0"/>
        <v/>
      </c>
      <c r="H32" s="64">
        <v>2</v>
      </c>
    </row>
    <row r="33" spans="1:8" s="1" customFormat="1">
      <c r="A33" s="66">
        <v>1003215</v>
      </c>
      <c r="B33" s="68" t="str">
        <f>VLOOKUP(A33,Ersatzteilpreiseliste!A:C,3,FALSE)</f>
        <v>Gurtklemme schwarz</v>
      </c>
      <c r="C33" s="65">
        <f>VLOOKUP(A33,Ersatzteilpreiseliste!A:F,6,FALSE)</f>
        <v>6</v>
      </c>
      <c r="D33" s="80" t="s">
        <v>28</v>
      </c>
      <c r="E33" s="67">
        <f>VLOOKUP(A33,Ersatzteilpreiseliste!A:R,18,FALSE)</f>
        <v>7350057583906</v>
      </c>
      <c r="F33" s="206"/>
      <c r="G33" s="69" t="str">
        <f t="shared" si="0"/>
        <v/>
      </c>
      <c r="H33" s="64">
        <v>1</v>
      </c>
    </row>
    <row r="34" spans="1:8" s="1" customFormat="1">
      <c r="A34" s="66">
        <v>1004000</v>
      </c>
      <c r="B34" s="68" t="str">
        <f>VLOOKUP(A34,Ersatzteilpreiseliste!A:C,3,FALSE)</f>
        <v>Ersatzteil - Stützfuß - Minikid 1, Rekid, Wolmax, Duofix &amp; Kidzone</v>
      </c>
      <c r="C34" s="65">
        <f>VLOOKUP(A34,Ersatzteilpreiseliste!A:F,6,FALSE)</f>
        <v>80</v>
      </c>
      <c r="D34" s="80" t="s">
        <v>28</v>
      </c>
      <c r="E34" s="67">
        <f>VLOOKUP(A34,Ersatzteilpreiseliste!A:R,18,FALSE)</f>
        <v>7350057583920</v>
      </c>
      <c r="F34" s="206"/>
      <c r="G34" s="69" t="str">
        <f t="shared" si="0"/>
        <v/>
      </c>
      <c r="H34" s="64">
        <v>3</v>
      </c>
    </row>
    <row r="35" spans="1:8" s="1" customFormat="1">
      <c r="A35" s="66">
        <v>1101315</v>
      </c>
      <c r="B35" s="68" t="str">
        <f>VLOOKUP(A35,Ersatzteilpreiseliste!A:C,3,FALSE)</f>
        <v>Ersatzteil - Gurt für Stützfuß - Minikid 1, Rekid, Wolmax, Duofix &amp; Kidzone</v>
      </c>
      <c r="C35" s="65">
        <f>VLOOKUP(A35,Ersatzteilpreiseliste!A:F,6,FALSE)</f>
        <v>6</v>
      </c>
      <c r="D35" s="80" t="s">
        <v>28</v>
      </c>
      <c r="E35" s="67">
        <f>VLOOKUP(A35,Ersatzteilpreiseliste!A:R,18,FALSE)</f>
        <v>7350057584194</v>
      </c>
      <c r="F35" s="206"/>
      <c r="G35" s="69" t="str">
        <f t="shared" si="0"/>
        <v/>
      </c>
      <c r="H35" s="64">
        <v>3</v>
      </c>
    </row>
    <row r="36" spans="1:8" s="1" customFormat="1">
      <c r="A36" s="66">
        <v>1003124</v>
      </c>
      <c r="B36" s="68" t="str">
        <f>VLOOKUP(A36,Ersatzteilpreiseliste!A:C,3,FALSE)</f>
        <v>Ersatzteil - 5 Punkt Gurtsystem Holmberg</v>
      </c>
      <c r="C36" s="65">
        <f>VLOOKUP(A36,Ersatzteilpreiseliste!A:F,6,FALSE)</f>
        <v>60</v>
      </c>
      <c r="D36" s="80" t="s">
        <v>28</v>
      </c>
      <c r="E36" s="67">
        <f>VLOOKUP(A36,Ersatzteilpreiseliste!A:R,18,FALSE)</f>
        <v>7350057583968</v>
      </c>
      <c r="F36" s="206"/>
      <c r="G36" s="69" t="str">
        <f t="shared" si="0"/>
        <v/>
      </c>
      <c r="H36" s="64">
        <v>3</v>
      </c>
    </row>
    <row r="37" spans="1:8" s="1" customFormat="1">
      <c r="A37" s="66">
        <v>1003400</v>
      </c>
      <c r="B37" s="68" t="str">
        <f>VLOOKUP(A37,Ersatzteilpreiseliste!A:C,3,FALSE)</f>
        <v>Ersatzteil - Gurtaufroller [Links]</v>
      </c>
      <c r="C37" s="65">
        <f>VLOOKUP(A37,Ersatzteilpreiseliste!A:F,6,FALSE)</f>
        <v>46</v>
      </c>
      <c r="D37" s="80" t="s">
        <v>28</v>
      </c>
      <c r="E37" s="67">
        <f>VLOOKUP(A37,Ersatzteilpreiseliste!A:R,18,FALSE)</f>
        <v>7350057584019</v>
      </c>
      <c r="F37" s="206"/>
      <c r="G37" s="69" t="str">
        <f t="shared" si="0"/>
        <v/>
      </c>
      <c r="H37" s="64">
        <v>1</v>
      </c>
    </row>
    <row r="38" spans="1:8" s="1" customFormat="1">
      <c r="A38" s="66">
        <v>1003409</v>
      </c>
      <c r="B38" s="68" t="str">
        <f>VLOOKUP(A38,Ersatzteilpreiseliste!A:C,3,FALSE)</f>
        <v>Ersatzteil - Gurtaufroller [Rechts]</v>
      </c>
      <c r="C38" s="65">
        <f>VLOOKUP(A38,Ersatzteilpreiseliste!A:F,6,FALSE)</f>
        <v>46</v>
      </c>
      <c r="D38" s="80" t="s">
        <v>28</v>
      </c>
      <c r="E38" s="67">
        <f>VLOOKUP(A38,Ersatzteilpreiseliste!A:R,18,FALSE)</f>
        <v>7350057584026</v>
      </c>
      <c r="F38" s="206"/>
      <c r="G38" s="69" t="str">
        <f t="shared" si="0"/>
        <v/>
      </c>
      <c r="H38" s="64">
        <v>1</v>
      </c>
    </row>
    <row r="39" spans="1:8" s="72" customFormat="1">
      <c r="A39" s="82">
        <v>1003207</v>
      </c>
      <c r="B39" s="68" t="str">
        <f>VLOOKUP(A39,Ersatzteilpreiseliste!A:C,3,FALSE)</f>
        <v>Ersatzteil - Gurtabdeckung</v>
      </c>
      <c r="C39" s="65">
        <f>VLOOKUP(A39,Ersatzteilpreiseliste!A:F,6,FALSE)</f>
        <v>6</v>
      </c>
      <c r="D39" s="80" t="s">
        <v>28</v>
      </c>
      <c r="E39" s="67">
        <f>VLOOKUP(A39,Ersatzteilpreiseliste!A:R,18,FALSE)</f>
        <v>7350057583999</v>
      </c>
      <c r="F39" s="210"/>
      <c r="G39" s="83" t="str">
        <f t="shared" si="0"/>
        <v/>
      </c>
      <c r="H39" s="64">
        <v>1</v>
      </c>
    </row>
    <row r="40" spans="1:8">
      <c r="A40" s="66">
        <v>1900028</v>
      </c>
      <c r="B40" s="68" t="s">
        <v>32</v>
      </c>
      <c r="C40" s="65">
        <f>VLOOKUP(A40,Ersatzteilpreiseliste!A:F,6,FALSE)</f>
        <v>0.2</v>
      </c>
      <c r="D40" s="80" t="s">
        <v>28</v>
      </c>
      <c r="E40" s="67">
        <f>VLOOKUP(A40,Ersatzteilpreiseliste!A:R,18,FALSE)</f>
        <v>7350057584101</v>
      </c>
      <c r="F40" s="206"/>
      <c r="G40" s="69"/>
    </row>
    <row r="41" spans="1:8" ht="15.75" thickBot="1">
      <c r="A41" s="84"/>
      <c r="B41" s="81"/>
      <c r="C41" s="81"/>
      <c r="D41" s="81"/>
      <c r="E41" s="81"/>
      <c r="F41" s="81"/>
      <c r="G41" s="71"/>
    </row>
  </sheetData>
  <sheetProtection algorithmName="SHA-512" hashValue="CkchWoV0ajlg0/jx8NbD6AAY3FiWC8SiJ8+6eXXYrAe9WxOx55m88Xi0NsV9CXfuyjd1TygXViiF9x5PstUBPA==" saltValue="+IFEgSWOKBFKZK+x99UQPw==" spinCount="100000" sheet="1" selectLockedCells="1"/>
  <mergeCells count="23">
    <mergeCell ref="A24:B24"/>
    <mergeCell ref="J24:K24"/>
    <mergeCell ref="J19:K19"/>
    <mergeCell ref="J20:K20"/>
    <mergeCell ref="J21:K21"/>
    <mergeCell ref="J22:K22"/>
    <mergeCell ref="J23:K23"/>
    <mergeCell ref="B15:G15"/>
    <mergeCell ref="F10:G10"/>
    <mergeCell ref="B14:G14"/>
    <mergeCell ref="F24:G24"/>
    <mergeCell ref="B16:G16"/>
    <mergeCell ref="B17:G17"/>
    <mergeCell ref="A22:E22"/>
    <mergeCell ref="F22:G22"/>
    <mergeCell ref="A23:E23"/>
    <mergeCell ref="F23:G23"/>
    <mergeCell ref="F19:G19"/>
    <mergeCell ref="A19:E19"/>
    <mergeCell ref="A20:E20"/>
    <mergeCell ref="F20:G20"/>
    <mergeCell ref="A21:E21"/>
    <mergeCell ref="F21:G21"/>
  </mergeCells>
  <pageMargins left="0.70866141732283472" right="0.70866141732283472" top="0.78740157480314965" bottom="0.78740157480314965" header="0.31496062992125984" footer="0.31496062992125984"/>
  <pageSetup paperSize="9" scale="8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FE15-8A12-4B8E-94BE-6A8879A79A1D}">
  <sheetPr codeName="Blad12">
    <tabColor rgb="FF00B050"/>
    <pageSetUpPr fitToPage="1"/>
  </sheetPr>
  <dimension ref="A1:K39"/>
  <sheetViews>
    <sheetView zoomScale="85" zoomScaleNormal="85" workbookViewId="0">
      <selection activeCell="G1" sqref="G1"/>
    </sheetView>
  </sheetViews>
  <sheetFormatPr defaultColWidth="10.7109375" defaultRowHeight="15"/>
  <cols>
    <col min="1" max="1" width="16.42578125" customWidth="1"/>
    <col min="2" max="2" width="72.28515625" bestFit="1" customWidth="1"/>
    <col min="3" max="3" width="12.42578125" customWidth="1"/>
    <col min="4" max="5" width="18.42578125" customWidth="1"/>
    <col min="6" max="7" width="12.42578125" customWidth="1"/>
    <col min="8" max="8" width="10.7109375" style="64" hidden="1" customWidth="1"/>
  </cols>
  <sheetData>
    <row r="1" spans="1:11" s="87" customFormat="1" ht="19.5" thickBot="1">
      <c r="A1" s="169" t="s">
        <v>0</v>
      </c>
      <c r="B1" s="170"/>
      <c r="C1" s="170"/>
      <c r="D1" s="170"/>
      <c r="E1" s="170"/>
      <c r="F1" s="205" t="s">
        <v>1</v>
      </c>
      <c r="G1" s="171"/>
      <c r="H1" s="86"/>
      <c r="I1" s="86"/>
      <c r="J1" s="86"/>
      <c r="K1" s="86"/>
    </row>
    <row r="2" spans="1:11" s="87" customFormat="1">
      <c r="A2" s="159"/>
      <c r="B2" s="157"/>
      <c r="C2" s="157"/>
      <c r="D2" s="157"/>
      <c r="E2" s="157"/>
      <c r="F2" s="157"/>
      <c r="G2" s="160"/>
      <c r="H2" s="89"/>
      <c r="I2" s="90"/>
      <c r="J2" s="90"/>
      <c r="K2" s="90"/>
    </row>
    <row r="3" spans="1:11" s="87" customFormat="1">
      <c r="A3" s="161" t="s">
        <v>2</v>
      </c>
      <c r="B3" s="158"/>
      <c r="C3" s="158"/>
      <c r="D3" s="158"/>
      <c r="E3" s="158"/>
      <c r="F3" s="158"/>
      <c r="G3" s="162"/>
      <c r="H3" s="89"/>
      <c r="I3" s="90"/>
      <c r="J3" s="90"/>
      <c r="K3" s="90"/>
    </row>
    <row r="4" spans="1:11" s="87" customFormat="1">
      <c r="A4" s="161" t="s">
        <v>3</v>
      </c>
      <c r="B4" s="158"/>
      <c r="C4" s="158"/>
      <c r="D4" s="158"/>
      <c r="E4" s="158"/>
      <c r="F4" s="158"/>
      <c r="G4" s="162"/>
      <c r="H4" s="91"/>
      <c r="I4" s="92"/>
      <c r="J4" s="92"/>
      <c r="K4" s="92"/>
    </row>
    <row r="5" spans="1:11" s="87" customFormat="1">
      <c r="A5" s="161" t="s">
        <v>4</v>
      </c>
      <c r="B5" s="92"/>
      <c r="D5" s="168"/>
      <c r="E5" s="168"/>
      <c r="F5" s="168"/>
      <c r="G5" s="164"/>
      <c r="H5" s="91"/>
      <c r="I5" s="92"/>
      <c r="J5" s="92"/>
      <c r="K5" s="92"/>
    </row>
    <row r="6" spans="1:11" s="87" customFormat="1">
      <c r="A6" t="s">
        <v>5</v>
      </c>
      <c r="B6" s="92"/>
      <c r="C6" s="168"/>
      <c r="D6" s="168"/>
      <c r="E6" s="168"/>
      <c r="F6" s="168"/>
      <c r="G6" s="164"/>
      <c r="H6" s="91"/>
      <c r="I6" s="92"/>
      <c r="J6" s="92"/>
      <c r="K6" s="92"/>
    </row>
    <row r="7" spans="1:11" s="87" customFormat="1">
      <c r="A7" s="163"/>
      <c r="B7" s="92"/>
      <c r="C7" s="168"/>
      <c r="D7" s="168"/>
      <c r="E7" s="168"/>
      <c r="F7" s="168"/>
      <c r="G7" s="164"/>
      <c r="H7" s="91"/>
      <c r="I7" s="92"/>
      <c r="J7" s="92"/>
      <c r="K7" s="92"/>
    </row>
    <row r="8" spans="1:11" s="87" customFormat="1" ht="15.75" thickBot="1">
      <c r="A8" s="165"/>
      <c r="B8" s="166"/>
      <c r="C8" s="166"/>
      <c r="D8" s="166"/>
      <c r="E8" s="166"/>
      <c r="F8" s="166"/>
      <c r="G8" s="167"/>
      <c r="H8" s="89"/>
      <c r="I8" s="92"/>
      <c r="J8" s="92"/>
      <c r="K8" s="92"/>
    </row>
    <row r="9" spans="1:11" s="87" customFormat="1">
      <c r="A9" s="183" t="s">
        <v>6</v>
      </c>
      <c r="B9" s="184"/>
      <c r="C9" s="184"/>
      <c r="D9" s="184"/>
      <c r="E9" s="184"/>
      <c r="F9" s="184"/>
      <c r="G9" s="185"/>
      <c r="H9" s="89"/>
      <c r="I9" s="90"/>
      <c r="J9" s="90"/>
      <c r="K9" s="90"/>
    </row>
    <row r="10" spans="1:11" s="87" customFormat="1">
      <c r="A10" s="186" t="s">
        <v>7</v>
      </c>
      <c r="B10" s="181"/>
      <c r="C10" s="187" t="s">
        <v>8</v>
      </c>
      <c r="D10" s="188"/>
      <c r="E10" s="187" t="s">
        <v>9</v>
      </c>
      <c r="F10" s="245"/>
      <c r="G10" s="246"/>
      <c r="H10" s="89"/>
      <c r="I10" s="90"/>
      <c r="J10" s="90"/>
      <c r="K10" s="90"/>
    </row>
    <row r="11" spans="1:11" s="87" customFormat="1">
      <c r="A11" s="189" t="s">
        <v>10</v>
      </c>
      <c r="B11" s="182"/>
      <c r="C11" s="190"/>
      <c r="D11" s="190"/>
      <c r="E11" s="190"/>
      <c r="F11" s="190"/>
      <c r="G11" s="191"/>
      <c r="H11" s="89"/>
      <c r="I11" s="90"/>
      <c r="J11" s="90"/>
      <c r="K11" s="90"/>
    </row>
    <row r="12" spans="1:11" s="87" customFormat="1">
      <c r="A12" s="192"/>
      <c r="B12" s="190"/>
      <c r="C12" s="190"/>
      <c r="D12" s="190"/>
      <c r="E12" s="190"/>
      <c r="F12" s="190"/>
      <c r="G12" s="191"/>
      <c r="H12" s="89"/>
      <c r="I12" s="90"/>
      <c r="J12" s="90"/>
      <c r="K12" s="90"/>
    </row>
    <row r="13" spans="1:11" s="87" customFormat="1">
      <c r="A13" s="193" t="s">
        <v>11</v>
      </c>
      <c r="B13" s="190"/>
      <c r="C13" s="190"/>
      <c r="D13" s="190"/>
      <c r="E13" s="190"/>
      <c r="F13" s="190"/>
      <c r="G13" s="191"/>
      <c r="H13" s="89"/>
      <c r="I13" s="90"/>
      <c r="J13" s="90"/>
      <c r="K13" s="90"/>
    </row>
    <row r="14" spans="1:11" s="87" customFormat="1">
      <c r="A14" s="186" t="s">
        <v>12</v>
      </c>
      <c r="B14" s="245"/>
      <c r="C14" s="247"/>
      <c r="D14" s="247"/>
      <c r="E14" s="247"/>
      <c r="F14" s="247"/>
      <c r="G14" s="246"/>
      <c r="H14" s="89"/>
      <c r="I14" s="90"/>
      <c r="J14" s="90"/>
      <c r="K14" s="90"/>
    </row>
    <row r="15" spans="1:11" s="87" customFormat="1">
      <c r="A15" s="189" t="s">
        <v>13</v>
      </c>
      <c r="B15" s="245"/>
      <c r="C15" s="247"/>
      <c r="D15" s="247"/>
      <c r="E15" s="247"/>
      <c r="F15" s="247"/>
      <c r="G15" s="246"/>
      <c r="H15" s="89"/>
      <c r="I15" s="90"/>
      <c r="J15" s="90"/>
      <c r="K15" s="90"/>
    </row>
    <row r="16" spans="1:11" s="87" customFormat="1">
      <c r="A16" s="186" t="s">
        <v>14</v>
      </c>
      <c r="B16" s="245"/>
      <c r="C16" s="247"/>
      <c r="D16" s="247"/>
      <c r="E16" s="247"/>
      <c r="F16" s="247"/>
      <c r="G16" s="246"/>
      <c r="H16" s="89"/>
      <c r="I16" s="90"/>
      <c r="J16" s="90"/>
      <c r="K16" s="90"/>
    </row>
    <row r="17" spans="1:11" s="87" customFormat="1" ht="15.75" thickBot="1">
      <c r="A17" s="186"/>
      <c r="B17" s="248"/>
      <c r="C17" s="249"/>
      <c r="D17" s="249"/>
      <c r="E17" s="249"/>
      <c r="F17" s="249"/>
      <c r="G17" s="250"/>
      <c r="H17" s="89"/>
      <c r="I17" s="90"/>
      <c r="J17" s="90"/>
      <c r="K17" s="90"/>
    </row>
    <row r="18" spans="1:11" s="87" customFormat="1" ht="15.75" thickBot="1">
      <c r="A18" s="174"/>
      <c r="B18" s="92"/>
      <c r="C18" s="92"/>
      <c r="D18" s="92"/>
      <c r="E18" s="92"/>
      <c r="F18" s="92"/>
      <c r="G18" s="164"/>
      <c r="H18" s="89"/>
      <c r="I18" s="92"/>
      <c r="J18" s="92"/>
      <c r="K18" s="92"/>
    </row>
    <row r="19" spans="1:11" s="87" customFormat="1">
      <c r="A19" s="241" t="s">
        <v>15</v>
      </c>
      <c r="B19" s="242"/>
      <c r="C19" s="242"/>
      <c r="D19" s="242"/>
      <c r="E19" s="242"/>
      <c r="F19" s="243" t="str">
        <f>IF(SUM(F27:F45)=0,"",H19*Aufwand!C2)</f>
        <v/>
      </c>
      <c r="G19" s="244"/>
      <c r="H19" s="93" t="str">
        <f>IF(SUM(F27:F43)=0,"",SUM(G27:G43))</f>
        <v/>
      </c>
      <c r="I19" s="90"/>
      <c r="J19" s="228"/>
      <c r="K19" s="228"/>
    </row>
    <row r="20" spans="1:11" s="87" customFormat="1">
      <c r="A20" s="224" t="s">
        <v>16</v>
      </c>
      <c r="B20" s="225"/>
      <c r="C20" s="225"/>
      <c r="D20" s="225"/>
      <c r="E20" s="225"/>
      <c r="F20" s="229"/>
      <c r="G20" s="230"/>
      <c r="H20" s="89"/>
      <c r="I20" s="90"/>
      <c r="J20" s="228"/>
      <c r="K20" s="228"/>
    </row>
    <row r="21" spans="1:11" s="87" customFormat="1">
      <c r="A21" s="224" t="s">
        <v>17</v>
      </c>
      <c r="B21" s="225"/>
      <c r="C21" s="225"/>
      <c r="D21" s="225"/>
      <c r="E21" s="225"/>
      <c r="F21" s="226"/>
      <c r="G21" s="227"/>
      <c r="H21" s="89"/>
      <c r="I21" s="90"/>
      <c r="J21" s="228"/>
      <c r="K21" s="228"/>
    </row>
    <row r="22" spans="1:11" s="87" customFormat="1">
      <c r="A22" s="224" t="s">
        <v>18</v>
      </c>
      <c r="B22" s="225"/>
      <c r="C22" s="225"/>
      <c r="D22" s="225"/>
      <c r="E22" s="225"/>
      <c r="F22" s="226"/>
      <c r="G22" s="227"/>
      <c r="H22" s="89"/>
      <c r="I22" s="90"/>
      <c r="J22" s="228"/>
      <c r="K22" s="228"/>
    </row>
    <row r="23" spans="1:11" s="87" customFormat="1">
      <c r="A23" s="236" t="s">
        <v>19</v>
      </c>
      <c r="B23" s="237"/>
      <c r="C23" s="237"/>
      <c r="D23" s="237"/>
      <c r="E23" s="237"/>
      <c r="F23" s="238" t="str">
        <f>IF(F24="","",F24-(F24/1.19))</f>
        <v/>
      </c>
      <c r="G23" s="239"/>
      <c r="H23" s="89"/>
      <c r="I23" s="90"/>
      <c r="J23" s="240"/>
      <c r="K23" s="240"/>
    </row>
    <row r="24" spans="1:11" s="87" customFormat="1" ht="16.5" customHeight="1" thickBot="1">
      <c r="A24" s="231" t="s">
        <v>20</v>
      </c>
      <c r="B24" s="232"/>
      <c r="C24" s="94"/>
      <c r="D24" s="94"/>
      <c r="E24" s="96" t="s">
        <v>21</v>
      </c>
      <c r="F24" s="233" t="str">
        <f>IF(F19="","",SUM(F19:F22))</f>
        <v/>
      </c>
      <c r="G24" s="234"/>
      <c r="H24" s="89"/>
      <c r="I24" s="90"/>
      <c r="J24" s="235"/>
      <c r="K24" s="235"/>
    </row>
    <row r="25" spans="1:11" s="1" customFormat="1" ht="7.15" customHeight="1">
      <c r="A25" s="79"/>
      <c r="G25" s="63"/>
      <c r="H25" s="64"/>
    </row>
    <row r="26" spans="1:11">
      <c r="A26" s="73" t="s">
        <v>22</v>
      </c>
      <c r="B26" s="74" t="s">
        <v>23</v>
      </c>
      <c r="C26" s="75" t="s">
        <v>29</v>
      </c>
      <c r="D26" s="76" t="s">
        <v>40</v>
      </c>
      <c r="E26" s="76" t="s">
        <v>31</v>
      </c>
      <c r="F26" s="77" t="s">
        <v>27</v>
      </c>
      <c r="G26" s="78" t="s">
        <v>15</v>
      </c>
    </row>
    <row r="27" spans="1:11" s="1" customFormat="1">
      <c r="A27" s="66">
        <v>1002108</v>
      </c>
      <c r="B27" s="68" t="str">
        <f>VLOOKUP(A27,Ersatzteilpreiseliste!A:C,3,FALSE)</f>
        <v>Ersatzteil - Schaumstoff Sitzfläche Geklebt</v>
      </c>
      <c r="C27" s="65">
        <f>VLOOKUP(A27,Ersatzteilpreiseliste!A:F,6,FALSE)</f>
        <v>8</v>
      </c>
      <c r="D27" s="80" t="s">
        <v>28</v>
      </c>
      <c r="E27" s="67">
        <f>VLOOKUP(A27,Ersatzteilpreiseliste!A:R,18,FALSE)</f>
        <v>7350057583746</v>
      </c>
      <c r="F27" s="206"/>
      <c r="G27" s="69" t="str">
        <f>IF(F27="","",H27)</f>
        <v/>
      </c>
      <c r="H27" s="64">
        <v>1</v>
      </c>
    </row>
    <row r="28" spans="1:11" s="1" customFormat="1">
      <c r="A28" s="66">
        <v>1006000</v>
      </c>
      <c r="B28" s="68" t="str">
        <f>VLOOKUP(A28,Ersatzteilpreiseliste!A:C,3,FALSE)</f>
        <v>Ersatzteil - Kopfstütze - Duofix &amp; Kidzofix</v>
      </c>
      <c r="C28" s="65">
        <f>VLOOKUP(A28,Ersatzteilpreiseliste!A:F,6,FALSE)</f>
        <v>26</v>
      </c>
      <c r="D28" s="80" t="s">
        <v>28</v>
      </c>
      <c r="E28" s="67">
        <f>VLOOKUP(A28,Ersatzteilpreiseliste!A:R,18,FALSE)</f>
        <v>7350057583791</v>
      </c>
      <c r="F28" s="206"/>
      <c r="G28" s="69" t="str">
        <f t="shared" ref="G28:G37" si="0">IF(F28="","",H28)</f>
        <v/>
      </c>
      <c r="H28" s="64">
        <v>2</v>
      </c>
    </row>
    <row r="29" spans="1:11" s="1" customFormat="1">
      <c r="A29" s="66">
        <v>1101197</v>
      </c>
      <c r="B29" s="68" t="str">
        <f>VLOOKUP(A29,Ersatzteilpreiseliste!A:C,3,FALSE)</f>
        <v>Ersatzteil - Kopfstütze Rückenplatte - Minikid, Modukid Seat, Rekid, Duofix &amp; Kidzone</v>
      </c>
      <c r="C29" s="65">
        <f>VLOOKUP(A29,Ersatzteilpreiseliste!A:F,6,FALSE)</f>
        <v>20</v>
      </c>
      <c r="D29" s="80" t="s">
        <v>28</v>
      </c>
      <c r="E29" s="67">
        <f>VLOOKUP(A29,Ersatzteilpreiseliste!A:R,18,FALSE)</f>
        <v>7350057583807</v>
      </c>
      <c r="F29" s="206"/>
      <c r="G29" s="69" t="str">
        <f t="shared" si="0"/>
        <v/>
      </c>
      <c r="H29" s="64">
        <v>2</v>
      </c>
    </row>
    <row r="30" spans="1:11" s="1" customFormat="1">
      <c r="A30" s="66">
        <v>1002103</v>
      </c>
      <c r="B30" s="68" t="str">
        <f>VLOOKUP(A30,Ersatzteilpreiseliste!A:C,3,FALSE)</f>
        <v>Ersatzteil - Styropor [Links] - Minikid, Rekid, Duofix &amp; Kidzone</v>
      </c>
      <c r="C30" s="65">
        <f>VLOOKUP(A30,Ersatzteilpreiseliste!A:F,6,FALSE)</f>
        <v>14</v>
      </c>
      <c r="D30" s="80" t="s">
        <v>28</v>
      </c>
      <c r="E30" s="67">
        <f>VLOOKUP(A30,Ersatzteilpreiseliste!A:R,18,FALSE)</f>
        <v>7350057583852</v>
      </c>
      <c r="F30" s="206"/>
      <c r="G30" s="69" t="str">
        <f t="shared" si="0"/>
        <v/>
      </c>
      <c r="H30" s="64">
        <v>2</v>
      </c>
    </row>
    <row r="31" spans="1:11" s="1" customFormat="1">
      <c r="A31" s="66">
        <v>1002104</v>
      </c>
      <c r="B31" s="68" t="str">
        <f>VLOOKUP(A31,Ersatzteilpreiseliste!A:C,3,FALSE)</f>
        <v>Ersatzteil - Styropor [Rechts] - Minikid, Rekid, Duofix &amp; Kidzone</v>
      </c>
      <c r="C31" s="65">
        <f>VLOOKUP(A31,Ersatzteilpreiseliste!A:F,6,FALSE)</f>
        <v>14</v>
      </c>
      <c r="D31" s="80" t="s">
        <v>28</v>
      </c>
      <c r="E31" s="67">
        <f>VLOOKUP(A31,Ersatzteilpreiseliste!A:R,18,FALSE)</f>
        <v>7350057583869</v>
      </c>
      <c r="F31" s="206"/>
      <c r="G31" s="69" t="str">
        <f t="shared" si="0"/>
        <v/>
      </c>
      <c r="H31" s="64">
        <v>2</v>
      </c>
    </row>
    <row r="32" spans="1:11" s="1" customFormat="1">
      <c r="A32" s="66">
        <v>1002101</v>
      </c>
      <c r="B32" s="70" t="str">
        <f>VLOOKUP(A32,Ersatzteilpreiseliste!A:C,3,FALSE)</f>
        <v>Ersatzteil - Styropor [Rücken] - Minikid, Rekid, Duofix &amp; Kidzone</v>
      </c>
      <c r="C32" s="65">
        <f>VLOOKUP(A32,Ersatzteilpreiseliste!A:F,6,FALSE)</f>
        <v>14</v>
      </c>
      <c r="D32" s="80" t="s">
        <v>28</v>
      </c>
      <c r="E32" s="67">
        <f>VLOOKUP(A32,Ersatzteilpreiseliste!A:R,18,FALSE)</f>
        <v>7350057583876</v>
      </c>
      <c r="F32" s="206"/>
      <c r="G32" s="69" t="str">
        <f t="shared" si="0"/>
        <v/>
      </c>
      <c r="H32" s="64">
        <v>2</v>
      </c>
    </row>
    <row r="33" spans="1:8" s="1" customFormat="1">
      <c r="A33" s="66">
        <v>1003215</v>
      </c>
      <c r="B33" s="68" t="str">
        <f>VLOOKUP(A33,Ersatzteilpreiseliste!A:C,3,FALSE)</f>
        <v>Gurtklemme schwarz</v>
      </c>
      <c r="C33" s="65">
        <f>VLOOKUP(A33,Ersatzteilpreiseliste!A:F,6,FALSE)</f>
        <v>6</v>
      </c>
      <c r="D33" s="80" t="s">
        <v>28</v>
      </c>
      <c r="E33" s="67">
        <f>VLOOKUP(A33,Ersatzteilpreiseliste!A:R,18,FALSE)</f>
        <v>7350057583906</v>
      </c>
      <c r="F33" s="206"/>
      <c r="G33" s="69" t="str">
        <f t="shared" si="0"/>
        <v/>
      </c>
      <c r="H33" s="64">
        <v>1</v>
      </c>
    </row>
    <row r="34" spans="1:8" s="1" customFormat="1">
      <c r="A34" s="66">
        <v>1004000</v>
      </c>
      <c r="B34" s="68" t="str">
        <f>VLOOKUP(A34,Ersatzteilpreiseliste!A:C,3,FALSE)</f>
        <v>Ersatzteil - Stützfuß - Minikid 1, Rekid, Wolmax, Duofix &amp; Kidzone</v>
      </c>
      <c r="C34" s="65">
        <f>VLOOKUP(A34,Ersatzteilpreiseliste!A:F,6,FALSE)</f>
        <v>80</v>
      </c>
      <c r="D34" s="80" t="s">
        <v>28</v>
      </c>
      <c r="E34" s="67">
        <f>VLOOKUP(A34,Ersatzteilpreiseliste!A:R,18,FALSE)</f>
        <v>7350057583920</v>
      </c>
      <c r="F34" s="206"/>
      <c r="G34" s="69" t="str">
        <f t="shared" si="0"/>
        <v/>
      </c>
      <c r="H34" s="64">
        <v>3</v>
      </c>
    </row>
    <row r="35" spans="1:8" s="1" customFormat="1">
      <c r="A35" s="66">
        <v>1101315</v>
      </c>
      <c r="B35" s="68" t="str">
        <f>VLOOKUP(A35,Ersatzteilpreiseliste!A:C,3,FALSE)</f>
        <v>Ersatzteil - Gurt für Stützfuß - Minikid 1, Rekid, Wolmax, Duofix &amp; Kidzone</v>
      </c>
      <c r="C35" s="65">
        <f>VLOOKUP(A35,Ersatzteilpreiseliste!A:F,6,FALSE)</f>
        <v>6</v>
      </c>
      <c r="D35" s="80" t="s">
        <v>28</v>
      </c>
      <c r="E35" s="67">
        <f>VLOOKUP(A35,Ersatzteilpreiseliste!A:R,18,FALSE)</f>
        <v>7350057584194</v>
      </c>
      <c r="F35" s="206"/>
      <c r="G35" s="69" t="str">
        <f t="shared" si="0"/>
        <v/>
      </c>
      <c r="H35" s="64">
        <v>3</v>
      </c>
    </row>
    <row r="36" spans="1:8" s="1" customFormat="1">
      <c r="A36" s="66">
        <v>1003124</v>
      </c>
      <c r="B36" s="68" t="str">
        <f>VLOOKUP(A36,Ersatzteilpreiseliste!A:C,3,FALSE)</f>
        <v>Ersatzteil - 5 Punkt Gurtsystem Holmberg</v>
      </c>
      <c r="C36" s="65">
        <f>VLOOKUP(A36,Ersatzteilpreiseliste!A:F,6,FALSE)</f>
        <v>60</v>
      </c>
      <c r="D36" s="80" t="s">
        <v>28</v>
      </c>
      <c r="E36" s="67">
        <f>VLOOKUP(A36,Ersatzteilpreiseliste!A:R,18,FALSE)</f>
        <v>7350057583968</v>
      </c>
      <c r="F36" s="206"/>
      <c r="G36" s="69" t="str">
        <f t="shared" si="0"/>
        <v/>
      </c>
      <c r="H36" s="64">
        <v>3</v>
      </c>
    </row>
    <row r="37" spans="1:8" s="72" customFormat="1">
      <c r="A37" s="82">
        <v>1003207</v>
      </c>
      <c r="B37" s="68" t="str">
        <f>VLOOKUP(A37,Ersatzteilpreiseliste!A:C,3,FALSE)</f>
        <v>Ersatzteil - Gurtabdeckung</v>
      </c>
      <c r="C37" s="65">
        <f>VLOOKUP(A37,Ersatzteilpreiseliste!A:F,6,FALSE)</f>
        <v>6</v>
      </c>
      <c r="D37" s="80" t="s">
        <v>28</v>
      </c>
      <c r="E37" s="67">
        <f>VLOOKUP(A37,Ersatzteilpreiseliste!A:R,18,FALSE)</f>
        <v>7350057583999</v>
      </c>
      <c r="F37" s="210"/>
      <c r="G37" s="83" t="str">
        <f t="shared" si="0"/>
        <v/>
      </c>
      <c r="H37" s="64">
        <v>1</v>
      </c>
    </row>
    <row r="38" spans="1:8">
      <c r="A38" s="66">
        <v>1900028</v>
      </c>
      <c r="B38" s="68" t="s">
        <v>32</v>
      </c>
      <c r="C38" s="65">
        <f>VLOOKUP(A38,Ersatzteilpreiseliste!A:F,6,FALSE)</f>
        <v>0.2</v>
      </c>
      <c r="D38" s="80" t="s">
        <v>28</v>
      </c>
      <c r="E38" s="67">
        <f>VLOOKUP(A38,Ersatzteilpreiseliste!A:R,18,FALSE)</f>
        <v>7350057584101</v>
      </c>
      <c r="F38" s="206"/>
      <c r="G38" s="69"/>
    </row>
    <row r="39" spans="1:8" ht="15.75" thickBot="1">
      <c r="A39" s="84"/>
      <c r="B39" s="81"/>
      <c r="C39" s="81"/>
      <c r="D39" s="81"/>
      <c r="E39" s="81"/>
      <c r="F39" s="81"/>
      <c r="G39" s="71"/>
    </row>
  </sheetData>
  <sheetProtection algorithmName="SHA-512" hashValue="vdxsxdmDewKbxaNnpfud8WLmsTw7E4RDntsxz3Mhek2ouovqgcP0iwUQnIbC1j8Ny8ZeDcuAiocbPR/gNO7AtQ==" saltValue="MHLUXc4b1REEToWBznalEg==" spinCount="100000" sheet="1" selectLockedCells="1"/>
  <mergeCells count="23">
    <mergeCell ref="A24:B24"/>
    <mergeCell ref="J24:K24"/>
    <mergeCell ref="J19:K19"/>
    <mergeCell ref="J20:K20"/>
    <mergeCell ref="J21:K21"/>
    <mergeCell ref="J22:K22"/>
    <mergeCell ref="J23:K23"/>
    <mergeCell ref="B15:G15"/>
    <mergeCell ref="F10:G10"/>
    <mergeCell ref="B14:G14"/>
    <mergeCell ref="F24:G24"/>
    <mergeCell ref="B16:G16"/>
    <mergeCell ref="B17:G17"/>
    <mergeCell ref="A22:E22"/>
    <mergeCell ref="F22:G22"/>
    <mergeCell ref="A23:E23"/>
    <mergeCell ref="F23:G23"/>
    <mergeCell ref="F19:G19"/>
    <mergeCell ref="A19:E19"/>
    <mergeCell ref="A20:E20"/>
    <mergeCell ref="F20:G20"/>
    <mergeCell ref="A21:E21"/>
    <mergeCell ref="F21:G21"/>
  </mergeCells>
  <pageMargins left="0.70866141732283472" right="0.70866141732283472" top="0.78740157480314965" bottom="0.78740157480314965" header="0.31496062992125984" footer="0.31496062992125984"/>
  <pageSetup paperSize="9" scale="8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0165D-CFD7-458A-A60D-752454BF3E20}">
  <sheetPr codeName="Blad1">
    <tabColor rgb="FFFF0000"/>
  </sheetPr>
  <dimension ref="A1:LQ189"/>
  <sheetViews>
    <sheetView zoomScaleNormal="100" workbookViewId="0">
      <pane xSplit="5" ySplit="2" topLeftCell="F102" activePane="bottomRight" state="frozen"/>
      <selection pane="bottomRight" activeCell="C119" sqref="C119"/>
      <selection pane="bottomLeft" activeCell="J22" sqref="J22"/>
      <selection pane="topRight" activeCell="J22" sqref="J22"/>
    </sheetView>
  </sheetViews>
  <sheetFormatPr defaultColWidth="12.7109375" defaultRowHeight="15"/>
  <cols>
    <col min="1" max="1" width="9.7109375" style="155" customWidth="1"/>
    <col min="2" max="2" width="2.28515625" style="1" hidden="1" customWidth="1"/>
    <col min="3" max="3" width="72.5703125" style="1" bestFit="1" customWidth="1"/>
    <col min="4" max="4" width="8.28515625" style="154" bestFit="1" customWidth="1"/>
    <col min="5" max="6" width="9.28515625" style="107" bestFit="1" customWidth="1"/>
    <col min="7" max="8" width="11.28515625" style="107" bestFit="1" customWidth="1"/>
    <col min="9" max="10" width="9.28515625" style="11" bestFit="1" customWidth="1"/>
    <col min="11" max="11" width="11.28515625" style="11" bestFit="1" customWidth="1"/>
    <col min="12" max="12" width="10.7109375" style="11" bestFit="1" customWidth="1"/>
    <col min="13" max="14" width="6.28515625" style="11" bestFit="1" customWidth="1"/>
    <col min="15" max="15" width="8.42578125" style="11" bestFit="1" customWidth="1"/>
    <col min="16" max="16" width="7" style="11" bestFit="1" customWidth="1"/>
    <col min="17" max="17" width="8.42578125" style="1" bestFit="1" customWidth="1"/>
    <col min="18" max="18" width="14.28515625" style="156" bestFit="1" customWidth="1"/>
    <col min="19" max="19" width="15.28515625" bestFit="1" customWidth="1"/>
    <col min="20" max="20" width="13.7109375" bestFit="1" customWidth="1"/>
    <col min="21" max="21" width="11.28515625" bestFit="1" customWidth="1"/>
    <col min="22" max="16384" width="12.7109375" style="1"/>
  </cols>
  <sheetData>
    <row r="1" spans="1:329" s="115" customFormat="1" ht="41.1" customHeight="1">
      <c r="A1" s="253" t="s">
        <v>41</v>
      </c>
      <c r="B1" s="253"/>
      <c r="C1" s="253"/>
      <c r="D1" s="110"/>
      <c r="E1" s="110"/>
      <c r="F1" s="110"/>
      <c r="G1" s="110"/>
      <c r="H1" s="110"/>
      <c r="I1" s="111"/>
      <c r="J1" s="112"/>
      <c r="K1" s="113"/>
      <c r="L1" s="114"/>
      <c r="M1" s="112"/>
      <c r="N1" s="112"/>
      <c r="O1" s="112"/>
      <c r="P1" s="112"/>
      <c r="R1" s="116"/>
      <c r="S1" s="32"/>
      <c r="T1" s="32"/>
      <c r="U1" s="32"/>
    </row>
    <row r="2" spans="1:329" s="120" customFormat="1" ht="42" customHeight="1">
      <c r="A2" s="14" t="s">
        <v>22</v>
      </c>
      <c r="B2" s="14" t="s">
        <v>42</v>
      </c>
      <c r="C2" s="14" t="s">
        <v>43</v>
      </c>
      <c r="D2" s="117" t="s">
        <v>44</v>
      </c>
      <c r="E2" s="117" t="s">
        <v>45</v>
      </c>
      <c r="F2" s="117" t="s">
        <v>46</v>
      </c>
      <c r="G2" s="15" t="s">
        <v>47</v>
      </c>
      <c r="H2" s="15" t="s">
        <v>48</v>
      </c>
      <c r="I2" s="15" t="s">
        <v>35</v>
      </c>
      <c r="J2" s="15" t="s">
        <v>36</v>
      </c>
      <c r="K2" s="15" t="s">
        <v>30</v>
      </c>
      <c r="L2" s="15" t="s">
        <v>37</v>
      </c>
      <c r="M2" s="15" t="s">
        <v>33</v>
      </c>
      <c r="N2" s="15" t="s">
        <v>34</v>
      </c>
      <c r="O2" s="15" t="s">
        <v>38</v>
      </c>
      <c r="P2" s="15" t="s">
        <v>39</v>
      </c>
      <c r="Q2" s="15" t="s">
        <v>40</v>
      </c>
      <c r="R2" s="118" t="s">
        <v>31</v>
      </c>
      <c r="S2" s="119" t="s">
        <v>49</v>
      </c>
      <c r="T2" s="119" t="s">
        <v>50</v>
      </c>
      <c r="U2" s="119" t="s">
        <v>51</v>
      </c>
    </row>
    <row r="3" spans="1:329" s="125" customFormat="1" ht="15" customHeight="1">
      <c r="A3" s="33">
        <v>1002101</v>
      </c>
      <c r="B3" s="121" t="s">
        <v>52</v>
      </c>
      <c r="C3" s="121" t="s">
        <v>53</v>
      </c>
      <c r="D3" s="122">
        <v>7</v>
      </c>
      <c r="E3" s="122">
        <f>F3/1.19</f>
        <v>11.764705882352942</v>
      </c>
      <c r="F3" s="122">
        <f>D3*2</f>
        <v>14</v>
      </c>
      <c r="G3" s="122"/>
      <c r="H3" s="122"/>
      <c r="I3" s="38" t="s">
        <v>28</v>
      </c>
      <c r="J3" s="11"/>
      <c r="K3" s="54" t="s">
        <v>28</v>
      </c>
      <c r="L3" s="54" t="s">
        <v>28</v>
      </c>
      <c r="M3" s="54" t="s">
        <v>28</v>
      </c>
      <c r="N3" s="11"/>
      <c r="O3" s="11"/>
      <c r="P3" s="54" t="s">
        <v>28</v>
      </c>
      <c r="Q3" s="54" t="s">
        <v>28</v>
      </c>
      <c r="R3" s="123">
        <v>7350057583876</v>
      </c>
      <c r="S3" s="124" t="s">
        <v>54</v>
      </c>
      <c r="T3" s="124">
        <v>0.62</v>
      </c>
      <c r="U3" s="124">
        <v>0.55000000000000004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</row>
    <row r="4" spans="1:329" s="125" customFormat="1" ht="15" customHeight="1">
      <c r="A4" s="33">
        <v>1002103</v>
      </c>
      <c r="B4" s="33">
        <v>1002103</v>
      </c>
      <c r="C4" s="61" t="s">
        <v>55</v>
      </c>
      <c r="D4" s="122">
        <v>7</v>
      </c>
      <c r="E4" s="122">
        <f t="shared" ref="E4:E67" si="0">F4/1.19</f>
        <v>11.764705882352942</v>
      </c>
      <c r="F4" s="122">
        <f t="shared" ref="F4:F67" si="1">D4*2</f>
        <v>14</v>
      </c>
      <c r="G4" s="122"/>
      <c r="H4" s="122"/>
      <c r="I4" s="8"/>
      <c r="J4" s="11"/>
      <c r="K4" s="11"/>
      <c r="L4" s="54" t="s">
        <v>28</v>
      </c>
      <c r="M4" s="54" t="s">
        <v>28</v>
      </c>
      <c r="N4" s="11"/>
      <c r="O4" s="11"/>
      <c r="P4" s="54" t="s">
        <v>28</v>
      </c>
      <c r="Q4" s="54" t="s">
        <v>28</v>
      </c>
      <c r="R4" s="123">
        <v>7350057583852</v>
      </c>
      <c r="S4" s="124" t="s">
        <v>54</v>
      </c>
      <c r="T4" s="124">
        <v>0.46</v>
      </c>
      <c r="U4" s="124">
        <v>0.39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  <c r="IX4" s="27"/>
      <c r="IY4" s="27"/>
      <c r="IZ4" s="27"/>
      <c r="JA4" s="27"/>
      <c r="JB4" s="27"/>
      <c r="JC4" s="27"/>
      <c r="JD4" s="27"/>
      <c r="JE4" s="27"/>
      <c r="JF4" s="27"/>
      <c r="JG4" s="27"/>
      <c r="JH4" s="27"/>
      <c r="JI4" s="27"/>
      <c r="JJ4" s="27"/>
      <c r="JK4" s="27"/>
      <c r="JL4" s="27"/>
      <c r="JM4" s="27"/>
      <c r="JN4" s="27"/>
      <c r="JO4" s="27"/>
      <c r="JP4" s="27"/>
      <c r="JQ4" s="27"/>
      <c r="JR4" s="27"/>
      <c r="JS4" s="27"/>
      <c r="JT4" s="27"/>
      <c r="JU4" s="27"/>
      <c r="JV4" s="27"/>
      <c r="JW4" s="27"/>
      <c r="JX4" s="27"/>
      <c r="JY4" s="27"/>
      <c r="JZ4" s="27"/>
      <c r="KA4" s="27"/>
      <c r="KB4" s="27"/>
      <c r="KC4" s="27"/>
      <c r="KD4" s="27"/>
      <c r="KE4" s="27"/>
      <c r="KF4" s="27"/>
      <c r="KG4" s="27"/>
      <c r="KH4" s="27"/>
      <c r="KI4" s="27"/>
      <c r="KJ4" s="27"/>
      <c r="KK4" s="27"/>
      <c r="KL4" s="27"/>
      <c r="KM4" s="27"/>
      <c r="KN4" s="27"/>
      <c r="KO4" s="27"/>
      <c r="KP4" s="27"/>
      <c r="KQ4" s="27"/>
      <c r="KR4" s="27"/>
      <c r="KS4" s="27"/>
      <c r="KT4" s="27"/>
      <c r="KU4" s="27"/>
      <c r="KV4" s="27"/>
      <c r="KW4" s="27"/>
      <c r="KX4" s="27"/>
      <c r="KY4" s="27"/>
      <c r="KZ4" s="27"/>
      <c r="LA4" s="27"/>
      <c r="LB4" s="27"/>
      <c r="LC4" s="27"/>
      <c r="LD4" s="27"/>
      <c r="LE4" s="27"/>
      <c r="LF4" s="27"/>
      <c r="LG4" s="27"/>
      <c r="LH4" s="27"/>
      <c r="LI4" s="27"/>
      <c r="LJ4" s="27"/>
      <c r="LK4" s="27"/>
      <c r="LL4" s="27"/>
      <c r="LM4" s="27"/>
      <c r="LN4" s="27"/>
      <c r="LO4" s="27"/>
      <c r="LP4" s="27"/>
      <c r="LQ4" s="27"/>
    </row>
    <row r="5" spans="1:329" s="125" customFormat="1" ht="15" customHeight="1">
      <c r="A5" s="33">
        <v>1002104</v>
      </c>
      <c r="B5" s="61" t="s">
        <v>56</v>
      </c>
      <c r="C5" s="61" t="s">
        <v>57</v>
      </c>
      <c r="D5" s="122">
        <v>7</v>
      </c>
      <c r="E5" s="122">
        <f t="shared" si="0"/>
        <v>11.764705882352942</v>
      </c>
      <c r="F5" s="122">
        <f t="shared" si="1"/>
        <v>14</v>
      </c>
      <c r="G5" s="122"/>
      <c r="H5" s="122"/>
      <c r="I5" s="8"/>
      <c r="J5" s="11"/>
      <c r="K5" s="11"/>
      <c r="L5" s="54" t="s">
        <v>28</v>
      </c>
      <c r="M5" s="54" t="s">
        <v>28</v>
      </c>
      <c r="N5" s="11"/>
      <c r="O5" s="11"/>
      <c r="P5" s="54" t="s">
        <v>28</v>
      </c>
      <c r="Q5" s="54" t="s">
        <v>28</v>
      </c>
      <c r="R5" s="123">
        <v>7350057583869</v>
      </c>
      <c r="S5" s="124" t="s">
        <v>54</v>
      </c>
      <c r="T5" s="124">
        <v>0.62</v>
      </c>
      <c r="U5" s="124">
        <v>0.55000000000000004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7"/>
      <c r="IR5" s="27"/>
      <c r="IS5" s="27"/>
      <c r="IT5" s="27"/>
      <c r="IU5" s="27"/>
      <c r="IV5" s="27"/>
      <c r="IW5" s="27"/>
      <c r="IX5" s="27"/>
      <c r="IY5" s="27"/>
      <c r="IZ5" s="27"/>
      <c r="JA5" s="27"/>
      <c r="JB5" s="27"/>
      <c r="JC5" s="27"/>
      <c r="JD5" s="27"/>
      <c r="JE5" s="27"/>
      <c r="JF5" s="27"/>
      <c r="JG5" s="27"/>
      <c r="JH5" s="27"/>
      <c r="JI5" s="27"/>
      <c r="JJ5" s="27"/>
      <c r="JK5" s="27"/>
      <c r="JL5" s="27"/>
      <c r="JM5" s="27"/>
      <c r="JN5" s="27"/>
      <c r="JO5" s="27"/>
      <c r="JP5" s="27"/>
      <c r="JQ5" s="27"/>
      <c r="JR5" s="27"/>
      <c r="JS5" s="27"/>
      <c r="JT5" s="27"/>
      <c r="JU5" s="27"/>
      <c r="JV5" s="27"/>
      <c r="JW5" s="27"/>
      <c r="JX5" s="27"/>
      <c r="JY5" s="27"/>
      <c r="JZ5" s="27"/>
      <c r="KA5" s="27"/>
      <c r="KB5" s="27"/>
      <c r="KC5" s="27"/>
      <c r="KD5" s="27"/>
      <c r="KE5" s="27"/>
      <c r="KF5" s="27"/>
      <c r="KG5" s="27"/>
      <c r="KH5" s="27"/>
      <c r="KI5" s="27"/>
      <c r="KJ5" s="27"/>
      <c r="KK5" s="27"/>
      <c r="KL5" s="27"/>
      <c r="KM5" s="27"/>
      <c r="KN5" s="27"/>
      <c r="KO5" s="27"/>
      <c r="KP5" s="27"/>
      <c r="KQ5" s="27"/>
      <c r="KR5" s="27"/>
      <c r="KS5" s="27"/>
      <c r="KT5" s="27"/>
      <c r="KU5" s="27"/>
      <c r="KV5" s="27"/>
      <c r="KW5" s="27"/>
      <c r="KX5" s="27"/>
      <c r="KY5" s="27"/>
      <c r="KZ5" s="27"/>
      <c r="LA5" s="27"/>
      <c r="LB5" s="27"/>
      <c r="LC5" s="27"/>
      <c r="LD5" s="27"/>
      <c r="LE5" s="27"/>
      <c r="LF5" s="27"/>
      <c r="LG5" s="27"/>
      <c r="LH5" s="27"/>
      <c r="LI5" s="27"/>
      <c r="LJ5" s="27"/>
      <c r="LK5" s="27"/>
      <c r="LL5" s="27"/>
      <c r="LM5" s="27"/>
      <c r="LN5" s="27"/>
      <c r="LO5" s="27"/>
      <c r="LP5" s="27"/>
      <c r="LQ5" s="27"/>
    </row>
    <row r="6" spans="1:329" s="125" customFormat="1" ht="15" customHeight="1">
      <c r="A6" s="33">
        <v>1002108</v>
      </c>
      <c r="B6" s="61" t="s">
        <v>58</v>
      </c>
      <c r="C6" s="61" t="s">
        <v>59</v>
      </c>
      <c r="D6" s="122">
        <v>4</v>
      </c>
      <c r="E6" s="122">
        <f t="shared" si="0"/>
        <v>6.7226890756302522</v>
      </c>
      <c r="F6" s="122">
        <f t="shared" si="1"/>
        <v>8</v>
      </c>
      <c r="G6" s="122"/>
      <c r="H6" s="122"/>
      <c r="I6" s="8"/>
      <c r="J6" s="11"/>
      <c r="K6" s="54" t="s">
        <v>28</v>
      </c>
      <c r="L6" s="54" t="s">
        <v>28</v>
      </c>
      <c r="M6" s="54" t="s">
        <v>28</v>
      </c>
      <c r="N6" s="54" t="s">
        <v>28</v>
      </c>
      <c r="O6" s="54" t="s">
        <v>28</v>
      </c>
      <c r="P6" s="54" t="s">
        <v>28</v>
      </c>
      <c r="Q6" s="54" t="s">
        <v>28</v>
      </c>
      <c r="R6" s="123">
        <v>7350057583746</v>
      </c>
      <c r="S6" s="124" t="s">
        <v>60</v>
      </c>
      <c r="T6" s="124">
        <v>0.5</v>
      </c>
      <c r="U6" s="124">
        <v>0.14000000000000001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  <c r="JM6" s="27"/>
      <c r="JN6" s="27"/>
      <c r="JO6" s="27"/>
      <c r="JP6" s="27"/>
      <c r="JQ6" s="27"/>
      <c r="JR6" s="27"/>
      <c r="JS6" s="27"/>
      <c r="JT6" s="27"/>
      <c r="JU6" s="27"/>
      <c r="JV6" s="27"/>
      <c r="JW6" s="27"/>
      <c r="JX6" s="27"/>
      <c r="JY6" s="27"/>
      <c r="JZ6" s="27"/>
      <c r="KA6" s="27"/>
      <c r="KB6" s="27"/>
      <c r="KC6" s="27"/>
      <c r="KD6" s="27"/>
      <c r="KE6" s="27"/>
      <c r="KF6" s="27"/>
      <c r="KG6" s="27"/>
      <c r="KH6" s="27"/>
      <c r="KI6" s="27"/>
      <c r="KJ6" s="27"/>
      <c r="KK6" s="27"/>
      <c r="KL6" s="27"/>
      <c r="KM6" s="27"/>
      <c r="KN6" s="27"/>
      <c r="KO6" s="27"/>
      <c r="KP6" s="27"/>
      <c r="KQ6" s="27"/>
      <c r="KR6" s="27"/>
      <c r="KS6" s="27"/>
      <c r="KT6" s="27"/>
      <c r="KU6" s="27"/>
      <c r="KV6" s="27"/>
      <c r="KW6" s="27"/>
      <c r="KX6" s="27"/>
      <c r="KY6" s="27"/>
      <c r="KZ6" s="27"/>
      <c r="LA6" s="27"/>
      <c r="LB6" s="27"/>
      <c r="LC6" s="27"/>
      <c r="LD6" s="27"/>
      <c r="LE6" s="27"/>
      <c r="LF6" s="27"/>
      <c r="LG6" s="27"/>
      <c r="LH6" s="27"/>
      <c r="LI6" s="27"/>
      <c r="LJ6" s="27"/>
      <c r="LK6" s="27"/>
      <c r="LL6" s="27"/>
      <c r="LM6" s="27"/>
      <c r="LN6" s="27"/>
      <c r="LO6" s="27"/>
      <c r="LP6" s="27"/>
      <c r="LQ6" s="27"/>
    </row>
    <row r="7" spans="1:329" s="125" customFormat="1" ht="15" customHeight="1">
      <c r="A7" s="126">
        <v>1002112</v>
      </c>
      <c r="B7" s="127" t="s">
        <v>61</v>
      </c>
      <c r="C7" s="127" t="s">
        <v>62</v>
      </c>
      <c r="D7" s="122">
        <v>3</v>
      </c>
      <c r="E7" s="122">
        <f t="shared" si="0"/>
        <v>5.0420168067226889</v>
      </c>
      <c r="F7" s="122">
        <f t="shared" si="1"/>
        <v>6</v>
      </c>
      <c r="G7" s="122"/>
      <c r="H7" s="122"/>
      <c r="I7" s="38" t="s">
        <v>28</v>
      </c>
      <c r="J7" s="11"/>
      <c r="K7" s="54" t="s">
        <v>28</v>
      </c>
      <c r="L7" s="54" t="s">
        <v>28</v>
      </c>
      <c r="M7" s="54" t="s">
        <v>28</v>
      </c>
      <c r="N7" s="54" t="s">
        <v>28</v>
      </c>
      <c r="O7" s="54" t="s">
        <v>28</v>
      </c>
      <c r="P7" s="54" t="s">
        <v>28</v>
      </c>
      <c r="Q7" s="54" t="s">
        <v>28</v>
      </c>
      <c r="R7" s="123">
        <v>7350057583722</v>
      </c>
      <c r="S7" s="124" t="s">
        <v>63</v>
      </c>
      <c r="T7" s="124">
        <v>3</v>
      </c>
      <c r="U7" s="124">
        <v>2.2000000000000002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  <c r="IX7" s="27"/>
      <c r="IY7" s="27"/>
      <c r="IZ7" s="27"/>
      <c r="JA7" s="27"/>
      <c r="JB7" s="27"/>
      <c r="JC7" s="27"/>
      <c r="JD7" s="27"/>
      <c r="JE7" s="27"/>
      <c r="JF7" s="27"/>
      <c r="JG7" s="27"/>
      <c r="JH7" s="27"/>
      <c r="JI7" s="27"/>
      <c r="JJ7" s="27"/>
      <c r="JK7" s="27"/>
      <c r="JL7" s="27"/>
      <c r="JM7" s="27"/>
      <c r="JN7" s="27"/>
      <c r="JO7" s="27"/>
      <c r="JP7" s="27"/>
      <c r="JQ7" s="27"/>
      <c r="JR7" s="27"/>
      <c r="JS7" s="27"/>
      <c r="JT7" s="27"/>
      <c r="JU7" s="27"/>
      <c r="JV7" s="27"/>
      <c r="JW7" s="27"/>
      <c r="JX7" s="27"/>
      <c r="JY7" s="27"/>
      <c r="JZ7" s="27"/>
      <c r="KA7" s="27"/>
      <c r="KB7" s="27"/>
      <c r="KC7" s="27"/>
      <c r="KD7" s="27"/>
      <c r="KE7" s="27"/>
      <c r="KF7" s="27"/>
      <c r="KG7" s="27"/>
      <c r="KH7" s="27"/>
      <c r="KI7" s="27"/>
      <c r="KJ7" s="27"/>
      <c r="KK7" s="27"/>
      <c r="KL7" s="27"/>
      <c r="KM7" s="27"/>
      <c r="KN7" s="27"/>
      <c r="KO7" s="27"/>
      <c r="KP7" s="27"/>
      <c r="KQ7" s="27"/>
      <c r="KR7" s="27"/>
      <c r="KS7" s="27"/>
      <c r="KT7" s="27"/>
      <c r="KU7" s="27"/>
      <c r="KV7" s="27"/>
      <c r="KW7" s="27"/>
      <c r="KX7" s="27"/>
      <c r="KY7" s="27"/>
      <c r="KZ7" s="27"/>
      <c r="LA7" s="27"/>
      <c r="LB7" s="27"/>
      <c r="LC7" s="27"/>
      <c r="LD7" s="27"/>
      <c r="LE7" s="27"/>
      <c r="LF7" s="27"/>
      <c r="LG7" s="27"/>
      <c r="LH7" s="27"/>
      <c r="LI7" s="27"/>
      <c r="LJ7" s="27"/>
      <c r="LK7" s="27"/>
      <c r="LL7" s="27"/>
      <c r="LM7" s="27"/>
      <c r="LN7" s="27"/>
      <c r="LO7" s="27"/>
      <c r="LP7" s="27"/>
      <c r="LQ7" s="27"/>
    </row>
    <row r="8" spans="1:329" s="125" customFormat="1" ht="15" customHeight="1">
      <c r="A8" s="33">
        <v>1002117</v>
      </c>
      <c r="B8" s="121" t="s">
        <v>64</v>
      </c>
      <c r="C8" s="213" t="s">
        <v>65</v>
      </c>
      <c r="D8" s="122">
        <v>7</v>
      </c>
      <c r="E8" s="122">
        <f t="shared" si="0"/>
        <v>11.764705882352942</v>
      </c>
      <c r="F8" s="122">
        <f t="shared" si="1"/>
        <v>14</v>
      </c>
      <c r="G8" s="122"/>
      <c r="H8" s="122"/>
      <c r="I8" s="8"/>
      <c r="J8" s="8"/>
      <c r="K8" s="54"/>
      <c r="L8" s="54"/>
      <c r="M8" s="54"/>
      <c r="N8" s="54" t="s">
        <v>28</v>
      </c>
      <c r="O8" s="54" t="s">
        <v>28</v>
      </c>
      <c r="P8" s="54"/>
      <c r="Q8" s="54"/>
      <c r="R8" s="123">
        <v>7350057583883</v>
      </c>
      <c r="S8" s="124" t="s">
        <v>54</v>
      </c>
      <c r="T8" s="124">
        <v>0.32</v>
      </c>
      <c r="U8" s="124">
        <v>0.22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329" s="125" customFormat="1" ht="15" customHeight="1">
      <c r="A9" s="33">
        <v>1002118</v>
      </c>
      <c r="B9" s="61" t="s">
        <v>66</v>
      </c>
      <c r="C9" s="213" t="s">
        <v>67</v>
      </c>
      <c r="D9" s="122">
        <v>7</v>
      </c>
      <c r="E9" s="122">
        <f t="shared" si="0"/>
        <v>11.764705882352942</v>
      </c>
      <c r="F9" s="122">
        <f t="shared" si="1"/>
        <v>14</v>
      </c>
      <c r="G9" s="122"/>
      <c r="H9" s="122"/>
      <c r="I9" s="8"/>
      <c r="J9" s="8"/>
      <c r="K9" s="11"/>
      <c r="L9" s="11"/>
      <c r="M9" s="11"/>
      <c r="N9" s="54" t="s">
        <v>28</v>
      </c>
      <c r="O9" s="54" t="s">
        <v>28</v>
      </c>
      <c r="P9" s="11"/>
      <c r="Q9" s="11"/>
      <c r="R9" s="123">
        <v>7350057583838</v>
      </c>
      <c r="S9" s="124" t="s">
        <v>68</v>
      </c>
      <c r="T9" s="124">
        <v>1.1599999999999999</v>
      </c>
      <c r="U9" s="124">
        <v>1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27"/>
      <c r="JD9" s="27"/>
      <c r="JE9" s="27"/>
      <c r="JF9" s="27"/>
      <c r="JG9" s="27"/>
      <c r="JH9" s="27"/>
      <c r="JI9" s="27"/>
      <c r="JJ9" s="27"/>
      <c r="JK9" s="27"/>
      <c r="JL9" s="27"/>
      <c r="JM9" s="27"/>
      <c r="JN9" s="27"/>
      <c r="JO9" s="27"/>
      <c r="JP9" s="27"/>
      <c r="JQ9" s="27"/>
      <c r="JR9" s="27"/>
      <c r="JS9" s="27"/>
      <c r="JT9" s="27"/>
      <c r="JU9" s="27"/>
      <c r="JV9" s="27"/>
      <c r="JW9" s="27"/>
      <c r="JX9" s="27"/>
      <c r="JY9" s="27"/>
      <c r="JZ9" s="27"/>
      <c r="KA9" s="27"/>
      <c r="KB9" s="27"/>
      <c r="KC9" s="27"/>
      <c r="KD9" s="27"/>
      <c r="KE9" s="27"/>
      <c r="KF9" s="27"/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27"/>
      <c r="KY9" s="27"/>
      <c r="KZ9" s="27"/>
      <c r="LA9" s="27"/>
      <c r="LB9" s="27"/>
      <c r="LC9" s="27"/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</row>
    <row r="10" spans="1:329" s="125" customFormat="1" ht="15" customHeight="1">
      <c r="A10" s="33">
        <v>1002119</v>
      </c>
      <c r="B10" s="61" t="s">
        <v>69</v>
      </c>
      <c r="C10" s="213" t="s">
        <v>70</v>
      </c>
      <c r="D10" s="122">
        <v>7</v>
      </c>
      <c r="E10" s="122">
        <f t="shared" si="0"/>
        <v>11.764705882352942</v>
      </c>
      <c r="F10" s="122">
        <f t="shared" si="1"/>
        <v>14</v>
      </c>
      <c r="G10" s="122"/>
      <c r="H10" s="122"/>
      <c r="I10" s="8"/>
      <c r="J10" s="8"/>
      <c r="K10" s="11"/>
      <c r="L10" s="11"/>
      <c r="M10" s="11"/>
      <c r="N10" s="54" t="s">
        <v>28</v>
      </c>
      <c r="O10" s="54" t="s">
        <v>28</v>
      </c>
      <c r="P10" s="11"/>
      <c r="Q10" s="11"/>
      <c r="R10" s="123">
        <v>7350057583845</v>
      </c>
      <c r="S10" s="124" t="s">
        <v>71</v>
      </c>
      <c r="T10" s="124">
        <v>14.5</v>
      </c>
      <c r="U10" s="124">
        <v>13.9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27"/>
      <c r="JD10" s="27"/>
      <c r="JE10" s="27"/>
      <c r="JF10" s="27"/>
      <c r="JG10" s="27"/>
      <c r="JH10" s="27"/>
      <c r="JI10" s="27"/>
      <c r="JJ10" s="27"/>
      <c r="JK10" s="27"/>
      <c r="JL10" s="27"/>
      <c r="JM10" s="27"/>
      <c r="JN10" s="27"/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27"/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27"/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</row>
    <row r="11" spans="1:329" s="125" customFormat="1" ht="15" customHeight="1">
      <c r="A11" s="126">
        <v>1002201</v>
      </c>
      <c r="B11" s="127" t="s">
        <v>72</v>
      </c>
      <c r="C11" s="127" t="s">
        <v>73</v>
      </c>
      <c r="D11" s="122">
        <v>2</v>
      </c>
      <c r="E11" s="122">
        <f t="shared" si="0"/>
        <v>3.3613445378151261</v>
      </c>
      <c r="F11" s="122">
        <f t="shared" si="1"/>
        <v>4</v>
      </c>
      <c r="G11" s="122"/>
      <c r="H11" s="122"/>
      <c r="I11" s="8"/>
      <c r="J11" s="8"/>
      <c r="K11" s="11"/>
      <c r="L11" s="11"/>
      <c r="M11" s="11"/>
      <c r="N11" s="11"/>
      <c r="O11" s="11"/>
      <c r="P11" s="54" t="s">
        <v>28</v>
      </c>
      <c r="Q11" s="54" t="s">
        <v>28</v>
      </c>
      <c r="R11" s="123">
        <v>7350057584002</v>
      </c>
      <c r="S11" s="124" t="s">
        <v>74</v>
      </c>
      <c r="T11" s="124">
        <v>2.6</v>
      </c>
      <c r="U11" s="124">
        <v>2.5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329" s="125" customFormat="1" ht="15" customHeight="1">
      <c r="A12" s="126">
        <v>1002202</v>
      </c>
      <c r="B12" s="127" t="s">
        <v>75</v>
      </c>
      <c r="C12" s="214" t="s">
        <v>76</v>
      </c>
      <c r="D12" s="122">
        <v>3</v>
      </c>
      <c r="E12" s="122">
        <f t="shared" si="0"/>
        <v>5.0420168067226889</v>
      </c>
      <c r="F12" s="122">
        <f t="shared" si="1"/>
        <v>6</v>
      </c>
      <c r="G12" s="122"/>
      <c r="H12" s="122"/>
      <c r="I12" s="8"/>
      <c r="J12" s="8"/>
      <c r="K12" s="54" t="s">
        <v>28</v>
      </c>
      <c r="L12" s="54" t="s">
        <v>28</v>
      </c>
      <c r="M12" s="54" t="s">
        <v>28</v>
      </c>
      <c r="N12" s="54" t="s">
        <v>28</v>
      </c>
      <c r="O12" s="54" t="s">
        <v>28</v>
      </c>
      <c r="P12" s="54" t="s">
        <v>28</v>
      </c>
      <c r="Q12" s="54" t="s">
        <v>28</v>
      </c>
      <c r="R12" s="123">
        <v>7350057583395</v>
      </c>
      <c r="S12" s="124" t="s">
        <v>77</v>
      </c>
      <c r="T12" s="124">
        <v>0.7</v>
      </c>
      <c r="U12" s="124">
        <v>0.5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329" s="125" customFormat="1" ht="15" customHeight="1">
      <c r="A13" s="59">
        <v>1002220</v>
      </c>
      <c r="B13" s="128" t="s">
        <v>78</v>
      </c>
      <c r="C13" s="72" t="s">
        <v>79</v>
      </c>
      <c r="D13" s="122">
        <v>0</v>
      </c>
      <c r="E13" s="122">
        <f t="shared" si="0"/>
        <v>0</v>
      </c>
      <c r="F13" s="122">
        <f t="shared" si="1"/>
        <v>0</v>
      </c>
      <c r="G13" s="122"/>
      <c r="H13" s="122"/>
      <c r="I13" s="8"/>
      <c r="J13" s="38" t="s">
        <v>28</v>
      </c>
      <c r="K13" s="8"/>
      <c r="L13" s="8"/>
      <c r="M13" s="8"/>
      <c r="N13" s="8"/>
      <c r="O13" s="8"/>
      <c r="P13" s="8"/>
      <c r="Q13" s="8"/>
      <c r="R13" s="123">
        <v>7350057585146</v>
      </c>
      <c r="S13" s="129"/>
      <c r="T13" s="129"/>
      <c r="U13" s="129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  <c r="JJ13" s="27"/>
      <c r="JK13" s="27"/>
      <c r="JL13" s="27"/>
      <c r="JM13" s="27"/>
      <c r="JN13" s="27"/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27"/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27"/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</row>
    <row r="14" spans="1:329" s="125" customFormat="1" ht="15" customHeight="1">
      <c r="A14" s="33">
        <v>1002287</v>
      </c>
      <c r="B14" s="61" t="s">
        <v>80</v>
      </c>
      <c r="C14" s="213" t="s">
        <v>81</v>
      </c>
      <c r="D14" s="122">
        <v>7</v>
      </c>
      <c r="E14" s="122">
        <f t="shared" si="0"/>
        <v>11.764705882352942</v>
      </c>
      <c r="F14" s="122">
        <f t="shared" si="1"/>
        <v>14</v>
      </c>
      <c r="G14" s="122"/>
      <c r="H14" s="122"/>
      <c r="I14" s="8"/>
      <c r="J14" s="11"/>
      <c r="K14" s="38" t="s">
        <v>28</v>
      </c>
      <c r="L14" s="11"/>
      <c r="M14" s="11"/>
      <c r="N14" s="11"/>
      <c r="O14" s="11"/>
      <c r="P14" s="11"/>
      <c r="Q14" s="11"/>
      <c r="R14" s="123">
        <v>7350057583814</v>
      </c>
      <c r="S14" s="124" t="s">
        <v>74</v>
      </c>
      <c r="T14" s="124">
        <v>0.83</v>
      </c>
      <c r="U14" s="124">
        <v>0.34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27"/>
      <c r="JD14" s="27"/>
      <c r="JE14" s="27"/>
      <c r="JF14" s="27"/>
      <c r="JG14" s="27"/>
      <c r="JH14" s="27"/>
      <c r="JI14" s="27"/>
      <c r="JJ14" s="27"/>
      <c r="JK14" s="27"/>
      <c r="JL14" s="27"/>
      <c r="JM14" s="27"/>
      <c r="JN14" s="27"/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27"/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27"/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</row>
    <row r="15" spans="1:329" s="125" customFormat="1" ht="15" customHeight="1">
      <c r="A15" s="33">
        <v>1002288</v>
      </c>
      <c r="B15" s="61" t="s">
        <v>82</v>
      </c>
      <c r="C15" s="213" t="s">
        <v>83</v>
      </c>
      <c r="D15" s="122">
        <v>7</v>
      </c>
      <c r="E15" s="122">
        <f t="shared" si="0"/>
        <v>11.764705882352942</v>
      </c>
      <c r="F15" s="122">
        <f t="shared" si="1"/>
        <v>14</v>
      </c>
      <c r="G15" s="122"/>
      <c r="H15" s="122"/>
      <c r="I15" s="8"/>
      <c r="J15" s="11"/>
      <c r="K15" s="38" t="s">
        <v>28</v>
      </c>
      <c r="L15" s="11"/>
      <c r="M15" s="11"/>
      <c r="N15" s="11"/>
      <c r="O15" s="11"/>
      <c r="P15" s="11"/>
      <c r="Q15" s="11"/>
      <c r="R15" s="123">
        <v>7350057583821</v>
      </c>
      <c r="S15" s="124" t="s">
        <v>68</v>
      </c>
      <c r="T15" s="124">
        <v>1.1599999999999999</v>
      </c>
      <c r="U15" s="124">
        <v>1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G15" s="27"/>
      <c r="JH15" s="27"/>
      <c r="JI15" s="27"/>
      <c r="JJ15" s="27"/>
      <c r="JK15" s="27"/>
      <c r="JL15" s="27"/>
      <c r="JM15" s="27"/>
      <c r="JN15" s="27"/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27"/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27"/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</row>
    <row r="16" spans="1:329" s="125" customFormat="1" ht="15" customHeight="1">
      <c r="A16" s="33">
        <v>1002321</v>
      </c>
      <c r="B16" s="61" t="s">
        <v>84</v>
      </c>
      <c r="C16" s="213" t="s">
        <v>85</v>
      </c>
      <c r="D16" s="122">
        <v>4</v>
      </c>
      <c r="E16" s="122">
        <f t="shared" si="0"/>
        <v>6.7226890756302522</v>
      </c>
      <c r="F16" s="122">
        <f t="shared" si="1"/>
        <v>8</v>
      </c>
      <c r="G16" s="122"/>
      <c r="H16" s="122"/>
      <c r="I16" s="38" t="s">
        <v>28</v>
      </c>
      <c r="J16" s="11"/>
      <c r="K16" s="38"/>
      <c r="L16" s="54"/>
      <c r="M16" s="54"/>
      <c r="N16" s="54"/>
      <c r="O16" s="54"/>
      <c r="P16" s="54"/>
      <c r="Q16" s="54"/>
      <c r="R16" s="123">
        <v>7350057583739</v>
      </c>
      <c r="S16" s="124" t="s">
        <v>86</v>
      </c>
      <c r="T16" s="124">
        <v>3.45</v>
      </c>
      <c r="U16" s="124">
        <v>3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27"/>
      <c r="JD16" s="27"/>
      <c r="JE16" s="27"/>
      <c r="JF16" s="27"/>
      <c r="JG16" s="27"/>
      <c r="JH16" s="27"/>
      <c r="JI16" s="27"/>
      <c r="JJ16" s="27"/>
      <c r="JK16" s="27"/>
      <c r="JL16" s="27"/>
      <c r="JM16" s="27"/>
      <c r="JN16" s="27"/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27"/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27"/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130"/>
    </row>
    <row r="17" spans="1:329" s="125" customFormat="1" ht="15" customHeight="1">
      <c r="A17" s="33">
        <v>1003124</v>
      </c>
      <c r="B17" s="61" t="s">
        <v>87</v>
      </c>
      <c r="C17" s="213" t="s">
        <v>88</v>
      </c>
      <c r="D17" s="122">
        <v>30</v>
      </c>
      <c r="E17" s="122">
        <f t="shared" si="0"/>
        <v>50.420168067226896</v>
      </c>
      <c r="F17" s="122">
        <f t="shared" si="1"/>
        <v>60</v>
      </c>
      <c r="G17" s="122"/>
      <c r="H17" s="122"/>
      <c r="I17" s="8"/>
      <c r="J17" s="11"/>
      <c r="K17" s="38" t="s">
        <v>28</v>
      </c>
      <c r="L17" s="54" t="s">
        <v>28</v>
      </c>
      <c r="M17" s="54" t="s">
        <v>28</v>
      </c>
      <c r="N17" s="54" t="s">
        <v>28</v>
      </c>
      <c r="O17" s="54" t="s">
        <v>28</v>
      </c>
      <c r="P17" s="54" t="s">
        <v>28</v>
      </c>
      <c r="Q17" s="54" t="s">
        <v>28</v>
      </c>
      <c r="R17" s="123">
        <v>7350057583968</v>
      </c>
      <c r="S17" s="124" t="s">
        <v>68</v>
      </c>
      <c r="T17" s="124">
        <v>2.52</v>
      </c>
      <c r="U17" s="124">
        <v>2.38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329" s="125" customFormat="1" ht="15" customHeight="1">
      <c r="A18" s="33">
        <v>1003126</v>
      </c>
      <c r="B18" s="61" t="s">
        <v>89</v>
      </c>
      <c r="C18" s="215" t="s">
        <v>90</v>
      </c>
      <c r="D18" s="122">
        <v>5</v>
      </c>
      <c r="E18" s="122">
        <f t="shared" si="0"/>
        <v>8.4033613445378155</v>
      </c>
      <c r="F18" s="122">
        <f t="shared" si="1"/>
        <v>10</v>
      </c>
      <c r="G18" s="122"/>
      <c r="H18" s="122"/>
      <c r="I18" s="8"/>
      <c r="J18" s="11"/>
      <c r="K18" s="38" t="s">
        <v>28</v>
      </c>
      <c r="L18" s="54" t="s">
        <v>28</v>
      </c>
      <c r="M18" s="54" t="s">
        <v>28</v>
      </c>
      <c r="N18" s="54" t="s">
        <v>28</v>
      </c>
      <c r="O18" s="54" t="s">
        <v>28</v>
      </c>
      <c r="P18" s="54" t="s">
        <v>28</v>
      </c>
      <c r="Q18" s="54" t="s">
        <v>28</v>
      </c>
      <c r="R18" s="123">
        <v>7350057583982</v>
      </c>
      <c r="S18" s="124" t="s">
        <v>91</v>
      </c>
      <c r="T18" s="124">
        <v>1.8</v>
      </c>
      <c r="U18" s="124">
        <v>1.4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27"/>
      <c r="JD18" s="27"/>
      <c r="JE18" s="27"/>
      <c r="JF18" s="27"/>
      <c r="JG18" s="27"/>
      <c r="JH18" s="27"/>
      <c r="JI18" s="27"/>
      <c r="JJ18" s="27"/>
      <c r="JK18" s="27"/>
      <c r="JL18" s="27"/>
      <c r="JM18" s="27"/>
      <c r="JN18" s="27"/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27"/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27"/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</row>
    <row r="19" spans="1:329" s="125" customFormat="1" ht="15" customHeight="1">
      <c r="A19" s="33">
        <v>1003207</v>
      </c>
      <c r="B19" s="61" t="s">
        <v>92</v>
      </c>
      <c r="C19" s="215" t="s">
        <v>93</v>
      </c>
      <c r="D19" s="122">
        <v>3</v>
      </c>
      <c r="E19" s="122">
        <f t="shared" si="0"/>
        <v>5.0420168067226889</v>
      </c>
      <c r="F19" s="122">
        <f t="shared" si="1"/>
        <v>6</v>
      </c>
      <c r="G19" s="122"/>
      <c r="H19" s="122"/>
      <c r="I19" s="8"/>
      <c r="J19" s="11"/>
      <c r="K19" s="38" t="s">
        <v>28</v>
      </c>
      <c r="L19" s="54" t="s">
        <v>28</v>
      </c>
      <c r="M19" s="54" t="s">
        <v>28</v>
      </c>
      <c r="N19" s="54" t="s">
        <v>28</v>
      </c>
      <c r="O19" s="54" t="s">
        <v>28</v>
      </c>
      <c r="P19" s="54" t="s">
        <v>28</v>
      </c>
      <c r="Q19" s="54" t="s">
        <v>28</v>
      </c>
      <c r="R19" s="123">
        <v>7350057583999</v>
      </c>
      <c r="S19" s="124" t="s">
        <v>94</v>
      </c>
      <c r="T19" s="124">
        <v>2.12</v>
      </c>
      <c r="U19" s="124">
        <v>1.72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27"/>
      <c r="JD19" s="27"/>
      <c r="JE19" s="27"/>
      <c r="JF19" s="27"/>
      <c r="JG19" s="27"/>
      <c r="JH19" s="27"/>
      <c r="JI19" s="27"/>
      <c r="JJ19" s="27"/>
      <c r="JK19" s="27"/>
      <c r="JL19" s="27"/>
      <c r="JM19" s="27"/>
      <c r="JN19" s="27"/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27"/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27"/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</row>
    <row r="20" spans="1:329" s="125" customFormat="1" ht="15" customHeight="1">
      <c r="A20" s="33">
        <v>1003215</v>
      </c>
      <c r="B20" s="61" t="s">
        <v>95</v>
      </c>
      <c r="C20" s="215" t="s">
        <v>96</v>
      </c>
      <c r="D20" s="122">
        <v>3</v>
      </c>
      <c r="E20" s="122">
        <f t="shared" si="0"/>
        <v>5.0420168067226889</v>
      </c>
      <c r="F20" s="122">
        <f t="shared" si="1"/>
        <v>6</v>
      </c>
      <c r="G20" s="122"/>
      <c r="H20" s="122"/>
      <c r="I20" s="8"/>
      <c r="J20" s="11"/>
      <c r="K20" s="38"/>
      <c r="L20" s="54" t="s">
        <v>28</v>
      </c>
      <c r="M20" s="54" t="s">
        <v>28</v>
      </c>
      <c r="N20" s="54"/>
      <c r="O20" s="54" t="s">
        <v>28</v>
      </c>
      <c r="P20" s="54" t="s">
        <v>28</v>
      </c>
      <c r="Q20" s="54" t="s">
        <v>28</v>
      </c>
      <c r="R20" s="123">
        <v>7350057583906</v>
      </c>
      <c r="S20" s="124" t="s">
        <v>68</v>
      </c>
      <c r="T20" s="124">
        <v>1.23</v>
      </c>
      <c r="U20" s="124">
        <v>1.1000000000000001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27"/>
      <c r="JD20" s="27"/>
      <c r="JE20" s="27"/>
      <c r="JF20" s="27"/>
      <c r="JG20" s="27"/>
      <c r="JH20" s="27"/>
      <c r="JI20" s="27"/>
      <c r="JJ20" s="27"/>
      <c r="JK20" s="27"/>
      <c r="JL20" s="27"/>
      <c r="JM20" s="27"/>
      <c r="JN20" s="27"/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27"/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27"/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</row>
    <row r="21" spans="1:329" s="125" customFormat="1" ht="15" customHeight="1">
      <c r="A21" s="33">
        <v>1003400</v>
      </c>
      <c r="B21" s="61" t="s">
        <v>97</v>
      </c>
      <c r="C21" s="213" t="s">
        <v>98</v>
      </c>
      <c r="D21" s="122">
        <v>23</v>
      </c>
      <c r="E21" s="122">
        <f t="shared" si="0"/>
        <v>38.655462184873954</v>
      </c>
      <c r="F21" s="122">
        <f t="shared" si="1"/>
        <v>46</v>
      </c>
      <c r="G21" s="122"/>
      <c r="H21" s="122"/>
      <c r="I21" s="8"/>
      <c r="J21" s="11"/>
      <c r="K21" s="38" t="s">
        <v>28</v>
      </c>
      <c r="L21" s="54" t="s">
        <v>28</v>
      </c>
      <c r="M21" s="54" t="s">
        <v>28</v>
      </c>
      <c r="N21" s="11"/>
      <c r="O21" s="11"/>
      <c r="P21" s="54" t="s">
        <v>28</v>
      </c>
      <c r="Q21" s="11"/>
      <c r="R21" s="123">
        <v>7350057584019</v>
      </c>
      <c r="S21" s="124" t="s">
        <v>54</v>
      </c>
      <c r="T21" s="124">
        <v>0.16</v>
      </c>
      <c r="U21" s="124">
        <v>0.12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  <c r="IX21" s="27"/>
      <c r="IY21" s="27"/>
      <c r="IZ21" s="27"/>
      <c r="JA21" s="27"/>
      <c r="JB21" s="27"/>
      <c r="JC21" s="27"/>
      <c r="JD21" s="27"/>
      <c r="JE21" s="27"/>
      <c r="JF21" s="27"/>
      <c r="JG21" s="27"/>
      <c r="JH21" s="27"/>
      <c r="JI21" s="27"/>
      <c r="JJ21" s="27"/>
      <c r="JK21" s="27"/>
      <c r="JL21" s="27"/>
      <c r="JM21" s="27"/>
      <c r="JN21" s="27"/>
      <c r="JO21" s="27"/>
      <c r="JP21" s="27"/>
      <c r="JQ21" s="27"/>
      <c r="JR21" s="27"/>
      <c r="JS21" s="27"/>
      <c r="JT21" s="27"/>
      <c r="JU21" s="27"/>
      <c r="JV21" s="27"/>
      <c r="JW21" s="27"/>
      <c r="JX21" s="27"/>
      <c r="JY21" s="27"/>
      <c r="JZ21" s="27"/>
      <c r="KA21" s="27"/>
      <c r="KB21" s="27"/>
      <c r="KC21" s="27"/>
      <c r="KD21" s="27"/>
      <c r="KE21" s="27"/>
      <c r="KF21" s="27"/>
      <c r="KG21" s="27"/>
      <c r="KH21" s="27"/>
      <c r="KI21" s="27"/>
      <c r="KJ21" s="27"/>
      <c r="KK21" s="27"/>
      <c r="KL21" s="27"/>
      <c r="KM21" s="27"/>
      <c r="KN21" s="27"/>
      <c r="KO21" s="27"/>
      <c r="KP21" s="27"/>
      <c r="KQ21" s="27"/>
      <c r="KR21" s="27"/>
      <c r="KS21" s="27"/>
      <c r="KT21" s="27"/>
      <c r="KU21" s="27"/>
      <c r="KV21" s="27"/>
      <c r="KW21" s="27"/>
      <c r="KX21" s="27"/>
      <c r="KY21" s="27"/>
      <c r="KZ21" s="27"/>
      <c r="LA21" s="27"/>
      <c r="LB21" s="27"/>
      <c r="LC21" s="27"/>
      <c r="LD21" s="27"/>
      <c r="LE21" s="27"/>
      <c r="LF21" s="27"/>
      <c r="LG21" s="27"/>
      <c r="LH21" s="27"/>
      <c r="LI21" s="27"/>
      <c r="LJ21" s="27"/>
      <c r="LK21" s="27"/>
      <c r="LL21" s="27"/>
      <c r="LM21" s="27"/>
      <c r="LN21" s="27"/>
      <c r="LO21" s="27"/>
      <c r="LP21" s="27"/>
      <c r="LQ21" s="27"/>
    </row>
    <row r="22" spans="1:329" s="125" customFormat="1" ht="15" customHeight="1">
      <c r="A22" s="33">
        <v>1003409</v>
      </c>
      <c r="B22" s="61" t="s">
        <v>99</v>
      </c>
      <c r="C22" s="213" t="s">
        <v>100</v>
      </c>
      <c r="D22" s="122">
        <v>23</v>
      </c>
      <c r="E22" s="122">
        <f t="shared" si="0"/>
        <v>38.655462184873954</v>
      </c>
      <c r="F22" s="122">
        <f t="shared" si="1"/>
        <v>46</v>
      </c>
      <c r="G22" s="122"/>
      <c r="H22" s="122"/>
      <c r="I22" s="8"/>
      <c r="J22" s="11"/>
      <c r="K22" s="38" t="s">
        <v>28</v>
      </c>
      <c r="L22" s="54" t="s">
        <v>28</v>
      </c>
      <c r="M22" s="54" t="s">
        <v>28</v>
      </c>
      <c r="N22" s="11"/>
      <c r="O22" s="11"/>
      <c r="P22" s="54" t="s">
        <v>28</v>
      </c>
      <c r="Q22" s="11"/>
      <c r="R22" s="123">
        <v>7350057584026</v>
      </c>
      <c r="S22" s="124" t="s">
        <v>54</v>
      </c>
      <c r="T22" s="124">
        <v>0.14000000000000001</v>
      </c>
      <c r="U22" s="124">
        <v>0.1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27"/>
      <c r="JD22" s="27"/>
      <c r="JE22" s="27"/>
      <c r="JF22" s="27"/>
      <c r="JG22" s="27"/>
      <c r="JH22" s="27"/>
      <c r="JI22" s="27"/>
      <c r="JJ22" s="27"/>
      <c r="JK22" s="27"/>
      <c r="JL22" s="27"/>
      <c r="JM22" s="27"/>
      <c r="JN22" s="27"/>
      <c r="JO22" s="27"/>
      <c r="JP22" s="27"/>
      <c r="JQ22" s="27"/>
      <c r="JR22" s="27"/>
      <c r="JS22" s="27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27"/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S22" s="27"/>
      <c r="KT22" s="27"/>
      <c r="KU22" s="27"/>
      <c r="KV22" s="27"/>
      <c r="KW22" s="27"/>
      <c r="KX22" s="27"/>
      <c r="KY22" s="27"/>
      <c r="KZ22" s="27"/>
      <c r="LA22" s="27"/>
      <c r="LB22" s="27"/>
      <c r="LC22" s="27"/>
      <c r="LD22" s="27"/>
      <c r="LE22" s="27"/>
      <c r="LF22" s="27"/>
      <c r="LG22" s="27"/>
      <c r="LH22" s="27"/>
      <c r="LI22" s="27"/>
      <c r="LJ22" s="27"/>
      <c r="LK22" s="27"/>
      <c r="LL22" s="27"/>
      <c r="LM22" s="27"/>
      <c r="LN22" s="27"/>
      <c r="LO22" s="27"/>
      <c r="LP22" s="27"/>
      <c r="LQ22" s="27"/>
    </row>
    <row r="23" spans="1:329" s="125" customFormat="1" ht="15" customHeight="1">
      <c r="A23" s="33">
        <v>1004000</v>
      </c>
      <c r="B23" s="61" t="s">
        <v>101</v>
      </c>
      <c r="C23" s="213" t="s">
        <v>102</v>
      </c>
      <c r="D23" s="122">
        <v>40</v>
      </c>
      <c r="E23" s="122">
        <f t="shared" si="0"/>
        <v>67.226890756302524</v>
      </c>
      <c r="F23" s="122">
        <f t="shared" si="1"/>
        <v>80</v>
      </c>
      <c r="G23" s="122"/>
      <c r="H23" s="122"/>
      <c r="I23" s="8"/>
      <c r="J23" s="11"/>
      <c r="K23" s="8"/>
      <c r="L23" s="54" t="s">
        <v>28</v>
      </c>
      <c r="M23" s="54" t="s">
        <v>28</v>
      </c>
      <c r="N23" s="11"/>
      <c r="O23" s="54" t="s">
        <v>28</v>
      </c>
      <c r="P23" s="54" t="s">
        <v>28</v>
      </c>
      <c r="Q23" s="54" t="s">
        <v>28</v>
      </c>
      <c r="R23" s="123">
        <v>7350057583920</v>
      </c>
      <c r="S23" s="124" t="s">
        <v>54</v>
      </c>
      <c r="T23" s="124">
        <v>0.6</v>
      </c>
      <c r="U23" s="124">
        <v>0.55000000000000004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</row>
    <row r="24" spans="1:329" s="125" customFormat="1" ht="15" customHeight="1">
      <c r="A24" s="126">
        <v>1004102</v>
      </c>
      <c r="B24" s="127" t="s">
        <v>103</v>
      </c>
      <c r="C24" s="216" t="s">
        <v>104</v>
      </c>
      <c r="D24" s="122">
        <v>3</v>
      </c>
      <c r="E24" s="122">
        <f t="shared" si="0"/>
        <v>5.0420168067226889</v>
      </c>
      <c r="F24" s="122">
        <f t="shared" si="1"/>
        <v>6</v>
      </c>
      <c r="G24" s="122"/>
      <c r="H24" s="122"/>
      <c r="I24" s="8"/>
      <c r="J24" s="11"/>
      <c r="K24" s="8"/>
      <c r="L24" s="54" t="s">
        <v>28</v>
      </c>
      <c r="M24" s="54" t="s">
        <v>28</v>
      </c>
      <c r="N24" s="11"/>
      <c r="O24" s="54" t="s">
        <v>28</v>
      </c>
      <c r="P24" s="54" t="s">
        <v>28</v>
      </c>
      <c r="Q24" s="54" t="s">
        <v>28</v>
      </c>
      <c r="R24" s="123">
        <v>7350057583944</v>
      </c>
      <c r="S24" s="124" t="s">
        <v>105</v>
      </c>
      <c r="T24" s="124">
        <v>4.5</v>
      </c>
      <c r="U24" s="124">
        <v>4.25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  <c r="JJ24" s="27"/>
      <c r="JK24" s="27"/>
      <c r="JL24" s="27"/>
      <c r="JM24" s="27"/>
      <c r="JN24" s="27"/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27"/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</row>
    <row r="25" spans="1:329" s="125" customFormat="1" ht="15" customHeight="1">
      <c r="A25" s="33">
        <v>1004445</v>
      </c>
      <c r="B25" s="61" t="s">
        <v>106</v>
      </c>
      <c r="C25" s="213" t="s">
        <v>107</v>
      </c>
      <c r="D25" s="122">
        <v>30</v>
      </c>
      <c r="E25" s="122">
        <f t="shared" si="0"/>
        <v>50.420168067226896</v>
      </c>
      <c r="F25" s="122">
        <f t="shared" si="1"/>
        <v>60</v>
      </c>
      <c r="G25" s="122"/>
      <c r="H25" s="122"/>
      <c r="I25" s="8"/>
      <c r="J25" s="11"/>
      <c r="K25" s="38" t="s">
        <v>28</v>
      </c>
      <c r="L25" s="11"/>
      <c r="M25" s="11"/>
      <c r="N25" s="54" t="s">
        <v>28</v>
      </c>
      <c r="O25" s="11"/>
      <c r="P25" s="11"/>
      <c r="Q25" s="11"/>
      <c r="R25" s="123">
        <v>7350057583913</v>
      </c>
      <c r="S25" s="124" t="s">
        <v>105</v>
      </c>
      <c r="T25" s="124">
        <v>1.25</v>
      </c>
      <c r="U25" s="124">
        <v>1.1200000000000001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27"/>
      <c r="JD25" s="27"/>
      <c r="JE25" s="27"/>
      <c r="JF25" s="27"/>
      <c r="JG25" s="27"/>
      <c r="JH25" s="27"/>
      <c r="JI25" s="27"/>
      <c r="JJ25" s="27"/>
      <c r="JK25" s="27"/>
      <c r="JL25" s="27"/>
      <c r="JM25" s="27"/>
      <c r="JN25" s="27"/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27"/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27"/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</row>
    <row r="26" spans="1:329" s="125" customFormat="1" ht="15" customHeight="1">
      <c r="A26" s="126">
        <v>1004453</v>
      </c>
      <c r="B26" s="127" t="s">
        <v>108</v>
      </c>
      <c r="C26" s="127" t="s">
        <v>109</v>
      </c>
      <c r="D26" s="122">
        <v>3</v>
      </c>
      <c r="E26" s="122">
        <f t="shared" si="0"/>
        <v>5.0420168067226889</v>
      </c>
      <c r="F26" s="122">
        <f t="shared" si="1"/>
        <v>6</v>
      </c>
      <c r="G26" s="122"/>
      <c r="H26" s="122"/>
      <c r="I26" s="8"/>
      <c r="J26" s="11"/>
      <c r="K26" s="38" t="s">
        <v>28</v>
      </c>
      <c r="L26" s="54"/>
      <c r="M26" s="54"/>
      <c r="N26" s="54" t="s">
        <v>28</v>
      </c>
      <c r="O26" s="54"/>
      <c r="P26" s="54"/>
      <c r="Q26" s="54"/>
      <c r="R26" s="123">
        <v>7350057583937</v>
      </c>
      <c r="S26" s="124" t="s">
        <v>105</v>
      </c>
      <c r="T26" s="124">
        <v>1.06</v>
      </c>
      <c r="U26" s="124">
        <v>0.84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329" s="125" customFormat="1" ht="15" customHeight="1">
      <c r="A27" s="59">
        <v>1005204</v>
      </c>
      <c r="B27" s="128" t="s">
        <v>110</v>
      </c>
      <c r="C27" s="72" t="s">
        <v>111</v>
      </c>
      <c r="D27" s="122">
        <v>0</v>
      </c>
      <c r="E27" s="122">
        <f t="shared" si="0"/>
        <v>0</v>
      </c>
      <c r="F27" s="122">
        <f t="shared" si="1"/>
        <v>0</v>
      </c>
      <c r="G27" s="122"/>
      <c r="H27" s="122"/>
      <c r="I27" s="38" t="s">
        <v>28</v>
      </c>
      <c r="J27" s="54" t="s">
        <v>28</v>
      </c>
      <c r="K27" s="11"/>
      <c r="L27" s="8"/>
      <c r="M27" s="11"/>
      <c r="N27" s="11"/>
      <c r="O27" s="11"/>
      <c r="P27" s="11"/>
      <c r="Q27" s="11"/>
      <c r="R27" s="123">
        <v>7350057584231</v>
      </c>
      <c r="S27" s="129"/>
      <c r="T27" s="129"/>
      <c r="U27" s="129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</row>
    <row r="28" spans="1:329" s="125" customFormat="1" ht="15" customHeight="1">
      <c r="A28" s="59">
        <v>1005205</v>
      </c>
      <c r="B28" s="128" t="s">
        <v>112</v>
      </c>
      <c r="C28" s="72" t="s">
        <v>111</v>
      </c>
      <c r="D28" s="122">
        <v>0</v>
      </c>
      <c r="E28" s="122">
        <f t="shared" si="0"/>
        <v>0</v>
      </c>
      <c r="F28" s="122">
        <f t="shared" si="1"/>
        <v>0</v>
      </c>
      <c r="G28" s="122"/>
      <c r="H28" s="122"/>
      <c r="I28" s="38" t="s">
        <v>28</v>
      </c>
      <c r="J28" s="54" t="s">
        <v>28</v>
      </c>
      <c r="K28" s="11"/>
      <c r="L28" s="8"/>
      <c r="M28" s="11"/>
      <c r="N28" s="11"/>
      <c r="O28" s="11"/>
      <c r="P28" s="11"/>
      <c r="Q28" s="11"/>
      <c r="R28" s="123">
        <v>7350057584248</v>
      </c>
      <c r="S28" s="129"/>
      <c r="T28" s="129"/>
      <c r="U28" s="129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</row>
    <row r="29" spans="1:329" s="125" customFormat="1" ht="15" customHeight="1">
      <c r="A29" s="33">
        <v>1006000</v>
      </c>
      <c r="B29" s="61" t="s">
        <v>113</v>
      </c>
      <c r="C29" s="213" t="s">
        <v>114</v>
      </c>
      <c r="D29" s="122">
        <v>13</v>
      </c>
      <c r="E29" s="122">
        <f t="shared" si="0"/>
        <v>21.84873949579832</v>
      </c>
      <c r="F29" s="122">
        <f t="shared" si="1"/>
        <v>26</v>
      </c>
      <c r="G29" s="122"/>
      <c r="H29" s="122"/>
      <c r="I29" s="8"/>
      <c r="J29" s="11"/>
      <c r="K29" s="11"/>
      <c r="L29" s="8"/>
      <c r="M29" s="11"/>
      <c r="N29" s="11"/>
      <c r="O29" s="11"/>
      <c r="P29" s="54" t="s">
        <v>28</v>
      </c>
      <c r="Q29" s="54" t="s">
        <v>28</v>
      </c>
      <c r="R29" s="123">
        <v>7350057583791</v>
      </c>
      <c r="S29" s="124" t="s">
        <v>115</v>
      </c>
      <c r="T29" s="124">
        <v>0.32</v>
      </c>
      <c r="U29" s="124">
        <v>0.11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27"/>
      <c r="JD29" s="27"/>
      <c r="JE29" s="27"/>
      <c r="JF29" s="27"/>
      <c r="JG29" s="27"/>
      <c r="JH29" s="27"/>
      <c r="JI29" s="27"/>
      <c r="JJ29" s="27"/>
      <c r="JK29" s="27"/>
      <c r="JL29" s="27"/>
      <c r="JM29" s="27"/>
      <c r="JN29" s="27"/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27"/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27"/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</row>
    <row r="30" spans="1:329" s="125" customFormat="1" ht="15" customHeight="1">
      <c r="A30" s="33">
        <v>1006003</v>
      </c>
      <c r="B30" s="61" t="s">
        <v>116</v>
      </c>
      <c r="C30" s="213" t="s">
        <v>117</v>
      </c>
      <c r="D30" s="122">
        <v>13</v>
      </c>
      <c r="E30" s="122">
        <f t="shared" si="0"/>
        <v>21.84873949579832</v>
      </c>
      <c r="F30" s="122">
        <f t="shared" si="1"/>
        <v>26</v>
      </c>
      <c r="G30" s="122"/>
      <c r="H30" s="122"/>
      <c r="I30" s="8"/>
      <c r="J30" s="11"/>
      <c r="K30" s="11"/>
      <c r="L30" s="38" t="s">
        <v>28</v>
      </c>
      <c r="M30" s="54" t="s">
        <v>28</v>
      </c>
      <c r="N30" s="11"/>
      <c r="O30" s="11"/>
      <c r="P30" s="11"/>
      <c r="Q30" s="11"/>
      <c r="R30" s="123">
        <v>7350057583777</v>
      </c>
      <c r="S30" s="124" t="s">
        <v>118</v>
      </c>
      <c r="T30" s="124">
        <v>0.63</v>
      </c>
      <c r="U30" s="124">
        <v>0.17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27"/>
      <c r="JD30" s="27"/>
      <c r="JE30" s="27"/>
      <c r="JF30" s="27"/>
      <c r="JG30" s="27"/>
      <c r="JH30" s="27"/>
      <c r="JI30" s="27"/>
      <c r="JJ30" s="27"/>
      <c r="JK30" s="27"/>
      <c r="JL30" s="27"/>
      <c r="JM30" s="27"/>
      <c r="JN30" s="27"/>
      <c r="JO30" s="27"/>
      <c r="JP30" s="27"/>
      <c r="JQ30" s="27"/>
      <c r="JR30" s="27"/>
      <c r="JS30" s="2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27"/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27"/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</row>
    <row r="31" spans="1:329" s="125" customFormat="1" ht="15" customHeight="1">
      <c r="A31" s="33">
        <v>1006504</v>
      </c>
      <c r="B31" s="61" t="s">
        <v>119</v>
      </c>
      <c r="C31" s="213" t="s">
        <v>120</v>
      </c>
      <c r="D31" s="122">
        <v>13</v>
      </c>
      <c r="E31" s="122">
        <f t="shared" si="0"/>
        <v>21.84873949579832</v>
      </c>
      <c r="F31" s="122">
        <f t="shared" si="1"/>
        <v>26</v>
      </c>
      <c r="G31" s="122"/>
      <c r="H31" s="122"/>
      <c r="I31" s="8"/>
      <c r="J31" s="11"/>
      <c r="K31" s="54" t="s">
        <v>28</v>
      </c>
      <c r="L31" s="8"/>
      <c r="M31" s="11"/>
      <c r="N31" s="11"/>
      <c r="O31" s="11"/>
      <c r="P31" s="11"/>
      <c r="Q31" s="11"/>
      <c r="R31" s="123">
        <v>7350057583760</v>
      </c>
      <c r="S31" s="124" t="s">
        <v>118</v>
      </c>
      <c r="T31" s="124">
        <v>0.63</v>
      </c>
      <c r="U31" s="124">
        <v>0.17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27"/>
      <c r="JD31" s="27"/>
      <c r="JE31" s="27"/>
      <c r="JF31" s="27"/>
      <c r="JG31" s="27"/>
      <c r="JH31" s="27"/>
      <c r="JI31" s="27"/>
      <c r="JJ31" s="27"/>
      <c r="JK31" s="27"/>
      <c r="JL31" s="27"/>
      <c r="JM31" s="27"/>
      <c r="JN31" s="27"/>
      <c r="JO31" s="27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27"/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27"/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</row>
    <row r="32" spans="1:329" s="125" customFormat="1" ht="15" customHeight="1">
      <c r="A32" s="126">
        <v>1007215</v>
      </c>
      <c r="B32" s="127" t="s">
        <v>121</v>
      </c>
      <c r="C32" s="216" t="s">
        <v>122</v>
      </c>
      <c r="D32" s="122">
        <v>3</v>
      </c>
      <c r="E32" s="122">
        <f t="shared" si="0"/>
        <v>5.0420168067226889</v>
      </c>
      <c r="F32" s="122">
        <f t="shared" si="1"/>
        <v>6</v>
      </c>
      <c r="G32" s="122"/>
      <c r="H32" s="122"/>
      <c r="I32" s="38" t="s">
        <v>28</v>
      </c>
      <c r="J32" s="11"/>
      <c r="K32" s="54" t="s">
        <v>28</v>
      </c>
      <c r="L32" s="54" t="s">
        <v>28</v>
      </c>
      <c r="M32" s="38" t="s">
        <v>28</v>
      </c>
      <c r="N32" s="54" t="s">
        <v>28</v>
      </c>
      <c r="O32" s="54" t="s">
        <v>28</v>
      </c>
      <c r="P32" s="54" t="s">
        <v>28</v>
      </c>
      <c r="Q32" s="54" t="s">
        <v>28</v>
      </c>
      <c r="R32" s="123">
        <v>7350057583388</v>
      </c>
      <c r="S32" s="124" t="s">
        <v>68</v>
      </c>
      <c r="T32" s="124">
        <v>0.5</v>
      </c>
      <c r="U32" s="124">
        <v>0.36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329" s="125" customFormat="1" ht="15" customHeight="1">
      <c r="A33" s="131">
        <v>1100710</v>
      </c>
      <c r="B33" s="132" t="s">
        <v>123</v>
      </c>
      <c r="C33" s="132" t="s">
        <v>124</v>
      </c>
      <c r="D33" s="122">
        <v>40</v>
      </c>
      <c r="E33" s="122">
        <f t="shared" si="0"/>
        <v>67.226890756302524</v>
      </c>
      <c r="F33" s="122">
        <f t="shared" si="1"/>
        <v>80</v>
      </c>
      <c r="G33" s="122"/>
      <c r="H33" s="122"/>
      <c r="I33" s="38" t="s">
        <v>28</v>
      </c>
      <c r="J33" s="11"/>
      <c r="K33" s="11"/>
      <c r="L33" s="11"/>
      <c r="M33" s="8"/>
      <c r="N33" s="11"/>
      <c r="O33" s="11"/>
      <c r="P33" s="11"/>
      <c r="Q33" s="11"/>
      <c r="R33" s="123">
        <v>7350057583012</v>
      </c>
      <c r="S33" s="124" t="s">
        <v>63</v>
      </c>
      <c r="T33" s="124">
        <v>3.7</v>
      </c>
      <c r="U33" s="124">
        <v>2.95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329" s="125" customFormat="1" ht="15" customHeight="1">
      <c r="A34" s="131">
        <v>1100711</v>
      </c>
      <c r="B34" s="132" t="s">
        <v>125</v>
      </c>
      <c r="C34" s="132" t="s">
        <v>126</v>
      </c>
      <c r="D34" s="122">
        <v>8</v>
      </c>
      <c r="E34" s="122">
        <f t="shared" si="0"/>
        <v>13.445378151260504</v>
      </c>
      <c r="F34" s="122">
        <f t="shared" si="1"/>
        <v>16</v>
      </c>
      <c r="G34" s="122"/>
      <c r="H34" s="122"/>
      <c r="I34" s="38" t="s">
        <v>28</v>
      </c>
      <c r="J34" s="11"/>
      <c r="K34" s="11"/>
      <c r="L34" s="11"/>
      <c r="M34" s="8"/>
      <c r="N34" s="11"/>
      <c r="O34" s="11"/>
      <c r="P34" s="11"/>
      <c r="Q34" s="11"/>
      <c r="R34" s="123">
        <v>7350057583654</v>
      </c>
      <c r="S34" s="124" t="s">
        <v>105</v>
      </c>
      <c r="T34" s="124">
        <v>0.6</v>
      </c>
      <c r="U34" s="124">
        <v>0.4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329" s="125" customFormat="1" ht="15" customHeight="1">
      <c r="A35" s="131">
        <v>1100714</v>
      </c>
      <c r="B35" s="127" t="s">
        <v>127</v>
      </c>
      <c r="C35" s="127" t="s">
        <v>128</v>
      </c>
      <c r="D35" s="122">
        <v>3</v>
      </c>
      <c r="E35" s="122">
        <f t="shared" si="0"/>
        <v>5.0420168067226889</v>
      </c>
      <c r="F35" s="122">
        <f t="shared" si="1"/>
        <v>6</v>
      </c>
      <c r="G35" s="122"/>
      <c r="H35" s="122"/>
      <c r="I35" s="38" t="s">
        <v>28</v>
      </c>
      <c r="J35" s="11"/>
      <c r="K35" s="54" t="s">
        <v>28</v>
      </c>
      <c r="L35" s="11"/>
      <c r="M35" s="8"/>
      <c r="N35" s="11"/>
      <c r="O35" s="11"/>
      <c r="P35" s="11"/>
      <c r="Q35" s="11"/>
      <c r="R35" s="123">
        <v>7350057583562</v>
      </c>
      <c r="S35" s="124" t="s">
        <v>54</v>
      </c>
      <c r="T35" s="124">
        <v>0.23</v>
      </c>
      <c r="U35" s="124">
        <v>0.17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329" s="125" customFormat="1" ht="15" customHeight="1">
      <c r="A36" s="126">
        <v>1100715</v>
      </c>
      <c r="B36" s="127" t="s">
        <v>129</v>
      </c>
      <c r="C36" s="127" t="s">
        <v>130</v>
      </c>
      <c r="D36" s="122">
        <v>5</v>
      </c>
      <c r="E36" s="122">
        <f t="shared" si="0"/>
        <v>8.4033613445378155</v>
      </c>
      <c r="F36" s="122">
        <f t="shared" si="1"/>
        <v>10</v>
      </c>
      <c r="G36" s="122"/>
      <c r="H36" s="122"/>
      <c r="I36" s="38" t="s">
        <v>28</v>
      </c>
      <c r="J36" s="11"/>
      <c r="K36" s="11"/>
      <c r="L36" s="11"/>
      <c r="M36" s="11"/>
      <c r="N36" s="38"/>
      <c r="O36" s="54"/>
      <c r="P36" s="54"/>
      <c r="Q36" s="11"/>
      <c r="R36" s="123">
        <v>7350057584170</v>
      </c>
      <c r="S36" s="124" t="s">
        <v>63</v>
      </c>
      <c r="T36" s="124">
        <v>3</v>
      </c>
      <c r="U36" s="124">
        <v>2.2000000000000002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27"/>
      <c r="JD36" s="27"/>
      <c r="JE36" s="27"/>
      <c r="JF36" s="27"/>
      <c r="JG36" s="27"/>
      <c r="JH36" s="27"/>
      <c r="JI36" s="27"/>
      <c r="JJ36" s="27"/>
      <c r="JK36" s="27"/>
      <c r="JL36" s="27"/>
      <c r="JM36" s="27"/>
      <c r="JN36" s="27"/>
      <c r="JO36" s="27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27"/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27"/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</row>
    <row r="37" spans="1:329" s="125" customFormat="1" ht="15" customHeight="1">
      <c r="A37" s="131">
        <v>1100733</v>
      </c>
      <c r="B37" s="132" t="s">
        <v>131</v>
      </c>
      <c r="C37" s="132" t="s">
        <v>124</v>
      </c>
      <c r="D37" s="122">
        <v>40</v>
      </c>
      <c r="E37" s="122">
        <f t="shared" si="0"/>
        <v>67.226890756302524</v>
      </c>
      <c r="F37" s="122">
        <f t="shared" si="1"/>
        <v>80</v>
      </c>
      <c r="G37" s="122"/>
      <c r="H37" s="122"/>
      <c r="I37" s="38"/>
      <c r="J37" s="54" t="s">
        <v>28</v>
      </c>
      <c r="K37" s="11"/>
      <c r="L37" s="11"/>
      <c r="M37" s="11"/>
      <c r="N37" s="8"/>
      <c r="O37" s="11"/>
      <c r="P37" s="11"/>
      <c r="Q37" s="11"/>
      <c r="R37" s="123">
        <v>7350057583067</v>
      </c>
      <c r="S37" s="124" t="s">
        <v>63</v>
      </c>
      <c r="T37" s="124">
        <v>2.25</v>
      </c>
      <c r="U37" s="124">
        <v>1.5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329" s="125" customFormat="1" ht="15" customHeight="1">
      <c r="A38" s="131">
        <v>1100734</v>
      </c>
      <c r="B38" s="132" t="s">
        <v>132</v>
      </c>
      <c r="C38" s="216" t="s">
        <v>133</v>
      </c>
      <c r="D38" s="122">
        <v>7</v>
      </c>
      <c r="E38" s="122">
        <f t="shared" si="0"/>
        <v>11.764705882352942</v>
      </c>
      <c r="F38" s="122">
        <f t="shared" si="1"/>
        <v>14</v>
      </c>
      <c r="G38" s="122"/>
      <c r="H38" s="122"/>
      <c r="I38" s="8"/>
      <c r="J38" s="54" t="s">
        <v>28</v>
      </c>
      <c r="K38" s="11"/>
      <c r="L38" s="11"/>
      <c r="M38" s="11"/>
      <c r="N38" s="11"/>
      <c r="O38" s="8"/>
      <c r="P38" s="11"/>
      <c r="Q38" s="11"/>
      <c r="R38" s="123">
        <v>7350057584118</v>
      </c>
      <c r="S38" s="124" t="s">
        <v>134</v>
      </c>
      <c r="T38" s="124">
        <v>7.3</v>
      </c>
      <c r="U38" s="124">
        <v>6.85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329" s="125" customFormat="1" ht="15" customHeight="1">
      <c r="A39" s="131">
        <v>1100735</v>
      </c>
      <c r="B39" s="132" t="s">
        <v>135</v>
      </c>
      <c r="C39" s="132" t="s">
        <v>136</v>
      </c>
      <c r="D39" s="122">
        <v>3</v>
      </c>
      <c r="E39" s="122">
        <f t="shared" si="0"/>
        <v>5.0420168067226889</v>
      </c>
      <c r="F39" s="122">
        <f t="shared" si="1"/>
        <v>6</v>
      </c>
      <c r="G39" s="122"/>
      <c r="H39" s="122"/>
      <c r="I39" s="8"/>
      <c r="J39" s="54" t="s">
        <v>28</v>
      </c>
      <c r="K39" s="11"/>
      <c r="L39" s="11"/>
      <c r="M39" s="11"/>
      <c r="N39" s="11"/>
      <c r="O39" s="11"/>
      <c r="P39" s="8"/>
      <c r="Q39" s="11"/>
      <c r="R39" s="123">
        <v>7350057583456</v>
      </c>
      <c r="S39" s="124" t="s">
        <v>77</v>
      </c>
      <c r="T39" s="124">
        <v>0.7</v>
      </c>
      <c r="U39" s="124">
        <v>0.5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329" s="125" customFormat="1" ht="15" customHeight="1">
      <c r="A40" s="131">
        <v>1100736</v>
      </c>
      <c r="B40" s="127" t="s">
        <v>137</v>
      </c>
      <c r="C40" s="127" t="s">
        <v>138</v>
      </c>
      <c r="D40" s="122">
        <v>2</v>
      </c>
      <c r="E40" s="122">
        <f t="shared" si="0"/>
        <v>3.3613445378151261</v>
      </c>
      <c r="F40" s="122">
        <f t="shared" si="1"/>
        <v>4</v>
      </c>
      <c r="G40" s="122"/>
      <c r="H40" s="122"/>
      <c r="I40" s="38"/>
      <c r="J40" s="54" t="s">
        <v>28</v>
      </c>
      <c r="K40" s="11"/>
      <c r="L40" s="11"/>
      <c r="M40" s="11"/>
      <c r="N40" s="11"/>
      <c r="O40" s="11"/>
      <c r="P40" s="8"/>
      <c r="Q40" s="11"/>
      <c r="R40" s="123">
        <v>7350057583630</v>
      </c>
      <c r="S40" s="124" t="s">
        <v>105</v>
      </c>
      <c r="T40" s="124">
        <v>0.62</v>
      </c>
      <c r="U40" s="124">
        <v>0.41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329" s="125" customFormat="1" ht="15" customHeight="1">
      <c r="A41" s="131">
        <v>1100737</v>
      </c>
      <c r="B41" s="132" t="s">
        <v>139</v>
      </c>
      <c r="C41" s="214" t="s">
        <v>140</v>
      </c>
      <c r="D41" s="122">
        <v>5</v>
      </c>
      <c r="E41" s="122">
        <f t="shared" si="0"/>
        <v>8.4033613445378155</v>
      </c>
      <c r="F41" s="122">
        <f t="shared" si="1"/>
        <v>10</v>
      </c>
      <c r="G41" s="122"/>
      <c r="H41" s="122"/>
      <c r="I41" s="8"/>
      <c r="J41" s="54" t="s">
        <v>28</v>
      </c>
      <c r="K41" s="11"/>
      <c r="L41" s="11"/>
      <c r="M41" s="11"/>
      <c r="N41" s="11"/>
      <c r="O41" s="11"/>
      <c r="P41" s="8"/>
      <c r="Q41" s="11"/>
      <c r="R41" s="123">
        <v>7350057584125</v>
      </c>
      <c r="S41" s="124" t="s">
        <v>54</v>
      </c>
      <c r="T41" s="124">
        <v>0.4</v>
      </c>
      <c r="U41" s="124">
        <v>0.34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329" s="125" customFormat="1" ht="15" customHeight="1">
      <c r="A42" s="131">
        <v>1100738</v>
      </c>
      <c r="B42" s="132" t="s">
        <v>141</v>
      </c>
      <c r="C42" s="216" t="s">
        <v>142</v>
      </c>
      <c r="D42" s="122">
        <v>8</v>
      </c>
      <c r="E42" s="122">
        <f t="shared" si="0"/>
        <v>13.445378151260504</v>
      </c>
      <c r="F42" s="122">
        <f t="shared" si="1"/>
        <v>16</v>
      </c>
      <c r="G42" s="122"/>
      <c r="H42" s="122"/>
      <c r="I42" s="8"/>
      <c r="J42" s="54" t="s">
        <v>28</v>
      </c>
      <c r="K42" s="11"/>
      <c r="L42" s="11"/>
      <c r="M42" s="11"/>
      <c r="N42" s="11"/>
      <c r="O42" s="11"/>
      <c r="P42" s="8"/>
      <c r="Q42" s="11"/>
      <c r="R42" s="123">
        <v>7350057584132</v>
      </c>
      <c r="S42" s="129"/>
      <c r="T42" s="129"/>
      <c r="U42" s="129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</row>
    <row r="43" spans="1:329" s="125" customFormat="1" ht="15" customHeight="1">
      <c r="A43" s="131">
        <v>1100739</v>
      </c>
      <c r="B43" s="132" t="s">
        <v>143</v>
      </c>
      <c r="C43" s="214" t="s">
        <v>144</v>
      </c>
      <c r="D43" s="122">
        <v>4</v>
      </c>
      <c r="E43" s="122">
        <f t="shared" si="0"/>
        <v>6.7226890756302522</v>
      </c>
      <c r="F43" s="122">
        <f t="shared" si="1"/>
        <v>8</v>
      </c>
      <c r="G43" s="122"/>
      <c r="H43" s="122"/>
      <c r="I43" s="8"/>
      <c r="J43" s="54" t="s">
        <v>28</v>
      </c>
      <c r="K43" s="11"/>
      <c r="L43" s="11"/>
      <c r="M43" s="11"/>
      <c r="N43" s="11"/>
      <c r="O43" s="11"/>
      <c r="P43" s="11"/>
      <c r="Q43" s="8"/>
      <c r="R43" s="123">
        <v>7350057584149</v>
      </c>
      <c r="S43" s="129"/>
      <c r="T43" s="129"/>
      <c r="U43" s="129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</row>
    <row r="44" spans="1:329" s="125" customFormat="1" ht="15" customHeight="1">
      <c r="A44" s="33">
        <v>1100791</v>
      </c>
      <c r="B44" s="61" t="s">
        <v>145</v>
      </c>
      <c r="C44" s="213" t="s">
        <v>146</v>
      </c>
      <c r="D44" s="122">
        <v>3</v>
      </c>
      <c r="E44" s="122">
        <f t="shared" si="0"/>
        <v>5.0420168067226889</v>
      </c>
      <c r="F44" s="122">
        <f t="shared" si="1"/>
        <v>6</v>
      </c>
      <c r="G44" s="122"/>
      <c r="H44" s="122"/>
      <c r="I44" s="38" t="s">
        <v>28</v>
      </c>
      <c r="J44" s="11"/>
      <c r="K44" s="54" t="s">
        <v>28</v>
      </c>
      <c r="L44" s="54" t="s">
        <v>28</v>
      </c>
      <c r="M44" s="54" t="s">
        <v>28</v>
      </c>
      <c r="N44" s="11"/>
      <c r="O44" s="11"/>
      <c r="P44" s="54" t="s">
        <v>28</v>
      </c>
      <c r="Q44" s="38" t="s">
        <v>28</v>
      </c>
      <c r="R44" s="123">
        <v>7350057584088</v>
      </c>
      <c r="S44" s="124" t="s">
        <v>105</v>
      </c>
      <c r="T44" s="124">
        <v>0.5</v>
      </c>
      <c r="U44" s="124">
        <v>0.28999999999999998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329" s="125" customFormat="1" ht="15" customHeight="1">
      <c r="A45" s="59">
        <v>1100810</v>
      </c>
      <c r="B45" s="128" t="s">
        <v>147</v>
      </c>
      <c r="C45" s="213" t="s">
        <v>148</v>
      </c>
      <c r="D45" s="122">
        <v>20</v>
      </c>
      <c r="E45" s="122">
        <f t="shared" si="0"/>
        <v>33.613445378151262</v>
      </c>
      <c r="F45" s="122">
        <f t="shared" si="1"/>
        <v>40</v>
      </c>
      <c r="G45" s="122"/>
      <c r="H45" s="122"/>
      <c r="I45" s="38" t="s">
        <v>28</v>
      </c>
      <c r="J45" s="11"/>
      <c r="K45" s="11"/>
      <c r="L45" s="11"/>
      <c r="M45" s="11"/>
      <c r="N45" s="11"/>
      <c r="O45" s="11"/>
      <c r="P45" s="11"/>
      <c r="Q45" s="8"/>
      <c r="R45" s="123">
        <v>7350057583951</v>
      </c>
      <c r="S45" s="124" t="s">
        <v>105</v>
      </c>
      <c r="T45" s="124">
        <v>4.5</v>
      </c>
      <c r="U45" s="124">
        <v>4.25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  <c r="IO45" s="27"/>
      <c r="IP45" s="27"/>
      <c r="IQ45" s="27"/>
      <c r="IR45" s="27"/>
      <c r="IS45" s="27"/>
      <c r="IT45" s="27"/>
      <c r="IU45" s="27"/>
      <c r="IV45" s="27"/>
      <c r="IW45" s="27"/>
      <c r="IX45" s="27"/>
      <c r="IY45" s="27"/>
      <c r="IZ45" s="27"/>
      <c r="JA45" s="27"/>
      <c r="JB45" s="27"/>
      <c r="JC45" s="27"/>
      <c r="JD45" s="27"/>
      <c r="JE45" s="27"/>
      <c r="JF45" s="27"/>
      <c r="JG45" s="27"/>
      <c r="JH45" s="27"/>
      <c r="JI45" s="27"/>
      <c r="JJ45" s="27"/>
      <c r="JK45" s="27"/>
      <c r="JL45" s="27"/>
      <c r="JM45" s="27"/>
      <c r="JN45" s="27"/>
      <c r="JO45" s="27"/>
      <c r="JP45" s="27"/>
      <c r="JQ45" s="27"/>
      <c r="JR45" s="27"/>
      <c r="JS45" s="27"/>
      <c r="JT45" s="27"/>
      <c r="JU45" s="27"/>
      <c r="JV45" s="27"/>
      <c r="JW45" s="27"/>
      <c r="JX45" s="27"/>
      <c r="JY45" s="27"/>
      <c r="JZ45" s="27"/>
      <c r="KA45" s="27"/>
      <c r="KB45" s="27"/>
      <c r="KC45" s="27"/>
      <c r="KD45" s="27"/>
      <c r="KE45" s="27"/>
      <c r="KF45" s="27"/>
      <c r="KG45" s="27"/>
      <c r="KH45" s="27"/>
      <c r="KI45" s="27"/>
      <c r="KJ45" s="27"/>
      <c r="KK45" s="27"/>
      <c r="KL45" s="27"/>
      <c r="KM45" s="27"/>
      <c r="KN45" s="27"/>
      <c r="KO45" s="27"/>
      <c r="KP45" s="27"/>
      <c r="KQ45" s="27"/>
      <c r="KR45" s="27"/>
      <c r="KS45" s="27"/>
      <c r="KT45" s="27"/>
      <c r="KU45" s="27"/>
      <c r="KV45" s="27"/>
      <c r="KW45" s="27"/>
      <c r="KX45" s="27"/>
      <c r="KY45" s="27"/>
      <c r="KZ45" s="27"/>
      <c r="LA45" s="27"/>
      <c r="LB45" s="27"/>
      <c r="LC45" s="27"/>
      <c r="LD45" s="27"/>
      <c r="LE45" s="27"/>
      <c r="LF45" s="27"/>
      <c r="LG45" s="27"/>
      <c r="LH45" s="27"/>
      <c r="LI45" s="27"/>
      <c r="LJ45" s="27"/>
      <c r="LK45" s="27"/>
      <c r="LL45" s="27"/>
      <c r="LM45" s="27"/>
      <c r="LN45" s="27"/>
      <c r="LO45" s="27"/>
      <c r="LP45" s="27"/>
      <c r="LQ45" s="27"/>
    </row>
    <row r="46" spans="1:329" s="125" customFormat="1" ht="15" customHeight="1">
      <c r="A46" s="59">
        <v>1100811</v>
      </c>
      <c r="B46" s="128" t="s">
        <v>149</v>
      </c>
      <c r="C46" s="128" t="s">
        <v>150</v>
      </c>
      <c r="D46" s="122">
        <v>0</v>
      </c>
      <c r="E46" s="122">
        <f t="shared" si="0"/>
        <v>0</v>
      </c>
      <c r="F46" s="122">
        <f t="shared" si="1"/>
        <v>0</v>
      </c>
      <c r="G46" s="122"/>
      <c r="H46" s="122"/>
      <c r="I46" s="38" t="s">
        <v>28</v>
      </c>
      <c r="J46" s="54" t="s">
        <v>28</v>
      </c>
      <c r="K46" s="11"/>
      <c r="L46" s="11"/>
      <c r="M46" s="11"/>
      <c r="N46" s="11"/>
      <c r="O46" s="11"/>
      <c r="P46" s="11"/>
      <c r="Q46" s="8"/>
      <c r="R46" s="123">
        <v>7350057584255</v>
      </c>
      <c r="S46" s="129"/>
      <c r="T46" s="129"/>
      <c r="U46" s="129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</row>
    <row r="47" spans="1:329" s="125" customFormat="1" ht="15" customHeight="1">
      <c r="A47" s="59">
        <v>1100813</v>
      </c>
      <c r="B47" s="128" t="s">
        <v>151</v>
      </c>
      <c r="C47" s="128" t="s">
        <v>152</v>
      </c>
      <c r="D47" s="122">
        <v>20</v>
      </c>
      <c r="E47" s="122">
        <f t="shared" si="0"/>
        <v>33.613445378151262</v>
      </c>
      <c r="F47" s="122">
        <f t="shared" si="1"/>
        <v>40</v>
      </c>
      <c r="G47" s="122"/>
      <c r="H47" s="122"/>
      <c r="I47" s="8"/>
      <c r="J47" s="54" t="s">
        <v>28</v>
      </c>
      <c r="K47" s="8"/>
      <c r="L47" s="8"/>
      <c r="M47" s="8"/>
      <c r="N47" s="8"/>
      <c r="O47" s="8"/>
      <c r="P47" s="8"/>
      <c r="Q47" s="8"/>
      <c r="R47" s="123">
        <v>7350057583975</v>
      </c>
      <c r="S47" s="124" t="s">
        <v>91</v>
      </c>
      <c r="T47" s="124">
        <v>4.8</v>
      </c>
      <c r="U47" s="124">
        <v>4.4000000000000004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  <c r="FS47" s="27"/>
      <c r="FT47" s="27"/>
      <c r="FU47" s="27"/>
      <c r="FV47" s="27"/>
      <c r="FW47" s="27"/>
      <c r="FX47" s="27"/>
      <c r="FY47" s="27"/>
      <c r="FZ47" s="27"/>
      <c r="GA47" s="27"/>
      <c r="GB47" s="27"/>
      <c r="GC47" s="27"/>
      <c r="GD47" s="27"/>
      <c r="GE47" s="27"/>
      <c r="GF47" s="27"/>
      <c r="GG47" s="27"/>
      <c r="GH47" s="27"/>
      <c r="GI47" s="27"/>
      <c r="GJ47" s="27"/>
      <c r="GK47" s="27"/>
      <c r="GL47" s="27"/>
      <c r="GM47" s="27"/>
      <c r="GN47" s="27"/>
      <c r="GO47" s="27"/>
      <c r="GP47" s="27"/>
      <c r="GQ47" s="27"/>
      <c r="GR47" s="27"/>
      <c r="GS47" s="27"/>
      <c r="GT47" s="27"/>
      <c r="GU47" s="27"/>
      <c r="GV47" s="27"/>
      <c r="GW47" s="27"/>
      <c r="GX47" s="27"/>
      <c r="GY47" s="27"/>
      <c r="GZ47" s="27"/>
      <c r="HA47" s="27"/>
      <c r="HB47" s="27"/>
      <c r="HC47" s="27"/>
      <c r="HD47" s="27"/>
      <c r="HE47" s="27"/>
      <c r="HF47" s="27"/>
      <c r="HG47" s="27"/>
      <c r="HH47" s="27"/>
      <c r="HI47" s="27"/>
      <c r="HJ47" s="27"/>
      <c r="HK47" s="27"/>
      <c r="HL47" s="27"/>
      <c r="HM47" s="27"/>
      <c r="HN47" s="27"/>
      <c r="HO47" s="27"/>
      <c r="HP47" s="27"/>
      <c r="HQ47" s="27"/>
      <c r="HR47" s="27"/>
      <c r="HS47" s="27"/>
      <c r="HT47" s="27"/>
      <c r="HU47" s="27"/>
      <c r="HV47" s="27"/>
      <c r="HW47" s="27"/>
      <c r="HX47" s="27"/>
      <c r="HY47" s="27"/>
      <c r="HZ47" s="27"/>
      <c r="IA47" s="27"/>
      <c r="IB47" s="27"/>
      <c r="IC47" s="27"/>
      <c r="ID47" s="27"/>
      <c r="IE47" s="27"/>
      <c r="IF47" s="27"/>
      <c r="IG47" s="27"/>
      <c r="IH47" s="27"/>
      <c r="II47" s="27"/>
      <c r="IJ47" s="27"/>
      <c r="IK47" s="27"/>
      <c r="IL47" s="27"/>
      <c r="IM47" s="27"/>
      <c r="IN47" s="27"/>
      <c r="IO47" s="27"/>
      <c r="IP47" s="27"/>
      <c r="IQ47" s="27"/>
      <c r="IR47" s="27"/>
      <c r="IS47" s="27"/>
      <c r="IT47" s="27"/>
      <c r="IU47" s="27"/>
      <c r="IV47" s="27"/>
      <c r="IW47" s="27"/>
      <c r="IX47" s="27"/>
      <c r="IY47" s="27"/>
      <c r="IZ47" s="27"/>
      <c r="JA47" s="27"/>
      <c r="JB47" s="27"/>
      <c r="JC47" s="27"/>
      <c r="JD47" s="27"/>
      <c r="JE47" s="27"/>
      <c r="JF47" s="27"/>
      <c r="JG47" s="27"/>
      <c r="JH47" s="27"/>
      <c r="JI47" s="27"/>
      <c r="JJ47" s="27"/>
      <c r="JK47" s="27"/>
      <c r="JL47" s="27"/>
      <c r="JM47" s="27"/>
      <c r="JN47" s="27"/>
      <c r="JO47" s="27"/>
      <c r="JP47" s="27"/>
      <c r="JQ47" s="27"/>
      <c r="JR47" s="27"/>
      <c r="JS47" s="27"/>
      <c r="JT47" s="27"/>
      <c r="JU47" s="27"/>
      <c r="JV47" s="27"/>
      <c r="JW47" s="27"/>
      <c r="JX47" s="27"/>
      <c r="JY47" s="27"/>
      <c r="JZ47" s="27"/>
      <c r="KA47" s="27"/>
      <c r="KB47" s="27"/>
      <c r="KC47" s="27"/>
      <c r="KD47" s="27"/>
      <c r="KE47" s="27"/>
      <c r="KF47" s="27"/>
      <c r="KG47" s="27"/>
      <c r="KH47" s="27"/>
      <c r="KI47" s="27"/>
      <c r="KJ47" s="27"/>
      <c r="KK47" s="27"/>
      <c r="KL47" s="27"/>
      <c r="KM47" s="27"/>
      <c r="KN47" s="27"/>
      <c r="KO47" s="27"/>
      <c r="KP47" s="27"/>
      <c r="KQ47" s="27"/>
      <c r="KR47" s="27"/>
      <c r="KS47" s="27"/>
      <c r="KT47" s="27"/>
      <c r="KU47" s="27"/>
      <c r="KV47" s="27"/>
      <c r="KW47" s="27"/>
      <c r="KX47" s="27"/>
      <c r="KY47" s="27"/>
      <c r="KZ47" s="27"/>
      <c r="LA47" s="27"/>
      <c r="LB47" s="27"/>
      <c r="LC47" s="27"/>
      <c r="LD47" s="27"/>
      <c r="LE47" s="27"/>
      <c r="LF47" s="27"/>
      <c r="LG47" s="27"/>
      <c r="LH47" s="27"/>
      <c r="LI47" s="27"/>
      <c r="LJ47" s="27"/>
      <c r="LK47" s="27"/>
      <c r="LL47" s="27"/>
      <c r="LM47" s="27"/>
      <c r="LN47" s="27"/>
      <c r="LO47" s="27"/>
      <c r="LP47" s="27"/>
      <c r="LQ47" s="27"/>
    </row>
    <row r="48" spans="1:329" s="125" customFormat="1" ht="15" customHeight="1">
      <c r="A48" s="131">
        <v>1100814</v>
      </c>
      <c r="B48" s="132" t="s">
        <v>153</v>
      </c>
      <c r="C48" s="132" t="s">
        <v>154</v>
      </c>
      <c r="D48" s="122">
        <v>0</v>
      </c>
      <c r="E48" s="122">
        <f t="shared" si="0"/>
        <v>0</v>
      </c>
      <c r="F48" s="122">
        <f t="shared" si="1"/>
        <v>0</v>
      </c>
      <c r="G48" s="122"/>
      <c r="H48" s="122"/>
      <c r="I48" s="38" t="s">
        <v>28</v>
      </c>
      <c r="J48" s="54" t="s">
        <v>28</v>
      </c>
      <c r="K48" s="8"/>
      <c r="L48" s="8"/>
      <c r="M48" s="8"/>
      <c r="N48" s="8"/>
      <c r="O48" s="8"/>
      <c r="P48" s="8"/>
      <c r="Q48" s="8"/>
      <c r="R48" s="123">
        <v>7350057584262</v>
      </c>
      <c r="S48" s="129"/>
      <c r="T48" s="129"/>
      <c r="U48" s="129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</row>
    <row r="49" spans="1:329" s="125" customFormat="1" ht="15" customHeight="1">
      <c r="A49" s="59">
        <v>1100815</v>
      </c>
      <c r="B49" s="128" t="s">
        <v>155</v>
      </c>
      <c r="C49" s="128" t="s">
        <v>156</v>
      </c>
      <c r="D49" s="122">
        <v>12</v>
      </c>
      <c r="E49" s="122">
        <f t="shared" si="0"/>
        <v>20.168067226890756</v>
      </c>
      <c r="F49" s="122">
        <f t="shared" si="1"/>
        <v>24</v>
      </c>
      <c r="G49" s="122"/>
      <c r="H49" s="122"/>
      <c r="I49" s="38" t="s">
        <v>28</v>
      </c>
      <c r="J49" s="11"/>
      <c r="K49" s="11"/>
      <c r="L49" s="11"/>
      <c r="M49" s="11"/>
      <c r="N49" s="11"/>
      <c r="O49" s="11"/>
      <c r="P49" s="11"/>
      <c r="Q49" s="11"/>
      <c r="R49" s="123">
        <v>7350057583753</v>
      </c>
      <c r="S49" s="124" t="s">
        <v>60</v>
      </c>
      <c r="T49" s="124">
        <v>0.5</v>
      </c>
      <c r="U49" s="124">
        <v>0.14000000000000001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  <c r="IO49" s="27"/>
      <c r="IP49" s="27"/>
      <c r="IQ49" s="27"/>
      <c r="IR49" s="27"/>
      <c r="IS49" s="27"/>
      <c r="IT49" s="27"/>
      <c r="IU49" s="27"/>
      <c r="IV49" s="27"/>
      <c r="IW49" s="27"/>
      <c r="IX49" s="27"/>
      <c r="IY49" s="27"/>
      <c r="IZ49" s="27"/>
      <c r="JA49" s="27"/>
      <c r="JB49" s="27"/>
      <c r="JC49" s="27"/>
      <c r="JD49" s="27"/>
      <c r="JE49" s="27"/>
      <c r="JF49" s="27"/>
      <c r="JG49" s="27"/>
      <c r="JH49" s="27"/>
      <c r="JI49" s="27"/>
      <c r="JJ49" s="27"/>
      <c r="JK49" s="27"/>
      <c r="JL49" s="27"/>
      <c r="JM49" s="27"/>
      <c r="JN49" s="27"/>
      <c r="JO49" s="27"/>
      <c r="JP49" s="27"/>
      <c r="JQ49" s="27"/>
      <c r="JR49" s="27"/>
      <c r="JS49" s="27"/>
      <c r="JT49" s="27"/>
      <c r="JU49" s="27"/>
      <c r="JV49" s="27"/>
      <c r="JW49" s="27"/>
      <c r="JX49" s="27"/>
      <c r="JY49" s="27"/>
      <c r="JZ49" s="27"/>
      <c r="KA49" s="27"/>
      <c r="KB49" s="27"/>
      <c r="KC49" s="27"/>
      <c r="KD49" s="27"/>
      <c r="KE49" s="27"/>
      <c r="KF49" s="27"/>
      <c r="KG49" s="27"/>
      <c r="KH49" s="27"/>
      <c r="KI49" s="27"/>
      <c r="KJ49" s="27"/>
      <c r="KK49" s="27"/>
      <c r="KL49" s="27"/>
      <c r="KM49" s="27"/>
      <c r="KN49" s="27"/>
      <c r="KO49" s="27"/>
      <c r="KP49" s="27"/>
      <c r="KQ49" s="27"/>
      <c r="KR49" s="27"/>
      <c r="KS49" s="27"/>
      <c r="KT49" s="27"/>
      <c r="KU49" s="27"/>
      <c r="KV49" s="27"/>
      <c r="KW49" s="27"/>
      <c r="KX49" s="27"/>
      <c r="KY49" s="27"/>
      <c r="KZ49" s="27"/>
      <c r="LA49" s="27"/>
      <c r="LB49" s="27"/>
      <c r="LC49" s="27"/>
      <c r="LD49" s="27"/>
      <c r="LE49" s="27"/>
      <c r="LF49" s="27"/>
      <c r="LG49" s="27"/>
      <c r="LH49" s="27"/>
      <c r="LI49" s="27"/>
      <c r="LJ49" s="27"/>
      <c r="LK49" s="27"/>
      <c r="LL49" s="27"/>
      <c r="LM49" s="27"/>
      <c r="LN49" s="27"/>
      <c r="LO49" s="27"/>
      <c r="LP49" s="27"/>
      <c r="LQ49" s="27"/>
    </row>
    <row r="50" spans="1:329" s="125" customFormat="1" ht="15" customHeight="1">
      <c r="A50" s="33">
        <v>1100816</v>
      </c>
      <c r="B50" s="61" t="s">
        <v>157</v>
      </c>
      <c r="C50" s="213" t="s">
        <v>158</v>
      </c>
      <c r="D50" s="122">
        <v>5</v>
      </c>
      <c r="E50" s="122">
        <f t="shared" si="0"/>
        <v>8.4033613445378155</v>
      </c>
      <c r="F50" s="122">
        <f t="shared" si="1"/>
        <v>10</v>
      </c>
      <c r="G50" s="122"/>
      <c r="H50" s="122"/>
      <c r="I50" s="8"/>
      <c r="J50" s="11"/>
      <c r="K50" s="54" t="s">
        <v>28</v>
      </c>
      <c r="L50" s="11"/>
      <c r="M50" s="11"/>
      <c r="N50" s="54" t="s">
        <v>28</v>
      </c>
      <c r="O50" s="11"/>
      <c r="P50" s="11"/>
      <c r="Q50" s="11"/>
      <c r="R50" s="123">
        <v>7350057584064</v>
      </c>
      <c r="S50" s="124" t="s">
        <v>105</v>
      </c>
      <c r="T50" s="124">
        <v>0.61</v>
      </c>
      <c r="U50" s="124">
        <v>0.4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329" s="125" customFormat="1" ht="15" customHeight="1">
      <c r="A51" s="33">
        <v>1100817</v>
      </c>
      <c r="B51" s="61" t="s">
        <v>159</v>
      </c>
      <c r="C51" s="213" t="s">
        <v>160</v>
      </c>
      <c r="D51" s="122">
        <v>16</v>
      </c>
      <c r="E51" s="122">
        <f t="shared" si="0"/>
        <v>26.890756302521009</v>
      </c>
      <c r="F51" s="122">
        <f t="shared" si="1"/>
        <v>32</v>
      </c>
      <c r="G51" s="122"/>
      <c r="H51" s="122"/>
      <c r="I51" s="8"/>
      <c r="J51" s="11"/>
      <c r="K51" s="54" t="s">
        <v>28</v>
      </c>
      <c r="L51" s="54" t="s">
        <v>28</v>
      </c>
      <c r="M51" s="11"/>
      <c r="N51" s="11"/>
      <c r="O51" s="11"/>
      <c r="P51" s="11"/>
      <c r="Q51" s="11"/>
      <c r="R51" s="123">
        <v>7350057584040</v>
      </c>
      <c r="S51" s="124" t="s">
        <v>68</v>
      </c>
      <c r="T51" s="124">
        <v>2</v>
      </c>
      <c r="U51" s="124">
        <v>1.83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  <c r="FS51" s="27"/>
      <c r="FT51" s="27"/>
      <c r="FU51" s="27"/>
      <c r="FV51" s="27"/>
      <c r="FW51" s="27"/>
      <c r="FX51" s="27"/>
      <c r="FY51" s="27"/>
      <c r="FZ51" s="27"/>
      <c r="GA51" s="27"/>
      <c r="GB51" s="27"/>
      <c r="GC51" s="27"/>
      <c r="GD51" s="27"/>
      <c r="GE51" s="27"/>
      <c r="GF51" s="27"/>
      <c r="GG51" s="27"/>
      <c r="GH51" s="27"/>
      <c r="GI51" s="27"/>
      <c r="GJ51" s="27"/>
      <c r="GK51" s="27"/>
      <c r="GL51" s="27"/>
      <c r="GM51" s="27"/>
      <c r="GN51" s="27"/>
      <c r="GO51" s="27"/>
      <c r="GP51" s="27"/>
      <c r="GQ51" s="27"/>
      <c r="GR51" s="27"/>
      <c r="GS51" s="27"/>
      <c r="GT51" s="27"/>
      <c r="GU51" s="27"/>
      <c r="GV51" s="27"/>
      <c r="GW51" s="27"/>
      <c r="GX51" s="27"/>
      <c r="GY51" s="27"/>
      <c r="GZ51" s="27"/>
      <c r="HA51" s="27"/>
      <c r="HB51" s="27"/>
      <c r="HC51" s="27"/>
      <c r="HD51" s="27"/>
      <c r="HE51" s="27"/>
      <c r="HF51" s="27"/>
      <c r="HG51" s="27"/>
      <c r="HH51" s="27"/>
      <c r="HI51" s="27"/>
      <c r="HJ51" s="27"/>
      <c r="HK51" s="27"/>
      <c r="HL51" s="27"/>
      <c r="HM51" s="27"/>
      <c r="HN51" s="27"/>
      <c r="HO51" s="27"/>
      <c r="HP51" s="27"/>
      <c r="HQ51" s="27"/>
      <c r="HR51" s="27"/>
      <c r="HS51" s="27"/>
      <c r="HT51" s="27"/>
      <c r="HU51" s="27"/>
      <c r="HV51" s="27"/>
      <c r="HW51" s="27"/>
      <c r="HX51" s="27"/>
      <c r="HY51" s="27"/>
      <c r="HZ51" s="27"/>
      <c r="IA51" s="27"/>
      <c r="IB51" s="27"/>
      <c r="IC51" s="27"/>
      <c r="ID51" s="27"/>
      <c r="IE51" s="27"/>
      <c r="IF51" s="27"/>
      <c r="IG51" s="27"/>
      <c r="IH51" s="27"/>
      <c r="II51" s="27"/>
      <c r="IJ51" s="27"/>
      <c r="IK51" s="27"/>
      <c r="IL51" s="27"/>
      <c r="IM51" s="27"/>
      <c r="IN51" s="27"/>
      <c r="IO51" s="27"/>
      <c r="IP51" s="27"/>
      <c r="IQ51" s="27"/>
      <c r="IR51" s="27"/>
      <c r="IS51" s="27"/>
      <c r="IT51" s="27"/>
      <c r="IU51" s="27"/>
      <c r="IV51" s="27"/>
      <c r="IW51" s="27"/>
      <c r="IX51" s="27"/>
      <c r="IY51" s="27"/>
      <c r="IZ51" s="27"/>
      <c r="JA51" s="27"/>
      <c r="JB51" s="27"/>
      <c r="JC51" s="27"/>
      <c r="JD51" s="27"/>
      <c r="JE51" s="27"/>
      <c r="JF51" s="27"/>
      <c r="JG51" s="27"/>
      <c r="JH51" s="27"/>
      <c r="JI51" s="27"/>
      <c r="JJ51" s="27"/>
      <c r="JK51" s="27"/>
      <c r="JL51" s="27"/>
      <c r="JM51" s="27"/>
      <c r="JN51" s="27"/>
      <c r="JO51" s="27"/>
      <c r="JP51" s="27"/>
      <c r="JQ51" s="27"/>
      <c r="JR51" s="27"/>
      <c r="JS51" s="27"/>
      <c r="JT51" s="27"/>
      <c r="JU51" s="27"/>
      <c r="JV51" s="27"/>
      <c r="JW51" s="27"/>
      <c r="JX51" s="27"/>
      <c r="JY51" s="27"/>
      <c r="JZ51" s="27"/>
      <c r="KA51" s="27"/>
      <c r="KB51" s="27"/>
      <c r="KC51" s="27"/>
      <c r="KD51" s="27"/>
      <c r="KE51" s="27"/>
      <c r="KF51" s="27"/>
      <c r="KG51" s="27"/>
      <c r="KH51" s="27"/>
      <c r="KI51" s="27"/>
      <c r="KJ51" s="27"/>
      <c r="KK51" s="27"/>
      <c r="KL51" s="27"/>
      <c r="KM51" s="27"/>
      <c r="KN51" s="27"/>
      <c r="KO51" s="27"/>
      <c r="KP51" s="27"/>
      <c r="KQ51" s="27"/>
      <c r="KR51" s="27"/>
      <c r="KS51" s="27"/>
      <c r="KT51" s="27"/>
      <c r="KU51" s="27"/>
      <c r="KV51" s="27"/>
      <c r="KW51" s="27"/>
      <c r="KX51" s="27"/>
      <c r="KY51" s="27"/>
      <c r="KZ51" s="27"/>
      <c r="LA51" s="27"/>
      <c r="LB51" s="27"/>
      <c r="LC51" s="27"/>
      <c r="LD51" s="27"/>
      <c r="LE51" s="27"/>
      <c r="LF51" s="27"/>
      <c r="LG51" s="27"/>
      <c r="LH51" s="27"/>
      <c r="LI51" s="27"/>
      <c r="LJ51" s="27"/>
      <c r="LK51" s="27"/>
      <c r="LL51" s="27"/>
      <c r="LM51" s="27"/>
      <c r="LN51" s="27"/>
      <c r="LO51" s="27"/>
      <c r="LP51" s="27"/>
      <c r="LQ51" s="27"/>
    </row>
    <row r="52" spans="1:329" s="125" customFormat="1" ht="15" customHeight="1">
      <c r="A52" s="131">
        <v>1100824</v>
      </c>
      <c r="B52" s="132" t="s">
        <v>161</v>
      </c>
      <c r="C52" s="132" t="s">
        <v>162</v>
      </c>
      <c r="D52" s="122">
        <v>40</v>
      </c>
      <c r="E52" s="122">
        <f t="shared" si="0"/>
        <v>67.226890756302524</v>
      </c>
      <c r="F52" s="122">
        <f t="shared" si="1"/>
        <v>80</v>
      </c>
      <c r="G52" s="122"/>
      <c r="H52" s="122"/>
      <c r="I52" s="38"/>
      <c r="J52" s="54" t="s">
        <v>28</v>
      </c>
      <c r="K52" s="11"/>
      <c r="L52" s="11"/>
      <c r="M52" s="11"/>
      <c r="N52" s="11"/>
      <c r="O52" s="11"/>
      <c r="P52" s="11"/>
      <c r="Q52" s="11"/>
      <c r="R52" s="123">
        <v>7350057583074</v>
      </c>
      <c r="S52" s="124" t="s">
        <v>63</v>
      </c>
      <c r="T52" s="124">
        <v>2.25</v>
      </c>
      <c r="U52" s="124">
        <v>1.5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329" s="125" customFormat="1" ht="15" customHeight="1">
      <c r="A53" s="131">
        <v>1100827</v>
      </c>
      <c r="B53" s="132" t="s">
        <v>163</v>
      </c>
      <c r="C53" s="132" t="s">
        <v>164</v>
      </c>
      <c r="D53" s="122">
        <v>40</v>
      </c>
      <c r="E53" s="122">
        <f t="shared" si="0"/>
        <v>67.226890756302524</v>
      </c>
      <c r="F53" s="122">
        <f t="shared" si="1"/>
        <v>80</v>
      </c>
      <c r="G53" s="122"/>
      <c r="H53" s="122"/>
      <c r="I53" s="38"/>
      <c r="J53" s="54" t="s">
        <v>28</v>
      </c>
      <c r="K53" s="11"/>
      <c r="L53" s="11"/>
      <c r="M53" s="11"/>
      <c r="N53" s="11"/>
      <c r="O53" s="11"/>
      <c r="P53" s="11"/>
      <c r="Q53" s="11"/>
      <c r="R53" s="123">
        <v>7350057583081</v>
      </c>
      <c r="S53" s="124" t="s">
        <v>63</v>
      </c>
      <c r="T53" s="124">
        <v>2.25</v>
      </c>
      <c r="U53" s="124">
        <v>1.5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329" s="125" customFormat="1" ht="15" customHeight="1">
      <c r="A54" s="131">
        <v>1100829</v>
      </c>
      <c r="B54" s="132" t="s">
        <v>165</v>
      </c>
      <c r="C54" s="132" t="s">
        <v>166</v>
      </c>
      <c r="D54" s="122">
        <v>40</v>
      </c>
      <c r="E54" s="122">
        <f t="shared" si="0"/>
        <v>67.226890756302524</v>
      </c>
      <c r="F54" s="122">
        <f t="shared" si="1"/>
        <v>80</v>
      </c>
      <c r="G54" s="122"/>
      <c r="H54" s="122"/>
      <c r="I54" s="38"/>
      <c r="J54" s="38" t="s">
        <v>28</v>
      </c>
      <c r="K54" s="11"/>
      <c r="L54" s="11"/>
      <c r="M54" s="11"/>
      <c r="N54" s="11"/>
      <c r="O54" s="11"/>
      <c r="P54" s="11"/>
      <c r="Q54" s="11"/>
      <c r="R54" s="123">
        <v>7350057583098</v>
      </c>
      <c r="S54" s="124" t="s">
        <v>63</v>
      </c>
      <c r="T54" s="124">
        <v>2.25</v>
      </c>
      <c r="U54" s="124">
        <v>1.5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329" s="125" customFormat="1" ht="15" customHeight="1">
      <c r="A55" s="131">
        <v>1100831</v>
      </c>
      <c r="B55" s="132" t="s">
        <v>167</v>
      </c>
      <c r="C55" s="132" t="s">
        <v>168</v>
      </c>
      <c r="D55" s="122">
        <v>40</v>
      </c>
      <c r="E55" s="122">
        <f t="shared" si="0"/>
        <v>67.226890756302524</v>
      </c>
      <c r="F55" s="122">
        <f t="shared" si="1"/>
        <v>80</v>
      </c>
      <c r="G55" s="122"/>
      <c r="H55" s="122"/>
      <c r="I55" s="38"/>
      <c r="J55" s="54" t="s">
        <v>28</v>
      </c>
      <c r="K55" s="8"/>
      <c r="L55" s="11"/>
      <c r="M55" s="11"/>
      <c r="N55" s="11"/>
      <c r="O55" s="11"/>
      <c r="P55" s="11"/>
      <c r="Q55" s="11"/>
      <c r="R55" s="123">
        <v>7350057583104</v>
      </c>
      <c r="S55" s="124" t="s">
        <v>63</v>
      </c>
      <c r="T55" s="124">
        <v>2.25</v>
      </c>
      <c r="U55" s="124">
        <v>1.5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329" s="125" customFormat="1" ht="15" customHeight="1">
      <c r="A56" s="33">
        <v>1100834</v>
      </c>
      <c r="B56" s="61" t="s">
        <v>169</v>
      </c>
      <c r="C56" s="61" t="s">
        <v>170</v>
      </c>
      <c r="D56" s="122">
        <v>13</v>
      </c>
      <c r="E56" s="122">
        <f t="shared" si="0"/>
        <v>21.84873949579832</v>
      </c>
      <c r="F56" s="122">
        <f t="shared" si="1"/>
        <v>26</v>
      </c>
      <c r="G56" s="122"/>
      <c r="H56" s="122"/>
      <c r="I56" s="38" t="s">
        <v>28</v>
      </c>
      <c r="J56" s="11"/>
      <c r="K56" s="38" t="s">
        <v>28</v>
      </c>
      <c r="L56" s="54"/>
      <c r="M56" s="54"/>
      <c r="N56" s="11"/>
      <c r="O56" s="11"/>
      <c r="P56" s="54"/>
      <c r="Q56" s="54"/>
      <c r="R56" s="123">
        <v>7350057584095</v>
      </c>
      <c r="S56" s="124" t="s">
        <v>171</v>
      </c>
      <c r="T56" s="124">
        <v>1.6</v>
      </c>
      <c r="U56" s="124">
        <v>1.55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/>
      <c r="IE56" s="27"/>
      <c r="IF56" s="27"/>
      <c r="IG56" s="27"/>
      <c r="IH56" s="27"/>
      <c r="II56" s="27"/>
      <c r="IJ56" s="27"/>
      <c r="IK56" s="27"/>
      <c r="IL56" s="27"/>
      <c r="IM56" s="27"/>
      <c r="IN56" s="27"/>
      <c r="IO56" s="27"/>
      <c r="IP56" s="27"/>
      <c r="IQ56" s="27"/>
      <c r="IR56" s="27"/>
      <c r="IS56" s="27"/>
      <c r="IT56" s="27"/>
      <c r="IU56" s="27"/>
      <c r="IV56" s="27"/>
      <c r="IW56" s="27"/>
      <c r="IX56" s="27"/>
      <c r="IY56" s="27"/>
      <c r="IZ56" s="27"/>
      <c r="JA56" s="27"/>
      <c r="JB56" s="27"/>
      <c r="JC56" s="27"/>
      <c r="JD56" s="27"/>
      <c r="JE56" s="27"/>
      <c r="JF56" s="27"/>
      <c r="JG56" s="27"/>
      <c r="JH56" s="27"/>
      <c r="JI56" s="27"/>
      <c r="JJ56" s="27"/>
      <c r="JK56" s="27"/>
      <c r="JL56" s="27"/>
      <c r="JM56" s="27"/>
      <c r="JN56" s="27"/>
      <c r="JO56" s="27"/>
      <c r="JP56" s="27"/>
      <c r="JQ56" s="27"/>
      <c r="JR56" s="27"/>
      <c r="JS56" s="27"/>
      <c r="JT56" s="27"/>
      <c r="JU56" s="27"/>
      <c r="JV56" s="27"/>
      <c r="JW56" s="27"/>
      <c r="JX56" s="27"/>
      <c r="JY56" s="27"/>
      <c r="JZ56" s="27"/>
      <c r="KA56" s="27"/>
      <c r="KB56" s="27"/>
      <c r="KC56" s="27"/>
      <c r="KD56" s="27"/>
      <c r="KE56" s="27"/>
      <c r="KF56" s="27"/>
      <c r="KG56" s="27"/>
      <c r="KH56" s="27"/>
      <c r="KI56" s="27"/>
      <c r="KJ56" s="27"/>
      <c r="KK56" s="27"/>
      <c r="KL56" s="27"/>
      <c r="KM56" s="27"/>
      <c r="KN56" s="27"/>
      <c r="KO56" s="27"/>
      <c r="KP56" s="27"/>
      <c r="KQ56" s="27"/>
      <c r="KR56" s="27"/>
      <c r="KS56" s="27"/>
      <c r="KT56" s="27"/>
      <c r="KU56" s="27"/>
      <c r="KV56" s="27"/>
      <c r="KW56" s="27"/>
      <c r="KX56" s="27"/>
      <c r="KY56" s="27"/>
      <c r="KZ56" s="27"/>
      <c r="LA56" s="27"/>
      <c r="LB56" s="27"/>
      <c r="LC56" s="27"/>
      <c r="LD56" s="27"/>
      <c r="LE56" s="27"/>
      <c r="LF56" s="27"/>
      <c r="LG56" s="27"/>
      <c r="LH56" s="27"/>
      <c r="LI56" s="27"/>
      <c r="LJ56" s="27"/>
      <c r="LK56" s="27"/>
      <c r="LL56" s="27"/>
      <c r="LM56" s="27"/>
      <c r="LN56" s="27"/>
      <c r="LO56" s="27"/>
      <c r="LP56" s="27"/>
      <c r="LQ56" s="27"/>
    </row>
    <row r="57" spans="1:329" s="125" customFormat="1" ht="15" customHeight="1">
      <c r="A57" s="131">
        <v>1100836</v>
      </c>
      <c r="B57" s="132" t="s">
        <v>172</v>
      </c>
      <c r="C57" s="132" t="s">
        <v>162</v>
      </c>
      <c r="D57" s="122">
        <v>40</v>
      </c>
      <c r="E57" s="122">
        <f t="shared" si="0"/>
        <v>67.226890756302524</v>
      </c>
      <c r="F57" s="122">
        <f t="shared" si="1"/>
        <v>80</v>
      </c>
      <c r="G57" s="122"/>
      <c r="H57" s="122"/>
      <c r="I57" s="38" t="s">
        <v>28</v>
      </c>
      <c r="J57" s="11"/>
      <c r="K57" s="8"/>
      <c r="L57" s="11"/>
      <c r="M57" s="11"/>
      <c r="N57" s="11"/>
      <c r="O57" s="11"/>
      <c r="P57" s="11"/>
      <c r="Q57" s="11"/>
      <c r="R57" s="123">
        <v>7350057583029</v>
      </c>
      <c r="S57" s="124" t="s">
        <v>63</v>
      </c>
      <c r="T57" s="124">
        <v>3.7</v>
      </c>
      <c r="U57" s="124">
        <v>2.95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329" s="125" customFormat="1" ht="15" customHeight="1">
      <c r="A58" s="131">
        <v>1100839</v>
      </c>
      <c r="B58" s="127" t="s">
        <v>173</v>
      </c>
      <c r="C58" s="127" t="s">
        <v>174</v>
      </c>
      <c r="D58" s="122">
        <v>3</v>
      </c>
      <c r="E58" s="122">
        <f t="shared" si="0"/>
        <v>5.0420168067226889</v>
      </c>
      <c r="F58" s="122">
        <f t="shared" si="1"/>
        <v>6</v>
      </c>
      <c r="G58" s="122"/>
      <c r="H58" s="122"/>
      <c r="I58" s="38" t="s">
        <v>28</v>
      </c>
      <c r="J58" s="11"/>
      <c r="K58" s="38" t="s">
        <v>28</v>
      </c>
      <c r="L58" s="11"/>
      <c r="M58" s="11"/>
      <c r="N58" s="11"/>
      <c r="O58" s="11"/>
      <c r="P58" s="11"/>
      <c r="Q58" s="11"/>
      <c r="R58" s="123">
        <v>7350057583579</v>
      </c>
      <c r="S58" s="124" t="s">
        <v>105</v>
      </c>
      <c r="T58" s="124">
        <v>0.67</v>
      </c>
      <c r="U58" s="124">
        <v>0.45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329" s="125" customFormat="1" ht="15" customHeight="1">
      <c r="A59" s="131">
        <v>1100841</v>
      </c>
      <c r="B59" s="132" t="s">
        <v>175</v>
      </c>
      <c r="C59" s="132" t="s">
        <v>164</v>
      </c>
      <c r="D59" s="122">
        <v>40</v>
      </c>
      <c r="E59" s="122">
        <f t="shared" si="0"/>
        <v>67.226890756302524</v>
      </c>
      <c r="F59" s="122">
        <f t="shared" si="1"/>
        <v>80</v>
      </c>
      <c r="G59" s="122"/>
      <c r="H59" s="122"/>
      <c r="I59" s="38" t="s">
        <v>28</v>
      </c>
      <c r="J59" s="11"/>
      <c r="K59" s="8"/>
      <c r="L59" s="11"/>
      <c r="M59" s="11"/>
      <c r="N59" s="11"/>
      <c r="O59" s="11"/>
      <c r="P59" s="11"/>
      <c r="Q59" s="11"/>
      <c r="R59" s="123">
        <v>7350057583036</v>
      </c>
      <c r="S59" s="124" t="s">
        <v>63</v>
      </c>
      <c r="T59" s="124">
        <v>3.7</v>
      </c>
      <c r="U59" s="124">
        <v>2.95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329" s="125" customFormat="1" ht="15" customHeight="1">
      <c r="A60" s="131">
        <v>1100844</v>
      </c>
      <c r="B60" s="127" t="s">
        <v>176</v>
      </c>
      <c r="C60" s="127" t="s">
        <v>177</v>
      </c>
      <c r="D60" s="122">
        <v>3</v>
      </c>
      <c r="E60" s="122">
        <f t="shared" si="0"/>
        <v>5.0420168067226889</v>
      </c>
      <c r="F60" s="122">
        <f t="shared" si="1"/>
        <v>6</v>
      </c>
      <c r="G60" s="122"/>
      <c r="H60" s="122"/>
      <c r="I60" s="38" t="s">
        <v>28</v>
      </c>
      <c r="J60" s="11"/>
      <c r="K60" s="38" t="s">
        <v>28</v>
      </c>
      <c r="L60" s="38" t="s">
        <v>28</v>
      </c>
      <c r="M60" s="38" t="s">
        <v>28</v>
      </c>
      <c r="N60" s="11"/>
      <c r="O60" s="11"/>
      <c r="P60" s="54" t="s">
        <v>28</v>
      </c>
      <c r="Q60" s="54" t="s">
        <v>28</v>
      </c>
      <c r="R60" s="123">
        <v>7350057583586</v>
      </c>
      <c r="S60" s="124" t="s">
        <v>105</v>
      </c>
      <c r="T60" s="124">
        <v>0.67</v>
      </c>
      <c r="U60" s="124">
        <v>0.45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329" s="125" customFormat="1" ht="15" customHeight="1">
      <c r="A61" s="131">
        <v>1100846</v>
      </c>
      <c r="B61" s="132" t="s">
        <v>178</v>
      </c>
      <c r="C61" s="132" t="s">
        <v>166</v>
      </c>
      <c r="D61" s="122">
        <v>40</v>
      </c>
      <c r="E61" s="122">
        <f t="shared" si="0"/>
        <v>67.226890756302524</v>
      </c>
      <c r="F61" s="122">
        <f t="shared" si="1"/>
        <v>80</v>
      </c>
      <c r="G61" s="122"/>
      <c r="H61" s="122"/>
      <c r="I61" s="38" t="s">
        <v>28</v>
      </c>
      <c r="J61" s="11"/>
      <c r="K61" s="8"/>
      <c r="L61" s="8"/>
      <c r="M61" s="8"/>
      <c r="N61" s="8"/>
      <c r="O61" s="8"/>
      <c r="P61" s="11"/>
      <c r="Q61" s="11"/>
      <c r="R61" s="123">
        <v>7350057583043</v>
      </c>
      <c r="S61" s="124" t="s">
        <v>63</v>
      </c>
      <c r="T61" s="124">
        <v>3.7</v>
      </c>
      <c r="U61" s="124">
        <v>2.95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329" s="125" customFormat="1" ht="15" customHeight="1">
      <c r="A62" s="131">
        <v>1100849</v>
      </c>
      <c r="B62" s="127" t="s">
        <v>179</v>
      </c>
      <c r="C62" s="127" t="s">
        <v>180</v>
      </c>
      <c r="D62" s="122">
        <v>3</v>
      </c>
      <c r="E62" s="122">
        <f t="shared" si="0"/>
        <v>5.0420168067226889</v>
      </c>
      <c r="F62" s="122">
        <f t="shared" si="1"/>
        <v>6</v>
      </c>
      <c r="G62" s="122"/>
      <c r="H62" s="122"/>
      <c r="I62" s="38" t="s">
        <v>28</v>
      </c>
      <c r="J62" s="11"/>
      <c r="K62" s="38" t="s">
        <v>28</v>
      </c>
      <c r="L62" s="8"/>
      <c r="M62" s="8"/>
      <c r="N62" s="11"/>
      <c r="O62" s="8"/>
      <c r="P62" s="8"/>
      <c r="Q62" s="8"/>
      <c r="R62" s="123">
        <v>7350057583593</v>
      </c>
      <c r="S62" s="124" t="s">
        <v>105</v>
      </c>
      <c r="T62" s="124">
        <v>0.67</v>
      </c>
      <c r="U62" s="124">
        <v>0.45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329" s="125" customFormat="1" ht="15" customHeight="1">
      <c r="A63" s="131">
        <v>1100851</v>
      </c>
      <c r="B63" s="132" t="s">
        <v>181</v>
      </c>
      <c r="C63" s="132" t="s">
        <v>168</v>
      </c>
      <c r="D63" s="122">
        <v>40</v>
      </c>
      <c r="E63" s="122">
        <f t="shared" si="0"/>
        <v>67.226890756302524</v>
      </c>
      <c r="F63" s="122">
        <f t="shared" si="1"/>
        <v>80</v>
      </c>
      <c r="G63" s="122"/>
      <c r="H63" s="122"/>
      <c r="I63" s="38" t="s">
        <v>28</v>
      </c>
      <c r="J63" s="11"/>
      <c r="K63" s="8"/>
      <c r="L63" s="11"/>
      <c r="M63" s="11"/>
      <c r="N63" s="11"/>
      <c r="O63" s="11"/>
      <c r="P63" s="11"/>
      <c r="Q63" s="11"/>
      <c r="R63" s="123">
        <v>7350057583050</v>
      </c>
      <c r="S63" s="124" t="s">
        <v>63</v>
      </c>
      <c r="T63" s="124">
        <v>3.7</v>
      </c>
      <c r="U63" s="124">
        <v>2.95</v>
      </c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329" s="125" customFormat="1" ht="15" customHeight="1">
      <c r="A64" s="131">
        <v>1100854</v>
      </c>
      <c r="B64" s="127" t="s">
        <v>182</v>
      </c>
      <c r="C64" s="127" t="s">
        <v>183</v>
      </c>
      <c r="D64" s="122">
        <v>2</v>
      </c>
      <c r="E64" s="122">
        <f t="shared" si="0"/>
        <v>3.3613445378151261</v>
      </c>
      <c r="F64" s="122">
        <f t="shared" si="1"/>
        <v>4</v>
      </c>
      <c r="G64" s="122"/>
      <c r="H64" s="122"/>
      <c r="I64" s="38" t="s">
        <v>28</v>
      </c>
      <c r="J64" s="11"/>
      <c r="K64" s="38" t="s">
        <v>28</v>
      </c>
      <c r="L64" s="11"/>
      <c r="M64" s="11"/>
      <c r="N64" s="11"/>
      <c r="O64" s="11"/>
      <c r="P64" s="11"/>
      <c r="Q64" s="11"/>
      <c r="R64" s="123">
        <v>7350057583609</v>
      </c>
      <c r="S64" s="124" t="s">
        <v>105</v>
      </c>
      <c r="T64" s="124">
        <v>0.71</v>
      </c>
      <c r="U64" s="124">
        <v>0.49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329" s="125" customFormat="1" ht="15" customHeight="1">
      <c r="A65" s="131">
        <v>1100856</v>
      </c>
      <c r="B65" s="132" t="s">
        <v>184</v>
      </c>
      <c r="C65" s="132" t="s">
        <v>185</v>
      </c>
      <c r="D65" s="122">
        <v>0</v>
      </c>
      <c r="E65" s="122">
        <f t="shared" si="0"/>
        <v>0</v>
      </c>
      <c r="F65" s="122">
        <f t="shared" si="1"/>
        <v>0</v>
      </c>
      <c r="G65" s="122"/>
      <c r="H65" s="122"/>
      <c r="I65" s="38" t="s">
        <v>28</v>
      </c>
      <c r="J65" s="54" t="s">
        <v>28</v>
      </c>
      <c r="K65" s="8"/>
      <c r="L65" s="11"/>
      <c r="M65" s="11"/>
      <c r="N65" s="11"/>
      <c r="O65" s="11"/>
      <c r="P65" s="11"/>
      <c r="Q65" s="11"/>
      <c r="R65" s="123">
        <v>7350057584279</v>
      </c>
      <c r="S65" s="129"/>
      <c r="T65" s="129"/>
      <c r="U65" s="129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</row>
    <row r="66" spans="1:329" s="125" customFormat="1" ht="15" customHeight="1">
      <c r="A66" s="33">
        <v>1100859</v>
      </c>
      <c r="B66" s="61" t="s">
        <v>186</v>
      </c>
      <c r="C66" s="61" t="s">
        <v>187</v>
      </c>
      <c r="D66" s="122">
        <v>5</v>
      </c>
      <c r="E66" s="122">
        <f t="shared" si="0"/>
        <v>8.4033613445378155</v>
      </c>
      <c r="F66" s="122">
        <f t="shared" si="1"/>
        <v>10</v>
      </c>
      <c r="G66" s="122"/>
      <c r="H66" s="122"/>
      <c r="I66" s="38" t="s">
        <v>28</v>
      </c>
      <c r="J66" s="11"/>
      <c r="K66" s="38"/>
      <c r="L66" s="11"/>
      <c r="M66" s="11"/>
      <c r="N66" s="54"/>
      <c r="O66" s="11"/>
      <c r="P66" s="11"/>
      <c r="Q66" s="11"/>
      <c r="R66" s="123">
        <v>7350057584071</v>
      </c>
      <c r="S66" s="124" t="s">
        <v>105</v>
      </c>
      <c r="T66" s="124">
        <v>0.8</v>
      </c>
      <c r="U66" s="124">
        <v>0.57999999999999996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329" s="125" customFormat="1" ht="15" customHeight="1">
      <c r="A67" s="33">
        <v>1100939</v>
      </c>
      <c r="B67" s="61" t="s">
        <v>188</v>
      </c>
      <c r="C67" s="61" t="s">
        <v>189</v>
      </c>
      <c r="D67" s="122">
        <v>3</v>
      </c>
      <c r="E67" s="122">
        <f t="shared" si="0"/>
        <v>5.0420168067226889</v>
      </c>
      <c r="F67" s="122">
        <f t="shared" si="1"/>
        <v>6</v>
      </c>
      <c r="G67" s="122"/>
      <c r="H67" s="122"/>
      <c r="I67" s="8"/>
      <c r="J67" s="11"/>
      <c r="K67" s="38" t="s">
        <v>28</v>
      </c>
      <c r="L67" s="11"/>
      <c r="M67" s="11"/>
      <c r="N67" s="54" t="s">
        <v>28</v>
      </c>
      <c r="O67" s="11"/>
      <c r="P67" s="11"/>
      <c r="Q67" s="11"/>
      <c r="R67" s="123">
        <v>7350057583890</v>
      </c>
      <c r="S67" s="124" t="s">
        <v>54</v>
      </c>
      <c r="T67" s="124">
        <v>0.34</v>
      </c>
      <c r="U67" s="124">
        <v>0.26</v>
      </c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329" s="125" customFormat="1" ht="15" customHeight="1">
      <c r="A68" s="126">
        <v>1100960</v>
      </c>
      <c r="B68" s="127" t="s">
        <v>190</v>
      </c>
      <c r="C68" s="216" t="s">
        <v>191</v>
      </c>
      <c r="D68" s="122">
        <v>10</v>
      </c>
      <c r="E68" s="122">
        <f t="shared" ref="E68:E131" si="2">F68/1.19</f>
        <v>16.806722689075631</v>
      </c>
      <c r="F68" s="122">
        <f t="shared" ref="F68:F131" si="3">D68*2</f>
        <v>20</v>
      </c>
      <c r="G68" s="122"/>
      <c r="H68" s="122"/>
      <c r="I68" s="8"/>
      <c r="J68" s="11"/>
      <c r="K68" s="38" t="s">
        <v>28</v>
      </c>
      <c r="L68" s="11"/>
      <c r="M68" s="11"/>
      <c r="N68" s="11"/>
      <c r="O68" s="11"/>
      <c r="P68" s="11"/>
      <c r="Q68" s="11"/>
      <c r="R68" s="123">
        <v>7350057583661</v>
      </c>
      <c r="S68" s="124" t="s">
        <v>192</v>
      </c>
      <c r="T68" s="124">
        <v>0.45</v>
      </c>
      <c r="U68" s="124">
        <v>0.24</v>
      </c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329" s="125" customFormat="1" ht="15" customHeight="1">
      <c r="A69" s="126">
        <v>1100961</v>
      </c>
      <c r="B69" s="132" t="s">
        <v>193</v>
      </c>
      <c r="C69" s="214" t="s">
        <v>194</v>
      </c>
      <c r="D69" s="122">
        <v>50</v>
      </c>
      <c r="E69" s="122">
        <f t="shared" si="2"/>
        <v>84.033613445378151</v>
      </c>
      <c r="F69" s="122">
        <f t="shared" si="3"/>
        <v>100</v>
      </c>
      <c r="G69" s="122"/>
      <c r="H69" s="122"/>
      <c r="I69" s="8"/>
      <c r="J69" s="11"/>
      <c r="K69" s="38" t="s">
        <v>28</v>
      </c>
      <c r="L69" s="11"/>
      <c r="M69" s="11"/>
      <c r="N69" s="11"/>
      <c r="O69" s="11"/>
      <c r="P69" s="11"/>
      <c r="Q69" s="11"/>
      <c r="R69" s="123">
        <v>7350057583111</v>
      </c>
      <c r="S69" s="124" t="s">
        <v>63</v>
      </c>
      <c r="T69" s="124">
        <v>3.3</v>
      </c>
      <c r="U69" s="124">
        <v>2.5499999999999998</v>
      </c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329" s="125" customFormat="1" ht="15" customHeight="1">
      <c r="A70" s="126">
        <v>1101170</v>
      </c>
      <c r="B70" s="127" t="s">
        <v>195</v>
      </c>
      <c r="C70" s="127" t="s">
        <v>196</v>
      </c>
      <c r="D70" s="122">
        <v>5</v>
      </c>
      <c r="E70" s="122">
        <f t="shared" si="2"/>
        <v>8.4033613445378155</v>
      </c>
      <c r="F70" s="122">
        <f t="shared" si="3"/>
        <v>10</v>
      </c>
      <c r="G70" s="122"/>
      <c r="H70" s="122"/>
      <c r="I70" s="38" t="s">
        <v>28</v>
      </c>
      <c r="J70" s="11"/>
      <c r="K70" s="38"/>
      <c r="L70" s="54"/>
      <c r="M70" s="54"/>
      <c r="N70" s="54"/>
      <c r="O70" s="54"/>
      <c r="P70" s="54"/>
      <c r="Q70" s="54"/>
      <c r="R70" s="123">
        <v>7350057583401</v>
      </c>
      <c r="S70" s="124" t="s">
        <v>77</v>
      </c>
      <c r="T70" s="124">
        <v>0.7</v>
      </c>
      <c r="U70" s="124">
        <v>0.5</v>
      </c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329" s="125" customFormat="1" ht="15" customHeight="1">
      <c r="A71" s="126">
        <v>1101171</v>
      </c>
      <c r="B71" s="127" t="s">
        <v>197</v>
      </c>
      <c r="C71" s="127" t="s">
        <v>198</v>
      </c>
      <c r="D71" s="122">
        <v>5</v>
      </c>
      <c r="E71" s="122">
        <f t="shared" si="2"/>
        <v>8.4033613445378155</v>
      </c>
      <c r="F71" s="122">
        <f t="shared" si="3"/>
        <v>10</v>
      </c>
      <c r="G71" s="122"/>
      <c r="H71" s="122"/>
      <c r="I71" s="38" t="s">
        <v>28</v>
      </c>
      <c r="J71" s="11"/>
      <c r="K71" s="38"/>
      <c r="L71" s="54"/>
      <c r="M71" s="54"/>
      <c r="N71" s="54"/>
      <c r="O71" s="54"/>
      <c r="P71" s="54"/>
      <c r="Q71" s="54"/>
      <c r="R71" s="123">
        <v>7350057583418</v>
      </c>
      <c r="S71" s="124" t="s">
        <v>77</v>
      </c>
      <c r="T71" s="124">
        <v>0.7</v>
      </c>
      <c r="U71" s="124">
        <v>0.5</v>
      </c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329" s="125" customFormat="1" ht="15" customHeight="1">
      <c r="A72" s="126">
        <v>1101172</v>
      </c>
      <c r="B72" s="127" t="s">
        <v>199</v>
      </c>
      <c r="C72" s="127" t="s">
        <v>136</v>
      </c>
      <c r="D72" s="122">
        <v>5</v>
      </c>
      <c r="E72" s="122">
        <f t="shared" si="2"/>
        <v>8.4033613445378155</v>
      </c>
      <c r="F72" s="122">
        <f t="shared" si="3"/>
        <v>10</v>
      </c>
      <c r="G72" s="122"/>
      <c r="H72" s="122"/>
      <c r="I72" s="38" t="s">
        <v>28</v>
      </c>
      <c r="J72" s="11"/>
      <c r="K72" s="38"/>
      <c r="L72" s="54"/>
      <c r="M72" s="54"/>
      <c r="N72" s="54"/>
      <c r="O72" s="54"/>
      <c r="P72" s="54"/>
      <c r="Q72" s="54"/>
      <c r="R72" s="123">
        <v>7350057583425</v>
      </c>
      <c r="S72" s="124" t="s">
        <v>77</v>
      </c>
      <c r="T72" s="124">
        <v>0.7</v>
      </c>
      <c r="U72" s="124">
        <v>0.5</v>
      </c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329" s="125" customFormat="1" ht="15" customHeight="1">
      <c r="A73" s="126">
        <v>1101173</v>
      </c>
      <c r="B73" s="127" t="s">
        <v>200</v>
      </c>
      <c r="C73" s="127" t="s">
        <v>201</v>
      </c>
      <c r="D73" s="122">
        <v>5</v>
      </c>
      <c r="E73" s="122">
        <f t="shared" si="2"/>
        <v>8.4033613445378155</v>
      </c>
      <c r="F73" s="122">
        <f t="shared" si="3"/>
        <v>10</v>
      </c>
      <c r="G73" s="122"/>
      <c r="H73" s="122"/>
      <c r="I73" s="38" t="s">
        <v>28</v>
      </c>
      <c r="J73" s="11"/>
      <c r="K73" s="38"/>
      <c r="L73" s="54"/>
      <c r="M73" s="54"/>
      <c r="N73" s="54"/>
      <c r="O73" s="54"/>
      <c r="P73" s="54"/>
      <c r="Q73" s="54"/>
      <c r="R73" s="123">
        <v>7350057583432</v>
      </c>
      <c r="S73" s="124" t="s">
        <v>77</v>
      </c>
      <c r="T73" s="124">
        <v>0.7</v>
      </c>
      <c r="U73" s="124">
        <v>0.5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329" s="125" customFormat="1" ht="15" customHeight="1">
      <c r="A74" s="126">
        <v>1101174</v>
      </c>
      <c r="B74" s="127" t="s">
        <v>202</v>
      </c>
      <c r="C74" s="127" t="s">
        <v>203</v>
      </c>
      <c r="D74" s="122">
        <v>5</v>
      </c>
      <c r="E74" s="122">
        <f t="shared" si="2"/>
        <v>8.4033613445378155</v>
      </c>
      <c r="F74" s="122">
        <f t="shared" si="3"/>
        <v>10</v>
      </c>
      <c r="G74" s="122"/>
      <c r="H74" s="122"/>
      <c r="I74" s="38" t="s">
        <v>28</v>
      </c>
      <c r="J74" s="11"/>
      <c r="K74" s="38"/>
      <c r="L74" s="54"/>
      <c r="M74" s="54"/>
      <c r="N74" s="54"/>
      <c r="O74" s="54"/>
      <c r="P74" s="54"/>
      <c r="Q74" s="54"/>
      <c r="R74" s="123">
        <v>7350057583449</v>
      </c>
      <c r="S74" s="124" t="s">
        <v>77</v>
      </c>
      <c r="T74" s="124">
        <v>0.7</v>
      </c>
      <c r="U74" s="124">
        <v>0.5</v>
      </c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329" s="125" customFormat="1" ht="15" customHeight="1">
      <c r="A75" s="126">
        <v>1101175</v>
      </c>
      <c r="B75" s="127" t="s">
        <v>204</v>
      </c>
      <c r="C75" s="216" t="s">
        <v>205</v>
      </c>
      <c r="D75" s="122">
        <v>8</v>
      </c>
      <c r="E75" s="122">
        <f t="shared" si="2"/>
        <v>13.445378151260504</v>
      </c>
      <c r="F75" s="122">
        <f t="shared" si="3"/>
        <v>16</v>
      </c>
      <c r="G75" s="122"/>
      <c r="H75" s="122"/>
      <c r="I75" s="38" t="s">
        <v>28</v>
      </c>
      <c r="J75" s="11"/>
      <c r="K75" s="38" t="s">
        <v>28</v>
      </c>
      <c r="L75" s="54"/>
      <c r="M75" s="11"/>
      <c r="N75" s="11"/>
      <c r="O75" s="11"/>
      <c r="P75" s="11"/>
      <c r="Q75" s="11"/>
      <c r="R75" s="123">
        <v>7350057584057</v>
      </c>
      <c r="S75" s="124" t="s">
        <v>105</v>
      </c>
      <c r="T75" s="124">
        <v>0.78</v>
      </c>
      <c r="U75" s="124">
        <v>0.56999999999999995</v>
      </c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329" s="125" customFormat="1" ht="15" customHeight="1">
      <c r="A76" s="126">
        <v>1101176</v>
      </c>
      <c r="B76" s="132" t="s">
        <v>206</v>
      </c>
      <c r="C76" s="214" t="s">
        <v>207</v>
      </c>
      <c r="D76" s="122">
        <v>50</v>
      </c>
      <c r="E76" s="122">
        <f t="shared" si="2"/>
        <v>84.033613445378151</v>
      </c>
      <c r="F76" s="122">
        <f t="shared" si="3"/>
        <v>100</v>
      </c>
      <c r="G76" s="122"/>
      <c r="H76" s="122"/>
      <c r="I76" s="8"/>
      <c r="J76" s="11"/>
      <c r="K76" s="38" t="s">
        <v>28</v>
      </c>
      <c r="L76" s="11"/>
      <c r="M76" s="11"/>
      <c r="N76" s="11"/>
      <c r="O76" s="11"/>
      <c r="P76" s="11"/>
      <c r="Q76" s="11"/>
      <c r="R76" s="123">
        <v>7350057583128</v>
      </c>
      <c r="S76" s="124" t="s">
        <v>63</v>
      </c>
      <c r="T76" s="124">
        <v>3.3</v>
      </c>
      <c r="U76" s="124">
        <v>2.52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329" s="125" customFormat="1" ht="15" customHeight="1">
      <c r="A77" s="126">
        <v>1101177</v>
      </c>
      <c r="B77" s="132" t="s">
        <v>208</v>
      </c>
      <c r="C77" s="216" t="s">
        <v>209</v>
      </c>
      <c r="D77" s="122">
        <v>50</v>
      </c>
      <c r="E77" s="122">
        <f t="shared" si="2"/>
        <v>84.033613445378151</v>
      </c>
      <c r="F77" s="122">
        <f t="shared" si="3"/>
        <v>100</v>
      </c>
      <c r="G77" s="122"/>
      <c r="H77" s="122"/>
      <c r="I77" s="8"/>
      <c r="J77" s="11"/>
      <c r="K77" s="38" t="s">
        <v>28</v>
      </c>
      <c r="L77" s="11"/>
      <c r="M77" s="11"/>
      <c r="N77" s="11"/>
      <c r="O77" s="11"/>
      <c r="P77" s="11"/>
      <c r="Q77" s="11"/>
      <c r="R77" s="123">
        <v>7350057583135</v>
      </c>
      <c r="S77" s="124" t="s">
        <v>63</v>
      </c>
      <c r="T77" s="124">
        <v>3.3</v>
      </c>
      <c r="U77" s="124">
        <v>2.52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329" s="125" customFormat="1" ht="15" customHeight="1">
      <c r="A78" s="126">
        <v>1101179</v>
      </c>
      <c r="B78" s="132" t="s">
        <v>210</v>
      </c>
      <c r="C78" s="216" t="s">
        <v>211</v>
      </c>
      <c r="D78" s="122">
        <v>50</v>
      </c>
      <c r="E78" s="122">
        <f t="shared" si="2"/>
        <v>84.033613445378151</v>
      </c>
      <c r="F78" s="122">
        <f t="shared" si="3"/>
        <v>100</v>
      </c>
      <c r="G78" s="122"/>
      <c r="H78" s="122"/>
      <c r="I78" s="8"/>
      <c r="J78" s="11"/>
      <c r="K78" s="38" t="s">
        <v>28</v>
      </c>
      <c r="L78" s="11"/>
      <c r="M78" s="11"/>
      <c r="N78" s="11"/>
      <c r="O78" s="11"/>
      <c r="P78" s="11"/>
      <c r="Q78" s="11"/>
      <c r="R78" s="123">
        <v>7350057583159</v>
      </c>
      <c r="S78" s="124" t="s">
        <v>63</v>
      </c>
      <c r="T78" s="124">
        <v>3.3</v>
      </c>
      <c r="U78" s="124">
        <v>2.52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329" s="125" customFormat="1" ht="15" customHeight="1">
      <c r="A79" s="126">
        <v>1101180</v>
      </c>
      <c r="B79" s="132" t="s">
        <v>212</v>
      </c>
      <c r="C79" s="214" t="s">
        <v>213</v>
      </c>
      <c r="D79" s="122">
        <v>50</v>
      </c>
      <c r="E79" s="122">
        <f t="shared" si="2"/>
        <v>84.033613445378151</v>
      </c>
      <c r="F79" s="122">
        <f t="shared" si="3"/>
        <v>100</v>
      </c>
      <c r="G79" s="122"/>
      <c r="H79" s="122"/>
      <c r="I79" s="8"/>
      <c r="J79" s="11"/>
      <c r="K79" s="38" t="s">
        <v>28</v>
      </c>
      <c r="L79" s="11"/>
      <c r="M79" s="11"/>
      <c r="N79" s="11"/>
      <c r="O79" s="11"/>
      <c r="P79" s="11"/>
      <c r="Q79" s="11"/>
      <c r="R79" s="123">
        <v>7350057583166</v>
      </c>
      <c r="S79" s="124" t="s">
        <v>63</v>
      </c>
      <c r="T79" s="124">
        <v>3.3</v>
      </c>
      <c r="U79" s="124">
        <v>2.52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329" s="125" customFormat="1" ht="15" customHeight="1">
      <c r="A80" s="126">
        <v>1101181</v>
      </c>
      <c r="B80" s="127" t="s">
        <v>214</v>
      </c>
      <c r="C80" s="216" t="s">
        <v>215</v>
      </c>
      <c r="D80" s="122">
        <v>50</v>
      </c>
      <c r="E80" s="122">
        <f t="shared" si="2"/>
        <v>84.033613445378151</v>
      </c>
      <c r="F80" s="122">
        <f t="shared" si="3"/>
        <v>100</v>
      </c>
      <c r="G80" s="122"/>
      <c r="H80" s="122"/>
      <c r="I80" s="8"/>
      <c r="J80" s="11"/>
      <c r="K80" s="38" t="s">
        <v>28</v>
      </c>
      <c r="L80" s="11"/>
      <c r="M80" s="11"/>
      <c r="N80" s="11"/>
      <c r="O80" s="11"/>
      <c r="P80" s="11"/>
      <c r="Q80" s="11"/>
      <c r="R80" s="123">
        <v>7350057583173</v>
      </c>
      <c r="S80" s="124" t="s">
        <v>63</v>
      </c>
      <c r="T80" s="124">
        <v>3.3</v>
      </c>
      <c r="U80" s="124">
        <v>2.52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329" s="125" customFormat="1" ht="15" customHeight="1">
      <c r="A81" s="131">
        <v>1101184</v>
      </c>
      <c r="B81" s="127" t="s">
        <v>216</v>
      </c>
      <c r="C81" s="214" t="s">
        <v>217</v>
      </c>
      <c r="D81" s="122">
        <v>3</v>
      </c>
      <c r="E81" s="122">
        <f t="shared" si="2"/>
        <v>5.0420168067226889</v>
      </c>
      <c r="F81" s="122">
        <f t="shared" si="3"/>
        <v>6</v>
      </c>
      <c r="G81" s="122"/>
      <c r="H81" s="122"/>
      <c r="I81" s="38"/>
      <c r="J81" s="11"/>
      <c r="K81" s="38" t="s">
        <v>28</v>
      </c>
      <c r="L81" s="8"/>
      <c r="M81" s="8"/>
      <c r="N81" s="11"/>
      <c r="O81" s="11"/>
      <c r="P81" s="8"/>
      <c r="Q81" s="8"/>
      <c r="R81" s="123">
        <v>7350057583623</v>
      </c>
      <c r="S81" s="124" t="s">
        <v>105</v>
      </c>
      <c r="T81" s="124">
        <v>0.62</v>
      </c>
      <c r="U81" s="124">
        <v>0.41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329" s="125" customFormat="1" ht="15" customHeight="1">
      <c r="A82" s="126">
        <v>1101190</v>
      </c>
      <c r="B82" s="127" t="s">
        <v>218</v>
      </c>
      <c r="C82" s="216" t="s">
        <v>219</v>
      </c>
      <c r="D82" s="122">
        <v>10</v>
      </c>
      <c r="E82" s="122">
        <f t="shared" si="2"/>
        <v>16.806722689075631</v>
      </c>
      <c r="F82" s="122">
        <f t="shared" si="3"/>
        <v>20</v>
      </c>
      <c r="G82" s="122"/>
      <c r="H82" s="122"/>
      <c r="I82" s="8"/>
      <c r="J82" s="11"/>
      <c r="K82" s="38" t="s">
        <v>28</v>
      </c>
      <c r="L82" s="11"/>
      <c r="M82" s="11"/>
      <c r="N82" s="11"/>
      <c r="O82" s="11"/>
      <c r="P82" s="11"/>
      <c r="Q82" s="11"/>
      <c r="R82" s="123">
        <v>7350057583463</v>
      </c>
      <c r="S82" s="124" t="s">
        <v>77</v>
      </c>
      <c r="T82" s="124">
        <v>0.7</v>
      </c>
      <c r="U82" s="124">
        <v>0.5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329" s="125" customFormat="1" ht="15" customHeight="1">
      <c r="A83" s="126">
        <v>1101191</v>
      </c>
      <c r="B83" s="127" t="s">
        <v>220</v>
      </c>
      <c r="C83" s="214" t="s">
        <v>221</v>
      </c>
      <c r="D83" s="122">
        <v>10</v>
      </c>
      <c r="E83" s="122">
        <f t="shared" si="2"/>
        <v>16.806722689075631</v>
      </c>
      <c r="F83" s="122">
        <f t="shared" si="3"/>
        <v>20</v>
      </c>
      <c r="G83" s="122"/>
      <c r="H83" s="122"/>
      <c r="I83" s="8"/>
      <c r="J83" s="11"/>
      <c r="K83" s="38" t="s">
        <v>28</v>
      </c>
      <c r="L83" s="11"/>
      <c r="M83" s="11"/>
      <c r="N83" s="11"/>
      <c r="O83" s="11"/>
      <c r="P83" s="11"/>
      <c r="Q83" s="11"/>
      <c r="R83" s="123">
        <v>7350057583470</v>
      </c>
      <c r="S83" s="124" t="s">
        <v>54</v>
      </c>
      <c r="T83" s="124">
        <v>0.23</v>
      </c>
      <c r="U83" s="124">
        <v>0.17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329" s="125" customFormat="1" ht="15" customHeight="1">
      <c r="A84" s="126">
        <v>1101192</v>
      </c>
      <c r="B84" s="127" t="s">
        <v>222</v>
      </c>
      <c r="C84" s="216" t="s">
        <v>223</v>
      </c>
      <c r="D84" s="122">
        <v>10</v>
      </c>
      <c r="E84" s="122">
        <f t="shared" si="2"/>
        <v>16.806722689075631</v>
      </c>
      <c r="F84" s="122">
        <f t="shared" si="3"/>
        <v>20</v>
      </c>
      <c r="G84" s="122"/>
      <c r="H84" s="122"/>
      <c r="I84" s="8"/>
      <c r="J84" s="11"/>
      <c r="K84" s="38" t="s">
        <v>28</v>
      </c>
      <c r="L84" s="11"/>
      <c r="M84" s="11"/>
      <c r="N84" s="11"/>
      <c r="O84" s="11"/>
      <c r="P84" s="11"/>
      <c r="Q84" s="11"/>
      <c r="R84" s="123">
        <v>7350057583487</v>
      </c>
      <c r="S84" s="124" t="s">
        <v>54</v>
      </c>
      <c r="T84" s="124">
        <v>0.23</v>
      </c>
      <c r="U84" s="124">
        <v>0.17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329" s="125" customFormat="1" ht="15" customHeight="1">
      <c r="A85" s="126">
        <v>1101194</v>
      </c>
      <c r="B85" s="127" t="s">
        <v>224</v>
      </c>
      <c r="C85" s="214" t="s">
        <v>225</v>
      </c>
      <c r="D85" s="122">
        <v>10</v>
      </c>
      <c r="E85" s="122">
        <f t="shared" si="2"/>
        <v>16.806722689075631</v>
      </c>
      <c r="F85" s="122">
        <f t="shared" si="3"/>
        <v>20</v>
      </c>
      <c r="G85" s="122"/>
      <c r="H85" s="122"/>
      <c r="I85" s="8"/>
      <c r="J85" s="8"/>
      <c r="K85" s="54" t="s">
        <v>28</v>
      </c>
      <c r="L85" s="11"/>
      <c r="M85" s="11"/>
      <c r="N85" s="11"/>
      <c r="O85" s="11"/>
      <c r="P85" s="11"/>
      <c r="Q85" s="11"/>
      <c r="R85" s="123">
        <v>7350057583500</v>
      </c>
      <c r="S85" s="124" t="s">
        <v>54</v>
      </c>
      <c r="T85" s="124">
        <v>0.23</v>
      </c>
      <c r="U85" s="124">
        <v>0.17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329" s="125" customFormat="1" ht="15" customHeight="1">
      <c r="A86" s="126">
        <v>1101195</v>
      </c>
      <c r="B86" s="127" t="s">
        <v>226</v>
      </c>
      <c r="C86" s="216" t="s">
        <v>227</v>
      </c>
      <c r="D86" s="122">
        <v>10</v>
      </c>
      <c r="E86" s="122">
        <f t="shared" si="2"/>
        <v>16.806722689075631</v>
      </c>
      <c r="F86" s="122">
        <f t="shared" si="3"/>
        <v>20</v>
      </c>
      <c r="G86" s="122"/>
      <c r="H86" s="122"/>
      <c r="I86" s="8"/>
      <c r="J86" s="11"/>
      <c r="K86" s="54" t="s">
        <v>28</v>
      </c>
      <c r="L86" s="11"/>
      <c r="M86" s="11"/>
      <c r="N86" s="8"/>
      <c r="O86" s="8"/>
      <c r="P86" s="11"/>
      <c r="Q86" s="11"/>
      <c r="R86" s="123">
        <v>7350057583517</v>
      </c>
      <c r="S86" s="124" t="s">
        <v>54</v>
      </c>
      <c r="T86" s="124">
        <v>0.23</v>
      </c>
      <c r="U86" s="124">
        <v>0.17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329" s="125" customFormat="1" ht="15" customHeight="1">
      <c r="A87" s="33">
        <v>1101197</v>
      </c>
      <c r="B87" s="61" t="s">
        <v>228</v>
      </c>
      <c r="C87" s="213" t="s">
        <v>229</v>
      </c>
      <c r="D87" s="122">
        <v>10</v>
      </c>
      <c r="E87" s="122">
        <f t="shared" si="2"/>
        <v>16.806722689075631</v>
      </c>
      <c r="F87" s="122">
        <f t="shared" si="3"/>
        <v>20</v>
      </c>
      <c r="G87" s="122"/>
      <c r="H87" s="122"/>
      <c r="I87" s="38" t="s">
        <v>28</v>
      </c>
      <c r="J87" s="11"/>
      <c r="K87" s="54" t="s">
        <v>28</v>
      </c>
      <c r="L87" s="54" t="s">
        <v>28</v>
      </c>
      <c r="M87" s="54" t="s">
        <v>28</v>
      </c>
      <c r="N87" s="54"/>
      <c r="O87" s="54"/>
      <c r="P87" s="54" t="s">
        <v>28</v>
      </c>
      <c r="Q87" s="54" t="s">
        <v>28</v>
      </c>
      <c r="R87" s="123">
        <v>7350057583807</v>
      </c>
      <c r="S87" s="124" t="s">
        <v>230</v>
      </c>
      <c r="T87" s="124">
        <v>0.25</v>
      </c>
      <c r="U87" s="124">
        <v>0.12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  <c r="FS87" s="27"/>
      <c r="FT87" s="27"/>
      <c r="FU87" s="27"/>
      <c r="FV87" s="27"/>
      <c r="FW87" s="27"/>
      <c r="FX87" s="27"/>
      <c r="FY87" s="27"/>
      <c r="FZ87" s="27"/>
      <c r="GA87" s="27"/>
      <c r="GB87" s="27"/>
      <c r="GC87" s="27"/>
      <c r="GD87" s="27"/>
      <c r="GE87" s="27"/>
      <c r="GF87" s="27"/>
      <c r="GG87" s="27"/>
      <c r="GH87" s="27"/>
      <c r="GI87" s="27"/>
      <c r="GJ87" s="27"/>
      <c r="GK87" s="27"/>
      <c r="GL87" s="27"/>
      <c r="GM87" s="27"/>
      <c r="GN87" s="27"/>
      <c r="GO87" s="27"/>
      <c r="GP87" s="27"/>
      <c r="GQ87" s="27"/>
      <c r="GR87" s="27"/>
      <c r="GS87" s="27"/>
      <c r="GT87" s="27"/>
      <c r="GU87" s="27"/>
      <c r="GV87" s="27"/>
      <c r="GW87" s="27"/>
      <c r="GX87" s="27"/>
      <c r="GY87" s="27"/>
      <c r="GZ87" s="27"/>
      <c r="HA87" s="27"/>
      <c r="HB87" s="27"/>
      <c r="HC87" s="27"/>
      <c r="HD87" s="27"/>
      <c r="HE87" s="27"/>
      <c r="HF87" s="27"/>
      <c r="HG87" s="27"/>
      <c r="HH87" s="27"/>
      <c r="HI87" s="27"/>
      <c r="HJ87" s="27"/>
      <c r="HK87" s="27"/>
      <c r="HL87" s="27"/>
      <c r="HM87" s="27"/>
      <c r="HN87" s="27"/>
      <c r="HO87" s="27"/>
      <c r="HP87" s="27"/>
      <c r="HQ87" s="27"/>
      <c r="HR87" s="27"/>
      <c r="HS87" s="27"/>
      <c r="HT87" s="27"/>
      <c r="HU87" s="27"/>
      <c r="HV87" s="27"/>
      <c r="HW87" s="27"/>
      <c r="HX87" s="27"/>
      <c r="HY87" s="27"/>
      <c r="HZ87" s="27"/>
      <c r="IA87" s="27"/>
      <c r="IB87" s="27"/>
      <c r="IC87" s="27"/>
      <c r="ID87" s="27"/>
      <c r="IE87" s="27"/>
      <c r="IF87" s="27"/>
      <c r="IG87" s="27"/>
      <c r="IH87" s="27"/>
      <c r="II87" s="27"/>
      <c r="IJ87" s="27"/>
      <c r="IK87" s="27"/>
      <c r="IL87" s="27"/>
      <c r="IM87" s="27"/>
      <c r="IN87" s="27"/>
      <c r="IO87" s="27"/>
      <c r="IP87" s="27"/>
      <c r="IQ87" s="27"/>
      <c r="IR87" s="27"/>
      <c r="IS87" s="27"/>
      <c r="IT87" s="27"/>
      <c r="IU87" s="27"/>
      <c r="IV87" s="27"/>
      <c r="IW87" s="27"/>
      <c r="IX87" s="27"/>
      <c r="IY87" s="27"/>
      <c r="IZ87" s="27"/>
      <c r="JA87" s="27"/>
      <c r="JB87" s="27"/>
      <c r="JC87" s="27"/>
      <c r="JD87" s="27"/>
      <c r="JE87" s="27"/>
      <c r="JF87" s="27"/>
      <c r="JG87" s="27"/>
      <c r="JH87" s="27"/>
      <c r="JI87" s="27"/>
      <c r="JJ87" s="27"/>
      <c r="JK87" s="27"/>
      <c r="JL87" s="27"/>
      <c r="JM87" s="27"/>
      <c r="JN87" s="27"/>
      <c r="JO87" s="27"/>
      <c r="JP87" s="27"/>
      <c r="JQ87" s="27"/>
      <c r="JR87" s="27"/>
      <c r="JS87" s="27"/>
      <c r="JT87" s="27"/>
      <c r="JU87" s="27"/>
      <c r="JV87" s="27"/>
      <c r="JW87" s="27"/>
      <c r="JX87" s="27"/>
      <c r="JY87" s="27"/>
      <c r="JZ87" s="27"/>
      <c r="KA87" s="27"/>
      <c r="KB87" s="27"/>
      <c r="KC87" s="27"/>
      <c r="KD87" s="27"/>
      <c r="KE87" s="27"/>
      <c r="KF87" s="27"/>
      <c r="KG87" s="27"/>
      <c r="KH87" s="27"/>
      <c r="KI87" s="27"/>
      <c r="KJ87" s="27"/>
      <c r="KK87" s="27"/>
      <c r="KL87" s="27"/>
      <c r="KM87" s="27"/>
      <c r="KN87" s="27"/>
      <c r="KO87" s="27"/>
      <c r="KP87" s="27"/>
      <c r="KQ87" s="27"/>
      <c r="KR87" s="27"/>
      <c r="KS87" s="27"/>
      <c r="KT87" s="27"/>
      <c r="KU87" s="27"/>
      <c r="KV87" s="27"/>
      <c r="KW87" s="27"/>
      <c r="KX87" s="27"/>
      <c r="KY87" s="27"/>
      <c r="KZ87" s="27"/>
      <c r="LA87" s="27"/>
      <c r="LB87" s="27"/>
      <c r="LC87" s="27"/>
      <c r="LD87" s="27"/>
      <c r="LE87" s="27"/>
      <c r="LF87" s="27"/>
      <c r="LG87" s="27"/>
      <c r="LH87" s="27"/>
      <c r="LI87" s="27"/>
      <c r="LJ87" s="27"/>
      <c r="LK87" s="27"/>
      <c r="LL87" s="27"/>
      <c r="LM87" s="27"/>
      <c r="LN87" s="27"/>
      <c r="LO87" s="27"/>
      <c r="LP87" s="27"/>
      <c r="LQ87" s="27"/>
    </row>
    <row r="88" spans="1:329" s="125" customFormat="1" ht="15" customHeight="1">
      <c r="A88" s="126">
        <v>1101216</v>
      </c>
      <c r="B88" s="132" t="s">
        <v>231</v>
      </c>
      <c r="C88" s="132" t="s">
        <v>232</v>
      </c>
      <c r="D88" s="122">
        <v>50</v>
      </c>
      <c r="E88" s="122">
        <f t="shared" si="2"/>
        <v>84.033613445378151</v>
      </c>
      <c r="F88" s="122">
        <f t="shared" si="3"/>
        <v>100</v>
      </c>
      <c r="G88" s="122"/>
      <c r="H88" s="122"/>
      <c r="I88" s="8"/>
      <c r="J88" s="11"/>
      <c r="K88" s="8"/>
      <c r="L88" s="54" t="s">
        <v>28</v>
      </c>
      <c r="M88" s="11"/>
      <c r="N88" s="11"/>
      <c r="O88" s="11"/>
      <c r="P88" s="11"/>
      <c r="Q88" s="11"/>
      <c r="R88" s="123">
        <v>7350057583180</v>
      </c>
      <c r="S88" s="124" t="s">
        <v>63</v>
      </c>
      <c r="T88" s="124">
        <v>3.4</v>
      </c>
      <c r="U88" s="124">
        <v>2.62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329" s="27" customFormat="1" ht="15" customHeight="1">
      <c r="A89" s="126">
        <v>1101217</v>
      </c>
      <c r="B89" s="132" t="s">
        <v>233</v>
      </c>
      <c r="C89" s="214" t="s">
        <v>234</v>
      </c>
      <c r="D89" s="122">
        <v>50</v>
      </c>
      <c r="E89" s="122">
        <f t="shared" si="2"/>
        <v>84.033613445378151</v>
      </c>
      <c r="F89" s="122">
        <f t="shared" si="3"/>
        <v>100</v>
      </c>
      <c r="G89" s="122"/>
      <c r="H89" s="122"/>
      <c r="I89" s="8"/>
      <c r="J89" s="11"/>
      <c r="K89" s="11"/>
      <c r="L89" s="38" t="s">
        <v>28</v>
      </c>
      <c r="M89" s="11"/>
      <c r="N89" s="11"/>
      <c r="O89" s="11"/>
      <c r="P89" s="11"/>
      <c r="Q89" s="11"/>
      <c r="R89" s="123">
        <v>7350057583197</v>
      </c>
      <c r="S89" s="124" t="s">
        <v>63</v>
      </c>
      <c r="T89" s="124">
        <v>3.4</v>
      </c>
      <c r="U89" s="124">
        <v>2.62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25"/>
      <c r="AR89" s="125"/>
      <c r="AS89" s="125"/>
      <c r="AT89" s="125"/>
      <c r="AU89" s="125"/>
      <c r="AV89" s="125"/>
      <c r="AW89" s="125"/>
      <c r="AX89" s="125"/>
      <c r="AY89" s="125"/>
      <c r="AZ89" s="125"/>
      <c r="BA89" s="125"/>
      <c r="BB89" s="125"/>
      <c r="BC89" s="125"/>
      <c r="BD89" s="125"/>
      <c r="BE89" s="125"/>
      <c r="BF89" s="125"/>
      <c r="BG89" s="125"/>
      <c r="BH89" s="125"/>
      <c r="BI89" s="125"/>
      <c r="BJ89" s="125"/>
      <c r="BK89" s="125"/>
      <c r="BL89" s="125"/>
      <c r="BM89" s="125"/>
      <c r="BN89" s="125"/>
      <c r="BO89" s="125"/>
      <c r="BP89" s="125"/>
      <c r="BQ89" s="125"/>
      <c r="BR89" s="125"/>
      <c r="BS89" s="125"/>
      <c r="BT89" s="125"/>
      <c r="BU89" s="125"/>
      <c r="BV89" s="125"/>
      <c r="BW89" s="125"/>
      <c r="BX89" s="125"/>
      <c r="BY89" s="125"/>
      <c r="BZ89" s="125"/>
      <c r="CA89" s="125"/>
      <c r="CB89" s="125"/>
      <c r="CC89" s="125"/>
      <c r="CD89" s="125"/>
      <c r="CE89" s="125"/>
      <c r="CF89" s="125"/>
      <c r="CG89" s="125"/>
      <c r="CH89" s="125"/>
      <c r="CI89" s="125"/>
      <c r="CJ89" s="125"/>
      <c r="CK89" s="125"/>
      <c r="CL89" s="125"/>
      <c r="CM89" s="125"/>
      <c r="CN89" s="125"/>
      <c r="CO89" s="125"/>
      <c r="CP89" s="125"/>
      <c r="CQ89" s="125"/>
      <c r="CR89" s="125"/>
      <c r="CS89" s="125"/>
      <c r="CT89" s="125"/>
      <c r="CU89" s="125"/>
      <c r="CV89" s="125"/>
      <c r="CW89" s="125"/>
      <c r="CX89" s="125"/>
      <c r="CY89" s="125"/>
      <c r="CZ89" s="125"/>
      <c r="DA89" s="125"/>
      <c r="DB89" s="125"/>
      <c r="DC89" s="125"/>
      <c r="DD89" s="125"/>
      <c r="DE89" s="125"/>
      <c r="DF89" s="125"/>
      <c r="DG89" s="125"/>
      <c r="DH89" s="125"/>
      <c r="DI89" s="125"/>
      <c r="DJ89" s="125"/>
      <c r="DK89" s="125"/>
      <c r="DL89" s="125"/>
      <c r="DM89" s="125"/>
      <c r="DN89" s="125"/>
      <c r="DO89" s="125"/>
      <c r="DP89" s="125"/>
      <c r="DQ89" s="125"/>
      <c r="DR89" s="125"/>
      <c r="DS89" s="125"/>
      <c r="DT89" s="125"/>
      <c r="DU89" s="125"/>
      <c r="DV89" s="125"/>
      <c r="DW89" s="125"/>
      <c r="DX89" s="125"/>
      <c r="DY89" s="125"/>
      <c r="DZ89" s="125"/>
      <c r="EA89" s="125"/>
      <c r="EB89" s="125"/>
      <c r="EC89" s="125"/>
      <c r="ED89" s="125"/>
      <c r="EE89" s="125"/>
      <c r="EF89" s="125"/>
      <c r="EG89" s="125"/>
      <c r="EH89" s="125"/>
      <c r="EI89" s="125"/>
      <c r="EJ89" s="125"/>
      <c r="EK89" s="125"/>
      <c r="EL89" s="125"/>
      <c r="EM89" s="125"/>
      <c r="EN89" s="125"/>
      <c r="EO89" s="125"/>
      <c r="EP89" s="125"/>
      <c r="EQ89" s="125"/>
      <c r="ER89" s="125"/>
      <c r="ES89" s="125"/>
      <c r="ET89" s="125"/>
      <c r="EU89" s="125"/>
      <c r="EV89" s="125"/>
      <c r="EW89" s="125"/>
      <c r="EX89" s="125"/>
      <c r="EY89" s="125"/>
      <c r="EZ89" s="125"/>
      <c r="FA89" s="125"/>
      <c r="FB89" s="125"/>
      <c r="FC89" s="125"/>
      <c r="FD89" s="125"/>
      <c r="FE89" s="125"/>
      <c r="FF89" s="125"/>
      <c r="FG89" s="125"/>
      <c r="FH89" s="125"/>
      <c r="FI89" s="125"/>
      <c r="FJ89" s="125"/>
      <c r="FK89" s="125"/>
      <c r="FL89" s="125"/>
      <c r="FM89" s="125"/>
      <c r="FN89" s="125"/>
      <c r="FO89" s="125"/>
      <c r="FP89" s="125"/>
      <c r="FQ89" s="125"/>
      <c r="FR89" s="125"/>
      <c r="FS89" s="125"/>
      <c r="FT89" s="125"/>
      <c r="FU89" s="125"/>
      <c r="FV89" s="125"/>
      <c r="FW89" s="125"/>
      <c r="FX89" s="125"/>
      <c r="FY89" s="125"/>
      <c r="FZ89" s="125"/>
      <c r="GA89" s="125"/>
      <c r="GB89" s="125"/>
      <c r="GC89" s="125"/>
      <c r="GD89" s="125"/>
      <c r="GE89" s="125"/>
      <c r="GF89" s="125"/>
      <c r="GG89" s="125"/>
      <c r="GH89" s="125"/>
      <c r="GI89" s="125"/>
      <c r="GJ89" s="125"/>
      <c r="GK89" s="125"/>
      <c r="GL89" s="125"/>
      <c r="GM89" s="125"/>
      <c r="GN89" s="125"/>
      <c r="GO89" s="125"/>
      <c r="GP89" s="125"/>
      <c r="GQ89" s="125"/>
      <c r="GR89" s="125"/>
      <c r="GS89" s="125"/>
      <c r="GT89" s="125"/>
      <c r="GU89" s="125"/>
      <c r="GV89" s="125"/>
      <c r="GW89" s="125"/>
      <c r="GX89" s="125"/>
      <c r="GY89" s="125"/>
      <c r="GZ89" s="125"/>
      <c r="HA89" s="125"/>
      <c r="HB89" s="125"/>
      <c r="HC89" s="125"/>
      <c r="HD89" s="125"/>
      <c r="HE89" s="125"/>
      <c r="HF89" s="125"/>
      <c r="HG89" s="125"/>
      <c r="HH89" s="125"/>
      <c r="HI89" s="125"/>
      <c r="HJ89" s="125"/>
      <c r="HK89" s="125"/>
      <c r="HL89" s="125"/>
      <c r="HM89" s="125"/>
      <c r="HN89" s="125"/>
      <c r="HO89" s="125"/>
      <c r="HP89" s="125"/>
      <c r="HQ89" s="125"/>
      <c r="HR89" s="125"/>
      <c r="HS89" s="125"/>
      <c r="HT89" s="125"/>
      <c r="HU89" s="125"/>
      <c r="HV89" s="125"/>
      <c r="HW89" s="125"/>
      <c r="HX89" s="125"/>
      <c r="HY89" s="125"/>
      <c r="HZ89" s="125"/>
      <c r="IA89" s="125"/>
      <c r="IB89" s="125"/>
      <c r="IC89" s="125"/>
      <c r="ID89" s="125"/>
      <c r="IE89" s="125"/>
      <c r="IF89" s="125"/>
      <c r="IG89" s="125"/>
      <c r="IH89" s="125"/>
      <c r="II89" s="125"/>
      <c r="IJ89" s="125"/>
      <c r="IK89" s="125"/>
      <c r="IL89" s="125"/>
      <c r="IM89" s="125"/>
      <c r="IN89" s="125"/>
      <c r="IO89" s="125"/>
      <c r="IP89" s="125"/>
      <c r="IQ89" s="125"/>
      <c r="IR89" s="125"/>
      <c r="IS89" s="125"/>
      <c r="IT89" s="125"/>
      <c r="IU89" s="125"/>
      <c r="IV89" s="125"/>
      <c r="IW89" s="125"/>
      <c r="IX89" s="125"/>
      <c r="IY89" s="125"/>
      <c r="IZ89" s="125"/>
      <c r="JA89" s="125"/>
      <c r="JB89" s="125"/>
      <c r="JC89" s="125"/>
      <c r="JD89" s="125"/>
      <c r="JE89" s="125"/>
      <c r="JF89" s="125"/>
      <c r="JG89" s="125"/>
      <c r="JH89" s="125"/>
      <c r="JI89" s="125"/>
      <c r="JJ89" s="125"/>
      <c r="JK89" s="125"/>
      <c r="JL89" s="125"/>
      <c r="JM89" s="125"/>
      <c r="JN89" s="125"/>
      <c r="JO89" s="125"/>
      <c r="JP89" s="125"/>
      <c r="JQ89" s="125"/>
      <c r="JR89" s="125"/>
      <c r="JS89" s="125"/>
      <c r="JT89" s="125"/>
      <c r="JU89" s="125"/>
      <c r="JV89" s="125"/>
      <c r="JW89" s="125"/>
      <c r="JX89" s="125"/>
      <c r="JY89" s="125"/>
      <c r="JZ89" s="125"/>
      <c r="KA89" s="125"/>
      <c r="KB89" s="125"/>
      <c r="KC89" s="125"/>
      <c r="KD89" s="125"/>
      <c r="KE89" s="125"/>
      <c r="KF89" s="125"/>
      <c r="KG89" s="125"/>
      <c r="KH89" s="125"/>
      <c r="KI89" s="125"/>
      <c r="KJ89" s="125"/>
      <c r="KK89" s="125"/>
      <c r="KL89" s="125"/>
      <c r="KM89" s="125"/>
      <c r="KN89" s="125"/>
      <c r="KO89" s="125"/>
      <c r="KP89" s="125"/>
      <c r="KQ89" s="125"/>
      <c r="KR89" s="125"/>
      <c r="KS89" s="125"/>
      <c r="KT89" s="125"/>
      <c r="KU89" s="125"/>
      <c r="KV89" s="125"/>
      <c r="KW89" s="125"/>
      <c r="KX89" s="125"/>
      <c r="KY89" s="125"/>
      <c r="KZ89" s="125"/>
      <c r="LA89" s="125"/>
      <c r="LB89" s="125"/>
      <c r="LC89" s="125"/>
      <c r="LD89" s="125"/>
      <c r="LE89" s="125"/>
      <c r="LF89" s="125"/>
      <c r="LG89" s="125"/>
      <c r="LH89" s="125"/>
      <c r="LI89" s="125"/>
      <c r="LJ89" s="125"/>
      <c r="LK89" s="125"/>
      <c r="LL89" s="125"/>
      <c r="LM89" s="125"/>
      <c r="LN89" s="125"/>
      <c r="LO89" s="125"/>
      <c r="LP89" s="125"/>
      <c r="LQ89" s="125"/>
    </row>
    <row r="90" spans="1:329" s="27" customFormat="1" ht="15" customHeight="1">
      <c r="A90" s="126">
        <v>1101218</v>
      </c>
      <c r="B90" s="132" t="s">
        <v>235</v>
      </c>
      <c r="C90" s="216" t="s">
        <v>236</v>
      </c>
      <c r="D90" s="122">
        <v>50</v>
      </c>
      <c r="E90" s="122">
        <f t="shared" si="2"/>
        <v>84.033613445378151</v>
      </c>
      <c r="F90" s="122">
        <f t="shared" si="3"/>
        <v>100</v>
      </c>
      <c r="G90" s="122"/>
      <c r="H90" s="122"/>
      <c r="I90" s="8"/>
      <c r="J90" s="11"/>
      <c r="K90" s="11"/>
      <c r="L90" s="54" t="s">
        <v>28</v>
      </c>
      <c r="M90" s="8"/>
      <c r="N90" s="11"/>
      <c r="O90" s="11"/>
      <c r="P90" s="11"/>
      <c r="Q90" s="11"/>
      <c r="R90" s="123">
        <v>7350057583203</v>
      </c>
      <c r="S90" s="124" t="s">
        <v>63</v>
      </c>
      <c r="T90" s="124">
        <v>2.7</v>
      </c>
      <c r="U90" s="124">
        <v>1.9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25"/>
      <c r="AR90" s="125"/>
      <c r="AS90" s="125"/>
      <c r="AT90" s="125"/>
      <c r="AU90" s="125"/>
      <c r="AV90" s="125"/>
      <c r="AW90" s="125"/>
      <c r="AX90" s="125"/>
      <c r="AY90" s="125"/>
      <c r="AZ90" s="125"/>
      <c r="BA90" s="125"/>
      <c r="BB90" s="125"/>
      <c r="BC90" s="125"/>
      <c r="BD90" s="125"/>
      <c r="BE90" s="125"/>
      <c r="BF90" s="125"/>
      <c r="BG90" s="125"/>
      <c r="BH90" s="125"/>
      <c r="BI90" s="125"/>
      <c r="BJ90" s="125"/>
      <c r="BK90" s="125"/>
      <c r="BL90" s="125"/>
      <c r="BM90" s="125"/>
      <c r="BN90" s="125"/>
      <c r="BO90" s="125"/>
      <c r="BP90" s="125"/>
      <c r="BQ90" s="125"/>
      <c r="BR90" s="125"/>
      <c r="BS90" s="125"/>
      <c r="BT90" s="125"/>
      <c r="BU90" s="125"/>
      <c r="BV90" s="125"/>
      <c r="BW90" s="125"/>
      <c r="BX90" s="125"/>
      <c r="BY90" s="125"/>
      <c r="BZ90" s="125"/>
      <c r="CA90" s="125"/>
      <c r="CB90" s="125"/>
      <c r="CC90" s="125"/>
      <c r="CD90" s="125"/>
      <c r="CE90" s="125"/>
      <c r="CF90" s="125"/>
      <c r="CG90" s="125"/>
      <c r="CH90" s="125"/>
      <c r="CI90" s="125"/>
      <c r="CJ90" s="125"/>
      <c r="CK90" s="125"/>
      <c r="CL90" s="125"/>
      <c r="CM90" s="125"/>
      <c r="CN90" s="125"/>
      <c r="CO90" s="125"/>
      <c r="CP90" s="125"/>
      <c r="CQ90" s="125"/>
      <c r="CR90" s="125"/>
      <c r="CS90" s="125"/>
      <c r="CT90" s="125"/>
      <c r="CU90" s="125"/>
      <c r="CV90" s="125"/>
      <c r="CW90" s="125"/>
      <c r="CX90" s="125"/>
      <c r="CY90" s="125"/>
      <c r="CZ90" s="125"/>
      <c r="DA90" s="125"/>
      <c r="DB90" s="125"/>
      <c r="DC90" s="125"/>
      <c r="DD90" s="125"/>
      <c r="DE90" s="125"/>
      <c r="DF90" s="125"/>
      <c r="DG90" s="125"/>
      <c r="DH90" s="125"/>
      <c r="DI90" s="125"/>
      <c r="DJ90" s="125"/>
      <c r="DK90" s="125"/>
      <c r="DL90" s="125"/>
      <c r="DM90" s="125"/>
      <c r="DN90" s="125"/>
      <c r="DO90" s="125"/>
      <c r="DP90" s="125"/>
      <c r="DQ90" s="125"/>
      <c r="DR90" s="125"/>
      <c r="DS90" s="125"/>
      <c r="DT90" s="125"/>
      <c r="DU90" s="125"/>
      <c r="DV90" s="125"/>
      <c r="DW90" s="125"/>
      <c r="DX90" s="125"/>
      <c r="DY90" s="125"/>
      <c r="DZ90" s="125"/>
      <c r="EA90" s="125"/>
      <c r="EB90" s="125"/>
      <c r="EC90" s="125"/>
      <c r="ED90" s="125"/>
      <c r="EE90" s="125"/>
      <c r="EF90" s="125"/>
      <c r="EG90" s="125"/>
      <c r="EH90" s="125"/>
      <c r="EI90" s="125"/>
      <c r="EJ90" s="125"/>
      <c r="EK90" s="125"/>
      <c r="EL90" s="125"/>
      <c r="EM90" s="125"/>
      <c r="EN90" s="125"/>
      <c r="EO90" s="125"/>
      <c r="EP90" s="125"/>
      <c r="EQ90" s="125"/>
      <c r="ER90" s="125"/>
      <c r="ES90" s="125"/>
      <c r="ET90" s="125"/>
      <c r="EU90" s="125"/>
      <c r="EV90" s="125"/>
      <c r="EW90" s="125"/>
      <c r="EX90" s="125"/>
      <c r="EY90" s="125"/>
      <c r="EZ90" s="125"/>
      <c r="FA90" s="125"/>
      <c r="FB90" s="125"/>
      <c r="FC90" s="125"/>
      <c r="FD90" s="125"/>
      <c r="FE90" s="125"/>
      <c r="FF90" s="125"/>
      <c r="FG90" s="125"/>
      <c r="FH90" s="125"/>
      <c r="FI90" s="125"/>
      <c r="FJ90" s="125"/>
      <c r="FK90" s="125"/>
      <c r="FL90" s="125"/>
      <c r="FM90" s="125"/>
      <c r="FN90" s="125"/>
      <c r="FO90" s="125"/>
      <c r="FP90" s="125"/>
      <c r="FQ90" s="125"/>
      <c r="FR90" s="125"/>
      <c r="FS90" s="125"/>
      <c r="FT90" s="125"/>
      <c r="FU90" s="125"/>
      <c r="FV90" s="125"/>
      <c r="FW90" s="125"/>
      <c r="FX90" s="125"/>
      <c r="FY90" s="125"/>
      <c r="FZ90" s="125"/>
      <c r="GA90" s="125"/>
      <c r="GB90" s="125"/>
      <c r="GC90" s="125"/>
      <c r="GD90" s="125"/>
      <c r="GE90" s="125"/>
      <c r="GF90" s="125"/>
      <c r="GG90" s="125"/>
      <c r="GH90" s="125"/>
      <c r="GI90" s="125"/>
      <c r="GJ90" s="125"/>
      <c r="GK90" s="125"/>
      <c r="GL90" s="125"/>
      <c r="GM90" s="125"/>
      <c r="GN90" s="125"/>
      <c r="GO90" s="125"/>
      <c r="GP90" s="125"/>
      <c r="GQ90" s="125"/>
      <c r="GR90" s="125"/>
      <c r="GS90" s="125"/>
      <c r="GT90" s="125"/>
      <c r="GU90" s="125"/>
      <c r="GV90" s="125"/>
      <c r="GW90" s="125"/>
      <c r="GX90" s="125"/>
      <c r="GY90" s="125"/>
      <c r="GZ90" s="125"/>
      <c r="HA90" s="125"/>
      <c r="HB90" s="125"/>
      <c r="HC90" s="125"/>
      <c r="HD90" s="125"/>
      <c r="HE90" s="125"/>
      <c r="HF90" s="125"/>
      <c r="HG90" s="125"/>
      <c r="HH90" s="125"/>
      <c r="HI90" s="125"/>
      <c r="HJ90" s="125"/>
      <c r="HK90" s="125"/>
      <c r="HL90" s="125"/>
      <c r="HM90" s="125"/>
      <c r="HN90" s="125"/>
      <c r="HO90" s="125"/>
      <c r="HP90" s="125"/>
      <c r="HQ90" s="125"/>
      <c r="HR90" s="125"/>
      <c r="HS90" s="125"/>
      <c r="HT90" s="125"/>
      <c r="HU90" s="125"/>
      <c r="HV90" s="125"/>
      <c r="HW90" s="125"/>
      <c r="HX90" s="125"/>
      <c r="HY90" s="125"/>
      <c r="HZ90" s="125"/>
      <c r="IA90" s="125"/>
      <c r="IB90" s="125"/>
      <c r="IC90" s="125"/>
      <c r="ID90" s="125"/>
      <c r="IE90" s="125"/>
      <c r="IF90" s="125"/>
      <c r="IG90" s="125"/>
      <c r="IH90" s="125"/>
      <c r="II90" s="125"/>
      <c r="IJ90" s="125"/>
      <c r="IK90" s="125"/>
      <c r="IL90" s="125"/>
      <c r="IM90" s="125"/>
      <c r="IN90" s="125"/>
      <c r="IO90" s="125"/>
      <c r="IP90" s="125"/>
      <c r="IQ90" s="125"/>
      <c r="IR90" s="125"/>
      <c r="IS90" s="125"/>
      <c r="IT90" s="125"/>
      <c r="IU90" s="125"/>
      <c r="IV90" s="125"/>
      <c r="IW90" s="125"/>
      <c r="IX90" s="125"/>
      <c r="IY90" s="125"/>
      <c r="IZ90" s="125"/>
      <c r="JA90" s="125"/>
      <c r="JB90" s="125"/>
      <c r="JC90" s="125"/>
      <c r="JD90" s="125"/>
      <c r="JE90" s="125"/>
      <c r="JF90" s="125"/>
      <c r="JG90" s="125"/>
      <c r="JH90" s="125"/>
      <c r="JI90" s="125"/>
      <c r="JJ90" s="125"/>
      <c r="JK90" s="125"/>
      <c r="JL90" s="125"/>
      <c r="JM90" s="125"/>
      <c r="JN90" s="125"/>
      <c r="JO90" s="125"/>
      <c r="JP90" s="125"/>
      <c r="JQ90" s="125"/>
      <c r="JR90" s="125"/>
      <c r="JS90" s="125"/>
      <c r="JT90" s="125"/>
      <c r="JU90" s="125"/>
      <c r="JV90" s="125"/>
      <c r="JW90" s="125"/>
      <c r="JX90" s="125"/>
      <c r="JY90" s="125"/>
      <c r="JZ90" s="125"/>
      <c r="KA90" s="125"/>
      <c r="KB90" s="125"/>
      <c r="KC90" s="125"/>
      <c r="KD90" s="125"/>
      <c r="KE90" s="125"/>
      <c r="KF90" s="125"/>
      <c r="KG90" s="125"/>
      <c r="KH90" s="125"/>
      <c r="KI90" s="125"/>
      <c r="KJ90" s="125"/>
      <c r="KK90" s="125"/>
      <c r="KL90" s="125"/>
      <c r="KM90" s="125"/>
      <c r="KN90" s="125"/>
      <c r="KO90" s="125"/>
      <c r="KP90" s="125"/>
      <c r="KQ90" s="125"/>
      <c r="KR90" s="125"/>
      <c r="KS90" s="125"/>
      <c r="KT90" s="125"/>
      <c r="KU90" s="125"/>
      <c r="KV90" s="125"/>
      <c r="KW90" s="125"/>
      <c r="KX90" s="125"/>
      <c r="KY90" s="125"/>
      <c r="KZ90" s="125"/>
      <c r="LA90" s="125"/>
      <c r="LB90" s="125"/>
      <c r="LC90" s="125"/>
      <c r="LD90" s="125"/>
      <c r="LE90" s="125"/>
      <c r="LF90" s="125"/>
      <c r="LG90" s="125"/>
      <c r="LH90" s="125"/>
      <c r="LI90" s="125"/>
      <c r="LJ90" s="125"/>
      <c r="LK90" s="125"/>
      <c r="LL90" s="125"/>
      <c r="LM90" s="125"/>
      <c r="LN90" s="125"/>
      <c r="LO90" s="125"/>
      <c r="LP90" s="125"/>
      <c r="LQ90" s="125"/>
    </row>
    <row r="91" spans="1:329" s="27" customFormat="1" ht="15" customHeight="1">
      <c r="A91" s="126">
        <v>1101219</v>
      </c>
      <c r="B91" s="132" t="s">
        <v>237</v>
      </c>
      <c r="C91" s="214" t="s">
        <v>238</v>
      </c>
      <c r="D91" s="122">
        <v>50</v>
      </c>
      <c r="E91" s="122">
        <f t="shared" si="2"/>
        <v>84.033613445378151</v>
      </c>
      <c r="F91" s="122">
        <f t="shared" si="3"/>
        <v>100</v>
      </c>
      <c r="G91" s="122"/>
      <c r="H91" s="122"/>
      <c r="I91" s="8"/>
      <c r="J91" s="11"/>
      <c r="K91" s="11"/>
      <c r="L91" s="54" t="s">
        <v>28</v>
      </c>
      <c r="M91" s="11"/>
      <c r="N91" s="8"/>
      <c r="O91" s="133"/>
      <c r="P91" s="11"/>
      <c r="Q91" s="11"/>
      <c r="R91" s="123">
        <v>7350057583210</v>
      </c>
      <c r="S91" s="124" t="s">
        <v>63</v>
      </c>
      <c r="T91" s="124">
        <v>2.7</v>
      </c>
      <c r="U91" s="124">
        <v>1.9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25"/>
      <c r="AR91" s="125"/>
      <c r="AS91" s="125"/>
      <c r="AT91" s="125"/>
      <c r="AU91" s="125"/>
      <c r="AV91" s="125"/>
      <c r="AW91" s="125"/>
      <c r="AX91" s="125"/>
      <c r="AY91" s="125"/>
      <c r="AZ91" s="125"/>
      <c r="BA91" s="125"/>
      <c r="BB91" s="125"/>
      <c r="BC91" s="125"/>
      <c r="BD91" s="125"/>
      <c r="BE91" s="125"/>
      <c r="BF91" s="125"/>
      <c r="BG91" s="125"/>
      <c r="BH91" s="125"/>
      <c r="BI91" s="125"/>
      <c r="BJ91" s="125"/>
      <c r="BK91" s="125"/>
      <c r="BL91" s="125"/>
      <c r="BM91" s="125"/>
      <c r="BN91" s="125"/>
      <c r="BO91" s="125"/>
      <c r="BP91" s="125"/>
      <c r="BQ91" s="125"/>
      <c r="BR91" s="125"/>
      <c r="BS91" s="125"/>
      <c r="BT91" s="125"/>
      <c r="BU91" s="125"/>
      <c r="BV91" s="125"/>
      <c r="BW91" s="125"/>
      <c r="BX91" s="125"/>
      <c r="BY91" s="125"/>
      <c r="BZ91" s="125"/>
      <c r="CA91" s="125"/>
      <c r="CB91" s="125"/>
      <c r="CC91" s="125"/>
      <c r="CD91" s="125"/>
      <c r="CE91" s="125"/>
      <c r="CF91" s="125"/>
      <c r="CG91" s="125"/>
      <c r="CH91" s="125"/>
      <c r="CI91" s="125"/>
      <c r="CJ91" s="125"/>
      <c r="CK91" s="125"/>
      <c r="CL91" s="125"/>
      <c r="CM91" s="125"/>
      <c r="CN91" s="125"/>
      <c r="CO91" s="125"/>
      <c r="CP91" s="125"/>
      <c r="CQ91" s="125"/>
      <c r="CR91" s="125"/>
      <c r="CS91" s="125"/>
      <c r="CT91" s="125"/>
      <c r="CU91" s="125"/>
      <c r="CV91" s="125"/>
      <c r="CW91" s="125"/>
      <c r="CX91" s="125"/>
      <c r="CY91" s="125"/>
      <c r="CZ91" s="125"/>
      <c r="DA91" s="125"/>
      <c r="DB91" s="125"/>
      <c r="DC91" s="125"/>
      <c r="DD91" s="125"/>
      <c r="DE91" s="125"/>
      <c r="DF91" s="125"/>
      <c r="DG91" s="125"/>
      <c r="DH91" s="125"/>
      <c r="DI91" s="125"/>
      <c r="DJ91" s="125"/>
      <c r="DK91" s="125"/>
      <c r="DL91" s="125"/>
      <c r="DM91" s="125"/>
      <c r="DN91" s="125"/>
      <c r="DO91" s="125"/>
      <c r="DP91" s="125"/>
      <c r="DQ91" s="125"/>
      <c r="DR91" s="125"/>
      <c r="DS91" s="125"/>
      <c r="DT91" s="125"/>
      <c r="DU91" s="125"/>
      <c r="DV91" s="125"/>
      <c r="DW91" s="125"/>
      <c r="DX91" s="125"/>
      <c r="DY91" s="125"/>
      <c r="DZ91" s="125"/>
      <c r="EA91" s="125"/>
      <c r="EB91" s="125"/>
      <c r="EC91" s="125"/>
      <c r="ED91" s="125"/>
      <c r="EE91" s="125"/>
      <c r="EF91" s="125"/>
      <c r="EG91" s="125"/>
      <c r="EH91" s="125"/>
      <c r="EI91" s="125"/>
      <c r="EJ91" s="125"/>
      <c r="EK91" s="125"/>
      <c r="EL91" s="125"/>
      <c r="EM91" s="125"/>
      <c r="EN91" s="125"/>
      <c r="EO91" s="125"/>
      <c r="EP91" s="125"/>
      <c r="EQ91" s="125"/>
      <c r="ER91" s="125"/>
      <c r="ES91" s="125"/>
      <c r="ET91" s="125"/>
      <c r="EU91" s="125"/>
      <c r="EV91" s="125"/>
      <c r="EW91" s="125"/>
      <c r="EX91" s="125"/>
      <c r="EY91" s="125"/>
      <c r="EZ91" s="125"/>
      <c r="FA91" s="125"/>
      <c r="FB91" s="125"/>
      <c r="FC91" s="125"/>
      <c r="FD91" s="125"/>
      <c r="FE91" s="125"/>
      <c r="FF91" s="125"/>
      <c r="FG91" s="125"/>
      <c r="FH91" s="125"/>
      <c r="FI91" s="125"/>
      <c r="FJ91" s="125"/>
      <c r="FK91" s="125"/>
      <c r="FL91" s="125"/>
      <c r="FM91" s="125"/>
      <c r="FN91" s="125"/>
      <c r="FO91" s="125"/>
      <c r="FP91" s="125"/>
      <c r="FQ91" s="125"/>
      <c r="FR91" s="125"/>
      <c r="FS91" s="125"/>
      <c r="FT91" s="125"/>
      <c r="FU91" s="125"/>
      <c r="FV91" s="125"/>
      <c r="FW91" s="125"/>
      <c r="FX91" s="125"/>
      <c r="FY91" s="125"/>
      <c r="FZ91" s="125"/>
      <c r="GA91" s="125"/>
      <c r="GB91" s="125"/>
      <c r="GC91" s="125"/>
      <c r="GD91" s="125"/>
      <c r="GE91" s="125"/>
      <c r="GF91" s="125"/>
      <c r="GG91" s="125"/>
      <c r="GH91" s="125"/>
      <c r="GI91" s="125"/>
      <c r="GJ91" s="125"/>
      <c r="GK91" s="125"/>
      <c r="GL91" s="125"/>
      <c r="GM91" s="125"/>
      <c r="GN91" s="125"/>
      <c r="GO91" s="125"/>
      <c r="GP91" s="125"/>
      <c r="GQ91" s="125"/>
      <c r="GR91" s="125"/>
      <c r="GS91" s="125"/>
      <c r="GT91" s="125"/>
      <c r="GU91" s="125"/>
      <c r="GV91" s="125"/>
      <c r="GW91" s="125"/>
      <c r="GX91" s="125"/>
      <c r="GY91" s="125"/>
      <c r="GZ91" s="125"/>
      <c r="HA91" s="125"/>
      <c r="HB91" s="125"/>
      <c r="HC91" s="125"/>
      <c r="HD91" s="125"/>
      <c r="HE91" s="125"/>
      <c r="HF91" s="125"/>
      <c r="HG91" s="125"/>
      <c r="HH91" s="125"/>
      <c r="HI91" s="125"/>
      <c r="HJ91" s="125"/>
      <c r="HK91" s="125"/>
      <c r="HL91" s="125"/>
      <c r="HM91" s="125"/>
      <c r="HN91" s="125"/>
      <c r="HO91" s="125"/>
      <c r="HP91" s="125"/>
      <c r="HQ91" s="125"/>
      <c r="HR91" s="125"/>
      <c r="HS91" s="125"/>
      <c r="HT91" s="125"/>
      <c r="HU91" s="125"/>
      <c r="HV91" s="125"/>
      <c r="HW91" s="125"/>
      <c r="HX91" s="125"/>
      <c r="HY91" s="125"/>
      <c r="HZ91" s="125"/>
      <c r="IA91" s="125"/>
      <c r="IB91" s="125"/>
      <c r="IC91" s="125"/>
      <c r="ID91" s="125"/>
      <c r="IE91" s="125"/>
      <c r="IF91" s="125"/>
      <c r="IG91" s="125"/>
      <c r="IH91" s="125"/>
      <c r="II91" s="125"/>
      <c r="IJ91" s="125"/>
      <c r="IK91" s="125"/>
      <c r="IL91" s="125"/>
      <c r="IM91" s="125"/>
      <c r="IN91" s="125"/>
      <c r="IO91" s="125"/>
      <c r="IP91" s="125"/>
      <c r="IQ91" s="125"/>
      <c r="IR91" s="125"/>
      <c r="IS91" s="125"/>
      <c r="IT91" s="125"/>
      <c r="IU91" s="125"/>
      <c r="IV91" s="125"/>
      <c r="IW91" s="125"/>
      <c r="IX91" s="125"/>
      <c r="IY91" s="125"/>
      <c r="IZ91" s="125"/>
      <c r="JA91" s="125"/>
      <c r="JB91" s="125"/>
      <c r="JC91" s="125"/>
      <c r="JD91" s="125"/>
      <c r="JE91" s="125"/>
      <c r="JF91" s="125"/>
      <c r="JG91" s="125"/>
      <c r="JH91" s="125"/>
      <c r="JI91" s="125"/>
      <c r="JJ91" s="125"/>
      <c r="JK91" s="125"/>
      <c r="JL91" s="125"/>
      <c r="JM91" s="125"/>
      <c r="JN91" s="125"/>
      <c r="JO91" s="125"/>
      <c r="JP91" s="125"/>
      <c r="JQ91" s="125"/>
      <c r="JR91" s="125"/>
      <c r="JS91" s="125"/>
      <c r="JT91" s="125"/>
      <c r="JU91" s="125"/>
      <c r="JV91" s="125"/>
      <c r="JW91" s="125"/>
      <c r="JX91" s="125"/>
      <c r="JY91" s="125"/>
      <c r="JZ91" s="125"/>
      <c r="KA91" s="125"/>
      <c r="KB91" s="125"/>
      <c r="KC91" s="125"/>
      <c r="KD91" s="125"/>
      <c r="KE91" s="125"/>
      <c r="KF91" s="125"/>
      <c r="KG91" s="125"/>
      <c r="KH91" s="125"/>
      <c r="KI91" s="125"/>
      <c r="KJ91" s="125"/>
      <c r="KK91" s="125"/>
      <c r="KL91" s="125"/>
      <c r="KM91" s="125"/>
      <c r="KN91" s="125"/>
      <c r="KO91" s="125"/>
      <c r="KP91" s="125"/>
      <c r="KQ91" s="125"/>
      <c r="KR91" s="125"/>
      <c r="KS91" s="125"/>
      <c r="KT91" s="125"/>
      <c r="KU91" s="125"/>
      <c r="KV91" s="125"/>
      <c r="KW91" s="125"/>
      <c r="KX91" s="125"/>
      <c r="KY91" s="125"/>
      <c r="KZ91" s="125"/>
      <c r="LA91" s="125"/>
      <c r="LB91" s="125"/>
      <c r="LC91" s="125"/>
      <c r="LD91" s="125"/>
      <c r="LE91" s="125"/>
      <c r="LF91" s="125"/>
      <c r="LG91" s="125"/>
      <c r="LH91" s="125"/>
      <c r="LI91" s="125"/>
      <c r="LJ91" s="125"/>
      <c r="LK91" s="125"/>
      <c r="LL91" s="125"/>
      <c r="LM91" s="125"/>
      <c r="LN91" s="125"/>
      <c r="LO91" s="125"/>
      <c r="LP91" s="125"/>
      <c r="LQ91" s="125"/>
    </row>
    <row r="92" spans="1:329" s="27" customFormat="1" ht="15" customHeight="1">
      <c r="A92" s="126">
        <v>1101220</v>
      </c>
      <c r="B92" s="127" t="s">
        <v>239</v>
      </c>
      <c r="C92" s="132" t="s">
        <v>240</v>
      </c>
      <c r="D92" s="122">
        <v>40</v>
      </c>
      <c r="E92" s="122">
        <f t="shared" si="2"/>
        <v>67.226890756302524</v>
      </c>
      <c r="F92" s="122">
        <f t="shared" si="3"/>
        <v>80</v>
      </c>
      <c r="G92" s="122"/>
      <c r="H92" s="122"/>
      <c r="I92" s="8"/>
      <c r="J92" s="11"/>
      <c r="K92" s="11"/>
      <c r="L92" s="54" t="s">
        <v>28</v>
      </c>
      <c r="M92" s="11"/>
      <c r="N92" s="8"/>
      <c r="O92" s="8"/>
      <c r="P92" s="11"/>
      <c r="Q92" s="11"/>
      <c r="R92" s="123">
        <v>7350057583227</v>
      </c>
      <c r="S92" s="124" t="s">
        <v>63</v>
      </c>
      <c r="T92" s="124">
        <v>2.7</v>
      </c>
      <c r="U92" s="124">
        <v>1.9</v>
      </c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25"/>
      <c r="AR92" s="125"/>
      <c r="AS92" s="125"/>
      <c r="AT92" s="125"/>
      <c r="AU92" s="125"/>
      <c r="AV92" s="125"/>
      <c r="AW92" s="125"/>
      <c r="AX92" s="125"/>
      <c r="AY92" s="125"/>
      <c r="AZ92" s="125"/>
      <c r="BA92" s="125"/>
      <c r="BB92" s="125"/>
      <c r="BC92" s="125"/>
      <c r="BD92" s="125"/>
      <c r="BE92" s="125"/>
      <c r="BF92" s="125"/>
      <c r="BG92" s="125"/>
      <c r="BH92" s="125"/>
      <c r="BI92" s="125"/>
      <c r="BJ92" s="125"/>
      <c r="BK92" s="125"/>
      <c r="BL92" s="125"/>
      <c r="BM92" s="125"/>
      <c r="BN92" s="125"/>
      <c r="BO92" s="125"/>
      <c r="BP92" s="125"/>
      <c r="BQ92" s="125"/>
      <c r="BR92" s="125"/>
      <c r="BS92" s="125"/>
      <c r="BT92" s="125"/>
      <c r="BU92" s="125"/>
      <c r="BV92" s="125"/>
      <c r="BW92" s="125"/>
      <c r="BX92" s="125"/>
      <c r="BY92" s="125"/>
      <c r="BZ92" s="125"/>
      <c r="CA92" s="125"/>
      <c r="CB92" s="125"/>
      <c r="CC92" s="125"/>
      <c r="CD92" s="125"/>
      <c r="CE92" s="125"/>
      <c r="CF92" s="125"/>
      <c r="CG92" s="125"/>
      <c r="CH92" s="125"/>
      <c r="CI92" s="125"/>
      <c r="CJ92" s="125"/>
      <c r="CK92" s="125"/>
      <c r="CL92" s="125"/>
      <c r="CM92" s="125"/>
      <c r="CN92" s="125"/>
      <c r="CO92" s="125"/>
      <c r="CP92" s="125"/>
      <c r="CQ92" s="125"/>
      <c r="CR92" s="125"/>
      <c r="CS92" s="125"/>
      <c r="CT92" s="125"/>
      <c r="CU92" s="125"/>
      <c r="CV92" s="125"/>
      <c r="CW92" s="125"/>
      <c r="CX92" s="125"/>
      <c r="CY92" s="125"/>
      <c r="CZ92" s="125"/>
      <c r="DA92" s="125"/>
      <c r="DB92" s="125"/>
      <c r="DC92" s="125"/>
      <c r="DD92" s="125"/>
      <c r="DE92" s="125"/>
      <c r="DF92" s="125"/>
      <c r="DG92" s="125"/>
      <c r="DH92" s="125"/>
      <c r="DI92" s="125"/>
      <c r="DJ92" s="125"/>
      <c r="DK92" s="125"/>
      <c r="DL92" s="125"/>
      <c r="DM92" s="125"/>
      <c r="DN92" s="125"/>
      <c r="DO92" s="125"/>
      <c r="DP92" s="125"/>
      <c r="DQ92" s="125"/>
      <c r="DR92" s="125"/>
      <c r="DS92" s="125"/>
      <c r="DT92" s="125"/>
      <c r="DU92" s="125"/>
      <c r="DV92" s="125"/>
      <c r="DW92" s="125"/>
      <c r="DX92" s="125"/>
      <c r="DY92" s="125"/>
      <c r="DZ92" s="125"/>
      <c r="EA92" s="125"/>
      <c r="EB92" s="125"/>
      <c r="EC92" s="125"/>
      <c r="ED92" s="125"/>
      <c r="EE92" s="125"/>
      <c r="EF92" s="125"/>
      <c r="EG92" s="125"/>
      <c r="EH92" s="125"/>
      <c r="EI92" s="125"/>
      <c r="EJ92" s="125"/>
      <c r="EK92" s="125"/>
      <c r="EL92" s="125"/>
      <c r="EM92" s="125"/>
      <c r="EN92" s="125"/>
      <c r="EO92" s="125"/>
      <c r="EP92" s="125"/>
      <c r="EQ92" s="125"/>
      <c r="ER92" s="125"/>
      <c r="ES92" s="125"/>
      <c r="ET92" s="125"/>
      <c r="EU92" s="125"/>
      <c r="EV92" s="125"/>
      <c r="EW92" s="125"/>
      <c r="EX92" s="125"/>
      <c r="EY92" s="125"/>
      <c r="EZ92" s="125"/>
      <c r="FA92" s="125"/>
      <c r="FB92" s="125"/>
      <c r="FC92" s="125"/>
      <c r="FD92" s="125"/>
      <c r="FE92" s="125"/>
      <c r="FF92" s="125"/>
      <c r="FG92" s="125"/>
      <c r="FH92" s="125"/>
      <c r="FI92" s="125"/>
      <c r="FJ92" s="125"/>
      <c r="FK92" s="125"/>
      <c r="FL92" s="125"/>
      <c r="FM92" s="125"/>
      <c r="FN92" s="125"/>
      <c r="FO92" s="125"/>
      <c r="FP92" s="125"/>
      <c r="FQ92" s="125"/>
      <c r="FR92" s="125"/>
      <c r="FS92" s="125"/>
      <c r="FT92" s="125"/>
      <c r="FU92" s="125"/>
      <c r="FV92" s="125"/>
      <c r="FW92" s="125"/>
      <c r="FX92" s="125"/>
      <c r="FY92" s="125"/>
      <c r="FZ92" s="125"/>
      <c r="GA92" s="125"/>
      <c r="GB92" s="125"/>
      <c r="GC92" s="125"/>
      <c r="GD92" s="125"/>
      <c r="GE92" s="125"/>
      <c r="GF92" s="125"/>
      <c r="GG92" s="125"/>
      <c r="GH92" s="125"/>
      <c r="GI92" s="125"/>
      <c r="GJ92" s="125"/>
      <c r="GK92" s="125"/>
      <c r="GL92" s="125"/>
      <c r="GM92" s="125"/>
      <c r="GN92" s="125"/>
      <c r="GO92" s="125"/>
      <c r="GP92" s="125"/>
      <c r="GQ92" s="125"/>
      <c r="GR92" s="125"/>
      <c r="GS92" s="125"/>
      <c r="GT92" s="125"/>
      <c r="GU92" s="125"/>
      <c r="GV92" s="125"/>
      <c r="GW92" s="125"/>
      <c r="GX92" s="125"/>
      <c r="GY92" s="125"/>
      <c r="GZ92" s="125"/>
      <c r="HA92" s="125"/>
      <c r="HB92" s="125"/>
      <c r="HC92" s="125"/>
      <c r="HD92" s="125"/>
      <c r="HE92" s="125"/>
      <c r="HF92" s="125"/>
      <c r="HG92" s="125"/>
      <c r="HH92" s="125"/>
      <c r="HI92" s="125"/>
      <c r="HJ92" s="125"/>
      <c r="HK92" s="125"/>
      <c r="HL92" s="125"/>
      <c r="HM92" s="125"/>
      <c r="HN92" s="125"/>
      <c r="HO92" s="125"/>
      <c r="HP92" s="125"/>
      <c r="HQ92" s="125"/>
      <c r="HR92" s="125"/>
      <c r="HS92" s="125"/>
      <c r="HT92" s="125"/>
      <c r="HU92" s="125"/>
      <c r="HV92" s="125"/>
      <c r="HW92" s="125"/>
      <c r="HX92" s="125"/>
      <c r="HY92" s="125"/>
      <c r="HZ92" s="125"/>
      <c r="IA92" s="125"/>
      <c r="IB92" s="125"/>
      <c r="IC92" s="125"/>
      <c r="ID92" s="125"/>
      <c r="IE92" s="125"/>
      <c r="IF92" s="125"/>
      <c r="IG92" s="125"/>
      <c r="IH92" s="125"/>
      <c r="II92" s="125"/>
      <c r="IJ92" s="125"/>
      <c r="IK92" s="125"/>
      <c r="IL92" s="125"/>
      <c r="IM92" s="125"/>
      <c r="IN92" s="125"/>
      <c r="IO92" s="125"/>
      <c r="IP92" s="125"/>
      <c r="IQ92" s="125"/>
      <c r="IR92" s="125"/>
      <c r="IS92" s="125"/>
      <c r="IT92" s="125"/>
      <c r="IU92" s="125"/>
      <c r="IV92" s="125"/>
      <c r="IW92" s="125"/>
      <c r="IX92" s="125"/>
      <c r="IY92" s="125"/>
      <c r="IZ92" s="125"/>
      <c r="JA92" s="125"/>
      <c r="JB92" s="125"/>
      <c r="JC92" s="125"/>
      <c r="JD92" s="125"/>
      <c r="JE92" s="125"/>
      <c r="JF92" s="125"/>
      <c r="JG92" s="125"/>
      <c r="JH92" s="125"/>
      <c r="JI92" s="125"/>
      <c r="JJ92" s="125"/>
      <c r="JK92" s="125"/>
      <c r="JL92" s="125"/>
      <c r="JM92" s="125"/>
      <c r="JN92" s="125"/>
      <c r="JO92" s="125"/>
      <c r="JP92" s="125"/>
      <c r="JQ92" s="125"/>
      <c r="JR92" s="125"/>
      <c r="JS92" s="125"/>
      <c r="JT92" s="125"/>
      <c r="JU92" s="125"/>
      <c r="JV92" s="125"/>
      <c r="JW92" s="125"/>
      <c r="JX92" s="125"/>
      <c r="JY92" s="125"/>
      <c r="JZ92" s="125"/>
      <c r="KA92" s="125"/>
      <c r="KB92" s="125"/>
      <c r="KC92" s="125"/>
      <c r="KD92" s="125"/>
      <c r="KE92" s="125"/>
      <c r="KF92" s="125"/>
      <c r="KG92" s="125"/>
      <c r="KH92" s="125"/>
      <c r="KI92" s="125"/>
      <c r="KJ92" s="125"/>
      <c r="KK92" s="125"/>
      <c r="KL92" s="125"/>
      <c r="KM92" s="125"/>
      <c r="KN92" s="125"/>
      <c r="KO92" s="125"/>
      <c r="KP92" s="125"/>
      <c r="KQ92" s="125"/>
      <c r="KR92" s="125"/>
      <c r="KS92" s="125"/>
      <c r="KT92" s="125"/>
      <c r="KU92" s="125"/>
      <c r="KV92" s="125"/>
      <c r="KW92" s="125"/>
      <c r="KX92" s="125"/>
      <c r="KY92" s="125"/>
      <c r="KZ92" s="125"/>
      <c r="LA92" s="125"/>
      <c r="LB92" s="125"/>
      <c r="LC92" s="125"/>
      <c r="LD92" s="125"/>
      <c r="LE92" s="125"/>
      <c r="LF92" s="125"/>
      <c r="LG92" s="125"/>
      <c r="LH92" s="125"/>
      <c r="LI92" s="125"/>
      <c r="LJ92" s="125"/>
      <c r="LK92" s="125"/>
      <c r="LL92" s="125"/>
      <c r="LM92" s="125"/>
      <c r="LN92" s="125"/>
      <c r="LO92" s="125"/>
      <c r="LP92" s="125"/>
      <c r="LQ92" s="125"/>
    </row>
    <row r="93" spans="1:329" s="27" customFormat="1" ht="15" customHeight="1">
      <c r="A93" s="126">
        <v>1101221</v>
      </c>
      <c r="B93" s="132" t="s">
        <v>241</v>
      </c>
      <c r="C93" s="216" t="s">
        <v>242</v>
      </c>
      <c r="D93" s="122">
        <v>50</v>
      </c>
      <c r="E93" s="122">
        <f t="shared" si="2"/>
        <v>84.033613445378151</v>
      </c>
      <c r="F93" s="122">
        <f t="shared" si="3"/>
        <v>100</v>
      </c>
      <c r="G93" s="122"/>
      <c r="H93" s="122"/>
      <c r="I93" s="8"/>
      <c r="J93" s="11"/>
      <c r="K93" s="11"/>
      <c r="L93" s="11"/>
      <c r="M93" s="54" t="s">
        <v>28</v>
      </c>
      <c r="N93" s="8"/>
      <c r="O93" s="8"/>
      <c r="P93" s="8"/>
      <c r="Q93" s="11"/>
      <c r="R93" s="123">
        <v>7350057583234</v>
      </c>
      <c r="S93" s="124" t="s">
        <v>63</v>
      </c>
      <c r="T93" s="124">
        <v>3.3</v>
      </c>
      <c r="U93" s="124">
        <v>2.52</v>
      </c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25"/>
      <c r="AR93" s="125"/>
      <c r="AS93" s="125"/>
      <c r="AT93" s="125"/>
      <c r="AU93" s="125"/>
      <c r="AV93" s="125"/>
      <c r="AW93" s="125"/>
      <c r="AX93" s="125"/>
      <c r="AY93" s="125"/>
      <c r="AZ93" s="125"/>
      <c r="BA93" s="125"/>
      <c r="BB93" s="125"/>
      <c r="BC93" s="125"/>
      <c r="BD93" s="125"/>
      <c r="BE93" s="125"/>
      <c r="BF93" s="125"/>
      <c r="BG93" s="125"/>
      <c r="BH93" s="125"/>
      <c r="BI93" s="125"/>
      <c r="BJ93" s="125"/>
      <c r="BK93" s="125"/>
      <c r="BL93" s="125"/>
      <c r="BM93" s="125"/>
      <c r="BN93" s="125"/>
      <c r="BO93" s="125"/>
      <c r="BP93" s="125"/>
      <c r="BQ93" s="125"/>
      <c r="BR93" s="125"/>
      <c r="BS93" s="125"/>
      <c r="BT93" s="125"/>
      <c r="BU93" s="125"/>
      <c r="BV93" s="125"/>
      <c r="BW93" s="125"/>
      <c r="BX93" s="125"/>
      <c r="BY93" s="125"/>
      <c r="BZ93" s="125"/>
      <c r="CA93" s="125"/>
      <c r="CB93" s="125"/>
      <c r="CC93" s="125"/>
      <c r="CD93" s="125"/>
      <c r="CE93" s="125"/>
      <c r="CF93" s="125"/>
      <c r="CG93" s="125"/>
      <c r="CH93" s="125"/>
      <c r="CI93" s="125"/>
      <c r="CJ93" s="125"/>
      <c r="CK93" s="125"/>
      <c r="CL93" s="125"/>
      <c r="CM93" s="125"/>
      <c r="CN93" s="125"/>
      <c r="CO93" s="125"/>
      <c r="CP93" s="125"/>
      <c r="CQ93" s="125"/>
      <c r="CR93" s="125"/>
      <c r="CS93" s="125"/>
      <c r="CT93" s="125"/>
      <c r="CU93" s="125"/>
      <c r="CV93" s="125"/>
      <c r="CW93" s="125"/>
      <c r="CX93" s="125"/>
      <c r="CY93" s="125"/>
      <c r="CZ93" s="125"/>
      <c r="DA93" s="125"/>
      <c r="DB93" s="125"/>
      <c r="DC93" s="125"/>
      <c r="DD93" s="125"/>
      <c r="DE93" s="125"/>
      <c r="DF93" s="125"/>
      <c r="DG93" s="125"/>
      <c r="DH93" s="125"/>
      <c r="DI93" s="125"/>
      <c r="DJ93" s="125"/>
      <c r="DK93" s="125"/>
      <c r="DL93" s="125"/>
      <c r="DM93" s="125"/>
      <c r="DN93" s="125"/>
      <c r="DO93" s="125"/>
      <c r="DP93" s="125"/>
      <c r="DQ93" s="125"/>
      <c r="DR93" s="125"/>
      <c r="DS93" s="125"/>
      <c r="DT93" s="125"/>
      <c r="DU93" s="125"/>
      <c r="DV93" s="125"/>
      <c r="DW93" s="125"/>
      <c r="DX93" s="125"/>
      <c r="DY93" s="125"/>
      <c r="DZ93" s="125"/>
      <c r="EA93" s="125"/>
      <c r="EB93" s="125"/>
      <c r="EC93" s="125"/>
      <c r="ED93" s="125"/>
      <c r="EE93" s="125"/>
      <c r="EF93" s="125"/>
      <c r="EG93" s="125"/>
      <c r="EH93" s="125"/>
      <c r="EI93" s="125"/>
      <c r="EJ93" s="125"/>
      <c r="EK93" s="125"/>
      <c r="EL93" s="125"/>
      <c r="EM93" s="125"/>
      <c r="EN93" s="125"/>
      <c r="EO93" s="125"/>
      <c r="EP93" s="125"/>
      <c r="EQ93" s="125"/>
      <c r="ER93" s="125"/>
      <c r="ES93" s="125"/>
      <c r="ET93" s="125"/>
      <c r="EU93" s="125"/>
      <c r="EV93" s="125"/>
      <c r="EW93" s="125"/>
      <c r="EX93" s="125"/>
      <c r="EY93" s="125"/>
      <c r="EZ93" s="125"/>
      <c r="FA93" s="125"/>
      <c r="FB93" s="125"/>
      <c r="FC93" s="125"/>
      <c r="FD93" s="125"/>
      <c r="FE93" s="125"/>
      <c r="FF93" s="125"/>
      <c r="FG93" s="125"/>
      <c r="FH93" s="125"/>
      <c r="FI93" s="125"/>
      <c r="FJ93" s="125"/>
      <c r="FK93" s="125"/>
      <c r="FL93" s="125"/>
      <c r="FM93" s="125"/>
      <c r="FN93" s="125"/>
      <c r="FO93" s="125"/>
      <c r="FP93" s="125"/>
      <c r="FQ93" s="125"/>
      <c r="FR93" s="125"/>
      <c r="FS93" s="125"/>
      <c r="FT93" s="125"/>
      <c r="FU93" s="125"/>
      <c r="FV93" s="125"/>
      <c r="FW93" s="125"/>
      <c r="FX93" s="125"/>
      <c r="FY93" s="125"/>
      <c r="FZ93" s="125"/>
      <c r="GA93" s="125"/>
      <c r="GB93" s="125"/>
      <c r="GC93" s="125"/>
      <c r="GD93" s="125"/>
      <c r="GE93" s="125"/>
      <c r="GF93" s="125"/>
      <c r="GG93" s="125"/>
      <c r="GH93" s="125"/>
      <c r="GI93" s="125"/>
      <c r="GJ93" s="125"/>
      <c r="GK93" s="125"/>
      <c r="GL93" s="125"/>
      <c r="GM93" s="125"/>
      <c r="GN93" s="125"/>
      <c r="GO93" s="125"/>
      <c r="GP93" s="125"/>
      <c r="GQ93" s="125"/>
      <c r="GR93" s="125"/>
      <c r="GS93" s="125"/>
      <c r="GT93" s="125"/>
      <c r="GU93" s="125"/>
      <c r="GV93" s="125"/>
      <c r="GW93" s="125"/>
      <c r="GX93" s="125"/>
      <c r="GY93" s="125"/>
      <c r="GZ93" s="125"/>
      <c r="HA93" s="125"/>
      <c r="HB93" s="125"/>
      <c r="HC93" s="125"/>
      <c r="HD93" s="125"/>
      <c r="HE93" s="125"/>
      <c r="HF93" s="125"/>
      <c r="HG93" s="125"/>
      <c r="HH93" s="125"/>
      <c r="HI93" s="125"/>
      <c r="HJ93" s="125"/>
      <c r="HK93" s="125"/>
      <c r="HL93" s="125"/>
      <c r="HM93" s="125"/>
      <c r="HN93" s="125"/>
      <c r="HO93" s="125"/>
      <c r="HP93" s="125"/>
      <c r="HQ93" s="125"/>
      <c r="HR93" s="125"/>
      <c r="HS93" s="125"/>
      <c r="HT93" s="125"/>
      <c r="HU93" s="125"/>
      <c r="HV93" s="125"/>
      <c r="HW93" s="125"/>
      <c r="HX93" s="125"/>
      <c r="HY93" s="125"/>
      <c r="HZ93" s="125"/>
      <c r="IA93" s="125"/>
      <c r="IB93" s="125"/>
      <c r="IC93" s="125"/>
      <c r="ID93" s="125"/>
      <c r="IE93" s="125"/>
      <c r="IF93" s="125"/>
      <c r="IG93" s="125"/>
      <c r="IH93" s="125"/>
      <c r="II93" s="125"/>
      <c r="IJ93" s="125"/>
      <c r="IK93" s="125"/>
      <c r="IL93" s="125"/>
      <c r="IM93" s="125"/>
      <c r="IN93" s="125"/>
      <c r="IO93" s="125"/>
      <c r="IP93" s="125"/>
      <c r="IQ93" s="125"/>
      <c r="IR93" s="125"/>
      <c r="IS93" s="125"/>
      <c r="IT93" s="125"/>
      <c r="IU93" s="125"/>
      <c r="IV93" s="125"/>
      <c r="IW93" s="125"/>
      <c r="IX93" s="125"/>
      <c r="IY93" s="125"/>
      <c r="IZ93" s="125"/>
      <c r="JA93" s="125"/>
      <c r="JB93" s="125"/>
      <c r="JC93" s="125"/>
      <c r="JD93" s="125"/>
      <c r="JE93" s="125"/>
      <c r="JF93" s="125"/>
      <c r="JG93" s="125"/>
      <c r="JH93" s="125"/>
      <c r="JI93" s="125"/>
      <c r="JJ93" s="125"/>
      <c r="JK93" s="125"/>
      <c r="JL93" s="125"/>
      <c r="JM93" s="125"/>
      <c r="JN93" s="125"/>
      <c r="JO93" s="125"/>
      <c r="JP93" s="125"/>
      <c r="JQ93" s="125"/>
      <c r="JR93" s="125"/>
      <c r="JS93" s="125"/>
      <c r="JT93" s="125"/>
      <c r="JU93" s="125"/>
      <c r="JV93" s="125"/>
      <c r="JW93" s="125"/>
      <c r="JX93" s="125"/>
      <c r="JY93" s="125"/>
      <c r="JZ93" s="125"/>
      <c r="KA93" s="125"/>
      <c r="KB93" s="125"/>
      <c r="KC93" s="125"/>
      <c r="KD93" s="125"/>
      <c r="KE93" s="125"/>
      <c r="KF93" s="125"/>
      <c r="KG93" s="125"/>
      <c r="KH93" s="125"/>
      <c r="KI93" s="125"/>
      <c r="KJ93" s="125"/>
      <c r="KK93" s="125"/>
      <c r="KL93" s="125"/>
      <c r="KM93" s="125"/>
      <c r="KN93" s="125"/>
      <c r="KO93" s="125"/>
      <c r="KP93" s="125"/>
      <c r="KQ93" s="125"/>
      <c r="KR93" s="125"/>
      <c r="KS93" s="125"/>
      <c r="KT93" s="125"/>
      <c r="KU93" s="125"/>
      <c r="KV93" s="125"/>
      <c r="KW93" s="125"/>
      <c r="KX93" s="125"/>
      <c r="KY93" s="125"/>
      <c r="KZ93" s="125"/>
      <c r="LA93" s="125"/>
      <c r="LB93" s="125"/>
      <c r="LC93" s="125"/>
      <c r="LD93" s="125"/>
      <c r="LE93" s="125"/>
      <c r="LF93" s="125"/>
      <c r="LG93" s="125"/>
      <c r="LH93" s="125"/>
      <c r="LI93" s="125"/>
      <c r="LJ93" s="125"/>
      <c r="LK93" s="125"/>
      <c r="LL93" s="125"/>
      <c r="LM93" s="125"/>
      <c r="LN93" s="125"/>
      <c r="LO93" s="125"/>
      <c r="LP93" s="125"/>
      <c r="LQ93" s="125"/>
    </row>
    <row r="94" spans="1:329" s="27" customFormat="1" ht="15" customHeight="1">
      <c r="A94" s="126">
        <v>1101222</v>
      </c>
      <c r="B94" s="132" t="s">
        <v>243</v>
      </c>
      <c r="C94" s="214" t="s">
        <v>244</v>
      </c>
      <c r="D94" s="122">
        <v>50</v>
      </c>
      <c r="E94" s="122">
        <f t="shared" si="2"/>
        <v>84.033613445378151</v>
      </c>
      <c r="F94" s="122">
        <f t="shared" si="3"/>
        <v>100</v>
      </c>
      <c r="G94" s="122"/>
      <c r="H94" s="122"/>
      <c r="I94" s="8"/>
      <c r="J94" s="11"/>
      <c r="K94" s="11"/>
      <c r="L94" s="11"/>
      <c r="M94" s="54" t="s">
        <v>28</v>
      </c>
      <c r="N94" s="8"/>
      <c r="O94" s="8"/>
      <c r="P94" s="8"/>
      <c r="Q94" s="11"/>
      <c r="R94" s="123">
        <v>7350057583241</v>
      </c>
      <c r="S94" s="124" t="s">
        <v>63</v>
      </c>
      <c r="T94" s="124">
        <v>3.3</v>
      </c>
      <c r="U94" s="124">
        <v>2.52</v>
      </c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25"/>
      <c r="AR94" s="125"/>
      <c r="AS94" s="125"/>
      <c r="AT94" s="125"/>
      <c r="AU94" s="125"/>
      <c r="AV94" s="125"/>
      <c r="AW94" s="125"/>
      <c r="AX94" s="125"/>
      <c r="AY94" s="125"/>
      <c r="AZ94" s="125"/>
      <c r="BA94" s="125"/>
      <c r="BB94" s="125"/>
      <c r="BC94" s="125"/>
      <c r="BD94" s="125"/>
      <c r="BE94" s="125"/>
      <c r="BF94" s="125"/>
      <c r="BG94" s="125"/>
      <c r="BH94" s="125"/>
      <c r="BI94" s="125"/>
      <c r="BJ94" s="125"/>
      <c r="BK94" s="125"/>
      <c r="BL94" s="125"/>
      <c r="BM94" s="125"/>
      <c r="BN94" s="125"/>
      <c r="BO94" s="125"/>
      <c r="BP94" s="125"/>
      <c r="BQ94" s="125"/>
      <c r="BR94" s="125"/>
      <c r="BS94" s="125"/>
      <c r="BT94" s="125"/>
      <c r="BU94" s="125"/>
      <c r="BV94" s="125"/>
      <c r="BW94" s="125"/>
      <c r="BX94" s="125"/>
      <c r="BY94" s="125"/>
      <c r="BZ94" s="125"/>
      <c r="CA94" s="125"/>
      <c r="CB94" s="125"/>
      <c r="CC94" s="125"/>
      <c r="CD94" s="125"/>
      <c r="CE94" s="125"/>
      <c r="CF94" s="125"/>
      <c r="CG94" s="125"/>
      <c r="CH94" s="125"/>
      <c r="CI94" s="125"/>
      <c r="CJ94" s="125"/>
      <c r="CK94" s="125"/>
      <c r="CL94" s="125"/>
      <c r="CM94" s="125"/>
      <c r="CN94" s="125"/>
      <c r="CO94" s="125"/>
      <c r="CP94" s="125"/>
      <c r="CQ94" s="125"/>
      <c r="CR94" s="125"/>
      <c r="CS94" s="125"/>
      <c r="CT94" s="125"/>
      <c r="CU94" s="125"/>
      <c r="CV94" s="125"/>
      <c r="CW94" s="125"/>
      <c r="CX94" s="125"/>
      <c r="CY94" s="125"/>
      <c r="CZ94" s="125"/>
      <c r="DA94" s="125"/>
      <c r="DB94" s="125"/>
      <c r="DC94" s="125"/>
      <c r="DD94" s="125"/>
      <c r="DE94" s="125"/>
      <c r="DF94" s="125"/>
      <c r="DG94" s="125"/>
      <c r="DH94" s="125"/>
      <c r="DI94" s="125"/>
      <c r="DJ94" s="125"/>
      <c r="DK94" s="125"/>
      <c r="DL94" s="125"/>
      <c r="DM94" s="125"/>
      <c r="DN94" s="125"/>
      <c r="DO94" s="125"/>
      <c r="DP94" s="125"/>
      <c r="DQ94" s="125"/>
      <c r="DR94" s="125"/>
      <c r="DS94" s="125"/>
      <c r="DT94" s="125"/>
      <c r="DU94" s="125"/>
      <c r="DV94" s="125"/>
      <c r="DW94" s="125"/>
      <c r="DX94" s="125"/>
      <c r="DY94" s="125"/>
      <c r="DZ94" s="125"/>
      <c r="EA94" s="125"/>
      <c r="EB94" s="125"/>
      <c r="EC94" s="125"/>
      <c r="ED94" s="125"/>
      <c r="EE94" s="125"/>
      <c r="EF94" s="125"/>
      <c r="EG94" s="125"/>
      <c r="EH94" s="125"/>
      <c r="EI94" s="125"/>
      <c r="EJ94" s="125"/>
      <c r="EK94" s="125"/>
      <c r="EL94" s="125"/>
      <c r="EM94" s="125"/>
      <c r="EN94" s="125"/>
      <c r="EO94" s="125"/>
      <c r="EP94" s="125"/>
      <c r="EQ94" s="125"/>
      <c r="ER94" s="125"/>
      <c r="ES94" s="125"/>
      <c r="ET94" s="125"/>
      <c r="EU94" s="125"/>
      <c r="EV94" s="125"/>
      <c r="EW94" s="125"/>
      <c r="EX94" s="125"/>
      <c r="EY94" s="125"/>
      <c r="EZ94" s="125"/>
      <c r="FA94" s="125"/>
      <c r="FB94" s="125"/>
      <c r="FC94" s="125"/>
      <c r="FD94" s="125"/>
      <c r="FE94" s="125"/>
      <c r="FF94" s="125"/>
      <c r="FG94" s="125"/>
      <c r="FH94" s="125"/>
      <c r="FI94" s="125"/>
      <c r="FJ94" s="125"/>
      <c r="FK94" s="125"/>
      <c r="FL94" s="125"/>
      <c r="FM94" s="125"/>
      <c r="FN94" s="125"/>
      <c r="FO94" s="125"/>
      <c r="FP94" s="125"/>
      <c r="FQ94" s="125"/>
      <c r="FR94" s="125"/>
      <c r="FS94" s="125"/>
      <c r="FT94" s="125"/>
      <c r="FU94" s="125"/>
      <c r="FV94" s="125"/>
      <c r="FW94" s="125"/>
      <c r="FX94" s="125"/>
      <c r="FY94" s="125"/>
      <c r="FZ94" s="125"/>
      <c r="GA94" s="125"/>
      <c r="GB94" s="125"/>
      <c r="GC94" s="125"/>
      <c r="GD94" s="125"/>
      <c r="GE94" s="125"/>
      <c r="GF94" s="125"/>
      <c r="GG94" s="125"/>
      <c r="GH94" s="125"/>
      <c r="GI94" s="125"/>
      <c r="GJ94" s="125"/>
      <c r="GK94" s="125"/>
      <c r="GL94" s="125"/>
      <c r="GM94" s="125"/>
      <c r="GN94" s="125"/>
      <c r="GO94" s="125"/>
      <c r="GP94" s="125"/>
      <c r="GQ94" s="125"/>
      <c r="GR94" s="125"/>
      <c r="GS94" s="125"/>
      <c r="GT94" s="125"/>
      <c r="GU94" s="125"/>
      <c r="GV94" s="125"/>
      <c r="GW94" s="125"/>
      <c r="GX94" s="125"/>
      <c r="GY94" s="125"/>
      <c r="GZ94" s="125"/>
      <c r="HA94" s="125"/>
      <c r="HB94" s="125"/>
      <c r="HC94" s="125"/>
      <c r="HD94" s="125"/>
      <c r="HE94" s="125"/>
      <c r="HF94" s="125"/>
      <c r="HG94" s="125"/>
      <c r="HH94" s="125"/>
      <c r="HI94" s="125"/>
      <c r="HJ94" s="125"/>
      <c r="HK94" s="125"/>
      <c r="HL94" s="125"/>
      <c r="HM94" s="125"/>
      <c r="HN94" s="125"/>
      <c r="HO94" s="125"/>
      <c r="HP94" s="125"/>
      <c r="HQ94" s="125"/>
      <c r="HR94" s="125"/>
      <c r="HS94" s="125"/>
      <c r="HT94" s="125"/>
      <c r="HU94" s="125"/>
      <c r="HV94" s="125"/>
      <c r="HW94" s="125"/>
      <c r="HX94" s="125"/>
      <c r="HY94" s="125"/>
      <c r="HZ94" s="125"/>
      <c r="IA94" s="125"/>
      <c r="IB94" s="125"/>
      <c r="IC94" s="125"/>
      <c r="ID94" s="125"/>
      <c r="IE94" s="125"/>
      <c r="IF94" s="125"/>
      <c r="IG94" s="125"/>
      <c r="IH94" s="125"/>
      <c r="II94" s="125"/>
      <c r="IJ94" s="125"/>
      <c r="IK94" s="125"/>
      <c r="IL94" s="125"/>
      <c r="IM94" s="125"/>
      <c r="IN94" s="125"/>
      <c r="IO94" s="125"/>
      <c r="IP94" s="125"/>
      <c r="IQ94" s="125"/>
      <c r="IR94" s="125"/>
      <c r="IS94" s="125"/>
      <c r="IT94" s="125"/>
      <c r="IU94" s="125"/>
      <c r="IV94" s="125"/>
      <c r="IW94" s="125"/>
      <c r="IX94" s="125"/>
      <c r="IY94" s="125"/>
      <c r="IZ94" s="125"/>
      <c r="JA94" s="125"/>
      <c r="JB94" s="125"/>
      <c r="JC94" s="125"/>
      <c r="JD94" s="125"/>
      <c r="JE94" s="125"/>
      <c r="JF94" s="125"/>
      <c r="JG94" s="125"/>
      <c r="JH94" s="125"/>
      <c r="JI94" s="125"/>
      <c r="JJ94" s="125"/>
      <c r="JK94" s="125"/>
      <c r="JL94" s="125"/>
      <c r="JM94" s="125"/>
      <c r="JN94" s="125"/>
      <c r="JO94" s="125"/>
      <c r="JP94" s="125"/>
      <c r="JQ94" s="125"/>
      <c r="JR94" s="125"/>
      <c r="JS94" s="125"/>
      <c r="JT94" s="125"/>
      <c r="JU94" s="125"/>
      <c r="JV94" s="125"/>
      <c r="JW94" s="125"/>
      <c r="JX94" s="125"/>
      <c r="JY94" s="125"/>
      <c r="JZ94" s="125"/>
      <c r="KA94" s="125"/>
      <c r="KB94" s="125"/>
      <c r="KC94" s="125"/>
      <c r="KD94" s="125"/>
      <c r="KE94" s="125"/>
      <c r="KF94" s="125"/>
      <c r="KG94" s="125"/>
      <c r="KH94" s="125"/>
      <c r="KI94" s="125"/>
      <c r="KJ94" s="125"/>
      <c r="KK94" s="125"/>
      <c r="KL94" s="125"/>
      <c r="KM94" s="125"/>
      <c r="KN94" s="125"/>
      <c r="KO94" s="125"/>
      <c r="KP94" s="125"/>
      <c r="KQ94" s="125"/>
      <c r="KR94" s="125"/>
      <c r="KS94" s="125"/>
      <c r="KT94" s="125"/>
      <c r="KU94" s="125"/>
      <c r="KV94" s="125"/>
      <c r="KW94" s="125"/>
      <c r="KX94" s="125"/>
      <c r="KY94" s="125"/>
      <c r="KZ94" s="125"/>
      <c r="LA94" s="125"/>
      <c r="LB94" s="125"/>
      <c r="LC94" s="125"/>
      <c r="LD94" s="125"/>
      <c r="LE94" s="125"/>
      <c r="LF94" s="125"/>
      <c r="LG94" s="125"/>
      <c r="LH94" s="125"/>
      <c r="LI94" s="125"/>
      <c r="LJ94" s="125"/>
      <c r="LK94" s="125"/>
      <c r="LL94" s="125"/>
      <c r="LM94" s="125"/>
      <c r="LN94" s="125"/>
      <c r="LO94" s="125"/>
      <c r="LP94" s="125"/>
      <c r="LQ94" s="125"/>
    </row>
    <row r="95" spans="1:329" s="27" customFormat="1" ht="15" customHeight="1">
      <c r="A95" s="126">
        <v>1101223</v>
      </c>
      <c r="B95" s="132" t="s">
        <v>245</v>
      </c>
      <c r="C95" s="216" t="s">
        <v>246</v>
      </c>
      <c r="D95" s="122">
        <v>50</v>
      </c>
      <c r="E95" s="122">
        <f t="shared" si="2"/>
        <v>84.033613445378151</v>
      </c>
      <c r="F95" s="122">
        <f t="shared" si="3"/>
        <v>100</v>
      </c>
      <c r="G95" s="122"/>
      <c r="H95" s="122"/>
      <c r="I95" s="8"/>
      <c r="J95" s="11"/>
      <c r="K95" s="8"/>
      <c r="L95" s="8"/>
      <c r="M95" s="38" t="s">
        <v>28</v>
      </c>
      <c r="N95" s="8"/>
      <c r="O95" s="8"/>
      <c r="P95" s="8"/>
      <c r="Q95" s="8"/>
      <c r="R95" s="123">
        <v>7350057583258</v>
      </c>
      <c r="S95" s="124" t="s">
        <v>63</v>
      </c>
      <c r="T95" s="124">
        <v>3.3</v>
      </c>
      <c r="U95" s="124">
        <v>2.52</v>
      </c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25"/>
      <c r="AR95" s="125"/>
      <c r="AS95" s="125"/>
      <c r="AT95" s="125"/>
      <c r="AU95" s="125"/>
      <c r="AV95" s="125"/>
      <c r="AW95" s="125"/>
      <c r="AX95" s="125"/>
      <c r="AY95" s="125"/>
      <c r="AZ95" s="125"/>
      <c r="BA95" s="125"/>
      <c r="BB95" s="125"/>
      <c r="BC95" s="125"/>
      <c r="BD95" s="125"/>
      <c r="BE95" s="125"/>
      <c r="BF95" s="125"/>
      <c r="BG95" s="125"/>
      <c r="BH95" s="125"/>
      <c r="BI95" s="125"/>
      <c r="BJ95" s="125"/>
      <c r="BK95" s="125"/>
      <c r="BL95" s="125"/>
      <c r="BM95" s="125"/>
      <c r="BN95" s="125"/>
      <c r="BO95" s="125"/>
      <c r="BP95" s="125"/>
      <c r="BQ95" s="125"/>
      <c r="BR95" s="125"/>
      <c r="BS95" s="125"/>
      <c r="BT95" s="125"/>
      <c r="BU95" s="125"/>
      <c r="BV95" s="125"/>
      <c r="BW95" s="125"/>
      <c r="BX95" s="125"/>
      <c r="BY95" s="125"/>
      <c r="BZ95" s="125"/>
      <c r="CA95" s="125"/>
      <c r="CB95" s="125"/>
      <c r="CC95" s="125"/>
      <c r="CD95" s="125"/>
      <c r="CE95" s="125"/>
      <c r="CF95" s="125"/>
      <c r="CG95" s="125"/>
      <c r="CH95" s="125"/>
      <c r="CI95" s="125"/>
      <c r="CJ95" s="125"/>
      <c r="CK95" s="125"/>
      <c r="CL95" s="125"/>
      <c r="CM95" s="125"/>
      <c r="CN95" s="125"/>
      <c r="CO95" s="125"/>
      <c r="CP95" s="125"/>
      <c r="CQ95" s="125"/>
      <c r="CR95" s="125"/>
      <c r="CS95" s="125"/>
      <c r="CT95" s="125"/>
      <c r="CU95" s="125"/>
      <c r="CV95" s="125"/>
      <c r="CW95" s="125"/>
      <c r="CX95" s="125"/>
      <c r="CY95" s="125"/>
      <c r="CZ95" s="125"/>
      <c r="DA95" s="125"/>
      <c r="DB95" s="125"/>
      <c r="DC95" s="125"/>
      <c r="DD95" s="125"/>
      <c r="DE95" s="125"/>
      <c r="DF95" s="125"/>
      <c r="DG95" s="125"/>
      <c r="DH95" s="125"/>
      <c r="DI95" s="125"/>
      <c r="DJ95" s="125"/>
      <c r="DK95" s="125"/>
      <c r="DL95" s="125"/>
      <c r="DM95" s="125"/>
      <c r="DN95" s="125"/>
      <c r="DO95" s="125"/>
      <c r="DP95" s="125"/>
      <c r="DQ95" s="125"/>
      <c r="DR95" s="125"/>
      <c r="DS95" s="125"/>
      <c r="DT95" s="125"/>
      <c r="DU95" s="125"/>
      <c r="DV95" s="125"/>
      <c r="DW95" s="125"/>
      <c r="DX95" s="125"/>
      <c r="DY95" s="125"/>
      <c r="DZ95" s="125"/>
      <c r="EA95" s="125"/>
      <c r="EB95" s="125"/>
      <c r="EC95" s="125"/>
      <c r="ED95" s="125"/>
      <c r="EE95" s="125"/>
      <c r="EF95" s="125"/>
      <c r="EG95" s="125"/>
      <c r="EH95" s="125"/>
      <c r="EI95" s="125"/>
      <c r="EJ95" s="125"/>
      <c r="EK95" s="125"/>
      <c r="EL95" s="125"/>
      <c r="EM95" s="125"/>
      <c r="EN95" s="125"/>
      <c r="EO95" s="125"/>
      <c r="EP95" s="125"/>
      <c r="EQ95" s="125"/>
      <c r="ER95" s="125"/>
      <c r="ES95" s="125"/>
      <c r="ET95" s="125"/>
      <c r="EU95" s="125"/>
      <c r="EV95" s="125"/>
      <c r="EW95" s="125"/>
      <c r="EX95" s="125"/>
      <c r="EY95" s="125"/>
      <c r="EZ95" s="125"/>
      <c r="FA95" s="125"/>
      <c r="FB95" s="125"/>
      <c r="FC95" s="125"/>
      <c r="FD95" s="125"/>
      <c r="FE95" s="125"/>
      <c r="FF95" s="125"/>
      <c r="FG95" s="125"/>
      <c r="FH95" s="125"/>
      <c r="FI95" s="125"/>
      <c r="FJ95" s="125"/>
      <c r="FK95" s="125"/>
      <c r="FL95" s="125"/>
      <c r="FM95" s="125"/>
      <c r="FN95" s="125"/>
      <c r="FO95" s="125"/>
      <c r="FP95" s="125"/>
      <c r="FQ95" s="125"/>
      <c r="FR95" s="125"/>
      <c r="FS95" s="125"/>
      <c r="FT95" s="125"/>
      <c r="FU95" s="125"/>
      <c r="FV95" s="125"/>
      <c r="FW95" s="125"/>
      <c r="FX95" s="125"/>
      <c r="FY95" s="125"/>
      <c r="FZ95" s="125"/>
      <c r="GA95" s="125"/>
      <c r="GB95" s="125"/>
      <c r="GC95" s="125"/>
      <c r="GD95" s="125"/>
      <c r="GE95" s="125"/>
      <c r="GF95" s="125"/>
      <c r="GG95" s="125"/>
      <c r="GH95" s="125"/>
      <c r="GI95" s="125"/>
      <c r="GJ95" s="125"/>
      <c r="GK95" s="125"/>
      <c r="GL95" s="125"/>
      <c r="GM95" s="125"/>
      <c r="GN95" s="125"/>
      <c r="GO95" s="125"/>
      <c r="GP95" s="125"/>
      <c r="GQ95" s="125"/>
      <c r="GR95" s="125"/>
      <c r="GS95" s="125"/>
      <c r="GT95" s="125"/>
      <c r="GU95" s="125"/>
      <c r="GV95" s="125"/>
      <c r="GW95" s="125"/>
      <c r="GX95" s="125"/>
      <c r="GY95" s="125"/>
      <c r="GZ95" s="125"/>
      <c r="HA95" s="125"/>
      <c r="HB95" s="125"/>
      <c r="HC95" s="125"/>
      <c r="HD95" s="125"/>
      <c r="HE95" s="125"/>
      <c r="HF95" s="125"/>
      <c r="HG95" s="125"/>
      <c r="HH95" s="125"/>
      <c r="HI95" s="125"/>
      <c r="HJ95" s="125"/>
      <c r="HK95" s="125"/>
      <c r="HL95" s="125"/>
      <c r="HM95" s="125"/>
      <c r="HN95" s="125"/>
      <c r="HO95" s="125"/>
      <c r="HP95" s="125"/>
      <c r="HQ95" s="125"/>
      <c r="HR95" s="125"/>
      <c r="HS95" s="125"/>
      <c r="HT95" s="125"/>
      <c r="HU95" s="125"/>
      <c r="HV95" s="125"/>
      <c r="HW95" s="125"/>
      <c r="HX95" s="125"/>
      <c r="HY95" s="125"/>
      <c r="HZ95" s="125"/>
      <c r="IA95" s="125"/>
      <c r="IB95" s="125"/>
      <c r="IC95" s="125"/>
      <c r="ID95" s="125"/>
      <c r="IE95" s="125"/>
      <c r="IF95" s="125"/>
      <c r="IG95" s="125"/>
      <c r="IH95" s="125"/>
      <c r="II95" s="125"/>
      <c r="IJ95" s="125"/>
      <c r="IK95" s="125"/>
      <c r="IL95" s="125"/>
      <c r="IM95" s="125"/>
      <c r="IN95" s="125"/>
      <c r="IO95" s="125"/>
      <c r="IP95" s="125"/>
      <c r="IQ95" s="125"/>
      <c r="IR95" s="125"/>
      <c r="IS95" s="125"/>
      <c r="IT95" s="125"/>
      <c r="IU95" s="125"/>
      <c r="IV95" s="125"/>
      <c r="IW95" s="125"/>
      <c r="IX95" s="125"/>
      <c r="IY95" s="125"/>
      <c r="IZ95" s="125"/>
      <c r="JA95" s="125"/>
      <c r="JB95" s="125"/>
      <c r="JC95" s="125"/>
      <c r="JD95" s="125"/>
      <c r="JE95" s="125"/>
      <c r="JF95" s="125"/>
      <c r="JG95" s="125"/>
      <c r="JH95" s="125"/>
      <c r="JI95" s="125"/>
      <c r="JJ95" s="125"/>
      <c r="JK95" s="125"/>
      <c r="JL95" s="125"/>
      <c r="JM95" s="125"/>
      <c r="JN95" s="125"/>
      <c r="JO95" s="125"/>
      <c r="JP95" s="125"/>
      <c r="JQ95" s="125"/>
      <c r="JR95" s="125"/>
      <c r="JS95" s="125"/>
      <c r="JT95" s="125"/>
      <c r="JU95" s="125"/>
      <c r="JV95" s="125"/>
      <c r="JW95" s="125"/>
      <c r="JX95" s="125"/>
      <c r="JY95" s="125"/>
      <c r="JZ95" s="125"/>
      <c r="KA95" s="125"/>
      <c r="KB95" s="125"/>
      <c r="KC95" s="125"/>
      <c r="KD95" s="125"/>
      <c r="KE95" s="125"/>
      <c r="KF95" s="125"/>
      <c r="KG95" s="125"/>
      <c r="KH95" s="125"/>
      <c r="KI95" s="125"/>
      <c r="KJ95" s="125"/>
      <c r="KK95" s="125"/>
      <c r="KL95" s="125"/>
      <c r="KM95" s="125"/>
      <c r="KN95" s="125"/>
      <c r="KO95" s="125"/>
      <c r="KP95" s="125"/>
      <c r="KQ95" s="125"/>
      <c r="KR95" s="125"/>
      <c r="KS95" s="125"/>
      <c r="KT95" s="125"/>
      <c r="KU95" s="125"/>
      <c r="KV95" s="125"/>
      <c r="KW95" s="125"/>
      <c r="KX95" s="125"/>
      <c r="KY95" s="125"/>
      <c r="KZ95" s="125"/>
      <c r="LA95" s="125"/>
      <c r="LB95" s="125"/>
      <c r="LC95" s="125"/>
      <c r="LD95" s="125"/>
      <c r="LE95" s="125"/>
      <c r="LF95" s="125"/>
      <c r="LG95" s="125"/>
      <c r="LH95" s="125"/>
      <c r="LI95" s="125"/>
      <c r="LJ95" s="125"/>
      <c r="LK95" s="125"/>
      <c r="LL95" s="125"/>
      <c r="LM95" s="125"/>
      <c r="LN95" s="125"/>
      <c r="LO95" s="125"/>
      <c r="LP95" s="125"/>
      <c r="LQ95" s="125"/>
    </row>
    <row r="96" spans="1:329" s="27" customFormat="1" ht="15" customHeight="1">
      <c r="A96" s="126">
        <v>1101224</v>
      </c>
      <c r="B96" s="132" t="s">
        <v>247</v>
      </c>
      <c r="C96" s="214" t="s">
        <v>248</v>
      </c>
      <c r="D96" s="122">
        <v>50</v>
      </c>
      <c r="E96" s="122">
        <f t="shared" si="2"/>
        <v>84.033613445378151</v>
      </c>
      <c r="F96" s="122">
        <f t="shared" si="3"/>
        <v>100</v>
      </c>
      <c r="G96" s="122"/>
      <c r="H96" s="122"/>
      <c r="I96" s="8"/>
      <c r="J96" s="11"/>
      <c r="K96" s="11"/>
      <c r="L96" s="11"/>
      <c r="M96" s="54" t="s">
        <v>28</v>
      </c>
      <c r="N96" s="11"/>
      <c r="O96" s="11"/>
      <c r="P96" s="11"/>
      <c r="Q96" s="11"/>
      <c r="R96" s="123">
        <v>7350057583265</v>
      </c>
      <c r="S96" s="124" t="s">
        <v>63</v>
      </c>
      <c r="T96" s="124">
        <v>3.3</v>
      </c>
      <c r="U96" s="124">
        <v>2.52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25"/>
      <c r="AR96" s="125"/>
      <c r="AS96" s="125"/>
      <c r="AT96" s="125"/>
      <c r="AU96" s="125"/>
      <c r="AV96" s="125"/>
      <c r="AW96" s="125"/>
      <c r="AX96" s="125"/>
      <c r="AY96" s="125"/>
      <c r="AZ96" s="125"/>
      <c r="BA96" s="125"/>
      <c r="BB96" s="125"/>
      <c r="BC96" s="125"/>
      <c r="BD96" s="125"/>
      <c r="BE96" s="125"/>
      <c r="BF96" s="125"/>
      <c r="BG96" s="125"/>
      <c r="BH96" s="125"/>
      <c r="BI96" s="125"/>
      <c r="BJ96" s="125"/>
      <c r="BK96" s="125"/>
      <c r="BL96" s="125"/>
      <c r="BM96" s="125"/>
      <c r="BN96" s="125"/>
      <c r="BO96" s="125"/>
      <c r="BP96" s="125"/>
      <c r="BQ96" s="125"/>
      <c r="BR96" s="125"/>
      <c r="BS96" s="125"/>
      <c r="BT96" s="125"/>
      <c r="BU96" s="125"/>
      <c r="BV96" s="125"/>
      <c r="BW96" s="125"/>
      <c r="BX96" s="125"/>
      <c r="BY96" s="125"/>
      <c r="BZ96" s="125"/>
      <c r="CA96" s="125"/>
      <c r="CB96" s="125"/>
      <c r="CC96" s="125"/>
      <c r="CD96" s="125"/>
      <c r="CE96" s="125"/>
      <c r="CF96" s="125"/>
      <c r="CG96" s="125"/>
      <c r="CH96" s="125"/>
      <c r="CI96" s="125"/>
      <c r="CJ96" s="125"/>
      <c r="CK96" s="125"/>
      <c r="CL96" s="125"/>
      <c r="CM96" s="125"/>
      <c r="CN96" s="125"/>
      <c r="CO96" s="125"/>
      <c r="CP96" s="125"/>
      <c r="CQ96" s="125"/>
      <c r="CR96" s="125"/>
      <c r="CS96" s="125"/>
      <c r="CT96" s="125"/>
      <c r="CU96" s="125"/>
      <c r="CV96" s="125"/>
      <c r="CW96" s="125"/>
      <c r="CX96" s="125"/>
      <c r="CY96" s="125"/>
      <c r="CZ96" s="125"/>
      <c r="DA96" s="125"/>
      <c r="DB96" s="125"/>
      <c r="DC96" s="125"/>
      <c r="DD96" s="125"/>
      <c r="DE96" s="125"/>
      <c r="DF96" s="125"/>
      <c r="DG96" s="125"/>
      <c r="DH96" s="125"/>
      <c r="DI96" s="125"/>
      <c r="DJ96" s="125"/>
      <c r="DK96" s="125"/>
      <c r="DL96" s="125"/>
      <c r="DM96" s="125"/>
      <c r="DN96" s="125"/>
      <c r="DO96" s="125"/>
      <c r="DP96" s="125"/>
      <c r="DQ96" s="125"/>
      <c r="DR96" s="125"/>
      <c r="DS96" s="125"/>
      <c r="DT96" s="125"/>
      <c r="DU96" s="125"/>
      <c r="DV96" s="125"/>
      <c r="DW96" s="125"/>
      <c r="DX96" s="125"/>
      <c r="DY96" s="125"/>
      <c r="DZ96" s="125"/>
      <c r="EA96" s="125"/>
      <c r="EB96" s="125"/>
      <c r="EC96" s="125"/>
      <c r="ED96" s="125"/>
      <c r="EE96" s="125"/>
      <c r="EF96" s="125"/>
      <c r="EG96" s="125"/>
      <c r="EH96" s="125"/>
      <c r="EI96" s="125"/>
      <c r="EJ96" s="125"/>
      <c r="EK96" s="125"/>
      <c r="EL96" s="125"/>
      <c r="EM96" s="125"/>
      <c r="EN96" s="125"/>
      <c r="EO96" s="125"/>
      <c r="EP96" s="125"/>
      <c r="EQ96" s="125"/>
      <c r="ER96" s="125"/>
      <c r="ES96" s="125"/>
      <c r="ET96" s="125"/>
      <c r="EU96" s="125"/>
      <c r="EV96" s="125"/>
      <c r="EW96" s="125"/>
      <c r="EX96" s="125"/>
      <c r="EY96" s="125"/>
      <c r="EZ96" s="125"/>
      <c r="FA96" s="125"/>
      <c r="FB96" s="125"/>
      <c r="FC96" s="125"/>
      <c r="FD96" s="125"/>
      <c r="FE96" s="125"/>
      <c r="FF96" s="125"/>
      <c r="FG96" s="125"/>
      <c r="FH96" s="125"/>
      <c r="FI96" s="125"/>
      <c r="FJ96" s="125"/>
      <c r="FK96" s="125"/>
      <c r="FL96" s="125"/>
      <c r="FM96" s="125"/>
      <c r="FN96" s="125"/>
      <c r="FO96" s="125"/>
      <c r="FP96" s="125"/>
      <c r="FQ96" s="125"/>
      <c r="FR96" s="125"/>
      <c r="FS96" s="125"/>
      <c r="FT96" s="125"/>
      <c r="FU96" s="125"/>
      <c r="FV96" s="125"/>
      <c r="FW96" s="125"/>
      <c r="FX96" s="125"/>
      <c r="FY96" s="125"/>
      <c r="FZ96" s="125"/>
      <c r="GA96" s="125"/>
      <c r="GB96" s="125"/>
      <c r="GC96" s="125"/>
      <c r="GD96" s="125"/>
      <c r="GE96" s="125"/>
      <c r="GF96" s="125"/>
      <c r="GG96" s="125"/>
      <c r="GH96" s="125"/>
      <c r="GI96" s="125"/>
      <c r="GJ96" s="125"/>
      <c r="GK96" s="125"/>
      <c r="GL96" s="125"/>
      <c r="GM96" s="125"/>
      <c r="GN96" s="125"/>
      <c r="GO96" s="125"/>
      <c r="GP96" s="125"/>
      <c r="GQ96" s="125"/>
      <c r="GR96" s="125"/>
      <c r="GS96" s="125"/>
      <c r="GT96" s="125"/>
      <c r="GU96" s="125"/>
      <c r="GV96" s="125"/>
      <c r="GW96" s="125"/>
      <c r="GX96" s="125"/>
      <c r="GY96" s="125"/>
      <c r="GZ96" s="125"/>
      <c r="HA96" s="125"/>
      <c r="HB96" s="125"/>
      <c r="HC96" s="125"/>
      <c r="HD96" s="125"/>
      <c r="HE96" s="125"/>
      <c r="HF96" s="125"/>
      <c r="HG96" s="125"/>
      <c r="HH96" s="125"/>
      <c r="HI96" s="125"/>
      <c r="HJ96" s="125"/>
      <c r="HK96" s="125"/>
      <c r="HL96" s="125"/>
      <c r="HM96" s="125"/>
      <c r="HN96" s="125"/>
      <c r="HO96" s="125"/>
      <c r="HP96" s="125"/>
      <c r="HQ96" s="125"/>
      <c r="HR96" s="125"/>
      <c r="HS96" s="125"/>
      <c r="HT96" s="125"/>
      <c r="HU96" s="125"/>
      <c r="HV96" s="125"/>
      <c r="HW96" s="125"/>
      <c r="HX96" s="125"/>
      <c r="HY96" s="125"/>
      <c r="HZ96" s="125"/>
      <c r="IA96" s="125"/>
      <c r="IB96" s="125"/>
      <c r="IC96" s="125"/>
      <c r="ID96" s="125"/>
      <c r="IE96" s="125"/>
      <c r="IF96" s="125"/>
      <c r="IG96" s="125"/>
      <c r="IH96" s="125"/>
      <c r="II96" s="125"/>
      <c r="IJ96" s="125"/>
      <c r="IK96" s="125"/>
      <c r="IL96" s="125"/>
      <c r="IM96" s="125"/>
      <c r="IN96" s="125"/>
      <c r="IO96" s="125"/>
      <c r="IP96" s="125"/>
      <c r="IQ96" s="125"/>
      <c r="IR96" s="125"/>
      <c r="IS96" s="125"/>
      <c r="IT96" s="125"/>
      <c r="IU96" s="125"/>
      <c r="IV96" s="125"/>
      <c r="IW96" s="125"/>
      <c r="IX96" s="125"/>
      <c r="IY96" s="125"/>
      <c r="IZ96" s="125"/>
      <c r="JA96" s="125"/>
      <c r="JB96" s="125"/>
      <c r="JC96" s="125"/>
      <c r="JD96" s="125"/>
      <c r="JE96" s="125"/>
      <c r="JF96" s="125"/>
      <c r="JG96" s="125"/>
      <c r="JH96" s="125"/>
      <c r="JI96" s="125"/>
      <c r="JJ96" s="125"/>
      <c r="JK96" s="125"/>
      <c r="JL96" s="125"/>
      <c r="JM96" s="125"/>
      <c r="JN96" s="125"/>
      <c r="JO96" s="125"/>
      <c r="JP96" s="125"/>
      <c r="JQ96" s="125"/>
      <c r="JR96" s="125"/>
      <c r="JS96" s="125"/>
      <c r="JT96" s="125"/>
      <c r="JU96" s="125"/>
      <c r="JV96" s="125"/>
      <c r="JW96" s="125"/>
      <c r="JX96" s="125"/>
      <c r="JY96" s="125"/>
      <c r="JZ96" s="125"/>
      <c r="KA96" s="125"/>
      <c r="KB96" s="125"/>
      <c r="KC96" s="125"/>
      <c r="KD96" s="125"/>
      <c r="KE96" s="125"/>
      <c r="KF96" s="125"/>
      <c r="KG96" s="125"/>
      <c r="KH96" s="125"/>
      <c r="KI96" s="125"/>
      <c r="KJ96" s="125"/>
      <c r="KK96" s="125"/>
      <c r="KL96" s="125"/>
      <c r="KM96" s="125"/>
      <c r="KN96" s="125"/>
      <c r="KO96" s="125"/>
      <c r="KP96" s="125"/>
      <c r="KQ96" s="125"/>
      <c r="KR96" s="125"/>
      <c r="KS96" s="125"/>
      <c r="KT96" s="125"/>
      <c r="KU96" s="125"/>
      <c r="KV96" s="125"/>
      <c r="KW96" s="125"/>
      <c r="KX96" s="125"/>
      <c r="KY96" s="125"/>
      <c r="KZ96" s="125"/>
      <c r="LA96" s="125"/>
      <c r="LB96" s="125"/>
      <c r="LC96" s="125"/>
      <c r="LD96" s="125"/>
      <c r="LE96" s="125"/>
      <c r="LF96" s="125"/>
      <c r="LG96" s="125"/>
      <c r="LH96" s="125"/>
      <c r="LI96" s="125"/>
      <c r="LJ96" s="125"/>
      <c r="LK96" s="125"/>
      <c r="LL96" s="125"/>
      <c r="LM96" s="125"/>
      <c r="LN96" s="125"/>
      <c r="LO96" s="125"/>
      <c r="LP96" s="125"/>
      <c r="LQ96" s="134"/>
    </row>
    <row r="97" spans="1:329" s="27" customFormat="1" ht="15" customHeight="1">
      <c r="A97" s="126">
        <v>1101225</v>
      </c>
      <c r="B97" s="127" t="s">
        <v>249</v>
      </c>
      <c r="C97" s="216" t="s">
        <v>250</v>
      </c>
      <c r="D97" s="122">
        <v>50</v>
      </c>
      <c r="E97" s="122">
        <f t="shared" si="2"/>
        <v>84.033613445378151</v>
      </c>
      <c r="F97" s="122">
        <f t="shared" si="3"/>
        <v>100</v>
      </c>
      <c r="G97" s="122"/>
      <c r="H97" s="122"/>
      <c r="I97" s="8"/>
      <c r="J97" s="11"/>
      <c r="K97" s="8"/>
      <c r="L97" s="8"/>
      <c r="M97" s="8"/>
      <c r="N97" s="38" t="s">
        <v>28</v>
      </c>
      <c r="O97" s="8"/>
      <c r="P97" s="8"/>
      <c r="Q97" s="8"/>
      <c r="R97" s="123">
        <v>7350057583272</v>
      </c>
      <c r="S97" s="124" t="s">
        <v>63</v>
      </c>
      <c r="T97" s="124">
        <v>3.2</v>
      </c>
      <c r="U97" s="124">
        <v>2.42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25"/>
      <c r="AR97" s="125"/>
      <c r="AS97" s="125"/>
      <c r="AT97" s="125"/>
      <c r="AU97" s="125"/>
      <c r="AV97" s="125"/>
      <c r="AW97" s="125"/>
      <c r="AX97" s="125"/>
      <c r="AY97" s="125"/>
      <c r="AZ97" s="125"/>
      <c r="BA97" s="125"/>
      <c r="BB97" s="125"/>
      <c r="BC97" s="125"/>
      <c r="BD97" s="125"/>
      <c r="BE97" s="125"/>
      <c r="BF97" s="125"/>
      <c r="BG97" s="125"/>
      <c r="BH97" s="125"/>
      <c r="BI97" s="125"/>
      <c r="BJ97" s="125"/>
      <c r="BK97" s="125"/>
      <c r="BL97" s="125"/>
      <c r="BM97" s="125"/>
      <c r="BN97" s="125"/>
      <c r="BO97" s="125"/>
      <c r="BP97" s="125"/>
      <c r="BQ97" s="125"/>
      <c r="BR97" s="125"/>
      <c r="BS97" s="125"/>
      <c r="BT97" s="125"/>
      <c r="BU97" s="125"/>
      <c r="BV97" s="125"/>
      <c r="BW97" s="125"/>
      <c r="BX97" s="125"/>
      <c r="BY97" s="125"/>
      <c r="BZ97" s="125"/>
      <c r="CA97" s="125"/>
      <c r="CB97" s="125"/>
      <c r="CC97" s="125"/>
      <c r="CD97" s="125"/>
      <c r="CE97" s="125"/>
      <c r="CF97" s="125"/>
      <c r="CG97" s="125"/>
      <c r="CH97" s="125"/>
      <c r="CI97" s="125"/>
      <c r="CJ97" s="125"/>
      <c r="CK97" s="125"/>
      <c r="CL97" s="125"/>
      <c r="CM97" s="125"/>
      <c r="CN97" s="125"/>
      <c r="CO97" s="125"/>
      <c r="CP97" s="125"/>
      <c r="CQ97" s="125"/>
      <c r="CR97" s="125"/>
      <c r="CS97" s="125"/>
      <c r="CT97" s="125"/>
      <c r="CU97" s="125"/>
      <c r="CV97" s="125"/>
      <c r="CW97" s="125"/>
      <c r="CX97" s="125"/>
      <c r="CY97" s="125"/>
      <c r="CZ97" s="125"/>
      <c r="DA97" s="125"/>
      <c r="DB97" s="125"/>
      <c r="DC97" s="125"/>
      <c r="DD97" s="125"/>
      <c r="DE97" s="125"/>
      <c r="DF97" s="125"/>
      <c r="DG97" s="125"/>
      <c r="DH97" s="125"/>
      <c r="DI97" s="125"/>
      <c r="DJ97" s="125"/>
      <c r="DK97" s="125"/>
      <c r="DL97" s="125"/>
      <c r="DM97" s="125"/>
      <c r="DN97" s="125"/>
      <c r="DO97" s="125"/>
      <c r="DP97" s="125"/>
      <c r="DQ97" s="125"/>
      <c r="DR97" s="125"/>
      <c r="DS97" s="125"/>
      <c r="DT97" s="125"/>
      <c r="DU97" s="125"/>
      <c r="DV97" s="125"/>
      <c r="DW97" s="125"/>
      <c r="DX97" s="125"/>
      <c r="DY97" s="125"/>
      <c r="DZ97" s="125"/>
      <c r="EA97" s="125"/>
      <c r="EB97" s="125"/>
      <c r="EC97" s="125"/>
      <c r="ED97" s="125"/>
      <c r="EE97" s="125"/>
      <c r="EF97" s="125"/>
      <c r="EG97" s="125"/>
      <c r="EH97" s="125"/>
      <c r="EI97" s="125"/>
      <c r="EJ97" s="125"/>
      <c r="EK97" s="125"/>
      <c r="EL97" s="125"/>
      <c r="EM97" s="125"/>
      <c r="EN97" s="125"/>
      <c r="EO97" s="125"/>
      <c r="EP97" s="125"/>
      <c r="EQ97" s="125"/>
      <c r="ER97" s="125"/>
      <c r="ES97" s="125"/>
      <c r="ET97" s="125"/>
      <c r="EU97" s="125"/>
      <c r="EV97" s="125"/>
      <c r="EW97" s="125"/>
      <c r="EX97" s="125"/>
      <c r="EY97" s="125"/>
      <c r="EZ97" s="125"/>
      <c r="FA97" s="125"/>
      <c r="FB97" s="125"/>
      <c r="FC97" s="125"/>
      <c r="FD97" s="125"/>
      <c r="FE97" s="125"/>
      <c r="FF97" s="125"/>
      <c r="FG97" s="125"/>
      <c r="FH97" s="125"/>
      <c r="FI97" s="125"/>
      <c r="FJ97" s="125"/>
      <c r="FK97" s="125"/>
      <c r="FL97" s="125"/>
      <c r="FM97" s="125"/>
      <c r="FN97" s="125"/>
      <c r="FO97" s="125"/>
      <c r="FP97" s="125"/>
      <c r="FQ97" s="125"/>
      <c r="FR97" s="125"/>
      <c r="FS97" s="125"/>
      <c r="FT97" s="125"/>
      <c r="FU97" s="125"/>
      <c r="FV97" s="125"/>
      <c r="FW97" s="125"/>
      <c r="FX97" s="125"/>
      <c r="FY97" s="125"/>
      <c r="FZ97" s="125"/>
      <c r="GA97" s="125"/>
      <c r="GB97" s="125"/>
      <c r="GC97" s="125"/>
      <c r="GD97" s="125"/>
      <c r="GE97" s="125"/>
      <c r="GF97" s="125"/>
      <c r="GG97" s="125"/>
      <c r="GH97" s="125"/>
      <c r="GI97" s="125"/>
      <c r="GJ97" s="125"/>
      <c r="GK97" s="125"/>
      <c r="GL97" s="125"/>
      <c r="GM97" s="125"/>
      <c r="GN97" s="125"/>
      <c r="GO97" s="125"/>
      <c r="GP97" s="125"/>
      <c r="GQ97" s="125"/>
      <c r="GR97" s="125"/>
      <c r="GS97" s="125"/>
      <c r="GT97" s="125"/>
      <c r="GU97" s="125"/>
      <c r="GV97" s="125"/>
      <c r="GW97" s="125"/>
      <c r="GX97" s="125"/>
      <c r="GY97" s="125"/>
      <c r="GZ97" s="125"/>
      <c r="HA97" s="125"/>
      <c r="HB97" s="125"/>
      <c r="HC97" s="125"/>
      <c r="HD97" s="125"/>
      <c r="HE97" s="125"/>
      <c r="HF97" s="125"/>
      <c r="HG97" s="125"/>
      <c r="HH97" s="125"/>
      <c r="HI97" s="125"/>
      <c r="HJ97" s="125"/>
      <c r="HK97" s="125"/>
      <c r="HL97" s="125"/>
      <c r="HM97" s="125"/>
      <c r="HN97" s="125"/>
      <c r="HO97" s="125"/>
      <c r="HP97" s="125"/>
      <c r="HQ97" s="125"/>
      <c r="HR97" s="125"/>
      <c r="HS97" s="125"/>
      <c r="HT97" s="125"/>
      <c r="HU97" s="125"/>
      <c r="HV97" s="125"/>
      <c r="HW97" s="125"/>
      <c r="HX97" s="125"/>
      <c r="HY97" s="125"/>
      <c r="HZ97" s="125"/>
      <c r="IA97" s="125"/>
      <c r="IB97" s="125"/>
      <c r="IC97" s="125"/>
      <c r="ID97" s="125"/>
      <c r="IE97" s="125"/>
      <c r="IF97" s="125"/>
      <c r="IG97" s="125"/>
      <c r="IH97" s="125"/>
      <c r="II97" s="125"/>
      <c r="IJ97" s="125"/>
      <c r="IK97" s="125"/>
      <c r="IL97" s="125"/>
      <c r="IM97" s="125"/>
      <c r="IN97" s="125"/>
      <c r="IO97" s="125"/>
      <c r="IP97" s="125"/>
      <c r="IQ97" s="125"/>
      <c r="IR97" s="125"/>
      <c r="IS97" s="125"/>
      <c r="IT97" s="125"/>
      <c r="IU97" s="125"/>
      <c r="IV97" s="125"/>
      <c r="IW97" s="125"/>
      <c r="IX97" s="125"/>
      <c r="IY97" s="125"/>
      <c r="IZ97" s="125"/>
      <c r="JA97" s="125"/>
      <c r="JB97" s="125"/>
      <c r="JC97" s="125"/>
      <c r="JD97" s="125"/>
      <c r="JE97" s="125"/>
      <c r="JF97" s="125"/>
      <c r="JG97" s="125"/>
      <c r="JH97" s="125"/>
      <c r="JI97" s="125"/>
      <c r="JJ97" s="125"/>
      <c r="JK97" s="125"/>
      <c r="JL97" s="125"/>
      <c r="JM97" s="125"/>
      <c r="JN97" s="125"/>
      <c r="JO97" s="125"/>
      <c r="JP97" s="125"/>
      <c r="JQ97" s="125"/>
      <c r="JR97" s="125"/>
      <c r="JS97" s="125"/>
      <c r="JT97" s="125"/>
      <c r="JU97" s="125"/>
      <c r="JV97" s="125"/>
      <c r="JW97" s="125"/>
      <c r="JX97" s="125"/>
      <c r="JY97" s="125"/>
      <c r="JZ97" s="125"/>
      <c r="KA97" s="125"/>
      <c r="KB97" s="125"/>
      <c r="KC97" s="125"/>
      <c r="KD97" s="125"/>
      <c r="KE97" s="125"/>
      <c r="KF97" s="125"/>
      <c r="KG97" s="125"/>
      <c r="KH97" s="125"/>
      <c r="KI97" s="125"/>
      <c r="KJ97" s="125"/>
      <c r="KK97" s="125"/>
      <c r="KL97" s="125"/>
      <c r="KM97" s="125"/>
      <c r="KN97" s="125"/>
      <c r="KO97" s="125"/>
      <c r="KP97" s="125"/>
      <c r="KQ97" s="125"/>
      <c r="KR97" s="125"/>
      <c r="KS97" s="125"/>
      <c r="KT97" s="125"/>
      <c r="KU97" s="125"/>
      <c r="KV97" s="125"/>
      <c r="KW97" s="125"/>
      <c r="KX97" s="125"/>
      <c r="KY97" s="125"/>
      <c r="KZ97" s="125"/>
      <c r="LA97" s="125"/>
      <c r="LB97" s="125"/>
      <c r="LC97" s="125"/>
      <c r="LD97" s="125"/>
      <c r="LE97" s="125"/>
      <c r="LF97" s="125"/>
      <c r="LG97" s="125"/>
      <c r="LH97" s="125"/>
      <c r="LI97" s="125"/>
      <c r="LJ97" s="125"/>
      <c r="LK97" s="125"/>
      <c r="LL97" s="125"/>
      <c r="LM97" s="125"/>
      <c r="LN97" s="125"/>
      <c r="LO97" s="125"/>
      <c r="LP97" s="125"/>
      <c r="LQ97" s="125"/>
    </row>
    <row r="98" spans="1:329" s="27" customFormat="1" ht="15" customHeight="1">
      <c r="A98" s="126">
        <v>1101226</v>
      </c>
      <c r="B98" s="127" t="s">
        <v>251</v>
      </c>
      <c r="C98" s="214" t="s">
        <v>252</v>
      </c>
      <c r="D98" s="122">
        <v>50</v>
      </c>
      <c r="E98" s="122">
        <f t="shared" si="2"/>
        <v>84.033613445378151</v>
      </c>
      <c r="F98" s="122">
        <f t="shared" si="3"/>
        <v>100</v>
      </c>
      <c r="G98" s="122"/>
      <c r="H98" s="122"/>
      <c r="I98" s="8"/>
      <c r="J98" s="11"/>
      <c r="K98" s="11"/>
      <c r="L98" s="11"/>
      <c r="M98" s="11"/>
      <c r="N98" s="54" t="s">
        <v>28</v>
      </c>
      <c r="O98" s="11"/>
      <c r="P98" s="11"/>
      <c r="Q98" s="11"/>
      <c r="R98" s="123">
        <v>7350057583289</v>
      </c>
      <c r="S98" s="124" t="s">
        <v>63</v>
      </c>
      <c r="T98" s="124">
        <v>3.2</v>
      </c>
      <c r="U98" s="124">
        <v>2.42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25"/>
      <c r="AR98" s="125"/>
      <c r="AS98" s="125"/>
      <c r="AT98" s="125"/>
      <c r="AU98" s="125"/>
      <c r="AV98" s="125"/>
      <c r="AW98" s="125"/>
      <c r="AX98" s="125"/>
      <c r="AY98" s="125"/>
      <c r="AZ98" s="125"/>
      <c r="BA98" s="125"/>
      <c r="BB98" s="125"/>
      <c r="BC98" s="125"/>
      <c r="BD98" s="125"/>
      <c r="BE98" s="125"/>
      <c r="BF98" s="125"/>
      <c r="BG98" s="125"/>
      <c r="BH98" s="125"/>
      <c r="BI98" s="125"/>
      <c r="BJ98" s="125"/>
      <c r="BK98" s="125"/>
      <c r="BL98" s="125"/>
      <c r="BM98" s="125"/>
      <c r="BN98" s="125"/>
      <c r="BO98" s="125"/>
      <c r="BP98" s="125"/>
      <c r="BQ98" s="125"/>
      <c r="BR98" s="125"/>
      <c r="BS98" s="125"/>
      <c r="BT98" s="125"/>
      <c r="BU98" s="125"/>
      <c r="BV98" s="125"/>
      <c r="BW98" s="125"/>
      <c r="BX98" s="125"/>
      <c r="BY98" s="125"/>
      <c r="BZ98" s="125"/>
      <c r="CA98" s="125"/>
      <c r="CB98" s="125"/>
      <c r="CC98" s="125"/>
      <c r="CD98" s="125"/>
      <c r="CE98" s="125"/>
      <c r="CF98" s="125"/>
      <c r="CG98" s="125"/>
      <c r="CH98" s="125"/>
      <c r="CI98" s="125"/>
      <c r="CJ98" s="125"/>
      <c r="CK98" s="125"/>
      <c r="CL98" s="125"/>
      <c r="CM98" s="125"/>
      <c r="CN98" s="125"/>
      <c r="CO98" s="125"/>
      <c r="CP98" s="125"/>
      <c r="CQ98" s="125"/>
      <c r="CR98" s="125"/>
      <c r="CS98" s="125"/>
      <c r="CT98" s="125"/>
      <c r="CU98" s="125"/>
      <c r="CV98" s="125"/>
      <c r="CW98" s="125"/>
      <c r="CX98" s="125"/>
      <c r="CY98" s="125"/>
      <c r="CZ98" s="125"/>
      <c r="DA98" s="125"/>
      <c r="DB98" s="125"/>
      <c r="DC98" s="125"/>
      <c r="DD98" s="125"/>
      <c r="DE98" s="125"/>
      <c r="DF98" s="125"/>
      <c r="DG98" s="125"/>
      <c r="DH98" s="125"/>
      <c r="DI98" s="125"/>
      <c r="DJ98" s="125"/>
      <c r="DK98" s="125"/>
      <c r="DL98" s="125"/>
      <c r="DM98" s="125"/>
      <c r="DN98" s="125"/>
      <c r="DO98" s="125"/>
      <c r="DP98" s="125"/>
      <c r="DQ98" s="125"/>
      <c r="DR98" s="125"/>
      <c r="DS98" s="125"/>
      <c r="DT98" s="125"/>
      <c r="DU98" s="125"/>
      <c r="DV98" s="125"/>
      <c r="DW98" s="125"/>
      <c r="DX98" s="125"/>
      <c r="DY98" s="125"/>
      <c r="DZ98" s="125"/>
      <c r="EA98" s="125"/>
      <c r="EB98" s="125"/>
      <c r="EC98" s="125"/>
      <c r="ED98" s="125"/>
      <c r="EE98" s="125"/>
      <c r="EF98" s="125"/>
      <c r="EG98" s="125"/>
      <c r="EH98" s="125"/>
      <c r="EI98" s="125"/>
      <c r="EJ98" s="125"/>
      <c r="EK98" s="125"/>
      <c r="EL98" s="125"/>
      <c r="EM98" s="125"/>
      <c r="EN98" s="125"/>
      <c r="EO98" s="125"/>
      <c r="EP98" s="125"/>
      <c r="EQ98" s="125"/>
      <c r="ER98" s="125"/>
      <c r="ES98" s="125"/>
      <c r="ET98" s="125"/>
      <c r="EU98" s="125"/>
      <c r="EV98" s="125"/>
      <c r="EW98" s="125"/>
      <c r="EX98" s="125"/>
      <c r="EY98" s="125"/>
      <c r="EZ98" s="125"/>
      <c r="FA98" s="125"/>
      <c r="FB98" s="125"/>
      <c r="FC98" s="125"/>
      <c r="FD98" s="125"/>
      <c r="FE98" s="125"/>
      <c r="FF98" s="125"/>
      <c r="FG98" s="125"/>
      <c r="FH98" s="125"/>
      <c r="FI98" s="125"/>
      <c r="FJ98" s="125"/>
      <c r="FK98" s="125"/>
      <c r="FL98" s="125"/>
      <c r="FM98" s="125"/>
      <c r="FN98" s="125"/>
      <c r="FO98" s="125"/>
      <c r="FP98" s="125"/>
      <c r="FQ98" s="125"/>
      <c r="FR98" s="125"/>
      <c r="FS98" s="125"/>
      <c r="FT98" s="125"/>
      <c r="FU98" s="125"/>
      <c r="FV98" s="125"/>
      <c r="FW98" s="125"/>
      <c r="FX98" s="125"/>
      <c r="FY98" s="125"/>
      <c r="FZ98" s="125"/>
      <c r="GA98" s="125"/>
      <c r="GB98" s="125"/>
      <c r="GC98" s="125"/>
      <c r="GD98" s="125"/>
      <c r="GE98" s="125"/>
      <c r="GF98" s="125"/>
      <c r="GG98" s="125"/>
      <c r="GH98" s="125"/>
      <c r="GI98" s="125"/>
      <c r="GJ98" s="125"/>
      <c r="GK98" s="125"/>
      <c r="GL98" s="125"/>
      <c r="GM98" s="125"/>
      <c r="GN98" s="125"/>
      <c r="GO98" s="125"/>
      <c r="GP98" s="125"/>
      <c r="GQ98" s="125"/>
      <c r="GR98" s="125"/>
      <c r="GS98" s="125"/>
      <c r="GT98" s="125"/>
      <c r="GU98" s="125"/>
      <c r="GV98" s="125"/>
      <c r="GW98" s="125"/>
      <c r="GX98" s="125"/>
      <c r="GY98" s="125"/>
      <c r="GZ98" s="125"/>
      <c r="HA98" s="125"/>
      <c r="HB98" s="125"/>
      <c r="HC98" s="125"/>
      <c r="HD98" s="125"/>
      <c r="HE98" s="125"/>
      <c r="HF98" s="125"/>
      <c r="HG98" s="125"/>
      <c r="HH98" s="125"/>
      <c r="HI98" s="125"/>
      <c r="HJ98" s="125"/>
      <c r="HK98" s="125"/>
      <c r="HL98" s="125"/>
      <c r="HM98" s="125"/>
      <c r="HN98" s="125"/>
      <c r="HO98" s="125"/>
      <c r="HP98" s="125"/>
      <c r="HQ98" s="125"/>
      <c r="HR98" s="125"/>
      <c r="HS98" s="125"/>
      <c r="HT98" s="125"/>
      <c r="HU98" s="125"/>
      <c r="HV98" s="125"/>
      <c r="HW98" s="125"/>
      <c r="HX98" s="125"/>
      <c r="HY98" s="125"/>
      <c r="HZ98" s="125"/>
      <c r="IA98" s="125"/>
      <c r="IB98" s="125"/>
      <c r="IC98" s="125"/>
      <c r="ID98" s="125"/>
      <c r="IE98" s="125"/>
      <c r="IF98" s="125"/>
      <c r="IG98" s="125"/>
      <c r="IH98" s="125"/>
      <c r="II98" s="125"/>
      <c r="IJ98" s="125"/>
      <c r="IK98" s="125"/>
      <c r="IL98" s="125"/>
      <c r="IM98" s="125"/>
      <c r="IN98" s="125"/>
      <c r="IO98" s="125"/>
      <c r="IP98" s="125"/>
      <c r="IQ98" s="125"/>
      <c r="IR98" s="125"/>
      <c r="IS98" s="125"/>
      <c r="IT98" s="125"/>
      <c r="IU98" s="125"/>
      <c r="IV98" s="125"/>
      <c r="IW98" s="125"/>
      <c r="IX98" s="125"/>
      <c r="IY98" s="125"/>
      <c r="IZ98" s="125"/>
      <c r="JA98" s="125"/>
      <c r="JB98" s="125"/>
      <c r="JC98" s="125"/>
      <c r="JD98" s="125"/>
      <c r="JE98" s="125"/>
      <c r="JF98" s="125"/>
      <c r="JG98" s="125"/>
      <c r="JH98" s="125"/>
      <c r="JI98" s="125"/>
      <c r="JJ98" s="125"/>
      <c r="JK98" s="125"/>
      <c r="JL98" s="125"/>
      <c r="JM98" s="125"/>
      <c r="JN98" s="125"/>
      <c r="JO98" s="125"/>
      <c r="JP98" s="125"/>
      <c r="JQ98" s="125"/>
      <c r="JR98" s="125"/>
      <c r="JS98" s="125"/>
      <c r="JT98" s="125"/>
      <c r="JU98" s="125"/>
      <c r="JV98" s="125"/>
      <c r="JW98" s="125"/>
      <c r="JX98" s="125"/>
      <c r="JY98" s="125"/>
      <c r="JZ98" s="125"/>
      <c r="KA98" s="125"/>
      <c r="KB98" s="125"/>
      <c r="KC98" s="125"/>
      <c r="KD98" s="125"/>
      <c r="KE98" s="125"/>
      <c r="KF98" s="125"/>
      <c r="KG98" s="125"/>
      <c r="KH98" s="125"/>
      <c r="KI98" s="125"/>
      <c r="KJ98" s="125"/>
      <c r="KK98" s="125"/>
      <c r="KL98" s="125"/>
      <c r="KM98" s="125"/>
      <c r="KN98" s="125"/>
      <c r="KO98" s="125"/>
      <c r="KP98" s="125"/>
      <c r="KQ98" s="125"/>
      <c r="KR98" s="125"/>
      <c r="KS98" s="125"/>
      <c r="KT98" s="125"/>
      <c r="KU98" s="125"/>
      <c r="KV98" s="125"/>
      <c r="KW98" s="125"/>
      <c r="KX98" s="125"/>
      <c r="KY98" s="125"/>
      <c r="KZ98" s="125"/>
      <c r="LA98" s="125"/>
      <c r="LB98" s="125"/>
      <c r="LC98" s="125"/>
      <c r="LD98" s="125"/>
      <c r="LE98" s="125"/>
      <c r="LF98" s="125"/>
      <c r="LG98" s="125"/>
      <c r="LH98" s="125"/>
      <c r="LI98" s="125"/>
      <c r="LJ98" s="125"/>
      <c r="LK98" s="125"/>
      <c r="LL98" s="125"/>
      <c r="LM98" s="125"/>
      <c r="LN98" s="125"/>
      <c r="LO98" s="125"/>
      <c r="LP98" s="125"/>
      <c r="LQ98" s="125"/>
    </row>
    <row r="99" spans="1:329" s="27" customFormat="1" ht="15" customHeight="1">
      <c r="A99" s="126">
        <v>1101227</v>
      </c>
      <c r="B99" s="127" t="s">
        <v>253</v>
      </c>
      <c r="C99" s="216" t="s">
        <v>254</v>
      </c>
      <c r="D99" s="122">
        <v>50</v>
      </c>
      <c r="E99" s="122">
        <f t="shared" si="2"/>
        <v>84.033613445378151</v>
      </c>
      <c r="F99" s="122">
        <f t="shared" si="3"/>
        <v>100</v>
      </c>
      <c r="G99" s="122"/>
      <c r="H99" s="122"/>
      <c r="I99" s="8"/>
      <c r="J99" s="11"/>
      <c r="K99" s="8"/>
      <c r="L99" s="11"/>
      <c r="M99" s="11"/>
      <c r="N99" s="11"/>
      <c r="O99" s="54" t="s">
        <v>28</v>
      </c>
      <c r="P99" s="11"/>
      <c r="Q99" s="11"/>
      <c r="R99" s="123">
        <v>7350057583296</v>
      </c>
      <c r="S99" s="124" t="s">
        <v>63</v>
      </c>
      <c r="T99" s="124">
        <v>3.2</v>
      </c>
      <c r="U99" s="124">
        <v>2.42</v>
      </c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25"/>
      <c r="AR99" s="125"/>
      <c r="AS99" s="125"/>
      <c r="AT99" s="125"/>
      <c r="AU99" s="125"/>
      <c r="AV99" s="125"/>
      <c r="AW99" s="125"/>
      <c r="AX99" s="125"/>
      <c r="AY99" s="125"/>
      <c r="AZ99" s="125"/>
      <c r="BA99" s="125"/>
      <c r="BB99" s="125"/>
      <c r="BC99" s="125"/>
      <c r="BD99" s="125"/>
      <c r="BE99" s="125"/>
      <c r="BF99" s="125"/>
      <c r="BG99" s="125"/>
      <c r="BH99" s="125"/>
      <c r="BI99" s="125"/>
      <c r="BJ99" s="125"/>
      <c r="BK99" s="125"/>
      <c r="BL99" s="125"/>
      <c r="BM99" s="125"/>
      <c r="BN99" s="125"/>
      <c r="BO99" s="125"/>
      <c r="BP99" s="125"/>
      <c r="BQ99" s="125"/>
      <c r="BR99" s="125"/>
      <c r="BS99" s="125"/>
      <c r="BT99" s="125"/>
      <c r="BU99" s="125"/>
      <c r="BV99" s="125"/>
      <c r="BW99" s="125"/>
      <c r="BX99" s="125"/>
      <c r="BY99" s="125"/>
      <c r="BZ99" s="125"/>
      <c r="CA99" s="125"/>
      <c r="CB99" s="125"/>
      <c r="CC99" s="125"/>
      <c r="CD99" s="125"/>
      <c r="CE99" s="125"/>
      <c r="CF99" s="125"/>
      <c r="CG99" s="125"/>
      <c r="CH99" s="125"/>
      <c r="CI99" s="125"/>
      <c r="CJ99" s="125"/>
      <c r="CK99" s="125"/>
      <c r="CL99" s="125"/>
      <c r="CM99" s="125"/>
      <c r="CN99" s="125"/>
      <c r="CO99" s="125"/>
      <c r="CP99" s="125"/>
      <c r="CQ99" s="125"/>
      <c r="CR99" s="125"/>
      <c r="CS99" s="125"/>
      <c r="CT99" s="125"/>
      <c r="CU99" s="125"/>
      <c r="CV99" s="125"/>
      <c r="CW99" s="125"/>
      <c r="CX99" s="125"/>
      <c r="CY99" s="125"/>
      <c r="CZ99" s="125"/>
      <c r="DA99" s="125"/>
      <c r="DB99" s="125"/>
      <c r="DC99" s="125"/>
      <c r="DD99" s="125"/>
      <c r="DE99" s="125"/>
      <c r="DF99" s="125"/>
      <c r="DG99" s="125"/>
      <c r="DH99" s="125"/>
      <c r="DI99" s="125"/>
      <c r="DJ99" s="125"/>
      <c r="DK99" s="125"/>
      <c r="DL99" s="125"/>
      <c r="DM99" s="125"/>
      <c r="DN99" s="125"/>
      <c r="DO99" s="125"/>
      <c r="DP99" s="125"/>
      <c r="DQ99" s="125"/>
      <c r="DR99" s="125"/>
      <c r="DS99" s="125"/>
      <c r="DT99" s="125"/>
      <c r="DU99" s="125"/>
      <c r="DV99" s="125"/>
      <c r="DW99" s="125"/>
      <c r="DX99" s="125"/>
      <c r="DY99" s="125"/>
      <c r="DZ99" s="125"/>
      <c r="EA99" s="125"/>
      <c r="EB99" s="125"/>
      <c r="EC99" s="125"/>
      <c r="ED99" s="125"/>
      <c r="EE99" s="125"/>
      <c r="EF99" s="125"/>
      <c r="EG99" s="125"/>
      <c r="EH99" s="125"/>
      <c r="EI99" s="125"/>
      <c r="EJ99" s="125"/>
      <c r="EK99" s="125"/>
      <c r="EL99" s="125"/>
      <c r="EM99" s="125"/>
      <c r="EN99" s="125"/>
      <c r="EO99" s="125"/>
      <c r="EP99" s="125"/>
      <c r="EQ99" s="125"/>
      <c r="ER99" s="125"/>
      <c r="ES99" s="125"/>
      <c r="ET99" s="125"/>
      <c r="EU99" s="125"/>
      <c r="EV99" s="125"/>
      <c r="EW99" s="125"/>
      <c r="EX99" s="125"/>
      <c r="EY99" s="125"/>
      <c r="EZ99" s="125"/>
      <c r="FA99" s="125"/>
      <c r="FB99" s="125"/>
      <c r="FC99" s="125"/>
      <c r="FD99" s="125"/>
      <c r="FE99" s="125"/>
      <c r="FF99" s="125"/>
      <c r="FG99" s="125"/>
      <c r="FH99" s="125"/>
      <c r="FI99" s="125"/>
      <c r="FJ99" s="125"/>
      <c r="FK99" s="125"/>
      <c r="FL99" s="125"/>
      <c r="FM99" s="125"/>
      <c r="FN99" s="125"/>
      <c r="FO99" s="125"/>
      <c r="FP99" s="125"/>
      <c r="FQ99" s="125"/>
      <c r="FR99" s="125"/>
      <c r="FS99" s="125"/>
      <c r="FT99" s="125"/>
      <c r="FU99" s="125"/>
      <c r="FV99" s="125"/>
      <c r="FW99" s="125"/>
      <c r="FX99" s="125"/>
      <c r="FY99" s="125"/>
      <c r="FZ99" s="125"/>
      <c r="GA99" s="125"/>
      <c r="GB99" s="125"/>
      <c r="GC99" s="125"/>
      <c r="GD99" s="125"/>
      <c r="GE99" s="125"/>
      <c r="GF99" s="125"/>
      <c r="GG99" s="125"/>
      <c r="GH99" s="125"/>
      <c r="GI99" s="125"/>
      <c r="GJ99" s="125"/>
      <c r="GK99" s="125"/>
      <c r="GL99" s="125"/>
      <c r="GM99" s="125"/>
      <c r="GN99" s="125"/>
      <c r="GO99" s="125"/>
      <c r="GP99" s="125"/>
      <c r="GQ99" s="125"/>
      <c r="GR99" s="125"/>
      <c r="GS99" s="125"/>
      <c r="GT99" s="125"/>
      <c r="GU99" s="125"/>
      <c r="GV99" s="125"/>
      <c r="GW99" s="125"/>
      <c r="GX99" s="125"/>
      <c r="GY99" s="125"/>
      <c r="GZ99" s="125"/>
      <c r="HA99" s="125"/>
      <c r="HB99" s="125"/>
      <c r="HC99" s="125"/>
      <c r="HD99" s="125"/>
      <c r="HE99" s="125"/>
      <c r="HF99" s="125"/>
      <c r="HG99" s="125"/>
      <c r="HH99" s="125"/>
      <c r="HI99" s="125"/>
      <c r="HJ99" s="125"/>
      <c r="HK99" s="125"/>
      <c r="HL99" s="125"/>
      <c r="HM99" s="125"/>
      <c r="HN99" s="125"/>
      <c r="HO99" s="125"/>
      <c r="HP99" s="125"/>
      <c r="HQ99" s="125"/>
      <c r="HR99" s="125"/>
      <c r="HS99" s="125"/>
      <c r="HT99" s="125"/>
      <c r="HU99" s="125"/>
      <c r="HV99" s="125"/>
      <c r="HW99" s="125"/>
      <c r="HX99" s="125"/>
      <c r="HY99" s="125"/>
      <c r="HZ99" s="125"/>
      <c r="IA99" s="125"/>
      <c r="IB99" s="125"/>
      <c r="IC99" s="125"/>
      <c r="ID99" s="125"/>
      <c r="IE99" s="125"/>
      <c r="IF99" s="125"/>
      <c r="IG99" s="125"/>
      <c r="IH99" s="125"/>
      <c r="II99" s="125"/>
      <c r="IJ99" s="125"/>
      <c r="IK99" s="125"/>
      <c r="IL99" s="125"/>
      <c r="IM99" s="125"/>
      <c r="IN99" s="125"/>
      <c r="IO99" s="125"/>
      <c r="IP99" s="125"/>
      <c r="IQ99" s="125"/>
      <c r="IR99" s="125"/>
      <c r="IS99" s="125"/>
      <c r="IT99" s="125"/>
      <c r="IU99" s="125"/>
      <c r="IV99" s="125"/>
      <c r="IW99" s="125"/>
      <c r="IX99" s="125"/>
      <c r="IY99" s="125"/>
      <c r="IZ99" s="125"/>
      <c r="JA99" s="125"/>
      <c r="JB99" s="125"/>
      <c r="JC99" s="125"/>
      <c r="JD99" s="125"/>
      <c r="JE99" s="125"/>
      <c r="JF99" s="125"/>
      <c r="JG99" s="125"/>
      <c r="JH99" s="125"/>
      <c r="JI99" s="125"/>
      <c r="JJ99" s="125"/>
      <c r="JK99" s="125"/>
      <c r="JL99" s="125"/>
      <c r="JM99" s="125"/>
      <c r="JN99" s="125"/>
      <c r="JO99" s="125"/>
      <c r="JP99" s="125"/>
      <c r="JQ99" s="125"/>
      <c r="JR99" s="125"/>
      <c r="JS99" s="125"/>
      <c r="JT99" s="125"/>
      <c r="JU99" s="125"/>
      <c r="JV99" s="125"/>
      <c r="JW99" s="125"/>
      <c r="JX99" s="125"/>
      <c r="JY99" s="125"/>
      <c r="JZ99" s="125"/>
      <c r="KA99" s="125"/>
      <c r="KB99" s="125"/>
      <c r="KC99" s="125"/>
      <c r="KD99" s="125"/>
      <c r="KE99" s="125"/>
      <c r="KF99" s="125"/>
      <c r="KG99" s="125"/>
      <c r="KH99" s="125"/>
      <c r="KI99" s="125"/>
      <c r="KJ99" s="125"/>
      <c r="KK99" s="125"/>
      <c r="KL99" s="125"/>
      <c r="KM99" s="125"/>
      <c r="KN99" s="125"/>
      <c r="KO99" s="125"/>
      <c r="KP99" s="125"/>
      <c r="KQ99" s="125"/>
      <c r="KR99" s="125"/>
      <c r="KS99" s="125"/>
      <c r="KT99" s="125"/>
      <c r="KU99" s="125"/>
      <c r="KV99" s="125"/>
      <c r="KW99" s="125"/>
      <c r="KX99" s="125"/>
      <c r="KY99" s="125"/>
      <c r="KZ99" s="125"/>
      <c r="LA99" s="125"/>
      <c r="LB99" s="125"/>
      <c r="LC99" s="125"/>
      <c r="LD99" s="125"/>
      <c r="LE99" s="125"/>
      <c r="LF99" s="125"/>
      <c r="LG99" s="125"/>
      <c r="LH99" s="125"/>
      <c r="LI99" s="125"/>
      <c r="LJ99" s="125"/>
      <c r="LK99" s="125"/>
      <c r="LL99" s="125"/>
      <c r="LM99" s="125"/>
      <c r="LN99" s="125"/>
      <c r="LO99" s="125"/>
      <c r="LP99" s="125"/>
      <c r="LQ99" s="125"/>
    </row>
    <row r="100" spans="1:329" s="27" customFormat="1" ht="15" customHeight="1">
      <c r="A100" s="126">
        <v>1101228</v>
      </c>
      <c r="B100" s="132" t="s">
        <v>255</v>
      </c>
      <c r="C100" s="214" t="s">
        <v>256</v>
      </c>
      <c r="D100" s="122">
        <v>50</v>
      </c>
      <c r="E100" s="122">
        <f t="shared" si="2"/>
        <v>84.033613445378151</v>
      </c>
      <c r="F100" s="122">
        <f t="shared" si="3"/>
        <v>100</v>
      </c>
      <c r="G100" s="122"/>
      <c r="H100" s="122"/>
      <c r="I100" s="8"/>
      <c r="J100" s="11"/>
      <c r="K100" s="11"/>
      <c r="L100" s="8"/>
      <c r="M100" s="8"/>
      <c r="N100" s="11"/>
      <c r="O100" s="11"/>
      <c r="P100" s="54" t="s">
        <v>28</v>
      </c>
      <c r="Q100" s="11"/>
      <c r="R100" s="123">
        <v>7350057583326</v>
      </c>
      <c r="S100" s="124" t="s">
        <v>54</v>
      </c>
      <c r="T100" s="124">
        <v>0.25</v>
      </c>
      <c r="U100" s="124">
        <v>0.17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25"/>
      <c r="AR100" s="125"/>
      <c r="AS100" s="125"/>
      <c r="AT100" s="125"/>
      <c r="AU100" s="125"/>
      <c r="AV100" s="125"/>
      <c r="AW100" s="125"/>
      <c r="AX100" s="125"/>
      <c r="AY100" s="125"/>
      <c r="AZ100" s="125"/>
      <c r="BA100" s="125"/>
      <c r="BB100" s="125"/>
      <c r="BC100" s="125"/>
      <c r="BD100" s="125"/>
      <c r="BE100" s="125"/>
      <c r="BF100" s="125"/>
      <c r="BG100" s="125"/>
      <c r="BH100" s="125"/>
      <c r="BI100" s="125"/>
      <c r="BJ100" s="125"/>
      <c r="BK100" s="125"/>
      <c r="BL100" s="125"/>
      <c r="BM100" s="125"/>
      <c r="BN100" s="125"/>
      <c r="BO100" s="125"/>
      <c r="BP100" s="125"/>
      <c r="BQ100" s="125"/>
      <c r="BR100" s="125"/>
      <c r="BS100" s="125"/>
      <c r="BT100" s="125"/>
      <c r="BU100" s="125"/>
      <c r="BV100" s="125"/>
      <c r="BW100" s="125"/>
      <c r="BX100" s="125"/>
      <c r="BY100" s="125"/>
      <c r="BZ100" s="125"/>
      <c r="CA100" s="125"/>
      <c r="CB100" s="125"/>
      <c r="CC100" s="125"/>
      <c r="CD100" s="125"/>
      <c r="CE100" s="125"/>
      <c r="CF100" s="125"/>
      <c r="CG100" s="125"/>
      <c r="CH100" s="125"/>
      <c r="CI100" s="125"/>
      <c r="CJ100" s="125"/>
      <c r="CK100" s="125"/>
      <c r="CL100" s="125"/>
      <c r="CM100" s="125"/>
      <c r="CN100" s="125"/>
      <c r="CO100" s="125"/>
      <c r="CP100" s="125"/>
      <c r="CQ100" s="125"/>
      <c r="CR100" s="125"/>
      <c r="CS100" s="125"/>
      <c r="CT100" s="125"/>
      <c r="CU100" s="125"/>
      <c r="CV100" s="125"/>
      <c r="CW100" s="125"/>
      <c r="CX100" s="125"/>
      <c r="CY100" s="125"/>
      <c r="CZ100" s="125"/>
      <c r="DA100" s="125"/>
      <c r="DB100" s="125"/>
      <c r="DC100" s="125"/>
      <c r="DD100" s="125"/>
      <c r="DE100" s="125"/>
      <c r="DF100" s="125"/>
      <c r="DG100" s="125"/>
      <c r="DH100" s="125"/>
      <c r="DI100" s="125"/>
      <c r="DJ100" s="125"/>
      <c r="DK100" s="125"/>
      <c r="DL100" s="125"/>
      <c r="DM100" s="125"/>
      <c r="DN100" s="125"/>
      <c r="DO100" s="125"/>
      <c r="DP100" s="125"/>
      <c r="DQ100" s="125"/>
      <c r="DR100" s="125"/>
      <c r="DS100" s="125"/>
      <c r="DT100" s="125"/>
      <c r="DU100" s="125"/>
      <c r="DV100" s="125"/>
      <c r="DW100" s="125"/>
      <c r="DX100" s="125"/>
      <c r="DY100" s="125"/>
      <c r="DZ100" s="125"/>
      <c r="EA100" s="125"/>
      <c r="EB100" s="125"/>
      <c r="EC100" s="125"/>
      <c r="ED100" s="125"/>
      <c r="EE100" s="125"/>
      <c r="EF100" s="125"/>
      <c r="EG100" s="125"/>
      <c r="EH100" s="125"/>
      <c r="EI100" s="125"/>
      <c r="EJ100" s="125"/>
      <c r="EK100" s="125"/>
      <c r="EL100" s="125"/>
      <c r="EM100" s="125"/>
      <c r="EN100" s="125"/>
      <c r="EO100" s="125"/>
      <c r="EP100" s="125"/>
      <c r="EQ100" s="125"/>
      <c r="ER100" s="125"/>
      <c r="ES100" s="125"/>
      <c r="ET100" s="125"/>
      <c r="EU100" s="125"/>
      <c r="EV100" s="125"/>
      <c r="EW100" s="125"/>
      <c r="EX100" s="125"/>
      <c r="EY100" s="125"/>
      <c r="EZ100" s="125"/>
      <c r="FA100" s="125"/>
      <c r="FB100" s="125"/>
      <c r="FC100" s="125"/>
      <c r="FD100" s="125"/>
      <c r="FE100" s="125"/>
      <c r="FF100" s="125"/>
      <c r="FG100" s="125"/>
      <c r="FH100" s="125"/>
      <c r="FI100" s="125"/>
      <c r="FJ100" s="125"/>
      <c r="FK100" s="125"/>
      <c r="FL100" s="125"/>
      <c r="FM100" s="125"/>
      <c r="FN100" s="125"/>
      <c r="FO100" s="125"/>
      <c r="FP100" s="125"/>
      <c r="FQ100" s="125"/>
      <c r="FR100" s="125"/>
      <c r="FS100" s="125"/>
      <c r="FT100" s="125"/>
      <c r="FU100" s="125"/>
      <c r="FV100" s="125"/>
      <c r="FW100" s="125"/>
      <c r="FX100" s="125"/>
      <c r="FY100" s="125"/>
      <c r="FZ100" s="125"/>
      <c r="GA100" s="125"/>
      <c r="GB100" s="125"/>
      <c r="GC100" s="125"/>
      <c r="GD100" s="125"/>
      <c r="GE100" s="125"/>
      <c r="GF100" s="125"/>
      <c r="GG100" s="125"/>
      <c r="GH100" s="125"/>
      <c r="GI100" s="125"/>
      <c r="GJ100" s="125"/>
      <c r="GK100" s="125"/>
      <c r="GL100" s="125"/>
      <c r="GM100" s="125"/>
      <c r="GN100" s="125"/>
      <c r="GO100" s="125"/>
      <c r="GP100" s="125"/>
      <c r="GQ100" s="125"/>
      <c r="GR100" s="125"/>
      <c r="GS100" s="125"/>
      <c r="GT100" s="125"/>
      <c r="GU100" s="125"/>
      <c r="GV100" s="125"/>
      <c r="GW100" s="125"/>
      <c r="GX100" s="125"/>
      <c r="GY100" s="125"/>
      <c r="GZ100" s="125"/>
      <c r="HA100" s="125"/>
      <c r="HB100" s="125"/>
      <c r="HC100" s="125"/>
      <c r="HD100" s="125"/>
      <c r="HE100" s="125"/>
      <c r="HF100" s="125"/>
      <c r="HG100" s="125"/>
      <c r="HH100" s="125"/>
      <c r="HI100" s="125"/>
      <c r="HJ100" s="125"/>
      <c r="HK100" s="125"/>
      <c r="HL100" s="125"/>
      <c r="HM100" s="125"/>
      <c r="HN100" s="125"/>
      <c r="HO100" s="125"/>
      <c r="HP100" s="125"/>
      <c r="HQ100" s="125"/>
      <c r="HR100" s="125"/>
      <c r="HS100" s="125"/>
      <c r="HT100" s="125"/>
      <c r="HU100" s="125"/>
      <c r="HV100" s="125"/>
      <c r="HW100" s="125"/>
      <c r="HX100" s="125"/>
      <c r="HY100" s="125"/>
      <c r="HZ100" s="125"/>
      <c r="IA100" s="125"/>
      <c r="IB100" s="125"/>
      <c r="IC100" s="125"/>
      <c r="ID100" s="125"/>
      <c r="IE100" s="125"/>
      <c r="IF100" s="125"/>
      <c r="IG100" s="125"/>
      <c r="IH100" s="125"/>
      <c r="II100" s="125"/>
      <c r="IJ100" s="125"/>
      <c r="IK100" s="125"/>
      <c r="IL100" s="125"/>
      <c r="IM100" s="125"/>
      <c r="IN100" s="125"/>
      <c r="IO100" s="125"/>
      <c r="IP100" s="125"/>
      <c r="IQ100" s="125"/>
      <c r="IR100" s="125"/>
      <c r="IS100" s="125"/>
      <c r="IT100" s="125"/>
      <c r="IU100" s="125"/>
      <c r="IV100" s="125"/>
      <c r="IW100" s="125"/>
      <c r="IX100" s="125"/>
      <c r="IY100" s="125"/>
      <c r="IZ100" s="125"/>
      <c r="JA100" s="125"/>
      <c r="JB100" s="125"/>
      <c r="JC100" s="125"/>
      <c r="JD100" s="125"/>
      <c r="JE100" s="125"/>
      <c r="JF100" s="125"/>
      <c r="JG100" s="125"/>
      <c r="JH100" s="125"/>
      <c r="JI100" s="125"/>
      <c r="JJ100" s="125"/>
      <c r="JK100" s="125"/>
      <c r="JL100" s="125"/>
      <c r="JM100" s="125"/>
      <c r="JN100" s="125"/>
      <c r="JO100" s="125"/>
      <c r="JP100" s="125"/>
      <c r="JQ100" s="125"/>
      <c r="JR100" s="125"/>
      <c r="JS100" s="125"/>
      <c r="JT100" s="125"/>
      <c r="JU100" s="125"/>
      <c r="JV100" s="125"/>
      <c r="JW100" s="125"/>
      <c r="JX100" s="125"/>
      <c r="JY100" s="125"/>
      <c r="JZ100" s="125"/>
      <c r="KA100" s="125"/>
      <c r="KB100" s="125"/>
      <c r="KC100" s="125"/>
      <c r="KD100" s="125"/>
      <c r="KE100" s="125"/>
      <c r="KF100" s="125"/>
      <c r="KG100" s="125"/>
      <c r="KH100" s="125"/>
      <c r="KI100" s="125"/>
      <c r="KJ100" s="125"/>
      <c r="KK100" s="125"/>
      <c r="KL100" s="125"/>
      <c r="KM100" s="125"/>
      <c r="KN100" s="125"/>
      <c r="KO100" s="125"/>
      <c r="KP100" s="125"/>
      <c r="KQ100" s="125"/>
      <c r="KR100" s="125"/>
      <c r="KS100" s="125"/>
      <c r="KT100" s="125"/>
      <c r="KU100" s="125"/>
      <c r="KV100" s="125"/>
      <c r="KW100" s="125"/>
      <c r="KX100" s="125"/>
      <c r="KY100" s="125"/>
      <c r="KZ100" s="125"/>
      <c r="LA100" s="125"/>
      <c r="LB100" s="125"/>
      <c r="LC100" s="125"/>
      <c r="LD100" s="125"/>
      <c r="LE100" s="125"/>
      <c r="LF100" s="125"/>
      <c r="LG100" s="125"/>
      <c r="LH100" s="125"/>
      <c r="LI100" s="125"/>
      <c r="LJ100" s="125"/>
      <c r="LK100" s="125"/>
      <c r="LL100" s="125"/>
      <c r="LM100" s="125"/>
      <c r="LN100" s="125"/>
      <c r="LO100" s="125"/>
      <c r="LP100" s="125"/>
      <c r="LQ100" s="125"/>
    </row>
    <row r="101" spans="1:329" s="27" customFormat="1" ht="15" customHeight="1">
      <c r="A101" s="126">
        <v>1101229</v>
      </c>
      <c r="B101" s="132" t="s">
        <v>257</v>
      </c>
      <c r="C101" s="216" t="s">
        <v>258</v>
      </c>
      <c r="D101" s="122">
        <v>50</v>
      </c>
      <c r="E101" s="122">
        <f t="shared" si="2"/>
        <v>84.033613445378151</v>
      </c>
      <c r="F101" s="122">
        <f t="shared" si="3"/>
        <v>100</v>
      </c>
      <c r="G101" s="122"/>
      <c r="H101" s="122"/>
      <c r="I101" s="8"/>
      <c r="J101" s="11"/>
      <c r="K101" s="11"/>
      <c r="L101" s="11"/>
      <c r="M101" s="11"/>
      <c r="N101" s="8"/>
      <c r="O101" s="8"/>
      <c r="P101" s="11"/>
      <c r="Q101" s="54" t="s">
        <v>28</v>
      </c>
      <c r="R101" s="123">
        <v>7350057583364</v>
      </c>
      <c r="S101" s="124" t="s">
        <v>77</v>
      </c>
      <c r="T101" s="124">
        <v>0.7</v>
      </c>
      <c r="U101" s="124">
        <v>0.5</v>
      </c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25"/>
      <c r="AR101" s="125"/>
      <c r="AS101" s="125"/>
      <c r="AT101" s="125"/>
      <c r="AU101" s="125"/>
      <c r="AV101" s="125"/>
      <c r="AW101" s="125"/>
      <c r="AX101" s="125"/>
      <c r="AY101" s="125"/>
      <c r="AZ101" s="125"/>
      <c r="BA101" s="125"/>
      <c r="BB101" s="125"/>
      <c r="BC101" s="125"/>
      <c r="BD101" s="125"/>
      <c r="BE101" s="125"/>
      <c r="BF101" s="125"/>
      <c r="BG101" s="125"/>
      <c r="BH101" s="125"/>
      <c r="BI101" s="125"/>
      <c r="BJ101" s="125"/>
      <c r="BK101" s="125"/>
      <c r="BL101" s="125"/>
      <c r="BM101" s="125"/>
      <c r="BN101" s="125"/>
      <c r="BO101" s="125"/>
      <c r="BP101" s="125"/>
      <c r="BQ101" s="125"/>
      <c r="BR101" s="125"/>
      <c r="BS101" s="125"/>
      <c r="BT101" s="125"/>
      <c r="BU101" s="125"/>
      <c r="BV101" s="125"/>
      <c r="BW101" s="125"/>
      <c r="BX101" s="125"/>
      <c r="BY101" s="125"/>
      <c r="BZ101" s="125"/>
      <c r="CA101" s="125"/>
      <c r="CB101" s="125"/>
      <c r="CC101" s="125"/>
      <c r="CD101" s="125"/>
      <c r="CE101" s="125"/>
      <c r="CF101" s="125"/>
      <c r="CG101" s="125"/>
      <c r="CH101" s="125"/>
      <c r="CI101" s="125"/>
      <c r="CJ101" s="125"/>
      <c r="CK101" s="125"/>
      <c r="CL101" s="125"/>
      <c r="CM101" s="125"/>
      <c r="CN101" s="125"/>
      <c r="CO101" s="125"/>
      <c r="CP101" s="125"/>
      <c r="CQ101" s="125"/>
      <c r="CR101" s="125"/>
      <c r="CS101" s="125"/>
      <c r="CT101" s="125"/>
      <c r="CU101" s="125"/>
      <c r="CV101" s="125"/>
      <c r="CW101" s="125"/>
      <c r="CX101" s="125"/>
      <c r="CY101" s="125"/>
      <c r="CZ101" s="125"/>
      <c r="DA101" s="125"/>
      <c r="DB101" s="125"/>
      <c r="DC101" s="125"/>
      <c r="DD101" s="125"/>
      <c r="DE101" s="125"/>
      <c r="DF101" s="125"/>
      <c r="DG101" s="125"/>
      <c r="DH101" s="125"/>
      <c r="DI101" s="125"/>
      <c r="DJ101" s="125"/>
      <c r="DK101" s="125"/>
      <c r="DL101" s="125"/>
      <c r="DM101" s="125"/>
      <c r="DN101" s="125"/>
      <c r="DO101" s="125"/>
      <c r="DP101" s="125"/>
      <c r="DQ101" s="125"/>
      <c r="DR101" s="125"/>
      <c r="DS101" s="125"/>
      <c r="DT101" s="125"/>
      <c r="DU101" s="125"/>
      <c r="DV101" s="125"/>
      <c r="DW101" s="125"/>
      <c r="DX101" s="125"/>
      <c r="DY101" s="125"/>
      <c r="DZ101" s="125"/>
      <c r="EA101" s="125"/>
      <c r="EB101" s="125"/>
      <c r="EC101" s="125"/>
      <c r="ED101" s="125"/>
      <c r="EE101" s="125"/>
      <c r="EF101" s="125"/>
      <c r="EG101" s="125"/>
      <c r="EH101" s="125"/>
      <c r="EI101" s="125"/>
      <c r="EJ101" s="125"/>
      <c r="EK101" s="125"/>
      <c r="EL101" s="125"/>
      <c r="EM101" s="125"/>
      <c r="EN101" s="125"/>
      <c r="EO101" s="125"/>
      <c r="EP101" s="125"/>
      <c r="EQ101" s="125"/>
      <c r="ER101" s="125"/>
      <c r="ES101" s="125"/>
      <c r="ET101" s="125"/>
      <c r="EU101" s="125"/>
      <c r="EV101" s="125"/>
      <c r="EW101" s="125"/>
      <c r="EX101" s="125"/>
      <c r="EY101" s="125"/>
      <c r="EZ101" s="125"/>
      <c r="FA101" s="125"/>
      <c r="FB101" s="125"/>
      <c r="FC101" s="125"/>
      <c r="FD101" s="125"/>
      <c r="FE101" s="125"/>
      <c r="FF101" s="125"/>
      <c r="FG101" s="125"/>
      <c r="FH101" s="125"/>
      <c r="FI101" s="125"/>
      <c r="FJ101" s="125"/>
      <c r="FK101" s="125"/>
      <c r="FL101" s="125"/>
      <c r="FM101" s="125"/>
      <c r="FN101" s="125"/>
      <c r="FO101" s="125"/>
      <c r="FP101" s="125"/>
      <c r="FQ101" s="125"/>
      <c r="FR101" s="125"/>
      <c r="FS101" s="125"/>
      <c r="FT101" s="125"/>
      <c r="FU101" s="125"/>
      <c r="FV101" s="125"/>
      <c r="FW101" s="125"/>
      <c r="FX101" s="125"/>
      <c r="FY101" s="125"/>
      <c r="FZ101" s="125"/>
      <c r="GA101" s="125"/>
      <c r="GB101" s="125"/>
      <c r="GC101" s="125"/>
      <c r="GD101" s="125"/>
      <c r="GE101" s="125"/>
      <c r="GF101" s="125"/>
      <c r="GG101" s="125"/>
      <c r="GH101" s="125"/>
      <c r="GI101" s="125"/>
      <c r="GJ101" s="125"/>
      <c r="GK101" s="125"/>
      <c r="GL101" s="125"/>
      <c r="GM101" s="125"/>
      <c r="GN101" s="125"/>
      <c r="GO101" s="125"/>
      <c r="GP101" s="125"/>
      <c r="GQ101" s="125"/>
      <c r="GR101" s="125"/>
      <c r="GS101" s="125"/>
      <c r="GT101" s="125"/>
      <c r="GU101" s="125"/>
      <c r="GV101" s="125"/>
      <c r="GW101" s="125"/>
      <c r="GX101" s="125"/>
      <c r="GY101" s="125"/>
      <c r="GZ101" s="125"/>
      <c r="HA101" s="125"/>
      <c r="HB101" s="125"/>
      <c r="HC101" s="125"/>
      <c r="HD101" s="125"/>
      <c r="HE101" s="125"/>
      <c r="HF101" s="125"/>
      <c r="HG101" s="125"/>
      <c r="HH101" s="125"/>
      <c r="HI101" s="125"/>
      <c r="HJ101" s="125"/>
      <c r="HK101" s="125"/>
      <c r="HL101" s="125"/>
      <c r="HM101" s="125"/>
      <c r="HN101" s="125"/>
      <c r="HO101" s="125"/>
      <c r="HP101" s="125"/>
      <c r="HQ101" s="125"/>
      <c r="HR101" s="125"/>
      <c r="HS101" s="125"/>
      <c r="HT101" s="125"/>
      <c r="HU101" s="125"/>
      <c r="HV101" s="125"/>
      <c r="HW101" s="125"/>
      <c r="HX101" s="125"/>
      <c r="HY101" s="125"/>
      <c r="HZ101" s="125"/>
      <c r="IA101" s="125"/>
      <c r="IB101" s="125"/>
      <c r="IC101" s="125"/>
      <c r="ID101" s="125"/>
      <c r="IE101" s="125"/>
      <c r="IF101" s="125"/>
      <c r="IG101" s="125"/>
      <c r="IH101" s="125"/>
      <c r="II101" s="125"/>
      <c r="IJ101" s="125"/>
      <c r="IK101" s="125"/>
      <c r="IL101" s="125"/>
      <c r="IM101" s="125"/>
      <c r="IN101" s="125"/>
      <c r="IO101" s="125"/>
      <c r="IP101" s="125"/>
      <c r="IQ101" s="125"/>
      <c r="IR101" s="125"/>
      <c r="IS101" s="125"/>
      <c r="IT101" s="125"/>
      <c r="IU101" s="125"/>
      <c r="IV101" s="125"/>
      <c r="IW101" s="125"/>
      <c r="IX101" s="125"/>
      <c r="IY101" s="125"/>
      <c r="IZ101" s="125"/>
      <c r="JA101" s="125"/>
      <c r="JB101" s="125"/>
      <c r="JC101" s="125"/>
      <c r="JD101" s="125"/>
      <c r="JE101" s="125"/>
      <c r="JF101" s="125"/>
      <c r="JG101" s="125"/>
      <c r="JH101" s="125"/>
      <c r="JI101" s="125"/>
      <c r="JJ101" s="125"/>
      <c r="JK101" s="125"/>
      <c r="JL101" s="125"/>
      <c r="JM101" s="125"/>
      <c r="JN101" s="125"/>
      <c r="JO101" s="125"/>
      <c r="JP101" s="125"/>
      <c r="JQ101" s="125"/>
      <c r="JR101" s="125"/>
      <c r="JS101" s="125"/>
      <c r="JT101" s="125"/>
      <c r="JU101" s="125"/>
      <c r="JV101" s="125"/>
      <c r="JW101" s="125"/>
      <c r="JX101" s="125"/>
      <c r="JY101" s="125"/>
      <c r="JZ101" s="125"/>
      <c r="KA101" s="125"/>
      <c r="KB101" s="125"/>
      <c r="KC101" s="125"/>
      <c r="KD101" s="125"/>
      <c r="KE101" s="125"/>
      <c r="KF101" s="125"/>
      <c r="KG101" s="125"/>
      <c r="KH101" s="125"/>
      <c r="KI101" s="125"/>
      <c r="KJ101" s="125"/>
      <c r="KK101" s="125"/>
      <c r="KL101" s="125"/>
      <c r="KM101" s="125"/>
      <c r="KN101" s="125"/>
      <c r="KO101" s="125"/>
      <c r="KP101" s="125"/>
      <c r="KQ101" s="125"/>
      <c r="KR101" s="125"/>
      <c r="KS101" s="125"/>
      <c r="KT101" s="125"/>
      <c r="KU101" s="125"/>
      <c r="KV101" s="125"/>
      <c r="KW101" s="125"/>
      <c r="KX101" s="125"/>
      <c r="KY101" s="125"/>
      <c r="KZ101" s="125"/>
      <c r="LA101" s="125"/>
      <c r="LB101" s="125"/>
      <c r="LC101" s="125"/>
      <c r="LD101" s="125"/>
      <c r="LE101" s="125"/>
      <c r="LF101" s="125"/>
      <c r="LG101" s="125"/>
      <c r="LH101" s="125"/>
      <c r="LI101" s="125"/>
      <c r="LJ101" s="125"/>
      <c r="LK101" s="125"/>
      <c r="LL101" s="125"/>
      <c r="LM101" s="125"/>
      <c r="LN101" s="125"/>
      <c r="LO101" s="125"/>
      <c r="LP101" s="125"/>
      <c r="LQ101" s="125"/>
    </row>
    <row r="102" spans="1:329" s="27" customFormat="1" ht="15" customHeight="1">
      <c r="A102" s="126">
        <v>1101230</v>
      </c>
      <c r="B102" s="127" t="s">
        <v>259</v>
      </c>
      <c r="C102" s="214" t="s">
        <v>260</v>
      </c>
      <c r="D102" s="122">
        <v>10</v>
      </c>
      <c r="E102" s="122">
        <f t="shared" si="2"/>
        <v>16.806722689075631</v>
      </c>
      <c r="F102" s="122">
        <f t="shared" si="3"/>
        <v>20</v>
      </c>
      <c r="G102" s="122"/>
      <c r="H102" s="122"/>
      <c r="I102" s="8"/>
      <c r="J102" s="11"/>
      <c r="K102" s="54"/>
      <c r="L102" s="54"/>
      <c r="M102" s="54"/>
      <c r="N102" s="54" t="s">
        <v>28</v>
      </c>
      <c r="O102" s="54" t="s">
        <v>28</v>
      </c>
      <c r="P102" s="8"/>
      <c r="Q102" s="8"/>
      <c r="R102" s="123">
        <v>7350057583548</v>
      </c>
      <c r="S102" s="124" t="s">
        <v>54</v>
      </c>
      <c r="T102" s="124">
        <v>0.23</v>
      </c>
      <c r="U102" s="124">
        <v>0.17</v>
      </c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25"/>
      <c r="AR102" s="125"/>
      <c r="AS102" s="125"/>
      <c r="AT102" s="125"/>
      <c r="AU102" s="125"/>
      <c r="AV102" s="125"/>
      <c r="AW102" s="125"/>
      <c r="AX102" s="125"/>
      <c r="AY102" s="125"/>
      <c r="AZ102" s="125"/>
      <c r="BA102" s="125"/>
      <c r="BB102" s="125"/>
      <c r="BC102" s="125"/>
      <c r="BD102" s="125"/>
      <c r="BE102" s="125"/>
      <c r="BF102" s="125"/>
      <c r="BG102" s="125"/>
      <c r="BH102" s="125"/>
      <c r="BI102" s="125"/>
      <c r="BJ102" s="125"/>
      <c r="BK102" s="125"/>
      <c r="BL102" s="125"/>
      <c r="BM102" s="125"/>
      <c r="BN102" s="125"/>
      <c r="BO102" s="125"/>
      <c r="BP102" s="125"/>
      <c r="BQ102" s="125"/>
      <c r="BR102" s="125"/>
      <c r="BS102" s="125"/>
      <c r="BT102" s="125"/>
      <c r="BU102" s="125"/>
      <c r="BV102" s="125"/>
      <c r="BW102" s="125"/>
      <c r="BX102" s="125"/>
      <c r="BY102" s="125"/>
      <c r="BZ102" s="125"/>
      <c r="CA102" s="125"/>
      <c r="CB102" s="125"/>
      <c r="CC102" s="125"/>
      <c r="CD102" s="125"/>
      <c r="CE102" s="125"/>
      <c r="CF102" s="125"/>
      <c r="CG102" s="125"/>
      <c r="CH102" s="125"/>
      <c r="CI102" s="125"/>
      <c r="CJ102" s="125"/>
      <c r="CK102" s="125"/>
      <c r="CL102" s="125"/>
      <c r="CM102" s="125"/>
      <c r="CN102" s="125"/>
      <c r="CO102" s="125"/>
      <c r="CP102" s="125"/>
      <c r="CQ102" s="125"/>
      <c r="CR102" s="125"/>
      <c r="CS102" s="125"/>
      <c r="CT102" s="125"/>
      <c r="CU102" s="125"/>
      <c r="CV102" s="125"/>
      <c r="CW102" s="125"/>
      <c r="CX102" s="125"/>
      <c r="CY102" s="125"/>
      <c r="CZ102" s="125"/>
      <c r="DA102" s="125"/>
      <c r="DB102" s="125"/>
      <c r="DC102" s="125"/>
      <c r="DD102" s="125"/>
      <c r="DE102" s="125"/>
      <c r="DF102" s="125"/>
      <c r="DG102" s="125"/>
      <c r="DH102" s="125"/>
      <c r="DI102" s="125"/>
      <c r="DJ102" s="125"/>
      <c r="DK102" s="125"/>
      <c r="DL102" s="125"/>
      <c r="DM102" s="125"/>
      <c r="DN102" s="125"/>
      <c r="DO102" s="125"/>
      <c r="DP102" s="125"/>
      <c r="DQ102" s="125"/>
      <c r="DR102" s="125"/>
      <c r="DS102" s="125"/>
      <c r="DT102" s="125"/>
      <c r="DU102" s="125"/>
      <c r="DV102" s="125"/>
      <c r="DW102" s="125"/>
      <c r="DX102" s="125"/>
      <c r="DY102" s="125"/>
      <c r="DZ102" s="125"/>
      <c r="EA102" s="125"/>
      <c r="EB102" s="125"/>
      <c r="EC102" s="125"/>
      <c r="ED102" s="125"/>
      <c r="EE102" s="125"/>
      <c r="EF102" s="125"/>
      <c r="EG102" s="125"/>
      <c r="EH102" s="125"/>
      <c r="EI102" s="125"/>
      <c r="EJ102" s="125"/>
      <c r="EK102" s="125"/>
      <c r="EL102" s="125"/>
      <c r="EM102" s="125"/>
      <c r="EN102" s="125"/>
      <c r="EO102" s="125"/>
      <c r="EP102" s="125"/>
      <c r="EQ102" s="125"/>
      <c r="ER102" s="125"/>
      <c r="ES102" s="125"/>
      <c r="ET102" s="125"/>
      <c r="EU102" s="125"/>
      <c r="EV102" s="125"/>
      <c r="EW102" s="125"/>
      <c r="EX102" s="125"/>
      <c r="EY102" s="125"/>
      <c r="EZ102" s="125"/>
      <c r="FA102" s="125"/>
      <c r="FB102" s="125"/>
      <c r="FC102" s="125"/>
      <c r="FD102" s="125"/>
      <c r="FE102" s="125"/>
      <c r="FF102" s="125"/>
      <c r="FG102" s="125"/>
      <c r="FH102" s="125"/>
      <c r="FI102" s="125"/>
      <c r="FJ102" s="125"/>
      <c r="FK102" s="125"/>
      <c r="FL102" s="125"/>
      <c r="FM102" s="125"/>
      <c r="FN102" s="125"/>
      <c r="FO102" s="125"/>
      <c r="FP102" s="125"/>
      <c r="FQ102" s="125"/>
      <c r="FR102" s="125"/>
      <c r="FS102" s="125"/>
      <c r="FT102" s="125"/>
      <c r="FU102" s="125"/>
      <c r="FV102" s="125"/>
      <c r="FW102" s="125"/>
      <c r="FX102" s="125"/>
      <c r="FY102" s="125"/>
      <c r="FZ102" s="125"/>
      <c r="GA102" s="125"/>
      <c r="GB102" s="125"/>
      <c r="GC102" s="125"/>
      <c r="GD102" s="125"/>
      <c r="GE102" s="125"/>
      <c r="GF102" s="125"/>
      <c r="GG102" s="125"/>
      <c r="GH102" s="125"/>
      <c r="GI102" s="125"/>
      <c r="GJ102" s="125"/>
      <c r="GK102" s="125"/>
      <c r="GL102" s="125"/>
      <c r="GM102" s="125"/>
      <c r="GN102" s="125"/>
      <c r="GO102" s="125"/>
      <c r="GP102" s="125"/>
      <c r="GQ102" s="125"/>
      <c r="GR102" s="125"/>
      <c r="GS102" s="125"/>
      <c r="GT102" s="125"/>
      <c r="GU102" s="125"/>
      <c r="GV102" s="125"/>
      <c r="GW102" s="125"/>
      <c r="GX102" s="125"/>
      <c r="GY102" s="125"/>
      <c r="GZ102" s="125"/>
      <c r="HA102" s="125"/>
      <c r="HB102" s="125"/>
      <c r="HC102" s="125"/>
      <c r="HD102" s="125"/>
      <c r="HE102" s="125"/>
      <c r="HF102" s="125"/>
      <c r="HG102" s="125"/>
      <c r="HH102" s="125"/>
      <c r="HI102" s="125"/>
      <c r="HJ102" s="125"/>
      <c r="HK102" s="125"/>
      <c r="HL102" s="125"/>
      <c r="HM102" s="125"/>
      <c r="HN102" s="125"/>
      <c r="HO102" s="125"/>
      <c r="HP102" s="125"/>
      <c r="HQ102" s="125"/>
      <c r="HR102" s="125"/>
      <c r="HS102" s="125"/>
      <c r="HT102" s="125"/>
      <c r="HU102" s="125"/>
      <c r="HV102" s="125"/>
      <c r="HW102" s="125"/>
      <c r="HX102" s="125"/>
      <c r="HY102" s="125"/>
      <c r="HZ102" s="125"/>
      <c r="IA102" s="125"/>
      <c r="IB102" s="125"/>
      <c r="IC102" s="125"/>
      <c r="ID102" s="125"/>
      <c r="IE102" s="125"/>
      <c r="IF102" s="125"/>
      <c r="IG102" s="125"/>
      <c r="IH102" s="125"/>
      <c r="II102" s="125"/>
      <c r="IJ102" s="125"/>
      <c r="IK102" s="125"/>
      <c r="IL102" s="125"/>
      <c r="IM102" s="125"/>
      <c r="IN102" s="125"/>
      <c r="IO102" s="125"/>
      <c r="IP102" s="125"/>
      <c r="IQ102" s="125"/>
      <c r="IR102" s="125"/>
      <c r="IS102" s="125"/>
      <c r="IT102" s="125"/>
      <c r="IU102" s="125"/>
      <c r="IV102" s="125"/>
      <c r="IW102" s="125"/>
      <c r="IX102" s="125"/>
      <c r="IY102" s="125"/>
      <c r="IZ102" s="125"/>
      <c r="JA102" s="125"/>
      <c r="JB102" s="125"/>
      <c r="JC102" s="125"/>
      <c r="JD102" s="125"/>
      <c r="JE102" s="125"/>
      <c r="JF102" s="125"/>
      <c r="JG102" s="125"/>
      <c r="JH102" s="125"/>
      <c r="JI102" s="125"/>
      <c r="JJ102" s="125"/>
      <c r="JK102" s="125"/>
      <c r="JL102" s="125"/>
      <c r="JM102" s="125"/>
      <c r="JN102" s="125"/>
      <c r="JO102" s="125"/>
      <c r="JP102" s="125"/>
      <c r="JQ102" s="125"/>
      <c r="JR102" s="125"/>
      <c r="JS102" s="125"/>
      <c r="JT102" s="125"/>
      <c r="JU102" s="125"/>
      <c r="JV102" s="125"/>
      <c r="JW102" s="125"/>
      <c r="JX102" s="125"/>
      <c r="JY102" s="125"/>
      <c r="JZ102" s="125"/>
      <c r="KA102" s="125"/>
      <c r="KB102" s="125"/>
      <c r="KC102" s="125"/>
      <c r="KD102" s="125"/>
      <c r="KE102" s="125"/>
      <c r="KF102" s="125"/>
      <c r="KG102" s="125"/>
      <c r="KH102" s="125"/>
      <c r="KI102" s="125"/>
      <c r="KJ102" s="125"/>
      <c r="KK102" s="125"/>
      <c r="KL102" s="125"/>
      <c r="KM102" s="125"/>
      <c r="KN102" s="125"/>
      <c r="KO102" s="125"/>
      <c r="KP102" s="125"/>
      <c r="KQ102" s="125"/>
      <c r="KR102" s="125"/>
      <c r="KS102" s="125"/>
      <c r="KT102" s="125"/>
      <c r="KU102" s="125"/>
      <c r="KV102" s="125"/>
      <c r="KW102" s="125"/>
      <c r="KX102" s="125"/>
      <c r="KY102" s="125"/>
      <c r="KZ102" s="125"/>
      <c r="LA102" s="125"/>
      <c r="LB102" s="125"/>
      <c r="LC102" s="125"/>
      <c r="LD102" s="125"/>
      <c r="LE102" s="125"/>
      <c r="LF102" s="125"/>
      <c r="LG102" s="125"/>
      <c r="LH102" s="125"/>
      <c r="LI102" s="125"/>
      <c r="LJ102" s="125"/>
      <c r="LK102" s="125"/>
      <c r="LL102" s="125"/>
      <c r="LM102" s="125"/>
      <c r="LN102" s="125"/>
      <c r="LO102" s="125"/>
      <c r="LP102" s="125"/>
      <c r="LQ102" s="125"/>
    </row>
    <row r="103" spans="1:329" s="27" customFormat="1" ht="15" customHeight="1">
      <c r="A103" s="126">
        <v>1101231</v>
      </c>
      <c r="B103" s="127" t="s">
        <v>261</v>
      </c>
      <c r="C103" s="216" t="s">
        <v>262</v>
      </c>
      <c r="D103" s="122">
        <v>3</v>
      </c>
      <c r="E103" s="122">
        <f t="shared" si="2"/>
        <v>5.0420168067226889</v>
      </c>
      <c r="F103" s="122">
        <f t="shared" si="3"/>
        <v>6</v>
      </c>
      <c r="G103" s="122"/>
      <c r="H103" s="122"/>
      <c r="I103" s="8"/>
      <c r="J103" s="11"/>
      <c r="K103" s="8"/>
      <c r="L103" s="8"/>
      <c r="M103" s="8"/>
      <c r="N103" s="54" t="s">
        <v>28</v>
      </c>
      <c r="O103" s="54" t="s">
        <v>28</v>
      </c>
      <c r="P103" s="8"/>
      <c r="Q103" s="8"/>
      <c r="R103" s="123">
        <v>7350057583647</v>
      </c>
      <c r="S103" s="124" t="s">
        <v>105</v>
      </c>
      <c r="T103" s="124">
        <v>0.69</v>
      </c>
      <c r="U103" s="124">
        <v>0.47</v>
      </c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25"/>
      <c r="AR103" s="125"/>
      <c r="AS103" s="125"/>
      <c r="AT103" s="125"/>
      <c r="AU103" s="125"/>
      <c r="AV103" s="125"/>
      <c r="AW103" s="125"/>
      <c r="AX103" s="125"/>
      <c r="AY103" s="125"/>
      <c r="AZ103" s="125"/>
      <c r="BA103" s="125"/>
      <c r="BB103" s="125"/>
      <c r="BC103" s="125"/>
      <c r="BD103" s="125"/>
      <c r="BE103" s="125"/>
      <c r="BF103" s="125"/>
      <c r="BG103" s="125"/>
      <c r="BH103" s="125"/>
      <c r="BI103" s="125"/>
      <c r="BJ103" s="125"/>
      <c r="BK103" s="125"/>
      <c r="BL103" s="125"/>
      <c r="BM103" s="125"/>
      <c r="BN103" s="125"/>
      <c r="BO103" s="125"/>
      <c r="BP103" s="125"/>
      <c r="BQ103" s="125"/>
      <c r="BR103" s="125"/>
      <c r="BS103" s="125"/>
      <c r="BT103" s="125"/>
      <c r="BU103" s="125"/>
      <c r="BV103" s="125"/>
      <c r="BW103" s="125"/>
      <c r="BX103" s="125"/>
      <c r="BY103" s="125"/>
      <c r="BZ103" s="125"/>
      <c r="CA103" s="125"/>
      <c r="CB103" s="125"/>
      <c r="CC103" s="125"/>
      <c r="CD103" s="125"/>
      <c r="CE103" s="125"/>
      <c r="CF103" s="125"/>
      <c r="CG103" s="125"/>
      <c r="CH103" s="125"/>
      <c r="CI103" s="125"/>
      <c r="CJ103" s="125"/>
      <c r="CK103" s="125"/>
      <c r="CL103" s="125"/>
      <c r="CM103" s="125"/>
      <c r="CN103" s="125"/>
      <c r="CO103" s="125"/>
      <c r="CP103" s="125"/>
      <c r="CQ103" s="125"/>
      <c r="CR103" s="125"/>
      <c r="CS103" s="125"/>
      <c r="CT103" s="125"/>
      <c r="CU103" s="125"/>
      <c r="CV103" s="125"/>
      <c r="CW103" s="125"/>
      <c r="CX103" s="125"/>
      <c r="CY103" s="125"/>
      <c r="CZ103" s="125"/>
      <c r="DA103" s="125"/>
      <c r="DB103" s="125"/>
      <c r="DC103" s="125"/>
      <c r="DD103" s="125"/>
      <c r="DE103" s="125"/>
      <c r="DF103" s="125"/>
      <c r="DG103" s="125"/>
      <c r="DH103" s="125"/>
      <c r="DI103" s="125"/>
      <c r="DJ103" s="125"/>
      <c r="DK103" s="125"/>
      <c r="DL103" s="125"/>
      <c r="DM103" s="125"/>
      <c r="DN103" s="125"/>
      <c r="DO103" s="125"/>
      <c r="DP103" s="125"/>
      <c r="DQ103" s="125"/>
      <c r="DR103" s="125"/>
      <c r="DS103" s="125"/>
      <c r="DT103" s="125"/>
      <c r="DU103" s="125"/>
      <c r="DV103" s="125"/>
      <c r="DW103" s="125"/>
      <c r="DX103" s="125"/>
      <c r="DY103" s="125"/>
      <c r="DZ103" s="125"/>
      <c r="EA103" s="125"/>
      <c r="EB103" s="125"/>
      <c r="EC103" s="125"/>
      <c r="ED103" s="125"/>
      <c r="EE103" s="125"/>
      <c r="EF103" s="125"/>
      <c r="EG103" s="125"/>
      <c r="EH103" s="125"/>
      <c r="EI103" s="125"/>
      <c r="EJ103" s="125"/>
      <c r="EK103" s="125"/>
      <c r="EL103" s="125"/>
      <c r="EM103" s="125"/>
      <c r="EN103" s="125"/>
      <c r="EO103" s="125"/>
      <c r="EP103" s="125"/>
      <c r="EQ103" s="125"/>
      <c r="ER103" s="125"/>
      <c r="ES103" s="125"/>
      <c r="ET103" s="125"/>
      <c r="EU103" s="125"/>
      <c r="EV103" s="125"/>
      <c r="EW103" s="125"/>
      <c r="EX103" s="125"/>
      <c r="EY103" s="125"/>
      <c r="EZ103" s="125"/>
      <c r="FA103" s="125"/>
      <c r="FB103" s="125"/>
      <c r="FC103" s="125"/>
      <c r="FD103" s="125"/>
      <c r="FE103" s="125"/>
      <c r="FF103" s="125"/>
      <c r="FG103" s="125"/>
      <c r="FH103" s="125"/>
      <c r="FI103" s="125"/>
      <c r="FJ103" s="125"/>
      <c r="FK103" s="125"/>
      <c r="FL103" s="125"/>
      <c r="FM103" s="125"/>
      <c r="FN103" s="125"/>
      <c r="FO103" s="125"/>
      <c r="FP103" s="125"/>
      <c r="FQ103" s="125"/>
      <c r="FR103" s="125"/>
      <c r="FS103" s="125"/>
      <c r="FT103" s="125"/>
      <c r="FU103" s="125"/>
      <c r="FV103" s="125"/>
      <c r="FW103" s="125"/>
      <c r="FX103" s="125"/>
      <c r="FY103" s="125"/>
      <c r="FZ103" s="125"/>
      <c r="GA103" s="125"/>
      <c r="GB103" s="125"/>
      <c r="GC103" s="125"/>
      <c r="GD103" s="125"/>
      <c r="GE103" s="125"/>
      <c r="GF103" s="125"/>
      <c r="GG103" s="125"/>
      <c r="GH103" s="125"/>
      <c r="GI103" s="125"/>
      <c r="GJ103" s="125"/>
      <c r="GK103" s="125"/>
      <c r="GL103" s="125"/>
      <c r="GM103" s="125"/>
      <c r="GN103" s="125"/>
      <c r="GO103" s="125"/>
      <c r="GP103" s="125"/>
      <c r="GQ103" s="125"/>
      <c r="GR103" s="125"/>
      <c r="GS103" s="125"/>
      <c r="GT103" s="125"/>
      <c r="GU103" s="125"/>
      <c r="GV103" s="125"/>
      <c r="GW103" s="125"/>
      <c r="GX103" s="125"/>
      <c r="GY103" s="125"/>
      <c r="GZ103" s="125"/>
      <c r="HA103" s="125"/>
      <c r="HB103" s="125"/>
      <c r="HC103" s="125"/>
      <c r="HD103" s="125"/>
      <c r="HE103" s="125"/>
      <c r="HF103" s="125"/>
      <c r="HG103" s="125"/>
      <c r="HH103" s="125"/>
      <c r="HI103" s="125"/>
      <c r="HJ103" s="125"/>
      <c r="HK103" s="125"/>
      <c r="HL103" s="125"/>
      <c r="HM103" s="125"/>
      <c r="HN103" s="125"/>
      <c r="HO103" s="125"/>
      <c r="HP103" s="125"/>
      <c r="HQ103" s="125"/>
      <c r="HR103" s="125"/>
      <c r="HS103" s="125"/>
      <c r="HT103" s="125"/>
      <c r="HU103" s="125"/>
      <c r="HV103" s="125"/>
      <c r="HW103" s="125"/>
      <c r="HX103" s="125"/>
      <c r="HY103" s="125"/>
      <c r="HZ103" s="125"/>
      <c r="IA103" s="125"/>
      <c r="IB103" s="125"/>
      <c r="IC103" s="125"/>
      <c r="ID103" s="125"/>
      <c r="IE103" s="125"/>
      <c r="IF103" s="125"/>
      <c r="IG103" s="125"/>
      <c r="IH103" s="125"/>
      <c r="II103" s="125"/>
      <c r="IJ103" s="125"/>
      <c r="IK103" s="125"/>
      <c r="IL103" s="125"/>
      <c r="IM103" s="125"/>
      <c r="IN103" s="125"/>
      <c r="IO103" s="125"/>
      <c r="IP103" s="125"/>
      <c r="IQ103" s="125"/>
      <c r="IR103" s="125"/>
      <c r="IS103" s="125"/>
      <c r="IT103" s="125"/>
      <c r="IU103" s="125"/>
      <c r="IV103" s="125"/>
      <c r="IW103" s="125"/>
      <c r="IX103" s="125"/>
      <c r="IY103" s="125"/>
      <c r="IZ103" s="125"/>
      <c r="JA103" s="125"/>
      <c r="JB103" s="125"/>
      <c r="JC103" s="125"/>
      <c r="JD103" s="125"/>
      <c r="JE103" s="125"/>
      <c r="JF103" s="125"/>
      <c r="JG103" s="125"/>
      <c r="JH103" s="125"/>
      <c r="JI103" s="125"/>
      <c r="JJ103" s="125"/>
      <c r="JK103" s="125"/>
      <c r="JL103" s="125"/>
      <c r="JM103" s="125"/>
      <c r="JN103" s="125"/>
      <c r="JO103" s="125"/>
      <c r="JP103" s="125"/>
      <c r="JQ103" s="125"/>
      <c r="JR103" s="125"/>
      <c r="JS103" s="125"/>
      <c r="JT103" s="125"/>
      <c r="JU103" s="125"/>
      <c r="JV103" s="125"/>
      <c r="JW103" s="125"/>
      <c r="JX103" s="125"/>
      <c r="JY103" s="125"/>
      <c r="JZ103" s="125"/>
      <c r="KA103" s="125"/>
      <c r="KB103" s="125"/>
      <c r="KC103" s="125"/>
      <c r="KD103" s="125"/>
      <c r="KE103" s="125"/>
      <c r="KF103" s="125"/>
      <c r="KG103" s="125"/>
      <c r="KH103" s="125"/>
      <c r="KI103" s="125"/>
      <c r="KJ103" s="125"/>
      <c r="KK103" s="125"/>
      <c r="KL103" s="125"/>
      <c r="KM103" s="125"/>
      <c r="KN103" s="125"/>
      <c r="KO103" s="125"/>
      <c r="KP103" s="125"/>
      <c r="KQ103" s="125"/>
      <c r="KR103" s="125"/>
      <c r="KS103" s="125"/>
      <c r="KT103" s="125"/>
      <c r="KU103" s="125"/>
      <c r="KV103" s="125"/>
      <c r="KW103" s="125"/>
      <c r="KX103" s="125"/>
      <c r="KY103" s="125"/>
      <c r="KZ103" s="125"/>
      <c r="LA103" s="125"/>
      <c r="LB103" s="125"/>
      <c r="LC103" s="125"/>
      <c r="LD103" s="125"/>
      <c r="LE103" s="125"/>
      <c r="LF103" s="125"/>
      <c r="LG103" s="125"/>
      <c r="LH103" s="125"/>
      <c r="LI103" s="125"/>
      <c r="LJ103" s="125"/>
      <c r="LK103" s="125"/>
      <c r="LL103" s="125"/>
      <c r="LM103" s="125"/>
      <c r="LN103" s="125"/>
      <c r="LO103" s="125"/>
      <c r="LP103" s="125"/>
      <c r="LQ103" s="125"/>
    </row>
    <row r="104" spans="1:329" s="27" customFormat="1" ht="15" customHeight="1">
      <c r="A104" s="33">
        <v>1101232</v>
      </c>
      <c r="B104" s="61" t="s">
        <v>263</v>
      </c>
      <c r="C104" s="61" t="s">
        <v>156</v>
      </c>
      <c r="D104" s="122">
        <v>12</v>
      </c>
      <c r="E104" s="122">
        <f t="shared" si="2"/>
        <v>20.168067226890756</v>
      </c>
      <c r="F104" s="122">
        <f t="shared" si="3"/>
        <v>24</v>
      </c>
      <c r="G104" s="122"/>
      <c r="H104" s="122"/>
      <c r="I104" s="8"/>
      <c r="J104" s="11"/>
      <c r="K104" s="8"/>
      <c r="L104" s="11"/>
      <c r="M104" s="11"/>
      <c r="N104" s="54" t="s">
        <v>28</v>
      </c>
      <c r="O104" s="54" t="s">
        <v>28</v>
      </c>
      <c r="P104" s="11"/>
      <c r="Q104" s="11"/>
      <c r="R104" s="123">
        <v>7350057583784</v>
      </c>
      <c r="S104" s="124" t="s">
        <v>115</v>
      </c>
      <c r="T104" s="124">
        <v>0.32</v>
      </c>
      <c r="U104" s="124">
        <v>0.11</v>
      </c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329" s="27" customFormat="1" ht="15" customHeight="1">
      <c r="A105" s="126">
        <v>1101236</v>
      </c>
      <c r="B105" s="132" t="s">
        <v>264</v>
      </c>
      <c r="C105" s="214" t="s">
        <v>265</v>
      </c>
      <c r="D105" s="122">
        <v>50</v>
      </c>
      <c r="E105" s="122">
        <f t="shared" si="2"/>
        <v>84.033613445378151</v>
      </c>
      <c r="F105" s="122">
        <f t="shared" si="3"/>
        <v>100</v>
      </c>
      <c r="G105" s="122"/>
      <c r="H105" s="122"/>
      <c r="I105" s="8"/>
      <c r="J105" s="11"/>
      <c r="K105" s="8"/>
      <c r="L105" s="11"/>
      <c r="M105" s="11"/>
      <c r="N105" s="11"/>
      <c r="O105" s="11"/>
      <c r="P105" s="54" t="s">
        <v>28</v>
      </c>
      <c r="Q105" s="11"/>
      <c r="R105" s="123">
        <v>7350057583302</v>
      </c>
      <c r="S105" s="124" t="s">
        <v>63</v>
      </c>
      <c r="T105" s="124">
        <v>3.2</v>
      </c>
      <c r="U105" s="124">
        <v>2.42</v>
      </c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  <c r="BG105" s="125"/>
      <c r="BH105" s="125"/>
      <c r="BI105" s="125"/>
      <c r="BJ105" s="125"/>
      <c r="BK105" s="125"/>
      <c r="BL105" s="125"/>
      <c r="BM105" s="125"/>
      <c r="BN105" s="125"/>
      <c r="BO105" s="125"/>
      <c r="BP105" s="125"/>
      <c r="BQ105" s="125"/>
      <c r="BR105" s="125"/>
      <c r="BS105" s="125"/>
      <c r="BT105" s="125"/>
      <c r="BU105" s="125"/>
      <c r="BV105" s="125"/>
      <c r="BW105" s="125"/>
      <c r="BX105" s="125"/>
      <c r="BY105" s="125"/>
      <c r="BZ105" s="125"/>
      <c r="CA105" s="125"/>
      <c r="CB105" s="125"/>
      <c r="CC105" s="125"/>
      <c r="CD105" s="125"/>
      <c r="CE105" s="125"/>
      <c r="CF105" s="125"/>
      <c r="CG105" s="125"/>
      <c r="CH105" s="125"/>
      <c r="CI105" s="125"/>
      <c r="CJ105" s="125"/>
      <c r="CK105" s="125"/>
      <c r="CL105" s="125"/>
      <c r="CM105" s="125"/>
      <c r="CN105" s="125"/>
      <c r="CO105" s="125"/>
      <c r="CP105" s="125"/>
      <c r="CQ105" s="125"/>
      <c r="CR105" s="125"/>
      <c r="CS105" s="125"/>
      <c r="CT105" s="125"/>
      <c r="CU105" s="125"/>
      <c r="CV105" s="125"/>
      <c r="CW105" s="125"/>
      <c r="CX105" s="125"/>
      <c r="CY105" s="125"/>
      <c r="CZ105" s="125"/>
      <c r="DA105" s="125"/>
      <c r="DB105" s="125"/>
      <c r="DC105" s="125"/>
      <c r="DD105" s="125"/>
      <c r="DE105" s="125"/>
      <c r="DF105" s="125"/>
      <c r="DG105" s="125"/>
      <c r="DH105" s="125"/>
      <c r="DI105" s="125"/>
      <c r="DJ105" s="125"/>
      <c r="DK105" s="125"/>
      <c r="DL105" s="125"/>
      <c r="DM105" s="125"/>
      <c r="DN105" s="125"/>
      <c r="DO105" s="125"/>
      <c r="DP105" s="125"/>
      <c r="DQ105" s="125"/>
      <c r="DR105" s="125"/>
      <c r="DS105" s="125"/>
      <c r="DT105" s="125"/>
      <c r="DU105" s="125"/>
      <c r="DV105" s="125"/>
      <c r="DW105" s="125"/>
      <c r="DX105" s="125"/>
      <c r="DY105" s="125"/>
      <c r="DZ105" s="125"/>
      <c r="EA105" s="125"/>
      <c r="EB105" s="125"/>
      <c r="EC105" s="125"/>
      <c r="ED105" s="125"/>
      <c r="EE105" s="125"/>
      <c r="EF105" s="125"/>
      <c r="EG105" s="125"/>
      <c r="EH105" s="125"/>
      <c r="EI105" s="125"/>
      <c r="EJ105" s="125"/>
      <c r="EK105" s="125"/>
      <c r="EL105" s="125"/>
      <c r="EM105" s="125"/>
      <c r="EN105" s="125"/>
      <c r="EO105" s="125"/>
      <c r="EP105" s="125"/>
      <c r="EQ105" s="125"/>
      <c r="ER105" s="125"/>
      <c r="ES105" s="125"/>
      <c r="ET105" s="125"/>
      <c r="EU105" s="125"/>
      <c r="EV105" s="125"/>
      <c r="EW105" s="125"/>
      <c r="EX105" s="125"/>
      <c r="EY105" s="125"/>
      <c r="EZ105" s="125"/>
      <c r="FA105" s="125"/>
      <c r="FB105" s="125"/>
      <c r="FC105" s="125"/>
      <c r="FD105" s="125"/>
      <c r="FE105" s="125"/>
      <c r="FF105" s="125"/>
      <c r="FG105" s="125"/>
      <c r="FH105" s="125"/>
      <c r="FI105" s="125"/>
      <c r="FJ105" s="125"/>
      <c r="FK105" s="125"/>
      <c r="FL105" s="125"/>
      <c r="FM105" s="125"/>
      <c r="FN105" s="125"/>
      <c r="FO105" s="125"/>
      <c r="FP105" s="125"/>
      <c r="FQ105" s="125"/>
      <c r="FR105" s="125"/>
      <c r="FS105" s="125"/>
      <c r="FT105" s="125"/>
      <c r="FU105" s="125"/>
      <c r="FV105" s="125"/>
      <c r="FW105" s="125"/>
      <c r="FX105" s="125"/>
      <c r="FY105" s="125"/>
      <c r="FZ105" s="125"/>
      <c r="GA105" s="125"/>
      <c r="GB105" s="125"/>
      <c r="GC105" s="125"/>
      <c r="GD105" s="125"/>
      <c r="GE105" s="125"/>
      <c r="GF105" s="125"/>
      <c r="GG105" s="125"/>
      <c r="GH105" s="125"/>
      <c r="GI105" s="125"/>
      <c r="GJ105" s="125"/>
      <c r="GK105" s="125"/>
      <c r="GL105" s="125"/>
      <c r="GM105" s="125"/>
      <c r="GN105" s="125"/>
      <c r="GO105" s="125"/>
      <c r="GP105" s="125"/>
      <c r="GQ105" s="125"/>
      <c r="GR105" s="125"/>
      <c r="GS105" s="125"/>
      <c r="GT105" s="125"/>
      <c r="GU105" s="125"/>
      <c r="GV105" s="125"/>
      <c r="GW105" s="125"/>
      <c r="GX105" s="125"/>
      <c r="GY105" s="125"/>
      <c r="GZ105" s="125"/>
      <c r="HA105" s="125"/>
      <c r="HB105" s="125"/>
      <c r="HC105" s="125"/>
      <c r="HD105" s="125"/>
      <c r="HE105" s="125"/>
      <c r="HF105" s="125"/>
      <c r="HG105" s="125"/>
      <c r="HH105" s="125"/>
      <c r="HI105" s="125"/>
      <c r="HJ105" s="125"/>
      <c r="HK105" s="125"/>
      <c r="HL105" s="125"/>
      <c r="HM105" s="125"/>
      <c r="HN105" s="125"/>
      <c r="HO105" s="125"/>
      <c r="HP105" s="125"/>
      <c r="HQ105" s="125"/>
      <c r="HR105" s="125"/>
      <c r="HS105" s="125"/>
      <c r="HT105" s="125"/>
      <c r="HU105" s="125"/>
      <c r="HV105" s="125"/>
      <c r="HW105" s="125"/>
      <c r="HX105" s="125"/>
      <c r="HY105" s="125"/>
      <c r="HZ105" s="125"/>
      <c r="IA105" s="125"/>
      <c r="IB105" s="125"/>
      <c r="IC105" s="125"/>
      <c r="ID105" s="125"/>
      <c r="IE105" s="125"/>
      <c r="IF105" s="125"/>
      <c r="IG105" s="125"/>
      <c r="IH105" s="125"/>
      <c r="II105" s="125"/>
      <c r="IJ105" s="125"/>
      <c r="IK105" s="125"/>
      <c r="IL105" s="125"/>
      <c r="IM105" s="125"/>
      <c r="IN105" s="125"/>
      <c r="IO105" s="125"/>
      <c r="IP105" s="125"/>
      <c r="IQ105" s="125"/>
      <c r="IR105" s="125"/>
      <c r="IS105" s="125"/>
      <c r="IT105" s="125"/>
      <c r="IU105" s="125"/>
      <c r="IV105" s="125"/>
      <c r="IW105" s="125"/>
      <c r="IX105" s="125"/>
      <c r="IY105" s="125"/>
      <c r="IZ105" s="125"/>
      <c r="JA105" s="125"/>
      <c r="JB105" s="125"/>
      <c r="JC105" s="125"/>
      <c r="JD105" s="125"/>
      <c r="JE105" s="125"/>
      <c r="JF105" s="125"/>
      <c r="JG105" s="125"/>
      <c r="JH105" s="125"/>
      <c r="JI105" s="125"/>
      <c r="JJ105" s="125"/>
      <c r="JK105" s="125"/>
      <c r="JL105" s="125"/>
      <c r="JM105" s="125"/>
      <c r="JN105" s="125"/>
      <c r="JO105" s="125"/>
      <c r="JP105" s="125"/>
      <c r="JQ105" s="125"/>
      <c r="JR105" s="125"/>
      <c r="JS105" s="125"/>
      <c r="JT105" s="125"/>
      <c r="JU105" s="125"/>
      <c r="JV105" s="125"/>
      <c r="JW105" s="125"/>
      <c r="JX105" s="125"/>
      <c r="JY105" s="125"/>
      <c r="JZ105" s="125"/>
      <c r="KA105" s="125"/>
      <c r="KB105" s="125"/>
      <c r="KC105" s="125"/>
      <c r="KD105" s="125"/>
      <c r="KE105" s="125"/>
      <c r="KF105" s="125"/>
      <c r="KG105" s="125"/>
      <c r="KH105" s="125"/>
      <c r="KI105" s="125"/>
      <c r="KJ105" s="125"/>
      <c r="KK105" s="125"/>
      <c r="KL105" s="125"/>
      <c r="KM105" s="125"/>
      <c r="KN105" s="125"/>
      <c r="KO105" s="125"/>
      <c r="KP105" s="125"/>
      <c r="KQ105" s="125"/>
      <c r="KR105" s="125"/>
      <c r="KS105" s="125"/>
      <c r="KT105" s="125"/>
      <c r="KU105" s="125"/>
      <c r="KV105" s="125"/>
      <c r="KW105" s="125"/>
      <c r="KX105" s="125"/>
      <c r="KY105" s="125"/>
      <c r="KZ105" s="125"/>
      <c r="LA105" s="125"/>
      <c r="LB105" s="125"/>
      <c r="LC105" s="125"/>
      <c r="LD105" s="125"/>
      <c r="LE105" s="125"/>
      <c r="LF105" s="125"/>
      <c r="LG105" s="125"/>
      <c r="LH105" s="125"/>
      <c r="LI105" s="125"/>
      <c r="LJ105" s="125"/>
      <c r="LK105" s="125"/>
      <c r="LL105" s="125"/>
      <c r="LM105" s="125"/>
      <c r="LN105" s="125"/>
      <c r="LO105" s="125"/>
      <c r="LP105" s="125"/>
      <c r="LQ105" s="125"/>
    </row>
    <row r="106" spans="1:329" s="27" customFormat="1" ht="15" customHeight="1">
      <c r="A106" s="126">
        <v>1101237</v>
      </c>
      <c r="B106" s="132" t="s">
        <v>266</v>
      </c>
      <c r="C106" s="216" t="s">
        <v>267</v>
      </c>
      <c r="D106" s="122">
        <v>50</v>
      </c>
      <c r="E106" s="122">
        <f t="shared" si="2"/>
        <v>84.033613445378151</v>
      </c>
      <c r="F106" s="122">
        <f t="shared" si="3"/>
        <v>100</v>
      </c>
      <c r="G106" s="122"/>
      <c r="H106" s="122"/>
      <c r="I106" s="8"/>
      <c r="J106" s="11"/>
      <c r="K106" s="11"/>
      <c r="L106" s="11"/>
      <c r="M106" s="11"/>
      <c r="N106" s="8"/>
      <c r="O106" s="8"/>
      <c r="P106" s="54" t="s">
        <v>28</v>
      </c>
      <c r="Q106" s="11"/>
      <c r="R106" s="123">
        <v>7350057583319</v>
      </c>
      <c r="S106" s="124" t="s">
        <v>268</v>
      </c>
      <c r="T106" s="124" t="s">
        <v>268</v>
      </c>
      <c r="U106" s="124">
        <v>0.21</v>
      </c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25"/>
      <c r="AR106" s="125"/>
      <c r="AS106" s="125"/>
      <c r="AT106" s="125"/>
      <c r="AU106" s="125"/>
      <c r="AV106" s="125"/>
      <c r="AW106" s="125"/>
      <c r="AX106" s="125"/>
      <c r="AY106" s="125"/>
      <c r="AZ106" s="125"/>
      <c r="BA106" s="125"/>
      <c r="BB106" s="125"/>
      <c r="BC106" s="125"/>
      <c r="BD106" s="125"/>
      <c r="BE106" s="125"/>
      <c r="BF106" s="125"/>
      <c r="BG106" s="125"/>
      <c r="BH106" s="125"/>
      <c r="BI106" s="125"/>
      <c r="BJ106" s="125"/>
      <c r="BK106" s="125"/>
      <c r="BL106" s="125"/>
      <c r="BM106" s="125"/>
      <c r="BN106" s="125"/>
      <c r="BO106" s="125"/>
      <c r="BP106" s="125"/>
      <c r="BQ106" s="125"/>
      <c r="BR106" s="125"/>
      <c r="BS106" s="125"/>
      <c r="BT106" s="125"/>
      <c r="BU106" s="125"/>
      <c r="BV106" s="125"/>
      <c r="BW106" s="125"/>
      <c r="BX106" s="125"/>
      <c r="BY106" s="125"/>
      <c r="BZ106" s="125"/>
      <c r="CA106" s="125"/>
      <c r="CB106" s="125"/>
      <c r="CC106" s="125"/>
      <c r="CD106" s="125"/>
      <c r="CE106" s="125"/>
      <c r="CF106" s="125"/>
      <c r="CG106" s="125"/>
      <c r="CH106" s="125"/>
      <c r="CI106" s="125"/>
      <c r="CJ106" s="125"/>
      <c r="CK106" s="125"/>
      <c r="CL106" s="125"/>
      <c r="CM106" s="125"/>
      <c r="CN106" s="125"/>
      <c r="CO106" s="125"/>
      <c r="CP106" s="125"/>
      <c r="CQ106" s="125"/>
      <c r="CR106" s="125"/>
      <c r="CS106" s="125"/>
      <c r="CT106" s="125"/>
      <c r="CU106" s="125"/>
      <c r="CV106" s="125"/>
      <c r="CW106" s="125"/>
      <c r="CX106" s="125"/>
      <c r="CY106" s="125"/>
      <c r="CZ106" s="125"/>
      <c r="DA106" s="125"/>
      <c r="DB106" s="125"/>
      <c r="DC106" s="125"/>
      <c r="DD106" s="125"/>
      <c r="DE106" s="125"/>
      <c r="DF106" s="125"/>
      <c r="DG106" s="125"/>
      <c r="DH106" s="125"/>
      <c r="DI106" s="125"/>
      <c r="DJ106" s="125"/>
      <c r="DK106" s="125"/>
      <c r="DL106" s="125"/>
      <c r="DM106" s="125"/>
      <c r="DN106" s="125"/>
      <c r="DO106" s="125"/>
      <c r="DP106" s="125"/>
      <c r="DQ106" s="125"/>
      <c r="DR106" s="125"/>
      <c r="DS106" s="125"/>
      <c r="DT106" s="125"/>
      <c r="DU106" s="125"/>
      <c r="DV106" s="125"/>
      <c r="DW106" s="125"/>
      <c r="DX106" s="125"/>
      <c r="DY106" s="125"/>
      <c r="DZ106" s="125"/>
      <c r="EA106" s="125"/>
      <c r="EB106" s="125"/>
      <c r="EC106" s="125"/>
      <c r="ED106" s="125"/>
      <c r="EE106" s="125"/>
      <c r="EF106" s="125"/>
      <c r="EG106" s="125"/>
      <c r="EH106" s="125"/>
      <c r="EI106" s="125"/>
      <c r="EJ106" s="125"/>
      <c r="EK106" s="125"/>
      <c r="EL106" s="125"/>
      <c r="EM106" s="125"/>
      <c r="EN106" s="125"/>
      <c r="EO106" s="125"/>
      <c r="EP106" s="125"/>
      <c r="EQ106" s="125"/>
      <c r="ER106" s="125"/>
      <c r="ES106" s="125"/>
      <c r="ET106" s="125"/>
      <c r="EU106" s="125"/>
      <c r="EV106" s="125"/>
      <c r="EW106" s="125"/>
      <c r="EX106" s="125"/>
      <c r="EY106" s="125"/>
      <c r="EZ106" s="125"/>
      <c r="FA106" s="125"/>
      <c r="FB106" s="125"/>
      <c r="FC106" s="125"/>
      <c r="FD106" s="125"/>
      <c r="FE106" s="125"/>
      <c r="FF106" s="125"/>
      <c r="FG106" s="125"/>
      <c r="FH106" s="125"/>
      <c r="FI106" s="125"/>
      <c r="FJ106" s="125"/>
      <c r="FK106" s="125"/>
      <c r="FL106" s="125"/>
      <c r="FM106" s="125"/>
      <c r="FN106" s="125"/>
      <c r="FO106" s="125"/>
      <c r="FP106" s="125"/>
      <c r="FQ106" s="125"/>
      <c r="FR106" s="125"/>
      <c r="FS106" s="125"/>
      <c r="FT106" s="125"/>
      <c r="FU106" s="125"/>
      <c r="FV106" s="125"/>
      <c r="FW106" s="125"/>
      <c r="FX106" s="125"/>
      <c r="FY106" s="125"/>
      <c r="FZ106" s="125"/>
      <c r="GA106" s="125"/>
      <c r="GB106" s="125"/>
      <c r="GC106" s="125"/>
      <c r="GD106" s="125"/>
      <c r="GE106" s="125"/>
      <c r="GF106" s="125"/>
      <c r="GG106" s="125"/>
      <c r="GH106" s="125"/>
      <c r="GI106" s="125"/>
      <c r="GJ106" s="125"/>
      <c r="GK106" s="125"/>
      <c r="GL106" s="125"/>
      <c r="GM106" s="125"/>
      <c r="GN106" s="125"/>
      <c r="GO106" s="125"/>
      <c r="GP106" s="125"/>
      <c r="GQ106" s="125"/>
      <c r="GR106" s="125"/>
      <c r="GS106" s="125"/>
      <c r="GT106" s="125"/>
      <c r="GU106" s="125"/>
      <c r="GV106" s="125"/>
      <c r="GW106" s="125"/>
      <c r="GX106" s="125"/>
      <c r="GY106" s="125"/>
      <c r="GZ106" s="125"/>
      <c r="HA106" s="125"/>
      <c r="HB106" s="125"/>
      <c r="HC106" s="125"/>
      <c r="HD106" s="125"/>
      <c r="HE106" s="125"/>
      <c r="HF106" s="125"/>
      <c r="HG106" s="125"/>
      <c r="HH106" s="125"/>
      <c r="HI106" s="125"/>
      <c r="HJ106" s="125"/>
      <c r="HK106" s="125"/>
      <c r="HL106" s="125"/>
      <c r="HM106" s="125"/>
      <c r="HN106" s="125"/>
      <c r="HO106" s="125"/>
      <c r="HP106" s="125"/>
      <c r="HQ106" s="125"/>
      <c r="HR106" s="125"/>
      <c r="HS106" s="125"/>
      <c r="HT106" s="125"/>
      <c r="HU106" s="125"/>
      <c r="HV106" s="125"/>
      <c r="HW106" s="125"/>
      <c r="HX106" s="125"/>
      <c r="HY106" s="125"/>
      <c r="HZ106" s="125"/>
      <c r="IA106" s="125"/>
      <c r="IB106" s="125"/>
      <c r="IC106" s="125"/>
      <c r="ID106" s="125"/>
      <c r="IE106" s="125"/>
      <c r="IF106" s="125"/>
      <c r="IG106" s="125"/>
      <c r="IH106" s="125"/>
      <c r="II106" s="125"/>
      <c r="IJ106" s="125"/>
      <c r="IK106" s="125"/>
      <c r="IL106" s="125"/>
      <c r="IM106" s="125"/>
      <c r="IN106" s="125"/>
      <c r="IO106" s="125"/>
      <c r="IP106" s="125"/>
      <c r="IQ106" s="125"/>
      <c r="IR106" s="125"/>
      <c r="IS106" s="125"/>
      <c r="IT106" s="125"/>
      <c r="IU106" s="125"/>
      <c r="IV106" s="125"/>
      <c r="IW106" s="125"/>
      <c r="IX106" s="125"/>
      <c r="IY106" s="125"/>
      <c r="IZ106" s="125"/>
      <c r="JA106" s="125"/>
      <c r="JB106" s="125"/>
      <c r="JC106" s="125"/>
      <c r="JD106" s="125"/>
      <c r="JE106" s="125"/>
      <c r="JF106" s="125"/>
      <c r="JG106" s="125"/>
      <c r="JH106" s="125"/>
      <c r="JI106" s="125"/>
      <c r="JJ106" s="125"/>
      <c r="JK106" s="125"/>
      <c r="JL106" s="125"/>
      <c r="JM106" s="125"/>
      <c r="JN106" s="125"/>
      <c r="JO106" s="125"/>
      <c r="JP106" s="125"/>
      <c r="JQ106" s="125"/>
      <c r="JR106" s="125"/>
      <c r="JS106" s="125"/>
      <c r="JT106" s="125"/>
      <c r="JU106" s="125"/>
      <c r="JV106" s="125"/>
      <c r="JW106" s="125"/>
      <c r="JX106" s="125"/>
      <c r="JY106" s="125"/>
      <c r="JZ106" s="125"/>
      <c r="KA106" s="125"/>
      <c r="KB106" s="125"/>
      <c r="KC106" s="125"/>
      <c r="KD106" s="125"/>
      <c r="KE106" s="125"/>
      <c r="KF106" s="125"/>
      <c r="KG106" s="125"/>
      <c r="KH106" s="125"/>
      <c r="KI106" s="125"/>
      <c r="KJ106" s="125"/>
      <c r="KK106" s="125"/>
      <c r="KL106" s="125"/>
      <c r="KM106" s="125"/>
      <c r="KN106" s="125"/>
      <c r="KO106" s="125"/>
      <c r="KP106" s="125"/>
      <c r="KQ106" s="125"/>
      <c r="KR106" s="125"/>
      <c r="KS106" s="125"/>
      <c r="KT106" s="125"/>
      <c r="KU106" s="125"/>
      <c r="KV106" s="125"/>
      <c r="KW106" s="125"/>
      <c r="KX106" s="125"/>
      <c r="KY106" s="125"/>
      <c r="KZ106" s="125"/>
      <c r="LA106" s="125"/>
      <c r="LB106" s="125"/>
      <c r="LC106" s="125"/>
      <c r="LD106" s="125"/>
      <c r="LE106" s="125"/>
      <c r="LF106" s="125"/>
      <c r="LG106" s="125"/>
      <c r="LH106" s="125"/>
      <c r="LI106" s="125"/>
      <c r="LJ106" s="125"/>
      <c r="LK106" s="125"/>
      <c r="LL106" s="125"/>
      <c r="LM106" s="125"/>
      <c r="LN106" s="125"/>
      <c r="LO106" s="125"/>
      <c r="LP106" s="125"/>
      <c r="LQ106" s="125"/>
    </row>
    <row r="107" spans="1:329" s="27" customFormat="1" ht="15" customHeight="1">
      <c r="A107" s="126">
        <v>1101238</v>
      </c>
      <c r="B107" s="132" t="s">
        <v>269</v>
      </c>
      <c r="C107" s="214" t="s">
        <v>270</v>
      </c>
      <c r="D107" s="122">
        <v>50</v>
      </c>
      <c r="E107" s="122">
        <f t="shared" si="2"/>
        <v>84.033613445378151</v>
      </c>
      <c r="F107" s="122">
        <f t="shared" si="3"/>
        <v>100</v>
      </c>
      <c r="G107" s="122"/>
      <c r="H107" s="122"/>
      <c r="I107" s="8"/>
      <c r="J107" s="11"/>
      <c r="K107" s="11"/>
      <c r="L107" s="11"/>
      <c r="M107" s="11"/>
      <c r="N107" s="8"/>
      <c r="O107" s="8"/>
      <c r="P107" s="54" t="s">
        <v>28</v>
      </c>
      <c r="Q107" s="11"/>
      <c r="R107" s="123">
        <v>7350057583333</v>
      </c>
      <c r="S107" s="124" t="s">
        <v>77</v>
      </c>
      <c r="T107" s="124">
        <v>0.7</v>
      </c>
      <c r="U107" s="124">
        <v>0.5</v>
      </c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25"/>
      <c r="AR107" s="125"/>
      <c r="AS107" s="125"/>
      <c r="AT107" s="125"/>
      <c r="AU107" s="125"/>
      <c r="AV107" s="125"/>
      <c r="AW107" s="125"/>
      <c r="AX107" s="125"/>
      <c r="AY107" s="125"/>
      <c r="AZ107" s="125"/>
      <c r="BA107" s="125"/>
      <c r="BB107" s="125"/>
      <c r="BC107" s="125"/>
      <c r="BD107" s="125"/>
      <c r="BE107" s="125"/>
      <c r="BF107" s="125"/>
      <c r="BG107" s="125"/>
      <c r="BH107" s="125"/>
      <c r="BI107" s="125"/>
      <c r="BJ107" s="125"/>
      <c r="BK107" s="125"/>
      <c r="BL107" s="125"/>
      <c r="BM107" s="125"/>
      <c r="BN107" s="125"/>
      <c r="BO107" s="125"/>
      <c r="BP107" s="125"/>
      <c r="BQ107" s="125"/>
      <c r="BR107" s="125"/>
      <c r="BS107" s="125"/>
      <c r="BT107" s="125"/>
      <c r="BU107" s="125"/>
      <c r="BV107" s="125"/>
      <c r="BW107" s="125"/>
      <c r="BX107" s="125"/>
      <c r="BY107" s="125"/>
      <c r="BZ107" s="125"/>
      <c r="CA107" s="125"/>
      <c r="CB107" s="125"/>
      <c r="CC107" s="125"/>
      <c r="CD107" s="125"/>
      <c r="CE107" s="125"/>
      <c r="CF107" s="125"/>
      <c r="CG107" s="125"/>
      <c r="CH107" s="125"/>
      <c r="CI107" s="125"/>
      <c r="CJ107" s="125"/>
      <c r="CK107" s="125"/>
      <c r="CL107" s="125"/>
      <c r="CM107" s="125"/>
      <c r="CN107" s="125"/>
      <c r="CO107" s="125"/>
      <c r="CP107" s="125"/>
      <c r="CQ107" s="125"/>
      <c r="CR107" s="125"/>
      <c r="CS107" s="125"/>
      <c r="CT107" s="125"/>
      <c r="CU107" s="125"/>
      <c r="CV107" s="125"/>
      <c r="CW107" s="125"/>
      <c r="CX107" s="125"/>
      <c r="CY107" s="125"/>
      <c r="CZ107" s="125"/>
      <c r="DA107" s="125"/>
      <c r="DB107" s="125"/>
      <c r="DC107" s="125"/>
      <c r="DD107" s="125"/>
      <c r="DE107" s="125"/>
      <c r="DF107" s="125"/>
      <c r="DG107" s="125"/>
      <c r="DH107" s="125"/>
      <c r="DI107" s="125"/>
      <c r="DJ107" s="125"/>
      <c r="DK107" s="125"/>
      <c r="DL107" s="125"/>
      <c r="DM107" s="125"/>
      <c r="DN107" s="125"/>
      <c r="DO107" s="125"/>
      <c r="DP107" s="125"/>
      <c r="DQ107" s="125"/>
      <c r="DR107" s="125"/>
      <c r="DS107" s="125"/>
      <c r="DT107" s="125"/>
      <c r="DU107" s="125"/>
      <c r="DV107" s="125"/>
      <c r="DW107" s="125"/>
      <c r="DX107" s="125"/>
      <c r="DY107" s="125"/>
      <c r="DZ107" s="125"/>
      <c r="EA107" s="125"/>
      <c r="EB107" s="125"/>
      <c r="EC107" s="125"/>
      <c r="ED107" s="125"/>
      <c r="EE107" s="125"/>
      <c r="EF107" s="125"/>
      <c r="EG107" s="125"/>
      <c r="EH107" s="125"/>
      <c r="EI107" s="125"/>
      <c r="EJ107" s="125"/>
      <c r="EK107" s="125"/>
      <c r="EL107" s="125"/>
      <c r="EM107" s="125"/>
      <c r="EN107" s="125"/>
      <c r="EO107" s="125"/>
      <c r="EP107" s="125"/>
      <c r="EQ107" s="125"/>
      <c r="ER107" s="125"/>
      <c r="ES107" s="125"/>
      <c r="ET107" s="125"/>
      <c r="EU107" s="125"/>
      <c r="EV107" s="125"/>
      <c r="EW107" s="125"/>
      <c r="EX107" s="125"/>
      <c r="EY107" s="125"/>
      <c r="EZ107" s="125"/>
      <c r="FA107" s="125"/>
      <c r="FB107" s="125"/>
      <c r="FC107" s="125"/>
      <c r="FD107" s="125"/>
      <c r="FE107" s="125"/>
      <c r="FF107" s="125"/>
      <c r="FG107" s="125"/>
      <c r="FH107" s="125"/>
      <c r="FI107" s="125"/>
      <c r="FJ107" s="125"/>
      <c r="FK107" s="125"/>
      <c r="FL107" s="125"/>
      <c r="FM107" s="125"/>
      <c r="FN107" s="125"/>
      <c r="FO107" s="125"/>
      <c r="FP107" s="125"/>
      <c r="FQ107" s="125"/>
      <c r="FR107" s="125"/>
      <c r="FS107" s="125"/>
      <c r="FT107" s="125"/>
      <c r="FU107" s="125"/>
      <c r="FV107" s="125"/>
      <c r="FW107" s="125"/>
      <c r="FX107" s="125"/>
      <c r="FY107" s="125"/>
      <c r="FZ107" s="125"/>
      <c r="GA107" s="125"/>
      <c r="GB107" s="125"/>
      <c r="GC107" s="125"/>
      <c r="GD107" s="125"/>
      <c r="GE107" s="125"/>
      <c r="GF107" s="125"/>
      <c r="GG107" s="125"/>
      <c r="GH107" s="125"/>
      <c r="GI107" s="125"/>
      <c r="GJ107" s="125"/>
      <c r="GK107" s="125"/>
      <c r="GL107" s="125"/>
      <c r="GM107" s="125"/>
      <c r="GN107" s="125"/>
      <c r="GO107" s="125"/>
      <c r="GP107" s="125"/>
      <c r="GQ107" s="125"/>
      <c r="GR107" s="125"/>
      <c r="GS107" s="125"/>
      <c r="GT107" s="125"/>
      <c r="GU107" s="125"/>
      <c r="GV107" s="125"/>
      <c r="GW107" s="125"/>
      <c r="GX107" s="125"/>
      <c r="GY107" s="125"/>
      <c r="GZ107" s="125"/>
      <c r="HA107" s="125"/>
      <c r="HB107" s="125"/>
      <c r="HC107" s="125"/>
      <c r="HD107" s="125"/>
      <c r="HE107" s="125"/>
      <c r="HF107" s="125"/>
      <c r="HG107" s="125"/>
      <c r="HH107" s="125"/>
      <c r="HI107" s="125"/>
      <c r="HJ107" s="125"/>
      <c r="HK107" s="125"/>
      <c r="HL107" s="125"/>
      <c r="HM107" s="125"/>
      <c r="HN107" s="125"/>
      <c r="HO107" s="125"/>
      <c r="HP107" s="125"/>
      <c r="HQ107" s="125"/>
      <c r="HR107" s="125"/>
      <c r="HS107" s="125"/>
      <c r="HT107" s="125"/>
      <c r="HU107" s="125"/>
      <c r="HV107" s="125"/>
      <c r="HW107" s="125"/>
      <c r="HX107" s="125"/>
      <c r="HY107" s="125"/>
      <c r="HZ107" s="125"/>
      <c r="IA107" s="125"/>
      <c r="IB107" s="125"/>
      <c r="IC107" s="125"/>
      <c r="ID107" s="125"/>
      <c r="IE107" s="125"/>
      <c r="IF107" s="125"/>
      <c r="IG107" s="125"/>
      <c r="IH107" s="125"/>
      <c r="II107" s="125"/>
      <c r="IJ107" s="125"/>
      <c r="IK107" s="125"/>
      <c r="IL107" s="125"/>
      <c r="IM107" s="125"/>
      <c r="IN107" s="125"/>
      <c r="IO107" s="125"/>
      <c r="IP107" s="125"/>
      <c r="IQ107" s="125"/>
      <c r="IR107" s="125"/>
      <c r="IS107" s="125"/>
      <c r="IT107" s="125"/>
      <c r="IU107" s="125"/>
      <c r="IV107" s="125"/>
      <c r="IW107" s="125"/>
      <c r="IX107" s="125"/>
      <c r="IY107" s="125"/>
      <c r="IZ107" s="125"/>
      <c r="JA107" s="125"/>
      <c r="JB107" s="125"/>
      <c r="JC107" s="125"/>
      <c r="JD107" s="125"/>
      <c r="JE107" s="125"/>
      <c r="JF107" s="125"/>
      <c r="JG107" s="125"/>
      <c r="JH107" s="125"/>
      <c r="JI107" s="125"/>
      <c r="JJ107" s="125"/>
      <c r="JK107" s="125"/>
      <c r="JL107" s="125"/>
      <c r="JM107" s="125"/>
      <c r="JN107" s="125"/>
      <c r="JO107" s="125"/>
      <c r="JP107" s="125"/>
      <c r="JQ107" s="125"/>
      <c r="JR107" s="125"/>
      <c r="JS107" s="125"/>
      <c r="JT107" s="125"/>
      <c r="JU107" s="125"/>
      <c r="JV107" s="125"/>
      <c r="JW107" s="125"/>
      <c r="JX107" s="125"/>
      <c r="JY107" s="125"/>
      <c r="JZ107" s="125"/>
      <c r="KA107" s="125"/>
      <c r="KB107" s="125"/>
      <c r="KC107" s="125"/>
      <c r="KD107" s="125"/>
      <c r="KE107" s="125"/>
      <c r="KF107" s="125"/>
      <c r="KG107" s="125"/>
      <c r="KH107" s="125"/>
      <c r="KI107" s="125"/>
      <c r="KJ107" s="125"/>
      <c r="KK107" s="125"/>
      <c r="KL107" s="125"/>
      <c r="KM107" s="125"/>
      <c r="KN107" s="125"/>
      <c r="KO107" s="125"/>
      <c r="KP107" s="125"/>
      <c r="KQ107" s="125"/>
      <c r="KR107" s="125"/>
      <c r="KS107" s="125"/>
      <c r="KT107" s="125"/>
      <c r="KU107" s="125"/>
      <c r="KV107" s="125"/>
      <c r="KW107" s="125"/>
      <c r="KX107" s="125"/>
      <c r="KY107" s="125"/>
      <c r="KZ107" s="125"/>
      <c r="LA107" s="125"/>
      <c r="LB107" s="125"/>
      <c r="LC107" s="125"/>
      <c r="LD107" s="125"/>
      <c r="LE107" s="125"/>
      <c r="LF107" s="125"/>
      <c r="LG107" s="125"/>
      <c r="LH107" s="125"/>
      <c r="LI107" s="125"/>
      <c r="LJ107" s="125"/>
      <c r="LK107" s="125"/>
      <c r="LL107" s="125"/>
      <c r="LM107" s="125"/>
      <c r="LN107" s="125"/>
      <c r="LO107" s="125"/>
      <c r="LP107" s="125"/>
      <c r="LQ107" s="125"/>
    </row>
    <row r="108" spans="1:329" s="27" customFormat="1" ht="15" customHeight="1">
      <c r="A108" s="126">
        <v>1101239</v>
      </c>
      <c r="B108" s="132" t="s">
        <v>271</v>
      </c>
      <c r="C108" s="216" t="s">
        <v>272</v>
      </c>
      <c r="D108" s="122">
        <v>50</v>
      </c>
      <c r="E108" s="122">
        <f t="shared" si="2"/>
        <v>84.033613445378151</v>
      </c>
      <c r="F108" s="122">
        <f t="shared" si="3"/>
        <v>100</v>
      </c>
      <c r="G108" s="122"/>
      <c r="H108" s="122"/>
      <c r="I108" s="8"/>
      <c r="J108" s="11"/>
      <c r="K108" s="11"/>
      <c r="L108" s="8"/>
      <c r="M108" s="8"/>
      <c r="N108" s="11"/>
      <c r="O108" s="11"/>
      <c r="P108" s="8"/>
      <c r="Q108" s="38" t="s">
        <v>28</v>
      </c>
      <c r="R108" s="123">
        <v>7350057583340</v>
      </c>
      <c r="S108" s="124" t="s">
        <v>77</v>
      </c>
      <c r="T108" s="124">
        <v>0.7</v>
      </c>
      <c r="U108" s="124">
        <v>0.5</v>
      </c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25"/>
      <c r="AR108" s="125"/>
      <c r="AS108" s="125"/>
      <c r="AT108" s="125"/>
      <c r="AU108" s="125"/>
      <c r="AV108" s="125"/>
      <c r="AW108" s="125"/>
      <c r="AX108" s="125"/>
      <c r="AY108" s="125"/>
      <c r="AZ108" s="125"/>
      <c r="BA108" s="125"/>
      <c r="BB108" s="125"/>
      <c r="BC108" s="125"/>
      <c r="BD108" s="125"/>
      <c r="BE108" s="125"/>
      <c r="BF108" s="125"/>
      <c r="BG108" s="125"/>
      <c r="BH108" s="125"/>
      <c r="BI108" s="125"/>
      <c r="BJ108" s="125"/>
      <c r="BK108" s="125"/>
      <c r="BL108" s="125"/>
      <c r="BM108" s="125"/>
      <c r="BN108" s="125"/>
      <c r="BO108" s="125"/>
      <c r="BP108" s="125"/>
      <c r="BQ108" s="125"/>
      <c r="BR108" s="125"/>
      <c r="BS108" s="125"/>
      <c r="BT108" s="125"/>
      <c r="BU108" s="125"/>
      <c r="BV108" s="125"/>
      <c r="BW108" s="125"/>
      <c r="BX108" s="125"/>
      <c r="BY108" s="125"/>
      <c r="BZ108" s="125"/>
      <c r="CA108" s="125"/>
      <c r="CB108" s="125"/>
      <c r="CC108" s="125"/>
      <c r="CD108" s="125"/>
      <c r="CE108" s="125"/>
      <c r="CF108" s="125"/>
      <c r="CG108" s="125"/>
      <c r="CH108" s="125"/>
      <c r="CI108" s="125"/>
      <c r="CJ108" s="125"/>
      <c r="CK108" s="125"/>
      <c r="CL108" s="125"/>
      <c r="CM108" s="125"/>
      <c r="CN108" s="125"/>
      <c r="CO108" s="125"/>
      <c r="CP108" s="125"/>
      <c r="CQ108" s="125"/>
      <c r="CR108" s="125"/>
      <c r="CS108" s="125"/>
      <c r="CT108" s="125"/>
      <c r="CU108" s="125"/>
      <c r="CV108" s="125"/>
      <c r="CW108" s="125"/>
      <c r="CX108" s="125"/>
      <c r="CY108" s="125"/>
      <c r="CZ108" s="125"/>
      <c r="DA108" s="125"/>
      <c r="DB108" s="125"/>
      <c r="DC108" s="125"/>
      <c r="DD108" s="125"/>
      <c r="DE108" s="125"/>
      <c r="DF108" s="125"/>
      <c r="DG108" s="125"/>
      <c r="DH108" s="125"/>
      <c r="DI108" s="125"/>
      <c r="DJ108" s="125"/>
      <c r="DK108" s="125"/>
      <c r="DL108" s="125"/>
      <c r="DM108" s="125"/>
      <c r="DN108" s="125"/>
      <c r="DO108" s="125"/>
      <c r="DP108" s="125"/>
      <c r="DQ108" s="125"/>
      <c r="DR108" s="125"/>
      <c r="DS108" s="125"/>
      <c r="DT108" s="125"/>
      <c r="DU108" s="125"/>
      <c r="DV108" s="125"/>
      <c r="DW108" s="125"/>
      <c r="DX108" s="125"/>
      <c r="DY108" s="125"/>
      <c r="DZ108" s="125"/>
      <c r="EA108" s="125"/>
      <c r="EB108" s="125"/>
      <c r="EC108" s="125"/>
      <c r="ED108" s="125"/>
      <c r="EE108" s="125"/>
      <c r="EF108" s="125"/>
      <c r="EG108" s="125"/>
      <c r="EH108" s="125"/>
      <c r="EI108" s="125"/>
      <c r="EJ108" s="125"/>
      <c r="EK108" s="125"/>
      <c r="EL108" s="125"/>
      <c r="EM108" s="125"/>
      <c r="EN108" s="125"/>
      <c r="EO108" s="125"/>
      <c r="EP108" s="125"/>
      <c r="EQ108" s="125"/>
      <c r="ER108" s="125"/>
      <c r="ES108" s="125"/>
      <c r="ET108" s="125"/>
      <c r="EU108" s="125"/>
      <c r="EV108" s="125"/>
      <c r="EW108" s="125"/>
      <c r="EX108" s="125"/>
      <c r="EY108" s="125"/>
      <c r="EZ108" s="125"/>
      <c r="FA108" s="125"/>
      <c r="FB108" s="125"/>
      <c r="FC108" s="125"/>
      <c r="FD108" s="125"/>
      <c r="FE108" s="125"/>
      <c r="FF108" s="125"/>
      <c r="FG108" s="125"/>
      <c r="FH108" s="125"/>
      <c r="FI108" s="125"/>
      <c r="FJ108" s="125"/>
      <c r="FK108" s="125"/>
      <c r="FL108" s="125"/>
      <c r="FM108" s="125"/>
      <c r="FN108" s="125"/>
      <c r="FO108" s="125"/>
      <c r="FP108" s="125"/>
      <c r="FQ108" s="125"/>
      <c r="FR108" s="125"/>
      <c r="FS108" s="125"/>
      <c r="FT108" s="125"/>
      <c r="FU108" s="125"/>
      <c r="FV108" s="125"/>
      <c r="FW108" s="125"/>
      <c r="FX108" s="125"/>
      <c r="FY108" s="125"/>
      <c r="FZ108" s="125"/>
      <c r="GA108" s="125"/>
      <c r="GB108" s="125"/>
      <c r="GC108" s="125"/>
      <c r="GD108" s="125"/>
      <c r="GE108" s="125"/>
      <c r="GF108" s="125"/>
      <c r="GG108" s="125"/>
      <c r="GH108" s="125"/>
      <c r="GI108" s="125"/>
      <c r="GJ108" s="125"/>
      <c r="GK108" s="125"/>
      <c r="GL108" s="125"/>
      <c r="GM108" s="125"/>
      <c r="GN108" s="125"/>
      <c r="GO108" s="125"/>
      <c r="GP108" s="125"/>
      <c r="GQ108" s="125"/>
      <c r="GR108" s="125"/>
      <c r="GS108" s="125"/>
      <c r="GT108" s="125"/>
      <c r="GU108" s="125"/>
      <c r="GV108" s="125"/>
      <c r="GW108" s="125"/>
      <c r="GX108" s="125"/>
      <c r="GY108" s="125"/>
      <c r="GZ108" s="125"/>
      <c r="HA108" s="125"/>
      <c r="HB108" s="125"/>
      <c r="HC108" s="125"/>
      <c r="HD108" s="125"/>
      <c r="HE108" s="125"/>
      <c r="HF108" s="125"/>
      <c r="HG108" s="125"/>
      <c r="HH108" s="125"/>
      <c r="HI108" s="125"/>
      <c r="HJ108" s="125"/>
      <c r="HK108" s="125"/>
      <c r="HL108" s="125"/>
      <c r="HM108" s="125"/>
      <c r="HN108" s="125"/>
      <c r="HO108" s="125"/>
      <c r="HP108" s="125"/>
      <c r="HQ108" s="125"/>
      <c r="HR108" s="125"/>
      <c r="HS108" s="125"/>
      <c r="HT108" s="125"/>
      <c r="HU108" s="125"/>
      <c r="HV108" s="125"/>
      <c r="HW108" s="125"/>
      <c r="HX108" s="125"/>
      <c r="HY108" s="125"/>
      <c r="HZ108" s="125"/>
      <c r="IA108" s="125"/>
      <c r="IB108" s="125"/>
      <c r="IC108" s="125"/>
      <c r="ID108" s="125"/>
      <c r="IE108" s="125"/>
      <c r="IF108" s="125"/>
      <c r="IG108" s="125"/>
      <c r="IH108" s="125"/>
      <c r="II108" s="125"/>
      <c r="IJ108" s="125"/>
      <c r="IK108" s="125"/>
      <c r="IL108" s="125"/>
      <c r="IM108" s="125"/>
      <c r="IN108" s="125"/>
      <c r="IO108" s="125"/>
      <c r="IP108" s="125"/>
      <c r="IQ108" s="125"/>
      <c r="IR108" s="125"/>
      <c r="IS108" s="125"/>
      <c r="IT108" s="125"/>
      <c r="IU108" s="125"/>
      <c r="IV108" s="125"/>
      <c r="IW108" s="125"/>
      <c r="IX108" s="125"/>
      <c r="IY108" s="125"/>
      <c r="IZ108" s="125"/>
      <c r="JA108" s="125"/>
      <c r="JB108" s="125"/>
      <c r="JC108" s="125"/>
      <c r="JD108" s="125"/>
      <c r="JE108" s="125"/>
      <c r="JF108" s="125"/>
      <c r="JG108" s="125"/>
      <c r="JH108" s="125"/>
      <c r="JI108" s="125"/>
      <c r="JJ108" s="125"/>
      <c r="JK108" s="125"/>
      <c r="JL108" s="125"/>
      <c r="JM108" s="125"/>
      <c r="JN108" s="125"/>
      <c r="JO108" s="125"/>
      <c r="JP108" s="125"/>
      <c r="JQ108" s="125"/>
      <c r="JR108" s="125"/>
      <c r="JS108" s="125"/>
      <c r="JT108" s="125"/>
      <c r="JU108" s="125"/>
      <c r="JV108" s="125"/>
      <c r="JW108" s="125"/>
      <c r="JX108" s="125"/>
      <c r="JY108" s="125"/>
      <c r="JZ108" s="125"/>
      <c r="KA108" s="125"/>
      <c r="KB108" s="125"/>
      <c r="KC108" s="125"/>
      <c r="KD108" s="125"/>
      <c r="KE108" s="125"/>
      <c r="KF108" s="125"/>
      <c r="KG108" s="125"/>
      <c r="KH108" s="125"/>
      <c r="KI108" s="125"/>
      <c r="KJ108" s="125"/>
      <c r="KK108" s="125"/>
      <c r="KL108" s="125"/>
      <c r="KM108" s="125"/>
      <c r="KN108" s="125"/>
      <c r="KO108" s="125"/>
      <c r="KP108" s="125"/>
      <c r="KQ108" s="125"/>
      <c r="KR108" s="125"/>
      <c r="KS108" s="125"/>
      <c r="KT108" s="125"/>
      <c r="KU108" s="125"/>
      <c r="KV108" s="125"/>
      <c r="KW108" s="125"/>
      <c r="KX108" s="125"/>
      <c r="KY108" s="125"/>
      <c r="KZ108" s="125"/>
      <c r="LA108" s="125"/>
      <c r="LB108" s="125"/>
      <c r="LC108" s="125"/>
      <c r="LD108" s="125"/>
      <c r="LE108" s="125"/>
      <c r="LF108" s="125"/>
      <c r="LG108" s="125"/>
      <c r="LH108" s="125"/>
      <c r="LI108" s="125"/>
      <c r="LJ108" s="125"/>
      <c r="LK108" s="125"/>
      <c r="LL108" s="125"/>
      <c r="LM108" s="125"/>
      <c r="LN108" s="125"/>
      <c r="LO108" s="125"/>
      <c r="LP108" s="125"/>
      <c r="LQ108" s="125"/>
    </row>
    <row r="109" spans="1:329" s="27" customFormat="1" ht="15" customHeight="1">
      <c r="A109" s="126">
        <v>1101240</v>
      </c>
      <c r="B109" s="132" t="s">
        <v>273</v>
      </c>
      <c r="C109" s="214" t="s">
        <v>274</v>
      </c>
      <c r="D109" s="122">
        <v>50</v>
      </c>
      <c r="E109" s="122">
        <f t="shared" si="2"/>
        <v>84.033613445378151</v>
      </c>
      <c r="F109" s="122">
        <f t="shared" si="3"/>
        <v>100</v>
      </c>
      <c r="G109" s="122"/>
      <c r="H109" s="122"/>
      <c r="I109" s="8"/>
      <c r="J109" s="11"/>
      <c r="K109" s="11"/>
      <c r="L109" s="8"/>
      <c r="M109" s="8"/>
      <c r="N109" s="11"/>
      <c r="O109" s="11"/>
      <c r="P109" s="8"/>
      <c r="Q109" s="38" t="s">
        <v>28</v>
      </c>
      <c r="R109" s="123">
        <v>7350057583357</v>
      </c>
      <c r="S109" s="124" t="s">
        <v>77</v>
      </c>
      <c r="T109" s="124">
        <v>0.7</v>
      </c>
      <c r="U109" s="124">
        <v>0.5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25"/>
      <c r="AR109" s="125"/>
      <c r="AS109" s="125"/>
      <c r="AT109" s="125"/>
      <c r="AU109" s="125"/>
      <c r="AV109" s="125"/>
      <c r="AW109" s="125"/>
      <c r="AX109" s="125"/>
      <c r="AY109" s="125"/>
      <c r="AZ109" s="125"/>
      <c r="BA109" s="125"/>
      <c r="BB109" s="125"/>
      <c r="BC109" s="125"/>
      <c r="BD109" s="125"/>
      <c r="BE109" s="125"/>
      <c r="BF109" s="125"/>
      <c r="BG109" s="125"/>
      <c r="BH109" s="125"/>
      <c r="BI109" s="125"/>
      <c r="BJ109" s="125"/>
      <c r="BK109" s="125"/>
      <c r="BL109" s="125"/>
      <c r="BM109" s="125"/>
      <c r="BN109" s="125"/>
      <c r="BO109" s="125"/>
      <c r="BP109" s="125"/>
      <c r="BQ109" s="125"/>
      <c r="BR109" s="125"/>
      <c r="BS109" s="125"/>
      <c r="BT109" s="125"/>
      <c r="BU109" s="125"/>
      <c r="BV109" s="125"/>
      <c r="BW109" s="125"/>
      <c r="BX109" s="125"/>
      <c r="BY109" s="125"/>
      <c r="BZ109" s="125"/>
      <c r="CA109" s="125"/>
      <c r="CB109" s="125"/>
      <c r="CC109" s="125"/>
      <c r="CD109" s="125"/>
      <c r="CE109" s="125"/>
      <c r="CF109" s="125"/>
      <c r="CG109" s="125"/>
      <c r="CH109" s="125"/>
      <c r="CI109" s="125"/>
      <c r="CJ109" s="125"/>
      <c r="CK109" s="125"/>
      <c r="CL109" s="125"/>
      <c r="CM109" s="125"/>
      <c r="CN109" s="125"/>
      <c r="CO109" s="125"/>
      <c r="CP109" s="125"/>
      <c r="CQ109" s="125"/>
      <c r="CR109" s="125"/>
      <c r="CS109" s="125"/>
      <c r="CT109" s="125"/>
      <c r="CU109" s="125"/>
      <c r="CV109" s="125"/>
      <c r="CW109" s="125"/>
      <c r="CX109" s="125"/>
      <c r="CY109" s="125"/>
      <c r="CZ109" s="125"/>
      <c r="DA109" s="125"/>
      <c r="DB109" s="125"/>
      <c r="DC109" s="125"/>
      <c r="DD109" s="125"/>
      <c r="DE109" s="125"/>
      <c r="DF109" s="125"/>
      <c r="DG109" s="125"/>
      <c r="DH109" s="125"/>
      <c r="DI109" s="125"/>
      <c r="DJ109" s="125"/>
      <c r="DK109" s="125"/>
      <c r="DL109" s="125"/>
      <c r="DM109" s="125"/>
      <c r="DN109" s="125"/>
      <c r="DO109" s="125"/>
      <c r="DP109" s="125"/>
      <c r="DQ109" s="125"/>
      <c r="DR109" s="125"/>
      <c r="DS109" s="125"/>
      <c r="DT109" s="125"/>
      <c r="DU109" s="125"/>
      <c r="DV109" s="125"/>
      <c r="DW109" s="125"/>
      <c r="DX109" s="125"/>
      <c r="DY109" s="125"/>
      <c r="DZ109" s="125"/>
      <c r="EA109" s="125"/>
      <c r="EB109" s="125"/>
      <c r="EC109" s="125"/>
      <c r="ED109" s="125"/>
      <c r="EE109" s="125"/>
      <c r="EF109" s="125"/>
      <c r="EG109" s="125"/>
      <c r="EH109" s="125"/>
      <c r="EI109" s="125"/>
      <c r="EJ109" s="125"/>
      <c r="EK109" s="125"/>
      <c r="EL109" s="125"/>
      <c r="EM109" s="125"/>
      <c r="EN109" s="125"/>
      <c r="EO109" s="125"/>
      <c r="EP109" s="125"/>
      <c r="EQ109" s="125"/>
      <c r="ER109" s="125"/>
      <c r="ES109" s="125"/>
      <c r="ET109" s="125"/>
      <c r="EU109" s="125"/>
      <c r="EV109" s="125"/>
      <c r="EW109" s="125"/>
      <c r="EX109" s="125"/>
      <c r="EY109" s="125"/>
      <c r="EZ109" s="125"/>
      <c r="FA109" s="125"/>
      <c r="FB109" s="125"/>
      <c r="FC109" s="125"/>
      <c r="FD109" s="125"/>
      <c r="FE109" s="125"/>
      <c r="FF109" s="125"/>
      <c r="FG109" s="125"/>
      <c r="FH109" s="125"/>
      <c r="FI109" s="125"/>
      <c r="FJ109" s="125"/>
      <c r="FK109" s="125"/>
      <c r="FL109" s="125"/>
      <c r="FM109" s="125"/>
      <c r="FN109" s="125"/>
      <c r="FO109" s="125"/>
      <c r="FP109" s="125"/>
      <c r="FQ109" s="125"/>
      <c r="FR109" s="125"/>
      <c r="FS109" s="125"/>
      <c r="FT109" s="125"/>
      <c r="FU109" s="125"/>
      <c r="FV109" s="125"/>
      <c r="FW109" s="125"/>
      <c r="FX109" s="125"/>
      <c r="FY109" s="125"/>
      <c r="FZ109" s="125"/>
      <c r="GA109" s="125"/>
      <c r="GB109" s="125"/>
      <c r="GC109" s="125"/>
      <c r="GD109" s="125"/>
      <c r="GE109" s="125"/>
      <c r="GF109" s="125"/>
      <c r="GG109" s="125"/>
      <c r="GH109" s="125"/>
      <c r="GI109" s="125"/>
      <c r="GJ109" s="125"/>
      <c r="GK109" s="125"/>
      <c r="GL109" s="125"/>
      <c r="GM109" s="125"/>
      <c r="GN109" s="125"/>
      <c r="GO109" s="125"/>
      <c r="GP109" s="125"/>
      <c r="GQ109" s="125"/>
      <c r="GR109" s="125"/>
      <c r="GS109" s="125"/>
      <c r="GT109" s="125"/>
      <c r="GU109" s="125"/>
      <c r="GV109" s="125"/>
      <c r="GW109" s="125"/>
      <c r="GX109" s="125"/>
      <c r="GY109" s="125"/>
      <c r="GZ109" s="125"/>
      <c r="HA109" s="125"/>
      <c r="HB109" s="125"/>
      <c r="HC109" s="125"/>
      <c r="HD109" s="125"/>
      <c r="HE109" s="125"/>
      <c r="HF109" s="125"/>
      <c r="HG109" s="125"/>
      <c r="HH109" s="125"/>
      <c r="HI109" s="125"/>
      <c r="HJ109" s="125"/>
      <c r="HK109" s="125"/>
      <c r="HL109" s="125"/>
      <c r="HM109" s="125"/>
      <c r="HN109" s="125"/>
      <c r="HO109" s="125"/>
      <c r="HP109" s="125"/>
      <c r="HQ109" s="125"/>
      <c r="HR109" s="125"/>
      <c r="HS109" s="125"/>
      <c r="HT109" s="125"/>
      <c r="HU109" s="125"/>
      <c r="HV109" s="125"/>
      <c r="HW109" s="125"/>
      <c r="HX109" s="125"/>
      <c r="HY109" s="125"/>
      <c r="HZ109" s="125"/>
      <c r="IA109" s="125"/>
      <c r="IB109" s="125"/>
      <c r="IC109" s="125"/>
      <c r="ID109" s="125"/>
      <c r="IE109" s="125"/>
      <c r="IF109" s="125"/>
      <c r="IG109" s="125"/>
      <c r="IH109" s="125"/>
      <c r="II109" s="125"/>
      <c r="IJ109" s="125"/>
      <c r="IK109" s="125"/>
      <c r="IL109" s="125"/>
      <c r="IM109" s="125"/>
      <c r="IN109" s="125"/>
      <c r="IO109" s="125"/>
      <c r="IP109" s="125"/>
      <c r="IQ109" s="125"/>
      <c r="IR109" s="125"/>
      <c r="IS109" s="125"/>
      <c r="IT109" s="125"/>
      <c r="IU109" s="125"/>
      <c r="IV109" s="125"/>
      <c r="IW109" s="125"/>
      <c r="IX109" s="125"/>
      <c r="IY109" s="125"/>
      <c r="IZ109" s="125"/>
      <c r="JA109" s="125"/>
      <c r="JB109" s="125"/>
      <c r="JC109" s="125"/>
      <c r="JD109" s="125"/>
      <c r="JE109" s="125"/>
      <c r="JF109" s="125"/>
      <c r="JG109" s="125"/>
      <c r="JH109" s="125"/>
      <c r="JI109" s="125"/>
      <c r="JJ109" s="125"/>
      <c r="JK109" s="125"/>
      <c r="JL109" s="125"/>
      <c r="JM109" s="125"/>
      <c r="JN109" s="125"/>
      <c r="JO109" s="125"/>
      <c r="JP109" s="125"/>
      <c r="JQ109" s="125"/>
      <c r="JR109" s="125"/>
      <c r="JS109" s="125"/>
      <c r="JT109" s="125"/>
      <c r="JU109" s="125"/>
      <c r="JV109" s="125"/>
      <c r="JW109" s="125"/>
      <c r="JX109" s="125"/>
      <c r="JY109" s="125"/>
      <c r="JZ109" s="125"/>
      <c r="KA109" s="125"/>
      <c r="KB109" s="125"/>
      <c r="KC109" s="125"/>
      <c r="KD109" s="125"/>
      <c r="KE109" s="125"/>
      <c r="KF109" s="125"/>
      <c r="KG109" s="125"/>
      <c r="KH109" s="125"/>
      <c r="KI109" s="125"/>
      <c r="KJ109" s="125"/>
      <c r="KK109" s="125"/>
      <c r="KL109" s="125"/>
      <c r="KM109" s="125"/>
      <c r="KN109" s="125"/>
      <c r="KO109" s="125"/>
      <c r="KP109" s="125"/>
      <c r="KQ109" s="125"/>
      <c r="KR109" s="125"/>
      <c r="KS109" s="125"/>
      <c r="KT109" s="125"/>
      <c r="KU109" s="125"/>
      <c r="KV109" s="125"/>
      <c r="KW109" s="125"/>
      <c r="KX109" s="125"/>
      <c r="KY109" s="125"/>
      <c r="KZ109" s="125"/>
      <c r="LA109" s="125"/>
      <c r="LB109" s="125"/>
      <c r="LC109" s="125"/>
      <c r="LD109" s="125"/>
      <c r="LE109" s="125"/>
      <c r="LF109" s="125"/>
      <c r="LG109" s="125"/>
      <c r="LH109" s="125"/>
      <c r="LI109" s="125"/>
      <c r="LJ109" s="125"/>
      <c r="LK109" s="125"/>
      <c r="LL109" s="125"/>
      <c r="LM109" s="125"/>
      <c r="LN109" s="125"/>
      <c r="LO109" s="125"/>
      <c r="LP109" s="125"/>
      <c r="LQ109" s="125"/>
    </row>
    <row r="110" spans="1:329" s="27" customFormat="1" ht="15" customHeight="1">
      <c r="A110" s="126">
        <v>1101241</v>
      </c>
      <c r="B110" s="132" t="s">
        <v>275</v>
      </c>
      <c r="C110" s="216" t="s">
        <v>276</v>
      </c>
      <c r="D110" s="122">
        <v>50</v>
      </c>
      <c r="E110" s="122">
        <f t="shared" si="2"/>
        <v>84.033613445378151</v>
      </c>
      <c r="F110" s="122">
        <f t="shared" si="3"/>
        <v>100</v>
      </c>
      <c r="G110" s="122"/>
      <c r="H110" s="122"/>
      <c r="I110" s="8"/>
      <c r="J110" s="11"/>
      <c r="K110" s="8"/>
      <c r="L110" s="8"/>
      <c r="M110" s="8"/>
      <c r="N110" s="11"/>
      <c r="O110" s="11"/>
      <c r="P110" s="8"/>
      <c r="Q110" s="38" t="s">
        <v>28</v>
      </c>
      <c r="R110" s="123">
        <v>7350057583371</v>
      </c>
      <c r="S110" s="124" t="s">
        <v>77</v>
      </c>
      <c r="T110" s="124">
        <v>0.7</v>
      </c>
      <c r="U110" s="124">
        <v>0.5</v>
      </c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25"/>
      <c r="AR110" s="125"/>
      <c r="AS110" s="125"/>
      <c r="AT110" s="125"/>
      <c r="AU110" s="125"/>
      <c r="AV110" s="125"/>
      <c r="AW110" s="125"/>
      <c r="AX110" s="125"/>
      <c r="AY110" s="125"/>
      <c r="AZ110" s="125"/>
      <c r="BA110" s="125"/>
      <c r="BB110" s="125"/>
      <c r="BC110" s="125"/>
      <c r="BD110" s="125"/>
      <c r="BE110" s="125"/>
      <c r="BF110" s="125"/>
      <c r="BG110" s="125"/>
      <c r="BH110" s="125"/>
      <c r="BI110" s="125"/>
      <c r="BJ110" s="125"/>
      <c r="BK110" s="125"/>
      <c r="BL110" s="125"/>
      <c r="BM110" s="125"/>
      <c r="BN110" s="125"/>
      <c r="BO110" s="125"/>
      <c r="BP110" s="125"/>
      <c r="BQ110" s="125"/>
      <c r="BR110" s="125"/>
      <c r="BS110" s="125"/>
      <c r="BT110" s="125"/>
      <c r="BU110" s="125"/>
      <c r="BV110" s="125"/>
      <c r="BW110" s="125"/>
      <c r="BX110" s="125"/>
      <c r="BY110" s="125"/>
      <c r="BZ110" s="125"/>
      <c r="CA110" s="125"/>
      <c r="CB110" s="125"/>
      <c r="CC110" s="125"/>
      <c r="CD110" s="125"/>
      <c r="CE110" s="125"/>
      <c r="CF110" s="125"/>
      <c r="CG110" s="125"/>
      <c r="CH110" s="125"/>
      <c r="CI110" s="125"/>
      <c r="CJ110" s="125"/>
      <c r="CK110" s="125"/>
      <c r="CL110" s="125"/>
      <c r="CM110" s="125"/>
      <c r="CN110" s="125"/>
      <c r="CO110" s="125"/>
      <c r="CP110" s="125"/>
      <c r="CQ110" s="125"/>
      <c r="CR110" s="125"/>
      <c r="CS110" s="125"/>
      <c r="CT110" s="125"/>
      <c r="CU110" s="125"/>
      <c r="CV110" s="125"/>
      <c r="CW110" s="125"/>
      <c r="CX110" s="125"/>
      <c r="CY110" s="125"/>
      <c r="CZ110" s="125"/>
      <c r="DA110" s="125"/>
      <c r="DB110" s="125"/>
      <c r="DC110" s="125"/>
      <c r="DD110" s="125"/>
      <c r="DE110" s="125"/>
      <c r="DF110" s="125"/>
      <c r="DG110" s="125"/>
      <c r="DH110" s="125"/>
      <c r="DI110" s="125"/>
      <c r="DJ110" s="125"/>
      <c r="DK110" s="125"/>
      <c r="DL110" s="125"/>
      <c r="DM110" s="125"/>
      <c r="DN110" s="125"/>
      <c r="DO110" s="125"/>
      <c r="DP110" s="125"/>
      <c r="DQ110" s="125"/>
      <c r="DR110" s="125"/>
      <c r="DS110" s="125"/>
      <c r="DT110" s="125"/>
      <c r="DU110" s="125"/>
      <c r="DV110" s="125"/>
      <c r="DW110" s="125"/>
      <c r="DX110" s="125"/>
      <c r="DY110" s="125"/>
      <c r="DZ110" s="125"/>
      <c r="EA110" s="125"/>
      <c r="EB110" s="125"/>
      <c r="EC110" s="125"/>
      <c r="ED110" s="125"/>
      <c r="EE110" s="125"/>
      <c r="EF110" s="125"/>
      <c r="EG110" s="125"/>
      <c r="EH110" s="125"/>
      <c r="EI110" s="125"/>
      <c r="EJ110" s="125"/>
      <c r="EK110" s="125"/>
      <c r="EL110" s="125"/>
      <c r="EM110" s="125"/>
      <c r="EN110" s="125"/>
      <c r="EO110" s="125"/>
      <c r="EP110" s="125"/>
      <c r="EQ110" s="125"/>
      <c r="ER110" s="125"/>
      <c r="ES110" s="125"/>
      <c r="ET110" s="125"/>
      <c r="EU110" s="125"/>
      <c r="EV110" s="125"/>
      <c r="EW110" s="125"/>
      <c r="EX110" s="125"/>
      <c r="EY110" s="125"/>
      <c r="EZ110" s="125"/>
      <c r="FA110" s="125"/>
      <c r="FB110" s="125"/>
      <c r="FC110" s="125"/>
      <c r="FD110" s="125"/>
      <c r="FE110" s="125"/>
      <c r="FF110" s="125"/>
      <c r="FG110" s="125"/>
      <c r="FH110" s="125"/>
      <c r="FI110" s="125"/>
      <c r="FJ110" s="125"/>
      <c r="FK110" s="125"/>
      <c r="FL110" s="125"/>
      <c r="FM110" s="125"/>
      <c r="FN110" s="125"/>
      <c r="FO110" s="125"/>
      <c r="FP110" s="125"/>
      <c r="FQ110" s="125"/>
      <c r="FR110" s="125"/>
      <c r="FS110" s="125"/>
      <c r="FT110" s="125"/>
      <c r="FU110" s="125"/>
      <c r="FV110" s="125"/>
      <c r="FW110" s="125"/>
      <c r="FX110" s="125"/>
      <c r="FY110" s="125"/>
      <c r="FZ110" s="125"/>
      <c r="GA110" s="125"/>
      <c r="GB110" s="125"/>
      <c r="GC110" s="125"/>
      <c r="GD110" s="125"/>
      <c r="GE110" s="125"/>
      <c r="GF110" s="125"/>
      <c r="GG110" s="125"/>
      <c r="GH110" s="125"/>
      <c r="GI110" s="125"/>
      <c r="GJ110" s="125"/>
      <c r="GK110" s="125"/>
      <c r="GL110" s="125"/>
      <c r="GM110" s="125"/>
      <c r="GN110" s="125"/>
      <c r="GO110" s="125"/>
      <c r="GP110" s="125"/>
      <c r="GQ110" s="125"/>
      <c r="GR110" s="125"/>
      <c r="GS110" s="125"/>
      <c r="GT110" s="125"/>
      <c r="GU110" s="125"/>
      <c r="GV110" s="125"/>
      <c r="GW110" s="125"/>
      <c r="GX110" s="125"/>
      <c r="GY110" s="125"/>
      <c r="GZ110" s="125"/>
      <c r="HA110" s="125"/>
      <c r="HB110" s="125"/>
      <c r="HC110" s="125"/>
      <c r="HD110" s="125"/>
      <c r="HE110" s="125"/>
      <c r="HF110" s="125"/>
      <c r="HG110" s="125"/>
      <c r="HH110" s="125"/>
      <c r="HI110" s="125"/>
      <c r="HJ110" s="125"/>
      <c r="HK110" s="125"/>
      <c r="HL110" s="125"/>
      <c r="HM110" s="125"/>
      <c r="HN110" s="125"/>
      <c r="HO110" s="125"/>
      <c r="HP110" s="125"/>
      <c r="HQ110" s="125"/>
      <c r="HR110" s="125"/>
      <c r="HS110" s="125"/>
      <c r="HT110" s="125"/>
      <c r="HU110" s="125"/>
      <c r="HV110" s="125"/>
      <c r="HW110" s="125"/>
      <c r="HX110" s="125"/>
      <c r="HY110" s="125"/>
      <c r="HZ110" s="125"/>
      <c r="IA110" s="125"/>
      <c r="IB110" s="125"/>
      <c r="IC110" s="125"/>
      <c r="ID110" s="125"/>
      <c r="IE110" s="125"/>
      <c r="IF110" s="125"/>
      <c r="IG110" s="125"/>
      <c r="IH110" s="125"/>
      <c r="II110" s="125"/>
      <c r="IJ110" s="125"/>
      <c r="IK110" s="125"/>
      <c r="IL110" s="125"/>
      <c r="IM110" s="125"/>
      <c r="IN110" s="125"/>
      <c r="IO110" s="125"/>
      <c r="IP110" s="125"/>
      <c r="IQ110" s="125"/>
      <c r="IR110" s="125"/>
      <c r="IS110" s="125"/>
      <c r="IT110" s="125"/>
      <c r="IU110" s="125"/>
      <c r="IV110" s="125"/>
      <c r="IW110" s="125"/>
      <c r="IX110" s="125"/>
      <c r="IY110" s="125"/>
      <c r="IZ110" s="125"/>
      <c r="JA110" s="125"/>
      <c r="JB110" s="125"/>
      <c r="JC110" s="125"/>
      <c r="JD110" s="125"/>
      <c r="JE110" s="125"/>
      <c r="JF110" s="125"/>
      <c r="JG110" s="125"/>
      <c r="JH110" s="125"/>
      <c r="JI110" s="125"/>
      <c r="JJ110" s="125"/>
      <c r="JK110" s="125"/>
      <c r="JL110" s="125"/>
      <c r="JM110" s="125"/>
      <c r="JN110" s="125"/>
      <c r="JO110" s="125"/>
      <c r="JP110" s="125"/>
      <c r="JQ110" s="125"/>
      <c r="JR110" s="125"/>
      <c r="JS110" s="125"/>
      <c r="JT110" s="125"/>
      <c r="JU110" s="125"/>
      <c r="JV110" s="125"/>
      <c r="JW110" s="125"/>
      <c r="JX110" s="125"/>
      <c r="JY110" s="125"/>
      <c r="JZ110" s="125"/>
      <c r="KA110" s="125"/>
      <c r="KB110" s="125"/>
      <c r="KC110" s="125"/>
      <c r="KD110" s="125"/>
      <c r="KE110" s="125"/>
      <c r="KF110" s="125"/>
      <c r="KG110" s="125"/>
      <c r="KH110" s="125"/>
      <c r="KI110" s="125"/>
      <c r="KJ110" s="125"/>
      <c r="KK110" s="125"/>
      <c r="KL110" s="125"/>
      <c r="KM110" s="125"/>
      <c r="KN110" s="125"/>
      <c r="KO110" s="125"/>
      <c r="KP110" s="125"/>
      <c r="KQ110" s="125"/>
      <c r="KR110" s="125"/>
      <c r="KS110" s="125"/>
      <c r="KT110" s="125"/>
      <c r="KU110" s="125"/>
      <c r="KV110" s="125"/>
      <c r="KW110" s="125"/>
      <c r="KX110" s="125"/>
      <c r="KY110" s="125"/>
      <c r="KZ110" s="125"/>
      <c r="LA110" s="125"/>
      <c r="LB110" s="125"/>
      <c r="LC110" s="125"/>
      <c r="LD110" s="125"/>
      <c r="LE110" s="125"/>
      <c r="LF110" s="125"/>
      <c r="LG110" s="125"/>
      <c r="LH110" s="125"/>
      <c r="LI110" s="125"/>
      <c r="LJ110" s="125"/>
      <c r="LK110" s="125"/>
      <c r="LL110" s="125"/>
      <c r="LM110" s="125"/>
      <c r="LN110" s="125"/>
      <c r="LO110" s="125"/>
      <c r="LP110" s="125"/>
      <c r="LQ110" s="125"/>
    </row>
    <row r="111" spans="1:329" s="125" customFormat="1" ht="15" customHeight="1">
      <c r="A111" s="126">
        <v>1101242</v>
      </c>
      <c r="B111" s="127" t="s">
        <v>277</v>
      </c>
      <c r="C111" s="214" t="s">
        <v>278</v>
      </c>
      <c r="D111" s="122">
        <v>10</v>
      </c>
      <c r="E111" s="122">
        <f t="shared" si="2"/>
        <v>16.806722689075631</v>
      </c>
      <c r="F111" s="122">
        <f t="shared" si="3"/>
        <v>20</v>
      </c>
      <c r="G111" s="122"/>
      <c r="H111" s="122"/>
      <c r="I111" s="8"/>
      <c r="J111" s="11"/>
      <c r="K111" s="38"/>
      <c r="L111" s="38" t="s">
        <v>28</v>
      </c>
      <c r="M111" s="38" t="s">
        <v>28</v>
      </c>
      <c r="N111" s="8"/>
      <c r="O111" s="8"/>
      <c r="P111" s="8"/>
      <c r="Q111" s="8"/>
      <c r="R111" s="123">
        <v>7350057583531</v>
      </c>
      <c r="S111" s="124" t="s">
        <v>54</v>
      </c>
      <c r="T111" s="124">
        <v>0.23</v>
      </c>
      <c r="U111" s="124">
        <v>0.17</v>
      </c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329" s="125" customFormat="1" ht="15" customHeight="1">
      <c r="A112" s="126">
        <v>1101243</v>
      </c>
      <c r="B112" s="127" t="s">
        <v>279</v>
      </c>
      <c r="C112" s="127" t="s">
        <v>136</v>
      </c>
      <c r="D112" s="122">
        <v>5</v>
      </c>
      <c r="E112" s="122">
        <f t="shared" si="2"/>
        <v>8.4033613445378155</v>
      </c>
      <c r="F112" s="122">
        <f t="shared" si="3"/>
        <v>10</v>
      </c>
      <c r="G112" s="122"/>
      <c r="H112" s="122"/>
      <c r="I112" s="8"/>
      <c r="J112" s="11"/>
      <c r="K112" s="38"/>
      <c r="L112" s="54"/>
      <c r="M112" s="54"/>
      <c r="N112" s="8"/>
      <c r="O112" s="54"/>
      <c r="P112" s="54" t="s">
        <v>28</v>
      </c>
      <c r="Q112" s="54" t="s">
        <v>28</v>
      </c>
      <c r="R112" s="123">
        <v>7350057583555</v>
      </c>
      <c r="S112" s="124" t="s">
        <v>54</v>
      </c>
      <c r="T112" s="124">
        <v>0.23</v>
      </c>
      <c r="U112" s="124">
        <v>0.17</v>
      </c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329" s="27" customFormat="1" ht="15" customHeight="1">
      <c r="A113" s="126">
        <v>1101244</v>
      </c>
      <c r="B113" s="127" t="s">
        <v>280</v>
      </c>
      <c r="C113" s="216" t="s">
        <v>281</v>
      </c>
      <c r="D113" s="122">
        <v>10</v>
      </c>
      <c r="E113" s="122">
        <f t="shared" si="2"/>
        <v>16.806722689075631</v>
      </c>
      <c r="F113" s="122">
        <f t="shared" si="3"/>
        <v>20</v>
      </c>
      <c r="G113" s="122"/>
      <c r="H113" s="122"/>
      <c r="I113" s="8"/>
      <c r="J113" s="11"/>
      <c r="K113" s="38"/>
      <c r="L113" s="38" t="s">
        <v>28</v>
      </c>
      <c r="M113" s="8"/>
      <c r="N113" s="8"/>
      <c r="O113" s="8"/>
      <c r="P113" s="8"/>
      <c r="Q113" s="8"/>
      <c r="R113" s="123">
        <v>7350057583678</v>
      </c>
      <c r="S113" s="124" t="s">
        <v>282</v>
      </c>
      <c r="T113" s="124">
        <v>0.63</v>
      </c>
      <c r="U113" s="124">
        <v>0.32</v>
      </c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329" s="27" customFormat="1" ht="15" customHeight="1">
      <c r="A114" s="126">
        <v>1101245</v>
      </c>
      <c r="B114" s="127" t="s">
        <v>283</v>
      </c>
      <c r="C114" s="127" t="s">
        <v>126</v>
      </c>
      <c r="D114" s="122">
        <v>8</v>
      </c>
      <c r="E114" s="122">
        <f t="shared" si="2"/>
        <v>13.445378151260504</v>
      </c>
      <c r="F114" s="122">
        <f t="shared" si="3"/>
        <v>16</v>
      </c>
      <c r="G114" s="122"/>
      <c r="H114" s="122"/>
      <c r="I114" s="8"/>
      <c r="J114" s="11"/>
      <c r="K114" s="38"/>
      <c r="L114" s="54"/>
      <c r="M114" s="54" t="s">
        <v>28</v>
      </c>
      <c r="N114" s="8"/>
      <c r="O114" s="11"/>
      <c r="P114" s="11"/>
      <c r="Q114" s="11"/>
      <c r="R114" s="123">
        <v>7350057583685</v>
      </c>
      <c r="S114" s="124" t="s">
        <v>284</v>
      </c>
      <c r="T114" s="124">
        <v>0.65</v>
      </c>
      <c r="U114" s="124">
        <v>0.34</v>
      </c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329" s="27" customFormat="1" ht="15" customHeight="1">
      <c r="A115" s="126">
        <v>1101246</v>
      </c>
      <c r="B115" s="127" t="s">
        <v>285</v>
      </c>
      <c r="C115" s="127" t="s">
        <v>126</v>
      </c>
      <c r="D115" s="122">
        <v>8</v>
      </c>
      <c r="E115" s="122">
        <f t="shared" si="2"/>
        <v>13.445378151260504</v>
      </c>
      <c r="F115" s="122">
        <f t="shared" si="3"/>
        <v>16</v>
      </c>
      <c r="G115" s="122"/>
      <c r="H115" s="122"/>
      <c r="I115" s="8"/>
      <c r="J115" s="11"/>
      <c r="K115" s="11"/>
      <c r="L115" s="8"/>
      <c r="M115" s="8"/>
      <c r="N115" s="54" t="s">
        <v>28</v>
      </c>
      <c r="O115" s="8"/>
      <c r="P115" s="8"/>
      <c r="Q115" s="8"/>
      <c r="R115" s="123">
        <v>7350057583692</v>
      </c>
      <c r="S115" s="124" t="s">
        <v>63</v>
      </c>
      <c r="T115" s="124">
        <v>3</v>
      </c>
      <c r="U115" s="124">
        <v>2.2000000000000002</v>
      </c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329" s="27" customFormat="1" ht="15" customHeight="1">
      <c r="A116" s="126">
        <v>1101247</v>
      </c>
      <c r="B116" s="127" t="s">
        <v>286</v>
      </c>
      <c r="C116" s="214" t="s">
        <v>287</v>
      </c>
      <c r="D116" s="122">
        <v>10</v>
      </c>
      <c r="E116" s="122">
        <f t="shared" si="2"/>
        <v>16.806722689075631</v>
      </c>
      <c r="F116" s="122">
        <f t="shared" si="3"/>
        <v>20</v>
      </c>
      <c r="G116" s="122"/>
      <c r="H116" s="122"/>
      <c r="I116" s="8"/>
      <c r="J116" s="11"/>
      <c r="K116" s="8"/>
      <c r="L116" s="11"/>
      <c r="M116" s="11"/>
      <c r="N116" s="38"/>
      <c r="O116" s="135" t="s">
        <v>28</v>
      </c>
      <c r="P116" s="8"/>
      <c r="Q116" s="11"/>
      <c r="R116" s="123">
        <v>7350057583708</v>
      </c>
      <c r="S116" s="124" t="s">
        <v>63</v>
      </c>
      <c r="T116" s="124">
        <v>3</v>
      </c>
      <c r="U116" s="124">
        <v>2.2000000000000002</v>
      </c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329" s="27" customFormat="1" ht="15" customHeight="1">
      <c r="A117" s="126">
        <v>1101248</v>
      </c>
      <c r="B117" s="127" t="s">
        <v>288</v>
      </c>
      <c r="C117" s="127" t="s">
        <v>126</v>
      </c>
      <c r="D117" s="122">
        <v>8</v>
      </c>
      <c r="E117" s="122">
        <f t="shared" si="2"/>
        <v>13.445378151260504</v>
      </c>
      <c r="F117" s="122">
        <f t="shared" si="3"/>
        <v>16</v>
      </c>
      <c r="G117" s="122"/>
      <c r="H117" s="122"/>
      <c r="I117" s="8"/>
      <c r="J117" s="11"/>
      <c r="K117" s="11"/>
      <c r="L117" s="8"/>
      <c r="M117" s="8"/>
      <c r="N117" s="54"/>
      <c r="O117" s="38"/>
      <c r="P117" s="38" t="s">
        <v>28</v>
      </c>
      <c r="Q117" s="8"/>
      <c r="R117" s="123">
        <v>7350057583715</v>
      </c>
      <c r="S117" s="124" t="s">
        <v>63</v>
      </c>
      <c r="T117" s="124">
        <v>3</v>
      </c>
      <c r="U117" s="124">
        <v>2.2000000000000002</v>
      </c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329" s="125" customFormat="1" ht="15" customHeight="1">
      <c r="A118" s="126">
        <v>1101249</v>
      </c>
      <c r="B118" s="127" t="s">
        <v>289</v>
      </c>
      <c r="C118" s="127" t="s">
        <v>290</v>
      </c>
      <c r="D118" s="122">
        <v>15</v>
      </c>
      <c r="E118" s="122">
        <f t="shared" si="2"/>
        <v>25.210084033613448</v>
      </c>
      <c r="F118" s="122">
        <f t="shared" si="3"/>
        <v>30</v>
      </c>
      <c r="G118" s="122"/>
      <c r="H118" s="122"/>
      <c r="I118" s="8"/>
      <c r="J118" s="11"/>
      <c r="K118" s="8"/>
      <c r="L118" s="11"/>
      <c r="M118" s="11"/>
      <c r="N118" s="8"/>
      <c r="O118" s="11"/>
      <c r="P118" s="11"/>
      <c r="Q118" s="54" t="s">
        <v>28</v>
      </c>
      <c r="R118" s="123">
        <v>7350057584033</v>
      </c>
      <c r="S118" s="124" t="s">
        <v>54</v>
      </c>
      <c r="T118" s="124">
        <v>1</v>
      </c>
      <c r="U118" s="124">
        <v>0.9</v>
      </c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  <c r="FS118" s="27"/>
      <c r="FT118" s="27"/>
      <c r="FU118" s="27"/>
      <c r="FV118" s="27"/>
      <c r="FW118" s="27"/>
      <c r="FX118" s="27"/>
      <c r="FY118" s="27"/>
      <c r="FZ118" s="27"/>
      <c r="GA118" s="27"/>
      <c r="GB118" s="27"/>
      <c r="GC118" s="27"/>
      <c r="GD118" s="27"/>
      <c r="GE118" s="27"/>
      <c r="GF118" s="27"/>
      <c r="GG118" s="27"/>
      <c r="GH118" s="27"/>
      <c r="GI118" s="27"/>
      <c r="GJ118" s="27"/>
      <c r="GK118" s="27"/>
      <c r="GL118" s="27"/>
      <c r="GM118" s="27"/>
      <c r="GN118" s="27"/>
      <c r="GO118" s="27"/>
      <c r="GP118" s="27"/>
      <c r="GQ118" s="27"/>
      <c r="GR118" s="27"/>
      <c r="GS118" s="27"/>
      <c r="GT118" s="27"/>
      <c r="GU118" s="27"/>
      <c r="GV118" s="27"/>
      <c r="GW118" s="27"/>
      <c r="GX118" s="27"/>
      <c r="GY118" s="27"/>
      <c r="GZ118" s="27"/>
      <c r="HA118" s="27"/>
      <c r="HB118" s="27"/>
      <c r="HC118" s="27"/>
      <c r="HD118" s="27"/>
      <c r="HE118" s="27"/>
      <c r="HF118" s="27"/>
      <c r="HG118" s="27"/>
      <c r="HH118" s="27"/>
      <c r="HI118" s="27"/>
      <c r="HJ118" s="27"/>
      <c r="HK118" s="27"/>
      <c r="HL118" s="27"/>
      <c r="HM118" s="27"/>
      <c r="HN118" s="27"/>
      <c r="HO118" s="27"/>
      <c r="HP118" s="27"/>
      <c r="HQ118" s="27"/>
      <c r="HR118" s="27"/>
      <c r="HS118" s="27"/>
      <c r="HT118" s="27"/>
      <c r="HU118" s="27"/>
      <c r="HV118" s="27"/>
      <c r="HW118" s="27"/>
      <c r="HX118" s="27"/>
      <c r="HY118" s="27"/>
      <c r="HZ118" s="27"/>
      <c r="IA118" s="27"/>
      <c r="IB118" s="27"/>
      <c r="IC118" s="27"/>
      <c r="ID118" s="27"/>
      <c r="IE118" s="27"/>
      <c r="IF118" s="27"/>
      <c r="IG118" s="27"/>
      <c r="IH118" s="27"/>
      <c r="II118" s="27"/>
      <c r="IJ118" s="27"/>
      <c r="IK118" s="27"/>
      <c r="IL118" s="27"/>
      <c r="IM118" s="27"/>
      <c r="IN118" s="27"/>
      <c r="IO118" s="27"/>
      <c r="IP118" s="27"/>
      <c r="IQ118" s="27"/>
      <c r="IR118" s="27"/>
      <c r="IS118" s="27"/>
      <c r="IT118" s="27"/>
      <c r="IU118" s="27"/>
      <c r="IV118" s="27"/>
      <c r="IW118" s="27"/>
      <c r="IX118" s="27"/>
      <c r="IY118" s="27"/>
      <c r="IZ118" s="27"/>
      <c r="JA118" s="27"/>
      <c r="JB118" s="27"/>
      <c r="JC118" s="27"/>
      <c r="JD118" s="27"/>
      <c r="JE118" s="27"/>
      <c r="JF118" s="27"/>
      <c r="JG118" s="27"/>
      <c r="JH118" s="27"/>
      <c r="JI118" s="27"/>
      <c r="JJ118" s="27"/>
      <c r="JK118" s="27"/>
      <c r="JL118" s="27"/>
      <c r="JM118" s="27"/>
      <c r="JN118" s="27"/>
      <c r="JO118" s="27"/>
      <c r="JP118" s="27"/>
      <c r="JQ118" s="27"/>
      <c r="JR118" s="27"/>
      <c r="JS118" s="27"/>
      <c r="JT118" s="27"/>
      <c r="JU118" s="27"/>
      <c r="JV118" s="27"/>
      <c r="JW118" s="27"/>
      <c r="JX118" s="27"/>
      <c r="JY118" s="27"/>
      <c r="JZ118" s="27"/>
      <c r="KA118" s="27"/>
      <c r="KB118" s="27"/>
      <c r="KC118" s="27"/>
      <c r="KD118" s="27"/>
      <c r="KE118" s="27"/>
      <c r="KF118" s="27"/>
      <c r="KG118" s="27"/>
      <c r="KH118" s="27"/>
      <c r="KI118" s="27"/>
      <c r="KJ118" s="27"/>
      <c r="KK118" s="27"/>
      <c r="KL118" s="27"/>
      <c r="KM118" s="27"/>
      <c r="KN118" s="27"/>
      <c r="KO118" s="27"/>
      <c r="KP118" s="27"/>
      <c r="KQ118" s="27"/>
      <c r="KR118" s="27"/>
      <c r="KS118" s="27"/>
      <c r="KT118" s="27"/>
      <c r="KU118" s="27"/>
      <c r="KV118" s="27"/>
      <c r="KW118" s="27"/>
      <c r="KX118" s="27"/>
      <c r="KY118" s="27"/>
      <c r="KZ118" s="27"/>
      <c r="LA118" s="27"/>
      <c r="LB118" s="27"/>
      <c r="LC118" s="27"/>
      <c r="LD118" s="27"/>
      <c r="LE118" s="27"/>
      <c r="LF118" s="27"/>
      <c r="LG118" s="27"/>
      <c r="LH118" s="27"/>
      <c r="LI118" s="27"/>
      <c r="LJ118" s="27"/>
      <c r="LK118" s="27"/>
      <c r="LL118" s="27"/>
      <c r="LM118" s="27"/>
      <c r="LN118" s="27"/>
      <c r="LO118" s="27"/>
      <c r="LP118" s="27"/>
      <c r="LQ118" s="27"/>
    </row>
    <row r="119" spans="1:329" s="27" customFormat="1" ht="15" customHeight="1">
      <c r="A119" s="33">
        <v>1101279</v>
      </c>
      <c r="B119" s="61" t="s">
        <v>291</v>
      </c>
      <c r="C119" s="61" t="s">
        <v>292</v>
      </c>
      <c r="D119" s="122">
        <v>13</v>
      </c>
      <c r="E119" s="122">
        <f t="shared" si="2"/>
        <v>21.84873949579832</v>
      </c>
      <c r="F119" s="122">
        <f t="shared" si="3"/>
        <v>26</v>
      </c>
      <c r="G119" s="122"/>
      <c r="H119" s="122"/>
      <c r="I119" s="8"/>
      <c r="J119" s="11"/>
      <c r="K119" s="54" t="s">
        <v>28</v>
      </c>
      <c r="L119" s="38"/>
      <c r="M119" s="8"/>
      <c r="N119" s="11"/>
      <c r="O119" s="8"/>
      <c r="P119" s="8"/>
      <c r="Q119" s="8"/>
      <c r="R119" s="123">
        <v>7350057584200</v>
      </c>
      <c r="S119" s="124" t="s">
        <v>68</v>
      </c>
      <c r="T119" s="124">
        <v>3.2</v>
      </c>
      <c r="U119" s="124">
        <v>3</v>
      </c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329" s="27" customFormat="1" ht="15" customHeight="1">
      <c r="A120" s="33">
        <v>1101280</v>
      </c>
      <c r="B120" s="61" t="s">
        <v>291</v>
      </c>
      <c r="C120" s="215" t="s">
        <v>292</v>
      </c>
      <c r="D120" s="122">
        <v>13</v>
      </c>
      <c r="E120" s="122">
        <f t="shared" si="2"/>
        <v>21.84873949579832</v>
      </c>
      <c r="F120" s="122">
        <f t="shared" si="3"/>
        <v>26</v>
      </c>
      <c r="G120" s="122"/>
      <c r="H120" s="122"/>
      <c r="I120" s="8"/>
      <c r="J120" s="11"/>
      <c r="K120" s="54"/>
      <c r="L120" s="54" t="s">
        <v>28</v>
      </c>
      <c r="M120" s="11"/>
      <c r="N120" s="54" t="s">
        <v>28</v>
      </c>
      <c r="O120" s="54" t="s">
        <v>28</v>
      </c>
      <c r="P120" s="11"/>
      <c r="Q120" s="11"/>
      <c r="R120" s="123">
        <v>7350057584217</v>
      </c>
      <c r="S120" s="124" t="s">
        <v>54</v>
      </c>
      <c r="T120" s="124">
        <v>1</v>
      </c>
      <c r="U120" s="124">
        <v>0.94</v>
      </c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329" s="125" customFormat="1" ht="15" customHeight="1">
      <c r="A121" s="33">
        <v>1101281</v>
      </c>
      <c r="B121" s="61" t="s">
        <v>169</v>
      </c>
      <c r="C121" s="213" t="s">
        <v>293</v>
      </c>
      <c r="D121" s="122">
        <v>27</v>
      </c>
      <c r="E121" s="122">
        <f t="shared" si="2"/>
        <v>45.378151260504204</v>
      </c>
      <c r="F121" s="122">
        <f t="shared" si="3"/>
        <v>54</v>
      </c>
      <c r="G121" s="122"/>
      <c r="H121" s="122"/>
      <c r="I121" s="38"/>
      <c r="J121" s="11"/>
      <c r="K121" s="38"/>
      <c r="L121" s="38" t="s">
        <v>28</v>
      </c>
      <c r="M121" s="38" t="s">
        <v>28</v>
      </c>
      <c r="N121" s="8"/>
      <c r="O121" s="8"/>
      <c r="P121" s="38"/>
      <c r="Q121" s="38"/>
      <c r="R121" s="123">
        <v>7350057584224</v>
      </c>
      <c r="S121" s="124" t="s">
        <v>171</v>
      </c>
      <c r="T121" s="124">
        <v>1.6</v>
      </c>
      <c r="U121" s="124">
        <v>1.55</v>
      </c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  <c r="FS121" s="27"/>
      <c r="FT121" s="27"/>
      <c r="FU121" s="27"/>
      <c r="FV121" s="27"/>
      <c r="FW121" s="27"/>
      <c r="FX121" s="27"/>
      <c r="FY121" s="27"/>
      <c r="FZ121" s="27"/>
      <c r="GA121" s="27"/>
      <c r="GB121" s="27"/>
      <c r="GC121" s="27"/>
      <c r="GD121" s="27"/>
      <c r="GE121" s="27"/>
      <c r="GF121" s="27"/>
      <c r="GG121" s="27"/>
      <c r="GH121" s="27"/>
      <c r="GI121" s="27"/>
      <c r="GJ121" s="27"/>
      <c r="GK121" s="27"/>
      <c r="GL121" s="27"/>
      <c r="GM121" s="27"/>
      <c r="GN121" s="27"/>
      <c r="GO121" s="27"/>
      <c r="GP121" s="27"/>
      <c r="GQ121" s="27"/>
      <c r="GR121" s="27"/>
      <c r="GS121" s="27"/>
      <c r="GT121" s="27"/>
      <c r="GU121" s="27"/>
      <c r="GV121" s="27"/>
      <c r="GW121" s="27"/>
      <c r="GX121" s="27"/>
      <c r="GY121" s="27"/>
      <c r="GZ121" s="27"/>
      <c r="HA121" s="27"/>
      <c r="HB121" s="27"/>
      <c r="HC121" s="27"/>
      <c r="HD121" s="27"/>
      <c r="HE121" s="27"/>
      <c r="HF121" s="27"/>
      <c r="HG121" s="27"/>
      <c r="HH121" s="27"/>
      <c r="HI121" s="27"/>
      <c r="HJ121" s="27"/>
      <c r="HK121" s="27"/>
      <c r="HL121" s="27"/>
      <c r="HM121" s="27"/>
      <c r="HN121" s="27"/>
      <c r="HO121" s="27"/>
      <c r="HP121" s="27"/>
      <c r="HQ121" s="27"/>
      <c r="HR121" s="27"/>
      <c r="HS121" s="27"/>
      <c r="HT121" s="27"/>
      <c r="HU121" s="27"/>
      <c r="HV121" s="27"/>
      <c r="HW121" s="27"/>
      <c r="HX121" s="27"/>
      <c r="HY121" s="27"/>
      <c r="HZ121" s="27"/>
      <c r="IA121" s="27"/>
      <c r="IB121" s="27"/>
      <c r="IC121" s="27"/>
      <c r="ID121" s="27"/>
      <c r="IE121" s="27"/>
      <c r="IF121" s="27"/>
      <c r="IG121" s="27"/>
      <c r="IH121" s="27"/>
      <c r="II121" s="27"/>
      <c r="IJ121" s="27"/>
      <c r="IK121" s="27"/>
      <c r="IL121" s="27"/>
      <c r="IM121" s="27"/>
      <c r="IN121" s="27"/>
      <c r="IO121" s="27"/>
      <c r="IP121" s="27"/>
      <c r="IQ121" s="27"/>
      <c r="IR121" s="27"/>
      <c r="IS121" s="27"/>
      <c r="IT121" s="27"/>
      <c r="IU121" s="27"/>
      <c r="IV121" s="27"/>
      <c r="IW121" s="27"/>
      <c r="IX121" s="27"/>
      <c r="IY121" s="27"/>
      <c r="IZ121" s="27"/>
      <c r="JA121" s="27"/>
      <c r="JB121" s="27"/>
      <c r="JC121" s="27"/>
      <c r="JD121" s="27"/>
      <c r="JE121" s="27"/>
      <c r="JF121" s="27"/>
      <c r="JG121" s="27"/>
      <c r="JH121" s="27"/>
      <c r="JI121" s="27"/>
      <c r="JJ121" s="27"/>
      <c r="JK121" s="27"/>
      <c r="JL121" s="27"/>
      <c r="JM121" s="27"/>
      <c r="JN121" s="27"/>
      <c r="JO121" s="27"/>
      <c r="JP121" s="27"/>
      <c r="JQ121" s="27"/>
      <c r="JR121" s="27"/>
      <c r="JS121" s="27"/>
      <c r="JT121" s="27"/>
      <c r="JU121" s="27"/>
      <c r="JV121" s="27"/>
      <c r="JW121" s="27"/>
      <c r="JX121" s="27"/>
      <c r="JY121" s="27"/>
      <c r="JZ121" s="27"/>
      <c r="KA121" s="27"/>
      <c r="KB121" s="27"/>
      <c r="KC121" s="27"/>
      <c r="KD121" s="27"/>
      <c r="KE121" s="27"/>
      <c r="KF121" s="27"/>
      <c r="KG121" s="27"/>
      <c r="KH121" s="27"/>
      <c r="KI121" s="27"/>
      <c r="KJ121" s="27"/>
      <c r="KK121" s="27"/>
      <c r="KL121" s="27"/>
      <c r="KM121" s="27"/>
      <c r="KN121" s="27"/>
      <c r="KO121" s="27"/>
      <c r="KP121" s="27"/>
      <c r="KQ121" s="27"/>
      <c r="KR121" s="27"/>
      <c r="KS121" s="27"/>
      <c r="KT121" s="27"/>
      <c r="KU121" s="27"/>
      <c r="KV121" s="27"/>
      <c r="KW121" s="27"/>
      <c r="KX121" s="27"/>
      <c r="KY121" s="27"/>
      <c r="KZ121" s="27"/>
      <c r="LA121" s="27"/>
      <c r="LB121" s="27"/>
      <c r="LC121" s="27"/>
      <c r="LD121" s="27"/>
      <c r="LE121" s="27"/>
      <c r="LF121" s="27"/>
      <c r="LG121" s="27"/>
      <c r="LH121" s="27"/>
      <c r="LI121" s="27"/>
      <c r="LJ121" s="27"/>
      <c r="LK121" s="27"/>
      <c r="LL121" s="27"/>
      <c r="LM121" s="27"/>
      <c r="LN121" s="27"/>
      <c r="LO121" s="27"/>
      <c r="LP121" s="27"/>
      <c r="LQ121" s="27"/>
    </row>
    <row r="122" spans="1:329" s="27" customFormat="1" ht="15" customHeight="1">
      <c r="A122" s="33">
        <v>1101314</v>
      </c>
      <c r="B122" s="61" t="s">
        <v>294</v>
      </c>
      <c r="C122" s="213" t="s">
        <v>295</v>
      </c>
      <c r="D122" s="122">
        <v>3</v>
      </c>
      <c r="E122" s="122">
        <f t="shared" si="2"/>
        <v>5.0420168067226889</v>
      </c>
      <c r="F122" s="122">
        <f t="shared" si="3"/>
        <v>6</v>
      </c>
      <c r="G122" s="122"/>
      <c r="H122" s="122"/>
      <c r="I122" s="8"/>
      <c r="J122" s="8"/>
      <c r="K122" s="54" t="s">
        <v>28</v>
      </c>
      <c r="L122" s="54"/>
      <c r="M122" s="54"/>
      <c r="N122" s="54" t="s">
        <v>28</v>
      </c>
      <c r="O122" s="54"/>
      <c r="P122" s="54"/>
      <c r="Q122" s="54"/>
      <c r="R122" s="123">
        <v>7350057584187</v>
      </c>
      <c r="S122" s="124" t="s">
        <v>54</v>
      </c>
      <c r="T122" s="124">
        <v>0.64</v>
      </c>
      <c r="U122" s="124">
        <v>0.56000000000000005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329" s="27" customFormat="1" ht="15" customHeight="1">
      <c r="A123" s="33">
        <v>1101315</v>
      </c>
      <c r="B123" s="61" t="s">
        <v>294</v>
      </c>
      <c r="C123" s="213" t="s">
        <v>296</v>
      </c>
      <c r="D123" s="122">
        <v>3</v>
      </c>
      <c r="E123" s="122">
        <f t="shared" si="2"/>
        <v>5.0420168067226889</v>
      </c>
      <c r="F123" s="122">
        <f t="shared" si="3"/>
        <v>6</v>
      </c>
      <c r="G123" s="122"/>
      <c r="H123" s="122"/>
      <c r="I123" s="8"/>
      <c r="J123" s="11"/>
      <c r="K123" s="8"/>
      <c r="L123" s="38" t="s">
        <v>28</v>
      </c>
      <c r="M123" s="38" t="s">
        <v>28</v>
      </c>
      <c r="N123" s="8"/>
      <c r="O123" s="38" t="s">
        <v>28</v>
      </c>
      <c r="P123" s="38" t="s">
        <v>28</v>
      </c>
      <c r="Q123" s="38" t="s">
        <v>28</v>
      </c>
      <c r="R123" s="123">
        <v>7350057584194</v>
      </c>
      <c r="S123" s="124" t="s">
        <v>68</v>
      </c>
      <c r="T123" s="124">
        <v>0.82</v>
      </c>
      <c r="U123" s="124">
        <v>0.68</v>
      </c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329" s="27" customFormat="1" ht="15" customHeight="1">
      <c r="A124" s="136">
        <v>1101784</v>
      </c>
      <c r="B124" s="137" t="s">
        <v>297</v>
      </c>
      <c r="C124" s="216" t="s">
        <v>298</v>
      </c>
      <c r="D124" s="122">
        <v>50</v>
      </c>
      <c r="E124" s="122">
        <f t="shared" si="2"/>
        <v>84.033613445378151</v>
      </c>
      <c r="F124" s="122">
        <f t="shared" si="3"/>
        <v>100</v>
      </c>
      <c r="G124" s="122"/>
      <c r="H124" s="122"/>
      <c r="I124" s="8"/>
      <c r="J124" s="11"/>
      <c r="K124" s="38" t="s">
        <v>28</v>
      </c>
      <c r="L124" s="8"/>
      <c r="M124" s="8"/>
      <c r="N124" s="8"/>
      <c r="O124" s="8"/>
      <c r="P124" s="8"/>
      <c r="Q124" s="8"/>
      <c r="R124" s="123">
        <v>7350057584712</v>
      </c>
      <c r="S124" s="124" t="s">
        <v>63</v>
      </c>
      <c r="T124" s="124">
        <v>3.3</v>
      </c>
      <c r="U124" s="124">
        <v>2.52</v>
      </c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25"/>
      <c r="AR124" s="125"/>
      <c r="AS124" s="125"/>
      <c r="AT124" s="125"/>
      <c r="AU124" s="125"/>
      <c r="AV124" s="125"/>
      <c r="AW124" s="125"/>
      <c r="AX124" s="125"/>
      <c r="AY124" s="125"/>
      <c r="AZ124" s="125"/>
      <c r="BA124" s="125"/>
      <c r="BB124" s="125"/>
      <c r="BC124" s="125"/>
      <c r="BD124" s="125"/>
      <c r="BE124" s="125"/>
      <c r="BF124" s="125"/>
      <c r="BG124" s="125"/>
      <c r="BH124" s="125"/>
      <c r="BI124" s="125"/>
      <c r="BJ124" s="125"/>
      <c r="BK124" s="125"/>
      <c r="BL124" s="125"/>
      <c r="BM124" s="125"/>
      <c r="BN124" s="125"/>
      <c r="BO124" s="125"/>
      <c r="BP124" s="125"/>
      <c r="BQ124" s="125"/>
      <c r="BR124" s="125"/>
      <c r="BS124" s="125"/>
      <c r="BT124" s="125"/>
      <c r="BU124" s="125"/>
      <c r="BV124" s="125"/>
      <c r="BW124" s="125"/>
      <c r="BX124" s="125"/>
      <c r="BY124" s="125"/>
      <c r="BZ124" s="125"/>
      <c r="CA124" s="125"/>
      <c r="CB124" s="125"/>
      <c r="CC124" s="125"/>
      <c r="CD124" s="125"/>
      <c r="CE124" s="125"/>
      <c r="CF124" s="125"/>
      <c r="CG124" s="125"/>
      <c r="CH124" s="125"/>
      <c r="CI124" s="125"/>
      <c r="CJ124" s="125"/>
      <c r="CK124" s="125"/>
      <c r="CL124" s="125"/>
      <c r="CM124" s="125"/>
      <c r="CN124" s="125"/>
      <c r="CO124" s="125"/>
      <c r="CP124" s="125"/>
      <c r="CQ124" s="125"/>
      <c r="CR124" s="125"/>
      <c r="CS124" s="125"/>
      <c r="CT124" s="125"/>
      <c r="CU124" s="125"/>
      <c r="CV124" s="125"/>
      <c r="CW124" s="125"/>
      <c r="CX124" s="125"/>
      <c r="CY124" s="125"/>
      <c r="CZ124" s="125"/>
      <c r="DA124" s="125"/>
      <c r="DB124" s="125"/>
      <c r="DC124" s="125"/>
      <c r="DD124" s="125"/>
      <c r="DE124" s="125"/>
      <c r="DF124" s="125"/>
      <c r="DG124" s="125"/>
      <c r="DH124" s="125"/>
      <c r="DI124" s="125"/>
      <c r="DJ124" s="125"/>
      <c r="DK124" s="125"/>
      <c r="DL124" s="125"/>
      <c r="DM124" s="125"/>
      <c r="DN124" s="125"/>
      <c r="DO124" s="125"/>
      <c r="DP124" s="125"/>
      <c r="DQ124" s="125"/>
      <c r="DR124" s="125"/>
      <c r="DS124" s="125"/>
      <c r="DT124" s="125"/>
      <c r="DU124" s="125"/>
      <c r="DV124" s="125"/>
      <c r="DW124" s="125"/>
      <c r="DX124" s="125"/>
      <c r="DY124" s="125"/>
      <c r="DZ124" s="125"/>
      <c r="EA124" s="125"/>
      <c r="EB124" s="125"/>
      <c r="EC124" s="125"/>
      <c r="ED124" s="125"/>
      <c r="EE124" s="125"/>
      <c r="EF124" s="125"/>
      <c r="EG124" s="125"/>
      <c r="EH124" s="125"/>
      <c r="EI124" s="125"/>
      <c r="EJ124" s="125"/>
      <c r="EK124" s="125"/>
      <c r="EL124" s="125"/>
      <c r="EM124" s="125"/>
      <c r="EN124" s="125"/>
      <c r="EO124" s="125"/>
      <c r="EP124" s="125"/>
      <c r="EQ124" s="125"/>
      <c r="ER124" s="125"/>
      <c r="ES124" s="125"/>
      <c r="ET124" s="125"/>
      <c r="EU124" s="125"/>
      <c r="EV124" s="125"/>
      <c r="EW124" s="125"/>
      <c r="EX124" s="125"/>
      <c r="EY124" s="125"/>
      <c r="EZ124" s="125"/>
      <c r="FA124" s="125"/>
      <c r="FB124" s="125"/>
      <c r="FC124" s="125"/>
      <c r="FD124" s="125"/>
      <c r="FE124" s="125"/>
      <c r="FF124" s="125"/>
      <c r="FG124" s="125"/>
      <c r="FH124" s="125"/>
      <c r="FI124" s="125"/>
      <c r="FJ124" s="125"/>
      <c r="FK124" s="125"/>
      <c r="FL124" s="125"/>
      <c r="FM124" s="125"/>
      <c r="FN124" s="125"/>
      <c r="FO124" s="125"/>
      <c r="FP124" s="125"/>
      <c r="FQ124" s="125"/>
      <c r="FR124" s="125"/>
      <c r="FS124" s="125"/>
      <c r="FT124" s="125"/>
      <c r="FU124" s="125"/>
      <c r="FV124" s="125"/>
      <c r="FW124" s="125"/>
      <c r="FX124" s="125"/>
      <c r="FY124" s="125"/>
      <c r="FZ124" s="125"/>
      <c r="GA124" s="125"/>
      <c r="GB124" s="125"/>
      <c r="GC124" s="125"/>
      <c r="GD124" s="125"/>
      <c r="GE124" s="125"/>
      <c r="GF124" s="125"/>
      <c r="GG124" s="125"/>
      <c r="GH124" s="125"/>
      <c r="GI124" s="125"/>
      <c r="GJ124" s="125"/>
      <c r="GK124" s="125"/>
      <c r="GL124" s="125"/>
      <c r="GM124" s="125"/>
      <c r="GN124" s="125"/>
      <c r="GO124" s="125"/>
      <c r="GP124" s="125"/>
      <c r="GQ124" s="125"/>
      <c r="GR124" s="125"/>
      <c r="GS124" s="125"/>
      <c r="GT124" s="125"/>
      <c r="GU124" s="125"/>
      <c r="GV124" s="125"/>
      <c r="GW124" s="125"/>
      <c r="GX124" s="125"/>
      <c r="GY124" s="125"/>
      <c r="GZ124" s="125"/>
      <c r="HA124" s="125"/>
      <c r="HB124" s="125"/>
      <c r="HC124" s="125"/>
      <c r="HD124" s="125"/>
      <c r="HE124" s="125"/>
      <c r="HF124" s="125"/>
      <c r="HG124" s="125"/>
      <c r="HH124" s="125"/>
      <c r="HI124" s="125"/>
      <c r="HJ124" s="125"/>
      <c r="HK124" s="125"/>
      <c r="HL124" s="125"/>
      <c r="HM124" s="125"/>
      <c r="HN124" s="125"/>
      <c r="HO124" s="125"/>
      <c r="HP124" s="125"/>
      <c r="HQ124" s="125"/>
      <c r="HR124" s="125"/>
      <c r="HS124" s="125"/>
      <c r="HT124" s="125"/>
      <c r="HU124" s="125"/>
      <c r="HV124" s="125"/>
      <c r="HW124" s="125"/>
      <c r="HX124" s="125"/>
      <c r="HY124" s="125"/>
      <c r="HZ124" s="125"/>
      <c r="IA124" s="125"/>
      <c r="IB124" s="125"/>
      <c r="IC124" s="125"/>
      <c r="ID124" s="125"/>
      <c r="IE124" s="125"/>
      <c r="IF124" s="125"/>
      <c r="IG124" s="125"/>
      <c r="IH124" s="125"/>
      <c r="II124" s="125"/>
      <c r="IJ124" s="125"/>
      <c r="IK124" s="125"/>
      <c r="IL124" s="125"/>
      <c r="IM124" s="125"/>
      <c r="IN124" s="125"/>
      <c r="IO124" s="125"/>
      <c r="IP124" s="125"/>
      <c r="IQ124" s="125"/>
      <c r="IR124" s="125"/>
      <c r="IS124" s="125"/>
      <c r="IT124" s="125"/>
      <c r="IU124" s="125"/>
      <c r="IV124" s="125"/>
      <c r="IW124" s="125"/>
      <c r="IX124" s="125"/>
      <c r="IY124" s="125"/>
      <c r="IZ124" s="125"/>
      <c r="JA124" s="125"/>
      <c r="JB124" s="125"/>
      <c r="JC124" s="125"/>
      <c r="JD124" s="125"/>
      <c r="JE124" s="125"/>
      <c r="JF124" s="125"/>
      <c r="JG124" s="125"/>
      <c r="JH124" s="125"/>
      <c r="JI124" s="125"/>
      <c r="JJ124" s="125"/>
      <c r="JK124" s="125"/>
      <c r="JL124" s="125"/>
      <c r="JM124" s="125"/>
      <c r="JN124" s="125"/>
      <c r="JO124" s="125"/>
      <c r="JP124" s="125"/>
      <c r="JQ124" s="125"/>
      <c r="JR124" s="125"/>
      <c r="JS124" s="125"/>
      <c r="JT124" s="125"/>
      <c r="JU124" s="125"/>
      <c r="JV124" s="125"/>
      <c r="JW124" s="125"/>
      <c r="JX124" s="125"/>
      <c r="JY124" s="125"/>
      <c r="JZ124" s="125"/>
      <c r="KA124" s="125"/>
      <c r="KB124" s="125"/>
      <c r="KC124" s="125"/>
      <c r="KD124" s="125"/>
      <c r="KE124" s="125"/>
      <c r="KF124" s="125"/>
      <c r="KG124" s="125"/>
      <c r="KH124" s="125"/>
      <c r="KI124" s="125"/>
      <c r="KJ124" s="125"/>
      <c r="KK124" s="125"/>
      <c r="KL124" s="125"/>
      <c r="KM124" s="125"/>
      <c r="KN124" s="125"/>
      <c r="KO124" s="125"/>
      <c r="KP124" s="125"/>
      <c r="KQ124" s="125"/>
      <c r="KR124" s="125"/>
      <c r="KS124" s="125"/>
      <c r="KT124" s="125"/>
      <c r="KU124" s="125"/>
      <c r="KV124" s="125"/>
      <c r="KW124" s="125"/>
      <c r="KX124" s="125"/>
      <c r="KY124" s="125"/>
      <c r="KZ124" s="125"/>
      <c r="LA124" s="125"/>
      <c r="LB124" s="125"/>
      <c r="LC124" s="125"/>
      <c r="LD124" s="125"/>
      <c r="LE124" s="125"/>
      <c r="LF124" s="125"/>
      <c r="LG124" s="125"/>
      <c r="LH124" s="125"/>
      <c r="LI124" s="125"/>
      <c r="LJ124" s="125"/>
      <c r="LK124" s="125"/>
      <c r="LL124" s="125"/>
      <c r="LM124" s="125"/>
      <c r="LN124" s="125"/>
      <c r="LO124" s="125"/>
      <c r="LP124" s="125"/>
      <c r="LQ124" s="125"/>
    </row>
    <row r="125" spans="1:329" s="125" customFormat="1" ht="15" customHeight="1">
      <c r="A125" s="136">
        <v>1101785</v>
      </c>
      <c r="B125" s="137" t="s">
        <v>299</v>
      </c>
      <c r="C125" s="214" t="s">
        <v>300</v>
      </c>
      <c r="D125" s="122">
        <v>50</v>
      </c>
      <c r="E125" s="122">
        <f t="shared" si="2"/>
        <v>84.033613445378151</v>
      </c>
      <c r="F125" s="122">
        <f t="shared" si="3"/>
        <v>100</v>
      </c>
      <c r="G125" s="122"/>
      <c r="H125" s="122"/>
      <c r="I125" s="8"/>
      <c r="J125" s="11"/>
      <c r="K125" s="54" t="s">
        <v>28</v>
      </c>
      <c r="L125" s="11"/>
      <c r="M125" s="11"/>
      <c r="N125" s="11"/>
      <c r="O125" s="11"/>
      <c r="P125" s="8"/>
      <c r="Q125" s="8"/>
      <c r="R125" s="123">
        <v>7350057584729</v>
      </c>
      <c r="S125" s="124" t="s">
        <v>63</v>
      </c>
      <c r="T125" s="124">
        <v>3.3</v>
      </c>
      <c r="U125" s="124">
        <v>2.52</v>
      </c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329" s="27" customFormat="1" ht="15" customHeight="1">
      <c r="A126" s="136">
        <v>1101786</v>
      </c>
      <c r="B126" s="137" t="s">
        <v>301</v>
      </c>
      <c r="C126" s="216" t="s">
        <v>302</v>
      </c>
      <c r="D126" s="122">
        <v>50</v>
      </c>
      <c r="E126" s="122">
        <f t="shared" si="2"/>
        <v>84.033613445378151</v>
      </c>
      <c r="F126" s="122">
        <f t="shared" si="3"/>
        <v>100</v>
      </c>
      <c r="G126" s="122"/>
      <c r="H126" s="122"/>
      <c r="I126" s="8"/>
      <c r="J126" s="11"/>
      <c r="K126" s="38" t="s">
        <v>28</v>
      </c>
      <c r="L126" s="8"/>
      <c r="M126" s="8"/>
      <c r="N126" s="11"/>
      <c r="O126" s="11"/>
      <c r="P126" s="8"/>
      <c r="Q126" s="11"/>
      <c r="R126" s="123">
        <v>7350057584736</v>
      </c>
      <c r="S126" s="124" t="s">
        <v>63</v>
      </c>
      <c r="T126" s="124">
        <v>3.3</v>
      </c>
      <c r="U126" s="124">
        <v>2.52</v>
      </c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25"/>
      <c r="AR126" s="125"/>
      <c r="AS126" s="125"/>
      <c r="AT126" s="125"/>
      <c r="AU126" s="125"/>
      <c r="AV126" s="125"/>
      <c r="AW126" s="125"/>
      <c r="AX126" s="125"/>
      <c r="AY126" s="125"/>
      <c r="AZ126" s="125"/>
      <c r="BA126" s="125"/>
      <c r="BB126" s="125"/>
      <c r="BC126" s="125"/>
      <c r="BD126" s="125"/>
      <c r="BE126" s="125"/>
      <c r="BF126" s="125"/>
      <c r="BG126" s="125"/>
      <c r="BH126" s="125"/>
      <c r="BI126" s="125"/>
      <c r="BJ126" s="125"/>
      <c r="BK126" s="125"/>
      <c r="BL126" s="125"/>
      <c r="BM126" s="125"/>
      <c r="BN126" s="125"/>
      <c r="BO126" s="125"/>
      <c r="BP126" s="125"/>
      <c r="BQ126" s="125"/>
      <c r="BR126" s="125"/>
      <c r="BS126" s="125"/>
      <c r="BT126" s="125"/>
      <c r="BU126" s="125"/>
      <c r="BV126" s="125"/>
      <c r="BW126" s="125"/>
      <c r="BX126" s="125"/>
      <c r="BY126" s="125"/>
      <c r="BZ126" s="125"/>
      <c r="CA126" s="125"/>
      <c r="CB126" s="125"/>
      <c r="CC126" s="125"/>
      <c r="CD126" s="125"/>
      <c r="CE126" s="125"/>
      <c r="CF126" s="125"/>
      <c r="CG126" s="125"/>
      <c r="CH126" s="125"/>
      <c r="CI126" s="125"/>
      <c r="CJ126" s="125"/>
      <c r="CK126" s="125"/>
      <c r="CL126" s="125"/>
      <c r="CM126" s="125"/>
      <c r="CN126" s="125"/>
      <c r="CO126" s="125"/>
      <c r="CP126" s="125"/>
      <c r="CQ126" s="125"/>
      <c r="CR126" s="125"/>
      <c r="CS126" s="125"/>
      <c r="CT126" s="125"/>
      <c r="CU126" s="125"/>
      <c r="CV126" s="125"/>
      <c r="CW126" s="125"/>
      <c r="CX126" s="125"/>
      <c r="CY126" s="125"/>
      <c r="CZ126" s="125"/>
      <c r="DA126" s="125"/>
      <c r="DB126" s="125"/>
      <c r="DC126" s="125"/>
      <c r="DD126" s="125"/>
      <c r="DE126" s="125"/>
      <c r="DF126" s="125"/>
      <c r="DG126" s="125"/>
      <c r="DH126" s="125"/>
      <c r="DI126" s="125"/>
      <c r="DJ126" s="125"/>
      <c r="DK126" s="125"/>
      <c r="DL126" s="125"/>
      <c r="DM126" s="125"/>
      <c r="DN126" s="125"/>
      <c r="DO126" s="125"/>
      <c r="DP126" s="125"/>
      <c r="DQ126" s="125"/>
      <c r="DR126" s="125"/>
      <c r="DS126" s="125"/>
      <c r="DT126" s="125"/>
      <c r="DU126" s="125"/>
      <c r="DV126" s="125"/>
      <c r="DW126" s="125"/>
      <c r="DX126" s="125"/>
      <c r="DY126" s="125"/>
      <c r="DZ126" s="125"/>
      <c r="EA126" s="125"/>
      <c r="EB126" s="125"/>
      <c r="EC126" s="125"/>
      <c r="ED126" s="125"/>
      <c r="EE126" s="125"/>
      <c r="EF126" s="125"/>
      <c r="EG126" s="125"/>
      <c r="EH126" s="125"/>
      <c r="EI126" s="125"/>
      <c r="EJ126" s="125"/>
      <c r="EK126" s="125"/>
      <c r="EL126" s="125"/>
      <c r="EM126" s="125"/>
      <c r="EN126" s="125"/>
      <c r="EO126" s="125"/>
      <c r="EP126" s="125"/>
      <c r="EQ126" s="125"/>
      <c r="ER126" s="125"/>
      <c r="ES126" s="125"/>
      <c r="ET126" s="125"/>
      <c r="EU126" s="125"/>
      <c r="EV126" s="125"/>
      <c r="EW126" s="125"/>
      <c r="EX126" s="125"/>
      <c r="EY126" s="125"/>
      <c r="EZ126" s="125"/>
      <c r="FA126" s="125"/>
      <c r="FB126" s="125"/>
      <c r="FC126" s="125"/>
      <c r="FD126" s="125"/>
      <c r="FE126" s="125"/>
      <c r="FF126" s="125"/>
      <c r="FG126" s="125"/>
      <c r="FH126" s="125"/>
      <c r="FI126" s="125"/>
      <c r="FJ126" s="125"/>
      <c r="FK126" s="125"/>
      <c r="FL126" s="125"/>
      <c r="FM126" s="125"/>
      <c r="FN126" s="125"/>
      <c r="FO126" s="125"/>
      <c r="FP126" s="125"/>
      <c r="FQ126" s="125"/>
      <c r="FR126" s="125"/>
      <c r="FS126" s="125"/>
      <c r="FT126" s="125"/>
      <c r="FU126" s="125"/>
      <c r="FV126" s="125"/>
      <c r="FW126" s="125"/>
      <c r="FX126" s="125"/>
      <c r="FY126" s="125"/>
      <c r="FZ126" s="125"/>
      <c r="GA126" s="125"/>
      <c r="GB126" s="125"/>
      <c r="GC126" s="125"/>
      <c r="GD126" s="125"/>
      <c r="GE126" s="125"/>
      <c r="GF126" s="125"/>
      <c r="GG126" s="125"/>
      <c r="GH126" s="125"/>
      <c r="GI126" s="125"/>
      <c r="GJ126" s="125"/>
      <c r="GK126" s="125"/>
      <c r="GL126" s="125"/>
      <c r="GM126" s="125"/>
      <c r="GN126" s="125"/>
      <c r="GO126" s="125"/>
      <c r="GP126" s="125"/>
      <c r="GQ126" s="125"/>
      <c r="GR126" s="125"/>
      <c r="GS126" s="125"/>
      <c r="GT126" s="125"/>
      <c r="GU126" s="125"/>
      <c r="GV126" s="125"/>
      <c r="GW126" s="125"/>
      <c r="GX126" s="125"/>
      <c r="GY126" s="125"/>
      <c r="GZ126" s="125"/>
      <c r="HA126" s="125"/>
      <c r="HB126" s="125"/>
      <c r="HC126" s="125"/>
      <c r="HD126" s="125"/>
      <c r="HE126" s="125"/>
      <c r="HF126" s="125"/>
      <c r="HG126" s="125"/>
      <c r="HH126" s="125"/>
      <c r="HI126" s="125"/>
      <c r="HJ126" s="125"/>
      <c r="HK126" s="125"/>
      <c r="HL126" s="125"/>
      <c r="HM126" s="125"/>
      <c r="HN126" s="125"/>
      <c r="HO126" s="125"/>
      <c r="HP126" s="125"/>
      <c r="HQ126" s="125"/>
      <c r="HR126" s="125"/>
      <c r="HS126" s="125"/>
      <c r="HT126" s="125"/>
      <c r="HU126" s="125"/>
      <c r="HV126" s="125"/>
      <c r="HW126" s="125"/>
      <c r="HX126" s="125"/>
      <c r="HY126" s="125"/>
      <c r="HZ126" s="125"/>
      <c r="IA126" s="125"/>
      <c r="IB126" s="125"/>
      <c r="IC126" s="125"/>
      <c r="ID126" s="125"/>
      <c r="IE126" s="125"/>
      <c r="IF126" s="125"/>
      <c r="IG126" s="125"/>
      <c r="IH126" s="125"/>
      <c r="II126" s="125"/>
      <c r="IJ126" s="125"/>
      <c r="IK126" s="125"/>
      <c r="IL126" s="125"/>
      <c r="IM126" s="125"/>
      <c r="IN126" s="125"/>
      <c r="IO126" s="125"/>
      <c r="IP126" s="125"/>
      <c r="IQ126" s="125"/>
      <c r="IR126" s="125"/>
      <c r="IS126" s="125"/>
      <c r="IT126" s="125"/>
      <c r="IU126" s="125"/>
      <c r="IV126" s="125"/>
      <c r="IW126" s="125"/>
      <c r="IX126" s="125"/>
      <c r="IY126" s="125"/>
      <c r="IZ126" s="125"/>
      <c r="JA126" s="125"/>
      <c r="JB126" s="125"/>
      <c r="JC126" s="125"/>
      <c r="JD126" s="125"/>
      <c r="JE126" s="125"/>
      <c r="JF126" s="125"/>
      <c r="JG126" s="125"/>
      <c r="JH126" s="125"/>
      <c r="JI126" s="125"/>
      <c r="JJ126" s="125"/>
      <c r="JK126" s="125"/>
      <c r="JL126" s="125"/>
      <c r="JM126" s="125"/>
      <c r="JN126" s="125"/>
      <c r="JO126" s="125"/>
      <c r="JP126" s="125"/>
      <c r="JQ126" s="125"/>
      <c r="JR126" s="125"/>
      <c r="JS126" s="125"/>
      <c r="JT126" s="125"/>
      <c r="JU126" s="125"/>
      <c r="JV126" s="125"/>
      <c r="JW126" s="125"/>
      <c r="JX126" s="125"/>
      <c r="JY126" s="125"/>
      <c r="JZ126" s="125"/>
      <c r="KA126" s="125"/>
      <c r="KB126" s="125"/>
      <c r="KC126" s="125"/>
      <c r="KD126" s="125"/>
      <c r="KE126" s="125"/>
      <c r="KF126" s="125"/>
      <c r="KG126" s="125"/>
      <c r="KH126" s="125"/>
      <c r="KI126" s="125"/>
      <c r="KJ126" s="125"/>
      <c r="KK126" s="125"/>
      <c r="KL126" s="125"/>
      <c r="KM126" s="125"/>
      <c r="KN126" s="125"/>
      <c r="KO126" s="125"/>
      <c r="KP126" s="125"/>
      <c r="KQ126" s="125"/>
      <c r="KR126" s="125"/>
      <c r="KS126" s="125"/>
      <c r="KT126" s="125"/>
      <c r="KU126" s="125"/>
      <c r="KV126" s="125"/>
      <c r="KW126" s="125"/>
      <c r="KX126" s="125"/>
      <c r="KY126" s="125"/>
      <c r="KZ126" s="125"/>
      <c r="LA126" s="125"/>
      <c r="LB126" s="125"/>
      <c r="LC126" s="125"/>
      <c r="LD126" s="125"/>
      <c r="LE126" s="125"/>
      <c r="LF126" s="125"/>
      <c r="LG126" s="125"/>
      <c r="LH126" s="125"/>
      <c r="LI126" s="125"/>
      <c r="LJ126" s="125"/>
      <c r="LK126" s="125"/>
      <c r="LL126" s="125"/>
      <c r="LM126" s="125"/>
      <c r="LN126" s="125"/>
      <c r="LO126" s="125"/>
      <c r="LP126" s="125"/>
      <c r="LQ126" s="125"/>
    </row>
    <row r="127" spans="1:329" s="27" customFormat="1" ht="15" customHeight="1">
      <c r="A127" s="136">
        <v>1101787</v>
      </c>
      <c r="B127" s="137" t="s">
        <v>303</v>
      </c>
      <c r="C127" s="214" t="s">
        <v>304</v>
      </c>
      <c r="D127" s="122">
        <v>50</v>
      </c>
      <c r="E127" s="122">
        <f t="shared" si="2"/>
        <v>84.033613445378151</v>
      </c>
      <c r="F127" s="122">
        <f t="shared" si="3"/>
        <v>100</v>
      </c>
      <c r="G127" s="122"/>
      <c r="H127" s="122"/>
      <c r="I127" s="8"/>
      <c r="J127" s="11"/>
      <c r="K127" s="38" t="s">
        <v>28</v>
      </c>
      <c r="L127" s="8"/>
      <c r="M127" s="8"/>
      <c r="N127" s="11"/>
      <c r="O127" s="11"/>
      <c r="P127" s="8"/>
      <c r="Q127" s="11"/>
      <c r="R127" s="123">
        <v>7350057584743</v>
      </c>
      <c r="S127" s="124" t="s">
        <v>63</v>
      </c>
      <c r="T127" s="124">
        <v>3.3</v>
      </c>
      <c r="U127" s="124">
        <v>2.52</v>
      </c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25"/>
      <c r="AR127" s="125"/>
      <c r="AS127" s="125"/>
      <c r="AT127" s="125"/>
      <c r="AU127" s="125"/>
      <c r="AV127" s="125"/>
      <c r="AW127" s="125"/>
      <c r="AX127" s="125"/>
      <c r="AY127" s="125"/>
      <c r="AZ127" s="125"/>
      <c r="BA127" s="125"/>
      <c r="BB127" s="125"/>
      <c r="BC127" s="125"/>
      <c r="BD127" s="125"/>
      <c r="BE127" s="125"/>
      <c r="BF127" s="125"/>
      <c r="BG127" s="125"/>
      <c r="BH127" s="125"/>
      <c r="BI127" s="125"/>
      <c r="BJ127" s="125"/>
      <c r="BK127" s="125"/>
      <c r="BL127" s="125"/>
      <c r="BM127" s="125"/>
      <c r="BN127" s="125"/>
      <c r="BO127" s="125"/>
      <c r="BP127" s="125"/>
      <c r="BQ127" s="125"/>
      <c r="BR127" s="125"/>
      <c r="BS127" s="125"/>
      <c r="BT127" s="125"/>
      <c r="BU127" s="125"/>
      <c r="BV127" s="125"/>
      <c r="BW127" s="125"/>
      <c r="BX127" s="125"/>
      <c r="BY127" s="125"/>
      <c r="BZ127" s="125"/>
      <c r="CA127" s="125"/>
      <c r="CB127" s="125"/>
      <c r="CC127" s="125"/>
      <c r="CD127" s="125"/>
      <c r="CE127" s="125"/>
      <c r="CF127" s="125"/>
      <c r="CG127" s="125"/>
      <c r="CH127" s="125"/>
      <c r="CI127" s="125"/>
      <c r="CJ127" s="125"/>
      <c r="CK127" s="125"/>
      <c r="CL127" s="125"/>
      <c r="CM127" s="125"/>
      <c r="CN127" s="125"/>
      <c r="CO127" s="125"/>
      <c r="CP127" s="125"/>
      <c r="CQ127" s="125"/>
      <c r="CR127" s="125"/>
      <c r="CS127" s="125"/>
      <c r="CT127" s="125"/>
      <c r="CU127" s="125"/>
      <c r="CV127" s="125"/>
      <c r="CW127" s="125"/>
      <c r="CX127" s="125"/>
      <c r="CY127" s="125"/>
      <c r="CZ127" s="125"/>
      <c r="DA127" s="125"/>
      <c r="DB127" s="125"/>
      <c r="DC127" s="125"/>
      <c r="DD127" s="125"/>
      <c r="DE127" s="125"/>
      <c r="DF127" s="125"/>
      <c r="DG127" s="125"/>
      <c r="DH127" s="125"/>
      <c r="DI127" s="125"/>
      <c r="DJ127" s="125"/>
      <c r="DK127" s="125"/>
      <c r="DL127" s="125"/>
      <c r="DM127" s="125"/>
      <c r="DN127" s="125"/>
      <c r="DO127" s="125"/>
      <c r="DP127" s="125"/>
      <c r="DQ127" s="125"/>
      <c r="DR127" s="125"/>
      <c r="DS127" s="125"/>
      <c r="DT127" s="125"/>
      <c r="DU127" s="125"/>
      <c r="DV127" s="125"/>
      <c r="DW127" s="125"/>
      <c r="DX127" s="125"/>
      <c r="DY127" s="125"/>
      <c r="DZ127" s="125"/>
      <c r="EA127" s="125"/>
      <c r="EB127" s="125"/>
      <c r="EC127" s="125"/>
      <c r="ED127" s="125"/>
      <c r="EE127" s="125"/>
      <c r="EF127" s="125"/>
      <c r="EG127" s="125"/>
      <c r="EH127" s="125"/>
      <c r="EI127" s="125"/>
      <c r="EJ127" s="125"/>
      <c r="EK127" s="125"/>
      <c r="EL127" s="125"/>
      <c r="EM127" s="125"/>
      <c r="EN127" s="125"/>
      <c r="EO127" s="125"/>
      <c r="EP127" s="125"/>
      <c r="EQ127" s="125"/>
      <c r="ER127" s="125"/>
      <c r="ES127" s="125"/>
      <c r="ET127" s="125"/>
      <c r="EU127" s="125"/>
      <c r="EV127" s="125"/>
      <c r="EW127" s="125"/>
      <c r="EX127" s="125"/>
      <c r="EY127" s="125"/>
      <c r="EZ127" s="125"/>
      <c r="FA127" s="125"/>
      <c r="FB127" s="125"/>
      <c r="FC127" s="125"/>
      <c r="FD127" s="125"/>
      <c r="FE127" s="125"/>
      <c r="FF127" s="125"/>
      <c r="FG127" s="125"/>
      <c r="FH127" s="125"/>
      <c r="FI127" s="125"/>
      <c r="FJ127" s="125"/>
      <c r="FK127" s="125"/>
      <c r="FL127" s="125"/>
      <c r="FM127" s="125"/>
      <c r="FN127" s="125"/>
      <c r="FO127" s="125"/>
      <c r="FP127" s="125"/>
      <c r="FQ127" s="125"/>
      <c r="FR127" s="125"/>
      <c r="FS127" s="125"/>
      <c r="FT127" s="125"/>
      <c r="FU127" s="125"/>
      <c r="FV127" s="125"/>
      <c r="FW127" s="125"/>
      <c r="FX127" s="125"/>
      <c r="FY127" s="125"/>
      <c r="FZ127" s="125"/>
      <c r="GA127" s="125"/>
      <c r="GB127" s="125"/>
      <c r="GC127" s="125"/>
      <c r="GD127" s="125"/>
      <c r="GE127" s="125"/>
      <c r="GF127" s="125"/>
      <c r="GG127" s="125"/>
      <c r="GH127" s="125"/>
      <c r="GI127" s="125"/>
      <c r="GJ127" s="125"/>
      <c r="GK127" s="125"/>
      <c r="GL127" s="125"/>
      <c r="GM127" s="125"/>
      <c r="GN127" s="125"/>
      <c r="GO127" s="125"/>
      <c r="GP127" s="125"/>
      <c r="GQ127" s="125"/>
      <c r="GR127" s="125"/>
      <c r="GS127" s="125"/>
      <c r="GT127" s="125"/>
      <c r="GU127" s="125"/>
      <c r="GV127" s="125"/>
      <c r="GW127" s="125"/>
      <c r="GX127" s="125"/>
      <c r="GY127" s="125"/>
      <c r="GZ127" s="125"/>
      <c r="HA127" s="125"/>
      <c r="HB127" s="125"/>
      <c r="HC127" s="125"/>
      <c r="HD127" s="125"/>
      <c r="HE127" s="125"/>
      <c r="HF127" s="125"/>
      <c r="HG127" s="125"/>
      <c r="HH127" s="125"/>
      <c r="HI127" s="125"/>
      <c r="HJ127" s="125"/>
      <c r="HK127" s="125"/>
      <c r="HL127" s="125"/>
      <c r="HM127" s="125"/>
      <c r="HN127" s="125"/>
      <c r="HO127" s="125"/>
      <c r="HP127" s="125"/>
      <c r="HQ127" s="125"/>
      <c r="HR127" s="125"/>
      <c r="HS127" s="125"/>
      <c r="HT127" s="125"/>
      <c r="HU127" s="125"/>
      <c r="HV127" s="125"/>
      <c r="HW127" s="125"/>
      <c r="HX127" s="125"/>
      <c r="HY127" s="125"/>
      <c r="HZ127" s="125"/>
      <c r="IA127" s="125"/>
      <c r="IB127" s="125"/>
      <c r="IC127" s="125"/>
      <c r="ID127" s="125"/>
      <c r="IE127" s="125"/>
      <c r="IF127" s="125"/>
      <c r="IG127" s="125"/>
      <c r="IH127" s="125"/>
      <c r="II127" s="125"/>
      <c r="IJ127" s="125"/>
      <c r="IK127" s="125"/>
      <c r="IL127" s="125"/>
      <c r="IM127" s="125"/>
      <c r="IN127" s="125"/>
      <c r="IO127" s="125"/>
      <c r="IP127" s="125"/>
      <c r="IQ127" s="125"/>
      <c r="IR127" s="125"/>
      <c r="IS127" s="125"/>
      <c r="IT127" s="125"/>
      <c r="IU127" s="125"/>
      <c r="IV127" s="125"/>
      <c r="IW127" s="125"/>
      <c r="IX127" s="125"/>
      <c r="IY127" s="125"/>
      <c r="IZ127" s="125"/>
      <c r="JA127" s="125"/>
      <c r="JB127" s="125"/>
      <c r="JC127" s="125"/>
      <c r="JD127" s="125"/>
      <c r="JE127" s="125"/>
      <c r="JF127" s="125"/>
      <c r="JG127" s="125"/>
      <c r="JH127" s="125"/>
      <c r="JI127" s="125"/>
      <c r="JJ127" s="125"/>
      <c r="JK127" s="125"/>
      <c r="JL127" s="125"/>
      <c r="JM127" s="125"/>
      <c r="JN127" s="125"/>
      <c r="JO127" s="125"/>
      <c r="JP127" s="125"/>
      <c r="JQ127" s="125"/>
      <c r="JR127" s="125"/>
      <c r="JS127" s="125"/>
      <c r="JT127" s="125"/>
      <c r="JU127" s="125"/>
      <c r="JV127" s="125"/>
      <c r="JW127" s="125"/>
      <c r="JX127" s="125"/>
      <c r="JY127" s="125"/>
      <c r="JZ127" s="125"/>
      <c r="KA127" s="125"/>
      <c r="KB127" s="125"/>
      <c r="KC127" s="125"/>
      <c r="KD127" s="125"/>
      <c r="KE127" s="125"/>
      <c r="KF127" s="125"/>
      <c r="KG127" s="125"/>
      <c r="KH127" s="125"/>
      <c r="KI127" s="125"/>
      <c r="KJ127" s="125"/>
      <c r="KK127" s="125"/>
      <c r="KL127" s="125"/>
      <c r="KM127" s="125"/>
      <c r="KN127" s="125"/>
      <c r="KO127" s="125"/>
      <c r="KP127" s="125"/>
      <c r="KQ127" s="125"/>
      <c r="KR127" s="125"/>
      <c r="KS127" s="125"/>
      <c r="KT127" s="125"/>
      <c r="KU127" s="125"/>
      <c r="KV127" s="125"/>
      <c r="KW127" s="125"/>
      <c r="KX127" s="125"/>
      <c r="KY127" s="125"/>
      <c r="KZ127" s="125"/>
      <c r="LA127" s="125"/>
      <c r="LB127" s="125"/>
      <c r="LC127" s="125"/>
      <c r="LD127" s="125"/>
      <c r="LE127" s="125"/>
      <c r="LF127" s="125"/>
      <c r="LG127" s="125"/>
      <c r="LH127" s="125"/>
      <c r="LI127" s="125"/>
      <c r="LJ127" s="125"/>
      <c r="LK127" s="125"/>
      <c r="LL127" s="125"/>
      <c r="LM127" s="125"/>
      <c r="LN127" s="125"/>
      <c r="LO127" s="125"/>
      <c r="LP127" s="125"/>
      <c r="LQ127" s="125"/>
    </row>
    <row r="128" spans="1:329" s="27" customFormat="1" ht="15" customHeight="1">
      <c r="A128" s="136">
        <v>1101788</v>
      </c>
      <c r="B128" s="137" t="s">
        <v>305</v>
      </c>
      <c r="C128" s="216" t="s">
        <v>306</v>
      </c>
      <c r="D128" s="122">
        <v>50</v>
      </c>
      <c r="E128" s="122">
        <f t="shared" si="2"/>
        <v>84.033613445378151</v>
      </c>
      <c r="F128" s="122">
        <f t="shared" si="3"/>
        <v>100</v>
      </c>
      <c r="G128" s="122"/>
      <c r="H128" s="122"/>
      <c r="I128" s="8"/>
      <c r="J128" s="11"/>
      <c r="K128" s="54" t="s">
        <v>28</v>
      </c>
      <c r="L128" s="11"/>
      <c r="M128" s="11"/>
      <c r="N128" s="11"/>
      <c r="O128" s="11"/>
      <c r="P128" s="11"/>
      <c r="Q128" s="8"/>
      <c r="R128" s="123">
        <v>7350057584750</v>
      </c>
      <c r="S128" s="124" t="s">
        <v>63</v>
      </c>
      <c r="T128" s="124">
        <v>3.3</v>
      </c>
      <c r="U128" s="124">
        <v>2.52</v>
      </c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25"/>
      <c r="AR128" s="125"/>
      <c r="AS128" s="125"/>
      <c r="AT128" s="125"/>
      <c r="AU128" s="125"/>
      <c r="AV128" s="125"/>
      <c r="AW128" s="125"/>
      <c r="AX128" s="125"/>
      <c r="AY128" s="125"/>
      <c r="AZ128" s="125"/>
      <c r="BA128" s="125"/>
      <c r="BB128" s="125"/>
      <c r="BC128" s="125"/>
      <c r="BD128" s="125"/>
      <c r="BE128" s="125"/>
      <c r="BF128" s="125"/>
      <c r="BG128" s="125"/>
      <c r="BH128" s="125"/>
      <c r="BI128" s="125"/>
      <c r="BJ128" s="125"/>
      <c r="BK128" s="125"/>
      <c r="BL128" s="125"/>
      <c r="BM128" s="125"/>
      <c r="BN128" s="125"/>
      <c r="BO128" s="125"/>
      <c r="BP128" s="125"/>
      <c r="BQ128" s="125"/>
      <c r="BR128" s="125"/>
      <c r="BS128" s="125"/>
      <c r="BT128" s="125"/>
      <c r="BU128" s="125"/>
      <c r="BV128" s="125"/>
      <c r="BW128" s="125"/>
      <c r="BX128" s="125"/>
      <c r="BY128" s="125"/>
      <c r="BZ128" s="125"/>
      <c r="CA128" s="125"/>
      <c r="CB128" s="125"/>
      <c r="CC128" s="125"/>
      <c r="CD128" s="125"/>
      <c r="CE128" s="125"/>
      <c r="CF128" s="125"/>
      <c r="CG128" s="125"/>
      <c r="CH128" s="125"/>
      <c r="CI128" s="125"/>
      <c r="CJ128" s="125"/>
      <c r="CK128" s="125"/>
      <c r="CL128" s="125"/>
      <c r="CM128" s="125"/>
      <c r="CN128" s="125"/>
      <c r="CO128" s="125"/>
      <c r="CP128" s="125"/>
      <c r="CQ128" s="125"/>
      <c r="CR128" s="125"/>
      <c r="CS128" s="125"/>
      <c r="CT128" s="125"/>
      <c r="CU128" s="125"/>
      <c r="CV128" s="125"/>
      <c r="CW128" s="125"/>
      <c r="CX128" s="125"/>
      <c r="CY128" s="125"/>
      <c r="CZ128" s="125"/>
      <c r="DA128" s="125"/>
      <c r="DB128" s="125"/>
      <c r="DC128" s="125"/>
      <c r="DD128" s="125"/>
      <c r="DE128" s="125"/>
      <c r="DF128" s="125"/>
      <c r="DG128" s="125"/>
      <c r="DH128" s="125"/>
      <c r="DI128" s="125"/>
      <c r="DJ128" s="125"/>
      <c r="DK128" s="125"/>
      <c r="DL128" s="125"/>
      <c r="DM128" s="125"/>
      <c r="DN128" s="125"/>
      <c r="DO128" s="125"/>
      <c r="DP128" s="125"/>
      <c r="DQ128" s="125"/>
      <c r="DR128" s="125"/>
      <c r="DS128" s="125"/>
      <c r="DT128" s="125"/>
      <c r="DU128" s="125"/>
      <c r="DV128" s="125"/>
      <c r="DW128" s="125"/>
      <c r="DX128" s="125"/>
      <c r="DY128" s="125"/>
      <c r="DZ128" s="125"/>
      <c r="EA128" s="125"/>
      <c r="EB128" s="125"/>
      <c r="EC128" s="125"/>
      <c r="ED128" s="125"/>
      <c r="EE128" s="125"/>
      <c r="EF128" s="125"/>
      <c r="EG128" s="125"/>
      <c r="EH128" s="125"/>
      <c r="EI128" s="125"/>
      <c r="EJ128" s="125"/>
      <c r="EK128" s="125"/>
      <c r="EL128" s="125"/>
      <c r="EM128" s="125"/>
      <c r="EN128" s="125"/>
      <c r="EO128" s="125"/>
      <c r="EP128" s="125"/>
      <c r="EQ128" s="125"/>
      <c r="ER128" s="125"/>
      <c r="ES128" s="125"/>
      <c r="ET128" s="125"/>
      <c r="EU128" s="125"/>
      <c r="EV128" s="125"/>
      <c r="EW128" s="125"/>
      <c r="EX128" s="125"/>
      <c r="EY128" s="125"/>
      <c r="EZ128" s="125"/>
      <c r="FA128" s="125"/>
      <c r="FB128" s="125"/>
      <c r="FC128" s="125"/>
      <c r="FD128" s="125"/>
      <c r="FE128" s="125"/>
      <c r="FF128" s="125"/>
      <c r="FG128" s="125"/>
      <c r="FH128" s="125"/>
      <c r="FI128" s="125"/>
      <c r="FJ128" s="125"/>
      <c r="FK128" s="125"/>
      <c r="FL128" s="125"/>
      <c r="FM128" s="125"/>
      <c r="FN128" s="125"/>
      <c r="FO128" s="125"/>
      <c r="FP128" s="125"/>
      <c r="FQ128" s="125"/>
      <c r="FR128" s="125"/>
      <c r="FS128" s="125"/>
      <c r="FT128" s="125"/>
      <c r="FU128" s="125"/>
      <c r="FV128" s="125"/>
      <c r="FW128" s="125"/>
      <c r="FX128" s="125"/>
      <c r="FY128" s="125"/>
      <c r="FZ128" s="125"/>
      <c r="GA128" s="125"/>
      <c r="GB128" s="125"/>
      <c r="GC128" s="125"/>
      <c r="GD128" s="125"/>
      <c r="GE128" s="125"/>
      <c r="GF128" s="125"/>
      <c r="GG128" s="125"/>
      <c r="GH128" s="125"/>
      <c r="GI128" s="125"/>
      <c r="GJ128" s="125"/>
      <c r="GK128" s="125"/>
      <c r="GL128" s="125"/>
      <c r="GM128" s="125"/>
      <c r="GN128" s="125"/>
      <c r="GO128" s="125"/>
      <c r="GP128" s="125"/>
      <c r="GQ128" s="125"/>
      <c r="GR128" s="125"/>
      <c r="GS128" s="125"/>
      <c r="GT128" s="125"/>
      <c r="GU128" s="125"/>
      <c r="GV128" s="125"/>
      <c r="GW128" s="125"/>
      <c r="GX128" s="125"/>
      <c r="GY128" s="125"/>
      <c r="GZ128" s="125"/>
      <c r="HA128" s="125"/>
      <c r="HB128" s="125"/>
      <c r="HC128" s="125"/>
      <c r="HD128" s="125"/>
      <c r="HE128" s="125"/>
      <c r="HF128" s="125"/>
      <c r="HG128" s="125"/>
      <c r="HH128" s="125"/>
      <c r="HI128" s="125"/>
      <c r="HJ128" s="125"/>
      <c r="HK128" s="125"/>
      <c r="HL128" s="125"/>
      <c r="HM128" s="125"/>
      <c r="HN128" s="125"/>
      <c r="HO128" s="125"/>
      <c r="HP128" s="125"/>
      <c r="HQ128" s="125"/>
      <c r="HR128" s="125"/>
      <c r="HS128" s="125"/>
      <c r="HT128" s="125"/>
      <c r="HU128" s="125"/>
      <c r="HV128" s="125"/>
      <c r="HW128" s="125"/>
      <c r="HX128" s="125"/>
      <c r="HY128" s="125"/>
      <c r="HZ128" s="125"/>
      <c r="IA128" s="125"/>
      <c r="IB128" s="125"/>
      <c r="IC128" s="125"/>
      <c r="ID128" s="125"/>
      <c r="IE128" s="125"/>
      <c r="IF128" s="125"/>
      <c r="IG128" s="125"/>
      <c r="IH128" s="125"/>
      <c r="II128" s="125"/>
      <c r="IJ128" s="125"/>
      <c r="IK128" s="125"/>
      <c r="IL128" s="125"/>
      <c r="IM128" s="125"/>
      <c r="IN128" s="125"/>
      <c r="IO128" s="125"/>
      <c r="IP128" s="125"/>
      <c r="IQ128" s="125"/>
      <c r="IR128" s="125"/>
      <c r="IS128" s="125"/>
      <c r="IT128" s="125"/>
      <c r="IU128" s="125"/>
      <c r="IV128" s="125"/>
      <c r="IW128" s="125"/>
      <c r="IX128" s="125"/>
      <c r="IY128" s="125"/>
      <c r="IZ128" s="125"/>
      <c r="JA128" s="125"/>
      <c r="JB128" s="125"/>
      <c r="JC128" s="125"/>
      <c r="JD128" s="125"/>
      <c r="JE128" s="125"/>
      <c r="JF128" s="125"/>
      <c r="JG128" s="125"/>
      <c r="JH128" s="125"/>
      <c r="JI128" s="125"/>
      <c r="JJ128" s="125"/>
      <c r="JK128" s="125"/>
      <c r="JL128" s="125"/>
      <c r="JM128" s="125"/>
      <c r="JN128" s="125"/>
      <c r="JO128" s="125"/>
      <c r="JP128" s="125"/>
      <c r="JQ128" s="125"/>
      <c r="JR128" s="125"/>
      <c r="JS128" s="125"/>
      <c r="JT128" s="125"/>
      <c r="JU128" s="125"/>
      <c r="JV128" s="125"/>
      <c r="JW128" s="125"/>
      <c r="JX128" s="125"/>
      <c r="JY128" s="125"/>
      <c r="JZ128" s="125"/>
      <c r="KA128" s="125"/>
      <c r="KB128" s="125"/>
      <c r="KC128" s="125"/>
      <c r="KD128" s="125"/>
      <c r="KE128" s="125"/>
      <c r="KF128" s="125"/>
      <c r="KG128" s="125"/>
      <c r="KH128" s="125"/>
      <c r="KI128" s="125"/>
      <c r="KJ128" s="125"/>
      <c r="KK128" s="125"/>
      <c r="KL128" s="125"/>
      <c r="KM128" s="125"/>
      <c r="KN128" s="125"/>
      <c r="KO128" s="125"/>
      <c r="KP128" s="125"/>
      <c r="KQ128" s="125"/>
      <c r="KR128" s="125"/>
      <c r="KS128" s="125"/>
      <c r="KT128" s="125"/>
      <c r="KU128" s="125"/>
      <c r="KV128" s="125"/>
      <c r="KW128" s="125"/>
      <c r="KX128" s="125"/>
      <c r="KY128" s="125"/>
      <c r="KZ128" s="125"/>
      <c r="LA128" s="125"/>
      <c r="LB128" s="125"/>
      <c r="LC128" s="125"/>
      <c r="LD128" s="125"/>
      <c r="LE128" s="125"/>
      <c r="LF128" s="125"/>
      <c r="LG128" s="125"/>
      <c r="LH128" s="125"/>
      <c r="LI128" s="125"/>
      <c r="LJ128" s="125"/>
      <c r="LK128" s="125"/>
      <c r="LL128" s="125"/>
      <c r="LM128" s="125"/>
      <c r="LN128" s="125"/>
      <c r="LO128" s="125"/>
      <c r="LP128" s="125"/>
      <c r="LQ128" s="125"/>
    </row>
    <row r="129" spans="1:329" s="27" customFormat="1" ht="15" customHeight="1">
      <c r="A129" s="136">
        <v>1101789</v>
      </c>
      <c r="B129" s="137" t="s">
        <v>307</v>
      </c>
      <c r="C129" s="214" t="s">
        <v>308</v>
      </c>
      <c r="D129" s="122">
        <v>50</v>
      </c>
      <c r="E129" s="122">
        <f t="shared" si="2"/>
        <v>84.033613445378151</v>
      </c>
      <c r="F129" s="122">
        <f t="shared" si="3"/>
        <v>100</v>
      </c>
      <c r="G129" s="122"/>
      <c r="H129" s="122"/>
      <c r="I129" s="8"/>
      <c r="J129" s="11"/>
      <c r="K129" s="38" t="s">
        <v>28</v>
      </c>
      <c r="L129" s="8"/>
      <c r="M129" s="11"/>
      <c r="N129" s="11"/>
      <c r="O129" s="11"/>
      <c r="P129" s="11"/>
      <c r="Q129" s="11"/>
      <c r="R129" s="123">
        <v>7350057584767</v>
      </c>
      <c r="S129" s="124" t="s">
        <v>63</v>
      </c>
      <c r="T129" s="124">
        <v>3.3</v>
      </c>
      <c r="U129" s="124">
        <v>2.52</v>
      </c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25"/>
      <c r="AR129" s="125"/>
      <c r="AS129" s="125"/>
      <c r="AT129" s="125"/>
      <c r="AU129" s="125"/>
      <c r="AV129" s="125"/>
      <c r="AW129" s="125"/>
      <c r="AX129" s="125"/>
      <c r="AY129" s="125"/>
      <c r="AZ129" s="125"/>
      <c r="BA129" s="125"/>
      <c r="BB129" s="125"/>
      <c r="BC129" s="125"/>
      <c r="BD129" s="125"/>
      <c r="BE129" s="125"/>
      <c r="BF129" s="125"/>
      <c r="BG129" s="125"/>
      <c r="BH129" s="125"/>
      <c r="BI129" s="125"/>
      <c r="BJ129" s="125"/>
      <c r="BK129" s="125"/>
      <c r="BL129" s="125"/>
      <c r="BM129" s="125"/>
      <c r="BN129" s="125"/>
      <c r="BO129" s="125"/>
      <c r="BP129" s="125"/>
      <c r="BQ129" s="125"/>
      <c r="BR129" s="125"/>
      <c r="BS129" s="125"/>
      <c r="BT129" s="125"/>
      <c r="BU129" s="125"/>
      <c r="BV129" s="125"/>
      <c r="BW129" s="125"/>
      <c r="BX129" s="125"/>
      <c r="BY129" s="125"/>
      <c r="BZ129" s="125"/>
      <c r="CA129" s="125"/>
      <c r="CB129" s="125"/>
      <c r="CC129" s="125"/>
      <c r="CD129" s="125"/>
      <c r="CE129" s="125"/>
      <c r="CF129" s="125"/>
      <c r="CG129" s="125"/>
      <c r="CH129" s="125"/>
      <c r="CI129" s="125"/>
      <c r="CJ129" s="125"/>
      <c r="CK129" s="125"/>
      <c r="CL129" s="125"/>
      <c r="CM129" s="125"/>
      <c r="CN129" s="125"/>
      <c r="CO129" s="125"/>
      <c r="CP129" s="125"/>
      <c r="CQ129" s="125"/>
      <c r="CR129" s="125"/>
      <c r="CS129" s="125"/>
      <c r="CT129" s="125"/>
      <c r="CU129" s="125"/>
      <c r="CV129" s="125"/>
      <c r="CW129" s="125"/>
      <c r="CX129" s="125"/>
      <c r="CY129" s="125"/>
      <c r="CZ129" s="125"/>
      <c r="DA129" s="125"/>
      <c r="DB129" s="125"/>
      <c r="DC129" s="125"/>
      <c r="DD129" s="125"/>
      <c r="DE129" s="125"/>
      <c r="DF129" s="125"/>
      <c r="DG129" s="125"/>
      <c r="DH129" s="125"/>
      <c r="DI129" s="125"/>
      <c r="DJ129" s="125"/>
      <c r="DK129" s="125"/>
      <c r="DL129" s="125"/>
      <c r="DM129" s="125"/>
      <c r="DN129" s="125"/>
      <c r="DO129" s="125"/>
      <c r="DP129" s="125"/>
      <c r="DQ129" s="125"/>
      <c r="DR129" s="125"/>
      <c r="DS129" s="125"/>
      <c r="DT129" s="125"/>
      <c r="DU129" s="125"/>
      <c r="DV129" s="125"/>
      <c r="DW129" s="125"/>
      <c r="DX129" s="125"/>
      <c r="DY129" s="125"/>
      <c r="DZ129" s="125"/>
      <c r="EA129" s="125"/>
      <c r="EB129" s="125"/>
      <c r="EC129" s="125"/>
      <c r="ED129" s="125"/>
      <c r="EE129" s="125"/>
      <c r="EF129" s="125"/>
      <c r="EG129" s="125"/>
      <c r="EH129" s="125"/>
      <c r="EI129" s="125"/>
      <c r="EJ129" s="125"/>
      <c r="EK129" s="125"/>
      <c r="EL129" s="125"/>
      <c r="EM129" s="125"/>
      <c r="EN129" s="125"/>
      <c r="EO129" s="125"/>
      <c r="EP129" s="125"/>
      <c r="EQ129" s="125"/>
      <c r="ER129" s="125"/>
      <c r="ES129" s="125"/>
      <c r="ET129" s="125"/>
      <c r="EU129" s="125"/>
      <c r="EV129" s="125"/>
      <c r="EW129" s="125"/>
      <c r="EX129" s="125"/>
      <c r="EY129" s="125"/>
      <c r="EZ129" s="125"/>
      <c r="FA129" s="125"/>
      <c r="FB129" s="125"/>
      <c r="FC129" s="125"/>
      <c r="FD129" s="125"/>
      <c r="FE129" s="125"/>
      <c r="FF129" s="125"/>
      <c r="FG129" s="125"/>
      <c r="FH129" s="125"/>
      <c r="FI129" s="125"/>
      <c r="FJ129" s="125"/>
      <c r="FK129" s="125"/>
      <c r="FL129" s="125"/>
      <c r="FM129" s="125"/>
      <c r="FN129" s="125"/>
      <c r="FO129" s="125"/>
      <c r="FP129" s="125"/>
      <c r="FQ129" s="125"/>
      <c r="FR129" s="125"/>
      <c r="FS129" s="125"/>
      <c r="FT129" s="125"/>
      <c r="FU129" s="125"/>
      <c r="FV129" s="125"/>
      <c r="FW129" s="125"/>
      <c r="FX129" s="125"/>
      <c r="FY129" s="125"/>
      <c r="FZ129" s="125"/>
      <c r="GA129" s="125"/>
      <c r="GB129" s="125"/>
      <c r="GC129" s="125"/>
      <c r="GD129" s="125"/>
      <c r="GE129" s="125"/>
      <c r="GF129" s="125"/>
      <c r="GG129" s="125"/>
      <c r="GH129" s="125"/>
      <c r="GI129" s="125"/>
      <c r="GJ129" s="125"/>
      <c r="GK129" s="125"/>
      <c r="GL129" s="125"/>
      <c r="GM129" s="125"/>
      <c r="GN129" s="125"/>
      <c r="GO129" s="125"/>
      <c r="GP129" s="125"/>
      <c r="GQ129" s="125"/>
      <c r="GR129" s="125"/>
      <c r="GS129" s="125"/>
      <c r="GT129" s="125"/>
      <c r="GU129" s="125"/>
      <c r="GV129" s="125"/>
      <c r="GW129" s="125"/>
      <c r="GX129" s="125"/>
      <c r="GY129" s="125"/>
      <c r="GZ129" s="125"/>
      <c r="HA129" s="125"/>
      <c r="HB129" s="125"/>
      <c r="HC129" s="125"/>
      <c r="HD129" s="125"/>
      <c r="HE129" s="125"/>
      <c r="HF129" s="125"/>
      <c r="HG129" s="125"/>
      <c r="HH129" s="125"/>
      <c r="HI129" s="125"/>
      <c r="HJ129" s="125"/>
      <c r="HK129" s="125"/>
      <c r="HL129" s="125"/>
      <c r="HM129" s="125"/>
      <c r="HN129" s="125"/>
      <c r="HO129" s="125"/>
      <c r="HP129" s="125"/>
      <c r="HQ129" s="125"/>
      <c r="HR129" s="125"/>
      <c r="HS129" s="125"/>
      <c r="HT129" s="125"/>
      <c r="HU129" s="125"/>
      <c r="HV129" s="125"/>
      <c r="HW129" s="125"/>
      <c r="HX129" s="125"/>
      <c r="HY129" s="125"/>
      <c r="HZ129" s="125"/>
      <c r="IA129" s="125"/>
      <c r="IB129" s="125"/>
      <c r="IC129" s="125"/>
      <c r="ID129" s="125"/>
      <c r="IE129" s="125"/>
      <c r="IF129" s="125"/>
      <c r="IG129" s="125"/>
      <c r="IH129" s="125"/>
      <c r="II129" s="125"/>
      <c r="IJ129" s="125"/>
      <c r="IK129" s="125"/>
      <c r="IL129" s="125"/>
      <c r="IM129" s="125"/>
      <c r="IN129" s="125"/>
      <c r="IO129" s="125"/>
      <c r="IP129" s="125"/>
      <c r="IQ129" s="125"/>
      <c r="IR129" s="125"/>
      <c r="IS129" s="125"/>
      <c r="IT129" s="125"/>
      <c r="IU129" s="125"/>
      <c r="IV129" s="125"/>
      <c r="IW129" s="125"/>
      <c r="IX129" s="125"/>
      <c r="IY129" s="125"/>
      <c r="IZ129" s="125"/>
      <c r="JA129" s="125"/>
      <c r="JB129" s="125"/>
      <c r="JC129" s="125"/>
      <c r="JD129" s="125"/>
      <c r="JE129" s="125"/>
      <c r="JF129" s="125"/>
      <c r="JG129" s="125"/>
      <c r="JH129" s="125"/>
      <c r="JI129" s="125"/>
      <c r="JJ129" s="125"/>
      <c r="JK129" s="125"/>
      <c r="JL129" s="125"/>
      <c r="JM129" s="125"/>
      <c r="JN129" s="125"/>
      <c r="JO129" s="125"/>
      <c r="JP129" s="125"/>
      <c r="JQ129" s="125"/>
      <c r="JR129" s="125"/>
      <c r="JS129" s="125"/>
      <c r="JT129" s="125"/>
      <c r="JU129" s="125"/>
      <c r="JV129" s="125"/>
      <c r="JW129" s="125"/>
      <c r="JX129" s="125"/>
      <c r="JY129" s="125"/>
      <c r="JZ129" s="125"/>
      <c r="KA129" s="125"/>
      <c r="KB129" s="125"/>
      <c r="KC129" s="125"/>
      <c r="KD129" s="125"/>
      <c r="KE129" s="125"/>
      <c r="KF129" s="125"/>
      <c r="KG129" s="125"/>
      <c r="KH129" s="125"/>
      <c r="KI129" s="125"/>
      <c r="KJ129" s="125"/>
      <c r="KK129" s="125"/>
      <c r="KL129" s="125"/>
      <c r="KM129" s="125"/>
      <c r="KN129" s="125"/>
      <c r="KO129" s="125"/>
      <c r="KP129" s="125"/>
      <c r="KQ129" s="125"/>
      <c r="KR129" s="125"/>
      <c r="KS129" s="125"/>
      <c r="KT129" s="125"/>
      <c r="KU129" s="125"/>
      <c r="KV129" s="125"/>
      <c r="KW129" s="125"/>
      <c r="KX129" s="125"/>
      <c r="KY129" s="125"/>
      <c r="KZ129" s="125"/>
      <c r="LA129" s="125"/>
      <c r="LB129" s="125"/>
      <c r="LC129" s="125"/>
      <c r="LD129" s="125"/>
      <c r="LE129" s="125"/>
      <c r="LF129" s="125"/>
      <c r="LG129" s="125"/>
      <c r="LH129" s="125"/>
      <c r="LI129" s="125"/>
      <c r="LJ129" s="125"/>
      <c r="LK129" s="125"/>
      <c r="LL129" s="125"/>
      <c r="LM129" s="125"/>
      <c r="LN129" s="125"/>
      <c r="LO129" s="125"/>
      <c r="LP129" s="125"/>
      <c r="LQ129" s="125"/>
    </row>
    <row r="130" spans="1:329" s="27" customFormat="1" ht="15" customHeight="1">
      <c r="A130" s="136">
        <v>1101790</v>
      </c>
      <c r="B130" s="137" t="s">
        <v>309</v>
      </c>
      <c r="C130" s="216" t="s">
        <v>310</v>
      </c>
      <c r="D130" s="122">
        <v>50</v>
      </c>
      <c r="E130" s="122">
        <f t="shared" si="2"/>
        <v>84.033613445378151</v>
      </c>
      <c r="F130" s="122">
        <f t="shared" si="3"/>
        <v>100</v>
      </c>
      <c r="G130" s="122"/>
      <c r="H130" s="122"/>
      <c r="I130" s="8"/>
      <c r="J130" s="11"/>
      <c r="K130" s="38" t="s">
        <v>28</v>
      </c>
      <c r="L130" s="11"/>
      <c r="M130" s="11"/>
      <c r="N130" s="11"/>
      <c r="O130" s="11"/>
      <c r="P130" s="11"/>
      <c r="Q130" s="11"/>
      <c r="R130" s="123">
        <v>7350057584774</v>
      </c>
      <c r="S130" s="124" t="s">
        <v>63</v>
      </c>
      <c r="T130" s="124">
        <v>3.4</v>
      </c>
      <c r="U130" s="124">
        <v>2.62</v>
      </c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25"/>
      <c r="AR130" s="125"/>
      <c r="AS130" s="125"/>
      <c r="AT130" s="125"/>
      <c r="AU130" s="125"/>
      <c r="AV130" s="125"/>
      <c r="AW130" s="125"/>
      <c r="AX130" s="125"/>
      <c r="AY130" s="125"/>
      <c r="AZ130" s="125"/>
      <c r="BA130" s="125"/>
      <c r="BB130" s="125"/>
      <c r="BC130" s="125"/>
      <c r="BD130" s="125"/>
      <c r="BE130" s="125"/>
      <c r="BF130" s="125"/>
      <c r="BG130" s="125"/>
      <c r="BH130" s="125"/>
      <c r="BI130" s="125"/>
      <c r="BJ130" s="125"/>
      <c r="BK130" s="125"/>
      <c r="BL130" s="125"/>
      <c r="BM130" s="125"/>
      <c r="BN130" s="125"/>
      <c r="BO130" s="125"/>
      <c r="BP130" s="125"/>
      <c r="BQ130" s="125"/>
      <c r="BR130" s="125"/>
      <c r="BS130" s="125"/>
      <c r="BT130" s="125"/>
      <c r="BU130" s="125"/>
      <c r="BV130" s="125"/>
      <c r="BW130" s="125"/>
      <c r="BX130" s="125"/>
      <c r="BY130" s="125"/>
      <c r="BZ130" s="125"/>
      <c r="CA130" s="125"/>
      <c r="CB130" s="125"/>
      <c r="CC130" s="125"/>
      <c r="CD130" s="125"/>
      <c r="CE130" s="125"/>
      <c r="CF130" s="125"/>
      <c r="CG130" s="125"/>
      <c r="CH130" s="125"/>
      <c r="CI130" s="125"/>
      <c r="CJ130" s="125"/>
      <c r="CK130" s="125"/>
      <c r="CL130" s="125"/>
      <c r="CM130" s="125"/>
      <c r="CN130" s="125"/>
      <c r="CO130" s="125"/>
      <c r="CP130" s="125"/>
      <c r="CQ130" s="125"/>
      <c r="CR130" s="125"/>
      <c r="CS130" s="125"/>
      <c r="CT130" s="125"/>
      <c r="CU130" s="125"/>
      <c r="CV130" s="125"/>
      <c r="CW130" s="125"/>
      <c r="CX130" s="125"/>
      <c r="CY130" s="125"/>
      <c r="CZ130" s="125"/>
      <c r="DA130" s="125"/>
      <c r="DB130" s="125"/>
      <c r="DC130" s="125"/>
      <c r="DD130" s="125"/>
      <c r="DE130" s="125"/>
      <c r="DF130" s="125"/>
      <c r="DG130" s="125"/>
      <c r="DH130" s="125"/>
      <c r="DI130" s="125"/>
      <c r="DJ130" s="125"/>
      <c r="DK130" s="125"/>
      <c r="DL130" s="125"/>
      <c r="DM130" s="125"/>
      <c r="DN130" s="125"/>
      <c r="DO130" s="125"/>
      <c r="DP130" s="125"/>
      <c r="DQ130" s="125"/>
      <c r="DR130" s="125"/>
      <c r="DS130" s="125"/>
      <c r="DT130" s="125"/>
      <c r="DU130" s="125"/>
      <c r="DV130" s="125"/>
      <c r="DW130" s="125"/>
      <c r="DX130" s="125"/>
      <c r="DY130" s="125"/>
      <c r="DZ130" s="125"/>
      <c r="EA130" s="125"/>
      <c r="EB130" s="125"/>
      <c r="EC130" s="125"/>
      <c r="ED130" s="125"/>
      <c r="EE130" s="125"/>
      <c r="EF130" s="125"/>
      <c r="EG130" s="125"/>
      <c r="EH130" s="125"/>
      <c r="EI130" s="125"/>
      <c r="EJ130" s="125"/>
      <c r="EK130" s="125"/>
      <c r="EL130" s="125"/>
      <c r="EM130" s="125"/>
      <c r="EN130" s="125"/>
      <c r="EO130" s="125"/>
      <c r="EP130" s="125"/>
      <c r="EQ130" s="125"/>
      <c r="ER130" s="125"/>
      <c r="ES130" s="125"/>
      <c r="ET130" s="125"/>
      <c r="EU130" s="125"/>
      <c r="EV130" s="125"/>
      <c r="EW130" s="125"/>
      <c r="EX130" s="125"/>
      <c r="EY130" s="125"/>
      <c r="EZ130" s="125"/>
      <c r="FA130" s="125"/>
      <c r="FB130" s="125"/>
      <c r="FC130" s="125"/>
      <c r="FD130" s="125"/>
      <c r="FE130" s="125"/>
      <c r="FF130" s="125"/>
      <c r="FG130" s="125"/>
      <c r="FH130" s="125"/>
      <c r="FI130" s="125"/>
      <c r="FJ130" s="125"/>
      <c r="FK130" s="125"/>
      <c r="FL130" s="125"/>
      <c r="FM130" s="125"/>
      <c r="FN130" s="125"/>
      <c r="FO130" s="125"/>
      <c r="FP130" s="125"/>
      <c r="FQ130" s="125"/>
      <c r="FR130" s="125"/>
      <c r="FS130" s="125"/>
      <c r="FT130" s="125"/>
      <c r="FU130" s="125"/>
      <c r="FV130" s="125"/>
      <c r="FW130" s="125"/>
      <c r="FX130" s="125"/>
      <c r="FY130" s="125"/>
      <c r="FZ130" s="125"/>
      <c r="GA130" s="125"/>
      <c r="GB130" s="125"/>
      <c r="GC130" s="125"/>
      <c r="GD130" s="125"/>
      <c r="GE130" s="125"/>
      <c r="GF130" s="125"/>
      <c r="GG130" s="125"/>
      <c r="GH130" s="125"/>
      <c r="GI130" s="125"/>
      <c r="GJ130" s="125"/>
      <c r="GK130" s="125"/>
      <c r="GL130" s="125"/>
      <c r="GM130" s="125"/>
      <c r="GN130" s="125"/>
      <c r="GO130" s="125"/>
      <c r="GP130" s="125"/>
      <c r="GQ130" s="125"/>
      <c r="GR130" s="125"/>
      <c r="GS130" s="125"/>
      <c r="GT130" s="125"/>
      <c r="GU130" s="125"/>
      <c r="GV130" s="125"/>
      <c r="GW130" s="125"/>
      <c r="GX130" s="125"/>
      <c r="GY130" s="125"/>
      <c r="GZ130" s="125"/>
      <c r="HA130" s="125"/>
      <c r="HB130" s="125"/>
      <c r="HC130" s="125"/>
      <c r="HD130" s="125"/>
      <c r="HE130" s="125"/>
      <c r="HF130" s="125"/>
      <c r="HG130" s="125"/>
      <c r="HH130" s="125"/>
      <c r="HI130" s="125"/>
      <c r="HJ130" s="125"/>
      <c r="HK130" s="125"/>
      <c r="HL130" s="125"/>
      <c r="HM130" s="125"/>
      <c r="HN130" s="125"/>
      <c r="HO130" s="125"/>
      <c r="HP130" s="125"/>
      <c r="HQ130" s="125"/>
      <c r="HR130" s="125"/>
      <c r="HS130" s="125"/>
      <c r="HT130" s="125"/>
      <c r="HU130" s="125"/>
      <c r="HV130" s="125"/>
      <c r="HW130" s="125"/>
      <c r="HX130" s="125"/>
      <c r="HY130" s="125"/>
      <c r="HZ130" s="125"/>
      <c r="IA130" s="125"/>
      <c r="IB130" s="125"/>
      <c r="IC130" s="125"/>
      <c r="ID130" s="125"/>
      <c r="IE130" s="125"/>
      <c r="IF130" s="125"/>
      <c r="IG130" s="125"/>
      <c r="IH130" s="125"/>
      <c r="II130" s="125"/>
      <c r="IJ130" s="125"/>
      <c r="IK130" s="125"/>
      <c r="IL130" s="125"/>
      <c r="IM130" s="125"/>
      <c r="IN130" s="125"/>
      <c r="IO130" s="125"/>
      <c r="IP130" s="125"/>
      <c r="IQ130" s="125"/>
      <c r="IR130" s="125"/>
      <c r="IS130" s="125"/>
      <c r="IT130" s="125"/>
      <c r="IU130" s="125"/>
      <c r="IV130" s="125"/>
      <c r="IW130" s="125"/>
      <c r="IX130" s="125"/>
      <c r="IY130" s="125"/>
      <c r="IZ130" s="125"/>
      <c r="JA130" s="125"/>
      <c r="JB130" s="125"/>
      <c r="JC130" s="125"/>
      <c r="JD130" s="125"/>
      <c r="JE130" s="125"/>
      <c r="JF130" s="125"/>
      <c r="JG130" s="125"/>
      <c r="JH130" s="125"/>
      <c r="JI130" s="125"/>
      <c r="JJ130" s="125"/>
      <c r="JK130" s="125"/>
      <c r="JL130" s="125"/>
      <c r="JM130" s="125"/>
      <c r="JN130" s="125"/>
      <c r="JO130" s="125"/>
      <c r="JP130" s="125"/>
      <c r="JQ130" s="125"/>
      <c r="JR130" s="125"/>
      <c r="JS130" s="125"/>
      <c r="JT130" s="125"/>
      <c r="JU130" s="125"/>
      <c r="JV130" s="125"/>
      <c r="JW130" s="125"/>
      <c r="JX130" s="125"/>
      <c r="JY130" s="125"/>
      <c r="JZ130" s="125"/>
      <c r="KA130" s="125"/>
      <c r="KB130" s="125"/>
      <c r="KC130" s="125"/>
      <c r="KD130" s="125"/>
      <c r="KE130" s="125"/>
      <c r="KF130" s="125"/>
      <c r="KG130" s="125"/>
      <c r="KH130" s="125"/>
      <c r="KI130" s="125"/>
      <c r="KJ130" s="125"/>
      <c r="KK130" s="125"/>
      <c r="KL130" s="125"/>
      <c r="KM130" s="125"/>
      <c r="KN130" s="125"/>
      <c r="KO130" s="125"/>
      <c r="KP130" s="125"/>
      <c r="KQ130" s="125"/>
      <c r="KR130" s="125"/>
      <c r="KS130" s="125"/>
      <c r="KT130" s="125"/>
      <c r="KU130" s="125"/>
      <c r="KV130" s="125"/>
      <c r="KW130" s="125"/>
      <c r="KX130" s="125"/>
      <c r="KY130" s="125"/>
      <c r="KZ130" s="125"/>
      <c r="LA130" s="125"/>
      <c r="LB130" s="125"/>
      <c r="LC130" s="125"/>
      <c r="LD130" s="125"/>
      <c r="LE130" s="125"/>
      <c r="LF130" s="125"/>
      <c r="LG130" s="125"/>
      <c r="LH130" s="125"/>
      <c r="LI130" s="125"/>
      <c r="LJ130" s="125"/>
      <c r="LK130" s="125"/>
      <c r="LL130" s="125"/>
      <c r="LM130" s="125"/>
      <c r="LN130" s="125"/>
      <c r="LO130" s="125"/>
      <c r="LP130" s="125"/>
      <c r="LQ130" s="125"/>
    </row>
    <row r="131" spans="1:329" s="27" customFormat="1" ht="15" customHeight="1">
      <c r="A131" s="136">
        <v>1101791</v>
      </c>
      <c r="B131" s="137" t="s">
        <v>311</v>
      </c>
      <c r="C131" s="214" t="s">
        <v>312</v>
      </c>
      <c r="D131" s="122">
        <v>50</v>
      </c>
      <c r="E131" s="122">
        <f t="shared" si="2"/>
        <v>84.033613445378151</v>
      </c>
      <c r="F131" s="122">
        <f t="shared" si="3"/>
        <v>100</v>
      </c>
      <c r="G131" s="122"/>
      <c r="H131" s="122"/>
      <c r="I131" s="8"/>
      <c r="J131" s="11"/>
      <c r="K131" s="38" t="s">
        <v>28</v>
      </c>
      <c r="L131" s="8"/>
      <c r="M131" s="11"/>
      <c r="N131" s="8"/>
      <c r="O131" s="8"/>
      <c r="P131" s="11"/>
      <c r="Q131" s="11"/>
      <c r="R131" s="123">
        <v>7350057584781</v>
      </c>
      <c r="S131" s="124" t="s">
        <v>63</v>
      </c>
      <c r="T131" s="124">
        <v>3.4</v>
      </c>
      <c r="U131" s="124">
        <v>2.62</v>
      </c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25"/>
      <c r="AR131" s="125"/>
      <c r="AS131" s="125"/>
      <c r="AT131" s="125"/>
      <c r="AU131" s="125"/>
      <c r="AV131" s="125"/>
      <c r="AW131" s="125"/>
      <c r="AX131" s="125"/>
      <c r="AY131" s="125"/>
      <c r="AZ131" s="125"/>
      <c r="BA131" s="125"/>
      <c r="BB131" s="125"/>
      <c r="BC131" s="125"/>
      <c r="BD131" s="125"/>
      <c r="BE131" s="125"/>
      <c r="BF131" s="125"/>
      <c r="BG131" s="125"/>
      <c r="BH131" s="125"/>
      <c r="BI131" s="125"/>
      <c r="BJ131" s="125"/>
      <c r="BK131" s="125"/>
      <c r="BL131" s="125"/>
      <c r="BM131" s="125"/>
      <c r="BN131" s="125"/>
      <c r="BO131" s="125"/>
      <c r="BP131" s="125"/>
      <c r="BQ131" s="125"/>
      <c r="BR131" s="125"/>
      <c r="BS131" s="125"/>
      <c r="BT131" s="125"/>
      <c r="BU131" s="125"/>
      <c r="BV131" s="125"/>
      <c r="BW131" s="125"/>
      <c r="BX131" s="125"/>
      <c r="BY131" s="125"/>
      <c r="BZ131" s="125"/>
      <c r="CA131" s="125"/>
      <c r="CB131" s="125"/>
      <c r="CC131" s="125"/>
      <c r="CD131" s="125"/>
      <c r="CE131" s="125"/>
      <c r="CF131" s="125"/>
      <c r="CG131" s="125"/>
      <c r="CH131" s="125"/>
      <c r="CI131" s="125"/>
      <c r="CJ131" s="125"/>
      <c r="CK131" s="125"/>
      <c r="CL131" s="125"/>
      <c r="CM131" s="125"/>
      <c r="CN131" s="125"/>
      <c r="CO131" s="125"/>
      <c r="CP131" s="125"/>
      <c r="CQ131" s="125"/>
      <c r="CR131" s="125"/>
      <c r="CS131" s="125"/>
      <c r="CT131" s="125"/>
      <c r="CU131" s="125"/>
      <c r="CV131" s="125"/>
      <c r="CW131" s="125"/>
      <c r="CX131" s="125"/>
      <c r="CY131" s="125"/>
      <c r="CZ131" s="125"/>
      <c r="DA131" s="125"/>
      <c r="DB131" s="125"/>
      <c r="DC131" s="125"/>
      <c r="DD131" s="125"/>
      <c r="DE131" s="125"/>
      <c r="DF131" s="125"/>
      <c r="DG131" s="125"/>
      <c r="DH131" s="125"/>
      <c r="DI131" s="125"/>
      <c r="DJ131" s="125"/>
      <c r="DK131" s="125"/>
      <c r="DL131" s="125"/>
      <c r="DM131" s="125"/>
      <c r="DN131" s="125"/>
      <c r="DO131" s="125"/>
      <c r="DP131" s="125"/>
      <c r="DQ131" s="125"/>
      <c r="DR131" s="125"/>
      <c r="DS131" s="125"/>
      <c r="DT131" s="125"/>
      <c r="DU131" s="125"/>
      <c r="DV131" s="125"/>
      <c r="DW131" s="125"/>
      <c r="DX131" s="125"/>
      <c r="DY131" s="125"/>
      <c r="DZ131" s="125"/>
      <c r="EA131" s="125"/>
      <c r="EB131" s="125"/>
      <c r="EC131" s="125"/>
      <c r="ED131" s="125"/>
      <c r="EE131" s="125"/>
      <c r="EF131" s="125"/>
      <c r="EG131" s="125"/>
      <c r="EH131" s="125"/>
      <c r="EI131" s="125"/>
      <c r="EJ131" s="125"/>
      <c r="EK131" s="125"/>
      <c r="EL131" s="125"/>
      <c r="EM131" s="125"/>
      <c r="EN131" s="125"/>
      <c r="EO131" s="125"/>
      <c r="EP131" s="125"/>
      <c r="EQ131" s="125"/>
      <c r="ER131" s="125"/>
      <c r="ES131" s="125"/>
      <c r="ET131" s="125"/>
      <c r="EU131" s="125"/>
      <c r="EV131" s="125"/>
      <c r="EW131" s="125"/>
      <c r="EX131" s="125"/>
      <c r="EY131" s="125"/>
      <c r="EZ131" s="125"/>
      <c r="FA131" s="125"/>
      <c r="FB131" s="125"/>
      <c r="FC131" s="125"/>
      <c r="FD131" s="125"/>
      <c r="FE131" s="125"/>
      <c r="FF131" s="125"/>
      <c r="FG131" s="125"/>
      <c r="FH131" s="125"/>
      <c r="FI131" s="125"/>
      <c r="FJ131" s="125"/>
      <c r="FK131" s="125"/>
      <c r="FL131" s="125"/>
      <c r="FM131" s="125"/>
      <c r="FN131" s="125"/>
      <c r="FO131" s="125"/>
      <c r="FP131" s="125"/>
      <c r="FQ131" s="125"/>
      <c r="FR131" s="125"/>
      <c r="FS131" s="125"/>
      <c r="FT131" s="125"/>
      <c r="FU131" s="125"/>
      <c r="FV131" s="125"/>
      <c r="FW131" s="125"/>
      <c r="FX131" s="125"/>
      <c r="FY131" s="125"/>
      <c r="FZ131" s="125"/>
      <c r="GA131" s="125"/>
      <c r="GB131" s="125"/>
      <c r="GC131" s="125"/>
      <c r="GD131" s="125"/>
      <c r="GE131" s="125"/>
      <c r="GF131" s="125"/>
      <c r="GG131" s="125"/>
      <c r="GH131" s="125"/>
      <c r="GI131" s="125"/>
      <c r="GJ131" s="125"/>
      <c r="GK131" s="125"/>
      <c r="GL131" s="125"/>
      <c r="GM131" s="125"/>
      <c r="GN131" s="125"/>
      <c r="GO131" s="125"/>
      <c r="GP131" s="125"/>
      <c r="GQ131" s="125"/>
      <c r="GR131" s="125"/>
      <c r="GS131" s="125"/>
      <c r="GT131" s="125"/>
      <c r="GU131" s="125"/>
      <c r="GV131" s="125"/>
      <c r="GW131" s="125"/>
      <c r="GX131" s="125"/>
      <c r="GY131" s="125"/>
      <c r="GZ131" s="125"/>
      <c r="HA131" s="125"/>
      <c r="HB131" s="125"/>
      <c r="HC131" s="125"/>
      <c r="HD131" s="125"/>
      <c r="HE131" s="125"/>
      <c r="HF131" s="125"/>
      <c r="HG131" s="125"/>
      <c r="HH131" s="125"/>
      <c r="HI131" s="125"/>
      <c r="HJ131" s="125"/>
      <c r="HK131" s="125"/>
      <c r="HL131" s="125"/>
      <c r="HM131" s="125"/>
      <c r="HN131" s="125"/>
      <c r="HO131" s="125"/>
      <c r="HP131" s="125"/>
      <c r="HQ131" s="125"/>
      <c r="HR131" s="125"/>
      <c r="HS131" s="125"/>
      <c r="HT131" s="125"/>
      <c r="HU131" s="125"/>
      <c r="HV131" s="125"/>
      <c r="HW131" s="125"/>
      <c r="HX131" s="125"/>
      <c r="HY131" s="125"/>
      <c r="HZ131" s="125"/>
      <c r="IA131" s="125"/>
      <c r="IB131" s="125"/>
      <c r="IC131" s="125"/>
      <c r="ID131" s="125"/>
      <c r="IE131" s="125"/>
      <c r="IF131" s="125"/>
      <c r="IG131" s="125"/>
      <c r="IH131" s="125"/>
      <c r="II131" s="125"/>
      <c r="IJ131" s="125"/>
      <c r="IK131" s="125"/>
      <c r="IL131" s="125"/>
      <c r="IM131" s="125"/>
      <c r="IN131" s="125"/>
      <c r="IO131" s="125"/>
      <c r="IP131" s="125"/>
      <c r="IQ131" s="125"/>
      <c r="IR131" s="125"/>
      <c r="IS131" s="125"/>
      <c r="IT131" s="125"/>
      <c r="IU131" s="125"/>
      <c r="IV131" s="125"/>
      <c r="IW131" s="125"/>
      <c r="IX131" s="125"/>
      <c r="IY131" s="125"/>
      <c r="IZ131" s="125"/>
      <c r="JA131" s="125"/>
      <c r="JB131" s="125"/>
      <c r="JC131" s="125"/>
      <c r="JD131" s="125"/>
      <c r="JE131" s="125"/>
      <c r="JF131" s="125"/>
      <c r="JG131" s="125"/>
      <c r="JH131" s="125"/>
      <c r="JI131" s="125"/>
      <c r="JJ131" s="125"/>
      <c r="JK131" s="125"/>
      <c r="JL131" s="125"/>
      <c r="JM131" s="125"/>
      <c r="JN131" s="125"/>
      <c r="JO131" s="125"/>
      <c r="JP131" s="125"/>
      <c r="JQ131" s="125"/>
      <c r="JR131" s="125"/>
      <c r="JS131" s="125"/>
      <c r="JT131" s="125"/>
      <c r="JU131" s="125"/>
      <c r="JV131" s="125"/>
      <c r="JW131" s="125"/>
      <c r="JX131" s="125"/>
      <c r="JY131" s="125"/>
      <c r="JZ131" s="125"/>
      <c r="KA131" s="125"/>
      <c r="KB131" s="125"/>
      <c r="KC131" s="125"/>
      <c r="KD131" s="125"/>
      <c r="KE131" s="125"/>
      <c r="KF131" s="125"/>
      <c r="KG131" s="125"/>
      <c r="KH131" s="125"/>
      <c r="KI131" s="125"/>
      <c r="KJ131" s="125"/>
      <c r="KK131" s="125"/>
      <c r="KL131" s="125"/>
      <c r="KM131" s="125"/>
      <c r="KN131" s="125"/>
      <c r="KO131" s="125"/>
      <c r="KP131" s="125"/>
      <c r="KQ131" s="125"/>
      <c r="KR131" s="125"/>
      <c r="KS131" s="125"/>
      <c r="KT131" s="125"/>
      <c r="KU131" s="125"/>
      <c r="KV131" s="125"/>
      <c r="KW131" s="125"/>
      <c r="KX131" s="125"/>
      <c r="KY131" s="125"/>
      <c r="KZ131" s="125"/>
      <c r="LA131" s="125"/>
      <c r="LB131" s="125"/>
      <c r="LC131" s="125"/>
      <c r="LD131" s="125"/>
      <c r="LE131" s="125"/>
      <c r="LF131" s="125"/>
      <c r="LG131" s="125"/>
      <c r="LH131" s="125"/>
      <c r="LI131" s="125"/>
      <c r="LJ131" s="125"/>
      <c r="LK131" s="125"/>
      <c r="LL131" s="125"/>
      <c r="LM131" s="125"/>
      <c r="LN131" s="125"/>
      <c r="LO131" s="125"/>
      <c r="LP131" s="125"/>
      <c r="LQ131" s="125"/>
    </row>
    <row r="132" spans="1:329" s="125" customFormat="1" ht="15" customHeight="1">
      <c r="A132" s="126">
        <v>1101822</v>
      </c>
      <c r="B132" s="127" t="s">
        <v>313</v>
      </c>
      <c r="C132" s="216" t="s">
        <v>314</v>
      </c>
      <c r="D132" s="122">
        <v>3</v>
      </c>
      <c r="E132" s="122">
        <f t="shared" ref="E132:E187" si="4">F132/1.19</f>
        <v>5.0420168067226889</v>
      </c>
      <c r="F132" s="122">
        <f t="shared" ref="F132:F187" si="5">D132*2</f>
        <v>6</v>
      </c>
      <c r="G132" s="122"/>
      <c r="H132" s="122"/>
      <c r="I132" s="38" t="s">
        <v>28</v>
      </c>
      <c r="J132" s="11"/>
      <c r="K132" s="38" t="s">
        <v>28</v>
      </c>
      <c r="L132" s="54"/>
      <c r="M132" s="54"/>
      <c r="N132" s="11"/>
      <c r="O132" s="54"/>
      <c r="P132" s="54"/>
      <c r="Q132" s="54"/>
      <c r="R132" s="123">
        <v>7350057585276</v>
      </c>
      <c r="S132" s="124"/>
      <c r="T132" s="124"/>
      <c r="U132" s="124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329" s="125" customFormat="1" ht="15" customHeight="1">
      <c r="A133" s="126">
        <v>1101823</v>
      </c>
      <c r="B133" s="127" t="s">
        <v>315</v>
      </c>
      <c r="C133" s="214" t="s">
        <v>316</v>
      </c>
      <c r="D133" s="122">
        <v>10</v>
      </c>
      <c r="E133" s="122">
        <f t="shared" si="4"/>
        <v>16.806722689075631</v>
      </c>
      <c r="F133" s="122">
        <f t="shared" si="5"/>
        <v>20</v>
      </c>
      <c r="G133" s="122"/>
      <c r="H133" s="122"/>
      <c r="I133" s="8"/>
      <c r="J133" s="11"/>
      <c r="K133" s="38" t="s">
        <v>28</v>
      </c>
      <c r="L133" s="54"/>
      <c r="M133" s="54"/>
      <c r="N133" s="8"/>
      <c r="O133" s="54"/>
      <c r="P133" s="54"/>
      <c r="Q133" s="54"/>
      <c r="R133" s="123">
        <v>7350057585191</v>
      </c>
      <c r="S133" s="124"/>
      <c r="T133" s="124"/>
      <c r="U133" s="124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329" s="125" customFormat="1" ht="15" customHeight="1">
      <c r="A134" s="126">
        <v>1101824</v>
      </c>
      <c r="B134" s="127" t="s">
        <v>317</v>
      </c>
      <c r="C134" s="216" t="s">
        <v>318</v>
      </c>
      <c r="D134" s="122">
        <v>3</v>
      </c>
      <c r="E134" s="122">
        <f t="shared" si="4"/>
        <v>5.0420168067226889</v>
      </c>
      <c r="F134" s="122">
        <f t="shared" si="5"/>
        <v>6</v>
      </c>
      <c r="G134" s="122"/>
      <c r="H134" s="122"/>
      <c r="I134" s="38" t="s">
        <v>28</v>
      </c>
      <c r="J134" s="11"/>
      <c r="K134" s="38" t="s">
        <v>28</v>
      </c>
      <c r="L134" s="54"/>
      <c r="M134" s="54"/>
      <c r="N134" s="11"/>
      <c r="O134" s="54"/>
      <c r="P134" s="54"/>
      <c r="Q134" s="54"/>
      <c r="R134" s="123">
        <v>7350057585283</v>
      </c>
      <c r="S134" s="124"/>
      <c r="T134" s="124"/>
      <c r="U134" s="124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329" s="125" customFormat="1" ht="15" customHeight="1">
      <c r="A135" s="126">
        <v>1101825</v>
      </c>
      <c r="B135" s="127" t="s">
        <v>319</v>
      </c>
      <c r="C135" s="214" t="s">
        <v>320</v>
      </c>
      <c r="D135" s="122">
        <v>10</v>
      </c>
      <c r="E135" s="122">
        <f t="shared" si="4"/>
        <v>16.806722689075631</v>
      </c>
      <c r="F135" s="122">
        <f t="shared" si="5"/>
        <v>20</v>
      </c>
      <c r="G135" s="122"/>
      <c r="H135" s="122"/>
      <c r="I135" s="8"/>
      <c r="J135" s="11"/>
      <c r="K135" s="38" t="s">
        <v>28</v>
      </c>
      <c r="L135" s="38"/>
      <c r="M135" s="38"/>
      <c r="N135" s="11"/>
      <c r="O135" s="54"/>
      <c r="P135" s="38"/>
      <c r="Q135" s="38"/>
      <c r="R135" s="123">
        <v>7350057585207</v>
      </c>
      <c r="S135" s="124"/>
      <c r="T135" s="124"/>
      <c r="U135" s="124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329" s="27" customFormat="1" ht="15" customHeight="1">
      <c r="A136" s="126">
        <v>1101826</v>
      </c>
      <c r="B136" s="127" t="s">
        <v>321</v>
      </c>
      <c r="C136" s="216" t="s">
        <v>322</v>
      </c>
      <c r="D136" s="122">
        <v>3</v>
      </c>
      <c r="E136" s="122">
        <f t="shared" si="4"/>
        <v>5.0420168067226889</v>
      </c>
      <c r="F136" s="122">
        <f t="shared" si="5"/>
        <v>6</v>
      </c>
      <c r="G136" s="122"/>
      <c r="H136" s="122"/>
      <c r="I136" s="38" t="s">
        <v>28</v>
      </c>
      <c r="J136" s="11"/>
      <c r="K136" s="38" t="s">
        <v>28</v>
      </c>
      <c r="L136" s="38"/>
      <c r="M136" s="38"/>
      <c r="N136" s="11"/>
      <c r="O136" s="54"/>
      <c r="P136" s="38"/>
      <c r="Q136" s="38"/>
      <c r="R136" s="123">
        <v>7350057585290</v>
      </c>
      <c r="S136" s="124"/>
      <c r="T136" s="124"/>
      <c r="U136" s="124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25"/>
      <c r="AR136" s="125"/>
      <c r="AS136" s="125"/>
      <c r="AT136" s="125"/>
      <c r="AU136" s="125"/>
      <c r="AV136" s="125"/>
      <c r="AW136" s="125"/>
      <c r="AX136" s="125"/>
      <c r="AY136" s="125"/>
      <c r="AZ136" s="125"/>
      <c r="BA136" s="125"/>
      <c r="BB136" s="125"/>
      <c r="BC136" s="125"/>
      <c r="BD136" s="125"/>
      <c r="BE136" s="125"/>
      <c r="BF136" s="125"/>
      <c r="BG136" s="125"/>
      <c r="BH136" s="125"/>
      <c r="BI136" s="125"/>
      <c r="BJ136" s="125"/>
      <c r="BK136" s="125"/>
      <c r="BL136" s="125"/>
      <c r="BM136" s="125"/>
      <c r="BN136" s="125"/>
      <c r="BO136" s="125"/>
      <c r="BP136" s="125"/>
      <c r="BQ136" s="125"/>
      <c r="BR136" s="125"/>
      <c r="BS136" s="125"/>
      <c r="BT136" s="125"/>
      <c r="BU136" s="125"/>
      <c r="BV136" s="125"/>
      <c r="BW136" s="125"/>
      <c r="BX136" s="125"/>
      <c r="BY136" s="125"/>
      <c r="BZ136" s="125"/>
      <c r="CA136" s="125"/>
      <c r="CB136" s="125"/>
      <c r="CC136" s="125"/>
      <c r="CD136" s="125"/>
      <c r="CE136" s="125"/>
      <c r="CF136" s="125"/>
      <c r="CG136" s="125"/>
      <c r="CH136" s="125"/>
      <c r="CI136" s="125"/>
      <c r="CJ136" s="125"/>
      <c r="CK136" s="125"/>
      <c r="CL136" s="125"/>
      <c r="CM136" s="125"/>
      <c r="CN136" s="125"/>
      <c r="CO136" s="125"/>
      <c r="CP136" s="125"/>
      <c r="CQ136" s="125"/>
      <c r="CR136" s="125"/>
      <c r="CS136" s="125"/>
      <c r="CT136" s="125"/>
      <c r="CU136" s="125"/>
      <c r="CV136" s="125"/>
      <c r="CW136" s="125"/>
      <c r="CX136" s="125"/>
      <c r="CY136" s="125"/>
      <c r="CZ136" s="125"/>
      <c r="DA136" s="125"/>
      <c r="DB136" s="125"/>
      <c r="DC136" s="125"/>
      <c r="DD136" s="125"/>
      <c r="DE136" s="125"/>
      <c r="DF136" s="125"/>
      <c r="DG136" s="125"/>
      <c r="DH136" s="125"/>
      <c r="DI136" s="125"/>
      <c r="DJ136" s="125"/>
      <c r="DK136" s="125"/>
      <c r="DL136" s="125"/>
      <c r="DM136" s="125"/>
      <c r="DN136" s="125"/>
      <c r="DO136" s="125"/>
      <c r="DP136" s="125"/>
      <c r="DQ136" s="125"/>
      <c r="DR136" s="125"/>
      <c r="DS136" s="125"/>
      <c r="DT136" s="125"/>
      <c r="DU136" s="125"/>
      <c r="DV136" s="125"/>
      <c r="DW136" s="125"/>
      <c r="DX136" s="125"/>
      <c r="DY136" s="125"/>
      <c r="DZ136" s="125"/>
      <c r="EA136" s="125"/>
      <c r="EB136" s="125"/>
      <c r="EC136" s="125"/>
      <c r="ED136" s="125"/>
      <c r="EE136" s="125"/>
      <c r="EF136" s="125"/>
      <c r="EG136" s="125"/>
      <c r="EH136" s="125"/>
      <c r="EI136" s="125"/>
      <c r="EJ136" s="125"/>
      <c r="EK136" s="125"/>
      <c r="EL136" s="125"/>
      <c r="EM136" s="125"/>
      <c r="EN136" s="125"/>
      <c r="EO136" s="125"/>
      <c r="EP136" s="125"/>
      <c r="EQ136" s="125"/>
      <c r="ER136" s="125"/>
      <c r="ES136" s="125"/>
      <c r="ET136" s="125"/>
      <c r="EU136" s="125"/>
      <c r="EV136" s="125"/>
      <c r="EW136" s="125"/>
      <c r="EX136" s="125"/>
      <c r="EY136" s="125"/>
      <c r="EZ136" s="125"/>
      <c r="FA136" s="125"/>
      <c r="FB136" s="125"/>
      <c r="FC136" s="125"/>
      <c r="FD136" s="125"/>
      <c r="FE136" s="125"/>
      <c r="FF136" s="125"/>
      <c r="FG136" s="125"/>
      <c r="FH136" s="125"/>
      <c r="FI136" s="125"/>
      <c r="FJ136" s="125"/>
      <c r="FK136" s="125"/>
      <c r="FL136" s="125"/>
      <c r="FM136" s="125"/>
      <c r="FN136" s="125"/>
      <c r="FO136" s="125"/>
      <c r="FP136" s="125"/>
      <c r="FQ136" s="125"/>
      <c r="FR136" s="125"/>
      <c r="FS136" s="125"/>
      <c r="FT136" s="125"/>
      <c r="FU136" s="125"/>
      <c r="FV136" s="125"/>
      <c r="FW136" s="125"/>
      <c r="FX136" s="125"/>
      <c r="FY136" s="125"/>
      <c r="FZ136" s="125"/>
      <c r="GA136" s="125"/>
      <c r="GB136" s="125"/>
      <c r="GC136" s="125"/>
      <c r="GD136" s="125"/>
      <c r="GE136" s="125"/>
      <c r="GF136" s="125"/>
      <c r="GG136" s="125"/>
      <c r="GH136" s="125"/>
      <c r="GI136" s="125"/>
      <c r="GJ136" s="125"/>
      <c r="GK136" s="125"/>
      <c r="GL136" s="125"/>
      <c r="GM136" s="125"/>
      <c r="GN136" s="125"/>
      <c r="GO136" s="125"/>
      <c r="GP136" s="125"/>
      <c r="GQ136" s="125"/>
      <c r="GR136" s="125"/>
      <c r="GS136" s="125"/>
      <c r="GT136" s="125"/>
      <c r="GU136" s="125"/>
      <c r="GV136" s="125"/>
      <c r="GW136" s="125"/>
      <c r="GX136" s="125"/>
      <c r="GY136" s="125"/>
      <c r="GZ136" s="125"/>
      <c r="HA136" s="125"/>
      <c r="HB136" s="125"/>
      <c r="HC136" s="125"/>
      <c r="HD136" s="125"/>
      <c r="HE136" s="125"/>
      <c r="HF136" s="125"/>
      <c r="HG136" s="125"/>
      <c r="HH136" s="125"/>
      <c r="HI136" s="125"/>
      <c r="HJ136" s="125"/>
      <c r="HK136" s="125"/>
      <c r="HL136" s="125"/>
      <c r="HM136" s="125"/>
      <c r="HN136" s="125"/>
      <c r="HO136" s="125"/>
      <c r="HP136" s="125"/>
      <c r="HQ136" s="125"/>
      <c r="HR136" s="125"/>
      <c r="HS136" s="125"/>
      <c r="HT136" s="125"/>
      <c r="HU136" s="125"/>
      <c r="HV136" s="125"/>
      <c r="HW136" s="125"/>
      <c r="HX136" s="125"/>
      <c r="HY136" s="125"/>
      <c r="HZ136" s="125"/>
      <c r="IA136" s="125"/>
      <c r="IB136" s="125"/>
      <c r="IC136" s="125"/>
      <c r="ID136" s="125"/>
      <c r="IE136" s="125"/>
      <c r="IF136" s="125"/>
      <c r="IG136" s="125"/>
      <c r="IH136" s="125"/>
      <c r="II136" s="125"/>
      <c r="IJ136" s="125"/>
      <c r="IK136" s="125"/>
      <c r="IL136" s="125"/>
      <c r="IM136" s="125"/>
      <c r="IN136" s="125"/>
      <c r="IO136" s="125"/>
      <c r="IP136" s="125"/>
      <c r="IQ136" s="125"/>
      <c r="IR136" s="125"/>
      <c r="IS136" s="125"/>
      <c r="IT136" s="125"/>
      <c r="IU136" s="125"/>
      <c r="IV136" s="125"/>
      <c r="IW136" s="125"/>
      <c r="IX136" s="125"/>
      <c r="IY136" s="125"/>
      <c r="IZ136" s="125"/>
      <c r="JA136" s="125"/>
      <c r="JB136" s="125"/>
      <c r="JC136" s="125"/>
      <c r="JD136" s="125"/>
      <c r="JE136" s="125"/>
      <c r="JF136" s="125"/>
      <c r="JG136" s="125"/>
      <c r="JH136" s="125"/>
      <c r="JI136" s="125"/>
      <c r="JJ136" s="125"/>
      <c r="JK136" s="125"/>
      <c r="JL136" s="125"/>
      <c r="JM136" s="125"/>
      <c r="JN136" s="125"/>
      <c r="JO136" s="125"/>
      <c r="JP136" s="125"/>
      <c r="JQ136" s="125"/>
      <c r="JR136" s="125"/>
      <c r="JS136" s="125"/>
      <c r="JT136" s="125"/>
      <c r="JU136" s="125"/>
      <c r="JV136" s="125"/>
      <c r="JW136" s="125"/>
      <c r="JX136" s="125"/>
      <c r="JY136" s="125"/>
      <c r="JZ136" s="125"/>
      <c r="KA136" s="125"/>
      <c r="KB136" s="125"/>
      <c r="KC136" s="125"/>
      <c r="KD136" s="125"/>
      <c r="KE136" s="125"/>
      <c r="KF136" s="125"/>
      <c r="KG136" s="125"/>
      <c r="KH136" s="125"/>
      <c r="KI136" s="125"/>
      <c r="KJ136" s="125"/>
      <c r="KK136" s="125"/>
      <c r="KL136" s="125"/>
      <c r="KM136" s="125"/>
      <c r="KN136" s="125"/>
      <c r="KO136" s="125"/>
      <c r="KP136" s="125"/>
      <c r="KQ136" s="125"/>
      <c r="KR136" s="125"/>
      <c r="KS136" s="125"/>
      <c r="KT136" s="125"/>
      <c r="KU136" s="125"/>
      <c r="KV136" s="125"/>
      <c r="KW136" s="125"/>
      <c r="KX136" s="125"/>
      <c r="KY136" s="125"/>
      <c r="KZ136" s="125"/>
      <c r="LA136" s="125"/>
      <c r="LB136" s="125"/>
      <c r="LC136" s="125"/>
      <c r="LD136" s="125"/>
      <c r="LE136" s="125"/>
      <c r="LF136" s="125"/>
      <c r="LG136" s="125"/>
      <c r="LH136" s="125"/>
      <c r="LI136" s="125"/>
      <c r="LJ136" s="125"/>
      <c r="LK136" s="125"/>
      <c r="LL136" s="125"/>
      <c r="LM136" s="125"/>
      <c r="LN136" s="125"/>
      <c r="LO136" s="125"/>
      <c r="LP136" s="125"/>
      <c r="LQ136" s="125"/>
    </row>
    <row r="137" spans="1:329" s="27" customFormat="1" ht="15" customHeight="1">
      <c r="A137" s="126">
        <v>1101827</v>
      </c>
      <c r="B137" s="127" t="s">
        <v>323</v>
      </c>
      <c r="C137" s="214" t="s">
        <v>324</v>
      </c>
      <c r="D137" s="122">
        <v>10</v>
      </c>
      <c r="E137" s="122">
        <f t="shared" si="4"/>
        <v>16.806722689075631</v>
      </c>
      <c r="F137" s="122">
        <f t="shared" si="5"/>
        <v>20</v>
      </c>
      <c r="G137" s="122"/>
      <c r="H137" s="122"/>
      <c r="I137" s="8"/>
      <c r="J137" s="11"/>
      <c r="K137" s="38" t="s">
        <v>28</v>
      </c>
      <c r="L137" s="38"/>
      <c r="M137" s="38"/>
      <c r="N137" s="11"/>
      <c r="O137" s="54"/>
      <c r="P137" s="38"/>
      <c r="Q137" s="38"/>
      <c r="R137" s="123">
        <v>7350057585214</v>
      </c>
      <c r="S137" s="124"/>
      <c r="T137" s="124"/>
      <c r="U137" s="124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25"/>
      <c r="AR137" s="125"/>
      <c r="AS137" s="125"/>
      <c r="AT137" s="125"/>
      <c r="AU137" s="125"/>
      <c r="AV137" s="125"/>
      <c r="AW137" s="125"/>
      <c r="AX137" s="125"/>
      <c r="AY137" s="125"/>
      <c r="AZ137" s="125"/>
      <c r="BA137" s="125"/>
      <c r="BB137" s="125"/>
      <c r="BC137" s="125"/>
      <c r="BD137" s="125"/>
      <c r="BE137" s="125"/>
      <c r="BF137" s="125"/>
      <c r="BG137" s="125"/>
      <c r="BH137" s="125"/>
      <c r="BI137" s="125"/>
      <c r="BJ137" s="125"/>
      <c r="BK137" s="125"/>
      <c r="BL137" s="125"/>
      <c r="BM137" s="125"/>
      <c r="BN137" s="125"/>
      <c r="BO137" s="125"/>
      <c r="BP137" s="125"/>
      <c r="BQ137" s="125"/>
      <c r="BR137" s="125"/>
      <c r="BS137" s="125"/>
      <c r="BT137" s="125"/>
      <c r="BU137" s="125"/>
      <c r="BV137" s="125"/>
      <c r="BW137" s="125"/>
      <c r="BX137" s="125"/>
      <c r="BY137" s="125"/>
      <c r="BZ137" s="125"/>
      <c r="CA137" s="125"/>
      <c r="CB137" s="125"/>
      <c r="CC137" s="125"/>
      <c r="CD137" s="125"/>
      <c r="CE137" s="125"/>
      <c r="CF137" s="125"/>
      <c r="CG137" s="125"/>
      <c r="CH137" s="125"/>
      <c r="CI137" s="125"/>
      <c r="CJ137" s="125"/>
      <c r="CK137" s="125"/>
      <c r="CL137" s="125"/>
      <c r="CM137" s="125"/>
      <c r="CN137" s="125"/>
      <c r="CO137" s="125"/>
      <c r="CP137" s="125"/>
      <c r="CQ137" s="125"/>
      <c r="CR137" s="125"/>
      <c r="CS137" s="125"/>
      <c r="CT137" s="125"/>
      <c r="CU137" s="125"/>
      <c r="CV137" s="125"/>
      <c r="CW137" s="125"/>
      <c r="CX137" s="125"/>
      <c r="CY137" s="125"/>
      <c r="CZ137" s="125"/>
      <c r="DA137" s="125"/>
      <c r="DB137" s="125"/>
      <c r="DC137" s="125"/>
      <c r="DD137" s="125"/>
      <c r="DE137" s="125"/>
      <c r="DF137" s="125"/>
      <c r="DG137" s="125"/>
      <c r="DH137" s="125"/>
      <c r="DI137" s="125"/>
      <c r="DJ137" s="125"/>
      <c r="DK137" s="125"/>
      <c r="DL137" s="125"/>
      <c r="DM137" s="125"/>
      <c r="DN137" s="125"/>
      <c r="DO137" s="125"/>
      <c r="DP137" s="125"/>
      <c r="DQ137" s="125"/>
      <c r="DR137" s="125"/>
      <c r="DS137" s="125"/>
      <c r="DT137" s="125"/>
      <c r="DU137" s="125"/>
      <c r="DV137" s="125"/>
      <c r="DW137" s="125"/>
      <c r="DX137" s="125"/>
      <c r="DY137" s="125"/>
      <c r="DZ137" s="125"/>
      <c r="EA137" s="125"/>
      <c r="EB137" s="125"/>
      <c r="EC137" s="125"/>
      <c r="ED137" s="125"/>
      <c r="EE137" s="125"/>
      <c r="EF137" s="125"/>
      <c r="EG137" s="125"/>
      <c r="EH137" s="125"/>
      <c r="EI137" s="125"/>
      <c r="EJ137" s="125"/>
      <c r="EK137" s="125"/>
      <c r="EL137" s="125"/>
      <c r="EM137" s="125"/>
      <c r="EN137" s="125"/>
      <c r="EO137" s="125"/>
      <c r="EP137" s="125"/>
      <c r="EQ137" s="125"/>
      <c r="ER137" s="125"/>
      <c r="ES137" s="125"/>
      <c r="ET137" s="125"/>
      <c r="EU137" s="125"/>
      <c r="EV137" s="125"/>
      <c r="EW137" s="125"/>
      <c r="EX137" s="125"/>
      <c r="EY137" s="125"/>
      <c r="EZ137" s="125"/>
      <c r="FA137" s="125"/>
      <c r="FB137" s="125"/>
      <c r="FC137" s="125"/>
      <c r="FD137" s="125"/>
      <c r="FE137" s="125"/>
      <c r="FF137" s="125"/>
      <c r="FG137" s="125"/>
      <c r="FH137" s="125"/>
      <c r="FI137" s="125"/>
      <c r="FJ137" s="125"/>
      <c r="FK137" s="125"/>
      <c r="FL137" s="125"/>
      <c r="FM137" s="125"/>
      <c r="FN137" s="125"/>
      <c r="FO137" s="125"/>
      <c r="FP137" s="125"/>
      <c r="FQ137" s="125"/>
      <c r="FR137" s="125"/>
      <c r="FS137" s="125"/>
      <c r="FT137" s="125"/>
      <c r="FU137" s="125"/>
      <c r="FV137" s="125"/>
      <c r="FW137" s="125"/>
      <c r="FX137" s="125"/>
      <c r="FY137" s="125"/>
      <c r="FZ137" s="125"/>
      <c r="GA137" s="125"/>
      <c r="GB137" s="125"/>
      <c r="GC137" s="125"/>
      <c r="GD137" s="125"/>
      <c r="GE137" s="125"/>
      <c r="GF137" s="125"/>
      <c r="GG137" s="125"/>
      <c r="GH137" s="125"/>
      <c r="GI137" s="125"/>
      <c r="GJ137" s="125"/>
      <c r="GK137" s="125"/>
      <c r="GL137" s="125"/>
      <c r="GM137" s="125"/>
      <c r="GN137" s="125"/>
      <c r="GO137" s="125"/>
      <c r="GP137" s="125"/>
      <c r="GQ137" s="125"/>
      <c r="GR137" s="125"/>
      <c r="GS137" s="125"/>
      <c r="GT137" s="125"/>
      <c r="GU137" s="125"/>
      <c r="GV137" s="125"/>
      <c r="GW137" s="125"/>
      <c r="GX137" s="125"/>
      <c r="GY137" s="125"/>
      <c r="GZ137" s="125"/>
      <c r="HA137" s="125"/>
      <c r="HB137" s="125"/>
      <c r="HC137" s="125"/>
      <c r="HD137" s="125"/>
      <c r="HE137" s="125"/>
      <c r="HF137" s="125"/>
      <c r="HG137" s="125"/>
      <c r="HH137" s="125"/>
      <c r="HI137" s="125"/>
      <c r="HJ137" s="125"/>
      <c r="HK137" s="125"/>
      <c r="HL137" s="125"/>
      <c r="HM137" s="125"/>
      <c r="HN137" s="125"/>
      <c r="HO137" s="125"/>
      <c r="HP137" s="125"/>
      <c r="HQ137" s="125"/>
      <c r="HR137" s="125"/>
      <c r="HS137" s="125"/>
      <c r="HT137" s="125"/>
      <c r="HU137" s="125"/>
      <c r="HV137" s="125"/>
      <c r="HW137" s="125"/>
      <c r="HX137" s="125"/>
      <c r="HY137" s="125"/>
      <c r="HZ137" s="125"/>
      <c r="IA137" s="125"/>
      <c r="IB137" s="125"/>
      <c r="IC137" s="125"/>
      <c r="ID137" s="125"/>
      <c r="IE137" s="125"/>
      <c r="IF137" s="125"/>
      <c r="IG137" s="125"/>
      <c r="IH137" s="125"/>
      <c r="II137" s="125"/>
      <c r="IJ137" s="125"/>
      <c r="IK137" s="125"/>
      <c r="IL137" s="125"/>
      <c r="IM137" s="125"/>
      <c r="IN137" s="125"/>
      <c r="IO137" s="125"/>
      <c r="IP137" s="125"/>
      <c r="IQ137" s="125"/>
      <c r="IR137" s="125"/>
      <c r="IS137" s="125"/>
      <c r="IT137" s="125"/>
      <c r="IU137" s="125"/>
      <c r="IV137" s="125"/>
      <c r="IW137" s="125"/>
      <c r="IX137" s="125"/>
      <c r="IY137" s="125"/>
      <c r="IZ137" s="125"/>
      <c r="JA137" s="125"/>
      <c r="JB137" s="125"/>
      <c r="JC137" s="125"/>
      <c r="JD137" s="125"/>
      <c r="JE137" s="125"/>
      <c r="JF137" s="125"/>
      <c r="JG137" s="125"/>
      <c r="JH137" s="125"/>
      <c r="JI137" s="125"/>
      <c r="JJ137" s="125"/>
      <c r="JK137" s="125"/>
      <c r="JL137" s="125"/>
      <c r="JM137" s="125"/>
      <c r="JN137" s="125"/>
      <c r="JO137" s="125"/>
      <c r="JP137" s="125"/>
      <c r="JQ137" s="125"/>
      <c r="JR137" s="125"/>
      <c r="JS137" s="125"/>
      <c r="JT137" s="125"/>
      <c r="JU137" s="125"/>
      <c r="JV137" s="125"/>
      <c r="JW137" s="125"/>
      <c r="JX137" s="125"/>
      <c r="JY137" s="125"/>
      <c r="JZ137" s="125"/>
      <c r="KA137" s="125"/>
      <c r="KB137" s="125"/>
      <c r="KC137" s="125"/>
      <c r="KD137" s="125"/>
      <c r="KE137" s="125"/>
      <c r="KF137" s="125"/>
      <c r="KG137" s="125"/>
      <c r="KH137" s="125"/>
      <c r="KI137" s="125"/>
      <c r="KJ137" s="125"/>
      <c r="KK137" s="125"/>
      <c r="KL137" s="125"/>
      <c r="KM137" s="125"/>
      <c r="KN137" s="125"/>
      <c r="KO137" s="125"/>
      <c r="KP137" s="125"/>
      <c r="KQ137" s="125"/>
      <c r="KR137" s="125"/>
      <c r="KS137" s="125"/>
      <c r="KT137" s="125"/>
      <c r="KU137" s="125"/>
      <c r="KV137" s="125"/>
      <c r="KW137" s="125"/>
      <c r="KX137" s="125"/>
      <c r="KY137" s="125"/>
      <c r="KZ137" s="125"/>
      <c r="LA137" s="125"/>
      <c r="LB137" s="125"/>
      <c r="LC137" s="125"/>
      <c r="LD137" s="125"/>
      <c r="LE137" s="125"/>
      <c r="LF137" s="125"/>
      <c r="LG137" s="125"/>
      <c r="LH137" s="125"/>
      <c r="LI137" s="125"/>
      <c r="LJ137" s="125"/>
      <c r="LK137" s="125"/>
      <c r="LL137" s="125"/>
      <c r="LM137" s="125"/>
      <c r="LN137" s="125"/>
      <c r="LO137" s="125"/>
      <c r="LP137" s="125"/>
      <c r="LQ137" s="125"/>
    </row>
    <row r="138" spans="1:329" s="27" customFormat="1" ht="15" customHeight="1">
      <c r="A138" s="126">
        <v>1101828</v>
      </c>
      <c r="B138" s="127" t="s">
        <v>325</v>
      </c>
      <c r="C138" s="216" t="s">
        <v>326</v>
      </c>
      <c r="D138" s="122">
        <v>3</v>
      </c>
      <c r="E138" s="122">
        <f t="shared" si="4"/>
        <v>5.0420168067226889</v>
      </c>
      <c r="F138" s="122">
        <f t="shared" si="5"/>
        <v>6</v>
      </c>
      <c r="G138" s="122"/>
      <c r="H138" s="122"/>
      <c r="I138" s="38" t="s">
        <v>28</v>
      </c>
      <c r="J138" s="11"/>
      <c r="K138" s="38" t="s">
        <v>28</v>
      </c>
      <c r="L138" s="38"/>
      <c r="M138" s="38"/>
      <c r="N138" s="8"/>
      <c r="O138" s="38"/>
      <c r="P138" s="38"/>
      <c r="Q138" s="38"/>
      <c r="R138" s="123">
        <v>7350057585306</v>
      </c>
      <c r="S138" s="124"/>
      <c r="T138" s="124"/>
      <c r="U138" s="124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25"/>
      <c r="AR138" s="125"/>
      <c r="AS138" s="125"/>
      <c r="AT138" s="125"/>
      <c r="AU138" s="125"/>
      <c r="AV138" s="125"/>
      <c r="AW138" s="125"/>
      <c r="AX138" s="125"/>
      <c r="AY138" s="125"/>
      <c r="AZ138" s="125"/>
      <c r="BA138" s="125"/>
      <c r="BB138" s="125"/>
      <c r="BC138" s="125"/>
      <c r="BD138" s="125"/>
      <c r="BE138" s="125"/>
      <c r="BF138" s="125"/>
      <c r="BG138" s="125"/>
      <c r="BH138" s="125"/>
      <c r="BI138" s="125"/>
      <c r="BJ138" s="125"/>
      <c r="BK138" s="125"/>
      <c r="BL138" s="125"/>
      <c r="BM138" s="125"/>
      <c r="BN138" s="125"/>
      <c r="BO138" s="125"/>
      <c r="BP138" s="125"/>
      <c r="BQ138" s="125"/>
      <c r="BR138" s="125"/>
      <c r="BS138" s="125"/>
      <c r="BT138" s="125"/>
      <c r="BU138" s="125"/>
      <c r="BV138" s="125"/>
      <c r="BW138" s="125"/>
      <c r="BX138" s="125"/>
      <c r="BY138" s="125"/>
      <c r="BZ138" s="125"/>
      <c r="CA138" s="125"/>
      <c r="CB138" s="125"/>
      <c r="CC138" s="125"/>
      <c r="CD138" s="125"/>
      <c r="CE138" s="125"/>
      <c r="CF138" s="125"/>
      <c r="CG138" s="125"/>
      <c r="CH138" s="125"/>
      <c r="CI138" s="125"/>
      <c r="CJ138" s="125"/>
      <c r="CK138" s="125"/>
      <c r="CL138" s="125"/>
      <c r="CM138" s="125"/>
      <c r="CN138" s="125"/>
      <c r="CO138" s="125"/>
      <c r="CP138" s="125"/>
      <c r="CQ138" s="125"/>
      <c r="CR138" s="125"/>
      <c r="CS138" s="125"/>
      <c r="CT138" s="125"/>
      <c r="CU138" s="125"/>
      <c r="CV138" s="125"/>
      <c r="CW138" s="125"/>
      <c r="CX138" s="125"/>
      <c r="CY138" s="125"/>
      <c r="CZ138" s="125"/>
      <c r="DA138" s="125"/>
      <c r="DB138" s="125"/>
      <c r="DC138" s="125"/>
      <c r="DD138" s="125"/>
      <c r="DE138" s="125"/>
      <c r="DF138" s="125"/>
      <c r="DG138" s="125"/>
      <c r="DH138" s="125"/>
      <c r="DI138" s="125"/>
      <c r="DJ138" s="125"/>
      <c r="DK138" s="125"/>
      <c r="DL138" s="125"/>
      <c r="DM138" s="125"/>
      <c r="DN138" s="125"/>
      <c r="DO138" s="125"/>
      <c r="DP138" s="125"/>
      <c r="DQ138" s="125"/>
      <c r="DR138" s="125"/>
      <c r="DS138" s="125"/>
      <c r="DT138" s="125"/>
      <c r="DU138" s="125"/>
      <c r="DV138" s="125"/>
      <c r="DW138" s="125"/>
      <c r="DX138" s="125"/>
      <c r="DY138" s="125"/>
      <c r="DZ138" s="125"/>
      <c r="EA138" s="125"/>
      <c r="EB138" s="125"/>
      <c r="EC138" s="125"/>
      <c r="ED138" s="125"/>
      <c r="EE138" s="125"/>
      <c r="EF138" s="125"/>
      <c r="EG138" s="125"/>
      <c r="EH138" s="125"/>
      <c r="EI138" s="125"/>
      <c r="EJ138" s="125"/>
      <c r="EK138" s="125"/>
      <c r="EL138" s="125"/>
      <c r="EM138" s="125"/>
      <c r="EN138" s="125"/>
      <c r="EO138" s="125"/>
      <c r="EP138" s="125"/>
      <c r="EQ138" s="125"/>
      <c r="ER138" s="125"/>
      <c r="ES138" s="125"/>
      <c r="ET138" s="125"/>
      <c r="EU138" s="125"/>
      <c r="EV138" s="125"/>
      <c r="EW138" s="125"/>
      <c r="EX138" s="125"/>
      <c r="EY138" s="125"/>
      <c r="EZ138" s="125"/>
      <c r="FA138" s="125"/>
      <c r="FB138" s="125"/>
      <c r="FC138" s="125"/>
      <c r="FD138" s="125"/>
      <c r="FE138" s="125"/>
      <c r="FF138" s="125"/>
      <c r="FG138" s="125"/>
      <c r="FH138" s="125"/>
      <c r="FI138" s="125"/>
      <c r="FJ138" s="125"/>
      <c r="FK138" s="125"/>
      <c r="FL138" s="125"/>
      <c r="FM138" s="125"/>
      <c r="FN138" s="125"/>
      <c r="FO138" s="125"/>
      <c r="FP138" s="125"/>
      <c r="FQ138" s="125"/>
      <c r="FR138" s="125"/>
      <c r="FS138" s="125"/>
      <c r="FT138" s="125"/>
      <c r="FU138" s="125"/>
      <c r="FV138" s="125"/>
      <c r="FW138" s="125"/>
      <c r="FX138" s="125"/>
      <c r="FY138" s="125"/>
      <c r="FZ138" s="125"/>
      <c r="GA138" s="125"/>
      <c r="GB138" s="125"/>
      <c r="GC138" s="125"/>
      <c r="GD138" s="125"/>
      <c r="GE138" s="125"/>
      <c r="GF138" s="125"/>
      <c r="GG138" s="125"/>
      <c r="GH138" s="125"/>
      <c r="GI138" s="125"/>
      <c r="GJ138" s="125"/>
      <c r="GK138" s="125"/>
      <c r="GL138" s="125"/>
      <c r="GM138" s="125"/>
      <c r="GN138" s="125"/>
      <c r="GO138" s="125"/>
      <c r="GP138" s="125"/>
      <c r="GQ138" s="125"/>
      <c r="GR138" s="125"/>
      <c r="GS138" s="125"/>
      <c r="GT138" s="125"/>
      <c r="GU138" s="125"/>
      <c r="GV138" s="125"/>
      <c r="GW138" s="125"/>
      <c r="GX138" s="125"/>
      <c r="GY138" s="125"/>
      <c r="GZ138" s="125"/>
      <c r="HA138" s="125"/>
      <c r="HB138" s="125"/>
      <c r="HC138" s="125"/>
      <c r="HD138" s="125"/>
      <c r="HE138" s="125"/>
      <c r="HF138" s="125"/>
      <c r="HG138" s="125"/>
      <c r="HH138" s="125"/>
      <c r="HI138" s="125"/>
      <c r="HJ138" s="125"/>
      <c r="HK138" s="125"/>
      <c r="HL138" s="125"/>
      <c r="HM138" s="125"/>
      <c r="HN138" s="125"/>
      <c r="HO138" s="125"/>
      <c r="HP138" s="125"/>
      <c r="HQ138" s="125"/>
      <c r="HR138" s="125"/>
      <c r="HS138" s="125"/>
      <c r="HT138" s="125"/>
      <c r="HU138" s="125"/>
      <c r="HV138" s="125"/>
      <c r="HW138" s="125"/>
      <c r="HX138" s="125"/>
      <c r="HY138" s="125"/>
      <c r="HZ138" s="125"/>
      <c r="IA138" s="125"/>
      <c r="IB138" s="125"/>
      <c r="IC138" s="125"/>
      <c r="ID138" s="125"/>
      <c r="IE138" s="125"/>
      <c r="IF138" s="125"/>
      <c r="IG138" s="125"/>
      <c r="IH138" s="125"/>
      <c r="II138" s="125"/>
      <c r="IJ138" s="125"/>
      <c r="IK138" s="125"/>
      <c r="IL138" s="125"/>
      <c r="IM138" s="125"/>
      <c r="IN138" s="125"/>
      <c r="IO138" s="125"/>
      <c r="IP138" s="125"/>
      <c r="IQ138" s="125"/>
      <c r="IR138" s="125"/>
      <c r="IS138" s="125"/>
      <c r="IT138" s="125"/>
      <c r="IU138" s="125"/>
      <c r="IV138" s="125"/>
      <c r="IW138" s="125"/>
      <c r="IX138" s="125"/>
      <c r="IY138" s="125"/>
      <c r="IZ138" s="125"/>
      <c r="JA138" s="125"/>
      <c r="JB138" s="125"/>
      <c r="JC138" s="125"/>
      <c r="JD138" s="125"/>
      <c r="JE138" s="125"/>
      <c r="JF138" s="125"/>
      <c r="JG138" s="125"/>
      <c r="JH138" s="125"/>
      <c r="JI138" s="125"/>
      <c r="JJ138" s="125"/>
      <c r="JK138" s="125"/>
      <c r="JL138" s="125"/>
      <c r="JM138" s="125"/>
      <c r="JN138" s="125"/>
      <c r="JO138" s="125"/>
      <c r="JP138" s="125"/>
      <c r="JQ138" s="125"/>
      <c r="JR138" s="125"/>
      <c r="JS138" s="125"/>
      <c r="JT138" s="125"/>
      <c r="JU138" s="125"/>
      <c r="JV138" s="125"/>
      <c r="JW138" s="125"/>
      <c r="JX138" s="125"/>
      <c r="JY138" s="125"/>
      <c r="JZ138" s="125"/>
      <c r="KA138" s="125"/>
      <c r="KB138" s="125"/>
      <c r="KC138" s="125"/>
      <c r="KD138" s="125"/>
      <c r="KE138" s="125"/>
      <c r="KF138" s="125"/>
      <c r="KG138" s="125"/>
      <c r="KH138" s="125"/>
      <c r="KI138" s="125"/>
      <c r="KJ138" s="125"/>
      <c r="KK138" s="125"/>
      <c r="KL138" s="125"/>
      <c r="KM138" s="125"/>
      <c r="KN138" s="125"/>
      <c r="KO138" s="125"/>
      <c r="KP138" s="125"/>
      <c r="KQ138" s="125"/>
      <c r="KR138" s="125"/>
      <c r="KS138" s="125"/>
      <c r="KT138" s="125"/>
      <c r="KU138" s="125"/>
      <c r="KV138" s="125"/>
      <c r="KW138" s="125"/>
      <c r="KX138" s="125"/>
      <c r="KY138" s="125"/>
      <c r="KZ138" s="125"/>
      <c r="LA138" s="125"/>
      <c r="LB138" s="125"/>
      <c r="LC138" s="125"/>
      <c r="LD138" s="125"/>
      <c r="LE138" s="125"/>
      <c r="LF138" s="125"/>
      <c r="LG138" s="125"/>
      <c r="LH138" s="125"/>
      <c r="LI138" s="125"/>
      <c r="LJ138" s="125"/>
      <c r="LK138" s="125"/>
      <c r="LL138" s="125"/>
      <c r="LM138" s="125"/>
      <c r="LN138" s="125"/>
      <c r="LO138" s="125"/>
      <c r="LP138" s="125"/>
      <c r="LQ138" s="125"/>
    </row>
    <row r="139" spans="1:329" s="125" customFormat="1" ht="15" customHeight="1">
      <c r="A139" s="126">
        <v>1101829</v>
      </c>
      <c r="B139" s="127" t="s">
        <v>327</v>
      </c>
      <c r="C139" s="214" t="s">
        <v>328</v>
      </c>
      <c r="D139" s="122">
        <v>10</v>
      </c>
      <c r="E139" s="122">
        <f t="shared" si="4"/>
        <v>16.806722689075631</v>
      </c>
      <c r="F139" s="122">
        <f t="shared" si="5"/>
        <v>20</v>
      </c>
      <c r="G139" s="122"/>
      <c r="H139" s="122"/>
      <c r="I139" s="8"/>
      <c r="J139" s="8"/>
      <c r="K139" s="54" t="s">
        <v>28</v>
      </c>
      <c r="L139" s="54"/>
      <c r="M139" s="54"/>
      <c r="N139" s="11"/>
      <c r="O139" s="54"/>
      <c r="P139" s="54"/>
      <c r="Q139" s="54"/>
      <c r="R139" s="123">
        <v>7350057585221</v>
      </c>
      <c r="S139" s="124"/>
      <c r="T139" s="124"/>
      <c r="U139" s="124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329" s="125" customFormat="1" ht="15" customHeight="1">
      <c r="A140" s="126">
        <v>1101830</v>
      </c>
      <c r="B140" s="127" t="s">
        <v>329</v>
      </c>
      <c r="C140" s="216" t="s">
        <v>330</v>
      </c>
      <c r="D140" s="122">
        <v>3</v>
      </c>
      <c r="E140" s="122">
        <f t="shared" si="4"/>
        <v>5.0420168067226889</v>
      </c>
      <c r="F140" s="122">
        <f t="shared" si="5"/>
        <v>6</v>
      </c>
      <c r="G140" s="122"/>
      <c r="H140" s="122"/>
      <c r="I140" s="38" t="s">
        <v>28</v>
      </c>
      <c r="J140" s="8"/>
      <c r="K140" s="54" t="s">
        <v>28</v>
      </c>
      <c r="L140" s="54"/>
      <c r="M140" s="54"/>
      <c r="N140" s="11"/>
      <c r="O140" s="54"/>
      <c r="P140" s="54"/>
      <c r="Q140" s="54"/>
      <c r="R140" s="123">
        <v>7350057585313</v>
      </c>
      <c r="S140" s="124"/>
      <c r="T140" s="124"/>
      <c r="U140" s="124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329" ht="15" customHeight="1">
      <c r="A141" s="126">
        <v>1101831</v>
      </c>
      <c r="B141" s="127" t="s">
        <v>331</v>
      </c>
      <c r="C141" s="214" t="s">
        <v>332</v>
      </c>
      <c r="D141" s="122">
        <v>10</v>
      </c>
      <c r="E141" s="122">
        <f t="shared" si="4"/>
        <v>16.806722689075631</v>
      </c>
      <c r="F141" s="122">
        <f t="shared" si="5"/>
        <v>20</v>
      </c>
      <c r="G141" s="122"/>
      <c r="H141" s="122"/>
      <c r="I141" s="8"/>
      <c r="J141" s="8"/>
      <c r="K141" s="54" t="s">
        <v>28</v>
      </c>
      <c r="L141" s="54"/>
      <c r="M141" s="54"/>
      <c r="O141" s="54"/>
      <c r="P141" s="54"/>
      <c r="Q141" s="54"/>
      <c r="R141" s="123">
        <v>7350057585238</v>
      </c>
      <c r="S141" s="105"/>
      <c r="T141" s="105"/>
      <c r="U141" s="105"/>
      <c r="AQ141" s="125"/>
      <c r="AR141" s="125"/>
      <c r="AS141" s="125"/>
      <c r="AT141" s="125"/>
      <c r="AU141" s="125"/>
      <c r="AV141" s="125"/>
      <c r="AW141" s="125"/>
      <c r="AX141" s="125"/>
      <c r="AY141" s="125"/>
      <c r="AZ141" s="125"/>
      <c r="BA141" s="125"/>
      <c r="BB141" s="125"/>
      <c r="BC141" s="125"/>
      <c r="BD141" s="125"/>
      <c r="BE141" s="125"/>
      <c r="BF141" s="125"/>
      <c r="BG141" s="125"/>
      <c r="BH141" s="125"/>
      <c r="BI141" s="125"/>
      <c r="BJ141" s="125"/>
      <c r="BK141" s="125"/>
      <c r="BL141" s="125"/>
      <c r="BM141" s="125"/>
      <c r="BN141" s="125"/>
      <c r="BO141" s="125"/>
      <c r="BP141" s="125"/>
      <c r="BQ141" s="125"/>
      <c r="BR141" s="125"/>
      <c r="BS141" s="125"/>
      <c r="BT141" s="125"/>
      <c r="BU141" s="125"/>
      <c r="BV141" s="125"/>
      <c r="BW141" s="125"/>
      <c r="BX141" s="125"/>
      <c r="BY141" s="125"/>
      <c r="BZ141" s="125"/>
      <c r="CA141" s="125"/>
      <c r="CB141" s="125"/>
      <c r="CC141" s="125"/>
      <c r="CD141" s="125"/>
      <c r="CE141" s="125"/>
      <c r="CF141" s="125"/>
      <c r="CG141" s="125"/>
      <c r="CH141" s="125"/>
      <c r="CI141" s="125"/>
      <c r="CJ141" s="125"/>
      <c r="CK141" s="125"/>
      <c r="CL141" s="125"/>
      <c r="CM141" s="125"/>
      <c r="CN141" s="125"/>
      <c r="CO141" s="125"/>
      <c r="CP141" s="125"/>
      <c r="CQ141" s="125"/>
      <c r="CR141" s="125"/>
      <c r="CS141" s="125"/>
      <c r="CT141" s="125"/>
      <c r="CU141" s="125"/>
      <c r="CV141" s="125"/>
      <c r="CW141" s="125"/>
      <c r="CX141" s="125"/>
      <c r="CY141" s="125"/>
      <c r="CZ141" s="125"/>
      <c r="DA141" s="125"/>
      <c r="DB141" s="125"/>
      <c r="DC141" s="125"/>
      <c r="DD141" s="125"/>
      <c r="DE141" s="125"/>
      <c r="DF141" s="125"/>
      <c r="DG141" s="125"/>
      <c r="DH141" s="125"/>
      <c r="DI141" s="125"/>
      <c r="DJ141" s="125"/>
      <c r="DK141" s="125"/>
      <c r="DL141" s="125"/>
      <c r="DM141" s="125"/>
      <c r="DN141" s="125"/>
      <c r="DO141" s="125"/>
      <c r="DP141" s="125"/>
      <c r="DQ141" s="125"/>
      <c r="DR141" s="125"/>
      <c r="DS141" s="125"/>
      <c r="DT141" s="125"/>
      <c r="DU141" s="125"/>
      <c r="DV141" s="125"/>
      <c r="DW141" s="125"/>
      <c r="DX141" s="125"/>
      <c r="DY141" s="125"/>
      <c r="DZ141" s="125"/>
      <c r="EA141" s="125"/>
      <c r="EB141" s="125"/>
      <c r="EC141" s="125"/>
      <c r="ED141" s="125"/>
      <c r="EE141" s="125"/>
      <c r="EF141" s="125"/>
      <c r="EG141" s="125"/>
      <c r="EH141" s="125"/>
      <c r="EI141" s="125"/>
      <c r="EJ141" s="125"/>
      <c r="EK141" s="125"/>
      <c r="EL141" s="125"/>
      <c r="EM141" s="125"/>
      <c r="EN141" s="125"/>
      <c r="EO141" s="125"/>
      <c r="EP141" s="125"/>
      <c r="EQ141" s="125"/>
      <c r="ER141" s="125"/>
      <c r="ES141" s="125"/>
      <c r="ET141" s="125"/>
      <c r="EU141" s="125"/>
      <c r="EV141" s="125"/>
      <c r="EW141" s="125"/>
      <c r="EX141" s="125"/>
      <c r="EY141" s="125"/>
      <c r="EZ141" s="125"/>
      <c r="FA141" s="125"/>
      <c r="FB141" s="125"/>
      <c r="FC141" s="125"/>
      <c r="FD141" s="125"/>
      <c r="FE141" s="125"/>
      <c r="FF141" s="125"/>
      <c r="FG141" s="125"/>
      <c r="FH141" s="125"/>
      <c r="FI141" s="125"/>
      <c r="FJ141" s="125"/>
      <c r="FK141" s="125"/>
      <c r="FL141" s="125"/>
      <c r="FM141" s="125"/>
      <c r="FN141" s="125"/>
      <c r="FO141" s="125"/>
      <c r="FP141" s="125"/>
      <c r="FQ141" s="125"/>
      <c r="FR141" s="125"/>
      <c r="FS141" s="125"/>
      <c r="FT141" s="125"/>
      <c r="FU141" s="125"/>
      <c r="FV141" s="125"/>
      <c r="FW141" s="125"/>
      <c r="FX141" s="125"/>
      <c r="FY141" s="125"/>
      <c r="FZ141" s="125"/>
      <c r="GA141" s="125"/>
      <c r="GB141" s="125"/>
      <c r="GC141" s="125"/>
      <c r="GD141" s="125"/>
      <c r="GE141" s="125"/>
      <c r="GF141" s="125"/>
      <c r="GG141" s="125"/>
      <c r="GH141" s="125"/>
      <c r="GI141" s="125"/>
      <c r="GJ141" s="125"/>
      <c r="GK141" s="125"/>
      <c r="GL141" s="125"/>
      <c r="GM141" s="125"/>
      <c r="GN141" s="125"/>
      <c r="GO141" s="125"/>
      <c r="GP141" s="125"/>
      <c r="GQ141" s="125"/>
      <c r="GR141" s="125"/>
      <c r="GS141" s="125"/>
      <c r="GT141" s="125"/>
      <c r="GU141" s="125"/>
      <c r="GV141" s="125"/>
      <c r="GW141" s="125"/>
      <c r="GX141" s="125"/>
      <c r="GY141" s="125"/>
      <c r="GZ141" s="125"/>
      <c r="HA141" s="125"/>
      <c r="HB141" s="125"/>
      <c r="HC141" s="125"/>
      <c r="HD141" s="125"/>
      <c r="HE141" s="125"/>
      <c r="HF141" s="125"/>
      <c r="HG141" s="125"/>
      <c r="HH141" s="125"/>
      <c r="HI141" s="125"/>
      <c r="HJ141" s="125"/>
      <c r="HK141" s="125"/>
      <c r="HL141" s="125"/>
      <c r="HM141" s="125"/>
      <c r="HN141" s="125"/>
      <c r="HO141" s="125"/>
      <c r="HP141" s="125"/>
      <c r="HQ141" s="125"/>
      <c r="HR141" s="125"/>
      <c r="HS141" s="125"/>
      <c r="HT141" s="125"/>
      <c r="HU141" s="125"/>
      <c r="HV141" s="125"/>
      <c r="HW141" s="125"/>
      <c r="HX141" s="125"/>
      <c r="HY141" s="125"/>
      <c r="HZ141" s="125"/>
      <c r="IA141" s="125"/>
      <c r="IB141" s="125"/>
      <c r="IC141" s="125"/>
      <c r="ID141" s="125"/>
      <c r="IE141" s="125"/>
      <c r="IF141" s="125"/>
      <c r="IG141" s="125"/>
      <c r="IH141" s="125"/>
      <c r="II141" s="125"/>
      <c r="IJ141" s="125"/>
      <c r="IK141" s="125"/>
      <c r="IL141" s="125"/>
      <c r="IM141" s="125"/>
      <c r="IN141" s="125"/>
      <c r="IO141" s="125"/>
      <c r="IP141" s="125"/>
      <c r="IQ141" s="125"/>
      <c r="IR141" s="125"/>
      <c r="IS141" s="125"/>
      <c r="IT141" s="125"/>
      <c r="IU141" s="125"/>
      <c r="IV141" s="125"/>
      <c r="IW141" s="125"/>
      <c r="IX141" s="125"/>
      <c r="IY141" s="125"/>
      <c r="IZ141" s="125"/>
      <c r="JA141" s="125"/>
      <c r="JB141" s="125"/>
      <c r="JC141" s="125"/>
      <c r="JD141" s="125"/>
      <c r="JE141" s="125"/>
      <c r="JF141" s="125"/>
      <c r="JG141" s="125"/>
      <c r="JH141" s="125"/>
      <c r="JI141" s="125"/>
      <c r="JJ141" s="125"/>
      <c r="JK141" s="125"/>
      <c r="JL141" s="125"/>
      <c r="JM141" s="125"/>
      <c r="JN141" s="125"/>
      <c r="JO141" s="125"/>
      <c r="JP141" s="125"/>
      <c r="JQ141" s="125"/>
      <c r="JR141" s="125"/>
      <c r="JS141" s="125"/>
      <c r="JT141" s="125"/>
      <c r="JU141" s="125"/>
      <c r="JV141" s="125"/>
      <c r="JW141" s="125"/>
      <c r="JX141" s="125"/>
      <c r="JY141" s="125"/>
      <c r="JZ141" s="125"/>
      <c r="KA141" s="125"/>
      <c r="KB141" s="125"/>
      <c r="KC141" s="125"/>
      <c r="KD141" s="125"/>
      <c r="KE141" s="125"/>
      <c r="KF141" s="125"/>
      <c r="KG141" s="125"/>
      <c r="KH141" s="125"/>
      <c r="KI141" s="125"/>
      <c r="KJ141" s="125"/>
      <c r="KK141" s="125"/>
      <c r="KL141" s="125"/>
      <c r="KM141" s="125"/>
      <c r="KN141" s="125"/>
      <c r="KO141" s="125"/>
      <c r="KP141" s="125"/>
      <c r="KQ141" s="125"/>
      <c r="KR141" s="125"/>
      <c r="KS141" s="125"/>
      <c r="KT141" s="125"/>
      <c r="KU141" s="125"/>
      <c r="KV141" s="125"/>
      <c r="KW141" s="125"/>
      <c r="KX141" s="125"/>
      <c r="KY141" s="125"/>
      <c r="KZ141" s="125"/>
      <c r="LA141" s="125"/>
      <c r="LB141" s="125"/>
      <c r="LC141" s="125"/>
      <c r="LD141" s="125"/>
      <c r="LE141" s="125"/>
      <c r="LF141" s="125"/>
      <c r="LG141" s="125"/>
      <c r="LH141" s="125"/>
      <c r="LI141" s="125"/>
      <c r="LJ141" s="125"/>
      <c r="LK141" s="125"/>
      <c r="LL141" s="125"/>
      <c r="LM141" s="125"/>
      <c r="LN141" s="125"/>
      <c r="LO141" s="125"/>
      <c r="LP141" s="125"/>
      <c r="LQ141" s="125"/>
    </row>
    <row r="142" spans="1:329" ht="15" customHeight="1">
      <c r="A142" s="126">
        <v>1101832</v>
      </c>
      <c r="B142" s="127" t="s">
        <v>333</v>
      </c>
      <c r="C142" s="216" t="s">
        <v>334</v>
      </c>
      <c r="D142" s="122">
        <v>3</v>
      </c>
      <c r="E142" s="122">
        <f t="shared" si="4"/>
        <v>5.0420168067226889</v>
      </c>
      <c r="F142" s="122">
        <f t="shared" si="5"/>
        <v>6</v>
      </c>
      <c r="G142" s="122"/>
      <c r="H142" s="122"/>
      <c r="I142" s="38" t="s">
        <v>28</v>
      </c>
      <c r="J142" s="8"/>
      <c r="K142" s="54" t="s">
        <v>28</v>
      </c>
      <c r="L142" s="54"/>
      <c r="M142" s="54"/>
      <c r="O142" s="54"/>
      <c r="P142" s="54"/>
      <c r="Q142" s="54"/>
      <c r="R142" s="123">
        <v>7350057585320</v>
      </c>
      <c r="S142" s="105"/>
      <c r="T142" s="105"/>
      <c r="U142" s="105"/>
      <c r="AQ142" s="125"/>
      <c r="AR142" s="125"/>
      <c r="AS142" s="125"/>
      <c r="AT142" s="125"/>
      <c r="AU142" s="125"/>
      <c r="AV142" s="125"/>
      <c r="AW142" s="125"/>
      <c r="AX142" s="125"/>
      <c r="AY142" s="125"/>
      <c r="AZ142" s="125"/>
      <c r="BA142" s="125"/>
      <c r="BB142" s="125"/>
      <c r="BC142" s="125"/>
      <c r="BD142" s="125"/>
      <c r="BE142" s="125"/>
      <c r="BF142" s="125"/>
      <c r="BG142" s="125"/>
      <c r="BH142" s="125"/>
      <c r="BI142" s="125"/>
      <c r="BJ142" s="125"/>
      <c r="BK142" s="125"/>
      <c r="BL142" s="125"/>
      <c r="BM142" s="125"/>
      <c r="BN142" s="125"/>
      <c r="BO142" s="125"/>
      <c r="BP142" s="125"/>
      <c r="BQ142" s="125"/>
      <c r="BR142" s="125"/>
      <c r="BS142" s="125"/>
      <c r="BT142" s="125"/>
      <c r="BU142" s="125"/>
      <c r="BV142" s="125"/>
      <c r="BW142" s="125"/>
      <c r="BX142" s="125"/>
      <c r="BY142" s="125"/>
      <c r="BZ142" s="125"/>
      <c r="CA142" s="125"/>
      <c r="CB142" s="125"/>
      <c r="CC142" s="125"/>
      <c r="CD142" s="125"/>
      <c r="CE142" s="125"/>
      <c r="CF142" s="125"/>
      <c r="CG142" s="125"/>
      <c r="CH142" s="125"/>
      <c r="CI142" s="125"/>
      <c r="CJ142" s="125"/>
      <c r="CK142" s="125"/>
      <c r="CL142" s="125"/>
      <c r="CM142" s="125"/>
      <c r="CN142" s="125"/>
      <c r="CO142" s="125"/>
      <c r="CP142" s="125"/>
      <c r="CQ142" s="125"/>
      <c r="CR142" s="125"/>
      <c r="CS142" s="125"/>
      <c r="CT142" s="125"/>
      <c r="CU142" s="125"/>
      <c r="CV142" s="125"/>
      <c r="CW142" s="125"/>
      <c r="CX142" s="125"/>
      <c r="CY142" s="125"/>
      <c r="CZ142" s="125"/>
      <c r="DA142" s="125"/>
      <c r="DB142" s="125"/>
      <c r="DC142" s="125"/>
      <c r="DD142" s="125"/>
      <c r="DE142" s="125"/>
      <c r="DF142" s="125"/>
      <c r="DG142" s="125"/>
      <c r="DH142" s="125"/>
      <c r="DI142" s="125"/>
      <c r="DJ142" s="125"/>
      <c r="DK142" s="125"/>
      <c r="DL142" s="125"/>
      <c r="DM142" s="125"/>
      <c r="DN142" s="125"/>
      <c r="DO142" s="125"/>
      <c r="DP142" s="125"/>
      <c r="DQ142" s="125"/>
      <c r="DR142" s="125"/>
      <c r="DS142" s="125"/>
      <c r="DT142" s="125"/>
      <c r="DU142" s="125"/>
      <c r="DV142" s="125"/>
      <c r="DW142" s="125"/>
      <c r="DX142" s="125"/>
      <c r="DY142" s="125"/>
      <c r="DZ142" s="125"/>
      <c r="EA142" s="125"/>
      <c r="EB142" s="125"/>
      <c r="EC142" s="125"/>
      <c r="ED142" s="125"/>
      <c r="EE142" s="125"/>
      <c r="EF142" s="125"/>
      <c r="EG142" s="125"/>
      <c r="EH142" s="125"/>
      <c r="EI142" s="125"/>
      <c r="EJ142" s="125"/>
      <c r="EK142" s="125"/>
      <c r="EL142" s="125"/>
      <c r="EM142" s="125"/>
      <c r="EN142" s="125"/>
      <c r="EO142" s="125"/>
      <c r="EP142" s="125"/>
      <c r="EQ142" s="125"/>
      <c r="ER142" s="125"/>
      <c r="ES142" s="125"/>
      <c r="ET142" s="125"/>
      <c r="EU142" s="125"/>
      <c r="EV142" s="125"/>
      <c r="EW142" s="125"/>
      <c r="EX142" s="125"/>
      <c r="EY142" s="125"/>
      <c r="EZ142" s="125"/>
      <c r="FA142" s="125"/>
      <c r="FB142" s="125"/>
      <c r="FC142" s="125"/>
      <c r="FD142" s="125"/>
      <c r="FE142" s="125"/>
      <c r="FF142" s="125"/>
      <c r="FG142" s="125"/>
      <c r="FH142" s="125"/>
      <c r="FI142" s="125"/>
      <c r="FJ142" s="125"/>
      <c r="FK142" s="125"/>
      <c r="FL142" s="125"/>
      <c r="FM142" s="125"/>
      <c r="FN142" s="125"/>
      <c r="FO142" s="125"/>
      <c r="FP142" s="125"/>
      <c r="FQ142" s="125"/>
      <c r="FR142" s="125"/>
      <c r="FS142" s="125"/>
      <c r="FT142" s="125"/>
      <c r="FU142" s="125"/>
      <c r="FV142" s="125"/>
      <c r="FW142" s="125"/>
      <c r="FX142" s="125"/>
      <c r="FY142" s="125"/>
      <c r="FZ142" s="125"/>
      <c r="GA142" s="125"/>
      <c r="GB142" s="125"/>
      <c r="GC142" s="125"/>
      <c r="GD142" s="125"/>
      <c r="GE142" s="125"/>
      <c r="GF142" s="125"/>
      <c r="GG142" s="125"/>
      <c r="GH142" s="125"/>
      <c r="GI142" s="125"/>
      <c r="GJ142" s="125"/>
      <c r="GK142" s="125"/>
      <c r="GL142" s="125"/>
      <c r="GM142" s="125"/>
      <c r="GN142" s="125"/>
      <c r="GO142" s="125"/>
      <c r="GP142" s="125"/>
      <c r="GQ142" s="125"/>
      <c r="GR142" s="125"/>
      <c r="GS142" s="125"/>
      <c r="GT142" s="125"/>
      <c r="GU142" s="125"/>
      <c r="GV142" s="125"/>
      <c r="GW142" s="125"/>
      <c r="GX142" s="125"/>
      <c r="GY142" s="125"/>
      <c r="GZ142" s="125"/>
      <c r="HA142" s="125"/>
      <c r="HB142" s="125"/>
      <c r="HC142" s="125"/>
      <c r="HD142" s="125"/>
      <c r="HE142" s="125"/>
      <c r="HF142" s="125"/>
      <c r="HG142" s="125"/>
      <c r="HH142" s="125"/>
      <c r="HI142" s="125"/>
      <c r="HJ142" s="125"/>
      <c r="HK142" s="125"/>
      <c r="HL142" s="125"/>
      <c r="HM142" s="125"/>
      <c r="HN142" s="125"/>
      <c r="HO142" s="125"/>
      <c r="HP142" s="125"/>
      <c r="HQ142" s="125"/>
      <c r="HR142" s="125"/>
      <c r="HS142" s="125"/>
      <c r="HT142" s="125"/>
      <c r="HU142" s="125"/>
      <c r="HV142" s="125"/>
      <c r="HW142" s="125"/>
      <c r="HX142" s="125"/>
      <c r="HY142" s="125"/>
      <c r="HZ142" s="125"/>
      <c r="IA142" s="125"/>
      <c r="IB142" s="125"/>
      <c r="IC142" s="125"/>
      <c r="ID142" s="125"/>
      <c r="IE142" s="125"/>
      <c r="IF142" s="125"/>
      <c r="IG142" s="125"/>
      <c r="IH142" s="125"/>
      <c r="II142" s="125"/>
      <c r="IJ142" s="125"/>
      <c r="IK142" s="125"/>
      <c r="IL142" s="125"/>
      <c r="IM142" s="125"/>
      <c r="IN142" s="125"/>
      <c r="IO142" s="125"/>
      <c r="IP142" s="125"/>
      <c r="IQ142" s="125"/>
      <c r="IR142" s="125"/>
      <c r="IS142" s="125"/>
      <c r="IT142" s="125"/>
      <c r="IU142" s="125"/>
      <c r="IV142" s="125"/>
      <c r="IW142" s="125"/>
      <c r="IX142" s="125"/>
      <c r="IY142" s="125"/>
      <c r="IZ142" s="125"/>
      <c r="JA142" s="125"/>
      <c r="JB142" s="125"/>
      <c r="JC142" s="125"/>
      <c r="JD142" s="125"/>
      <c r="JE142" s="125"/>
      <c r="JF142" s="125"/>
      <c r="JG142" s="125"/>
      <c r="JH142" s="125"/>
      <c r="JI142" s="125"/>
      <c r="JJ142" s="125"/>
      <c r="JK142" s="125"/>
      <c r="JL142" s="125"/>
      <c r="JM142" s="125"/>
      <c r="JN142" s="125"/>
      <c r="JO142" s="125"/>
      <c r="JP142" s="125"/>
      <c r="JQ142" s="125"/>
      <c r="JR142" s="125"/>
      <c r="JS142" s="125"/>
      <c r="JT142" s="125"/>
      <c r="JU142" s="125"/>
      <c r="JV142" s="125"/>
      <c r="JW142" s="125"/>
      <c r="JX142" s="125"/>
      <c r="JY142" s="125"/>
      <c r="JZ142" s="125"/>
      <c r="KA142" s="125"/>
      <c r="KB142" s="125"/>
      <c r="KC142" s="125"/>
      <c r="KD142" s="125"/>
      <c r="KE142" s="125"/>
      <c r="KF142" s="125"/>
      <c r="KG142" s="125"/>
      <c r="KH142" s="125"/>
      <c r="KI142" s="125"/>
      <c r="KJ142" s="125"/>
      <c r="KK142" s="125"/>
      <c r="KL142" s="125"/>
      <c r="KM142" s="125"/>
      <c r="KN142" s="125"/>
      <c r="KO142" s="125"/>
      <c r="KP142" s="125"/>
      <c r="KQ142" s="125"/>
      <c r="KR142" s="125"/>
      <c r="KS142" s="125"/>
      <c r="KT142" s="125"/>
      <c r="KU142" s="125"/>
      <c r="KV142" s="125"/>
      <c r="KW142" s="125"/>
      <c r="KX142" s="125"/>
      <c r="KY142" s="125"/>
      <c r="KZ142" s="125"/>
      <c r="LA142" s="125"/>
      <c r="LB142" s="125"/>
      <c r="LC142" s="125"/>
      <c r="LD142" s="125"/>
      <c r="LE142" s="125"/>
      <c r="LF142" s="125"/>
      <c r="LG142" s="125"/>
      <c r="LH142" s="125"/>
      <c r="LI142" s="125"/>
      <c r="LJ142" s="125"/>
      <c r="LK142" s="125"/>
      <c r="LL142" s="125"/>
      <c r="LM142" s="125"/>
      <c r="LN142" s="125"/>
      <c r="LO142" s="125"/>
      <c r="LP142" s="125"/>
      <c r="LQ142" s="125"/>
    </row>
    <row r="143" spans="1:329" s="27" customFormat="1" ht="15" customHeight="1">
      <c r="A143" s="126">
        <v>1101833</v>
      </c>
      <c r="B143" s="127" t="s">
        <v>335</v>
      </c>
      <c r="C143" s="214" t="s">
        <v>336</v>
      </c>
      <c r="D143" s="122">
        <v>10</v>
      </c>
      <c r="E143" s="122">
        <f t="shared" si="4"/>
        <v>16.806722689075631</v>
      </c>
      <c r="F143" s="122">
        <f t="shared" si="5"/>
        <v>20</v>
      </c>
      <c r="G143" s="122"/>
      <c r="H143" s="122"/>
      <c r="I143" s="8"/>
      <c r="J143" s="8"/>
      <c r="K143" s="54" t="s">
        <v>28</v>
      </c>
      <c r="L143" s="54"/>
      <c r="M143" s="54"/>
      <c r="N143" s="11"/>
      <c r="O143" s="54"/>
      <c r="P143" s="54"/>
      <c r="Q143" s="54"/>
      <c r="R143" s="123">
        <v>7350057585245</v>
      </c>
      <c r="S143" s="105"/>
      <c r="T143" s="105"/>
      <c r="U143" s="105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25"/>
      <c r="AR143" s="125"/>
      <c r="AS143" s="125"/>
      <c r="AT143" s="125"/>
      <c r="AU143" s="125"/>
      <c r="AV143" s="125"/>
      <c r="AW143" s="125"/>
      <c r="AX143" s="125"/>
      <c r="AY143" s="125"/>
      <c r="AZ143" s="125"/>
      <c r="BA143" s="125"/>
      <c r="BB143" s="125"/>
      <c r="BC143" s="125"/>
      <c r="BD143" s="125"/>
      <c r="BE143" s="125"/>
      <c r="BF143" s="125"/>
      <c r="BG143" s="125"/>
      <c r="BH143" s="125"/>
      <c r="BI143" s="125"/>
      <c r="BJ143" s="125"/>
      <c r="BK143" s="125"/>
      <c r="BL143" s="125"/>
      <c r="BM143" s="125"/>
      <c r="BN143" s="125"/>
      <c r="BO143" s="125"/>
      <c r="BP143" s="125"/>
      <c r="BQ143" s="125"/>
      <c r="BR143" s="125"/>
      <c r="BS143" s="125"/>
      <c r="BT143" s="125"/>
      <c r="BU143" s="125"/>
      <c r="BV143" s="125"/>
      <c r="BW143" s="125"/>
      <c r="BX143" s="125"/>
      <c r="BY143" s="125"/>
      <c r="BZ143" s="125"/>
      <c r="CA143" s="125"/>
      <c r="CB143" s="125"/>
      <c r="CC143" s="125"/>
      <c r="CD143" s="125"/>
      <c r="CE143" s="125"/>
      <c r="CF143" s="125"/>
      <c r="CG143" s="125"/>
      <c r="CH143" s="125"/>
      <c r="CI143" s="125"/>
      <c r="CJ143" s="125"/>
      <c r="CK143" s="125"/>
      <c r="CL143" s="125"/>
      <c r="CM143" s="125"/>
      <c r="CN143" s="125"/>
      <c r="CO143" s="125"/>
      <c r="CP143" s="125"/>
      <c r="CQ143" s="125"/>
      <c r="CR143" s="125"/>
      <c r="CS143" s="125"/>
      <c r="CT143" s="125"/>
      <c r="CU143" s="125"/>
      <c r="CV143" s="125"/>
      <c r="CW143" s="125"/>
      <c r="CX143" s="125"/>
      <c r="CY143" s="125"/>
      <c r="CZ143" s="125"/>
      <c r="DA143" s="125"/>
      <c r="DB143" s="125"/>
      <c r="DC143" s="125"/>
      <c r="DD143" s="125"/>
      <c r="DE143" s="125"/>
      <c r="DF143" s="125"/>
      <c r="DG143" s="125"/>
      <c r="DH143" s="125"/>
      <c r="DI143" s="125"/>
      <c r="DJ143" s="125"/>
      <c r="DK143" s="125"/>
      <c r="DL143" s="125"/>
      <c r="DM143" s="125"/>
      <c r="DN143" s="125"/>
      <c r="DO143" s="125"/>
      <c r="DP143" s="125"/>
      <c r="DQ143" s="125"/>
      <c r="DR143" s="125"/>
      <c r="DS143" s="125"/>
      <c r="DT143" s="125"/>
      <c r="DU143" s="125"/>
      <c r="DV143" s="125"/>
      <c r="DW143" s="125"/>
      <c r="DX143" s="125"/>
      <c r="DY143" s="125"/>
      <c r="DZ143" s="125"/>
      <c r="EA143" s="125"/>
      <c r="EB143" s="125"/>
      <c r="EC143" s="125"/>
      <c r="ED143" s="125"/>
      <c r="EE143" s="125"/>
      <c r="EF143" s="125"/>
      <c r="EG143" s="125"/>
      <c r="EH143" s="125"/>
      <c r="EI143" s="125"/>
      <c r="EJ143" s="125"/>
      <c r="EK143" s="125"/>
      <c r="EL143" s="125"/>
      <c r="EM143" s="125"/>
      <c r="EN143" s="125"/>
      <c r="EO143" s="125"/>
      <c r="EP143" s="125"/>
      <c r="EQ143" s="125"/>
      <c r="ER143" s="125"/>
      <c r="ES143" s="125"/>
      <c r="ET143" s="125"/>
      <c r="EU143" s="125"/>
      <c r="EV143" s="125"/>
      <c r="EW143" s="125"/>
      <c r="EX143" s="125"/>
      <c r="EY143" s="125"/>
      <c r="EZ143" s="125"/>
      <c r="FA143" s="125"/>
      <c r="FB143" s="125"/>
      <c r="FC143" s="125"/>
      <c r="FD143" s="125"/>
      <c r="FE143" s="125"/>
      <c r="FF143" s="125"/>
      <c r="FG143" s="125"/>
      <c r="FH143" s="125"/>
      <c r="FI143" s="125"/>
      <c r="FJ143" s="125"/>
      <c r="FK143" s="125"/>
      <c r="FL143" s="125"/>
      <c r="FM143" s="125"/>
      <c r="FN143" s="125"/>
      <c r="FO143" s="125"/>
      <c r="FP143" s="125"/>
      <c r="FQ143" s="125"/>
      <c r="FR143" s="125"/>
      <c r="FS143" s="125"/>
      <c r="FT143" s="125"/>
      <c r="FU143" s="125"/>
      <c r="FV143" s="125"/>
      <c r="FW143" s="125"/>
      <c r="FX143" s="125"/>
      <c r="FY143" s="125"/>
      <c r="FZ143" s="125"/>
      <c r="GA143" s="125"/>
      <c r="GB143" s="125"/>
      <c r="GC143" s="125"/>
      <c r="GD143" s="125"/>
      <c r="GE143" s="125"/>
      <c r="GF143" s="125"/>
      <c r="GG143" s="125"/>
      <c r="GH143" s="125"/>
      <c r="GI143" s="125"/>
      <c r="GJ143" s="125"/>
      <c r="GK143" s="125"/>
      <c r="GL143" s="125"/>
      <c r="GM143" s="125"/>
      <c r="GN143" s="125"/>
      <c r="GO143" s="125"/>
      <c r="GP143" s="125"/>
      <c r="GQ143" s="125"/>
      <c r="GR143" s="125"/>
      <c r="GS143" s="125"/>
      <c r="GT143" s="125"/>
      <c r="GU143" s="125"/>
      <c r="GV143" s="125"/>
      <c r="GW143" s="125"/>
      <c r="GX143" s="125"/>
      <c r="GY143" s="125"/>
      <c r="GZ143" s="125"/>
      <c r="HA143" s="125"/>
      <c r="HB143" s="125"/>
      <c r="HC143" s="125"/>
      <c r="HD143" s="125"/>
      <c r="HE143" s="125"/>
      <c r="HF143" s="125"/>
      <c r="HG143" s="125"/>
      <c r="HH143" s="125"/>
      <c r="HI143" s="125"/>
      <c r="HJ143" s="125"/>
      <c r="HK143" s="125"/>
      <c r="HL143" s="125"/>
      <c r="HM143" s="125"/>
      <c r="HN143" s="125"/>
      <c r="HO143" s="125"/>
      <c r="HP143" s="125"/>
      <c r="HQ143" s="125"/>
      <c r="HR143" s="125"/>
      <c r="HS143" s="125"/>
      <c r="HT143" s="125"/>
      <c r="HU143" s="125"/>
      <c r="HV143" s="125"/>
      <c r="HW143" s="125"/>
      <c r="HX143" s="125"/>
      <c r="HY143" s="125"/>
      <c r="HZ143" s="125"/>
      <c r="IA143" s="125"/>
      <c r="IB143" s="125"/>
      <c r="IC143" s="125"/>
      <c r="ID143" s="125"/>
      <c r="IE143" s="125"/>
      <c r="IF143" s="125"/>
      <c r="IG143" s="125"/>
      <c r="IH143" s="125"/>
      <c r="II143" s="125"/>
      <c r="IJ143" s="125"/>
      <c r="IK143" s="125"/>
      <c r="IL143" s="125"/>
      <c r="IM143" s="125"/>
      <c r="IN143" s="125"/>
      <c r="IO143" s="125"/>
      <c r="IP143" s="125"/>
      <c r="IQ143" s="125"/>
      <c r="IR143" s="125"/>
      <c r="IS143" s="125"/>
      <c r="IT143" s="125"/>
      <c r="IU143" s="125"/>
      <c r="IV143" s="125"/>
      <c r="IW143" s="125"/>
      <c r="IX143" s="125"/>
      <c r="IY143" s="125"/>
      <c r="IZ143" s="125"/>
      <c r="JA143" s="125"/>
      <c r="JB143" s="125"/>
      <c r="JC143" s="125"/>
      <c r="JD143" s="125"/>
      <c r="JE143" s="125"/>
      <c r="JF143" s="125"/>
      <c r="JG143" s="125"/>
      <c r="JH143" s="125"/>
      <c r="JI143" s="125"/>
      <c r="JJ143" s="125"/>
      <c r="JK143" s="125"/>
      <c r="JL143" s="125"/>
      <c r="JM143" s="125"/>
      <c r="JN143" s="125"/>
      <c r="JO143" s="125"/>
      <c r="JP143" s="125"/>
      <c r="JQ143" s="125"/>
      <c r="JR143" s="125"/>
      <c r="JS143" s="125"/>
      <c r="JT143" s="125"/>
      <c r="JU143" s="125"/>
      <c r="JV143" s="125"/>
      <c r="JW143" s="125"/>
      <c r="JX143" s="125"/>
      <c r="JY143" s="125"/>
      <c r="JZ143" s="125"/>
      <c r="KA143" s="125"/>
      <c r="KB143" s="125"/>
      <c r="KC143" s="125"/>
      <c r="KD143" s="125"/>
      <c r="KE143" s="125"/>
      <c r="KF143" s="125"/>
      <c r="KG143" s="125"/>
      <c r="KH143" s="125"/>
      <c r="KI143" s="125"/>
      <c r="KJ143" s="125"/>
      <c r="KK143" s="125"/>
      <c r="KL143" s="125"/>
      <c r="KM143" s="125"/>
      <c r="KN143" s="125"/>
      <c r="KO143" s="125"/>
      <c r="KP143" s="125"/>
      <c r="KQ143" s="125"/>
      <c r="KR143" s="125"/>
      <c r="KS143" s="125"/>
      <c r="KT143" s="125"/>
      <c r="KU143" s="125"/>
      <c r="KV143" s="125"/>
      <c r="KW143" s="125"/>
      <c r="KX143" s="125"/>
      <c r="KY143" s="125"/>
      <c r="KZ143" s="125"/>
      <c r="LA143" s="125"/>
      <c r="LB143" s="125"/>
      <c r="LC143" s="125"/>
      <c r="LD143" s="125"/>
      <c r="LE143" s="125"/>
      <c r="LF143" s="125"/>
      <c r="LG143" s="125"/>
      <c r="LH143" s="125"/>
      <c r="LI143" s="125"/>
      <c r="LJ143" s="125"/>
      <c r="LK143" s="125"/>
      <c r="LL143" s="125"/>
      <c r="LM143" s="125"/>
      <c r="LN143" s="125"/>
      <c r="LO143" s="125"/>
      <c r="LP143" s="125"/>
      <c r="LQ143" s="125"/>
    </row>
    <row r="144" spans="1:329" ht="15" customHeight="1">
      <c r="A144" s="126">
        <v>1101834</v>
      </c>
      <c r="B144" s="127" t="s">
        <v>337</v>
      </c>
      <c r="C144" s="216" t="s">
        <v>338</v>
      </c>
      <c r="D144" s="122">
        <v>3</v>
      </c>
      <c r="E144" s="122">
        <f t="shared" si="4"/>
        <v>5.0420168067226889</v>
      </c>
      <c r="F144" s="122">
        <f t="shared" si="5"/>
        <v>6</v>
      </c>
      <c r="G144" s="122"/>
      <c r="H144" s="122"/>
      <c r="I144" s="38" t="s">
        <v>28</v>
      </c>
      <c r="J144" s="8"/>
      <c r="K144" s="54" t="s">
        <v>28</v>
      </c>
      <c r="L144" s="54"/>
      <c r="M144" s="54"/>
      <c r="O144" s="54"/>
      <c r="P144" s="54"/>
      <c r="Q144" s="54"/>
      <c r="R144" s="123">
        <v>7350057585337</v>
      </c>
      <c r="S144" s="105"/>
      <c r="T144" s="105"/>
      <c r="U144" s="105"/>
      <c r="AQ144" s="125"/>
      <c r="AR144" s="125"/>
      <c r="AS144" s="125"/>
      <c r="AT144" s="125"/>
      <c r="AU144" s="125"/>
      <c r="AV144" s="125"/>
      <c r="AW144" s="125"/>
      <c r="AX144" s="125"/>
      <c r="AY144" s="125"/>
      <c r="AZ144" s="125"/>
      <c r="BA144" s="125"/>
      <c r="BB144" s="125"/>
      <c r="BC144" s="125"/>
      <c r="BD144" s="125"/>
      <c r="BE144" s="125"/>
      <c r="BF144" s="125"/>
      <c r="BG144" s="125"/>
      <c r="BH144" s="125"/>
      <c r="BI144" s="125"/>
      <c r="BJ144" s="125"/>
      <c r="BK144" s="125"/>
      <c r="BL144" s="125"/>
      <c r="BM144" s="125"/>
      <c r="BN144" s="125"/>
      <c r="BO144" s="125"/>
      <c r="BP144" s="125"/>
      <c r="BQ144" s="125"/>
      <c r="BR144" s="125"/>
      <c r="BS144" s="125"/>
      <c r="BT144" s="125"/>
      <c r="BU144" s="125"/>
      <c r="BV144" s="125"/>
      <c r="BW144" s="125"/>
      <c r="BX144" s="125"/>
      <c r="BY144" s="125"/>
      <c r="BZ144" s="125"/>
      <c r="CA144" s="125"/>
      <c r="CB144" s="125"/>
      <c r="CC144" s="125"/>
      <c r="CD144" s="125"/>
      <c r="CE144" s="125"/>
      <c r="CF144" s="125"/>
      <c r="CG144" s="125"/>
      <c r="CH144" s="125"/>
      <c r="CI144" s="125"/>
      <c r="CJ144" s="125"/>
      <c r="CK144" s="125"/>
      <c r="CL144" s="125"/>
      <c r="CM144" s="125"/>
      <c r="CN144" s="125"/>
      <c r="CO144" s="125"/>
      <c r="CP144" s="125"/>
      <c r="CQ144" s="125"/>
      <c r="CR144" s="125"/>
      <c r="CS144" s="125"/>
      <c r="CT144" s="125"/>
      <c r="CU144" s="125"/>
      <c r="CV144" s="125"/>
      <c r="CW144" s="125"/>
      <c r="CX144" s="125"/>
      <c r="CY144" s="125"/>
      <c r="CZ144" s="125"/>
      <c r="DA144" s="125"/>
      <c r="DB144" s="125"/>
      <c r="DC144" s="125"/>
      <c r="DD144" s="125"/>
      <c r="DE144" s="125"/>
      <c r="DF144" s="125"/>
      <c r="DG144" s="125"/>
      <c r="DH144" s="125"/>
      <c r="DI144" s="125"/>
      <c r="DJ144" s="125"/>
      <c r="DK144" s="125"/>
      <c r="DL144" s="125"/>
      <c r="DM144" s="125"/>
      <c r="DN144" s="125"/>
      <c r="DO144" s="125"/>
      <c r="DP144" s="125"/>
      <c r="DQ144" s="125"/>
      <c r="DR144" s="125"/>
      <c r="DS144" s="125"/>
      <c r="DT144" s="125"/>
      <c r="DU144" s="125"/>
      <c r="DV144" s="125"/>
      <c r="DW144" s="125"/>
      <c r="DX144" s="125"/>
      <c r="DY144" s="125"/>
      <c r="DZ144" s="125"/>
      <c r="EA144" s="125"/>
      <c r="EB144" s="125"/>
      <c r="EC144" s="125"/>
      <c r="ED144" s="125"/>
      <c r="EE144" s="125"/>
      <c r="EF144" s="125"/>
      <c r="EG144" s="125"/>
      <c r="EH144" s="125"/>
      <c r="EI144" s="125"/>
      <c r="EJ144" s="125"/>
      <c r="EK144" s="125"/>
      <c r="EL144" s="125"/>
      <c r="EM144" s="125"/>
      <c r="EN144" s="125"/>
      <c r="EO144" s="125"/>
      <c r="EP144" s="125"/>
      <c r="EQ144" s="125"/>
      <c r="ER144" s="125"/>
      <c r="ES144" s="125"/>
      <c r="ET144" s="125"/>
      <c r="EU144" s="125"/>
      <c r="EV144" s="125"/>
      <c r="EW144" s="125"/>
      <c r="EX144" s="125"/>
      <c r="EY144" s="125"/>
      <c r="EZ144" s="125"/>
      <c r="FA144" s="125"/>
      <c r="FB144" s="125"/>
      <c r="FC144" s="125"/>
      <c r="FD144" s="125"/>
      <c r="FE144" s="125"/>
      <c r="FF144" s="125"/>
      <c r="FG144" s="125"/>
      <c r="FH144" s="125"/>
      <c r="FI144" s="125"/>
      <c r="FJ144" s="125"/>
      <c r="FK144" s="125"/>
      <c r="FL144" s="125"/>
      <c r="FM144" s="125"/>
      <c r="FN144" s="125"/>
      <c r="FO144" s="125"/>
      <c r="FP144" s="125"/>
      <c r="FQ144" s="125"/>
      <c r="FR144" s="125"/>
      <c r="FS144" s="125"/>
      <c r="FT144" s="125"/>
      <c r="FU144" s="125"/>
      <c r="FV144" s="125"/>
      <c r="FW144" s="125"/>
      <c r="FX144" s="125"/>
      <c r="FY144" s="125"/>
      <c r="FZ144" s="125"/>
      <c r="GA144" s="125"/>
      <c r="GB144" s="125"/>
      <c r="GC144" s="125"/>
      <c r="GD144" s="125"/>
      <c r="GE144" s="125"/>
      <c r="GF144" s="125"/>
      <c r="GG144" s="125"/>
      <c r="GH144" s="125"/>
      <c r="GI144" s="125"/>
      <c r="GJ144" s="125"/>
      <c r="GK144" s="125"/>
      <c r="GL144" s="125"/>
      <c r="GM144" s="125"/>
      <c r="GN144" s="125"/>
      <c r="GO144" s="125"/>
      <c r="GP144" s="125"/>
      <c r="GQ144" s="125"/>
      <c r="GR144" s="125"/>
      <c r="GS144" s="125"/>
      <c r="GT144" s="125"/>
      <c r="GU144" s="125"/>
      <c r="GV144" s="125"/>
      <c r="GW144" s="125"/>
      <c r="GX144" s="125"/>
      <c r="GY144" s="125"/>
      <c r="GZ144" s="125"/>
      <c r="HA144" s="125"/>
      <c r="HB144" s="125"/>
      <c r="HC144" s="125"/>
      <c r="HD144" s="125"/>
      <c r="HE144" s="125"/>
      <c r="HF144" s="125"/>
      <c r="HG144" s="125"/>
      <c r="HH144" s="125"/>
      <c r="HI144" s="125"/>
      <c r="HJ144" s="125"/>
      <c r="HK144" s="125"/>
      <c r="HL144" s="125"/>
      <c r="HM144" s="125"/>
      <c r="HN144" s="125"/>
      <c r="HO144" s="125"/>
      <c r="HP144" s="125"/>
      <c r="HQ144" s="125"/>
      <c r="HR144" s="125"/>
      <c r="HS144" s="125"/>
      <c r="HT144" s="125"/>
      <c r="HU144" s="125"/>
      <c r="HV144" s="125"/>
      <c r="HW144" s="125"/>
      <c r="HX144" s="125"/>
      <c r="HY144" s="125"/>
      <c r="HZ144" s="125"/>
      <c r="IA144" s="125"/>
      <c r="IB144" s="125"/>
      <c r="IC144" s="125"/>
      <c r="ID144" s="125"/>
      <c r="IE144" s="125"/>
      <c r="IF144" s="125"/>
      <c r="IG144" s="125"/>
      <c r="IH144" s="125"/>
      <c r="II144" s="125"/>
      <c r="IJ144" s="125"/>
      <c r="IK144" s="125"/>
      <c r="IL144" s="125"/>
      <c r="IM144" s="125"/>
      <c r="IN144" s="125"/>
      <c r="IO144" s="125"/>
      <c r="IP144" s="125"/>
      <c r="IQ144" s="125"/>
      <c r="IR144" s="125"/>
      <c r="IS144" s="125"/>
      <c r="IT144" s="125"/>
      <c r="IU144" s="125"/>
      <c r="IV144" s="125"/>
      <c r="IW144" s="125"/>
      <c r="IX144" s="125"/>
      <c r="IY144" s="125"/>
      <c r="IZ144" s="125"/>
      <c r="JA144" s="125"/>
      <c r="JB144" s="125"/>
      <c r="JC144" s="125"/>
      <c r="JD144" s="125"/>
      <c r="JE144" s="125"/>
      <c r="JF144" s="125"/>
      <c r="JG144" s="125"/>
      <c r="JH144" s="125"/>
      <c r="JI144" s="125"/>
      <c r="JJ144" s="125"/>
      <c r="JK144" s="125"/>
      <c r="JL144" s="125"/>
      <c r="JM144" s="125"/>
      <c r="JN144" s="125"/>
      <c r="JO144" s="125"/>
      <c r="JP144" s="125"/>
      <c r="JQ144" s="125"/>
      <c r="JR144" s="125"/>
      <c r="JS144" s="125"/>
      <c r="JT144" s="125"/>
      <c r="JU144" s="125"/>
      <c r="JV144" s="125"/>
      <c r="JW144" s="125"/>
      <c r="JX144" s="125"/>
      <c r="JY144" s="125"/>
      <c r="JZ144" s="125"/>
      <c r="KA144" s="125"/>
      <c r="KB144" s="125"/>
      <c r="KC144" s="125"/>
      <c r="KD144" s="125"/>
      <c r="KE144" s="125"/>
      <c r="KF144" s="125"/>
      <c r="KG144" s="125"/>
      <c r="KH144" s="125"/>
      <c r="KI144" s="125"/>
      <c r="KJ144" s="125"/>
      <c r="KK144" s="125"/>
      <c r="KL144" s="125"/>
      <c r="KM144" s="125"/>
      <c r="KN144" s="125"/>
      <c r="KO144" s="125"/>
      <c r="KP144" s="125"/>
      <c r="KQ144" s="125"/>
      <c r="KR144" s="125"/>
      <c r="KS144" s="125"/>
      <c r="KT144" s="125"/>
      <c r="KU144" s="125"/>
      <c r="KV144" s="125"/>
      <c r="KW144" s="125"/>
      <c r="KX144" s="125"/>
      <c r="KY144" s="125"/>
      <c r="KZ144" s="125"/>
      <c r="LA144" s="125"/>
      <c r="LB144" s="125"/>
      <c r="LC144" s="125"/>
      <c r="LD144" s="125"/>
      <c r="LE144" s="125"/>
      <c r="LF144" s="125"/>
      <c r="LG144" s="125"/>
      <c r="LH144" s="125"/>
      <c r="LI144" s="125"/>
      <c r="LJ144" s="125"/>
      <c r="LK144" s="125"/>
      <c r="LL144" s="125"/>
      <c r="LM144" s="125"/>
      <c r="LN144" s="125"/>
      <c r="LO144" s="125"/>
      <c r="LP144" s="125"/>
      <c r="LQ144" s="125"/>
    </row>
    <row r="145" spans="1:329" ht="15" customHeight="1">
      <c r="A145" s="126">
        <v>1101835</v>
      </c>
      <c r="B145" s="127" t="s">
        <v>339</v>
      </c>
      <c r="C145" s="214" t="s">
        <v>340</v>
      </c>
      <c r="D145" s="122">
        <v>10</v>
      </c>
      <c r="E145" s="122">
        <f t="shared" si="4"/>
        <v>16.806722689075631</v>
      </c>
      <c r="F145" s="122">
        <f t="shared" si="5"/>
        <v>20</v>
      </c>
      <c r="G145" s="122"/>
      <c r="H145" s="122"/>
      <c r="I145" s="8"/>
      <c r="J145" s="8"/>
      <c r="K145" s="54" t="s">
        <v>28</v>
      </c>
      <c r="L145" s="54"/>
      <c r="M145" s="54"/>
      <c r="O145" s="54"/>
      <c r="P145" s="54"/>
      <c r="Q145" s="54"/>
      <c r="R145" s="123">
        <v>7350057585252</v>
      </c>
      <c r="S145" s="105"/>
      <c r="T145" s="105"/>
      <c r="U145" s="105"/>
      <c r="AQ145" s="125"/>
      <c r="AR145" s="125"/>
      <c r="AS145" s="125"/>
      <c r="AT145" s="125"/>
      <c r="AU145" s="125"/>
      <c r="AV145" s="125"/>
      <c r="AW145" s="125"/>
      <c r="AX145" s="125"/>
      <c r="AY145" s="125"/>
      <c r="AZ145" s="125"/>
      <c r="BA145" s="125"/>
      <c r="BB145" s="125"/>
      <c r="BC145" s="125"/>
      <c r="BD145" s="125"/>
      <c r="BE145" s="125"/>
      <c r="BF145" s="125"/>
      <c r="BG145" s="125"/>
      <c r="BH145" s="125"/>
      <c r="BI145" s="125"/>
      <c r="BJ145" s="125"/>
      <c r="BK145" s="125"/>
      <c r="BL145" s="125"/>
      <c r="BM145" s="125"/>
      <c r="BN145" s="125"/>
      <c r="BO145" s="125"/>
      <c r="BP145" s="125"/>
      <c r="BQ145" s="125"/>
      <c r="BR145" s="125"/>
      <c r="BS145" s="125"/>
      <c r="BT145" s="125"/>
      <c r="BU145" s="125"/>
      <c r="BV145" s="125"/>
      <c r="BW145" s="125"/>
      <c r="BX145" s="125"/>
      <c r="BY145" s="125"/>
      <c r="BZ145" s="125"/>
      <c r="CA145" s="125"/>
      <c r="CB145" s="125"/>
      <c r="CC145" s="125"/>
      <c r="CD145" s="125"/>
      <c r="CE145" s="125"/>
      <c r="CF145" s="125"/>
      <c r="CG145" s="125"/>
      <c r="CH145" s="125"/>
      <c r="CI145" s="125"/>
      <c r="CJ145" s="125"/>
      <c r="CK145" s="125"/>
      <c r="CL145" s="125"/>
      <c r="CM145" s="125"/>
      <c r="CN145" s="125"/>
      <c r="CO145" s="125"/>
      <c r="CP145" s="125"/>
      <c r="CQ145" s="125"/>
      <c r="CR145" s="125"/>
      <c r="CS145" s="125"/>
      <c r="CT145" s="125"/>
      <c r="CU145" s="125"/>
      <c r="CV145" s="125"/>
      <c r="CW145" s="125"/>
      <c r="CX145" s="125"/>
      <c r="CY145" s="125"/>
      <c r="CZ145" s="125"/>
      <c r="DA145" s="125"/>
      <c r="DB145" s="125"/>
      <c r="DC145" s="125"/>
      <c r="DD145" s="125"/>
      <c r="DE145" s="125"/>
      <c r="DF145" s="125"/>
      <c r="DG145" s="125"/>
      <c r="DH145" s="125"/>
      <c r="DI145" s="125"/>
      <c r="DJ145" s="125"/>
      <c r="DK145" s="125"/>
      <c r="DL145" s="125"/>
      <c r="DM145" s="125"/>
      <c r="DN145" s="125"/>
      <c r="DO145" s="125"/>
      <c r="DP145" s="125"/>
      <c r="DQ145" s="125"/>
      <c r="DR145" s="125"/>
      <c r="DS145" s="125"/>
      <c r="DT145" s="125"/>
      <c r="DU145" s="125"/>
      <c r="DV145" s="125"/>
      <c r="DW145" s="125"/>
      <c r="DX145" s="125"/>
      <c r="DY145" s="125"/>
      <c r="DZ145" s="125"/>
      <c r="EA145" s="125"/>
      <c r="EB145" s="125"/>
      <c r="EC145" s="125"/>
      <c r="ED145" s="125"/>
      <c r="EE145" s="125"/>
      <c r="EF145" s="125"/>
      <c r="EG145" s="125"/>
      <c r="EH145" s="125"/>
      <c r="EI145" s="125"/>
      <c r="EJ145" s="125"/>
      <c r="EK145" s="125"/>
      <c r="EL145" s="125"/>
      <c r="EM145" s="125"/>
      <c r="EN145" s="125"/>
      <c r="EO145" s="125"/>
      <c r="EP145" s="125"/>
      <c r="EQ145" s="125"/>
      <c r="ER145" s="125"/>
      <c r="ES145" s="125"/>
      <c r="ET145" s="125"/>
      <c r="EU145" s="125"/>
      <c r="EV145" s="125"/>
      <c r="EW145" s="125"/>
      <c r="EX145" s="125"/>
      <c r="EY145" s="125"/>
      <c r="EZ145" s="125"/>
      <c r="FA145" s="125"/>
      <c r="FB145" s="125"/>
      <c r="FC145" s="125"/>
      <c r="FD145" s="125"/>
      <c r="FE145" s="125"/>
      <c r="FF145" s="125"/>
      <c r="FG145" s="125"/>
      <c r="FH145" s="125"/>
      <c r="FI145" s="125"/>
      <c r="FJ145" s="125"/>
      <c r="FK145" s="125"/>
      <c r="FL145" s="125"/>
      <c r="FM145" s="125"/>
      <c r="FN145" s="125"/>
      <c r="FO145" s="125"/>
      <c r="FP145" s="125"/>
      <c r="FQ145" s="125"/>
      <c r="FR145" s="125"/>
      <c r="FS145" s="125"/>
      <c r="FT145" s="125"/>
      <c r="FU145" s="125"/>
      <c r="FV145" s="125"/>
      <c r="FW145" s="125"/>
      <c r="FX145" s="125"/>
      <c r="FY145" s="125"/>
      <c r="FZ145" s="125"/>
      <c r="GA145" s="125"/>
      <c r="GB145" s="125"/>
      <c r="GC145" s="125"/>
      <c r="GD145" s="125"/>
      <c r="GE145" s="125"/>
      <c r="GF145" s="125"/>
      <c r="GG145" s="125"/>
      <c r="GH145" s="125"/>
      <c r="GI145" s="125"/>
      <c r="GJ145" s="125"/>
      <c r="GK145" s="125"/>
      <c r="GL145" s="125"/>
      <c r="GM145" s="125"/>
      <c r="GN145" s="125"/>
      <c r="GO145" s="125"/>
      <c r="GP145" s="125"/>
      <c r="GQ145" s="125"/>
      <c r="GR145" s="125"/>
      <c r="GS145" s="125"/>
      <c r="GT145" s="125"/>
      <c r="GU145" s="125"/>
      <c r="GV145" s="125"/>
      <c r="GW145" s="125"/>
      <c r="GX145" s="125"/>
      <c r="GY145" s="125"/>
      <c r="GZ145" s="125"/>
      <c r="HA145" s="125"/>
      <c r="HB145" s="125"/>
      <c r="HC145" s="125"/>
      <c r="HD145" s="125"/>
      <c r="HE145" s="125"/>
      <c r="HF145" s="125"/>
      <c r="HG145" s="125"/>
      <c r="HH145" s="125"/>
      <c r="HI145" s="125"/>
      <c r="HJ145" s="125"/>
      <c r="HK145" s="125"/>
      <c r="HL145" s="125"/>
      <c r="HM145" s="125"/>
      <c r="HN145" s="125"/>
      <c r="HO145" s="125"/>
      <c r="HP145" s="125"/>
      <c r="HQ145" s="125"/>
      <c r="HR145" s="125"/>
      <c r="HS145" s="125"/>
      <c r="HT145" s="125"/>
      <c r="HU145" s="125"/>
      <c r="HV145" s="125"/>
      <c r="HW145" s="125"/>
      <c r="HX145" s="125"/>
      <c r="HY145" s="125"/>
      <c r="HZ145" s="125"/>
      <c r="IA145" s="125"/>
      <c r="IB145" s="125"/>
      <c r="IC145" s="125"/>
      <c r="ID145" s="125"/>
      <c r="IE145" s="125"/>
      <c r="IF145" s="125"/>
      <c r="IG145" s="125"/>
      <c r="IH145" s="125"/>
      <c r="II145" s="125"/>
      <c r="IJ145" s="125"/>
      <c r="IK145" s="125"/>
      <c r="IL145" s="125"/>
      <c r="IM145" s="125"/>
      <c r="IN145" s="125"/>
      <c r="IO145" s="125"/>
      <c r="IP145" s="125"/>
      <c r="IQ145" s="125"/>
      <c r="IR145" s="125"/>
      <c r="IS145" s="125"/>
      <c r="IT145" s="125"/>
      <c r="IU145" s="125"/>
      <c r="IV145" s="125"/>
      <c r="IW145" s="125"/>
      <c r="IX145" s="125"/>
      <c r="IY145" s="125"/>
      <c r="IZ145" s="125"/>
      <c r="JA145" s="125"/>
      <c r="JB145" s="125"/>
      <c r="JC145" s="125"/>
      <c r="JD145" s="125"/>
      <c r="JE145" s="125"/>
      <c r="JF145" s="125"/>
      <c r="JG145" s="125"/>
      <c r="JH145" s="125"/>
      <c r="JI145" s="125"/>
      <c r="JJ145" s="125"/>
      <c r="JK145" s="125"/>
      <c r="JL145" s="125"/>
      <c r="JM145" s="125"/>
      <c r="JN145" s="125"/>
      <c r="JO145" s="125"/>
      <c r="JP145" s="125"/>
      <c r="JQ145" s="125"/>
      <c r="JR145" s="125"/>
      <c r="JS145" s="125"/>
      <c r="JT145" s="125"/>
      <c r="JU145" s="125"/>
      <c r="JV145" s="125"/>
      <c r="JW145" s="125"/>
      <c r="JX145" s="125"/>
      <c r="JY145" s="125"/>
      <c r="JZ145" s="125"/>
      <c r="KA145" s="125"/>
      <c r="KB145" s="125"/>
      <c r="KC145" s="125"/>
      <c r="KD145" s="125"/>
      <c r="KE145" s="125"/>
      <c r="KF145" s="125"/>
      <c r="KG145" s="125"/>
      <c r="KH145" s="125"/>
      <c r="KI145" s="125"/>
      <c r="KJ145" s="125"/>
      <c r="KK145" s="125"/>
      <c r="KL145" s="125"/>
      <c r="KM145" s="125"/>
      <c r="KN145" s="125"/>
      <c r="KO145" s="125"/>
      <c r="KP145" s="125"/>
      <c r="KQ145" s="125"/>
      <c r="KR145" s="125"/>
      <c r="KS145" s="125"/>
      <c r="KT145" s="125"/>
      <c r="KU145" s="125"/>
      <c r="KV145" s="125"/>
      <c r="KW145" s="125"/>
      <c r="KX145" s="125"/>
      <c r="KY145" s="125"/>
      <c r="KZ145" s="125"/>
      <c r="LA145" s="125"/>
      <c r="LB145" s="125"/>
      <c r="LC145" s="125"/>
      <c r="LD145" s="125"/>
      <c r="LE145" s="125"/>
      <c r="LF145" s="125"/>
      <c r="LG145" s="125"/>
      <c r="LH145" s="125"/>
      <c r="LI145" s="125"/>
      <c r="LJ145" s="125"/>
      <c r="LK145" s="125"/>
      <c r="LL145" s="125"/>
      <c r="LM145" s="125"/>
      <c r="LN145" s="125"/>
      <c r="LO145" s="125"/>
      <c r="LP145" s="125"/>
      <c r="LQ145" s="125"/>
    </row>
    <row r="146" spans="1:329" ht="15" customHeight="1">
      <c r="A146" s="126">
        <v>1101836</v>
      </c>
      <c r="B146" s="127" t="s">
        <v>341</v>
      </c>
      <c r="C146" s="216" t="s">
        <v>342</v>
      </c>
      <c r="D146" s="122">
        <v>3</v>
      </c>
      <c r="E146" s="122">
        <f t="shared" si="4"/>
        <v>5.0420168067226889</v>
      </c>
      <c r="F146" s="122">
        <f t="shared" si="5"/>
        <v>6</v>
      </c>
      <c r="G146" s="122"/>
      <c r="H146" s="122"/>
      <c r="I146" s="38" t="s">
        <v>28</v>
      </c>
      <c r="J146" s="8"/>
      <c r="K146" s="54" t="s">
        <v>28</v>
      </c>
      <c r="L146" s="54"/>
      <c r="M146" s="54"/>
      <c r="O146" s="54"/>
      <c r="P146" s="54"/>
      <c r="Q146" s="54"/>
      <c r="R146" s="123">
        <v>7350057585344</v>
      </c>
      <c r="S146" s="105"/>
      <c r="T146" s="105"/>
      <c r="U146" s="105"/>
      <c r="AQ146" s="125"/>
      <c r="AR146" s="125"/>
      <c r="AS146" s="125"/>
      <c r="AT146" s="125"/>
      <c r="AU146" s="125"/>
      <c r="AV146" s="125"/>
      <c r="AW146" s="125"/>
      <c r="AX146" s="125"/>
      <c r="AY146" s="125"/>
      <c r="AZ146" s="125"/>
      <c r="BA146" s="125"/>
      <c r="BB146" s="125"/>
      <c r="BC146" s="125"/>
      <c r="BD146" s="125"/>
      <c r="BE146" s="125"/>
      <c r="BF146" s="125"/>
      <c r="BG146" s="125"/>
      <c r="BH146" s="125"/>
      <c r="BI146" s="125"/>
      <c r="BJ146" s="125"/>
      <c r="BK146" s="125"/>
      <c r="BL146" s="125"/>
      <c r="BM146" s="125"/>
      <c r="BN146" s="125"/>
      <c r="BO146" s="125"/>
      <c r="BP146" s="125"/>
      <c r="BQ146" s="125"/>
      <c r="BR146" s="125"/>
      <c r="BS146" s="125"/>
      <c r="BT146" s="125"/>
      <c r="BU146" s="125"/>
      <c r="BV146" s="125"/>
      <c r="BW146" s="125"/>
      <c r="BX146" s="125"/>
      <c r="BY146" s="125"/>
      <c r="BZ146" s="125"/>
      <c r="CA146" s="125"/>
      <c r="CB146" s="125"/>
      <c r="CC146" s="125"/>
      <c r="CD146" s="125"/>
      <c r="CE146" s="125"/>
      <c r="CF146" s="125"/>
      <c r="CG146" s="125"/>
      <c r="CH146" s="125"/>
      <c r="CI146" s="125"/>
      <c r="CJ146" s="125"/>
      <c r="CK146" s="125"/>
      <c r="CL146" s="125"/>
      <c r="CM146" s="125"/>
      <c r="CN146" s="125"/>
      <c r="CO146" s="125"/>
      <c r="CP146" s="125"/>
      <c r="CQ146" s="125"/>
      <c r="CR146" s="125"/>
      <c r="CS146" s="125"/>
      <c r="CT146" s="125"/>
      <c r="CU146" s="125"/>
      <c r="CV146" s="125"/>
      <c r="CW146" s="125"/>
      <c r="CX146" s="125"/>
      <c r="CY146" s="125"/>
      <c r="CZ146" s="125"/>
      <c r="DA146" s="125"/>
      <c r="DB146" s="125"/>
      <c r="DC146" s="125"/>
      <c r="DD146" s="125"/>
      <c r="DE146" s="125"/>
      <c r="DF146" s="125"/>
      <c r="DG146" s="125"/>
      <c r="DH146" s="125"/>
      <c r="DI146" s="125"/>
      <c r="DJ146" s="125"/>
      <c r="DK146" s="125"/>
      <c r="DL146" s="125"/>
      <c r="DM146" s="125"/>
      <c r="DN146" s="125"/>
      <c r="DO146" s="125"/>
      <c r="DP146" s="125"/>
      <c r="DQ146" s="125"/>
      <c r="DR146" s="125"/>
      <c r="DS146" s="125"/>
      <c r="DT146" s="125"/>
      <c r="DU146" s="125"/>
      <c r="DV146" s="125"/>
      <c r="DW146" s="125"/>
      <c r="DX146" s="125"/>
      <c r="DY146" s="125"/>
      <c r="DZ146" s="125"/>
      <c r="EA146" s="125"/>
      <c r="EB146" s="125"/>
      <c r="EC146" s="125"/>
      <c r="ED146" s="125"/>
      <c r="EE146" s="125"/>
      <c r="EF146" s="125"/>
      <c r="EG146" s="125"/>
      <c r="EH146" s="125"/>
      <c r="EI146" s="125"/>
      <c r="EJ146" s="125"/>
      <c r="EK146" s="125"/>
      <c r="EL146" s="125"/>
      <c r="EM146" s="125"/>
      <c r="EN146" s="125"/>
      <c r="EO146" s="125"/>
      <c r="EP146" s="125"/>
      <c r="EQ146" s="125"/>
      <c r="ER146" s="125"/>
      <c r="ES146" s="125"/>
      <c r="ET146" s="125"/>
      <c r="EU146" s="125"/>
      <c r="EV146" s="125"/>
      <c r="EW146" s="125"/>
      <c r="EX146" s="125"/>
      <c r="EY146" s="125"/>
      <c r="EZ146" s="125"/>
      <c r="FA146" s="125"/>
      <c r="FB146" s="125"/>
      <c r="FC146" s="125"/>
      <c r="FD146" s="125"/>
      <c r="FE146" s="125"/>
      <c r="FF146" s="125"/>
      <c r="FG146" s="125"/>
      <c r="FH146" s="125"/>
      <c r="FI146" s="125"/>
      <c r="FJ146" s="125"/>
      <c r="FK146" s="125"/>
      <c r="FL146" s="125"/>
      <c r="FM146" s="125"/>
      <c r="FN146" s="125"/>
      <c r="FO146" s="125"/>
      <c r="FP146" s="125"/>
      <c r="FQ146" s="125"/>
      <c r="FR146" s="125"/>
      <c r="FS146" s="125"/>
      <c r="FT146" s="125"/>
      <c r="FU146" s="125"/>
      <c r="FV146" s="125"/>
      <c r="FW146" s="125"/>
      <c r="FX146" s="125"/>
      <c r="FY146" s="125"/>
      <c r="FZ146" s="125"/>
      <c r="GA146" s="125"/>
      <c r="GB146" s="125"/>
      <c r="GC146" s="125"/>
      <c r="GD146" s="125"/>
      <c r="GE146" s="125"/>
      <c r="GF146" s="125"/>
      <c r="GG146" s="125"/>
      <c r="GH146" s="125"/>
      <c r="GI146" s="125"/>
      <c r="GJ146" s="125"/>
      <c r="GK146" s="125"/>
      <c r="GL146" s="125"/>
      <c r="GM146" s="125"/>
      <c r="GN146" s="125"/>
      <c r="GO146" s="125"/>
      <c r="GP146" s="125"/>
      <c r="GQ146" s="125"/>
      <c r="GR146" s="125"/>
      <c r="GS146" s="125"/>
      <c r="GT146" s="125"/>
      <c r="GU146" s="125"/>
      <c r="GV146" s="125"/>
      <c r="GW146" s="125"/>
      <c r="GX146" s="125"/>
      <c r="GY146" s="125"/>
      <c r="GZ146" s="125"/>
      <c r="HA146" s="125"/>
      <c r="HB146" s="125"/>
      <c r="HC146" s="125"/>
      <c r="HD146" s="125"/>
      <c r="HE146" s="125"/>
      <c r="HF146" s="125"/>
      <c r="HG146" s="125"/>
      <c r="HH146" s="125"/>
      <c r="HI146" s="125"/>
      <c r="HJ146" s="125"/>
      <c r="HK146" s="125"/>
      <c r="HL146" s="125"/>
      <c r="HM146" s="125"/>
      <c r="HN146" s="125"/>
      <c r="HO146" s="125"/>
      <c r="HP146" s="125"/>
      <c r="HQ146" s="125"/>
      <c r="HR146" s="125"/>
      <c r="HS146" s="125"/>
      <c r="HT146" s="125"/>
      <c r="HU146" s="125"/>
      <c r="HV146" s="125"/>
      <c r="HW146" s="125"/>
      <c r="HX146" s="125"/>
      <c r="HY146" s="125"/>
      <c r="HZ146" s="125"/>
      <c r="IA146" s="125"/>
      <c r="IB146" s="125"/>
      <c r="IC146" s="125"/>
      <c r="ID146" s="125"/>
      <c r="IE146" s="125"/>
      <c r="IF146" s="125"/>
      <c r="IG146" s="125"/>
      <c r="IH146" s="125"/>
      <c r="II146" s="125"/>
      <c r="IJ146" s="125"/>
      <c r="IK146" s="125"/>
      <c r="IL146" s="125"/>
      <c r="IM146" s="125"/>
      <c r="IN146" s="125"/>
      <c r="IO146" s="125"/>
      <c r="IP146" s="125"/>
      <c r="IQ146" s="125"/>
      <c r="IR146" s="125"/>
      <c r="IS146" s="125"/>
      <c r="IT146" s="125"/>
      <c r="IU146" s="125"/>
      <c r="IV146" s="125"/>
      <c r="IW146" s="125"/>
      <c r="IX146" s="125"/>
      <c r="IY146" s="125"/>
      <c r="IZ146" s="125"/>
      <c r="JA146" s="125"/>
      <c r="JB146" s="125"/>
      <c r="JC146" s="125"/>
      <c r="JD146" s="125"/>
      <c r="JE146" s="125"/>
      <c r="JF146" s="125"/>
      <c r="JG146" s="125"/>
      <c r="JH146" s="125"/>
      <c r="JI146" s="125"/>
      <c r="JJ146" s="125"/>
      <c r="JK146" s="125"/>
      <c r="JL146" s="125"/>
      <c r="JM146" s="125"/>
      <c r="JN146" s="125"/>
      <c r="JO146" s="125"/>
      <c r="JP146" s="125"/>
      <c r="JQ146" s="125"/>
      <c r="JR146" s="125"/>
      <c r="JS146" s="125"/>
      <c r="JT146" s="125"/>
      <c r="JU146" s="125"/>
      <c r="JV146" s="125"/>
      <c r="JW146" s="125"/>
      <c r="JX146" s="125"/>
      <c r="JY146" s="125"/>
      <c r="JZ146" s="125"/>
      <c r="KA146" s="125"/>
      <c r="KB146" s="125"/>
      <c r="KC146" s="125"/>
      <c r="KD146" s="125"/>
      <c r="KE146" s="125"/>
      <c r="KF146" s="125"/>
      <c r="KG146" s="125"/>
      <c r="KH146" s="125"/>
      <c r="KI146" s="125"/>
      <c r="KJ146" s="125"/>
      <c r="KK146" s="125"/>
      <c r="KL146" s="125"/>
      <c r="KM146" s="125"/>
      <c r="KN146" s="125"/>
      <c r="KO146" s="125"/>
      <c r="KP146" s="125"/>
      <c r="KQ146" s="125"/>
      <c r="KR146" s="125"/>
      <c r="KS146" s="125"/>
      <c r="KT146" s="125"/>
      <c r="KU146" s="125"/>
      <c r="KV146" s="125"/>
      <c r="KW146" s="125"/>
      <c r="KX146" s="125"/>
      <c r="KY146" s="125"/>
      <c r="KZ146" s="125"/>
      <c r="LA146" s="125"/>
      <c r="LB146" s="125"/>
      <c r="LC146" s="125"/>
      <c r="LD146" s="125"/>
      <c r="LE146" s="125"/>
      <c r="LF146" s="125"/>
      <c r="LG146" s="125"/>
      <c r="LH146" s="125"/>
      <c r="LI146" s="125"/>
      <c r="LJ146" s="125"/>
      <c r="LK146" s="125"/>
      <c r="LL146" s="125"/>
      <c r="LM146" s="125"/>
      <c r="LN146" s="125"/>
      <c r="LO146" s="125"/>
      <c r="LP146" s="125"/>
      <c r="LQ146" s="125"/>
    </row>
    <row r="147" spans="1:329" ht="15" customHeight="1">
      <c r="A147" s="126">
        <v>1101837</v>
      </c>
      <c r="B147" s="127" t="s">
        <v>343</v>
      </c>
      <c r="C147" s="214" t="s">
        <v>344</v>
      </c>
      <c r="D147" s="122">
        <v>10</v>
      </c>
      <c r="E147" s="122">
        <f t="shared" si="4"/>
        <v>16.806722689075631</v>
      </c>
      <c r="F147" s="122">
        <f t="shared" si="5"/>
        <v>20</v>
      </c>
      <c r="G147" s="122"/>
      <c r="H147" s="122"/>
      <c r="I147" s="8"/>
      <c r="J147" s="8"/>
      <c r="K147" s="54" t="s">
        <v>28</v>
      </c>
      <c r="L147" s="54"/>
      <c r="M147" s="54"/>
      <c r="O147" s="54"/>
      <c r="P147" s="54"/>
      <c r="Q147" s="54"/>
      <c r="R147" s="123">
        <v>7350057585269</v>
      </c>
      <c r="S147" s="105"/>
      <c r="T147" s="105"/>
      <c r="U147" s="105"/>
      <c r="AQ147" s="125"/>
      <c r="AR147" s="125"/>
      <c r="AS147" s="125"/>
      <c r="AT147" s="125"/>
      <c r="AU147" s="125"/>
      <c r="AV147" s="125"/>
      <c r="AW147" s="125"/>
      <c r="AX147" s="125"/>
      <c r="AY147" s="125"/>
      <c r="AZ147" s="125"/>
      <c r="BA147" s="125"/>
      <c r="BB147" s="125"/>
      <c r="BC147" s="125"/>
      <c r="BD147" s="125"/>
      <c r="BE147" s="125"/>
      <c r="BF147" s="125"/>
      <c r="BG147" s="125"/>
      <c r="BH147" s="125"/>
      <c r="BI147" s="125"/>
      <c r="BJ147" s="125"/>
      <c r="BK147" s="125"/>
      <c r="BL147" s="125"/>
      <c r="BM147" s="125"/>
      <c r="BN147" s="125"/>
      <c r="BO147" s="125"/>
      <c r="BP147" s="125"/>
      <c r="BQ147" s="125"/>
      <c r="BR147" s="125"/>
      <c r="BS147" s="125"/>
      <c r="BT147" s="125"/>
      <c r="BU147" s="125"/>
      <c r="BV147" s="125"/>
      <c r="BW147" s="125"/>
      <c r="BX147" s="125"/>
      <c r="BY147" s="125"/>
      <c r="BZ147" s="125"/>
      <c r="CA147" s="125"/>
      <c r="CB147" s="125"/>
      <c r="CC147" s="125"/>
      <c r="CD147" s="125"/>
      <c r="CE147" s="125"/>
      <c r="CF147" s="125"/>
      <c r="CG147" s="125"/>
      <c r="CH147" s="125"/>
      <c r="CI147" s="125"/>
      <c r="CJ147" s="125"/>
      <c r="CK147" s="125"/>
      <c r="CL147" s="125"/>
      <c r="CM147" s="125"/>
      <c r="CN147" s="125"/>
      <c r="CO147" s="125"/>
      <c r="CP147" s="125"/>
      <c r="CQ147" s="125"/>
      <c r="CR147" s="125"/>
      <c r="CS147" s="125"/>
      <c r="CT147" s="125"/>
      <c r="CU147" s="125"/>
      <c r="CV147" s="125"/>
      <c r="CW147" s="125"/>
      <c r="CX147" s="125"/>
      <c r="CY147" s="125"/>
      <c r="CZ147" s="125"/>
      <c r="DA147" s="125"/>
      <c r="DB147" s="125"/>
      <c r="DC147" s="125"/>
      <c r="DD147" s="125"/>
      <c r="DE147" s="125"/>
      <c r="DF147" s="125"/>
      <c r="DG147" s="125"/>
      <c r="DH147" s="125"/>
      <c r="DI147" s="125"/>
      <c r="DJ147" s="125"/>
      <c r="DK147" s="125"/>
      <c r="DL147" s="125"/>
      <c r="DM147" s="125"/>
      <c r="DN147" s="125"/>
      <c r="DO147" s="125"/>
      <c r="DP147" s="125"/>
      <c r="DQ147" s="125"/>
      <c r="DR147" s="125"/>
      <c r="DS147" s="125"/>
      <c r="DT147" s="125"/>
      <c r="DU147" s="125"/>
      <c r="DV147" s="125"/>
      <c r="DW147" s="125"/>
      <c r="DX147" s="125"/>
      <c r="DY147" s="125"/>
      <c r="DZ147" s="125"/>
      <c r="EA147" s="125"/>
      <c r="EB147" s="125"/>
      <c r="EC147" s="125"/>
      <c r="ED147" s="125"/>
      <c r="EE147" s="125"/>
      <c r="EF147" s="125"/>
      <c r="EG147" s="125"/>
      <c r="EH147" s="125"/>
      <c r="EI147" s="125"/>
      <c r="EJ147" s="125"/>
      <c r="EK147" s="125"/>
      <c r="EL147" s="125"/>
      <c r="EM147" s="125"/>
      <c r="EN147" s="125"/>
      <c r="EO147" s="125"/>
      <c r="EP147" s="125"/>
      <c r="EQ147" s="125"/>
      <c r="ER147" s="125"/>
      <c r="ES147" s="125"/>
      <c r="ET147" s="125"/>
      <c r="EU147" s="125"/>
      <c r="EV147" s="125"/>
      <c r="EW147" s="125"/>
      <c r="EX147" s="125"/>
      <c r="EY147" s="125"/>
      <c r="EZ147" s="125"/>
      <c r="FA147" s="125"/>
      <c r="FB147" s="125"/>
      <c r="FC147" s="125"/>
      <c r="FD147" s="125"/>
      <c r="FE147" s="125"/>
      <c r="FF147" s="125"/>
      <c r="FG147" s="125"/>
      <c r="FH147" s="125"/>
      <c r="FI147" s="125"/>
      <c r="FJ147" s="125"/>
      <c r="FK147" s="125"/>
      <c r="FL147" s="125"/>
      <c r="FM147" s="125"/>
      <c r="FN147" s="125"/>
      <c r="FO147" s="125"/>
      <c r="FP147" s="125"/>
      <c r="FQ147" s="125"/>
      <c r="FR147" s="125"/>
      <c r="FS147" s="125"/>
      <c r="FT147" s="125"/>
      <c r="FU147" s="125"/>
      <c r="FV147" s="125"/>
      <c r="FW147" s="125"/>
      <c r="FX147" s="125"/>
      <c r="FY147" s="125"/>
      <c r="FZ147" s="125"/>
      <c r="GA147" s="125"/>
      <c r="GB147" s="125"/>
      <c r="GC147" s="125"/>
      <c r="GD147" s="125"/>
      <c r="GE147" s="125"/>
      <c r="GF147" s="125"/>
      <c r="GG147" s="125"/>
      <c r="GH147" s="125"/>
      <c r="GI147" s="125"/>
      <c r="GJ147" s="125"/>
      <c r="GK147" s="125"/>
      <c r="GL147" s="125"/>
      <c r="GM147" s="125"/>
      <c r="GN147" s="125"/>
      <c r="GO147" s="125"/>
      <c r="GP147" s="125"/>
      <c r="GQ147" s="125"/>
      <c r="GR147" s="125"/>
      <c r="GS147" s="125"/>
      <c r="GT147" s="125"/>
      <c r="GU147" s="125"/>
      <c r="GV147" s="125"/>
      <c r="GW147" s="125"/>
      <c r="GX147" s="125"/>
      <c r="GY147" s="125"/>
      <c r="GZ147" s="125"/>
      <c r="HA147" s="125"/>
      <c r="HB147" s="125"/>
      <c r="HC147" s="125"/>
      <c r="HD147" s="125"/>
      <c r="HE147" s="125"/>
      <c r="HF147" s="125"/>
      <c r="HG147" s="125"/>
      <c r="HH147" s="125"/>
      <c r="HI147" s="125"/>
      <c r="HJ147" s="125"/>
      <c r="HK147" s="125"/>
      <c r="HL147" s="125"/>
      <c r="HM147" s="125"/>
      <c r="HN147" s="125"/>
      <c r="HO147" s="125"/>
      <c r="HP147" s="125"/>
      <c r="HQ147" s="125"/>
      <c r="HR147" s="125"/>
      <c r="HS147" s="125"/>
      <c r="HT147" s="125"/>
      <c r="HU147" s="125"/>
      <c r="HV147" s="125"/>
      <c r="HW147" s="125"/>
      <c r="HX147" s="125"/>
      <c r="HY147" s="125"/>
      <c r="HZ147" s="125"/>
      <c r="IA147" s="125"/>
      <c r="IB147" s="125"/>
      <c r="IC147" s="125"/>
      <c r="ID147" s="125"/>
      <c r="IE147" s="125"/>
      <c r="IF147" s="125"/>
      <c r="IG147" s="125"/>
      <c r="IH147" s="125"/>
      <c r="II147" s="125"/>
      <c r="IJ147" s="125"/>
      <c r="IK147" s="125"/>
      <c r="IL147" s="125"/>
      <c r="IM147" s="125"/>
      <c r="IN147" s="125"/>
      <c r="IO147" s="125"/>
      <c r="IP147" s="125"/>
      <c r="IQ147" s="125"/>
      <c r="IR147" s="125"/>
      <c r="IS147" s="125"/>
      <c r="IT147" s="125"/>
      <c r="IU147" s="125"/>
      <c r="IV147" s="125"/>
      <c r="IW147" s="125"/>
      <c r="IX147" s="125"/>
      <c r="IY147" s="125"/>
      <c r="IZ147" s="125"/>
      <c r="JA147" s="125"/>
      <c r="JB147" s="125"/>
      <c r="JC147" s="125"/>
      <c r="JD147" s="125"/>
      <c r="JE147" s="125"/>
      <c r="JF147" s="125"/>
      <c r="JG147" s="125"/>
      <c r="JH147" s="125"/>
      <c r="JI147" s="125"/>
      <c r="JJ147" s="125"/>
      <c r="JK147" s="125"/>
      <c r="JL147" s="125"/>
      <c r="JM147" s="125"/>
      <c r="JN147" s="125"/>
      <c r="JO147" s="125"/>
      <c r="JP147" s="125"/>
      <c r="JQ147" s="125"/>
      <c r="JR147" s="125"/>
      <c r="JS147" s="125"/>
      <c r="JT147" s="125"/>
      <c r="JU147" s="125"/>
      <c r="JV147" s="125"/>
      <c r="JW147" s="125"/>
      <c r="JX147" s="125"/>
      <c r="JY147" s="125"/>
      <c r="JZ147" s="125"/>
      <c r="KA147" s="125"/>
      <c r="KB147" s="125"/>
      <c r="KC147" s="125"/>
      <c r="KD147" s="125"/>
      <c r="KE147" s="125"/>
      <c r="KF147" s="125"/>
      <c r="KG147" s="125"/>
      <c r="KH147" s="125"/>
      <c r="KI147" s="125"/>
      <c r="KJ147" s="125"/>
      <c r="KK147" s="125"/>
      <c r="KL147" s="125"/>
      <c r="KM147" s="125"/>
      <c r="KN147" s="125"/>
      <c r="KO147" s="125"/>
      <c r="KP147" s="125"/>
      <c r="KQ147" s="125"/>
      <c r="KR147" s="125"/>
      <c r="KS147" s="125"/>
      <c r="KT147" s="125"/>
      <c r="KU147" s="125"/>
      <c r="KV147" s="125"/>
      <c r="KW147" s="125"/>
      <c r="KX147" s="125"/>
      <c r="KY147" s="125"/>
      <c r="KZ147" s="125"/>
      <c r="LA147" s="125"/>
      <c r="LB147" s="125"/>
      <c r="LC147" s="125"/>
      <c r="LD147" s="125"/>
      <c r="LE147" s="125"/>
      <c r="LF147" s="125"/>
      <c r="LG147" s="125"/>
      <c r="LH147" s="125"/>
      <c r="LI147" s="125"/>
      <c r="LJ147" s="125"/>
      <c r="LK147" s="125"/>
      <c r="LL147" s="125"/>
      <c r="LM147" s="125"/>
      <c r="LN147" s="125"/>
      <c r="LO147" s="125"/>
      <c r="LP147" s="125"/>
      <c r="LQ147" s="125"/>
    </row>
    <row r="148" spans="1:329" ht="15" customHeight="1">
      <c r="A148" s="138">
        <v>1101921</v>
      </c>
      <c r="B148" s="72"/>
      <c r="C148" s="213" t="s">
        <v>345</v>
      </c>
      <c r="D148" s="122">
        <v>70</v>
      </c>
      <c r="E148" s="122">
        <f t="shared" si="4"/>
        <v>117.64705882352942</v>
      </c>
      <c r="F148" s="122">
        <f t="shared" si="5"/>
        <v>140</v>
      </c>
      <c r="G148" s="135" t="s">
        <v>28</v>
      </c>
      <c r="H148" s="135" t="s">
        <v>28</v>
      </c>
      <c r="I148" s="8"/>
      <c r="J148" s="8"/>
      <c r="Q148" s="11"/>
      <c r="R148" s="139">
        <v>7350057584804</v>
      </c>
      <c r="S148" s="72"/>
      <c r="T148" s="72"/>
      <c r="U148" s="72"/>
    </row>
    <row r="149" spans="1:329" s="27" customFormat="1" ht="15" customHeight="1">
      <c r="A149" s="85">
        <v>1101922</v>
      </c>
      <c r="B149" s="72" t="s">
        <v>346</v>
      </c>
      <c r="C149" s="213" t="s">
        <v>347</v>
      </c>
      <c r="D149" s="122">
        <v>78</v>
      </c>
      <c r="E149" s="122">
        <f t="shared" si="4"/>
        <v>131.09243697478993</v>
      </c>
      <c r="F149" s="122">
        <f t="shared" si="5"/>
        <v>156</v>
      </c>
      <c r="G149" s="38" t="s">
        <v>28</v>
      </c>
      <c r="H149" s="38" t="s">
        <v>28</v>
      </c>
      <c r="I149" s="11"/>
      <c r="J149" s="11"/>
      <c r="K149" s="11"/>
      <c r="L149" s="11"/>
      <c r="M149" s="11"/>
      <c r="N149" s="11"/>
      <c r="O149" s="11"/>
      <c r="P149" s="8"/>
      <c r="Q149" s="1"/>
      <c r="R149" s="139">
        <v>7350057584811</v>
      </c>
      <c r="S149" s="129"/>
      <c r="T149" s="129"/>
      <c r="U149" s="129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</row>
    <row r="150" spans="1:329" s="27" customFormat="1" ht="15" customHeight="1">
      <c r="A150" s="138">
        <v>1101924</v>
      </c>
      <c r="B150" s="72" t="s">
        <v>348</v>
      </c>
      <c r="C150" s="213" t="s">
        <v>349</v>
      </c>
      <c r="D150" s="122">
        <v>12</v>
      </c>
      <c r="E150" s="122">
        <f t="shared" si="4"/>
        <v>20.168067226890756</v>
      </c>
      <c r="F150" s="122">
        <f t="shared" si="5"/>
        <v>24</v>
      </c>
      <c r="G150" s="38" t="s">
        <v>28</v>
      </c>
      <c r="H150" s="38" t="s">
        <v>28</v>
      </c>
      <c r="I150" s="11"/>
      <c r="J150" s="11"/>
      <c r="K150" s="11"/>
      <c r="L150" s="11"/>
      <c r="M150" s="11"/>
      <c r="N150" s="11"/>
      <c r="O150" s="11"/>
      <c r="P150" s="11"/>
      <c r="Q150" s="1"/>
      <c r="R150" s="139">
        <v>7350057584828</v>
      </c>
      <c r="S150" s="129"/>
      <c r="T150" s="129"/>
      <c r="U150" s="129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</row>
    <row r="151" spans="1:329" s="27" customFormat="1" ht="15" customHeight="1">
      <c r="A151" s="138">
        <v>1101925</v>
      </c>
      <c r="B151" s="72" t="s">
        <v>350</v>
      </c>
      <c r="C151" s="213" t="s">
        <v>351</v>
      </c>
      <c r="D151" s="122">
        <v>3</v>
      </c>
      <c r="E151" s="122">
        <f t="shared" si="4"/>
        <v>5.0420168067226889</v>
      </c>
      <c r="F151" s="122">
        <f t="shared" si="5"/>
        <v>6</v>
      </c>
      <c r="G151" s="38" t="s">
        <v>28</v>
      </c>
      <c r="H151" s="38" t="s">
        <v>28</v>
      </c>
      <c r="I151" s="11"/>
      <c r="J151" s="11"/>
      <c r="K151" s="11"/>
      <c r="L151" s="11"/>
      <c r="M151" s="11"/>
      <c r="N151" s="11"/>
      <c r="O151" s="11"/>
      <c r="P151" s="11"/>
      <c r="Q151" s="1"/>
      <c r="R151" s="139">
        <v>7350057584835</v>
      </c>
      <c r="S151" s="129"/>
      <c r="T151" s="129"/>
      <c r="U151" s="129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</row>
    <row r="152" spans="1:329" s="27" customFormat="1" ht="15" customHeight="1">
      <c r="A152" s="138">
        <v>1101926</v>
      </c>
      <c r="B152" s="140" t="s">
        <v>352</v>
      </c>
      <c r="C152" s="213" t="s">
        <v>353</v>
      </c>
      <c r="D152" s="122">
        <v>24</v>
      </c>
      <c r="E152" s="122">
        <f t="shared" si="4"/>
        <v>40.336134453781511</v>
      </c>
      <c r="F152" s="122">
        <f t="shared" si="5"/>
        <v>48</v>
      </c>
      <c r="G152" s="38" t="s">
        <v>28</v>
      </c>
      <c r="H152" s="38" t="s">
        <v>28</v>
      </c>
      <c r="I152" s="11"/>
      <c r="J152" s="11"/>
      <c r="K152" s="11"/>
      <c r="L152" s="11"/>
      <c r="M152" s="11"/>
      <c r="N152" s="11"/>
      <c r="O152" s="11"/>
      <c r="P152" s="11"/>
      <c r="Q152" s="1"/>
      <c r="R152" s="139">
        <v>7350057584842</v>
      </c>
      <c r="S152" s="129"/>
      <c r="T152" s="129"/>
      <c r="U152" s="129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</row>
    <row r="153" spans="1:329" s="27" customFormat="1" ht="15" customHeight="1">
      <c r="A153" s="138">
        <v>1101927</v>
      </c>
      <c r="B153" s="72" t="s">
        <v>354</v>
      </c>
      <c r="C153" s="213" t="s">
        <v>355</v>
      </c>
      <c r="D153" s="122">
        <v>5</v>
      </c>
      <c r="E153" s="122">
        <f t="shared" si="4"/>
        <v>8.4033613445378155</v>
      </c>
      <c r="F153" s="122">
        <f t="shared" si="5"/>
        <v>10</v>
      </c>
      <c r="G153" s="38" t="s">
        <v>28</v>
      </c>
      <c r="H153" s="38" t="s">
        <v>28</v>
      </c>
      <c r="I153" s="11"/>
      <c r="J153" s="11"/>
      <c r="K153" s="11"/>
      <c r="L153" s="11"/>
      <c r="M153" s="11"/>
      <c r="N153" s="11"/>
      <c r="O153" s="11"/>
      <c r="P153" s="11"/>
      <c r="Q153" s="1"/>
      <c r="R153" s="139">
        <v>7350057584859</v>
      </c>
      <c r="S153" s="129"/>
      <c r="T153" s="129"/>
      <c r="U153" s="129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</row>
    <row r="154" spans="1:329" s="27" customFormat="1" ht="15" customHeight="1">
      <c r="A154" s="138">
        <v>1101928</v>
      </c>
      <c r="B154" s="72" t="s">
        <v>356</v>
      </c>
      <c r="C154" s="213" t="s">
        <v>357</v>
      </c>
      <c r="D154" s="122">
        <v>3</v>
      </c>
      <c r="E154" s="122">
        <f t="shared" si="4"/>
        <v>5.0420168067226889</v>
      </c>
      <c r="F154" s="122">
        <f t="shared" si="5"/>
        <v>6</v>
      </c>
      <c r="G154" s="38" t="s">
        <v>28</v>
      </c>
      <c r="H154" s="38" t="s">
        <v>28</v>
      </c>
      <c r="I154" s="11"/>
      <c r="J154" s="11"/>
      <c r="K154" s="11"/>
      <c r="L154" s="11"/>
      <c r="M154" s="11"/>
      <c r="N154" s="11"/>
      <c r="O154" s="11"/>
      <c r="P154" s="11"/>
      <c r="Q154" s="1"/>
      <c r="R154" s="139">
        <v>7350057584866</v>
      </c>
      <c r="S154" s="129"/>
      <c r="T154" s="129"/>
      <c r="U154" s="129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</row>
    <row r="155" spans="1:329" s="27" customFormat="1" ht="15" customHeight="1">
      <c r="A155" s="85">
        <v>1101929</v>
      </c>
      <c r="B155" s="72"/>
      <c r="C155" s="213" t="s">
        <v>358</v>
      </c>
      <c r="D155" s="122">
        <v>3</v>
      </c>
      <c r="E155" s="122">
        <f t="shared" si="4"/>
        <v>5.0420168067226889</v>
      </c>
      <c r="F155" s="122">
        <f t="shared" si="5"/>
        <v>6</v>
      </c>
      <c r="G155" s="38" t="s">
        <v>28</v>
      </c>
      <c r="H155" s="38" t="s">
        <v>28</v>
      </c>
      <c r="I155" s="11"/>
      <c r="J155" s="11"/>
      <c r="K155" s="11"/>
      <c r="L155" s="11"/>
      <c r="M155" s="11"/>
      <c r="N155" s="11"/>
      <c r="O155" s="11"/>
      <c r="P155" s="11"/>
      <c r="Q155" s="1"/>
      <c r="R155" s="139">
        <v>7350057584873</v>
      </c>
      <c r="S155" s="129"/>
      <c r="T155" s="129"/>
      <c r="U155" s="129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</row>
    <row r="156" spans="1:329" s="27" customFormat="1" ht="15" customHeight="1">
      <c r="A156" s="141" t="s">
        <v>359</v>
      </c>
      <c r="B156" s="211" t="s">
        <v>360</v>
      </c>
      <c r="C156" s="213" t="s">
        <v>360</v>
      </c>
      <c r="D156" s="122"/>
      <c r="E156" s="122">
        <f t="shared" si="4"/>
        <v>0</v>
      </c>
      <c r="F156" s="122">
        <f t="shared" si="5"/>
        <v>0</v>
      </c>
      <c r="G156" s="38"/>
      <c r="H156" s="38"/>
      <c r="I156" s="11"/>
      <c r="J156" s="11"/>
      <c r="K156" s="11"/>
      <c r="L156" s="11"/>
      <c r="M156" s="11"/>
      <c r="N156" s="11"/>
      <c r="O156" s="11"/>
      <c r="P156" s="11"/>
      <c r="Q156" s="1"/>
      <c r="R156" s="139"/>
      <c r="S156" s="129"/>
      <c r="T156" s="129"/>
      <c r="U156" s="129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</row>
    <row r="157" spans="1:329" s="27" customFormat="1" ht="15" customHeight="1">
      <c r="A157" s="141" t="s">
        <v>361</v>
      </c>
      <c r="B157" s="212" t="s">
        <v>362</v>
      </c>
      <c r="C157" s="213" t="s">
        <v>362</v>
      </c>
      <c r="D157" s="122"/>
      <c r="E157" s="122">
        <f t="shared" si="4"/>
        <v>0</v>
      </c>
      <c r="F157" s="122">
        <f t="shared" si="5"/>
        <v>0</v>
      </c>
      <c r="G157" s="38"/>
      <c r="H157" s="38"/>
      <c r="I157" s="11"/>
      <c r="J157" s="11"/>
      <c r="K157" s="11"/>
      <c r="L157" s="11"/>
      <c r="M157" s="11"/>
      <c r="N157" s="11"/>
      <c r="O157" s="11"/>
      <c r="P157" s="11"/>
      <c r="Q157" s="1"/>
      <c r="R157" s="139"/>
      <c r="S157" s="129"/>
      <c r="T157" s="129"/>
      <c r="U157" s="129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</row>
    <row r="158" spans="1:329" s="27" customFormat="1" ht="15" customHeight="1">
      <c r="A158" s="59">
        <v>1101933</v>
      </c>
      <c r="B158" s="128" t="s">
        <v>363</v>
      </c>
      <c r="C158" s="213" t="s">
        <v>364</v>
      </c>
      <c r="D158" s="142">
        <v>3</v>
      </c>
      <c r="E158" s="122">
        <f t="shared" si="4"/>
        <v>5.0420168067226889</v>
      </c>
      <c r="F158" s="122">
        <f t="shared" si="5"/>
        <v>6</v>
      </c>
      <c r="G158" s="38" t="s">
        <v>28</v>
      </c>
      <c r="H158" s="38" t="s">
        <v>28</v>
      </c>
      <c r="I158" s="11"/>
      <c r="J158" s="11"/>
      <c r="K158" s="11"/>
      <c r="L158" s="11"/>
      <c r="M158" s="11"/>
      <c r="N158" s="11"/>
      <c r="O158" s="11"/>
      <c r="P158" s="54"/>
      <c r="Q158" s="1"/>
      <c r="R158" s="123">
        <v>7350057584910</v>
      </c>
      <c r="S158" s="124" t="s">
        <v>365</v>
      </c>
      <c r="T158" s="124">
        <v>1720</v>
      </c>
      <c r="U158" s="124">
        <v>1360</v>
      </c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329" s="27" customFormat="1" ht="15" customHeight="1">
      <c r="A159" s="85">
        <v>1101934</v>
      </c>
      <c r="B159" s="72" t="s">
        <v>366</v>
      </c>
      <c r="C159" s="213" t="s">
        <v>367</v>
      </c>
      <c r="D159" s="122">
        <v>3</v>
      </c>
      <c r="E159" s="122">
        <f t="shared" si="4"/>
        <v>5.0420168067226889</v>
      </c>
      <c r="F159" s="122">
        <f t="shared" si="5"/>
        <v>6</v>
      </c>
      <c r="G159" s="38" t="s">
        <v>28</v>
      </c>
      <c r="H159" s="38" t="s">
        <v>28</v>
      </c>
      <c r="I159" s="11"/>
      <c r="J159" s="11"/>
      <c r="K159" s="11"/>
      <c r="L159" s="11"/>
      <c r="M159" s="11"/>
      <c r="N159" s="11"/>
      <c r="O159" s="11"/>
      <c r="P159" s="11"/>
      <c r="Q159" s="1"/>
      <c r="R159" s="139">
        <v>7350057584927</v>
      </c>
      <c r="S159" s="129"/>
      <c r="T159" s="129"/>
      <c r="U159" s="129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</row>
    <row r="160" spans="1:329" s="27" customFormat="1" ht="15" customHeight="1">
      <c r="A160" s="85">
        <v>1101935</v>
      </c>
      <c r="B160" s="72" t="s">
        <v>368</v>
      </c>
      <c r="C160" s="213" t="s">
        <v>369</v>
      </c>
      <c r="D160" s="122">
        <v>3</v>
      </c>
      <c r="E160" s="122">
        <f t="shared" si="4"/>
        <v>5.0420168067226889</v>
      </c>
      <c r="F160" s="122">
        <f t="shared" si="5"/>
        <v>6</v>
      </c>
      <c r="G160" s="38" t="s">
        <v>28</v>
      </c>
      <c r="H160" s="38" t="s">
        <v>28</v>
      </c>
      <c r="I160" s="11"/>
      <c r="J160" s="11"/>
      <c r="K160" s="11"/>
      <c r="L160" s="11"/>
      <c r="M160" s="11"/>
      <c r="N160" s="11"/>
      <c r="O160" s="11"/>
      <c r="P160" s="11"/>
      <c r="Q160" s="1"/>
      <c r="R160" s="139">
        <v>7350057584873</v>
      </c>
      <c r="S160" s="129"/>
      <c r="T160" s="129"/>
      <c r="U160" s="129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</row>
    <row r="161" spans="1:329" s="27" customFormat="1" ht="15" customHeight="1">
      <c r="A161" s="138">
        <v>1101936</v>
      </c>
      <c r="B161" s="72"/>
      <c r="C161" s="213" t="s">
        <v>370</v>
      </c>
      <c r="D161" s="122">
        <v>29</v>
      </c>
      <c r="E161" s="122">
        <f t="shared" si="4"/>
        <v>48.739495798319332</v>
      </c>
      <c r="F161" s="122">
        <f t="shared" si="5"/>
        <v>58</v>
      </c>
      <c r="G161" s="38" t="s">
        <v>28</v>
      </c>
      <c r="H161" s="38" t="s">
        <v>28</v>
      </c>
      <c r="I161" s="11"/>
      <c r="J161" s="11"/>
      <c r="K161" s="11"/>
      <c r="L161" s="11"/>
      <c r="M161" s="11"/>
      <c r="N161" s="11"/>
      <c r="O161" s="11"/>
      <c r="P161" s="11"/>
      <c r="Q161" s="1"/>
      <c r="R161" s="139">
        <v>7350057584941</v>
      </c>
      <c r="S161" s="129"/>
      <c r="T161" s="129"/>
      <c r="U161" s="129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</row>
    <row r="162" spans="1:329" s="27" customFormat="1" ht="15" customHeight="1">
      <c r="A162" s="85">
        <v>1101937</v>
      </c>
      <c r="B162" s="72" t="s">
        <v>371</v>
      </c>
      <c r="C162" s="213" t="s">
        <v>372</v>
      </c>
      <c r="D162" s="143">
        <v>50</v>
      </c>
      <c r="E162" s="122">
        <f t="shared" si="4"/>
        <v>84.033613445378151</v>
      </c>
      <c r="F162" s="122">
        <f t="shared" si="5"/>
        <v>100</v>
      </c>
      <c r="G162" s="38" t="s">
        <v>28</v>
      </c>
      <c r="H162" s="38" t="s">
        <v>28</v>
      </c>
      <c r="I162" s="11"/>
      <c r="J162" s="11"/>
      <c r="K162" s="11"/>
      <c r="L162" s="11"/>
      <c r="M162" s="11"/>
      <c r="N162" s="11"/>
      <c r="O162" s="11"/>
      <c r="P162" s="11"/>
      <c r="Q162" s="1"/>
      <c r="R162" s="139">
        <v>7350057584996</v>
      </c>
      <c r="S162" s="129"/>
      <c r="T162" s="129"/>
      <c r="U162" s="129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</row>
    <row r="163" spans="1:329" s="27" customFormat="1" ht="15" customHeight="1">
      <c r="A163" s="85">
        <v>1101938</v>
      </c>
      <c r="B163" s="72" t="s">
        <v>373</v>
      </c>
      <c r="C163" s="213" t="s">
        <v>374</v>
      </c>
      <c r="D163" s="143">
        <v>13</v>
      </c>
      <c r="E163" s="122">
        <f t="shared" si="4"/>
        <v>21.84873949579832</v>
      </c>
      <c r="F163" s="122">
        <f t="shared" si="5"/>
        <v>26</v>
      </c>
      <c r="G163" s="38" t="s">
        <v>28</v>
      </c>
      <c r="H163" s="38" t="s">
        <v>28</v>
      </c>
      <c r="I163" s="11"/>
      <c r="J163" s="11"/>
      <c r="K163" s="11"/>
      <c r="L163" s="11"/>
      <c r="M163" s="11"/>
      <c r="N163" s="11"/>
      <c r="O163" s="11"/>
      <c r="P163" s="11"/>
      <c r="Q163" s="1"/>
      <c r="R163" s="139">
        <v>7350057585009</v>
      </c>
      <c r="S163" s="129"/>
      <c r="T163" s="129"/>
      <c r="U163" s="129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</row>
    <row r="164" spans="1:329" ht="15" customHeight="1">
      <c r="A164" s="85">
        <v>1101982</v>
      </c>
      <c r="B164" s="72" t="s">
        <v>375</v>
      </c>
      <c r="C164" s="213" t="s">
        <v>376</v>
      </c>
      <c r="D164" s="143">
        <v>20</v>
      </c>
      <c r="E164" s="122">
        <f t="shared" si="4"/>
        <v>33.613445378151262</v>
      </c>
      <c r="F164" s="122">
        <f t="shared" si="5"/>
        <v>40</v>
      </c>
      <c r="G164" s="38" t="s">
        <v>28</v>
      </c>
      <c r="H164" s="38" t="s">
        <v>28</v>
      </c>
      <c r="R164" s="139">
        <v>7350057585016</v>
      </c>
      <c r="S164" s="72"/>
      <c r="T164" s="72"/>
      <c r="U164" s="72"/>
    </row>
    <row r="165" spans="1:329" ht="15" customHeight="1">
      <c r="A165" s="131">
        <v>1101983</v>
      </c>
      <c r="B165" s="132" t="s">
        <v>377</v>
      </c>
      <c r="C165" s="214" t="s">
        <v>378</v>
      </c>
      <c r="D165" s="143">
        <v>50</v>
      </c>
      <c r="E165" s="122">
        <f t="shared" si="4"/>
        <v>84.033613445378151</v>
      </c>
      <c r="F165" s="122">
        <f t="shared" si="5"/>
        <v>100</v>
      </c>
      <c r="G165" s="38" t="s">
        <v>28</v>
      </c>
      <c r="H165" s="38" t="s">
        <v>28</v>
      </c>
      <c r="R165" s="123">
        <v>7350057585023</v>
      </c>
      <c r="S165" s="105" t="s">
        <v>379</v>
      </c>
      <c r="T165" s="105">
        <v>2908</v>
      </c>
      <c r="U165" s="105">
        <v>2238</v>
      </c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  <c r="FS165" s="27"/>
      <c r="FT165" s="27"/>
      <c r="FU165" s="27"/>
      <c r="FV165" s="27"/>
      <c r="FW165" s="27"/>
      <c r="FX165" s="27"/>
      <c r="FY165" s="27"/>
      <c r="FZ165" s="27"/>
      <c r="GA165" s="27"/>
      <c r="GB165" s="27"/>
      <c r="GC165" s="27"/>
      <c r="GD165" s="27"/>
      <c r="GE165" s="27"/>
      <c r="GF165" s="27"/>
      <c r="GG165" s="27"/>
      <c r="GH165" s="27"/>
      <c r="GI165" s="27"/>
      <c r="GJ165" s="27"/>
      <c r="GK165" s="27"/>
      <c r="GL165" s="27"/>
      <c r="GM165" s="27"/>
      <c r="GN165" s="27"/>
      <c r="GO165" s="27"/>
      <c r="GP165" s="27"/>
      <c r="GQ165" s="27"/>
      <c r="GR165" s="27"/>
      <c r="GS165" s="27"/>
      <c r="GT165" s="27"/>
      <c r="GU165" s="27"/>
      <c r="GV165" s="27"/>
      <c r="GW165" s="27"/>
      <c r="GX165" s="27"/>
      <c r="GY165" s="27"/>
      <c r="GZ165" s="27"/>
      <c r="HA165" s="27"/>
      <c r="HB165" s="27"/>
      <c r="HC165" s="27"/>
      <c r="HD165" s="27"/>
      <c r="HE165" s="27"/>
      <c r="HF165" s="27"/>
      <c r="HG165" s="27"/>
      <c r="HH165" s="27"/>
      <c r="HI165" s="27"/>
      <c r="HJ165" s="27"/>
      <c r="HK165" s="27"/>
      <c r="HL165" s="27"/>
      <c r="HM165" s="27"/>
      <c r="HN165" s="27"/>
      <c r="HO165" s="27"/>
      <c r="HP165" s="27"/>
      <c r="HQ165" s="27"/>
      <c r="HR165" s="27"/>
      <c r="HS165" s="27"/>
      <c r="HT165" s="27"/>
      <c r="HU165" s="27"/>
      <c r="HV165" s="27"/>
      <c r="HW165" s="27"/>
      <c r="HX165" s="27"/>
      <c r="HY165" s="27"/>
      <c r="HZ165" s="27"/>
      <c r="IA165" s="27"/>
      <c r="IB165" s="27"/>
      <c r="IC165" s="27"/>
      <c r="ID165" s="27"/>
      <c r="IE165" s="27"/>
      <c r="IF165" s="27"/>
      <c r="IG165" s="27"/>
      <c r="IH165" s="27"/>
      <c r="II165" s="27"/>
      <c r="IJ165" s="27"/>
      <c r="IK165" s="27"/>
      <c r="IL165" s="27"/>
      <c r="IM165" s="27"/>
      <c r="IN165" s="27"/>
      <c r="IO165" s="27"/>
      <c r="IP165" s="27"/>
      <c r="IQ165" s="27"/>
      <c r="IR165" s="27"/>
      <c r="IS165" s="27"/>
      <c r="IT165" s="27"/>
      <c r="IU165" s="27"/>
      <c r="IV165" s="27"/>
      <c r="IW165" s="27"/>
      <c r="IX165" s="27"/>
      <c r="IY165" s="27"/>
      <c r="IZ165" s="27"/>
      <c r="JA165" s="27"/>
      <c r="JB165" s="27"/>
      <c r="JC165" s="27"/>
      <c r="JD165" s="27"/>
      <c r="JE165" s="27"/>
      <c r="JF165" s="27"/>
      <c r="JG165" s="27"/>
      <c r="JH165" s="27"/>
      <c r="JI165" s="27"/>
      <c r="JJ165" s="27"/>
      <c r="JK165" s="27"/>
      <c r="JL165" s="27"/>
      <c r="JM165" s="27"/>
      <c r="JN165" s="27"/>
      <c r="JO165" s="27"/>
      <c r="JP165" s="27"/>
      <c r="JQ165" s="27"/>
      <c r="JR165" s="27"/>
      <c r="JS165" s="27"/>
      <c r="JT165" s="27"/>
      <c r="JU165" s="27"/>
      <c r="JV165" s="27"/>
      <c r="JW165" s="27"/>
      <c r="JX165" s="27"/>
      <c r="JY165" s="27"/>
      <c r="JZ165" s="27"/>
      <c r="KA165" s="27"/>
      <c r="KB165" s="27"/>
      <c r="KC165" s="27"/>
      <c r="KD165" s="27"/>
      <c r="KE165" s="27"/>
      <c r="KF165" s="27"/>
      <c r="KG165" s="27"/>
      <c r="KH165" s="27"/>
      <c r="KI165" s="27"/>
      <c r="KJ165" s="27"/>
      <c r="KK165" s="27"/>
      <c r="KL165" s="27"/>
      <c r="KM165" s="27"/>
      <c r="KN165" s="27"/>
      <c r="KO165" s="27"/>
      <c r="KP165" s="27"/>
      <c r="KQ165" s="27"/>
      <c r="KR165" s="27"/>
      <c r="KS165" s="27"/>
      <c r="KT165" s="27"/>
      <c r="KU165" s="27"/>
      <c r="KV165" s="27"/>
      <c r="KW165" s="27"/>
      <c r="KX165" s="27"/>
      <c r="KY165" s="27"/>
      <c r="KZ165" s="27"/>
      <c r="LA165" s="27"/>
      <c r="LB165" s="27"/>
      <c r="LC165" s="27"/>
      <c r="LD165" s="27"/>
      <c r="LE165" s="27"/>
      <c r="LF165" s="27"/>
      <c r="LG165" s="27"/>
      <c r="LH165" s="27"/>
      <c r="LI165" s="27"/>
      <c r="LJ165" s="27"/>
      <c r="LK165" s="27"/>
      <c r="LL165" s="27"/>
      <c r="LM165" s="27"/>
      <c r="LN165" s="27"/>
      <c r="LO165" s="27"/>
      <c r="LP165" s="27"/>
      <c r="LQ165" s="27"/>
    </row>
    <row r="166" spans="1:329" ht="15" customHeight="1">
      <c r="A166" s="131">
        <v>1101984</v>
      </c>
      <c r="B166" s="132" t="s">
        <v>380</v>
      </c>
      <c r="C166" s="216" t="s">
        <v>381</v>
      </c>
      <c r="D166" s="143">
        <v>50</v>
      </c>
      <c r="E166" s="122">
        <f t="shared" si="4"/>
        <v>84.033613445378151</v>
      </c>
      <c r="F166" s="122">
        <f t="shared" si="5"/>
        <v>100</v>
      </c>
      <c r="G166" s="38" t="s">
        <v>28</v>
      </c>
      <c r="H166" s="38" t="s">
        <v>28</v>
      </c>
      <c r="R166" s="123">
        <v>7350057585030</v>
      </c>
      <c r="S166" s="105" t="s">
        <v>379</v>
      </c>
      <c r="T166" s="105">
        <v>2908</v>
      </c>
      <c r="U166" s="105">
        <v>2238</v>
      </c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  <c r="FP166" s="27"/>
      <c r="FQ166" s="27"/>
      <c r="FR166" s="27"/>
      <c r="FS166" s="27"/>
      <c r="FT166" s="27"/>
      <c r="FU166" s="27"/>
      <c r="FV166" s="27"/>
      <c r="FW166" s="27"/>
      <c r="FX166" s="27"/>
      <c r="FY166" s="27"/>
      <c r="FZ166" s="27"/>
      <c r="GA166" s="27"/>
      <c r="GB166" s="27"/>
      <c r="GC166" s="27"/>
      <c r="GD166" s="27"/>
      <c r="GE166" s="27"/>
      <c r="GF166" s="27"/>
      <c r="GG166" s="27"/>
      <c r="GH166" s="27"/>
      <c r="GI166" s="27"/>
      <c r="GJ166" s="27"/>
      <c r="GK166" s="27"/>
      <c r="GL166" s="27"/>
      <c r="GM166" s="27"/>
      <c r="GN166" s="27"/>
      <c r="GO166" s="27"/>
      <c r="GP166" s="27"/>
      <c r="GQ166" s="27"/>
      <c r="GR166" s="27"/>
      <c r="GS166" s="27"/>
      <c r="GT166" s="27"/>
      <c r="GU166" s="27"/>
      <c r="GV166" s="27"/>
      <c r="GW166" s="27"/>
      <c r="GX166" s="27"/>
      <c r="GY166" s="27"/>
      <c r="GZ166" s="27"/>
      <c r="HA166" s="27"/>
      <c r="HB166" s="27"/>
      <c r="HC166" s="27"/>
      <c r="HD166" s="27"/>
      <c r="HE166" s="27"/>
      <c r="HF166" s="27"/>
      <c r="HG166" s="27"/>
      <c r="HH166" s="27"/>
      <c r="HI166" s="27"/>
      <c r="HJ166" s="27"/>
      <c r="HK166" s="27"/>
      <c r="HL166" s="27"/>
      <c r="HM166" s="27"/>
      <c r="HN166" s="27"/>
      <c r="HO166" s="27"/>
      <c r="HP166" s="27"/>
      <c r="HQ166" s="27"/>
      <c r="HR166" s="27"/>
      <c r="HS166" s="27"/>
      <c r="HT166" s="27"/>
      <c r="HU166" s="27"/>
      <c r="HV166" s="27"/>
      <c r="HW166" s="27"/>
      <c r="HX166" s="27"/>
      <c r="HY166" s="27"/>
      <c r="HZ166" s="27"/>
      <c r="IA166" s="27"/>
      <c r="IB166" s="27"/>
      <c r="IC166" s="27"/>
      <c r="ID166" s="27"/>
      <c r="IE166" s="27"/>
      <c r="IF166" s="27"/>
      <c r="IG166" s="27"/>
      <c r="IH166" s="27"/>
      <c r="II166" s="27"/>
      <c r="IJ166" s="27"/>
      <c r="IK166" s="27"/>
      <c r="IL166" s="27"/>
      <c r="IM166" s="27"/>
      <c r="IN166" s="27"/>
      <c r="IO166" s="27"/>
      <c r="IP166" s="27"/>
      <c r="IQ166" s="27"/>
      <c r="IR166" s="27"/>
      <c r="IS166" s="27"/>
      <c r="IT166" s="27"/>
      <c r="IU166" s="27"/>
      <c r="IV166" s="27"/>
      <c r="IW166" s="27"/>
      <c r="IX166" s="27"/>
      <c r="IY166" s="27"/>
      <c r="IZ166" s="27"/>
      <c r="JA166" s="27"/>
      <c r="JB166" s="27"/>
      <c r="JC166" s="27"/>
      <c r="JD166" s="27"/>
      <c r="JE166" s="27"/>
      <c r="JF166" s="27"/>
      <c r="JG166" s="27"/>
      <c r="JH166" s="27"/>
      <c r="JI166" s="27"/>
      <c r="JJ166" s="27"/>
      <c r="JK166" s="27"/>
      <c r="JL166" s="27"/>
      <c r="JM166" s="27"/>
      <c r="JN166" s="27"/>
      <c r="JO166" s="27"/>
      <c r="JP166" s="27"/>
      <c r="JQ166" s="27"/>
      <c r="JR166" s="27"/>
      <c r="JS166" s="27"/>
      <c r="JT166" s="27"/>
      <c r="JU166" s="27"/>
      <c r="JV166" s="27"/>
      <c r="JW166" s="27"/>
      <c r="JX166" s="27"/>
      <c r="JY166" s="27"/>
      <c r="JZ166" s="27"/>
      <c r="KA166" s="27"/>
      <c r="KB166" s="27"/>
      <c r="KC166" s="27"/>
      <c r="KD166" s="27"/>
      <c r="KE166" s="27"/>
      <c r="KF166" s="27"/>
      <c r="KG166" s="27"/>
      <c r="KH166" s="27"/>
      <c r="KI166" s="27"/>
      <c r="KJ166" s="27"/>
      <c r="KK166" s="27"/>
      <c r="KL166" s="27"/>
      <c r="KM166" s="27"/>
      <c r="KN166" s="27"/>
      <c r="KO166" s="27"/>
      <c r="KP166" s="27"/>
      <c r="KQ166" s="27"/>
      <c r="KR166" s="27"/>
      <c r="KS166" s="27"/>
      <c r="KT166" s="27"/>
      <c r="KU166" s="27"/>
      <c r="KV166" s="27"/>
      <c r="KW166" s="27"/>
      <c r="KX166" s="27"/>
      <c r="KY166" s="27"/>
      <c r="KZ166" s="27"/>
      <c r="LA166" s="27"/>
      <c r="LB166" s="27"/>
      <c r="LC166" s="27"/>
      <c r="LD166" s="27"/>
      <c r="LE166" s="27"/>
      <c r="LF166" s="27"/>
      <c r="LG166" s="27"/>
      <c r="LH166" s="27"/>
      <c r="LI166" s="27"/>
      <c r="LJ166" s="27"/>
      <c r="LK166" s="27"/>
      <c r="LL166" s="27"/>
      <c r="LM166" s="27"/>
      <c r="LN166" s="27"/>
      <c r="LO166" s="27"/>
      <c r="LP166" s="27"/>
      <c r="LQ166" s="27"/>
    </row>
    <row r="167" spans="1:329" ht="15" customHeight="1">
      <c r="A167" s="131">
        <v>1101985</v>
      </c>
      <c r="B167" s="132" t="s">
        <v>382</v>
      </c>
      <c r="C167" s="214" t="s">
        <v>383</v>
      </c>
      <c r="D167" s="143">
        <v>50</v>
      </c>
      <c r="E167" s="122">
        <f t="shared" si="4"/>
        <v>84.033613445378151</v>
      </c>
      <c r="F167" s="122">
        <f t="shared" si="5"/>
        <v>100</v>
      </c>
      <c r="G167" s="38" t="s">
        <v>28</v>
      </c>
      <c r="H167" s="38" t="s">
        <v>28</v>
      </c>
      <c r="R167" s="123">
        <v>7350057585047</v>
      </c>
      <c r="S167" s="105" t="s">
        <v>379</v>
      </c>
      <c r="T167" s="105">
        <v>2908</v>
      </c>
      <c r="U167" s="105">
        <v>2238</v>
      </c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  <c r="FS167" s="27"/>
      <c r="FT167" s="27"/>
      <c r="FU167" s="27"/>
      <c r="FV167" s="27"/>
      <c r="FW167" s="27"/>
      <c r="FX167" s="27"/>
      <c r="FY167" s="27"/>
      <c r="FZ167" s="27"/>
      <c r="GA167" s="27"/>
      <c r="GB167" s="27"/>
      <c r="GC167" s="27"/>
      <c r="GD167" s="27"/>
      <c r="GE167" s="27"/>
      <c r="GF167" s="27"/>
      <c r="GG167" s="27"/>
      <c r="GH167" s="27"/>
      <c r="GI167" s="27"/>
      <c r="GJ167" s="27"/>
      <c r="GK167" s="27"/>
      <c r="GL167" s="27"/>
      <c r="GM167" s="27"/>
      <c r="GN167" s="27"/>
      <c r="GO167" s="27"/>
      <c r="GP167" s="27"/>
      <c r="GQ167" s="27"/>
      <c r="GR167" s="27"/>
      <c r="GS167" s="27"/>
      <c r="GT167" s="27"/>
      <c r="GU167" s="27"/>
      <c r="GV167" s="27"/>
      <c r="GW167" s="27"/>
      <c r="GX167" s="27"/>
      <c r="GY167" s="27"/>
      <c r="GZ167" s="27"/>
      <c r="HA167" s="27"/>
      <c r="HB167" s="27"/>
      <c r="HC167" s="27"/>
      <c r="HD167" s="27"/>
      <c r="HE167" s="27"/>
      <c r="HF167" s="27"/>
      <c r="HG167" s="27"/>
      <c r="HH167" s="27"/>
      <c r="HI167" s="27"/>
      <c r="HJ167" s="27"/>
      <c r="HK167" s="27"/>
      <c r="HL167" s="27"/>
      <c r="HM167" s="27"/>
      <c r="HN167" s="27"/>
      <c r="HO167" s="27"/>
      <c r="HP167" s="27"/>
      <c r="HQ167" s="27"/>
      <c r="HR167" s="27"/>
      <c r="HS167" s="27"/>
      <c r="HT167" s="27"/>
      <c r="HU167" s="27"/>
      <c r="HV167" s="27"/>
      <c r="HW167" s="27"/>
      <c r="HX167" s="27"/>
      <c r="HY167" s="27"/>
      <c r="HZ167" s="27"/>
      <c r="IA167" s="27"/>
      <c r="IB167" s="27"/>
      <c r="IC167" s="27"/>
      <c r="ID167" s="27"/>
      <c r="IE167" s="27"/>
      <c r="IF167" s="27"/>
      <c r="IG167" s="27"/>
      <c r="IH167" s="27"/>
      <c r="II167" s="27"/>
      <c r="IJ167" s="27"/>
      <c r="IK167" s="27"/>
      <c r="IL167" s="27"/>
      <c r="IM167" s="27"/>
      <c r="IN167" s="27"/>
      <c r="IO167" s="27"/>
      <c r="IP167" s="27"/>
      <c r="IQ167" s="27"/>
      <c r="IR167" s="27"/>
      <c r="IS167" s="27"/>
      <c r="IT167" s="27"/>
      <c r="IU167" s="27"/>
      <c r="IV167" s="27"/>
      <c r="IW167" s="27"/>
      <c r="IX167" s="27"/>
      <c r="IY167" s="27"/>
      <c r="IZ167" s="27"/>
      <c r="JA167" s="27"/>
      <c r="JB167" s="27"/>
      <c r="JC167" s="27"/>
      <c r="JD167" s="27"/>
      <c r="JE167" s="27"/>
      <c r="JF167" s="27"/>
      <c r="JG167" s="27"/>
      <c r="JH167" s="27"/>
      <c r="JI167" s="27"/>
      <c r="JJ167" s="27"/>
      <c r="JK167" s="27"/>
      <c r="JL167" s="27"/>
      <c r="JM167" s="27"/>
      <c r="JN167" s="27"/>
      <c r="JO167" s="27"/>
      <c r="JP167" s="27"/>
      <c r="JQ167" s="27"/>
      <c r="JR167" s="27"/>
      <c r="JS167" s="27"/>
      <c r="JT167" s="27"/>
      <c r="JU167" s="27"/>
      <c r="JV167" s="27"/>
      <c r="JW167" s="27"/>
      <c r="JX167" s="27"/>
      <c r="JY167" s="27"/>
      <c r="JZ167" s="27"/>
      <c r="KA167" s="27"/>
      <c r="KB167" s="27"/>
      <c r="KC167" s="27"/>
      <c r="KD167" s="27"/>
      <c r="KE167" s="27"/>
      <c r="KF167" s="27"/>
      <c r="KG167" s="27"/>
      <c r="KH167" s="27"/>
      <c r="KI167" s="27"/>
      <c r="KJ167" s="27"/>
      <c r="KK167" s="27"/>
      <c r="KL167" s="27"/>
      <c r="KM167" s="27"/>
      <c r="KN167" s="27"/>
      <c r="KO167" s="27"/>
      <c r="KP167" s="27"/>
      <c r="KQ167" s="27"/>
      <c r="KR167" s="27"/>
      <c r="KS167" s="27"/>
      <c r="KT167" s="27"/>
      <c r="KU167" s="27"/>
      <c r="KV167" s="27"/>
      <c r="KW167" s="27"/>
      <c r="KX167" s="27"/>
      <c r="KY167" s="27"/>
      <c r="KZ167" s="27"/>
      <c r="LA167" s="27"/>
      <c r="LB167" s="27"/>
      <c r="LC167" s="27"/>
      <c r="LD167" s="27"/>
      <c r="LE167" s="27"/>
      <c r="LF167" s="27"/>
      <c r="LG167" s="27"/>
      <c r="LH167" s="27"/>
      <c r="LI167" s="27"/>
      <c r="LJ167" s="27"/>
      <c r="LK167" s="27"/>
      <c r="LL167" s="27"/>
      <c r="LM167" s="27"/>
      <c r="LN167" s="27"/>
      <c r="LO167" s="27"/>
      <c r="LP167" s="27"/>
      <c r="LQ167" s="27"/>
    </row>
    <row r="168" spans="1:329" ht="15" customHeight="1">
      <c r="A168" s="85">
        <v>1101986</v>
      </c>
      <c r="B168" s="72"/>
      <c r="C168" s="213" t="s">
        <v>384</v>
      </c>
      <c r="D168" s="122">
        <v>33</v>
      </c>
      <c r="E168" s="122">
        <f t="shared" si="4"/>
        <v>55.462184873949582</v>
      </c>
      <c r="F168" s="122">
        <f t="shared" si="5"/>
        <v>66</v>
      </c>
      <c r="G168" s="38" t="s">
        <v>28</v>
      </c>
      <c r="H168" s="38" t="s">
        <v>28</v>
      </c>
      <c r="R168" s="139">
        <v>7350057584958</v>
      </c>
      <c r="S168" s="72"/>
      <c r="T168" s="72"/>
      <c r="U168" s="72"/>
    </row>
    <row r="169" spans="1:329" ht="15" customHeight="1">
      <c r="A169" s="138">
        <v>1101987</v>
      </c>
      <c r="B169" s="72" t="s">
        <v>385</v>
      </c>
      <c r="C169" s="213" t="s">
        <v>386</v>
      </c>
      <c r="D169" s="122">
        <v>3</v>
      </c>
      <c r="E169" s="122">
        <f t="shared" si="4"/>
        <v>5.0420168067226889</v>
      </c>
      <c r="F169" s="122">
        <f t="shared" si="5"/>
        <v>6</v>
      </c>
      <c r="G169" s="38" t="s">
        <v>28</v>
      </c>
      <c r="H169" s="38" t="s">
        <v>28</v>
      </c>
      <c r="R169" s="139">
        <v>7350057584965</v>
      </c>
      <c r="S169" s="72"/>
      <c r="T169" s="72"/>
      <c r="U169" s="72"/>
    </row>
    <row r="170" spans="1:329" ht="15" customHeight="1">
      <c r="A170" s="85">
        <v>1101990</v>
      </c>
      <c r="B170" s="72" t="s">
        <v>387</v>
      </c>
      <c r="C170" s="213" t="s">
        <v>388</v>
      </c>
      <c r="D170" s="143">
        <v>28</v>
      </c>
      <c r="E170" s="122">
        <f t="shared" si="4"/>
        <v>47.058823529411768</v>
      </c>
      <c r="F170" s="122">
        <f t="shared" si="5"/>
        <v>56</v>
      </c>
      <c r="G170" s="38" t="s">
        <v>28</v>
      </c>
      <c r="H170" s="38" t="s">
        <v>28</v>
      </c>
      <c r="R170" s="139">
        <v>7350057584972</v>
      </c>
      <c r="S170" s="72"/>
      <c r="T170" s="72"/>
      <c r="U170" s="72"/>
    </row>
    <row r="171" spans="1:329" ht="15" customHeight="1">
      <c r="A171" s="85">
        <v>1101991</v>
      </c>
      <c r="B171" s="72" t="s">
        <v>389</v>
      </c>
      <c r="C171" s="213" t="s">
        <v>390</v>
      </c>
      <c r="D171" s="122">
        <v>32</v>
      </c>
      <c r="E171" s="122">
        <f t="shared" si="4"/>
        <v>53.781512605042018</v>
      </c>
      <c r="F171" s="122">
        <f t="shared" si="5"/>
        <v>64</v>
      </c>
      <c r="G171" s="38" t="s">
        <v>28</v>
      </c>
      <c r="H171" s="38" t="s">
        <v>28</v>
      </c>
      <c r="R171" s="139">
        <v>7350057584989</v>
      </c>
      <c r="S171" s="72"/>
      <c r="T171" s="72"/>
      <c r="U171" s="72"/>
    </row>
    <row r="172" spans="1:329" ht="15" customHeight="1">
      <c r="A172" s="85">
        <v>1102002</v>
      </c>
      <c r="B172" s="72" t="s">
        <v>391</v>
      </c>
      <c r="C172" s="213" t="s">
        <v>392</v>
      </c>
      <c r="D172" s="142">
        <v>3</v>
      </c>
      <c r="E172" s="122">
        <f t="shared" si="4"/>
        <v>5.0420168067226889</v>
      </c>
      <c r="F172" s="122">
        <f t="shared" si="5"/>
        <v>6</v>
      </c>
      <c r="G172" s="38" t="s">
        <v>28</v>
      </c>
      <c r="H172" s="38" t="s">
        <v>28</v>
      </c>
      <c r="R172" s="123">
        <v>7350057585122</v>
      </c>
      <c r="S172" s="105" t="s">
        <v>365</v>
      </c>
      <c r="T172" s="105">
        <v>560</v>
      </c>
      <c r="U172" s="105">
        <v>200</v>
      </c>
    </row>
    <row r="173" spans="1:329" ht="15" customHeight="1">
      <c r="A173" s="85">
        <v>1102003</v>
      </c>
      <c r="B173" s="72" t="s">
        <v>393</v>
      </c>
      <c r="C173" s="213" t="s">
        <v>394</v>
      </c>
      <c r="D173" s="142">
        <v>3</v>
      </c>
      <c r="E173" s="122">
        <f t="shared" si="4"/>
        <v>5.0420168067226889</v>
      </c>
      <c r="F173" s="122">
        <f t="shared" si="5"/>
        <v>6</v>
      </c>
      <c r="G173" s="38" t="s">
        <v>28</v>
      </c>
      <c r="H173" s="38" t="s">
        <v>28</v>
      </c>
      <c r="R173" s="123">
        <v>7350057585139</v>
      </c>
      <c r="S173" s="105" t="s">
        <v>365</v>
      </c>
      <c r="T173" s="105">
        <v>2360</v>
      </c>
      <c r="U173" s="105">
        <v>2000</v>
      </c>
    </row>
    <row r="174" spans="1:329" ht="15" customHeight="1">
      <c r="A174" s="131">
        <v>1102852</v>
      </c>
      <c r="B174" s="132" t="s">
        <v>395</v>
      </c>
      <c r="C174" s="132" t="s">
        <v>396</v>
      </c>
      <c r="D174" s="143">
        <v>13</v>
      </c>
      <c r="E174" s="122">
        <f t="shared" si="4"/>
        <v>21.84873949579832</v>
      </c>
      <c r="F174" s="122">
        <f t="shared" si="5"/>
        <v>26</v>
      </c>
      <c r="G174" s="38" t="s">
        <v>28</v>
      </c>
      <c r="H174" s="38" t="s">
        <v>28</v>
      </c>
      <c r="R174" s="123">
        <v>7350057586242</v>
      </c>
      <c r="S174" s="105"/>
      <c r="T174" s="105"/>
      <c r="U174" s="105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  <c r="FP174" s="27"/>
      <c r="FQ174" s="27"/>
      <c r="FR174" s="27"/>
      <c r="FS174" s="27"/>
      <c r="FT174" s="27"/>
      <c r="FU174" s="27"/>
      <c r="FV174" s="27"/>
      <c r="FW174" s="27"/>
      <c r="FX174" s="27"/>
      <c r="FY174" s="27"/>
      <c r="FZ174" s="27"/>
      <c r="GA174" s="27"/>
      <c r="GB174" s="27"/>
      <c r="GC174" s="27"/>
      <c r="GD174" s="27"/>
      <c r="GE174" s="27"/>
      <c r="GF174" s="27"/>
      <c r="GG174" s="27"/>
      <c r="GH174" s="27"/>
      <c r="GI174" s="27"/>
      <c r="GJ174" s="27"/>
      <c r="GK174" s="27"/>
      <c r="GL174" s="27"/>
      <c r="GM174" s="27"/>
      <c r="GN174" s="27"/>
      <c r="GO174" s="27"/>
      <c r="GP174" s="27"/>
      <c r="GQ174" s="27"/>
      <c r="GR174" s="27"/>
      <c r="GS174" s="27"/>
      <c r="GT174" s="27"/>
      <c r="GU174" s="27"/>
      <c r="GV174" s="27"/>
      <c r="GW174" s="27"/>
      <c r="GX174" s="27"/>
      <c r="GY174" s="27"/>
      <c r="GZ174" s="27"/>
      <c r="HA174" s="27"/>
      <c r="HB174" s="27"/>
      <c r="HC174" s="27"/>
      <c r="HD174" s="27"/>
      <c r="HE174" s="27"/>
      <c r="HF174" s="27"/>
      <c r="HG174" s="27"/>
      <c r="HH174" s="27"/>
      <c r="HI174" s="27"/>
      <c r="HJ174" s="27"/>
      <c r="HK174" s="27"/>
      <c r="HL174" s="27"/>
      <c r="HM174" s="27"/>
      <c r="HN174" s="27"/>
      <c r="HO174" s="27"/>
      <c r="HP174" s="27"/>
      <c r="HQ174" s="27"/>
      <c r="HR174" s="27"/>
      <c r="HS174" s="27"/>
      <c r="HT174" s="27"/>
      <c r="HU174" s="27"/>
      <c r="HV174" s="27"/>
      <c r="HW174" s="27"/>
      <c r="HX174" s="27"/>
      <c r="HY174" s="27"/>
      <c r="HZ174" s="27"/>
      <c r="IA174" s="27"/>
      <c r="IB174" s="27"/>
      <c r="IC174" s="27"/>
      <c r="ID174" s="27"/>
      <c r="IE174" s="27"/>
      <c r="IF174" s="27"/>
      <c r="IG174" s="27"/>
      <c r="IH174" s="27"/>
      <c r="II174" s="27"/>
      <c r="IJ174" s="27"/>
      <c r="IK174" s="27"/>
      <c r="IL174" s="27"/>
      <c r="IM174" s="27"/>
      <c r="IN174" s="27"/>
      <c r="IO174" s="27"/>
      <c r="IP174" s="27"/>
      <c r="IQ174" s="27"/>
      <c r="IR174" s="27"/>
      <c r="IS174" s="27"/>
      <c r="IT174" s="27"/>
      <c r="IU174" s="27"/>
      <c r="IV174" s="27"/>
      <c r="IW174" s="27"/>
      <c r="IX174" s="27"/>
      <c r="IY174" s="27"/>
      <c r="IZ174" s="27"/>
      <c r="JA174" s="27"/>
      <c r="JB174" s="27"/>
      <c r="JC174" s="27"/>
      <c r="JD174" s="27"/>
      <c r="JE174" s="27"/>
      <c r="JF174" s="27"/>
      <c r="JG174" s="27"/>
      <c r="JH174" s="27"/>
      <c r="JI174" s="27"/>
      <c r="JJ174" s="27"/>
      <c r="JK174" s="27"/>
      <c r="JL174" s="27"/>
      <c r="JM174" s="27"/>
      <c r="JN174" s="27"/>
      <c r="JO174" s="27"/>
      <c r="JP174" s="27"/>
      <c r="JQ174" s="27"/>
      <c r="JR174" s="27"/>
      <c r="JS174" s="27"/>
      <c r="JT174" s="27"/>
      <c r="JU174" s="27"/>
      <c r="JV174" s="27"/>
      <c r="JW174" s="27"/>
      <c r="JX174" s="27"/>
      <c r="JY174" s="27"/>
      <c r="JZ174" s="27"/>
      <c r="KA174" s="27"/>
      <c r="KB174" s="27"/>
      <c r="KC174" s="27"/>
      <c r="KD174" s="27"/>
      <c r="KE174" s="27"/>
      <c r="KF174" s="27"/>
      <c r="KG174" s="27"/>
      <c r="KH174" s="27"/>
      <c r="KI174" s="27"/>
      <c r="KJ174" s="27"/>
      <c r="KK174" s="27"/>
      <c r="KL174" s="27"/>
      <c r="KM174" s="27"/>
      <c r="KN174" s="27"/>
      <c r="KO174" s="27"/>
      <c r="KP174" s="27"/>
      <c r="KQ174" s="27"/>
      <c r="KR174" s="27"/>
      <c r="KS174" s="27"/>
      <c r="KT174" s="27"/>
      <c r="KU174" s="27"/>
      <c r="KV174" s="27"/>
      <c r="KW174" s="27"/>
      <c r="KX174" s="27"/>
      <c r="KY174" s="27"/>
      <c r="KZ174" s="27"/>
      <c r="LA174" s="27"/>
      <c r="LB174" s="27"/>
      <c r="LC174" s="27"/>
      <c r="LD174" s="27"/>
      <c r="LE174" s="27"/>
      <c r="LF174" s="27"/>
      <c r="LG174" s="27"/>
      <c r="LH174" s="27"/>
      <c r="LI174" s="27"/>
      <c r="LJ174" s="27"/>
      <c r="LK174" s="27"/>
      <c r="LL174" s="27"/>
      <c r="LM174" s="27"/>
      <c r="LN174" s="27"/>
      <c r="LO174" s="27"/>
      <c r="LP174" s="27"/>
      <c r="LQ174" s="27"/>
    </row>
    <row r="175" spans="1:329" ht="15" customHeight="1">
      <c r="A175" s="131">
        <v>1102853</v>
      </c>
      <c r="B175" s="132" t="s">
        <v>397</v>
      </c>
      <c r="C175" s="132" t="s">
        <v>398</v>
      </c>
      <c r="D175" s="143">
        <v>20</v>
      </c>
      <c r="E175" s="122">
        <f t="shared" si="4"/>
        <v>33.613445378151262</v>
      </c>
      <c r="F175" s="122">
        <f t="shared" si="5"/>
        <v>40</v>
      </c>
      <c r="G175" s="38" t="s">
        <v>28</v>
      </c>
      <c r="H175" s="38" t="s">
        <v>28</v>
      </c>
      <c r="R175" s="123">
        <v>7350057586259</v>
      </c>
      <c r="S175" s="105"/>
      <c r="T175" s="105"/>
      <c r="U175" s="105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  <c r="FP175" s="27"/>
      <c r="FQ175" s="27"/>
      <c r="FR175" s="27"/>
      <c r="FS175" s="27"/>
      <c r="FT175" s="27"/>
      <c r="FU175" s="27"/>
      <c r="FV175" s="27"/>
      <c r="FW175" s="27"/>
      <c r="FX175" s="27"/>
      <c r="FY175" s="27"/>
      <c r="FZ175" s="27"/>
      <c r="GA175" s="27"/>
      <c r="GB175" s="27"/>
      <c r="GC175" s="27"/>
      <c r="GD175" s="27"/>
      <c r="GE175" s="27"/>
      <c r="GF175" s="27"/>
      <c r="GG175" s="27"/>
      <c r="GH175" s="27"/>
      <c r="GI175" s="27"/>
      <c r="GJ175" s="27"/>
      <c r="GK175" s="27"/>
      <c r="GL175" s="27"/>
      <c r="GM175" s="27"/>
      <c r="GN175" s="27"/>
      <c r="GO175" s="27"/>
      <c r="GP175" s="27"/>
      <c r="GQ175" s="27"/>
      <c r="GR175" s="27"/>
      <c r="GS175" s="27"/>
      <c r="GT175" s="27"/>
      <c r="GU175" s="27"/>
      <c r="GV175" s="27"/>
      <c r="GW175" s="27"/>
      <c r="GX175" s="27"/>
      <c r="GY175" s="27"/>
      <c r="GZ175" s="27"/>
      <c r="HA175" s="27"/>
      <c r="HB175" s="27"/>
      <c r="HC175" s="27"/>
      <c r="HD175" s="27"/>
      <c r="HE175" s="27"/>
      <c r="HF175" s="27"/>
      <c r="HG175" s="27"/>
      <c r="HH175" s="27"/>
      <c r="HI175" s="27"/>
      <c r="HJ175" s="27"/>
      <c r="HK175" s="27"/>
      <c r="HL175" s="27"/>
      <c r="HM175" s="27"/>
      <c r="HN175" s="27"/>
      <c r="HO175" s="27"/>
      <c r="HP175" s="27"/>
      <c r="HQ175" s="27"/>
      <c r="HR175" s="27"/>
      <c r="HS175" s="27"/>
      <c r="HT175" s="27"/>
      <c r="HU175" s="27"/>
      <c r="HV175" s="27"/>
      <c r="HW175" s="27"/>
      <c r="HX175" s="27"/>
      <c r="HY175" s="27"/>
      <c r="HZ175" s="27"/>
      <c r="IA175" s="27"/>
      <c r="IB175" s="27"/>
      <c r="IC175" s="27"/>
      <c r="ID175" s="27"/>
      <c r="IE175" s="27"/>
      <c r="IF175" s="27"/>
      <c r="IG175" s="27"/>
      <c r="IH175" s="27"/>
      <c r="II175" s="27"/>
      <c r="IJ175" s="27"/>
      <c r="IK175" s="27"/>
      <c r="IL175" s="27"/>
      <c r="IM175" s="27"/>
      <c r="IN175" s="27"/>
      <c r="IO175" s="27"/>
      <c r="IP175" s="27"/>
      <c r="IQ175" s="27"/>
      <c r="IR175" s="27"/>
      <c r="IS175" s="27"/>
      <c r="IT175" s="27"/>
      <c r="IU175" s="27"/>
      <c r="IV175" s="27"/>
      <c r="IW175" s="27"/>
      <c r="IX175" s="27"/>
      <c r="IY175" s="27"/>
      <c r="IZ175" s="27"/>
      <c r="JA175" s="27"/>
      <c r="JB175" s="27"/>
      <c r="JC175" s="27"/>
      <c r="JD175" s="27"/>
      <c r="JE175" s="27"/>
      <c r="JF175" s="27"/>
      <c r="JG175" s="27"/>
      <c r="JH175" s="27"/>
      <c r="JI175" s="27"/>
      <c r="JJ175" s="27"/>
      <c r="JK175" s="27"/>
      <c r="JL175" s="27"/>
      <c r="JM175" s="27"/>
      <c r="JN175" s="27"/>
      <c r="JO175" s="27"/>
      <c r="JP175" s="27"/>
      <c r="JQ175" s="27"/>
      <c r="JR175" s="27"/>
      <c r="JS175" s="27"/>
      <c r="JT175" s="27"/>
      <c r="JU175" s="27"/>
      <c r="JV175" s="27"/>
      <c r="JW175" s="27"/>
      <c r="JX175" s="27"/>
      <c r="JY175" s="27"/>
      <c r="JZ175" s="27"/>
      <c r="KA175" s="27"/>
      <c r="KB175" s="27"/>
      <c r="KC175" s="27"/>
      <c r="KD175" s="27"/>
      <c r="KE175" s="27"/>
      <c r="KF175" s="27"/>
      <c r="KG175" s="27"/>
      <c r="KH175" s="27"/>
      <c r="KI175" s="27"/>
      <c r="KJ175" s="27"/>
      <c r="KK175" s="27"/>
      <c r="KL175" s="27"/>
      <c r="KM175" s="27"/>
      <c r="KN175" s="27"/>
      <c r="KO175" s="27"/>
      <c r="KP175" s="27"/>
      <c r="KQ175" s="27"/>
      <c r="KR175" s="27"/>
      <c r="KS175" s="27"/>
      <c r="KT175" s="27"/>
      <c r="KU175" s="27"/>
      <c r="KV175" s="27"/>
      <c r="KW175" s="27"/>
      <c r="KX175" s="27"/>
      <c r="KY175" s="27"/>
      <c r="KZ175" s="27"/>
      <c r="LA175" s="27"/>
      <c r="LB175" s="27"/>
      <c r="LC175" s="27"/>
      <c r="LD175" s="27"/>
      <c r="LE175" s="27"/>
      <c r="LF175" s="27"/>
      <c r="LG175" s="27"/>
      <c r="LH175" s="27"/>
      <c r="LI175" s="27"/>
      <c r="LJ175" s="27"/>
      <c r="LK175" s="27"/>
      <c r="LL175" s="27"/>
      <c r="LM175" s="27"/>
      <c r="LN175" s="27"/>
      <c r="LO175" s="27"/>
      <c r="LP175" s="27"/>
      <c r="LQ175" s="27"/>
    </row>
    <row r="176" spans="1:329" ht="15" customHeight="1">
      <c r="A176" s="131">
        <v>1102854</v>
      </c>
      <c r="B176" s="132" t="s">
        <v>399</v>
      </c>
      <c r="C176" s="132" t="s">
        <v>400</v>
      </c>
      <c r="D176" s="143">
        <v>13</v>
      </c>
      <c r="E176" s="122">
        <f t="shared" si="4"/>
        <v>21.84873949579832</v>
      </c>
      <c r="F176" s="122">
        <f t="shared" si="5"/>
        <v>26</v>
      </c>
      <c r="G176" s="38" t="s">
        <v>28</v>
      </c>
      <c r="H176" s="38" t="s">
        <v>28</v>
      </c>
      <c r="R176" s="123">
        <v>7350057586266</v>
      </c>
      <c r="S176" s="105"/>
      <c r="T176" s="105"/>
      <c r="U176" s="105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7"/>
      <c r="EE176" s="27"/>
      <c r="EF176" s="27"/>
      <c r="EG176" s="27"/>
      <c r="EH176" s="27"/>
      <c r="EI176" s="27"/>
      <c r="EJ176" s="27"/>
      <c r="EK176" s="27"/>
      <c r="EL176" s="27"/>
      <c r="EM176" s="27"/>
      <c r="EN176" s="27"/>
      <c r="EO176" s="27"/>
      <c r="EP176" s="27"/>
      <c r="EQ176" s="27"/>
      <c r="ER176" s="27"/>
      <c r="ES176" s="27"/>
      <c r="ET176" s="27"/>
      <c r="EU176" s="27"/>
      <c r="EV176" s="27"/>
      <c r="EW176" s="27"/>
      <c r="EX176" s="27"/>
      <c r="EY176" s="27"/>
      <c r="EZ176" s="27"/>
      <c r="FA176" s="27"/>
      <c r="FB176" s="27"/>
      <c r="FC176" s="27"/>
      <c r="FD176" s="27"/>
      <c r="FE176" s="27"/>
      <c r="FF176" s="27"/>
      <c r="FG176" s="27"/>
      <c r="FH176" s="27"/>
      <c r="FI176" s="27"/>
      <c r="FJ176" s="27"/>
      <c r="FK176" s="27"/>
      <c r="FL176" s="27"/>
      <c r="FM176" s="27"/>
      <c r="FN176" s="27"/>
      <c r="FO176" s="27"/>
      <c r="FP176" s="27"/>
      <c r="FQ176" s="27"/>
      <c r="FR176" s="27"/>
      <c r="FS176" s="27"/>
      <c r="FT176" s="27"/>
      <c r="FU176" s="27"/>
      <c r="FV176" s="27"/>
      <c r="FW176" s="27"/>
      <c r="FX176" s="27"/>
      <c r="FY176" s="27"/>
      <c r="FZ176" s="27"/>
      <c r="GA176" s="27"/>
      <c r="GB176" s="27"/>
      <c r="GC176" s="27"/>
      <c r="GD176" s="27"/>
      <c r="GE176" s="27"/>
      <c r="GF176" s="27"/>
      <c r="GG176" s="27"/>
      <c r="GH176" s="27"/>
      <c r="GI176" s="27"/>
      <c r="GJ176" s="27"/>
      <c r="GK176" s="27"/>
      <c r="GL176" s="27"/>
      <c r="GM176" s="27"/>
      <c r="GN176" s="27"/>
      <c r="GO176" s="27"/>
      <c r="GP176" s="27"/>
      <c r="GQ176" s="27"/>
      <c r="GR176" s="27"/>
      <c r="GS176" s="27"/>
      <c r="GT176" s="27"/>
      <c r="GU176" s="27"/>
      <c r="GV176" s="27"/>
      <c r="GW176" s="27"/>
      <c r="GX176" s="27"/>
      <c r="GY176" s="27"/>
      <c r="GZ176" s="27"/>
      <c r="HA176" s="27"/>
      <c r="HB176" s="27"/>
      <c r="HC176" s="27"/>
      <c r="HD176" s="27"/>
      <c r="HE176" s="27"/>
      <c r="HF176" s="27"/>
      <c r="HG176" s="27"/>
      <c r="HH176" s="27"/>
      <c r="HI176" s="27"/>
      <c r="HJ176" s="27"/>
      <c r="HK176" s="27"/>
      <c r="HL176" s="27"/>
      <c r="HM176" s="27"/>
      <c r="HN176" s="27"/>
      <c r="HO176" s="27"/>
      <c r="HP176" s="27"/>
      <c r="HQ176" s="27"/>
      <c r="HR176" s="27"/>
      <c r="HS176" s="27"/>
      <c r="HT176" s="27"/>
      <c r="HU176" s="27"/>
      <c r="HV176" s="27"/>
      <c r="HW176" s="27"/>
      <c r="HX176" s="27"/>
      <c r="HY176" s="27"/>
      <c r="HZ176" s="27"/>
      <c r="IA176" s="27"/>
      <c r="IB176" s="27"/>
      <c r="IC176" s="27"/>
      <c r="ID176" s="27"/>
      <c r="IE176" s="27"/>
      <c r="IF176" s="27"/>
      <c r="IG176" s="27"/>
      <c r="IH176" s="27"/>
      <c r="II176" s="27"/>
      <c r="IJ176" s="27"/>
      <c r="IK176" s="27"/>
      <c r="IL176" s="27"/>
      <c r="IM176" s="27"/>
      <c r="IN176" s="27"/>
      <c r="IO176" s="27"/>
      <c r="IP176" s="27"/>
      <c r="IQ176" s="27"/>
      <c r="IR176" s="27"/>
      <c r="IS176" s="27"/>
      <c r="IT176" s="27"/>
      <c r="IU176" s="27"/>
      <c r="IV176" s="27"/>
      <c r="IW176" s="27"/>
      <c r="IX176" s="27"/>
      <c r="IY176" s="27"/>
      <c r="IZ176" s="27"/>
      <c r="JA176" s="27"/>
      <c r="JB176" s="27"/>
      <c r="JC176" s="27"/>
      <c r="JD176" s="27"/>
      <c r="JE176" s="27"/>
      <c r="JF176" s="27"/>
      <c r="JG176" s="27"/>
      <c r="JH176" s="27"/>
      <c r="JI176" s="27"/>
      <c r="JJ176" s="27"/>
      <c r="JK176" s="27"/>
      <c r="JL176" s="27"/>
      <c r="JM176" s="27"/>
      <c r="JN176" s="27"/>
      <c r="JO176" s="27"/>
      <c r="JP176" s="27"/>
      <c r="JQ176" s="27"/>
      <c r="JR176" s="27"/>
      <c r="JS176" s="27"/>
      <c r="JT176" s="27"/>
      <c r="JU176" s="27"/>
      <c r="JV176" s="27"/>
      <c r="JW176" s="27"/>
      <c r="JX176" s="27"/>
      <c r="JY176" s="27"/>
      <c r="JZ176" s="27"/>
      <c r="KA176" s="27"/>
      <c r="KB176" s="27"/>
      <c r="KC176" s="27"/>
      <c r="KD176" s="27"/>
      <c r="KE176" s="27"/>
      <c r="KF176" s="27"/>
      <c r="KG176" s="27"/>
      <c r="KH176" s="27"/>
      <c r="KI176" s="27"/>
      <c r="KJ176" s="27"/>
      <c r="KK176" s="27"/>
      <c r="KL176" s="27"/>
      <c r="KM176" s="27"/>
      <c r="KN176" s="27"/>
      <c r="KO176" s="27"/>
      <c r="KP176" s="27"/>
      <c r="KQ176" s="27"/>
      <c r="KR176" s="27"/>
      <c r="KS176" s="27"/>
      <c r="KT176" s="27"/>
      <c r="KU176" s="27"/>
      <c r="KV176" s="27"/>
      <c r="KW176" s="27"/>
      <c r="KX176" s="27"/>
      <c r="KY176" s="27"/>
      <c r="KZ176" s="27"/>
      <c r="LA176" s="27"/>
      <c r="LB176" s="27"/>
      <c r="LC176" s="27"/>
      <c r="LD176" s="27"/>
      <c r="LE176" s="27"/>
      <c r="LF176" s="27"/>
      <c r="LG176" s="27"/>
      <c r="LH176" s="27"/>
      <c r="LI176" s="27"/>
      <c r="LJ176" s="27"/>
      <c r="LK176" s="27"/>
      <c r="LL176" s="27"/>
      <c r="LM176" s="27"/>
      <c r="LN176" s="27"/>
      <c r="LO176" s="27"/>
      <c r="LP176" s="27"/>
      <c r="LQ176" s="27"/>
    </row>
    <row r="177" spans="1:329" ht="15" customHeight="1">
      <c r="A177" s="131">
        <v>1102855</v>
      </c>
      <c r="B177" s="132" t="s">
        <v>401</v>
      </c>
      <c r="C177" s="132" t="s">
        <v>402</v>
      </c>
      <c r="D177" s="143">
        <v>20</v>
      </c>
      <c r="E177" s="122">
        <f t="shared" si="4"/>
        <v>33.613445378151262</v>
      </c>
      <c r="F177" s="122">
        <f t="shared" si="5"/>
        <v>40</v>
      </c>
      <c r="G177" s="38" t="s">
        <v>28</v>
      </c>
      <c r="H177" s="38" t="s">
        <v>28</v>
      </c>
      <c r="R177" s="123">
        <v>7350057586273</v>
      </c>
      <c r="S177" s="105"/>
      <c r="T177" s="105"/>
      <c r="U177" s="105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  <c r="FS177" s="27"/>
      <c r="FT177" s="27"/>
      <c r="FU177" s="27"/>
      <c r="FV177" s="27"/>
      <c r="FW177" s="27"/>
      <c r="FX177" s="27"/>
      <c r="FY177" s="27"/>
      <c r="FZ177" s="27"/>
      <c r="GA177" s="27"/>
      <c r="GB177" s="27"/>
      <c r="GC177" s="27"/>
      <c r="GD177" s="27"/>
      <c r="GE177" s="27"/>
      <c r="GF177" s="27"/>
      <c r="GG177" s="27"/>
      <c r="GH177" s="27"/>
      <c r="GI177" s="27"/>
      <c r="GJ177" s="27"/>
      <c r="GK177" s="27"/>
      <c r="GL177" s="27"/>
      <c r="GM177" s="27"/>
      <c r="GN177" s="27"/>
      <c r="GO177" s="27"/>
      <c r="GP177" s="27"/>
      <c r="GQ177" s="27"/>
      <c r="GR177" s="27"/>
      <c r="GS177" s="27"/>
      <c r="GT177" s="27"/>
      <c r="GU177" s="27"/>
      <c r="GV177" s="27"/>
      <c r="GW177" s="27"/>
      <c r="GX177" s="27"/>
      <c r="GY177" s="27"/>
      <c r="GZ177" s="27"/>
      <c r="HA177" s="27"/>
      <c r="HB177" s="27"/>
      <c r="HC177" s="27"/>
      <c r="HD177" s="27"/>
      <c r="HE177" s="27"/>
      <c r="HF177" s="27"/>
      <c r="HG177" s="27"/>
      <c r="HH177" s="27"/>
      <c r="HI177" s="27"/>
      <c r="HJ177" s="27"/>
      <c r="HK177" s="27"/>
      <c r="HL177" s="27"/>
      <c r="HM177" s="27"/>
      <c r="HN177" s="27"/>
      <c r="HO177" s="27"/>
      <c r="HP177" s="27"/>
      <c r="HQ177" s="27"/>
      <c r="HR177" s="27"/>
      <c r="HS177" s="27"/>
      <c r="HT177" s="27"/>
      <c r="HU177" s="27"/>
      <c r="HV177" s="27"/>
      <c r="HW177" s="27"/>
      <c r="HX177" s="27"/>
      <c r="HY177" s="27"/>
      <c r="HZ177" s="27"/>
      <c r="IA177" s="27"/>
      <c r="IB177" s="27"/>
      <c r="IC177" s="27"/>
      <c r="ID177" s="27"/>
      <c r="IE177" s="27"/>
      <c r="IF177" s="27"/>
      <c r="IG177" s="27"/>
      <c r="IH177" s="27"/>
      <c r="II177" s="27"/>
      <c r="IJ177" s="27"/>
      <c r="IK177" s="27"/>
      <c r="IL177" s="27"/>
      <c r="IM177" s="27"/>
      <c r="IN177" s="27"/>
      <c r="IO177" s="27"/>
      <c r="IP177" s="27"/>
      <c r="IQ177" s="27"/>
      <c r="IR177" s="27"/>
      <c r="IS177" s="27"/>
      <c r="IT177" s="27"/>
      <c r="IU177" s="27"/>
      <c r="IV177" s="27"/>
      <c r="IW177" s="27"/>
      <c r="IX177" s="27"/>
      <c r="IY177" s="27"/>
      <c r="IZ177" s="27"/>
      <c r="JA177" s="27"/>
      <c r="JB177" s="27"/>
      <c r="JC177" s="27"/>
      <c r="JD177" s="27"/>
      <c r="JE177" s="27"/>
      <c r="JF177" s="27"/>
      <c r="JG177" s="27"/>
      <c r="JH177" s="27"/>
      <c r="JI177" s="27"/>
      <c r="JJ177" s="27"/>
      <c r="JK177" s="27"/>
      <c r="JL177" s="27"/>
      <c r="JM177" s="27"/>
      <c r="JN177" s="27"/>
      <c r="JO177" s="27"/>
      <c r="JP177" s="27"/>
      <c r="JQ177" s="27"/>
      <c r="JR177" s="27"/>
      <c r="JS177" s="27"/>
      <c r="JT177" s="27"/>
      <c r="JU177" s="27"/>
      <c r="JV177" s="27"/>
      <c r="JW177" s="27"/>
      <c r="JX177" s="27"/>
      <c r="JY177" s="27"/>
      <c r="JZ177" s="27"/>
      <c r="KA177" s="27"/>
      <c r="KB177" s="27"/>
      <c r="KC177" s="27"/>
      <c r="KD177" s="27"/>
      <c r="KE177" s="27"/>
      <c r="KF177" s="27"/>
      <c r="KG177" s="27"/>
      <c r="KH177" s="27"/>
      <c r="KI177" s="27"/>
      <c r="KJ177" s="27"/>
      <c r="KK177" s="27"/>
      <c r="KL177" s="27"/>
      <c r="KM177" s="27"/>
      <c r="KN177" s="27"/>
      <c r="KO177" s="27"/>
      <c r="KP177" s="27"/>
      <c r="KQ177" s="27"/>
      <c r="KR177" s="27"/>
      <c r="KS177" s="27"/>
      <c r="KT177" s="27"/>
      <c r="KU177" s="27"/>
      <c r="KV177" s="27"/>
      <c r="KW177" s="27"/>
      <c r="KX177" s="27"/>
      <c r="KY177" s="27"/>
      <c r="KZ177" s="27"/>
      <c r="LA177" s="27"/>
      <c r="LB177" s="27"/>
      <c r="LC177" s="27"/>
      <c r="LD177" s="27"/>
      <c r="LE177" s="27"/>
      <c r="LF177" s="27"/>
      <c r="LG177" s="27"/>
      <c r="LH177" s="27"/>
      <c r="LI177" s="27"/>
      <c r="LJ177" s="27"/>
      <c r="LK177" s="27"/>
      <c r="LL177" s="27"/>
      <c r="LM177" s="27"/>
      <c r="LN177" s="27"/>
      <c r="LO177" s="27"/>
      <c r="LP177" s="27"/>
      <c r="LQ177" s="27"/>
    </row>
    <row r="178" spans="1:329" ht="15" customHeight="1">
      <c r="A178" s="131">
        <v>1102856</v>
      </c>
      <c r="B178" s="132" t="s">
        <v>403</v>
      </c>
      <c r="C178" s="132" t="s">
        <v>404</v>
      </c>
      <c r="D178" s="143">
        <v>13</v>
      </c>
      <c r="E178" s="122">
        <f t="shared" si="4"/>
        <v>21.84873949579832</v>
      </c>
      <c r="F178" s="122">
        <f t="shared" si="5"/>
        <v>26</v>
      </c>
      <c r="G178" s="38" t="s">
        <v>28</v>
      </c>
      <c r="H178" s="38" t="s">
        <v>28</v>
      </c>
      <c r="R178" s="123">
        <v>7350057586280</v>
      </c>
      <c r="S178" s="105"/>
      <c r="T178" s="105"/>
      <c r="U178" s="105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  <c r="FP178" s="27"/>
      <c r="FQ178" s="27"/>
      <c r="FR178" s="27"/>
      <c r="FS178" s="27"/>
      <c r="FT178" s="27"/>
      <c r="FU178" s="27"/>
      <c r="FV178" s="27"/>
      <c r="FW178" s="27"/>
      <c r="FX178" s="27"/>
      <c r="FY178" s="27"/>
      <c r="FZ178" s="27"/>
      <c r="GA178" s="27"/>
      <c r="GB178" s="27"/>
      <c r="GC178" s="27"/>
      <c r="GD178" s="27"/>
      <c r="GE178" s="27"/>
      <c r="GF178" s="27"/>
      <c r="GG178" s="27"/>
      <c r="GH178" s="27"/>
      <c r="GI178" s="27"/>
      <c r="GJ178" s="27"/>
      <c r="GK178" s="27"/>
      <c r="GL178" s="27"/>
      <c r="GM178" s="27"/>
      <c r="GN178" s="27"/>
      <c r="GO178" s="27"/>
      <c r="GP178" s="27"/>
      <c r="GQ178" s="27"/>
      <c r="GR178" s="27"/>
      <c r="GS178" s="27"/>
      <c r="GT178" s="27"/>
      <c r="GU178" s="27"/>
      <c r="GV178" s="27"/>
      <c r="GW178" s="27"/>
      <c r="GX178" s="27"/>
      <c r="GY178" s="27"/>
      <c r="GZ178" s="27"/>
      <c r="HA178" s="27"/>
      <c r="HB178" s="27"/>
      <c r="HC178" s="27"/>
      <c r="HD178" s="27"/>
      <c r="HE178" s="27"/>
      <c r="HF178" s="27"/>
      <c r="HG178" s="27"/>
      <c r="HH178" s="27"/>
      <c r="HI178" s="27"/>
      <c r="HJ178" s="27"/>
      <c r="HK178" s="27"/>
      <c r="HL178" s="27"/>
      <c r="HM178" s="27"/>
      <c r="HN178" s="27"/>
      <c r="HO178" s="27"/>
      <c r="HP178" s="27"/>
      <c r="HQ178" s="27"/>
      <c r="HR178" s="27"/>
      <c r="HS178" s="27"/>
      <c r="HT178" s="27"/>
      <c r="HU178" s="27"/>
      <c r="HV178" s="27"/>
      <c r="HW178" s="27"/>
      <c r="HX178" s="27"/>
      <c r="HY178" s="27"/>
      <c r="HZ178" s="27"/>
      <c r="IA178" s="27"/>
      <c r="IB178" s="27"/>
      <c r="IC178" s="27"/>
      <c r="ID178" s="27"/>
      <c r="IE178" s="27"/>
      <c r="IF178" s="27"/>
      <c r="IG178" s="27"/>
      <c r="IH178" s="27"/>
      <c r="II178" s="27"/>
      <c r="IJ178" s="27"/>
      <c r="IK178" s="27"/>
      <c r="IL178" s="27"/>
      <c r="IM178" s="27"/>
      <c r="IN178" s="27"/>
      <c r="IO178" s="27"/>
      <c r="IP178" s="27"/>
      <c r="IQ178" s="27"/>
      <c r="IR178" s="27"/>
      <c r="IS178" s="27"/>
      <c r="IT178" s="27"/>
      <c r="IU178" s="27"/>
      <c r="IV178" s="27"/>
      <c r="IW178" s="27"/>
      <c r="IX178" s="27"/>
      <c r="IY178" s="27"/>
      <c r="IZ178" s="27"/>
      <c r="JA178" s="27"/>
      <c r="JB178" s="27"/>
      <c r="JC178" s="27"/>
      <c r="JD178" s="27"/>
      <c r="JE178" s="27"/>
      <c r="JF178" s="27"/>
      <c r="JG178" s="27"/>
      <c r="JH178" s="27"/>
      <c r="JI178" s="27"/>
      <c r="JJ178" s="27"/>
      <c r="JK178" s="27"/>
      <c r="JL178" s="27"/>
      <c r="JM178" s="27"/>
      <c r="JN178" s="27"/>
      <c r="JO178" s="27"/>
      <c r="JP178" s="27"/>
      <c r="JQ178" s="27"/>
      <c r="JR178" s="27"/>
      <c r="JS178" s="27"/>
      <c r="JT178" s="27"/>
      <c r="JU178" s="27"/>
      <c r="JV178" s="27"/>
      <c r="JW178" s="27"/>
      <c r="JX178" s="27"/>
      <c r="JY178" s="27"/>
      <c r="JZ178" s="27"/>
      <c r="KA178" s="27"/>
      <c r="KB178" s="27"/>
      <c r="KC178" s="27"/>
      <c r="KD178" s="27"/>
      <c r="KE178" s="27"/>
      <c r="KF178" s="27"/>
      <c r="KG178" s="27"/>
      <c r="KH178" s="27"/>
      <c r="KI178" s="27"/>
      <c r="KJ178" s="27"/>
      <c r="KK178" s="27"/>
      <c r="KL178" s="27"/>
      <c r="KM178" s="27"/>
      <c r="KN178" s="27"/>
      <c r="KO178" s="27"/>
      <c r="KP178" s="27"/>
      <c r="KQ178" s="27"/>
      <c r="KR178" s="27"/>
      <c r="KS178" s="27"/>
      <c r="KT178" s="27"/>
      <c r="KU178" s="27"/>
      <c r="KV178" s="27"/>
      <c r="KW178" s="27"/>
      <c r="KX178" s="27"/>
      <c r="KY178" s="27"/>
      <c r="KZ178" s="27"/>
      <c r="LA178" s="27"/>
      <c r="LB178" s="27"/>
      <c r="LC178" s="27"/>
      <c r="LD178" s="27"/>
      <c r="LE178" s="27"/>
      <c r="LF178" s="27"/>
      <c r="LG178" s="27"/>
      <c r="LH178" s="27"/>
      <c r="LI178" s="27"/>
      <c r="LJ178" s="27"/>
      <c r="LK178" s="27"/>
      <c r="LL178" s="27"/>
      <c r="LM178" s="27"/>
      <c r="LN178" s="27"/>
      <c r="LO178" s="27"/>
      <c r="LP178" s="27"/>
      <c r="LQ178" s="27"/>
    </row>
    <row r="179" spans="1:329" ht="15" customHeight="1">
      <c r="A179" s="144">
        <v>1102857</v>
      </c>
      <c r="B179" s="145" t="s">
        <v>405</v>
      </c>
      <c r="C179" s="132" t="s">
        <v>406</v>
      </c>
      <c r="D179" s="143">
        <v>20</v>
      </c>
      <c r="E179" s="122">
        <f t="shared" si="4"/>
        <v>33.613445378151262</v>
      </c>
      <c r="F179" s="122">
        <f t="shared" si="5"/>
        <v>40</v>
      </c>
      <c r="G179" s="38" t="s">
        <v>28</v>
      </c>
      <c r="H179" s="38" t="s">
        <v>28</v>
      </c>
      <c r="R179" s="123">
        <v>7350057586297</v>
      </c>
      <c r="S179" s="105"/>
      <c r="T179" s="105"/>
      <c r="U179" s="105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  <c r="ER179" s="27"/>
      <c r="ES179" s="27"/>
      <c r="ET179" s="27"/>
      <c r="EU179" s="27"/>
      <c r="EV179" s="27"/>
      <c r="EW179" s="27"/>
      <c r="EX179" s="27"/>
      <c r="EY179" s="27"/>
      <c r="EZ179" s="27"/>
      <c r="FA179" s="27"/>
      <c r="FB179" s="27"/>
      <c r="FC179" s="27"/>
      <c r="FD179" s="27"/>
      <c r="FE179" s="27"/>
      <c r="FF179" s="27"/>
      <c r="FG179" s="27"/>
      <c r="FH179" s="27"/>
      <c r="FI179" s="27"/>
      <c r="FJ179" s="27"/>
      <c r="FK179" s="27"/>
      <c r="FL179" s="27"/>
      <c r="FM179" s="27"/>
      <c r="FN179" s="27"/>
      <c r="FO179" s="27"/>
      <c r="FP179" s="27"/>
      <c r="FQ179" s="27"/>
      <c r="FR179" s="27"/>
      <c r="FS179" s="27"/>
      <c r="FT179" s="27"/>
      <c r="FU179" s="27"/>
      <c r="FV179" s="27"/>
      <c r="FW179" s="27"/>
      <c r="FX179" s="27"/>
      <c r="FY179" s="27"/>
      <c r="FZ179" s="27"/>
      <c r="GA179" s="27"/>
      <c r="GB179" s="27"/>
      <c r="GC179" s="27"/>
      <c r="GD179" s="27"/>
      <c r="GE179" s="27"/>
      <c r="GF179" s="27"/>
      <c r="GG179" s="27"/>
      <c r="GH179" s="27"/>
      <c r="GI179" s="27"/>
      <c r="GJ179" s="27"/>
      <c r="GK179" s="27"/>
      <c r="GL179" s="27"/>
      <c r="GM179" s="27"/>
      <c r="GN179" s="27"/>
      <c r="GO179" s="27"/>
      <c r="GP179" s="27"/>
      <c r="GQ179" s="27"/>
      <c r="GR179" s="27"/>
      <c r="GS179" s="27"/>
      <c r="GT179" s="27"/>
      <c r="GU179" s="27"/>
      <c r="GV179" s="27"/>
      <c r="GW179" s="27"/>
      <c r="GX179" s="27"/>
      <c r="GY179" s="27"/>
      <c r="GZ179" s="27"/>
      <c r="HA179" s="27"/>
      <c r="HB179" s="27"/>
      <c r="HC179" s="27"/>
      <c r="HD179" s="27"/>
      <c r="HE179" s="27"/>
      <c r="HF179" s="27"/>
      <c r="HG179" s="27"/>
      <c r="HH179" s="27"/>
      <c r="HI179" s="27"/>
      <c r="HJ179" s="27"/>
      <c r="HK179" s="27"/>
      <c r="HL179" s="27"/>
      <c r="HM179" s="27"/>
      <c r="HN179" s="27"/>
      <c r="HO179" s="27"/>
      <c r="HP179" s="27"/>
      <c r="HQ179" s="27"/>
      <c r="HR179" s="27"/>
      <c r="HS179" s="27"/>
      <c r="HT179" s="27"/>
      <c r="HU179" s="27"/>
      <c r="HV179" s="27"/>
      <c r="HW179" s="27"/>
      <c r="HX179" s="27"/>
      <c r="HY179" s="27"/>
      <c r="HZ179" s="27"/>
      <c r="IA179" s="27"/>
      <c r="IB179" s="27"/>
      <c r="IC179" s="27"/>
      <c r="ID179" s="27"/>
      <c r="IE179" s="27"/>
      <c r="IF179" s="27"/>
      <c r="IG179" s="27"/>
      <c r="IH179" s="27"/>
      <c r="II179" s="27"/>
      <c r="IJ179" s="27"/>
      <c r="IK179" s="27"/>
      <c r="IL179" s="27"/>
      <c r="IM179" s="27"/>
      <c r="IN179" s="27"/>
      <c r="IO179" s="27"/>
      <c r="IP179" s="27"/>
      <c r="IQ179" s="27"/>
      <c r="IR179" s="27"/>
      <c r="IS179" s="27"/>
      <c r="IT179" s="27"/>
      <c r="IU179" s="27"/>
      <c r="IV179" s="27"/>
      <c r="IW179" s="27"/>
      <c r="IX179" s="27"/>
      <c r="IY179" s="27"/>
      <c r="IZ179" s="27"/>
      <c r="JA179" s="27"/>
      <c r="JB179" s="27"/>
      <c r="JC179" s="27"/>
      <c r="JD179" s="27"/>
      <c r="JE179" s="27"/>
      <c r="JF179" s="27"/>
      <c r="JG179" s="27"/>
      <c r="JH179" s="27"/>
      <c r="JI179" s="27"/>
      <c r="JJ179" s="27"/>
      <c r="JK179" s="27"/>
      <c r="JL179" s="27"/>
      <c r="JM179" s="27"/>
      <c r="JN179" s="27"/>
      <c r="JO179" s="27"/>
      <c r="JP179" s="27"/>
      <c r="JQ179" s="27"/>
      <c r="JR179" s="27"/>
      <c r="JS179" s="27"/>
      <c r="JT179" s="27"/>
      <c r="JU179" s="27"/>
      <c r="JV179" s="27"/>
      <c r="JW179" s="27"/>
      <c r="JX179" s="27"/>
      <c r="JY179" s="27"/>
      <c r="JZ179" s="27"/>
      <c r="KA179" s="27"/>
      <c r="KB179" s="27"/>
      <c r="KC179" s="27"/>
      <c r="KD179" s="27"/>
      <c r="KE179" s="27"/>
      <c r="KF179" s="27"/>
      <c r="KG179" s="27"/>
      <c r="KH179" s="27"/>
      <c r="KI179" s="27"/>
      <c r="KJ179" s="27"/>
      <c r="KK179" s="27"/>
      <c r="KL179" s="27"/>
      <c r="KM179" s="27"/>
      <c r="KN179" s="27"/>
      <c r="KO179" s="27"/>
      <c r="KP179" s="27"/>
      <c r="KQ179" s="27"/>
      <c r="KR179" s="27"/>
      <c r="KS179" s="27"/>
      <c r="KT179" s="27"/>
      <c r="KU179" s="27"/>
      <c r="KV179" s="27"/>
      <c r="KW179" s="27"/>
      <c r="KX179" s="27"/>
      <c r="KY179" s="27"/>
      <c r="KZ179" s="27"/>
      <c r="LA179" s="27"/>
      <c r="LB179" s="27"/>
      <c r="LC179" s="27"/>
      <c r="LD179" s="27"/>
      <c r="LE179" s="27"/>
      <c r="LF179" s="27"/>
      <c r="LG179" s="27"/>
      <c r="LH179" s="27"/>
      <c r="LI179" s="27"/>
      <c r="LJ179" s="27"/>
      <c r="LK179" s="27"/>
      <c r="LL179" s="27"/>
      <c r="LM179" s="27"/>
      <c r="LN179" s="27"/>
      <c r="LO179" s="27"/>
      <c r="LP179" s="27"/>
      <c r="LQ179" s="27"/>
    </row>
    <row r="180" spans="1:329" ht="15" customHeight="1">
      <c r="A180" s="85">
        <v>1102859</v>
      </c>
      <c r="B180" s="72" t="s">
        <v>407</v>
      </c>
      <c r="C180" s="213" t="s">
        <v>408</v>
      </c>
      <c r="D180" s="122">
        <v>6</v>
      </c>
      <c r="E180" s="122">
        <f t="shared" si="4"/>
        <v>10.084033613445378</v>
      </c>
      <c r="F180" s="122">
        <f t="shared" si="5"/>
        <v>12</v>
      </c>
      <c r="G180" s="38" t="s">
        <v>28</v>
      </c>
      <c r="H180" s="38" t="s">
        <v>28</v>
      </c>
      <c r="R180" s="139">
        <v>7350057586426</v>
      </c>
      <c r="S180" s="72"/>
      <c r="T180" s="72"/>
      <c r="U180" s="72"/>
    </row>
    <row r="181" spans="1:329" ht="15" customHeight="1">
      <c r="A181" s="85">
        <v>1103019</v>
      </c>
      <c r="B181" s="72" t="s">
        <v>409</v>
      </c>
      <c r="C181" s="72" t="s">
        <v>410</v>
      </c>
      <c r="D181" s="122">
        <v>4</v>
      </c>
      <c r="E181" s="122">
        <f t="shared" si="4"/>
        <v>6.7226890756302522</v>
      </c>
      <c r="F181" s="122">
        <f t="shared" si="5"/>
        <v>8</v>
      </c>
      <c r="G181" s="38" t="s">
        <v>28</v>
      </c>
      <c r="H181" s="38" t="s">
        <v>28</v>
      </c>
      <c r="R181" s="139">
        <v>7350057586464</v>
      </c>
      <c r="S181" s="72"/>
      <c r="T181" s="72"/>
      <c r="U181" s="72"/>
    </row>
    <row r="182" spans="1:329" ht="15" customHeight="1">
      <c r="A182" s="85">
        <v>1103021</v>
      </c>
      <c r="B182" s="72" t="s">
        <v>411</v>
      </c>
      <c r="C182" s="72" t="s">
        <v>412</v>
      </c>
      <c r="D182" s="122">
        <v>9</v>
      </c>
      <c r="E182" s="122">
        <f t="shared" si="4"/>
        <v>15.126050420168069</v>
      </c>
      <c r="F182" s="122">
        <f t="shared" si="5"/>
        <v>18</v>
      </c>
      <c r="G182" s="38" t="s">
        <v>28</v>
      </c>
      <c r="H182" s="38" t="s">
        <v>28</v>
      </c>
      <c r="R182" s="139"/>
      <c r="S182" s="72"/>
      <c r="T182" s="72"/>
      <c r="U182" s="72"/>
    </row>
    <row r="183" spans="1:329" ht="15" customHeight="1">
      <c r="A183" s="85">
        <v>1103028</v>
      </c>
      <c r="B183" s="72" t="s">
        <v>413</v>
      </c>
      <c r="C183" s="72" t="s">
        <v>414</v>
      </c>
      <c r="D183" s="122">
        <v>21</v>
      </c>
      <c r="E183" s="122">
        <f t="shared" si="4"/>
        <v>35.294117647058826</v>
      </c>
      <c r="F183" s="122">
        <f t="shared" si="5"/>
        <v>42</v>
      </c>
      <c r="G183" s="38" t="s">
        <v>28</v>
      </c>
      <c r="H183" s="38" t="s">
        <v>28</v>
      </c>
      <c r="R183" s="139">
        <v>7350057586501</v>
      </c>
      <c r="S183" s="72"/>
      <c r="T183" s="72"/>
      <c r="U183" s="72"/>
    </row>
    <row r="184" spans="1:329" ht="15" customHeight="1">
      <c r="A184" s="85">
        <v>1103031</v>
      </c>
      <c r="B184" s="72" t="s">
        <v>415</v>
      </c>
      <c r="C184" s="72" t="s">
        <v>416</v>
      </c>
      <c r="D184" s="122">
        <v>21</v>
      </c>
      <c r="E184" s="122">
        <f t="shared" si="4"/>
        <v>35.294117647058826</v>
      </c>
      <c r="F184" s="122">
        <f t="shared" si="5"/>
        <v>42</v>
      </c>
      <c r="G184" s="38" t="s">
        <v>28</v>
      </c>
      <c r="H184" s="38" t="s">
        <v>28</v>
      </c>
      <c r="R184" s="139">
        <v>7350057586525</v>
      </c>
      <c r="S184" s="72"/>
      <c r="T184" s="72"/>
      <c r="U184" s="72"/>
    </row>
    <row r="185" spans="1:329" ht="15" customHeight="1">
      <c r="A185" s="146">
        <v>1103295</v>
      </c>
      <c r="B185" s="72"/>
      <c r="C185" s="72" t="s">
        <v>417</v>
      </c>
      <c r="D185" s="122">
        <v>0</v>
      </c>
      <c r="E185" s="122">
        <f t="shared" si="4"/>
        <v>0</v>
      </c>
      <c r="F185" s="122">
        <f t="shared" si="5"/>
        <v>0</v>
      </c>
      <c r="G185" s="147"/>
      <c r="H185" s="147"/>
      <c r="R185" s="148"/>
      <c r="S185" s="72"/>
      <c r="T185" s="72"/>
      <c r="U185" s="72"/>
    </row>
    <row r="186" spans="1:329" ht="15" customHeight="1">
      <c r="A186" s="138">
        <v>1103343</v>
      </c>
      <c r="B186" s="72" t="s">
        <v>418</v>
      </c>
      <c r="C186" s="72" t="s">
        <v>419</v>
      </c>
      <c r="D186" s="122">
        <v>3</v>
      </c>
      <c r="E186" s="122">
        <f t="shared" si="4"/>
        <v>5.0420168067226889</v>
      </c>
      <c r="F186" s="122">
        <f t="shared" si="5"/>
        <v>6</v>
      </c>
      <c r="G186" s="38" t="s">
        <v>28</v>
      </c>
      <c r="H186" s="38" t="s">
        <v>28</v>
      </c>
      <c r="R186" s="139">
        <v>7350057586792</v>
      </c>
      <c r="S186" s="72"/>
      <c r="T186" s="72"/>
      <c r="U186" s="72"/>
    </row>
    <row r="187" spans="1:329" ht="15" customHeight="1">
      <c r="A187" s="33">
        <v>1900028</v>
      </c>
      <c r="B187" s="61" t="s">
        <v>420</v>
      </c>
      <c r="C187" s="61" t="s">
        <v>421</v>
      </c>
      <c r="D187" s="122">
        <v>0.1</v>
      </c>
      <c r="E187" s="122">
        <f t="shared" si="4"/>
        <v>0.16806722689075632</v>
      </c>
      <c r="F187" s="122">
        <f t="shared" si="5"/>
        <v>0.2</v>
      </c>
      <c r="G187" s="149"/>
      <c r="H187" s="149"/>
      <c r="K187" s="54" t="s">
        <v>28</v>
      </c>
      <c r="L187" s="54" t="s">
        <v>28</v>
      </c>
      <c r="M187" s="54" t="s">
        <v>28</v>
      </c>
      <c r="N187" s="54" t="s">
        <v>28</v>
      </c>
      <c r="O187" s="54" t="s">
        <v>28</v>
      </c>
      <c r="P187" s="54" t="s">
        <v>28</v>
      </c>
      <c r="Q187" s="135" t="s">
        <v>28</v>
      </c>
      <c r="R187" s="123">
        <v>7350057584101</v>
      </c>
      <c r="S187" s="105" t="s">
        <v>422</v>
      </c>
      <c r="T187" s="105">
        <v>7.5</v>
      </c>
      <c r="U187" s="105">
        <v>7.1</v>
      </c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  <c r="FS187" s="27"/>
      <c r="FT187" s="27"/>
      <c r="FU187" s="27"/>
      <c r="FV187" s="27"/>
      <c r="FW187" s="27"/>
      <c r="FX187" s="27"/>
      <c r="FY187" s="27"/>
      <c r="FZ187" s="27"/>
      <c r="GA187" s="27"/>
      <c r="GB187" s="27"/>
      <c r="GC187" s="27"/>
      <c r="GD187" s="27"/>
      <c r="GE187" s="27"/>
      <c r="GF187" s="27"/>
      <c r="GG187" s="27"/>
      <c r="GH187" s="27"/>
      <c r="GI187" s="27"/>
      <c r="GJ187" s="27"/>
      <c r="GK187" s="27"/>
      <c r="GL187" s="27"/>
      <c r="GM187" s="27"/>
      <c r="GN187" s="27"/>
      <c r="GO187" s="27"/>
      <c r="GP187" s="27"/>
      <c r="GQ187" s="27"/>
      <c r="GR187" s="27"/>
      <c r="GS187" s="27"/>
      <c r="GT187" s="27"/>
      <c r="GU187" s="27"/>
      <c r="GV187" s="27"/>
      <c r="GW187" s="27"/>
      <c r="GX187" s="27"/>
      <c r="GY187" s="27"/>
      <c r="GZ187" s="27"/>
      <c r="HA187" s="27"/>
      <c r="HB187" s="27"/>
      <c r="HC187" s="27"/>
      <c r="HD187" s="27"/>
      <c r="HE187" s="27"/>
      <c r="HF187" s="27"/>
      <c r="HG187" s="27"/>
      <c r="HH187" s="27"/>
      <c r="HI187" s="27"/>
      <c r="HJ187" s="27"/>
      <c r="HK187" s="27"/>
      <c r="HL187" s="27"/>
      <c r="HM187" s="27"/>
      <c r="HN187" s="27"/>
      <c r="HO187" s="27"/>
      <c r="HP187" s="27"/>
      <c r="HQ187" s="27"/>
      <c r="HR187" s="27"/>
      <c r="HS187" s="27"/>
      <c r="HT187" s="27"/>
      <c r="HU187" s="27"/>
      <c r="HV187" s="27"/>
      <c r="HW187" s="27"/>
      <c r="HX187" s="27"/>
      <c r="HY187" s="27"/>
      <c r="HZ187" s="27"/>
      <c r="IA187" s="27"/>
      <c r="IB187" s="27"/>
      <c r="IC187" s="27"/>
      <c r="ID187" s="27"/>
      <c r="IE187" s="27"/>
      <c r="IF187" s="27"/>
      <c r="IG187" s="27"/>
      <c r="IH187" s="27"/>
      <c r="II187" s="27"/>
      <c r="IJ187" s="27"/>
      <c r="IK187" s="27"/>
      <c r="IL187" s="27"/>
      <c r="IM187" s="27"/>
      <c r="IN187" s="27"/>
      <c r="IO187" s="27"/>
      <c r="IP187" s="27"/>
      <c r="IQ187" s="27"/>
      <c r="IR187" s="27"/>
      <c r="IS187" s="27"/>
      <c r="IT187" s="27"/>
      <c r="IU187" s="27"/>
      <c r="IV187" s="27"/>
      <c r="IW187" s="27"/>
      <c r="IX187" s="27"/>
      <c r="IY187" s="27"/>
      <c r="IZ187" s="27"/>
      <c r="JA187" s="27"/>
      <c r="JB187" s="27"/>
      <c r="JC187" s="27"/>
      <c r="JD187" s="27"/>
      <c r="JE187" s="27"/>
      <c r="JF187" s="27"/>
      <c r="JG187" s="27"/>
      <c r="JH187" s="27"/>
      <c r="JI187" s="27"/>
      <c r="JJ187" s="27"/>
      <c r="JK187" s="27"/>
      <c r="JL187" s="27"/>
      <c r="JM187" s="27"/>
      <c r="JN187" s="27"/>
      <c r="JO187" s="27"/>
      <c r="JP187" s="27"/>
      <c r="JQ187" s="27"/>
      <c r="JR187" s="27"/>
      <c r="JS187" s="27"/>
      <c r="JT187" s="27"/>
      <c r="JU187" s="27"/>
      <c r="JV187" s="27"/>
      <c r="JW187" s="27"/>
      <c r="JX187" s="27"/>
      <c r="JY187" s="27"/>
      <c r="JZ187" s="27"/>
      <c r="KA187" s="27"/>
      <c r="KB187" s="27"/>
      <c r="KC187" s="27"/>
      <c r="KD187" s="27"/>
      <c r="KE187" s="27"/>
      <c r="KF187" s="27"/>
      <c r="KG187" s="27"/>
      <c r="KH187" s="27"/>
      <c r="KI187" s="27"/>
      <c r="KJ187" s="27"/>
      <c r="KK187" s="27"/>
      <c r="KL187" s="27"/>
      <c r="KM187" s="27"/>
      <c r="KN187" s="27"/>
      <c r="KO187" s="27"/>
      <c r="KP187" s="27"/>
      <c r="KQ187" s="27"/>
      <c r="KR187" s="27"/>
      <c r="KS187" s="27"/>
      <c r="KT187" s="27"/>
      <c r="KU187" s="27"/>
      <c r="KV187" s="27"/>
      <c r="KW187" s="27"/>
      <c r="KX187" s="27"/>
      <c r="KY187" s="27"/>
      <c r="KZ187" s="27"/>
      <c r="LA187" s="27"/>
      <c r="LB187" s="27"/>
      <c r="LC187" s="27"/>
      <c r="LD187" s="27"/>
      <c r="LE187" s="27"/>
      <c r="LF187" s="27"/>
      <c r="LG187" s="27"/>
      <c r="LH187" s="27"/>
      <c r="LI187" s="27"/>
      <c r="LJ187" s="27"/>
      <c r="LK187" s="27"/>
      <c r="LL187" s="27"/>
      <c r="LM187" s="27"/>
      <c r="LN187" s="27"/>
      <c r="LO187" s="27"/>
      <c r="LP187" s="27"/>
      <c r="LQ187" s="27"/>
    </row>
    <row r="188" spans="1:329">
      <c r="A188" s="85"/>
      <c r="B188" s="72"/>
      <c r="C188" s="72"/>
      <c r="D188" s="122"/>
      <c r="E188" s="150"/>
      <c r="F188" s="150"/>
      <c r="G188" s="13"/>
      <c r="H188" s="13"/>
      <c r="R188" s="151"/>
    </row>
    <row r="189" spans="1:329">
      <c r="A189" s="152"/>
      <c r="C189" s="153"/>
      <c r="G189" s="130"/>
      <c r="H189" s="130"/>
      <c r="R189" s="151"/>
    </row>
  </sheetData>
  <sheetProtection algorithmName="SHA-512" hashValue="M+MowP3mTbcdWPXKtF+TCIBGHRUSCDJTJYyHf44iQva/4J939XK9E9cQTiZZ5n00Qs6Gxk628uMEEL8jFx9RLg==" saltValue="0Nf2lrVdlUDLKk6Jkw1Pgw==" spinCount="100000" sheet="1" selectLockedCells="1" selectUnlockedCells="1"/>
  <sortState xmlns:xlrd2="http://schemas.microsoft.com/office/spreadsheetml/2017/richdata2" ref="A3:LQ189">
    <sortCondition ref="A3:A189"/>
  </sortState>
  <mergeCells count="1">
    <mergeCell ref="A1:C1"/>
  </mergeCells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C1C9-EB03-4BB0-962D-B25C81D0A5E4}">
  <sheetPr codeName="Blad13">
    <tabColor rgb="FFFF0000"/>
  </sheetPr>
  <dimension ref="A1:D10"/>
  <sheetViews>
    <sheetView workbookViewId="0">
      <selection activeCell="J22" sqref="J22"/>
    </sheetView>
  </sheetViews>
  <sheetFormatPr defaultColWidth="10.7109375" defaultRowHeight="15"/>
  <cols>
    <col min="1" max="1" width="18.42578125" style="22" customWidth="1"/>
    <col min="2" max="2" width="15.42578125" style="22" customWidth="1"/>
    <col min="3" max="3" width="13.5703125" style="22" customWidth="1"/>
    <col min="4" max="16384" width="10.7109375" style="22"/>
  </cols>
  <sheetData>
    <row r="1" spans="1:4">
      <c r="A1" s="62" t="s">
        <v>423</v>
      </c>
      <c r="B1" s="62" t="s">
        <v>424</v>
      </c>
      <c r="C1" s="62" t="s">
        <v>425</v>
      </c>
    </row>
    <row r="2" spans="1:4">
      <c r="A2" s="62">
        <v>1</v>
      </c>
      <c r="B2" s="98">
        <f>A2*B7</f>
        <v>15</v>
      </c>
      <c r="C2" s="99">
        <f>B2*1.19</f>
        <v>17.849999999999998</v>
      </c>
    </row>
    <row r="3" spans="1:4">
      <c r="A3" s="62">
        <v>2</v>
      </c>
      <c r="B3" s="98">
        <f>A3*B7</f>
        <v>30</v>
      </c>
      <c r="C3" s="99">
        <f t="shared" ref="C3:C5" si="0">B3*1.19</f>
        <v>35.699999999999996</v>
      </c>
    </row>
    <row r="4" spans="1:4">
      <c r="A4" s="62">
        <v>3</v>
      </c>
      <c r="B4" s="98">
        <f>A4*B7</f>
        <v>45</v>
      </c>
      <c r="C4" s="99">
        <f t="shared" si="0"/>
        <v>53.55</v>
      </c>
    </row>
    <row r="5" spans="1:4">
      <c r="A5" s="62">
        <v>4</v>
      </c>
      <c r="B5" s="100">
        <f>A5*B7</f>
        <v>60</v>
      </c>
      <c r="C5" s="99">
        <f t="shared" si="0"/>
        <v>71.399999999999991</v>
      </c>
    </row>
    <row r="7" spans="1:4">
      <c r="A7" s="22" t="s">
        <v>426</v>
      </c>
      <c r="B7" s="101">
        <v>15</v>
      </c>
      <c r="C7" s="102">
        <f>B7*1.19</f>
        <v>17.849999999999998</v>
      </c>
    </row>
    <row r="10" spans="1:4">
      <c r="D10" s="97"/>
    </row>
  </sheetData>
  <sheetProtection algorithmName="SHA-512" hashValue="sABdRXERps0sHBCx7iUCZ6Bd72j0cvmdogjQ8jijm+zi+iiF1gxcZxbuMi6HTpp4o8zleuYB/fc1fCpztPiWvw==" saltValue="+DtCU0QMk0YfTZz/gh5uaw==" spinCount="100000" sheet="1" selectLockedCells="1" selectUnlockedCells="1"/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B1B-CB48-400C-8751-81E5AF3E4C1F}">
  <sheetPr codeName="Blad14"/>
  <dimension ref="A1:O133"/>
  <sheetViews>
    <sheetView workbookViewId="0">
      <pane ySplit="2" topLeftCell="A3" activePane="bottomLeft" state="frozen"/>
      <selection pane="bottomLeft" activeCell="M17" sqref="M17"/>
    </sheetView>
  </sheetViews>
  <sheetFormatPr defaultColWidth="9.28515625" defaultRowHeight="15"/>
  <cols>
    <col min="2" max="2" width="35.42578125" bestFit="1" customWidth="1"/>
    <col min="6" max="7" width="10" customWidth="1"/>
    <col min="9" max="9" width="11.42578125" customWidth="1"/>
  </cols>
  <sheetData>
    <row r="1" spans="1:15" ht="36">
      <c r="A1" s="254" t="s">
        <v>427</v>
      </c>
      <c r="B1" s="254"/>
      <c r="C1" s="254"/>
      <c r="D1" s="254"/>
      <c r="E1" s="254"/>
      <c r="F1" s="254"/>
      <c r="G1" s="254"/>
      <c r="H1" s="254"/>
      <c r="I1" s="17"/>
      <c r="J1" s="43"/>
      <c r="K1" s="42"/>
      <c r="L1" s="17"/>
      <c r="M1" s="17"/>
      <c r="N1" s="17"/>
      <c r="O1" s="17"/>
    </row>
    <row r="2" spans="1:15" ht="45">
      <c r="A2" s="14" t="s">
        <v>22</v>
      </c>
      <c r="B2" s="14" t="s">
        <v>42</v>
      </c>
      <c r="C2" s="41" t="s">
        <v>428</v>
      </c>
      <c r="D2" s="41" t="s">
        <v>429</v>
      </c>
      <c r="E2" s="41" t="s">
        <v>430</v>
      </c>
      <c r="F2" s="15" t="s">
        <v>35</v>
      </c>
      <c r="G2" s="15" t="s">
        <v>36</v>
      </c>
      <c r="H2" s="15" t="s">
        <v>431</v>
      </c>
      <c r="I2" s="15" t="s">
        <v>432</v>
      </c>
      <c r="J2" s="15" t="s">
        <v>33</v>
      </c>
      <c r="K2" s="15" t="s">
        <v>34</v>
      </c>
      <c r="L2" s="15" t="s">
        <v>38</v>
      </c>
      <c r="M2" s="15" t="s">
        <v>39</v>
      </c>
      <c r="N2" s="15" t="s">
        <v>40</v>
      </c>
      <c r="O2" s="15" t="s">
        <v>433</v>
      </c>
    </row>
    <row r="3" spans="1:15">
      <c r="A3" s="25">
        <v>1100710</v>
      </c>
      <c r="B3" s="26" t="s">
        <v>434</v>
      </c>
      <c r="C3" s="58">
        <v>28</v>
      </c>
      <c r="D3" s="58">
        <v>13</v>
      </c>
      <c r="E3" s="58">
        <v>22</v>
      </c>
      <c r="F3" s="12" t="s">
        <v>28</v>
      </c>
      <c r="G3" s="10"/>
      <c r="H3" s="10"/>
      <c r="I3" s="10"/>
      <c r="J3" s="10"/>
      <c r="K3" s="10"/>
      <c r="L3" s="10"/>
      <c r="M3" s="10"/>
      <c r="N3" s="10"/>
      <c r="O3" s="10"/>
    </row>
    <row r="4" spans="1:15">
      <c r="A4" s="25">
        <v>1100836</v>
      </c>
      <c r="B4" s="26" t="s">
        <v>435</v>
      </c>
      <c r="C4" s="58">
        <v>28</v>
      </c>
      <c r="D4" s="58">
        <v>13</v>
      </c>
      <c r="E4" s="58">
        <v>22</v>
      </c>
      <c r="F4" s="12" t="s">
        <v>28</v>
      </c>
      <c r="G4" s="10"/>
      <c r="H4" s="10"/>
      <c r="I4" s="10"/>
      <c r="J4" s="10"/>
      <c r="K4" s="10"/>
      <c r="L4" s="10"/>
      <c r="M4" s="10"/>
      <c r="N4" s="10"/>
      <c r="O4" s="10"/>
    </row>
    <row r="5" spans="1:15">
      <c r="A5" s="25">
        <v>1100841</v>
      </c>
      <c r="B5" s="26" t="s">
        <v>436</v>
      </c>
      <c r="C5" s="58">
        <v>28</v>
      </c>
      <c r="D5" s="58">
        <v>13</v>
      </c>
      <c r="E5" s="58">
        <v>22</v>
      </c>
      <c r="F5" s="12" t="s">
        <v>28</v>
      </c>
      <c r="G5" s="10"/>
      <c r="H5" s="10"/>
      <c r="I5" s="10"/>
      <c r="J5" s="10"/>
      <c r="K5" s="10"/>
      <c r="L5" s="10"/>
      <c r="M5" s="10"/>
      <c r="N5" s="10"/>
      <c r="O5" s="10"/>
    </row>
    <row r="6" spans="1:15">
      <c r="A6" s="25">
        <v>1100846</v>
      </c>
      <c r="B6" s="26" t="s">
        <v>437</v>
      </c>
      <c r="C6" s="58">
        <v>28</v>
      </c>
      <c r="D6" s="58">
        <v>13</v>
      </c>
      <c r="E6" s="58">
        <v>22</v>
      </c>
      <c r="F6" s="12" t="s">
        <v>28</v>
      </c>
      <c r="G6" s="10"/>
      <c r="H6" s="10"/>
      <c r="I6" s="10"/>
      <c r="J6" s="10"/>
      <c r="K6" s="10"/>
      <c r="L6" s="10"/>
      <c r="M6" s="10"/>
      <c r="N6" s="10"/>
      <c r="O6" s="10"/>
    </row>
    <row r="7" spans="1:15">
      <c r="A7" s="25">
        <v>1100851</v>
      </c>
      <c r="B7" s="26" t="s">
        <v>438</v>
      </c>
      <c r="C7" s="58">
        <v>28</v>
      </c>
      <c r="D7" s="58">
        <v>13</v>
      </c>
      <c r="E7" s="58">
        <v>22</v>
      </c>
      <c r="F7" s="12" t="s">
        <v>28</v>
      </c>
      <c r="G7" s="10"/>
      <c r="H7" s="10"/>
      <c r="I7" s="10"/>
      <c r="J7" s="10"/>
      <c r="K7" s="10"/>
      <c r="L7" s="10"/>
      <c r="M7" s="10"/>
      <c r="N7" s="10"/>
      <c r="O7" s="10"/>
    </row>
    <row r="8" spans="1:15">
      <c r="A8" s="23">
        <v>1100733</v>
      </c>
      <c r="B8" s="24" t="s">
        <v>434</v>
      </c>
      <c r="C8" s="59">
        <v>28</v>
      </c>
      <c r="D8" s="58">
        <v>13</v>
      </c>
      <c r="E8" s="58">
        <v>22</v>
      </c>
      <c r="F8" s="13"/>
      <c r="G8" s="13" t="s">
        <v>28</v>
      </c>
      <c r="H8" s="9"/>
      <c r="I8" s="9"/>
      <c r="J8" s="9"/>
      <c r="K8" s="9"/>
      <c r="L8" s="9"/>
      <c r="M8" s="9"/>
      <c r="N8" s="9"/>
      <c r="O8" s="9"/>
    </row>
    <row r="9" spans="1:15">
      <c r="A9" s="23">
        <v>1100824</v>
      </c>
      <c r="B9" s="24" t="s">
        <v>435</v>
      </c>
      <c r="C9" s="59">
        <v>28</v>
      </c>
      <c r="D9" s="58">
        <v>13</v>
      </c>
      <c r="E9" s="58">
        <v>22</v>
      </c>
      <c r="F9" s="13"/>
      <c r="G9" s="13" t="s">
        <v>28</v>
      </c>
      <c r="H9" s="9"/>
      <c r="I9" s="9"/>
      <c r="J9" s="9"/>
      <c r="K9" s="9"/>
      <c r="L9" s="9"/>
      <c r="M9" s="9"/>
      <c r="N9" s="9"/>
      <c r="O9" s="9"/>
    </row>
    <row r="10" spans="1:15">
      <c r="A10" s="23">
        <v>1100827</v>
      </c>
      <c r="B10" s="24" t="s">
        <v>436</v>
      </c>
      <c r="C10" s="59">
        <v>28</v>
      </c>
      <c r="D10" s="58">
        <v>13</v>
      </c>
      <c r="E10" s="58">
        <v>22</v>
      </c>
      <c r="F10" s="13"/>
      <c r="G10" s="13" t="s">
        <v>28</v>
      </c>
      <c r="H10" s="9"/>
      <c r="I10" s="9"/>
      <c r="J10" s="9"/>
      <c r="K10" s="9"/>
      <c r="L10" s="9"/>
      <c r="M10" s="9"/>
      <c r="N10" s="9"/>
      <c r="O10" s="9"/>
    </row>
    <row r="11" spans="1:15">
      <c r="A11" s="23">
        <v>1100829</v>
      </c>
      <c r="B11" s="24" t="s">
        <v>437</v>
      </c>
      <c r="C11" s="59">
        <v>28</v>
      </c>
      <c r="D11" s="58">
        <v>13</v>
      </c>
      <c r="E11" s="58">
        <v>22</v>
      </c>
      <c r="F11" s="13"/>
      <c r="G11" s="13" t="s">
        <v>28</v>
      </c>
      <c r="H11" s="9"/>
      <c r="I11" s="9"/>
      <c r="J11" s="9"/>
      <c r="K11" s="9"/>
      <c r="L11" s="9"/>
      <c r="M11" s="9"/>
      <c r="N11" s="9"/>
      <c r="O11" s="9"/>
    </row>
    <row r="12" spans="1:15">
      <c r="A12" s="23">
        <v>1100831</v>
      </c>
      <c r="B12" s="24" t="s">
        <v>438</v>
      </c>
      <c r="C12" s="59">
        <v>28</v>
      </c>
      <c r="D12" s="58">
        <v>13</v>
      </c>
      <c r="E12" s="58">
        <v>22</v>
      </c>
      <c r="F12" s="13"/>
      <c r="G12" s="13" t="s">
        <v>28</v>
      </c>
      <c r="H12" s="9"/>
      <c r="I12" s="9"/>
      <c r="J12" s="9"/>
      <c r="K12" s="9"/>
      <c r="L12" s="9"/>
      <c r="M12" s="9"/>
      <c r="N12" s="9"/>
      <c r="O12" s="9"/>
    </row>
    <row r="13" spans="1:15">
      <c r="A13" s="34">
        <v>1100961</v>
      </c>
      <c r="B13" s="26" t="s">
        <v>434</v>
      </c>
      <c r="C13" s="59">
        <v>28</v>
      </c>
      <c r="D13" s="58">
        <v>13</v>
      </c>
      <c r="E13" s="58">
        <v>22</v>
      </c>
      <c r="F13" s="7"/>
      <c r="G13" s="7"/>
      <c r="H13" s="12" t="s">
        <v>28</v>
      </c>
      <c r="I13" s="7"/>
      <c r="J13" s="7"/>
      <c r="K13" s="7"/>
      <c r="L13" s="7"/>
      <c r="M13" s="7"/>
      <c r="N13" s="7"/>
      <c r="O13" s="7"/>
    </row>
    <row r="14" spans="1:15">
      <c r="A14" s="34">
        <v>1101176</v>
      </c>
      <c r="B14" s="26" t="s">
        <v>435</v>
      </c>
      <c r="C14" s="59">
        <v>28</v>
      </c>
      <c r="D14" s="58">
        <v>13</v>
      </c>
      <c r="E14" s="58">
        <v>22</v>
      </c>
      <c r="F14" s="7"/>
      <c r="G14" s="10"/>
      <c r="H14" s="12" t="s">
        <v>28</v>
      </c>
      <c r="I14" s="10"/>
      <c r="J14" s="10"/>
      <c r="K14" s="10"/>
      <c r="L14" s="10"/>
      <c r="M14" s="10"/>
      <c r="N14" s="10"/>
      <c r="O14" s="10"/>
    </row>
    <row r="15" spans="1:15">
      <c r="A15" s="34">
        <v>1101177</v>
      </c>
      <c r="B15" s="26" t="s">
        <v>436</v>
      </c>
      <c r="C15" s="59">
        <v>28</v>
      </c>
      <c r="D15" s="58">
        <v>13</v>
      </c>
      <c r="E15" s="58">
        <v>22</v>
      </c>
      <c r="F15" s="7"/>
      <c r="G15" s="10"/>
      <c r="H15" s="12" t="s">
        <v>28</v>
      </c>
      <c r="I15" s="10"/>
      <c r="J15" s="10"/>
      <c r="K15" s="10"/>
      <c r="L15" s="10"/>
      <c r="M15" s="10"/>
      <c r="N15" s="10"/>
      <c r="O15" s="10"/>
    </row>
    <row r="16" spans="1:15">
      <c r="A16" s="34">
        <v>1101178</v>
      </c>
      <c r="B16" s="26" t="s">
        <v>439</v>
      </c>
      <c r="C16" s="59">
        <v>28</v>
      </c>
      <c r="D16" s="58">
        <v>13</v>
      </c>
      <c r="E16" s="58">
        <v>22</v>
      </c>
      <c r="F16" s="7"/>
      <c r="G16" s="10"/>
      <c r="H16" s="12" t="s">
        <v>28</v>
      </c>
      <c r="I16" s="10"/>
      <c r="J16" s="10"/>
      <c r="K16" s="10"/>
      <c r="L16" s="10"/>
      <c r="M16" s="10"/>
      <c r="N16" s="10"/>
      <c r="O16" s="10"/>
    </row>
    <row r="17" spans="1:15">
      <c r="A17" s="34">
        <v>1101179</v>
      </c>
      <c r="B17" s="26" t="s">
        <v>440</v>
      </c>
      <c r="C17" s="59">
        <v>28</v>
      </c>
      <c r="D17" s="58">
        <v>13</v>
      </c>
      <c r="E17" s="58">
        <v>22</v>
      </c>
      <c r="F17" s="7"/>
      <c r="G17" s="10"/>
      <c r="H17" s="12" t="s">
        <v>28</v>
      </c>
      <c r="I17" s="10"/>
      <c r="J17" s="10"/>
      <c r="K17" s="10"/>
      <c r="L17" s="10"/>
      <c r="M17" s="10"/>
      <c r="N17" s="10"/>
      <c r="O17" s="10"/>
    </row>
    <row r="18" spans="1:15">
      <c r="A18" s="34">
        <v>1101180</v>
      </c>
      <c r="B18" s="26" t="s">
        <v>437</v>
      </c>
      <c r="C18" s="59">
        <v>28</v>
      </c>
      <c r="D18" s="58">
        <v>13</v>
      </c>
      <c r="E18" s="58">
        <v>22</v>
      </c>
      <c r="F18" s="7"/>
      <c r="G18" s="10"/>
      <c r="H18" s="12" t="s">
        <v>28</v>
      </c>
      <c r="I18" s="10"/>
      <c r="J18" s="10"/>
      <c r="K18" s="10"/>
      <c r="L18" s="10"/>
      <c r="M18" s="10"/>
      <c r="N18" s="10"/>
      <c r="O18" s="10"/>
    </row>
    <row r="19" spans="1:15">
      <c r="A19" s="34">
        <v>1101181</v>
      </c>
      <c r="B19" s="2" t="s">
        <v>438</v>
      </c>
      <c r="C19" s="59">
        <v>28</v>
      </c>
      <c r="D19" s="58">
        <v>13</v>
      </c>
      <c r="E19" s="58">
        <v>22</v>
      </c>
      <c r="F19" s="7"/>
      <c r="G19" s="10"/>
      <c r="H19" s="12" t="s">
        <v>28</v>
      </c>
      <c r="I19" s="10"/>
      <c r="J19" s="10"/>
      <c r="K19" s="10"/>
      <c r="L19" s="10"/>
      <c r="M19" s="10"/>
      <c r="N19" s="10"/>
      <c r="O19" s="10"/>
    </row>
    <row r="20" spans="1:15">
      <c r="A20" s="33">
        <v>1101216</v>
      </c>
      <c r="B20" s="24" t="s">
        <v>434</v>
      </c>
      <c r="C20" s="59">
        <v>28</v>
      </c>
      <c r="D20" s="58">
        <v>13</v>
      </c>
      <c r="E20" s="58">
        <v>22</v>
      </c>
      <c r="F20" s="6"/>
      <c r="G20" s="9"/>
      <c r="H20" s="9"/>
      <c r="I20" s="13" t="s">
        <v>28</v>
      </c>
      <c r="J20" s="9"/>
      <c r="K20" s="9"/>
      <c r="L20" s="9"/>
      <c r="M20" s="9"/>
      <c r="N20" s="9"/>
      <c r="O20" s="9"/>
    </row>
    <row r="21" spans="1:15">
      <c r="A21" s="33">
        <v>1101217</v>
      </c>
      <c r="B21" s="24" t="s">
        <v>435</v>
      </c>
      <c r="C21" s="59">
        <v>28</v>
      </c>
      <c r="D21" s="58">
        <v>13</v>
      </c>
      <c r="E21" s="58">
        <v>22</v>
      </c>
      <c r="F21" s="6"/>
      <c r="G21" s="9"/>
      <c r="H21" s="9"/>
      <c r="I21" s="13" t="s">
        <v>28</v>
      </c>
      <c r="J21" s="9"/>
      <c r="K21" s="9"/>
      <c r="L21" s="9"/>
      <c r="M21" s="9"/>
      <c r="N21" s="9"/>
      <c r="O21" s="9"/>
    </row>
    <row r="22" spans="1:15">
      <c r="A22" s="33">
        <v>1101218</v>
      </c>
      <c r="B22" s="24" t="s">
        <v>436</v>
      </c>
      <c r="C22" s="59">
        <v>28</v>
      </c>
      <c r="D22" s="58">
        <v>13</v>
      </c>
      <c r="E22" s="58">
        <v>22</v>
      </c>
      <c r="F22" s="6"/>
      <c r="G22" s="9"/>
      <c r="H22" s="9"/>
      <c r="I22" s="13" t="s">
        <v>28</v>
      </c>
      <c r="J22" s="9"/>
      <c r="K22" s="9"/>
      <c r="L22" s="9"/>
      <c r="M22" s="9"/>
      <c r="N22" s="9"/>
      <c r="O22" s="9"/>
    </row>
    <row r="23" spans="1:15">
      <c r="A23" s="33">
        <v>1101219</v>
      </c>
      <c r="B23" s="24" t="s">
        <v>437</v>
      </c>
      <c r="C23" s="59">
        <v>28</v>
      </c>
      <c r="D23" s="58">
        <v>13</v>
      </c>
      <c r="E23" s="58">
        <v>22</v>
      </c>
      <c r="F23" s="6"/>
      <c r="G23" s="9"/>
      <c r="H23" s="9"/>
      <c r="I23" s="13" t="s">
        <v>28</v>
      </c>
      <c r="J23" s="9"/>
      <c r="K23" s="9"/>
      <c r="L23" s="9"/>
      <c r="M23" s="9"/>
      <c r="N23" s="9"/>
      <c r="O23" s="9"/>
    </row>
    <row r="24" spans="1:15">
      <c r="A24" s="33">
        <v>1101220</v>
      </c>
      <c r="B24" s="4" t="s">
        <v>440</v>
      </c>
      <c r="C24" s="59">
        <v>28</v>
      </c>
      <c r="D24" s="58">
        <v>13</v>
      </c>
      <c r="E24" s="58">
        <v>22</v>
      </c>
      <c r="F24" s="6"/>
      <c r="G24" s="9"/>
      <c r="H24" s="9"/>
      <c r="I24" s="13" t="s">
        <v>28</v>
      </c>
      <c r="J24" s="9"/>
      <c r="K24" s="9"/>
      <c r="L24" s="9"/>
      <c r="M24" s="9"/>
      <c r="N24" s="9"/>
      <c r="O24" s="9"/>
    </row>
    <row r="25" spans="1:15">
      <c r="A25" s="34">
        <v>1101221</v>
      </c>
      <c r="B25" s="26" t="s">
        <v>434</v>
      </c>
      <c r="C25" s="59">
        <v>28</v>
      </c>
      <c r="D25" s="58">
        <v>13</v>
      </c>
      <c r="E25" s="58">
        <v>22</v>
      </c>
      <c r="F25" s="7"/>
      <c r="G25" s="10"/>
      <c r="H25" s="10"/>
      <c r="I25" s="10"/>
      <c r="J25" s="12" t="s">
        <v>28</v>
      </c>
      <c r="K25" s="10"/>
      <c r="L25" s="10"/>
      <c r="M25" s="10"/>
      <c r="N25" s="10"/>
      <c r="O25" s="10"/>
    </row>
    <row r="26" spans="1:15">
      <c r="A26" s="34">
        <v>1101222</v>
      </c>
      <c r="B26" s="26" t="s">
        <v>435</v>
      </c>
      <c r="C26" s="59">
        <v>28</v>
      </c>
      <c r="D26" s="58">
        <v>13</v>
      </c>
      <c r="E26" s="58">
        <v>22</v>
      </c>
      <c r="F26" s="7"/>
      <c r="G26" s="10"/>
      <c r="H26" s="10"/>
      <c r="I26" s="10"/>
      <c r="J26" s="12" t="s">
        <v>28</v>
      </c>
      <c r="K26" s="10"/>
      <c r="L26" s="10"/>
      <c r="M26" s="10"/>
      <c r="N26" s="10"/>
      <c r="O26" s="10"/>
    </row>
    <row r="27" spans="1:15">
      <c r="A27" s="34">
        <v>1101223</v>
      </c>
      <c r="B27" s="26" t="s">
        <v>436</v>
      </c>
      <c r="C27" s="59">
        <v>28</v>
      </c>
      <c r="D27" s="58">
        <v>13</v>
      </c>
      <c r="E27" s="58">
        <v>22</v>
      </c>
      <c r="F27" s="7"/>
      <c r="G27" s="10"/>
      <c r="H27" s="10"/>
      <c r="I27" s="10"/>
      <c r="J27" s="12" t="s">
        <v>28</v>
      </c>
      <c r="K27" s="10"/>
      <c r="L27" s="10"/>
      <c r="M27" s="10"/>
      <c r="N27" s="10"/>
      <c r="O27" s="10"/>
    </row>
    <row r="28" spans="1:15">
      <c r="A28" s="34">
        <v>1101224</v>
      </c>
      <c r="B28" s="26" t="s">
        <v>437</v>
      </c>
      <c r="C28" s="59">
        <v>28</v>
      </c>
      <c r="D28" s="58">
        <v>13</v>
      </c>
      <c r="E28" s="58">
        <v>22</v>
      </c>
      <c r="F28" s="7"/>
      <c r="G28" s="10"/>
      <c r="H28" s="10"/>
      <c r="I28" s="10"/>
      <c r="J28" s="12" t="s">
        <v>28</v>
      </c>
      <c r="K28" s="10"/>
      <c r="L28" s="10"/>
      <c r="M28" s="10"/>
      <c r="N28" s="10"/>
      <c r="O28" s="10"/>
    </row>
    <row r="29" spans="1:15">
      <c r="A29" s="33">
        <v>1101225</v>
      </c>
      <c r="B29" s="4" t="s">
        <v>435</v>
      </c>
      <c r="C29" s="59">
        <v>28</v>
      </c>
      <c r="D29" s="58">
        <v>13</v>
      </c>
      <c r="E29" s="58">
        <v>22</v>
      </c>
      <c r="F29" s="6"/>
      <c r="G29" s="9"/>
      <c r="H29" s="9"/>
      <c r="I29" s="9"/>
      <c r="J29" s="9"/>
      <c r="K29" s="13" t="s">
        <v>28</v>
      </c>
      <c r="L29" s="9"/>
      <c r="M29" s="9"/>
      <c r="N29" s="9"/>
      <c r="O29" s="9"/>
    </row>
    <row r="30" spans="1:15">
      <c r="A30" s="33">
        <v>1101226</v>
      </c>
      <c r="B30" s="4" t="s">
        <v>436</v>
      </c>
      <c r="C30" s="59">
        <v>28</v>
      </c>
      <c r="D30" s="58">
        <v>13</v>
      </c>
      <c r="E30" s="58">
        <v>22</v>
      </c>
      <c r="F30" s="6"/>
      <c r="G30" s="9"/>
      <c r="H30" s="9"/>
      <c r="I30" s="9"/>
      <c r="J30" s="9"/>
      <c r="K30" s="13" t="s">
        <v>28</v>
      </c>
      <c r="L30" s="9"/>
      <c r="M30" s="9"/>
      <c r="N30" s="9"/>
      <c r="O30" s="9"/>
    </row>
    <row r="31" spans="1:15">
      <c r="A31" s="34">
        <v>1101227</v>
      </c>
      <c r="B31" s="2" t="s">
        <v>436</v>
      </c>
      <c r="C31" s="59">
        <v>28</v>
      </c>
      <c r="D31" s="58">
        <v>13</v>
      </c>
      <c r="E31" s="58">
        <v>22</v>
      </c>
      <c r="F31" s="7"/>
      <c r="G31" s="10"/>
      <c r="H31" s="10"/>
      <c r="I31" s="10"/>
      <c r="J31" s="10"/>
      <c r="K31" s="10"/>
      <c r="L31" s="12" t="s">
        <v>28</v>
      </c>
      <c r="M31" s="10"/>
      <c r="N31" s="10"/>
      <c r="O31" s="10"/>
    </row>
    <row r="32" spans="1:15">
      <c r="A32" s="33">
        <v>1101236</v>
      </c>
      <c r="B32" s="24" t="s">
        <v>434</v>
      </c>
      <c r="C32" s="59">
        <v>28</v>
      </c>
      <c r="D32" s="58">
        <v>13</v>
      </c>
      <c r="E32" s="58">
        <v>22</v>
      </c>
      <c r="F32" s="6"/>
      <c r="G32" s="9"/>
      <c r="H32" s="9"/>
      <c r="I32" s="9"/>
      <c r="J32" s="9"/>
      <c r="K32" s="9"/>
      <c r="L32" s="9"/>
      <c r="M32" s="13" t="s">
        <v>28</v>
      </c>
      <c r="N32" s="9"/>
      <c r="O32" s="9"/>
    </row>
    <row r="33" spans="1:15">
      <c r="A33" s="33">
        <v>1101237</v>
      </c>
      <c r="B33" s="24" t="s">
        <v>435</v>
      </c>
      <c r="C33" s="59">
        <v>28</v>
      </c>
      <c r="D33" s="58">
        <v>13</v>
      </c>
      <c r="E33" s="58">
        <v>22</v>
      </c>
      <c r="F33" s="6"/>
      <c r="G33" s="9"/>
      <c r="H33" s="9"/>
      <c r="I33" s="9"/>
      <c r="J33" s="9"/>
      <c r="K33" s="9"/>
      <c r="L33" s="9"/>
      <c r="M33" s="13" t="s">
        <v>28</v>
      </c>
      <c r="N33" s="9"/>
      <c r="O33" s="9"/>
    </row>
    <row r="34" spans="1:15">
      <c r="A34" s="33">
        <v>1101228</v>
      </c>
      <c r="B34" s="24" t="s">
        <v>436</v>
      </c>
      <c r="C34" s="59">
        <v>28</v>
      </c>
      <c r="D34" s="58">
        <v>13</v>
      </c>
      <c r="E34" s="58">
        <v>22</v>
      </c>
      <c r="F34" s="6"/>
      <c r="G34" s="9"/>
      <c r="H34" s="9"/>
      <c r="I34" s="9"/>
      <c r="J34" s="9"/>
      <c r="K34" s="9"/>
      <c r="L34" s="9"/>
      <c r="M34" s="13" t="s">
        <v>28</v>
      </c>
      <c r="N34" s="9"/>
      <c r="O34" s="9"/>
    </row>
    <row r="35" spans="1:15">
      <c r="A35" s="33">
        <v>1101238</v>
      </c>
      <c r="B35" s="24" t="s">
        <v>437</v>
      </c>
      <c r="C35" s="59">
        <v>28</v>
      </c>
      <c r="D35" s="58">
        <v>13</v>
      </c>
      <c r="E35" s="58">
        <v>22</v>
      </c>
      <c r="F35" s="6"/>
      <c r="G35" s="9"/>
      <c r="H35" s="9"/>
      <c r="I35" s="9"/>
      <c r="J35" s="9"/>
      <c r="K35" s="9"/>
      <c r="L35" s="9"/>
      <c r="M35" s="13" t="s">
        <v>28</v>
      </c>
      <c r="N35" s="9"/>
      <c r="O35" s="9"/>
    </row>
    <row r="36" spans="1:15">
      <c r="A36" s="35">
        <v>1101239</v>
      </c>
      <c r="B36" s="36" t="s">
        <v>434</v>
      </c>
      <c r="C36" s="59">
        <v>28</v>
      </c>
      <c r="D36" s="58">
        <v>13</v>
      </c>
      <c r="E36" s="58">
        <v>22</v>
      </c>
      <c r="F36" s="7"/>
      <c r="G36" s="10"/>
      <c r="H36" s="10"/>
      <c r="I36" s="10"/>
      <c r="J36" s="10"/>
      <c r="K36" s="10"/>
      <c r="L36" s="10"/>
      <c r="M36" s="10"/>
      <c r="N36" s="12" t="s">
        <v>28</v>
      </c>
      <c r="O36" s="10"/>
    </row>
    <row r="37" spans="1:15">
      <c r="A37" s="35">
        <v>1101240</v>
      </c>
      <c r="B37" s="36" t="s">
        <v>435</v>
      </c>
      <c r="C37" s="59">
        <v>28</v>
      </c>
      <c r="D37" s="58">
        <v>13</v>
      </c>
      <c r="E37" s="58">
        <v>22</v>
      </c>
      <c r="F37" s="7"/>
      <c r="G37" s="10"/>
      <c r="H37" s="10"/>
      <c r="I37" s="10"/>
      <c r="J37" s="10"/>
      <c r="K37" s="10"/>
      <c r="L37" s="10"/>
      <c r="M37" s="10"/>
      <c r="N37" s="12" t="s">
        <v>28</v>
      </c>
      <c r="O37" s="10"/>
    </row>
    <row r="38" spans="1:15">
      <c r="A38" s="34">
        <v>1101229</v>
      </c>
      <c r="B38" s="26" t="s">
        <v>436</v>
      </c>
      <c r="C38" s="59">
        <v>28</v>
      </c>
      <c r="D38" s="58">
        <v>13</v>
      </c>
      <c r="E38" s="58">
        <v>22</v>
      </c>
      <c r="F38" s="7"/>
      <c r="G38" s="10"/>
      <c r="H38" s="10"/>
      <c r="I38" s="10"/>
      <c r="J38" s="10"/>
      <c r="K38" s="10"/>
      <c r="L38" s="10"/>
      <c r="M38" s="10"/>
      <c r="N38" s="12" t="s">
        <v>28</v>
      </c>
      <c r="O38" s="10"/>
    </row>
    <row r="39" spans="1:15">
      <c r="A39" s="35">
        <v>1101241</v>
      </c>
      <c r="B39" s="36" t="s">
        <v>437</v>
      </c>
      <c r="C39" s="59">
        <v>28</v>
      </c>
      <c r="D39" s="58">
        <v>13</v>
      </c>
      <c r="E39" s="58">
        <v>22</v>
      </c>
      <c r="F39" s="7"/>
      <c r="G39" s="10"/>
      <c r="H39" s="10"/>
      <c r="I39" s="10"/>
      <c r="J39" s="10"/>
      <c r="K39" s="10"/>
      <c r="L39" s="10"/>
      <c r="M39" s="10"/>
      <c r="N39" s="12" t="s">
        <v>28</v>
      </c>
      <c r="O39" s="10"/>
    </row>
    <row r="40" spans="1:15">
      <c r="A40" s="5">
        <v>1007215</v>
      </c>
      <c r="B40" s="4" t="s">
        <v>121</v>
      </c>
      <c r="C40" s="33">
        <v>1</v>
      </c>
      <c r="D40" s="59">
        <v>0.5</v>
      </c>
      <c r="E40" s="59">
        <v>1</v>
      </c>
      <c r="F40" s="13" t="s">
        <v>28</v>
      </c>
      <c r="G40" s="9"/>
      <c r="H40" s="13" t="s">
        <v>28</v>
      </c>
      <c r="I40" s="13" t="s">
        <v>28</v>
      </c>
      <c r="J40" s="13" t="s">
        <v>28</v>
      </c>
      <c r="K40" s="13" t="s">
        <v>28</v>
      </c>
      <c r="L40" s="13" t="s">
        <v>28</v>
      </c>
      <c r="M40" s="13" t="s">
        <v>28</v>
      </c>
      <c r="N40" s="13" t="s">
        <v>28</v>
      </c>
      <c r="O40" s="9"/>
    </row>
    <row r="41" spans="1:15">
      <c r="A41" s="5">
        <v>1002202</v>
      </c>
      <c r="B41" s="4" t="s">
        <v>75</v>
      </c>
      <c r="C41" s="33">
        <v>1</v>
      </c>
      <c r="D41" s="59">
        <v>0.5</v>
      </c>
      <c r="E41" s="59">
        <v>1</v>
      </c>
      <c r="F41" s="6"/>
      <c r="G41" s="9"/>
      <c r="H41" s="13" t="s">
        <v>28</v>
      </c>
      <c r="I41" s="13" t="s">
        <v>28</v>
      </c>
      <c r="J41" s="13" t="s">
        <v>28</v>
      </c>
      <c r="K41" s="13" t="s">
        <v>28</v>
      </c>
      <c r="L41" s="13" t="s">
        <v>28</v>
      </c>
      <c r="M41" s="13" t="s">
        <v>28</v>
      </c>
      <c r="N41" s="13" t="s">
        <v>28</v>
      </c>
      <c r="O41" s="9"/>
    </row>
    <row r="42" spans="1:15">
      <c r="A42" s="44">
        <v>1101170</v>
      </c>
      <c r="B42" s="45" t="s">
        <v>441</v>
      </c>
      <c r="C42" s="52">
        <v>6</v>
      </c>
      <c r="D42" s="60">
        <v>2</v>
      </c>
      <c r="E42" s="60">
        <v>4</v>
      </c>
      <c r="F42" s="48" t="s">
        <v>28</v>
      </c>
      <c r="G42" s="47"/>
      <c r="H42" s="51"/>
      <c r="I42" s="51"/>
      <c r="J42" s="51"/>
      <c r="K42" s="51"/>
      <c r="L42" s="51"/>
      <c r="M42" s="51"/>
      <c r="N42" s="51"/>
      <c r="O42" s="47"/>
    </row>
    <row r="43" spans="1:15">
      <c r="A43" s="44">
        <v>1101171</v>
      </c>
      <c r="B43" s="45" t="s">
        <v>442</v>
      </c>
      <c r="C43" s="52">
        <v>6</v>
      </c>
      <c r="D43" s="60">
        <v>2</v>
      </c>
      <c r="E43" s="60">
        <v>4</v>
      </c>
      <c r="F43" s="48" t="s">
        <v>28</v>
      </c>
      <c r="G43" s="47"/>
      <c r="H43" s="51"/>
      <c r="I43" s="51"/>
      <c r="J43" s="51"/>
      <c r="K43" s="51"/>
      <c r="L43" s="51"/>
      <c r="M43" s="51"/>
      <c r="N43" s="51"/>
      <c r="O43" s="47"/>
    </row>
    <row r="44" spans="1:15">
      <c r="A44" s="44">
        <v>1101172</v>
      </c>
      <c r="B44" s="45" t="s">
        <v>443</v>
      </c>
      <c r="C44" s="52">
        <v>6</v>
      </c>
      <c r="D44" s="60">
        <v>2</v>
      </c>
      <c r="E44" s="60">
        <v>4</v>
      </c>
      <c r="F44" s="48" t="s">
        <v>28</v>
      </c>
      <c r="G44" s="47"/>
      <c r="H44" s="51"/>
      <c r="I44" s="51"/>
      <c r="J44" s="51"/>
      <c r="K44" s="51"/>
      <c r="L44" s="51"/>
      <c r="M44" s="51"/>
      <c r="N44" s="51"/>
      <c r="O44" s="47"/>
    </row>
    <row r="45" spans="1:15">
      <c r="A45" s="44">
        <v>1101173</v>
      </c>
      <c r="B45" s="45" t="s">
        <v>444</v>
      </c>
      <c r="C45" s="52">
        <v>6</v>
      </c>
      <c r="D45" s="60">
        <v>2</v>
      </c>
      <c r="E45" s="60">
        <v>4</v>
      </c>
      <c r="F45" s="48" t="s">
        <v>28</v>
      </c>
      <c r="G45" s="47"/>
      <c r="H45" s="51"/>
      <c r="I45" s="51"/>
      <c r="J45" s="51"/>
      <c r="K45" s="51"/>
      <c r="L45" s="51"/>
      <c r="M45" s="51"/>
      <c r="N45" s="51"/>
      <c r="O45" s="47"/>
    </row>
    <row r="46" spans="1:15">
      <c r="A46" s="44">
        <v>1101174</v>
      </c>
      <c r="B46" s="45" t="s">
        <v>445</v>
      </c>
      <c r="C46" s="52">
        <v>6</v>
      </c>
      <c r="D46" s="60">
        <v>2</v>
      </c>
      <c r="E46" s="60">
        <v>4</v>
      </c>
      <c r="F46" s="48" t="s">
        <v>28</v>
      </c>
      <c r="G46" s="47"/>
      <c r="H46" s="51"/>
      <c r="I46" s="51"/>
      <c r="J46" s="51"/>
      <c r="K46" s="51"/>
      <c r="L46" s="51"/>
      <c r="M46" s="51"/>
      <c r="N46" s="51"/>
      <c r="O46" s="47"/>
    </row>
    <row r="47" spans="1:15">
      <c r="A47" s="23">
        <v>1100735</v>
      </c>
      <c r="B47" s="24" t="s">
        <v>443</v>
      </c>
      <c r="C47" s="59">
        <v>3.5</v>
      </c>
      <c r="D47" s="59">
        <v>1.5</v>
      </c>
      <c r="E47" s="59">
        <v>2.5</v>
      </c>
      <c r="F47" s="6"/>
      <c r="G47" s="13" t="s">
        <v>28</v>
      </c>
      <c r="H47" s="9"/>
      <c r="I47" s="9"/>
      <c r="J47" s="9"/>
      <c r="K47" s="9"/>
      <c r="L47" s="9"/>
      <c r="M47" s="9"/>
      <c r="N47" s="9"/>
      <c r="O47" s="9"/>
    </row>
    <row r="48" spans="1:15">
      <c r="A48" s="35">
        <v>1101190</v>
      </c>
      <c r="B48" s="28" t="s">
        <v>441</v>
      </c>
      <c r="C48" s="34">
        <v>6</v>
      </c>
      <c r="D48" s="58">
        <v>2</v>
      </c>
      <c r="E48" s="58">
        <v>4</v>
      </c>
      <c r="F48" s="29"/>
      <c r="G48" s="30"/>
      <c r="H48" s="31" t="s">
        <v>28</v>
      </c>
      <c r="I48" s="30"/>
      <c r="J48" s="30"/>
      <c r="K48" s="30"/>
      <c r="L48" s="30"/>
      <c r="M48" s="30"/>
      <c r="N48" s="30"/>
      <c r="O48" s="30"/>
    </row>
    <row r="49" spans="1:15">
      <c r="A49" s="35">
        <v>1101191</v>
      </c>
      <c r="B49" s="28" t="s">
        <v>442</v>
      </c>
      <c r="C49" s="34">
        <v>6</v>
      </c>
      <c r="D49" s="58">
        <v>2</v>
      </c>
      <c r="E49" s="58">
        <v>4</v>
      </c>
      <c r="F49" s="29"/>
      <c r="G49" s="30"/>
      <c r="H49" s="31" t="s">
        <v>28</v>
      </c>
      <c r="I49" s="30"/>
      <c r="J49" s="30"/>
      <c r="K49" s="30"/>
      <c r="L49" s="30"/>
      <c r="M49" s="30"/>
      <c r="N49" s="30"/>
      <c r="O49" s="30"/>
    </row>
    <row r="50" spans="1:15">
      <c r="A50" s="35">
        <v>1101192</v>
      </c>
      <c r="B50" s="28" t="s">
        <v>443</v>
      </c>
      <c r="C50" s="34">
        <v>6</v>
      </c>
      <c r="D50" s="58">
        <v>2</v>
      </c>
      <c r="E50" s="58">
        <v>4</v>
      </c>
      <c r="F50" s="29"/>
      <c r="G50" s="30"/>
      <c r="H50" s="31" t="s">
        <v>28</v>
      </c>
      <c r="I50" s="30"/>
      <c r="J50" s="30"/>
      <c r="K50" s="30"/>
      <c r="L50" s="30"/>
      <c r="M50" s="30"/>
      <c r="N50" s="30"/>
      <c r="O50" s="30"/>
    </row>
    <row r="51" spans="1:15">
      <c r="A51" s="35">
        <v>1101193</v>
      </c>
      <c r="B51" s="28" t="s">
        <v>446</v>
      </c>
      <c r="C51" s="34">
        <v>6</v>
      </c>
      <c r="D51" s="58">
        <v>2</v>
      </c>
      <c r="E51" s="58">
        <v>4</v>
      </c>
      <c r="F51" s="29"/>
      <c r="G51" s="30"/>
      <c r="H51" s="31" t="s">
        <v>28</v>
      </c>
      <c r="I51" s="30"/>
      <c r="J51" s="30"/>
      <c r="K51" s="30"/>
      <c r="L51" s="30"/>
      <c r="M51" s="30"/>
      <c r="N51" s="30"/>
      <c r="O51" s="30"/>
    </row>
    <row r="52" spans="1:15">
      <c r="A52" s="35">
        <v>1101194</v>
      </c>
      <c r="B52" s="28" t="s">
        <v>447</v>
      </c>
      <c r="C52" s="34">
        <v>6</v>
      </c>
      <c r="D52" s="58">
        <v>2</v>
      </c>
      <c r="E52" s="58">
        <v>4</v>
      </c>
      <c r="F52" s="29"/>
      <c r="G52" s="30"/>
      <c r="H52" s="31" t="s">
        <v>28</v>
      </c>
      <c r="I52" s="30"/>
      <c r="J52" s="30"/>
      <c r="K52" s="30"/>
      <c r="L52" s="30"/>
      <c r="M52" s="30"/>
      <c r="N52" s="30"/>
      <c r="O52" s="30"/>
    </row>
    <row r="53" spans="1:15">
      <c r="A53" s="35">
        <v>1101195</v>
      </c>
      <c r="B53" s="28" t="s">
        <v>444</v>
      </c>
      <c r="C53" s="34">
        <v>6</v>
      </c>
      <c r="D53" s="58">
        <v>2</v>
      </c>
      <c r="E53" s="58">
        <v>4</v>
      </c>
      <c r="F53" s="29"/>
      <c r="G53" s="30"/>
      <c r="H53" s="31" t="s">
        <v>28</v>
      </c>
      <c r="I53" s="30"/>
      <c r="J53" s="30"/>
      <c r="K53" s="30"/>
      <c r="L53" s="30"/>
      <c r="M53" s="30"/>
      <c r="N53" s="30"/>
      <c r="O53" s="30"/>
    </row>
    <row r="54" spans="1:15">
      <c r="A54" s="33">
        <v>1101242</v>
      </c>
      <c r="B54" s="4" t="s">
        <v>443</v>
      </c>
      <c r="C54" s="34">
        <v>6</v>
      </c>
      <c r="D54" s="58">
        <v>2</v>
      </c>
      <c r="E54" s="58">
        <v>4</v>
      </c>
      <c r="F54" s="6"/>
      <c r="G54" s="9"/>
      <c r="H54" s="13"/>
      <c r="I54" s="13" t="s">
        <v>28</v>
      </c>
      <c r="J54" s="13" t="s">
        <v>28</v>
      </c>
      <c r="K54" s="9"/>
      <c r="L54" s="9"/>
      <c r="M54" s="9"/>
      <c r="N54" s="9"/>
      <c r="O54" s="9"/>
    </row>
    <row r="55" spans="1:15">
      <c r="A55" s="35">
        <v>1101230</v>
      </c>
      <c r="B55" s="28" t="s">
        <v>443</v>
      </c>
      <c r="C55" s="34">
        <v>6</v>
      </c>
      <c r="D55" s="58">
        <v>2</v>
      </c>
      <c r="E55" s="58">
        <v>4</v>
      </c>
      <c r="F55" s="29"/>
      <c r="G55" s="30"/>
      <c r="H55" s="31"/>
      <c r="I55" s="31"/>
      <c r="J55" s="31"/>
      <c r="K55" s="31" t="s">
        <v>28</v>
      </c>
      <c r="L55" s="31" t="s">
        <v>28</v>
      </c>
      <c r="M55" s="30"/>
      <c r="N55" s="30"/>
      <c r="O55" s="30"/>
    </row>
    <row r="56" spans="1:15">
      <c r="A56" s="55">
        <v>1101243</v>
      </c>
      <c r="B56" s="32" t="s">
        <v>443</v>
      </c>
      <c r="C56" s="34">
        <v>6</v>
      </c>
      <c r="D56" s="58">
        <v>2</v>
      </c>
      <c r="E56" s="58">
        <v>4</v>
      </c>
      <c r="F56" s="8"/>
      <c r="G56" s="11"/>
      <c r="H56" s="38"/>
      <c r="I56" s="38"/>
      <c r="J56" s="38"/>
      <c r="K56" s="11"/>
      <c r="L56" s="38"/>
      <c r="M56" s="38" t="s">
        <v>28</v>
      </c>
      <c r="N56" s="38" t="s">
        <v>28</v>
      </c>
      <c r="O56" s="11"/>
    </row>
    <row r="57" spans="1:15">
      <c r="A57" s="40">
        <v>1100714</v>
      </c>
      <c r="B57" s="28" t="s">
        <v>448</v>
      </c>
      <c r="C57" s="35">
        <v>2</v>
      </c>
      <c r="D57" s="58">
        <v>1</v>
      </c>
      <c r="E57" s="58">
        <v>2</v>
      </c>
      <c r="F57" s="31" t="s">
        <v>28</v>
      </c>
      <c r="G57" s="30"/>
      <c r="H57" s="31" t="s">
        <v>28</v>
      </c>
      <c r="I57" s="30"/>
      <c r="J57" s="30"/>
      <c r="K57" s="30"/>
      <c r="L57" s="30"/>
      <c r="M57" s="30"/>
      <c r="N57" s="30"/>
      <c r="O57" s="30"/>
    </row>
    <row r="58" spans="1:15">
      <c r="A58" s="40">
        <v>1100839</v>
      </c>
      <c r="B58" s="28" t="s">
        <v>449</v>
      </c>
      <c r="C58" s="35">
        <v>2</v>
      </c>
      <c r="D58" s="58">
        <v>1</v>
      </c>
      <c r="E58" s="58">
        <v>2</v>
      </c>
      <c r="F58" s="31" t="s">
        <v>28</v>
      </c>
      <c r="G58" s="30"/>
      <c r="H58" s="31" t="s">
        <v>28</v>
      </c>
      <c r="I58" s="30"/>
      <c r="J58" s="30"/>
      <c r="K58" s="30"/>
      <c r="L58" s="30"/>
      <c r="M58" s="30"/>
      <c r="N58" s="30"/>
      <c r="O58" s="30"/>
    </row>
    <row r="59" spans="1:15">
      <c r="A59" s="40">
        <v>1100844</v>
      </c>
      <c r="B59" s="28" t="s">
        <v>450</v>
      </c>
      <c r="C59" s="35">
        <v>2</v>
      </c>
      <c r="D59" s="58">
        <v>1</v>
      </c>
      <c r="E59" s="58">
        <v>2</v>
      </c>
      <c r="F59" s="31" t="s">
        <v>28</v>
      </c>
      <c r="G59" s="30"/>
      <c r="H59" s="31" t="s">
        <v>28</v>
      </c>
      <c r="I59" s="31" t="s">
        <v>28</v>
      </c>
      <c r="J59" s="31" t="s">
        <v>28</v>
      </c>
      <c r="K59" s="30"/>
      <c r="L59" s="30"/>
      <c r="M59" s="31" t="s">
        <v>28</v>
      </c>
      <c r="N59" s="31" t="s">
        <v>28</v>
      </c>
      <c r="O59" s="30"/>
    </row>
    <row r="60" spans="1:15">
      <c r="A60" s="40">
        <v>1100849</v>
      </c>
      <c r="B60" s="28" t="s">
        <v>451</v>
      </c>
      <c r="C60" s="35">
        <v>2</v>
      </c>
      <c r="D60" s="58">
        <v>1</v>
      </c>
      <c r="E60" s="58">
        <v>2</v>
      </c>
      <c r="F60" s="31" t="s">
        <v>28</v>
      </c>
      <c r="G60" s="30"/>
      <c r="H60" s="31" t="s">
        <v>28</v>
      </c>
      <c r="I60" s="30"/>
      <c r="J60" s="30"/>
      <c r="K60" s="30"/>
      <c r="L60" s="30"/>
      <c r="M60" s="30"/>
      <c r="N60" s="30"/>
      <c r="O60" s="30"/>
    </row>
    <row r="61" spans="1:15">
      <c r="A61" s="40">
        <v>1100854</v>
      </c>
      <c r="B61" s="28" t="s">
        <v>452</v>
      </c>
      <c r="C61" s="35">
        <v>2</v>
      </c>
      <c r="D61" s="58">
        <v>1</v>
      </c>
      <c r="E61" s="58">
        <v>2</v>
      </c>
      <c r="F61" s="31" t="s">
        <v>28</v>
      </c>
      <c r="G61" s="30"/>
      <c r="H61" s="31" t="s">
        <v>28</v>
      </c>
      <c r="I61" s="30"/>
      <c r="J61" s="30"/>
      <c r="K61" s="30"/>
      <c r="L61" s="30"/>
      <c r="M61" s="30"/>
      <c r="N61" s="30"/>
      <c r="O61" s="30"/>
    </row>
    <row r="62" spans="1:15">
      <c r="A62" s="40">
        <v>1101183</v>
      </c>
      <c r="B62" s="28" t="s">
        <v>453</v>
      </c>
      <c r="C62" s="35">
        <v>2</v>
      </c>
      <c r="D62" s="58">
        <v>1</v>
      </c>
      <c r="E62" s="58">
        <v>2</v>
      </c>
      <c r="F62" s="31"/>
      <c r="G62" s="30"/>
      <c r="H62" s="31" t="s">
        <v>28</v>
      </c>
      <c r="I62" s="30"/>
      <c r="J62" s="30"/>
      <c r="K62" s="30"/>
      <c r="L62" s="30"/>
      <c r="M62" s="30"/>
      <c r="N62" s="30"/>
      <c r="O62" s="30"/>
    </row>
    <row r="63" spans="1:15">
      <c r="A63" s="40">
        <v>1101184</v>
      </c>
      <c r="B63" s="28" t="s">
        <v>454</v>
      </c>
      <c r="C63" s="35">
        <v>2</v>
      </c>
      <c r="D63" s="58">
        <v>1</v>
      </c>
      <c r="E63" s="58">
        <v>2</v>
      </c>
      <c r="F63" s="31"/>
      <c r="G63" s="30"/>
      <c r="H63" s="31" t="s">
        <v>28</v>
      </c>
      <c r="I63" s="30"/>
      <c r="J63" s="30"/>
      <c r="K63" s="30"/>
      <c r="L63" s="30"/>
      <c r="M63" s="30"/>
      <c r="N63" s="30"/>
      <c r="O63" s="30"/>
    </row>
    <row r="64" spans="1:15">
      <c r="A64" s="23">
        <v>1100736</v>
      </c>
      <c r="B64" s="61" t="s">
        <v>450</v>
      </c>
      <c r="C64" s="35">
        <v>2</v>
      </c>
      <c r="D64" s="58">
        <v>1</v>
      </c>
      <c r="E64" s="58">
        <v>2</v>
      </c>
      <c r="F64" s="13"/>
      <c r="G64" s="13" t="s">
        <v>28</v>
      </c>
      <c r="H64" s="9"/>
      <c r="I64" s="9"/>
      <c r="J64" s="9"/>
      <c r="K64" s="9"/>
      <c r="L64" s="9"/>
      <c r="M64" s="9"/>
      <c r="N64" s="9"/>
      <c r="O64" s="9"/>
    </row>
    <row r="65" spans="1:15">
      <c r="A65" s="55">
        <v>1101231</v>
      </c>
      <c r="B65" s="32" t="s">
        <v>450</v>
      </c>
      <c r="C65" s="35">
        <v>2</v>
      </c>
      <c r="D65" s="58">
        <v>1</v>
      </c>
      <c r="E65" s="58">
        <v>2</v>
      </c>
      <c r="F65" s="8"/>
      <c r="G65" s="11"/>
      <c r="H65" s="11"/>
      <c r="I65" s="11"/>
      <c r="J65" s="11"/>
      <c r="K65" s="38" t="s">
        <v>28</v>
      </c>
      <c r="L65" s="38" t="s">
        <v>28</v>
      </c>
      <c r="M65" s="11"/>
      <c r="N65" s="11"/>
      <c r="O65" s="11"/>
    </row>
    <row r="66" spans="1:15">
      <c r="A66" s="23">
        <v>1100711</v>
      </c>
      <c r="B66" s="24" t="s">
        <v>455</v>
      </c>
      <c r="C66" s="59">
        <v>9</v>
      </c>
      <c r="D66" s="59">
        <v>4</v>
      </c>
      <c r="E66" s="59">
        <v>8</v>
      </c>
      <c r="F66" s="13" t="s">
        <v>28</v>
      </c>
      <c r="G66" s="9"/>
      <c r="H66" s="9"/>
      <c r="I66" s="9"/>
      <c r="J66" s="9"/>
      <c r="K66" s="9"/>
      <c r="L66" s="9"/>
      <c r="M66" s="9"/>
      <c r="N66" s="9"/>
      <c r="O66" s="9"/>
    </row>
    <row r="67" spans="1:15">
      <c r="A67" s="34">
        <v>1100960</v>
      </c>
      <c r="B67" s="2" t="s">
        <v>455</v>
      </c>
      <c r="C67" s="59">
        <v>9</v>
      </c>
      <c r="D67" s="59">
        <v>4</v>
      </c>
      <c r="E67" s="59">
        <v>8</v>
      </c>
      <c r="F67" s="7"/>
      <c r="G67" s="10"/>
      <c r="H67" s="12" t="s">
        <v>28</v>
      </c>
      <c r="I67" s="10"/>
      <c r="J67" s="10"/>
      <c r="K67" s="10"/>
      <c r="L67" s="10"/>
      <c r="M67" s="10"/>
      <c r="N67" s="10"/>
      <c r="O67" s="10"/>
    </row>
    <row r="68" spans="1:15">
      <c r="A68" s="33">
        <v>1101244</v>
      </c>
      <c r="B68" s="4" t="s">
        <v>455</v>
      </c>
      <c r="C68" s="59">
        <v>9</v>
      </c>
      <c r="D68" s="59">
        <v>4</v>
      </c>
      <c r="E68" s="59">
        <v>8</v>
      </c>
      <c r="F68" s="6"/>
      <c r="G68" s="9"/>
      <c r="H68" s="20"/>
      <c r="I68" s="13" t="s">
        <v>28</v>
      </c>
      <c r="J68" s="9"/>
      <c r="K68" s="9"/>
      <c r="L68" s="9"/>
      <c r="M68" s="9"/>
      <c r="N68" s="9"/>
      <c r="O68" s="9"/>
    </row>
    <row r="69" spans="1:15">
      <c r="A69" s="52">
        <v>1101245</v>
      </c>
      <c r="B69" s="45" t="s">
        <v>455</v>
      </c>
      <c r="C69" s="59">
        <v>9</v>
      </c>
      <c r="D69" s="59">
        <v>4</v>
      </c>
      <c r="E69" s="59">
        <v>8</v>
      </c>
      <c r="F69" s="46"/>
      <c r="G69" s="47"/>
      <c r="H69" s="51"/>
      <c r="I69" s="51"/>
      <c r="J69" s="48" t="s">
        <v>28</v>
      </c>
      <c r="K69" s="47"/>
      <c r="L69" s="47"/>
      <c r="M69" s="47"/>
      <c r="N69" s="47"/>
      <c r="O69" s="47"/>
    </row>
    <row r="70" spans="1:15">
      <c r="A70" s="33">
        <v>1101246</v>
      </c>
      <c r="B70" s="4" t="s">
        <v>455</v>
      </c>
      <c r="C70" s="59">
        <v>9</v>
      </c>
      <c r="D70" s="59">
        <v>4</v>
      </c>
      <c r="E70" s="59">
        <v>8</v>
      </c>
      <c r="F70" s="6"/>
      <c r="G70" s="9"/>
      <c r="H70" s="9"/>
      <c r="I70" s="9"/>
      <c r="J70" s="9"/>
      <c r="K70" s="13" t="s">
        <v>28</v>
      </c>
      <c r="L70" s="27"/>
      <c r="M70" s="9"/>
      <c r="N70" s="9"/>
      <c r="O70" s="9"/>
    </row>
    <row r="71" spans="1:15">
      <c r="A71" s="55">
        <v>1101247</v>
      </c>
      <c r="B71" s="32" t="s">
        <v>455</v>
      </c>
      <c r="C71" s="59">
        <v>9</v>
      </c>
      <c r="D71" s="59">
        <v>4</v>
      </c>
      <c r="E71" s="59">
        <v>8</v>
      </c>
      <c r="F71" s="8"/>
      <c r="G71" s="11"/>
      <c r="H71" s="11"/>
      <c r="I71" s="11"/>
      <c r="J71" s="11"/>
      <c r="K71" s="38"/>
      <c r="L71" s="38" t="s">
        <v>28</v>
      </c>
      <c r="M71" s="11"/>
      <c r="N71" s="11"/>
      <c r="O71" s="11"/>
    </row>
    <row r="72" spans="1:15">
      <c r="A72" s="52">
        <v>1101248</v>
      </c>
      <c r="B72" s="45" t="s">
        <v>455</v>
      </c>
      <c r="C72" s="59">
        <v>9</v>
      </c>
      <c r="D72" s="59">
        <v>4</v>
      </c>
      <c r="E72" s="59">
        <v>8</v>
      </c>
      <c r="F72" s="46"/>
      <c r="G72" s="47"/>
      <c r="H72" s="47"/>
      <c r="I72" s="47"/>
      <c r="J72" s="47"/>
      <c r="K72" s="48"/>
      <c r="L72" s="48"/>
      <c r="M72" s="48" t="s">
        <v>28</v>
      </c>
      <c r="N72" s="47"/>
      <c r="O72" s="47"/>
    </row>
    <row r="73" spans="1:15">
      <c r="A73" s="33">
        <v>1100715</v>
      </c>
      <c r="B73" s="4" t="s">
        <v>139</v>
      </c>
      <c r="C73" s="34">
        <v>6</v>
      </c>
      <c r="D73" s="58">
        <v>2</v>
      </c>
      <c r="E73" s="58">
        <v>4</v>
      </c>
      <c r="F73" s="13" t="s">
        <v>28</v>
      </c>
      <c r="G73" s="9"/>
      <c r="H73" s="9"/>
      <c r="I73" s="9"/>
      <c r="J73" s="9"/>
      <c r="K73" s="13"/>
      <c r="L73" s="13"/>
      <c r="M73" s="13"/>
      <c r="N73" s="9"/>
      <c r="O73" s="9"/>
    </row>
    <row r="74" spans="1:15">
      <c r="A74" s="3">
        <v>1002112</v>
      </c>
      <c r="B74" s="28" t="s">
        <v>61</v>
      </c>
      <c r="C74" s="59">
        <v>3.5</v>
      </c>
      <c r="D74" s="59">
        <v>1.5</v>
      </c>
      <c r="E74" s="59">
        <v>2.5</v>
      </c>
      <c r="F74" s="31" t="s">
        <v>28</v>
      </c>
      <c r="G74" s="30"/>
      <c r="H74" s="31" t="s">
        <v>28</v>
      </c>
      <c r="I74" s="31" t="s">
        <v>28</v>
      </c>
      <c r="J74" s="31" t="s">
        <v>28</v>
      </c>
      <c r="K74" s="31" t="s">
        <v>28</v>
      </c>
      <c r="L74" s="31" t="s">
        <v>28</v>
      </c>
      <c r="M74" s="31" t="s">
        <v>28</v>
      </c>
      <c r="N74" s="31" t="s">
        <v>28</v>
      </c>
      <c r="O74" s="30"/>
    </row>
    <row r="75" spans="1:15">
      <c r="A75" s="5">
        <v>1002321</v>
      </c>
      <c r="B75" s="4" t="s">
        <v>456</v>
      </c>
      <c r="C75" s="59">
        <v>3.5</v>
      </c>
      <c r="D75" s="59">
        <v>1.5</v>
      </c>
      <c r="E75" s="59">
        <v>2.5</v>
      </c>
      <c r="F75" s="13" t="s">
        <v>28</v>
      </c>
      <c r="G75" s="9"/>
      <c r="H75" s="20"/>
      <c r="I75" s="20"/>
      <c r="J75" s="20"/>
      <c r="K75" s="20"/>
      <c r="L75" s="20"/>
      <c r="M75" s="20"/>
      <c r="N75" s="20"/>
      <c r="O75" s="9"/>
    </row>
    <row r="76" spans="1:15">
      <c r="A76" s="5">
        <v>1002108</v>
      </c>
      <c r="B76" s="4" t="s">
        <v>58</v>
      </c>
      <c r="C76" s="59">
        <v>3.5</v>
      </c>
      <c r="D76" s="59">
        <v>1.5</v>
      </c>
      <c r="E76" s="59">
        <v>2.5</v>
      </c>
      <c r="F76" s="6"/>
      <c r="G76" s="9"/>
      <c r="H76" s="13" t="s">
        <v>28</v>
      </c>
      <c r="I76" s="13" t="s">
        <v>28</v>
      </c>
      <c r="J76" s="13" t="s">
        <v>28</v>
      </c>
      <c r="K76" s="13" t="s">
        <v>28</v>
      </c>
      <c r="L76" s="13" t="s">
        <v>28</v>
      </c>
      <c r="M76" s="13" t="s">
        <v>28</v>
      </c>
      <c r="N76" s="13" t="s">
        <v>28</v>
      </c>
      <c r="O76" s="9"/>
    </row>
    <row r="77" spans="1:15">
      <c r="A77" s="49">
        <v>1100815</v>
      </c>
      <c r="B77" s="50" t="s">
        <v>457</v>
      </c>
      <c r="C77" s="59">
        <v>13</v>
      </c>
      <c r="D77" s="59">
        <v>6</v>
      </c>
      <c r="E77" s="59">
        <v>10</v>
      </c>
      <c r="F77" s="48" t="s">
        <v>28</v>
      </c>
      <c r="G77" s="47"/>
      <c r="H77" s="47"/>
      <c r="I77" s="47"/>
      <c r="J77" s="47"/>
      <c r="K77" s="47"/>
      <c r="L77" s="47"/>
      <c r="M77" s="47"/>
      <c r="N77" s="47"/>
      <c r="O77" s="47"/>
    </row>
    <row r="78" spans="1:15">
      <c r="A78" s="5">
        <v>1006504</v>
      </c>
      <c r="B78" s="4" t="s">
        <v>457</v>
      </c>
      <c r="C78" s="59">
        <v>13</v>
      </c>
      <c r="D78" s="59">
        <v>6</v>
      </c>
      <c r="E78" s="59">
        <v>10</v>
      </c>
      <c r="F78" s="6"/>
      <c r="G78" s="9"/>
      <c r="H78" s="13" t="s">
        <v>28</v>
      </c>
      <c r="I78" s="9"/>
      <c r="J78" s="9"/>
      <c r="K78" s="9"/>
      <c r="L78" s="9"/>
      <c r="M78" s="9"/>
      <c r="N78" s="9"/>
      <c r="O78" s="9"/>
    </row>
    <row r="79" spans="1:15">
      <c r="A79" s="3">
        <v>1006003</v>
      </c>
      <c r="B79" s="2" t="s">
        <v>457</v>
      </c>
      <c r="C79" s="59">
        <v>13</v>
      </c>
      <c r="D79" s="59">
        <v>6</v>
      </c>
      <c r="E79" s="59">
        <v>10</v>
      </c>
      <c r="F79" s="7"/>
      <c r="G79" s="10"/>
      <c r="H79" s="10"/>
      <c r="I79" s="12" t="s">
        <v>28</v>
      </c>
      <c r="J79" s="12" t="s">
        <v>28</v>
      </c>
      <c r="K79" s="10"/>
      <c r="L79" s="10"/>
      <c r="M79" s="10"/>
      <c r="N79" s="10"/>
      <c r="O79" s="10"/>
    </row>
    <row r="80" spans="1:15">
      <c r="A80" s="33">
        <v>1101232</v>
      </c>
      <c r="B80" s="4" t="s">
        <v>457</v>
      </c>
      <c r="C80" s="59">
        <v>13</v>
      </c>
      <c r="D80" s="59">
        <v>6</v>
      </c>
      <c r="E80" s="59">
        <v>10</v>
      </c>
      <c r="F80" s="6"/>
      <c r="G80" s="9"/>
      <c r="H80" s="9"/>
      <c r="I80" s="9"/>
      <c r="J80" s="9"/>
      <c r="K80" s="13" t="s">
        <v>28</v>
      </c>
      <c r="L80" s="13" t="s">
        <v>28</v>
      </c>
      <c r="M80" s="9"/>
      <c r="N80" s="9"/>
      <c r="O80" s="9"/>
    </row>
    <row r="81" spans="1:15">
      <c r="A81" s="3">
        <v>1006000</v>
      </c>
      <c r="B81" s="2" t="s">
        <v>457</v>
      </c>
      <c r="C81" s="59">
        <v>13</v>
      </c>
      <c r="D81" s="59">
        <v>6</v>
      </c>
      <c r="E81" s="59">
        <v>10</v>
      </c>
      <c r="F81" s="7"/>
      <c r="G81" s="10"/>
      <c r="H81" s="10"/>
      <c r="I81" s="10"/>
      <c r="J81" s="10"/>
      <c r="K81" s="10"/>
      <c r="L81" s="10"/>
      <c r="M81" s="12" t="s">
        <v>28</v>
      </c>
      <c r="N81" s="12" t="s">
        <v>28</v>
      </c>
      <c r="O81" s="10"/>
    </row>
    <row r="82" spans="1:15">
      <c r="A82" s="33">
        <v>1101197</v>
      </c>
      <c r="B82" s="4" t="s">
        <v>228</v>
      </c>
      <c r="C82" s="34">
        <v>6</v>
      </c>
      <c r="D82" s="58">
        <v>2</v>
      </c>
      <c r="E82" s="58">
        <v>4</v>
      </c>
      <c r="F82" s="13" t="s">
        <v>28</v>
      </c>
      <c r="G82" s="9"/>
      <c r="H82" s="13" t="s">
        <v>28</v>
      </c>
      <c r="I82" s="13" t="s">
        <v>28</v>
      </c>
      <c r="J82" s="13" t="s">
        <v>28</v>
      </c>
      <c r="K82" s="20"/>
      <c r="L82" s="20"/>
      <c r="M82" s="12" t="s">
        <v>28</v>
      </c>
      <c r="N82" s="12" t="s">
        <v>28</v>
      </c>
      <c r="O82" s="9"/>
    </row>
    <row r="83" spans="1:15">
      <c r="A83" s="3">
        <v>1002287</v>
      </c>
      <c r="B83" s="2" t="s">
        <v>458</v>
      </c>
      <c r="C83" s="34">
        <v>8</v>
      </c>
      <c r="D83" s="58">
        <v>3</v>
      </c>
      <c r="E83" s="58">
        <v>6</v>
      </c>
      <c r="F83" s="7"/>
      <c r="G83" s="10"/>
      <c r="H83" s="12" t="s">
        <v>28</v>
      </c>
      <c r="I83" s="10"/>
      <c r="J83" s="10"/>
      <c r="K83" s="10"/>
      <c r="L83" s="10"/>
      <c r="M83" s="10"/>
      <c r="N83" s="10"/>
      <c r="O83" s="10"/>
    </row>
    <row r="84" spans="1:15">
      <c r="A84" s="3">
        <v>1002288</v>
      </c>
      <c r="B84" s="2" t="s">
        <v>459</v>
      </c>
      <c r="C84" s="34">
        <v>8</v>
      </c>
      <c r="D84" s="58">
        <v>3</v>
      </c>
      <c r="E84" s="58">
        <v>6</v>
      </c>
      <c r="F84" s="7"/>
      <c r="G84" s="10"/>
      <c r="H84" s="12" t="s">
        <v>28</v>
      </c>
      <c r="I84" s="10"/>
      <c r="J84" s="10"/>
      <c r="K84" s="10"/>
      <c r="L84" s="10"/>
      <c r="M84" s="10"/>
      <c r="N84" s="10"/>
      <c r="O84" s="10"/>
    </row>
    <row r="85" spans="1:15">
      <c r="A85" s="5">
        <v>1002118</v>
      </c>
      <c r="B85" s="4" t="s">
        <v>458</v>
      </c>
      <c r="C85" s="34">
        <v>8</v>
      </c>
      <c r="D85" s="58">
        <v>3</v>
      </c>
      <c r="E85" s="58">
        <v>6</v>
      </c>
      <c r="F85" s="6"/>
      <c r="G85" s="9"/>
      <c r="H85" s="9"/>
      <c r="I85" s="9"/>
      <c r="J85" s="9"/>
      <c r="K85" s="13" t="s">
        <v>28</v>
      </c>
      <c r="L85" s="13" t="s">
        <v>28</v>
      </c>
      <c r="M85" s="9"/>
      <c r="N85" s="9"/>
      <c r="O85" s="9"/>
    </row>
    <row r="86" spans="1:15">
      <c r="A86" s="5">
        <v>1002119</v>
      </c>
      <c r="B86" s="4" t="s">
        <v>459</v>
      </c>
      <c r="C86" s="34">
        <v>8</v>
      </c>
      <c r="D86" s="58">
        <v>3</v>
      </c>
      <c r="E86" s="58">
        <v>6</v>
      </c>
      <c r="F86" s="6"/>
      <c r="G86" s="9"/>
      <c r="H86" s="9"/>
      <c r="I86" s="9"/>
      <c r="J86" s="9"/>
      <c r="K86" s="13" t="s">
        <v>28</v>
      </c>
      <c r="L86" s="13" t="s">
        <v>28</v>
      </c>
      <c r="M86" s="9"/>
      <c r="N86" s="9"/>
      <c r="O86" s="9"/>
    </row>
    <row r="87" spans="1:15">
      <c r="A87" s="3">
        <v>1002103</v>
      </c>
      <c r="B87" s="2" t="s">
        <v>458</v>
      </c>
      <c r="C87" s="34">
        <v>8</v>
      </c>
      <c r="D87" s="58">
        <v>3</v>
      </c>
      <c r="E87" s="58">
        <v>6</v>
      </c>
      <c r="F87" s="7"/>
      <c r="G87" s="10"/>
      <c r="H87" s="10"/>
      <c r="I87" s="12" t="s">
        <v>28</v>
      </c>
      <c r="J87" s="12" t="s">
        <v>28</v>
      </c>
      <c r="K87" s="10"/>
      <c r="L87" s="10"/>
      <c r="M87" s="12" t="s">
        <v>28</v>
      </c>
      <c r="N87" s="12" t="s">
        <v>28</v>
      </c>
      <c r="O87" s="10"/>
    </row>
    <row r="88" spans="1:15">
      <c r="A88" s="3">
        <v>1002104</v>
      </c>
      <c r="B88" s="2" t="s">
        <v>459</v>
      </c>
      <c r="C88" s="34">
        <v>8</v>
      </c>
      <c r="D88" s="58">
        <v>3</v>
      </c>
      <c r="E88" s="58">
        <v>6</v>
      </c>
      <c r="F88" s="7"/>
      <c r="G88" s="10"/>
      <c r="H88" s="10"/>
      <c r="I88" s="12" t="s">
        <v>28</v>
      </c>
      <c r="J88" s="12" t="s">
        <v>28</v>
      </c>
      <c r="K88" s="10"/>
      <c r="L88" s="10"/>
      <c r="M88" s="12" t="s">
        <v>28</v>
      </c>
      <c r="N88" s="12" t="s">
        <v>28</v>
      </c>
      <c r="O88" s="10"/>
    </row>
    <row r="89" spans="1:15">
      <c r="A89" s="5">
        <v>1002101</v>
      </c>
      <c r="B89" s="16" t="s">
        <v>460</v>
      </c>
      <c r="C89" s="34">
        <v>8</v>
      </c>
      <c r="D89" s="58">
        <v>3</v>
      </c>
      <c r="E89" s="58">
        <v>6</v>
      </c>
      <c r="F89" s="13" t="s">
        <v>28</v>
      </c>
      <c r="G89" s="9"/>
      <c r="H89" s="13" t="s">
        <v>28</v>
      </c>
      <c r="I89" s="13" t="s">
        <v>28</v>
      </c>
      <c r="J89" s="13" t="s">
        <v>28</v>
      </c>
      <c r="K89" s="9"/>
      <c r="L89" s="9"/>
      <c r="M89" s="13" t="s">
        <v>28</v>
      </c>
      <c r="N89" s="13" t="s">
        <v>28</v>
      </c>
      <c r="O89" s="9"/>
    </row>
    <row r="90" spans="1:15">
      <c r="A90" s="5">
        <v>1002117</v>
      </c>
      <c r="B90" s="16" t="s">
        <v>460</v>
      </c>
      <c r="C90" s="34">
        <v>8</v>
      </c>
      <c r="D90" s="58">
        <v>3</v>
      </c>
      <c r="E90" s="58">
        <v>6</v>
      </c>
      <c r="F90" s="6"/>
      <c r="G90" s="9"/>
      <c r="H90" s="13"/>
      <c r="I90" s="13"/>
      <c r="J90" s="13"/>
      <c r="K90" s="13" t="s">
        <v>28</v>
      </c>
      <c r="L90" s="13" t="s">
        <v>28</v>
      </c>
      <c r="M90" s="13"/>
      <c r="N90" s="13"/>
      <c r="O90" s="9"/>
    </row>
    <row r="91" spans="1:15">
      <c r="A91" s="37">
        <v>1100939</v>
      </c>
      <c r="B91" s="32" t="s">
        <v>188</v>
      </c>
      <c r="C91" s="59">
        <v>3.5</v>
      </c>
      <c r="D91" s="59">
        <v>1.5</v>
      </c>
      <c r="E91" s="59">
        <v>2.5</v>
      </c>
      <c r="F91" s="8"/>
      <c r="G91" s="11"/>
      <c r="H91" s="38" t="s">
        <v>28</v>
      </c>
      <c r="I91" s="11"/>
      <c r="J91" s="11"/>
      <c r="K91" s="38" t="s">
        <v>28</v>
      </c>
      <c r="L91" s="11"/>
      <c r="M91" s="11"/>
      <c r="N91" s="11"/>
      <c r="O91" s="11"/>
    </row>
    <row r="92" spans="1:15">
      <c r="A92" s="37">
        <v>1003215</v>
      </c>
      <c r="B92" s="32" t="s">
        <v>95</v>
      </c>
      <c r="C92" s="59">
        <v>3.5</v>
      </c>
      <c r="D92" s="59">
        <v>1.5</v>
      </c>
      <c r="E92" s="59">
        <v>2.5</v>
      </c>
      <c r="F92" s="8"/>
      <c r="G92" s="11"/>
      <c r="H92" s="38"/>
      <c r="I92" s="38" t="s">
        <v>28</v>
      </c>
      <c r="J92" s="38" t="s">
        <v>28</v>
      </c>
      <c r="K92" s="38"/>
      <c r="L92" s="38" t="s">
        <v>28</v>
      </c>
      <c r="M92" s="38" t="s">
        <v>28</v>
      </c>
      <c r="N92" s="38" t="s">
        <v>28</v>
      </c>
      <c r="O92" s="11"/>
    </row>
    <row r="93" spans="1:15">
      <c r="A93" s="5">
        <v>1004445</v>
      </c>
      <c r="B93" s="4" t="s">
        <v>461</v>
      </c>
      <c r="C93" s="33">
        <v>16</v>
      </c>
      <c r="D93" s="59">
        <v>7</v>
      </c>
      <c r="E93" s="59">
        <v>13</v>
      </c>
      <c r="F93" s="6"/>
      <c r="G93" s="9"/>
      <c r="H93" s="13" t="s">
        <v>28</v>
      </c>
      <c r="I93" s="9"/>
      <c r="J93" s="9"/>
      <c r="K93" s="13" t="s">
        <v>28</v>
      </c>
      <c r="L93" s="9"/>
      <c r="M93" s="9"/>
      <c r="N93" s="9"/>
      <c r="O93" s="9"/>
    </row>
    <row r="94" spans="1:15">
      <c r="A94" s="3">
        <v>1004000</v>
      </c>
      <c r="B94" s="2" t="s">
        <v>461</v>
      </c>
      <c r="C94" s="33">
        <v>16</v>
      </c>
      <c r="D94" s="59">
        <v>7</v>
      </c>
      <c r="E94" s="59">
        <v>13</v>
      </c>
      <c r="F94" s="7"/>
      <c r="G94" s="10"/>
      <c r="H94" s="10"/>
      <c r="I94" s="12" t="s">
        <v>28</v>
      </c>
      <c r="J94" s="12" t="s">
        <v>28</v>
      </c>
      <c r="K94" s="10"/>
      <c r="L94" s="12" t="s">
        <v>28</v>
      </c>
      <c r="M94" s="12" t="s">
        <v>28</v>
      </c>
      <c r="N94" s="12" t="s">
        <v>28</v>
      </c>
      <c r="O94" s="10"/>
    </row>
    <row r="95" spans="1:15">
      <c r="A95" s="3"/>
      <c r="B95" s="2" t="s">
        <v>294</v>
      </c>
      <c r="C95" s="34">
        <v>1</v>
      </c>
      <c r="D95" s="58">
        <v>0.5</v>
      </c>
      <c r="E95" s="58">
        <v>1</v>
      </c>
      <c r="F95" s="7"/>
      <c r="G95" s="10"/>
      <c r="H95" s="12" t="s">
        <v>28</v>
      </c>
      <c r="I95" s="56"/>
      <c r="J95" s="56"/>
      <c r="K95" s="12" t="s">
        <v>28</v>
      </c>
      <c r="L95" s="57"/>
      <c r="M95" s="12"/>
      <c r="N95" s="56"/>
      <c r="O95" s="10"/>
    </row>
    <row r="96" spans="1:15">
      <c r="A96" s="3"/>
      <c r="B96" s="2" t="s">
        <v>294</v>
      </c>
      <c r="C96" s="34">
        <v>1</v>
      </c>
      <c r="D96" s="58">
        <v>0.5</v>
      </c>
      <c r="E96" s="58">
        <v>1</v>
      </c>
      <c r="F96" s="7"/>
      <c r="G96" s="10"/>
      <c r="H96" s="10"/>
      <c r="I96" s="12" t="s">
        <v>28</v>
      </c>
      <c r="J96" s="12" t="s">
        <v>28</v>
      </c>
      <c r="K96" s="10"/>
      <c r="L96" s="12" t="s">
        <v>28</v>
      </c>
      <c r="M96" s="12" t="s">
        <v>28</v>
      </c>
      <c r="N96" s="12" t="s">
        <v>28</v>
      </c>
      <c r="O96" s="12"/>
    </row>
    <row r="97" spans="1:15">
      <c r="A97" s="5">
        <v>1004453</v>
      </c>
      <c r="B97" s="4" t="s">
        <v>108</v>
      </c>
      <c r="C97" s="35">
        <v>2</v>
      </c>
      <c r="D97" s="58">
        <v>1</v>
      </c>
      <c r="E97" s="58">
        <v>2</v>
      </c>
      <c r="F97" s="6"/>
      <c r="G97" s="9"/>
      <c r="H97" s="13" t="s">
        <v>28</v>
      </c>
      <c r="I97" s="20"/>
      <c r="J97" s="20"/>
      <c r="K97" s="13" t="s">
        <v>28</v>
      </c>
      <c r="L97" s="20"/>
      <c r="M97" s="20"/>
      <c r="N97" s="20"/>
      <c r="O97" s="9"/>
    </row>
    <row r="98" spans="1:15">
      <c r="A98" s="3">
        <v>1004102</v>
      </c>
      <c r="B98" s="2" t="s">
        <v>103</v>
      </c>
      <c r="C98" s="35">
        <v>2</v>
      </c>
      <c r="D98" s="58">
        <v>1</v>
      </c>
      <c r="E98" s="58">
        <v>2</v>
      </c>
      <c r="F98" s="7"/>
      <c r="G98" s="10"/>
      <c r="H98" s="10"/>
      <c r="I98" s="12" t="s">
        <v>28</v>
      </c>
      <c r="J98" s="12" t="s">
        <v>28</v>
      </c>
      <c r="K98" s="10"/>
      <c r="L98" s="12" t="s">
        <v>28</v>
      </c>
      <c r="M98" s="12" t="s">
        <v>28</v>
      </c>
      <c r="N98" s="12" t="s">
        <v>28</v>
      </c>
      <c r="O98" s="10"/>
    </row>
    <row r="99" spans="1:15">
      <c r="A99" s="49">
        <v>1100810</v>
      </c>
      <c r="B99" t="s">
        <v>147</v>
      </c>
      <c r="C99" s="59">
        <v>33</v>
      </c>
      <c r="D99" s="59">
        <v>15</v>
      </c>
      <c r="E99" s="59">
        <v>25</v>
      </c>
      <c r="F99" s="48" t="s">
        <v>28</v>
      </c>
      <c r="G99" s="47"/>
      <c r="H99" s="47"/>
      <c r="I99" s="47"/>
      <c r="J99" s="47"/>
      <c r="K99" s="47"/>
      <c r="L99" s="47"/>
      <c r="M99" s="47"/>
      <c r="N99" s="47"/>
      <c r="O99" s="47"/>
    </row>
    <row r="100" spans="1:15">
      <c r="A100" s="3">
        <v>1003124</v>
      </c>
      <c r="B100" s="2" t="s">
        <v>87</v>
      </c>
      <c r="C100" s="59">
        <v>33</v>
      </c>
      <c r="D100" s="59">
        <v>15</v>
      </c>
      <c r="E100" s="59">
        <v>25</v>
      </c>
      <c r="F100" s="7"/>
      <c r="G100" s="10"/>
      <c r="H100" s="12" t="s">
        <v>28</v>
      </c>
      <c r="I100" s="12" t="s">
        <v>28</v>
      </c>
      <c r="J100" s="12" t="s">
        <v>28</v>
      </c>
      <c r="K100" s="12" t="s">
        <v>28</v>
      </c>
      <c r="L100" s="12" t="s">
        <v>28</v>
      </c>
      <c r="M100" s="12" t="s">
        <v>28</v>
      </c>
      <c r="N100" s="12" t="s">
        <v>28</v>
      </c>
      <c r="O100" s="10"/>
    </row>
    <row r="101" spans="1:15">
      <c r="A101" s="23">
        <v>1100813</v>
      </c>
      <c r="B101" s="24" t="s">
        <v>151</v>
      </c>
      <c r="C101" s="59">
        <v>22</v>
      </c>
      <c r="D101" s="59">
        <v>9</v>
      </c>
      <c r="E101" s="59">
        <v>17</v>
      </c>
      <c r="F101" s="6"/>
      <c r="G101" s="13" t="s">
        <v>28</v>
      </c>
      <c r="H101" s="9"/>
      <c r="I101" s="9"/>
      <c r="J101" s="9"/>
      <c r="K101" s="9"/>
      <c r="L101" s="9"/>
      <c r="M101" s="9"/>
      <c r="N101" s="9"/>
      <c r="O101" s="9"/>
    </row>
    <row r="102" spans="1:15">
      <c r="A102" s="5">
        <v>1003126</v>
      </c>
      <c r="B102" s="2" t="s">
        <v>89</v>
      </c>
      <c r="C102" s="34">
        <v>6</v>
      </c>
      <c r="D102" s="58">
        <v>2</v>
      </c>
      <c r="E102" s="58">
        <v>4</v>
      </c>
      <c r="F102" s="6"/>
      <c r="G102" s="9"/>
      <c r="H102" s="13" t="s">
        <v>28</v>
      </c>
      <c r="I102" s="13" t="s">
        <v>28</v>
      </c>
      <c r="J102" s="13" t="s">
        <v>28</v>
      </c>
      <c r="K102" s="13" t="s">
        <v>28</v>
      </c>
      <c r="L102" s="13" t="s">
        <v>28</v>
      </c>
      <c r="M102" s="13" t="s">
        <v>28</v>
      </c>
      <c r="N102" s="13" t="s">
        <v>28</v>
      </c>
      <c r="O102" s="9"/>
    </row>
    <row r="103" spans="1:15">
      <c r="A103" s="5">
        <v>1003207</v>
      </c>
      <c r="B103" s="4" t="s">
        <v>92</v>
      </c>
      <c r="C103" s="59">
        <v>3.5</v>
      </c>
      <c r="D103" s="59">
        <v>1.5</v>
      </c>
      <c r="E103" s="59">
        <v>2.5</v>
      </c>
      <c r="F103" s="6"/>
      <c r="G103" s="9"/>
      <c r="H103" s="13" t="s">
        <v>28</v>
      </c>
      <c r="I103" s="13" t="s">
        <v>28</v>
      </c>
      <c r="J103" s="13" t="s">
        <v>28</v>
      </c>
      <c r="K103" s="13" t="s">
        <v>28</v>
      </c>
      <c r="L103" s="13" t="s">
        <v>28</v>
      </c>
      <c r="M103" s="13" t="s">
        <v>28</v>
      </c>
      <c r="N103" s="13" t="s">
        <v>28</v>
      </c>
      <c r="O103" s="9"/>
    </row>
    <row r="104" spans="1:15">
      <c r="A104" s="3">
        <v>1002201</v>
      </c>
      <c r="B104" s="2" t="s">
        <v>72</v>
      </c>
      <c r="C104" s="35">
        <v>2</v>
      </c>
      <c r="D104" s="58">
        <v>1</v>
      </c>
      <c r="E104" s="58">
        <v>2</v>
      </c>
      <c r="F104" s="7"/>
      <c r="G104" s="10"/>
      <c r="H104" s="10"/>
      <c r="I104" s="10"/>
      <c r="J104" s="10"/>
      <c r="K104" s="10"/>
      <c r="L104" s="10"/>
      <c r="M104" s="12" t="s">
        <v>28</v>
      </c>
      <c r="N104" s="12" t="s">
        <v>28</v>
      </c>
      <c r="O104" s="10"/>
    </row>
    <row r="105" spans="1:15">
      <c r="A105" s="37">
        <v>1003400</v>
      </c>
      <c r="B105" s="32" t="s">
        <v>97</v>
      </c>
      <c r="C105" s="55">
        <v>14</v>
      </c>
      <c r="D105" s="85">
        <v>6</v>
      </c>
      <c r="E105" s="85">
        <v>11</v>
      </c>
      <c r="F105" s="8"/>
      <c r="G105" s="11"/>
      <c r="H105" s="38" t="s">
        <v>28</v>
      </c>
      <c r="I105" s="38" t="s">
        <v>28</v>
      </c>
      <c r="J105" s="38" t="s">
        <v>28</v>
      </c>
      <c r="K105" s="11"/>
      <c r="L105" s="11"/>
      <c r="M105" s="38" t="s">
        <v>28</v>
      </c>
      <c r="N105" s="11"/>
      <c r="O105" s="11"/>
    </row>
    <row r="106" spans="1:15">
      <c r="A106" s="37">
        <v>1003409</v>
      </c>
      <c r="B106" s="32" t="s">
        <v>99</v>
      </c>
      <c r="C106" s="55">
        <v>14</v>
      </c>
      <c r="D106" s="85">
        <v>6</v>
      </c>
      <c r="E106" s="85">
        <v>11</v>
      </c>
      <c r="F106" s="8"/>
      <c r="G106" s="11"/>
      <c r="H106" s="38" t="s">
        <v>28</v>
      </c>
      <c r="I106" s="38" t="s">
        <v>28</v>
      </c>
      <c r="J106" s="38" t="s">
        <v>28</v>
      </c>
      <c r="K106" s="11"/>
      <c r="L106" s="11"/>
      <c r="M106" s="38" t="s">
        <v>28</v>
      </c>
      <c r="N106" s="11"/>
      <c r="O106" s="11"/>
    </row>
    <row r="107" spans="1:15">
      <c r="A107" s="35">
        <v>1101249</v>
      </c>
      <c r="B107" s="28" t="s">
        <v>289</v>
      </c>
      <c r="C107" s="33">
        <v>16</v>
      </c>
      <c r="D107" s="59">
        <v>7</v>
      </c>
      <c r="E107" s="59">
        <v>13</v>
      </c>
      <c r="F107" s="7"/>
      <c r="G107" s="10"/>
      <c r="H107" s="10"/>
      <c r="I107" s="10"/>
      <c r="J107" s="10"/>
      <c r="K107" s="10"/>
      <c r="L107" s="10"/>
      <c r="M107" s="10"/>
      <c r="N107" s="12" t="s">
        <v>28</v>
      </c>
      <c r="O107" s="10"/>
    </row>
    <row r="108" spans="1:15">
      <c r="A108" s="5">
        <v>1100817</v>
      </c>
      <c r="B108" s="4" t="s">
        <v>159</v>
      </c>
      <c r="C108" s="33">
        <v>16</v>
      </c>
      <c r="D108" s="59">
        <v>7</v>
      </c>
      <c r="E108" s="59">
        <v>13</v>
      </c>
      <c r="F108" s="6"/>
      <c r="G108" s="9"/>
      <c r="H108" s="13" t="s">
        <v>28</v>
      </c>
      <c r="I108" s="13" t="s">
        <v>28</v>
      </c>
      <c r="J108" s="9"/>
      <c r="K108" s="9"/>
      <c r="L108" s="9"/>
      <c r="M108" s="9"/>
      <c r="N108" s="9"/>
      <c r="O108" s="13"/>
    </row>
    <row r="109" spans="1:15">
      <c r="A109" s="37">
        <v>1101279</v>
      </c>
      <c r="B109" s="2" t="s">
        <v>291</v>
      </c>
      <c r="C109" s="55">
        <v>14</v>
      </c>
      <c r="D109" s="85">
        <v>6</v>
      </c>
      <c r="E109" s="85">
        <v>11</v>
      </c>
      <c r="F109" s="8"/>
      <c r="G109" s="11"/>
      <c r="H109" s="38" t="s">
        <v>28</v>
      </c>
      <c r="I109" s="54"/>
      <c r="J109" s="11"/>
      <c r="K109" s="11"/>
      <c r="L109" s="11"/>
      <c r="M109" s="11"/>
      <c r="N109" s="11"/>
      <c r="O109" s="54"/>
    </row>
    <row r="110" spans="1:15">
      <c r="A110" s="37">
        <v>1101280</v>
      </c>
      <c r="B110" s="32" t="s">
        <v>291</v>
      </c>
      <c r="C110" s="55">
        <v>14</v>
      </c>
      <c r="D110" s="85">
        <v>6</v>
      </c>
      <c r="E110" s="85">
        <v>11</v>
      </c>
      <c r="F110" s="8"/>
      <c r="G110" s="11"/>
      <c r="H110" s="38"/>
      <c r="I110" s="38" t="s">
        <v>28</v>
      </c>
      <c r="J110" s="11"/>
      <c r="K110" s="38" t="s">
        <v>28</v>
      </c>
      <c r="L110" s="38" t="s">
        <v>28</v>
      </c>
      <c r="M110" s="11"/>
      <c r="N110" s="11"/>
      <c r="O110" s="54"/>
    </row>
    <row r="111" spans="1:15">
      <c r="A111" s="5">
        <v>1101175</v>
      </c>
      <c r="B111" s="2" t="s">
        <v>204</v>
      </c>
      <c r="C111" s="34">
        <v>8</v>
      </c>
      <c r="D111" s="58">
        <v>3</v>
      </c>
      <c r="E111" s="58">
        <v>6</v>
      </c>
      <c r="F111" s="13" t="s">
        <v>28</v>
      </c>
      <c r="G111" s="9"/>
      <c r="H111" s="13" t="s">
        <v>28</v>
      </c>
      <c r="I111" s="20"/>
      <c r="J111" s="9"/>
      <c r="K111" s="9"/>
      <c r="L111" s="9"/>
      <c r="M111" s="9"/>
      <c r="N111" s="9"/>
      <c r="O111" s="20"/>
    </row>
    <row r="112" spans="1:15">
      <c r="A112" s="37">
        <v>1100816</v>
      </c>
      <c r="B112" s="32" t="s">
        <v>157</v>
      </c>
      <c r="C112" s="34">
        <v>6</v>
      </c>
      <c r="D112" s="58">
        <v>2</v>
      </c>
      <c r="E112" s="58">
        <v>4</v>
      </c>
      <c r="F112" s="8"/>
      <c r="G112" s="11"/>
      <c r="H112" s="38" t="s">
        <v>28</v>
      </c>
      <c r="I112" s="11"/>
      <c r="J112" s="11"/>
      <c r="K112" s="38" t="s">
        <v>28</v>
      </c>
      <c r="L112" s="11"/>
      <c r="M112" s="11"/>
      <c r="N112" s="11"/>
      <c r="O112" s="11"/>
    </row>
    <row r="113" spans="1:15">
      <c r="A113" s="44">
        <v>1100859</v>
      </c>
      <c r="B113" s="32" t="s">
        <v>186</v>
      </c>
      <c r="C113" s="34">
        <v>6</v>
      </c>
      <c r="D113" s="58">
        <v>2</v>
      </c>
      <c r="E113" s="58">
        <v>4</v>
      </c>
      <c r="F113" s="48" t="s">
        <v>28</v>
      </c>
      <c r="G113" s="47"/>
      <c r="H113" s="48"/>
      <c r="I113" s="47"/>
      <c r="J113" s="47"/>
      <c r="K113" s="51"/>
      <c r="L113" s="47"/>
      <c r="M113" s="47"/>
      <c r="N113" s="47"/>
      <c r="O113" s="47"/>
    </row>
    <row r="114" spans="1:15">
      <c r="A114" s="21">
        <v>1100791</v>
      </c>
      <c r="B114" s="4" t="s">
        <v>145</v>
      </c>
      <c r="C114" s="59">
        <v>3.5</v>
      </c>
      <c r="D114" s="59">
        <v>1.5</v>
      </c>
      <c r="E114" s="59">
        <v>2.5</v>
      </c>
      <c r="F114" s="13" t="s">
        <v>28</v>
      </c>
      <c r="G114" s="9"/>
      <c r="H114" s="13" t="s">
        <v>28</v>
      </c>
      <c r="I114" s="13" t="s">
        <v>28</v>
      </c>
      <c r="J114" s="13" t="s">
        <v>28</v>
      </c>
      <c r="K114" s="9"/>
      <c r="L114" s="9"/>
      <c r="M114" s="13" t="s">
        <v>28</v>
      </c>
      <c r="N114" s="13" t="s">
        <v>28</v>
      </c>
      <c r="O114" s="9"/>
    </row>
    <row r="115" spans="1:15">
      <c r="A115" s="53">
        <v>1100834</v>
      </c>
      <c r="B115" s="2" t="s">
        <v>169</v>
      </c>
      <c r="C115" s="59">
        <v>22</v>
      </c>
      <c r="D115" s="59">
        <v>9</v>
      </c>
      <c r="E115" s="59">
        <v>17</v>
      </c>
      <c r="F115" s="38" t="s">
        <v>28</v>
      </c>
      <c r="G115" s="11"/>
      <c r="H115" s="38" t="s">
        <v>28</v>
      </c>
      <c r="I115" s="38"/>
      <c r="J115" s="38"/>
      <c r="K115" s="11"/>
      <c r="L115" s="11"/>
      <c r="M115" s="38"/>
      <c r="N115" s="38"/>
      <c r="O115" s="11"/>
    </row>
    <row r="116" spans="1:15">
      <c r="A116" s="53">
        <v>1101281</v>
      </c>
      <c r="B116" s="32" t="s">
        <v>169</v>
      </c>
      <c r="C116" s="59">
        <v>22</v>
      </c>
      <c r="D116" s="59">
        <v>9</v>
      </c>
      <c r="E116" s="59">
        <v>17</v>
      </c>
      <c r="F116" s="38"/>
      <c r="G116" s="11"/>
      <c r="H116" s="38"/>
      <c r="I116" s="38" t="s">
        <v>28</v>
      </c>
      <c r="J116" s="38" t="s">
        <v>28</v>
      </c>
      <c r="K116" s="11"/>
      <c r="L116" s="11"/>
      <c r="M116" s="38"/>
      <c r="N116" s="38"/>
      <c r="O116" s="11"/>
    </row>
    <row r="117" spans="1:15">
      <c r="A117" s="5">
        <v>1900028</v>
      </c>
      <c r="B117" s="2" t="s">
        <v>420</v>
      </c>
      <c r="C117" s="33">
        <v>0.1</v>
      </c>
      <c r="D117" s="59">
        <v>0.1</v>
      </c>
      <c r="E117" s="59">
        <v>0.1</v>
      </c>
      <c r="F117" s="6"/>
      <c r="G117" s="9"/>
      <c r="H117" s="13" t="s">
        <v>28</v>
      </c>
      <c r="I117" s="13" t="s">
        <v>28</v>
      </c>
      <c r="J117" s="13" t="s">
        <v>28</v>
      </c>
      <c r="K117" s="13" t="s">
        <v>28</v>
      </c>
      <c r="L117" s="13" t="s">
        <v>28</v>
      </c>
      <c r="M117" s="13" t="s">
        <v>28</v>
      </c>
      <c r="N117" s="13" t="s">
        <v>28</v>
      </c>
      <c r="O117" s="9"/>
    </row>
    <row r="118" spans="1:15">
      <c r="A118" s="25">
        <v>1100734</v>
      </c>
      <c r="B118" t="s">
        <v>132</v>
      </c>
      <c r="C118" s="34">
        <v>8</v>
      </c>
      <c r="D118" s="58">
        <v>3</v>
      </c>
      <c r="E118" s="58">
        <v>6</v>
      </c>
      <c r="F118" s="7"/>
      <c r="G118" s="12" t="s">
        <v>28</v>
      </c>
      <c r="H118" s="10"/>
      <c r="I118" s="10"/>
      <c r="J118" s="10"/>
      <c r="K118" s="10"/>
      <c r="L118" s="10"/>
      <c r="M118" s="10"/>
      <c r="N118" s="10"/>
      <c r="O118" s="10"/>
    </row>
    <row r="119" spans="1:15">
      <c r="A119" s="23">
        <v>1100737</v>
      </c>
      <c r="B119" s="26" t="s">
        <v>139</v>
      </c>
      <c r="C119" s="59">
        <v>3.5</v>
      </c>
      <c r="D119" s="59">
        <v>1.5</v>
      </c>
      <c r="E119" s="59">
        <v>2.5</v>
      </c>
      <c r="F119" s="6"/>
      <c r="G119" s="13" t="s">
        <v>28</v>
      </c>
      <c r="H119" s="9"/>
      <c r="I119" s="9"/>
      <c r="J119" s="9"/>
      <c r="K119" s="9"/>
      <c r="L119" s="9"/>
      <c r="M119" s="9"/>
      <c r="N119" s="9"/>
      <c r="O119" s="9"/>
    </row>
    <row r="120" spans="1:15">
      <c r="A120" s="25">
        <v>1100738</v>
      </c>
      <c r="B120" t="s">
        <v>141</v>
      </c>
      <c r="C120" s="34">
        <v>6</v>
      </c>
      <c r="D120" s="58">
        <v>2</v>
      </c>
      <c r="E120" s="58">
        <v>4</v>
      </c>
      <c r="F120" s="7"/>
      <c r="G120" s="12" t="s">
        <v>28</v>
      </c>
      <c r="H120" s="10"/>
      <c r="I120" s="10"/>
      <c r="J120" s="10"/>
      <c r="K120" s="10"/>
      <c r="L120" s="10"/>
      <c r="M120" s="10"/>
      <c r="N120" s="10"/>
      <c r="O120" s="10"/>
    </row>
    <row r="121" spans="1:15">
      <c r="A121" s="23">
        <v>1100739</v>
      </c>
      <c r="B121" s="26" t="s">
        <v>143</v>
      </c>
      <c r="C121" s="59">
        <v>3.5</v>
      </c>
      <c r="D121" s="59">
        <v>1.5</v>
      </c>
      <c r="E121" s="59">
        <v>2.5</v>
      </c>
      <c r="F121" s="6"/>
      <c r="G121" s="13" t="s">
        <v>28</v>
      </c>
      <c r="H121" s="9"/>
      <c r="I121" s="9"/>
      <c r="J121" s="9"/>
      <c r="K121" s="9"/>
      <c r="L121" s="9"/>
      <c r="M121" s="9"/>
      <c r="N121" s="9"/>
      <c r="O121" s="9"/>
    </row>
    <row r="122" spans="1:15">
      <c r="A122" s="22">
        <v>1005204</v>
      </c>
      <c r="B122" t="s">
        <v>110</v>
      </c>
      <c r="C122" s="59"/>
      <c r="D122" s="59"/>
      <c r="E122" s="59"/>
      <c r="F122" s="13" t="s">
        <v>28</v>
      </c>
      <c r="G122" s="13" t="s">
        <v>28</v>
      </c>
      <c r="H122" s="9"/>
      <c r="I122" s="9"/>
      <c r="J122" s="9"/>
      <c r="K122" s="9"/>
      <c r="L122" s="9"/>
      <c r="M122" s="9"/>
      <c r="N122" s="9"/>
      <c r="O122" s="9"/>
    </row>
    <row r="123" spans="1:15">
      <c r="A123" s="23">
        <v>1005205</v>
      </c>
      <c r="B123" s="26" t="s">
        <v>112</v>
      </c>
      <c r="C123" s="59"/>
      <c r="D123" s="59"/>
      <c r="E123" s="59"/>
      <c r="F123" s="13" t="s">
        <v>28</v>
      </c>
      <c r="G123" s="13" t="s">
        <v>28</v>
      </c>
      <c r="H123" s="9"/>
      <c r="I123" s="9"/>
      <c r="J123" s="9"/>
      <c r="K123" s="9"/>
      <c r="L123" s="9"/>
      <c r="M123" s="9"/>
      <c r="N123" s="9"/>
      <c r="O123" s="9"/>
    </row>
    <row r="124" spans="1:15">
      <c r="A124" s="22">
        <v>1100811</v>
      </c>
      <c r="B124" s="26" t="s">
        <v>149</v>
      </c>
      <c r="C124" s="59"/>
      <c r="D124" s="59"/>
      <c r="E124" s="59"/>
      <c r="F124" s="13" t="s">
        <v>28</v>
      </c>
      <c r="G124" s="13" t="s">
        <v>28</v>
      </c>
      <c r="H124" s="9"/>
      <c r="I124" s="9"/>
      <c r="J124" s="9"/>
      <c r="K124" s="9"/>
      <c r="L124" s="9"/>
      <c r="M124" s="9"/>
      <c r="N124" s="9"/>
      <c r="O124" s="9"/>
    </row>
    <row r="125" spans="1:15">
      <c r="A125" s="23">
        <v>1100814</v>
      </c>
      <c r="B125" s="26" t="s">
        <v>153</v>
      </c>
      <c r="C125" s="59"/>
      <c r="D125" s="59"/>
      <c r="E125" s="59"/>
      <c r="F125" s="13" t="s">
        <v>28</v>
      </c>
      <c r="G125" s="13" t="s">
        <v>28</v>
      </c>
      <c r="H125" s="9"/>
      <c r="I125" s="9"/>
      <c r="J125" s="9"/>
      <c r="K125" s="9"/>
      <c r="L125" s="9"/>
      <c r="M125" s="9"/>
      <c r="N125" s="9"/>
      <c r="O125" s="9"/>
    </row>
    <row r="126" spans="1:15">
      <c r="A126" s="23">
        <v>1100856</v>
      </c>
      <c r="B126" s="26" t="s">
        <v>184</v>
      </c>
      <c r="C126" s="59"/>
      <c r="D126" s="59"/>
      <c r="E126" s="59"/>
      <c r="F126" s="13" t="s">
        <v>28</v>
      </c>
      <c r="G126" s="13" t="s">
        <v>28</v>
      </c>
      <c r="H126" s="9"/>
      <c r="I126" s="9"/>
      <c r="J126" s="9"/>
      <c r="K126" s="9"/>
      <c r="L126" s="9"/>
      <c r="M126" s="9"/>
      <c r="N126" s="9"/>
      <c r="O126" s="9"/>
    </row>
    <row r="127" spans="1:15">
      <c r="A127" s="19"/>
      <c r="B127" s="2" t="s">
        <v>462</v>
      </c>
      <c r="C127" s="34">
        <v>8</v>
      </c>
      <c r="D127" s="58">
        <v>3</v>
      </c>
      <c r="E127" s="58">
        <v>6</v>
      </c>
      <c r="F127" s="7"/>
      <c r="G127" s="10"/>
      <c r="H127" s="10"/>
      <c r="I127" s="10"/>
      <c r="J127" s="10"/>
      <c r="K127" s="10"/>
      <c r="L127" s="10"/>
      <c r="M127" s="10"/>
      <c r="N127" s="10"/>
      <c r="O127" s="12" t="s">
        <v>28</v>
      </c>
    </row>
    <row r="128" spans="1:15">
      <c r="A128" s="18"/>
      <c r="B128" s="4" t="s">
        <v>463</v>
      </c>
      <c r="C128" s="34">
        <v>6</v>
      </c>
      <c r="D128" s="58">
        <v>2</v>
      </c>
      <c r="E128" s="58">
        <v>4</v>
      </c>
      <c r="F128" s="6"/>
      <c r="G128" s="9"/>
      <c r="H128" s="9"/>
      <c r="I128" s="9"/>
      <c r="J128" s="9"/>
      <c r="K128" s="9"/>
      <c r="L128" s="9"/>
      <c r="M128" s="9"/>
      <c r="N128" s="9"/>
      <c r="O128" s="13" t="s">
        <v>28</v>
      </c>
    </row>
    <row r="129" spans="1:15">
      <c r="A129" s="19"/>
      <c r="B129" s="2" t="s">
        <v>464</v>
      </c>
      <c r="C129" s="59">
        <v>3.5</v>
      </c>
      <c r="D129" s="59">
        <v>1.5</v>
      </c>
      <c r="E129" s="59">
        <v>2.5</v>
      </c>
      <c r="F129" s="7"/>
      <c r="G129" s="10"/>
      <c r="H129" s="10"/>
      <c r="I129" s="10"/>
      <c r="J129" s="10"/>
      <c r="K129" s="10"/>
      <c r="L129" s="10"/>
      <c r="M129" s="10"/>
      <c r="N129" s="10"/>
      <c r="O129" s="12" t="s">
        <v>28</v>
      </c>
    </row>
    <row r="130" spans="1:15">
      <c r="A130" s="18"/>
      <c r="B130" s="4" t="s">
        <v>465</v>
      </c>
      <c r="C130" s="34">
        <v>6</v>
      </c>
      <c r="D130" s="58">
        <v>2</v>
      </c>
      <c r="E130" s="58">
        <v>4</v>
      </c>
      <c r="F130" s="6"/>
      <c r="G130" s="9"/>
      <c r="H130" s="9"/>
      <c r="I130" s="9"/>
      <c r="J130" s="9"/>
      <c r="K130" s="9"/>
      <c r="L130" s="9"/>
      <c r="M130" s="9"/>
      <c r="N130" s="9"/>
      <c r="O130" s="13" t="s">
        <v>28</v>
      </c>
    </row>
    <row r="131" spans="1:15">
      <c r="A131" s="39"/>
      <c r="B131" s="28" t="s">
        <v>147</v>
      </c>
      <c r="C131" s="59">
        <v>22</v>
      </c>
      <c r="D131" s="59">
        <v>9</v>
      </c>
      <c r="E131" s="59">
        <v>17</v>
      </c>
      <c r="F131" s="29"/>
      <c r="G131" s="30"/>
      <c r="H131" s="30"/>
      <c r="I131" s="30"/>
      <c r="J131" s="30"/>
      <c r="K131" s="30"/>
      <c r="L131" s="30"/>
      <c r="M131" s="30"/>
      <c r="N131" s="30"/>
      <c r="O131" s="31" t="s">
        <v>28</v>
      </c>
    </row>
    <row r="132" spans="1:15">
      <c r="A132" s="18"/>
      <c r="B132" s="4" t="s">
        <v>466</v>
      </c>
      <c r="C132" s="59">
        <v>28</v>
      </c>
      <c r="D132" s="58">
        <v>13</v>
      </c>
      <c r="E132" s="58">
        <v>22</v>
      </c>
      <c r="F132" s="6"/>
      <c r="G132" s="9"/>
      <c r="H132" s="9"/>
      <c r="I132" s="9"/>
      <c r="J132" s="9"/>
      <c r="K132" s="9"/>
      <c r="L132" s="9"/>
      <c r="M132" s="9"/>
      <c r="N132" s="9"/>
      <c r="O132" s="13" t="s">
        <v>28</v>
      </c>
    </row>
    <row r="133" spans="1:15">
      <c r="A133" s="18"/>
      <c r="B133" s="4" t="s">
        <v>467</v>
      </c>
      <c r="C133" s="59">
        <v>28</v>
      </c>
      <c r="D133" s="58">
        <v>13</v>
      </c>
      <c r="E133" s="58">
        <v>22</v>
      </c>
      <c r="F133" s="6"/>
      <c r="G133" s="9"/>
      <c r="H133" s="9"/>
      <c r="I133" s="9"/>
      <c r="J133" s="9"/>
      <c r="K133" s="9"/>
      <c r="L133" s="9"/>
      <c r="M133" s="9"/>
      <c r="N133" s="9"/>
      <c r="O133" s="13" t="s">
        <v>28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7CB1DB6AC2345AFC8C5CDEAE36552" ma:contentTypeVersion="16" ma:contentTypeDescription="Create a new document." ma:contentTypeScope="" ma:versionID="756c8ea85fcfda7987a017f3729dda61">
  <xsd:schema xmlns:xsd="http://www.w3.org/2001/XMLSchema" xmlns:xs="http://www.w3.org/2001/XMLSchema" xmlns:p="http://schemas.microsoft.com/office/2006/metadata/properties" xmlns:ns2="88b9bdb5-febf-4db7-b7d2-3aa31c9eb32c" xmlns:ns3="4866865f-21c0-4973-9a52-0e055d02862a" targetNamespace="http://schemas.microsoft.com/office/2006/metadata/properties" ma:root="true" ma:fieldsID="433eca1b6e620f3281074f271f79b707" ns2:_="" ns3:_="">
    <xsd:import namespace="88b9bdb5-febf-4db7-b7d2-3aa31c9eb32c"/>
    <xsd:import namespace="4866865f-21c0-4973-9a52-0e055d028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b9bdb5-febf-4db7-b7d2-3aa31c9eb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be5e355-df8b-4248-815a-d40ff73ec0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66865f-21c0-4973-9a52-0e055d028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6eb8b3-ed65-47bb-80ab-db4a28599e32}" ma:internalName="TaxCatchAll" ma:showField="CatchAllData" ma:web="4866865f-21c0-4973-9a52-0e055d028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866865f-21c0-4973-9a52-0e055d02862a">
      <UserInfo>
        <DisplayName>Wictor Öjersson</DisplayName>
        <AccountId>75</AccountId>
        <AccountType/>
      </UserInfo>
      <UserInfo>
        <DisplayName>Till Penrod (EXT)</DisplayName>
        <AccountId>79</AccountId>
        <AccountType/>
      </UserInfo>
      <UserInfo>
        <DisplayName>service.de</DisplayName>
        <AccountId>82</AccountId>
        <AccountType/>
      </UserInfo>
      <UserInfo>
        <DisplayName>Igor Belic</DisplayName>
        <AccountId>91</AccountId>
        <AccountType/>
      </UserInfo>
    </SharedWithUsers>
    <TaxCatchAll xmlns="4866865f-21c0-4973-9a52-0e055d02862a" xsi:nil="true"/>
    <lcf76f155ced4ddcb4097134ff3c332f xmlns="88b9bdb5-febf-4db7-b7d2-3aa31c9eb32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18B1F9-502F-4A00-9210-EE7496B1585F}"/>
</file>

<file path=customXml/itemProps2.xml><?xml version="1.0" encoding="utf-8"?>
<ds:datastoreItem xmlns:ds="http://schemas.openxmlformats.org/officeDocument/2006/customXml" ds:itemID="{05D98AD8-B295-4F01-8908-242983577894}"/>
</file>

<file path=customXml/itemProps3.xml><?xml version="1.0" encoding="utf-8"?>
<ds:datastoreItem xmlns:ds="http://schemas.openxmlformats.org/officeDocument/2006/customXml" ds:itemID="{54162C6D-C565-4526-98D3-E3ED41D304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Behrendt</cp:lastModifiedBy>
  <cp:revision/>
  <dcterms:created xsi:type="dcterms:W3CDTF">2019-02-11T13:48:25Z</dcterms:created>
  <dcterms:modified xsi:type="dcterms:W3CDTF">2022-11-17T10:16:02Z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0x010100DE17CB1DB6AC2345AFC8C5CDEAE36552</vt:lpwstr>
  </property>
  <property fmtid="{D5CDD505-2E9C-101B-9397-08002B2CF9AE}" pid="3" name="AuthorIds_UIVersion_2048">
    <vt:lpwstr>12</vt:lpwstr>
  </property>
  <property fmtid="{D5CDD505-2E9C-101B-9397-08002B2CF9AE}" pid="4" name="AuthorIds_UIVersion_24576">
    <vt:lpwstr>12</vt:lpwstr>
  </property>
  <property fmtid="{D5CDD505-2E9C-101B-9397-08002B2CF9AE}" pid="5" name="MediaServiceImageTags">
    <vt:lpwstr/>
  </property>
</Properties>
</file>