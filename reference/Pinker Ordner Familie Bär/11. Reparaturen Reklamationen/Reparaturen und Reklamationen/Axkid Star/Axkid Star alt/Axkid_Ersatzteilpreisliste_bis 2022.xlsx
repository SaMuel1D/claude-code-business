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Familie Bär\Familie Bär Texte u. Scans\Dokumente\Preislisten\Ab Januar 2022\"/>
    </mc:Choice>
  </mc:AlternateContent>
  <xr:revisionPtr revIDLastSave="0" documentId="8_{D67B8F89-F98D-4973-9D72-CB9BBD47CCE2}" xr6:coauthVersionLast="47" xr6:coauthVersionMax="47" xr10:uidLastSave="{00000000-0000-0000-0000-000000000000}"/>
  <bookViews>
    <workbookView xWindow="-120" yWindow="-120" windowWidth="29040" windowHeight="15990" xr2:uid="{16522F43-B70B-41C1-A4F4-4EC540A443C0}"/>
  </bookViews>
  <sheets>
    <sheet name="Ersatzteilpreisliste" sheetId="3" r:id="rId1"/>
    <sheet name="Artikeldaten" sheetId="4" state="hidden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" i="3" l="1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3" i="3"/>
  <c r="F150" i="3"/>
  <c r="E150" i="3" s="1"/>
  <c r="F149" i="3"/>
  <c r="E149" i="3"/>
  <c r="F148" i="3"/>
  <c r="E148" i="3"/>
  <c r="F147" i="3"/>
  <c r="E147" i="3"/>
  <c r="F146" i="3"/>
  <c r="E146" i="3"/>
  <c r="F145" i="3"/>
  <c r="E145" i="3"/>
  <c r="F144" i="3"/>
  <c r="E144" i="3"/>
  <c r="F143" i="3"/>
  <c r="E143" i="3" s="1"/>
  <c r="F142" i="3"/>
  <c r="E142" i="3" s="1"/>
  <c r="F141" i="3"/>
  <c r="E141" i="3" s="1"/>
  <c r="F140" i="3"/>
  <c r="E140" i="3"/>
  <c r="F139" i="3"/>
  <c r="E139" i="3"/>
  <c r="F138" i="3"/>
  <c r="E138" i="3"/>
  <c r="F137" i="3"/>
  <c r="E137" i="3"/>
  <c r="F136" i="3"/>
  <c r="E136" i="3"/>
  <c r="F135" i="3"/>
  <c r="E135" i="3" s="1"/>
  <c r="F134" i="3"/>
  <c r="E134" i="3" s="1"/>
  <c r="F133" i="3"/>
  <c r="E133" i="3" s="1"/>
  <c r="F132" i="3"/>
  <c r="E132" i="3"/>
  <c r="F131" i="3"/>
  <c r="E131" i="3"/>
  <c r="F130" i="3"/>
  <c r="E130" i="3"/>
  <c r="F129" i="3"/>
  <c r="E129" i="3"/>
  <c r="F128" i="3"/>
  <c r="E128" i="3"/>
  <c r="F127" i="3"/>
  <c r="E127" i="3" s="1"/>
  <c r="F126" i="3"/>
  <c r="E126" i="3" s="1"/>
  <c r="F125" i="3"/>
  <c r="E125" i="3" s="1"/>
  <c r="F124" i="3"/>
  <c r="E124" i="3"/>
  <c r="F123" i="3"/>
  <c r="E123" i="3"/>
  <c r="F122" i="3"/>
  <c r="E122" i="3"/>
  <c r="F121" i="3"/>
  <c r="E121" i="3"/>
  <c r="F120" i="3"/>
  <c r="E120" i="3"/>
  <c r="F119" i="3"/>
  <c r="E119" i="3" s="1"/>
  <c r="F118" i="3"/>
  <c r="E118" i="3" s="1"/>
  <c r="F117" i="3"/>
  <c r="E117" i="3" s="1"/>
  <c r="F116" i="3"/>
  <c r="E116" i="3"/>
  <c r="F115" i="3"/>
  <c r="E115" i="3"/>
  <c r="F114" i="3"/>
  <c r="E114" i="3"/>
  <c r="F113" i="3"/>
  <c r="E113" i="3"/>
  <c r="F112" i="3"/>
  <c r="E112" i="3"/>
  <c r="F111" i="3"/>
  <c r="E111" i="3" s="1"/>
  <c r="F110" i="3"/>
  <c r="E110" i="3" s="1"/>
  <c r="F109" i="3"/>
  <c r="E109" i="3" s="1"/>
  <c r="F108" i="3"/>
  <c r="E108" i="3"/>
  <c r="F107" i="3"/>
  <c r="E107" i="3"/>
  <c r="F106" i="3"/>
  <c r="E106" i="3"/>
  <c r="F105" i="3"/>
  <c r="E105" i="3"/>
  <c r="F104" i="3"/>
  <c r="E104" i="3"/>
  <c r="F103" i="3"/>
  <c r="E103" i="3" s="1"/>
  <c r="F102" i="3"/>
  <c r="E102" i="3" s="1"/>
  <c r="F101" i="3"/>
  <c r="E101" i="3" s="1"/>
  <c r="F100" i="3"/>
  <c r="E100" i="3"/>
  <c r="F99" i="3"/>
  <c r="E99" i="3"/>
  <c r="F98" i="3"/>
  <c r="E98" i="3"/>
  <c r="F97" i="3"/>
  <c r="E97" i="3" s="1"/>
  <c r="F96" i="3"/>
  <c r="E96" i="3"/>
  <c r="F95" i="3"/>
  <c r="E95" i="3" s="1"/>
  <c r="F94" i="3"/>
  <c r="E94" i="3" s="1"/>
  <c r="F93" i="3"/>
  <c r="E93" i="3" s="1"/>
  <c r="F92" i="3"/>
  <c r="E92" i="3"/>
  <c r="F91" i="3"/>
  <c r="E91" i="3"/>
  <c r="F90" i="3"/>
  <c r="E90" i="3"/>
  <c r="F89" i="3"/>
  <c r="E89" i="3" s="1"/>
  <c r="F88" i="3"/>
  <c r="E88" i="3"/>
  <c r="F87" i="3"/>
  <c r="E87" i="3" s="1"/>
  <c r="F86" i="3"/>
  <c r="E86" i="3" s="1"/>
  <c r="F85" i="3"/>
  <c r="E85" i="3" s="1"/>
  <c r="F84" i="3"/>
  <c r="E84" i="3"/>
  <c r="F83" i="3"/>
  <c r="E83" i="3"/>
  <c r="F82" i="3"/>
  <c r="E82" i="3"/>
  <c r="F81" i="3"/>
  <c r="E81" i="3" s="1"/>
  <c r="F80" i="3"/>
  <c r="E80" i="3"/>
  <c r="F79" i="3"/>
  <c r="E79" i="3" s="1"/>
  <c r="F78" i="3"/>
  <c r="E78" i="3" s="1"/>
  <c r="F77" i="3"/>
  <c r="E77" i="3" s="1"/>
  <c r="F76" i="3"/>
  <c r="E76" i="3"/>
  <c r="F75" i="3"/>
  <c r="E75" i="3"/>
  <c r="F74" i="3"/>
  <c r="E74" i="3"/>
  <c r="F73" i="3"/>
  <c r="E73" i="3" s="1"/>
  <c r="F72" i="3"/>
  <c r="E72" i="3"/>
  <c r="F71" i="3"/>
  <c r="E71" i="3" s="1"/>
  <c r="F70" i="3"/>
  <c r="E70" i="3" s="1"/>
  <c r="F69" i="3"/>
  <c r="E69" i="3" s="1"/>
  <c r="F68" i="3"/>
  <c r="E68" i="3"/>
  <c r="F67" i="3"/>
  <c r="E67" i="3"/>
  <c r="F66" i="3"/>
  <c r="E66" i="3"/>
  <c r="F65" i="3"/>
  <c r="E65" i="3" s="1"/>
  <c r="F64" i="3"/>
  <c r="E64" i="3"/>
  <c r="F63" i="3"/>
  <c r="E63" i="3" s="1"/>
  <c r="F62" i="3"/>
  <c r="E62" i="3" s="1"/>
  <c r="F61" i="3"/>
  <c r="E61" i="3" s="1"/>
  <c r="F60" i="3"/>
  <c r="E60" i="3"/>
  <c r="F59" i="3"/>
  <c r="E59" i="3"/>
  <c r="F58" i="3"/>
  <c r="E58" i="3"/>
  <c r="F57" i="3"/>
  <c r="E57" i="3" s="1"/>
  <c r="F56" i="3"/>
  <c r="E56" i="3"/>
  <c r="F55" i="3"/>
  <c r="E55" i="3" s="1"/>
  <c r="F54" i="3"/>
  <c r="E54" i="3" s="1"/>
  <c r="F53" i="3"/>
  <c r="E53" i="3" s="1"/>
  <c r="F52" i="3"/>
  <c r="E52" i="3"/>
  <c r="F51" i="3"/>
  <c r="E51" i="3"/>
  <c r="F50" i="3"/>
  <c r="E50" i="3"/>
  <c r="F49" i="3"/>
  <c r="E49" i="3" s="1"/>
  <c r="F48" i="3"/>
  <c r="E48" i="3"/>
  <c r="F47" i="3"/>
  <c r="E47" i="3" s="1"/>
  <c r="F46" i="3"/>
  <c r="E46" i="3" s="1"/>
  <c r="F45" i="3"/>
  <c r="E45" i="3" s="1"/>
  <c r="F44" i="3"/>
  <c r="E44" i="3"/>
  <c r="F43" i="3"/>
  <c r="E43" i="3"/>
  <c r="F42" i="3"/>
  <c r="E42" i="3"/>
  <c r="F41" i="3"/>
  <c r="E41" i="3" s="1"/>
  <c r="F40" i="3"/>
  <c r="E40" i="3"/>
  <c r="F39" i="3"/>
  <c r="E39" i="3" s="1"/>
  <c r="F38" i="3"/>
  <c r="E38" i="3" s="1"/>
  <c r="F37" i="3"/>
  <c r="E37" i="3" s="1"/>
  <c r="F36" i="3"/>
  <c r="E36" i="3"/>
  <c r="F35" i="3"/>
  <c r="E35" i="3"/>
  <c r="F34" i="3"/>
  <c r="E34" i="3"/>
  <c r="F33" i="3"/>
  <c r="E33" i="3" s="1"/>
  <c r="F32" i="3"/>
  <c r="E32" i="3"/>
  <c r="F31" i="3"/>
  <c r="E31" i="3" s="1"/>
  <c r="F30" i="3"/>
  <c r="E30" i="3" s="1"/>
  <c r="F29" i="3"/>
  <c r="E29" i="3" s="1"/>
  <c r="F28" i="3"/>
  <c r="E28" i="3"/>
  <c r="F27" i="3"/>
  <c r="E27" i="3"/>
  <c r="F26" i="3"/>
  <c r="E26" i="3"/>
  <c r="F25" i="3"/>
  <c r="E25" i="3" s="1"/>
  <c r="F24" i="3"/>
  <c r="E24" i="3"/>
  <c r="F23" i="3"/>
  <c r="E23" i="3" s="1"/>
  <c r="F22" i="3"/>
  <c r="E22" i="3" s="1"/>
  <c r="F21" i="3"/>
  <c r="E21" i="3" s="1"/>
  <c r="F20" i="3"/>
  <c r="E20" i="3"/>
  <c r="F19" i="3"/>
  <c r="E19" i="3"/>
  <c r="F18" i="3"/>
  <c r="E18" i="3"/>
  <c r="F17" i="3"/>
  <c r="E17" i="3" s="1"/>
  <c r="F16" i="3"/>
  <c r="E16" i="3"/>
  <c r="F15" i="3"/>
  <c r="E15" i="3" s="1"/>
  <c r="F14" i="3"/>
  <c r="E14" i="3" s="1"/>
  <c r="F13" i="3"/>
  <c r="E13" i="3" s="1"/>
  <c r="F12" i="3"/>
  <c r="E12" i="3"/>
  <c r="F11" i="3"/>
  <c r="E11" i="3"/>
  <c r="F10" i="3"/>
  <c r="E10" i="3"/>
  <c r="F9" i="3"/>
  <c r="E9" i="3" s="1"/>
  <c r="F8" i="3"/>
  <c r="E8" i="3"/>
  <c r="F7" i="3"/>
  <c r="E7" i="3" s="1"/>
  <c r="F6" i="3"/>
  <c r="E6" i="3" s="1"/>
  <c r="F5" i="3"/>
  <c r="E5" i="3" s="1"/>
  <c r="F4" i="3"/>
  <c r="E4" i="3"/>
  <c r="F3" i="3"/>
  <c r="E3" i="3"/>
</calcChain>
</file>

<file path=xl/sharedStrings.xml><?xml version="1.0" encoding="utf-8"?>
<sst xmlns="http://schemas.openxmlformats.org/spreadsheetml/2006/main" count="932" uniqueCount="535">
  <si>
    <t>Art. Nr</t>
  </si>
  <si>
    <t>Part name</t>
  </si>
  <si>
    <t>Artikel</t>
  </si>
  <si>
    <t>Netto
EK</t>
  </si>
  <si>
    <t>Netto
VK</t>
  </si>
  <si>
    <t>Brutto
VK</t>
  </si>
  <si>
    <t>Axkid ONE</t>
  </si>
  <si>
    <t>Axkid ONE +</t>
  </si>
  <si>
    <t>Minikid 2.0</t>
  </si>
  <si>
    <t>Move</t>
  </si>
  <si>
    <t>Rekid</t>
  </si>
  <si>
    <t>Modukid Seat</t>
  </si>
  <si>
    <t>Modukid Infant</t>
  </si>
  <si>
    <t>Minikid 1.0</t>
  </si>
  <si>
    <t>Wolmax</t>
  </si>
  <si>
    <t>Duofix</t>
  </si>
  <si>
    <t>Kidzone</t>
  </si>
  <si>
    <t>EAN</t>
  </si>
  <si>
    <t>Box Size（cm）</t>
  </si>
  <si>
    <t>EPS Back support (Minikid)</t>
  </si>
  <si>
    <t>Styropor [Rücken] - Minikid, Rekid, Duofix &amp; Kidzone</t>
  </si>
  <si>
    <t>ü</t>
  </si>
  <si>
    <t>Styropor [Links] - Minikid, Rekid, Duofix &amp; Kidzone</t>
  </si>
  <si>
    <t>EPS seat right (Minikid 1.0)</t>
  </si>
  <si>
    <t>Styropor [Rechts] - Minikid, Rekid, Duofix &amp; Kidzone</t>
  </si>
  <si>
    <t>Seat cushion fixed</t>
  </si>
  <si>
    <t>Schaumstoff Sitzfläche Geklebt</t>
  </si>
  <si>
    <t>Seat cushion</t>
  </si>
  <si>
    <t xml:space="preserve">Schaumstoff Sitzfläche </t>
  </si>
  <si>
    <t>EPS Back support (Move, Wolmax)</t>
  </si>
  <si>
    <t>Styropor [Rücken] - Move &amp; Wolmax</t>
  </si>
  <si>
    <t>EPS seat left (Move, Wolmax)</t>
  </si>
  <si>
    <t>Styropor [Links] - Move &amp; Wolmax</t>
  </si>
  <si>
    <t>EPS seat right (Move, Wolmax)</t>
  </si>
  <si>
    <t>Styropor [Rechts] - Move &amp; Wolmax</t>
  </si>
  <si>
    <t>Textile cover christmas tree</t>
  </si>
  <si>
    <t>Tannenbaum</t>
  </si>
  <si>
    <t>EPS seat left (Minikid 2.0)</t>
  </si>
  <si>
    <t>Styropor [Links] - Minikid 2</t>
  </si>
  <si>
    <t>EPS seat right (Minikid 2.0)</t>
  </si>
  <si>
    <t>Styropor [Rechts] - Minikid 2</t>
  </si>
  <si>
    <t>Seat cushion fixed (Modukid)</t>
  </si>
  <si>
    <t>Schaumstoff Sitzfläche Geklebt - Modukid Seat</t>
  </si>
  <si>
    <t>5-point harness (Holmbergs) + 4 rivets</t>
  </si>
  <si>
    <t>5 Punkt Gurtsystem Holmberg</t>
  </si>
  <si>
    <t>Harness adjuster cover + 2 rivets</t>
  </si>
  <si>
    <t>Gurtabdeckung</t>
  </si>
  <si>
    <t>Side retractor Left</t>
  </si>
  <si>
    <t>Gurtaufroller [Links]</t>
  </si>
  <si>
    <t>Side retractor Right</t>
  </si>
  <si>
    <t>Gurtaufroller [Rechts]</t>
  </si>
  <si>
    <t>Support leg (Minikid 1.0)</t>
  </si>
  <si>
    <t>Stützfuß - Minikid 1, Rekid, Wolmax, Duofix &amp; Kidzone</t>
  </si>
  <si>
    <t>Support leg rubber foot (old)</t>
  </si>
  <si>
    <t>Gummifuß - Minikid 1 &amp; Rekid</t>
  </si>
  <si>
    <t>Support leg (Minikid 2.0)</t>
  </si>
  <si>
    <t>Stützfuß - Minikid 2 &amp; Move</t>
  </si>
  <si>
    <t>Support leg rubber foot (new)</t>
  </si>
  <si>
    <t>Gummifuß - Minikid 2 &amp; Move</t>
  </si>
  <si>
    <t>Head support Unit (Duofix, Kidzone)</t>
  </si>
  <si>
    <t>Kopfstütze - Duofix &amp; Kidzofix</t>
  </si>
  <si>
    <t>Head support Unit (Minikid 1.0, Rekid)</t>
  </si>
  <si>
    <t>Kopfstütze - Minikid 1 &amp; Rekid</t>
  </si>
  <si>
    <t>Head support Unit (Minikid 2.0)</t>
  </si>
  <si>
    <t xml:space="preserve">Kopfstütze - Minikid 2                           </t>
  </si>
  <si>
    <t>Textile cover attachment pin</t>
  </si>
  <si>
    <t>Strohhalm</t>
  </si>
  <si>
    <t>Textile cover buckle Red (Modu, Mini)</t>
  </si>
  <si>
    <t>Gurtschlosspolster - Minikid 2 &amp; Modukid Seat [Rot]</t>
  </si>
  <si>
    <t>Sunscreen Black</t>
  </si>
  <si>
    <t>Sonnenschutz - Modukid Infant [Schwarz]</t>
  </si>
  <si>
    <t>Headrest insert Black</t>
  </si>
  <si>
    <t>Kopfstützen Einlage - Modukid Infant [Schwarz]</t>
  </si>
  <si>
    <t>Baby insert Black</t>
  </si>
  <si>
    <t>Inlay - Modukid Infant [Schwarz]</t>
  </si>
  <si>
    <t>Baby cushion Black</t>
  </si>
  <si>
    <t>Schaustoff Sitzfläche - Modukid Infant [Schwarz]</t>
  </si>
  <si>
    <t>Head support brake unit</t>
  </si>
  <si>
    <t>Bremseinheit Kopfstütze - Modukid Seat, Minikid, Rekid, Duofix &amp; Kidzone</t>
  </si>
  <si>
    <t>5-point harness</t>
  </si>
  <si>
    <t xml:space="preserve">5 Punkt Gurtsystem Shield - Modukid          </t>
  </si>
  <si>
    <t>3-point harness</t>
  </si>
  <si>
    <t>3 Punkt Gurtsystem - Shield</t>
  </si>
  <si>
    <t>Head support Unit (Modukid)</t>
  </si>
  <si>
    <t xml:space="preserve">Kopfstütze - Modukid </t>
  </si>
  <si>
    <t>ASIP connector + 2 rivets</t>
  </si>
  <si>
    <t>ASIP Befestigung - Minikid 2, Move, Modukid Seat</t>
  </si>
  <si>
    <t>Angle adjuster + 6 rivets</t>
  </si>
  <si>
    <t>Neigungsverstellung - Minikid</t>
  </si>
  <si>
    <t>Head support retractor system</t>
  </si>
  <si>
    <t>Spannrolle Kopfstütze - Minikid 2 &amp; Modukid Seat</t>
  </si>
  <si>
    <t>Textile cover buckle Grey (Modu, Mini)</t>
  </si>
  <si>
    <t>Gurtschlosspolster - Minikid 2 &amp; Modukid Seat [Grau]</t>
  </si>
  <si>
    <t>Textile cover buckle Black (Modu, Mini)</t>
  </si>
  <si>
    <t>Gurtschlosspolster - Minikid 2 &amp; Modukid Seat [Schwarz]</t>
  </si>
  <si>
    <t>Textile cover buckle Petrol (Modu, Mini)</t>
  </si>
  <si>
    <t>Gurtschlosspolster - Minikid 2 &amp; Modukid Seat [Petrol]</t>
  </si>
  <si>
    <t>ASIP connector Modukid + 2 rivets</t>
  </si>
  <si>
    <t>ASIP Befestigung - Modukid Seat</t>
  </si>
  <si>
    <t>Belt clip blue</t>
  </si>
  <si>
    <t>Gurtklemme [Blau]</t>
  </si>
  <si>
    <t>Textile cover head support (Minikid 2.0)</t>
  </si>
  <si>
    <t>Stoffbezug Kopfstütze - Minikid 2 [Schwarz]</t>
  </si>
  <si>
    <t>Cover Red (Minikid 2.0)</t>
  </si>
  <si>
    <t>Stoffbezug - Minikid 2 [Rot]</t>
  </si>
  <si>
    <t>ASIP</t>
  </si>
  <si>
    <t xml:space="preserve">ASIP [Seitenaufprallschutz] - Minikid 2 &amp; Modukid Seat                      </t>
  </si>
  <si>
    <t>Cover Grey (Minikid 2.0)</t>
  </si>
  <si>
    <t xml:space="preserve">Stoffbezug - Minikid 2 [Grau]            </t>
  </si>
  <si>
    <t>Cover Black (Minikid 2.0)</t>
  </si>
  <si>
    <t xml:space="preserve">Stoffbezug - Minikid 2 [Schwarz]            </t>
  </si>
  <si>
    <t>Cover Green (Minikid 2.0)</t>
  </si>
  <si>
    <t>Stoffbezug - Minikid 2 [Olivegrün]</t>
  </si>
  <si>
    <t>Cover Petrol (Minikid 2.0)</t>
  </si>
  <si>
    <t>Stoffbezug - Minikid 2 [Petrol]</t>
  </si>
  <si>
    <t>Cover Pink (Minikid 2.0)</t>
  </si>
  <si>
    <t>Stoffbezug - Minikid 2 [Rosa]</t>
  </si>
  <si>
    <t>Textile cover buckle Green (Modu, Mini)</t>
  </si>
  <si>
    <t>Gurtschlosspolster - Minikid 2 [Olivegrün]</t>
  </si>
  <si>
    <t>Shoulder pads Red (Minikid 2.0)</t>
  </si>
  <si>
    <t xml:space="preserve">Schulterpolster Set - Minikid 2 [Rot]                </t>
  </si>
  <si>
    <t>Shoulder pads Grey (Minikid 2.0)</t>
  </si>
  <si>
    <t xml:space="preserve">Schulterpolster Set - Minikid 2 [Grau]                </t>
  </si>
  <si>
    <t>Shoulder pads Black (Minikid 2.0)</t>
  </si>
  <si>
    <t xml:space="preserve">Schulterpolster Set - Minikid 2 [Schwarz]                </t>
  </si>
  <si>
    <t>Shoulder pads Green (Minikid 2.0)</t>
  </si>
  <si>
    <t xml:space="preserve">Schulterpolster Set - Minikid 2 [Olivegrün]                </t>
  </si>
  <si>
    <t>Shoulder pads Petrol (Minikid 2.0)</t>
  </si>
  <si>
    <t xml:space="preserve">Schulterpolster Set - Minikid 2 [Petrol]                </t>
  </si>
  <si>
    <t>Head support plate</t>
  </si>
  <si>
    <t>Kopfstütze Rückenplatte - Minikid, Modukid Seat, Rekid, Duofix &amp; Kidzone</t>
  </si>
  <si>
    <t>Cover Red (Minikid 1.0)</t>
  </si>
  <si>
    <t>Stoffbezug - Minikid 1 [Rot]</t>
  </si>
  <si>
    <t>Cover Grey (Minikid 1.0)</t>
  </si>
  <si>
    <t>Stoffbezug - Minikid 1 [Grau]</t>
  </si>
  <si>
    <t>Cover Black (Minikid 1.0)</t>
  </si>
  <si>
    <t>Stoffbezug - Minikid 1 [Schwarz]</t>
  </si>
  <si>
    <t>Cover Petrol (Minikid 1.0)</t>
  </si>
  <si>
    <t>Stoffbezug - Minikid 1 [Petrol]</t>
  </si>
  <si>
    <t>Cover Red (Rekid)</t>
  </si>
  <si>
    <t>Stoffbezug - Rekid [Rot]</t>
  </si>
  <si>
    <t>Cover Grey (Rekid)</t>
  </si>
  <si>
    <t>Stoffbezug - Rekid [Grau]</t>
  </si>
  <si>
    <t>Cover Black (Rekid)</t>
  </si>
  <si>
    <t>Stoffbezug - Rekid [Schwarz]</t>
  </si>
  <si>
    <t>Cover Petrol (Rekid)</t>
  </si>
  <si>
    <t>Stoffbezug - Rekid [Petrol]</t>
  </si>
  <si>
    <t>Cover Grey (Move)</t>
  </si>
  <si>
    <t>Stoffbezug - Move [Grau]</t>
  </si>
  <si>
    <t>Cover Black (Move)</t>
  </si>
  <si>
    <t>Stoffbezug - Move [Schwarz]</t>
  </si>
  <si>
    <t>Cover Black (Wolmax)</t>
  </si>
  <si>
    <t>Stoffbezug - Wolmax [Schwarz]</t>
  </si>
  <si>
    <t>Cover Black (Duofix)</t>
  </si>
  <si>
    <t>Stoffbezug - Duofix [Schwarz]</t>
  </si>
  <si>
    <t>Cover Black (Kidzone)</t>
  </si>
  <si>
    <t>Stoffbezug - Kidzone [Schwarz]</t>
  </si>
  <si>
    <t>Shoulder pads Black (Move, Wolmax)</t>
  </si>
  <si>
    <t xml:space="preserve">Schulterpolster Set - Move &amp; Wolmax [Schwarz]                </t>
  </si>
  <si>
    <t>Textile cover buckle Black (Move, Wol)</t>
  </si>
  <si>
    <t>Gurtschlosspolster - Move &amp; Wolmax [Schwarz]</t>
  </si>
  <si>
    <t>Head support Unit (Move, Wolmax)</t>
  </si>
  <si>
    <t>Kopfstütze - Move &amp; Wolmax</t>
  </si>
  <si>
    <t>Cover Red (Duofix)</t>
  </si>
  <si>
    <t>Stoffbezug - Duofix [Rot]</t>
  </si>
  <si>
    <t>Cover Grey (Duofix)</t>
  </si>
  <si>
    <t>Stoffbezug - Duofix [Grau]</t>
  </si>
  <si>
    <t>Cover Petrol (Duofix)</t>
  </si>
  <si>
    <t>Stoffbezug - Duofix [Petrol]</t>
  </si>
  <si>
    <t>Cover Red (Kidzone)</t>
  </si>
  <si>
    <t>Stoffbezug - Kidzone [Rot]</t>
  </si>
  <si>
    <t>Cover Grey (Kidzone)</t>
  </si>
  <si>
    <t>Stoffbezug - Kidzone [Grau]</t>
  </si>
  <si>
    <t>Cover Petrol (Kidzone)</t>
  </si>
  <si>
    <t>Stoffbezug - Kidzone [Petrol]</t>
  </si>
  <si>
    <t>Shoulder pads Black (Minikid, Rekid)</t>
  </si>
  <si>
    <t xml:space="preserve">Schulterpolster Set - Minikid 1 &amp; Rekid [Schwarz]                </t>
  </si>
  <si>
    <t>Textile cover head support (Minikid)</t>
  </si>
  <si>
    <t>Stoffbezug Kopfstütze - Minikid 1 [Schwarz]</t>
  </si>
  <si>
    <t>Textile cover head support (Wolmax)</t>
  </si>
  <si>
    <t>Stoffbezug Kopfstütze - Wolmax  [Schwarz]</t>
  </si>
  <si>
    <t>Spannrolle Kopfstütze - Minikid 1 &amp; Rekid</t>
  </si>
  <si>
    <t>Support leg strap + 4 rivets</t>
  </si>
  <si>
    <t>Gurt für Stützfuß - Minikid 2 &amp; Move</t>
  </si>
  <si>
    <t>Gurt für Stützfuß - Minikid 1, Rekid, Wolmax, Duofix &amp; Kidzone</t>
  </si>
  <si>
    <t>Cover Tar (Solid)</t>
  </si>
  <si>
    <t>Stoffbezug - Minikid 2 Tar [Schwarz]</t>
  </si>
  <si>
    <t>Cover Granite (Solid)</t>
  </si>
  <si>
    <t>Stoffbezug - Minikid 2 Granite [Grau]</t>
  </si>
  <si>
    <t>Cover Shellfish (Solid)</t>
  </si>
  <si>
    <t>Stoffbezug - Minikid 2 Shellfish [Rot]</t>
  </si>
  <si>
    <t>Cover Sea (Solid)</t>
  </si>
  <si>
    <t>Stoffbezug - Minikid 2 Sea [Blau]</t>
  </si>
  <si>
    <t>Cover Moss (Solid)</t>
  </si>
  <si>
    <t>Stoffbezug - Minikid 2 Moss [Grün]</t>
  </si>
  <si>
    <t>Cover Shell Black (Premium)</t>
  </si>
  <si>
    <t>Stoffbezug - Minikid 2 Shell Black [Schwarz]]</t>
  </si>
  <si>
    <t>Cover Granite Melange (Premium)</t>
  </si>
  <si>
    <t>Stoffbezug - Minikid 2 Granite Melange [Grau]</t>
  </si>
  <si>
    <t>Cover Sky Grey (Premium)</t>
  </si>
  <si>
    <t>Stoffbezug - Minikid 2 Sky Grey [Grau]</t>
  </si>
  <si>
    <t xml:space="preserve">Textile cover buckle Tar (Modu, Mini) </t>
  </si>
  <si>
    <t>Gurtschlosspolster - Minikid 2 &amp; Modukid Seat Tar [Schwarz]</t>
  </si>
  <si>
    <t>Shoulder pads Tar (Minikid 2)</t>
  </si>
  <si>
    <t xml:space="preserve">Schulterpolster Set - Minikid 2 Tar [Schwarz]                </t>
  </si>
  <si>
    <t xml:space="preserve">Textile cover buckle Granite (Modu, Mini) </t>
  </si>
  <si>
    <t>Gurtschlosspolster - Minikid 2 &amp; Modukid Seat Granite [Grau]</t>
  </si>
  <si>
    <t>Shoulder pads Granite (Minikid 2)</t>
  </si>
  <si>
    <t>Schulterpolster Set - Minikid 2 Granite [Grau]</t>
  </si>
  <si>
    <t xml:space="preserve">Textile cover buckle Shellfish (Modu, Mini) </t>
  </si>
  <si>
    <t>Gurtschlosspolster - Minikid 2 &amp; Modukid Seat Shellfish [Rot]</t>
  </si>
  <si>
    <t>Shoulder pads Shellfish (Minikid 2)</t>
  </si>
  <si>
    <t>Schulterpolster Set - Minikid 2 Shellfish [Rot]</t>
  </si>
  <si>
    <t xml:space="preserve">Textile cover buckle Sea (Modu, Mini) </t>
  </si>
  <si>
    <t>Gurtschlosspolster - Minikid 2 &amp; Modukid Seat Sea [Blau]</t>
  </si>
  <si>
    <t>Shoulder pads Sea (Minikid 2)</t>
  </si>
  <si>
    <t>Schulterpolster Set - Minikid 2 Sea [Blau]</t>
  </si>
  <si>
    <t xml:space="preserve">Textile cover buckle Moss (Modu, Mini) </t>
  </si>
  <si>
    <t>Gurtschlosspolster - Minikid 2 &amp; Modukid Seat Moss [Grün]</t>
  </si>
  <si>
    <t>Shoulder pads Moss (Minikid 2)</t>
  </si>
  <si>
    <t>Schulterpolster Set - Minikid 2 Moss [Grün]</t>
  </si>
  <si>
    <t xml:space="preserve">Textile cover buckle Shell Black (Modu, Mini) </t>
  </si>
  <si>
    <t>Gurtschlosspolster - Minikid 2 &amp; Modukid Seat Shell Black [Black]</t>
  </si>
  <si>
    <t>Shoulder pads Shell Black (Minikid 2)</t>
  </si>
  <si>
    <t>Schulterpolster Set - Minikid 2 Shell Black [Schwarz]</t>
  </si>
  <si>
    <t xml:space="preserve">Textile cover buckle Granite Melange (Modu, Mini) </t>
  </si>
  <si>
    <t>Gurtschlosspolster - Minikid 2 &amp; Modukid Seat Granite Melange [Grau]</t>
  </si>
  <si>
    <t>Shoulder pads Granite Melange (Minikid 2)</t>
  </si>
  <si>
    <t>Schulterpolster Set - Minikid 2 Granite Melange [Grau]</t>
  </si>
  <si>
    <t xml:space="preserve">Textile cover buckle Sky Grey (Modu, Mini) </t>
  </si>
  <si>
    <t>Gurtschlosspolster - Minikid 2 &amp; Modukid Seat Sky Grey [Grau]</t>
  </si>
  <si>
    <t>Shoulder pads Sky Grey (Minikid 2)</t>
  </si>
  <si>
    <t>Schulterpolster Set - Minikid 2 Sky Grey [Grau]</t>
  </si>
  <si>
    <t xml:space="preserve">Stützfuß Komplett - Axkid One </t>
  </si>
  <si>
    <t xml:space="preserve">  ARB COMPLETE AXKID ONE</t>
  </si>
  <si>
    <t>Prallbügel ARB Komplett - Axkid One</t>
  </si>
  <si>
    <t xml:space="preserve">  SUPPORT LEG FOOT COMPLETE AXKID ONE</t>
  </si>
  <si>
    <t>Spieldose Stützfuß - Axkid One</t>
  </si>
  <si>
    <t xml:space="preserve">  ARB KNOB AXKID ONE</t>
  </si>
  <si>
    <t>Drehknopf Prallbügel - Axkid One</t>
  </si>
  <si>
    <t xml:space="preserve">  HEADREAST FOAM AXKID ONE</t>
  </si>
  <si>
    <t>Styropor Kopfstütze - Axkid One</t>
  </si>
  <si>
    <t xml:space="preserve">  HEADREST BUTTON AXKID ONE</t>
  </si>
  <si>
    <t>Verstellung Kopfstütze - Axkid One</t>
  </si>
  <si>
    <t>SUPPORT LEG BUTTON AXKID ONE</t>
  </si>
  <si>
    <t xml:space="preserve">Verstellknopf Stützfuß - Axkid One </t>
  </si>
  <si>
    <t xml:space="preserve">Gurt für Stützfuß - Axkid One </t>
  </si>
  <si>
    <t>Ersatzteil - ASIP [Seitenaufprallschutz] - Axkid One</t>
  </si>
  <si>
    <t>ASIP [Seitenaufprallschutz] - Axkid One</t>
  </si>
  <si>
    <t>Ersatzteil - Prallbügel Abdeckung (RH+LH) - Axkid One</t>
  </si>
  <si>
    <t>Prallbügel Abdeckung (RH+LH) - Axkid One</t>
  </si>
  <si>
    <t>SIDE COVER AXKID ONE</t>
  </si>
  <si>
    <t xml:space="preserve">Seitenabdeckung - Axkid One </t>
  </si>
  <si>
    <t xml:space="preserve">  CARRIER SEAT SIDE AXKID ONE</t>
  </si>
  <si>
    <t xml:space="preserve">Halterung Seitenabdeckung - Axkid One </t>
  </si>
  <si>
    <t>VELCRO AXKID ONE</t>
  </si>
  <si>
    <t xml:space="preserve">Klettverschluss - Axkid One  </t>
  </si>
  <si>
    <t xml:space="preserve">5 Punkt Gurtsystem - Axkid One </t>
  </si>
  <si>
    <t>TEXTILE MAIN AXKID ONE TAR</t>
  </si>
  <si>
    <t xml:space="preserve">Stoffbezug - Axkid One Tar </t>
  </si>
  <si>
    <t>TEXTILE HEADREST AXKID ONE TAR</t>
  </si>
  <si>
    <t>Bezug Kopfstütze Axkid One Tar</t>
  </si>
  <si>
    <t>TEXTILE BUCKLE &amp; SHOULDER PAD (LH &amp; RH) AXKID ONE TAR</t>
  </si>
  <si>
    <t>Gurtschlosspolster &amp; Schulterpolster (LH + RH) - Axkid One Tar</t>
  </si>
  <si>
    <t>TEXTILE MAIN AXKID ONE GRANITE</t>
  </si>
  <si>
    <t>Stoffbezug - Axkid One Granite</t>
  </si>
  <si>
    <t>TEXTILE MAIN AXKID ONE BRICK MELANGE</t>
  </si>
  <si>
    <t>Stoffbezug - Axkid One Brick Melange</t>
  </si>
  <si>
    <t>TEXTILE MAIN AXKID ONE TILE MELANGE</t>
  </si>
  <si>
    <t>Stoffbezug - Axkid One Tile Melange</t>
  </si>
  <si>
    <t>Isofix Connectoren (LH+RH) - Axkid One</t>
  </si>
  <si>
    <t>LABELS AXKID ONE</t>
  </si>
  <si>
    <t xml:space="preserve">Aufkleber - Axkid One </t>
  </si>
  <si>
    <t>INSERT 0-3 Y AXKID ONE</t>
  </si>
  <si>
    <t>Styropor Inlay 0-3 Jahre - Axkid One</t>
  </si>
  <si>
    <t>TEXTILE 0-6 M AXKID ONE</t>
  </si>
  <si>
    <t xml:space="preserve">Sitzverkleinerer 0-6 Monate - Axkid One  </t>
  </si>
  <si>
    <t>COVER SIGNAL BUTTON SUPPORT LEG AXKID ONE</t>
  </si>
  <si>
    <t>Abdeckung Spieldose [Akustisches Signal] - Axkid One</t>
  </si>
  <si>
    <t>COVER SUPPORT LEG TOP AXKID ONE</t>
  </si>
  <si>
    <t xml:space="preserve">Abdeckung Stützfuß - Axkid One </t>
  </si>
  <si>
    <t>SPARE PART KIT HEADREST COVER AXKID ONE GRANITE MELANGE</t>
  </si>
  <si>
    <t>Bezug Kopfstütze - Axkid One Granite Melange</t>
  </si>
  <si>
    <t>SPARE PART KIT TEXTILE ACCESSORIES AXKID ONE GRANITE MELANGE</t>
  </si>
  <si>
    <t>Gurtschlosspolster &amp; Schulterpolster (LH + RH) - Axkid One Granite Melange</t>
  </si>
  <si>
    <t>SPARE PART KIT HEADREST COVER AXKID ONE TILE MELANGE</t>
  </si>
  <si>
    <t>Bezug Kopfstütze - Axkid One Tile Melange</t>
  </si>
  <si>
    <t>SPARE PART KIT TEXTILE ACCESSORIES AXKID ONE TILE MELANGE</t>
  </si>
  <si>
    <t>Gurtschlosspolster &amp; Schulterpolster (LH + RH) - Axkid One Tile Melange</t>
  </si>
  <si>
    <t>SPARE PART KIT HEADREST COVER AXKID ONE BRICK MELANGE</t>
  </si>
  <si>
    <t>Bezug Kopfstütze - Axkid One Brick Melange</t>
  </si>
  <si>
    <t>SPARE PART KIT TEXTILE ACCESSORIES AXKID ONE BRICK MELANGE</t>
  </si>
  <si>
    <t>Gurtschlosspolster &amp; Schulterpolster (LH + RH) - Axkid One Brick Melange</t>
  </si>
  <si>
    <t>ASIP Carrier (LH &amp; RH) Axkid One</t>
  </si>
  <si>
    <t xml:space="preserve">ASIP Befestigung (LH+RH) - Axkid One </t>
  </si>
  <si>
    <t>Support leg Top cover Axkid One</t>
  </si>
  <si>
    <t xml:space="preserve">Abdeckung Stützfuß 2021 - Axkid One </t>
  </si>
  <si>
    <t>Assembly Tool ASIP Carrier Axkid One</t>
  </si>
  <si>
    <t>Werkzeug ASIP - Axkid One</t>
  </si>
  <si>
    <t>ISOFIX Spacer LH Axkid One 10 PCS</t>
  </si>
  <si>
    <t>SOFIX Abstandhalter LH [10stk] - Axkid One</t>
  </si>
  <si>
    <t>ISOFIX Spacer RH Axkid One 10 PCS</t>
  </si>
  <si>
    <t>ISOFIX Abstandhalter RH [10stk] - Axkid One</t>
  </si>
  <si>
    <t>Harness Friction Decrease - Axkid One</t>
  </si>
  <si>
    <t>SPARE PART KIT RECLINE BUSHING AND STOP SCREW AXKID ONE</t>
  </si>
  <si>
    <t xml:space="preserve">Recline Busching &amp; Stop Screw - Axkid One </t>
  </si>
  <si>
    <t>Rivet (long variant)</t>
  </si>
  <si>
    <t xml:space="preserve">Nieten - Universal </t>
  </si>
  <si>
    <t>ERSATZTEILE</t>
  </si>
  <si>
    <t>Gross Weight</t>
    <phoneticPr fontId="9" type="noConversion"/>
  </si>
  <si>
    <t>N.T Weight</t>
    <phoneticPr fontId="9" type="noConversion"/>
  </si>
  <si>
    <t>10X12X18</t>
    <phoneticPr fontId="9" type="noConversion"/>
  </si>
  <si>
    <t>48X32X22</t>
    <phoneticPr fontId="9" type="noConversion"/>
  </si>
  <si>
    <t>40X40X50</t>
    <phoneticPr fontId="9" type="noConversion"/>
  </si>
  <si>
    <t>23X13X16.5</t>
    <phoneticPr fontId="9" type="noConversion"/>
  </si>
  <si>
    <t>47X18X24</t>
    <phoneticPr fontId="9" type="noConversion"/>
  </si>
  <si>
    <t>29X18X12</t>
    <phoneticPr fontId="9" type="noConversion"/>
  </si>
  <si>
    <t>57X24.5X28</t>
    <phoneticPr fontId="9" type="noConversion"/>
  </si>
  <si>
    <t>38X40X22</t>
    <phoneticPr fontId="9" type="noConversion"/>
  </si>
  <si>
    <t>34X35X28</t>
    <phoneticPr fontId="9" type="noConversion"/>
  </si>
  <si>
    <t>29X18X20</t>
    <phoneticPr fontId="9" type="noConversion"/>
  </si>
  <si>
    <t>26X33X22</t>
    <phoneticPr fontId="9" type="noConversion"/>
  </si>
  <si>
    <t>57X25X28</t>
    <phoneticPr fontId="9" type="noConversion"/>
  </si>
  <si>
    <t>44X27X23.5</t>
    <phoneticPr fontId="9" type="noConversion"/>
  </si>
  <si>
    <t>34X35X20</t>
    <phoneticPr fontId="9" type="noConversion"/>
  </si>
  <si>
    <t>29X18X4</t>
    <phoneticPr fontId="9" type="noConversion"/>
  </si>
  <si>
    <t>26X25X22</t>
    <phoneticPr fontId="9" type="noConversion"/>
  </si>
  <si>
    <t>10X9X25</t>
    <phoneticPr fontId="9" type="noConversion"/>
  </si>
  <si>
    <t>/</t>
    <phoneticPr fontId="9" type="noConversion"/>
  </si>
  <si>
    <t>38X26X15</t>
    <phoneticPr fontId="9" type="noConversion"/>
  </si>
  <si>
    <t>40X24X20</t>
    <phoneticPr fontId="11" type="noConversion"/>
  </si>
  <si>
    <t>52X40X18</t>
    <phoneticPr fontId="11" type="noConversion"/>
  </si>
  <si>
    <t>34X33X17</t>
    <phoneticPr fontId="9" type="noConversion"/>
  </si>
  <si>
    <t>Artikelnummer</t>
  </si>
  <si>
    <t xml:space="preserve">Bedienungsanleitung - Axkid One </t>
  </si>
  <si>
    <t>Ersatzteil - ASIP Befestigung - Axkid One</t>
  </si>
  <si>
    <t>Hitzeschutzpad - Axkid One</t>
  </si>
  <si>
    <t>Axkid Sitzverkleinerer Deluxe</t>
  </si>
  <si>
    <t xml:space="preserve">Leihsitz Minikid 2.0 ID 136226                    </t>
  </si>
  <si>
    <t xml:space="preserve">Leihsitz Minikid 2.0 ID 157799                     </t>
  </si>
  <si>
    <t xml:space="preserve">Leihsitz Minikid 2.0 ID 167022                    </t>
  </si>
  <si>
    <t xml:space="preserve">Leihsitz Minikid 2.0 ID 167033                    </t>
  </si>
  <si>
    <t xml:space="preserve">Leihsitz Minikid 2.0 ID 169073                    </t>
  </si>
  <si>
    <t xml:space="preserve">Leihsitz Minikid 2.0 ID 177354                    </t>
  </si>
  <si>
    <t xml:space="preserve">Leihsitz Minikid 2.0 ID 183097                    </t>
  </si>
  <si>
    <t xml:space="preserve">Babyschale - Modukid Infant Rot                         </t>
  </si>
  <si>
    <t xml:space="preserve">Babyschale - Modukid Infant Grau                        </t>
  </si>
  <si>
    <t xml:space="preserve">Babyschale - Modukid Infant Schwarz                        </t>
  </si>
  <si>
    <t xml:space="preserve">Babyschale - Modukid Infant Petrol                        </t>
  </si>
  <si>
    <t xml:space="preserve">Babyschale - Modukid Infant Pink                  </t>
  </si>
  <si>
    <t>Axkid Modukid Infant Tar [Schwarz]</t>
  </si>
  <si>
    <t>Axkid Modukid Infant Granite [Grau]</t>
  </si>
  <si>
    <t>Axkid Modukid Infant Shellfish [Rot]</t>
  </si>
  <si>
    <t>Axkid Modukid Infant Sea [Blau]</t>
  </si>
  <si>
    <t>Axkid Modukid Infant Moss [Grün]</t>
  </si>
  <si>
    <t>Axkid Modukid Infant Premium Shell Black [Schwarz]</t>
  </si>
  <si>
    <t>Axkid Modukid Infant Premium Granite Melange [Grau]</t>
  </si>
  <si>
    <t>Axkid Modukid Infant Premium Sky Grey [Grau]</t>
  </si>
  <si>
    <t>Axkid Modukid Base Black [Schwarz]</t>
  </si>
  <si>
    <t>Axkid Move Grau</t>
  </si>
  <si>
    <t>Axkid Move Schwarz</t>
  </si>
  <si>
    <t>Axkid Wolmax Black [Schwarz]</t>
  </si>
  <si>
    <t>Axkid Minikid 2 Rot</t>
  </si>
  <si>
    <t>Axkid Minikid 2 Grau</t>
  </si>
  <si>
    <t>Axkid Minikid 2 Schwarz</t>
  </si>
  <si>
    <t>Axkid Minikid 2 Olivegrün</t>
  </si>
  <si>
    <t>Axkid Minikid 2 Petrol</t>
  </si>
  <si>
    <t>Axkid Minikid 2 Rosa</t>
  </si>
  <si>
    <t>Axkid Minikid 2 Tar [Schwarz]</t>
  </si>
  <si>
    <t>Axkid Minikid 2 Granite [Grau]</t>
  </si>
  <si>
    <t>Axkid Minikid 2 Shellfish [Rot]</t>
  </si>
  <si>
    <t>Axkid Minikid 2 Sea [Blau]</t>
  </si>
  <si>
    <t>Axkid Minikid 2 Moss [Grün]</t>
  </si>
  <si>
    <t>Axkid Minikid 2 Premium Shell Black [Schwarz]</t>
  </si>
  <si>
    <t>Axkid Minikid 2 Premium Granite Melange [Grau]</t>
  </si>
  <si>
    <t>Axkid Minikid 2 Premium Sky Grey [Grau]</t>
  </si>
  <si>
    <t>Axkid Minikid 3 Tar [Schwarz]</t>
  </si>
  <si>
    <t>Axkid Minikid 3 Granite [Grau]</t>
  </si>
  <si>
    <t>Axkid Minikid 3 Shellfish [Rot]</t>
  </si>
  <si>
    <t>Axkid Minikid 3 Sea [Blau]</t>
  </si>
  <si>
    <t>Axkid Minikid 3 Moss [Grün]</t>
  </si>
  <si>
    <t>Axkid Minikid 3 Premium Granite Melange [Grau]</t>
  </si>
  <si>
    <t>Axkid Minikid 3 Premium Shell Black [Schwarz]</t>
  </si>
  <si>
    <t>Axkid Modukid Seat Rot</t>
  </si>
  <si>
    <t>Axkid Modukid Seat Grau</t>
  </si>
  <si>
    <t>Axkid Modukid Seat Schwarz</t>
  </si>
  <si>
    <t>Axkid Modukid Seat Petrol</t>
  </si>
  <si>
    <t>Axkid Modukid Seat Pink</t>
  </si>
  <si>
    <t>Axkid Modukid Seat Tar [Schwarz]</t>
  </si>
  <si>
    <t>Axkid Modukid Seat Granite [Grau]</t>
  </si>
  <si>
    <t>Axkid Modukid Seat Shellfish [Rot]</t>
  </si>
  <si>
    <t>Axkid Modukid Seat Sea [Blau]</t>
  </si>
  <si>
    <t>Axkid Modukid Seat Moss [Grün]</t>
  </si>
  <si>
    <t>Axkid Modukid Seat Premium Shell Black [Schwarz]</t>
  </si>
  <si>
    <t>Axkid Modukid Seat Premium Granite Melange [Grau]</t>
  </si>
  <si>
    <t>Axkid Modukid Seat Premium Sky Grey [Grau]</t>
  </si>
  <si>
    <t>Axkid One Tar [Schwarz]</t>
  </si>
  <si>
    <t>Axkid One Granite Melange [Grau]</t>
  </si>
  <si>
    <t>Axkid One Brick Melange [Beige]</t>
  </si>
  <si>
    <t>Axkid One Tile Melange [Rot]</t>
  </si>
  <si>
    <t>Axkid One 2 Tar [Schwarz]</t>
  </si>
  <si>
    <t xml:space="preserve">Axkid One 2 Granite Melange [Grau]	</t>
  </si>
  <si>
    <t xml:space="preserve">Axkid One 2 Brick Melange [Beige]	</t>
  </si>
  <si>
    <t xml:space="preserve">Axkid One 2 Tile Melange [Rot]	</t>
  </si>
  <si>
    <t>Axkid One+ Tar [Schwarz]</t>
  </si>
  <si>
    <t>Axkid One+ Granite Melange [Grau]</t>
  </si>
  <si>
    <t>Axkid One+ Brick Melange [Beige]</t>
  </si>
  <si>
    <t>Axkid One+ Tile Melange [Rot]</t>
  </si>
  <si>
    <t xml:space="preserve">Axkid One+ 2 Tar [Schwarz]	</t>
  </si>
  <si>
    <t xml:space="preserve">Axkid One+ 2 Granite Melange [Grau]	</t>
  </si>
  <si>
    <t xml:space="preserve">Axkid One+ 2 Brick Melange [Beige]	</t>
  </si>
  <si>
    <t xml:space="preserve">Axkid One+ 2 Tile Melange [Rot]	</t>
  </si>
  <si>
    <t>Axkid Rekid N.E. Rot</t>
  </si>
  <si>
    <t>Axkid Rekid N.E. Grau</t>
  </si>
  <si>
    <t>Axkid Rekid N.E. Schwarz</t>
  </si>
  <si>
    <t>Axkid Rekid N.E. Petrol</t>
  </si>
  <si>
    <t>Axkid Grow Isofix Grau</t>
  </si>
  <si>
    <t>Axkid Grow Isofix Petrol</t>
  </si>
  <si>
    <t>Axkid Bigkid Grau</t>
  </si>
  <si>
    <t>Axkid Bigkid Schwarz</t>
  </si>
  <si>
    <t>Axkid Bigkid 2 Premium Grau</t>
  </si>
  <si>
    <t>Axkid Bigkid 2 Premium Schwarz</t>
  </si>
  <si>
    <t>Axkid Bigkid 2 Premium Shell Black [Schwarz]</t>
  </si>
  <si>
    <t>Axkid Bigkid 2 Premium Granite Melange [Grau]</t>
  </si>
  <si>
    <t>27040122_2</t>
  </si>
  <si>
    <t>Kopie</t>
  </si>
  <si>
    <t>27040122XX</t>
  </si>
  <si>
    <t>Nicht verwenden</t>
  </si>
  <si>
    <t xml:space="preserve">Kinderwagen - Life Grau                                  </t>
  </si>
  <si>
    <t xml:space="preserve">Kinderwagen - Life Schwarz                                 </t>
  </si>
  <si>
    <t xml:space="preserve">Leihsitz Minikid ID 31409                         </t>
  </si>
  <si>
    <t>Leihsitz - Minikid 2 Granite [Grau]</t>
  </si>
  <si>
    <t xml:space="preserve">Leihsitz Minikid ID 50566                         </t>
  </si>
  <si>
    <t xml:space="preserve">Leihsitz Minikid ID 51977                         </t>
  </si>
  <si>
    <t xml:space="preserve">Leihsitz Minikid ID 52125                         </t>
  </si>
  <si>
    <t xml:space="preserve">Leihsitz Minikid ID 52141                         </t>
  </si>
  <si>
    <t xml:space="preserve">Leihsitz Minikid ID 52216                         </t>
  </si>
  <si>
    <t xml:space="preserve">Leihsitz Minikid ID 52237                         </t>
  </si>
  <si>
    <t xml:space="preserve">Leihsitz Minikid ID 52380                         </t>
  </si>
  <si>
    <t xml:space="preserve">Leihsitz Minikid ID 60929                         </t>
  </si>
  <si>
    <t xml:space="preserve">Axkid Sitzschutz    </t>
  </si>
  <si>
    <t xml:space="preserve">Axkid Haltegurte Minikid - Axkid                                  </t>
  </si>
  <si>
    <t xml:space="preserve">Axkid Schild "Baby on Board"                 </t>
  </si>
  <si>
    <t>Axkid Befestigungsösen</t>
  </si>
  <si>
    <t>Axkid Sitzverkleinerer</t>
  </si>
  <si>
    <t>Axkid Sitzauflage Sommer - Kidzofix, Duofix &amp; Kidzone</t>
  </si>
  <si>
    <t>Axkid Unterlegkeil</t>
  </si>
  <si>
    <t xml:space="preserve">Axkid Spiegel für den Rücksitz                         </t>
  </si>
  <si>
    <t xml:space="preserve">Zubehör - Sitzverkleinerer Bunt                    </t>
  </si>
  <si>
    <t xml:space="preserve">Axkid Sitzschutz Deluxe    </t>
  </si>
  <si>
    <t xml:space="preserve">Axkid Sonnenschutz                  </t>
  </si>
  <si>
    <t xml:space="preserve">Axkid Halter für Ipad             </t>
  </si>
  <si>
    <t xml:space="preserve">Axkid Rücksitzorganizer        </t>
  </si>
  <si>
    <t>Axkid Zusatzgurt - Move</t>
  </si>
  <si>
    <t xml:space="preserve">Axkid Swedish Safety Kit	</t>
  </si>
  <si>
    <t xml:space="preserve">Axkid Sonnendach - Minikid 2 &amp; Move               </t>
  </si>
  <si>
    <t xml:space="preserve">Axkid Adapter für Stützfuß                              </t>
  </si>
  <si>
    <t xml:space="preserve">Axkid Connect Pad </t>
  </si>
  <si>
    <t>Axkid Eco Schonbezug Bambus - Minikid, Modukid, Rekid &amp; Move</t>
  </si>
  <si>
    <t>Stoffmuster - Axkid One</t>
  </si>
  <si>
    <t>Axkid AeroMoov Antischwitzauflage</t>
  </si>
  <si>
    <t>Babywanne Axkid Life grau</t>
  </si>
  <si>
    <t>Babywanne Axkid Life schwarz</t>
  </si>
  <si>
    <t>Regenschutz Life Buggy</t>
  </si>
  <si>
    <t>Regenschutz Life Babywanne</t>
  </si>
  <si>
    <t>Axkid Adapter - Modukid Infant</t>
  </si>
  <si>
    <t>Moskitonetz Buggy</t>
  </si>
  <si>
    <t>Moskitonetz Babywanne</t>
  </si>
  <si>
    <t>Reisetasche Buggy</t>
  </si>
  <si>
    <t xml:space="preserve">Minikid Kopfstütze (komplett)                     </t>
  </si>
  <si>
    <t xml:space="preserve">Rekid Kopfstütze (komplett)                       </t>
  </si>
  <si>
    <t xml:space="preserve">Styropor Kopfstütze                               </t>
  </si>
  <si>
    <t xml:space="preserve">Gurtschlosspolster                                </t>
  </si>
  <si>
    <t xml:space="preserve">Stoffbezug einzeln Axkid Minikid 1.0 denim   </t>
  </si>
  <si>
    <t xml:space="preserve">Bezug Kopfstütze Minikid                          </t>
  </si>
  <si>
    <t xml:space="preserve">Bezug Kopfstütze Duofix                           </t>
  </si>
  <si>
    <t xml:space="preserve">Bezug Kopfstütze Rekid                            </t>
  </si>
  <si>
    <t xml:space="preserve">Axkid Kidzone Bezug für Kopfstütze </t>
  </si>
  <si>
    <t>Axkid Kidzone Bezug für Kopfstütze</t>
  </si>
  <si>
    <t xml:space="preserve">Schulterpolster Rekid 2 Stk.                      </t>
  </si>
  <si>
    <t xml:space="preserve">Stoffmuster Axkid                                 </t>
  </si>
  <si>
    <t xml:space="preserve">Stützfuß 2.0 - kurz                               </t>
  </si>
  <si>
    <t xml:space="preserve">Bezug Kopfstütze Axkid Move                       </t>
  </si>
  <si>
    <t xml:space="preserve">Bezug ASIP                                        </t>
  </si>
  <si>
    <t xml:space="preserve">Bezug Kopfstütze Minikid 2.0                      </t>
  </si>
  <si>
    <t xml:space="preserve">Sitzverkleinerer 2.0                              </t>
  </si>
  <si>
    <t xml:space="preserve">Wolmax Kopfstütze (komplett)                      </t>
  </si>
  <si>
    <t xml:space="preserve">Plastikabdeckung seitlich links                   </t>
  </si>
  <si>
    <t xml:space="preserve">Plastikabdeckung seitlich rechts                  </t>
  </si>
  <si>
    <t xml:space="preserve">Minikid 2.0 Kopfstütze (komplett)                 </t>
  </si>
  <si>
    <t xml:space="preserve">Styropor links Move                               </t>
  </si>
  <si>
    <t xml:space="preserve">Styropor rechts Move                              </t>
  </si>
  <si>
    <t>COVER SAMPLES</t>
  </si>
  <si>
    <t>Cover samples 2020</t>
  </si>
  <si>
    <t>DEMOSITZ</t>
  </si>
  <si>
    <t xml:space="preserve">Demositz - Axkid Training Seat 3 Punkt Gurt &amp; Isofix                                    </t>
  </si>
  <si>
    <t>DEMOSITZ 1</t>
  </si>
  <si>
    <t>Demositz - Axkid Training Seat 3 Punkt Gurt &amp; Isofix Teil 1(2)</t>
  </si>
  <si>
    <t>DEMOSITZ 2</t>
  </si>
  <si>
    <t>Demositz - Axkid Training Seat 3 Punkt Gurt &amp; Isofix Teil 2(2)</t>
  </si>
  <si>
    <t>DIREKTVERSAND</t>
  </si>
  <si>
    <t>Direktversand Endkunde</t>
  </si>
  <si>
    <t>LÖSCHEN1</t>
  </si>
  <si>
    <t>Löschen</t>
  </si>
  <si>
    <t>LÖSCHEN2</t>
  </si>
  <si>
    <t>MINDERMENGENZ D</t>
  </si>
  <si>
    <t>Mindermengenzuschlag</t>
  </si>
  <si>
    <t>MINDERMENGENZ EU</t>
  </si>
  <si>
    <t>Mindermengenzuschlag EU</t>
  </si>
  <si>
    <t>ONE C BRICK MELANGE</t>
  </si>
  <si>
    <t>Autositz Axkid One C Brick Melange - [Beige]</t>
  </si>
  <si>
    <t>ONE C GRANITE MELANG</t>
  </si>
  <si>
    <t>Autositz Axkid One C Granite Melange - [Grau]</t>
  </si>
  <si>
    <t>ONE C SILVER</t>
  </si>
  <si>
    <t>Autositz Axkid One C Silver - [Silbern]</t>
  </si>
  <si>
    <t>ONE C TAR</t>
  </si>
  <si>
    <t>Autositz Axkid One C Tar - [Schwarz]</t>
  </si>
  <si>
    <t>ONE C TILE MELANGE</t>
  </si>
  <si>
    <t>Autositz Axkid One C Tile Melange - [Rot}</t>
  </si>
  <si>
    <t>ONE DISPLAY</t>
  </si>
  <si>
    <t>Axkid One Display</t>
  </si>
  <si>
    <t>PARTICIPATION LOGIST</t>
  </si>
  <si>
    <t>participation logistique 3%</t>
  </si>
  <si>
    <t>REPARATUR</t>
  </si>
  <si>
    <t>Reparatur</t>
  </si>
  <si>
    <t>SERVICE</t>
  </si>
  <si>
    <t>Service</t>
  </si>
  <si>
    <t>T103323</t>
  </si>
  <si>
    <t>Leihsitz - Axkid One Granite Melange [Grau]</t>
  </si>
  <si>
    <t>T111718</t>
  </si>
  <si>
    <t>Leihsitz - Axkid One+ Tile Melange [Rot]</t>
  </si>
  <si>
    <t>T118051</t>
  </si>
  <si>
    <t>Leihsitz - Axkid One Tar [Schwarz]</t>
  </si>
  <si>
    <t>WEBSHOP VERSAND</t>
  </si>
  <si>
    <t>Versandkosten Webshop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</si>
</sst>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.00\ &quot;kr&quot;_-;\-* #,##0.00\ &quot;kr&quot;_-;_-* &quot;-&quot;??\ &quot;kr&quot;_-;_-@_-"/>
    <numFmt numFmtId="165" formatCode="_-* #,##0.00\ [$€-407]_-;\-* #,##0.00\ [$€-407]_-;_-* &quot;-&quot;??\ [$€-407]_-;_-@_-"/>
    <numFmt numFmtId="166" formatCode="#,##0.0\ [$€-1];\-#,##0.0\ [$€-1]"/>
    <numFmt numFmtId="167" formatCode="_-* #,##0.00\ [$€-1]_-;\-* #,##0.00\ [$€-1]_-;_-* &quot;-&quot;??\ [$€-1]_-;_-@_-"/>
    <numFmt numFmtId="168" formatCode="#,##0.00\ [$€-1];[Red]\-#,##0.00\ [$€-1]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8"/>
      <color rgb="FF222C61"/>
      <name val="Neue Haas Grotesk Text Pro"/>
      <family val="2"/>
    </font>
    <font>
      <sz val="11"/>
      <color rgb="FF222C61"/>
      <name val="Neue Haas Grotesk Text Pro"/>
      <family val="2"/>
    </font>
    <font>
      <sz val="11"/>
      <color rgb="FF002060"/>
      <name val="Neue Haas Grotesk Text Pro"/>
      <family val="2"/>
    </font>
    <font>
      <b/>
      <sz val="11"/>
      <color rgb="FF002060"/>
      <name val="Neue Haas Grotesk Text Pro"/>
      <family val="2"/>
    </font>
    <font>
      <b/>
      <sz val="10"/>
      <color theme="0"/>
      <name val="Neue Haas Grotesk Text Pro"/>
      <family val="2"/>
    </font>
    <font>
      <sz val="11"/>
      <name val="Calibri"/>
      <family val="2"/>
      <scheme val="minor"/>
    </font>
    <font>
      <sz val="11"/>
      <color rgb="FF002060"/>
      <name val="Wingdings"/>
      <charset val="2"/>
    </font>
    <font>
      <sz val="11"/>
      <color rgb="FF000000"/>
      <name val="Calibri"/>
      <family val="2"/>
    </font>
    <font>
      <sz val="11"/>
      <name val="Calibri"/>
      <family val="2"/>
    </font>
    <font>
      <sz val="18"/>
      <color theme="3"/>
      <name val="Calibri Light"/>
      <family val="2"/>
      <scheme val="major"/>
    </font>
    <font>
      <b/>
      <sz val="11"/>
      <color theme="1"/>
      <name val="Calibri"/>
      <family val="2"/>
      <scheme val="minor"/>
    </font>
    <font>
      <sz val="26"/>
      <color rgb="FF222C61"/>
      <name val="Neue Haas Grotesk Text Pro"/>
      <family val="2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EE54"/>
        <bgColor indexed="64"/>
      </patternFill>
    </fill>
    <fill>
      <patternFill patternType="solid">
        <fgColor rgb="FF222C6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8CBAD"/>
        <bgColor rgb="FF000000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8CBAD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79">
    <xf numFmtId="0" fontId="0" fillId="0" borderId="0" xfId="0"/>
    <xf numFmtId="166" fontId="3" fillId="2" borderId="0" xfId="1" applyNumberFormat="1" applyFont="1" applyFill="1" applyAlignment="1" applyProtection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center" vertical="center" wrapText="1"/>
    </xf>
    <xf numFmtId="165" fontId="7" fillId="0" borderId="0" xfId="0" applyNumberFormat="1" applyFont="1" applyAlignment="1">
      <alignment horizontal="left"/>
    </xf>
    <xf numFmtId="0" fontId="4" fillId="0" borderId="1" xfId="0" applyFont="1" applyBorder="1"/>
    <xf numFmtId="0" fontId="4" fillId="0" borderId="0" xfId="0" applyFont="1"/>
    <xf numFmtId="0" fontId="4" fillId="5" borderId="0" xfId="0" applyFont="1" applyFill="1"/>
    <xf numFmtId="0" fontId="4" fillId="6" borderId="0" xfId="0" applyFont="1" applyFill="1"/>
    <xf numFmtId="0" fontId="8" fillId="5" borderId="0" xfId="0" applyFont="1" applyFill="1"/>
    <xf numFmtId="0" fontId="4" fillId="6" borderId="1" xfId="0" applyFont="1" applyFill="1" applyBorder="1"/>
    <xf numFmtId="0" fontId="7" fillId="0" borderId="0" xfId="0" applyFont="1"/>
    <xf numFmtId="0" fontId="7" fillId="0" borderId="0" xfId="0" applyFont="1" applyAlignment="1">
      <alignment horizontal="left"/>
    </xf>
    <xf numFmtId="0" fontId="4" fillId="0" borderId="3" xfId="0" applyFont="1" applyBorder="1"/>
    <xf numFmtId="0" fontId="9" fillId="0" borderId="0" xfId="0" applyFont="1" applyAlignment="1">
      <alignment horizontal="left"/>
    </xf>
    <xf numFmtId="0" fontId="10" fillId="0" borderId="0" xfId="0" applyFont="1"/>
    <xf numFmtId="165" fontId="4" fillId="0" borderId="0" xfId="0" applyNumberFormat="1" applyFont="1" applyAlignment="1">
      <alignment horizontal="left"/>
    </xf>
    <xf numFmtId="165" fontId="0" fillId="0" borderId="0" xfId="0" applyNumberFormat="1"/>
    <xf numFmtId="1" fontId="9" fillId="0" borderId="0" xfId="0" applyNumberFormat="1" applyFont="1"/>
    <xf numFmtId="0" fontId="4" fillId="0" borderId="0" xfId="0" applyFont="1" applyAlignment="1">
      <alignment horizontal="left"/>
    </xf>
    <xf numFmtId="1" fontId="4" fillId="0" borderId="0" xfId="0" applyNumberFormat="1" applyFont="1"/>
    <xf numFmtId="165" fontId="7" fillId="0" borderId="0" xfId="0" applyNumberFormat="1" applyFont="1"/>
    <xf numFmtId="0" fontId="8" fillId="5" borderId="1" xfId="0" applyFont="1" applyFill="1" applyBorder="1"/>
    <xf numFmtId="1" fontId="9" fillId="0" borderId="1" xfId="0" applyNumberFormat="1" applyFont="1" applyBorder="1"/>
    <xf numFmtId="1" fontId="12" fillId="0" borderId="4" xfId="0" applyNumberFormat="1" applyFont="1" applyBorder="1" applyAlignment="1">
      <alignment horizontal="left"/>
    </xf>
    <xf numFmtId="49" fontId="12" fillId="0" borderId="4" xfId="0" applyNumberFormat="1" applyFont="1" applyBorder="1" applyAlignment="1">
      <alignment horizontal="left"/>
    </xf>
    <xf numFmtId="0" fontId="0" fillId="0" borderId="0" xfId="0" applyAlignment="1">
      <alignment horizontal="left"/>
    </xf>
    <xf numFmtId="0" fontId="1" fillId="0" borderId="5" xfId="0" applyFont="1" applyBorder="1" applyAlignment="1">
      <alignment horizontal="left"/>
    </xf>
    <xf numFmtId="49" fontId="1" fillId="0" borderId="6" xfId="0" applyNumberFormat="1" applyFont="1" applyBorder="1" applyAlignment="1">
      <alignment horizontal="left"/>
    </xf>
    <xf numFmtId="1" fontId="1" fillId="0" borderId="5" xfId="0" applyNumberFormat="1" applyFont="1" applyBorder="1" applyAlignment="1">
      <alignment horizontal="left"/>
    </xf>
    <xf numFmtId="49" fontId="0" fillId="0" borderId="0" xfId="0" applyNumberFormat="1" applyAlignment="1">
      <alignment horizontal="left"/>
    </xf>
    <xf numFmtId="1" fontId="0" fillId="0" borderId="0" xfId="0" applyNumberFormat="1" applyAlignment="1">
      <alignment horizontal="left"/>
    </xf>
    <xf numFmtId="0" fontId="7" fillId="0" borderId="0" xfId="0" applyFont="1" applyProtection="1"/>
    <xf numFmtId="0" fontId="7" fillId="5" borderId="0" xfId="0" applyFont="1" applyFill="1" applyAlignment="1" applyProtection="1">
      <alignment vertical="center"/>
    </xf>
    <xf numFmtId="165" fontId="7" fillId="0" borderId="0" xfId="0" applyNumberFormat="1" applyFont="1" applyAlignment="1" applyProtection="1">
      <alignment horizontal="left"/>
    </xf>
    <xf numFmtId="0" fontId="8" fillId="0" borderId="1" xfId="0" applyFont="1" applyBorder="1" applyProtection="1"/>
    <xf numFmtId="0" fontId="4" fillId="0" borderId="1" xfId="0" applyFont="1" applyBorder="1" applyProtection="1"/>
    <xf numFmtId="1" fontId="7" fillId="0" borderId="1" xfId="0" applyNumberFormat="1" applyFont="1" applyBorder="1" applyAlignment="1" applyProtection="1">
      <alignment wrapText="1"/>
    </xf>
    <xf numFmtId="0" fontId="7" fillId="0" borderId="1" xfId="0" applyFont="1" applyBorder="1" applyProtection="1"/>
    <xf numFmtId="165" fontId="0" fillId="0" borderId="1" xfId="0" applyNumberFormat="1" applyBorder="1" applyProtection="1"/>
    <xf numFmtId="1" fontId="7" fillId="0" borderId="1" xfId="0" applyNumberFormat="1" applyFont="1" applyBorder="1" applyProtection="1"/>
    <xf numFmtId="165" fontId="7" fillId="0" borderId="1" xfId="0" applyNumberFormat="1" applyFont="1" applyBorder="1" applyAlignment="1" applyProtection="1">
      <alignment horizontal="left"/>
    </xf>
    <xf numFmtId="1" fontId="7" fillId="0" borderId="1" xfId="0" applyNumberFormat="1" applyFont="1" applyBorder="1" applyAlignment="1" applyProtection="1">
      <alignment vertical="center" wrapText="1"/>
    </xf>
    <xf numFmtId="0" fontId="7" fillId="0" borderId="1" xfId="0" applyFont="1" applyBorder="1" applyAlignment="1" applyProtection="1">
      <alignment horizontal="center"/>
    </xf>
    <xf numFmtId="0" fontId="7" fillId="6" borderId="0" xfId="0" applyFont="1" applyFill="1" applyAlignment="1" applyProtection="1">
      <alignment vertical="center"/>
    </xf>
    <xf numFmtId="165" fontId="7" fillId="6" borderId="0" xfId="0" applyNumberFormat="1" applyFont="1" applyFill="1" applyAlignment="1" applyProtection="1">
      <alignment horizontal="left"/>
    </xf>
    <xf numFmtId="0" fontId="7" fillId="6" borderId="0" xfId="0" applyFont="1" applyFill="1" applyProtection="1"/>
    <xf numFmtId="0" fontId="7" fillId="5" borderId="0" xfId="0" applyFont="1" applyFill="1" applyProtection="1"/>
    <xf numFmtId="0" fontId="7" fillId="7" borderId="0" xfId="0" applyFont="1" applyFill="1" applyAlignment="1" applyProtection="1">
      <alignment vertical="center"/>
    </xf>
    <xf numFmtId="0" fontId="7" fillId="0" borderId="0" xfId="0" applyFont="1" applyAlignment="1" applyProtection="1">
      <alignment wrapText="1"/>
    </xf>
    <xf numFmtId="49" fontId="7" fillId="0" borderId="2" xfId="0" applyNumberFormat="1" applyFont="1" applyBorder="1" applyProtection="1"/>
    <xf numFmtId="49" fontId="7" fillId="8" borderId="2" xfId="0" applyNumberFormat="1" applyFont="1" applyFill="1" applyBorder="1" applyProtection="1"/>
    <xf numFmtId="168" fontId="7" fillId="0" borderId="0" xfId="0" applyNumberFormat="1" applyFont="1" applyProtection="1"/>
    <xf numFmtId="168" fontId="7" fillId="0" borderId="0" xfId="0" applyNumberFormat="1" applyFont="1" applyAlignment="1" applyProtection="1">
      <alignment wrapText="1"/>
    </xf>
    <xf numFmtId="168" fontId="7" fillId="6" borderId="0" xfId="0" applyNumberFormat="1" applyFont="1" applyFill="1" applyAlignment="1" applyProtection="1">
      <alignment wrapText="1"/>
    </xf>
    <xf numFmtId="0" fontId="7" fillId="9" borderId="0" xfId="0" applyFont="1" applyFill="1" applyProtection="1"/>
    <xf numFmtId="0" fontId="7" fillId="5" borderId="0" xfId="0" applyFont="1" applyFill="1" applyAlignment="1" applyProtection="1">
      <alignment vertical="center" wrapText="1"/>
    </xf>
    <xf numFmtId="0" fontId="7" fillId="5" borderId="0" xfId="0" applyFont="1" applyFill="1" applyAlignment="1" applyProtection="1">
      <alignment horizontal="left" vertical="center" wrapText="1"/>
    </xf>
    <xf numFmtId="165" fontId="2" fillId="2" borderId="0" xfId="0" applyNumberFormat="1" applyFont="1" applyFill="1" applyAlignment="1" applyProtection="1">
      <alignment horizontal="left" vertical="center"/>
    </xf>
    <xf numFmtId="0" fontId="3" fillId="2" borderId="0" xfId="0" applyFont="1" applyFill="1" applyAlignment="1" applyProtection="1">
      <alignment vertical="center"/>
    </xf>
    <xf numFmtId="0" fontId="2" fillId="2" borderId="0" xfId="0" applyFont="1" applyFill="1" applyAlignment="1" applyProtection="1">
      <alignment horizontal="left" vertical="center"/>
    </xf>
    <xf numFmtId="167" fontId="3" fillId="2" borderId="0" xfId="0" applyNumberFormat="1" applyFont="1" applyFill="1" applyAlignment="1" applyProtection="1">
      <alignment vertical="center"/>
    </xf>
    <xf numFmtId="0" fontId="4" fillId="2" borderId="0" xfId="0" applyFont="1" applyFill="1" applyAlignment="1" applyProtection="1">
      <alignment vertical="center"/>
    </xf>
    <xf numFmtId="1" fontId="4" fillId="2" borderId="0" xfId="0" applyNumberFormat="1" applyFont="1" applyFill="1" applyAlignment="1" applyProtection="1">
      <alignment vertical="center"/>
    </xf>
    <xf numFmtId="0" fontId="0" fillId="2" borderId="0" xfId="0" applyFill="1" applyAlignment="1" applyProtection="1">
      <alignment vertical="center"/>
    </xf>
    <xf numFmtId="0" fontId="5" fillId="3" borderId="0" xfId="0" applyFont="1" applyFill="1" applyAlignment="1" applyProtection="1">
      <alignment horizontal="left" vertical="center"/>
    </xf>
    <xf numFmtId="165" fontId="5" fillId="3" borderId="0" xfId="0" applyNumberFormat="1" applyFont="1" applyFill="1" applyAlignment="1" applyProtection="1">
      <alignment horizontal="center" vertical="center" wrapText="1"/>
    </xf>
    <xf numFmtId="0" fontId="6" fillId="4" borderId="0" xfId="0" applyFont="1" applyFill="1" applyAlignment="1" applyProtection="1">
      <alignment horizontal="center" vertical="center" wrapText="1"/>
    </xf>
    <xf numFmtId="0" fontId="6" fillId="4" borderId="0" xfId="0" applyFont="1" applyFill="1" applyAlignment="1" applyProtection="1">
      <alignment vertical="center"/>
    </xf>
    <xf numFmtId="0" fontId="6" fillId="4" borderId="0" xfId="0" applyFont="1" applyFill="1" applyAlignment="1" applyProtection="1">
      <alignment horizontal="center" vertical="center"/>
    </xf>
    <xf numFmtId="0" fontId="7" fillId="5" borderId="0" xfId="0" applyFont="1" applyFill="1" applyAlignment="1" applyProtection="1">
      <alignment horizontal="left" vertical="center" wrapText="1"/>
      <protection locked="0"/>
    </xf>
    <xf numFmtId="0" fontId="7" fillId="6" borderId="0" xfId="0" applyFont="1" applyFill="1" applyAlignment="1" applyProtection="1">
      <alignment horizontal="left" vertical="center" wrapText="1"/>
      <protection locked="0"/>
    </xf>
    <xf numFmtId="0" fontId="7" fillId="6" borderId="0" xfId="0" applyFont="1" applyFill="1" applyAlignment="1" applyProtection="1">
      <alignment horizontal="left"/>
      <protection locked="0"/>
    </xf>
    <xf numFmtId="0" fontId="7" fillId="5" borderId="0" xfId="0" applyFont="1" applyFill="1" applyAlignment="1" applyProtection="1">
      <alignment horizontal="left"/>
      <protection locked="0"/>
    </xf>
    <xf numFmtId="0" fontId="7" fillId="7" borderId="0" xfId="0" applyFont="1" applyFill="1" applyAlignment="1" applyProtection="1">
      <alignment horizontal="left" vertical="center" wrapText="1"/>
      <protection locked="0"/>
    </xf>
    <xf numFmtId="0" fontId="7" fillId="0" borderId="0" xfId="0" applyFont="1" applyAlignment="1" applyProtection="1">
      <alignment horizontal="left" wrapText="1"/>
      <protection locked="0"/>
    </xf>
    <xf numFmtId="0" fontId="7" fillId="0" borderId="0" xfId="0" applyFont="1" applyAlignment="1" applyProtection="1">
      <alignment horizontal="left"/>
      <protection locked="0"/>
    </xf>
    <xf numFmtId="0" fontId="7" fillId="9" borderId="0" xfId="0" applyFont="1" applyFill="1" applyAlignment="1" applyProtection="1">
      <alignment horizontal="left"/>
      <protection locked="0"/>
    </xf>
    <xf numFmtId="0" fontId="13" fillId="2" borderId="0" xfId="0" applyFont="1" applyFill="1" applyAlignment="1" applyProtection="1">
      <alignment horizontal="left" vertical="center"/>
    </xf>
  </cellXfs>
  <cellStyles count="2"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04DC9-46A7-48A4-930F-0BDA7645CB7F}">
  <dimension ref="A1:LQ152"/>
  <sheetViews>
    <sheetView tabSelected="1" workbookViewId="0">
      <selection activeCell="A13" sqref="A13"/>
    </sheetView>
  </sheetViews>
  <sheetFormatPr baseColWidth="10" defaultColWidth="12.7109375" defaultRowHeight="15" x14ac:dyDescent="0.25"/>
  <cols>
    <col min="1" max="1" width="11.85546875" style="19" customWidth="1"/>
    <col min="2" max="2" width="2.28515625" style="6" hidden="1" customWidth="1"/>
    <col min="3" max="3" width="72.5703125" style="6" bestFit="1" customWidth="1"/>
    <col min="4" max="4" width="8.28515625" style="16" bestFit="1" customWidth="1"/>
    <col min="5" max="6" width="9.28515625" style="17" bestFit="1" customWidth="1"/>
    <col min="7" max="7" width="8.7109375" style="17" customWidth="1"/>
    <col min="8" max="8" width="9.28515625" style="17" customWidth="1"/>
    <col min="9" max="9" width="11.28515625" style="13" bestFit="1" customWidth="1"/>
    <col min="10" max="11" width="6.28515625" style="13" bestFit="1" customWidth="1"/>
    <col min="12" max="12" width="9.7109375" style="13" customWidth="1"/>
    <col min="13" max="13" width="9.28515625" style="13" bestFit="1" customWidth="1"/>
    <col min="14" max="14" width="10.7109375" style="13" bestFit="1" customWidth="1"/>
    <col min="15" max="15" width="8.42578125" style="13" bestFit="1" customWidth="1"/>
    <col min="16" max="16" width="7" style="13" bestFit="1" customWidth="1"/>
    <col min="17" max="17" width="8.42578125" style="6" bestFit="1" customWidth="1"/>
    <col min="18" max="18" width="16.28515625" style="20" customWidth="1"/>
    <col min="19" max="19" width="15.28515625" bestFit="1" customWidth="1"/>
    <col min="20" max="20" width="13.7109375" bestFit="1" customWidth="1"/>
    <col min="21" max="21" width="11.28515625" bestFit="1" customWidth="1"/>
    <col min="22" max="16384" width="12.7109375" style="6"/>
  </cols>
  <sheetData>
    <row r="1" spans="1:329" s="2" customFormat="1" ht="41.1" customHeight="1" x14ac:dyDescent="0.25">
      <c r="A1" s="78" t="s">
        <v>308</v>
      </c>
      <c r="B1" s="78"/>
      <c r="C1" s="78"/>
      <c r="D1" s="58"/>
      <c r="E1" s="58"/>
      <c r="F1" s="58"/>
      <c r="G1" s="58"/>
      <c r="H1" s="58"/>
      <c r="I1" s="1"/>
      <c r="J1" s="59"/>
      <c r="K1" s="59"/>
      <c r="L1" s="60"/>
      <c r="M1" s="59"/>
      <c r="N1" s="61"/>
      <c r="O1" s="59"/>
      <c r="P1" s="59"/>
      <c r="Q1" s="62"/>
      <c r="R1" s="63"/>
      <c r="S1" s="64"/>
      <c r="T1" s="64"/>
      <c r="U1" s="64"/>
    </row>
    <row r="2" spans="1:329" s="3" customFormat="1" ht="42" customHeight="1" x14ac:dyDescent="0.25">
      <c r="A2" s="65" t="s">
        <v>0</v>
      </c>
      <c r="B2" s="65" t="s">
        <v>1</v>
      </c>
      <c r="C2" s="65" t="s">
        <v>2</v>
      </c>
      <c r="D2" s="66" t="s">
        <v>3</v>
      </c>
      <c r="E2" s="66" t="s">
        <v>4</v>
      </c>
      <c r="F2" s="66" t="s">
        <v>5</v>
      </c>
      <c r="G2" s="67" t="s">
        <v>6</v>
      </c>
      <c r="H2" s="67" t="s">
        <v>7</v>
      </c>
      <c r="I2" s="67" t="s">
        <v>8</v>
      </c>
      <c r="J2" s="67" t="s">
        <v>9</v>
      </c>
      <c r="K2" s="67" t="s">
        <v>10</v>
      </c>
      <c r="L2" s="67" t="s">
        <v>11</v>
      </c>
      <c r="M2" s="67" t="s">
        <v>12</v>
      </c>
      <c r="N2" s="67" t="s">
        <v>13</v>
      </c>
      <c r="O2" s="67" t="s">
        <v>14</v>
      </c>
      <c r="P2" s="67" t="s">
        <v>15</v>
      </c>
      <c r="Q2" s="67" t="s">
        <v>16</v>
      </c>
      <c r="R2" s="68" t="s">
        <v>17</v>
      </c>
      <c r="S2" s="69" t="s">
        <v>18</v>
      </c>
      <c r="T2" s="69" t="s">
        <v>309</v>
      </c>
      <c r="U2" s="69" t="s">
        <v>310</v>
      </c>
    </row>
    <row r="3" spans="1:329" s="8" customFormat="1" ht="15" customHeight="1" x14ac:dyDescent="0.25">
      <c r="A3" s="70">
        <v>1002101</v>
      </c>
      <c r="B3" s="56" t="s">
        <v>19</v>
      </c>
      <c r="C3" s="33" t="str">
        <f>VLOOKUP(A3,Artikeldaten!A:B,2,0)</f>
        <v>Styropor [Rücken] - Minikid, Rekid, Duofix &amp; Kidzone</v>
      </c>
      <c r="D3" s="34">
        <v>7</v>
      </c>
      <c r="E3" s="34">
        <f>F3/1.19</f>
        <v>11.764705882352942</v>
      </c>
      <c r="F3" s="34">
        <f>D3*2</f>
        <v>14</v>
      </c>
      <c r="G3" s="41"/>
      <c r="H3" s="41"/>
      <c r="I3" s="35" t="s">
        <v>21</v>
      </c>
      <c r="J3" s="36"/>
      <c r="K3" s="35" t="s">
        <v>21</v>
      </c>
      <c r="L3" s="35" t="s">
        <v>21</v>
      </c>
      <c r="M3" s="36"/>
      <c r="N3" s="35" t="s">
        <v>21</v>
      </c>
      <c r="O3" s="36"/>
      <c r="P3" s="35" t="s">
        <v>21</v>
      </c>
      <c r="Q3" s="35" t="s">
        <v>21</v>
      </c>
      <c r="R3" s="42">
        <v>7350057583876</v>
      </c>
      <c r="S3" s="43" t="s">
        <v>311</v>
      </c>
      <c r="T3" s="43">
        <v>0.62</v>
      </c>
      <c r="U3" s="43">
        <v>0.55000000000000004</v>
      </c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A3" s="7"/>
      <c r="CB3" s="7"/>
      <c r="CC3" s="7"/>
      <c r="CD3" s="7"/>
      <c r="CE3" s="7"/>
      <c r="CF3" s="7"/>
      <c r="CG3" s="7"/>
      <c r="CH3" s="7"/>
      <c r="CI3" s="7"/>
      <c r="CJ3" s="7"/>
      <c r="CK3" s="7"/>
      <c r="CL3" s="7"/>
      <c r="CM3" s="7"/>
      <c r="CN3" s="7"/>
      <c r="CO3" s="7"/>
      <c r="CP3" s="7"/>
      <c r="CQ3" s="7"/>
      <c r="CR3" s="7"/>
      <c r="CS3" s="7"/>
      <c r="CT3" s="7"/>
      <c r="CU3" s="7"/>
      <c r="CV3" s="7"/>
      <c r="CW3" s="7"/>
      <c r="CX3" s="7"/>
      <c r="CY3" s="7"/>
      <c r="CZ3" s="7"/>
      <c r="DA3" s="7"/>
      <c r="DB3" s="7"/>
      <c r="DC3" s="7"/>
      <c r="DD3" s="7"/>
      <c r="DE3" s="7"/>
      <c r="DF3" s="7"/>
      <c r="DG3" s="7"/>
      <c r="DH3" s="7"/>
      <c r="DI3" s="7"/>
      <c r="DJ3" s="7"/>
      <c r="DK3" s="7"/>
      <c r="DL3" s="7"/>
      <c r="DM3" s="7"/>
      <c r="DN3" s="7"/>
      <c r="DO3" s="7"/>
      <c r="DP3" s="7"/>
      <c r="DQ3" s="7"/>
      <c r="DR3" s="7"/>
      <c r="DS3" s="7"/>
      <c r="DT3" s="7"/>
      <c r="DU3" s="7"/>
      <c r="DV3" s="7"/>
      <c r="DW3" s="7"/>
      <c r="DX3" s="7"/>
      <c r="DY3" s="7"/>
      <c r="DZ3" s="7"/>
      <c r="EA3" s="7"/>
      <c r="EB3" s="7"/>
      <c r="EC3" s="7"/>
      <c r="ED3" s="7"/>
      <c r="EE3" s="7"/>
      <c r="EF3" s="7"/>
      <c r="EG3" s="7"/>
      <c r="EH3" s="7"/>
      <c r="EI3" s="7"/>
      <c r="EJ3" s="7"/>
      <c r="EK3" s="7"/>
      <c r="EL3" s="7"/>
      <c r="EM3" s="7"/>
      <c r="EN3" s="7"/>
      <c r="EO3" s="7"/>
      <c r="EP3" s="7"/>
      <c r="EQ3" s="7"/>
      <c r="ER3" s="7"/>
      <c r="ES3" s="7"/>
      <c r="ET3" s="7"/>
      <c r="EU3" s="7"/>
      <c r="EV3" s="7"/>
      <c r="EW3" s="7"/>
      <c r="EX3" s="7"/>
      <c r="EY3" s="7"/>
      <c r="EZ3" s="7"/>
      <c r="FA3" s="7"/>
      <c r="FB3" s="7"/>
      <c r="FC3" s="7"/>
      <c r="FD3" s="7"/>
      <c r="FE3" s="7"/>
      <c r="FF3" s="7"/>
      <c r="FG3" s="7"/>
      <c r="FH3" s="7"/>
      <c r="FI3" s="7"/>
      <c r="FJ3" s="7"/>
      <c r="FK3" s="7"/>
      <c r="FL3" s="7"/>
      <c r="FM3" s="7"/>
      <c r="FN3" s="7"/>
      <c r="FO3" s="7"/>
      <c r="FP3" s="7"/>
      <c r="FQ3" s="7"/>
      <c r="FR3" s="7"/>
      <c r="FS3" s="7"/>
      <c r="FT3" s="7"/>
      <c r="FU3" s="7"/>
      <c r="FV3" s="7"/>
      <c r="FW3" s="7"/>
      <c r="FX3" s="7"/>
      <c r="FY3" s="7"/>
      <c r="FZ3" s="7"/>
      <c r="GA3" s="7"/>
      <c r="GB3" s="7"/>
      <c r="GC3" s="7"/>
      <c r="GD3" s="7"/>
      <c r="GE3" s="7"/>
      <c r="GF3" s="7"/>
      <c r="GG3" s="7"/>
      <c r="GH3" s="7"/>
      <c r="GI3" s="7"/>
      <c r="GJ3" s="7"/>
      <c r="GK3" s="7"/>
      <c r="GL3" s="7"/>
      <c r="GM3" s="7"/>
      <c r="GN3" s="7"/>
      <c r="GO3" s="7"/>
      <c r="GP3" s="7"/>
      <c r="GQ3" s="7"/>
      <c r="GR3" s="7"/>
      <c r="GS3" s="7"/>
      <c r="GT3" s="7"/>
      <c r="GU3" s="7"/>
      <c r="GV3" s="7"/>
      <c r="GW3" s="7"/>
      <c r="GX3" s="7"/>
      <c r="GY3" s="7"/>
      <c r="GZ3" s="7"/>
      <c r="HA3" s="7"/>
      <c r="HB3" s="7"/>
      <c r="HC3" s="7"/>
      <c r="HD3" s="7"/>
      <c r="HE3" s="7"/>
      <c r="HF3" s="7"/>
      <c r="HG3" s="7"/>
      <c r="HH3" s="7"/>
      <c r="HI3" s="7"/>
      <c r="HJ3" s="7"/>
      <c r="HK3" s="7"/>
      <c r="HL3" s="7"/>
      <c r="HM3" s="7"/>
      <c r="HN3" s="7"/>
      <c r="HO3" s="7"/>
      <c r="HP3" s="7"/>
      <c r="HQ3" s="7"/>
      <c r="HR3" s="7"/>
      <c r="HS3" s="7"/>
      <c r="HT3" s="7"/>
      <c r="HU3" s="7"/>
      <c r="HV3" s="7"/>
      <c r="HW3" s="7"/>
      <c r="HX3" s="7"/>
      <c r="HY3" s="7"/>
      <c r="HZ3" s="7"/>
      <c r="IA3" s="7"/>
      <c r="IB3" s="7"/>
      <c r="IC3" s="7"/>
      <c r="ID3" s="7"/>
      <c r="IE3" s="7"/>
      <c r="IF3" s="7"/>
      <c r="IG3" s="7"/>
      <c r="IH3" s="7"/>
      <c r="II3" s="7"/>
      <c r="IJ3" s="7"/>
      <c r="IK3" s="7"/>
      <c r="IL3" s="7"/>
      <c r="IM3" s="7"/>
      <c r="IN3" s="7"/>
      <c r="IO3" s="7"/>
      <c r="IP3" s="7"/>
      <c r="IQ3" s="7"/>
      <c r="IR3" s="7"/>
      <c r="IS3" s="7"/>
      <c r="IT3" s="7"/>
      <c r="IU3" s="7"/>
      <c r="IV3" s="7"/>
      <c r="IW3" s="7"/>
      <c r="IX3" s="7"/>
      <c r="IY3" s="7"/>
      <c r="IZ3" s="7"/>
      <c r="JA3" s="7"/>
      <c r="JB3" s="7"/>
      <c r="JC3" s="7"/>
      <c r="JD3" s="7"/>
      <c r="JE3" s="7"/>
      <c r="JF3" s="7"/>
      <c r="JG3" s="7"/>
      <c r="JH3" s="7"/>
      <c r="JI3" s="7"/>
      <c r="JJ3" s="7"/>
      <c r="JK3" s="7"/>
      <c r="JL3" s="7"/>
      <c r="JM3" s="7"/>
      <c r="JN3" s="7"/>
      <c r="JO3" s="7"/>
      <c r="JP3" s="7"/>
      <c r="JQ3" s="7"/>
      <c r="JR3" s="7"/>
      <c r="JS3" s="7"/>
      <c r="JT3" s="7"/>
      <c r="JU3" s="7"/>
      <c r="JV3" s="7"/>
      <c r="JW3" s="7"/>
      <c r="JX3" s="7"/>
      <c r="JY3" s="7"/>
      <c r="JZ3" s="7"/>
      <c r="KA3" s="7"/>
      <c r="KB3" s="7"/>
      <c r="KC3" s="7"/>
      <c r="KD3" s="7"/>
      <c r="KE3" s="7"/>
      <c r="KF3" s="7"/>
      <c r="KG3" s="7"/>
      <c r="KH3" s="7"/>
      <c r="KI3" s="7"/>
      <c r="KJ3" s="7"/>
      <c r="KK3" s="7"/>
      <c r="KL3" s="7"/>
      <c r="KM3" s="7"/>
      <c r="KN3" s="7"/>
      <c r="KO3" s="7"/>
      <c r="KP3" s="7"/>
      <c r="KQ3" s="7"/>
      <c r="KR3" s="7"/>
      <c r="KS3" s="7"/>
      <c r="KT3" s="7"/>
      <c r="KU3" s="7"/>
      <c r="KV3" s="7"/>
      <c r="KW3" s="7"/>
      <c r="KX3" s="7"/>
      <c r="KY3" s="7"/>
      <c r="KZ3" s="7"/>
      <c r="LA3" s="7"/>
      <c r="LB3" s="7"/>
      <c r="LC3" s="7"/>
      <c r="LD3" s="7"/>
      <c r="LE3" s="7"/>
      <c r="LF3" s="7"/>
      <c r="LG3" s="7"/>
      <c r="LH3" s="7"/>
      <c r="LI3" s="7"/>
      <c r="LJ3" s="7"/>
      <c r="LK3" s="7"/>
      <c r="LL3" s="7"/>
      <c r="LM3" s="7"/>
      <c r="LN3" s="7"/>
      <c r="LO3" s="7"/>
      <c r="LP3" s="7"/>
      <c r="LQ3" s="7"/>
    </row>
    <row r="4" spans="1:329" s="8" customFormat="1" ht="15" customHeight="1" x14ac:dyDescent="0.25">
      <c r="A4" s="70">
        <v>1002103</v>
      </c>
      <c r="B4" s="57">
        <v>1002103</v>
      </c>
      <c r="C4" s="33" t="str">
        <f>VLOOKUP(A4,Artikeldaten!A:B,2,0)</f>
        <v>Styropor [Links] - Minikid, Rekid, Duofix &amp; Kidzone</v>
      </c>
      <c r="D4" s="34">
        <v>7</v>
      </c>
      <c r="E4" s="34">
        <f t="shared" ref="E4:E67" si="0">F4/1.19</f>
        <v>11.764705882352942</v>
      </c>
      <c r="F4" s="34">
        <f t="shared" ref="F4:F67" si="1">D4*2</f>
        <v>14</v>
      </c>
      <c r="G4" s="41"/>
      <c r="H4" s="41"/>
      <c r="I4" s="36"/>
      <c r="J4" s="36"/>
      <c r="K4" s="35" t="s">
        <v>21</v>
      </c>
      <c r="L4" s="36"/>
      <c r="M4" s="36"/>
      <c r="N4" s="35" t="s">
        <v>21</v>
      </c>
      <c r="O4" s="36"/>
      <c r="P4" s="35" t="s">
        <v>21</v>
      </c>
      <c r="Q4" s="35" t="s">
        <v>21</v>
      </c>
      <c r="R4" s="42">
        <v>7350057583852</v>
      </c>
      <c r="S4" s="43" t="s">
        <v>311</v>
      </c>
      <c r="T4" s="43">
        <v>0.46</v>
      </c>
      <c r="U4" s="43">
        <v>0.39</v>
      </c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  <c r="CD4" s="7"/>
      <c r="CE4" s="7"/>
      <c r="CF4" s="7"/>
      <c r="CG4" s="7"/>
      <c r="CH4" s="7"/>
      <c r="CI4" s="7"/>
      <c r="CJ4" s="7"/>
      <c r="CK4" s="7"/>
      <c r="CL4" s="7"/>
      <c r="CM4" s="7"/>
      <c r="CN4" s="7"/>
      <c r="CO4" s="7"/>
      <c r="CP4" s="7"/>
      <c r="CQ4" s="7"/>
      <c r="CR4" s="7"/>
      <c r="CS4" s="7"/>
      <c r="CT4" s="7"/>
      <c r="CU4" s="7"/>
      <c r="CV4" s="7"/>
      <c r="CW4" s="7"/>
      <c r="CX4" s="7"/>
      <c r="CY4" s="7"/>
      <c r="CZ4" s="7"/>
      <c r="DA4" s="7"/>
      <c r="DB4" s="7"/>
      <c r="DC4" s="7"/>
      <c r="DD4" s="7"/>
      <c r="DE4" s="7"/>
      <c r="DF4" s="7"/>
      <c r="DG4" s="7"/>
      <c r="DH4" s="7"/>
      <c r="DI4" s="7"/>
      <c r="DJ4" s="7"/>
      <c r="DK4" s="7"/>
      <c r="DL4" s="7"/>
      <c r="DM4" s="7"/>
      <c r="DN4" s="7"/>
      <c r="DO4" s="7"/>
      <c r="DP4" s="7"/>
      <c r="DQ4" s="7"/>
      <c r="DR4" s="7"/>
      <c r="DS4" s="7"/>
      <c r="DT4" s="7"/>
      <c r="DU4" s="7"/>
      <c r="DV4" s="7"/>
      <c r="DW4" s="7"/>
      <c r="DX4" s="7"/>
      <c r="DY4" s="7"/>
      <c r="DZ4" s="7"/>
      <c r="EA4" s="7"/>
      <c r="EB4" s="7"/>
      <c r="EC4" s="7"/>
      <c r="ED4" s="7"/>
      <c r="EE4" s="7"/>
      <c r="EF4" s="7"/>
      <c r="EG4" s="7"/>
      <c r="EH4" s="7"/>
      <c r="EI4" s="7"/>
      <c r="EJ4" s="7"/>
      <c r="EK4" s="7"/>
      <c r="EL4" s="7"/>
      <c r="EM4" s="7"/>
      <c r="EN4" s="7"/>
      <c r="EO4" s="7"/>
      <c r="EP4" s="7"/>
      <c r="EQ4" s="7"/>
      <c r="ER4" s="7"/>
      <c r="ES4" s="7"/>
      <c r="ET4" s="7"/>
      <c r="EU4" s="7"/>
      <c r="EV4" s="7"/>
      <c r="EW4" s="7"/>
      <c r="EX4" s="7"/>
      <c r="EY4" s="7"/>
      <c r="EZ4" s="7"/>
      <c r="FA4" s="7"/>
      <c r="FB4" s="7"/>
      <c r="FC4" s="7"/>
      <c r="FD4" s="7"/>
      <c r="FE4" s="7"/>
      <c r="FF4" s="7"/>
      <c r="FG4" s="7"/>
      <c r="FH4" s="7"/>
      <c r="FI4" s="7"/>
      <c r="FJ4" s="7"/>
      <c r="FK4" s="7"/>
      <c r="FL4" s="7"/>
      <c r="FM4" s="7"/>
      <c r="FN4" s="7"/>
      <c r="FO4" s="7"/>
      <c r="FP4" s="7"/>
      <c r="FQ4" s="7"/>
      <c r="FR4" s="7"/>
      <c r="FS4" s="7"/>
      <c r="FT4" s="7"/>
      <c r="FU4" s="7"/>
      <c r="FV4" s="7"/>
      <c r="FW4" s="7"/>
      <c r="FX4" s="7"/>
      <c r="FY4" s="7"/>
      <c r="FZ4" s="7"/>
      <c r="GA4" s="7"/>
      <c r="GB4" s="7"/>
      <c r="GC4" s="7"/>
      <c r="GD4" s="7"/>
      <c r="GE4" s="7"/>
      <c r="GF4" s="7"/>
      <c r="GG4" s="7"/>
      <c r="GH4" s="7"/>
      <c r="GI4" s="7"/>
      <c r="GJ4" s="7"/>
      <c r="GK4" s="7"/>
      <c r="GL4" s="7"/>
      <c r="GM4" s="7"/>
      <c r="GN4" s="7"/>
      <c r="GO4" s="7"/>
      <c r="GP4" s="7"/>
      <c r="GQ4" s="7"/>
      <c r="GR4" s="7"/>
      <c r="GS4" s="7"/>
      <c r="GT4" s="7"/>
      <c r="GU4" s="7"/>
      <c r="GV4" s="7"/>
      <c r="GW4" s="7"/>
      <c r="GX4" s="7"/>
      <c r="GY4" s="7"/>
      <c r="GZ4" s="7"/>
      <c r="HA4" s="7"/>
      <c r="HB4" s="7"/>
      <c r="HC4" s="7"/>
      <c r="HD4" s="7"/>
      <c r="HE4" s="7"/>
      <c r="HF4" s="7"/>
      <c r="HG4" s="7"/>
      <c r="HH4" s="7"/>
      <c r="HI4" s="7"/>
      <c r="HJ4" s="7"/>
      <c r="HK4" s="7"/>
      <c r="HL4" s="7"/>
      <c r="HM4" s="7"/>
      <c r="HN4" s="7"/>
      <c r="HO4" s="7"/>
      <c r="HP4" s="7"/>
      <c r="HQ4" s="7"/>
      <c r="HR4" s="7"/>
      <c r="HS4" s="7"/>
      <c r="HT4" s="7"/>
      <c r="HU4" s="7"/>
      <c r="HV4" s="7"/>
      <c r="HW4" s="7"/>
      <c r="HX4" s="7"/>
      <c r="HY4" s="7"/>
      <c r="HZ4" s="7"/>
      <c r="IA4" s="7"/>
      <c r="IB4" s="7"/>
      <c r="IC4" s="7"/>
      <c r="ID4" s="7"/>
      <c r="IE4" s="7"/>
      <c r="IF4" s="7"/>
      <c r="IG4" s="7"/>
      <c r="IH4" s="7"/>
      <c r="II4" s="7"/>
      <c r="IJ4" s="7"/>
      <c r="IK4" s="7"/>
      <c r="IL4" s="7"/>
      <c r="IM4" s="7"/>
      <c r="IN4" s="7"/>
      <c r="IO4" s="7"/>
      <c r="IP4" s="7"/>
      <c r="IQ4" s="7"/>
      <c r="IR4" s="7"/>
      <c r="IS4" s="7"/>
      <c r="IT4" s="7"/>
      <c r="IU4" s="7"/>
      <c r="IV4" s="7"/>
      <c r="IW4" s="7"/>
      <c r="IX4" s="7"/>
      <c r="IY4" s="7"/>
      <c r="IZ4" s="7"/>
      <c r="JA4" s="7"/>
      <c r="JB4" s="7"/>
      <c r="JC4" s="7"/>
      <c r="JD4" s="7"/>
      <c r="JE4" s="7"/>
      <c r="JF4" s="7"/>
      <c r="JG4" s="7"/>
      <c r="JH4" s="7"/>
      <c r="JI4" s="7"/>
      <c r="JJ4" s="7"/>
      <c r="JK4" s="7"/>
      <c r="JL4" s="7"/>
      <c r="JM4" s="7"/>
      <c r="JN4" s="7"/>
      <c r="JO4" s="7"/>
      <c r="JP4" s="7"/>
      <c r="JQ4" s="7"/>
      <c r="JR4" s="7"/>
      <c r="JS4" s="7"/>
      <c r="JT4" s="7"/>
      <c r="JU4" s="7"/>
      <c r="JV4" s="7"/>
      <c r="JW4" s="7"/>
      <c r="JX4" s="7"/>
      <c r="JY4" s="7"/>
      <c r="JZ4" s="7"/>
      <c r="KA4" s="7"/>
      <c r="KB4" s="7"/>
      <c r="KC4" s="7"/>
      <c r="KD4" s="7"/>
      <c r="KE4" s="7"/>
      <c r="KF4" s="7"/>
      <c r="KG4" s="7"/>
      <c r="KH4" s="7"/>
      <c r="KI4" s="7"/>
      <c r="KJ4" s="7"/>
      <c r="KK4" s="7"/>
      <c r="KL4" s="7"/>
      <c r="KM4" s="7"/>
      <c r="KN4" s="7"/>
      <c r="KO4" s="7"/>
      <c r="KP4" s="7"/>
      <c r="KQ4" s="7"/>
      <c r="KR4" s="7"/>
      <c r="KS4" s="7"/>
      <c r="KT4" s="7"/>
      <c r="KU4" s="7"/>
      <c r="KV4" s="7"/>
      <c r="KW4" s="7"/>
      <c r="KX4" s="7"/>
      <c r="KY4" s="7"/>
      <c r="KZ4" s="7"/>
      <c r="LA4" s="7"/>
      <c r="LB4" s="7"/>
      <c r="LC4" s="7"/>
      <c r="LD4" s="7"/>
      <c r="LE4" s="7"/>
      <c r="LF4" s="7"/>
      <c r="LG4" s="7"/>
      <c r="LH4" s="7"/>
      <c r="LI4" s="7"/>
      <c r="LJ4" s="7"/>
      <c r="LK4" s="7"/>
      <c r="LL4" s="7"/>
      <c r="LM4" s="7"/>
      <c r="LN4" s="7"/>
      <c r="LO4" s="7"/>
      <c r="LP4" s="7"/>
      <c r="LQ4" s="7"/>
    </row>
    <row r="5" spans="1:329" s="8" customFormat="1" ht="15" customHeight="1" x14ac:dyDescent="0.25">
      <c r="A5" s="70">
        <v>1002104</v>
      </c>
      <c r="B5" s="33" t="s">
        <v>23</v>
      </c>
      <c r="C5" s="33" t="str">
        <f>VLOOKUP(A5,Artikeldaten!A:B,2,0)</f>
        <v>Styropor [Rechts] - Minikid, Rekid, Duofix &amp; Kidzone</v>
      </c>
      <c r="D5" s="34">
        <v>7</v>
      </c>
      <c r="E5" s="34">
        <f t="shared" si="0"/>
        <v>11.764705882352942</v>
      </c>
      <c r="F5" s="34">
        <f t="shared" si="1"/>
        <v>14</v>
      </c>
      <c r="G5" s="41"/>
      <c r="H5" s="41"/>
      <c r="I5" s="36"/>
      <c r="J5" s="36"/>
      <c r="K5" s="35" t="s">
        <v>21</v>
      </c>
      <c r="L5" s="36"/>
      <c r="M5" s="36"/>
      <c r="N5" s="35" t="s">
        <v>21</v>
      </c>
      <c r="O5" s="36"/>
      <c r="P5" s="35" t="s">
        <v>21</v>
      </c>
      <c r="Q5" s="35" t="s">
        <v>21</v>
      </c>
      <c r="R5" s="42">
        <v>7350057583869</v>
      </c>
      <c r="S5" s="43" t="s">
        <v>311</v>
      </c>
      <c r="T5" s="43">
        <v>0.62</v>
      </c>
      <c r="U5" s="43">
        <v>0.55000000000000004</v>
      </c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  <c r="CY5" s="7"/>
      <c r="CZ5" s="7"/>
      <c r="DA5" s="7"/>
      <c r="DB5" s="7"/>
      <c r="DC5" s="7"/>
      <c r="DD5" s="7"/>
      <c r="DE5" s="7"/>
      <c r="DF5" s="7"/>
      <c r="DG5" s="7"/>
      <c r="DH5" s="7"/>
      <c r="DI5" s="7"/>
      <c r="DJ5" s="7"/>
      <c r="DK5" s="7"/>
      <c r="DL5" s="7"/>
      <c r="DM5" s="7"/>
      <c r="DN5" s="7"/>
      <c r="DO5" s="7"/>
      <c r="DP5" s="7"/>
      <c r="DQ5" s="7"/>
      <c r="DR5" s="7"/>
      <c r="DS5" s="7"/>
      <c r="DT5" s="7"/>
      <c r="DU5" s="7"/>
      <c r="DV5" s="7"/>
      <c r="DW5" s="7"/>
      <c r="DX5" s="7"/>
      <c r="DY5" s="7"/>
      <c r="DZ5" s="7"/>
      <c r="EA5" s="7"/>
      <c r="EB5" s="7"/>
      <c r="EC5" s="7"/>
      <c r="ED5" s="7"/>
      <c r="EE5" s="7"/>
      <c r="EF5" s="7"/>
      <c r="EG5" s="7"/>
      <c r="EH5" s="7"/>
      <c r="EI5" s="7"/>
      <c r="EJ5" s="7"/>
      <c r="EK5" s="7"/>
      <c r="EL5" s="7"/>
      <c r="EM5" s="7"/>
      <c r="EN5" s="7"/>
      <c r="EO5" s="7"/>
      <c r="EP5" s="7"/>
      <c r="EQ5" s="7"/>
      <c r="ER5" s="7"/>
      <c r="ES5" s="7"/>
      <c r="ET5" s="7"/>
      <c r="EU5" s="7"/>
      <c r="EV5" s="7"/>
      <c r="EW5" s="7"/>
      <c r="EX5" s="7"/>
      <c r="EY5" s="7"/>
      <c r="EZ5" s="7"/>
      <c r="FA5" s="7"/>
      <c r="FB5" s="7"/>
      <c r="FC5" s="7"/>
      <c r="FD5" s="7"/>
      <c r="FE5" s="7"/>
      <c r="FF5" s="7"/>
      <c r="FG5" s="7"/>
      <c r="FH5" s="7"/>
      <c r="FI5" s="7"/>
      <c r="FJ5" s="7"/>
      <c r="FK5" s="7"/>
      <c r="FL5" s="7"/>
      <c r="FM5" s="7"/>
      <c r="FN5" s="7"/>
      <c r="FO5" s="7"/>
      <c r="FP5" s="7"/>
      <c r="FQ5" s="7"/>
      <c r="FR5" s="7"/>
      <c r="FS5" s="7"/>
      <c r="FT5" s="7"/>
      <c r="FU5" s="7"/>
      <c r="FV5" s="7"/>
      <c r="FW5" s="7"/>
      <c r="FX5" s="7"/>
      <c r="FY5" s="7"/>
      <c r="FZ5" s="7"/>
      <c r="GA5" s="7"/>
      <c r="GB5" s="7"/>
      <c r="GC5" s="7"/>
      <c r="GD5" s="7"/>
      <c r="GE5" s="7"/>
      <c r="GF5" s="7"/>
      <c r="GG5" s="7"/>
      <c r="GH5" s="7"/>
      <c r="GI5" s="7"/>
      <c r="GJ5" s="7"/>
      <c r="GK5" s="7"/>
      <c r="GL5" s="7"/>
      <c r="GM5" s="7"/>
      <c r="GN5" s="7"/>
      <c r="GO5" s="7"/>
      <c r="GP5" s="7"/>
      <c r="GQ5" s="7"/>
      <c r="GR5" s="7"/>
      <c r="GS5" s="7"/>
      <c r="GT5" s="7"/>
      <c r="GU5" s="7"/>
      <c r="GV5" s="7"/>
      <c r="GW5" s="7"/>
      <c r="GX5" s="7"/>
      <c r="GY5" s="7"/>
      <c r="GZ5" s="7"/>
      <c r="HA5" s="7"/>
      <c r="HB5" s="7"/>
      <c r="HC5" s="7"/>
      <c r="HD5" s="7"/>
      <c r="HE5" s="7"/>
      <c r="HF5" s="7"/>
      <c r="HG5" s="7"/>
      <c r="HH5" s="7"/>
      <c r="HI5" s="7"/>
      <c r="HJ5" s="7"/>
      <c r="HK5" s="7"/>
      <c r="HL5" s="7"/>
      <c r="HM5" s="7"/>
      <c r="HN5" s="7"/>
      <c r="HO5" s="7"/>
      <c r="HP5" s="7"/>
      <c r="HQ5" s="7"/>
      <c r="HR5" s="7"/>
      <c r="HS5" s="7"/>
      <c r="HT5" s="7"/>
      <c r="HU5" s="7"/>
      <c r="HV5" s="7"/>
      <c r="HW5" s="7"/>
      <c r="HX5" s="7"/>
      <c r="HY5" s="7"/>
      <c r="HZ5" s="7"/>
      <c r="IA5" s="7"/>
      <c r="IB5" s="7"/>
      <c r="IC5" s="7"/>
      <c r="ID5" s="7"/>
      <c r="IE5" s="7"/>
      <c r="IF5" s="7"/>
      <c r="IG5" s="7"/>
      <c r="IH5" s="7"/>
      <c r="II5" s="7"/>
      <c r="IJ5" s="7"/>
      <c r="IK5" s="7"/>
      <c r="IL5" s="7"/>
      <c r="IM5" s="7"/>
      <c r="IN5" s="7"/>
      <c r="IO5" s="7"/>
      <c r="IP5" s="7"/>
      <c r="IQ5" s="7"/>
      <c r="IR5" s="7"/>
      <c r="IS5" s="7"/>
      <c r="IT5" s="7"/>
      <c r="IU5" s="7"/>
      <c r="IV5" s="7"/>
      <c r="IW5" s="7"/>
      <c r="IX5" s="7"/>
      <c r="IY5" s="7"/>
      <c r="IZ5" s="7"/>
      <c r="JA5" s="7"/>
      <c r="JB5" s="7"/>
      <c r="JC5" s="7"/>
      <c r="JD5" s="7"/>
      <c r="JE5" s="7"/>
      <c r="JF5" s="7"/>
      <c r="JG5" s="7"/>
      <c r="JH5" s="7"/>
      <c r="JI5" s="7"/>
      <c r="JJ5" s="7"/>
      <c r="JK5" s="7"/>
      <c r="JL5" s="7"/>
      <c r="JM5" s="7"/>
      <c r="JN5" s="7"/>
      <c r="JO5" s="7"/>
      <c r="JP5" s="7"/>
      <c r="JQ5" s="7"/>
      <c r="JR5" s="7"/>
      <c r="JS5" s="7"/>
      <c r="JT5" s="7"/>
      <c r="JU5" s="7"/>
      <c r="JV5" s="7"/>
      <c r="JW5" s="7"/>
      <c r="JX5" s="7"/>
      <c r="JY5" s="7"/>
      <c r="JZ5" s="7"/>
      <c r="KA5" s="7"/>
      <c r="KB5" s="7"/>
      <c r="KC5" s="7"/>
      <c r="KD5" s="7"/>
      <c r="KE5" s="7"/>
      <c r="KF5" s="7"/>
      <c r="KG5" s="7"/>
      <c r="KH5" s="7"/>
      <c r="KI5" s="7"/>
      <c r="KJ5" s="7"/>
      <c r="KK5" s="7"/>
      <c r="KL5" s="7"/>
      <c r="KM5" s="7"/>
      <c r="KN5" s="7"/>
      <c r="KO5" s="7"/>
      <c r="KP5" s="7"/>
      <c r="KQ5" s="7"/>
      <c r="KR5" s="7"/>
      <c r="KS5" s="7"/>
      <c r="KT5" s="7"/>
      <c r="KU5" s="7"/>
      <c r="KV5" s="7"/>
      <c r="KW5" s="7"/>
      <c r="KX5" s="7"/>
      <c r="KY5" s="7"/>
      <c r="KZ5" s="7"/>
      <c r="LA5" s="7"/>
      <c r="LB5" s="7"/>
      <c r="LC5" s="7"/>
      <c r="LD5" s="7"/>
      <c r="LE5" s="7"/>
      <c r="LF5" s="7"/>
      <c r="LG5" s="7"/>
      <c r="LH5" s="7"/>
      <c r="LI5" s="7"/>
      <c r="LJ5" s="7"/>
      <c r="LK5" s="7"/>
      <c r="LL5" s="7"/>
      <c r="LM5" s="7"/>
      <c r="LN5" s="7"/>
      <c r="LO5" s="7"/>
      <c r="LP5" s="7"/>
      <c r="LQ5" s="7"/>
    </row>
    <row r="6" spans="1:329" s="8" customFormat="1" ht="15" customHeight="1" x14ac:dyDescent="0.25">
      <c r="A6" s="70">
        <v>1002108</v>
      </c>
      <c r="B6" s="33" t="s">
        <v>25</v>
      </c>
      <c r="C6" s="33" t="str">
        <f>VLOOKUP(A6,Artikeldaten!A:B,2,0)</f>
        <v>Schaumstoff Sitzfläche Geklebt</v>
      </c>
      <c r="D6" s="34">
        <v>4</v>
      </c>
      <c r="E6" s="34">
        <f t="shared" si="0"/>
        <v>6.7226890756302522</v>
      </c>
      <c r="F6" s="34">
        <f t="shared" si="1"/>
        <v>8</v>
      </c>
      <c r="G6" s="41"/>
      <c r="H6" s="41"/>
      <c r="I6" s="35" t="s">
        <v>21</v>
      </c>
      <c r="J6" s="35" t="s">
        <v>21</v>
      </c>
      <c r="K6" s="35" t="s">
        <v>21</v>
      </c>
      <c r="L6" s="36"/>
      <c r="M6" s="36"/>
      <c r="N6" s="35" t="s">
        <v>21</v>
      </c>
      <c r="O6" s="35" t="s">
        <v>21</v>
      </c>
      <c r="P6" s="35" t="s">
        <v>21</v>
      </c>
      <c r="Q6" s="35" t="s">
        <v>21</v>
      </c>
      <c r="R6" s="42">
        <v>7350057583746</v>
      </c>
      <c r="S6" s="43" t="s">
        <v>312</v>
      </c>
      <c r="T6" s="43">
        <v>0.5</v>
      </c>
      <c r="U6" s="43">
        <v>0.14000000000000001</v>
      </c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  <c r="CZ6" s="7"/>
      <c r="DA6" s="7"/>
      <c r="DB6" s="7"/>
      <c r="DC6" s="7"/>
      <c r="DD6" s="7"/>
      <c r="DE6" s="7"/>
      <c r="DF6" s="7"/>
      <c r="DG6" s="7"/>
      <c r="DH6" s="7"/>
      <c r="DI6" s="7"/>
      <c r="DJ6" s="7"/>
      <c r="DK6" s="7"/>
      <c r="DL6" s="7"/>
      <c r="DM6" s="7"/>
      <c r="DN6" s="7"/>
      <c r="DO6" s="7"/>
      <c r="DP6" s="7"/>
      <c r="DQ6" s="7"/>
      <c r="DR6" s="7"/>
      <c r="DS6" s="7"/>
      <c r="DT6" s="7"/>
      <c r="DU6" s="7"/>
      <c r="DV6" s="7"/>
      <c r="DW6" s="7"/>
      <c r="DX6" s="7"/>
      <c r="DY6" s="7"/>
      <c r="DZ6" s="7"/>
      <c r="EA6" s="7"/>
      <c r="EB6" s="7"/>
      <c r="EC6" s="7"/>
      <c r="ED6" s="7"/>
      <c r="EE6" s="7"/>
      <c r="EF6" s="7"/>
      <c r="EG6" s="7"/>
      <c r="EH6" s="7"/>
      <c r="EI6" s="7"/>
      <c r="EJ6" s="7"/>
      <c r="EK6" s="7"/>
      <c r="EL6" s="7"/>
      <c r="EM6" s="7"/>
      <c r="EN6" s="7"/>
      <c r="EO6" s="7"/>
      <c r="EP6" s="7"/>
      <c r="EQ6" s="7"/>
      <c r="ER6" s="7"/>
      <c r="ES6" s="7"/>
      <c r="ET6" s="7"/>
      <c r="EU6" s="7"/>
      <c r="EV6" s="7"/>
      <c r="EW6" s="7"/>
      <c r="EX6" s="7"/>
      <c r="EY6" s="7"/>
      <c r="EZ6" s="7"/>
      <c r="FA6" s="7"/>
      <c r="FB6" s="7"/>
      <c r="FC6" s="7"/>
      <c r="FD6" s="7"/>
      <c r="FE6" s="7"/>
      <c r="FF6" s="7"/>
      <c r="FG6" s="7"/>
      <c r="FH6" s="7"/>
      <c r="FI6" s="7"/>
      <c r="FJ6" s="7"/>
      <c r="FK6" s="7"/>
      <c r="FL6" s="7"/>
      <c r="FM6" s="7"/>
      <c r="FN6" s="7"/>
      <c r="FO6" s="7"/>
      <c r="FP6" s="7"/>
      <c r="FQ6" s="7"/>
      <c r="FR6" s="7"/>
      <c r="FS6" s="7"/>
      <c r="FT6" s="7"/>
      <c r="FU6" s="7"/>
      <c r="FV6" s="7"/>
      <c r="FW6" s="7"/>
      <c r="FX6" s="7"/>
      <c r="FY6" s="7"/>
      <c r="FZ6" s="7"/>
      <c r="GA6" s="7"/>
      <c r="GB6" s="7"/>
      <c r="GC6" s="7"/>
      <c r="GD6" s="7"/>
      <c r="GE6" s="7"/>
      <c r="GF6" s="7"/>
      <c r="GG6" s="7"/>
      <c r="GH6" s="7"/>
      <c r="GI6" s="7"/>
      <c r="GJ6" s="7"/>
      <c r="GK6" s="7"/>
      <c r="GL6" s="7"/>
      <c r="GM6" s="7"/>
      <c r="GN6" s="7"/>
      <c r="GO6" s="7"/>
      <c r="GP6" s="7"/>
      <c r="GQ6" s="7"/>
      <c r="GR6" s="7"/>
      <c r="GS6" s="7"/>
      <c r="GT6" s="7"/>
      <c r="GU6" s="7"/>
      <c r="GV6" s="7"/>
      <c r="GW6" s="7"/>
      <c r="GX6" s="7"/>
      <c r="GY6" s="7"/>
      <c r="GZ6" s="7"/>
      <c r="HA6" s="7"/>
      <c r="HB6" s="7"/>
      <c r="HC6" s="7"/>
      <c r="HD6" s="7"/>
      <c r="HE6" s="7"/>
      <c r="HF6" s="7"/>
      <c r="HG6" s="7"/>
      <c r="HH6" s="7"/>
      <c r="HI6" s="7"/>
      <c r="HJ6" s="7"/>
      <c r="HK6" s="7"/>
      <c r="HL6" s="7"/>
      <c r="HM6" s="7"/>
      <c r="HN6" s="7"/>
      <c r="HO6" s="7"/>
      <c r="HP6" s="7"/>
      <c r="HQ6" s="7"/>
      <c r="HR6" s="7"/>
      <c r="HS6" s="7"/>
      <c r="HT6" s="7"/>
      <c r="HU6" s="7"/>
      <c r="HV6" s="7"/>
      <c r="HW6" s="7"/>
      <c r="HX6" s="7"/>
      <c r="HY6" s="7"/>
      <c r="HZ6" s="7"/>
      <c r="IA6" s="7"/>
      <c r="IB6" s="7"/>
      <c r="IC6" s="7"/>
      <c r="ID6" s="7"/>
      <c r="IE6" s="7"/>
      <c r="IF6" s="7"/>
      <c r="IG6" s="7"/>
      <c r="IH6" s="7"/>
      <c r="II6" s="7"/>
      <c r="IJ6" s="7"/>
      <c r="IK6" s="7"/>
      <c r="IL6" s="7"/>
      <c r="IM6" s="7"/>
      <c r="IN6" s="7"/>
      <c r="IO6" s="7"/>
      <c r="IP6" s="7"/>
      <c r="IQ6" s="7"/>
      <c r="IR6" s="7"/>
      <c r="IS6" s="7"/>
      <c r="IT6" s="7"/>
      <c r="IU6" s="7"/>
      <c r="IV6" s="7"/>
      <c r="IW6" s="7"/>
      <c r="IX6" s="7"/>
      <c r="IY6" s="7"/>
      <c r="IZ6" s="7"/>
      <c r="JA6" s="7"/>
      <c r="JB6" s="7"/>
      <c r="JC6" s="7"/>
      <c r="JD6" s="7"/>
      <c r="JE6" s="7"/>
      <c r="JF6" s="7"/>
      <c r="JG6" s="7"/>
      <c r="JH6" s="7"/>
      <c r="JI6" s="7"/>
      <c r="JJ6" s="7"/>
      <c r="JK6" s="7"/>
      <c r="JL6" s="7"/>
      <c r="JM6" s="7"/>
      <c r="JN6" s="7"/>
      <c r="JO6" s="7"/>
      <c r="JP6" s="7"/>
      <c r="JQ6" s="7"/>
      <c r="JR6" s="7"/>
      <c r="JS6" s="7"/>
      <c r="JT6" s="7"/>
      <c r="JU6" s="7"/>
      <c r="JV6" s="7"/>
      <c r="JW6" s="7"/>
      <c r="JX6" s="7"/>
      <c r="JY6" s="7"/>
      <c r="JZ6" s="7"/>
      <c r="KA6" s="7"/>
      <c r="KB6" s="7"/>
      <c r="KC6" s="7"/>
      <c r="KD6" s="7"/>
      <c r="KE6" s="7"/>
      <c r="KF6" s="7"/>
      <c r="KG6" s="7"/>
      <c r="KH6" s="7"/>
      <c r="KI6" s="7"/>
      <c r="KJ6" s="7"/>
      <c r="KK6" s="7"/>
      <c r="KL6" s="7"/>
      <c r="KM6" s="7"/>
      <c r="KN6" s="7"/>
      <c r="KO6" s="7"/>
      <c r="KP6" s="7"/>
      <c r="KQ6" s="7"/>
      <c r="KR6" s="7"/>
      <c r="KS6" s="7"/>
      <c r="KT6" s="7"/>
      <c r="KU6" s="7"/>
      <c r="KV6" s="7"/>
      <c r="KW6" s="7"/>
      <c r="KX6" s="7"/>
      <c r="KY6" s="7"/>
      <c r="KZ6" s="7"/>
      <c r="LA6" s="7"/>
      <c r="LB6" s="7"/>
      <c r="LC6" s="7"/>
      <c r="LD6" s="7"/>
      <c r="LE6" s="7"/>
      <c r="LF6" s="7"/>
      <c r="LG6" s="7"/>
      <c r="LH6" s="7"/>
      <c r="LI6" s="7"/>
      <c r="LJ6" s="7"/>
      <c r="LK6" s="7"/>
      <c r="LL6" s="7"/>
      <c r="LM6" s="7"/>
      <c r="LN6" s="7"/>
      <c r="LO6" s="7"/>
      <c r="LP6" s="7"/>
      <c r="LQ6" s="7"/>
    </row>
    <row r="7" spans="1:329" s="8" customFormat="1" ht="15" customHeight="1" x14ac:dyDescent="0.25">
      <c r="A7" s="71">
        <v>1002112</v>
      </c>
      <c r="B7" s="44" t="s">
        <v>27</v>
      </c>
      <c r="C7" s="44" t="str">
        <f>VLOOKUP(A7,Artikeldaten!A:B,2,0)</f>
        <v xml:space="preserve">Schaumstoff Sitzfläche </v>
      </c>
      <c r="D7" s="45">
        <v>3</v>
      </c>
      <c r="E7" s="45">
        <f t="shared" si="0"/>
        <v>5.0420168067226889</v>
      </c>
      <c r="F7" s="45">
        <f t="shared" si="1"/>
        <v>6</v>
      </c>
      <c r="G7" s="41"/>
      <c r="H7" s="41"/>
      <c r="I7" s="35" t="s">
        <v>21</v>
      </c>
      <c r="J7" s="35" t="s">
        <v>21</v>
      </c>
      <c r="K7" s="35" t="s">
        <v>21</v>
      </c>
      <c r="L7" s="35" t="s">
        <v>21</v>
      </c>
      <c r="M7" s="36"/>
      <c r="N7" s="35" t="s">
        <v>21</v>
      </c>
      <c r="O7" s="35" t="s">
        <v>21</v>
      </c>
      <c r="P7" s="35" t="s">
        <v>21</v>
      </c>
      <c r="Q7" s="35" t="s">
        <v>21</v>
      </c>
      <c r="R7" s="42">
        <v>7350057583722</v>
      </c>
      <c r="S7" s="43" t="s">
        <v>313</v>
      </c>
      <c r="T7" s="43">
        <v>3</v>
      </c>
      <c r="U7" s="43">
        <v>2.2000000000000002</v>
      </c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C7" s="7"/>
      <c r="CD7" s="7"/>
      <c r="CE7" s="7"/>
      <c r="CF7" s="7"/>
      <c r="CG7" s="7"/>
      <c r="CH7" s="7"/>
      <c r="CI7" s="7"/>
      <c r="CJ7" s="7"/>
      <c r="CK7" s="7"/>
      <c r="CL7" s="7"/>
      <c r="CM7" s="7"/>
      <c r="CN7" s="7"/>
      <c r="CO7" s="7"/>
      <c r="CP7" s="7"/>
      <c r="CQ7" s="7"/>
      <c r="CR7" s="7"/>
      <c r="CS7" s="7"/>
      <c r="CT7" s="7"/>
      <c r="CU7" s="7"/>
      <c r="CV7" s="7"/>
      <c r="CW7" s="7"/>
      <c r="CX7" s="7"/>
      <c r="CY7" s="7"/>
      <c r="CZ7" s="7"/>
      <c r="DA7" s="7"/>
      <c r="DB7" s="7"/>
      <c r="DC7" s="7"/>
      <c r="DD7" s="7"/>
      <c r="DE7" s="7"/>
      <c r="DF7" s="7"/>
      <c r="DG7" s="7"/>
      <c r="DH7" s="7"/>
      <c r="DI7" s="7"/>
      <c r="DJ7" s="7"/>
      <c r="DK7" s="7"/>
      <c r="DL7" s="7"/>
      <c r="DM7" s="7"/>
      <c r="DN7" s="7"/>
      <c r="DO7" s="7"/>
      <c r="DP7" s="7"/>
      <c r="DQ7" s="7"/>
      <c r="DR7" s="7"/>
      <c r="DS7" s="7"/>
      <c r="DT7" s="7"/>
      <c r="DU7" s="7"/>
      <c r="DV7" s="7"/>
      <c r="DW7" s="7"/>
      <c r="DX7" s="7"/>
      <c r="DY7" s="7"/>
      <c r="DZ7" s="7"/>
      <c r="EA7" s="7"/>
      <c r="EB7" s="7"/>
      <c r="EC7" s="7"/>
      <c r="ED7" s="7"/>
      <c r="EE7" s="7"/>
      <c r="EF7" s="7"/>
      <c r="EG7" s="7"/>
      <c r="EH7" s="7"/>
      <c r="EI7" s="7"/>
      <c r="EJ7" s="7"/>
      <c r="EK7" s="7"/>
      <c r="EL7" s="7"/>
      <c r="EM7" s="7"/>
      <c r="EN7" s="7"/>
      <c r="EO7" s="7"/>
      <c r="EP7" s="7"/>
      <c r="EQ7" s="7"/>
      <c r="ER7" s="7"/>
      <c r="ES7" s="7"/>
      <c r="ET7" s="7"/>
      <c r="EU7" s="7"/>
      <c r="EV7" s="7"/>
      <c r="EW7" s="7"/>
      <c r="EX7" s="7"/>
      <c r="EY7" s="7"/>
      <c r="EZ7" s="7"/>
      <c r="FA7" s="7"/>
      <c r="FB7" s="7"/>
      <c r="FC7" s="7"/>
      <c r="FD7" s="7"/>
      <c r="FE7" s="7"/>
      <c r="FF7" s="7"/>
      <c r="FG7" s="7"/>
      <c r="FH7" s="7"/>
      <c r="FI7" s="7"/>
      <c r="FJ7" s="7"/>
      <c r="FK7" s="7"/>
      <c r="FL7" s="7"/>
      <c r="FM7" s="7"/>
      <c r="FN7" s="7"/>
      <c r="FO7" s="7"/>
      <c r="FP7" s="7"/>
      <c r="FQ7" s="7"/>
      <c r="FR7" s="7"/>
      <c r="FS7" s="7"/>
      <c r="FT7" s="7"/>
      <c r="FU7" s="7"/>
      <c r="FV7" s="7"/>
      <c r="FW7" s="7"/>
      <c r="FX7" s="7"/>
      <c r="FY7" s="7"/>
      <c r="FZ7" s="7"/>
      <c r="GA7" s="7"/>
      <c r="GB7" s="7"/>
      <c r="GC7" s="7"/>
      <c r="GD7" s="7"/>
      <c r="GE7" s="7"/>
      <c r="GF7" s="7"/>
      <c r="GG7" s="7"/>
      <c r="GH7" s="7"/>
      <c r="GI7" s="7"/>
      <c r="GJ7" s="7"/>
      <c r="GK7" s="7"/>
      <c r="GL7" s="7"/>
      <c r="GM7" s="7"/>
      <c r="GN7" s="7"/>
      <c r="GO7" s="7"/>
      <c r="GP7" s="7"/>
      <c r="GQ7" s="7"/>
      <c r="GR7" s="7"/>
      <c r="GS7" s="7"/>
      <c r="GT7" s="7"/>
      <c r="GU7" s="7"/>
      <c r="GV7" s="7"/>
      <c r="GW7" s="7"/>
      <c r="GX7" s="7"/>
      <c r="GY7" s="7"/>
      <c r="GZ7" s="7"/>
      <c r="HA7" s="7"/>
      <c r="HB7" s="7"/>
      <c r="HC7" s="7"/>
      <c r="HD7" s="7"/>
      <c r="HE7" s="7"/>
      <c r="HF7" s="7"/>
      <c r="HG7" s="7"/>
      <c r="HH7" s="7"/>
      <c r="HI7" s="7"/>
      <c r="HJ7" s="7"/>
      <c r="HK7" s="7"/>
      <c r="HL7" s="7"/>
      <c r="HM7" s="7"/>
      <c r="HN7" s="7"/>
      <c r="HO7" s="7"/>
      <c r="HP7" s="7"/>
      <c r="HQ7" s="7"/>
      <c r="HR7" s="7"/>
      <c r="HS7" s="7"/>
      <c r="HT7" s="7"/>
      <c r="HU7" s="7"/>
      <c r="HV7" s="7"/>
      <c r="HW7" s="7"/>
      <c r="HX7" s="7"/>
      <c r="HY7" s="7"/>
      <c r="HZ7" s="7"/>
      <c r="IA7" s="7"/>
      <c r="IB7" s="7"/>
      <c r="IC7" s="7"/>
      <c r="ID7" s="7"/>
      <c r="IE7" s="7"/>
      <c r="IF7" s="7"/>
      <c r="IG7" s="7"/>
      <c r="IH7" s="7"/>
      <c r="II7" s="7"/>
      <c r="IJ7" s="7"/>
      <c r="IK7" s="7"/>
      <c r="IL7" s="7"/>
      <c r="IM7" s="7"/>
      <c r="IN7" s="7"/>
      <c r="IO7" s="7"/>
      <c r="IP7" s="7"/>
      <c r="IQ7" s="7"/>
      <c r="IR7" s="7"/>
      <c r="IS7" s="7"/>
      <c r="IT7" s="7"/>
      <c r="IU7" s="7"/>
      <c r="IV7" s="7"/>
      <c r="IW7" s="7"/>
      <c r="IX7" s="7"/>
      <c r="IY7" s="7"/>
      <c r="IZ7" s="7"/>
      <c r="JA7" s="7"/>
      <c r="JB7" s="7"/>
      <c r="JC7" s="7"/>
      <c r="JD7" s="7"/>
      <c r="JE7" s="7"/>
      <c r="JF7" s="7"/>
      <c r="JG7" s="7"/>
      <c r="JH7" s="7"/>
      <c r="JI7" s="7"/>
      <c r="JJ7" s="7"/>
      <c r="JK7" s="7"/>
      <c r="JL7" s="7"/>
      <c r="JM7" s="7"/>
      <c r="JN7" s="7"/>
      <c r="JO7" s="7"/>
      <c r="JP7" s="7"/>
      <c r="JQ7" s="7"/>
      <c r="JR7" s="7"/>
      <c r="JS7" s="7"/>
      <c r="JT7" s="7"/>
      <c r="JU7" s="7"/>
      <c r="JV7" s="7"/>
      <c r="JW7" s="7"/>
      <c r="JX7" s="7"/>
      <c r="JY7" s="7"/>
      <c r="JZ7" s="7"/>
      <c r="KA7" s="7"/>
      <c r="KB7" s="7"/>
      <c r="KC7" s="7"/>
      <c r="KD7" s="7"/>
      <c r="KE7" s="7"/>
      <c r="KF7" s="7"/>
      <c r="KG7" s="7"/>
      <c r="KH7" s="7"/>
      <c r="KI7" s="7"/>
      <c r="KJ7" s="7"/>
      <c r="KK7" s="7"/>
      <c r="KL7" s="7"/>
      <c r="KM7" s="7"/>
      <c r="KN7" s="7"/>
      <c r="KO7" s="7"/>
      <c r="KP7" s="7"/>
      <c r="KQ7" s="7"/>
      <c r="KR7" s="7"/>
      <c r="KS7" s="7"/>
      <c r="KT7" s="7"/>
      <c r="KU7" s="7"/>
      <c r="KV7" s="7"/>
      <c r="KW7" s="7"/>
      <c r="KX7" s="7"/>
      <c r="KY7" s="7"/>
      <c r="KZ7" s="7"/>
      <c r="LA7" s="7"/>
      <c r="LB7" s="7"/>
      <c r="LC7" s="7"/>
      <c r="LD7" s="7"/>
      <c r="LE7" s="7"/>
      <c r="LF7" s="7"/>
      <c r="LG7" s="7"/>
      <c r="LH7" s="7"/>
      <c r="LI7" s="7"/>
      <c r="LJ7" s="7"/>
      <c r="LK7" s="7"/>
      <c r="LL7" s="7"/>
      <c r="LM7" s="7"/>
      <c r="LN7" s="7"/>
      <c r="LO7" s="7"/>
      <c r="LP7" s="7"/>
      <c r="LQ7" s="7"/>
    </row>
    <row r="8" spans="1:329" s="8" customFormat="1" ht="15" customHeight="1" x14ac:dyDescent="0.25">
      <c r="A8" s="70">
        <v>1002117</v>
      </c>
      <c r="B8" s="56" t="s">
        <v>29</v>
      </c>
      <c r="C8" s="33" t="str">
        <f>VLOOKUP(A8,Artikeldaten!A:B,2,0)</f>
        <v>Styropor [Rücken] - Move &amp; Wolmax</v>
      </c>
      <c r="D8" s="34">
        <v>7</v>
      </c>
      <c r="E8" s="34">
        <f t="shared" si="0"/>
        <v>11.764705882352942</v>
      </c>
      <c r="F8" s="34">
        <f t="shared" si="1"/>
        <v>14</v>
      </c>
      <c r="G8" s="41"/>
      <c r="H8" s="41"/>
      <c r="I8" s="35"/>
      <c r="J8" s="35" t="s">
        <v>21</v>
      </c>
      <c r="K8" s="35"/>
      <c r="L8" s="36"/>
      <c r="M8" s="36"/>
      <c r="N8" s="35"/>
      <c r="O8" s="35" t="s">
        <v>21</v>
      </c>
      <c r="P8" s="35"/>
      <c r="Q8" s="35"/>
      <c r="R8" s="42">
        <v>7350057583883</v>
      </c>
      <c r="S8" s="43" t="s">
        <v>311</v>
      </c>
      <c r="T8" s="43">
        <v>0.32</v>
      </c>
      <c r="U8" s="43">
        <v>0.22</v>
      </c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</row>
    <row r="9" spans="1:329" s="8" customFormat="1" ht="15" customHeight="1" x14ac:dyDescent="0.25">
      <c r="A9" s="70">
        <v>1002118</v>
      </c>
      <c r="B9" s="33" t="s">
        <v>31</v>
      </c>
      <c r="C9" s="33" t="str">
        <f>VLOOKUP(A9,Artikeldaten!A:B,2,0)</f>
        <v>Styropor [Links] - Move &amp; Wolmax</v>
      </c>
      <c r="D9" s="34">
        <v>7</v>
      </c>
      <c r="E9" s="34">
        <f t="shared" si="0"/>
        <v>11.764705882352942</v>
      </c>
      <c r="F9" s="34">
        <f t="shared" si="1"/>
        <v>14</v>
      </c>
      <c r="G9" s="41"/>
      <c r="H9" s="41"/>
      <c r="I9" s="36"/>
      <c r="J9" s="35" t="s">
        <v>21</v>
      </c>
      <c r="K9" s="36"/>
      <c r="L9" s="36"/>
      <c r="M9" s="36"/>
      <c r="N9" s="36"/>
      <c r="O9" s="35" t="s">
        <v>21</v>
      </c>
      <c r="P9" s="36"/>
      <c r="Q9" s="36"/>
      <c r="R9" s="42">
        <v>7350057583838</v>
      </c>
      <c r="S9" s="43" t="s">
        <v>314</v>
      </c>
      <c r="T9" s="43">
        <v>1.1599999999999999</v>
      </c>
      <c r="U9" s="43">
        <v>1</v>
      </c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  <c r="BP9" s="7"/>
      <c r="BQ9" s="7"/>
      <c r="BR9" s="7"/>
      <c r="BS9" s="7"/>
      <c r="BT9" s="7"/>
      <c r="BU9" s="7"/>
      <c r="BV9" s="7"/>
      <c r="BW9" s="7"/>
      <c r="BX9" s="7"/>
      <c r="BY9" s="7"/>
      <c r="BZ9" s="7"/>
      <c r="CA9" s="7"/>
      <c r="CB9" s="7"/>
      <c r="CC9" s="7"/>
      <c r="CD9" s="7"/>
      <c r="CE9" s="7"/>
      <c r="CF9" s="7"/>
      <c r="CG9" s="7"/>
      <c r="CH9" s="7"/>
      <c r="CI9" s="7"/>
      <c r="CJ9" s="7"/>
      <c r="CK9" s="7"/>
      <c r="CL9" s="7"/>
      <c r="CM9" s="7"/>
      <c r="CN9" s="7"/>
      <c r="CO9" s="7"/>
      <c r="CP9" s="7"/>
      <c r="CQ9" s="7"/>
      <c r="CR9" s="7"/>
      <c r="CS9" s="7"/>
      <c r="CT9" s="7"/>
      <c r="CU9" s="7"/>
      <c r="CV9" s="7"/>
      <c r="CW9" s="7"/>
      <c r="CX9" s="7"/>
      <c r="CY9" s="7"/>
      <c r="CZ9" s="7"/>
      <c r="DA9" s="7"/>
      <c r="DB9" s="7"/>
      <c r="DC9" s="7"/>
      <c r="DD9" s="7"/>
      <c r="DE9" s="7"/>
      <c r="DF9" s="7"/>
      <c r="DG9" s="7"/>
      <c r="DH9" s="7"/>
      <c r="DI9" s="7"/>
      <c r="DJ9" s="7"/>
      <c r="DK9" s="7"/>
      <c r="DL9" s="7"/>
      <c r="DM9" s="7"/>
      <c r="DN9" s="7"/>
      <c r="DO9" s="7"/>
      <c r="DP9" s="7"/>
      <c r="DQ9" s="7"/>
      <c r="DR9" s="7"/>
      <c r="DS9" s="7"/>
      <c r="DT9" s="7"/>
      <c r="DU9" s="7"/>
      <c r="DV9" s="7"/>
      <c r="DW9" s="7"/>
      <c r="DX9" s="7"/>
      <c r="DY9" s="7"/>
      <c r="DZ9" s="7"/>
      <c r="EA9" s="7"/>
      <c r="EB9" s="7"/>
      <c r="EC9" s="7"/>
      <c r="ED9" s="7"/>
      <c r="EE9" s="7"/>
      <c r="EF9" s="7"/>
      <c r="EG9" s="7"/>
      <c r="EH9" s="7"/>
      <c r="EI9" s="7"/>
      <c r="EJ9" s="7"/>
      <c r="EK9" s="7"/>
      <c r="EL9" s="7"/>
      <c r="EM9" s="7"/>
      <c r="EN9" s="7"/>
      <c r="EO9" s="7"/>
      <c r="EP9" s="7"/>
      <c r="EQ9" s="7"/>
      <c r="ER9" s="7"/>
      <c r="ES9" s="7"/>
      <c r="ET9" s="7"/>
      <c r="EU9" s="7"/>
      <c r="EV9" s="7"/>
      <c r="EW9" s="7"/>
      <c r="EX9" s="7"/>
      <c r="EY9" s="7"/>
      <c r="EZ9" s="7"/>
      <c r="FA9" s="7"/>
      <c r="FB9" s="7"/>
      <c r="FC9" s="7"/>
      <c r="FD9" s="7"/>
      <c r="FE9" s="7"/>
      <c r="FF9" s="7"/>
      <c r="FG9" s="7"/>
      <c r="FH9" s="7"/>
      <c r="FI9" s="7"/>
      <c r="FJ9" s="7"/>
      <c r="FK9" s="7"/>
      <c r="FL9" s="7"/>
      <c r="FM9" s="7"/>
      <c r="FN9" s="7"/>
      <c r="FO9" s="7"/>
      <c r="FP9" s="7"/>
      <c r="FQ9" s="7"/>
      <c r="FR9" s="7"/>
      <c r="FS9" s="7"/>
      <c r="FT9" s="7"/>
      <c r="FU9" s="7"/>
      <c r="FV9" s="7"/>
      <c r="FW9" s="7"/>
      <c r="FX9" s="7"/>
      <c r="FY9" s="7"/>
      <c r="FZ9" s="7"/>
      <c r="GA9" s="7"/>
      <c r="GB9" s="7"/>
      <c r="GC9" s="7"/>
      <c r="GD9" s="7"/>
      <c r="GE9" s="7"/>
      <c r="GF9" s="7"/>
      <c r="GG9" s="7"/>
      <c r="GH9" s="7"/>
      <c r="GI9" s="7"/>
      <c r="GJ9" s="7"/>
      <c r="GK9" s="7"/>
      <c r="GL9" s="7"/>
      <c r="GM9" s="7"/>
      <c r="GN9" s="7"/>
      <c r="GO9" s="7"/>
      <c r="GP9" s="7"/>
      <c r="GQ9" s="7"/>
      <c r="GR9" s="7"/>
      <c r="GS9" s="7"/>
      <c r="GT9" s="7"/>
      <c r="GU9" s="7"/>
      <c r="GV9" s="7"/>
      <c r="GW9" s="7"/>
      <c r="GX9" s="7"/>
      <c r="GY9" s="7"/>
      <c r="GZ9" s="7"/>
      <c r="HA9" s="7"/>
      <c r="HB9" s="7"/>
      <c r="HC9" s="7"/>
      <c r="HD9" s="7"/>
      <c r="HE9" s="7"/>
      <c r="HF9" s="7"/>
      <c r="HG9" s="7"/>
      <c r="HH9" s="7"/>
      <c r="HI9" s="7"/>
      <c r="HJ9" s="7"/>
      <c r="HK9" s="7"/>
      <c r="HL9" s="7"/>
      <c r="HM9" s="7"/>
      <c r="HN9" s="7"/>
      <c r="HO9" s="7"/>
      <c r="HP9" s="7"/>
      <c r="HQ9" s="7"/>
      <c r="HR9" s="7"/>
      <c r="HS9" s="7"/>
      <c r="HT9" s="7"/>
      <c r="HU9" s="7"/>
      <c r="HV9" s="7"/>
      <c r="HW9" s="7"/>
      <c r="HX9" s="7"/>
      <c r="HY9" s="7"/>
      <c r="HZ9" s="7"/>
      <c r="IA9" s="7"/>
      <c r="IB9" s="7"/>
      <c r="IC9" s="7"/>
      <c r="ID9" s="7"/>
      <c r="IE9" s="7"/>
      <c r="IF9" s="7"/>
      <c r="IG9" s="7"/>
      <c r="IH9" s="7"/>
      <c r="II9" s="7"/>
      <c r="IJ9" s="7"/>
      <c r="IK9" s="7"/>
      <c r="IL9" s="7"/>
      <c r="IM9" s="7"/>
      <c r="IN9" s="7"/>
      <c r="IO9" s="7"/>
      <c r="IP9" s="7"/>
      <c r="IQ9" s="7"/>
      <c r="IR9" s="7"/>
      <c r="IS9" s="7"/>
      <c r="IT9" s="7"/>
      <c r="IU9" s="7"/>
      <c r="IV9" s="7"/>
      <c r="IW9" s="7"/>
      <c r="IX9" s="7"/>
      <c r="IY9" s="7"/>
      <c r="IZ9" s="7"/>
      <c r="JA9" s="7"/>
      <c r="JB9" s="7"/>
      <c r="JC9" s="7"/>
      <c r="JD9" s="7"/>
      <c r="JE9" s="7"/>
      <c r="JF9" s="7"/>
      <c r="JG9" s="7"/>
      <c r="JH9" s="7"/>
      <c r="JI9" s="7"/>
      <c r="JJ9" s="7"/>
      <c r="JK9" s="7"/>
      <c r="JL9" s="7"/>
      <c r="JM9" s="7"/>
      <c r="JN9" s="7"/>
      <c r="JO9" s="7"/>
      <c r="JP9" s="7"/>
      <c r="JQ9" s="7"/>
      <c r="JR9" s="7"/>
      <c r="JS9" s="7"/>
      <c r="JT9" s="7"/>
      <c r="JU9" s="7"/>
      <c r="JV9" s="7"/>
      <c r="JW9" s="7"/>
      <c r="JX9" s="7"/>
      <c r="JY9" s="7"/>
      <c r="JZ9" s="7"/>
      <c r="KA9" s="7"/>
      <c r="KB9" s="7"/>
      <c r="KC9" s="7"/>
      <c r="KD9" s="7"/>
      <c r="KE9" s="7"/>
      <c r="KF9" s="7"/>
      <c r="KG9" s="7"/>
      <c r="KH9" s="7"/>
      <c r="KI9" s="7"/>
      <c r="KJ9" s="7"/>
      <c r="KK9" s="7"/>
      <c r="KL9" s="7"/>
      <c r="KM9" s="7"/>
      <c r="KN9" s="7"/>
      <c r="KO9" s="7"/>
      <c r="KP9" s="7"/>
      <c r="KQ9" s="7"/>
      <c r="KR9" s="7"/>
      <c r="KS9" s="7"/>
      <c r="KT9" s="7"/>
      <c r="KU9" s="7"/>
      <c r="KV9" s="7"/>
      <c r="KW9" s="7"/>
      <c r="KX9" s="7"/>
      <c r="KY9" s="7"/>
      <c r="KZ9" s="7"/>
      <c r="LA9" s="7"/>
      <c r="LB9" s="7"/>
      <c r="LC9" s="7"/>
      <c r="LD9" s="7"/>
      <c r="LE9" s="7"/>
      <c r="LF9" s="7"/>
      <c r="LG9" s="7"/>
      <c r="LH9" s="7"/>
      <c r="LI9" s="7"/>
      <c r="LJ9" s="7"/>
      <c r="LK9" s="7"/>
      <c r="LL9" s="7"/>
      <c r="LM9" s="7"/>
      <c r="LN9" s="7"/>
      <c r="LO9" s="7"/>
      <c r="LP9" s="7"/>
      <c r="LQ9" s="7"/>
    </row>
    <row r="10" spans="1:329" s="8" customFormat="1" ht="15" customHeight="1" x14ac:dyDescent="0.25">
      <c r="A10" s="70">
        <v>1002119</v>
      </c>
      <c r="B10" s="33" t="s">
        <v>33</v>
      </c>
      <c r="C10" s="33" t="str">
        <f>VLOOKUP(A10,Artikeldaten!A:B,2,0)</f>
        <v>Styropor [Rechts] - Move &amp; Wolmax</v>
      </c>
      <c r="D10" s="34">
        <v>7</v>
      </c>
      <c r="E10" s="34">
        <f t="shared" si="0"/>
        <v>11.764705882352942</v>
      </c>
      <c r="F10" s="34">
        <f t="shared" si="1"/>
        <v>14</v>
      </c>
      <c r="G10" s="41"/>
      <c r="H10" s="41"/>
      <c r="I10" s="36"/>
      <c r="J10" s="35" t="s">
        <v>21</v>
      </c>
      <c r="K10" s="36"/>
      <c r="L10" s="36"/>
      <c r="M10" s="36"/>
      <c r="N10" s="36"/>
      <c r="O10" s="35" t="s">
        <v>21</v>
      </c>
      <c r="P10" s="36"/>
      <c r="Q10" s="36"/>
      <c r="R10" s="42">
        <v>7350057583845</v>
      </c>
      <c r="S10" s="43" t="s">
        <v>315</v>
      </c>
      <c r="T10" s="43">
        <v>14.5</v>
      </c>
      <c r="U10" s="43">
        <v>13.9</v>
      </c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7"/>
      <c r="BP10" s="7"/>
      <c r="BQ10" s="7"/>
      <c r="BR10" s="7"/>
      <c r="BS10" s="7"/>
      <c r="BT10" s="7"/>
      <c r="BU10" s="7"/>
      <c r="BV10" s="7"/>
      <c r="BW10" s="7"/>
      <c r="BX10" s="7"/>
      <c r="BY10" s="7"/>
      <c r="BZ10" s="7"/>
      <c r="CA10" s="7"/>
      <c r="CB10" s="7"/>
      <c r="CC10" s="7"/>
      <c r="CD10" s="7"/>
      <c r="CE10" s="7"/>
      <c r="CF10" s="7"/>
      <c r="CG10" s="7"/>
      <c r="CH10" s="7"/>
      <c r="CI10" s="7"/>
      <c r="CJ10" s="7"/>
      <c r="CK10" s="7"/>
      <c r="CL10" s="7"/>
      <c r="CM10" s="7"/>
      <c r="CN10" s="7"/>
      <c r="CO10" s="7"/>
      <c r="CP10" s="7"/>
      <c r="CQ10" s="7"/>
      <c r="CR10" s="7"/>
      <c r="CS10" s="7"/>
      <c r="CT10" s="7"/>
      <c r="CU10" s="7"/>
      <c r="CV10" s="7"/>
      <c r="CW10" s="7"/>
      <c r="CX10" s="7"/>
      <c r="CY10" s="7"/>
      <c r="CZ10" s="7"/>
      <c r="DA10" s="7"/>
      <c r="DB10" s="7"/>
      <c r="DC10" s="7"/>
      <c r="DD10" s="7"/>
      <c r="DE10" s="7"/>
      <c r="DF10" s="7"/>
      <c r="DG10" s="7"/>
      <c r="DH10" s="7"/>
      <c r="DI10" s="7"/>
      <c r="DJ10" s="7"/>
      <c r="DK10" s="7"/>
      <c r="DL10" s="7"/>
      <c r="DM10" s="7"/>
      <c r="DN10" s="7"/>
      <c r="DO10" s="7"/>
      <c r="DP10" s="7"/>
      <c r="DQ10" s="7"/>
      <c r="DR10" s="7"/>
      <c r="DS10" s="7"/>
      <c r="DT10" s="7"/>
      <c r="DU10" s="7"/>
      <c r="DV10" s="7"/>
      <c r="DW10" s="7"/>
      <c r="DX10" s="7"/>
      <c r="DY10" s="7"/>
      <c r="DZ10" s="7"/>
      <c r="EA10" s="7"/>
      <c r="EB10" s="7"/>
      <c r="EC10" s="7"/>
      <c r="ED10" s="7"/>
      <c r="EE10" s="7"/>
      <c r="EF10" s="7"/>
      <c r="EG10" s="7"/>
      <c r="EH10" s="7"/>
      <c r="EI10" s="7"/>
      <c r="EJ10" s="7"/>
      <c r="EK10" s="7"/>
      <c r="EL10" s="7"/>
      <c r="EM10" s="7"/>
      <c r="EN10" s="7"/>
      <c r="EO10" s="7"/>
      <c r="EP10" s="7"/>
      <c r="EQ10" s="7"/>
      <c r="ER10" s="7"/>
      <c r="ES10" s="7"/>
      <c r="ET10" s="7"/>
      <c r="EU10" s="7"/>
      <c r="EV10" s="7"/>
      <c r="EW10" s="7"/>
      <c r="EX10" s="7"/>
      <c r="EY10" s="7"/>
      <c r="EZ10" s="7"/>
      <c r="FA10" s="7"/>
      <c r="FB10" s="7"/>
      <c r="FC10" s="7"/>
      <c r="FD10" s="7"/>
      <c r="FE10" s="7"/>
      <c r="FF10" s="7"/>
      <c r="FG10" s="7"/>
      <c r="FH10" s="7"/>
      <c r="FI10" s="7"/>
      <c r="FJ10" s="7"/>
      <c r="FK10" s="7"/>
      <c r="FL10" s="7"/>
      <c r="FM10" s="7"/>
      <c r="FN10" s="7"/>
      <c r="FO10" s="7"/>
      <c r="FP10" s="7"/>
      <c r="FQ10" s="7"/>
      <c r="FR10" s="7"/>
      <c r="FS10" s="7"/>
      <c r="FT10" s="7"/>
      <c r="FU10" s="7"/>
      <c r="FV10" s="7"/>
      <c r="FW10" s="7"/>
      <c r="FX10" s="7"/>
      <c r="FY10" s="7"/>
      <c r="FZ10" s="7"/>
      <c r="GA10" s="7"/>
      <c r="GB10" s="7"/>
      <c r="GC10" s="7"/>
      <c r="GD10" s="7"/>
      <c r="GE10" s="7"/>
      <c r="GF10" s="7"/>
      <c r="GG10" s="7"/>
      <c r="GH10" s="7"/>
      <c r="GI10" s="7"/>
      <c r="GJ10" s="7"/>
      <c r="GK10" s="7"/>
      <c r="GL10" s="7"/>
      <c r="GM10" s="7"/>
      <c r="GN10" s="7"/>
      <c r="GO10" s="7"/>
      <c r="GP10" s="7"/>
      <c r="GQ10" s="7"/>
      <c r="GR10" s="7"/>
      <c r="GS10" s="7"/>
      <c r="GT10" s="7"/>
      <c r="GU10" s="7"/>
      <c r="GV10" s="7"/>
      <c r="GW10" s="7"/>
      <c r="GX10" s="7"/>
      <c r="GY10" s="7"/>
      <c r="GZ10" s="7"/>
      <c r="HA10" s="7"/>
      <c r="HB10" s="7"/>
      <c r="HC10" s="7"/>
      <c r="HD10" s="7"/>
      <c r="HE10" s="7"/>
      <c r="HF10" s="7"/>
      <c r="HG10" s="7"/>
      <c r="HH10" s="7"/>
      <c r="HI10" s="7"/>
      <c r="HJ10" s="7"/>
      <c r="HK10" s="7"/>
      <c r="HL10" s="7"/>
      <c r="HM10" s="7"/>
      <c r="HN10" s="7"/>
      <c r="HO10" s="7"/>
      <c r="HP10" s="7"/>
      <c r="HQ10" s="7"/>
      <c r="HR10" s="7"/>
      <c r="HS10" s="7"/>
      <c r="HT10" s="7"/>
      <c r="HU10" s="7"/>
      <c r="HV10" s="7"/>
      <c r="HW10" s="7"/>
      <c r="HX10" s="7"/>
      <c r="HY10" s="7"/>
      <c r="HZ10" s="7"/>
      <c r="IA10" s="7"/>
      <c r="IB10" s="7"/>
      <c r="IC10" s="7"/>
      <c r="ID10" s="7"/>
      <c r="IE10" s="7"/>
      <c r="IF10" s="7"/>
      <c r="IG10" s="7"/>
      <c r="IH10" s="7"/>
      <c r="II10" s="7"/>
      <c r="IJ10" s="7"/>
      <c r="IK10" s="7"/>
      <c r="IL10" s="7"/>
      <c r="IM10" s="7"/>
      <c r="IN10" s="7"/>
      <c r="IO10" s="7"/>
      <c r="IP10" s="7"/>
      <c r="IQ10" s="7"/>
      <c r="IR10" s="7"/>
      <c r="IS10" s="7"/>
      <c r="IT10" s="7"/>
      <c r="IU10" s="7"/>
      <c r="IV10" s="7"/>
      <c r="IW10" s="7"/>
      <c r="IX10" s="7"/>
      <c r="IY10" s="7"/>
      <c r="IZ10" s="7"/>
      <c r="JA10" s="7"/>
      <c r="JB10" s="7"/>
      <c r="JC10" s="7"/>
      <c r="JD10" s="7"/>
      <c r="JE10" s="7"/>
      <c r="JF10" s="7"/>
      <c r="JG10" s="7"/>
      <c r="JH10" s="7"/>
      <c r="JI10" s="7"/>
      <c r="JJ10" s="7"/>
      <c r="JK10" s="7"/>
      <c r="JL10" s="7"/>
      <c r="JM10" s="7"/>
      <c r="JN10" s="7"/>
      <c r="JO10" s="7"/>
      <c r="JP10" s="7"/>
      <c r="JQ10" s="7"/>
      <c r="JR10" s="7"/>
      <c r="JS10" s="7"/>
      <c r="JT10" s="7"/>
      <c r="JU10" s="7"/>
      <c r="JV10" s="7"/>
      <c r="JW10" s="7"/>
      <c r="JX10" s="7"/>
      <c r="JY10" s="7"/>
      <c r="JZ10" s="7"/>
      <c r="KA10" s="7"/>
      <c r="KB10" s="7"/>
      <c r="KC10" s="7"/>
      <c r="KD10" s="7"/>
      <c r="KE10" s="7"/>
      <c r="KF10" s="7"/>
      <c r="KG10" s="7"/>
      <c r="KH10" s="7"/>
      <c r="KI10" s="7"/>
      <c r="KJ10" s="7"/>
      <c r="KK10" s="7"/>
      <c r="KL10" s="7"/>
      <c r="KM10" s="7"/>
      <c r="KN10" s="7"/>
      <c r="KO10" s="7"/>
      <c r="KP10" s="7"/>
      <c r="KQ10" s="7"/>
      <c r="KR10" s="7"/>
      <c r="KS10" s="7"/>
      <c r="KT10" s="7"/>
      <c r="KU10" s="7"/>
      <c r="KV10" s="7"/>
      <c r="KW10" s="7"/>
      <c r="KX10" s="7"/>
      <c r="KY10" s="7"/>
      <c r="KZ10" s="7"/>
      <c r="LA10" s="7"/>
      <c r="LB10" s="7"/>
      <c r="LC10" s="7"/>
      <c r="LD10" s="7"/>
      <c r="LE10" s="7"/>
      <c r="LF10" s="7"/>
      <c r="LG10" s="7"/>
      <c r="LH10" s="7"/>
      <c r="LI10" s="7"/>
      <c r="LJ10" s="7"/>
      <c r="LK10" s="7"/>
      <c r="LL10" s="7"/>
      <c r="LM10" s="7"/>
      <c r="LN10" s="7"/>
      <c r="LO10" s="7"/>
      <c r="LP10" s="7"/>
      <c r="LQ10" s="7"/>
    </row>
    <row r="11" spans="1:329" s="8" customFormat="1" ht="15" customHeight="1" x14ac:dyDescent="0.25">
      <c r="A11" s="71">
        <v>1002202</v>
      </c>
      <c r="B11" s="44" t="s">
        <v>35</v>
      </c>
      <c r="C11" s="44" t="str">
        <f>VLOOKUP(A11,Artikeldaten!A:B,2,0)</f>
        <v>Tannenbaum</v>
      </c>
      <c r="D11" s="45">
        <v>3</v>
      </c>
      <c r="E11" s="45">
        <f t="shared" si="0"/>
        <v>5.0420168067226889</v>
      </c>
      <c r="F11" s="45">
        <f t="shared" si="1"/>
        <v>6</v>
      </c>
      <c r="G11" s="41"/>
      <c r="H11" s="41"/>
      <c r="I11" s="35" t="s">
        <v>21</v>
      </c>
      <c r="J11" s="35" t="s">
        <v>21</v>
      </c>
      <c r="K11" s="35" t="s">
        <v>21</v>
      </c>
      <c r="L11" s="36"/>
      <c r="M11" s="36"/>
      <c r="N11" s="35" t="s">
        <v>21</v>
      </c>
      <c r="O11" s="35" t="s">
        <v>21</v>
      </c>
      <c r="P11" s="35" t="s">
        <v>21</v>
      </c>
      <c r="Q11" s="35" t="s">
        <v>21</v>
      </c>
      <c r="R11" s="42">
        <v>7350057583395</v>
      </c>
      <c r="S11" s="43" t="s">
        <v>316</v>
      </c>
      <c r="T11" s="43">
        <v>0.7</v>
      </c>
      <c r="U11" s="43">
        <v>0.5</v>
      </c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</row>
    <row r="12" spans="1:329" s="8" customFormat="1" ht="15" customHeight="1" x14ac:dyDescent="0.25">
      <c r="A12" s="70">
        <v>1002287</v>
      </c>
      <c r="B12" s="33" t="s">
        <v>37</v>
      </c>
      <c r="C12" s="33" t="str">
        <f>VLOOKUP(A12,Artikeldaten!A:B,2,0)</f>
        <v>Styropor [Links] - Minikid 2</v>
      </c>
      <c r="D12" s="34">
        <v>7</v>
      </c>
      <c r="E12" s="34">
        <f t="shared" si="0"/>
        <v>11.764705882352942</v>
      </c>
      <c r="F12" s="34">
        <f t="shared" si="1"/>
        <v>14</v>
      </c>
      <c r="G12" s="41"/>
      <c r="H12" s="41"/>
      <c r="I12" s="35" t="s">
        <v>21</v>
      </c>
      <c r="J12" s="36"/>
      <c r="K12" s="36"/>
      <c r="L12" s="36"/>
      <c r="M12" s="36"/>
      <c r="N12" s="36"/>
      <c r="O12" s="36"/>
      <c r="P12" s="36"/>
      <c r="Q12" s="36"/>
      <c r="R12" s="42">
        <v>7350057583814</v>
      </c>
      <c r="S12" s="43" t="s">
        <v>317</v>
      </c>
      <c r="T12" s="43">
        <v>0.83</v>
      </c>
      <c r="U12" s="43">
        <v>0.34</v>
      </c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  <c r="BO12" s="7"/>
      <c r="BP12" s="7"/>
      <c r="BQ12" s="7"/>
      <c r="BR12" s="7"/>
      <c r="BS12" s="7"/>
      <c r="BT12" s="7"/>
      <c r="BU12" s="7"/>
      <c r="BV12" s="7"/>
      <c r="BW12" s="7"/>
      <c r="BX12" s="7"/>
      <c r="BY12" s="7"/>
      <c r="BZ12" s="7"/>
      <c r="CA12" s="7"/>
      <c r="CB12" s="7"/>
      <c r="CC12" s="7"/>
      <c r="CD12" s="7"/>
      <c r="CE12" s="7"/>
      <c r="CF12" s="7"/>
      <c r="CG12" s="7"/>
      <c r="CH12" s="7"/>
      <c r="CI12" s="7"/>
      <c r="CJ12" s="7"/>
      <c r="CK12" s="7"/>
      <c r="CL12" s="7"/>
      <c r="CM12" s="7"/>
      <c r="CN12" s="7"/>
      <c r="CO12" s="7"/>
      <c r="CP12" s="7"/>
      <c r="CQ12" s="7"/>
      <c r="CR12" s="7"/>
      <c r="CS12" s="7"/>
      <c r="CT12" s="7"/>
      <c r="CU12" s="7"/>
      <c r="CV12" s="7"/>
      <c r="CW12" s="7"/>
      <c r="CX12" s="7"/>
      <c r="CY12" s="7"/>
      <c r="CZ12" s="7"/>
      <c r="DA12" s="7"/>
      <c r="DB12" s="7"/>
      <c r="DC12" s="7"/>
      <c r="DD12" s="7"/>
      <c r="DE12" s="7"/>
      <c r="DF12" s="7"/>
      <c r="DG12" s="7"/>
      <c r="DH12" s="7"/>
      <c r="DI12" s="7"/>
      <c r="DJ12" s="7"/>
      <c r="DK12" s="7"/>
      <c r="DL12" s="7"/>
      <c r="DM12" s="7"/>
      <c r="DN12" s="7"/>
      <c r="DO12" s="7"/>
      <c r="DP12" s="7"/>
      <c r="DQ12" s="7"/>
      <c r="DR12" s="7"/>
      <c r="DS12" s="7"/>
      <c r="DT12" s="7"/>
      <c r="DU12" s="7"/>
      <c r="DV12" s="7"/>
      <c r="DW12" s="7"/>
      <c r="DX12" s="7"/>
      <c r="DY12" s="7"/>
      <c r="DZ12" s="7"/>
      <c r="EA12" s="7"/>
      <c r="EB12" s="7"/>
      <c r="EC12" s="7"/>
      <c r="ED12" s="7"/>
      <c r="EE12" s="7"/>
      <c r="EF12" s="7"/>
      <c r="EG12" s="7"/>
      <c r="EH12" s="7"/>
      <c r="EI12" s="7"/>
      <c r="EJ12" s="7"/>
      <c r="EK12" s="7"/>
      <c r="EL12" s="7"/>
      <c r="EM12" s="7"/>
      <c r="EN12" s="7"/>
      <c r="EO12" s="7"/>
      <c r="EP12" s="7"/>
      <c r="EQ12" s="7"/>
      <c r="ER12" s="7"/>
      <c r="ES12" s="7"/>
      <c r="ET12" s="7"/>
      <c r="EU12" s="7"/>
      <c r="EV12" s="7"/>
      <c r="EW12" s="7"/>
      <c r="EX12" s="7"/>
      <c r="EY12" s="7"/>
      <c r="EZ12" s="7"/>
      <c r="FA12" s="7"/>
      <c r="FB12" s="7"/>
      <c r="FC12" s="7"/>
      <c r="FD12" s="7"/>
      <c r="FE12" s="7"/>
      <c r="FF12" s="7"/>
      <c r="FG12" s="7"/>
      <c r="FH12" s="7"/>
      <c r="FI12" s="7"/>
      <c r="FJ12" s="7"/>
      <c r="FK12" s="7"/>
      <c r="FL12" s="7"/>
      <c r="FM12" s="7"/>
      <c r="FN12" s="7"/>
      <c r="FO12" s="7"/>
      <c r="FP12" s="7"/>
      <c r="FQ12" s="7"/>
      <c r="FR12" s="7"/>
      <c r="FS12" s="7"/>
      <c r="FT12" s="7"/>
      <c r="FU12" s="7"/>
      <c r="FV12" s="7"/>
      <c r="FW12" s="7"/>
      <c r="FX12" s="7"/>
      <c r="FY12" s="7"/>
      <c r="FZ12" s="7"/>
      <c r="GA12" s="7"/>
      <c r="GB12" s="7"/>
      <c r="GC12" s="7"/>
      <c r="GD12" s="7"/>
      <c r="GE12" s="7"/>
      <c r="GF12" s="7"/>
      <c r="GG12" s="7"/>
      <c r="GH12" s="7"/>
      <c r="GI12" s="7"/>
      <c r="GJ12" s="7"/>
      <c r="GK12" s="7"/>
      <c r="GL12" s="7"/>
      <c r="GM12" s="7"/>
      <c r="GN12" s="7"/>
      <c r="GO12" s="7"/>
      <c r="GP12" s="7"/>
      <c r="GQ12" s="7"/>
      <c r="GR12" s="7"/>
      <c r="GS12" s="7"/>
      <c r="GT12" s="7"/>
      <c r="GU12" s="7"/>
      <c r="GV12" s="7"/>
      <c r="GW12" s="7"/>
      <c r="GX12" s="7"/>
      <c r="GY12" s="7"/>
      <c r="GZ12" s="7"/>
      <c r="HA12" s="7"/>
      <c r="HB12" s="7"/>
      <c r="HC12" s="7"/>
      <c r="HD12" s="7"/>
      <c r="HE12" s="7"/>
      <c r="HF12" s="7"/>
      <c r="HG12" s="7"/>
      <c r="HH12" s="7"/>
      <c r="HI12" s="7"/>
      <c r="HJ12" s="7"/>
      <c r="HK12" s="7"/>
      <c r="HL12" s="7"/>
      <c r="HM12" s="7"/>
      <c r="HN12" s="7"/>
      <c r="HO12" s="7"/>
      <c r="HP12" s="7"/>
      <c r="HQ12" s="7"/>
      <c r="HR12" s="7"/>
      <c r="HS12" s="7"/>
      <c r="HT12" s="7"/>
      <c r="HU12" s="7"/>
      <c r="HV12" s="7"/>
      <c r="HW12" s="7"/>
      <c r="HX12" s="7"/>
      <c r="HY12" s="7"/>
      <c r="HZ12" s="7"/>
      <c r="IA12" s="7"/>
      <c r="IB12" s="7"/>
      <c r="IC12" s="7"/>
      <c r="ID12" s="7"/>
      <c r="IE12" s="7"/>
      <c r="IF12" s="7"/>
      <c r="IG12" s="7"/>
      <c r="IH12" s="7"/>
      <c r="II12" s="7"/>
      <c r="IJ12" s="7"/>
      <c r="IK12" s="7"/>
      <c r="IL12" s="7"/>
      <c r="IM12" s="7"/>
      <c r="IN12" s="7"/>
      <c r="IO12" s="7"/>
      <c r="IP12" s="7"/>
      <c r="IQ12" s="7"/>
      <c r="IR12" s="7"/>
      <c r="IS12" s="7"/>
      <c r="IT12" s="7"/>
      <c r="IU12" s="7"/>
      <c r="IV12" s="7"/>
      <c r="IW12" s="7"/>
      <c r="IX12" s="7"/>
      <c r="IY12" s="7"/>
      <c r="IZ12" s="7"/>
      <c r="JA12" s="7"/>
      <c r="JB12" s="7"/>
      <c r="JC12" s="7"/>
      <c r="JD12" s="7"/>
      <c r="JE12" s="7"/>
      <c r="JF12" s="7"/>
      <c r="JG12" s="7"/>
      <c r="JH12" s="7"/>
      <c r="JI12" s="7"/>
      <c r="JJ12" s="7"/>
      <c r="JK12" s="7"/>
      <c r="JL12" s="7"/>
      <c r="JM12" s="7"/>
      <c r="JN12" s="7"/>
      <c r="JO12" s="7"/>
      <c r="JP12" s="7"/>
      <c r="JQ12" s="7"/>
      <c r="JR12" s="7"/>
      <c r="JS12" s="7"/>
      <c r="JT12" s="7"/>
      <c r="JU12" s="7"/>
      <c r="JV12" s="7"/>
      <c r="JW12" s="7"/>
      <c r="JX12" s="7"/>
      <c r="JY12" s="7"/>
      <c r="JZ12" s="7"/>
      <c r="KA12" s="7"/>
      <c r="KB12" s="7"/>
      <c r="KC12" s="7"/>
      <c r="KD12" s="7"/>
      <c r="KE12" s="7"/>
      <c r="KF12" s="7"/>
      <c r="KG12" s="7"/>
      <c r="KH12" s="7"/>
      <c r="KI12" s="7"/>
      <c r="KJ12" s="7"/>
      <c r="KK12" s="7"/>
      <c r="KL12" s="7"/>
      <c r="KM12" s="7"/>
      <c r="KN12" s="7"/>
      <c r="KO12" s="7"/>
      <c r="KP12" s="7"/>
      <c r="KQ12" s="7"/>
      <c r="KR12" s="7"/>
      <c r="KS12" s="7"/>
      <c r="KT12" s="7"/>
      <c r="KU12" s="7"/>
      <c r="KV12" s="7"/>
      <c r="KW12" s="7"/>
      <c r="KX12" s="7"/>
      <c r="KY12" s="7"/>
      <c r="KZ12" s="7"/>
      <c r="LA12" s="7"/>
      <c r="LB12" s="7"/>
      <c r="LC12" s="7"/>
      <c r="LD12" s="7"/>
      <c r="LE12" s="7"/>
      <c r="LF12" s="7"/>
      <c r="LG12" s="7"/>
      <c r="LH12" s="7"/>
      <c r="LI12" s="7"/>
      <c r="LJ12" s="7"/>
      <c r="LK12" s="7"/>
      <c r="LL12" s="7"/>
      <c r="LM12" s="7"/>
      <c r="LN12" s="7"/>
      <c r="LO12" s="7"/>
      <c r="LP12" s="7"/>
      <c r="LQ12" s="7"/>
    </row>
    <row r="13" spans="1:329" s="8" customFormat="1" ht="15" customHeight="1" x14ac:dyDescent="0.25">
      <c r="A13" s="70">
        <v>1002288</v>
      </c>
      <c r="B13" s="33" t="s">
        <v>39</v>
      </c>
      <c r="C13" s="33" t="str">
        <f>VLOOKUP(A13,Artikeldaten!A:B,2,0)</f>
        <v>Styropor [Rechts] - Minikid 2</v>
      </c>
      <c r="D13" s="34">
        <v>7</v>
      </c>
      <c r="E13" s="34">
        <f t="shared" si="0"/>
        <v>11.764705882352942</v>
      </c>
      <c r="F13" s="34">
        <f t="shared" si="1"/>
        <v>14</v>
      </c>
      <c r="G13" s="41"/>
      <c r="H13" s="41"/>
      <c r="I13" s="35" t="s">
        <v>21</v>
      </c>
      <c r="J13" s="36"/>
      <c r="K13" s="36"/>
      <c r="L13" s="36"/>
      <c r="M13" s="36"/>
      <c r="N13" s="36"/>
      <c r="O13" s="36"/>
      <c r="P13" s="36"/>
      <c r="Q13" s="36"/>
      <c r="R13" s="42">
        <v>7350057583821</v>
      </c>
      <c r="S13" s="43" t="s">
        <v>314</v>
      </c>
      <c r="T13" s="43">
        <v>1.1599999999999999</v>
      </c>
      <c r="U13" s="43">
        <v>1</v>
      </c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  <c r="BS13" s="7"/>
      <c r="BT13" s="7"/>
      <c r="BU13" s="7"/>
      <c r="BV13" s="7"/>
      <c r="BW13" s="7"/>
      <c r="BX13" s="7"/>
      <c r="BY13" s="7"/>
      <c r="BZ13" s="7"/>
      <c r="CA13" s="7"/>
      <c r="CB13" s="7"/>
      <c r="CC13" s="7"/>
      <c r="CD13" s="7"/>
      <c r="CE13" s="7"/>
      <c r="CF13" s="7"/>
      <c r="CG13" s="7"/>
      <c r="CH13" s="7"/>
      <c r="CI13" s="7"/>
      <c r="CJ13" s="7"/>
      <c r="CK13" s="7"/>
      <c r="CL13" s="7"/>
      <c r="CM13" s="7"/>
      <c r="CN13" s="7"/>
      <c r="CO13" s="7"/>
      <c r="CP13" s="7"/>
      <c r="CQ13" s="7"/>
      <c r="CR13" s="7"/>
      <c r="CS13" s="7"/>
      <c r="CT13" s="7"/>
      <c r="CU13" s="7"/>
      <c r="CV13" s="7"/>
      <c r="CW13" s="7"/>
      <c r="CX13" s="7"/>
      <c r="CY13" s="7"/>
      <c r="CZ13" s="7"/>
      <c r="DA13" s="7"/>
      <c r="DB13" s="7"/>
      <c r="DC13" s="7"/>
      <c r="DD13" s="7"/>
      <c r="DE13" s="7"/>
      <c r="DF13" s="7"/>
      <c r="DG13" s="7"/>
      <c r="DH13" s="7"/>
      <c r="DI13" s="7"/>
      <c r="DJ13" s="7"/>
      <c r="DK13" s="7"/>
      <c r="DL13" s="7"/>
      <c r="DM13" s="7"/>
      <c r="DN13" s="7"/>
      <c r="DO13" s="7"/>
      <c r="DP13" s="7"/>
      <c r="DQ13" s="7"/>
      <c r="DR13" s="7"/>
      <c r="DS13" s="7"/>
      <c r="DT13" s="7"/>
      <c r="DU13" s="7"/>
      <c r="DV13" s="7"/>
      <c r="DW13" s="7"/>
      <c r="DX13" s="7"/>
      <c r="DY13" s="7"/>
      <c r="DZ13" s="7"/>
      <c r="EA13" s="7"/>
      <c r="EB13" s="7"/>
      <c r="EC13" s="7"/>
      <c r="ED13" s="7"/>
      <c r="EE13" s="7"/>
      <c r="EF13" s="7"/>
      <c r="EG13" s="7"/>
      <c r="EH13" s="7"/>
      <c r="EI13" s="7"/>
      <c r="EJ13" s="7"/>
      <c r="EK13" s="7"/>
      <c r="EL13" s="7"/>
      <c r="EM13" s="7"/>
      <c r="EN13" s="7"/>
      <c r="EO13" s="7"/>
      <c r="EP13" s="7"/>
      <c r="EQ13" s="7"/>
      <c r="ER13" s="7"/>
      <c r="ES13" s="7"/>
      <c r="ET13" s="7"/>
      <c r="EU13" s="7"/>
      <c r="EV13" s="7"/>
      <c r="EW13" s="7"/>
      <c r="EX13" s="7"/>
      <c r="EY13" s="7"/>
      <c r="EZ13" s="7"/>
      <c r="FA13" s="7"/>
      <c r="FB13" s="7"/>
      <c r="FC13" s="7"/>
      <c r="FD13" s="7"/>
      <c r="FE13" s="7"/>
      <c r="FF13" s="7"/>
      <c r="FG13" s="7"/>
      <c r="FH13" s="7"/>
      <c r="FI13" s="7"/>
      <c r="FJ13" s="7"/>
      <c r="FK13" s="7"/>
      <c r="FL13" s="7"/>
      <c r="FM13" s="7"/>
      <c r="FN13" s="7"/>
      <c r="FO13" s="7"/>
      <c r="FP13" s="7"/>
      <c r="FQ13" s="7"/>
      <c r="FR13" s="7"/>
      <c r="FS13" s="7"/>
      <c r="FT13" s="7"/>
      <c r="FU13" s="7"/>
      <c r="FV13" s="7"/>
      <c r="FW13" s="7"/>
      <c r="FX13" s="7"/>
      <c r="FY13" s="7"/>
      <c r="FZ13" s="7"/>
      <c r="GA13" s="7"/>
      <c r="GB13" s="7"/>
      <c r="GC13" s="7"/>
      <c r="GD13" s="7"/>
      <c r="GE13" s="7"/>
      <c r="GF13" s="7"/>
      <c r="GG13" s="7"/>
      <c r="GH13" s="7"/>
      <c r="GI13" s="7"/>
      <c r="GJ13" s="7"/>
      <c r="GK13" s="7"/>
      <c r="GL13" s="7"/>
      <c r="GM13" s="7"/>
      <c r="GN13" s="7"/>
      <c r="GO13" s="7"/>
      <c r="GP13" s="7"/>
      <c r="GQ13" s="7"/>
      <c r="GR13" s="7"/>
      <c r="GS13" s="7"/>
      <c r="GT13" s="7"/>
      <c r="GU13" s="7"/>
      <c r="GV13" s="7"/>
      <c r="GW13" s="7"/>
      <c r="GX13" s="7"/>
      <c r="GY13" s="7"/>
      <c r="GZ13" s="7"/>
      <c r="HA13" s="7"/>
      <c r="HB13" s="7"/>
      <c r="HC13" s="7"/>
      <c r="HD13" s="7"/>
      <c r="HE13" s="7"/>
      <c r="HF13" s="7"/>
      <c r="HG13" s="7"/>
      <c r="HH13" s="7"/>
      <c r="HI13" s="7"/>
      <c r="HJ13" s="7"/>
      <c r="HK13" s="7"/>
      <c r="HL13" s="7"/>
      <c r="HM13" s="7"/>
      <c r="HN13" s="7"/>
      <c r="HO13" s="7"/>
      <c r="HP13" s="7"/>
      <c r="HQ13" s="7"/>
      <c r="HR13" s="7"/>
      <c r="HS13" s="7"/>
      <c r="HT13" s="7"/>
      <c r="HU13" s="7"/>
      <c r="HV13" s="7"/>
      <c r="HW13" s="7"/>
      <c r="HX13" s="7"/>
      <c r="HY13" s="7"/>
      <c r="HZ13" s="7"/>
      <c r="IA13" s="7"/>
      <c r="IB13" s="7"/>
      <c r="IC13" s="7"/>
      <c r="ID13" s="7"/>
      <c r="IE13" s="7"/>
      <c r="IF13" s="7"/>
      <c r="IG13" s="7"/>
      <c r="IH13" s="7"/>
      <c r="II13" s="7"/>
      <c r="IJ13" s="7"/>
      <c r="IK13" s="7"/>
      <c r="IL13" s="7"/>
      <c r="IM13" s="7"/>
      <c r="IN13" s="7"/>
      <c r="IO13" s="7"/>
      <c r="IP13" s="7"/>
      <c r="IQ13" s="7"/>
      <c r="IR13" s="7"/>
      <c r="IS13" s="7"/>
      <c r="IT13" s="7"/>
      <c r="IU13" s="7"/>
      <c r="IV13" s="7"/>
      <c r="IW13" s="7"/>
      <c r="IX13" s="7"/>
      <c r="IY13" s="7"/>
      <c r="IZ13" s="7"/>
      <c r="JA13" s="7"/>
      <c r="JB13" s="7"/>
      <c r="JC13" s="7"/>
      <c r="JD13" s="7"/>
      <c r="JE13" s="7"/>
      <c r="JF13" s="7"/>
      <c r="JG13" s="7"/>
      <c r="JH13" s="7"/>
      <c r="JI13" s="7"/>
      <c r="JJ13" s="7"/>
      <c r="JK13" s="7"/>
      <c r="JL13" s="7"/>
      <c r="JM13" s="7"/>
      <c r="JN13" s="7"/>
      <c r="JO13" s="7"/>
      <c r="JP13" s="7"/>
      <c r="JQ13" s="7"/>
      <c r="JR13" s="7"/>
      <c r="JS13" s="7"/>
      <c r="JT13" s="7"/>
      <c r="JU13" s="7"/>
      <c r="JV13" s="7"/>
      <c r="JW13" s="7"/>
      <c r="JX13" s="7"/>
      <c r="JY13" s="7"/>
      <c r="JZ13" s="7"/>
      <c r="KA13" s="7"/>
      <c r="KB13" s="7"/>
      <c r="KC13" s="7"/>
      <c r="KD13" s="7"/>
      <c r="KE13" s="7"/>
      <c r="KF13" s="7"/>
      <c r="KG13" s="7"/>
      <c r="KH13" s="7"/>
      <c r="KI13" s="7"/>
      <c r="KJ13" s="7"/>
      <c r="KK13" s="7"/>
      <c r="KL13" s="7"/>
      <c r="KM13" s="7"/>
      <c r="KN13" s="7"/>
      <c r="KO13" s="7"/>
      <c r="KP13" s="7"/>
      <c r="KQ13" s="7"/>
      <c r="KR13" s="7"/>
      <c r="KS13" s="7"/>
      <c r="KT13" s="7"/>
      <c r="KU13" s="7"/>
      <c r="KV13" s="7"/>
      <c r="KW13" s="7"/>
      <c r="KX13" s="7"/>
      <c r="KY13" s="7"/>
      <c r="KZ13" s="7"/>
      <c r="LA13" s="7"/>
      <c r="LB13" s="7"/>
      <c r="LC13" s="7"/>
      <c r="LD13" s="7"/>
      <c r="LE13" s="7"/>
      <c r="LF13" s="7"/>
      <c r="LG13" s="7"/>
      <c r="LH13" s="7"/>
      <c r="LI13" s="7"/>
      <c r="LJ13" s="7"/>
      <c r="LK13" s="7"/>
      <c r="LL13" s="7"/>
      <c r="LM13" s="7"/>
      <c r="LN13" s="7"/>
      <c r="LO13" s="7"/>
      <c r="LP13" s="7"/>
      <c r="LQ13" s="7"/>
    </row>
    <row r="14" spans="1:329" s="8" customFormat="1" ht="15" customHeight="1" x14ac:dyDescent="0.25">
      <c r="A14" s="70">
        <v>1002321</v>
      </c>
      <c r="B14" s="33" t="s">
        <v>41</v>
      </c>
      <c r="C14" s="33" t="str">
        <f>VLOOKUP(A14,Artikeldaten!A:B,2,0)</f>
        <v>Schaumstoff Sitzfläche Geklebt - Modukid Seat</v>
      </c>
      <c r="D14" s="34">
        <v>4</v>
      </c>
      <c r="E14" s="34">
        <f t="shared" si="0"/>
        <v>6.7226890756302522</v>
      </c>
      <c r="F14" s="34">
        <f t="shared" si="1"/>
        <v>8</v>
      </c>
      <c r="G14" s="41"/>
      <c r="H14" s="41"/>
      <c r="I14" s="35"/>
      <c r="J14" s="35"/>
      <c r="K14" s="35"/>
      <c r="L14" s="35" t="s">
        <v>21</v>
      </c>
      <c r="M14" s="36"/>
      <c r="N14" s="35"/>
      <c r="O14" s="35"/>
      <c r="P14" s="35"/>
      <c r="Q14" s="35"/>
      <c r="R14" s="42">
        <v>7350057583739</v>
      </c>
      <c r="S14" s="43" t="s">
        <v>318</v>
      </c>
      <c r="T14" s="43">
        <v>3.45</v>
      </c>
      <c r="U14" s="43">
        <v>3</v>
      </c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  <c r="DH14" s="7"/>
      <c r="DI14" s="7"/>
      <c r="DJ14" s="7"/>
      <c r="DK14" s="7"/>
      <c r="DL14" s="7"/>
      <c r="DM14" s="7"/>
      <c r="DN14" s="7"/>
      <c r="DO14" s="7"/>
      <c r="DP14" s="7"/>
      <c r="DQ14" s="7"/>
      <c r="DR14" s="7"/>
      <c r="DS14" s="7"/>
      <c r="DT14" s="7"/>
      <c r="DU14" s="7"/>
      <c r="DV14" s="7"/>
      <c r="DW14" s="7"/>
      <c r="DX14" s="7"/>
      <c r="DY14" s="7"/>
      <c r="DZ14" s="7"/>
      <c r="EA14" s="7"/>
      <c r="EB14" s="7"/>
      <c r="EC14" s="7"/>
      <c r="ED14" s="7"/>
      <c r="EE14" s="7"/>
      <c r="EF14" s="7"/>
      <c r="EG14" s="7"/>
      <c r="EH14" s="7"/>
      <c r="EI14" s="7"/>
      <c r="EJ14" s="7"/>
      <c r="EK14" s="7"/>
      <c r="EL14" s="7"/>
      <c r="EM14" s="7"/>
      <c r="EN14" s="7"/>
      <c r="EO14" s="7"/>
      <c r="EP14" s="7"/>
      <c r="EQ14" s="7"/>
      <c r="ER14" s="7"/>
      <c r="ES14" s="7"/>
      <c r="ET14" s="7"/>
      <c r="EU14" s="7"/>
      <c r="EV14" s="7"/>
      <c r="EW14" s="7"/>
      <c r="EX14" s="7"/>
      <c r="EY14" s="7"/>
      <c r="EZ14" s="7"/>
      <c r="FA14" s="7"/>
      <c r="FB14" s="7"/>
      <c r="FC14" s="7"/>
      <c r="FD14" s="7"/>
      <c r="FE14" s="7"/>
      <c r="FF14" s="7"/>
      <c r="FG14" s="7"/>
      <c r="FH14" s="7"/>
      <c r="FI14" s="7"/>
      <c r="FJ14" s="7"/>
      <c r="FK14" s="7"/>
      <c r="FL14" s="7"/>
      <c r="FM14" s="7"/>
      <c r="FN14" s="7"/>
      <c r="FO14" s="7"/>
      <c r="FP14" s="7"/>
      <c r="FQ14" s="7"/>
      <c r="FR14" s="7"/>
      <c r="FS14" s="7"/>
      <c r="FT14" s="7"/>
      <c r="FU14" s="7"/>
      <c r="FV14" s="7"/>
      <c r="FW14" s="7"/>
      <c r="FX14" s="7"/>
      <c r="FY14" s="7"/>
      <c r="FZ14" s="7"/>
      <c r="GA14" s="7"/>
      <c r="GB14" s="7"/>
      <c r="GC14" s="7"/>
      <c r="GD14" s="7"/>
      <c r="GE14" s="7"/>
      <c r="GF14" s="7"/>
      <c r="GG14" s="7"/>
      <c r="GH14" s="7"/>
      <c r="GI14" s="7"/>
      <c r="GJ14" s="7"/>
      <c r="GK14" s="7"/>
      <c r="GL14" s="7"/>
      <c r="GM14" s="7"/>
      <c r="GN14" s="7"/>
      <c r="GO14" s="7"/>
      <c r="GP14" s="7"/>
      <c r="GQ14" s="7"/>
      <c r="GR14" s="7"/>
      <c r="GS14" s="7"/>
      <c r="GT14" s="7"/>
      <c r="GU14" s="7"/>
      <c r="GV14" s="7"/>
      <c r="GW14" s="7"/>
      <c r="GX14" s="7"/>
      <c r="GY14" s="7"/>
      <c r="GZ14" s="7"/>
      <c r="HA14" s="7"/>
      <c r="HB14" s="7"/>
      <c r="HC14" s="7"/>
      <c r="HD14" s="7"/>
      <c r="HE14" s="7"/>
      <c r="HF14" s="7"/>
      <c r="HG14" s="7"/>
      <c r="HH14" s="7"/>
      <c r="HI14" s="7"/>
      <c r="HJ14" s="7"/>
      <c r="HK14" s="7"/>
      <c r="HL14" s="7"/>
      <c r="HM14" s="7"/>
      <c r="HN14" s="7"/>
      <c r="HO14" s="7"/>
      <c r="HP14" s="7"/>
      <c r="HQ14" s="7"/>
      <c r="HR14" s="7"/>
      <c r="HS14" s="7"/>
      <c r="HT14" s="7"/>
      <c r="HU14" s="7"/>
      <c r="HV14" s="7"/>
      <c r="HW14" s="7"/>
      <c r="HX14" s="7"/>
      <c r="HY14" s="7"/>
      <c r="HZ14" s="7"/>
      <c r="IA14" s="7"/>
      <c r="IB14" s="7"/>
      <c r="IC14" s="7"/>
      <c r="ID14" s="7"/>
      <c r="IE14" s="7"/>
      <c r="IF14" s="7"/>
      <c r="IG14" s="7"/>
      <c r="IH14" s="7"/>
      <c r="II14" s="7"/>
      <c r="IJ14" s="7"/>
      <c r="IK14" s="7"/>
      <c r="IL14" s="7"/>
      <c r="IM14" s="7"/>
      <c r="IN14" s="7"/>
      <c r="IO14" s="7"/>
      <c r="IP14" s="7"/>
      <c r="IQ14" s="7"/>
      <c r="IR14" s="7"/>
      <c r="IS14" s="7"/>
      <c r="IT14" s="7"/>
      <c r="IU14" s="7"/>
      <c r="IV14" s="7"/>
      <c r="IW14" s="7"/>
      <c r="IX14" s="7"/>
      <c r="IY14" s="7"/>
      <c r="IZ14" s="7"/>
      <c r="JA14" s="7"/>
      <c r="JB14" s="7"/>
      <c r="JC14" s="7"/>
      <c r="JD14" s="7"/>
      <c r="JE14" s="7"/>
      <c r="JF14" s="7"/>
      <c r="JG14" s="7"/>
      <c r="JH14" s="7"/>
      <c r="JI14" s="7"/>
      <c r="JJ14" s="7"/>
      <c r="JK14" s="7"/>
      <c r="JL14" s="7"/>
      <c r="JM14" s="7"/>
      <c r="JN14" s="7"/>
      <c r="JO14" s="7"/>
      <c r="JP14" s="7"/>
      <c r="JQ14" s="7"/>
      <c r="JR14" s="7"/>
      <c r="JS14" s="7"/>
      <c r="JT14" s="7"/>
      <c r="JU14" s="7"/>
      <c r="JV14" s="7"/>
      <c r="JW14" s="7"/>
      <c r="JX14" s="7"/>
      <c r="JY14" s="7"/>
      <c r="JZ14" s="7"/>
      <c r="KA14" s="7"/>
      <c r="KB14" s="7"/>
      <c r="KC14" s="7"/>
      <c r="KD14" s="7"/>
      <c r="KE14" s="7"/>
      <c r="KF14" s="7"/>
      <c r="KG14" s="7"/>
      <c r="KH14" s="7"/>
      <c r="KI14" s="7"/>
      <c r="KJ14" s="7"/>
      <c r="KK14" s="7"/>
      <c r="KL14" s="7"/>
      <c r="KM14" s="7"/>
      <c r="KN14" s="7"/>
      <c r="KO14" s="7"/>
      <c r="KP14" s="7"/>
      <c r="KQ14" s="7"/>
      <c r="KR14" s="7"/>
      <c r="KS14" s="7"/>
      <c r="KT14" s="7"/>
      <c r="KU14" s="7"/>
      <c r="KV14" s="7"/>
      <c r="KW14" s="7"/>
      <c r="KX14" s="7"/>
      <c r="KY14" s="7"/>
      <c r="KZ14" s="7"/>
      <c r="LA14" s="7"/>
      <c r="LB14" s="7"/>
      <c r="LC14" s="7"/>
      <c r="LD14" s="7"/>
      <c r="LE14" s="7"/>
      <c r="LF14" s="7"/>
      <c r="LG14" s="7"/>
      <c r="LH14" s="7"/>
      <c r="LI14" s="7"/>
      <c r="LJ14" s="7"/>
      <c r="LK14" s="7"/>
      <c r="LL14" s="7"/>
      <c r="LM14" s="7"/>
      <c r="LN14" s="7"/>
      <c r="LO14" s="7"/>
      <c r="LP14" s="7"/>
      <c r="LQ14" s="9"/>
    </row>
    <row r="15" spans="1:329" s="8" customFormat="1" ht="15" customHeight="1" x14ac:dyDescent="0.25">
      <c r="A15" s="70">
        <v>1003124</v>
      </c>
      <c r="B15" s="33" t="s">
        <v>43</v>
      </c>
      <c r="C15" s="33" t="str">
        <f>VLOOKUP(A15,Artikeldaten!A:B,2,0)</f>
        <v>5 Punkt Gurtsystem Holmberg</v>
      </c>
      <c r="D15" s="34">
        <v>30</v>
      </c>
      <c r="E15" s="34">
        <f t="shared" si="0"/>
        <v>50.420168067226896</v>
      </c>
      <c r="F15" s="34">
        <f t="shared" si="1"/>
        <v>60</v>
      </c>
      <c r="G15" s="41"/>
      <c r="H15" s="41"/>
      <c r="I15" s="35" t="s">
        <v>21</v>
      </c>
      <c r="J15" s="35" t="s">
        <v>21</v>
      </c>
      <c r="K15" s="35" t="s">
        <v>21</v>
      </c>
      <c r="L15" s="36"/>
      <c r="M15" s="36"/>
      <c r="N15" s="35" t="s">
        <v>21</v>
      </c>
      <c r="O15" s="35" t="s">
        <v>21</v>
      </c>
      <c r="P15" s="35" t="s">
        <v>21</v>
      </c>
      <c r="Q15" s="35" t="s">
        <v>21</v>
      </c>
      <c r="R15" s="42">
        <v>7350057583968</v>
      </c>
      <c r="S15" s="43" t="s">
        <v>314</v>
      </c>
      <c r="T15" s="43">
        <v>2.52</v>
      </c>
      <c r="U15" s="43">
        <v>2.38</v>
      </c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</row>
    <row r="16" spans="1:329" s="8" customFormat="1" ht="15" customHeight="1" x14ac:dyDescent="0.25">
      <c r="A16" s="70">
        <v>1003207</v>
      </c>
      <c r="B16" s="33" t="s">
        <v>45</v>
      </c>
      <c r="C16" s="33" t="str">
        <f>VLOOKUP(A16,Artikeldaten!A:B,2,0)</f>
        <v>Gurtabdeckung</v>
      </c>
      <c r="D16" s="34">
        <v>3</v>
      </c>
      <c r="E16" s="34">
        <f t="shared" si="0"/>
        <v>5.0420168067226889</v>
      </c>
      <c r="F16" s="34">
        <f t="shared" si="1"/>
        <v>6</v>
      </c>
      <c r="G16" s="41"/>
      <c r="H16" s="41"/>
      <c r="I16" s="35" t="s">
        <v>21</v>
      </c>
      <c r="J16" s="35" t="s">
        <v>21</v>
      </c>
      <c r="K16" s="35" t="s">
        <v>21</v>
      </c>
      <c r="L16" s="36"/>
      <c r="M16" s="36"/>
      <c r="N16" s="35" t="s">
        <v>21</v>
      </c>
      <c r="O16" s="35" t="s">
        <v>21</v>
      </c>
      <c r="P16" s="35" t="s">
        <v>21</v>
      </c>
      <c r="Q16" s="35" t="s">
        <v>21</v>
      </c>
      <c r="R16" s="42">
        <v>7350057583999</v>
      </c>
      <c r="S16" s="43" t="s">
        <v>319</v>
      </c>
      <c r="T16" s="43">
        <v>2.12</v>
      </c>
      <c r="U16" s="43">
        <v>1.72</v>
      </c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  <c r="BO16" s="7"/>
      <c r="BP16" s="7"/>
      <c r="BQ16" s="7"/>
      <c r="BR16" s="7"/>
      <c r="BS16" s="7"/>
      <c r="BT16" s="7"/>
      <c r="BU16" s="7"/>
      <c r="BV16" s="7"/>
      <c r="BW16" s="7"/>
      <c r="BX16" s="7"/>
      <c r="BY16" s="7"/>
      <c r="BZ16" s="7"/>
      <c r="CA16" s="7"/>
      <c r="CB16" s="7"/>
      <c r="CC16" s="7"/>
      <c r="CD16" s="7"/>
      <c r="CE16" s="7"/>
      <c r="CF16" s="7"/>
      <c r="CG16" s="7"/>
      <c r="CH16" s="7"/>
      <c r="CI16" s="7"/>
      <c r="CJ16" s="7"/>
      <c r="CK16" s="7"/>
      <c r="CL16" s="7"/>
      <c r="CM16" s="7"/>
      <c r="CN16" s="7"/>
      <c r="CO16" s="7"/>
      <c r="CP16" s="7"/>
      <c r="CQ16" s="7"/>
      <c r="CR16" s="7"/>
      <c r="CS16" s="7"/>
      <c r="CT16" s="7"/>
      <c r="CU16" s="7"/>
      <c r="CV16" s="7"/>
      <c r="CW16" s="7"/>
      <c r="CX16" s="7"/>
      <c r="CY16" s="7"/>
      <c r="CZ16" s="7"/>
      <c r="DA16" s="7"/>
      <c r="DB16" s="7"/>
      <c r="DC16" s="7"/>
      <c r="DD16" s="7"/>
      <c r="DE16" s="7"/>
      <c r="DF16" s="7"/>
      <c r="DG16" s="7"/>
      <c r="DH16" s="7"/>
      <c r="DI16" s="7"/>
      <c r="DJ16" s="7"/>
      <c r="DK16" s="7"/>
      <c r="DL16" s="7"/>
      <c r="DM16" s="7"/>
      <c r="DN16" s="7"/>
      <c r="DO16" s="7"/>
      <c r="DP16" s="7"/>
      <c r="DQ16" s="7"/>
      <c r="DR16" s="7"/>
      <c r="DS16" s="7"/>
      <c r="DT16" s="7"/>
      <c r="DU16" s="7"/>
      <c r="DV16" s="7"/>
      <c r="DW16" s="7"/>
      <c r="DX16" s="7"/>
      <c r="DY16" s="7"/>
      <c r="DZ16" s="7"/>
      <c r="EA16" s="7"/>
      <c r="EB16" s="7"/>
      <c r="EC16" s="7"/>
      <c r="ED16" s="7"/>
      <c r="EE16" s="7"/>
      <c r="EF16" s="7"/>
      <c r="EG16" s="7"/>
      <c r="EH16" s="7"/>
      <c r="EI16" s="7"/>
      <c r="EJ16" s="7"/>
      <c r="EK16" s="7"/>
      <c r="EL16" s="7"/>
      <c r="EM16" s="7"/>
      <c r="EN16" s="7"/>
      <c r="EO16" s="7"/>
      <c r="EP16" s="7"/>
      <c r="EQ16" s="7"/>
      <c r="ER16" s="7"/>
      <c r="ES16" s="7"/>
      <c r="ET16" s="7"/>
      <c r="EU16" s="7"/>
      <c r="EV16" s="7"/>
      <c r="EW16" s="7"/>
      <c r="EX16" s="7"/>
      <c r="EY16" s="7"/>
      <c r="EZ16" s="7"/>
      <c r="FA16" s="7"/>
      <c r="FB16" s="7"/>
      <c r="FC16" s="7"/>
      <c r="FD16" s="7"/>
      <c r="FE16" s="7"/>
      <c r="FF16" s="7"/>
      <c r="FG16" s="7"/>
      <c r="FH16" s="7"/>
      <c r="FI16" s="7"/>
      <c r="FJ16" s="7"/>
      <c r="FK16" s="7"/>
      <c r="FL16" s="7"/>
      <c r="FM16" s="7"/>
      <c r="FN16" s="7"/>
      <c r="FO16" s="7"/>
      <c r="FP16" s="7"/>
      <c r="FQ16" s="7"/>
      <c r="FR16" s="7"/>
      <c r="FS16" s="7"/>
      <c r="FT16" s="7"/>
      <c r="FU16" s="7"/>
      <c r="FV16" s="7"/>
      <c r="FW16" s="7"/>
      <c r="FX16" s="7"/>
      <c r="FY16" s="7"/>
      <c r="FZ16" s="7"/>
      <c r="GA16" s="7"/>
      <c r="GB16" s="7"/>
      <c r="GC16" s="7"/>
      <c r="GD16" s="7"/>
      <c r="GE16" s="7"/>
      <c r="GF16" s="7"/>
      <c r="GG16" s="7"/>
      <c r="GH16" s="7"/>
      <c r="GI16" s="7"/>
      <c r="GJ16" s="7"/>
      <c r="GK16" s="7"/>
      <c r="GL16" s="7"/>
      <c r="GM16" s="7"/>
      <c r="GN16" s="7"/>
      <c r="GO16" s="7"/>
      <c r="GP16" s="7"/>
      <c r="GQ16" s="7"/>
      <c r="GR16" s="7"/>
      <c r="GS16" s="7"/>
      <c r="GT16" s="7"/>
      <c r="GU16" s="7"/>
      <c r="GV16" s="7"/>
      <c r="GW16" s="7"/>
      <c r="GX16" s="7"/>
      <c r="GY16" s="7"/>
      <c r="GZ16" s="7"/>
      <c r="HA16" s="7"/>
      <c r="HB16" s="7"/>
      <c r="HC16" s="7"/>
      <c r="HD16" s="7"/>
      <c r="HE16" s="7"/>
      <c r="HF16" s="7"/>
      <c r="HG16" s="7"/>
      <c r="HH16" s="7"/>
      <c r="HI16" s="7"/>
      <c r="HJ16" s="7"/>
      <c r="HK16" s="7"/>
      <c r="HL16" s="7"/>
      <c r="HM16" s="7"/>
      <c r="HN16" s="7"/>
      <c r="HO16" s="7"/>
      <c r="HP16" s="7"/>
      <c r="HQ16" s="7"/>
      <c r="HR16" s="7"/>
      <c r="HS16" s="7"/>
      <c r="HT16" s="7"/>
      <c r="HU16" s="7"/>
      <c r="HV16" s="7"/>
      <c r="HW16" s="7"/>
      <c r="HX16" s="7"/>
      <c r="HY16" s="7"/>
      <c r="HZ16" s="7"/>
      <c r="IA16" s="7"/>
      <c r="IB16" s="7"/>
      <c r="IC16" s="7"/>
      <c r="ID16" s="7"/>
      <c r="IE16" s="7"/>
      <c r="IF16" s="7"/>
      <c r="IG16" s="7"/>
      <c r="IH16" s="7"/>
      <c r="II16" s="7"/>
      <c r="IJ16" s="7"/>
      <c r="IK16" s="7"/>
      <c r="IL16" s="7"/>
      <c r="IM16" s="7"/>
      <c r="IN16" s="7"/>
      <c r="IO16" s="7"/>
      <c r="IP16" s="7"/>
      <c r="IQ16" s="7"/>
      <c r="IR16" s="7"/>
      <c r="IS16" s="7"/>
      <c r="IT16" s="7"/>
      <c r="IU16" s="7"/>
      <c r="IV16" s="7"/>
      <c r="IW16" s="7"/>
      <c r="IX16" s="7"/>
      <c r="IY16" s="7"/>
      <c r="IZ16" s="7"/>
      <c r="JA16" s="7"/>
      <c r="JB16" s="7"/>
      <c r="JC16" s="7"/>
      <c r="JD16" s="7"/>
      <c r="JE16" s="7"/>
      <c r="JF16" s="7"/>
      <c r="JG16" s="7"/>
      <c r="JH16" s="7"/>
      <c r="JI16" s="7"/>
      <c r="JJ16" s="7"/>
      <c r="JK16" s="7"/>
      <c r="JL16" s="7"/>
      <c r="JM16" s="7"/>
      <c r="JN16" s="7"/>
      <c r="JO16" s="7"/>
      <c r="JP16" s="7"/>
      <c r="JQ16" s="7"/>
      <c r="JR16" s="7"/>
      <c r="JS16" s="7"/>
      <c r="JT16" s="7"/>
      <c r="JU16" s="7"/>
      <c r="JV16" s="7"/>
      <c r="JW16" s="7"/>
      <c r="JX16" s="7"/>
      <c r="JY16" s="7"/>
      <c r="JZ16" s="7"/>
      <c r="KA16" s="7"/>
      <c r="KB16" s="7"/>
      <c r="KC16" s="7"/>
      <c r="KD16" s="7"/>
      <c r="KE16" s="7"/>
      <c r="KF16" s="7"/>
      <c r="KG16" s="7"/>
      <c r="KH16" s="7"/>
      <c r="KI16" s="7"/>
      <c r="KJ16" s="7"/>
      <c r="KK16" s="7"/>
      <c r="KL16" s="7"/>
      <c r="KM16" s="7"/>
      <c r="KN16" s="7"/>
      <c r="KO16" s="7"/>
      <c r="KP16" s="7"/>
      <c r="KQ16" s="7"/>
      <c r="KR16" s="7"/>
      <c r="KS16" s="7"/>
      <c r="KT16" s="7"/>
      <c r="KU16" s="7"/>
      <c r="KV16" s="7"/>
      <c r="KW16" s="7"/>
      <c r="KX16" s="7"/>
      <c r="KY16" s="7"/>
      <c r="KZ16" s="7"/>
      <c r="LA16" s="7"/>
      <c r="LB16" s="7"/>
      <c r="LC16" s="7"/>
      <c r="LD16" s="7"/>
      <c r="LE16" s="7"/>
      <c r="LF16" s="7"/>
      <c r="LG16" s="7"/>
      <c r="LH16" s="7"/>
      <c r="LI16" s="7"/>
      <c r="LJ16" s="7"/>
      <c r="LK16" s="7"/>
      <c r="LL16" s="7"/>
      <c r="LM16" s="7"/>
      <c r="LN16" s="7"/>
      <c r="LO16" s="7"/>
      <c r="LP16" s="7"/>
      <c r="LQ16" s="7"/>
    </row>
    <row r="17" spans="1:329" s="8" customFormat="1" ht="15" customHeight="1" x14ac:dyDescent="0.25">
      <c r="A17" s="70">
        <v>1003400</v>
      </c>
      <c r="B17" s="33" t="s">
        <v>47</v>
      </c>
      <c r="C17" s="33" t="str">
        <f>VLOOKUP(A17,Artikeldaten!A:B,2,0)</f>
        <v>Gurtaufroller [Links]</v>
      </c>
      <c r="D17" s="34">
        <v>23</v>
      </c>
      <c r="E17" s="34">
        <f t="shared" si="0"/>
        <v>38.655462184873954</v>
      </c>
      <c r="F17" s="34">
        <f t="shared" si="1"/>
        <v>46</v>
      </c>
      <c r="G17" s="41"/>
      <c r="H17" s="41"/>
      <c r="I17" s="35" t="s">
        <v>21</v>
      </c>
      <c r="J17" s="36"/>
      <c r="K17" s="35" t="s">
        <v>21</v>
      </c>
      <c r="L17" s="36"/>
      <c r="M17" s="36"/>
      <c r="N17" s="35" t="s">
        <v>21</v>
      </c>
      <c r="O17" s="36"/>
      <c r="P17" s="35" t="s">
        <v>21</v>
      </c>
      <c r="Q17" s="36"/>
      <c r="R17" s="42">
        <v>7350057584019</v>
      </c>
      <c r="S17" s="43" t="s">
        <v>311</v>
      </c>
      <c r="T17" s="43">
        <v>0.16</v>
      </c>
      <c r="U17" s="43">
        <v>0.12</v>
      </c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  <c r="BO17" s="7"/>
      <c r="BP17" s="7"/>
      <c r="BQ17" s="7"/>
      <c r="BR17" s="7"/>
      <c r="BS17" s="7"/>
      <c r="BT17" s="7"/>
      <c r="BU17" s="7"/>
      <c r="BV17" s="7"/>
      <c r="BW17" s="7"/>
      <c r="BX17" s="7"/>
      <c r="BY17" s="7"/>
      <c r="BZ17" s="7"/>
      <c r="CA17" s="7"/>
      <c r="CB17" s="7"/>
      <c r="CC17" s="7"/>
      <c r="CD17" s="7"/>
      <c r="CE17" s="7"/>
      <c r="CF17" s="7"/>
      <c r="CG17" s="7"/>
      <c r="CH17" s="7"/>
      <c r="CI17" s="7"/>
      <c r="CJ17" s="7"/>
      <c r="CK17" s="7"/>
      <c r="CL17" s="7"/>
      <c r="CM17" s="7"/>
      <c r="CN17" s="7"/>
      <c r="CO17" s="7"/>
      <c r="CP17" s="7"/>
      <c r="CQ17" s="7"/>
      <c r="CR17" s="7"/>
      <c r="CS17" s="7"/>
      <c r="CT17" s="7"/>
      <c r="CU17" s="7"/>
      <c r="CV17" s="7"/>
      <c r="CW17" s="7"/>
      <c r="CX17" s="7"/>
      <c r="CY17" s="7"/>
      <c r="CZ17" s="7"/>
      <c r="DA17" s="7"/>
      <c r="DB17" s="7"/>
      <c r="DC17" s="7"/>
      <c r="DD17" s="7"/>
      <c r="DE17" s="7"/>
      <c r="DF17" s="7"/>
      <c r="DG17" s="7"/>
      <c r="DH17" s="7"/>
      <c r="DI17" s="7"/>
      <c r="DJ17" s="7"/>
      <c r="DK17" s="7"/>
      <c r="DL17" s="7"/>
      <c r="DM17" s="7"/>
      <c r="DN17" s="7"/>
      <c r="DO17" s="7"/>
      <c r="DP17" s="7"/>
      <c r="DQ17" s="7"/>
      <c r="DR17" s="7"/>
      <c r="DS17" s="7"/>
      <c r="DT17" s="7"/>
      <c r="DU17" s="7"/>
      <c r="DV17" s="7"/>
      <c r="DW17" s="7"/>
      <c r="DX17" s="7"/>
      <c r="DY17" s="7"/>
      <c r="DZ17" s="7"/>
      <c r="EA17" s="7"/>
      <c r="EB17" s="7"/>
      <c r="EC17" s="7"/>
      <c r="ED17" s="7"/>
      <c r="EE17" s="7"/>
      <c r="EF17" s="7"/>
      <c r="EG17" s="7"/>
      <c r="EH17" s="7"/>
      <c r="EI17" s="7"/>
      <c r="EJ17" s="7"/>
      <c r="EK17" s="7"/>
      <c r="EL17" s="7"/>
      <c r="EM17" s="7"/>
      <c r="EN17" s="7"/>
      <c r="EO17" s="7"/>
      <c r="EP17" s="7"/>
      <c r="EQ17" s="7"/>
      <c r="ER17" s="7"/>
      <c r="ES17" s="7"/>
      <c r="ET17" s="7"/>
      <c r="EU17" s="7"/>
      <c r="EV17" s="7"/>
      <c r="EW17" s="7"/>
      <c r="EX17" s="7"/>
      <c r="EY17" s="7"/>
      <c r="EZ17" s="7"/>
      <c r="FA17" s="7"/>
      <c r="FB17" s="7"/>
      <c r="FC17" s="7"/>
      <c r="FD17" s="7"/>
      <c r="FE17" s="7"/>
      <c r="FF17" s="7"/>
      <c r="FG17" s="7"/>
      <c r="FH17" s="7"/>
      <c r="FI17" s="7"/>
      <c r="FJ17" s="7"/>
      <c r="FK17" s="7"/>
      <c r="FL17" s="7"/>
      <c r="FM17" s="7"/>
      <c r="FN17" s="7"/>
      <c r="FO17" s="7"/>
      <c r="FP17" s="7"/>
      <c r="FQ17" s="7"/>
      <c r="FR17" s="7"/>
      <c r="FS17" s="7"/>
      <c r="FT17" s="7"/>
      <c r="FU17" s="7"/>
      <c r="FV17" s="7"/>
      <c r="FW17" s="7"/>
      <c r="FX17" s="7"/>
      <c r="FY17" s="7"/>
      <c r="FZ17" s="7"/>
      <c r="GA17" s="7"/>
      <c r="GB17" s="7"/>
      <c r="GC17" s="7"/>
      <c r="GD17" s="7"/>
      <c r="GE17" s="7"/>
      <c r="GF17" s="7"/>
      <c r="GG17" s="7"/>
      <c r="GH17" s="7"/>
      <c r="GI17" s="7"/>
      <c r="GJ17" s="7"/>
      <c r="GK17" s="7"/>
      <c r="GL17" s="7"/>
      <c r="GM17" s="7"/>
      <c r="GN17" s="7"/>
      <c r="GO17" s="7"/>
      <c r="GP17" s="7"/>
      <c r="GQ17" s="7"/>
      <c r="GR17" s="7"/>
      <c r="GS17" s="7"/>
      <c r="GT17" s="7"/>
      <c r="GU17" s="7"/>
      <c r="GV17" s="7"/>
      <c r="GW17" s="7"/>
      <c r="GX17" s="7"/>
      <c r="GY17" s="7"/>
      <c r="GZ17" s="7"/>
      <c r="HA17" s="7"/>
      <c r="HB17" s="7"/>
      <c r="HC17" s="7"/>
      <c r="HD17" s="7"/>
      <c r="HE17" s="7"/>
      <c r="HF17" s="7"/>
      <c r="HG17" s="7"/>
      <c r="HH17" s="7"/>
      <c r="HI17" s="7"/>
      <c r="HJ17" s="7"/>
      <c r="HK17" s="7"/>
      <c r="HL17" s="7"/>
      <c r="HM17" s="7"/>
      <c r="HN17" s="7"/>
      <c r="HO17" s="7"/>
      <c r="HP17" s="7"/>
      <c r="HQ17" s="7"/>
      <c r="HR17" s="7"/>
      <c r="HS17" s="7"/>
      <c r="HT17" s="7"/>
      <c r="HU17" s="7"/>
      <c r="HV17" s="7"/>
      <c r="HW17" s="7"/>
      <c r="HX17" s="7"/>
      <c r="HY17" s="7"/>
      <c r="HZ17" s="7"/>
      <c r="IA17" s="7"/>
      <c r="IB17" s="7"/>
      <c r="IC17" s="7"/>
      <c r="ID17" s="7"/>
      <c r="IE17" s="7"/>
      <c r="IF17" s="7"/>
      <c r="IG17" s="7"/>
      <c r="IH17" s="7"/>
      <c r="II17" s="7"/>
      <c r="IJ17" s="7"/>
      <c r="IK17" s="7"/>
      <c r="IL17" s="7"/>
      <c r="IM17" s="7"/>
      <c r="IN17" s="7"/>
      <c r="IO17" s="7"/>
      <c r="IP17" s="7"/>
      <c r="IQ17" s="7"/>
      <c r="IR17" s="7"/>
      <c r="IS17" s="7"/>
      <c r="IT17" s="7"/>
      <c r="IU17" s="7"/>
      <c r="IV17" s="7"/>
      <c r="IW17" s="7"/>
      <c r="IX17" s="7"/>
      <c r="IY17" s="7"/>
      <c r="IZ17" s="7"/>
      <c r="JA17" s="7"/>
      <c r="JB17" s="7"/>
      <c r="JC17" s="7"/>
      <c r="JD17" s="7"/>
      <c r="JE17" s="7"/>
      <c r="JF17" s="7"/>
      <c r="JG17" s="7"/>
      <c r="JH17" s="7"/>
      <c r="JI17" s="7"/>
      <c r="JJ17" s="7"/>
      <c r="JK17" s="7"/>
      <c r="JL17" s="7"/>
      <c r="JM17" s="7"/>
      <c r="JN17" s="7"/>
      <c r="JO17" s="7"/>
      <c r="JP17" s="7"/>
      <c r="JQ17" s="7"/>
      <c r="JR17" s="7"/>
      <c r="JS17" s="7"/>
      <c r="JT17" s="7"/>
      <c r="JU17" s="7"/>
      <c r="JV17" s="7"/>
      <c r="JW17" s="7"/>
      <c r="JX17" s="7"/>
      <c r="JY17" s="7"/>
      <c r="JZ17" s="7"/>
      <c r="KA17" s="7"/>
      <c r="KB17" s="7"/>
      <c r="KC17" s="7"/>
      <c r="KD17" s="7"/>
      <c r="KE17" s="7"/>
      <c r="KF17" s="7"/>
      <c r="KG17" s="7"/>
      <c r="KH17" s="7"/>
      <c r="KI17" s="7"/>
      <c r="KJ17" s="7"/>
      <c r="KK17" s="7"/>
      <c r="KL17" s="7"/>
      <c r="KM17" s="7"/>
      <c r="KN17" s="7"/>
      <c r="KO17" s="7"/>
      <c r="KP17" s="7"/>
      <c r="KQ17" s="7"/>
      <c r="KR17" s="7"/>
      <c r="KS17" s="7"/>
      <c r="KT17" s="7"/>
      <c r="KU17" s="7"/>
      <c r="KV17" s="7"/>
      <c r="KW17" s="7"/>
      <c r="KX17" s="7"/>
      <c r="KY17" s="7"/>
      <c r="KZ17" s="7"/>
      <c r="LA17" s="7"/>
      <c r="LB17" s="7"/>
      <c r="LC17" s="7"/>
      <c r="LD17" s="7"/>
      <c r="LE17" s="7"/>
      <c r="LF17" s="7"/>
      <c r="LG17" s="7"/>
      <c r="LH17" s="7"/>
      <c r="LI17" s="7"/>
      <c r="LJ17" s="7"/>
      <c r="LK17" s="7"/>
      <c r="LL17" s="7"/>
      <c r="LM17" s="7"/>
      <c r="LN17" s="7"/>
      <c r="LO17" s="7"/>
      <c r="LP17" s="7"/>
      <c r="LQ17" s="7"/>
    </row>
    <row r="18" spans="1:329" s="8" customFormat="1" ht="15" customHeight="1" x14ac:dyDescent="0.25">
      <c r="A18" s="70">
        <v>1003409</v>
      </c>
      <c r="B18" s="33" t="s">
        <v>49</v>
      </c>
      <c r="C18" s="33" t="str">
        <f>VLOOKUP(A18,Artikeldaten!A:B,2,0)</f>
        <v>Gurtaufroller [Rechts]</v>
      </c>
      <c r="D18" s="34">
        <v>23</v>
      </c>
      <c r="E18" s="34">
        <f t="shared" si="0"/>
        <v>38.655462184873954</v>
      </c>
      <c r="F18" s="34">
        <f t="shared" si="1"/>
        <v>46</v>
      </c>
      <c r="G18" s="41"/>
      <c r="H18" s="41"/>
      <c r="I18" s="35" t="s">
        <v>21</v>
      </c>
      <c r="J18" s="36"/>
      <c r="K18" s="35" t="s">
        <v>21</v>
      </c>
      <c r="L18" s="36"/>
      <c r="M18" s="36"/>
      <c r="N18" s="35" t="s">
        <v>21</v>
      </c>
      <c r="O18" s="36"/>
      <c r="P18" s="35" t="s">
        <v>21</v>
      </c>
      <c r="Q18" s="36"/>
      <c r="R18" s="42">
        <v>7350057584026</v>
      </c>
      <c r="S18" s="43" t="s">
        <v>311</v>
      </c>
      <c r="T18" s="43">
        <v>0.14000000000000001</v>
      </c>
      <c r="U18" s="43">
        <v>0.1</v>
      </c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7"/>
      <c r="BS18" s="7"/>
      <c r="BT18" s="7"/>
      <c r="BU18" s="7"/>
      <c r="BV18" s="7"/>
      <c r="BW18" s="7"/>
      <c r="BX18" s="7"/>
      <c r="BY18" s="7"/>
      <c r="BZ18" s="7"/>
      <c r="CA18" s="7"/>
      <c r="CB18" s="7"/>
      <c r="CC18" s="7"/>
      <c r="CD18" s="7"/>
      <c r="CE18" s="7"/>
      <c r="CF18" s="7"/>
      <c r="CG18" s="7"/>
      <c r="CH18" s="7"/>
      <c r="CI18" s="7"/>
      <c r="CJ18" s="7"/>
      <c r="CK18" s="7"/>
      <c r="CL18" s="7"/>
      <c r="CM18" s="7"/>
      <c r="CN18" s="7"/>
      <c r="CO18" s="7"/>
      <c r="CP18" s="7"/>
      <c r="CQ18" s="7"/>
      <c r="CR18" s="7"/>
      <c r="CS18" s="7"/>
      <c r="CT18" s="7"/>
      <c r="CU18" s="7"/>
      <c r="CV18" s="7"/>
      <c r="CW18" s="7"/>
      <c r="CX18" s="7"/>
      <c r="CY18" s="7"/>
      <c r="CZ18" s="7"/>
      <c r="DA18" s="7"/>
      <c r="DB18" s="7"/>
      <c r="DC18" s="7"/>
      <c r="DD18" s="7"/>
      <c r="DE18" s="7"/>
      <c r="DF18" s="7"/>
      <c r="DG18" s="7"/>
      <c r="DH18" s="7"/>
      <c r="DI18" s="7"/>
      <c r="DJ18" s="7"/>
      <c r="DK18" s="7"/>
      <c r="DL18" s="7"/>
      <c r="DM18" s="7"/>
      <c r="DN18" s="7"/>
      <c r="DO18" s="7"/>
      <c r="DP18" s="7"/>
      <c r="DQ18" s="7"/>
      <c r="DR18" s="7"/>
      <c r="DS18" s="7"/>
      <c r="DT18" s="7"/>
      <c r="DU18" s="7"/>
      <c r="DV18" s="7"/>
      <c r="DW18" s="7"/>
      <c r="DX18" s="7"/>
      <c r="DY18" s="7"/>
      <c r="DZ18" s="7"/>
      <c r="EA18" s="7"/>
      <c r="EB18" s="7"/>
      <c r="EC18" s="7"/>
      <c r="ED18" s="7"/>
      <c r="EE18" s="7"/>
      <c r="EF18" s="7"/>
      <c r="EG18" s="7"/>
      <c r="EH18" s="7"/>
      <c r="EI18" s="7"/>
      <c r="EJ18" s="7"/>
      <c r="EK18" s="7"/>
      <c r="EL18" s="7"/>
      <c r="EM18" s="7"/>
      <c r="EN18" s="7"/>
      <c r="EO18" s="7"/>
      <c r="EP18" s="7"/>
      <c r="EQ18" s="7"/>
      <c r="ER18" s="7"/>
      <c r="ES18" s="7"/>
      <c r="ET18" s="7"/>
      <c r="EU18" s="7"/>
      <c r="EV18" s="7"/>
      <c r="EW18" s="7"/>
      <c r="EX18" s="7"/>
      <c r="EY18" s="7"/>
      <c r="EZ18" s="7"/>
      <c r="FA18" s="7"/>
      <c r="FB18" s="7"/>
      <c r="FC18" s="7"/>
      <c r="FD18" s="7"/>
      <c r="FE18" s="7"/>
      <c r="FF18" s="7"/>
      <c r="FG18" s="7"/>
      <c r="FH18" s="7"/>
      <c r="FI18" s="7"/>
      <c r="FJ18" s="7"/>
      <c r="FK18" s="7"/>
      <c r="FL18" s="7"/>
      <c r="FM18" s="7"/>
      <c r="FN18" s="7"/>
      <c r="FO18" s="7"/>
      <c r="FP18" s="7"/>
      <c r="FQ18" s="7"/>
      <c r="FR18" s="7"/>
      <c r="FS18" s="7"/>
      <c r="FT18" s="7"/>
      <c r="FU18" s="7"/>
      <c r="FV18" s="7"/>
      <c r="FW18" s="7"/>
      <c r="FX18" s="7"/>
      <c r="FY18" s="7"/>
      <c r="FZ18" s="7"/>
      <c r="GA18" s="7"/>
      <c r="GB18" s="7"/>
      <c r="GC18" s="7"/>
      <c r="GD18" s="7"/>
      <c r="GE18" s="7"/>
      <c r="GF18" s="7"/>
      <c r="GG18" s="7"/>
      <c r="GH18" s="7"/>
      <c r="GI18" s="7"/>
      <c r="GJ18" s="7"/>
      <c r="GK18" s="7"/>
      <c r="GL18" s="7"/>
      <c r="GM18" s="7"/>
      <c r="GN18" s="7"/>
      <c r="GO18" s="7"/>
      <c r="GP18" s="7"/>
      <c r="GQ18" s="7"/>
      <c r="GR18" s="7"/>
      <c r="GS18" s="7"/>
      <c r="GT18" s="7"/>
      <c r="GU18" s="7"/>
      <c r="GV18" s="7"/>
      <c r="GW18" s="7"/>
      <c r="GX18" s="7"/>
      <c r="GY18" s="7"/>
      <c r="GZ18" s="7"/>
      <c r="HA18" s="7"/>
      <c r="HB18" s="7"/>
      <c r="HC18" s="7"/>
      <c r="HD18" s="7"/>
      <c r="HE18" s="7"/>
      <c r="HF18" s="7"/>
      <c r="HG18" s="7"/>
      <c r="HH18" s="7"/>
      <c r="HI18" s="7"/>
      <c r="HJ18" s="7"/>
      <c r="HK18" s="7"/>
      <c r="HL18" s="7"/>
      <c r="HM18" s="7"/>
      <c r="HN18" s="7"/>
      <c r="HO18" s="7"/>
      <c r="HP18" s="7"/>
      <c r="HQ18" s="7"/>
      <c r="HR18" s="7"/>
      <c r="HS18" s="7"/>
      <c r="HT18" s="7"/>
      <c r="HU18" s="7"/>
      <c r="HV18" s="7"/>
      <c r="HW18" s="7"/>
      <c r="HX18" s="7"/>
      <c r="HY18" s="7"/>
      <c r="HZ18" s="7"/>
      <c r="IA18" s="7"/>
      <c r="IB18" s="7"/>
      <c r="IC18" s="7"/>
      <c r="ID18" s="7"/>
      <c r="IE18" s="7"/>
      <c r="IF18" s="7"/>
      <c r="IG18" s="7"/>
      <c r="IH18" s="7"/>
      <c r="II18" s="7"/>
      <c r="IJ18" s="7"/>
      <c r="IK18" s="7"/>
      <c r="IL18" s="7"/>
      <c r="IM18" s="7"/>
      <c r="IN18" s="7"/>
      <c r="IO18" s="7"/>
      <c r="IP18" s="7"/>
      <c r="IQ18" s="7"/>
      <c r="IR18" s="7"/>
      <c r="IS18" s="7"/>
      <c r="IT18" s="7"/>
      <c r="IU18" s="7"/>
      <c r="IV18" s="7"/>
      <c r="IW18" s="7"/>
      <c r="IX18" s="7"/>
      <c r="IY18" s="7"/>
      <c r="IZ18" s="7"/>
      <c r="JA18" s="7"/>
      <c r="JB18" s="7"/>
      <c r="JC18" s="7"/>
      <c r="JD18" s="7"/>
      <c r="JE18" s="7"/>
      <c r="JF18" s="7"/>
      <c r="JG18" s="7"/>
      <c r="JH18" s="7"/>
      <c r="JI18" s="7"/>
      <c r="JJ18" s="7"/>
      <c r="JK18" s="7"/>
      <c r="JL18" s="7"/>
      <c r="JM18" s="7"/>
      <c r="JN18" s="7"/>
      <c r="JO18" s="7"/>
      <c r="JP18" s="7"/>
      <c r="JQ18" s="7"/>
      <c r="JR18" s="7"/>
      <c r="JS18" s="7"/>
      <c r="JT18" s="7"/>
      <c r="JU18" s="7"/>
      <c r="JV18" s="7"/>
      <c r="JW18" s="7"/>
      <c r="JX18" s="7"/>
      <c r="JY18" s="7"/>
      <c r="JZ18" s="7"/>
      <c r="KA18" s="7"/>
      <c r="KB18" s="7"/>
      <c r="KC18" s="7"/>
      <c r="KD18" s="7"/>
      <c r="KE18" s="7"/>
      <c r="KF18" s="7"/>
      <c r="KG18" s="7"/>
      <c r="KH18" s="7"/>
      <c r="KI18" s="7"/>
      <c r="KJ18" s="7"/>
      <c r="KK18" s="7"/>
      <c r="KL18" s="7"/>
      <c r="KM18" s="7"/>
      <c r="KN18" s="7"/>
      <c r="KO18" s="7"/>
      <c r="KP18" s="7"/>
      <c r="KQ18" s="7"/>
      <c r="KR18" s="7"/>
      <c r="KS18" s="7"/>
      <c r="KT18" s="7"/>
      <c r="KU18" s="7"/>
      <c r="KV18" s="7"/>
      <c r="KW18" s="7"/>
      <c r="KX18" s="7"/>
      <c r="KY18" s="7"/>
      <c r="KZ18" s="7"/>
      <c r="LA18" s="7"/>
      <c r="LB18" s="7"/>
      <c r="LC18" s="7"/>
      <c r="LD18" s="7"/>
      <c r="LE18" s="7"/>
      <c r="LF18" s="7"/>
      <c r="LG18" s="7"/>
      <c r="LH18" s="7"/>
      <c r="LI18" s="7"/>
      <c r="LJ18" s="7"/>
      <c r="LK18" s="7"/>
      <c r="LL18" s="7"/>
      <c r="LM18" s="7"/>
      <c r="LN18" s="7"/>
      <c r="LO18" s="7"/>
      <c r="LP18" s="7"/>
      <c r="LQ18" s="7"/>
    </row>
    <row r="19" spans="1:329" s="8" customFormat="1" ht="15" customHeight="1" x14ac:dyDescent="0.25">
      <c r="A19" s="70">
        <v>1004000</v>
      </c>
      <c r="B19" s="33" t="s">
        <v>51</v>
      </c>
      <c r="C19" s="33" t="str">
        <f>VLOOKUP(A19,Artikeldaten!A:B,2,0)</f>
        <v>Stützfuß - Minikid 1, Rekid, Wolmax, Duofix &amp; Kidzone</v>
      </c>
      <c r="D19" s="34">
        <v>40</v>
      </c>
      <c r="E19" s="34">
        <f t="shared" si="0"/>
        <v>67.226890756302524</v>
      </c>
      <c r="F19" s="34">
        <f t="shared" si="1"/>
        <v>80</v>
      </c>
      <c r="G19" s="41"/>
      <c r="H19" s="41"/>
      <c r="I19" s="36"/>
      <c r="J19" s="36"/>
      <c r="K19" s="35" t="s">
        <v>21</v>
      </c>
      <c r="L19" s="36"/>
      <c r="M19" s="36"/>
      <c r="N19" s="35" t="s">
        <v>21</v>
      </c>
      <c r="O19" s="35" t="s">
        <v>21</v>
      </c>
      <c r="P19" s="35" t="s">
        <v>21</v>
      </c>
      <c r="Q19" s="35" t="s">
        <v>21</v>
      </c>
      <c r="R19" s="42">
        <v>7350057583920</v>
      </c>
      <c r="S19" s="43" t="s">
        <v>311</v>
      </c>
      <c r="T19" s="43">
        <v>0.6</v>
      </c>
      <c r="U19" s="43">
        <v>0.55000000000000004</v>
      </c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  <c r="BO19" s="7"/>
      <c r="BP19" s="7"/>
      <c r="BQ19" s="7"/>
      <c r="BR19" s="7"/>
      <c r="BS19" s="7"/>
      <c r="BT19" s="7"/>
      <c r="BU19" s="7"/>
      <c r="BV19" s="7"/>
      <c r="BW19" s="7"/>
      <c r="BX19" s="7"/>
      <c r="BY19" s="7"/>
      <c r="BZ19" s="7"/>
      <c r="CA19" s="7"/>
      <c r="CB19" s="7"/>
      <c r="CC19" s="7"/>
      <c r="CD19" s="7"/>
      <c r="CE19" s="7"/>
      <c r="CF19" s="7"/>
      <c r="CG19" s="7"/>
      <c r="CH19" s="7"/>
      <c r="CI19" s="7"/>
      <c r="CJ19" s="7"/>
      <c r="CK19" s="7"/>
      <c r="CL19" s="7"/>
      <c r="CM19" s="7"/>
      <c r="CN19" s="7"/>
      <c r="CO19" s="7"/>
      <c r="CP19" s="7"/>
      <c r="CQ19" s="7"/>
      <c r="CR19" s="7"/>
      <c r="CS19" s="7"/>
      <c r="CT19" s="7"/>
      <c r="CU19" s="7"/>
      <c r="CV19" s="7"/>
      <c r="CW19" s="7"/>
      <c r="CX19" s="7"/>
      <c r="CY19" s="7"/>
      <c r="CZ19" s="7"/>
      <c r="DA19" s="7"/>
      <c r="DB19" s="7"/>
      <c r="DC19" s="7"/>
      <c r="DD19" s="7"/>
      <c r="DE19" s="7"/>
      <c r="DF19" s="7"/>
      <c r="DG19" s="7"/>
      <c r="DH19" s="7"/>
      <c r="DI19" s="7"/>
      <c r="DJ19" s="7"/>
      <c r="DK19" s="7"/>
      <c r="DL19" s="7"/>
      <c r="DM19" s="7"/>
      <c r="DN19" s="7"/>
      <c r="DO19" s="7"/>
      <c r="DP19" s="7"/>
      <c r="DQ19" s="7"/>
      <c r="DR19" s="7"/>
      <c r="DS19" s="7"/>
      <c r="DT19" s="7"/>
      <c r="DU19" s="7"/>
      <c r="DV19" s="7"/>
      <c r="DW19" s="7"/>
      <c r="DX19" s="7"/>
      <c r="DY19" s="7"/>
      <c r="DZ19" s="7"/>
      <c r="EA19" s="7"/>
      <c r="EB19" s="7"/>
      <c r="EC19" s="7"/>
      <c r="ED19" s="7"/>
      <c r="EE19" s="7"/>
      <c r="EF19" s="7"/>
      <c r="EG19" s="7"/>
      <c r="EH19" s="7"/>
      <c r="EI19" s="7"/>
      <c r="EJ19" s="7"/>
      <c r="EK19" s="7"/>
      <c r="EL19" s="7"/>
      <c r="EM19" s="7"/>
      <c r="EN19" s="7"/>
      <c r="EO19" s="7"/>
      <c r="EP19" s="7"/>
      <c r="EQ19" s="7"/>
      <c r="ER19" s="7"/>
      <c r="ES19" s="7"/>
      <c r="ET19" s="7"/>
      <c r="EU19" s="7"/>
      <c r="EV19" s="7"/>
      <c r="EW19" s="7"/>
      <c r="EX19" s="7"/>
      <c r="EY19" s="7"/>
      <c r="EZ19" s="7"/>
      <c r="FA19" s="7"/>
      <c r="FB19" s="7"/>
      <c r="FC19" s="7"/>
      <c r="FD19" s="7"/>
      <c r="FE19" s="7"/>
      <c r="FF19" s="7"/>
      <c r="FG19" s="7"/>
      <c r="FH19" s="7"/>
      <c r="FI19" s="7"/>
      <c r="FJ19" s="7"/>
      <c r="FK19" s="7"/>
      <c r="FL19" s="7"/>
      <c r="FM19" s="7"/>
      <c r="FN19" s="7"/>
      <c r="FO19" s="7"/>
      <c r="FP19" s="7"/>
      <c r="FQ19" s="7"/>
      <c r="FR19" s="7"/>
      <c r="FS19" s="7"/>
      <c r="FT19" s="7"/>
      <c r="FU19" s="7"/>
      <c r="FV19" s="7"/>
      <c r="FW19" s="7"/>
      <c r="FX19" s="7"/>
      <c r="FY19" s="7"/>
      <c r="FZ19" s="7"/>
      <c r="GA19" s="7"/>
      <c r="GB19" s="7"/>
      <c r="GC19" s="7"/>
      <c r="GD19" s="7"/>
      <c r="GE19" s="7"/>
      <c r="GF19" s="7"/>
      <c r="GG19" s="7"/>
      <c r="GH19" s="7"/>
      <c r="GI19" s="7"/>
      <c r="GJ19" s="7"/>
      <c r="GK19" s="7"/>
      <c r="GL19" s="7"/>
      <c r="GM19" s="7"/>
      <c r="GN19" s="7"/>
      <c r="GO19" s="7"/>
      <c r="GP19" s="7"/>
      <c r="GQ19" s="7"/>
      <c r="GR19" s="7"/>
      <c r="GS19" s="7"/>
      <c r="GT19" s="7"/>
      <c r="GU19" s="7"/>
      <c r="GV19" s="7"/>
      <c r="GW19" s="7"/>
      <c r="GX19" s="7"/>
      <c r="GY19" s="7"/>
      <c r="GZ19" s="7"/>
      <c r="HA19" s="7"/>
      <c r="HB19" s="7"/>
      <c r="HC19" s="7"/>
      <c r="HD19" s="7"/>
      <c r="HE19" s="7"/>
      <c r="HF19" s="7"/>
      <c r="HG19" s="7"/>
      <c r="HH19" s="7"/>
      <c r="HI19" s="7"/>
      <c r="HJ19" s="7"/>
      <c r="HK19" s="7"/>
      <c r="HL19" s="7"/>
      <c r="HM19" s="7"/>
      <c r="HN19" s="7"/>
      <c r="HO19" s="7"/>
      <c r="HP19" s="7"/>
      <c r="HQ19" s="7"/>
      <c r="HR19" s="7"/>
      <c r="HS19" s="7"/>
      <c r="HT19" s="7"/>
      <c r="HU19" s="7"/>
      <c r="HV19" s="7"/>
      <c r="HW19" s="7"/>
      <c r="HX19" s="7"/>
      <c r="HY19" s="7"/>
      <c r="HZ19" s="7"/>
      <c r="IA19" s="7"/>
      <c r="IB19" s="7"/>
      <c r="IC19" s="7"/>
      <c r="ID19" s="7"/>
      <c r="IE19" s="7"/>
      <c r="IF19" s="7"/>
      <c r="IG19" s="7"/>
      <c r="IH19" s="7"/>
      <c r="II19" s="7"/>
      <c r="IJ19" s="7"/>
      <c r="IK19" s="7"/>
      <c r="IL19" s="7"/>
      <c r="IM19" s="7"/>
      <c r="IN19" s="7"/>
      <c r="IO19" s="7"/>
      <c r="IP19" s="7"/>
      <c r="IQ19" s="7"/>
      <c r="IR19" s="7"/>
      <c r="IS19" s="7"/>
      <c r="IT19" s="7"/>
      <c r="IU19" s="7"/>
      <c r="IV19" s="7"/>
      <c r="IW19" s="7"/>
      <c r="IX19" s="7"/>
      <c r="IY19" s="7"/>
      <c r="IZ19" s="7"/>
      <c r="JA19" s="7"/>
      <c r="JB19" s="7"/>
      <c r="JC19" s="7"/>
      <c r="JD19" s="7"/>
      <c r="JE19" s="7"/>
      <c r="JF19" s="7"/>
      <c r="JG19" s="7"/>
      <c r="JH19" s="7"/>
      <c r="JI19" s="7"/>
      <c r="JJ19" s="7"/>
      <c r="JK19" s="7"/>
      <c r="JL19" s="7"/>
      <c r="JM19" s="7"/>
      <c r="JN19" s="7"/>
      <c r="JO19" s="7"/>
      <c r="JP19" s="7"/>
      <c r="JQ19" s="7"/>
      <c r="JR19" s="7"/>
      <c r="JS19" s="7"/>
      <c r="JT19" s="7"/>
      <c r="JU19" s="7"/>
      <c r="JV19" s="7"/>
      <c r="JW19" s="7"/>
      <c r="JX19" s="7"/>
      <c r="JY19" s="7"/>
      <c r="JZ19" s="7"/>
      <c r="KA19" s="7"/>
      <c r="KB19" s="7"/>
      <c r="KC19" s="7"/>
      <c r="KD19" s="7"/>
      <c r="KE19" s="7"/>
      <c r="KF19" s="7"/>
      <c r="KG19" s="7"/>
      <c r="KH19" s="7"/>
      <c r="KI19" s="7"/>
      <c r="KJ19" s="7"/>
      <c r="KK19" s="7"/>
      <c r="KL19" s="7"/>
      <c r="KM19" s="7"/>
      <c r="KN19" s="7"/>
      <c r="KO19" s="7"/>
      <c r="KP19" s="7"/>
      <c r="KQ19" s="7"/>
      <c r="KR19" s="7"/>
      <c r="KS19" s="7"/>
      <c r="KT19" s="7"/>
      <c r="KU19" s="7"/>
      <c r="KV19" s="7"/>
      <c r="KW19" s="7"/>
      <c r="KX19" s="7"/>
      <c r="KY19" s="7"/>
      <c r="KZ19" s="7"/>
      <c r="LA19" s="7"/>
      <c r="LB19" s="7"/>
      <c r="LC19" s="7"/>
      <c r="LD19" s="7"/>
      <c r="LE19" s="7"/>
      <c r="LF19" s="7"/>
      <c r="LG19" s="7"/>
      <c r="LH19" s="7"/>
      <c r="LI19" s="7"/>
      <c r="LJ19" s="7"/>
      <c r="LK19" s="7"/>
      <c r="LL19" s="7"/>
      <c r="LM19" s="7"/>
      <c r="LN19" s="7"/>
      <c r="LO19" s="7"/>
      <c r="LP19" s="7"/>
      <c r="LQ19" s="7"/>
    </row>
    <row r="20" spans="1:329" s="8" customFormat="1" ht="15" customHeight="1" x14ac:dyDescent="0.25">
      <c r="A20" s="71">
        <v>1004102</v>
      </c>
      <c r="B20" s="44" t="s">
        <v>53</v>
      </c>
      <c r="C20" s="44" t="str">
        <f>VLOOKUP(A20,Artikeldaten!A:B,2,0)</f>
        <v>Gummifuß - Minikid 1 &amp; Rekid</v>
      </c>
      <c r="D20" s="45">
        <v>3</v>
      </c>
      <c r="E20" s="45">
        <f t="shared" si="0"/>
        <v>5.0420168067226889</v>
      </c>
      <c r="F20" s="45">
        <f t="shared" si="1"/>
        <v>6</v>
      </c>
      <c r="G20" s="41"/>
      <c r="H20" s="41"/>
      <c r="I20" s="36"/>
      <c r="J20" s="36"/>
      <c r="K20" s="35" t="s">
        <v>21</v>
      </c>
      <c r="L20" s="36"/>
      <c r="M20" s="36"/>
      <c r="N20" s="35" t="s">
        <v>21</v>
      </c>
      <c r="O20" s="35" t="s">
        <v>21</v>
      </c>
      <c r="P20" s="35" t="s">
        <v>21</v>
      </c>
      <c r="Q20" s="35" t="s">
        <v>21</v>
      </c>
      <c r="R20" s="42">
        <v>7350057583944</v>
      </c>
      <c r="S20" s="43" t="s">
        <v>320</v>
      </c>
      <c r="T20" s="43">
        <v>4.5</v>
      </c>
      <c r="U20" s="43">
        <v>4.25</v>
      </c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  <c r="BO20" s="7"/>
      <c r="BP20" s="7"/>
      <c r="BQ20" s="7"/>
      <c r="BR20" s="7"/>
      <c r="BS20" s="7"/>
      <c r="BT20" s="7"/>
      <c r="BU20" s="7"/>
      <c r="BV20" s="7"/>
      <c r="BW20" s="7"/>
      <c r="BX20" s="7"/>
      <c r="BY20" s="7"/>
      <c r="BZ20" s="7"/>
      <c r="CA20" s="7"/>
      <c r="CB20" s="7"/>
      <c r="CC20" s="7"/>
      <c r="CD20" s="7"/>
      <c r="CE20" s="7"/>
      <c r="CF20" s="7"/>
      <c r="CG20" s="7"/>
      <c r="CH20" s="7"/>
      <c r="CI20" s="7"/>
      <c r="CJ20" s="7"/>
      <c r="CK20" s="7"/>
      <c r="CL20" s="7"/>
      <c r="CM20" s="7"/>
      <c r="CN20" s="7"/>
      <c r="CO20" s="7"/>
      <c r="CP20" s="7"/>
      <c r="CQ20" s="7"/>
      <c r="CR20" s="7"/>
      <c r="CS20" s="7"/>
      <c r="CT20" s="7"/>
      <c r="CU20" s="7"/>
      <c r="CV20" s="7"/>
      <c r="CW20" s="7"/>
      <c r="CX20" s="7"/>
      <c r="CY20" s="7"/>
      <c r="CZ20" s="7"/>
      <c r="DA20" s="7"/>
      <c r="DB20" s="7"/>
      <c r="DC20" s="7"/>
      <c r="DD20" s="7"/>
      <c r="DE20" s="7"/>
      <c r="DF20" s="7"/>
      <c r="DG20" s="7"/>
      <c r="DH20" s="7"/>
      <c r="DI20" s="7"/>
      <c r="DJ20" s="7"/>
      <c r="DK20" s="7"/>
      <c r="DL20" s="7"/>
      <c r="DM20" s="7"/>
      <c r="DN20" s="7"/>
      <c r="DO20" s="7"/>
      <c r="DP20" s="7"/>
      <c r="DQ20" s="7"/>
      <c r="DR20" s="7"/>
      <c r="DS20" s="7"/>
      <c r="DT20" s="7"/>
      <c r="DU20" s="7"/>
      <c r="DV20" s="7"/>
      <c r="DW20" s="7"/>
      <c r="DX20" s="7"/>
      <c r="DY20" s="7"/>
      <c r="DZ20" s="7"/>
      <c r="EA20" s="7"/>
      <c r="EB20" s="7"/>
      <c r="EC20" s="7"/>
      <c r="ED20" s="7"/>
      <c r="EE20" s="7"/>
      <c r="EF20" s="7"/>
      <c r="EG20" s="7"/>
      <c r="EH20" s="7"/>
      <c r="EI20" s="7"/>
      <c r="EJ20" s="7"/>
      <c r="EK20" s="7"/>
      <c r="EL20" s="7"/>
      <c r="EM20" s="7"/>
      <c r="EN20" s="7"/>
      <c r="EO20" s="7"/>
      <c r="EP20" s="7"/>
      <c r="EQ20" s="7"/>
      <c r="ER20" s="7"/>
      <c r="ES20" s="7"/>
      <c r="ET20" s="7"/>
      <c r="EU20" s="7"/>
      <c r="EV20" s="7"/>
      <c r="EW20" s="7"/>
      <c r="EX20" s="7"/>
      <c r="EY20" s="7"/>
      <c r="EZ20" s="7"/>
      <c r="FA20" s="7"/>
      <c r="FB20" s="7"/>
      <c r="FC20" s="7"/>
      <c r="FD20" s="7"/>
      <c r="FE20" s="7"/>
      <c r="FF20" s="7"/>
      <c r="FG20" s="7"/>
      <c r="FH20" s="7"/>
      <c r="FI20" s="7"/>
      <c r="FJ20" s="7"/>
      <c r="FK20" s="7"/>
      <c r="FL20" s="7"/>
      <c r="FM20" s="7"/>
      <c r="FN20" s="7"/>
      <c r="FO20" s="7"/>
      <c r="FP20" s="7"/>
      <c r="FQ20" s="7"/>
      <c r="FR20" s="7"/>
      <c r="FS20" s="7"/>
      <c r="FT20" s="7"/>
      <c r="FU20" s="7"/>
      <c r="FV20" s="7"/>
      <c r="FW20" s="7"/>
      <c r="FX20" s="7"/>
      <c r="FY20" s="7"/>
      <c r="FZ20" s="7"/>
      <c r="GA20" s="7"/>
      <c r="GB20" s="7"/>
      <c r="GC20" s="7"/>
      <c r="GD20" s="7"/>
      <c r="GE20" s="7"/>
      <c r="GF20" s="7"/>
      <c r="GG20" s="7"/>
      <c r="GH20" s="7"/>
      <c r="GI20" s="7"/>
      <c r="GJ20" s="7"/>
      <c r="GK20" s="7"/>
      <c r="GL20" s="7"/>
      <c r="GM20" s="7"/>
      <c r="GN20" s="7"/>
      <c r="GO20" s="7"/>
      <c r="GP20" s="7"/>
      <c r="GQ20" s="7"/>
      <c r="GR20" s="7"/>
      <c r="GS20" s="7"/>
      <c r="GT20" s="7"/>
      <c r="GU20" s="7"/>
      <c r="GV20" s="7"/>
      <c r="GW20" s="7"/>
      <c r="GX20" s="7"/>
      <c r="GY20" s="7"/>
      <c r="GZ20" s="7"/>
      <c r="HA20" s="7"/>
      <c r="HB20" s="7"/>
      <c r="HC20" s="7"/>
      <c r="HD20" s="7"/>
      <c r="HE20" s="7"/>
      <c r="HF20" s="7"/>
      <c r="HG20" s="7"/>
      <c r="HH20" s="7"/>
      <c r="HI20" s="7"/>
      <c r="HJ20" s="7"/>
      <c r="HK20" s="7"/>
      <c r="HL20" s="7"/>
      <c r="HM20" s="7"/>
      <c r="HN20" s="7"/>
      <c r="HO20" s="7"/>
      <c r="HP20" s="7"/>
      <c r="HQ20" s="7"/>
      <c r="HR20" s="7"/>
      <c r="HS20" s="7"/>
      <c r="HT20" s="7"/>
      <c r="HU20" s="7"/>
      <c r="HV20" s="7"/>
      <c r="HW20" s="7"/>
      <c r="HX20" s="7"/>
      <c r="HY20" s="7"/>
      <c r="HZ20" s="7"/>
      <c r="IA20" s="7"/>
      <c r="IB20" s="7"/>
      <c r="IC20" s="7"/>
      <c r="ID20" s="7"/>
      <c r="IE20" s="7"/>
      <c r="IF20" s="7"/>
      <c r="IG20" s="7"/>
      <c r="IH20" s="7"/>
      <c r="II20" s="7"/>
      <c r="IJ20" s="7"/>
      <c r="IK20" s="7"/>
      <c r="IL20" s="7"/>
      <c r="IM20" s="7"/>
      <c r="IN20" s="7"/>
      <c r="IO20" s="7"/>
      <c r="IP20" s="7"/>
      <c r="IQ20" s="7"/>
      <c r="IR20" s="7"/>
      <c r="IS20" s="7"/>
      <c r="IT20" s="7"/>
      <c r="IU20" s="7"/>
      <c r="IV20" s="7"/>
      <c r="IW20" s="7"/>
      <c r="IX20" s="7"/>
      <c r="IY20" s="7"/>
      <c r="IZ20" s="7"/>
      <c r="JA20" s="7"/>
      <c r="JB20" s="7"/>
      <c r="JC20" s="7"/>
      <c r="JD20" s="7"/>
      <c r="JE20" s="7"/>
      <c r="JF20" s="7"/>
      <c r="JG20" s="7"/>
      <c r="JH20" s="7"/>
      <c r="JI20" s="7"/>
      <c r="JJ20" s="7"/>
      <c r="JK20" s="7"/>
      <c r="JL20" s="7"/>
      <c r="JM20" s="7"/>
      <c r="JN20" s="7"/>
      <c r="JO20" s="7"/>
      <c r="JP20" s="7"/>
      <c r="JQ20" s="7"/>
      <c r="JR20" s="7"/>
      <c r="JS20" s="7"/>
      <c r="JT20" s="7"/>
      <c r="JU20" s="7"/>
      <c r="JV20" s="7"/>
      <c r="JW20" s="7"/>
      <c r="JX20" s="7"/>
      <c r="JY20" s="7"/>
      <c r="JZ20" s="7"/>
      <c r="KA20" s="7"/>
      <c r="KB20" s="7"/>
      <c r="KC20" s="7"/>
      <c r="KD20" s="7"/>
      <c r="KE20" s="7"/>
      <c r="KF20" s="7"/>
      <c r="KG20" s="7"/>
      <c r="KH20" s="7"/>
      <c r="KI20" s="7"/>
      <c r="KJ20" s="7"/>
      <c r="KK20" s="7"/>
      <c r="KL20" s="7"/>
      <c r="KM20" s="7"/>
      <c r="KN20" s="7"/>
      <c r="KO20" s="7"/>
      <c r="KP20" s="7"/>
      <c r="KQ20" s="7"/>
      <c r="KR20" s="7"/>
      <c r="KS20" s="7"/>
      <c r="KT20" s="7"/>
      <c r="KU20" s="7"/>
      <c r="KV20" s="7"/>
      <c r="KW20" s="7"/>
      <c r="KX20" s="7"/>
      <c r="KY20" s="7"/>
      <c r="KZ20" s="7"/>
      <c r="LA20" s="7"/>
      <c r="LB20" s="7"/>
      <c r="LC20" s="7"/>
      <c r="LD20" s="7"/>
      <c r="LE20" s="7"/>
      <c r="LF20" s="7"/>
      <c r="LG20" s="7"/>
      <c r="LH20" s="7"/>
      <c r="LI20" s="7"/>
      <c r="LJ20" s="7"/>
      <c r="LK20" s="7"/>
      <c r="LL20" s="7"/>
      <c r="LM20" s="7"/>
      <c r="LN20" s="7"/>
      <c r="LO20" s="7"/>
      <c r="LP20" s="7"/>
      <c r="LQ20" s="7"/>
    </row>
    <row r="21" spans="1:329" s="8" customFormat="1" ht="15" customHeight="1" x14ac:dyDescent="0.25">
      <c r="A21" s="70">
        <v>1004445</v>
      </c>
      <c r="B21" s="33" t="s">
        <v>55</v>
      </c>
      <c r="C21" s="33" t="str">
        <f>VLOOKUP(A21,Artikeldaten!A:B,2,0)</f>
        <v>Stützfuß - Minikid 2 &amp; Move</v>
      </c>
      <c r="D21" s="34">
        <v>30</v>
      </c>
      <c r="E21" s="34">
        <f t="shared" si="0"/>
        <v>50.420168067226896</v>
      </c>
      <c r="F21" s="34">
        <f t="shared" si="1"/>
        <v>60</v>
      </c>
      <c r="G21" s="41"/>
      <c r="H21" s="41"/>
      <c r="I21" s="35" t="s">
        <v>21</v>
      </c>
      <c r="J21" s="35" t="s">
        <v>21</v>
      </c>
      <c r="K21" s="36"/>
      <c r="L21" s="36"/>
      <c r="M21" s="36"/>
      <c r="N21" s="36"/>
      <c r="O21" s="36"/>
      <c r="P21" s="36"/>
      <c r="Q21" s="36"/>
      <c r="R21" s="42">
        <v>7350057583913</v>
      </c>
      <c r="S21" s="43" t="s">
        <v>320</v>
      </c>
      <c r="T21" s="43">
        <v>1.25</v>
      </c>
      <c r="U21" s="43">
        <v>1.1200000000000001</v>
      </c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7"/>
      <c r="BQ21" s="7"/>
      <c r="BR21" s="7"/>
      <c r="BS21" s="7"/>
      <c r="BT21" s="7"/>
      <c r="BU21" s="7"/>
      <c r="BV21" s="7"/>
      <c r="BW21" s="7"/>
      <c r="BX21" s="7"/>
      <c r="BY21" s="7"/>
      <c r="BZ21" s="7"/>
      <c r="CA21" s="7"/>
      <c r="CB21" s="7"/>
      <c r="CC21" s="7"/>
      <c r="CD21" s="7"/>
      <c r="CE21" s="7"/>
      <c r="CF21" s="7"/>
      <c r="CG21" s="7"/>
      <c r="CH21" s="7"/>
      <c r="CI21" s="7"/>
      <c r="CJ21" s="7"/>
      <c r="CK21" s="7"/>
      <c r="CL21" s="7"/>
      <c r="CM21" s="7"/>
      <c r="CN21" s="7"/>
      <c r="CO21" s="7"/>
      <c r="CP21" s="7"/>
      <c r="CQ21" s="7"/>
      <c r="CR21" s="7"/>
      <c r="CS21" s="7"/>
      <c r="CT21" s="7"/>
      <c r="CU21" s="7"/>
      <c r="CV21" s="7"/>
      <c r="CW21" s="7"/>
      <c r="CX21" s="7"/>
      <c r="CY21" s="7"/>
      <c r="CZ21" s="7"/>
      <c r="DA21" s="7"/>
      <c r="DB21" s="7"/>
      <c r="DC21" s="7"/>
      <c r="DD21" s="7"/>
      <c r="DE21" s="7"/>
      <c r="DF21" s="7"/>
      <c r="DG21" s="7"/>
      <c r="DH21" s="7"/>
      <c r="DI21" s="7"/>
      <c r="DJ21" s="7"/>
      <c r="DK21" s="7"/>
      <c r="DL21" s="7"/>
      <c r="DM21" s="7"/>
      <c r="DN21" s="7"/>
      <c r="DO21" s="7"/>
      <c r="DP21" s="7"/>
      <c r="DQ21" s="7"/>
      <c r="DR21" s="7"/>
      <c r="DS21" s="7"/>
      <c r="DT21" s="7"/>
      <c r="DU21" s="7"/>
      <c r="DV21" s="7"/>
      <c r="DW21" s="7"/>
      <c r="DX21" s="7"/>
      <c r="DY21" s="7"/>
      <c r="DZ21" s="7"/>
      <c r="EA21" s="7"/>
      <c r="EB21" s="7"/>
      <c r="EC21" s="7"/>
      <c r="ED21" s="7"/>
      <c r="EE21" s="7"/>
      <c r="EF21" s="7"/>
      <c r="EG21" s="7"/>
      <c r="EH21" s="7"/>
      <c r="EI21" s="7"/>
      <c r="EJ21" s="7"/>
      <c r="EK21" s="7"/>
      <c r="EL21" s="7"/>
      <c r="EM21" s="7"/>
      <c r="EN21" s="7"/>
      <c r="EO21" s="7"/>
      <c r="EP21" s="7"/>
      <c r="EQ21" s="7"/>
      <c r="ER21" s="7"/>
      <c r="ES21" s="7"/>
      <c r="ET21" s="7"/>
      <c r="EU21" s="7"/>
      <c r="EV21" s="7"/>
      <c r="EW21" s="7"/>
      <c r="EX21" s="7"/>
      <c r="EY21" s="7"/>
      <c r="EZ21" s="7"/>
      <c r="FA21" s="7"/>
      <c r="FB21" s="7"/>
      <c r="FC21" s="7"/>
      <c r="FD21" s="7"/>
      <c r="FE21" s="7"/>
      <c r="FF21" s="7"/>
      <c r="FG21" s="7"/>
      <c r="FH21" s="7"/>
      <c r="FI21" s="7"/>
      <c r="FJ21" s="7"/>
      <c r="FK21" s="7"/>
      <c r="FL21" s="7"/>
      <c r="FM21" s="7"/>
      <c r="FN21" s="7"/>
      <c r="FO21" s="7"/>
      <c r="FP21" s="7"/>
      <c r="FQ21" s="7"/>
      <c r="FR21" s="7"/>
      <c r="FS21" s="7"/>
      <c r="FT21" s="7"/>
      <c r="FU21" s="7"/>
      <c r="FV21" s="7"/>
      <c r="FW21" s="7"/>
      <c r="FX21" s="7"/>
      <c r="FY21" s="7"/>
      <c r="FZ21" s="7"/>
      <c r="GA21" s="7"/>
      <c r="GB21" s="7"/>
      <c r="GC21" s="7"/>
      <c r="GD21" s="7"/>
      <c r="GE21" s="7"/>
      <c r="GF21" s="7"/>
      <c r="GG21" s="7"/>
      <c r="GH21" s="7"/>
      <c r="GI21" s="7"/>
      <c r="GJ21" s="7"/>
      <c r="GK21" s="7"/>
      <c r="GL21" s="7"/>
      <c r="GM21" s="7"/>
      <c r="GN21" s="7"/>
      <c r="GO21" s="7"/>
      <c r="GP21" s="7"/>
      <c r="GQ21" s="7"/>
      <c r="GR21" s="7"/>
      <c r="GS21" s="7"/>
      <c r="GT21" s="7"/>
      <c r="GU21" s="7"/>
      <c r="GV21" s="7"/>
      <c r="GW21" s="7"/>
      <c r="GX21" s="7"/>
      <c r="GY21" s="7"/>
      <c r="GZ21" s="7"/>
      <c r="HA21" s="7"/>
      <c r="HB21" s="7"/>
      <c r="HC21" s="7"/>
      <c r="HD21" s="7"/>
      <c r="HE21" s="7"/>
      <c r="HF21" s="7"/>
      <c r="HG21" s="7"/>
      <c r="HH21" s="7"/>
      <c r="HI21" s="7"/>
      <c r="HJ21" s="7"/>
      <c r="HK21" s="7"/>
      <c r="HL21" s="7"/>
      <c r="HM21" s="7"/>
      <c r="HN21" s="7"/>
      <c r="HO21" s="7"/>
      <c r="HP21" s="7"/>
      <c r="HQ21" s="7"/>
      <c r="HR21" s="7"/>
      <c r="HS21" s="7"/>
      <c r="HT21" s="7"/>
      <c r="HU21" s="7"/>
      <c r="HV21" s="7"/>
      <c r="HW21" s="7"/>
      <c r="HX21" s="7"/>
      <c r="HY21" s="7"/>
      <c r="HZ21" s="7"/>
      <c r="IA21" s="7"/>
      <c r="IB21" s="7"/>
      <c r="IC21" s="7"/>
      <c r="ID21" s="7"/>
      <c r="IE21" s="7"/>
      <c r="IF21" s="7"/>
      <c r="IG21" s="7"/>
      <c r="IH21" s="7"/>
      <c r="II21" s="7"/>
      <c r="IJ21" s="7"/>
      <c r="IK21" s="7"/>
      <c r="IL21" s="7"/>
      <c r="IM21" s="7"/>
      <c r="IN21" s="7"/>
      <c r="IO21" s="7"/>
      <c r="IP21" s="7"/>
      <c r="IQ21" s="7"/>
      <c r="IR21" s="7"/>
      <c r="IS21" s="7"/>
      <c r="IT21" s="7"/>
      <c r="IU21" s="7"/>
      <c r="IV21" s="7"/>
      <c r="IW21" s="7"/>
      <c r="IX21" s="7"/>
      <c r="IY21" s="7"/>
      <c r="IZ21" s="7"/>
      <c r="JA21" s="7"/>
      <c r="JB21" s="7"/>
      <c r="JC21" s="7"/>
      <c r="JD21" s="7"/>
      <c r="JE21" s="7"/>
      <c r="JF21" s="7"/>
      <c r="JG21" s="7"/>
      <c r="JH21" s="7"/>
      <c r="JI21" s="7"/>
      <c r="JJ21" s="7"/>
      <c r="JK21" s="7"/>
      <c r="JL21" s="7"/>
      <c r="JM21" s="7"/>
      <c r="JN21" s="7"/>
      <c r="JO21" s="7"/>
      <c r="JP21" s="7"/>
      <c r="JQ21" s="7"/>
      <c r="JR21" s="7"/>
      <c r="JS21" s="7"/>
      <c r="JT21" s="7"/>
      <c r="JU21" s="7"/>
      <c r="JV21" s="7"/>
      <c r="JW21" s="7"/>
      <c r="JX21" s="7"/>
      <c r="JY21" s="7"/>
      <c r="JZ21" s="7"/>
      <c r="KA21" s="7"/>
      <c r="KB21" s="7"/>
      <c r="KC21" s="7"/>
      <c r="KD21" s="7"/>
      <c r="KE21" s="7"/>
      <c r="KF21" s="7"/>
      <c r="KG21" s="7"/>
      <c r="KH21" s="7"/>
      <c r="KI21" s="7"/>
      <c r="KJ21" s="7"/>
      <c r="KK21" s="7"/>
      <c r="KL21" s="7"/>
      <c r="KM21" s="7"/>
      <c r="KN21" s="7"/>
      <c r="KO21" s="7"/>
      <c r="KP21" s="7"/>
      <c r="KQ21" s="7"/>
      <c r="KR21" s="7"/>
      <c r="KS21" s="7"/>
      <c r="KT21" s="7"/>
      <c r="KU21" s="7"/>
      <c r="KV21" s="7"/>
      <c r="KW21" s="7"/>
      <c r="KX21" s="7"/>
      <c r="KY21" s="7"/>
      <c r="KZ21" s="7"/>
      <c r="LA21" s="7"/>
      <c r="LB21" s="7"/>
      <c r="LC21" s="7"/>
      <c r="LD21" s="7"/>
      <c r="LE21" s="7"/>
      <c r="LF21" s="7"/>
      <c r="LG21" s="7"/>
      <c r="LH21" s="7"/>
      <c r="LI21" s="7"/>
      <c r="LJ21" s="7"/>
      <c r="LK21" s="7"/>
      <c r="LL21" s="7"/>
      <c r="LM21" s="7"/>
      <c r="LN21" s="7"/>
      <c r="LO21" s="7"/>
      <c r="LP21" s="7"/>
      <c r="LQ21" s="7"/>
    </row>
    <row r="22" spans="1:329" s="8" customFormat="1" ht="15" customHeight="1" x14ac:dyDescent="0.25">
      <c r="A22" s="71">
        <v>1004453</v>
      </c>
      <c r="B22" s="44" t="s">
        <v>57</v>
      </c>
      <c r="C22" s="44" t="str">
        <f>VLOOKUP(A22,Artikeldaten!A:B,2,0)</f>
        <v>Gummifuß - Minikid 2 &amp; Move</v>
      </c>
      <c r="D22" s="45">
        <v>3</v>
      </c>
      <c r="E22" s="45">
        <f t="shared" si="0"/>
        <v>5.0420168067226889</v>
      </c>
      <c r="F22" s="45">
        <f t="shared" si="1"/>
        <v>6</v>
      </c>
      <c r="G22" s="41"/>
      <c r="H22" s="41"/>
      <c r="I22" s="35" t="s">
        <v>21</v>
      </c>
      <c r="J22" s="35" t="s">
        <v>21</v>
      </c>
      <c r="K22" s="35"/>
      <c r="L22" s="36"/>
      <c r="M22" s="36"/>
      <c r="N22" s="35"/>
      <c r="O22" s="35"/>
      <c r="P22" s="35"/>
      <c r="Q22" s="35"/>
      <c r="R22" s="42">
        <v>7350057583937</v>
      </c>
      <c r="S22" s="43" t="s">
        <v>320</v>
      </c>
      <c r="T22" s="43">
        <v>1.06</v>
      </c>
      <c r="U22" s="43">
        <v>0.84</v>
      </c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</row>
    <row r="23" spans="1:329" s="8" customFormat="1" ht="15" customHeight="1" x14ac:dyDescent="0.25">
      <c r="A23" s="70">
        <v>1006000</v>
      </c>
      <c r="B23" s="33" t="s">
        <v>59</v>
      </c>
      <c r="C23" s="33" t="str">
        <f>VLOOKUP(A23,Artikeldaten!A:B,2,0)</f>
        <v>Kopfstütze - Duofix &amp; Kidzofix</v>
      </c>
      <c r="D23" s="34">
        <v>13</v>
      </c>
      <c r="E23" s="34">
        <f t="shared" si="0"/>
        <v>21.84873949579832</v>
      </c>
      <c r="F23" s="34">
        <f t="shared" si="1"/>
        <v>26</v>
      </c>
      <c r="G23" s="41"/>
      <c r="H23" s="41"/>
      <c r="I23" s="36"/>
      <c r="J23" s="36"/>
      <c r="K23" s="36"/>
      <c r="L23" s="36"/>
      <c r="M23" s="36"/>
      <c r="N23" s="36"/>
      <c r="O23" s="36"/>
      <c r="P23" s="35" t="s">
        <v>21</v>
      </c>
      <c r="Q23" s="35" t="s">
        <v>21</v>
      </c>
      <c r="R23" s="42">
        <v>7350057583791</v>
      </c>
      <c r="S23" s="43" t="s">
        <v>321</v>
      </c>
      <c r="T23" s="43">
        <v>0.32</v>
      </c>
      <c r="U23" s="43">
        <v>0.11</v>
      </c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  <c r="BU23" s="7"/>
      <c r="BV23" s="7"/>
      <c r="BW23" s="7"/>
      <c r="BX23" s="7"/>
      <c r="BY23" s="7"/>
      <c r="BZ23" s="7"/>
      <c r="CA23" s="7"/>
      <c r="CB23" s="7"/>
      <c r="CC23" s="7"/>
      <c r="CD23" s="7"/>
      <c r="CE23" s="7"/>
      <c r="CF23" s="7"/>
      <c r="CG23" s="7"/>
      <c r="CH23" s="7"/>
      <c r="CI23" s="7"/>
      <c r="CJ23" s="7"/>
      <c r="CK23" s="7"/>
      <c r="CL23" s="7"/>
      <c r="CM23" s="7"/>
      <c r="CN23" s="7"/>
      <c r="CO23" s="7"/>
      <c r="CP23" s="7"/>
      <c r="CQ23" s="7"/>
      <c r="CR23" s="7"/>
      <c r="CS23" s="7"/>
      <c r="CT23" s="7"/>
      <c r="CU23" s="7"/>
      <c r="CV23" s="7"/>
      <c r="CW23" s="7"/>
      <c r="CX23" s="7"/>
      <c r="CY23" s="7"/>
      <c r="CZ23" s="7"/>
      <c r="DA23" s="7"/>
      <c r="DB23" s="7"/>
      <c r="DC23" s="7"/>
      <c r="DD23" s="7"/>
      <c r="DE23" s="7"/>
      <c r="DF23" s="7"/>
      <c r="DG23" s="7"/>
      <c r="DH23" s="7"/>
      <c r="DI23" s="7"/>
      <c r="DJ23" s="7"/>
      <c r="DK23" s="7"/>
      <c r="DL23" s="7"/>
      <c r="DM23" s="7"/>
      <c r="DN23" s="7"/>
      <c r="DO23" s="7"/>
      <c r="DP23" s="7"/>
      <c r="DQ23" s="7"/>
      <c r="DR23" s="7"/>
      <c r="DS23" s="7"/>
      <c r="DT23" s="7"/>
      <c r="DU23" s="7"/>
      <c r="DV23" s="7"/>
      <c r="DW23" s="7"/>
      <c r="DX23" s="7"/>
      <c r="DY23" s="7"/>
      <c r="DZ23" s="7"/>
      <c r="EA23" s="7"/>
      <c r="EB23" s="7"/>
      <c r="EC23" s="7"/>
      <c r="ED23" s="7"/>
      <c r="EE23" s="7"/>
      <c r="EF23" s="7"/>
      <c r="EG23" s="7"/>
      <c r="EH23" s="7"/>
      <c r="EI23" s="7"/>
      <c r="EJ23" s="7"/>
      <c r="EK23" s="7"/>
      <c r="EL23" s="7"/>
      <c r="EM23" s="7"/>
      <c r="EN23" s="7"/>
      <c r="EO23" s="7"/>
      <c r="EP23" s="7"/>
      <c r="EQ23" s="7"/>
      <c r="ER23" s="7"/>
      <c r="ES23" s="7"/>
      <c r="ET23" s="7"/>
      <c r="EU23" s="7"/>
      <c r="EV23" s="7"/>
      <c r="EW23" s="7"/>
      <c r="EX23" s="7"/>
      <c r="EY23" s="7"/>
      <c r="EZ23" s="7"/>
      <c r="FA23" s="7"/>
      <c r="FB23" s="7"/>
      <c r="FC23" s="7"/>
      <c r="FD23" s="7"/>
      <c r="FE23" s="7"/>
      <c r="FF23" s="7"/>
      <c r="FG23" s="7"/>
      <c r="FH23" s="7"/>
      <c r="FI23" s="7"/>
      <c r="FJ23" s="7"/>
      <c r="FK23" s="7"/>
      <c r="FL23" s="7"/>
      <c r="FM23" s="7"/>
      <c r="FN23" s="7"/>
      <c r="FO23" s="7"/>
      <c r="FP23" s="7"/>
      <c r="FQ23" s="7"/>
      <c r="FR23" s="7"/>
      <c r="FS23" s="7"/>
      <c r="FT23" s="7"/>
      <c r="FU23" s="7"/>
      <c r="FV23" s="7"/>
      <c r="FW23" s="7"/>
      <c r="FX23" s="7"/>
      <c r="FY23" s="7"/>
      <c r="FZ23" s="7"/>
      <c r="GA23" s="7"/>
      <c r="GB23" s="7"/>
      <c r="GC23" s="7"/>
      <c r="GD23" s="7"/>
      <c r="GE23" s="7"/>
      <c r="GF23" s="7"/>
      <c r="GG23" s="7"/>
      <c r="GH23" s="7"/>
      <c r="GI23" s="7"/>
      <c r="GJ23" s="7"/>
      <c r="GK23" s="7"/>
      <c r="GL23" s="7"/>
      <c r="GM23" s="7"/>
      <c r="GN23" s="7"/>
      <c r="GO23" s="7"/>
      <c r="GP23" s="7"/>
      <c r="GQ23" s="7"/>
      <c r="GR23" s="7"/>
      <c r="GS23" s="7"/>
      <c r="GT23" s="7"/>
      <c r="GU23" s="7"/>
      <c r="GV23" s="7"/>
      <c r="GW23" s="7"/>
      <c r="GX23" s="7"/>
      <c r="GY23" s="7"/>
      <c r="GZ23" s="7"/>
      <c r="HA23" s="7"/>
      <c r="HB23" s="7"/>
      <c r="HC23" s="7"/>
      <c r="HD23" s="7"/>
      <c r="HE23" s="7"/>
      <c r="HF23" s="7"/>
      <c r="HG23" s="7"/>
      <c r="HH23" s="7"/>
      <c r="HI23" s="7"/>
      <c r="HJ23" s="7"/>
      <c r="HK23" s="7"/>
      <c r="HL23" s="7"/>
      <c r="HM23" s="7"/>
      <c r="HN23" s="7"/>
      <c r="HO23" s="7"/>
      <c r="HP23" s="7"/>
      <c r="HQ23" s="7"/>
      <c r="HR23" s="7"/>
      <c r="HS23" s="7"/>
      <c r="HT23" s="7"/>
      <c r="HU23" s="7"/>
      <c r="HV23" s="7"/>
      <c r="HW23" s="7"/>
      <c r="HX23" s="7"/>
      <c r="HY23" s="7"/>
      <c r="HZ23" s="7"/>
      <c r="IA23" s="7"/>
      <c r="IB23" s="7"/>
      <c r="IC23" s="7"/>
      <c r="ID23" s="7"/>
      <c r="IE23" s="7"/>
      <c r="IF23" s="7"/>
      <c r="IG23" s="7"/>
      <c r="IH23" s="7"/>
      <c r="II23" s="7"/>
      <c r="IJ23" s="7"/>
      <c r="IK23" s="7"/>
      <c r="IL23" s="7"/>
      <c r="IM23" s="7"/>
      <c r="IN23" s="7"/>
      <c r="IO23" s="7"/>
      <c r="IP23" s="7"/>
      <c r="IQ23" s="7"/>
      <c r="IR23" s="7"/>
      <c r="IS23" s="7"/>
      <c r="IT23" s="7"/>
      <c r="IU23" s="7"/>
      <c r="IV23" s="7"/>
      <c r="IW23" s="7"/>
      <c r="IX23" s="7"/>
      <c r="IY23" s="7"/>
      <c r="IZ23" s="7"/>
      <c r="JA23" s="7"/>
      <c r="JB23" s="7"/>
      <c r="JC23" s="7"/>
      <c r="JD23" s="7"/>
      <c r="JE23" s="7"/>
      <c r="JF23" s="7"/>
      <c r="JG23" s="7"/>
      <c r="JH23" s="7"/>
      <c r="JI23" s="7"/>
      <c r="JJ23" s="7"/>
      <c r="JK23" s="7"/>
      <c r="JL23" s="7"/>
      <c r="JM23" s="7"/>
      <c r="JN23" s="7"/>
      <c r="JO23" s="7"/>
      <c r="JP23" s="7"/>
      <c r="JQ23" s="7"/>
      <c r="JR23" s="7"/>
      <c r="JS23" s="7"/>
      <c r="JT23" s="7"/>
      <c r="JU23" s="7"/>
      <c r="JV23" s="7"/>
      <c r="JW23" s="7"/>
      <c r="JX23" s="7"/>
      <c r="JY23" s="7"/>
      <c r="JZ23" s="7"/>
      <c r="KA23" s="7"/>
      <c r="KB23" s="7"/>
      <c r="KC23" s="7"/>
      <c r="KD23" s="7"/>
      <c r="KE23" s="7"/>
      <c r="KF23" s="7"/>
      <c r="KG23" s="7"/>
      <c r="KH23" s="7"/>
      <c r="KI23" s="7"/>
      <c r="KJ23" s="7"/>
      <c r="KK23" s="7"/>
      <c r="KL23" s="7"/>
      <c r="KM23" s="7"/>
      <c r="KN23" s="7"/>
      <c r="KO23" s="7"/>
      <c r="KP23" s="7"/>
      <c r="KQ23" s="7"/>
      <c r="KR23" s="7"/>
      <c r="KS23" s="7"/>
      <c r="KT23" s="7"/>
      <c r="KU23" s="7"/>
      <c r="KV23" s="7"/>
      <c r="KW23" s="7"/>
      <c r="KX23" s="7"/>
      <c r="KY23" s="7"/>
      <c r="KZ23" s="7"/>
      <c r="LA23" s="7"/>
      <c r="LB23" s="7"/>
      <c r="LC23" s="7"/>
      <c r="LD23" s="7"/>
      <c r="LE23" s="7"/>
      <c r="LF23" s="7"/>
      <c r="LG23" s="7"/>
      <c r="LH23" s="7"/>
      <c r="LI23" s="7"/>
      <c r="LJ23" s="7"/>
      <c r="LK23" s="7"/>
      <c r="LL23" s="7"/>
      <c r="LM23" s="7"/>
      <c r="LN23" s="7"/>
      <c r="LO23" s="7"/>
      <c r="LP23" s="7"/>
      <c r="LQ23" s="7"/>
    </row>
    <row r="24" spans="1:329" s="8" customFormat="1" ht="15" customHeight="1" x14ac:dyDescent="0.25">
      <c r="A24" s="70">
        <v>1006003</v>
      </c>
      <c r="B24" s="33" t="s">
        <v>61</v>
      </c>
      <c r="C24" s="33" t="str">
        <f>VLOOKUP(A24,Artikeldaten!A:B,2,0)</f>
        <v>Kopfstütze - Minikid 1 &amp; Rekid</v>
      </c>
      <c r="D24" s="34">
        <v>13</v>
      </c>
      <c r="E24" s="34">
        <f t="shared" si="0"/>
        <v>21.84873949579832</v>
      </c>
      <c r="F24" s="34">
        <f t="shared" si="1"/>
        <v>26</v>
      </c>
      <c r="G24" s="41"/>
      <c r="H24" s="41"/>
      <c r="I24" s="36"/>
      <c r="J24" s="36"/>
      <c r="K24" s="35" t="s">
        <v>21</v>
      </c>
      <c r="L24" s="36"/>
      <c r="M24" s="36"/>
      <c r="N24" s="35" t="s">
        <v>21</v>
      </c>
      <c r="O24" s="36"/>
      <c r="P24" s="36"/>
      <c r="Q24" s="36"/>
      <c r="R24" s="42">
        <v>7350057583777</v>
      </c>
      <c r="S24" s="43" t="s">
        <v>322</v>
      </c>
      <c r="T24" s="43">
        <v>0.63</v>
      </c>
      <c r="U24" s="43">
        <v>0.17</v>
      </c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7"/>
      <c r="BS24" s="7"/>
      <c r="BT24" s="7"/>
      <c r="BU24" s="7"/>
      <c r="BV24" s="7"/>
      <c r="BW24" s="7"/>
      <c r="BX24" s="7"/>
      <c r="BY24" s="7"/>
      <c r="BZ24" s="7"/>
      <c r="CA24" s="7"/>
      <c r="CB24" s="7"/>
      <c r="CC24" s="7"/>
      <c r="CD24" s="7"/>
      <c r="CE24" s="7"/>
      <c r="CF24" s="7"/>
      <c r="CG24" s="7"/>
      <c r="CH24" s="7"/>
      <c r="CI24" s="7"/>
      <c r="CJ24" s="7"/>
      <c r="CK24" s="7"/>
      <c r="CL24" s="7"/>
      <c r="CM24" s="7"/>
      <c r="CN24" s="7"/>
      <c r="CO24" s="7"/>
      <c r="CP24" s="7"/>
      <c r="CQ24" s="7"/>
      <c r="CR24" s="7"/>
      <c r="CS24" s="7"/>
      <c r="CT24" s="7"/>
      <c r="CU24" s="7"/>
      <c r="CV24" s="7"/>
      <c r="CW24" s="7"/>
      <c r="CX24" s="7"/>
      <c r="CY24" s="7"/>
      <c r="CZ24" s="7"/>
      <c r="DA24" s="7"/>
      <c r="DB24" s="7"/>
      <c r="DC24" s="7"/>
      <c r="DD24" s="7"/>
      <c r="DE24" s="7"/>
      <c r="DF24" s="7"/>
      <c r="DG24" s="7"/>
      <c r="DH24" s="7"/>
      <c r="DI24" s="7"/>
      <c r="DJ24" s="7"/>
      <c r="DK24" s="7"/>
      <c r="DL24" s="7"/>
      <c r="DM24" s="7"/>
      <c r="DN24" s="7"/>
      <c r="DO24" s="7"/>
      <c r="DP24" s="7"/>
      <c r="DQ24" s="7"/>
      <c r="DR24" s="7"/>
      <c r="DS24" s="7"/>
      <c r="DT24" s="7"/>
      <c r="DU24" s="7"/>
      <c r="DV24" s="7"/>
      <c r="DW24" s="7"/>
      <c r="DX24" s="7"/>
      <c r="DY24" s="7"/>
      <c r="DZ24" s="7"/>
      <c r="EA24" s="7"/>
      <c r="EB24" s="7"/>
      <c r="EC24" s="7"/>
      <c r="ED24" s="7"/>
      <c r="EE24" s="7"/>
      <c r="EF24" s="7"/>
      <c r="EG24" s="7"/>
      <c r="EH24" s="7"/>
      <c r="EI24" s="7"/>
      <c r="EJ24" s="7"/>
      <c r="EK24" s="7"/>
      <c r="EL24" s="7"/>
      <c r="EM24" s="7"/>
      <c r="EN24" s="7"/>
      <c r="EO24" s="7"/>
      <c r="EP24" s="7"/>
      <c r="EQ24" s="7"/>
      <c r="ER24" s="7"/>
      <c r="ES24" s="7"/>
      <c r="ET24" s="7"/>
      <c r="EU24" s="7"/>
      <c r="EV24" s="7"/>
      <c r="EW24" s="7"/>
      <c r="EX24" s="7"/>
      <c r="EY24" s="7"/>
      <c r="EZ24" s="7"/>
      <c r="FA24" s="7"/>
      <c r="FB24" s="7"/>
      <c r="FC24" s="7"/>
      <c r="FD24" s="7"/>
      <c r="FE24" s="7"/>
      <c r="FF24" s="7"/>
      <c r="FG24" s="7"/>
      <c r="FH24" s="7"/>
      <c r="FI24" s="7"/>
      <c r="FJ24" s="7"/>
      <c r="FK24" s="7"/>
      <c r="FL24" s="7"/>
      <c r="FM24" s="7"/>
      <c r="FN24" s="7"/>
      <c r="FO24" s="7"/>
      <c r="FP24" s="7"/>
      <c r="FQ24" s="7"/>
      <c r="FR24" s="7"/>
      <c r="FS24" s="7"/>
      <c r="FT24" s="7"/>
      <c r="FU24" s="7"/>
      <c r="FV24" s="7"/>
      <c r="FW24" s="7"/>
      <c r="FX24" s="7"/>
      <c r="FY24" s="7"/>
      <c r="FZ24" s="7"/>
      <c r="GA24" s="7"/>
      <c r="GB24" s="7"/>
      <c r="GC24" s="7"/>
      <c r="GD24" s="7"/>
      <c r="GE24" s="7"/>
      <c r="GF24" s="7"/>
      <c r="GG24" s="7"/>
      <c r="GH24" s="7"/>
      <c r="GI24" s="7"/>
      <c r="GJ24" s="7"/>
      <c r="GK24" s="7"/>
      <c r="GL24" s="7"/>
      <c r="GM24" s="7"/>
      <c r="GN24" s="7"/>
      <c r="GO24" s="7"/>
      <c r="GP24" s="7"/>
      <c r="GQ24" s="7"/>
      <c r="GR24" s="7"/>
      <c r="GS24" s="7"/>
      <c r="GT24" s="7"/>
      <c r="GU24" s="7"/>
      <c r="GV24" s="7"/>
      <c r="GW24" s="7"/>
      <c r="GX24" s="7"/>
      <c r="GY24" s="7"/>
      <c r="GZ24" s="7"/>
      <c r="HA24" s="7"/>
      <c r="HB24" s="7"/>
      <c r="HC24" s="7"/>
      <c r="HD24" s="7"/>
      <c r="HE24" s="7"/>
      <c r="HF24" s="7"/>
      <c r="HG24" s="7"/>
      <c r="HH24" s="7"/>
      <c r="HI24" s="7"/>
      <c r="HJ24" s="7"/>
      <c r="HK24" s="7"/>
      <c r="HL24" s="7"/>
      <c r="HM24" s="7"/>
      <c r="HN24" s="7"/>
      <c r="HO24" s="7"/>
      <c r="HP24" s="7"/>
      <c r="HQ24" s="7"/>
      <c r="HR24" s="7"/>
      <c r="HS24" s="7"/>
      <c r="HT24" s="7"/>
      <c r="HU24" s="7"/>
      <c r="HV24" s="7"/>
      <c r="HW24" s="7"/>
      <c r="HX24" s="7"/>
      <c r="HY24" s="7"/>
      <c r="HZ24" s="7"/>
      <c r="IA24" s="7"/>
      <c r="IB24" s="7"/>
      <c r="IC24" s="7"/>
      <c r="ID24" s="7"/>
      <c r="IE24" s="7"/>
      <c r="IF24" s="7"/>
      <c r="IG24" s="7"/>
      <c r="IH24" s="7"/>
      <c r="II24" s="7"/>
      <c r="IJ24" s="7"/>
      <c r="IK24" s="7"/>
      <c r="IL24" s="7"/>
      <c r="IM24" s="7"/>
      <c r="IN24" s="7"/>
      <c r="IO24" s="7"/>
      <c r="IP24" s="7"/>
      <c r="IQ24" s="7"/>
      <c r="IR24" s="7"/>
      <c r="IS24" s="7"/>
      <c r="IT24" s="7"/>
      <c r="IU24" s="7"/>
      <c r="IV24" s="7"/>
      <c r="IW24" s="7"/>
      <c r="IX24" s="7"/>
      <c r="IY24" s="7"/>
      <c r="IZ24" s="7"/>
      <c r="JA24" s="7"/>
      <c r="JB24" s="7"/>
      <c r="JC24" s="7"/>
      <c r="JD24" s="7"/>
      <c r="JE24" s="7"/>
      <c r="JF24" s="7"/>
      <c r="JG24" s="7"/>
      <c r="JH24" s="7"/>
      <c r="JI24" s="7"/>
      <c r="JJ24" s="7"/>
      <c r="JK24" s="7"/>
      <c r="JL24" s="7"/>
      <c r="JM24" s="7"/>
      <c r="JN24" s="7"/>
      <c r="JO24" s="7"/>
      <c r="JP24" s="7"/>
      <c r="JQ24" s="7"/>
      <c r="JR24" s="7"/>
      <c r="JS24" s="7"/>
      <c r="JT24" s="7"/>
      <c r="JU24" s="7"/>
      <c r="JV24" s="7"/>
      <c r="JW24" s="7"/>
      <c r="JX24" s="7"/>
      <c r="JY24" s="7"/>
      <c r="JZ24" s="7"/>
      <c r="KA24" s="7"/>
      <c r="KB24" s="7"/>
      <c r="KC24" s="7"/>
      <c r="KD24" s="7"/>
      <c r="KE24" s="7"/>
      <c r="KF24" s="7"/>
      <c r="KG24" s="7"/>
      <c r="KH24" s="7"/>
      <c r="KI24" s="7"/>
      <c r="KJ24" s="7"/>
      <c r="KK24" s="7"/>
      <c r="KL24" s="7"/>
      <c r="KM24" s="7"/>
      <c r="KN24" s="7"/>
      <c r="KO24" s="7"/>
      <c r="KP24" s="7"/>
      <c r="KQ24" s="7"/>
      <c r="KR24" s="7"/>
      <c r="KS24" s="7"/>
      <c r="KT24" s="7"/>
      <c r="KU24" s="7"/>
      <c r="KV24" s="7"/>
      <c r="KW24" s="7"/>
      <c r="KX24" s="7"/>
      <c r="KY24" s="7"/>
      <c r="KZ24" s="7"/>
      <c r="LA24" s="7"/>
      <c r="LB24" s="7"/>
      <c r="LC24" s="7"/>
      <c r="LD24" s="7"/>
      <c r="LE24" s="7"/>
      <c r="LF24" s="7"/>
      <c r="LG24" s="7"/>
      <c r="LH24" s="7"/>
      <c r="LI24" s="7"/>
      <c r="LJ24" s="7"/>
      <c r="LK24" s="7"/>
      <c r="LL24" s="7"/>
      <c r="LM24" s="7"/>
      <c r="LN24" s="7"/>
      <c r="LO24" s="7"/>
      <c r="LP24" s="7"/>
      <c r="LQ24" s="7"/>
    </row>
    <row r="25" spans="1:329" s="8" customFormat="1" ht="15" customHeight="1" x14ac:dyDescent="0.25">
      <c r="A25" s="70">
        <v>1006504</v>
      </c>
      <c r="B25" s="33" t="s">
        <v>63</v>
      </c>
      <c r="C25" s="33" t="str">
        <f>VLOOKUP(A25,Artikeldaten!A:B,2,0)</f>
        <v xml:space="preserve">Kopfstütze - Minikid 2                           </v>
      </c>
      <c r="D25" s="34">
        <v>13</v>
      </c>
      <c r="E25" s="34">
        <f t="shared" si="0"/>
        <v>21.84873949579832</v>
      </c>
      <c r="F25" s="34">
        <f t="shared" si="1"/>
        <v>26</v>
      </c>
      <c r="G25" s="41"/>
      <c r="H25" s="41"/>
      <c r="I25" s="35" t="s">
        <v>21</v>
      </c>
      <c r="J25" s="36"/>
      <c r="K25" s="36"/>
      <c r="L25" s="36"/>
      <c r="M25" s="36"/>
      <c r="N25" s="36"/>
      <c r="O25" s="36"/>
      <c r="P25" s="36"/>
      <c r="Q25" s="36"/>
      <c r="R25" s="42">
        <v>7350057583760</v>
      </c>
      <c r="S25" s="43" t="s">
        <v>322</v>
      </c>
      <c r="T25" s="43">
        <v>0.63</v>
      </c>
      <c r="U25" s="43">
        <v>0.17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7"/>
      <c r="BS25" s="7"/>
      <c r="BT25" s="7"/>
      <c r="BU25" s="7"/>
      <c r="BV25" s="7"/>
      <c r="BW25" s="7"/>
      <c r="BX25" s="7"/>
      <c r="BY25" s="7"/>
      <c r="BZ25" s="7"/>
      <c r="CA25" s="7"/>
      <c r="CB25" s="7"/>
      <c r="CC25" s="7"/>
      <c r="CD25" s="7"/>
      <c r="CE25" s="7"/>
      <c r="CF25" s="7"/>
      <c r="CG25" s="7"/>
      <c r="CH25" s="7"/>
      <c r="CI25" s="7"/>
      <c r="CJ25" s="7"/>
      <c r="CK25" s="7"/>
      <c r="CL25" s="7"/>
      <c r="CM25" s="7"/>
      <c r="CN25" s="7"/>
      <c r="CO25" s="7"/>
      <c r="CP25" s="7"/>
      <c r="CQ25" s="7"/>
      <c r="CR25" s="7"/>
      <c r="CS25" s="7"/>
      <c r="CT25" s="7"/>
      <c r="CU25" s="7"/>
      <c r="CV25" s="7"/>
      <c r="CW25" s="7"/>
      <c r="CX25" s="7"/>
      <c r="CY25" s="7"/>
      <c r="CZ25" s="7"/>
      <c r="DA25" s="7"/>
      <c r="DB25" s="7"/>
      <c r="DC25" s="7"/>
      <c r="DD25" s="7"/>
      <c r="DE25" s="7"/>
      <c r="DF25" s="7"/>
      <c r="DG25" s="7"/>
      <c r="DH25" s="7"/>
      <c r="DI25" s="7"/>
      <c r="DJ25" s="7"/>
      <c r="DK25" s="7"/>
      <c r="DL25" s="7"/>
      <c r="DM25" s="7"/>
      <c r="DN25" s="7"/>
      <c r="DO25" s="7"/>
      <c r="DP25" s="7"/>
      <c r="DQ25" s="7"/>
      <c r="DR25" s="7"/>
      <c r="DS25" s="7"/>
      <c r="DT25" s="7"/>
      <c r="DU25" s="7"/>
      <c r="DV25" s="7"/>
      <c r="DW25" s="7"/>
      <c r="DX25" s="7"/>
      <c r="DY25" s="7"/>
      <c r="DZ25" s="7"/>
      <c r="EA25" s="7"/>
      <c r="EB25" s="7"/>
      <c r="EC25" s="7"/>
      <c r="ED25" s="7"/>
      <c r="EE25" s="7"/>
      <c r="EF25" s="7"/>
      <c r="EG25" s="7"/>
      <c r="EH25" s="7"/>
      <c r="EI25" s="7"/>
      <c r="EJ25" s="7"/>
      <c r="EK25" s="7"/>
      <c r="EL25" s="7"/>
      <c r="EM25" s="7"/>
      <c r="EN25" s="7"/>
      <c r="EO25" s="7"/>
      <c r="EP25" s="7"/>
      <c r="EQ25" s="7"/>
      <c r="ER25" s="7"/>
      <c r="ES25" s="7"/>
      <c r="ET25" s="7"/>
      <c r="EU25" s="7"/>
      <c r="EV25" s="7"/>
      <c r="EW25" s="7"/>
      <c r="EX25" s="7"/>
      <c r="EY25" s="7"/>
      <c r="EZ25" s="7"/>
      <c r="FA25" s="7"/>
      <c r="FB25" s="7"/>
      <c r="FC25" s="7"/>
      <c r="FD25" s="7"/>
      <c r="FE25" s="7"/>
      <c r="FF25" s="7"/>
      <c r="FG25" s="7"/>
      <c r="FH25" s="7"/>
      <c r="FI25" s="7"/>
      <c r="FJ25" s="7"/>
      <c r="FK25" s="7"/>
      <c r="FL25" s="7"/>
      <c r="FM25" s="7"/>
      <c r="FN25" s="7"/>
      <c r="FO25" s="7"/>
      <c r="FP25" s="7"/>
      <c r="FQ25" s="7"/>
      <c r="FR25" s="7"/>
      <c r="FS25" s="7"/>
      <c r="FT25" s="7"/>
      <c r="FU25" s="7"/>
      <c r="FV25" s="7"/>
      <c r="FW25" s="7"/>
      <c r="FX25" s="7"/>
      <c r="FY25" s="7"/>
      <c r="FZ25" s="7"/>
      <c r="GA25" s="7"/>
      <c r="GB25" s="7"/>
      <c r="GC25" s="7"/>
      <c r="GD25" s="7"/>
      <c r="GE25" s="7"/>
      <c r="GF25" s="7"/>
      <c r="GG25" s="7"/>
      <c r="GH25" s="7"/>
      <c r="GI25" s="7"/>
      <c r="GJ25" s="7"/>
      <c r="GK25" s="7"/>
      <c r="GL25" s="7"/>
      <c r="GM25" s="7"/>
      <c r="GN25" s="7"/>
      <c r="GO25" s="7"/>
      <c r="GP25" s="7"/>
      <c r="GQ25" s="7"/>
      <c r="GR25" s="7"/>
      <c r="GS25" s="7"/>
      <c r="GT25" s="7"/>
      <c r="GU25" s="7"/>
      <c r="GV25" s="7"/>
      <c r="GW25" s="7"/>
      <c r="GX25" s="7"/>
      <c r="GY25" s="7"/>
      <c r="GZ25" s="7"/>
      <c r="HA25" s="7"/>
      <c r="HB25" s="7"/>
      <c r="HC25" s="7"/>
      <c r="HD25" s="7"/>
      <c r="HE25" s="7"/>
      <c r="HF25" s="7"/>
      <c r="HG25" s="7"/>
      <c r="HH25" s="7"/>
      <c r="HI25" s="7"/>
      <c r="HJ25" s="7"/>
      <c r="HK25" s="7"/>
      <c r="HL25" s="7"/>
      <c r="HM25" s="7"/>
      <c r="HN25" s="7"/>
      <c r="HO25" s="7"/>
      <c r="HP25" s="7"/>
      <c r="HQ25" s="7"/>
      <c r="HR25" s="7"/>
      <c r="HS25" s="7"/>
      <c r="HT25" s="7"/>
      <c r="HU25" s="7"/>
      <c r="HV25" s="7"/>
      <c r="HW25" s="7"/>
      <c r="HX25" s="7"/>
      <c r="HY25" s="7"/>
      <c r="HZ25" s="7"/>
      <c r="IA25" s="7"/>
      <c r="IB25" s="7"/>
      <c r="IC25" s="7"/>
      <c r="ID25" s="7"/>
      <c r="IE25" s="7"/>
      <c r="IF25" s="7"/>
      <c r="IG25" s="7"/>
      <c r="IH25" s="7"/>
      <c r="II25" s="7"/>
      <c r="IJ25" s="7"/>
      <c r="IK25" s="7"/>
      <c r="IL25" s="7"/>
      <c r="IM25" s="7"/>
      <c r="IN25" s="7"/>
      <c r="IO25" s="7"/>
      <c r="IP25" s="7"/>
      <c r="IQ25" s="7"/>
      <c r="IR25" s="7"/>
      <c r="IS25" s="7"/>
      <c r="IT25" s="7"/>
      <c r="IU25" s="7"/>
      <c r="IV25" s="7"/>
      <c r="IW25" s="7"/>
      <c r="IX25" s="7"/>
      <c r="IY25" s="7"/>
      <c r="IZ25" s="7"/>
      <c r="JA25" s="7"/>
      <c r="JB25" s="7"/>
      <c r="JC25" s="7"/>
      <c r="JD25" s="7"/>
      <c r="JE25" s="7"/>
      <c r="JF25" s="7"/>
      <c r="JG25" s="7"/>
      <c r="JH25" s="7"/>
      <c r="JI25" s="7"/>
      <c r="JJ25" s="7"/>
      <c r="JK25" s="7"/>
      <c r="JL25" s="7"/>
      <c r="JM25" s="7"/>
      <c r="JN25" s="7"/>
      <c r="JO25" s="7"/>
      <c r="JP25" s="7"/>
      <c r="JQ25" s="7"/>
      <c r="JR25" s="7"/>
      <c r="JS25" s="7"/>
      <c r="JT25" s="7"/>
      <c r="JU25" s="7"/>
      <c r="JV25" s="7"/>
      <c r="JW25" s="7"/>
      <c r="JX25" s="7"/>
      <c r="JY25" s="7"/>
      <c r="JZ25" s="7"/>
      <c r="KA25" s="7"/>
      <c r="KB25" s="7"/>
      <c r="KC25" s="7"/>
      <c r="KD25" s="7"/>
      <c r="KE25" s="7"/>
      <c r="KF25" s="7"/>
      <c r="KG25" s="7"/>
      <c r="KH25" s="7"/>
      <c r="KI25" s="7"/>
      <c r="KJ25" s="7"/>
      <c r="KK25" s="7"/>
      <c r="KL25" s="7"/>
      <c r="KM25" s="7"/>
      <c r="KN25" s="7"/>
      <c r="KO25" s="7"/>
      <c r="KP25" s="7"/>
      <c r="KQ25" s="7"/>
      <c r="KR25" s="7"/>
      <c r="KS25" s="7"/>
      <c r="KT25" s="7"/>
      <c r="KU25" s="7"/>
      <c r="KV25" s="7"/>
      <c r="KW25" s="7"/>
      <c r="KX25" s="7"/>
      <c r="KY25" s="7"/>
      <c r="KZ25" s="7"/>
      <c r="LA25" s="7"/>
      <c r="LB25" s="7"/>
      <c r="LC25" s="7"/>
      <c r="LD25" s="7"/>
      <c r="LE25" s="7"/>
      <c r="LF25" s="7"/>
      <c r="LG25" s="7"/>
      <c r="LH25" s="7"/>
      <c r="LI25" s="7"/>
      <c r="LJ25" s="7"/>
      <c r="LK25" s="7"/>
      <c r="LL25" s="7"/>
      <c r="LM25" s="7"/>
      <c r="LN25" s="7"/>
      <c r="LO25" s="7"/>
      <c r="LP25" s="7"/>
      <c r="LQ25" s="7"/>
    </row>
    <row r="26" spans="1:329" s="8" customFormat="1" ht="15" customHeight="1" x14ac:dyDescent="0.25">
      <c r="A26" s="71">
        <v>1007215</v>
      </c>
      <c r="B26" s="44" t="s">
        <v>65</v>
      </c>
      <c r="C26" s="44" t="str">
        <f>VLOOKUP(A26,Artikeldaten!A:B,2,0)</f>
        <v>Strohhalm</v>
      </c>
      <c r="D26" s="45">
        <v>3</v>
      </c>
      <c r="E26" s="45">
        <f t="shared" si="0"/>
        <v>5.0420168067226889</v>
      </c>
      <c r="F26" s="45">
        <f t="shared" si="1"/>
        <v>6</v>
      </c>
      <c r="G26" s="41"/>
      <c r="H26" s="41"/>
      <c r="I26" s="35" t="s">
        <v>21</v>
      </c>
      <c r="J26" s="35" t="s">
        <v>21</v>
      </c>
      <c r="K26" s="35" t="s">
        <v>21</v>
      </c>
      <c r="L26" s="35" t="s">
        <v>21</v>
      </c>
      <c r="M26" s="36"/>
      <c r="N26" s="35" t="s">
        <v>21</v>
      </c>
      <c r="O26" s="35" t="s">
        <v>21</v>
      </c>
      <c r="P26" s="35" t="s">
        <v>21</v>
      </c>
      <c r="Q26" s="35" t="s">
        <v>21</v>
      </c>
      <c r="R26" s="42">
        <v>7350057583388</v>
      </c>
      <c r="S26" s="43" t="s">
        <v>314</v>
      </c>
      <c r="T26" s="43">
        <v>0.5</v>
      </c>
      <c r="U26" s="43">
        <v>0.36</v>
      </c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</row>
    <row r="27" spans="1:329" s="8" customFormat="1" ht="15" customHeight="1" x14ac:dyDescent="0.25">
      <c r="A27" s="72">
        <v>1100714</v>
      </c>
      <c r="B27" s="44" t="s">
        <v>67</v>
      </c>
      <c r="C27" s="44" t="str">
        <f>VLOOKUP(A27,Artikeldaten!A:B,2,0)</f>
        <v>Gurtschlosspolster - Minikid 2 &amp; Modukid Seat [Rot]</v>
      </c>
      <c r="D27" s="45">
        <v>3</v>
      </c>
      <c r="E27" s="45">
        <f t="shared" si="0"/>
        <v>5.0420168067226889</v>
      </c>
      <c r="F27" s="45">
        <f t="shared" si="1"/>
        <v>6</v>
      </c>
      <c r="G27" s="41"/>
      <c r="H27" s="41"/>
      <c r="I27" s="35" t="s">
        <v>21</v>
      </c>
      <c r="J27" s="36"/>
      <c r="K27" s="36"/>
      <c r="L27" s="35" t="s">
        <v>21</v>
      </c>
      <c r="M27" s="36"/>
      <c r="N27" s="36"/>
      <c r="O27" s="36"/>
      <c r="P27" s="36"/>
      <c r="Q27" s="36"/>
      <c r="R27" s="42">
        <v>7350057583562</v>
      </c>
      <c r="S27" s="43" t="s">
        <v>311</v>
      </c>
      <c r="T27" s="43">
        <v>0.23</v>
      </c>
      <c r="U27" s="43">
        <v>0.17</v>
      </c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</row>
    <row r="28" spans="1:329" s="8" customFormat="1" ht="15" customHeight="1" x14ac:dyDescent="0.25">
      <c r="A28" s="72">
        <v>1100734</v>
      </c>
      <c r="B28" s="46" t="s">
        <v>69</v>
      </c>
      <c r="C28" s="44" t="str">
        <f>VLOOKUP(A28,Artikeldaten!A:B,2,0)</f>
        <v>Sonnenschutz - Modukid Infant [Schwarz]</v>
      </c>
      <c r="D28" s="45">
        <v>7</v>
      </c>
      <c r="E28" s="45">
        <f t="shared" si="0"/>
        <v>11.764705882352942</v>
      </c>
      <c r="F28" s="45">
        <f t="shared" si="1"/>
        <v>14</v>
      </c>
      <c r="G28" s="41"/>
      <c r="H28" s="41"/>
      <c r="I28" s="36"/>
      <c r="J28" s="36"/>
      <c r="K28" s="36"/>
      <c r="L28" s="36"/>
      <c r="M28" s="35" t="s">
        <v>21</v>
      </c>
      <c r="N28" s="36"/>
      <c r="O28" s="36"/>
      <c r="P28" s="36"/>
      <c r="Q28" s="36"/>
      <c r="R28" s="42">
        <v>7350057584118</v>
      </c>
      <c r="S28" s="43" t="s">
        <v>323</v>
      </c>
      <c r="T28" s="43">
        <v>7.3</v>
      </c>
      <c r="U28" s="43">
        <v>6.85</v>
      </c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</row>
    <row r="29" spans="1:329" s="8" customFormat="1" ht="15" customHeight="1" x14ac:dyDescent="0.25">
      <c r="A29" s="72">
        <v>1100737</v>
      </c>
      <c r="B29" s="46" t="s">
        <v>71</v>
      </c>
      <c r="C29" s="44" t="str">
        <f>VLOOKUP(A29,Artikeldaten!A:B,2,0)</f>
        <v>Kopfstützen Einlage - Modukid Infant [Schwarz]</v>
      </c>
      <c r="D29" s="45">
        <v>5</v>
      </c>
      <c r="E29" s="45">
        <f t="shared" si="0"/>
        <v>8.4033613445378155</v>
      </c>
      <c r="F29" s="45">
        <f t="shared" si="1"/>
        <v>10</v>
      </c>
      <c r="G29" s="41"/>
      <c r="H29" s="41"/>
      <c r="I29" s="36"/>
      <c r="J29" s="36"/>
      <c r="K29" s="36"/>
      <c r="L29" s="36"/>
      <c r="M29" s="35" t="s">
        <v>21</v>
      </c>
      <c r="N29" s="36"/>
      <c r="O29" s="36"/>
      <c r="P29" s="36"/>
      <c r="Q29" s="36"/>
      <c r="R29" s="42">
        <v>7350057584125</v>
      </c>
      <c r="S29" s="43" t="s">
        <v>311</v>
      </c>
      <c r="T29" s="43">
        <v>0.4</v>
      </c>
      <c r="U29" s="43">
        <v>0.34</v>
      </c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</row>
    <row r="30" spans="1:329" s="8" customFormat="1" ht="15" customHeight="1" x14ac:dyDescent="0.25">
      <c r="A30" s="72">
        <v>1100738</v>
      </c>
      <c r="B30" s="46" t="s">
        <v>73</v>
      </c>
      <c r="C30" s="44" t="str">
        <f>VLOOKUP(A30,Artikeldaten!A:B,2,0)</f>
        <v>Inlay - Modukid Infant [Schwarz]</v>
      </c>
      <c r="D30" s="45">
        <v>8</v>
      </c>
      <c r="E30" s="45">
        <f t="shared" si="0"/>
        <v>13.445378151260504</v>
      </c>
      <c r="F30" s="45">
        <f t="shared" si="1"/>
        <v>16</v>
      </c>
      <c r="G30" s="41"/>
      <c r="H30" s="41"/>
      <c r="I30" s="36"/>
      <c r="J30" s="36"/>
      <c r="K30" s="36"/>
      <c r="L30" s="36"/>
      <c r="M30" s="35" t="s">
        <v>21</v>
      </c>
      <c r="N30" s="36"/>
      <c r="O30" s="36"/>
      <c r="P30" s="36"/>
      <c r="Q30" s="36"/>
      <c r="R30" s="42">
        <v>7350057584132</v>
      </c>
      <c r="S30" s="38"/>
      <c r="T30" s="38"/>
      <c r="U30" s="38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  <c r="DI30" s="6"/>
      <c r="DJ30" s="6"/>
      <c r="DK30" s="6"/>
      <c r="DL30" s="6"/>
      <c r="DM30" s="6"/>
      <c r="DN30" s="6"/>
      <c r="DO30" s="6"/>
      <c r="DP30" s="6"/>
      <c r="DQ30" s="6"/>
      <c r="DR30" s="6"/>
      <c r="DS30" s="6"/>
      <c r="DT30" s="6"/>
      <c r="DU30" s="6"/>
      <c r="DV30" s="6"/>
      <c r="DW30" s="6"/>
      <c r="DX30" s="6"/>
      <c r="DY30" s="6"/>
      <c r="DZ30" s="6"/>
      <c r="EA30" s="6"/>
      <c r="EB30" s="6"/>
      <c r="EC30" s="6"/>
      <c r="ED30" s="6"/>
      <c r="EE30" s="6"/>
      <c r="EF30" s="6"/>
      <c r="EG30" s="6"/>
      <c r="EH30" s="6"/>
      <c r="EI30" s="6"/>
      <c r="EJ30" s="6"/>
      <c r="EK30" s="6"/>
      <c r="EL30" s="6"/>
      <c r="EM30" s="6"/>
      <c r="EN30" s="6"/>
      <c r="EO30" s="6"/>
      <c r="EP30" s="6"/>
      <c r="EQ30" s="6"/>
      <c r="ER30" s="6"/>
      <c r="ES30" s="6"/>
      <c r="ET30" s="6"/>
      <c r="EU30" s="6"/>
      <c r="EV30" s="6"/>
      <c r="EW30" s="6"/>
      <c r="EX30" s="6"/>
      <c r="EY30" s="6"/>
      <c r="EZ30" s="6"/>
      <c r="FA30" s="6"/>
      <c r="FB30" s="6"/>
      <c r="FC30" s="6"/>
      <c r="FD30" s="6"/>
      <c r="FE30" s="6"/>
      <c r="FF30" s="6"/>
      <c r="FG30" s="6"/>
      <c r="FH30" s="6"/>
      <c r="FI30" s="6"/>
      <c r="FJ30" s="6"/>
      <c r="FK30" s="6"/>
      <c r="FL30" s="6"/>
      <c r="FM30" s="6"/>
      <c r="FN30" s="6"/>
      <c r="FO30" s="6"/>
      <c r="FP30" s="6"/>
      <c r="FQ30" s="6"/>
      <c r="FR30" s="6"/>
      <c r="FS30" s="6"/>
      <c r="FT30" s="6"/>
      <c r="FU30" s="6"/>
      <c r="FV30" s="6"/>
      <c r="FW30" s="6"/>
      <c r="FX30" s="6"/>
      <c r="FY30" s="6"/>
      <c r="FZ30" s="6"/>
      <c r="GA30" s="6"/>
      <c r="GB30" s="6"/>
      <c r="GC30" s="6"/>
      <c r="GD30" s="6"/>
      <c r="GE30" s="6"/>
      <c r="GF30" s="6"/>
      <c r="GG30" s="6"/>
      <c r="GH30" s="6"/>
      <c r="GI30" s="6"/>
      <c r="GJ30" s="6"/>
      <c r="GK30" s="6"/>
      <c r="GL30" s="6"/>
      <c r="GM30" s="6"/>
      <c r="GN30" s="6"/>
      <c r="GO30" s="6"/>
      <c r="GP30" s="6"/>
      <c r="GQ30" s="6"/>
      <c r="GR30" s="6"/>
      <c r="GS30" s="6"/>
      <c r="GT30" s="6"/>
      <c r="GU30" s="6"/>
      <c r="GV30" s="6"/>
      <c r="GW30" s="6"/>
      <c r="GX30" s="6"/>
      <c r="GY30" s="6"/>
      <c r="GZ30" s="6"/>
      <c r="HA30" s="6"/>
      <c r="HB30" s="6"/>
      <c r="HC30" s="6"/>
      <c r="HD30" s="6"/>
      <c r="HE30" s="6"/>
      <c r="HF30" s="6"/>
      <c r="HG30" s="6"/>
      <c r="HH30" s="6"/>
      <c r="HI30" s="6"/>
      <c r="HJ30" s="6"/>
      <c r="HK30" s="6"/>
      <c r="HL30" s="6"/>
      <c r="HM30" s="6"/>
      <c r="HN30" s="6"/>
      <c r="HO30" s="6"/>
      <c r="HP30" s="6"/>
      <c r="HQ30" s="6"/>
      <c r="HR30" s="6"/>
      <c r="HS30" s="6"/>
      <c r="HT30" s="6"/>
      <c r="HU30" s="6"/>
      <c r="HV30" s="6"/>
      <c r="HW30" s="6"/>
      <c r="HX30" s="6"/>
      <c r="HY30" s="6"/>
      <c r="HZ30" s="6"/>
      <c r="IA30" s="6"/>
      <c r="IB30" s="6"/>
      <c r="IC30" s="6"/>
      <c r="ID30" s="6"/>
      <c r="IE30" s="6"/>
      <c r="IF30" s="6"/>
      <c r="IG30" s="6"/>
      <c r="IH30" s="6"/>
      <c r="II30" s="6"/>
      <c r="IJ30" s="6"/>
      <c r="IK30" s="6"/>
      <c r="IL30" s="6"/>
      <c r="IM30" s="6"/>
      <c r="IN30" s="6"/>
      <c r="IO30" s="6"/>
      <c r="IP30" s="6"/>
      <c r="IQ30" s="6"/>
      <c r="IR30" s="6"/>
      <c r="IS30" s="6"/>
      <c r="IT30" s="6"/>
      <c r="IU30" s="6"/>
      <c r="IV30" s="6"/>
      <c r="IW30" s="6"/>
      <c r="IX30" s="6"/>
      <c r="IY30" s="6"/>
      <c r="IZ30" s="6"/>
      <c r="JA30" s="6"/>
      <c r="JB30" s="6"/>
      <c r="JC30" s="6"/>
      <c r="JD30" s="6"/>
      <c r="JE30" s="6"/>
      <c r="JF30" s="6"/>
      <c r="JG30" s="6"/>
      <c r="JH30" s="6"/>
      <c r="JI30" s="6"/>
      <c r="JJ30" s="6"/>
      <c r="JK30" s="6"/>
      <c r="JL30" s="6"/>
      <c r="JM30" s="6"/>
      <c r="JN30" s="6"/>
      <c r="JO30" s="6"/>
      <c r="JP30" s="6"/>
      <c r="JQ30" s="6"/>
      <c r="JR30" s="6"/>
      <c r="JS30" s="6"/>
      <c r="JT30" s="6"/>
      <c r="JU30" s="6"/>
      <c r="JV30" s="6"/>
      <c r="JW30" s="6"/>
      <c r="JX30" s="6"/>
      <c r="JY30" s="6"/>
      <c r="JZ30" s="6"/>
      <c r="KA30" s="6"/>
      <c r="KB30" s="6"/>
      <c r="KC30" s="6"/>
      <c r="KD30" s="6"/>
      <c r="KE30" s="6"/>
      <c r="KF30" s="6"/>
      <c r="KG30" s="6"/>
      <c r="KH30" s="6"/>
      <c r="KI30" s="6"/>
      <c r="KJ30" s="6"/>
      <c r="KK30" s="6"/>
      <c r="KL30" s="6"/>
      <c r="KM30" s="6"/>
      <c r="KN30" s="6"/>
      <c r="KO30" s="6"/>
      <c r="KP30" s="6"/>
      <c r="KQ30" s="6"/>
      <c r="KR30" s="6"/>
      <c r="KS30" s="6"/>
      <c r="KT30" s="6"/>
      <c r="KU30" s="6"/>
      <c r="KV30" s="6"/>
      <c r="KW30" s="6"/>
      <c r="KX30" s="6"/>
      <c r="KY30" s="6"/>
      <c r="KZ30" s="6"/>
      <c r="LA30" s="6"/>
      <c r="LB30" s="6"/>
      <c r="LC30" s="6"/>
      <c r="LD30" s="6"/>
      <c r="LE30" s="6"/>
      <c r="LF30" s="6"/>
      <c r="LG30" s="6"/>
      <c r="LH30" s="6"/>
      <c r="LI30" s="6"/>
      <c r="LJ30" s="6"/>
      <c r="LK30" s="6"/>
      <c r="LL30" s="6"/>
      <c r="LM30" s="6"/>
      <c r="LN30" s="6"/>
      <c r="LO30" s="6"/>
      <c r="LP30" s="6"/>
      <c r="LQ30" s="6"/>
    </row>
    <row r="31" spans="1:329" s="8" customFormat="1" ht="15" customHeight="1" x14ac:dyDescent="0.25">
      <c r="A31" s="72">
        <v>1100739</v>
      </c>
      <c r="B31" s="46" t="s">
        <v>75</v>
      </c>
      <c r="C31" s="44" t="str">
        <f>VLOOKUP(A31,Artikeldaten!A:B,2,0)</f>
        <v>Schaustoff Sitzfläche - Modukid Infant [Schwarz]</v>
      </c>
      <c r="D31" s="45">
        <v>4</v>
      </c>
      <c r="E31" s="45">
        <f t="shared" si="0"/>
        <v>6.7226890756302522</v>
      </c>
      <c r="F31" s="45">
        <f t="shared" si="1"/>
        <v>8</v>
      </c>
      <c r="G31" s="41"/>
      <c r="H31" s="41"/>
      <c r="I31" s="36"/>
      <c r="J31" s="36"/>
      <c r="K31" s="36"/>
      <c r="L31" s="36"/>
      <c r="M31" s="35" t="s">
        <v>21</v>
      </c>
      <c r="N31" s="36"/>
      <c r="O31" s="36"/>
      <c r="P31" s="36"/>
      <c r="Q31" s="36"/>
      <c r="R31" s="42">
        <v>7350057584149</v>
      </c>
      <c r="S31" s="38"/>
      <c r="T31" s="38"/>
      <c r="U31" s="38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  <c r="DI31" s="6"/>
      <c r="DJ31" s="6"/>
      <c r="DK31" s="6"/>
      <c r="DL31" s="6"/>
      <c r="DM31" s="6"/>
      <c r="DN31" s="6"/>
      <c r="DO31" s="6"/>
      <c r="DP31" s="6"/>
      <c r="DQ31" s="6"/>
      <c r="DR31" s="6"/>
      <c r="DS31" s="6"/>
      <c r="DT31" s="6"/>
      <c r="DU31" s="6"/>
      <c r="DV31" s="6"/>
      <c r="DW31" s="6"/>
      <c r="DX31" s="6"/>
      <c r="DY31" s="6"/>
      <c r="DZ31" s="6"/>
      <c r="EA31" s="6"/>
      <c r="EB31" s="6"/>
      <c r="EC31" s="6"/>
      <c r="ED31" s="6"/>
      <c r="EE31" s="6"/>
      <c r="EF31" s="6"/>
      <c r="EG31" s="6"/>
      <c r="EH31" s="6"/>
      <c r="EI31" s="6"/>
      <c r="EJ31" s="6"/>
      <c r="EK31" s="6"/>
      <c r="EL31" s="6"/>
      <c r="EM31" s="6"/>
      <c r="EN31" s="6"/>
      <c r="EO31" s="6"/>
      <c r="EP31" s="6"/>
      <c r="EQ31" s="6"/>
      <c r="ER31" s="6"/>
      <c r="ES31" s="6"/>
      <c r="ET31" s="6"/>
      <c r="EU31" s="6"/>
      <c r="EV31" s="6"/>
      <c r="EW31" s="6"/>
      <c r="EX31" s="6"/>
      <c r="EY31" s="6"/>
      <c r="EZ31" s="6"/>
      <c r="FA31" s="6"/>
      <c r="FB31" s="6"/>
      <c r="FC31" s="6"/>
      <c r="FD31" s="6"/>
      <c r="FE31" s="6"/>
      <c r="FF31" s="6"/>
      <c r="FG31" s="6"/>
      <c r="FH31" s="6"/>
      <c r="FI31" s="6"/>
      <c r="FJ31" s="6"/>
      <c r="FK31" s="6"/>
      <c r="FL31" s="6"/>
      <c r="FM31" s="6"/>
      <c r="FN31" s="6"/>
      <c r="FO31" s="6"/>
      <c r="FP31" s="6"/>
      <c r="FQ31" s="6"/>
      <c r="FR31" s="6"/>
      <c r="FS31" s="6"/>
      <c r="FT31" s="6"/>
      <c r="FU31" s="6"/>
      <c r="FV31" s="6"/>
      <c r="FW31" s="6"/>
      <c r="FX31" s="6"/>
      <c r="FY31" s="6"/>
      <c r="FZ31" s="6"/>
      <c r="GA31" s="6"/>
      <c r="GB31" s="6"/>
      <c r="GC31" s="6"/>
      <c r="GD31" s="6"/>
      <c r="GE31" s="6"/>
      <c r="GF31" s="6"/>
      <c r="GG31" s="6"/>
      <c r="GH31" s="6"/>
      <c r="GI31" s="6"/>
      <c r="GJ31" s="6"/>
      <c r="GK31" s="6"/>
      <c r="GL31" s="6"/>
      <c r="GM31" s="6"/>
      <c r="GN31" s="6"/>
      <c r="GO31" s="6"/>
      <c r="GP31" s="6"/>
      <c r="GQ31" s="6"/>
      <c r="GR31" s="6"/>
      <c r="GS31" s="6"/>
      <c r="GT31" s="6"/>
      <c r="GU31" s="6"/>
      <c r="GV31" s="6"/>
      <c r="GW31" s="6"/>
      <c r="GX31" s="6"/>
      <c r="GY31" s="6"/>
      <c r="GZ31" s="6"/>
      <c r="HA31" s="6"/>
      <c r="HB31" s="6"/>
      <c r="HC31" s="6"/>
      <c r="HD31" s="6"/>
      <c r="HE31" s="6"/>
      <c r="HF31" s="6"/>
      <c r="HG31" s="6"/>
      <c r="HH31" s="6"/>
      <c r="HI31" s="6"/>
      <c r="HJ31" s="6"/>
      <c r="HK31" s="6"/>
      <c r="HL31" s="6"/>
      <c r="HM31" s="6"/>
      <c r="HN31" s="6"/>
      <c r="HO31" s="6"/>
      <c r="HP31" s="6"/>
      <c r="HQ31" s="6"/>
      <c r="HR31" s="6"/>
      <c r="HS31" s="6"/>
      <c r="HT31" s="6"/>
      <c r="HU31" s="6"/>
      <c r="HV31" s="6"/>
      <c r="HW31" s="6"/>
      <c r="HX31" s="6"/>
      <c r="HY31" s="6"/>
      <c r="HZ31" s="6"/>
      <c r="IA31" s="6"/>
      <c r="IB31" s="6"/>
      <c r="IC31" s="6"/>
      <c r="ID31" s="6"/>
      <c r="IE31" s="6"/>
      <c r="IF31" s="6"/>
      <c r="IG31" s="6"/>
      <c r="IH31" s="6"/>
      <c r="II31" s="6"/>
      <c r="IJ31" s="6"/>
      <c r="IK31" s="6"/>
      <c r="IL31" s="6"/>
      <c r="IM31" s="6"/>
      <c r="IN31" s="6"/>
      <c r="IO31" s="6"/>
      <c r="IP31" s="6"/>
      <c r="IQ31" s="6"/>
      <c r="IR31" s="6"/>
      <c r="IS31" s="6"/>
      <c r="IT31" s="6"/>
      <c r="IU31" s="6"/>
      <c r="IV31" s="6"/>
      <c r="IW31" s="6"/>
      <c r="IX31" s="6"/>
      <c r="IY31" s="6"/>
      <c r="IZ31" s="6"/>
      <c r="JA31" s="6"/>
      <c r="JB31" s="6"/>
      <c r="JC31" s="6"/>
      <c r="JD31" s="6"/>
      <c r="JE31" s="6"/>
      <c r="JF31" s="6"/>
      <c r="JG31" s="6"/>
      <c r="JH31" s="6"/>
      <c r="JI31" s="6"/>
      <c r="JJ31" s="6"/>
      <c r="JK31" s="6"/>
      <c r="JL31" s="6"/>
      <c r="JM31" s="6"/>
      <c r="JN31" s="6"/>
      <c r="JO31" s="6"/>
      <c r="JP31" s="6"/>
      <c r="JQ31" s="6"/>
      <c r="JR31" s="6"/>
      <c r="JS31" s="6"/>
      <c r="JT31" s="6"/>
      <c r="JU31" s="6"/>
      <c r="JV31" s="6"/>
      <c r="JW31" s="6"/>
      <c r="JX31" s="6"/>
      <c r="JY31" s="6"/>
      <c r="JZ31" s="6"/>
      <c r="KA31" s="6"/>
      <c r="KB31" s="6"/>
      <c r="KC31" s="6"/>
      <c r="KD31" s="6"/>
      <c r="KE31" s="6"/>
      <c r="KF31" s="6"/>
      <c r="KG31" s="6"/>
      <c r="KH31" s="6"/>
      <c r="KI31" s="6"/>
      <c r="KJ31" s="6"/>
      <c r="KK31" s="6"/>
      <c r="KL31" s="6"/>
      <c r="KM31" s="6"/>
      <c r="KN31" s="6"/>
      <c r="KO31" s="6"/>
      <c r="KP31" s="6"/>
      <c r="KQ31" s="6"/>
      <c r="KR31" s="6"/>
      <c r="KS31" s="6"/>
      <c r="KT31" s="6"/>
      <c r="KU31" s="6"/>
      <c r="KV31" s="6"/>
      <c r="KW31" s="6"/>
      <c r="KX31" s="6"/>
      <c r="KY31" s="6"/>
      <c r="KZ31" s="6"/>
      <c r="LA31" s="6"/>
      <c r="LB31" s="6"/>
      <c r="LC31" s="6"/>
      <c r="LD31" s="6"/>
      <c r="LE31" s="6"/>
      <c r="LF31" s="6"/>
      <c r="LG31" s="6"/>
      <c r="LH31" s="6"/>
      <c r="LI31" s="6"/>
      <c r="LJ31" s="6"/>
      <c r="LK31" s="6"/>
      <c r="LL31" s="6"/>
      <c r="LM31" s="6"/>
      <c r="LN31" s="6"/>
      <c r="LO31" s="6"/>
      <c r="LP31" s="6"/>
      <c r="LQ31" s="6"/>
    </row>
    <row r="32" spans="1:329" s="8" customFormat="1" ht="15" customHeight="1" x14ac:dyDescent="0.25">
      <c r="A32" s="70">
        <v>1100791</v>
      </c>
      <c r="B32" s="33" t="s">
        <v>77</v>
      </c>
      <c r="C32" s="33" t="str">
        <f>VLOOKUP(A32,Artikeldaten!A:B,2,0)</f>
        <v>Bremseinheit Kopfstütze - Modukid Seat, Minikid, Rekid, Duofix &amp; Kidzone</v>
      </c>
      <c r="D32" s="34">
        <v>3</v>
      </c>
      <c r="E32" s="34">
        <f t="shared" si="0"/>
        <v>5.0420168067226889</v>
      </c>
      <c r="F32" s="34">
        <f t="shared" si="1"/>
        <v>6</v>
      </c>
      <c r="G32" s="41"/>
      <c r="H32" s="41"/>
      <c r="I32" s="35" t="s">
        <v>21</v>
      </c>
      <c r="J32" s="36"/>
      <c r="K32" s="35" t="s">
        <v>21</v>
      </c>
      <c r="L32" s="35" t="s">
        <v>21</v>
      </c>
      <c r="M32" s="36"/>
      <c r="N32" s="35" t="s">
        <v>21</v>
      </c>
      <c r="O32" s="36"/>
      <c r="P32" s="35" t="s">
        <v>21</v>
      </c>
      <c r="Q32" s="35" t="s">
        <v>21</v>
      </c>
      <c r="R32" s="42">
        <v>7350057584088</v>
      </c>
      <c r="S32" s="43" t="s">
        <v>320</v>
      </c>
      <c r="T32" s="43">
        <v>0.5</v>
      </c>
      <c r="U32" s="43">
        <v>0.28999999999999998</v>
      </c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</row>
    <row r="33" spans="1:329" s="8" customFormat="1" ht="15" customHeight="1" x14ac:dyDescent="0.25">
      <c r="A33" s="73">
        <v>1100810</v>
      </c>
      <c r="B33" s="47" t="s">
        <v>79</v>
      </c>
      <c r="C33" s="33" t="str">
        <f>VLOOKUP(A33,Artikeldaten!A:B,2,0)</f>
        <v xml:space="preserve">5 Punkt Gurtsystem Shield - Modukid          </v>
      </c>
      <c r="D33" s="34">
        <v>20</v>
      </c>
      <c r="E33" s="34">
        <f t="shared" si="0"/>
        <v>33.613445378151262</v>
      </c>
      <c r="F33" s="34">
        <f t="shared" si="1"/>
        <v>40</v>
      </c>
      <c r="G33" s="41"/>
      <c r="H33" s="41"/>
      <c r="I33" s="36"/>
      <c r="J33" s="36"/>
      <c r="K33" s="36"/>
      <c r="L33" s="35" t="s">
        <v>21</v>
      </c>
      <c r="M33" s="36"/>
      <c r="N33" s="36"/>
      <c r="O33" s="36"/>
      <c r="P33" s="36"/>
      <c r="Q33" s="36"/>
      <c r="R33" s="42">
        <v>7350057583951</v>
      </c>
      <c r="S33" s="43" t="s">
        <v>320</v>
      </c>
      <c r="T33" s="43">
        <v>4.5</v>
      </c>
      <c r="U33" s="43">
        <v>4.25</v>
      </c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7"/>
      <c r="BN33" s="7"/>
      <c r="BO33" s="7"/>
      <c r="BP33" s="7"/>
      <c r="BQ33" s="7"/>
      <c r="BR33" s="7"/>
      <c r="BS33" s="7"/>
      <c r="BT33" s="7"/>
      <c r="BU33" s="7"/>
      <c r="BV33" s="7"/>
      <c r="BW33" s="7"/>
      <c r="BX33" s="7"/>
      <c r="BY33" s="7"/>
      <c r="BZ33" s="7"/>
      <c r="CA33" s="7"/>
      <c r="CB33" s="7"/>
      <c r="CC33" s="7"/>
      <c r="CD33" s="7"/>
      <c r="CE33" s="7"/>
      <c r="CF33" s="7"/>
      <c r="CG33" s="7"/>
      <c r="CH33" s="7"/>
      <c r="CI33" s="7"/>
      <c r="CJ33" s="7"/>
      <c r="CK33" s="7"/>
      <c r="CL33" s="7"/>
      <c r="CM33" s="7"/>
      <c r="CN33" s="7"/>
      <c r="CO33" s="7"/>
      <c r="CP33" s="7"/>
      <c r="CQ33" s="7"/>
      <c r="CR33" s="7"/>
      <c r="CS33" s="7"/>
      <c r="CT33" s="7"/>
      <c r="CU33" s="7"/>
      <c r="CV33" s="7"/>
      <c r="CW33" s="7"/>
      <c r="CX33" s="7"/>
      <c r="CY33" s="7"/>
      <c r="CZ33" s="7"/>
      <c r="DA33" s="7"/>
      <c r="DB33" s="7"/>
      <c r="DC33" s="7"/>
      <c r="DD33" s="7"/>
      <c r="DE33" s="7"/>
      <c r="DF33" s="7"/>
      <c r="DG33" s="7"/>
      <c r="DH33" s="7"/>
      <c r="DI33" s="7"/>
      <c r="DJ33" s="7"/>
      <c r="DK33" s="7"/>
      <c r="DL33" s="7"/>
      <c r="DM33" s="7"/>
      <c r="DN33" s="7"/>
      <c r="DO33" s="7"/>
      <c r="DP33" s="7"/>
      <c r="DQ33" s="7"/>
      <c r="DR33" s="7"/>
      <c r="DS33" s="7"/>
      <c r="DT33" s="7"/>
      <c r="DU33" s="7"/>
      <c r="DV33" s="7"/>
      <c r="DW33" s="7"/>
      <c r="DX33" s="7"/>
      <c r="DY33" s="7"/>
      <c r="DZ33" s="7"/>
      <c r="EA33" s="7"/>
      <c r="EB33" s="7"/>
      <c r="EC33" s="7"/>
      <c r="ED33" s="7"/>
      <c r="EE33" s="7"/>
      <c r="EF33" s="7"/>
      <c r="EG33" s="7"/>
      <c r="EH33" s="7"/>
      <c r="EI33" s="7"/>
      <c r="EJ33" s="7"/>
      <c r="EK33" s="7"/>
      <c r="EL33" s="7"/>
      <c r="EM33" s="7"/>
      <c r="EN33" s="7"/>
      <c r="EO33" s="7"/>
      <c r="EP33" s="7"/>
      <c r="EQ33" s="7"/>
      <c r="ER33" s="7"/>
      <c r="ES33" s="7"/>
      <c r="ET33" s="7"/>
      <c r="EU33" s="7"/>
      <c r="EV33" s="7"/>
      <c r="EW33" s="7"/>
      <c r="EX33" s="7"/>
      <c r="EY33" s="7"/>
      <c r="EZ33" s="7"/>
      <c r="FA33" s="7"/>
      <c r="FB33" s="7"/>
      <c r="FC33" s="7"/>
      <c r="FD33" s="7"/>
      <c r="FE33" s="7"/>
      <c r="FF33" s="7"/>
      <c r="FG33" s="7"/>
      <c r="FH33" s="7"/>
      <c r="FI33" s="7"/>
      <c r="FJ33" s="7"/>
      <c r="FK33" s="7"/>
      <c r="FL33" s="7"/>
      <c r="FM33" s="7"/>
      <c r="FN33" s="7"/>
      <c r="FO33" s="7"/>
      <c r="FP33" s="7"/>
      <c r="FQ33" s="7"/>
      <c r="FR33" s="7"/>
      <c r="FS33" s="7"/>
      <c r="FT33" s="7"/>
      <c r="FU33" s="7"/>
      <c r="FV33" s="7"/>
      <c r="FW33" s="7"/>
      <c r="FX33" s="7"/>
      <c r="FY33" s="7"/>
      <c r="FZ33" s="7"/>
      <c r="GA33" s="7"/>
      <c r="GB33" s="7"/>
      <c r="GC33" s="7"/>
      <c r="GD33" s="7"/>
      <c r="GE33" s="7"/>
      <c r="GF33" s="7"/>
      <c r="GG33" s="7"/>
      <c r="GH33" s="7"/>
      <c r="GI33" s="7"/>
      <c r="GJ33" s="7"/>
      <c r="GK33" s="7"/>
      <c r="GL33" s="7"/>
      <c r="GM33" s="7"/>
      <c r="GN33" s="7"/>
      <c r="GO33" s="7"/>
      <c r="GP33" s="7"/>
      <c r="GQ33" s="7"/>
      <c r="GR33" s="7"/>
      <c r="GS33" s="7"/>
      <c r="GT33" s="7"/>
      <c r="GU33" s="7"/>
      <c r="GV33" s="7"/>
      <c r="GW33" s="7"/>
      <c r="GX33" s="7"/>
      <c r="GY33" s="7"/>
      <c r="GZ33" s="7"/>
      <c r="HA33" s="7"/>
      <c r="HB33" s="7"/>
      <c r="HC33" s="7"/>
      <c r="HD33" s="7"/>
      <c r="HE33" s="7"/>
      <c r="HF33" s="7"/>
      <c r="HG33" s="7"/>
      <c r="HH33" s="7"/>
      <c r="HI33" s="7"/>
      <c r="HJ33" s="7"/>
      <c r="HK33" s="7"/>
      <c r="HL33" s="7"/>
      <c r="HM33" s="7"/>
      <c r="HN33" s="7"/>
      <c r="HO33" s="7"/>
      <c r="HP33" s="7"/>
      <c r="HQ33" s="7"/>
      <c r="HR33" s="7"/>
      <c r="HS33" s="7"/>
      <c r="HT33" s="7"/>
      <c r="HU33" s="7"/>
      <c r="HV33" s="7"/>
      <c r="HW33" s="7"/>
      <c r="HX33" s="7"/>
      <c r="HY33" s="7"/>
      <c r="HZ33" s="7"/>
      <c r="IA33" s="7"/>
      <c r="IB33" s="7"/>
      <c r="IC33" s="7"/>
      <c r="ID33" s="7"/>
      <c r="IE33" s="7"/>
      <c r="IF33" s="7"/>
      <c r="IG33" s="7"/>
      <c r="IH33" s="7"/>
      <c r="II33" s="7"/>
      <c r="IJ33" s="7"/>
      <c r="IK33" s="7"/>
      <c r="IL33" s="7"/>
      <c r="IM33" s="7"/>
      <c r="IN33" s="7"/>
      <c r="IO33" s="7"/>
      <c r="IP33" s="7"/>
      <c r="IQ33" s="7"/>
      <c r="IR33" s="7"/>
      <c r="IS33" s="7"/>
      <c r="IT33" s="7"/>
      <c r="IU33" s="7"/>
      <c r="IV33" s="7"/>
      <c r="IW33" s="7"/>
      <c r="IX33" s="7"/>
      <c r="IY33" s="7"/>
      <c r="IZ33" s="7"/>
      <c r="JA33" s="7"/>
      <c r="JB33" s="7"/>
      <c r="JC33" s="7"/>
      <c r="JD33" s="7"/>
      <c r="JE33" s="7"/>
      <c r="JF33" s="7"/>
      <c r="JG33" s="7"/>
      <c r="JH33" s="7"/>
      <c r="JI33" s="7"/>
      <c r="JJ33" s="7"/>
      <c r="JK33" s="7"/>
      <c r="JL33" s="7"/>
      <c r="JM33" s="7"/>
      <c r="JN33" s="7"/>
      <c r="JO33" s="7"/>
      <c r="JP33" s="7"/>
      <c r="JQ33" s="7"/>
      <c r="JR33" s="7"/>
      <c r="JS33" s="7"/>
      <c r="JT33" s="7"/>
      <c r="JU33" s="7"/>
      <c r="JV33" s="7"/>
      <c r="JW33" s="7"/>
      <c r="JX33" s="7"/>
      <c r="JY33" s="7"/>
      <c r="JZ33" s="7"/>
      <c r="KA33" s="7"/>
      <c r="KB33" s="7"/>
      <c r="KC33" s="7"/>
      <c r="KD33" s="7"/>
      <c r="KE33" s="7"/>
      <c r="KF33" s="7"/>
      <c r="KG33" s="7"/>
      <c r="KH33" s="7"/>
      <c r="KI33" s="7"/>
      <c r="KJ33" s="7"/>
      <c r="KK33" s="7"/>
      <c r="KL33" s="7"/>
      <c r="KM33" s="7"/>
      <c r="KN33" s="7"/>
      <c r="KO33" s="7"/>
      <c r="KP33" s="7"/>
      <c r="KQ33" s="7"/>
      <c r="KR33" s="7"/>
      <c r="KS33" s="7"/>
      <c r="KT33" s="7"/>
      <c r="KU33" s="7"/>
      <c r="KV33" s="7"/>
      <c r="KW33" s="7"/>
      <c r="KX33" s="7"/>
      <c r="KY33" s="7"/>
      <c r="KZ33" s="7"/>
      <c r="LA33" s="7"/>
      <c r="LB33" s="7"/>
      <c r="LC33" s="7"/>
      <c r="LD33" s="7"/>
      <c r="LE33" s="7"/>
      <c r="LF33" s="7"/>
      <c r="LG33" s="7"/>
      <c r="LH33" s="7"/>
      <c r="LI33" s="7"/>
      <c r="LJ33" s="7"/>
      <c r="LK33" s="7"/>
      <c r="LL33" s="7"/>
      <c r="LM33" s="7"/>
      <c r="LN33" s="7"/>
      <c r="LO33" s="7"/>
      <c r="LP33" s="7"/>
      <c r="LQ33" s="7"/>
    </row>
    <row r="34" spans="1:329" s="8" customFormat="1" ht="15" customHeight="1" x14ac:dyDescent="0.25">
      <c r="A34" s="73">
        <v>1100813</v>
      </c>
      <c r="B34" s="47" t="s">
        <v>81</v>
      </c>
      <c r="C34" s="33" t="str">
        <f>VLOOKUP(A34,Artikeldaten!A:B,2,0)</f>
        <v>3 Punkt Gurtsystem - Shield</v>
      </c>
      <c r="D34" s="34">
        <v>20</v>
      </c>
      <c r="E34" s="34">
        <f t="shared" si="0"/>
        <v>33.613445378151262</v>
      </c>
      <c r="F34" s="34">
        <f t="shared" si="1"/>
        <v>40</v>
      </c>
      <c r="G34" s="41"/>
      <c r="H34" s="41"/>
      <c r="I34" s="36"/>
      <c r="J34" s="36"/>
      <c r="K34" s="36"/>
      <c r="L34" s="36"/>
      <c r="M34" s="35" t="s">
        <v>21</v>
      </c>
      <c r="N34" s="36"/>
      <c r="O34" s="36"/>
      <c r="P34" s="36"/>
      <c r="Q34" s="36"/>
      <c r="R34" s="42">
        <v>7350057583975</v>
      </c>
      <c r="S34" s="43" t="s">
        <v>324</v>
      </c>
      <c r="T34" s="43">
        <v>4.8</v>
      </c>
      <c r="U34" s="43">
        <v>4.4000000000000004</v>
      </c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7"/>
      <c r="BO34" s="7"/>
      <c r="BP34" s="7"/>
      <c r="BQ34" s="7"/>
      <c r="BR34" s="7"/>
      <c r="BS34" s="7"/>
      <c r="BT34" s="7"/>
      <c r="BU34" s="7"/>
      <c r="BV34" s="7"/>
      <c r="BW34" s="7"/>
      <c r="BX34" s="7"/>
      <c r="BY34" s="7"/>
      <c r="BZ34" s="7"/>
      <c r="CA34" s="7"/>
      <c r="CB34" s="7"/>
      <c r="CC34" s="7"/>
      <c r="CD34" s="7"/>
      <c r="CE34" s="7"/>
      <c r="CF34" s="7"/>
      <c r="CG34" s="7"/>
      <c r="CH34" s="7"/>
      <c r="CI34" s="7"/>
      <c r="CJ34" s="7"/>
      <c r="CK34" s="7"/>
      <c r="CL34" s="7"/>
      <c r="CM34" s="7"/>
      <c r="CN34" s="7"/>
      <c r="CO34" s="7"/>
      <c r="CP34" s="7"/>
      <c r="CQ34" s="7"/>
      <c r="CR34" s="7"/>
      <c r="CS34" s="7"/>
      <c r="CT34" s="7"/>
      <c r="CU34" s="7"/>
      <c r="CV34" s="7"/>
      <c r="CW34" s="7"/>
      <c r="CX34" s="7"/>
      <c r="CY34" s="7"/>
      <c r="CZ34" s="7"/>
      <c r="DA34" s="7"/>
      <c r="DB34" s="7"/>
      <c r="DC34" s="7"/>
      <c r="DD34" s="7"/>
      <c r="DE34" s="7"/>
      <c r="DF34" s="7"/>
      <c r="DG34" s="7"/>
      <c r="DH34" s="7"/>
      <c r="DI34" s="7"/>
      <c r="DJ34" s="7"/>
      <c r="DK34" s="7"/>
      <c r="DL34" s="7"/>
      <c r="DM34" s="7"/>
      <c r="DN34" s="7"/>
      <c r="DO34" s="7"/>
      <c r="DP34" s="7"/>
      <c r="DQ34" s="7"/>
      <c r="DR34" s="7"/>
      <c r="DS34" s="7"/>
      <c r="DT34" s="7"/>
      <c r="DU34" s="7"/>
      <c r="DV34" s="7"/>
      <c r="DW34" s="7"/>
      <c r="DX34" s="7"/>
      <c r="DY34" s="7"/>
      <c r="DZ34" s="7"/>
      <c r="EA34" s="7"/>
      <c r="EB34" s="7"/>
      <c r="EC34" s="7"/>
      <c r="ED34" s="7"/>
      <c r="EE34" s="7"/>
      <c r="EF34" s="7"/>
      <c r="EG34" s="7"/>
      <c r="EH34" s="7"/>
      <c r="EI34" s="7"/>
      <c r="EJ34" s="7"/>
      <c r="EK34" s="7"/>
      <c r="EL34" s="7"/>
      <c r="EM34" s="7"/>
      <c r="EN34" s="7"/>
      <c r="EO34" s="7"/>
      <c r="EP34" s="7"/>
      <c r="EQ34" s="7"/>
      <c r="ER34" s="7"/>
      <c r="ES34" s="7"/>
      <c r="ET34" s="7"/>
      <c r="EU34" s="7"/>
      <c r="EV34" s="7"/>
      <c r="EW34" s="7"/>
      <c r="EX34" s="7"/>
      <c r="EY34" s="7"/>
      <c r="EZ34" s="7"/>
      <c r="FA34" s="7"/>
      <c r="FB34" s="7"/>
      <c r="FC34" s="7"/>
      <c r="FD34" s="7"/>
      <c r="FE34" s="7"/>
      <c r="FF34" s="7"/>
      <c r="FG34" s="7"/>
      <c r="FH34" s="7"/>
      <c r="FI34" s="7"/>
      <c r="FJ34" s="7"/>
      <c r="FK34" s="7"/>
      <c r="FL34" s="7"/>
      <c r="FM34" s="7"/>
      <c r="FN34" s="7"/>
      <c r="FO34" s="7"/>
      <c r="FP34" s="7"/>
      <c r="FQ34" s="7"/>
      <c r="FR34" s="7"/>
      <c r="FS34" s="7"/>
      <c r="FT34" s="7"/>
      <c r="FU34" s="7"/>
      <c r="FV34" s="7"/>
      <c r="FW34" s="7"/>
      <c r="FX34" s="7"/>
      <c r="FY34" s="7"/>
      <c r="FZ34" s="7"/>
      <c r="GA34" s="7"/>
      <c r="GB34" s="7"/>
      <c r="GC34" s="7"/>
      <c r="GD34" s="7"/>
      <c r="GE34" s="7"/>
      <c r="GF34" s="7"/>
      <c r="GG34" s="7"/>
      <c r="GH34" s="7"/>
      <c r="GI34" s="7"/>
      <c r="GJ34" s="7"/>
      <c r="GK34" s="7"/>
      <c r="GL34" s="7"/>
      <c r="GM34" s="7"/>
      <c r="GN34" s="7"/>
      <c r="GO34" s="7"/>
      <c r="GP34" s="7"/>
      <c r="GQ34" s="7"/>
      <c r="GR34" s="7"/>
      <c r="GS34" s="7"/>
      <c r="GT34" s="7"/>
      <c r="GU34" s="7"/>
      <c r="GV34" s="7"/>
      <c r="GW34" s="7"/>
      <c r="GX34" s="7"/>
      <c r="GY34" s="7"/>
      <c r="GZ34" s="7"/>
      <c r="HA34" s="7"/>
      <c r="HB34" s="7"/>
      <c r="HC34" s="7"/>
      <c r="HD34" s="7"/>
      <c r="HE34" s="7"/>
      <c r="HF34" s="7"/>
      <c r="HG34" s="7"/>
      <c r="HH34" s="7"/>
      <c r="HI34" s="7"/>
      <c r="HJ34" s="7"/>
      <c r="HK34" s="7"/>
      <c r="HL34" s="7"/>
      <c r="HM34" s="7"/>
      <c r="HN34" s="7"/>
      <c r="HO34" s="7"/>
      <c r="HP34" s="7"/>
      <c r="HQ34" s="7"/>
      <c r="HR34" s="7"/>
      <c r="HS34" s="7"/>
      <c r="HT34" s="7"/>
      <c r="HU34" s="7"/>
      <c r="HV34" s="7"/>
      <c r="HW34" s="7"/>
      <c r="HX34" s="7"/>
      <c r="HY34" s="7"/>
      <c r="HZ34" s="7"/>
      <c r="IA34" s="7"/>
      <c r="IB34" s="7"/>
      <c r="IC34" s="7"/>
      <c r="ID34" s="7"/>
      <c r="IE34" s="7"/>
      <c r="IF34" s="7"/>
      <c r="IG34" s="7"/>
      <c r="IH34" s="7"/>
      <c r="II34" s="7"/>
      <c r="IJ34" s="7"/>
      <c r="IK34" s="7"/>
      <c r="IL34" s="7"/>
      <c r="IM34" s="7"/>
      <c r="IN34" s="7"/>
      <c r="IO34" s="7"/>
      <c r="IP34" s="7"/>
      <c r="IQ34" s="7"/>
      <c r="IR34" s="7"/>
      <c r="IS34" s="7"/>
      <c r="IT34" s="7"/>
      <c r="IU34" s="7"/>
      <c r="IV34" s="7"/>
      <c r="IW34" s="7"/>
      <c r="IX34" s="7"/>
      <c r="IY34" s="7"/>
      <c r="IZ34" s="7"/>
      <c r="JA34" s="7"/>
      <c r="JB34" s="7"/>
      <c r="JC34" s="7"/>
      <c r="JD34" s="7"/>
      <c r="JE34" s="7"/>
      <c r="JF34" s="7"/>
      <c r="JG34" s="7"/>
      <c r="JH34" s="7"/>
      <c r="JI34" s="7"/>
      <c r="JJ34" s="7"/>
      <c r="JK34" s="7"/>
      <c r="JL34" s="7"/>
      <c r="JM34" s="7"/>
      <c r="JN34" s="7"/>
      <c r="JO34" s="7"/>
      <c r="JP34" s="7"/>
      <c r="JQ34" s="7"/>
      <c r="JR34" s="7"/>
      <c r="JS34" s="7"/>
      <c r="JT34" s="7"/>
      <c r="JU34" s="7"/>
      <c r="JV34" s="7"/>
      <c r="JW34" s="7"/>
      <c r="JX34" s="7"/>
      <c r="JY34" s="7"/>
      <c r="JZ34" s="7"/>
      <c r="KA34" s="7"/>
      <c r="KB34" s="7"/>
      <c r="KC34" s="7"/>
      <c r="KD34" s="7"/>
      <c r="KE34" s="7"/>
      <c r="KF34" s="7"/>
      <c r="KG34" s="7"/>
      <c r="KH34" s="7"/>
      <c r="KI34" s="7"/>
      <c r="KJ34" s="7"/>
      <c r="KK34" s="7"/>
      <c r="KL34" s="7"/>
      <c r="KM34" s="7"/>
      <c r="KN34" s="7"/>
      <c r="KO34" s="7"/>
      <c r="KP34" s="7"/>
      <c r="KQ34" s="7"/>
      <c r="KR34" s="7"/>
      <c r="KS34" s="7"/>
      <c r="KT34" s="7"/>
      <c r="KU34" s="7"/>
      <c r="KV34" s="7"/>
      <c r="KW34" s="7"/>
      <c r="KX34" s="7"/>
      <c r="KY34" s="7"/>
      <c r="KZ34" s="7"/>
      <c r="LA34" s="7"/>
      <c r="LB34" s="7"/>
      <c r="LC34" s="7"/>
      <c r="LD34" s="7"/>
      <c r="LE34" s="7"/>
      <c r="LF34" s="7"/>
      <c r="LG34" s="7"/>
      <c r="LH34" s="7"/>
      <c r="LI34" s="7"/>
      <c r="LJ34" s="7"/>
      <c r="LK34" s="7"/>
      <c r="LL34" s="7"/>
      <c r="LM34" s="7"/>
      <c r="LN34" s="7"/>
      <c r="LO34" s="7"/>
      <c r="LP34" s="7"/>
      <c r="LQ34" s="7"/>
    </row>
    <row r="35" spans="1:329" s="8" customFormat="1" ht="15" customHeight="1" x14ac:dyDescent="0.25">
      <c r="A35" s="73">
        <v>1100815</v>
      </c>
      <c r="B35" s="47" t="s">
        <v>83</v>
      </c>
      <c r="C35" s="33" t="str">
        <f>VLOOKUP(A35,Artikeldaten!A:B,2,0)</f>
        <v xml:space="preserve">Kopfstütze - Modukid </v>
      </c>
      <c r="D35" s="34">
        <v>12</v>
      </c>
      <c r="E35" s="34">
        <f t="shared" si="0"/>
        <v>20.168067226890756</v>
      </c>
      <c r="F35" s="34">
        <f t="shared" si="1"/>
        <v>24</v>
      </c>
      <c r="G35" s="41"/>
      <c r="H35" s="41"/>
      <c r="I35" s="36"/>
      <c r="J35" s="36"/>
      <c r="K35" s="36"/>
      <c r="L35" s="35" t="s">
        <v>21</v>
      </c>
      <c r="M35" s="36"/>
      <c r="N35" s="36"/>
      <c r="O35" s="36"/>
      <c r="P35" s="36"/>
      <c r="Q35" s="36"/>
      <c r="R35" s="42">
        <v>7350057583753</v>
      </c>
      <c r="S35" s="43" t="s">
        <v>312</v>
      </c>
      <c r="T35" s="43">
        <v>0.5</v>
      </c>
      <c r="U35" s="43">
        <v>0.14000000000000001</v>
      </c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7"/>
      <c r="BO35" s="7"/>
      <c r="BP35" s="7"/>
      <c r="BQ35" s="7"/>
      <c r="BR35" s="7"/>
      <c r="BS35" s="7"/>
      <c r="BT35" s="7"/>
      <c r="BU35" s="7"/>
      <c r="BV35" s="7"/>
      <c r="BW35" s="7"/>
      <c r="BX35" s="7"/>
      <c r="BY35" s="7"/>
      <c r="BZ35" s="7"/>
      <c r="CA35" s="7"/>
      <c r="CB35" s="7"/>
      <c r="CC35" s="7"/>
      <c r="CD35" s="7"/>
      <c r="CE35" s="7"/>
      <c r="CF35" s="7"/>
      <c r="CG35" s="7"/>
      <c r="CH35" s="7"/>
      <c r="CI35" s="7"/>
      <c r="CJ35" s="7"/>
      <c r="CK35" s="7"/>
      <c r="CL35" s="7"/>
      <c r="CM35" s="7"/>
      <c r="CN35" s="7"/>
      <c r="CO35" s="7"/>
      <c r="CP35" s="7"/>
      <c r="CQ35" s="7"/>
      <c r="CR35" s="7"/>
      <c r="CS35" s="7"/>
      <c r="CT35" s="7"/>
      <c r="CU35" s="7"/>
      <c r="CV35" s="7"/>
      <c r="CW35" s="7"/>
      <c r="CX35" s="7"/>
      <c r="CY35" s="7"/>
      <c r="CZ35" s="7"/>
      <c r="DA35" s="7"/>
      <c r="DB35" s="7"/>
      <c r="DC35" s="7"/>
      <c r="DD35" s="7"/>
      <c r="DE35" s="7"/>
      <c r="DF35" s="7"/>
      <c r="DG35" s="7"/>
      <c r="DH35" s="7"/>
      <c r="DI35" s="7"/>
      <c r="DJ35" s="7"/>
      <c r="DK35" s="7"/>
      <c r="DL35" s="7"/>
      <c r="DM35" s="7"/>
      <c r="DN35" s="7"/>
      <c r="DO35" s="7"/>
      <c r="DP35" s="7"/>
      <c r="DQ35" s="7"/>
      <c r="DR35" s="7"/>
      <c r="DS35" s="7"/>
      <c r="DT35" s="7"/>
      <c r="DU35" s="7"/>
      <c r="DV35" s="7"/>
      <c r="DW35" s="7"/>
      <c r="DX35" s="7"/>
      <c r="DY35" s="7"/>
      <c r="DZ35" s="7"/>
      <c r="EA35" s="7"/>
      <c r="EB35" s="7"/>
      <c r="EC35" s="7"/>
      <c r="ED35" s="7"/>
      <c r="EE35" s="7"/>
      <c r="EF35" s="7"/>
      <c r="EG35" s="7"/>
      <c r="EH35" s="7"/>
      <c r="EI35" s="7"/>
      <c r="EJ35" s="7"/>
      <c r="EK35" s="7"/>
      <c r="EL35" s="7"/>
      <c r="EM35" s="7"/>
      <c r="EN35" s="7"/>
      <c r="EO35" s="7"/>
      <c r="EP35" s="7"/>
      <c r="EQ35" s="7"/>
      <c r="ER35" s="7"/>
      <c r="ES35" s="7"/>
      <c r="ET35" s="7"/>
      <c r="EU35" s="7"/>
      <c r="EV35" s="7"/>
      <c r="EW35" s="7"/>
      <c r="EX35" s="7"/>
      <c r="EY35" s="7"/>
      <c r="EZ35" s="7"/>
      <c r="FA35" s="7"/>
      <c r="FB35" s="7"/>
      <c r="FC35" s="7"/>
      <c r="FD35" s="7"/>
      <c r="FE35" s="7"/>
      <c r="FF35" s="7"/>
      <c r="FG35" s="7"/>
      <c r="FH35" s="7"/>
      <c r="FI35" s="7"/>
      <c r="FJ35" s="7"/>
      <c r="FK35" s="7"/>
      <c r="FL35" s="7"/>
      <c r="FM35" s="7"/>
      <c r="FN35" s="7"/>
      <c r="FO35" s="7"/>
      <c r="FP35" s="7"/>
      <c r="FQ35" s="7"/>
      <c r="FR35" s="7"/>
      <c r="FS35" s="7"/>
      <c r="FT35" s="7"/>
      <c r="FU35" s="7"/>
      <c r="FV35" s="7"/>
      <c r="FW35" s="7"/>
      <c r="FX35" s="7"/>
      <c r="FY35" s="7"/>
      <c r="FZ35" s="7"/>
      <c r="GA35" s="7"/>
      <c r="GB35" s="7"/>
      <c r="GC35" s="7"/>
      <c r="GD35" s="7"/>
      <c r="GE35" s="7"/>
      <c r="GF35" s="7"/>
      <c r="GG35" s="7"/>
      <c r="GH35" s="7"/>
      <c r="GI35" s="7"/>
      <c r="GJ35" s="7"/>
      <c r="GK35" s="7"/>
      <c r="GL35" s="7"/>
      <c r="GM35" s="7"/>
      <c r="GN35" s="7"/>
      <c r="GO35" s="7"/>
      <c r="GP35" s="7"/>
      <c r="GQ35" s="7"/>
      <c r="GR35" s="7"/>
      <c r="GS35" s="7"/>
      <c r="GT35" s="7"/>
      <c r="GU35" s="7"/>
      <c r="GV35" s="7"/>
      <c r="GW35" s="7"/>
      <c r="GX35" s="7"/>
      <c r="GY35" s="7"/>
      <c r="GZ35" s="7"/>
      <c r="HA35" s="7"/>
      <c r="HB35" s="7"/>
      <c r="HC35" s="7"/>
      <c r="HD35" s="7"/>
      <c r="HE35" s="7"/>
      <c r="HF35" s="7"/>
      <c r="HG35" s="7"/>
      <c r="HH35" s="7"/>
      <c r="HI35" s="7"/>
      <c r="HJ35" s="7"/>
      <c r="HK35" s="7"/>
      <c r="HL35" s="7"/>
      <c r="HM35" s="7"/>
      <c r="HN35" s="7"/>
      <c r="HO35" s="7"/>
      <c r="HP35" s="7"/>
      <c r="HQ35" s="7"/>
      <c r="HR35" s="7"/>
      <c r="HS35" s="7"/>
      <c r="HT35" s="7"/>
      <c r="HU35" s="7"/>
      <c r="HV35" s="7"/>
      <c r="HW35" s="7"/>
      <c r="HX35" s="7"/>
      <c r="HY35" s="7"/>
      <c r="HZ35" s="7"/>
      <c r="IA35" s="7"/>
      <c r="IB35" s="7"/>
      <c r="IC35" s="7"/>
      <c r="ID35" s="7"/>
      <c r="IE35" s="7"/>
      <c r="IF35" s="7"/>
      <c r="IG35" s="7"/>
      <c r="IH35" s="7"/>
      <c r="II35" s="7"/>
      <c r="IJ35" s="7"/>
      <c r="IK35" s="7"/>
      <c r="IL35" s="7"/>
      <c r="IM35" s="7"/>
      <c r="IN35" s="7"/>
      <c r="IO35" s="7"/>
      <c r="IP35" s="7"/>
      <c r="IQ35" s="7"/>
      <c r="IR35" s="7"/>
      <c r="IS35" s="7"/>
      <c r="IT35" s="7"/>
      <c r="IU35" s="7"/>
      <c r="IV35" s="7"/>
      <c r="IW35" s="7"/>
      <c r="IX35" s="7"/>
      <c r="IY35" s="7"/>
      <c r="IZ35" s="7"/>
      <c r="JA35" s="7"/>
      <c r="JB35" s="7"/>
      <c r="JC35" s="7"/>
      <c r="JD35" s="7"/>
      <c r="JE35" s="7"/>
      <c r="JF35" s="7"/>
      <c r="JG35" s="7"/>
      <c r="JH35" s="7"/>
      <c r="JI35" s="7"/>
      <c r="JJ35" s="7"/>
      <c r="JK35" s="7"/>
      <c r="JL35" s="7"/>
      <c r="JM35" s="7"/>
      <c r="JN35" s="7"/>
      <c r="JO35" s="7"/>
      <c r="JP35" s="7"/>
      <c r="JQ35" s="7"/>
      <c r="JR35" s="7"/>
      <c r="JS35" s="7"/>
      <c r="JT35" s="7"/>
      <c r="JU35" s="7"/>
      <c r="JV35" s="7"/>
      <c r="JW35" s="7"/>
      <c r="JX35" s="7"/>
      <c r="JY35" s="7"/>
      <c r="JZ35" s="7"/>
      <c r="KA35" s="7"/>
      <c r="KB35" s="7"/>
      <c r="KC35" s="7"/>
      <c r="KD35" s="7"/>
      <c r="KE35" s="7"/>
      <c r="KF35" s="7"/>
      <c r="KG35" s="7"/>
      <c r="KH35" s="7"/>
      <c r="KI35" s="7"/>
      <c r="KJ35" s="7"/>
      <c r="KK35" s="7"/>
      <c r="KL35" s="7"/>
      <c r="KM35" s="7"/>
      <c r="KN35" s="7"/>
      <c r="KO35" s="7"/>
      <c r="KP35" s="7"/>
      <c r="KQ35" s="7"/>
      <c r="KR35" s="7"/>
      <c r="KS35" s="7"/>
      <c r="KT35" s="7"/>
      <c r="KU35" s="7"/>
      <c r="KV35" s="7"/>
      <c r="KW35" s="7"/>
      <c r="KX35" s="7"/>
      <c r="KY35" s="7"/>
      <c r="KZ35" s="7"/>
      <c r="LA35" s="7"/>
      <c r="LB35" s="7"/>
      <c r="LC35" s="7"/>
      <c r="LD35" s="7"/>
      <c r="LE35" s="7"/>
      <c r="LF35" s="7"/>
      <c r="LG35" s="7"/>
      <c r="LH35" s="7"/>
      <c r="LI35" s="7"/>
      <c r="LJ35" s="7"/>
      <c r="LK35" s="7"/>
      <c r="LL35" s="7"/>
      <c r="LM35" s="7"/>
      <c r="LN35" s="7"/>
      <c r="LO35" s="7"/>
      <c r="LP35" s="7"/>
      <c r="LQ35" s="7"/>
    </row>
    <row r="36" spans="1:329" s="8" customFormat="1" ht="15" customHeight="1" x14ac:dyDescent="0.25">
      <c r="A36" s="70">
        <v>1100816</v>
      </c>
      <c r="B36" s="33" t="s">
        <v>85</v>
      </c>
      <c r="C36" s="33" t="str">
        <f>VLOOKUP(A36,Artikeldaten!A:B,2,0)</f>
        <v>ASIP Befestigung - Minikid 2, Move, Modukid Seat</v>
      </c>
      <c r="D36" s="34">
        <v>5</v>
      </c>
      <c r="E36" s="34">
        <f t="shared" si="0"/>
        <v>8.4033613445378155</v>
      </c>
      <c r="F36" s="34">
        <f t="shared" si="1"/>
        <v>10</v>
      </c>
      <c r="G36" s="41"/>
      <c r="H36" s="41"/>
      <c r="I36" s="35" t="s">
        <v>21</v>
      </c>
      <c r="J36" s="35" t="s">
        <v>21</v>
      </c>
      <c r="K36" s="36"/>
      <c r="L36" s="36"/>
      <c r="M36" s="36"/>
      <c r="N36" s="36"/>
      <c r="O36" s="36"/>
      <c r="P36" s="36"/>
      <c r="Q36" s="36"/>
      <c r="R36" s="42">
        <v>7350057584064</v>
      </c>
      <c r="S36" s="43" t="s">
        <v>320</v>
      </c>
      <c r="T36" s="43">
        <v>0.61</v>
      </c>
      <c r="U36" s="43">
        <v>0.4</v>
      </c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</row>
    <row r="37" spans="1:329" s="8" customFormat="1" ht="15" customHeight="1" x14ac:dyDescent="0.25">
      <c r="A37" s="70">
        <v>1100817</v>
      </c>
      <c r="B37" s="33" t="s">
        <v>87</v>
      </c>
      <c r="C37" s="33" t="str">
        <f>VLOOKUP(A37,Artikeldaten!A:B,2,0)</f>
        <v>Neigungsverstellung - Minikid</v>
      </c>
      <c r="D37" s="34">
        <v>16</v>
      </c>
      <c r="E37" s="34">
        <f t="shared" si="0"/>
        <v>26.890756302521009</v>
      </c>
      <c r="F37" s="34">
        <f t="shared" si="1"/>
        <v>32</v>
      </c>
      <c r="G37" s="41"/>
      <c r="H37" s="41"/>
      <c r="I37" s="35" t="s">
        <v>21</v>
      </c>
      <c r="J37" s="36"/>
      <c r="K37" s="36"/>
      <c r="L37" s="36"/>
      <c r="M37" s="36"/>
      <c r="N37" s="35" t="s">
        <v>21</v>
      </c>
      <c r="O37" s="36"/>
      <c r="P37" s="36"/>
      <c r="Q37" s="36"/>
      <c r="R37" s="42">
        <v>7350057584040</v>
      </c>
      <c r="S37" s="43" t="s">
        <v>314</v>
      </c>
      <c r="T37" s="43">
        <v>2</v>
      </c>
      <c r="U37" s="43">
        <v>1.83</v>
      </c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7"/>
      <c r="BO37" s="7"/>
      <c r="BP37" s="7"/>
      <c r="BQ37" s="7"/>
      <c r="BR37" s="7"/>
      <c r="BS37" s="7"/>
      <c r="BT37" s="7"/>
      <c r="BU37" s="7"/>
      <c r="BV37" s="7"/>
      <c r="BW37" s="7"/>
      <c r="BX37" s="7"/>
      <c r="BY37" s="7"/>
      <c r="BZ37" s="7"/>
      <c r="CA37" s="7"/>
      <c r="CB37" s="7"/>
      <c r="CC37" s="7"/>
      <c r="CD37" s="7"/>
      <c r="CE37" s="7"/>
      <c r="CF37" s="7"/>
      <c r="CG37" s="7"/>
      <c r="CH37" s="7"/>
      <c r="CI37" s="7"/>
      <c r="CJ37" s="7"/>
      <c r="CK37" s="7"/>
      <c r="CL37" s="7"/>
      <c r="CM37" s="7"/>
      <c r="CN37" s="7"/>
      <c r="CO37" s="7"/>
      <c r="CP37" s="7"/>
      <c r="CQ37" s="7"/>
      <c r="CR37" s="7"/>
      <c r="CS37" s="7"/>
      <c r="CT37" s="7"/>
      <c r="CU37" s="7"/>
      <c r="CV37" s="7"/>
      <c r="CW37" s="7"/>
      <c r="CX37" s="7"/>
      <c r="CY37" s="7"/>
      <c r="CZ37" s="7"/>
      <c r="DA37" s="7"/>
      <c r="DB37" s="7"/>
      <c r="DC37" s="7"/>
      <c r="DD37" s="7"/>
      <c r="DE37" s="7"/>
      <c r="DF37" s="7"/>
      <c r="DG37" s="7"/>
      <c r="DH37" s="7"/>
      <c r="DI37" s="7"/>
      <c r="DJ37" s="7"/>
      <c r="DK37" s="7"/>
      <c r="DL37" s="7"/>
      <c r="DM37" s="7"/>
      <c r="DN37" s="7"/>
      <c r="DO37" s="7"/>
      <c r="DP37" s="7"/>
      <c r="DQ37" s="7"/>
      <c r="DR37" s="7"/>
      <c r="DS37" s="7"/>
      <c r="DT37" s="7"/>
      <c r="DU37" s="7"/>
      <c r="DV37" s="7"/>
      <c r="DW37" s="7"/>
      <c r="DX37" s="7"/>
      <c r="DY37" s="7"/>
      <c r="DZ37" s="7"/>
      <c r="EA37" s="7"/>
      <c r="EB37" s="7"/>
      <c r="EC37" s="7"/>
      <c r="ED37" s="7"/>
      <c r="EE37" s="7"/>
      <c r="EF37" s="7"/>
      <c r="EG37" s="7"/>
      <c r="EH37" s="7"/>
      <c r="EI37" s="7"/>
      <c r="EJ37" s="7"/>
      <c r="EK37" s="7"/>
      <c r="EL37" s="7"/>
      <c r="EM37" s="7"/>
      <c r="EN37" s="7"/>
      <c r="EO37" s="7"/>
      <c r="EP37" s="7"/>
      <c r="EQ37" s="7"/>
      <c r="ER37" s="7"/>
      <c r="ES37" s="7"/>
      <c r="ET37" s="7"/>
      <c r="EU37" s="7"/>
      <c r="EV37" s="7"/>
      <c r="EW37" s="7"/>
      <c r="EX37" s="7"/>
      <c r="EY37" s="7"/>
      <c r="EZ37" s="7"/>
      <c r="FA37" s="7"/>
      <c r="FB37" s="7"/>
      <c r="FC37" s="7"/>
      <c r="FD37" s="7"/>
      <c r="FE37" s="7"/>
      <c r="FF37" s="7"/>
      <c r="FG37" s="7"/>
      <c r="FH37" s="7"/>
      <c r="FI37" s="7"/>
      <c r="FJ37" s="7"/>
      <c r="FK37" s="7"/>
      <c r="FL37" s="7"/>
      <c r="FM37" s="7"/>
      <c r="FN37" s="7"/>
      <c r="FO37" s="7"/>
      <c r="FP37" s="7"/>
      <c r="FQ37" s="7"/>
      <c r="FR37" s="7"/>
      <c r="FS37" s="7"/>
      <c r="FT37" s="7"/>
      <c r="FU37" s="7"/>
      <c r="FV37" s="7"/>
      <c r="FW37" s="7"/>
      <c r="FX37" s="7"/>
      <c r="FY37" s="7"/>
      <c r="FZ37" s="7"/>
      <c r="GA37" s="7"/>
      <c r="GB37" s="7"/>
      <c r="GC37" s="7"/>
      <c r="GD37" s="7"/>
      <c r="GE37" s="7"/>
      <c r="GF37" s="7"/>
      <c r="GG37" s="7"/>
      <c r="GH37" s="7"/>
      <c r="GI37" s="7"/>
      <c r="GJ37" s="7"/>
      <c r="GK37" s="7"/>
      <c r="GL37" s="7"/>
      <c r="GM37" s="7"/>
      <c r="GN37" s="7"/>
      <c r="GO37" s="7"/>
      <c r="GP37" s="7"/>
      <c r="GQ37" s="7"/>
      <c r="GR37" s="7"/>
      <c r="GS37" s="7"/>
      <c r="GT37" s="7"/>
      <c r="GU37" s="7"/>
      <c r="GV37" s="7"/>
      <c r="GW37" s="7"/>
      <c r="GX37" s="7"/>
      <c r="GY37" s="7"/>
      <c r="GZ37" s="7"/>
      <c r="HA37" s="7"/>
      <c r="HB37" s="7"/>
      <c r="HC37" s="7"/>
      <c r="HD37" s="7"/>
      <c r="HE37" s="7"/>
      <c r="HF37" s="7"/>
      <c r="HG37" s="7"/>
      <c r="HH37" s="7"/>
      <c r="HI37" s="7"/>
      <c r="HJ37" s="7"/>
      <c r="HK37" s="7"/>
      <c r="HL37" s="7"/>
      <c r="HM37" s="7"/>
      <c r="HN37" s="7"/>
      <c r="HO37" s="7"/>
      <c r="HP37" s="7"/>
      <c r="HQ37" s="7"/>
      <c r="HR37" s="7"/>
      <c r="HS37" s="7"/>
      <c r="HT37" s="7"/>
      <c r="HU37" s="7"/>
      <c r="HV37" s="7"/>
      <c r="HW37" s="7"/>
      <c r="HX37" s="7"/>
      <c r="HY37" s="7"/>
      <c r="HZ37" s="7"/>
      <c r="IA37" s="7"/>
      <c r="IB37" s="7"/>
      <c r="IC37" s="7"/>
      <c r="ID37" s="7"/>
      <c r="IE37" s="7"/>
      <c r="IF37" s="7"/>
      <c r="IG37" s="7"/>
      <c r="IH37" s="7"/>
      <c r="II37" s="7"/>
      <c r="IJ37" s="7"/>
      <c r="IK37" s="7"/>
      <c r="IL37" s="7"/>
      <c r="IM37" s="7"/>
      <c r="IN37" s="7"/>
      <c r="IO37" s="7"/>
      <c r="IP37" s="7"/>
      <c r="IQ37" s="7"/>
      <c r="IR37" s="7"/>
      <c r="IS37" s="7"/>
      <c r="IT37" s="7"/>
      <c r="IU37" s="7"/>
      <c r="IV37" s="7"/>
      <c r="IW37" s="7"/>
      <c r="IX37" s="7"/>
      <c r="IY37" s="7"/>
      <c r="IZ37" s="7"/>
      <c r="JA37" s="7"/>
      <c r="JB37" s="7"/>
      <c r="JC37" s="7"/>
      <c r="JD37" s="7"/>
      <c r="JE37" s="7"/>
      <c r="JF37" s="7"/>
      <c r="JG37" s="7"/>
      <c r="JH37" s="7"/>
      <c r="JI37" s="7"/>
      <c r="JJ37" s="7"/>
      <c r="JK37" s="7"/>
      <c r="JL37" s="7"/>
      <c r="JM37" s="7"/>
      <c r="JN37" s="7"/>
      <c r="JO37" s="7"/>
      <c r="JP37" s="7"/>
      <c r="JQ37" s="7"/>
      <c r="JR37" s="7"/>
      <c r="JS37" s="7"/>
      <c r="JT37" s="7"/>
      <c r="JU37" s="7"/>
      <c r="JV37" s="7"/>
      <c r="JW37" s="7"/>
      <c r="JX37" s="7"/>
      <c r="JY37" s="7"/>
      <c r="JZ37" s="7"/>
      <c r="KA37" s="7"/>
      <c r="KB37" s="7"/>
      <c r="KC37" s="7"/>
      <c r="KD37" s="7"/>
      <c r="KE37" s="7"/>
      <c r="KF37" s="7"/>
      <c r="KG37" s="7"/>
      <c r="KH37" s="7"/>
      <c r="KI37" s="7"/>
      <c r="KJ37" s="7"/>
      <c r="KK37" s="7"/>
      <c r="KL37" s="7"/>
      <c r="KM37" s="7"/>
      <c r="KN37" s="7"/>
      <c r="KO37" s="7"/>
      <c r="KP37" s="7"/>
      <c r="KQ37" s="7"/>
      <c r="KR37" s="7"/>
      <c r="KS37" s="7"/>
      <c r="KT37" s="7"/>
      <c r="KU37" s="7"/>
      <c r="KV37" s="7"/>
      <c r="KW37" s="7"/>
      <c r="KX37" s="7"/>
      <c r="KY37" s="7"/>
      <c r="KZ37" s="7"/>
      <c r="LA37" s="7"/>
      <c r="LB37" s="7"/>
      <c r="LC37" s="7"/>
      <c r="LD37" s="7"/>
      <c r="LE37" s="7"/>
      <c r="LF37" s="7"/>
      <c r="LG37" s="7"/>
      <c r="LH37" s="7"/>
      <c r="LI37" s="7"/>
      <c r="LJ37" s="7"/>
      <c r="LK37" s="7"/>
      <c r="LL37" s="7"/>
      <c r="LM37" s="7"/>
      <c r="LN37" s="7"/>
      <c r="LO37" s="7"/>
      <c r="LP37" s="7"/>
      <c r="LQ37" s="7"/>
    </row>
    <row r="38" spans="1:329" s="8" customFormat="1" ht="15" customHeight="1" x14ac:dyDescent="0.25">
      <c r="A38" s="70">
        <v>1100834</v>
      </c>
      <c r="B38" s="33" t="s">
        <v>89</v>
      </c>
      <c r="C38" s="33" t="str">
        <f>VLOOKUP(A38,Artikeldaten!A:B,2,0)</f>
        <v>Spannrolle Kopfstütze - Minikid 2 &amp; Modukid Seat</v>
      </c>
      <c r="D38" s="34">
        <v>13</v>
      </c>
      <c r="E38" s="34">
        <f t="shared" si="0"/>
        <v>21.84873949579832</v>
      </c>
      <c r="F38" s="34">
        <f t="shared" si="1"/>
        <v>26</v>
      </c>
      <c r="G38" s="41"/>
      <c r="H38" s="41"/>
      <c r="I38" s="35" t="s">
        <v>21</v>
      </c>
      <c r="J38" s="36"/>
      <c r="K38" s="35"/>
      <c r="L38" s="35" t="s">
        <v>21</v>
      </c>
      <c r="M38" s="36"/>
      <c r="N38" s="35"/>
      <c r="O38" s="36"/>
      <c r="P38" s="35"/>
      <c r="Q38" s="35"/>
      <c r="R38" s="42">
        <v>7350057584095</v>
      </c>
      <c r="S38" s="43" t="s">
        <v>325</v>
      </c>
      <c r="T38" s="43">
        <v>1.6</v>
      </c>
      <c r="U38" s="43">
        <v>1.55</v>
      </c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  <c r="BN38" s="7"/>
      <c r="BO38" s="7"/>
      <c r="BP38" s="7"/>
      <c r="BQ38" s="7"/>
      <c r="BR38" s="7"/>
      <c r="BS38" s="7"/>
      <c r="BT38" s="7"/>
      <c r="BU38" s="7"/>
      <c r="BV38" s="7"/>
      <c r="BW38" s="7"/>
      <c r="BX38" s="7"/>
      <c r="BY38" s="7"/>
      <c r="BZ38" s="7"/>
      <c r="CA38" s="7"/>
      <c r="CB38" s="7"/>
      <c r="CC38" s="7"/>
      <c r="CD38" s="7"/>
      <c r="CE38" s="7"/>
      <c r="CF38" s="7"/>
      <c r="CG38" s="7"/>
      <c r="CH38" s="7"/>
      <c r="CI38" s="7"/>
      <c r="CJ38" s="7"/>
      <c r="CK38" s="7"/>
      <c r="CL38" s="7"/>
      <c r="CM38" s="7"/>
      <c r="CN38" s="7"/>
      <c r="CO38" s="7"/>
      <c r="CP38" s="7"/>
      <c r="CQ38" s="7"/>
      <c r="CR38" s="7"/>
      <c r="CS38" s="7"/>
      <c r="CT38" s="7"/>
      <c r="CU38" s="7"/>
      <c r="CV38" s="7"/>
      <c r="CW38" s="7"/>
      <c r="CX38" s="7"/>
      <c r="CY38" s="7"/>
      <c r="CZ38" s="7"/>
      <c r="DA38" s="7"/>
      <c r="DB38" s="7"/>
      <c r="DC38" s="7"/>
      <c r="DD38" s="7"/>
      <c r="DE38" s="7"/>
      <c r="DF38" s="7"/>
      <c r="DG38" s="7"/>
      <c r="DH38" s="7"/>
      <c r="DI38" s="7"/>
      <c r="DJ38" s="7"/>
      <c r="DK38" s="7"/>
      <c r="DL38" s="7"/>
      <c r="DM38" s="7"/>
      <c r="DN38" s="7"/>
      <c r="DO38" s="7"/>
      <c r="DP38" s="7"/>
      <c r="DQ38" s="7"/>
      <c r="DR38" s="7"/>
      <c r="DS38" s="7"/>
      <c r="DT38" s="7"/>
      <c r="DU38" s="7"/>
      <c r="DV38" s="7"/>
      <c r="DW38" s="7"/>
      <c r="DX38" s="7"/>
      <c r="DY38" s="7"/>
      <c r="DZ38" s="7"/>
      <c r="EA38" s="7"/>
      <c r="EB38" s="7"/>
      <c r="EC38" s="7"/>
      <c r="ED38" s="7"/>
      <c r="EE38" s="7"/>
      <c r="EF38" s="7"/>
      <c r="EG38" s="7"/>
      <c r="EH38" s="7"/>
      <c r="EI38" s="7"/>
      <c r="EJ38" s="7"/>
      <c r="EK38" s="7"/>
      <c r="EL38" s="7"/>
      <c r="EM38" s="7"/>
      <c r="EN38" s="7"/>
      <c r="EO38" s="7"/>
      <c r="EP38" s="7"/>
      <c r="EQ38" s="7"/>
      <c r="ER38" s="7"/>
      <c r="ES38" s="7"/>
      <c r="ET38" s="7"/>
      <c r="EU38" s="7"/>
      <c r="EV38" s="7"/>
      <c r="EW38" s="7"/>
      <c r="EX38" s="7"/>
      <c r="EY38" s="7"/>
      <c r="EZ38" s="7"/>
      <c r="FA38" s="7"/>
      <c r="FB38" s="7"/>
      <c r="FC38" s="7"/>
      <c r="FD38" s="7"/>
      <c r="FE38" s="7"/>
      <c r="FF38" s="7"/>
      <c r="FG38" s="7"/>
      <c r="FH38" s="7"/>
      <c r="FI38" s="7"/>
      <c r="FJ38" s="7"/>
      <c r="FK38" s="7"/>
      <c r="FL38" s="7"/>
      <c r="FM38" s="7"/>
      <c r="FN38" s="7"/>
      <c r="FO38" s="7"/>
      <c r="FP38" s="7"/>
      <c r="FQ38" s="7"/>
      <c r="FR38" s="7"/>
      <c r="FS38" s="7"/>
      <c r="FT38" s="7"/>
      <c r="FU38" s="7"/>
      <c r="FV38" s="7"/>
      <c r="FW38" s="7"/>
      <c r="FX38" s="7"/>
      <c r="FY38" s="7"/>
      <c r="FZ38" s="7"/>
      <c r="GA38" s="7"/>
      <c r="GB38" s="7"/>
      <c r="GC38" s="7"/>
      <c r="GD38" s="7"/>
      <c r="GE38" s="7"/>
      <c r="GF38" s="7"/>
      <c r="GG38" s="7"/>
      <c r="GH38" s="7"/>
      <c r="GI38" s="7"/>
      <c r="GJ38" s="7"/>
      <c r="GK38" s="7"/>
      <c r="GL38" s="7"/>
      <c r="GM38" s="7"/>
      <c r="GN38" s="7"/>
      <c r="GO38" s="7"/>
      <c r="GP38" s="7"/>
      <c r="GQ38" s="7"/>
      <c r="GR38" s="7"/>
      <c r="GS38" s="7"/>
      <c r="GT38" s="7"/>
      <c r="GU38" s="7"/>
      <c r="GV38" s="7"/>
      <c r="GW38" s="7"/>
      <c r="GX38" s="7"/>
      <c r="GY38" s="7"/>
      <c r="GZ38" s="7"/>
      <c r="HA38" s="7"/>
      <c r="HB38" s="7"/>
      <c r="HC38" s="7"/>
      <c r="HD38" s="7"/>
      <c r="HE38" s="7"/>
      <c r="HF38" s="7"/>
      <c r="HG38" s="7"/>
      <c r="HH38" s="7"/>
      <c r="HI38" s="7"/>
      <c r="HJ38" s="7"/>
      <c r="HK38" s="7"/>
      <c r="HL38" s="7"/>
      <c r="HM38" s="7"/>
      <c r="HN38" s="7"/>
      <c r="HO38" s="7"/>
      <c r="HP38" s="7"/>
      <c r="HQ38" s="7"/>
      <c r="HR38" s="7"/>
      <c r="HS38" s="7"/>
      <c r="HT38" s="7"/>
      <c r="HU38" s="7"/>
      <c r="HV38" s="7"/>
      <c r="HW38" s="7"/>
      <c r="HX38" s="7"/>
      <c r="HY38" s="7"/>
      <c r="HZ38" s="7"/>
      <c r="IA38" s="7"/>
      <c r="IB38" s="7"/>
      <c r="IC38" s="7"/>
      <c r="ID38" s="7"/>
      <c r="IE38" s="7"/>
      <c r="IF38" s="7"/>
      <c r="IG38" s="7"/>
      <c r="IH38" s="7"/>
      <c r="II38" s="7"/>
      <c r="IJ38" s="7"/>
      <c r="IK38" s="7"/>
      <c r="IL38" s="7"/>
      <c r="IM38" s="7"/>
      <c r="IN38" s="7"/>
      <c r="IO38" s="7"/>
      <c r="IP38" s="7"/>
      <c r="IQ38" s="7"/>
      <c r="IR38" s="7"/>
      <c r="IS38" s="7"/>
      <c r="IT38" s="7"/>
      <c r="IU38" s="7"/>
      <c r="IV38" s="7"/>
      <c r="IW38" s="7"/>
      <c r="IX38" s="7"/>
      <c r="IY38" s="7"/>
      <c r="IZ38" s="7"/>
      <c r="JA38" s="7"/>
      <c r="JB38" s="7"/>
      <c r="JC38" s="7"/>
      <c r="JD38" s="7"/>
      <c r="JE38" s="7"/>
      <c r="JF38" s="7"/>
      <c r="JG38" s="7"/>
      <c r="JH38" s="7"/>
      <c r="JI38" s="7"/>
      <c r="JJ38" s="7"/>
      <c r="JK38" s="7"/>
      <c r="JL38" s="7"/>
      <c r="JM38" s="7"/>
      <c r="JN38" s="7"/>
      <c r="JO38" s="7"/>
      <c r="JP38" s="7"/>
      <c r="JQ38" s="7"/>
      <c r="JR38" s="7"/>
      <c r="JS38" s="7"/>
      <c r="JT38" s="7"/>
      <c r="JU38" s="7"/>
      <c r="JV38" s="7"/>
      <c r="JW38" s="7"/>
      <c r="JX38" s="7"/>
      <c r="JY38" s="7"/>
      <c r="JZ38" s="7"/>
      <c r="KA38" s="7"/>
      <c r="KB38" s="7"/>
      <c r="KC38" s="7"/>
      <c r="KD38" s="7"/>
      <c r="KE38" s="7"/>
      <c r="KF38" s="7"/>
      <c r="KG38" s="7"/>
      <c r="KH38" s="7"/>
      <c r="KI38" s="7"/>
      <c r="KJ38" s="7"/>
      <c r="KK38" s="7"/>
      <c r="KL38" s="7"/>
      <c r="KM38" s="7"/>
      <c r="KN38" s="7"/>
      <c r="KO38" s="7"/>
      <c r="KP38" s="7"/>
      <c r="KQ38" s="7"/>
      <c r="KR38" s="7"/>
      <c r="KS38" s="7"/>
      <c r="KT38" s="7"/>
      <c r="KU38" s="7"/>
      <c r="KV38" s="7"/>
      <c r="KW38" s="7"/>
      <c r="KX38" s="7"/>
      <c r="KY38" s="7"/>
      <c r="KZ38" s="7"/>
      <c r="LA38" s="7"/>
      <c r="LB38" s="7"/>
      <c r="LC38" s="7"/>
      <c r="LD38" s="7"/>
      <c r="LE38" s="7"/>
      <c r="LF38" s="7"/>
      <c r="LG38" s="7"/>
      <c r="LH38" s="7"/>
      <c r="LI38" s="7"/>
      <c r="LJ38" s="7"/>
      <c r="LK38" s="7"/>
      <c r="LL38" s="7"/>
      <c r="LM38" s="7"/>
      <c r="LN38" s="7"/>
      <c r="LO38" s="7"/>
      <c r="LP38" s="7"/>
      <c r="LQ38" s="7"/>
    </row>
    <row r="39" spans="1:329" s="8" customFormat="1" ht="15" customHeight="1" x14ac:dyDescent="0.25">
      <c r="A39" s="72">
        <v>1100839</v>
      </c>
      <c r="B39" s="44" t="s">
        <v>91</v>
      </c>
      <c r="C39" s="44" t="str">
        <f>VLOOKUP(A39,Artikeldaten!A:B,2,0)</f>
        <v>Gurtschlosspolster - Minikid 2 &amp; Modukid Seat [Grau]</v>
      </c>
      <c r="D39" s="45">
        <v>3</v>
      </c>
      <c r="E39" s="45">
        <f t="shared" si="0"/>
        <v>5.0420168067226889</v>
      </c>
      <c r="F39" s="45">
        <f t="shared" si="1"/>
        <v>6</v>
      </c>
      <c r="G39" s="41"/>
      <c r="H39" s="41"/>
      <c r="I39" s="35" t="s">
        <v>21</v>
      </c>
      <c r="J39" s="36"/>
      <c r="K39" s="36"/>
      <c r="L39" s="35" t="s">
        <v>21</v>
      </c>
      <c r="M39" s="36"/>
      <c r="N39" s="36"/>
      <c r="O39" s="36"/>
      <c r="P39" s="36"/>
      <c r="Q39" s="36"/>
      <c r="R39" s="42">
        <v>7350057583579</v>
      </c>
      <c r="S39" s="43" t="s">
        <v>320</v>
      </c>
      <c r="T39" s="43">
        <v>0.67</v>
      </c>
      <c r="U39" s="43">
        <v>0.45</v>
      </c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</row>
    <row r="40" spans="1:329" s="8" customFormat="1" ht="15" customHeight="1" x14ac:dyDescent="0.25">
      <c r="A40" s="72">
        <v>1100844</v>
      </c>
      <c r="B40" s="44" t="s">
        <v>93</v>
      </c>
      <c r="C40" s="44" t="str">
        <f>VLOOKUP(A40,Artikeldaten!A:B,2,0)</f>
        <v>Gurtschlosspolster - Minikid 2 &amp; Modukid Seat [Schwarz]</v>
      </c>
      <c r="D40" s="45">
        <v>3</v>
      </c>
      <c r="E40" s="45">
        <f t="shared" si="0"/>
        <v>5.0420168067226889</v>
      </c>
      <c r="F40" s="45">
        <f t="shared" si="1"/>
        <v>6</v>
      </c>
      <c r="G40" s="41"/>
      <c r="H40" s="41"/>
      <c r="I40" s="35" t="s">
        <v>21</v>
      </c>
      <c r="J40" s="36"/>
      <c r="K40" s="35" t="s">
        <v>21</v>
      </c>
      <c r="L40" s="35" t="s">
        <v>21</v>
      </c>
      <c r="M40" s="36"/>
      <c r="N40" s="35" t="s">
        <v>21</v>
      </c>
      <c r="O40" s="36"/>
      <c r="P40" s="35" t="s">
        <v>21</v>
      </c>
      <c r="Q40" s="35" t="s">
        <v>21</v>
      </c>
      <c r="R40" s="42">
        <v>7350057583586</v>
      </c>
      <c r="S40" s="43" t="s">
        <v>320</v>
      </c>
      <c r="T40" s="43">
        <v>0.67</v>
      </c>
      <c r="U40" s="43">
        <v>0.45</v>
      </c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</row>
    <row r="41" spans="1:329" s="8" customFormat="1" ht="15" customHeight="1" x14ac:dyDescent="0.25">
      <c r="A41" s="72">
        <v>1100849</v>
      </c>
      <c r="B41" s="44" t="s">
        <v>95</v>
      </c>
      <c r="C41" s="44" t="str">
        <f>VLOOKUP(A41,Artikeldaten!A:B,2,0)</f>
        <v>Gurtschlosspolster - Minikid 2 &amp; Modukid Seat [Petrol]</v>
      </c>
      <c r="D41" s="45">
        <v>3</v>
      </c>
      <c r="E41" s="45">
        <f t="shared" si="0"/>
        <v>5.0420168067226889</v>
      </c>
      <c r="F41" s="45">
        <f t="shared" si="1"/>
        <v>6</v>
      </c>
      <c r="G41" s="41"/>
      <c r="H41" s="41"/>
      <c r="I41" s="35" t="s">
        <v>21</v>
      </c>
      <c r="J41" s="36"/>
      <c r="K41" s="36"/>
      <c r="L41" s="35" t="s">
        <v>21</v>
      </c>
      <c r="M41" s="36"/>
      <c r="N41" s="36"/>
      <c r="O41" s="36"/>
      <c r="P41" s="36"/>
      <c r="Q41" s="36"/>
      <c r="R41" s="42">
        <v>7350057583593</v>
      </c>
      <c r="S41" s="43" t="s">
        <v>320</v>
      </c>
      <c r="T41" s="43">
        <v>0.67</v>
      </c>
      <c r="U41" s="43">
        <v>0.45</v>
      </c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</row>
    <row r="42" spans="1:329" s="8" customFormat="1" ht="15" customHeight="1" x14ac:dyDescent="0.25">
      <c r="A42" s="70">
        <v>1100859</v>
      </c>
      <c r="B42" s="33" t="s">
        <v>97</v>
      </c>
      <c r="C42" s="33" t="str">
        <f>VLOOKUP(A42,Artikeldaten!A:B,2,0)</f>
        <v>ASIP Befestigung - Modukid Seat</v>
      </c>
      <c r="D42" s="34">
        <v>5</v>
      </c>
      <c r="E42" s="34">
        <f t="shared" si="0"/>
        <v>8.4033613445378155</v>
      </c>
      <c r="F42" s="34">
        <f t="shared" si="1"/>
        <v>10</v>
      </c>
      <c r="G42" s="41"/>
      <c r="H42" s="41"/>
      <c r="I42" s="35"/>
      <c r="J42" s="35"/>
      <c r="K42" s="36"/>
      <c r="L42" s="35" t="s">
        <v>21</v>
      </c>
      <c r="M42" s="36"/>
      <c r="N42" s="36"/>
      <c r="O42" s="36"/>
      <c r="P42" s="36"/>
      <c r="Q42" s="36"/>
      <c r="R42" s="42">
        <v>7350057584071</v>
      </c>
      <c r="S42" s="43" t="s">
        <v>320</v>
      </c>
      <c r="T42" s="43">
        <v>0.8</v>
      </c>
      <c r="U42" s="43">
        <v>0.57999999999999996</v>
      </c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</row>
    <row r="43" spans="1:329" s="8" customFormat="1" ht="15" customHeight="1" x14ac:dyDescent="0.25">
      <c r="A43" s="70">
        <v>1100939</v>
      </c>
      <c r="B43" s="33" t="s">
        <v>99</v>
      </c>
      <c r="C43" s="33" t="str">
        <f>VLOOKUP(A43,Artikeldaten!A:B,2,0)</f>
        <v>Gurtklemme [Blau]</v>
      </c>
      <c r="D43" s="34">
        <v>3</v>
      </c>
      <c r="E43" s="34">
        <f t="shared" si="0"/>
        <v>5.0420168067226889</v>
      </c>
      <c r="F43" s="34">
        <f t="shared" si="1"/>
        <v>6</v>
      </c>
      <c r="G43" s="41"/>
      <c r="H43" s="41"/>
      <c r="I43" s="35" t="s">
        <v>21</v>
      </c>
      <c r="J43" s="35" t="s">
        <v>21</v>
      </c>
      <c r="K43" s="36"/>
      <c r="L43" s="36"/>
      <c r="M43" s="36"/>
      <c r="N43" s="36"/>
      <c r="O43" s="36"/>
      <c r="P43" s="36"/>
      <c r="Q43" s="36"/>
      <c r="R43" s="42">
        <v>7350057583890</v>
      </c>
      <c r="S43" s="43" t="s">
        <v>311</v>
      </c>
      <c r="T43" s="43">
        <v>0.34</v>
      </c>
      <c r="U43" s="43">
        <v>0.26</v>
      </c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</row>
    <row r="44" spans="1:329" s="8" customFormat="1" ht="15" customHeight="1" x14ac:dyDescent="0.25">
      <c r="A44" s="71">
        <v>1100960</v>
      </c>
      <c r="B44" s="44" t="s">
        <v>101</v>
      </c>
      <c r="C44" s="44" t="str">
        <f>VLOOKUP(A44,Artikeldaten!A:B,2,0)</f>
        <v>Stoffbezug Kopfstütze - Minikid 2 [Schwarz]</v>
      </c>
      <c r="D44" s="45">
        <v>10</v>
      </c>
      <c r="E44" s="45">
        <f t="shared" si="0"/>
        <v>16.806722689075631</v>
      </c>
      <c r="F44" s="45">
        <f t="shared" si="1"/>
        <v>20</v>
      </c>
      <c r="G44" s="41"/>
      <c r="H44" s="41"/>
      <c r="I44" s="35" t="s">
        <v>21</v>
      </c>
      <c r="J44" s="36"/>
      <c r="K44" s="36"/>
      <c r="L44" s="36"/>
      <c r="M44" s="36"/>
      <c r="N44" s="36"/>
      <c r="O44" s="36"/>
      <c r="P44" s="36"/>
      <c r="Q44" s="36"/>
      <c r="R44" s="42">
        <v>7350057583661</v>
      </c>
      <c r="S44" s="43" t="s">
        <v>326</v>
      </c>
      <c r="T44" s="43">
        <v>0.45</v>
      </c>
      <c r="U44" s="43">
        <v>0.24</v>
      </c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</row>
    <row r="45" spans="1:329" s="8" customFormat="1" ht="15" customHeight="1" x14ac:dyDescent="0.25">
      <c r="A45" s="71">
        <v>1100961</v>
      </c>
      <c r="B45" s="46" t="s">
        <v>103</v>
      </c>
      <c r="C45" s="44" t="str">
        <f>VLOOKUP(A45,Artikeldaten!A:B,2,0)</f>
        <v>Stoffbezug - Minikid 2 [Rot]</v>
      </c>
      <c r="D45" s="45">
        <v>50</v>
      </c>
      <c r="E45" s="45">
        <f t="shared" si="0"/>
        <v>84.033613445378151</v>
      </c>
      <c r="F45" s="45">
        <f t="shared" si="1"/>
        <v>100</v>
      </c>
      <c r="G45" s="41"/>
      <c r="H45" s="41"/>
      <c r="I45" s="35" t="s">
        <v>21</v>
      </c>
      <c r="J45" s="36"/>
      <c r="K45" s="36"/>
      <c r="L45" s="36"/>
      <c r="M45" s="36"/>
      <c r="N45" s="36"/>
      <c r="O45" s="36"/>
      <c r="P45" s="36"/>
      <c r="Q45" s="36"/>
      <c r="R45" s="42">
        <v>7350057583111</v>
      </c>
      <c r="S45" s="43" t="s">
        <v>313</v>
      </c>
      <c r="T45" s="43">
        <v>3.3</v>
      </c>
      <c r="U45" s="43">
        <v>2.5499999999999998</v>
      </c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</row>
    <row r="46" spans="1:329" s="8" customFormat="1" ht="15" customHeight="1" x14ac:dyDescent="0.25">
      <c r="A46" s="71">
        <v>1101175</v>
      </c>
      <c r="B46" s="44" t="s">
        <v>105</v>
      </c>
      <c r="C46" s="44" t="str">
        <f>VLOOKUP(A46,Artikeldaten!A:B,2,0)</f>
        <v xml:space="preserve">ASIP [Seitenaufprallschutz] - Minikid 2 &amp; Modukid Seat                      </v>
      </c>
      <c r="D46" s="45">
        <v>8</v>
      </c>
      <c r="E46" s="45">
        <f t="shared" si="0"/>
        <v>13.445378151260504</v>
      </c>
      <c r="F46" s="45">
        <f t="shared" si="1"/>
        <v>16</v>
      </c>
      <c r="G46" s="41"/>
      <c r="H46" s="41"/>
      <c r="I46" s="35" t="s">
        <v>21</v>
      </c>
      <c r="J46" s="36"/>
      <c r="K46" s="36"/>
      <c r="L46" s="35" t="s">
        <v>21</v>
      </c>
      <c r="M46" s="36"/>
      <c r="N46" s="35"/>
      <c r="O46" s="36"/>
      <c r="P46" s="36"/>
      <c r="Q46" s="36"/>
      <c r="R46" s="42">
        <v>7350057584057</v>
      </c>
      <c r="S46" s="43" t="s">
        <v>320</v>
      </c>
      <c r="T46" s="43">
        <v>0.78</v>
      </c>
      <c r="U46" s="43">
        <v>0.56999999999999995</v>
      </c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</row>
    <row r="47" spans="1:329" s="8" customFormat="1" ht="15" customHeight="1" x14ac:dyDescent="0.25">
      <c r="A47" s="71">
        <v>1101176</v>
      </c>
      <c r="B47" s="46" t="s">
        <v>107</v>
      </c>
      <c r="C47" s="44" t="str">
        <f>VLOOKUP(A47,Artikeldaten!A:B,2,0)</f>
        <v xml:space="preserve">Stoffbezug - Minikid 2 [Grau]            </v>
      </c>
      <c r="D47" s="45">
        <v>50</v>
      </c>
      <c r="E47" s="45">
        <f t="shared" si="0"/>
        <v>84.033613445378151</v>
      </c>
      <c r="F47" s="45">
        <f t="shared" si="1"/>
        <v>100</v>
      </c>
      <c r="G47" s="41"/>
      <c r="H47" s="41"/>
      <c r="I47" s="35" t="s">
        <v>21</v>
      </c>
      <c r="J47" s="36"/>
      <c r="K47" s="36"/>
      <c r="L47" s="36"/>
      <c r="M47" s="36"/>
      <c r="N47" s="36"/>
      <c r="O47" s="36"/>
      <c r="P47" s="36"/>
      <c r="Q47" s="36"/>
      <c r="R47" s="42">
        <v>7350057583128</v>
      </c>
      <c r="S47" s="43" t="s">
        <v>313</v>
      </c>
      <c r="T47" s="43">
        <v>3.3</v>
      </c>
      <c r="U47" s="43">
        <v>2.52</v>
      </c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</row>
    <row r="48" spans="1:329" s="8" customFormat="1" ht="15" customHeight="1" x14ac:dyDescent="0.25">
      <c r="A48" s="71">
        <v>1101177</v>
      </c>
      <c r="B48" s="46" t="s">
        <v>109</v>
      </c>
      <c r="C48" s="44" t="str">
        <f>VLOOKUP(A48,Artikeldaten!A:B,2,0)</f>
        <v xml:space="preserve">Stoffbezug - Minikid 2 [Schwarz]            </v>
      </c>
      <c r="D48" s="45">
        <v>50</v>
      </c>
      <c r="E48" s="45">
        <f t="shared" si="0"/>
        <v>84.033613445378151</v>
      </c>
      <c r="F48" s="45">
        <f t="shared" si="1"/>
        <v>100</v>
      </c>
      <c r="G48" s="41"/>
      <c r="H48" s="41"/>
      <c r="I48" s="35" t="s">
        <v>21</v>
      </c>
      <c r="J48" s="36"/>
      <c r="K48" s="36"/>
      <c r="L48" s="36"/>
      <c r="M48" s="36"/>
      <c r="N48" s="36"/>
      <c r="O48" s="36"/>
      <c r="P48" s="36"/>
      <c r="Q48" s="36"/>
      <c r="R48" s="42">
        <v>7350057583135</v>
      </c>
      <c r="S48" s="43" t="s">
        <v>313</v>
      </c>
      <c r="T48" s="43">
        <v>3.3</v>
      </c>
      <c r="U48" s="43">
        <v>2.52</v>
      </c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</row>
    <row r="49" spans="1:329" s="8" customFormat="1" ht="15" customHeight="1" x14ac:dyDescent="0.25">
      <c r="A49" s="71">
        <v>1101179</v>
      </c>
      <c r="B49" s="46" t="s">
        <v>111</v>
      </c>
      <c r="C49" s="44" t="str">
        <f>VLOOKUP(A49,Artikeldaten!A:B,2,0)</f>
        <v>Stoffbezug - Minikid 2 [Olivegrün]</v>
      </c>
      <c r="D49" s="45">
        <v>50</v>
      </c>
      <c r="E49" s="45">
        <f t="shared" si="0"/>
        <v>84.033613445378151</v>
      </c>
      <c r="F49" s="45">
        <f t="shared" si="1"/>
        <v>100</v>
      </c>
      <c r="G49" s="41"/>
      <c r="H49" s="41"/>
      <c r="I49" s="35" t="s">
        <v>21</v>
      </c>
      <c r="J49" s="36"/>
      <c r="K49" s="36"/>
      <c r="L49" s="36"/>
      <c r="M49" s="36"/>
      <c r="N49" s="36"/>
      <c r="O49" s="36"/>
      <c r="P49" s="36"/>
      <c r="Q49" s="36"/>
      <c r="R49" s="42">
        <v>7350057583159</v>
      </c>
      <c r="S49" s="43" t="s">
        <v>313</v>
      </c>
      <c r="T49" s="43">
        <v>3.3</v>
      </c>
      <c r="U49" s="43">
        <v>2.52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</row>
    <row r="50" spans="1:329" s="8" customFormat="1" ht="15" customHeight="1" x14ac:dyDescent="0.25">
      <c r="A50" s="71">
        <v>1101180</v>
      </c>
      <c r="B50" s="46" t="s">
        <v>113</v>
      </c>
      <c r="C50" s="44" t="str">
        <f>VLOOKUP(A50,Artikeldaten!A:B,2,0)</f>
        <v>Stoffbezug - Minikid 2 [Petrol]</v>
      </c>
      <c r="D50" s="45">
        <v>50</v>
      </c>
      <c r="E50" s="45">
        <f t="shared" si="0"/>
        <v>84.033613445378151</v>
      </c>
      <c r="F50" s="45">
        <f t="shared" si="1"/>
        <v>100</v>
      </c>
      <c r="G50" s="41"/>
      <c r="H50" s="41"/>
      <c r="I50" s="35" t="s">
        <v>21</v>
      </c>
      <c r="J50" s="36"/>
      <c r="K50" s="36"/>
      <c r="L50" s="36"/>
      <c r="M50" s="36"/>
      <c r="N50" s="36"/>
      <c r="O50" s="36"/>
      <c r="P50" s="36"/>
      <c r="Q50" s="36"/>
      <c r="R50" s="42">
        <v>7350057583166</v>
      </c>
      <c r="S50" s="43" t="s">
        <v>313</v>
      </c>
      <c r="T50" s="43">
        <v>3.3</v>
      </c>
      <c r="U50" s="43">
        <v>2.52</v>
      </c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</row>
    <row r="51" spans="1:329" s="8" customFormat="1" ht="15" customHeight="1" x14ac:dyDescent="0.25">
      <c r="A51" s="71">
        <v>1101181</v>
      </c>
      <c r="B51" s="44" t="s">
        <v>115</v>
      </c>
      <c r="C51" s="44" t="str">
        <f>VLOOKUP(A51,Artikeldaten!A:B,2,0)</f>
        <v>Stoffbezug - Minikid 2 [Rosa]</v>
      </c>
      <c r="D51" s="45">
        <v>50</v>
      </c>
      <c r="E51" s="45">
        <f t="shared" si="0"/>
        <v>84.033613445378151</v>
      </c>
      <c r="F51" s="45">
        <f t="shared" si="1"/>
        <v>100</v>
      </c>
      <c r="G51" s="41"/>
      <c r="H51" s="41"/>
      <c r="I51" s="35" t="s">
        <v>21</v>
      </c>
      <c r="J51" s="36"/>
      <c r="K51" s="36"/>
      <c r="L51" s="36"/>
      <c r="M51" s="36"/>
      <c r="N51" s="36"/>
      <c r="O51" s="36"/>
      <c r="P51" s="36"/>
      <c r="Q51" s="36"/>
      <c r="R51" s="42">
        <v>7350057583173</v>
      </c>
      <c r="S51" s="43" t="s">
        <v>313</v>
      </c>
      <c r="T51" s="43">
        <v>3.3</v>
      </c>
      <c r="U51" s="43">
        <v>2.52</v>
      </c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</row>
    <row r="52" spans="1:329" s="8" customFormat="1" ht="15" customHeight="1" x14ac:dyDescent="0.25">
      <c r="A52" s="72">
        <v>1101184</v>
      </c>
      <c r="B52" s="44" t="s">
        <v>117</v>
      </c>
      <c r="C52" s="44" t="str">
        <f>VLOOKUP(A52,Artikeldaten!A:B,2,0)</f>
        <v>Gurtschlosspolster - Minikid 2 [Olivegrün]</v>
      </c>
      <c r="D52" s="45">
        <v>3</v>
      </c>
      <c r="E52" s="45">
        <f t="shared" si="0"/>
        <v>5.0420168067226889</v>
      </c>
      <c r="F52" s="45">
        <f t="shared" si="1"/>
        <v>6</v>
      </c>
      <c r="G52" s="41"/>
      <c r="H52" s="41"/>
      <c r="I52" s="35" t="s">
        <v>21</v>
      </c>
      <c r="J52" s="36"/>
      <c r="K52" s="36"/>
      <c r="L52" s="35"/>
      <c r="M52" s="36"/>
      <c r="N52" s="36"/>
      <c r="O52" s="36"/>
      <c r="P52" s="36"/>
      <c r="Q52" s="36"/>
      <c r="R52" s="42">
        <v>7350057583623</v>
      </c>
      <c r="S52" s="43" t="s">
        <v>320</v>
      </c>
      <c r="T52" s="43">
        <v>0.62</v>
      </c>
      <c r="U52" s="43">
        <v>0.41</v>
      </c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</row>
    <row r="53" spans="1:329" s="8" customFormat="1" ht="15" customHeight="1" x14ac:dyDescent="0.25">
      <c r="A53" s="71">
        <v>1101190</v>
      </c>
      <c r="B53" s="44" t="s">
        <v>119</v>
      </c>
      <c r="C53" s="44" t="str">
        <f>VLOOKUP(A53,Artikeldaten!A:B,2,0)</f>
        <v xml:space="preserve">Schulterpolster Set - Minikid 2 [Rot]                </v>
      </c>
      <c r="D53" s="45">
        <v>10</v>
      </c>
      <c r="E53" s="45">
        <f t="shared" si="0"/>
        <v>16.806722689075631</v>
      </c>
      <c r="F53" s="45">
        <f t="shared" si="1"/>
        <v>20</v>
      </c>
      <c r="G53" s="41"/>
      <c r="H53" s="41"/>
      <c r="I53" s="35" t="s">
        <v>21</v>
      </c>
      <c r="J53" s="36"/>
      <c r="K53" s="36"/>
      <c r="L53" s="36"/>
      <c r="M53" s="36"/>
      <c r="N53" s="36"/>
      <c r="O53" s="36"/>
      <c r="P53" s="36"/>
      <c r="Q53" s="36"/>
      <c r="R53" s="42">
        <v>7350057583463</v>
      </c>
      <c r="S53" s="43" t="s">
        <v>316</v>
      </c>
      <c r="T53" s="43">
        <v>0.7</v>
      </c>
      <c r="U53" s="43">
        <v>0.5</v>
      </c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</row>
    <row r="54" spans="1:329" s="8" customFormat="1" ht="15" customHeight="1" x14ac:dyDescent="0.25">
      <c r="A54" s="71">
        <v>1101191</v>
      </c>
      <c r="B54" s="44" t="s">
        <v>121</v>
      </c>
      <c r="C54" s="44" t="str">
        <f>VLOOKUP(A54,Artikeldaten!A:B,2,0)</f>
        <v xml:space="preserve">Schulterpolster Set - Minikid 2 [Grau]                </v>
      </c>
      <c r="D54" s="45">
        <v>10</v>
      </c>
      <c r="E54" s="45">
        <f t="shared" si="0"/>
        <v>16.806722689075631</v>
      </c>
      <c r="F54" s="45">
        <f t="shared" si="1"/>
        <v>20</v>
      </c>
      <c r="G54" s="41"/>
      <c r="H54" s="41"/>
      <c r="I54" s="35" t="s">
        <v>21</v>
      </c>
      <c r="J54" s="36"/>
      <c r="K54" s="36"/>
      <c r="L54" s="36"/>
      <c r="M54" s="36"/>
      <c r="N54" s="36"/>
      <c r="O54" s="36"/>
      <c r="P54" s="36"/>
      <c r="Q54" s="36"/>
      <c r="R54" s="42">
        <v>7350057583470</v>
      </c>
      <c r="S54" s="43" t="s">
        <v>311</v>
      </c>
      <c r="T54" s="43">
        <v>0.23</v>
      </c>
      <c r="U54" s="43">
        <v>0.17</v>
      </c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</row>
    <row r="55" spans="1:329" s="8" customFormat="1" ht="15" customHeight="1" x14ac:dyDescent="0.25">
      <c r="A55" s="71">
        <v>1101192</v>
      </c>
      <c r="B55" s="44" t="s">
        <v>123</v>
      </c>
      <c r="C55" s="44" t="str">
        <f>VLOOKUP(A55,Artikeldaten!A:B,2,0)</f>
        <v xml:space="preserve">Schulterpolster Set - Minikid 2 [Schwarz]                </v>
      </c>
      <c r="D55" s="45">
        <v>10</v>
      </c>
      <c r="E55" s="45">
        <f t="shared" si="0"/>
        <v>16.806722689075631</v>
      </c>
      <c r="F55" s="45">
        <f t="shared" si="1"/>
        <v>20</v>
      </c>
      <c r="G55" s="41"/>
      <c r="H55" s="41"/>
      <c r="I55" s="35" t="s">
        <v>21</v>
      </c>
      <c r="J55" s="36"/>
      <c r="K55" s="36"/>
      <c r="L55" s="36"/>
      <c r="M55" s="36"/>
      <c r="N55" s="36"/>
      <c r="O55" s="36"/>
      <c r="P55" s="36"/>
      <c r="Q55" s="36"/>
      <c r="R55" s="42">
        <v>7350057583487</v>
      </c>
      <c r="S55" s="43" t="s">
        <v>311</v>
      </c>
      <c r="T55" s="43">
        <v>0.23</v>
      </c>
      <c r="U55" s="43">
        <v>0.17</v>
      </c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</row>
    <row r="56" spans="1:329" s="8" customFormat="1" ht="15" customHeight="1" x14ac:dyDescent="0.25">
      <c r="A56" s="71">
        <v>1101194</v>
      </c>
      <c r="B56" s="44" t="s">
        <v>125</v>
      </c>
      <c r="C56" s="44" t="str">
        <f>VLOOKUP(A56,Artikeldaten!A:B,2,0)</f>
        <v xml:space="preserve">Schulterpolster Set - Minikid 2 [Olivegrün]                </v>
      </c>
      <c r="D56" s="45">
        <v>10</v>
      </c>
      <c r="E56" s="45">
        <f t="shared" si="0"/>
        <v>16.806722689075631</v>
      </c>
      <c r="F56" s="45">
        <f t="shared" si="1"/>
        <v>20</v>
      </c>
      <c r="G56" s="41"/>
      <c r="H56" s="41"/>
      <c r="I56" s="35" t="s">
        <v>21</v>
      </c>
      <c r="J56" s="36"/>
      <c r="K56" s="36"/>
      <c r="L56" s="36"/>
      <c r="M56" s="36"/>
      <c r="N56" s="36"/>
      <c r="O56" s="36"/>
      <c r="P56" s="36"/>
      <c r="Q56" s="36"/>
      <c r="R56" s="42">
        <v>7350057583500</v>
      </c>
      <c r="S56" s="43" t="s">
        <v>311</v>
      </c>
      <c r="T56" s="43">
        <v>0.23</v>
      </c>
      <c r="U56" s="43">
        <v>0.17</v>
      </c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</row>
    <row r="57" spans="1:329" s="8" customFormat="1" ht="15" customHeight="1" x14ac:dyDescent="0.25">
      <c r="A57" s="71">
        <v>1101195</v>
      </c>
      <c r="B57" s="44" t="s">
        <v>127</v>
      </c>
      <c r="C57" s="44" t="str">
        <f>VLOOKUP(A57,Artikeldaten!A:B,2,0)</f>
        <v xml:space="preserve">Schulterpolster Set - Minikid 2 [Petrol]                </v>
      </c>
      <c r="D57" s="45">
        <v>10</v>
      </c>
      <c r="E57" s="45">
        <f t="shared" si="0"/>
        <v>16.806722689075631</v>
      </c>
      <c r="F57" s="45">
        <f t="shared" si="1"/>
        <v>20</v>
      </c>
      <c r="G57" s="41"/>
      <c r="H57" s="41"/>
      <c r="I57" s="35" t="s">
        <v>21</v>
      </c>
      <c r="J57" s="36"/>
      <c r="K57" s="36"/>
      <c r="L57" s="36"/>
      <c r="M57" s="36"/>
      <c r="N57" s="36"/>
      <c r="O57" s="36"/>
      <c r="P57" s="36"/>
      <c r="Q57" s="36"/>
      <c r="R57" s="42">
        <v>7350057583517</v>
      </c>
      <c r="S57" s="43" t="s">
        <v>311</v>
      </c>
      <c r="T57" s="43">
        <v>0.23</v>
      </c>
      <c r="U57" s="43">
        <v>0.17</v>
      </c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</row>
    <row r="58" spans="1:329" s="8" customFormat="1" ht="15" customHeight="1" x14ac:dyDescent="0.25">
      <c r="A58" s="70">
        <v>1101197</v>
      </c>
      <c r="B58" s="33" t="s">
        <v>129</v>
      </c>
      <c r="C58" s="33" t="str">
        <f>VLOOKUP(A58,Artikeldaten!A:B,2,0)</f>
        <v>Kopfstütze Rückenplatte - Minikid, Modukid Seat, Rekid, Duofix &amp; Kidzone</v>
      </c>
      <c r="D58" s="34">
        <v>10</v>
      </c>
      <c r="E58" s="34">
        <f t="shared" si="0"/>
        <v>16.806722689075631</v>
      </c>
      <c r="F58" s="34">
        <f t="shared" si="1"/>
        <v>20</v>
      </c>
      <c r="G58" s="41"/>
      <c r="H58" s="41"/>
      <c r="I58" s="35" t="s">
        <v>21</v>
      </c>
      <c r="J58" s="35"/>
      <c r="K58" s="35" t="s">
        <v>21</v>
      </c>
      <c r="L58" s="35" t="s">
        <v>21</v>
      </c>
      <c r="M58" s="36"/>
      <c r="N58" s="35" t="s">
        <v>21</v>
      </c>
      <c r="O58" s="35"/>
      <c r="P58" s="35" t="s">
        <v>21</v>
      </c>
      <c r="Q58" s="35" t="s">
        <v>21</v>
      </c>
      <c r="R58" s="42">
        <v>7350057583807</v>
      </c>
      <c r="S58" s="43" t="s">
        <v>327</v>
      </c>
      <c r="T58" s="43">
        <v>0.25</v>
      </c>
      <c r="U58" s="43">
        <v>0.12</v>
      </c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7"/>
      <c r="BG58" s="7"/>
      <c r="BH58" s="7"/>
      <c r="BI58" s="7"/>
      <c r="BJ58" s="7"/>
      <c r="BK58" s="7"/>
      <c r="BL58" s="7"/>
      <c r="BM58" s="7"/>
      <c r="BN58" s="7"/>
      <c r="BO58" s="7"/>
      <c r="BP58" s="7"/>
      <c r="BQ58" s="7"/>
      <c r="BR58" s="7"/>
      <c r="BS58" s="7"/>
      <c r="BT58" s="7"/>
      <c r="BU58" s="7"/>
      <c r="BV58" s="7"/>
      <c r="BW58" s="7"/>
      <c r="BX58" s="7"/>
      <c r="BY58" s="7"/>
      <c r="BZ58" s="7"/>
      <c r="CA58" s="7"/>
      <c r="CB58" s="7"/>
      <c r="CC58" s="7"/>
      <c r="CD58" s="7"/>
      <c r="CE58" s="7"/>
      <c r="CF58" s="7"/>
      <c r="CG58" s="7"/>
      <c r="CH58" s="7"/>
      <c r="CI58" s="7"/>
      <c r="CJ58" s="7"/>
      <c r="CK58" s="7"/>
      <c r="CL58" s="7"/>
      <c r="CM58" s="7"/>
      <c r="CN58" s="7"/>
      <c r="CO58" s="7"/>
      <c r="CP58" s="7"/>
      <c r="CQ58" s="7"/>
      <c r="CR58" s="7"/>
      <c r="CS58" s="7"/>
      <c r="CT58" s="7"/>
      <c r="CU58" s="7"/>
      <c r="CV58" s="7"/>
      <c r="CW58" s="7"/>
      <c r="CX58" s="7"/>
      <c r="CY58" s="7"/>
      <c r="CZ58" s="7"/>
      <c r="DA58" s="7"/>
      <c r="DB58" s="7"/>
      <c r="DC58" s="7"/>
      <c r="DD58" s="7"/>
      <c r="DE58" s="7"/>
      <c r="DF58" s="7"/>
      <c r="DG58" s="7"/>
      <c r="DH58" s="7"/>
      <c r="DI58" s="7"/>
      <c r="DJ58" s="7"/>
      <c r="DK58" s="7"/>
      <c r="DL58" s="7"/>
      <c r="DM58" s="7"/>
      <c r="DN58" s="7"/>
      <c r="DO58" s="7"/>
      <c r="DP58" s="7"/>
      <c r="DQ58" s="7"/>
      <c r="DR58" s="7"/>
      <c r="DS58" s="7"/>
      <c r="DT58" s="7"/>
      <c r="DU58" s="7"/>
      <c r="DV58" s="7"/>
      <c r="DW58" s="7"/>
      <c r="DX58" s="7"/>
      <c r="DY58" s="7"/>
      <c r="DZ58" s="7"/>
      <c r="EA58" s="7"/>
      <c r="EB58" s="7"/>
      <c r="EC58" s="7"/>
      <c r="ED58" s="7"/>
      <c r="EE58" s="7"/>
      <c r="EF58" s="7"/>
      <c r="EG58" s="7"/>
      <c r="EH58" s="7"/>
      <c r="EI58" s="7"/>
      <c r="EJ58" s="7"/>
      <c r="EK58" s="7"/>
      <c r="EL58" s="7"/>
      <c r="EM58" s="7"/>
      <c r="EN58" s="7"/>
      <c r="EO58" s="7"/>
      <c r="EP58" s="7"/>
      <c r="EQ58" s="7"/>
      <c r="ER58" s="7"/>
      <c r="ES58" s="7"/>
      <c r="ET58" s="7"/>
      <c r="EU58" s="7"/>
      <c r="EV58" s="7"/>
      <c r="EW58" s="7"/>
      <c r="EX58" s="7"/>
      <c r="EY58" s="7"/>
      <c r="EZ58" s="7"/>
      <c r="FA58" s="7"/>
      <c r="FB58" s="7"/>
      <c r="FC58" s="7"/>
      <c r="FD58" s="7"/>
      <c r="FE58" s="7"/>
      <c r="FF58" s="7"/>
      <c r="FG58" s="7"/>
      <c r="FH58" s="7"/>
      <c r="FI58" s="7"/>
      <c r="FJ58" s="7"/>
      <c r="FK58" s="7"/>
      <c r="FL58" s="7"/>
      <c r="FM58" s="7"/>
      <c r="FN58" s="7"/>
      <c r="FO58" s="7"/>
      <c r="FP58" s="7"/>
      <c r="FQ58" s="7"/>
      <c r="FR58" s="7"/>
      <c r="FS58" s="7"/>
      <c r="FT58" s="7"/>
      <c r="FU58" s="7"/>
      <c r="FV58" s="7"/>
      <c r="FW58" s="7"/>
      <c r="FX58" s="7"/>
      <c r="FY58" s="7"/>
      <c r="FZ58" s="7"/>
      <c r="GA58" s="7"/>
      <c r="GB58" s="7"/>
      <c r="GC58" s="7"/>
      <c r="GD58" s="7"/>
      <c r="GE58" s="7"/>
      <c r="GF58" s="7"/>
      <c r="GG58" s="7"/>
      <c r="GH58" s="7"/>
      <c r="GI58" s="7"/>
      <c r="GJ58" s="7"/>
      <c r="GK58" s="7"/>
      <c r="GL58" s="7"/>
      <c r="GM58" s="7"/>
      <c r="GN58" s="7"/>
      <c r="GO58" s="7"/>
      <c r="GP58" s="7"/>
      <c r="GQ58" s="7"/>
      <c r="GR58" s="7"/>
      <c r="GS58" s="7"/>
      <c r="GT58" s="7"/>
      <c r="GU58" s="7"/>
      <c r="GV58" s="7"/>
      <c r="GW58" s="7"/>
      <c r="GX58" s="7"/>
      <c r="GY58" s="7"/>
      <c r="GZ58" s="7"/>
      <c r="HA58" s="7"/>
      <c r="HB58" s="7"/>
      <c r="HC58" s="7"/>
      <c r="HD58" s="7"/>
      <c r="HE58" s="7"/>
      <c r="HF58" s="7"/>
      <c r="HG58" s="7"/>
      <c r="HH58" s="7"/>
      <c r="HI58" s="7"/>
      <c r="HJ58" s="7"/>
      <c r="HK58" s="7"/>
      <c r="HL58" s="7"/>
      <c r="HM58" s="7"/>
      <c r="HN58" s="7"/>
      <c r="HO58" s="7"/>
      <c r="HP58" s="7"/>
      <c r="HQ58" s="7"/>
      <c r="HR58" s="7"/>
      <c r="HS58" s="7"/>
      <c r="HT58" s="7"/>
      <c r="HU58" s="7"/>
      <c r="HV58" s="7"/>
      <c r="HW58" s="7"/>
      <c r="HX58" s="7"/>
      <c r="HY58" s="7"/>
      <c r="HZ58" s="7"/>
      <c r="IA58" s="7"/>
      <c r="IB58" s="7"/>
      <c r="IC58" s="7"/>
      <c r="ID58" s="7"/>
      <c r="IE58" s="7"/>
      <c r="IF58" s="7"/>
      <c r="IG58" s="7"/>
      <c r="IH58" s="7"/>
      <c r="II58" s="7"/>
      <c r="IJ58" s="7"/>
      <c r="IK58" s="7"/>
      <c r="IL58" s="7"/>
      <c r="IM58" s="7"/>
      <c r="IN58" s="7"/>
      <c r="IO58" s="7"/>
      <c r="IP58" s="7"/>
      <c r="IQ58" s="7"/>
      <c r="IR58" s="7"/>
      <c r="IS58" s="7"/>
      <c r="IT58" s="7"/>
      <c r="IU58" s="7"/>
      <c r="IV58" s="7"/>
      <c r="IW58" s="7"/>
      <c r="IX58" s="7"/>
      <c r="IY58" s="7"/>
      <c r="IZ58" s="7"/>
      <c r="JA58" s="7"/>
      <c r="JB58" s="7"/>
      <c r="JC58" s="7"/>
      <c r="JD58" s="7"/>
      <c r="JE58" s="7"/>
      <c r="JF58" s="7"/>
      <c r="JG58" s="7"/>
      <c r="JH58" s="7"/>
      <c r="JI58" s="7"/>
      <c r="JJ58" s="7"/>
      <c r="JK58" s="7"/>
      <c r="JL58" s="7"/>
      <c r="JM58" s="7"/>
      <c r="JN58" s="7"/>
      <c r="JO58" s="7"/>
      <c r="JP58" s="7"/>
      <c r="JQ58" s="7"/>
      <c r="JR58" s="7"/>
      <c r="JS58" s="7"/>
      <c r="JT58" s="7"/>
      <c r="JU58" s="7"/>
      <c r="JV58" s="7"/>
      <c r="JW58" s="7"/>
      <c r="JX58" s="7"/>
      <c r="JY58" s="7"/>
      <c r="JZ58" s="7"/>
      <c r="KA58" s="7"/>
      <c r="KB58" s="7"/>
      <c r="KC58" s="7"/>
      <c r="KD58" s="7"/>
      <c r="KE58" s="7"/>
      <c r="KF58" s="7"/>
      <c r="KG58" s="7"/>
      <c r="KH58" s="7"/>
      <c r="KI58" s="7"/>
      <c r="KJ58" s="7"/>
      <c r="KK58" s="7"/>
      <c r="KL58" s="7"/>
      <c r="KM58" s="7"/>
      <c r="KN58" s="7"/>
      <c r="KO58" s="7"/>
      <c r="KP58" s="7"/>
      <c r="KQ58" s="7"/>
      <c r="KR58" s="7"/>
      <c r="KS58" s="7"/>
      <c r="KT58" s="7"/>
      <c r="KU58" s="7"/>
      <c r="KV58" s="7"/>
      <c r="KW58" s="7"/>
      <c r="KX58" s="7"/>
      <c r="KY58" s="7"/>
      <c r="KZ58" s="7"/>
      <c r="LA58" s="7"/>
      <c r="LB58" s="7"/>
      <c r="LC58" s="7"/>
      <c r="LD58" s="7"/>
      <c r="LE58" s="7"/>
      <c r="LF58" s="7"/>
      <c r="LG58" s="7"/>
      <c r="LH58" s="7"/>
      <c r="LI58" s="7"/>
      <c r="LJ58" s="7"/>
      <c r="LK58" s="7"/>
      <c r="LL58" s="7"/>
      <c r="LM58" s="7"/>
      <c r="LN58" s="7"/>
      <c r="LO58" s="7"/>
      <c r="LP58" s="7"/>
      <c r="LQ58" s="7"/>
    </row>
    <row r="59" spans="1:329" s="8" customFormat="1" ht="15" customHeight="1" x14ac:dyDescent="0.25">
      <c r="A59" s="71">
        <v>1101216</v>
      </c>
      <c r="B59" s="46" t="s">
        <v>131</v>
      </c>
      <c r="C59" s="44" t="str">
        <f>VLOOKUP(A59,Artikeldaten!A:B,2,0)</f>
        <v>Stoffbezug - Minikid 1 [Rot]</v>
      </c>
      <c r="D59" s="45">
        <v>50</v>
      </c>
      <c r="E59" s="45">
        <f t="shared" si="0"/>
        <v>84.033613445378151</v>
      </c>
      <c r="F59" s="45">
        <f t="shared" si="1"/>
        <v>100</v>
      </c>
      <c r="G59" s="41"/>
      <c r="H59" s="41"/>
      <c r="I59" s="36"/>
      <c r="J59" s="36"/>
      <c r="K59" s="36"/>
      <c r="L59" s="36"/>
      <c r="M59" s="36"/>
      <c r="N59" s="35" t="s">
        <v>21</v>
      </c>
      <c r="O59" s="36"/>
      <c r="P59" s="36"/>
      <c r="Q59" s="36"/>
      <c r="R59" s="42">
        <v>7350057583180</v>
      </c>
      <c r="S59" s="43" t="s">
        <v>313</v>
      </c>
      <c r="T59" s="43">
        <v>3.4</v>
      </c>
      <c r="U59" s="43">
        <v>2.62</v>
      </c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</row>
    <row r="60" spans="1:329" s="7" customFormat="1" ht="15" customHeight="1" x14ac:dyDescent="0.25">
      <c r="A60" s="71">
        <v>1101217</v>
      </c>
      <c r="B60" s="46" t="s">
        <v>133</v>
      </c>
      <c r="C60" s="44" t="str">
        <f>VLOOKUP(A60,Artikeldaten!A:B,2,0)</f>
        <v>Stoffbezug - Minikid 1 [Grau]</v>
      </c>
      <c r="D60" s="45">
        <v>50</v>
      </c>
      <c r="E60" s="45">
        <f t="shared" si="0"/>
        <v>84.033613445378151</v>
      </c>
      <c r="F60" s="45">
        <f t="shared" si="1"/>
        <v>100</v>
      </c>
      <c r="G60" s="41"/>
      <c r="H60" s="41"/>
      <c r="I60" s="36"/>
      <c r="J60" s="36"/>
      <c r="K60" s="36"/>
      <c r="L60" s="36"/>
      <c r="M60" s="36"/>
      <c r="N60" s="35" t="s">
        <v>21</v>
      </c>
      <c r="O60" s="36"/>
      <c r="P60" s="36"/>
      <c r="Q60" s="36"/>
      <c r="R60" s="42">
        <v>7350057583197</v>
      </c>
      <c r="S60" s="43" t="s">
        <v>313</v>
      </c>
      <c r="T60" s="43">
        <v>3.4</v>
      </c>
      <c r="U60" s="43">
        <v>2.62</v>
      </c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  <c r="BI60" s="8"/>
      <c r="BJ60" s="8"/>
      <c r="BK60" s="8"/>
      <c r="BL60" s="8"/>
      <c r="BM60" s="8"/>
      <c r="BN60" s="8"/>
      <c r="BO60" s="8"/>
      <c r="BP60" s="8"/>
      <c r="BQ60" s="8"/>
      <c r="BR60" s="8"/>
      <c r="BS60" s="8"/>
      <c r="BT60" s="8"/>
      <c r="BU60" s="8"/>
      <c r="BV60" s="8"/>
      <c r="BW60" s="8"/>
      <c r="BX60" s="8"/>
      <c r="BY60" s="8"/>
      <c r="BZ60" s="8"/>
      <c r="CA60" s="8"/>
      <c r="CB60" s="8"/>
      <c r="CC60" s="8"/>
      <c r="CD60" s="8"/>
      <c r="CE60" s="8"/>
      <c r="CF60" s="8"/>
      <c r="CG60" s="8"/>
      <c r="CH60" s="8"/>
      <c r="CI60" s="8"/>
      <c r="CJ60" s="8"/>
      <c r="CK60" s="8"/>
      <c r="CL60" s="8"/>
      <c r="CM60" s="8"/>
      <c r="CN60" s="8"/>
      <c r="CO60" s="8"/>
      <c r="CP60" s="8"/>
      <c r="CQ60" s="8"/>
      <c r="CR60" s="8"/>
      <c r="CS60" s="8"/>
      <c r="CT60" s="8"/>
      <c r="CU60" s="8"/>
      <c r="CV60" s="8"/>
      <c r="CW60" s="8"/>
      <c r="CX60" s="8"/>
      <c r="CY60" s="8"/>
      <c r="CZ60" s="8"/>
      <c r="DA60" s="8"/>
      <c r="DB60" s="8"/>
      <c r="DC60" s="8"/>
      <c r="DD60" s="8"/>
      <c r="DE60" s="8"/>
      <c r="DF60" s="8"/>
      <c r="DG60" s="8"/>
      <c r="DH60" s="8"/>
      <c r="DI60" s="8"/>
      <c r="DJ60" s="8"/>
      <c r="DK60" s="8"/>
      <c r="DL60" s="8"/>
      <c r="DM60" s="8"/>
      <c r="DN60" s="8"/>
      <c r="DO60" s="8"/>
      <c r="DP60" s="8"/>
      <c r="DQ60" s="8"/>
      <c r="DR60" s="8"/>
      <c r="DS60" s="8"/>
      <c r="DT60" s="8"/>
      <c r="DU60" s="8"/>
      <c r="DV60" s="8"/>
      <c r="DW60" s="8"/>
      <c r="DX60" s="8"/>
      <c r="DY60" s="8"/>
      <c r="DZ60" s="8"/>
      <c r="EA60" s="8"/>
      <c r="EB60" s="8"/>
      <c r="EC60" s="8"/>
      <c r="ED60" s="8"/>
      <c r="EE60" s="8"/>
      <c r="EF60" s="8"/>
      <c r="EG60" s="8"/>
      <c r="EH60" s="8"/>
      <c r="EI60" s="8"/>
      <c r="EJ60" s="8"/>
      <c r="EK60" s="8"/>
      <c r="EL60" s="8"/>
      <c r="EM60" s="8"/>
      <c r="EN60" s="8"/>
      <c r="EO60" s="8"/>
      <c r="EP60" s="8"/>
      <c r="EQ60" s="8"/>
      <c r="ER60" s="8"/>
      <c r="ES60" s="8"/>
      <c r="ET60" s="8"/>
      <c r="EU60" s="8"/>
      <c r="EV60" s="8"/>
      <c r="EW60" s="8"/>
      <c r="EX60" s="8"/>
      <c r="EY60" s="8"/>
      <c r="EZ60" s="8"/>
      <c r="FA60" s="8"/>
      <c r="FB60" s="8"/>
      <c r="FC60" s="8"/>
      <c r="FD60" s="8"/>
      <c r="FE60" s="8"/>
      <c r="FF60" s="8"/>
      <c r="FG60" s="8"/>
      <c r="FH60" s="8"/>
      <c r="FI60" s="8"/>
      <c r="FJ60" s="8"/>
      <c r="FK60" s="8"/>
      <c r="FL60" s="8"/>
      <c r="FM60" s="8"/>
      <c r="FN60" s="8"/>
      <c r="FO60" s="8"/>
      <c r="FP60" s="8"/>
      <c r="FQ60" s="8"/>
      <c r="FR60" s="8"/>
      <c r="FS60" s="8"/>
      <c r="FT60" s="8"/>
      <c r="FU60" s="8"/>
      <c r="FV60" s="8"/>
      <c r="FW60" s="8"/>
      <c r="FX60" s="8"/>
      <c r="FY60" s="8"/>
      <c r="FZ60" s="8"/>
      <c r="GA60" s="8"/>
      <c r="GB60" s="8"/>
      <c r="GC60" s="8"/>
      <c r="GD60" s="8"/>
      <c r="GE60" s="8"/>
      <c r="GF60" s="8"/>
      <c r="GG60" s="8"/>
      <c r="GH60" s="8"/>
      <c r="GI60" s="8"/>
      <c r="GJ60" s="8"/>
      <c r="GK60" s="8"/>
      <c r="GL60" s="8"/>
      <c r="GM60" s="8"/>
      <c r="GN60" s="8"/>
      <c r="GO60" s="8"/>
      <c r="GP60" s="8"/>
      <c r="GQ60" s="8"/>
      <c r="GR60" s="8"/>
      <c r="GS60" s="8"/>
      <c r="GT60" s="8"/>
      <c r="GU60" s="8"/>
      <c r="GV60" s="8"/>
      <c r="GW60" s="8"/>
      <c r="GX60" s="8"/>
      <c r="GY60" s="8"/>
      <c r="GZ60" s="8"/>
      <c r="HA60" s="8"/>
      <c r="HB60" s="8"/>
      <c r="HC60" s="8"/>
      <c r="HD60" s="8"/>
      <c r="HE60" s="8"/>
      <c r="HF60" s="8"/>
      <c r="HG60" s="8"/>
      <c r="HH60" s="8"/>
      <c r="HI60" s="8"/>
      <c r="HJ60" s="8"/>
      <c r="HK60" s="8"/>
      <c r="HL60" s="8"/>
      <c r="HM60" s="8"/>
      <c r="HN60" s="8"/>
      <c r="HO60" s="8"/>
      <c r="HP60" s="8"/>
      <c r="HQ60" s="8"/>
      <c r="HR60" s="8"/>
      <c r="HS60" s="8"/>
      <c r="HT60" s="8"/>
      <c r="HU60" s="8"/>
      <c r="HV60" s="8"/>
      <c r="HW60" s="8"/>
      <c r="HX60" s="8"/>
      <c r="HY60" s="8"/>
      <c r="HZ60" s="8"/>
      <c r="IA60" s="8"/>
      <c r="IB60" s="8"/>
      <c r="IC60" s="8"/>
      <c r="ID60" s="8"/>
      <c r="IE60" s="8"/>
      <c r="IF60" s="8"/>
      <c r="IG60" s="8"/>
      <c r="IH60" s="8"/>
      <c r="II60" s="8"/>
      <c r="IJ60" s="8"/>
      <c r="IK60" s="8"/>
      <c r="IL60" s="8"/>
      <c r="IM60" s="8"/>
      <c r="IN60" s="8"/>
      <c r="IO60" s="8"/>
      <c r="IP60" s="8"/>
      <c r="IQ60" s="8"/>
      <c r="IR60" s="8"/>
      <c r="IS60" s="8"/>
      <c r="IT60" s="8"/>
      <c r="IU60" s="8"/>
      <c r="IV60" s="8"/>
      <c r="IW60" s="8"/>
      <c r="IX60" s="8"/>
      <c r="IY60" s="8"/>
      <c r="IZ60" s="8"/>
      <c r="JA60" s="8"/>
      <c r="JB60" s="8"/>
      <c r="JC60" s="8"/>
      <c r="JD60" s="8"/>
      <c r="JE60" s="8"/>
      <c r="JF60" s="8"/>
      <c r="JG60" s="8"/>
      <c r="JH60" s="8"/>
      <c r="JI60" s="8"/>
      <c r="JJ60" s="8"/>
      <c r="JK60" s="8"/>
      <c r="JL60" s="8"/>
      <c r="JM60" s="8"/>
      <c r="JN60" s="8"/>
      <c r="JO60" s="8"/>
      <c r="JP60" s="8"/>
      <c r="JQ60" s="8"/>
      <c r="JR60" s="8"/>
      <c r="JS60" s="8"/>
      <c r="JT60" s="8"/>
      <c r="JU60" s="8"/>
      <c r="JV60" s="8"/>
      <c r="JW60" s="8"/>
      <c r="JX60" s="8"/>
      <c r="JY60" s="8"/>
      <c r="JZ60" s="8"/>
      <c r="KA60" s="8"/>
      <c r="KB60" s="8"/>
      <c r="KC60" s="8"/>
      <c r="KD60" s="8"/>
      <c r="KE60" s="8"/>
      <c r="KF60" s="8"/>
      <c r="KG60" s="8"/>
      <c r="KH60" s="8"/>
      <c r="KI60" s="8"/>
      <c r="KJ60" s="8"/>
      <c r="KK60" s="8"/>
      <c r="KL60" s="8"/>
      <c r="KM60" s="8"/>
      <c r="KN60" s="8"/>
      <c r="KO60" s="8"/>
      <c r="KP60" s="8"/>
      <c r="KQ60" s="8"/>
      <c r="KR60" s="8"/>
      <c r="KS60" s="8"/>
      <c r="KT60" s="8"/>
      <c r="KU60" s="8"/>
      <c r="KV60" s="8"/>
      <c r="KW60" s="8"/>
      <c r="KX60" s="8"/>
      <c r="KY60" s="8"/>
      <c r="KZ60" s="8"/>
      <c r="LA60" s="8"/>
      <c r="LB60" s="8"/>
      <c r="LC60" s="8"/>
      <c r="LD60" s="8"/>
      <c r="LE60" s="8"/>
      <c r="LF60" s="8"/>
      <c r="LG60" s="8"/>
      <c r="LH60" s="8"/>
      <c r="LI60" s="8"/>
      <c r="LJ60" s="8"/>
      <c r="LK60" s="8"/>
      <c r="LL60" s="8"/>
      <c r="LM60" s="8"/>
      <c r="LN60" s="8"/>
      <c r="LO60" s="8"/>
      <c r="LP60" s="8"/>
      <c r="LQ60" s="8"/>
    </row>
    <row r="61" spans="1:329" s="7" customFormat="1" ht="15" customHeight="1" x14ac:dyDescent="0.25">
      <c r="A61" s="71">
        <v>1101218</v>
      </c>
      <c r="B61" s="46" t="s">
        <v>135</v>
      </c>
      <c r="C61" s="44" t="str">
        <f>VLOOKUP(A61,Artikeldaten!A:B,2,0)</f>
        <v>Stoffbezug - Minikid 1 [Schwarz]</v>
      </c>
      <c r="D61" s="45">
        <v>50</v>
      </c>
      <c r="E61" s="45">
        <f t="shared" si="0"/>
        <v>84.033613445378151</v>
      </c>
      <c r="F61" s="45">
        <f t="shared" si="1"/>
        <v>100</v>
      </c>
      <c r="G61" s="41"/>
      <c r="H61" s="41"/>
      <c r="I61" s="36"/>
      <c r="J61" s="36"/>
      <c r="K61" s="36"/>
      <c r="L61" s="36"/>
      <c r="M61" s="36"/>
      <c r="N61" s="35" t="s">
        <v>21</v>
      </c>
      <c r="O61" s="36"/>
      <c r="P61" s="36"/>
      <c r="Q61" s="36"/>
      <c r="R61" s="42">
        <v>7350057583203</v>
      </c>
      <c r="S61" s="43" t="s">
        <v>313</v>
      </c>
      <c r="T61" s="43">
        <v>2.7</v>
      </c>
      <c r="U61" s="43">
        <v>1.9</v>
      </c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  <c r="BP61" s="8"/>
      <c r="BQ61" s="8"/>
      <c r="BR61" s="8"/>
      <c r="BS61" s="8"/>
      <c r="BT61" s="8"/>
      <c r="BU61" s="8"/>
      <c r="BV61" s="8"/>
      <c r="BW61" s="8"/>
      <c r="BX61" s="8"/>
      <c r="BY61" s="8"/>
      <c r="BZ61" s="8"/>
      <c r="CA61" s="8"/>
      <c r="CB61" s="8"/>
      <c r="CC61" s="8"/>
      <c r="CD61" s="8"/>
      <c r="CE61" s="8"/>
      <c r="CF61" s="8"/>
      <c r="CG61" s="8"/>
      <c r="CH61" s="8"/>
      <c r="CI61" s="8"/>
      <c r="CJ61" s="8"/>
      <c r="CK61" s="8"/>
      <c r="CL61" s="8"/>
      <c r="CM61" s="8"/>
      <c r="CN61" s="8"/>
      <c r="CO61" s="8"/>
      <c r="CP61" s="8"/>
      <c r="CQ61" s="8"/>
      <c r="CR61" s="8"/>
      <c r="CS61" s="8"/>
      <c r="CT61" s="8"/>
      <c r="CU61" s="8"/>
      <c r="CV61" s="8"/>
      <c r="CW61" s="8"/>
      <c r="CX61" s="8"/>
      <c r="CY61" s="8"/>
      <c r="CZ61" s="8"/>
      <c r="DA61" s="8"/>
      <c r="DB61" s="8"/>
      <c r="DC61" s="8"/>
      <c r="DD61" s="8"/>
      <c r="DE61" s="8"/>
      <c r="DF61" s="8"/>
      <c r="DG61" s="8"/>
      <c r="DH61" s="8"/>
      <c r="DI61" s="8"/>
      <c r="DJ61" s="8"/>
      <c r="DK61" s="8"/>
      <c r="DL61" s="8"/>
      <c r="DM61" s="8"/>
      <c r="DN61" s="8"/>
      <c r="DO61" s="8"/>
      <c r="DP61" s="8"/>
      <c r="DQ61" s="8"/>
      <c r="DR61" s="8"/>
      <c r="DS61" s="8"/>
      <c r="DT61" s="8"/>
      <c r="DU61" s="8"/>
      <c r="DV61" s="8"/>
      <c r="DW61" s="8"/>
      <c r="DX61" s="8"/>
      <c r="DY61" s="8"/>
      <c r="DZ61" s="8"/>
      <c r="EA61" s="8"/>
      <c r="EB61" s="8"/>
      <c r="EC61" s="8"/>
      <c r="ED61" s="8"/>
      <c r="EE61" s="8"/>
      <c r="EF61" s="8"/>
      <c r="EG61" s="8"/>
      <c r="EH61" s="8"/>
      <c r="EI61" s="8"/>
      <c r="EJ61" s="8"/>
      <c r="EK61" s="8"/>
      <c r="EL61" s="8"/>
      <c r="EM61" s="8"/>
      <c r="EN61" s="8"/>
      <c r="EO61" s="8"/>
      <c r="EP61" s="8"/>
      <c r="EQ61" s="8"/>
      <c r="ER61" s="8"/>
      <c r="ES61" s="8"/>
      <c r="ET61" s="8"/>
      <c r="EU61" s="8"/>
      <c r="EV61" s="8"/>
      <c r="EW61" s="8"/>
      <c r="EX61" s="8"/>
      <c r="EY61" s="8"/>
      <c r="EZ61" s="8"/>
      <c r="FA61" s="8"/>
      <c r="FB61" s="8"/>
      <c r="FC61" s="8"/>
      <c r="FD61" s="8"/>
      <c r="FE61" s="8"/>
      <c r="FF61" s="8"/>
      <c r="FG61" s="8"/>
      <c r="FH61" s="8"/>
      <c r="FI61" s="8"/>
      <c r="FJ61" s="8"/>
      <c r="FK61" s="8"/>
      <c r="FL61" s="8"/>
      <c r="FM61" s="8"/>
      <c r="FN61" s="8"/>
      <c r="FO61" s="8"/>
      <c r="FP61" s="8"/>
      <c r="FQ61" s="8"/>
      <c r="FR61" s="8"/>
      <c r="FS61" s="8"/>
      <c r="FT61" s="8"/>
      <c r="FU61" s="8"/>
      <c r="FV61" s="8"/>
      <c r="FW61" s="8"/>
      <c r="FX61" s="8"/>
      <c r="FY61" s="8"/>
      <c r="FZ61" s="8"/>
      <c r="GA61" s="8"/>
      <c r="GB61" s="8"/>
      <c r="GC61" s="8"/>
      <c r="GD61" s="8"/>
      <c r="GE61" s="8"/>
      <c r="GF61" s="8"/>
      <c r="GG61" s="8"/>
      <c r="GH61" s="8"/>
      <c r="GI61" s="8"/>
      <c r="GJ61" s="8"/>
      <c r="GK61" s="8"/>
      <c r="GL61" s="8"/>
      <c r="GM61" s="8"/>
      <c r="GN61" s="8"/>
      <c r="GO61" s="8"/>
      <c r="GP61" s="8"/>
      <c r="GQ61" s="8"/>
      <c r="GR61" s="8"/>
      <c r="GS61" s="8"/>
      <c r="GT61" s="8"/>
      <c r="GU61" s="8"/>
      <c r="GV61" s="8"/>
      <c r="GW61" s="8"/>
      <c r="GX61" s="8"/>
      <c r="GY61" s="8"/>
      <c r="GZ61" s="8"/>
      <c r="HA61" s="8"/>
      <c r="HB61" s="8"/>
      <c r="HC61" s="8"/>
      <c r="HD61" s="8"/>
      <c r="HE61" s="8"/>
      <c r="HF61" s="8"/>
      <c r="HG61" s="8"/>
      <c r="HH61" s="8"/>
      <c r="HI61" s="8"/>
      <c r="HJ61" s="8"/>
      <c r="HK61" s="8"/>
      <c r="HL61" s="8"/>
      <c r="HM61" s="8"/>
      <c r="HN61" s="8"/>
      <c r="HO61" s="8"/>
      <c r="HP61" s="8"/>
      <c r="HQ61" s="8"/>
      <c r="HR61" s="8"/>
      <c r="HS61" s="8"/>
      <c r="HT61" s="8"/>
      <c r="HU61" s="8"/>
      <c r="HV61" s="8"/>
      <c r="HW61" s="8"/>
      <c r="HX61" s="8"/>
      <c r="HY61" s="8"/>
      <c r="HZ61" s="8"/>
      <c r="IA61" s="8"/>
      <c r="IB61" s="8"/>
      <c r="IC61" s="8"/>
      <c r="ID61" s="8"/>
      <c r="IE61" s="8"/>
      <c r="IF61" s="8"/>
      <c r="IG61" s="8"/>
      <c r="IH61" s="8"/>
      <c r="II61" s="8"/>
      <c r="IJ61" s="8"/>
      <c r="IK61" s="8"/>
      <c r="IL61" s="8"/>
      <c r="IM61" s="8"/>
      <c r="IN61" s="8"/>
      <c r="IO61" s="8"/>
      <c r="IP61" s="8"/>
      <c r="IQ61" s="8"/>
      <c r="IR61" s="8"/>
      <c r="IS61" s="8"/>
      <c r="IT61" s="8"/>
      <c r="IU61" s="8"/>
      <c r="IV61" s="8"/>
      <c r="IW61" s="8"/>
      <c r="IX61" s="8"/>
      <c r="IY61" s="8"/>
      <c r="IZ61" s="8"/>
      <c r="JA61" s="8"/>
      <c r="JB61" s="8"/>
      <c r="JC61" s="8"/>
      <c r="JD61" s="8"/>
      <c r="JE61" s="8"/>
      <c r="JF61" s="8"/>
      <c r="JG61" s="8"/>
      <c r="JH61" s="8"/>
      <c r="JI61" s="8"/>
      <c r="JJ61" s="8"/>
      <c r="JK61" s="8"/>
      <c r="JL61" s="8"/>
      <c r="JM61" s="8"/>
      <c r="JN61" s="8"/>
      <c r="JO61" s="8"/>
      <c r="JP61" s="8"/>
      <c r="JQ61" s="8"/>
      <c r="JR61" s="8"/>
      <c r="JS61" s="8"/>
      <c r="JT61" s="8"/>
      <c r="JU61" s="8"/>
      <c r="JV61" s="8"/>
      <c r="JW61" s="8"/>
      <c r="JX61" s="8"/>
      <c r="JY61" s="8"/>
      <c r="JZ61" s="8"/>
      <c r="KA61" s="8"/>
      <c r="KB61" s="8"/>
      <c r="KC61" s="8"/>
      <c r="KD61" s="8"/>
      <c r="KE61" s="8"/>
      <c r="KF61" s="8"/>
      <c r="KG61" s="8"/>
      <c r="KH61" s="8"/>
      <c r="KI61" s="8"/>
      <c r="KJ61" s="8"/>
      <c r="KK61" s="8"/>
      <c r="KL61" s="8"/>
      <c r="KM61" s="8"/>
      <c r="KN61" s="8"/>
      <c r="KO61" s="8"/>
      <c r="KP61" s="8"/>
      <c r="KQ61" s="8"/>
      <c r="KR61" s="8"/>
      <c r="KS61" s="8"/>
      <c r="KT61" s="8"/>
      <c r="KU61" s="8"/>
      <c r="KV61" s="8"/>
      <c r="KW61" s="8"/>
      <c r="KX61" s="8"/>
      <c r="KY61" s="8"/>
      <c r="KZ61" s="8"/>
      <c r="LA61" s="8"/>
      <c r="LB61" s="8"/>
      <c r="LC61" s="8"/>
      <c r="LD61" s="8"/>
      <c r="LE61" s="8"/>
      <c r="LF61" s="8"/>
      <c r="LG61" s="8"/>
      <c r="LH61" s="8"/>
      <c r="LI61" s="8"/>
      <c r="LJ61" s="8"/>
      <c r="LK61" s="8"/>
      <c r="LL61" s="8"/>
      <c r="LM61" s="8"/>
      <c r="LN61" s="8"/>
      <c r="LO61" s="8"/>
      <c r="LP61" s="8"/>
      <c r="LQ61" s="8"/>
    </row>
    <row r="62" spans="1:329" s="7" customFormat="1" ht="15" customHeight="1" x14ac:dyDescent="0.25">
      <c r="A62" s="71">
        <v>1101219</v>
      </c>
      <c r="B62" s="46" t="s">
        <v>137</v>
      </c>
      <c r="C62" s="44" t="str">
        <f>VLOOKUP(A62,Artikeldaten!A:B,2,0)</f>
        <v>Stoffbezug - Minikid 1 [Petrol]</v>
      </c>
      <c r="D62" s="45">
        <v>50</v>
      </c>
      <c r="E62" s="45">
        <f t="shared" si="0"/>
        <v>84.033613445378151</v>
      </c>
      <c r="F62" s="45">
        <f t="shared" si="1"/>
        <v>100</v>
      </c>
      <c r="G62" s="41"/>
      <c r="H62" s="41"/>
      <c r="I62" s="36"/>
      <c r="J62" s="36"/>
      <c r="K62" s="36"/>
      <c r="L62" s="36"/>
      <c r="M62" s="36"/>
      <c r="N62" s="35" t="s">
        <v>21</v>
      </c>
      <c r="O62" s="36"/>
      <c r="P62" s="36"/>
      <c r="Q62" s="36"/>
      <c r="R62" s="42">
        <v>7350057583210</v>
      </c>
      <c r="S62" s="43" t="s">
        <v>313</v>
      </c>
      <c r="T62" s="43">
        <v>2.7</v>
      </c>
      <c r="U62" s="43">
        <v>1.9</v>
      </c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  <c r="BP62" s="8"/>
      <c r="BQ62" s="8"/>
      <c r="BR62" s="8"/>
      <c r="BS62" s="8"/>
      <c r="BT62" s="8"/>
      <c r="BU62" s="8"/>
      <c r="BV62" s="8"/>
      <c r="BW62" s="8"/>
      <c r="BX62" s="8"/>
      <c r="BY62" s="8"/>
      <c r="BZ62" s="8"/>
      <c r="CA62" s="8"/>
      <c r="CB62" s="8"/>
      <c r="CC62" s="8"/>
      <c r="CD62" s="8"/>
      <c r="CE62" s="8"/>
      <c r="CF62" s="8"/>
      <c r="CG62" s="8"/>
      <c r="CH62" s="8"/>
      <c r="CI62" s="8"/>
      <c r="CJ62" s="8"/>
      <c r="CK62" s="8"/>
      <c r="CL62" s="8"/>
      <c r="CM62" s="8"/>
      <c r="CN62" s="8"/>
      <c r="CO62" s="8"/>
      <c r="CP62" s="8"/>
      <c r="CQ62" s="8"/>
      <c r="CR62" s="8"/>
      <c r="CS62" s="8"/>
      <c r="CT62" s="8"/>
      <c r="CU62" s="8"/>
      <c r="CV62" s="8"/>
      <c r="CW62" s="8"/>
      <c r="CX62" s="8"/>
      <c r="CY62" s="8"/>
      <c r="CZ62" s="8"/>
      <c r="DA62" s="8"/>
      <c r="DB62" s="8"/>
      <c r="DC62" s="8"/>
      <c r="DD62" s="8"/>
      <c r="DE62" s="8"/>
      <c r="DF62" s="8"/>
      <c r="DG62" s="8"/>
      <c r="DH62" s="8"/>
      <c r="DI62" s="8"/>
      <c r="DJ62" s="8"/>
      <c r="DK62" s="8"/>
      <c r="DL62" s="8"/>
      <c r="DM62" s="8"/>
      <c r="DN62" s="8"/>
      <c r="DO62" s="8"/>
      <c r="DP62" s="8"/>
      <c r="DQ62" s="8"/>
      <c r="DR62" s="8"/>
      <c r="DS62" s="8"/>
      <c r="DT62" s="8"/>
      <c r="DU62" s="8"/>
      <c r="DV62" s="8"/>
      <c r="DW62" s="8"/>
      <c r="DX62" s="8"/>
      <c r="DY62" s="8"/>
      <c r="DZ62" s="8"/>
      <c r="EA62" s="8"/>
      <c r="EB62" s="8"/>
      <c r="EC62" s="8"/>
      <c r="ED62" s="8"/>
      <c r="EE62" s="8"/>
      <c r="EF62" s="8"/>
      <c r="EG62" s="8"/>
      <c r="EH62" s="8"/>
      <c r="EI62" s="8"/>
      <c r="EJ62" s="8"/>
      <c r="EK62" s="8"/>
      <c r="EL62" s="8"/>
      <c r="EM62" s="8"/>
      <c r="EN62" s="8"/>
      <c r="EO62" s="8"/>
      <c r="EP62" s="8"/>
      <c r="EQ62" s="8"/>
      <c r="ER62" s="8"/>
      <c r="ES62" s="8"/>
      <c r="ET62" s="8"/>
      <c r="EU62" s="8"/>
      <c r="EV62" s="8"/>
      <c r="EW62" s="8"/>
      <c r="EX62" s="8"/>
      <c r="EY62" s="8"/>
      <c r="EZ62" s="8"/>
      <c r="FA62" s="8"/>
      <c r="FB62" s="8"/>
      <c r="FC62" s="8"/>
      <c r="FD62" s="8"/>
      <c r="FE62" s="8"/>
      <c r="FF62" s="8"/>
      <c r="FG62" s="8"/>
      <c r="FH62" s="8"/>
      <c r="FI62" s="8"/>
      <c r="FJ62" s="8"/>
      <c r="FK62" s="8"/>
      <c r="FL62" s="8"/>
      <c r="FM62" s="8"/>
      <c r="FN62" s="8"/>
      <c r="FO62" s="8"/>
      <c r="FP62" s="8"/>
      <c r="FQ62" s="8"/>
      <c r="FR62" s="8"/>
      <c r="FS62" s="8"/>
      <c r="FT62" s="8"/>
      <c r="FU62" s="8"/>
      <c r="FV62" s="8"/>
      <c r="FW62" s="8"/>
      <c r="FX62" s="8"/>
      <c r="FY62" s="8"/>
      <c r="FZ62" s="8"/>
      <c r="GA62" s="8"/>
      <c r="GB62" s="8"/>
      <c r="GC62" s="8"/>
      <c r="GD62" s="8"/>
      <c r="GE62" s="8"/>
      <c r="GF62" s="8"/>
      <c r="GG62" s="8"/>
      <c r="GH62" s="8"/>
      <c r="GI62" s="8"/>
      <c r="GJ62" s="8"/>
      <c r="GK62" s="8"/>
      <c r="GL62" s="8"/>
      <c r="GM62" s="8"/>
      <c r="GN62" s="8"/>
      <c r="GO62" s="8"/>
      <c r="GP62" s="8"/>
      <c r="GQ62" s="8"/>
      <c r="GR62" s="8"/>
      <c r="GS62" s="8"/>
      <c r="GT62" s="8"/>
      <c r="GU62" s="8"/>
      <c r="GV62" s="8"/>
      <c r="GW62" s="8"/>
      <c r="GX62" s="8"/>
      <c r="GY62" s="8"/>
      <c r="GZ62" s="8"/>
      <c r="HA62" s="8"/>
      <c r="HB62" s="8"/>
      <c r="HC62" s="8"/>
      <c r="HD62" s="8"/>
      <c r="HE62" s="8"/>
      <c r="HF62" s="8"/>
      <c r="HG62" s="8"/>
      <c r="HH62" s="8"/>
      <c r="HI62" s="8"/>
      <c r="HJ62" s="8"/>
      <c r="HK62" s="8"/>
      <c r="HL62" s="8"/>
      <c r="HM62" s="8"/>
      <c r="HN62" s="8"/>
      <c r="HO62" s="8"/>
      <c r="HP62" s="8"/>
      <c r="HQ62" s="8"/>
      <c r="HR62" s="8"/>
      <c r="HS62" s="8"/>
      <c r="HT62" s="8"/>
      <c r="HU62" s="8"/>
      <c r="HV62" s="8"/>
      <c r="HW62" s="8"/>
      <c r="HX62" s="8"/>
      <c r="HY62" s="8"/>
      <c r="HZ62" s="8"/>
      <c r="IA62" s="8"/>
      <c r="IB62" s="8"/>
      <c r="IC62" s="8"/>
      <c r="ID62" s="8"/>
      <c r="IE62" s="8"/>
      <c r="IF62" s="8"/>
      <c r="IG62" s="8"/>
      <c r="IH62" s="8"/>
      <c r="II62" s="8"/>
      <c r="IJ62" s="8"/>
      <c r="IK62" s="8"/>
      <c r="IL62" s="8"/>
      <c r="IM62" s="8"/>
      <c r="IN62" s="8"/>
      <c r="IO62" s="8"/>
      <c r="IP62" s="8"/>
      <c r="IQ62" s="8"/>
      <c r="IR62" s="8"/>
      <c r="IS62" s="8"/>
      <c r="IT62" s="8"/>
      <c r="IU62" s="8"/>
      <c r="IV62" s="8"/>
      <c r="IW62" s="8"/>
      <c r="IX62" s="8"/>
      <c r="IY62" s="8"/>
      <c r="IZ62" s="8"/>
      <c r="JA62" s="8"/>
      <c r="JB62" s="8"/>
      <c r="JC62" s="8"/>
      <c r="JD62" s="8"/>
      <c r="JE62" s="8"/>
      <c r="JF62" s="8"/>
      <c r="JG62" s="8"/>
      <c r="JH62" s="8"/>
      <c r="JI62" s="8"/>
      <c r="JJ62" s="8"/>
      <c r="JK62" s="8"/>
      <c r="JL62" s="8"/>
      <c r="JM62" s="8"/>
      <c r="JN62" s="8"/>
      <c r="JO62" s="8"/>
      <c r="JP62" s="8"/>
      <c r="JQ62" s="8"/>
      <c r="JR62" s="8"/>
      <c r="JS62" s="8"/>
      <c r="JT62" s="8"/>
      <c r="JU62" s="8"/>
      <c r="JV62" s="8"/>
      <c r="JW62" s="8"/>
      <c r="JX62" s="8"/>
      <c r="JY62" s="8"/>
      <c r="JZ62" s="8"/>
      <c r="KA62" s="8"/>
      <c r="KB62" s="8"/>
      <c r="KC62" s="8"/>
      <c r="KD62" s="8"/>
      <c r="KE62" s="8"/>
      <c r="KF62" s="8"/>
      <c r="KG62" s="8"/>
      <c r="KH62" s="8"/>
      <c r="KI62" s="8"/>
      <c r="KJ62" s="8"/>
      <c r="KK62" s="8"/>
      <c r="KL62" s="8"/>
      <c r="KM62" s="8"/>
      <c r="KN62" s="8"/>
      <c r="KO62" s="8"/>
      <c r="KP62" s="8"/>
      <c r="KQ62" s="8"/>
      <c r="KR62" s="8"/>
      <c r="KS62" s="8"/>
      <c r="KT62" s="8"/>
      <c r="KU62" s="8"/>
      <c r="KV62" s="8"/>
      <c r="KW62" s="8"/>
      <c r="KX62" s="8"/>
      <c r="KY62" s="8"/>
      <c r="KZ62" s="8"/>
      <c r="LA62" s="8"/>
      <c r="LB62" s="8"/>
      <c r="LC62" s="8"/>
      <c r="LD62" s="8"/>
      <c r="LE62" s="8"/>
      <c r="LF62" s="8"/>
      <c r="LG62" s="8"/>
      <c r="LH62" s="8"/>
      <c r="LI62" s="8"/>
      <c r="LJ62" s="8"/>
      <c r="LK62" s="8"/>
      <c r="LL62" s="8"/>
      <c r="LM62" s="8"/>
      <c r="LN62" s="8"/>
      <c r="LO62" s="8"/>
      <c r="LP62" s="8"/>
      <c r="LQ62" s="8"/>
    </row>
    <row r="63" spans="1:329" s="7" customFormat="1" ht="15" customHeight="1" x14ac:dyDescent="0.25">
      <c r="A63" s="71">
        <v>1101221</v>
      </c>
      <c r="B63" s="46" t="s">
        <v>139</v>
      </c>
      <c r="C63" s="44" t="str">
        <f>VLOOKUP(A63,Artikeldaten!A:B,2,0)</f>
        <v>Stoffbezug - Rekid [Rot]</v>
      </c>
      <c r="D63" s="45">
        <v>50</v>
      </c>
      <c r="E63" s="45">
        <f t="shared" si="0"/>
        <v>84.033613445378151</v>
      </c>
      <c r="F63" s="45">
        <f t="shared" si="1"/>
        <v>100</v>
      </c>
      <c r="G63" s="41"/>
      <c r="H63" s="41"/>
      <c r="I63" s="36"/>
      <c r="J63" s="36"/>
      <c r="K63" s="35" t="s">
        <v>21</v>
      </c>
      <c r="L63" s="36"/>
      <c r="M63" s="36"/>
      <c r="N63" s="36"/>
      <c r="O63" s="36"/>
      <c r="P63" s="36"/>
      <c r="Q63" s="36"/>
      <c r="R63" s="42">
        <v>7350057583234</v>
      </c>
      <c r="S63" s="43" t="s">
        <v>313</v>
      </c>
      <c r="T63" s="43">
        <v>3.3</v>
      </c>
      <c r="U63" s="43">
        <v>2.52</v>
      </c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  <c r="BK63" s="8"/>
      <c r="BL63" s="8"/>
      <c r="BM63" s="8"/>
      <c r="BN63" s="8"/>
      <c r="BO63" s="8"/>
      <c r="BP63" s="8"/>
      <c r="BQ63" s="8"/>
      <c r="BR63" s="8"/>
      <c r="BS63" s="8"/>
      <c r="BT63" s="8"/>
      <c r="BU63" s="8"/>
      <c r="BV63" s="8"/>
      <c r="BW63" s="8"/>
      <c r="BX63" s="8"/>
      <c r="BY63" s="8"/>
      <c r="BZ63" s="8"/>
      <c r="CA63" s="8"/>
      <c r="CB63" s="8"/>
      <c r="CC63" s="8"/>
      <c r="CD63" s="8"/>
      <c r="CE63" s="8"/>
      <c r="CF63" s="8"/>
      <c r="CG63" s="8"/>
      <c r="CH63" s="8"/>
      <c r="CI63" s="8"/>
      <c r="CJ63" s="8"/>
      <c r="CK63" s="8"/>
      <c r="CL63" s="8"/>
      <c r="CM63" s="8"/>
      <c r="CN63" s="8"/>
      <c r="CO63" s="8"/>
      <c r="CP63" s="8"/>
      <c r="CQ63" s="8"/>
      <c r="CR63" s="8"/>
      <c r="CS63" s="8"/>
      <c r="CT63" s="8"/>
      <c r="CU63" s="8"/>
      <c r="CV63" s="8"/>
      <c r="CW63" s="8"/>
      <c r="CX63" s="8"/>
      <c r="CY63" s="8"/>
      <c r="CZ63" s="8"/>
      <c r="DA63" s="8"/>
      <c r="DB63" s="8"/>
      <c r="DC63" s="8"/>
      <c r="DD63" s="8"/>
      <c r="DE63" s="8"/>
      <c r="DF63" s="8"/>
      <c r="DG63" s="8"/>
      <c r="DH63" s="8"/>
      <c r="DI63" s="8"/>
      <c r="DJ63" s="8"/>
      <c r="DK63" s="8"/>
      <c r="DL63" s="8"/>
      <c r="DM63" s="8"/>
      <c r="DN63" s="8"/>
      <c r="DO63" s="8"/>
      <c r="DP63" s="8"/>
      <c r="DQ63" s="8"/>
      <c r="DR63" s="8"/>
      <c r="DS63" s="8"/>
      <c r="DT63" s="8"/>
      <c r="DU63" s="8"/>
      <c r="DV63" s="8"/>
      <c r="DW63" s="8"/>
      <c r="DX63" s="8"/>
      <c r="DY63" s="8"/>
      <c r="DZ63" s="8"/>
      <c r="EA63" s="8"/>
      <c r="EB63" s="8"/>
      <c r="EC63" s="8"/>
      <c r="ED63" s="8"/>
      <c r="EE63" s="8"/>
      <c r="EF63" s="8"/>
      <c r="EG63" s="8"/>
      <c r="EH63" s="8"/>
      <c r="EI63" s="8"/>
      <c r="EJ63" s="8"/>
      <c r="EK63" s="8"/>
      <c r="EL63" s="8"/>
      <c r="EM63" s="8"/>
      <c r="EN63" s="8"/>
      <c r="EO63" s="8"/>
      <c r="EP63" s="8"/>
      <c r="EQ63" s="8"/>
      <c r="ER63" s="8"/>
      <c r="ES63" s="8"/>
      <c r="ET63" s="8"/>
      <c r="EU63" s="8"/>
      <c r="EV63" s="8"/>
      <c r="EW63" s="8"/>
      <c r="EX63" s="8"/>
      <c r="EY63" s="8"/>
      <c r="EZ63" s="8"/>
      <c r="FA63" s="8"/>
      <c r="FB63" s="8"/>
      <c r="FC63" s="8"/>
      <c r="FD63" s="8"/>
      <c r="FE63" s="8"/>
      <c r="FF63" s="8"/>
      <c r="FG63" s="8"/>
      <c r="FH63" s="8"/>
      <c r="FI63" s="8"/>
      <c r="FJ63" s="8"/>
      <c r="FK63" s="8"/>
      <c r="FL63" s="8"/>
      <c r="FM63" s="8"/>
      <c r="FN63" s="8"/>
      <c r="FO63" s="8"/>
      <c r="FP63" s="8"/>
      <c r="FQ63" s="8"/>
      <c r="FR63" s="8"/>
      <c r="FS63" s="8"/>
      <c r="FT63" s="8"/>
      <c r="FU63" s="8"/>
      <c r="FV63" s="8"/>
      <c r="FW63" s="8"/>
      <c r="FX63" s="8"/>
      <c r="FY63" s="8"/>
      <c r="FZ63" s="8"/>
      <c r="GA63" s="8"/>
      <c r="GB63" s="8"/>
      <c r="GC63" s="8"/>
      <c r="GD63" s="8"/>
      <c r="GE63" s="8"/>
      <c r="GF63" s="8"/>
      <c r="GG63" s="8"/>
      <c r="GH63" s="8"/>
      <c r="GI63" s="8"/>
      <c r="GJ63" s="8"/>
      <c r="GK63" s="8"/>
      <c r="GL63" s="8"/>
      <c r="GM63" s="8"/>
      <c r="GN63" s="8"/>
      <c r="GO63" s="8"/>
      <c r="GP63" s="8"/>
      <c r="GQ63" s="8"/>
      <c r="GR63" s="8"/>
      <c r="GS63" s="8"/>
      <c r="GT63" s="8"/>
      <c r="GU63" s="8"/>
      <c r="GV63" s="8"/>
      <c r="GW63" s="8"/>
      <c r="GX63" s="8"/>
      <c r="GY63" s="8"/>
      <c r="GZ63" s="8"/>
      <c r="HA63" s="8"/>
      <c r="HB63" s="8"/>
      <c r="HC63" s="8"/>
      <c r="HD63" s="8"/>
      <c r="HE63" s="8"/>
      <c r="HF63" s="8"/>
      <c r="HG63" s="8"/>
      <c r="HH63" s="8"/>
      <c r="HI63" s="8"/>
      <c r="HJ63" s="8"/>
      <c r="HK63" s="8"/>
      <c r="HL63" s="8"/>
      <c r="HM63" s="8"/>
      <c r="HN63" s="8"/>
      <c r="HO63" s="8"/>
      <c r="HP63" s="8"/>
      <c r="HQ63" s="8"/>
      <c r="HR63" s="8"/>
      <c r="HS63" s="8"/>
      <c r="HT63" s="8"/>
      <c r="HU63" s="8"/>
      <c r="HV63" s="8"/>
      <c r="HW63" s="8"/>
      <c r="HX63" s="8"/>
      <c r="HY63" s="8"/>
      <c r="HZ63" s="8"/>
      <c r="IA63" s="8"/>
      <c r="IB63" s="8"/>
      <c r="IC63" s="8"/>
      <c r="ID63" s="8"/>
      <c r="IE63" s="8"/>
      <c r="IF63" s="8"/>
      <c r="IG63" s="8"/>
      <c r="IH63" s="8"/>
      <c r="II63" s="8"/>
      <c r="IJ63" s="8"/>
      <c r="IK63" s="8"/>
      <c r="IL63" s="8"/>
      <c r="IM63" s="8"/>
      <c r="IN63" s="8"/>
      <c r="IO63" s="8"/>
      <c r="IP63" s="8"/>
      <c r="IQ63" s="8"/>
      <c r="IR63" s="8"/>
      <c r="IS63" s="8"/>
      <c r="IT63" s="8"/>
      <c r="IU63" s="8"/>
      <c r="IV63" s="8"/>
      <c r="IW63" s="8"/>
      <c r="IX63" s="8"/>
      <c r="IY63" s="8"/>
      <c r="IZ63" s="8"/>
      <c r="JA63" s="8"/>
      <c r="JB63" s="8"/>
      <c r="JC63" s="8"/>
      <c r="JD63" s="8"/>
      <c r="JE63" s="8"/>
      <c r="JF63" s="8"/>
      <c r="JG63" s="8"/>
      <c r="JH63" s="8"/>
      <c r="JI63" s="8"/>
      <c r="JJ63" s="8"/>
      <c r="JK63" s="8"/>
      <c r="JL63" s="8"/>
      <c r="JM63" s="8"/>
      <c r="JN63" s="8"/>
      <c r="JO63" s="8"/>
      <c r="JP63" s="8"/>
      <c r="JQ63" s="8"/>
      <c r="JR63" s="8"/>
      <c r="JS63" s="8"/>
      <c r="JT63" s="8"/>
      <c r="JU63" s="8"/>
      <c r="JV63" s="8"/>
      <c r="JW63" s="8"/>
      <c r="JX63" s="8"/>
      <c r="JY63" s="8"/>
      <c r="JZ63" s="8"/>
      <c r="KA63" s="8"/>
      <c r="KB63" s="8"/>
      <c r="KC63" s="8"/>
      <c r="KD63" s="8"/>
      <c r="KE63" s="8"/>
      <c r="KF63" s="8"/>
      <c r="KG63" s="8"/>
      <c r="KH63" s="8"/>
      <c r="KI63" s="8"/>
      <c r="KJ63" s="8"/>
      <c r="KK63" s="8"/>
      <c r="KL63" s="8"/>
      <c r="KM63" s="8"/>
      <c r="KN63" s="8"/>
      <c r="KO63" s="8"/>
      <c r="KP63" s="8"/>
      <c r="KQ63" s="8"/>
      <c r="KR63" s="8"/>
      <c r="KS63" s="8"/>
      <c r="KT63" s="8"/>
      <c r="KU63" s="8"/>
      <c r="KV63" s="8"/>
      <c r="KW63" s="8"/>
      <c r="KX63" s="8"/>
      <c r="KY63" s="8"/>
      <c r="KZ63" s="8"/>
      <c r="LA63" s="8"/>
      <c r="LB63" s="8"/>
      <c r="LC63" s="8"/>
      <c r="LD63" s="8"/>
      <c r="LE63" s="8"/>
      <c r="LF63" s="8"/>
      <c r="LG63" s="8"/>
      <c r="LH63" s="8"/>
      <c r="LI63" s="8"/>
      <c r="LJ63" s="8"/>
      <c r="LK63" s="8"/>
      <c r="LL63" s="8"/>
      <c r="LM63" s="8"/>
      <c r="LN63" s="8"/>
      <c r="LO63" s="8"/>
      <c r="LP63" s="8"/>
      <c r="LQ63" s="8"/>
    </row>
    <row r="64" spans="1:329" s="7" customFormat="1" ht="15" customHeight="1" x14ac:dyDescent="0.25">
      <c r="A64" s="71">
        <v>1101222</v>
      </c>
      <c r="B64" s="46" t="s">
        <v>141</v>
      </c>
      <c r="C64" s="44" t="str">
        <f>VLOOKUP(A64,Artikeldaten!A:B,2,0)</f>
        <v>Stoffbezug - Rekid [Grau]</v>
      </c>
      <c r="D64" s="45">
        <v>50</v>
      </c>
      <c r="E64" s="45">
        <f t="shared" si="0"/>
        <v>84.033613445378151</v>
      </c>
      <c r="F64" s="45">
        <f t="shared" si="1"/>
        <v>100</v>
      </c>
      <c r="G64" s="41"/>
      <c r="H64" s="41"/>
      <c r="I64" s="36"/>
      <c r="J64" s="36"/>
      <c r="K64" s="35" t="s">
        <v>21</v>
      </c>
      <c r="L64" s="36"/>
      <c r="M64" s="36"/>
      <c r="N64" s="36"/>
      <c r="O64" s="36"/>
      <c r="P64" s="36"/>
      <c r="Q64" s="36"/>
      <c r="R64" s="42">
        <v>7350057583241</v>
      </c>
      <c r="S64" s="43" t="s">
        <v>313</v>
      </c>
      <c r="T64" s="43">
        <v>3.3</v>
      </c>
      <c r="U64" s="43">
        <v>2.52</v>
      </c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/>
      <c r="BN64" s="8"/>
      <c r="BO64" s="8"/>
      <c r="BP64" s="8"/>
      <c r="BQ64" s="8"/>
      <c r="BR64" s="8"/>
      <c r="BS64" s="8"/>
      <c r="BT64" s="8"/>
      <c r="BU64" s="8"/>
      <c r="BV64" s="8"/>
      <c r="BW64" s="8"/>
      <c r="BX64" s="8"/>
      <c r="BY64" s="8"/>
      <c r="BZ64" s="8"/>
      <c r="CA64" s="8"/>
      <c r="CB64" s="8"/>
      <c r="CC64" s="8"/>
      <c r="CD64" s="8"/>
      <c r="CE64" s="8"/>
      <c r="CF64" s="8"/>
      <c r="CG64" s="8"/>
      <c r="CH64" s="8"/>
      <c r="CI64" s="8"/>
      <c r="CJ64" s="8"/>
      <c r="CK64" s="8"/>
      <c r="CL64" s="8"/>
      <c r="CM64" s="8"/>
      <c r="CN64" s="8"/>
      <c r="CO64" s="8"/>
      <c r="CP64" s="8"/>
      <c r="CQ64" s="8"/>
      <c r="CR64" s="8"/>
      <c r="CS64" s="8"/>
      <c r="CT64" s="8"/>
      <c r="CU64" s="8"/>
      <c r="CV64" s="8"/>
      <c r="CW64" s="8"/>
      <c r="CX64" s="8"/>
      <c r="CY64" s="8"/>
      <c r="CZ64" s="8"/>
      <c r="DA64" s="8"/>
      <c r="DB64" s="8"/>
      <c r="DC64" s="8"/>
      <c r="DD64" s="8"/>
      <c r="DE64" s="8"/>
      <c r="DF64" s="8"/>
      <c r="DG64" s="8"/>
      <c r="DH64" s="8"/>
      <c r="DI64" s="8"/>
      <c r="DJ64" s="8"/>
      <c r="DK64" s="8"/>
      <c r="DL64" s="8"/>
      <c r="DM64" s="8"/>
      <c r="DN64" s="8"/>
      <c r="DO64" s="8"/>
      <c r="DP64" s="8"/>
      <c r="DQ64" s="8"/>
      <c r="DR64" s="8"/>
      <c r="DS64" s="8"/>
      <c r="DT64" s="8"/>
      <c r="DU64" s="8"/>
      <c r="DV64" s="8"/>
      <c r="DW64" s="8"/>
      <c r="DX64" s="8"/>
      <c r="DY64" s="8"/>
      <c r="DZ64" s="8"/>
      <c r="EA64" s="8"/>
      <c r="EB64" s="8"/>
      <c r="EC64" s="8"/>
      <c r="ED64" s="8"/>
      <c r="EE64" s="8"/>
      <c r="EF64" s="8"/>
      <c r="EG64" s="8"/>
      <c r="EH64" s="8"/>
      <c r="EI64" s="8"/>
      <c r="EJ64" s="8"/>
      <c r="EK64" s="8"/>
      <c r="EL64" s="8"/>
      <c r="EM64" s="8"/>
      <c r="EN64" s="8"/>
      <c r="EO64" s="8"/>
      <c r="EP64" s="8"/>
      <c r="EQ64" s="8"/>
      <c r="ER64" s="8"/>
      <c r="ES64" s="8"/>
      <c r="ET64" s="8"/>
      <c r="EU64" s="8"/>
      <c r="EV64" s="8"/>
      <c r="EW64" s="8"/>
      <c r="EX64" s="8"/>
      <c r="EY64" s="8"/>
      <c r="EZ64" s="8"/>
      <c r="FA64" s="8"/>
      <c r="FB64" s="8"/>
      <c r="FC64" s="8"/>
      <c r="FD64" s="8"/>
      <c r="FE64" s="8"/>
      <c r="FF64" s="8"/>
      <c r="FG64" s="8"/>
      <c r="FH64" s="8"/>
      <c r="FI64" s="8"/>
      <c r="FJ64" s="8"/>
      <c r="FK64" s="8"/>
      <c r="FL64" s="8"/>
      <c r="FM64" s="8"/>
      <c r="FN64" s="8"/>
      <c r="FO64" s="8"/>
      <c r="FP64" s="8"/>
      <c r="FQ64" s="8"/>
      <c r="FR64" s="8"/>
      <c r="FS64" s="8"/>
      <c r="FT64" s="8"/>
      <c r="FU64" s="8"/>
      <c r="FV64" s="8"/>
      <c r="FW64" s="8"/>
      <c r="FX64" s="8"/>
      <c r="FY64" s="8"/>
      <c r="FZ64" s="8"/>
      <c r="GA64" s="8"/>
      <c r="GB64" s="8"/>
      <c r="GC64" s="8"/>
      <c r="GD64" s="8"/>
      <c r="GE64" s="8"/>
      <c r="GF64" s="8"/>
      <c r="GG64" s="8"/>
      <c r="GH64" s="8"/>
      <c r="GI64" s="8"/>
      <c r="GJ64" s="8"/>
      <c r="GK64" s="8"/>
      <c r="GL64" s="8"/>
      <c r="GM64" s="8"/>
      <c r="GN64" s="8"/>
      <c r="GO64" s="8"/>
      <c r="GP64" s="8"/>
      <c r="GQ64" s="8"/>
      <c r="GR64" s="8"/>
      <c r="GS64" s="8"/>
      <c r="GT64" s="8"/>
      <c r="GU64" s="8"/>
      <c r="GV64" s="8"/>
      <c r="GW64" s="8"/>
      <c r="GX64" s="8"/>
      <c r="GY64" s="8"/>
      <c r="GZ64" s="8"/>
      <c r="HA64" s="8"/>
      <c r="HB64" s="8"/>
      <c r="HC64" s="8"/>
      <c r="HD64" s="8"/>
      <c r="HE64" s="8"/>
      <c r="HF64" s="8"/>
      <c r="HG64" s="8"/>
      <c r="HH64" s="8"/>
      <c r="HI64" s="8"/>
      <c r="HJ64" s="8"/>
      <c r="HK64" s="8"/>
      <c r="HL64" s="8"/>
      <c r="HM64" s="8"/>
      <c r="HN64" s="8"/>
      <c r="HO64" s="8"/>
      <c r="HP64" s="8"/>
      <c r="HQ64" s="8"/>
      <c r="HR64" s="8"/>
      <c r="HS64" s="8"/>
      <c r="HT64" s="8"/>
      <c r="HU64" s="8"/>
      <c r="HV64" s="8"/>
      <c r="HW64" s="8"/>
      <c r="HX64" s="8"/>
      <c r="HY64" s="8"/>
      <c r="HZ64" s="8"/>
      <c r="IA64" s="8"/>
      <c r="IB64" s="8"/>
      <c r="IC64" s="8"/>
      <c r="ID64" s="8"/>
      <c r="IE64" s="8"/>
      <c r="IF64" s="8"/>
      <c r="IG64" s="8"/>
      <c r="IH64" s="8"/>
      <c r="II64" s="8"/>
      <c r="IJ64" s="8"/>
      <c r="IK64" s="8"/>
      <c r="IL64" s="8"/>
      <c r="IM64" s="8"/>
      <c r="IN64" s="8"/>
      <c r="IO64" s="8"/>
      <c r="IP64" s="8"/>
      <c r="IQ64" s="8"/>
      <c r="IR64" s="8"/>
      <c r="IS64" s="8"/>
      <c r="IT64" s="8"/>
      <c r="IU64" s="8"/>
      <c r="IV64" s="8"/>
      <c r="IW64" s="8"/>
      <c r="IX64" s="8"/>
      <c r="IY64" s="8"/>
      <c r="IZ64" s="8"/>
      <c r="JA64" s="8"/>
      <c r="JB64" s="8"/>
      <c r="JC64" s="8"/>
      <c r="JD64" s="8"/>
      <c r="JE64" s="8"/>
      <c r="JF64" s="8"/>
      <c r="JG64" s="8"/>
      <c r="JH64" s="8"/>
      <c r="JI64" s="8"/>
      <c r="JJ64" s="8"/>
      <c r="JK64" s="8"/>
      <c r="JL64" s="8"/>
      <c r="JM64" s="8"/>
      <c r="JN64" s="8"/>
      <c r="JO64" s="8"/>
      <c r="JP64" s="8"/>
      <c r="JQ64" s="8"/>
      <c r="JR64" s="8"/>
      <c r="JS64" s="8"/>
      <c r="JT64" s="8"/>
      <c r="JU64" s="8"/>
      <c r="JV64" s="8"/>
      <c r="JW64" s="8"/>
      <c r="JX64" s="8"/>
      <c r="JY64" s="8"/>
      <c r="JZ64" s="8"/>
      <c r="KA64" s="8"/>
      <c r="KB64" s="8"/>
      <c r="KC64" s="8"/>
      <c r="KD64" s="8"/>
      <c r="KE64" s="8"/>
      <c r="KF64" s="8"/>
      <c r="KG64" s="8"/>
      <c r="KH64" s="8"/>
      <c r="KI64" s="8"/>
      <c r="KJ64" s="8"/>
      <c r="KK64" s="8"/>
      <c r="KL64" s="8"/>
      <c r="KM64" s="8"/>
      <c r="KN64" s="8"/>
      <c r="KO64" s="8"/>
      <c r="KP64" s="8"/>
      <c r="KQ64" s="8"/>
      <c r="KR64" s="8"/>
      <c r="KS64" s="8"/>
      <c r="KT64" s="8"/>
      <c r="KU64" s="8"/>
      <c r="KV64" s="8"/>
      <c r="KW64" s="8"/>
      <c r="KX64" s="8"/>
      <c r="KY64" s="8"/>
      <c r="KZ64" s="8"/>
      <c r="LA64" s="8"/>
      <c r="LB64" s="8"/>
      <c r="LC64" s="8"/>
      <c r="LD64" s="8"/>
      <c r="LE64" s="8"/>
      <c r="LF64" s="8"/>
      <c r="LG64" s="8"/>
      <c r="LH64" s="8"/>
      <c r="LI64" s="8"/>
      <c r="LJ64" s="8"/>
      <c r="LK64" s="8"/>
      <c r="LL64" s="8"/>
      <c r="LM64" s="8"/>
      <c r="LN64" s="8"/>
      <c r="LO64" s="8"/>
      <c r="LP64" s="8"/>
      <c r="LQ64" s="8"/>
    </row>
    <row r="65" spans="1:329" s="7" customFormat="1" ht="15" customHeight="1" x14ac:dyDescent="0.25">
      <c r="A65" s="71">
        <v>1101223</v>
      </c>
      <c r="B65" s="46" t="s">
        <v>143</v>
      </c>
      <c r="C65" s="44" t="str">
        <f>VLOOKUP(A65,Artikeldaten!A:B,2,0)</f>
        <v>Stoffbezug - Rekid [Schwarz]</v>
      </c>
      <c r="D65" s="45">
        <v>50</v>
      </c>
      <c r="E65" s="45">
        <f t="shared" si="0"/>
        <v>84.033613445378151</v>
      </c>
      <c r="F65" s="45">
        <f t="shared" si="1"/>
        <v>100</v>
      </c>
      <c r="G65" s="41"/>
      <c r="H65" s="41"/>
      <c r="I65" s="36"/>
      <c r="J65" s="36"/>
      <c r="K65" s="35" t="s">
        <v>21</v>
      </c>
      <c r="L65" s="36"/>
      <c r="M65" s="36"/>
      <c r="N65" s="36"/>
      <c r="O65" s="36"/>
      <c r="P65" s="36"/>
      <c r="Q65" s="36"/>
      <c r="R65" s="42">
        <v>7350057583258</v>
      </c>
      <c r="S65" s="43" t="s">
        <v>313</v>
      </c>
      <c r="T65" s="43">
        <v>3.3</v>
      </c>
      <c r="U65" s="43">
        <v>2.52</v>
      </c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  <c r="BN65" s="8"/>
      <c r="BO65" s="8"/>
      <c r="BP65" s="8"/>
      <c r="BQ65" s="8"/>
      <c r="BR65" s="8"/>
      <c r="BS65" s="8"/>
      <c r="BT65" s="8"/>
      <c r="BU65" s="8"/>
      <c r="BV65" s="8"/>
      <c r="BW65" s="8"/>
      <c r="BX65" s="8"/>
      <c r="BY65" s="8"/>
      <c r="BZ65" s="8"/>
      <c r="CA65" s="8"/>
      <c r="CB65" s="8"/>
      <c r="CC65" s="8"/>
      <c r="CD65" s="8"/>
      <c r="CE65" s="8"/>
      <c r="CF65" s="8"/>
      <c r="CG65" s="8"/>
      <c r="CH65" s="8"/>
      <c r="CI65" s="8"/>
      <c r="CJ65" s="8"/>
      <c r="CK65" s="8"/>
      <c r="CL65" s="8"/>
      <c r="CM65" s="8"/>
      <c r="CN65" s="8"/>
      <c r="CO65" s="8"/>
      <c r="CP65" s="8"/>
      <c r="CQ65" s="8"/>
      <c r="CR65" s="8"/>
      <c r="CS65" s="8"/>
      <c r="CT65" s="8"/>
      <c r="CU65" s="8"/>
      <c r="CV65" s="8"/>
      <c r="CW65" s="8"/>
      <c r="CX65" s="8"/>
      <c r="CY65" s="8"/>
      <c r="CZ65" s="8"/>
      <c r="DA65" s="8"/>
      <c r="DB65" s="8"/>
      <c r="DC65" s="8"/>
      <c r="DD65" s="8"/>
      <c r="DE65" s="8"/>
      <c r="DF65" s="8"/>
      <c r="DG65" s="8"/>
      <c r="DH65" s="8"/>
      <c r="DI65" s="8"/>
      <c r="DJ65" s="8"/>
      <c r="DK65" s="8"/>
      <c r="DL65" s="8"/>
      <c r="DM65" s="8"/>
      <c r="DN65" s="8"/>
      <c r="DO65" s="8"/>
      <c r="DP65" s="8"/>
      <c r="DQ65" s="8"/>
      <c r="DR65" s="8"/>
      <c r="DS65" s="8"/>
      <c r="DT65" s="8"/>
      <c r="DU65" s="8"/>
      <c r="DV65" s="8"/>
      <c r="DW65" s="8"/>
      <c r="DX65" s="8"/>
      <c r="DY65" s="8"/>
      <c r="DZ65" s="8"/>
      <c r="EA65" s="8"/>
      <c r="EB65" s="8"/>
      <c r="EC65" s="8"/>
      <c r="ED65" s="8"/>
      <c r="EE65" s="8"/>
      <c r="EF65" s="8"/>
      <c r="EG65" s="8"/>
      <c r="EH65" s="8"/>
      <c r="EI65" s="8"/>
      <c r="EJ65" s="8"/>
      <c r="EK65" s="8"/>
      <c r="EL65" s="8"/>
      <c r="EM65" s="8"/>
      <c r="EN65" s="8"/>
      <c r="EO65" s="8"/>
      <c r="EP65" s="8"/>
      <c r="EQ65" s="8"/>
      <c r="ER65" s="8"/>
      <c r="ES65" s="8"/>
      <c r="ET65" s="8"/>
      <c r="EU65" s="8"/>
      <c r="EV65" s="8"/>
      <c r="EW65" s="8"/>
      <c r="EX65" s="8"/>
      <c r="EY65" s="8"/>
      <c r="EZ65" s="8"/>
      <c r="FA65" s="8"/>
      <c r="FB65" s="8"/>
      <c r="FC65" s="8"/>
      <c r="FD65" s="8"/>
      <c r="FE65" s="8"/>
      <c r="FF65" s="8"/>
      <c r="FG65" s="8"/>
      <c r="FH65" s="8"/>
      <c r="FI65" s="8"/>
      <c r="FJ65" s="8"/>
      <c r="FK65" s="8"/>
      <c r="FL65" s="8"/>
      <c r="FM65" s="8"/>
      <c r="FN65" s="8"/>
      <c r="FO65" s="8"/>
      <c r="FP65" s="8"/>
      <c r="FQ65" s="8"/>
      <c r="FR65" s="8"/>
      <c r="FS65" s="8"/>
      <c r="FT65" s="8"/>
      <c r="FU65" s="8"/>
      <c r="FV65" s="8"/>
      <c r="FW65" s="8"/>
      <c r="FX65" s="8"/>
      <c r="FY65" s="8"/>
      <c r="FZ65" s="8"/>
      <c r="GA65" s="8"/>
      <c r="GB65" s="8"/>
      <c r="GC65" s="8"/>
      <c r="GD65" s="8"/>
      <c r="GE65" s="8"/>
      <c r="GF65" s="8"/>
      <c r="GG65" s="8"/>
      <c r="GH65" s="8"/>
      <c r="GI65" s="8"/>
      <c r="GJ65" s="8"/>
      <c r="GK65" s="8"/>
      <c r="GL65" s="8"/>
      <c r="GM65" s="8"/>
      <c r="GN65" s="8"/>
      <c r="GO65" s="8"/>
      <c r="GP65" s="8"/>
      <c r="GQ65" s="8"/>
      <c r="GR65" s="8"/>
      <c r="GS65" s="8"/>
      <c r="GT65" s="8"/>
      <c r="GU65" s="8"/>
      <c r="GV65" s="8"/>
      <c r="GW65" s="8"/>
      <c r="GX65" s="8"/>
      <c r="GY65" s="8"/>
      <c r="GZ65" s="8"/>
      <c r="HA65" s="8"/>
      <c r="HB65" s="8"/>
      <c r="HC65" s="8"/>
      <c r="HD65" s="8"/>
      <c r="HE65" s="8"/>
      <c r="HF65" s="8"/>
      <c r="HG65" s="8"/>
      <c r="HH65" s="8"/>
      <c r="HI65" s="8"/>
      <c r="HJ65" s="8"/>
      <c r="HK65" s="8"/>
      <c r="HL65" s="8"/>
      <c r="HM65" s="8"/>
      <c r="HN65" s="8"/>
      <c r="HO65" s="8"/>
      <c r="HP65" s="8"/>
      <c r="HQ65" s="8"/>
      <c r="HR65" s="8"/>
      <c r="HS65" s="8"/>
      <c r="HT65" s="8"/>
      <c r="HU65" s="8"/>
      <c r="HV65" s="8"/>
      <c r="HW65" s="8"/>
      <c r="HX65" s="8"/>
      <c r="HY65" s="8"/>
      <c r="HZ65" s="8"/>
      <c r="IA65" s="8"/>
      <c r="IB65" s="8"/>
      <c r="IC65" s="8"/>
      <c r="ID65" s="8"/>
      <c r="IE65" s="8"/>
      <c r="IF65" s="8"/>
      <c r="IG65" s="8"/>
      <c r="IH65" s="8"/>
      <c r="II65" s="8"/>
      <c r="IJ65" s="8"/>
      <c r="IK65" s="8"/>
      <c r="IL65" s="8"/>
      <c r="IM65" s="8"/>
      <c r="IN65" s="8"/>
      <c r="IO65" s="8"/>
      <c r="IP65" s="8"/>
      <c r="IQ65" s="8"/>
      <c r="IR65" s="8"/>
      <c r="IS65" s="8"/>
      <c r="IT65" s="8"/>
      <c r="IU65" s="8"/>
      <c r="IV65" s="8"/>
      <c r="IW65" s="8"/>
      <c r="IX65" s="8"/>
      <c r="IY65" s="8"/>
      <c r="IZ65" s="8"/>
      <c r="JA65" s="8"/>
      <c r="JB65" s="8"/>
      <c r="JC65" s="8"/>
      <c r="JD65" s="8"/>
      <c r="JE65" s="8"/>
      <c r="JF65" s="8"/>
      <c r="JG65" s="8"/>
      <c r="JH65" s="8"/>
      <c r="JI65" s="8"/>
      <c r="JJ65" s="8"/>
      <c r="JK65" s="8"/>
      <c r="JL65" s="8"/>
      <c r="JM65" s="8"/>
      <c r="JN65" s="8"/>
      <c r="JO65" s="8"/>
      <c r="JP65" s="8"/>
      <c r="JQ65" s="8"/>
      <c r="JR65" s="8"/>
      <c r="JS65" s="8"/>
      <c r="JT65" s="8"/>
      <c r="JU65" s="8"/>
      <c r="JV65" s="8"/>
      <c r="JW65" s="8"/>
      <c r="JX65" s="8"/>
      <c r="JY65" s="8"/>
      <c r="JZ65" s="8"/>
      <c r="KA65" s="8"/>
      <c r="KB65" s="8"/>
      <c r="KC65" s="8"/>
      <c r="KD65" s="8"/>
      <c r="KE65" s="8"/>
      <c r="KF65" s="8"/>
      <c r="KG65" s="8"/>
      <c r="KH65" s="8"/>
      <c r="KI65" s="8"/>
      <c r="KJ65" s="8"/>
      <c r="KK65" s="8"/>
      <c r="KL65" s="8"/>
      <c r="KM65" s="8"/>
      <c r="KN65" s="8"/>
      <c r="KO65" s="8"/>
      <c r="KP65" s="8"/>
      <c r="KQ65" s="8"/>
      <c r="KR65" s="8"/>
      <c r="KS65" s="8"/>
      <c r="KT65" s="8"/>
      <c r="KU65" s="8"/>
      <c r="KV65" s="8"/>
      <c r="KW65" s="8"/>
      <c r="KX65" s="8"/>
      <c r="KY65" s="8"/>
      <c r="KZ65" s="8"/>
      <c r="LA65" s="8"/>
      <c r="LB65" s="8"/>
      <c r="LC65" s="8"/>
      <c r="LD65" s="8"/>
      <c r="LE65" s="8"/>
      <c r="LF65" s="8"/>
      <c r="LG65" s="8"/>
      <c r="LH65" s="8"/>
      <c r="LI65" s="8"/>
      <c r="LJ65" s="8"/>
      <c r="LK65" s="8"/>
      <c r="LL65" s="8"/>
      <c r="LM65" s="8"/>
      <c r="LN65" s="8"/>
      <c r="LO65" s="8"/>
      <c r="LP65" s="8"/>
      <c r="LQ65" s="8"/>
    </row>
    <row r="66" spans="1:329" s="7" customFormat="1" ht="15" customHeight="1" x14ac:dyDescent="0.25">
      <c r="A66" s="71">
        <v>1101224</v>
      </c>
      <c r="B66" s="46" t="s">
        <v>145</v>
      </c>
      <c r="C66" s="44" t="str">
        <f>VLOOKUP(A66,Artikeldaten!A:B,2,0)</f>
        <v>Stoffbezug - Rekid [Petrol]</v>
      </c>
      <c r="D66" s="45">
        <v>50</v>
      </c>
      <c r="E66" s="45">
        <f t="shared" si="0"/>
        <v>84.033613445378151</v>
      </c>
      <c r="F66" s="45">
        <f t="shared" si="1"/>
        <v>100</v>
      </c>
      <c r="G66" s="41"/>
      <c r="H66" s="41"/>
      <c r="I66" s="36"/>
      <c r="J66" s="36"/>
      <c r="K66" s="35" t="s">
        <v>21</v>
      </c>
      <c r="L66" s="36"/>
      <c r="M66" s="36"/>
      <c r="N66" s="36"/>
      <c r="O66" s="36"/>
      <c r="P66" s="36"/>
      <c r="Q66" s="36"/>
      <c r="R66" s="42">
        <v>7350057583265</v>
      </c>
      <c r="S66" s="43" t="s">
        <v>313</v>
      </c>
      <c r="T66" s="43">
        <v>3.3</v>
      </c>
      <c r="U66" s="43">
        <v>2.52</v>
      </c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  <c r="BK66" s="8"/>
      <c r="BL66" s="8"/>
      <c r="BM66" s="8"/>
      <c r="BN66" s="8"/>
      <c r="BO66" s="8"/>
      <c r="BP66" s="8"/>
      <c r="BQ66" s="8"/>
      <c r="BR66" s="8"/>
      <c r="BS66" s="8"/>
      <c r="BT66" s="8"/>
      <c r="BU66" s="8"/>
      <c r="BV66" s="8"/>
      <c r="BW66" s="8"/>
      <c r="BX66" s="8"/>
      <c r="BY66" s="8"/>
      <c r="BZ66" s="8"/>
      <c r="CA66" s="8"/>
      <c r="CB66" s="8"/>
      <c r="CC66" s="8"/>
      <c r="CD66" s="8"/>
      <c r="CE66" s="8"/>
      <c r="CF66" s="8"/>
      <c r="CG66" s="8"/>
      <c r="CH66" s="8"/>
      <c r="CI66" s="8"/>
      <c r="CJ66" s="8"/>
      <c r="CK66" s="8"/>
      <c r="CL66" s="8"/>
      <c r="CM66" s="8"/>
      <c r="CN66" s="8"/>
      <c r="CO66" s="8"/>
      <c r="CP66" s="8"/>
      <c r="CQ66" s="8"/>
      <c r="CR66" s="8"/>
      <c r="CS66" s="8"/>
      <c r="CT66" s="8"/>
      <c r="CU66" s="8"/>
      <c r="CV66" s="8"/>
      <c r="CW66" s="8"/>
      <c r="CX66" s="8"/>
      <c r="CY66" s="8"/>
      <c r="CZ66" s="8"/>
      <c r="DA66" s="8"/>
      <c r="DB66" s="8"/>
      <c r="DC66" s="8"/>
      <c r="DD66" s="8"/>
      <c r="DE66" s="8"/>
      <c r="DF66" s="8"/>
      <c r="DG66" s="8"/>
      <c r="DH66" s="8"/>
      <c r="DI66" s="8"/>
      <c r="DJ66" s="8"/>
      <c r="DK66" s="8"/>
      <c r="DL66" s="8"/>
      <c r="DM66" s="8"/>
      <c r="DN66" s="8"/>
      <c r="DO66" s="8"/>
      <c r="DP66" s="8"/>
      <c r="DQ66" s="8"/>
      <c r="DR66" s="8"/>
      <c r="DS66" s="8"/>
      <c r="DT66" s="8"/>
      <c r="DU66" s="8"/>
      <c r="DV66" s="8"/>
      <c r="DW66" s="8"/>
      <c r="DX66" s="8"/>
      <c r="DY66" s="8"/>
      <c r="DZ66" s="8"/>
      <c r="EA66" s="8"/>
      <c r="EB66" s="8"/>
      <c r="EC66" s="8"/>
      <c r="ED66" s="8"/>
      <c r="EE66" s="8"/>
      <c r="EF66" s="8"/>
      <c r="EG66" s="8"/>
      <c r="EH66" s="8"/>
      <c r="EI66" s="8"/>
      <c r="EJ66" s="8"/>
      <c r="EK66" s="8"/>
      <c r="EL66" s="8"/>
      <c r="EM66" s="8"/>
      <c r="EN66" s="8"/>
      <c r="EO66" s="8"/>
      <c r="EP66" s="8"/>
      <c r="EQ66" s="8"/>
      <c r="ER66" s="8"/>
      <c r="ES66" s="8"/>
      <c r="ET66" s="8"/>
      <c r="EU66" s="8"/>
      <c r="EV66" s="8"/>
      <c r="EW66" s="8"/>
      <c r="EX66" s="8"/>
      <c r="EY66" s="8"/>
      <c r="EZ66" s="8"/>
      <c r="FA66" s="8"/>
      <c r="FB66" s="8"/>
      <c r="FC66" s="8"/>
      <c r="FD66" s="8"/>
      <c r="FE66" s="8"/>
      <c r="FF66" s="8"/>
      <c r="FG66" s="8"/>
      <c r="FH66" s="8"/>
      <c r="FI66" s="8"/>
      <c r="FJ66" s="8"/>
      <c r="FK66" s="8"/>
      <c r="FL66" s="8"/>
      <c r="FM66" s="8"/>
      <c r="FN66" s="8"/>
      <c r="FO66" s="8"/>
      <c r="FP66" s="8"/>
      <c r="FQ66" s="8"/>
      <c r="FR66" s="8"/>
      <c r="FS66" s="8"/>
      <c r="FT66" s="8"/>
      <c r="FU66" s="8"/>
      <c r="FV66" s="8"/>
      <c r="FW66" s="8"/>
      <c r="FX66" s="8"/>
      <c r="FY66" s="8"/>
      <c r="FZ66" s="8"/>
      <c r="GA66" s="8"/>
      <c r="GB66" s="8"/>
      <c r="GC66" s="8"/>
      <c r="GD66" s="8"/>
      <c r="GE66" s="8"/>
      <c r="GF66" s="8"/>
      <c r="GG66" s="8"/>
      <c r="GH66" s="8"/>
      <c r="GI66" s="8"/>
      <c r="GJ66" s="8"/>
      <c r="GK66" s="8"/>
      <c r="GL66" s="8"/>
      <c r="GM66" s="8"/>
      <c r="GN66" s="8"/>
      <c r="GO66" s="8"/>
      <c r="GP66" s="8"/>
      <c r="GQ66" s="8"/>
      <c r="GR66" s="8"/>
      <c r="GS66" s="8"/>
      <c r="GT66" s="8"/>
      <c r="GU66" s="8"/>
      <c r="GV66" s="8"/>
      <c r="GW66" s="8"/>
      <c r="GX66" s="8"/>
      <c r="GY66" s="8"/>
      <c r="GZ66" s="8"/>
      <c r="HA66" s="8"/>
      <c r="HB66" s="8"/>
      <c r="HC66" s="8"/>
      <c r="HD66" s="8"/>
      <c r="HE66" s="8"/>
      <c r="HF66" s="8"/>
      <c r="HG66" s="8"/>
      <c r="HH66" s="8"/>
      <c r="HI66" s="8"/>
      <c r="HJ66" s="8"/>
      <c r="HK66" s="8"/>
      <c r="HL66" s="8"/>
      <c r="HM66" s="8"/>
      <c r="HN66" s="8"/>
      <c r="HO66" s="8"/>
      <c r="HP66" s="8"/>
      <c r="HQ66" s="8"/>
      <c r="HR66" s="8"/>
      <c r="HS66" s="8"/>
      <c r="HT66" s="8"/>
      <c r="HU66" s="8"/>
      <c r="HV66" s="8"/>
      <c r="HW66" s="8"/>
      <c r="HX66" s="8"/>
      <c r="HY66" s="8"/>
      <c r="HZ66" s="8"/>
      <c r="IA66" s="8"/>
      <c r="IB66" s="8"/>
      <c r="IC66" s="8"/>
      <c r="ID66" s="8"/>
      <c r="IE66" s="8"/>
      <c r="IF66" s="8"/>
      <c r="IG66" s="8"/>
      <c r="IH66" s="8"/>
      <c r="II66" s="8"/>
      <c r="IJ66" s="8"/>
      <c r="IK66" s="8"/>
      <c r="IL66" s="8"/>
      <c r="IM66" s="8"/>
      <c r="IN66" s="8"/>
      <c r="IO66" s="8"/>
      <c r="IP66" s="8"/>
      <c r="IQ66" s="8"/>
      <c r="IR66" s="8"/>
      <c r="IS66" s="8"/>
      <c r="IT66" s="8"/>
      <c r="IU66" s="8"/>
      <c r="IV66" s="8"/>
      <c r="IW66" s="8"/>
      <c r="IX66" s="8"/>
      <c r="IY66" s="8"/>
      <c r="IZ66" s="8"/>
      <c r="JA66" s="8"/>
      <c r="JB66" s="8"/>
      <c r="JC66" s="8"/>
      <c r="JD66" s="8"/>
      <c r="JE66" s="8"/>
      <c r="JF66" s="8"/>
      <c r="JG66" s="8"/>
      <c r="JH66" s="8"/>
      <c r="JI66" s="8"/>
      <c r="JJ66" s="8"/>
      <c r="JK66" s="8"/>
      <c r="JL66" s="8"/>
      <c r="JM66" s="8"/>
      <c r="JN66" s="8"/>
      <c r="JO66" s="8"/>
      <c r="JP66" s="8"/>
      <c r="JQ66" s="8"/>
      <c r="JR66" s="8"/>
      <c r="JS66" s="8"/>
      <c r="JT66" s="8"/>
      <c r="JU66" s="8"/>
      <c r="JV66" s="8"/>
      <c r="JW66" s="8"/>
      <c r="JX66" s="8"/>
      <c r="JY66" s="8"/>
      <c r="JZ66" s="8"/>
      <c r="KA66" s="8"/>
      <c r="KB66" s="8"/>
      <c r="KC66" s="8"/>
      <c r="KD66" s="8"/>
      <c r="KE66" s="8"/>
      <c r="KF66" s="8"/>
      <c r="KG66" s="8"/>
      <c r="KH66" s="8"/>
      <c r="KI66" s="8"/>
      <c r="KJ66" s="8"/>
      <c r="KK66" s="8"/>
      <c r="KL66" s="8"/>
      <c r="KM66" s="8"/>
      <c r="KN66" s="8"/>
      <c r="KO66" s="8"/>
      <c r="KP66" s="8"/>
      <c r="KQ66" s="8"/>
      <c r="KR66" s="8"/>
      <c r="KS66" s="8"/>
      <c r="KT66" s="8"/>
      <c r="KU66" s="8"/>
      <c r="KV66" s="8"/>
      <c r="KW66" s="8"/>
      <c r="KX66" s="8"/>
      <c r="KY66" s="8"/>
      <c r="KZ66" s="8"/>
      <c r="LA66" s="8"/>
      <c r="LB66" s="8"/>
      <c r="LC66" s="8"/>
      <c r="LD66" s="8"/>
      <c r="LE66" s="8"/>
      <c r="LF66" s="8"/>
      <c r="LG66" s="8"/>
      <c r="LH66" s="8"/>
      <c r="LI66" s="8"/>
      <c r="LJ66" s="8"/>
      <c r="LK66" s="8"/>
      <c r="LL66" s="8"/>
      <c r="LM66" s="8"/>
      <c r="LN66" s="8"/>
      <c r="LO66" s="8"/>
      <c r="LP66" s="8"/>
      <c r="LQ66" s="10"/>
    </row>
    <row r="67" spans="1:329" s="7" customFormat="1" ht="15" customHeight="1" x14ac:dyDescent="0.25">
      <c r="A67" s="71">
        <v>1101225</v>
      </c>
      <c r="B67" s="44" t="s">
        <v>147</v>
      </c>
      <c r="C67" s="44" t="str">
        <f>VLOOKUP(A67,Artikeldaten!A:B,2,0)</f>
        <v>Stoffbezug - Move [Grau]</v>
      </c>
      <c r="D67" s="45">
        <v>50</v>
      </c>
      <c r="E67" s="45">
        <f t="shared" si="0"/>
        <v>84.033613445378151</v>
      </c>
      <c r="F67" s="45">
        <f t="shared" si="1"/>
        <v>100</v>
      </c>
      <c r="G67" s="41"/>
      <c r="H67" s="41"/>
      <c r="I67" s="36"/>
      <c r="J67" s="35" t="s">
        <v>21</v>
      </c>
      <c r="K67" s="36"/>
      <c r="L67" s="36"/>
      <c r="M67" s="36"/>
      <c r="N67" s="36"/>
      <c r="O67" s="36"/>
      <c r="P67" s="36"/>
      <c r="Q67" s="36"/>
      <c r="R67" s="42">
        <v>7350057583272</v>
      </c>
      <c r="S67" s="43" t="s">
        <v>313</v>
      </c>
      <c r="T67" s="43">
        <v>3.2</v>
      </c>
      <c r="U67" s="43">
        <v>2.42</v>
      </c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8"/>
      <c r="BL67" s="8"/>
      <c r="BM67" s="8"/>
      <c r="BN67" s="8"/>
      <c r="BO67" s="8"/>
      <c r="BP67" s="8"/>
      <c r="BQ67" s="8"/>
      <c r="BR67" s="8"/>
      <c r="BS67" s="8"/>
      <c r="BT67" s="8"/>
      <c r="BU67" s="8"/>
      <c r="BV67" s="8"/>
      <c r="BW67" s="8"/>
      <c r="BX67" s="8"/>
      <c r="BY67" s="8"/>
      <c r="BZ67" s="8"/>
      <c r="CA67" s="8"/>
      <c r="CB67" s="8"/>
      <c r="CC67" s="8"/>
      <c r="CD67" s="8"/>
      <c r="CE67" s="8"/>
      <c r="CF67" s="8"/>
      <c r="CG67" s="8"/>
      <c r="CH67" s="8"/>
      <c r="CI67" s="8"/>
      <c r="CJ67" s="8"/>
      <c r="CK67" s="8"/>
      <c r="CL67" s="8"/>
      <c r="CM67" s="8"/>
      <c r="CN67" s="8"/>
      <c r="CO67" s="8"/>
      <c r="CP67" s="8"/>
      <c r="CQ67" s="8"/>
      <c r="CR67" s="8"/>
      <c r="CS67" s="8"/>
      <c r="CT67" s="8"/>
      <c r="CU67" s="8"/>
      <c r="CV67" s="8"/>
      <c r="CW67" s="8"/>
      <c r="CX67" s="8"/>
      <c r="CY67" s="8"/>
      <c r="CZ67" s="8"/>
      <c r="DA67" s="8"/>
      <c r="DB67" s="8"/>
      <c r="DC67" s="8"/>
      <c r="DD67" s="8"/>
      <c r="DE67" s="8"/>
      <c r="DF67" s="8"/>
      <c r="DG67" s="8"/>
      <c r="DH67" s="8"/>
      <c r="DI67" s="8"/>
      <c r="DJ67" s="8"/>
      <c r="DK67" s="8"/>
      <c r="DL67" s="8"/>
      <c r="DM67" s="8"/>
      <c r="DN67" s="8"/>
      <c r="DO67" s="8"/>
      <c r="DP67" s="8"/>
      <c r="DQ67" s="8"/>
      <c r="DR67" s="8"/>
      <c r="DS67" s="8"/>
      <c r="DT67" s="8"/>
      <c r="DU67" s="8"/>
      <c r="DV67" s="8"/>
      <c r="DW67" s="8"/>
      <c r="DX67" s="8"/>
      <c r="DY67" s="8"/>
      <c r="DZ67" s="8"/>
      <c r="EA67" s="8"/>
      <c r="EB67" s="8"/>
      <c r="EC67" s="8"/>
      <c r="ED67" s="8"/>
      <c r="EE67" s="8"/>
      <c r="EF67" s="8"/>
      <c r="EG67" s="8"/>
      <c r="EH67" s="8"/>
      <c r="EI67" s="8"/>
      <c r="EJ67" s="8"/>
      <c r="EK67" s="8"/>
      <c r="EL67" s="8"/>
      <c r="EM67" s="8"/>
      <c r="EN67" s="8"/>
      <c r="EO67" s="8"/>
      <c r="EP67" s="8"/>
      <c r="EQ67" s="8"/>
      <c r="ER67" s="8"/>
      <c r="ES67" s="8"/>
      <c r="ET67" s="8"/>
      <c r="EU67" s="8"/>
      <c r="EV67" s="8"/>
      <c r="EW67" s="8"/>
      <c r="EX67" s="8"/>
      <c r="EY67" s="8"/>
      <c r="EZ67" s="8"/>
      <c r="FA67" s="8"/>
      <c r="FB67" s="8"/>
      <c r="FC67" s="8"/>
      <c r="FD67" s="8"/>
      <c r="FE67" s="8"/>
      <c r="FF67" s="8"/>
      <c r="FG67" s="8"/>
      <c r="FH67" s="8"/>
      <c r="FI67" s="8"/>
      <c r="FJ67" s="8"/>
      <c r="FK67" s="8"/>
      <c r="FL67" s="8"/>
      <c r="FM67" s="8"/>
      <c r="FN67" s="8"/>
      <c r="FO67" s="8"/>
      <c r="FP67" s="8"/>
      <c r="FQ67" s="8"/>
      <c r="FR67" s="8"/>
      <c r="FS67" s="8"/>
      <c r="FT67" s="8"/>
      <c r="FU67" s="8"/>
      <c r="FV67" s="8"/>
      <c r="FW67" s="8"/>
      <c r="FX67" s="8"/>
      <c r="FY67" s="8"/>
      <c r="FZ67" s="8"/>
      <c r="GA67" s="8"/>
      <c r="GB67" s="8"/>
      <c r="GC67" s="8"/>
      <c r="GD67" s="8"/>
      <c r="GE67" s="8"/>
      <c r="GF67" s="8"/>
      <c r="GG67" s="8"/>
      <c r="GH67" s="8"/>
      <c r="GI67" s="8"/>
      <c r="GJ67" s="8"/>
      <c r="GK67" s="8"/>
      <c r="GL67" s="8"/>
      <c r="GM67" s="8"/>
      <c r="GN67" s="8"/>
      <c r="GO67" s="8"/>
      <c r="GP67" s="8"/>
      <c r="GQ67" s="8"/>
      <c r="GR67" s="8"/>
      <c r="GS67" s="8"/>
      <c r="GT67" s="8"/>
      <c r="GU67" s="8"/>
      <c r="GV67" s="8"/>
      <c r="GW67" s="8"/>
      <c r="GX67" s="8"/>
      <c r="GY67" s="8"/>
      <c r="GZ67" s="8"/>
      <c r="HA67" s="8"/>
      <c r="HB67" s="8"/>
      <c r="HC67" s="8"/>
      <c r="HD67" s="8"/>
      <c r="HE67" s="8"/>
      <c r="HF67" s="8"/>
      <c r="HG67" s="8"/>
      <c r="HH67" s="8"/>
      <c r="HI67" s="8"/>
      <c r="HJ67" s="8"/>
      <c r="HK67" s="8"/>
      <c r="HL67" s="8"/>
      <c r="HM67" s="8"/>
      <c r="HN67" s="8"/>
      <c r="HO67" s="8"/>
      <c r="HP67" s="8"/>
      <c r="HQ67" s="8"/>
      <c r="HR67" s="8"/>
      <c r="HS67" s="8"/>
      <c r="HT67" s="8"/>
      <c r="HU67" s="8"/>
      <c r="HV67" s="8"/>
      <c r="HW67" s="8"/>
      <c r="HX67" s="8"/>
      <c r="HY67" s="8"/>
      <c r="HZ67" s="8"/>
      <c r="IA67" s="8"/>
      <c r="IB67" s="8"/>
      <c r="IC67" s="8"/>
      <c r="ID67" s="8"/>
      <c r="IE67" s="8"/>
      <c r="IF67" s="8"/>
      <c r="IG67" s="8"/>
      <c r="IH67" s="8"/>
      <c r="II67" s="8"/>
      <c r="IJ67" s="8"/>
      <c r="IK67" s="8"/>
      <c r="IL67" s="8"/>
      <c r="IM67" s="8"/>
      <c r="IN67" s="8"/>
      <c r="IO67" s="8"/>
      <c r="IP67" s="8"/>
      <c r="IQ67" s="8"/>
      <c r="IR67" s="8"/>
      <c r="IS67" s="8"/>
      <c r="IT67" s="8"/>
      <c r="IU67" s="8"/>
      <c r="IV67" s="8"/>
      <c r="IW67" s="8"/>
      <c r="IX67" s="8"/>
      <c r="IY67" s="8"/>
      <c r="IZ67" s="8"/>
      <c r="JA67" s="8"/>
      <c r="JB67" s="8"/>
      <c r="JC67" s="8"/>
      <c r="JD67" s="8"/>
      <c r="JE67" s="8"/>
      <c r="JF67" s="8"/>
      <c r="JG67" s="8"/>
      <c r="JH67" s="8"/>
      <c r="JI67" s="8"/>
      <c r="JJ67" s="8"/>
      <c r="JK67" s="8"/>
      <c r="JL67" s="8"/>
      <c r="JM67" s="8"/>
      <c r="JN67" s="8"/>
      <c r="JO67" s="8"/>
      <c r="JP67" s="8"/>
      <c r="JQ67" s="8"/>
      <c r="JR67" s="8"/>
      <c r="JS67" s="8"/>
      <c r="JT67" s="8"/>
      <c r="JU67" s="8"/>
      <c r="JV67" s="8"/>
      <c r="JW67" s="8"/>
      <c r="JX67" s="8"/>
      <c r="JY67" s="8"/>
      <c r="JZ67" s="8"/>
      <c r="KA67" s="8"/>
      <c r="KB67" s="8"/>
      <c r="KC67" s="8"/>
      <c r="KD67" s="8"/>
      <c r="KE67" s="8"/>
      <c r="KF67" s="8"/>
      <c r="KG67" s="8"/>
      <c r="KH67" s="8"/>
      <c r="KI67" s="8"/>
      <c r="KJ67" s="8"/>
      <c r="KK67" s="8"/>
      <c r="KL67" s="8"/>
      <c r="KM67" s="8"/>
      <c r="KN67" s="8"/>
      <c r="KO67" s="8"/>
      <c r="KP67" s="8"/>
      <c r="KQ67" s="8"/>
      <c r="KR67" s="8"/>
      <c r="KS67" s="8"/>
      <c r="KT67" s="8"/>
      <c r="KU67" s="8"/>
      <c r="KV67" s="8"/>
      <c r="KW67" s="8"/>
      <c r="KX67" s="8"/>
      <c r="KY67" s="8"/>
      <c r="KZ67" s="8"/>
      <c r="LA67" s="8"/>
      <c r="LB67" s="8"/>
      <c r="LC67" s="8"/>
      <c r="LD67" s="8"/>
      <c r="LE67" s="8"/>
      <c r="LF67" s="8"/>
      <c r="LG67" s="8"/>
      <c r="LH67" s="8"/>
      <c r="LI67" s="8"/>
      <c r="LJ67" s="8"/>
      <c r="LK67" s="8"/>
      <c r="LL67" s="8"/>
      <c r="LM67" s="8"/>
      <c r="LN67" s="8"/>
      <c r="LO67" s="8"/>
      <c r="LP67" s="8"/>
      <c r="LQ67" s="8"/>
    </row>
    <row r="68" spans="1:329" s="7" customFormat="1" ht="15" customHeight="1" x14ac:dyDescent="0.25">
      <c r="A68" s="71">
        <v>1101226</v>
      </c>
      <c r="B68" s="44" t="s">
        <v>149</v>
      </c>
      <c r="C68" s="44" t="str">
        <f>VLOOKUP(A68,Artikeldaten!A:B,2,0)</f>
        <v>Stoffbezug - Move [Schwarz]</v>
      </c>
      <c r="D68" s="45">
        <v>50</v>
      </c>
      <c r="E68" s="45">
        <f t="shared" ref="E68:E131" si="2">F68/1.19</f>
        <v>84.033613445378151</v>
      </c>
      <c r="F68" s="45">
        <f t="shared" ref="F68:F131" si="3">D68*2</f>
        <v>100</v>
      </c>
      <c r="G68" s="41"/>
      <c r="H68" s="41"/>
      <c r="I68" s="36"/>
      <c r="J68" s="35" t="s">
        <v>21</v>
      </c>
      <c r="K68" s="36"/>
      <c r="L68" s="36"/>
      <c r="M68" s="36"/>
      <c r="N68" s="36"/>
      <c r="O68" s="36"/>
      <c r="P68" s="36"/>
      <c r="Q68" s="36"/>
      <c r="R68" s="42">
        <v>7350057583289</v>
      </c>
      <c r="S68" s="43" t="s">
        <v>313</v>
      </c>
      <c r="T68" s="43">
        <v>3.2</v>
      </c>
      <c r="U68" s="43">
        <v>2.42</v>
      </c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8"/>
      <c r="BK68" s="8"/>
      <c r="BL68" s="8"/>
      <c r="BM68" s="8"/>
      <c r="BN68" s="8"/>
      <c r="BO68" s="8"/>
      <c r="BP68" s="8"/>
      <c r="BQ68" s="8"/>
      <c r="BR68" s="8"/>
      <c r="BS68" s="8"/>
      <c r="BT68" s="8"/>
      <c r="BU68" s="8"/>
      <c r="BV68" s="8"/>
      <c r="BW68" s="8"/>
      <c r="BX68" s="8"/>
      <c r="BY68" s="8"/>
      <c r="BZ68" s="8"/>
      <c r="CA68" s="8"/>
      <c r="CB68" s="8"/>
      <c r="CC68" s="8"/>
      <c r="CD68" s="8"/>
      <c r="CE68" s="8"/>
      <c r="CF68" s="8"/>
      <c r="CG68" s="8"/>
      <c r="CH68" s="8"/>
      <c r="CI68" s="8"/>
      <c r="CJ68" s="8"/>
      <c r="CK68" s="8"/>
      <c r="CL68" s="8"/>
      <c r="CM68" s="8"/>
      <c r="CN68" s="8"/>
      <c r="CO68" s="8"/>
      <c r="CP68" s="8"/>
      <c r="CQ68" s="8"/>
      <c r="CR68" s="8"/>
      <c r="CS68" s="8"/>
      <c r="CT68" s="8"/>
      <c r="CU68" s="8"/>
      <c r="CV68" s="8"/>
      <c r="CW68" s="8"/>
      <c r="CX68" s="8"/>
      <c r="CY68" s="8"/>
      <c r="CZ68" s="8"/>
      <c r="DA68" s="8"/>
      <c r="DB68" s="8"/>
      <c r="DC68" s="8"/>
      <c r="DD68" s="8"/>
      <c r="DE68" s="8"/>
      <c r="DF68" s="8"/>
      <c r="DG68" s="8"/>
      <c r="DH68" s="8"/>
      <c r="DI68" s="8"/>
      <c r="DJ68" s="8"/>
      <c r="DK68" s="8"/>
      <c r="DL68" s="8"/>
      <c r="DM68" s="8"/>
      <c r="DN68" s="8"/>
      <c r="DO68" s="8"/>
      <c r="DP68" s="8"/>
      <c r="DQ68" s="8"/>
      <c r="DR68" s="8"/>
      <c r="DS68" s="8"/>
      <c r="DT68" s="8"/>
      <c r="DU68" s="8"/>
      <c r="DV68" s="8"/>
      <c r="DW68" s="8"/>
      <c r="DX68" s="8"/>
      <c r="DY68" s="8"/>
      <c r="DZ68" s="8"/>
      <c r="EA68" s="8"/>
      <c r="EB68" s="8"/>
      <c r="EC68" s="8"/>
      <c r="ED68" s="8"/>
      <c r="EE68" s="8"/>
      <c r="EF68" s="8"/>
      <c r="EG68" s="8"/>
      <c r="EH68" s="8"/>
      <c r="EI68" s="8"/>
      <c r="EJ68" s="8"/>
      <c r="EK68" s="8"/>
      <c r="EL68" s="8"/>
      <c r="EM68" s="8"/>
      <c r="EN68" s="8"/>
      <c r="EO68" s="8"/>
      <c r="EP68" s="8"/>
      <c r="EQ68" s="8"/>
      <c r="ER68" s="8"/>
      <c r="ES68" s="8"/>
      <c r="ET68" s="8"/>
      <c r="EU68" s="8"/>
      <c r="EV68" s="8"/>
      <c r="EW68" s="8"/>
      <c r="EX68" s="8"/>
      <c r="EY68" s="8"/>
      <c r="EZ68" s="8"/>
      <c r="FA68" s="8"/>
      <c r="FB68" s="8"/>
      <c r="FC68" s="8"/>
      <c r="FD68" s="8"/>
      <c r="FE68" s="8"/>
      <c r="FF68" s="8"/>
      <c r="FG68" s="8"/>
      <c r="FH68" s="8"/>
      <c r="FI68" s="8"/>
      <c r="FJ68" s="8"/>
      <c r="FK68" s="8"/>
      <c r="FL68" s="8"/>
      <c r="FM68" s="8"/>
      <c r="FN68" s="8"/>
      <c r="FO68" s="8"/>
      <c r="FP68" s="8"/>
      <c r="FQ68" s="8"/>
      <c r="FR68" s="8"/>
      <c r="FS68" s="8"/>
      <c r="FT68" s="8"/>
      <c r="FU68" s="8"/>
      <c r="FV68" s="8"/>
      <c r="FW68" s="8"/>
      <c r="FX68" s="8"/>
      <c r="FY68" s="8"/>
      <c r="FZ68" s="8"/>
      <c r="GA68" s="8"/>
      <c r="GB68" s="8"/>
      <c r="GC68" s="8"/>
      <c r="GD68" s="8"/>
      <c r="GE68" s="8"/>
      <c r="GF68" s="8"/>
      <c r="GG68" s="8"/>
      <c r="GH68" s="8"/>
      <c r="GI68" s="8"/>
      <c r="GJ68" s="8"/>
      <c r="GK68" s="8"/>
      <c r="GL68" s="8"/>
      <c r="GM68" s="8"/>
      <c r="GN68" s="8"/>
      <c r="GO68" s="8"/>
      <c r="GP68" s="8"/>
      <c r="GQ68" s="8"/>
      <c r="GR68" s="8"/>
      <c r="GS68" s="8"/>
      <c r="GT68" s="8"/>
      <c r="GU68" s="8"/>
      <c r="GV68" s="8"/>
      <c r="GW68" s="8"/>
      <c r="GX68" s="8"/>
      <c r="GY68" s="8"/>
      <c r="GZ68" s="8"/>
      <c r="HA68" s="8"/>
      <c r="HB68" s="8"/>
      <c r="HC68" s="8"/>
      <c r="HD68" s="8"/>
      <c r="HE68" s="8"/>
      <c r="HF68" s="8"/>
      <c r="HG68" s="8"/>
      <c r="HH68" s="8"/>
      <c r="HI68" s="8"/>
      <c r="HJ68" s="8"/>
      <c r="HK68" s="8"/>
      <c r="HL68" s="8"/>
      <c r="HM68" s="8"/>
      <c r="HN68" s="8"/>
      <c r="HO68" s="8"/>
      <c r="HP68" s="8"/>
      <c r="HQ68" s="8"/>
      <c r="HR68" s="8"/>
      <c r="HS68" s="8"/>
      <c r="HT68" s="8"/>
      <c r="HU68" s="8"/>
      <c r="HV68" s="8"/>
      <c r="HW68" s="8"/>
      <c r="HX68" s="8"/>
      <c r="HY68" s="8"/>
      <c r="HZ68" s="8"/>
      <c r="IA68" s="8"/>
      <c r="IB68" s="8"/>
      <c r="IC68" s="8"/>
      <c r="ID68" s="8"/>
      <c r="IE68" s="8"/>
      <c r="IF68" s="8"/>
      <c r="IG68" s="8"/>
      <c r="IH68" s="8"/>
      <c r="II68" s="8"/>
      <c r="IJ68" s="8"/>
      <c r="IK68" s="8"/>
      <c r="IL68" s="8"/>
      <c r="IM68" s="8"/>
      <c r="IN68" s="8"/>
      <c r="IO68" s="8"/>
      <c r="IP68" s="8"/>
      <c r="IQ68" s="8"/>
      <c r="IR68" s="8"/>
      <c r="IS68" s="8"/>
      <c r="IT68" s="8"/>
      <c r="IU68" s="8"/>
      <c r="IV68" s="8"/>
      <c r="IW68" s="8"/>
      <c r="IX68" s="8"/>
      <c r="IY68" s="8"/>
      <c r="IZ68" s="8"/>
      <c r="JA68" s="8"/>
      <c r="JB68" s="8"/>
      <c r="JC68" s="8"/>
      <c r="JD68" s="8"/>
      <c r="JE68" s="8"/>
      <c r="JF68" s="8"/>
      <c r="JG68" s="8"/>
      <c r="JH68" s="8"/>
      <c r="JI68" s="8"/>
      <c r="JJ68" s="8"/>
      <c r="JK68" s="8"/>
      <c r="JL68" s="8"/>
      <c r="JM68" s="8"/>
      <c r="JN68" s="8"/>
      <c r="JO68" s="8"/>
      <c r="JP68" s="8"/>
      <c r="JQ68" s="8"/>
      <c r="JR68" s="8"/>
      <c r="JS68" s="8"/>
      <c r="JT68" s="8"/>
      <c r="JU68" s="8"/>
      <c r="JV68" s="8"/>
      <c r="JW68" s="8"/>
      <c r="JX68" s="8"/>
      <c r="JY68" s="8"/>
      <c r="JZ68" s="8"/>
      <c r="KA68" s="8"/>
      <c r="KB68" s="8"/>
      <c r="KC68" s="8"/>
      <c r="KD68" s="8"/>
      <c r="KE68" s="8"/>
      <c r="KF68" s="8"/>
      <c r="KG68" s="8"/>
      <c r="KH68" s="8"/>
      <c r="KI68" s="8"/>
      <c r="KJ68" s="8"/>
      <c r="KK68" s="8"/>
      <c r="KL68" s="8"/>
      <c r="KM68" s="8"/>
      <c r="KN68" s="8"/>
      <c r="KO68" s="8"/>
      <c r="KP68" s="8"/>
      <c r="KQ68" s="8"/>
      <c r="KR68" s="8"/>
      <c r="KS68" s="8"/>
      <c r="KT68" s="8"/>
      <c r="KU68" s="8"/>
      <c r="KV68" s="8"/>
      <c r="KW68" s="8"/>
      <c r="KX68" s="8"/>
      <c r="KY68" s="8"/>
      <c r="KZ68" s="8"/>
      <c r="LA68" s="8"/>
      <c r="LB68" s="8"/>
      <c r="LC68" s="8"/>
      <c r="LD68" s="8"/>
      <c r="LE68" s="8"/>
      <c r="LF68" s="8"/>
      <c r="LG68" s="8"/>
      <c r="LH68" s="8"/>
      <c r="LI68" s="8"/>
      <c r="LJ68" s="8"/>
      <c r="LK68" s="8"/>
      <c r="LL68" s="8"/>
      <c r="LM68" s="8"/>
      <c r="LN68" s="8"/>
      <c r="LO68" s="8"/>
      <c r="LP68" s="8"/>
      <c r="LQ68" s="8"/>
    </row>
    <row r="69" spans="1:329" s="7" customFormat="1" ht="15" customHeight="1" x14ac:dyDescent="0.25">
      <c r="A69" s="71">
        <v>1101227</v>
      </c>
      <c r="B69" s="44" t="s">
        <v>151</v>
      </c>
      <c r="C69" s="44" t="str">
        <f>VLOOKUP(A69,Artikeldaten!A:B,2,0)</f>
        <v>Stoffbezug - Wolmax [Schwarz]</v>
      </c>
      <c r="D69" s="45">
        <v>50</v>
      </c>
      <c r="E69" s="45">
        <f t="shared" si="2"/>
        <v>84.033613445378151</v>
      </c>
      <c r="F69" s="45">
        <f t="shared" si="3"/>
        <v>100</v>
      </c>
      <c r="G69" s="41"/>
      <c r="H69" s="41"/>
      <c r="I69" s="36"/>
      <c r="J69" s="36"/>
      <c r="K69" s="36"/>
      <c r="L69" s="36"/>
      <c r="M69" s="36"/>
      <c r="N69" s="36"/>
      <c r="O69" s="35" t="s">
        <v>21</v>
      </c>
      <c r="P69" s="36"/>
      <c r="Q69" s="36"/>
      <c r="R69" s="42">
        <v>7350057583296</v>
      </c>
      <c r="S69" s="43" t="s">
        <v>313</v>
      </c>
      <c r="T69" s="43">
        <v>3.2</v>
      </c>
      <c r="U69" s="43">
        <v>2.42</v>
      </c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  <c r="BP69" s="8"/>
      <c r="BQ69" s="8"/>
      <c r="BR69" s="8"/>
      <c r="BS69" s="8"/>
      <c r="BT69" s="8"/>
      <c r="BU69" s="8"/>
      <c r="BV69" s="8"/>
      <c r="BW69" s="8"/>
      <c r="BX69" s="8"/>
      <c r="BY69" s="8"/>
      <c r="BZ69" s="8"/>
      <c r="CA69" s="8"/>
      <c r="CB69" s="8"/>
      <c r="CC69" s="8"/>
      <c r="CD69" s="8"/>
      <c r="CE69" s="8"/>
      <c r="CF69" s="8"/>
      <c r="CG69" s="8"/>
      <c r="CH69" s="8"/>
      <c r="CI69" s="8"/>
      <c r="CJ69" s="8"/>
      <c r="CK69" s="8"/>
      <c r="CL69" s="8"/>
      <c r="CM69" s="8"/>
      <c r="CN69" s="8"/>
      <c r="CO69" s="8"/>
      <c r="CP69" s="8"/>
      <c r="CQ69" s="8"/>
      <c r="CR69" s="8"/>
      <c r="CS69" s="8"/>
      <c r="CT69" s="8"/>
      <c r="CU69" s="8"/>
      <c r="CV69" s="8"/>
      <c r="CW69" s="8"/>
      <c r="CX69" s="8"/>
      <c r="CY69" s="8"/>
      <c r="CZ69" s="8"/>
      <c r="DA69" s="8"/>
      <c r="DB69" s="8"/>
      <c r="DC69" s="8"/>
      <c r="DD69" s="8"/>
      <c r="DE69" s="8"/>
      <c r="DF69" s="8"/>
      <c r="DG69" s="8"/>
      <c r="DH69" s="8"/>
      <c r="DI69" s="8"/>
      <c r="DJ69" s="8"/>
      <c r="DK69" s="8"/>
      <c r="DL69" s="8"/>
      <c r="DM69" s="8"/>
      <c r="DN69" s="8"/>
      <c r="DO69" s="8"/>
      <c r="DP69" s="8"/>
      <c r="DQ69" s="8"/>
      <c r="DR69" s="8"/>
      <c r="DS69" s="8"/>
      <c r="DT69" s="8"/>
      <c r="DU69" s="8"/>
      <c r="DV69" s="8"/>
      <c r="DW69" s="8"/>
      <c r="DX69" s="8"/>
      <c r="DY69" s="8"/>
      <c r="DZ69" s="8"/>
      <c r="EA69" s="8"/>
      <c r="EB69" s="8"/>
      <c r="EC69" s="8"/>
      <c r="ED69" s="8"/>
      <c r="EE69" s="8"/>
      <c r="EF69" s="8"/>
      <c r="EG69" s="8"/>
      <c r="EH69" s="8"/>
      <c r="EI69" s="8"/>
      <c r="EJ69" s="8"/>
      <c r="EK69" s="8"/>
      <c r="EL69" s="8"/>
      <c r="EM69" s="8"/>
      <c r="EN69" s="8"/>
      <c r="EO69" s="8"/>
      <c r="EP69" s="8"/>
      <c r="EQ69" s="8"/>
      <c r="ER69" s="8"/>
      <c r="ES69" s="8"/>
      <c r="ET69" s="8"/>
      <c r="EU69" s="8"/>
      <c r="EV69" s="8"/>
      <c r="EW69" s="8"/>
      <c r="EX69" s="8"/>
      <c r="EY69" s="8"/>
      <c r="EZ69" s="8"/>
      <c r="FA69" s="8"/>
      <c r="FB69" s="8"/>
      <c r="FC69" s="8"/>
      <c r="FD69" s="8"/>
      <c r="FE69" s="8"/>
      <c r="FF69" s="8"/>
      <c r="FG69" s="8"/>
      <c r="FH69" s="8"/>
      <c r="FI69" s="8"/>
      <c r="FJ69" s="8"/>
      <c r="FK69" s="8"/>
      <c r="FL69" s="8"/>
      <c r="FM69" s="8"/>
      <c r="FN69" s="8"/>
      <c r="FO69" s="8"/>
      <c r="FP69" s="8"/>
      <c r="FQ69" s="8"/>
      <c r="FR69" s="8"/>
      <c r="FS69" s="8"/>
      <c r="FT69" s="8"/>
      <c r="FU69" s="8"/>
      <c r="FV69" s="8"/>
      <c r="FW69" s="8"/>
      <c r="FX69" s="8"/>
      <c r="FY69" s="8"/>
      <c r="FZ69" s="8"/>
      <c r="GA69" s="8"/>
      <c r="GB69" s="8"/>
      <c r="GC69" s="8"/>
      <c r="GD69" s="8"/>
      <c r="GE69" s="8"/>
      <c r="GF69" s="8"/>
      <c r="GG69" s="8"/>
      <c r="GH69" s="8"/>
      <c r="GI69" s="8"/>
      <c r="GJ69" s="8"/>
      <c r="GK69" s="8"/>
      <c r="GL69" s="8"/>
      <c r="GM69" s="8"/>
      <c r="GN69" s="8"/>
      <c r="GO69" s="8"/>
      <c r="GP69" s="8"/>
      <c r="GQ69" s="8"/>
      <c r="GR69" s="8"/>
      <c r="GS69" s="8"/>
      <c r="GT69" s="8"/>
      <c r="GU69" s="8"/>
      <c r="GV69" s="8"/>
      <c r="GW69" s="8"/>
      <c r="GX69" s="8"/>
      <c r="GY69" s="8"/>
      <c r="GZ69" s="8"/>
      <c r="HA69" s="8"/>
      <c r="HB69" s="8"/>
      <c r="HC69" s="8"/>
      <c r="HD69" s="8"/>
      <c r="HE69" s="8"/>
      <c r="HF69" s="8"/>
      <c r="HG69" s="8"/>
      <c r="HH69" s="8"/>
      <c r="HI69" s="8"/>
      <c r="HJ69" s="8"/>
      <c r="HK69" s="8"/>
      <c r="HL69" s="8"/>
      <c r="HM69" s="8"/>
      <c r="HN69" s="8"/>
      <c r="HO69" s="8"/>
      <c r="HP69" s="8"/>
      <c r="HQ69" s="8"/>
      <c r="HR69" s="8"/>
      <c r="HS69" s="8"/>
      <c r="HT69" s="8"/>
      <c r="HU69" s="8"/>
      <c r="HV69" s="8"/>
      <c r="HW69" s="8"/>
      <c r="HX69" s="8"/>
      <c r="HY69" s="8"/>
      <c r="HZ69" s="8"/>
      <c r="IA69" s="8"/>
      <c r="IB69" s="8"/>
      <c r="IC69" s="8"/>
      <c r="ID69" s="8"/>
      <c r="IE69" s="8"/>
      <c r="IF69" s="8"/>
      <c r="IG69" s="8"/>
      <c r="IH69" s="8"/>
      <c r="II69" s="8"/>
      <c r="IJ69" s="8"/>
      <c r="IK69" s="8"/>
      <c r="IL69" s="8"/>
      <c r="IM69" s="8"/>
      <c r="IN69" s="8"/>
      <c r="IO69" s="8"/>
      <c r="IP69" s="8"/>
      <c r="IQ69" s="8"/>
      <c r="IR69" s="8"/>
      <c r="IS69" s="8"/>
      <c r="IT69" s="8"/>
      <c r="IU69" s="8"/>
      <c r="IV69" s="8"/>
      <c r="IW69" s="8"/>
      <c r="IX69" s="8"/>
      <c r="IY69" s="8"/>
      <c r="IZ69" s="8"/>
      <c r="JA69" s="8"/>
      <c r="JB69" s="8"/>
      <c r="JC69" s="8"/>
      <c r="JD69" s="8"/>
      <c r="JE69" s="8"/>
      <c r="JF69" s="8"/>
      <c r="JG69" s="8"/>
      <c r="JH69" s="8"/>
      <c r="JI69" s="8"/>
      <c r="JJ69" s="8"/>
      <c r="JK69" s="8"/>
      <c r="JL69" s="8"/>
      <c r="JM69" s="8"/>
      <c r="JN69" s="8"/>
      <c r="JO69" s="8"/>
      <c r="JP69" s="8"/>
      <c r="JQ69" s="8"/>
      <c r="JR69" s="8"/>
      <c r="JS69" s="8"/>
      <c r="JT69" s="8"/>
      <c r="JU69" s="8"/>
      <c r="JV69" s="8"/>
      <c r="JW69" s="8"/>
      <c r="JX69" s="8"/>
      <c r="JY69" s="8"/>
      <c r="JZ69" s="8"/>
      <c r="KA69" s="8"/>
      <c r="KB69" s="8"/>
      <c r="KC69" s="8"/>
      <c r="KD69" s="8"/>
      <c r="KE69" s="8"/>
      <c r="KF69" s="8"/>
      <c r="KG69" s="8"/>
      <c r="KH69" s="8"/>
      <c r="KI69" s="8"/>
      <c r="KJ69" s="8"/>
      <c r="KK69" s="8"/>
      <c r="KL69" s="8"/>
      <c r="KM69" s="8"/>
      <c r="KN69" s="8"/>
      <c r="KO69" s="8"/>
      <c r="KP69" s="8"/>
      <c r="KQ69" s="8"/>
      <c r="KR69" s="8"/>
      <c r="KS69" s="8"/>
      <c r="KT69" s="8"/>
      <c r="KU69" s="8"/>
      <c r="KV69" s="8"/>
      <c r="KW69" s="8"/>
      <c r="KX69" s="8"/>
      <c r="KY69" s="8"/>
      <c r="KZ69" s="8"/>
      <c r="LA69" s="8"/>
      <c r="LB69" s="8"/>
      <c r="LC69" s="8"/>
      <c r="LD69" s="8"/>
      <c r="LE69" s="8"/>
      <c r="LF69" s="8"/>
      <c r="LG69" s="8"/>
      <c r="LH69" s="8"/>
      <c r="LI69" s="8"/>
      <c r="LJ69" s="8"/>
      <c r="LK69" s="8"/>
      <c r="LL69" s="8"/>
      <c r="LM69" s="8"/>
      <c r="LN69" s="8"/>
      <c r="LO69" s="8"/>
      <c r="LP69" s="8"/>
      <c r="LQ69" s="8"/>
    </row>
    <row r="70" spans="1:329" s="7" customFormat="1" ht="15" customHeight="1" x14ac:dyDescent="0.25">
      <c r="A70" s="71">
        <v>1101228</v>
      </c>
      <c r="B70" s="46" t="s">
        <v>153</v>
      </c>
      <c r="C70" s="44" t="str">
        <f>VLOOKUP(A70,Artikeldaten!A:B,2,0)</f>
        <v>Stoffbezug - Duofix [Schwarz]</v>
      </c>
      <c r="D70" s="45">
        <v>50</v>
      </c>
      <c r="E70" s="45">
        <f t="shared" si="2"/>
        <v>84.033613445378151</v>
      </c>
      <c r="F70" s="45">
        <f t="shared" si="3"/>
        <v>100</v>
      </c>
      <c r="G70" s="41"/>
      <c r="H70" s="41"/>
      <c r="I70" s="36"/>
      <c r="J70" s="36"/>
      <c r="K70" s="36"/>
      <c r="L70" s="36"/>
      <c r="M70" s="36"/>
      <c r="N70" s="36"/>
      <c r="O70" s="36"/>
      <c r="P70" s="35" t="s">
        <v>21</v>
      </c>
      <c r="Q70" s="36"/>
      <c r="R70" s="42">
        <v>7350057583326</v>
      </c>
      <c r="S70" s="43" t="s">
        <v>311</v>
      </c>
      <c r="T70" s="43">
        <v>0.25</v>
      </c>
      <c r="U70" s="43">
        <v>0.17</v>
      </c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  <c r="BK70" s="8"/>
      <c r="BL70" s="8"/>
      <c r="BM70" s="8"/>
      <c r="BN70" s="8"/>
      <c r="BO70" s="8"/>
      <c r="BP70" s="8"/>
      <c r="BQ70" s="8"/>
      <c r="BR70" s="8"/>
      <c r="BS70" s="8"/>
      <c r="BT70" s="8"/>
      <c r="BU70" s="8"/>
      <c r="BV70" s="8"/>
      <c r="BW70" s="8"/>
      <c r="BX70" s="8"/>
      <c r="BY70" s="8"/>
      <c r="BZ70" s="8"/>
      <c r="CA70" s="8"/>
      <c r="CB70" s="8"/>
      <c r="CC70" s="8"/>
      <c r="CD70" s="8"/>
      <c r="CE70" s="8"/>
      <c r="CF70" s="8"/>
      <c r="CG70" s="8"/>
      <c r="CH70" s="8"/>
      <c r="CI70" s="8"/>
      <c r="CJ70" s="8"/>
      <c r="CK70" s="8"/>
      <c r="CL70" s="8"/>
      <c r="CM70" s="8"/>
      <c r="CN70" s="8"/>
      <c r="CO70" s="8"/>
      <c r="CP70" s="8"/>
      <c r="CQ70" s="8"/>
      <c r="CR70" s="8"/>
      <c r="CS70" s="8"/>
      <c r="CT70" s="8"/>
      <c r="CU70" s="8"/>
      <c r="CV70" s="8"/>
      <c r="CW70" s="8"/>
      <c r="CX70" s="8"/>
      <c r="CY70" s="8"/>
      <c r="CZ70" s="8"/>
      <c r="DA70" s="8"/>
      <c r="DB70" s="8"/>
      <c r="DC70" s="8"/>
      <c r="DD70" s="8"/>
      <c r="DE70" s="8"/>
      <c r="DF70" s="8"/>
      <c r="DG70" s="8"/>
      <c r="DH70" s="8"/>
      <c r="DI70" s="8"/>
      <c r="DJ70" s="8"/>
      <c r="DK70" s="8"/>
      <c r="DL70" s="8"/>
      <c r="DM70" s="8"/>
      <c r="DN70" s="8"/>
      <c r="DO70" s="8"/>
      <c r="DP70" s="8"/>
      <c r="DQ70" s="8"/>
      <c r="DR70" s="8"/>
      <c r="DS70" s="8"/>
      <c r="DT70" s="8"/>
      <c r="DU70" s="8"/>
      <c r="DV70" s="8"/>
      <c r="DW70" s="8"/>
      <c r="DX70" s="8"/>
      <c r="DY70" s="8"/>
      <c r="DZ70" s="8"/>
      <c r="EA70" s="8"/>
      <c r="EB70" s="8"/>
      <c r="EC70" s="8"/>
      <c r="ED70" s="8"/>
      <c r="EE70" s="8"/>
      <c r="EF70" s="8"/>
      <c r="EG70" s="8"/>
      <c r="EH70" s="8"/>
      <c r="EI70" s="8"/>
      <c r="EJ70" s="8"/>
      <c r="EK70" s="8"/>
      <c r="EL70" s="8"/>
      <c r="EM70" s="8"/>
      <c r="EN70" s="8"/>
      <c r="EO70" s="8"/>
      <c r="EP70" s="8"/>
      <c r="EQ70" s="8"/>
      <c r="ER70" s="8"/>
      <c r="ES70" s="8"/>
      <c r="ET70" s="8"/>
      <c r="EU70" s="8"/>
      <c r="EV70" s="8"/>
      <c r="EW70" s="8"/>
      <c r="EX70" s="8"/>
      <c r="EY70" s="8"/>
      <c r="EZ70" s="8"/>
      <c r="FA70" s="8"/>
      <c r="FB70" s="8"/>
      <c r="FC70" s="8"/>
      <c r="FD70" s="8"/>
      <c r="FE70" s="8"/>
      <c r="FF70" s="8"/>
      <c r="FG70" s="8"/>
      <c r="FH70" s="8"/>
      <c r="FI70" s="8"/>
      <c r="FJ70" s="8"/>
      <c r="FK70" s="8"/>
      <c r="FL70" s="8"/>
      <c r="FM70" s="8"/>
      <c r="FN70" s="8"/>
      <c r="FO70" s="8"/>
      <c r="FP70" s="8"/>
      <c r="FQ70" s="8"/>
      <c r="FR70" s="8"/>
      <c r="FS70" s="8"/>
      <c r="FT70" s="8"/>
      <c r="FU70" s="8"/>
      <c r="FV70" s="8"/>
      <c r="FW70" s="8"/>
      <c r="FX70" s="8"/>
      <c r="FY70" s="8"/>
      <c r="FZ70" s="8"/>
      <c r="GA70" s="8"/>
      <c r="GB70" s="8"/>
      <c r="GC70" s="8"/>
      <c r="GD70" s="8"/>
      <c r="GE70" s="8"/>
      <c r="GF70" s="8"/>
      <c r="GG70" s="8"/>
      <c r="GH70" s="8"/>
      <c r="GI70" s="8"/>
      <c r="GJ70" s="8"/>
      <c r="GK70" s="8"/>
      <c r="GL70" s="8"/>
      <c r="GM70" s="8"/>
      <c r="GN70" s="8"/>
      <c r="GO70" s="8"/>
      <c r="GP70" s="8"/>
      <c r="GQ70" s="8"/>
      <c r="GR70" s="8"/>
      <c r="GS70" s="8"/>
      <c r="GT70" s="8"/>
      <c r="GU70" s="8"/>
      <c r="GV70" s="8"/>
      <c r="GW70" s="8"/>
      <c r="GX70" s="8"/>
      <c r="GY70" s="8"/>
      <c r="GZ70" s="8"/>
      <c r="HA70" s="8"/>
      <c r="HB70" s="8"/>
      <c r="HC70" s="8"/>
      <c r="HD70" s="8"/>
      <c r="HE70" s="8"/>
      <c r="HF70" s="8"/>
      <c r="HG70" s="8"/>
      <c r="HH70" s="8"/>
      <c r="HI70" s="8"/>
      <c r="HJ70" s="8"/>
      <c r="HK70" s="8"/>
      <c r="HL70" s="8"/>
      <c r="HM70" s="8"/>
      <c r="HN70" s="8"/>
      <c r="HO70" s="8"/>
      <c r="HP70" s="8"/>
      <c r="HQ70" s="8"/>
      <c r="HR70" s="8"/>
      <c r="HS70" s="8"/>
      <c r="HT70" s="8"/>
      <c r="HU70" s="8"/>
      <c r="HV70" s="8"/>
      <c r="HW70" s="8"/>
      <c r="HX70" s="8"/>
      <c r="HY70" s="8"/>
      <c r="HZ70" s="8"/>
      <c r="IA70" s="8"/>
      <c r="IB70" s="8"/>
      <c r="IC70" s="8"/>
      <c r="ID70" s="8"/>
      <c r="IE70" s="8"/>
      <c r="IF70" s="8"/>
      <c r="IG70" s="8"/>
      <c r="IH70" s="8"/>
      <c r="II70" s="8"/>
      <c r="IJ70" s="8"/>
      <c r="IK70" s="8"/>
      <c r="IL70" s="8"/>
      <c r="IM70" s="8"/>
      <c r="IN70" s="8"/>
      <c r="IO70" s="8"/>
      <c r="IP70" s="8"/>
      <c r="IQ70" s="8"/>
      <c r="IR70" s="8"/>
      <c r="IS70" s="8"/>
      <c r="IT70" s="8"/>
      <c r="IU70" s="8"/>
      <c r="IV70" s="8"/>
      <c r="IW70" s="8"/>
      <c r="IX70" s="8"/>
      <c r="IY70" s="8"/>
      <c r="IZ70" s="8"/>
      <c r="JA70" s="8"/>
      <c r="JB70" s="8"/>
      <c r="JC70" s="8"/>
      <c r="JD70" s="8"/>
      <c r="JE70" s="8"/>
      <c r="JF70" s="8"/>
      <c r="JG70" s="8"/>
      <c r="JH70" s="8"/>
      <c r="JI70" s="8"/>
      <c r="JJ70" s="8"/>
      <c r="JK70" s="8"/>
      <c r="JL70" s="8"/>
      <c r="JM70" s="8"/>
      <c r="JN70" s="8"/>
      <c r="JO70" s="8"/>
      <c r="JP70" s="8"/>
      <c r="JQ70" s="8"/>
      <c r="JR70" s="8"/>
      <c r="JS70" s="8"/>
      <c r="JT70" s="8"/>
      <c r="JU70" s="8"/>
      <c r="JV70" s="8"/>
      <c r="JW70" s="8"/>
      <c r="JX70" s="8"/>
      <c r="JY70" s="8"/>
      <c r="JZ70" s="8"/>
      <c r="KA70" s="8"/>
      <c r="KB70" s="8"/>
      <c r="KC70" s="8"/>
      <c r="KD70" s="8"/>
      <c r="KE70" s="8"/>
      <c r="KF70" s="8"/>
      <c r="KG70" s="8"/>
      <c r="KH70" s="8"/>
      <c r="KI70" s="8"/>
      <c r="KJ70" s="8"/>
      <c r="KK70" s="8"/>
      <c r="KL70" s="8"/>
      <c r="KM70" s="8"/>
      <c r="KN70" s="8"/>
      <c r="KO70" s="8"/>
      <c r="KP70" s="8"/>
      <c r="KQ70" s="8"/>
      <c r="KR70" s="8"/>
      <c r="KS70" s="8"/>
      <c r="KT70" s="8"/>
      <c r="KU70" s="8"/>
      <c r="KV70" s="8"/>
      <c r="KW70" s="8"/>
      <c r="KX70" s="8"/>
      <c r="KY70" s="8"/>
      <c r="KZ70" s="8"/>
      <c r="LA70" s="8"/>
      <c r="LB70" s="8"/>
      <c r="LC70" s="8"/>
      <c r="LD70" s="8"/>
      <c r="LE70" s="8"/>
      <c r="LF70" s="8"/>
      <c r="LG70" s="8"/>
      <c r="LH70" s="8"/>
      <c r="LI70" s="8"/>
      <c r="LJ70" s="8"/>
      <c r="LK70" s="8"/>
      <c r="LL70" s="8"/>
      <c r="LM70" s="8"/>
      <c r="LN70" s="8"/>
      <c r="LO70" s="8"/>
      <c r="LP70" s="8"/>
      <c r="LQ70" s="8"/>
    </row>
    <row r="71" spans="1:329" s="7" customFormat="1" ht="15" customHeight="1" x14ac:dyDescent="0.25">
      <c r="A71" s="71">
        <v>1101229</v>
      </c>
      <c r="B71" s="46" t="s">
        <v>155</v>
      </c>
      <c r="C71" s="44" t="str">
        <f>VLOOKUP(A71,Artikeldaten!A:B,2,0)</f>
        <v>Stoffbezug - Kidzone [Schwarz]</v>
      </c>
      <c r="D71" s="45">
        <v>50</v>
      </c>
      <c r="E71" s="45">
        <f t="shared" si="2"/>
        <v>84.033613445378151</v>
      </c>
      <c r="F71" s="45">
        <f t="shared" si="3"/>
        <v>100</v>
      </c>
      <c r="G71" s="41"/>
      <c r="H71" s="41"/>
      <c r="I71" s="36"/>
      <c r="J71" s="36"/>
      <c r="K71" s="36"/>
      <c r="L71" s="36"/>
      <c r="M71" s="36"/>
      <c r="N71" s="36"/>
      <c r="O71" s="36"/>
      <c r="P71" s="36"/>
      <c r="Q71" s="35" t="s">
        <v>21</v>
      </c>
      <c r="R71" s="42">
        <v>7350057583364</v>
      </c>
      <c r="S71" s="43" t="s">
        <v>316</v>
      </c>
      <c r="T71" s="43">
        <v>0.7</v>
      </c>
      <c r="U71" s="43">
        <v>0.5</v>
      </c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8"/>
      <c r="BK71" s="8"/>
      <c r="BL71" s="8"/>
      <c r="BM71" s="8"/>
      <c r="BN71" s="8"/>
      <c r="BO71" s="8"/>
      <c r="BP71" s="8"/>
      <c r="BQ71" s="8"/>
      <c r="BR71" s="8"/>
      <c r="BS71" s="8"/>
      <c r="BT71" s="8"/>
      <c r="BU71" s="8"/>
      <c r="BV71" s="8"/>
      <c r="BW71" s="8"/>
      <c r="BX71" s="8"/>
      <c r="BY71" s="8"/>
      <c r="BZ71" s="8"/>
      <c r="CA71" s="8"/>
      <c r="CB71" s="8"/>
      <c r="CC71" s="8"/>
      <c r="CD71" s="8"/>
      <c r="CE71" s="8"/>
      <c r="CF71" s="8"/>
      <c r="CG71" s="8"/>
      <c r="CH71" s="8"/>
      <c r="CI71" s="8"/>
      <c r="CJ71" s="8"/>
      <c r="CK71" s="8"/>
      <c r="CL71" s="8"/>
      <c r="CM71" s="8"/>
      <c r="CN71" s="8"/>
      <c r="CO71" s="8"/>
      <c r="CP71" s="8"/>
      <c r="CQ71" s="8"/>
      <c r="CR71" s="8"/>
      <c r="CS71" s="8"/>
      <c r="CT71" s="8"/>
      <c r="CU71" s="8"/>
      <c r="CV71" s="8"/>
      <c r="CW71" s="8"/>
      <c r="CX71" s="8"/>
      <c r="CY71" s="8"/>
      <c r="CZ71" s="8"/>
      <c r="DA71" s="8"/>
      <c r="DB71" s="8"/>
      <c r="DC71" s="8"/>
      <c r="DD71" s="8"/>
      <c r="DE71" s="8"/>
      <c r="DF71" s="8"/>
      <c r="DG71" s="8"/>
      <c r="DH71" s="8"/>
      <c r="DI71" s="8"/>
      <c r="DJ71" s="8"/>
      <c r="DK71" s="8"/>
      <c r="DL71" s="8"/>
      <c r="DM71" s="8"/>
      <c r="DN71" s="8"/>
      <c r="DO71" s="8"/>
      <c r="DP71" s="8"/>
      <c r="DQ71" s="8"/>
      <c r="DR71" s="8"/>
      <c r="DS71" s="8"/>
      <c r="DT71" s="8"/>
      <c r="DU71" s="8"/>
      <c r="DV71" s="8"/>
      <c r="DW71" s="8"/>
      <c r="DX71" s="8"/>
      <c r="DY71" s="8"/>
      <c r="DZ71" s="8"/>
      <c r="EA71" s="8"/>
      <c r="EB71" s="8"/>
      <c r="EC71" s="8"/>
      <c r="ED71" s="8"/>
      <c r="EE71" s="8"/>
      <c r="EF71" s="8"/>
      <c r="EG71" s="8"/>
      <c r="EH71" s="8"/>
      <c r="EI71" s="8"/>
      <c r="EJ71" s="8"/>
      <c r="EK71" s="8"/>
      <c r="EL71" s="8"/>
      <c r="EM71" s="8"/>
      <c r="EN71" s="8"/>
      <c r="EO71" s="8"/>
      <c r="EP71" s="8"/>
      <c r="EQ71" s="8"/>
      <c r="ER71" s="8"/>
      <c r="ES71" s="8"/>
      <c r="ET71" s="8"/>
      <c r="EU71" s="8"/>
      <c r="EV71" s="8"/>
      <c r="EW71" s="8"/>
      <c r="EX71" s="8"/>
      <c r="EY71" s="8"/>
      <c r="EZ71" s="8"/>
      <c r="FA71" s="8"/>
      <c r="FB71" s="8"/>
      <c r="FC71" s="8"/>
      <c r="FD71" s="8"/>
      <c r="FE71" s="8"/>
      <c r="FF71" s="8"/>
      <c r="FG71" s="8"/>
      <c r="FH71" s="8"/>
      <c r="FI71" s="8"/>
      <c r="FJ71" s="8"/>
      <c r="FK71" s="8"/>
      <c r="FL71" s="8"/>
      <c r="FM71" s="8"/>
      <c r="FN71" s="8"/>
      <c r="FO71" s="8"/>
      <c r="FP71" s="8"/>
      <c r="FQ71" s="8"/>
      <c r="FR71" s="8"/>
      <c r="FS71" s="8"/>
      <c r="FT71" s="8"/>
      <c r="FU71" s="8"/>
      <c r="FV71" s="8"/>
      <c r="FW71" s="8"/>
      <c r="FX71" s="8"/>
      <c r="FY71" s="8"/>
      <c r="FZ71" s="8"/>
      <c r="GA71" s="8"/>
      <c r="GB71" s="8"/>
      <c r="GC71" s="8"/>
      <c r="GD71" s="8"/>
      <c r="GE71" s="8"/>
      <c r="GF71" s="8"/>
      <c r="GG71" s="8"/>
      <c r="GH71" s="8"/>
      <c r="GI71" s="8"/>
      <c r="GJ71" s="8"/>
      <c r="GK71" s="8"/>
      <c r="GL71" s="8"/>
      <c r="GM71" s="8"/>
      <c r="GN71" s="8"/>
      <c r="GO71" s="8"/>
      <c r="GP71" s="8"/>
      <c r="GQ71" s="8"/>
      <c r="GR71" s="8"/>
      <c r="GS71" s="8"/>
      <c r="GT71" s="8"/>
      <c r="GU71" s="8"/>
      <c r="GV71" s="8"/>
      <c r="GW71" s="8"/>
      <c r="GX71" s="8"/>
      <c r="GY71" s="8"/>
      <c r="GZ71" s="8"/>
      <c r="HA71" s="8"/>
      <c r="HB71" s="8"/>
      <c r="HC71" s="8"/>
      <c r="HD71" s="8"/>
      <c r="HE71" s="8"/>
      <c r="HF71" s="8"/>
      <c r="HG71" s="8"/>
      <c r="HH71" s="8"/>
      <c r="HI71" s="8"/>
      <c r="HJ71" s="8"/>
      <c r="HK71" s="8"/>
      <c r="HL71" s="8"/>
      <c r="HM71" s="8"/>
      <c r="HN71" s="8"/>
      <c r="HO71" s="8"/>
      <c r="HP71" s="8"/>
      <c r="HQ71" s="8"/>
      <c r="HR71" s="8"/>
      <c r="HS71" s="8"/>
      <c r="HT71" s="8"/>
      <c r="HU71" s="8"/>
      <c r="HV71" s="8"/>
      <c r="HW71" s="8"/>
      <c r="HX71" s="8"/>
      <c r="HY71" s="8"/>
      <c r="HZ71" s="8"/>
      <c r="IA71" s="8"/>
      <c r="IB71" s="8"/>
      <c r="IC71" s="8"/>
      <c r="ID71" s="8"/>
      <c r="IE71" s="8"/>
      <c r="IF71" s="8"/>
      <c r="IG71" s="8"/>
      <c r="IH71" s="8"/>
      <c r="II71" s="8"/>
      <c r="IJ71" s="8"/>
      <c r="IK71" s="8"/>
      <c r="IL71" s="8"/>
      <c r="IM71" s="8"/>
      <c r="IN71" s="8"/>
      <c r="IO71" s="8"/>
      <c r="IP71" s="8"/>
      <c r="IQ71" s="8"/>
      <c r="IR71" s="8"/>
      <c r="IS71" s="8"/>
      <c r="IT71" s="8"/>
      <c r="IU71" s="8"/>
      <c r="IV71" s="8"/>
      <c r="IW71" s="8"/>
      <c r="IX71" s="8"/>
      <c r="IY71" s="8"/>
      <c r="IZ71" s="8"/>
      <c r="JA71" s="8"/>
      <c r="JB71" s="8"/>
      <c r="JC71" s="8"/>
      <c r="JD71" s="8"/>
      <c r="JE71" s="8"/>
      <c r="JF71" s="8"/>
      <c r="JG71" s="8"/>
      <c r="JH71" s="8"/>
      <c r="JI71" s="8"/>
      <c r="JJ71" s="8"/>
      <c r="JK71" s="8"/>
      <c r="JL71" s="8"/>
      <c r="JM71" s="8"/>
      <c r="JN71" s="8"/>
      <c r="JO71" s="8"/>
      <c r="JP71" s="8"/>
      <c r="JQ71" s="8"/>
      <c r="JR71" s="8"/>
      <c r="JS71" s="8"/>
      <c r="JT71" s="8"/>
      <c r="JU71" s="8"/>
      <c r="JV71" s="8"/>
      <c r="JW71" s="8"/>
      <c r="JX71" s="8"/>
      <c r="JY71" s="8"/>
      <c r="JZ71" s="8"/>
      <c r="KA71" s="8"/>
      <c r="KB71" s="8"/>
      <c r="KC71" s="8"/>
      <c r="KD71" s="8"/>
      <c r="KE71" s="8"/>
      <c r="KF71" s="8"/>
      <c r="KG71" s="8"/>
      <c r="KH71" s="8"/>
      <c r="KI71" s="8"/>
      <c r="KJ71" s="8"/>
      <c r="KK71" s="8"/>
      <c r="KL71" s="8"/>
      <c r="KM71" s="8"/>
      <c r="KN71" s="8"/>
      <c r="KO71" s="8"/>
      <c r="KP71" s="8"/>
      <c r="KQ71" s="8"/>
      <c r="KR71" s="8"/>
      <c r="KS71" s="8"/>
      <c r="KT71" s="8"/>
      <c r="KU71" s="8"/>
      <c r="KV71" s="8"/>
      <c r="KW71" s="8"/>
      <c r="KX71" s="8"/>
      <c r="KY71" s="8"/>
      <c r="KZ71" s="8"/>
      <c r="LA71" s="8"/>
      <c r="LB71" s="8"/>
      <c r="LC71" s="8"/>
      <c r="LD71" s="8"/>
      <c r="LE71" s="8"/>
      <c r="LF71" s="8"/>
      <c r="LG71" s="8"/>
      <c r="LH71" s="8"/>
      <c r="LI71" s="8"/>
      <c r="LJ71" s="8"/>
      <c r="LK71" s="8"/>
      <c r="LL71" s="8"/>
      <c r="LM71" s="8"/>
      <c r="LN71" s="8"/>
      <c r="LO71" s="8"/>
      <c r="LP71" s="8"/>
      <c r="LQ71" s="8"/>
    </row>
    <row r="72" spans="1:329" s="7" customFormat="1" ht="15" customHeight="1" x14ac:dyDescent="0.25">
      <c r="A72" s="71">
        <v>1101230</v>
      </c>
      <c r="B72" s="44" t="s">
        <v>157</v>
      </c>
      <c r="C72" s="44" t="str">
        <f>VLOOKUP(A72,Artikeldaten!A:B,2,0)</f>
        <v xml:space="preserve">Schulterpolster Set - Move &amp; Wolmax [Schwarz]                </v>
      </c>
      <c r="D72" s="45">
        <v>10</v>
      </c>
      <c r="E72" s="45">
        <f t="shared" si="2"/>
        <v>16.806722689075631</v>
      </c>
      <c r="F72" s="45">
        <f t="shared" si="3"/>
        <v>20</v>
      </c>
      <c r="G72" s="41"/>
      <c r="H72" s="41"/>
      <c r="I72" s="35"/>
      <c r="J72" s="35" t="s">
        <v>21</v>
      </c>
      <c r="K72" s="35"/>
      <c r="L72" s="36"/>
      <c r="M72" s="36"/>
      <c r="N72" s="35"/>
      <c r="O72" s="35" t="s">
        <v>21</v>
      </c>
      <c r="P72" s="36"/>
      <c r="Q72" s="36"/>
      <c r="R72" s="42">
        <v>7350057583548</v>
      </c>
      <c r="S72" s="43" t="s">
        <v>311</v>
      </c>
      <c r="T72" s="43">
        <v>0.23</v>
      </c>
      <c r="U72" s="43">
        <v>0.17</v>
      </c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  <c r="BJ72" s="8"/>
      <c r="BK72" s="8"/>
      <c r="BL72" s="8"/>
      <c r="BM72" s="8"/>
      <c r="BN72" s="8"/>
      <c r="BO72" s="8"/>
      <c r="BP72" s="8"/>
      <c r="BQ72" s="8"/>
      <c r="BR72" s="8"/>
      <c r="BS72" s="8"/>
      <c r="BT72" s="8"/>
      <c r="BU72" s="8"/>
      <c r="BV72" s="8"/>
      <c r="BW72" s="8"/>
      <c r="BX72" s="8"/>
      <c r="BY72" s="8"/>
      <c r="BZ72" s="8"/>
      <c r="CA72" s="8"/>
      <c r="CB72" s="8"/>
      <c r="CC72" s="8"/>
      <c r="CD72" s="8"/>
      <c r="CE72" s="8"/>
      <c r="CF72" s="8"/>
      <c r="CG72" s="8"/>
      <c r="CH72" s="8"/>
      <c r="CI72" s="8"/>
      <c r="CJ72" s="8"/>
      <c r="CK72" s="8"/>
      <c r="CL72" s="8"/>
      <c r="CM72" s="8"/>
      <c r="CN72" s="8"/>
      <c r="CO72" s="8"/>
      <c r="CP72" s="8"/>
      <c r="CQ72" s="8"/>
      <c r="CR72" s="8"/>
      <c r="CS72" s="8"/>
      <c r="CT72" s="8"/>
      <c r="CU72" s="8"/>
      <c r="CV72" s="8"/>
      <c r="CW72" s="8"/>
      <c r="CX72" s="8"/>
      <c r="CY72" s="8"/>
      <c r="CZ72" s="8"/>
      <c r="DA72" s="8"/>
      <c r="DB72" s="8"/>
      <c r="DC72" s="8"/>
      <c r="DD72" s="8"/>
      <c r="DE72" s="8"/>
      <c r="DF72" s="8"/>
      <c r="DG72" s="8"/>
      <c r="DH72" s="8"/>
      <c r="DI72" s="8"/>
      <c r="DJ72" s="8"/>
      <c r="DK72" s="8"/>
      <c r="DL72" s="8"/>
      <c r="DM72" s="8"/>
      <c r="DN72" s="8"/>
      <c r="DO72" s="8"/>
      <c r="DP72" s="8"/>
      <c r="DQ72" s="8"/>
      <c r="DR72" s="8"/>
      <c r="DS72" s="8"/>
      <c r="DT72" s="8"/>
      <c r="DU72" s="8"/>
      <c r="DV72" s="8"/>
      <c r="DW72" s="8"/>
      <c r="DX72" s="8"/>
      <c r="DY72" s="8"/>
      <c r="DZ72" s="8"/>
      <c r="EA72" s="8"/>
      <c r="EB72" s="8"/>
      <c r="EC72" s="8"/>
      <c r="ED72" s="8"/>
      <c r="EE72" s="8"/>
      <c r="EF72" s="8"/>
      <c r="EG72" s="8"/>
      <c r="EH72" s="8"/>
      <c r="EI72" s="8"/>
      <c r="EJ72" s="8"/>
      <c r="EK72" s="8"/>
      <c r="EL72" s="8"/>
      <c r="EM72" s="8"/>
      <c r="EN72" s="8"/>
      <c r="EO72" s="8"/>
      <c r="EP72" s="8"/>
      <c r="EQ72" s="8"/>
      <c r="ER72" s="8"/>
      <c r="ES72" s="8"/>
      <c r="ET72" s="8"/>
      <c r="EU72" s="8"/>
      <c r="EV72" s="8"/>
      <c r="EW72" s="8"/>
      <c r="EX72" s="8"/>
      <c r="EY72" s="8"/>
      <c r="EZ72" s="8"/>
      <c r="FA72" s="8"/>
      <c r="FB72" s="8"/>
      <c r="FC72" s="8"/>
      <c r="FD72" s="8"/>
      <c r="FE72" s="8"/>
      <c r="FF72" s="8"/>
      <c r="FG72" s="8"/>
      <c r="FH72" s="8"/>
      <c r="FI72" s="8"/>
      <c r="FJ72" s="8"/>
      <c r="FK72" s="8"/>
      <c r="FL72" s="8"/>
      <c r="FM72" s="8"/>
      <c r="FN72" s="8"/>
      <c r="FO72" s="8"/>
      <c r="FP72" s="8"/>
      <c r="FQ72" s="8"/>
      <c r="FR72" s="8"/>
      <c r="FS72" s="8"/>
      <c r="FT72" s="8"/>
      <c r="FU72" s="8"/>
      <c r="FV72" s="8"/>
      <c r="FW72" s="8"/>
      <c r="FX72" s="8"/>
      <c r="FY72" s="8"/>
      <c r="FZ72" s="8"/>
      <c r="GA72" s="8"/>
      <c r="GB72" s="8"/>
      <c r="GC72" s="8"/>
      <c r="GD72" s="8"/>
      <c r="GE72" s="8"/>
      <c r="GF72" s="8"/>
      <c r="GG72" s="8"/>
      <c r="GH72" s="8"/>
      <c r="GI72" s="8"/>
      <c r="GJ72" s="8"/>
      <c r="GK72" s="8"/>
      <c r="GL72" s="8"/>
      <c r="GM72" s="8"/>
      <c r="GN72" s="8"/>
      <c r="GO72" s="8"/>
      <c r="GP72" s="8"/>
      <c r="GQ72" s="8"/>
      <c r="GR72" s="8"/>
      <c r="GS72" s="8"/>
      <c r="GT72" s="8"/>
      <c r="GU72" s="8"/>
      <c r="GV72" s="8"/>
      <c r="GW72" s="8"/>
      <c r="GX72" s="8"/>
      <c r="GY72" s="8"/>
      <c r="GZ72" s="8"/>
      <c r="HA72" s="8"/>
      <c r="HB72" s="8"/>
      <c r="HC72" s="8"/>
      <c r="HD72" s="8"/>
      <c r="HE72" s="8"/>
      <c r="HF72" s="8"/>
      <c r="HG72" s="8"/>
      <c r="HH72" s="8"/>
      <c r="HI72" s="8"/>
      <c r="HJ72" s="8"/>
      <c r="HK72" s="8"/>
      <c r="HL72" s="8"/>
      <c r="HM72" s="8"/>
      <c r="HN72" s="8"/>
      <c r="HO72" s="8"/>
      <c r="HP72" s="8"/>
      <c r="HQ72" s="8"/>
      <c r="HR72" s="8"/>
      <c r="HS72" s="8"/>
      <c r="HT72" s="8"/>
      <c r="HU72" s="8"/>
      <c r="HV72" s="8"/>
      <c r="HW72" s="8"/>
      <c r="HX72" s="8"/>
      <c r="HY72" s="8"/>
      <c r="HZ72" s="8"/>
      <c r="IA72" s="8"/>
      <c r="IB72" s="8"/>
      <c r="IC72" s="8"/>
      <c r="ID72" s="8"/>
      <c r="IE72" s="8"/>
      <c r="IF72" s="8"/>
      <c r="IG72" s="8"/>
      <c r="IH72" s="8"/>
      <c r="II72" s="8"/>
      <c r="IJ72" s="8"/>
      <c r="IK72" s="8"/>
      <c r="IL72" s="8"/>
      <c r="IM72" s="8"/>
      <c r="IN72" s="8"/>
      <c r="IO72" s="8"/>
      <c r="IP72" s="8"/>
      <c r="IQ72" s="8"/>
      <c r="IR72" s="8"/>
      <c r="IS72" s="8"/>
      <c r="IT72" s="8"/>
      <c r="IU72" s="8"/>
      <c r="IV72" s="8"/>
      <c r="IW72" s="8"/>
      <c r="IX72" s="8"/>
      <c r="IY72" s="8"/>
      <c r="IZ72" s="8"/>
      <c r="JA72" s="8"/>
      <c r="JB72" s="8"/>
      <c r="JC72" s="8"/>
      <c r="JD72" s="8"/>
      <c r="JE72" s="8"/>
      <c r="JF72" s="8"/>
      <c r="JG72" s="8"/>
      <c r="JH72" s="8"/>
      <c r="JI72" s="8"/>
      <c r="JJ72" s="8"/>
      <c r="JK72" s="8"/>
      <c r="JL72" s="8"/>
      <c r="JM72" s="8"/>
      <c r="JN72" s="8"/>
      <c r="JO72" s="8"/>
      <c r="JP72" s="8"/>
      <c r="JQ72" s="8"/>
      <c r="JR72" s="8"/>
      <c r="JS72" s="8"/>
      <c r="JT72" s="8"/>
      <c r="JU72" s="8"/>
      <c r="JV72" s="8"/>
      <c r="JW72" s="8"/>
      <c r="JX72" s="8"/>
      <c r="JY72" s="8"/>
      <c r="JZ72" s="8"/>
      <c r="KA72" s="8"/>
      <c r="KB72" s="8"/>
      <c r="KC72" s="8"/>
      <c r="KD72" s="8"/>
      <c r="KE72" s="8"/>
      <c r="KF72" s="8"/>
      <c r="KG72" s="8"/>
      <c r="KH72" s="8"/>
      <c r="KI72" s="8"/>
      <c r="KJ72" s="8"/>
      <c r="KK72" s="8"/>
      <c r="KL72" s="8"/>
      <c r="KM72" s="8"/>
      <c r="KN72" s="8"/>
      <c r="KO72" s="8"/>
      <c r="KP72" s="8"/>
      <c r="KQ72" s="8"/>
      <c r="KR72" s="8"/>
      <c r="KS72" s="8"/>
      <c r="KT72" s="8"/>
      <c r="KU72" s="8"/>
      <c r="KV72" s="8"/>
      <c r="KW72" s="8"/>
      <c r="KX72" s="8"/>
      <c r="KY72" s="8"/>
      <c r="KZ72" s="8"/>
      <c r="LA72" s="8"/>
      <c r="LB72" s="8"/>
      <c r="LC72" s="8"/>
      <c r="LD72" s="8"/>
      <c r="LE72" s="8"/>
      <c r="LF72" s="8"/>
      <c r="LG72" s="8"/>
      <c r="LH72" s="8"/>
      <c r="LI72" s="8"/>
      <c r="LJ72" s="8"/>
      <c r="LK72" s="8"/>
      <c r="LL72" s="8"/>
      <c r="LM72" s="8"/>
      <c r="LN72" s="8"/>
      <c r="LO72" s="8"/>
      <c r="LP72" s="8"/>
      <c r="LQ72" s="8"/>
    </row>
    <row r="73" spans="1:329" s="7" customFormat="1" ht="15" customHeight="1" x14ac:dyDescent="0.25">
      <c r="A73" s="71">
        <v>1101231</v>
      </c>
      <c r="B73" s="44" t="s">
        <v>159</v>
      </c>
      <c r="C73" s="44" t="str">
        <f>VLOOKUP(A73,Artikeldaten!A:B,2,0)</f>
        <v>Gurtschlosspolster - Move &amp; Wolmax [Schwarz]</v>
      </c>
      <c r="D73" s="45">
        <v>3</v>
      </c>
      <c r="E73" s="45">
        <f t="shared" si="2"/>
        <v>5.0420168067226889</v>
      </c>
      <c r="F73" s="45">
        <f t="shared" si="3"/>
        <v>6</v>
      </c>
      <c r="G73" s="41"/>
      <c r="H73" s="41"/>
      <c r="I73" s="36"/>
      <c r="J73" s="35" t="s">
        <v>21</v>
      </c>
      <c r="K73" s="36"/>
      <c r="L73" s="36"/>
      <c r="M73" s="36"/>
      <c r="N73" s="36"/>
      <c r="O73" s="35" t="s">
        <v>21</v>
      </c>
      <c r="P73" s="36"/>
      <c r="Q73" s="36"/>
      <c r="R73" s="42">
        <v>7350057583647</v>
      </c>
      <c r="S73" s="43" t="s">
        <v>320</v>
      </c>
      <c r="T73" s="43">
        <v>0.69</v>
      </c>
      <c r="U73" s="43">
        <v>0.47</v>
      </c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8"/>
      <c r="BK73" s="8"/>
      <c r="BL73" s="8"/>
      <c r="BM73" s="8"/>
      <c r="BN73" s="8"/>
      <c r="BO73" s="8"/>
      <c r="BP73" s="8"/>
      <c r="BQ73" s="8"/>
      <c r="BR73" s="8"/>
      <c r="BS73" s="8"/>
      <c r="BT73" s="8"/>
      <c r="BU73" s="8"/>
      <c r="BV73" s="8"/>
      <c r="BW73" s="8"/>
      <c r="BX73" s="8"/>
      <c r="BY73" s="8"/>
      <c r="BZ73" s="8"/>
      <c r="CA73" s="8"/>
      <c r="CB73" s="8"/>
      <c r="CC73" s="8"/>
      <c r="CD73" s="8"/>
      <c r="CE73" s="8"/>
      <c r="CF73" s="8"/>
      <c r="CG73" s="8"/>
      <c r="CH73" s="8"/>
      <c r="CI73" s="8"/>
      <c r="CJ73" s="8"/>
      <c r="CK73" s="8"/>
      <c r="CL73" s="8"/>
      <c r="CM73" s="8"/>
      <c r="CN73" s="8"/>
      <c r="CO73" s="8"/>
      <c r="CP73" s="8"/>
      <c r="CQ73" s="8"/>
      <c r="CR73" s="8"/>
      <c r="CS73" s="8"/>
      <c r="CT73" s="8"/>
      <c r="CU73" s="8"/>
      <c r="CV73" s="8"/>
      <c r="CW73" s="8"/>
      <c r="CX73" s="8"/>
      <c r="CY73" s="8"/>
      <c r="CZ73" s="8"/>
      <c r="DA73" s="8"/>
      <c r="DB73" s="8"/>
      <c r="DC73" s="8"/>
      <c r="DD73" s="8"/>
      <c r="DE73" s="8"/>
      <c r="DF73" s="8"/>
      <c r="DG73" s="8"/>
      <c r="DH73" s="8"/>
      <c r="DI73" s="8"/>
      <c r="DJ73" s="8"/>
      <c r="DK73" s="8"/>
      <c r="DL73" s="8"/>
      <c r="DM73" s="8"/>
      <c r="DN73" s="8"/>
      <c r="DO73" s="8"/>
      <c r="DP73" s="8"/>
      <c r="DQ73" s="8"/>
      <c r="DR73" s="8"/>
      <c r="DS73" s="8"/>
      <c r="DT73" s="8"/>
      <c r="DU73" s="8"/>
      <c r="DV73" s="8"/>
      <c r="DW73" s="8"/>
      <c r="DX73" s="8"/>
      <c r="DY73" s="8"/>
      <c r="DZ73" s="8"/>
      <c r="EA73" s="8"/>
      <c r="EB73" s="8"/>
      <c r="EC73" s="8"/>
      <c r="ED73" s="8"/>
      <c r="EE73" s="8"/>
      <c r="EF73" s="8"/>
      <c r="EG73" s="8"/>
      <c r="EH73" s="8"/>
      <c r="EI73" s="8"/>
      <c r="EJ73" s="8"/>
      <c r="EK73" s="8"/>
      <c r="EL73" s="8"/>
      <c r="EM73" s="8"/>
      <c r="EN73" s="8"/>
      <c r="EO73" s="8"/>
      <c r="EP73" s="8"/>
      <c r="EQ73" s="8"/>
      <c r="ER73" s="8"/>
      <c r="ES73" s="8"/>
      <c r="ET73" s="8"/>
      <c r="EU73" s="8"/>
      <c r="EV73" s="8"/>
      <c r="EW73" s="8"/>
      <c r="EX73" s="8"/>
      <c r="EY73" s="8"/>
      <c r="EZ73" s="8"/>
      <c r="FA73" s="8"/>
      <c r="FB73" s="8"/>
      <c r="FC73" s="8"/>
      <c r="FD73" s="8"/>
      <c r="FE73" s="8"/>
      <c r="FF73" s="8"/>
      <c r="FG73" s="8"/>
      <c r="FH73" s="8"/>
      <c r="FI73" s="8"/>
      <c r="FJ73" s="8"/>
      <c r="FK73" s="8"/>
      <c r="FL73" s="8"/>
      <c r="FM73" s="8"/>
      <c r="FN73" s="8"/>
      <c r="FO73" s="8"/>
      <c r="FP73" s="8"/>
      <c r="FQ73" s="8"/>
      <c r="FR73" s="8"/>
      <c r="FS73" s="8"/>
      <c r="FT73" s="8"/>
      <c r="FU73" s="8"/>
      <c r="FV73" s="8"/>
      <c r="FW73" s="8"/>
      <c r="FX73" s="8"/>
      <c r="FY73" s="8"/>
      <c r="FZ73" s="8"/>
      <c r="GA73" s="8"/>
      <c r="GB73" s="8"/>
      <c r="GC73" s="8"/>
      <c r="GD73" s="8"/>
      <c r="GE73" s="8"/>
      <c r="GF73" s="8"/>
      <c r="GG73" s="8"/>
      <c r="GH73" s="8"/>
      <c r="GI73" s="8"/>
      <c r="GJ73" s="8"/>
      <c r="GK73" s="8"/>
      <c r="GL73" s="8"/>
      <c r="GM73" s="8"/>
      <c r="GN73" s="8"/>
      <c r="GO73" s="8"/>
      <c r="GP73" s="8"/>
      <c r="GQ73" s="8"/>
      <c r="GR73" s="8"/>
      <c r="GS73" s="8"/>
      <c r="GT73" s="8"/>
      <c r="GU73" s="8"/>
      <c r="GV73" s="8"/>
      <c r="GW73" s="8"/>
      <c r="GX73" s="8"/>
      <c r="GY73" s="8"/>
      <c r="GZ73" s="8"/>
      <c r="HA73" s="8"/>
      <c r="HB73" s="8"/>
      <c r="HC73" s="8"/>
      <c r="HD73" s="8"/>
      <c r="HE73" s="8"/>
      <c r="HF73" s="8"/>
      <c r="HG73" s="8"/>
      <c r="HH73" s="8"/>
      <c r="HI73" s="8"/>
      <c r="HJ73" s="8"/>
      <c r="HK73" s="8"/>
      <c r="HL73" s="8"/>
      <c r="HM73" s="8"/>
      <c r="HN73" s="8"/>
      <c r="HO73" s="8"/>
      <c r="HP73" s="8"/>
      <c r="HQ73" s="8"/>
      <c r="HR73" s="8"/>
      <c r="HS73" s="8"/>
      <c r="HT73" s="8"/>
      <c r="HU73" s="8"/>
      <c r="HV73" s="8"/>
      <c r="HW73" s="8"/>
      <c r="HX73" s="8"/>
      <c r="HY73" s="8"/>
      <c r="HZ73" s="8"/>
      <c r="IA73" s="8"/>
      <c r="IB73" s="8"/>
      <c r="IC73" s="8"/>
      <c r="ID73" s="8"/>
      <c r="IE73" s="8"/>
      <c r="IF73" s="8"/>
      <c r="IG73" s="8"/>
      <c r="IH73" s="8"/>
      <c r="II73" s="8"/>
      <c r="IJ73" s="8"/>
      <c r="IK73" s="8"/>
      <c r="IL73" s="8"/>
      <c r="IM73" s="8"/>
      <c r="IN73" s="8"/>
      <c r="IO73" s="8"/>
      <c r="IP73" s="8"/>
      <c r="IQ73" s="8"/>
      <c r="IR73" s="8"/>
      <c r="IS73" s="8"/>
      <c r="IT73" s="8"/>
      <c r="IU73" s="8"/>
      <c r="IV73" s="8"/>
      <c r="IW73" s="8"/>
      <c r="IX73" s="8"/>
      <c r="IY73" s="8"/>
      <c r="IZ73" s="8"/>
      <c r="JA73" s="8"/>
      <c r="JB73" s="8"/>
      <c r="JC73" s="8"/>
      <c r="JD73" s="8"/>
      <c r="JE73" s="8"/>
      <c r="JF73" s="8"/>
      <c r="JG73" s="8"/>
      <c r="JH73" s="8"/>
      <c r="JI73" s="8"/>
      <c r="JJ73" s="8"/>
      <c r="JK73" s="8"/>
      <c r="JL73" s="8"/>
      <c r="JM73" s="8"/>
      <c r="JN73" s="8"/>
      <c r="JO73" s="8"/>
      <c r="JP73" s="8"/>
      <c r="JQ73" s="8"/>
      <c r="JR73" s="8"/>
      <c r="JS73" s="8"/>
      <c r="JT73" s="8"/>
      <c r="JU73" s="8"/>
      <c r="JV73" s="8"/>
      <c r="JW73" s="8"/>
      <c r="JX73" s="8"/>
      <c r="JY73" s="8"/>
      <c r="JZ73" s="8"/>
      <c r="KA73" s="8"/>
      <c r="KB73" s="8"/>
      <c r="KC73" s="8"/>
      <c r="KD73" s="8"/>
      <c r="KE73" s="8"/>
      <c r="KF73" s="8"/>
      <c r="KG73" s="8"/>
      <c r="KH73" s="8"/>
      <c r="KI73" s="8"/>
      <c r="KJ73" s="8"/>
      <c r="KK73" s="8"/>
      <c r="KL73" s="8"/>
      <c r="KM73" s="8"/>
      <c r="KN73" s="8"/>
      <c r="KO73" s="8"/>
      <c r="KP73" s="8"/>
      <c r="KQ73" s="8"/>
      <c r="KR73" s="8"/>
      <c r="KS73" s="8"/>
      <c r="KT73" s="8"/>
      <c r="KU73" s="8"/>
      <c r="KV73" s="8"/>
      <c r="KW73" s="8"/>
      <c r="KX73" s="8"/>
      <c r="KY73" s="8"/>
      <c r="KZ73" s="8"/>
      <c r="LA73" s="8"/>
      <c r="LB73" s="8"/>
      <c r="LC73" s="8"/>
      <c r="LD73" s="8"/>
      <c r="LE73" s="8"/>
      <c r="LF73" s="8"/>
      <c r="LG73" s="8"/>
      <c r="LH73" s="8"/>
      <c r="LI73" s="8"/>
      <c r="LJ73" s="8"/>
      <c r="LK73" s="8"/>
      <c r="LL73" s="8"/>
      <c r="LM73" s="8"/>
      <c r="LN73" s="8"/>
      <c r="LO73" s="8"/>
      <c r="LP73" s="8"/>
      <c r="LQ73" s="8"/>
    </row>
    <row r="74" spans="1:329" s="7" customFormat="1" ht="15" customHeight="1" x14ac:dyDescent="0.25">
      <c r="A74" s="70">
        <v>1101232</v>
      </c>
      <c r="B74" s="33" t="s">
        <v>161</v>
      </c>
      <c r="C74" s="33" t="str">
        <f>VLOOKUP(A74,Artikeldaten!A:B,2,0)</f>
        <v>Kopfstütze - Move &amp; Wolmax</v>
      </c>
      <c r="D74" s="34">
        <v>12</v>
      </c>
      <c r="E74" s="34">
        <f t="shared" si="2"/>
        <v>20.168067226890756</v>
      </c>
      <c r="F74" s="34">
        <f t="shared" si="3"/>
        <v>24</v>
      </c>
      <c r="G74" s="41"/>
      <c r="H74" s="41"/>
      <c r="I74" s="36"/>
      <c r="J74" s="35" t="s">
        <v>21</v>
      </c>
      <c r="K74" s="36"/>
      <c r="L74" s="36"/>
      <c r="M74" s="36"/>
      <c r="N74" s="36"/>
      <c r="O74" s="35" t="s">
        <v>21</v>
      </c>
      <c r="P74" s="36"/>
      <c r="Q74" s="36"/>
      <c r="R74" s="42">
        <v>7350057583784</v>
      </c>
      <c r="S74" s="43" t="s">
        <v>321</v>
      </c>
      <c r="T74" s="43">
        <v>0.32</v>
      </c>
      <c r="U74" s="43">
        <v>0.11</v>
      </c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</row>
    <row r="75" spans="1:329" s="7" customFormat="1" ht="15" customHeight="1" x14ac:dyDescent="0.25">
      <c r="A75" s="71">
        <v>1101236</v>
      </c>
      <c r="B75" s="46" t="s">
        <v>163</v>
      </c>
      <c r="C75" s="44" t="str">
        <f>VLOOKUP(A75,Artikeldaten!A:B,2,0)</f>
        <v>Stoffbezug - Duofix [Rot]</v>
      </c>
      <c r="D75" s="45">
        <v>50</v>
      </c>
      <c r="E75" s="45">
        <f t="shared" si="2"/>
        <v>84.033613445378151</v>
      </c>
      <c r="F75" s="45">
        <f t="shared" si="3"/>
        <v>100</v>
      </c>
      <c r="G75" s="41"/>
      <c r="H75" s="41"/>
      <c r="I75" s="36"/>
      <c r="J75" s="36"/>
      <c r="K75" s="36"/>
      <c r="L75" s="36"/>
      <c r="M75" s="36"/>
      <c r="N75" s="36"/>
      <c r="O75" s="36"/>
      <c r="P75" s="35" t="s">
        <v>21</v>
      </c>
      <c r="Q75" s="36"/>
      <c r="R75" s="42">
        <v>7350057583302</v>
      </c>
      <c r="S75" s="43" t="s">
        <v>313</v>
      </c>
      <c r="T75" s="43">
        <v>3.2</v>
      </c>
      <c r="U75" s="43">
        <v>2.42</v>
      </c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  <c r="BK75" s="8"/>
      <c r="BL75" s="8"/>
      <c r="BM75" s="8"/>
      <c r="BN75" s="8"/>
      <c r="BO75" s="8"/>
      <c r="BP75" s="8"/>
      <c r="BQ75" s="8"/>
      <c r="BR75" s="8"/>
      <c r="BS75" s="8"/>
      <c r="BT75" s="8"/>
      <c r="BU75" s="8"/>
      <c r="BV75" s="8"/>
      <c r="BW75" s="8"/>
      <c r="BX75" s="8"/>
      <c r="BY75" s="8"/>
      <c r="BZ75" s="8"/>
      <c r="CA75" s="8"/>
      <c r="CB75" s="8"/>
      <c r="CC75" s="8"/>
      <c r="CD75" s="8"/>
      <c r="CE75" s="8"/>
      <c r="CF75" s="8"/>
      <c r="CG75" s="8"/>
      <c r="CH75" s="8"/>
      <c r="CI75" s="8"/>
      <c r="CJ75" s="8"/>
      <c r="CK75" s="8"/>
      <c r="CL75" s="8"/>
      <c r="CM75" s="8"/>
      <c r="CN75" s="8"/>
      <c r="CO75" s="8"/>
      <c r="CP75" s="8"/>
      <c r="CQ75" s="8"/>
      <c r="CR75" s="8"/>
      <c r="CS75" s="8"/>
      <c r="CT75" s="8"/>
      <c r="CU75" s="8"/>
      <c r="CV75" s="8"/>
      <c r="CW75" s="8"/>
      <c r="CX75" s="8"/>
      <c r="CY75" s="8"/>
      <c r="CZ75" s="8"/>
      <c r="DA75" s="8"/>
      <c r="DB75" s="8"/>
      <c r="DC75" s="8"/>
      <c r="DD75" s="8"/>
      <c r="DE75" s="8"/>
      <c r="DF75" s="8"/>
      <c r="DG75" s="8"/>
      <c r="DH75" s="8"/>
      <c r="DI75" s="8"/>
      <c r="DJ75" s="8"/>
      <c r="DK75" s="8"/>
      <c r="DL75" s="8"/>
      <c r="DM75" s="8"/>
      <c r="DN75" s="8"/>
      <c r="DO75" s="8"/>
      <c r="DP75" s="8"/>
      <c r="DQ75" s="8"/>
      <c r="DR75" s="8"/>
      <c r="DS75" s="8"/>
      <c r="DT75" s="8"/>
      <c r="DU75" s="8"/>
      <c r="DV75" s="8"/>
      <c r="DW75" s="8"/>
      <c r="DX75" s="8"/>
      <c r="DY75" s="8"/>
      <c r="DZ75" s="8"/>
      <c r="EA75" s="8"/>
      <c r="EB75" s="8"/>
      <c r="EC75" s="8"/>
      <c r="ED75" s="8"/>
      <c r="EE75" s="8"/>
      <c r="EF75" s="8"/>
      <c r="EG75" s="8"/>
      <c r="EH75" s="8"/>
      <c r="EI75" s="8"/>
      <c r="EJ75" s="8"/>
      <c r="EK75" s="8"/>
      <c r="EL75" s="8"/>
      <c r="EM75" s="8"/>
      <c r="EN75" s="8"/>
      <c r="EO75" s="8"/>
      <c r="EP75" s="8"/>
      <c r="EQ75" s="8"/>
      <c r="ER75" s="8"/>
      <c r="ES75" s="8"/>
      <c r="ET75" s="8"/>
      <c r="EU75" s="8"/>
      <c r="EV75" s="8"/>
      <c r="EW75" s="8"/>
      <c r="EX75" s="8"/>
      <c r="EY75" s="8"/>
      <c r="EZ75" s="8"/>
      <c r="FA75" s="8"/>
      <c r="FB75" s="8"/>
      <c r="FC75" s="8"/>
      <c r="FD75" s="8"/>
      <c r="FE75" s="8"/>
      <c r="FF75" s="8"/>
      <c r="FG75" s="8"/>
      <c r="FH75" s="8"/>
      <c r="FI75" s="8"/>
      <c r="FJ75" s="8"/>
      <c r="FK75" s="8"/>
      <c r="FL75" s="8"/>
      <c r="FM75" s="8"/>
      <c r="FN75" s="8"/>
      <c r="FO75" s="8"/>
      <c r="FP75" s="8"/>
      <c r="FQ75" s="8"/>
      <c r="FR75" s="8"/>
      <c r="FS75" s="8"/>
      <c r="FT75" s="8"/>
      <c r="FU75" s="8"/>
      <c r="FV75" s="8"/>
      <c r="FW75" s="8"/>
      <c r="FX75" s="8"/>
      <c r="FY75" s="8"/>
      <c r="FZ75" s="8"/>
      <c r="GA75" s="8"/>
      <c r="GB75" s="8"/>
      <c r="GC75" s="8"/>
      <c r="GD75" s="8"/>
      <c r="GE75" s="8"/>
      <c r="GF75" s="8"/>
      <c r="GG75" s="8"/>
      <c r="GH75" s="8"/>
      <c r="GI75" s="8"/>
      <c r="GJ75" s="8"/>
      <c r="GK75" s="8"/>
      <c r="GL75" s="8"/>
      <c r="GM75" s="8"/>
      <c r="GN75" s="8"/>
      <c r="GO75" s="8"/>
      <c r="GP75" s="8"/>
      <c r="GQ75" s="8"/>
      <c r="GR75" s="8"/>
      <c r="GS75" s="8"/>
      <c r="GT75" s="8"/>
      <c r="GU75" s="8"/>
      <c r="GV75" s="8"/>
      <c r="GW75" s="8"/>
      <c r="GX75" s="8"/>
      <c r="GY75" s="8"/>
      <c r="GZ75" s="8"/>
      <c r="HA75" s="8"/>
      <c r="HB75" s="8"/>
      <c r="HC75" s="8"/>
      <c r="HD75" s="8"/>
      <c r="HE75" s="8"/>
      <c r="HF75" s="8"/>
      <c r="HG75" s="8"/>
      <c r="HH75" s="8"/>
      <c r="HI75" s="8"/>
      <c r="HJ75" s="8"/>
      <c r="HK75" s="8"/>
      <c r="HL75" s="8"/>
      <c r="HM75" s="8"/>
      <c r="HN75" s="8"/>
      <c r="HO75" s="8"/>
      <c r="HP75" s="8"/>
      <c r="HQ75" s="8"/>
      <c r="HR75" s="8"/>
      <c r="HS75" s="8"/>
      <c r="HT75" s="8"/>
      <c r="HU75" s="8"/>
      <c r="HV75" s="8"/>
      <c r="HW75" s="8"/>
      <c r="HX75" s="8"/>
      <c r="HY75" s="8"/>
      <c r="HZ75" s="8"/>
      <c r="IA75" s="8"/>
      <c r="IB75" s="8"/>
      <c r="IC75" s="8"/>
      <c r="ID75" s="8"/>
      <c r="IE75" s="8"/>
      <c r="IF75" s="8"/>
      <c r="IG75" s="8"/>
      <c r="IH75" s="8"/>
      <c r="II75" s="8"/>
      <c r="IJ75" s="8"/>
      <c r="IK75" s="8"/>
      <c r="IL75" s="8"/>
      <c r="IM75" s="8"/>
      <c r="IN75" s="8"/>
      <c r="IO75" s="8"/>
      <c r="IP75" s="8"/>
      <c r="IQ75" s="8"/>
      <c r="IR75" s="8"/>
      <c r="IS75" s="8"/>
      <c r="IT75" s="8"/>
      <c r="IU75" s="8"/>
      <c r="IV75" s="8"/>
      <c r="IW75" s="8"/>
      <c r="IX75" s="8"/>
      <c r="IY75" s="8"/>
      <c r="IZ75" s="8"/>
      <c r="JA75" s="8"/>
      <c r="JB75" s="8"/>
      <c r="JC75" s="8"/>
      <c r="JD75" s="8"/>
      <c r="JE75" s="8"/>
      <c r="JF75" s="8"/>
      <c r="JG75" s="8"/>
      <c r="JH75" s="8"/>
      <c r="JI75" s="8"/>
      <c r="JJ75" s="8"/>
      <c r="JK75" s="8"/>
      <c r="JL75" s="8"/>
      <c r="JM75" s="8"/>
      <c r="JN75" s="8"/>
      <c r="JO75" s="8"/>
      <c r="JP75" s="8"/>
      <c r="JQ75" s="8"/>
      <c r="JR75" s="8"/>
      <c r="JS75" s="8"/>
      <c r="JT75" s="8"/>
      <c r="JU75" s="8"/>
      <c r="JV75" s="8"/>
      <c r="JW75" s="8"/>
      <c r="JX75" s="8"/>
      <c r="JY75" s="8"/>
      <c r="JZ75" s="8"/>
      <c r="KA75" s="8"/>
      <c r="KB75" s="8"/>
      <c r="KC75" s="8"/>
      <c r="KD75" s="8"/>
      <c r="KE75" s="8"/>
      <c r="KF75" s="8"/>
      <c r="KG75" s="8"/>
      <c r="KH75" s="8"/>
      <c r="KI75" s="8"/>
      <c r="KJ75" s="8"/>
      <c r="KK75" s="8"/>
      <c r="KL75" s="8"/>
      <c r="KM75" s="8"/>
      <c r="KN75" s="8"/>
      <c r="KO75" s="8"/>
      <c r="KP75" s="8"/>
      <c r="KQ75" s="8"/>
      <c r="KR75" s="8"/>
      <c r="KS75" s="8"/>
      <c r="KT75" s="8"/>
      <c r="KU75" s="8"/>
      <c r="KV75" s="8"/>
      <c r="KW75" s="8"/>
      <c r="KX75" s="8"/>
      <c r="KY75" s="8"/>
      <c r="KZ75" s="8"/>
      <c r="LA75" s="8"/>
      <c r="LB75" s="8"/>
      <c r="LC75" s="8"/>
      <c r="LD75" s="8"/>
      <c r="LE75" s="8"/>
      <c r="LF75" s="8"/>
      <c r="LG75" s="8"/>
      <c r="LH75" s="8"/>
      <c r="LI75" s="8"/>
      <c r="LJ75" s="8"/>
      <c r="LK75" s="8"/>
      <c r="LL75" s="8"/>
      <c r="LM75" s="8"/>
      <c r="LN75" s="8"/>
      <c r="LO75" s="8"/>
      <c r="LP75" s="8"/>
      <c r="LQ75" s="8"/>
    </row>
    <row r="76" spans="1:329" s="7" customFormat="1" ht="15" customHeight="1" x14ac:dyDescent="0.25">
      <c r="A76" s="71">
        <v>1101237</v>
      </c>
      <c r="B76" s="46" t="s">
        <v>165</v>
      </c>
      <c r="C76" s="44" t="str">
        <f>VLOOKUP(A76,Artikeldaten!A:B,2,0)</f>
        <v>Stoffbezug - Duofix [Grau]</v>
      </c>
      <c r="D76" s="45">
        <v>50</v>
      </c>
      <c r="E76" s="45">
        <f t="shared" si="2"/>
        <v>84.033613445378151</v>
      </c>
      <c r="F76" s="45">
        <f t="shared" si="3"/>
        <v>100</v>
      </c>
      <c r="G76" s="41"/>
      <c r="H76" s="41"/>
      <c r="I76" s="36"/>
      <c r="J76" s="36"/>
      <c r="K76" s="36"/>
      <c r="L76" s="36"/>
      <c r="M76" s="36"/>
      <c r="N76" s="36"/>
      <c r="O76" s="36"/>
      <c r="P76" s="35" t="s">
        <v>21</v>
      </c>
      <c r="Q76" s="36"/>
      <c r="R76" s="42">
        <v>7350057583319</v>
      </c>
      <c r="S76" s="43" t="s">
        <v>328</v>
      </c>
      <c r="T76" s="43" t="s">
        <v>328</v>
      </c>
      <c r="U76" s="43">
        <v>0.21</v>
      </c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/>
      <c r="BK76" s="8"/>
      <c r="BL76" s="8"/>
      <c r="BM76" s="8"/>
      <c r="BN76" s="8"/>
      <c r="BO76" s="8"/>
      <c r="BP76" s="8"/>
      <c r="BQ76" s="8"/>
      <c r="BR76" s="8"/>
      <c r="BS76" s="8"/>
      <c r="BT76" s="8"/>
      <c r="BU76" s="8"/>
      <c r="BV76" s="8"/>
      <c r="BW76" s="8"/>
      <c r="BX76" s="8"/>
      <c r="BY76" s="8"/>
      <c r="BZ76" s="8"/>
      <c r="CA76" s="8"/>
      <c r="CB76" s="8"/>
      <c r="CC76" s="8"/>
      <c r="CD76" s="8"/>
      <c r="CE76" s="8"/>
      <c r="CF76" s="8"/>
      <c r="CG76" s="8"/>
      <c r="CH76" s="8"/>
      <c r="CI76" s="8"/>
      <c r="CJ76" s="8"/>
      <c r="CK76" s="8"/>
      <c r="CL76" s="8"/>
      <c r="CM76" s="8"/>
      <c r="CN76" s="8"/>
      <c r="CO76" s="8"/>
      <c r="CP76" s="8"/>
      <c r="CQ76" s="8"/>
      <c r="CR76" s="8"/>
      <c r="CS76" s="8"/>
      <c r="CT76" s="8"/>
      <c r="CU76" s="8"/>
      <c r="CV76" s="8"/>
      <c r="CW76" s="8"/>
      <c r="CX76" s="8"/>
      <c r="CY76" s="8"/>
      <c r="CZ76" s="8"/>
      <c r="DA76" s="8"/>
      <c r="DB76" s="8"/>
      <c r="DC76" s="8"/>
      <c r="DD76" s="8"/>
      <c r="DE76" s="8"/>
      <c r="DF76" s="8"/>
      <c r="DG76" s="8"/>
      <c r="DH76" s="8"/>
      <c r="DI76" s="8"/>
      <c r="DJ76" s="8"/>
      <c r="DK76" s="8"/>
      <c r="DL76" s="8"/>
      <c r="DM76" s="8"/>
      <c r="DN76" s="8"/>
      <c r="DO76" s="8"/>
      <c r="DP76" s="8"/>
      <c r="DQ76" s="8"/>
      <c r="DR76" s="8"/>
      <c r="DS76" s="8"/>
      <c r="DT76" s="8"/>
      <c r="DU76" s="8"/>
      <c r="DV76" s="8"/>
      <c r="DW76" s="8"/>
      <c r="DX76" s="8"/>
      <c r="DY76" s="8"/>
      <c r="DZ76" s="8"/>
      <c r="EA76" s="8"/>
      <c r="EB76" s="8"/>
      <c r="EC76" s="8"/>
      <c r="ED76" s="8"/>
      <c r="EE76" s="8"/>
      <c r="EF76" s="8"/>
      <c r="EG76" s="8"/>
      <c r="EH76" s="8"/>
      <c r="EI76" s="8"/>
      <c r="EJ76" s="8"/>
      <c r="EK76" s="8"/>
      <c r="EL76" s="8"/>
      <c r="EM76" s="8"/>
      <c r="EN76" s="8"/>
      <c r="EO76" s="8"/>
      <c r="EP76" s="8"/>
      <c r="EQ76" s="8"/>
      <c r="ER76" s="8"/>
      <c r="ES76" s="8"/>
      <c r="ET76" s="8"/>
      <c r="EU76" s="8"/>
      <c r="EV76" s="8"/>
      <c r="EW76" s="8"/>
      <c r="EX76" s="8"/>
      <c r="EY76" s="8"/>
      <c r="EZ76" s="8"/>
      <c r="FA76" s="8"/>
      <c r="FB76" s="8"/>
      <c r="FC76" s="8"/>
      <c r="FD76" s="8"/>
      <c r="FE76" s="8"/>
      <c r="FF76" s="8"/>
      <c r="FG76" s="8"/>
      <c r="FH76" s="8"/>
      <c r="FI76" s="8"/>
      <c r="FJ76" s="8"/>
      <c r="FK76" s="8"/>
      <c r="FL76" s="8"/>
      <c r="FM76" s="8"/>
      <c r="FN76" s="8"/>
      <c r="FO76" s="8"/>
      <c r="FP76" s="8"/>
      <c r="FQ76" s="8"/>
      <c r="FR76" s="8"/>
      <c r="FS76" s="8"/>
      <c r="FT76" s="8"/>
      <c r="FU76" s="8"/>
      <c r="FV76" s="8"/>
      <c r="FW76" s="8"/>
      <c r="FX76" s="8"/>
      <c r="FY76" s="8"/>
      <c r="FZ76" s="8"/>
      <c r="GA76" s="8"/>
      <c r="GB76" s="8"/>
      <c r="GC76" s="8"/>
      <c r="GD76" s="8"/>
      <c r="GE76" s="8"/>
      <c r="GF76" s="8"/>
      <c r="GG76" s="8"/>
      <c r="GH76" s="8"/>
      <c r="GI76" s="8"/>
      <c r="GJ76" s="8"/>
      <c r="GK76" s="8"/>
      <c r="GL76" s="8"/>
      <c r="GM76" s="8"/>
      <c r="GN76" s="8"/>
      <c r="GO76" s="8"/>
      <c r="GP76" s="8"/>
      <c r="GQ76" s="8"/>
      <c r="GR76" s="8"/>
      <c r="GS76" s="8"/>
      <c r="GT76" s="8"/>
      <c r="GU76" s="8"/>
      <c r="GV76" s="8"/>
      <c r="GW76" s="8"/>
      <c r="GX76" s="8"/>
      <c r="GY76" s="8"/>
      <c r="GZ76" s="8"/>
      <c r="HA76" s="8"/>
      <c r="HB76" s="8"/>
      <c r="HC76" s="8"/>
      <c r="HD76" s="8"/>
      <c r="HE76" s="8"/>
      <c r="HF76" s="8"/>
      <c r="HG76" s="8"/>
      <c r="HH76" s="8"/>
      <c r="HI76" s="8"/>
      <c r="HJ76" s="8"/>
      <c r="HK76" s="8"/>
      <c r="HL76" s="8"/>
      <c r="HM76" s="8"/>
      <c r="HN76" s="8"/>
      <c r="HO76" s="8"/>
      <c r="HP76" s="8"/>
      <c r="HQ76" s="8"/>
      <c r="HR76" s="8"/>
      <c r="HS76" s="8"/>
      <c r="HT76" s="8"/>
      <c r="HU76" s="8"/>
      <c r="HV76" s="8"/>
      <c r="HW76" s="8"/>
      <c r="HX76" s="8"/>
      <c r="HY76" s="8"/>
      <c r="HZ76" s="8"/>
      <c r="IA76" s="8"/>
      <c r="IB76" s="8"/>
      <c r="IC76" s="8"/>
      <c r="ID76" s="8"/>
      <c r="IE76" s="8"/>
      <c r="IF76" s="8"/>
      <c r="IG76" s="8"/>
      <c r="IH76" s="8"/>
      <c r="II76" s="8"/>
      <c r="IJ76" s="8"/>
      <c r="IK76" s="8"/>
      <c r="IL76" s="8"/>
      <c r="IM76" s="8"/>
      <c r="IN76" s="8"/>
      <c r="IO76" s="8"/>
      <c r="IP76" s="8"/>
      <c r="IQ76" s="8"/>
      <c r="IR76" s="8"/>
      <c r="IS76" s="8"/>
      <c r="IT76" s="8"/>
      <c r="IU76" s="8"/>
      <c r="IV76" s="8"/>
      <c r="IW76" s="8"/>
      <c r="IX76" s="8"/>
      <c r="IY76" s="8"/>
      <c r="IZ76" s="8"/>
      <c r="JA76" s="8"/>
      <c r="JB76" s="8"/>
      <c r="JC76" s="8"/>
      <c r="JD76" s="8"/>
      <c r="JE76" s="8"/>
      <c r="JF76" s="8"/>
      <c r="JG76" s="8"/>
      <c r="JH76" s="8"/>
      <c r="JI76" s="8"/>
      <c r="JJ76" s="8"/>
      <c r="JK76" s="8"/>
      <c r="JL76" s="8"/>
      <c r="JM76" s="8"/>
      <c r="JN76" s="8"/>
      <c r="JO76" s="8"/>
      <c r="JP76" s="8"/>
      <c r="JQ76" s="8"/>
      <c r="JR76" s="8"/>
      <c r="JS76" s="8"/>
      <c r="JT76" s="8"/>
      <c r="JU76" s="8"/>
      <c r="JV76" s="8"/>
      <c r="JW76" s="8"/>
      <c r="JX76" s="8"/>
      <c r="JY76" s="8"/>
      <c r="JZ76" s="8"/>
      <c r="KA76" s="8"/>
      <c r="KB76" s="8"/>
      <c r="KC76" s="8"/>
      <c r="KD76" s="8"/>
      <c r="KE76" s="8"/>
      <c r="KF76" s="8"/>
      <c r="KG76" s="8"/>
      <c r="KH76" s="8"/>
      <c r="KI76" s="8"/>
      <c r="KJ76" s="8"/>
      <c r="KK76" s="8"/>
      <c r="KL76" s="8"/>
      <c r="KM76" s="8"/>
      <c r="KN76" s="8"/>
      <c r="KO76" s="8"/>
      <c r="KP76" s="8"/>
      <c r="KQ76" s="8"/>
      <c r="KR76" s="8"/>
      <c r="KS76" s="8"/>
      <c r="KT76" s="8"/>
      <c r="KU76" s="8"/>
      <c r="KV76" s="8"/>
      <c r="KW76" s="8"/>
      <c r="KX76" s="8"/>
      <c r="KY76" s="8"/>
      <c r="KZ76" s="8"/>
      <c r="LA76" s="8"/>
      <c r="LB76" s="8"/>
      <c r="LC76" s="8"/>
      <c r="LD76" s="8"/>
      <c r="LE76" s="8"/>
      <c r="LF76" s="8"/>
      <c r="LG76" s="8"/>
      <c r="LH76" s="8"/>
      <c r="LI76" s="8"/>
      <c r="LJ76" s="8"/>
      <c r="LK76" s="8"/>
      <c r="LL76" s="8"/>
      <c r="LM76" s="8"/>
      <c r="LN76" s="8"/>
      <c r="LO76" s="8"/>
      <c r="LP76" s="8"/>
      <c r="LQ76" s="8"/>
    </row>
    <row r="77" spans="1:329" s="7" customFormat="1" ht="15" customHeight="1" x14ac:dyDescent="0.25">
      <c r="A77" s="71">
        <v>1101238</v>
      </c>
      <c r="B77" s="46" t="s">
        <v>167</v>
      </c>
      <c r="C77" s="44" t="str">
        <f>VLOOKUP(A77,Artikeldaten!A:B,2,0)</f>
        <v>Stoffbezug - Duofix [Petrol]</v>
      </c>
      <c r="D77" s="45">
        <v>50</v>
      </c>
      <c r="E77" s="45">
        <f t="shared" si="2"/>
        <v>84.033613445378151</v>
      </c>
      <c r="F77" s="45">
        <f t="shared" si="3"/>
        <v>100</v>
      </c>
      <c r="G77" s="41"/>
      <c r="H77" s="41"/>
      <c r="I77" s="36"/>
      <c r="J77" s="36"/>
      <c r="K77" s="36"/>
      <c r="L77" s="36"/>
      <c r="M77" s="36"/>
      <c r="N77" s="36"/>
      <c r="O77" s="36"/>
      <c r="P77" s="35" t="s">
        <v>21</v>
      </c>
      <c r="Q77" s="36"/>
      <c r="R77" s="42">
        <v>7350057583333</v>
      </c>
      <c r="S77" s="43" t="s">
        <v>316</v>
      </c>
      <c r="T77" s="43">
        <v>0.7</v>
      </c>
      <c r="U77" s="43">
        <v>0.5</v>
      </c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I77" s="8"/>
      <c r="BJ77" s="8"/>
      <c r="BK77" s="8"/>
      <c r="BL77" s="8"/>
      <c r="BM77" s="8"/>
      <c r="BN77" s="8"/>
      <c r="BO77" s="8"/>
      <c r="BP77" s="8"/>
      <c r="BQ77" s="8"/>
      <c r="BR77" s="8"/>
      <c r="BS77" s="8"/>
      <c r="BT77" s="8"/>
      <c r="BU77" s="8"/>
      <c r="BV77" s="8"/>
      <c r="BW77" s="8"/>
      <c r="BX77" s="8"/>
      <c r="BY77" s="8"/>
      <c r="BZ77" s="8"/>
      <c r="CA77" s="8"/>
      <c r="CB77" s="8"/>
      <c r="CC77" s="8"/>
      <c r="CD77" s="8"/>
      <c r="CE77" s="8"/>
      <c r="CF77" s="8"/>
      <c r="CG77" s="8"/>
      <c r="CH77" s="8"/>
      <c r="CI77" s="8"/>
      <c r="CJ77" s="8"/>
      <c r="CK77" s="8"/>
      <c r="CL77" s="8"/>
      <c r="CM77" s="8"/>
      <c r="CN77" s="8"/>
      <c r="CO77" s="8"/>
      <c r="CP77" s="8"/>
      <c r="CQ77" s="8"/>
      <c r="CR77" s="8"/>
      <c r="CS77" s="8"/>
      <c r="CT77" s="8"/>
      <c r="CU77" s="8"/>
      <c r="CV77" s="8"/>
      <c r="CW77" s="8"/>
      <c r="CX77" s="8"/>
      <c r="CY77" s="8"/>
      <c r="CZ77" s="8"/>
      <c r="DA77" s="8"/>
      <c r="DB77" s="8"/>
      <c r="DC77" s="8"/>
      <c r="DD77" s="8"/>
      <c r="DE77" s="8"/>
      <c r="DF77" s="8"/>
      <c r="DG77" s="8"/>
      <c r="DH77" s="8"/>
      <c r="DI77" s="8"/>
      <c r="DJ77" s="8"/>
      <c r="DK77" s="8"/>
      <c r="DL77" s="8"/>
      <c r="DM77" s="8"/>
      <c r="DN77" s="8"/>
      <c r="DO77" s="8"/>
      <c r="DP77" s="8"/>
      <c r="DQ77" s="8"/>
      <c r="DR77" s="8"/>
      <c r="DS77" s="8"/>
      <c r="DT77" s="8"/>
      <c r="DU77" s="8"/>
      <c r="DV77" s="8"/>
      <c r="DW77" s="8"/>
      <c r="DX77" s="8"/>
      <c r="DY77" s="8"/>
      <c r="DZ77" s="8"/>
      <c r="EA77" s="8"/>
      <c r="EB77" s="8"/>
      <c r="EC77" s="8"/>
      <c r="ED77" s="8"/>
      <c r="EE77" s="8"/>
      <c r="EF77" s="8"/>
      <c r="EG77" s="8"/>
      <c r="EH77" s="8"/>
      <c r="EI77" s="8"/>
      <c r="EJ77" s="8"/>
      <c r="EK77" s="8"/>
      <c r="EL77" s="8"/>
      <c r="EM77" s="8"/>
      <c r="EN77" s="8"/>
      <c r="EO77" s="8"/>
      <c r="EP77" s="8"/>
      <c r="EQ77" s="8"/>
      <c r="ER77" s="8"/>
      <c r="ES77" s="8"/>
      <c r="ET77" s="8"/>
      <c r="EU77" s="8"/>
      <c r="EV77" s="8"/>
      <c r="EW77" s="8"/>
      <c r="EX77" s="8"/>
      <c r="EY77" s="8"/>
      <c r="EZ77" s="8"/>
      <c r="FA77" s="8"/>
      <c r="FB77" s="8"/>
      <c r="FC77" s="8"/>
      <c r="FD77" s="8"/>
      <c r="FE77" s="8"/>
      <c r="FF77" s="8"/>
      <c r="FG77" s="8"/>
      <c r="FH77" s="8"/>
      <c r="FI77" s="8"/>
      <c r="FJ77" s="8"/>
      <c r="FK77" s="8"/>
      <c r="FL77" s="8"/>
      <c r="FM77" s="8"/>
      <c r="FN77" s="8"/>
      <c r="FO77" s="8"/>
      <c r="FP77" s="8"/>
      <c r="FQ77" s="8"/>
      <c r="FR77" s="8"/>
      <c r="FS77" s="8"/>
      <c r="FT77" s="8"/>
      <c r="FU77" s="8"/>
      <c r="FV77" s="8"/>
      <c r="FW77" s="8"/>
      <c r="FX77" s="8"/>
      <c r="FY77" s="8"/>
      <c r="FZ77" s="8"/>
      <c r="GA77" s="8"/>
      <c r="GB77" s="8"/>
      <c r="GC77" s="8"/>
      <c r="GD77" s="8"/>
      <c r="GE77" s="8"/>
      <c r="GF77" s="8"/>
      <c r="GG77" s="8"/>
      <c r="GH77" s="8"/>
      <c r="GI77" s="8"/>
      <c r="GJ77" s="8"/>
      <c r="GK77" s="8"/>
      <c r="GL77" s="8"/>
      <c r="GM77" s="8"/>
      <c r="GN77" s="8"/>
      <c r="GO77" s="8"/>
      <c r="GP77" s="8"/>
      <c r="GQ77" s="8"/>
      <c r="GR77" s="8"/>
      <c r="GS77" s="8"/>
      <c r="GT77" s="8"/>
      <c r="GU77" s="8"/>
      <c r="GV77" s="8"/>
      <c r="GW77" s="8"/>
      <c r="GX77" s="8"/>
      <c r="GY77" s="8"/>
      <c r="GZ77" s="8"/>
      <c r="HA77" s="8"/>
      <c r="HB77" s="8"/>
      <c r="HC77" s="8"/>
      <c r="HD77" s="8"/>
      <c r="HE77" s="8"/>
      <c r="HF77" s="8"/>
      <c r="HG77" s="8"/>
      <c r="HH77" s="8"/>
      <c r="HI77" s="8"/>
      <c r="HJ77" s="8"/>
      <c r="HK77" s="8"/>
      <c r="HL77" s="8"/>
      <c r="HM77" s="8"/>
      <c r="HN77" s="8"/>
      <c r="HO77" s="8"/>
      <c r="HP77" s="8"/>
      <c r="HQ77" s="8"/>
      <c r="HR77" s="8"/>
      <c r="HS77" s="8"/>
      <c r="HT77" s="8"/>
      <c r="HU77" s="8"/>
      <c r="HV77" s="8"/>
      <c r="HW77" s="8"/>
      <c r="HX77" s="8"/>
      <c r="HY77" s="8"/>
      <c r="HZ77" s="8"/>
      <c r="IA77" s="8"/>
      <c r="IB77" s="8"/>
      <c r="IC77" s="8"/>
      <c r="ID77" s="8"/>
      <c r="IE77" s="8"/>
      <c r="IF77" s="8"/>
      <c r="IG77" s="8"/>
      <c r="IH77" s="8"/>
      <c r="II77" s="8"/>
      <c r="IJ77" s="8"/>
      <c r="IK77" s="8"/>
      <c r="IL77" s="8"/>
      <c r="IM77" s="8"/>
      <c r="IN77" s="8"/>
      <c r="IO77" s="8"/>
      <c r="IP77" s="8"/>
      <c r="IQ77" s="8"/>
      <c r="IR77" s="8"/>
      <c r="IS77" s="8"/>
      <c r="IT77" s="8"/>
      <c r="IU77" s="8"/>
      <c r="IV77" s="8"/>
      <c r="IW77" s="8"/>
      <c r="IX77" s="8"/>
      <c r="IY77" s="8"/>
      <c r="IZ77" s="8"/>
      <c r="JA77" s="8"/>
      <c r="JB77" s="8"/>
      <c r="JC77" s="8"/>
      <c r="JD77" s="8"/>
      <c r="JE77" s="8"/>
      <c r="JF77" s="8"/>
      <c r="JG77" s="8"/>
      <c r="JH77" s="8"/>
      <c r="JI77" s="8"/>
      <c r="JJ77" s="8"/>
      <c r="JK77" s="8"/>
      <c r="JL77" s="8"/>
      <c r="JM77" s="8"/>
      <c r="JN77" s="8"/>
      <c r="JO77" s="8"/>
      <c r="JP77" s="8"/>
      <c r="JQ77" s="8"/>
      <c r="JR77" s="8"/>
      <c r="JS77" s="8"/>
      <c r="JT77" s="8"/>
      <c r="JU77" s="8"/>
      <c r="JV77" s="8"/>
      <c r="JW77" s="8"/>
      <c r="JX77" s="8"/>
      <c r="JY77" s="8"/>
      <c r="JZ77" s="8"/>
      <c r="KA77" s="8"/>
      <c r="KB77" s="8"/>
      <c r="KC77" s="8"/>
      <c r="KD77" s="8"/>
      <c r="KE77" s="8"/>
      <c r="KF77" s="8"/>
      <c r="KG77" s="8"/>
      <c r="KH77" s="8"/>
      <c r="KI77" s="8"/>
      <c r="KJ77" s="8"/>
      <c r="KK77" s="8"/>
      <c r="KL77" s="8"/>
      <c r="KM77" s="8"/>
      <c r="KN77" s="8"/>
      <c r="KO77" s="8"/>
      <c r="KP77" s="8"/>
      <c r="KQ77" s="8"/>
      <c r="KR77" s="8"/>
      <c r="KS77" s="8"/>
      <c r="KT77" s="8"/>
      <c r="KU77" s="8"/>
      <c r="KV77" s="8"/>
      <c r="KW77" s="8"/>
      <c r="KX77" s="8"/>
      <c r="KY77" s="8"/>
      <c r="KZ77" s="8"/>
      <c r="LA77" s="8"/>
      <c r="LB77" s="8"/>
      <c r="LC77" s="8"/>
      <c r="LD77" s="8"/>
      <c r="LE77" s="8"/>
      <c r="LF77" s="8"/>
      <c r="LG77" s="8"/>
      <c r="LH77" s="8"/>
      <c r="LI77" s="8"/>
      <c r="LJ77" s="8"/>
      <c r="LK77" s="8"/>
      <c r="LL77" s="8"/>
      <c r="LM77" s="8"/>
      <c r="LN77" s="8"/>
      <c r="LO77" s="8"/>
      <c r="LP77" s="8"/>
      <c r="LQ77" s="8"/>
    </row>
    <row r="78" spans="1:329" s="7" customFormat="1" ht="15" customHeight="1" x14ac:dyDescent="0.25">
      <c r="A78" s="71">
        <v>1101239</v>
      </c>
      <c r="B78" s="46" t="s">
        <v>169</v>
      </c>
      <c r="C78" s="44" t="str">
        <f>VLOOKUP(A78,Artikeldaten!A:B,2,0)</f>
        <v>Stoffbezug - Kidzone [Rot]</v>
      </c>
      <c r="D78" s="45">
        <v>50</v>
      </c>
      <c r="E78" s="45">
        <f t="shared" si="2"/>
        <v>84.033613445378151</v>
      </c>
      <c r="F78" s="45">
        <f t="shared" si="3"/>
        <v>100</v>
      </c>
      <c r="G78" s="41"/>
      <c r="H78" s="41"/>
      <c r="I78" s="36"/>
      <c r="J78" s="36"/>
      <c r="K78" s="36"/>
      <c r="L78" s="36"/>
      <c r="M78" s="36"/>
      <c r="N78" s="36"/>
      <c r="O78" s="36"/>
      <c r="P78" s="36"/>
      <c r="Q78" s="35" t="s">
        <v>21</v>
      </c>
      <c r="R78" s="42">
        <v>7350057583340</v>
      </c>
      <c r="S78" s="43" t="s">
        <v>316</v>
      </c>
      <c r="T78" s="43">
        <v>0.7</v>
      </c>
      <c r="U78" s="43">
        <v>0.5</v>
      </c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8"/>
      <c r="BK78" s="8"/>
      <c r="BL78" s="8"/>
      <c r="BM78" s="8"/>
      <c r="BN78" s="8"/>
      <c r="BO78" s="8"/>
      <c r="BP78" s="8"/>
      <c r="BQ78" s="8"/>
      <c r="BR78" s="8"/>
      <c r="BS78" s="8"/>
      <c r="BT78" s="8"/>
      <c r="BU78" s="8"/>
      <c r="BV78" s="8"/>
      <c r="BW78" s="8"/>
      <c r="BX78" s="8"/>
      <c r="BY78" s="8"/>
      <c r="BZ78" s="8"/>
      <c r="CA78" s="8"/>
      <c r="CB78" s="8"/>
      <c r="CC78" s="8"/>
      <c r="CD78" s="8"/>
      <c r="CE78" s="8"/>
      <c r="CF78" s="8"/>
      <c r="CG78" s="8"/>
      <c r="CH78" s="8"/>
      <c r="CI78" s="8"/>
      <c r="CJ78" s="8"/>
      <c r="CK78" s="8"/>
      <c r="CL78" s="8"/>
      <c r="CM78" s="8"/>
      <c r="CN78" s="8"/>
      <c r="CO78" s="8"/>
      <c r="CP78" s="8"/>
      <c r="CQ78" s="8"/>
      <c r="CR78" s="8"/>
      <c r="CS78" s="8"/>
      <c r="CT78" s="8"/>
      <c r="CU78" s="8"/>
      <c r="CV78" s="8"/>
      <c r="CW78" s="8"/>
      <c r="CX78" s="8"/>
      <c r="CY78" s="8"/>
      <c r="CZ78" s="8"/>
      <c r="DA78" s="8"/>
      <c r="DB78" s="8"/>
      <c r="DC78" s="8"/>
      <c r="DD78" s="8"/>
      <c r="DE78" s="8"/>
      <c r="DF78" s="8"/>
      <c r="DG78" s="8"/>
      <c r="DH78" s="8"/>
      <c r="DI78" s="8"/>
      <c r="DJ78" s="8"/>
      <c r="DK78" s="8"/>
      <c r="DL78" s="8"/>
      <c r="DM78" s="8"/>
      <c r="DN78" s="8"/>
      <c r="DO78" s="8"/>
      <c r="DP78" s="8"/>
      <c r="DQ78" s="8"/>
      <c r="DR78" s="8"/>
      <c r="DS78" s="8"/>
      <c r="DT78" s="8"/>
      <c r="DU78" s="8"/>
      <c r="DV78" s="8"/>
      <c r="DW78" s="8"/>
      <c r="DX78" s="8"/>
      <c r="DY78" s="8"/>
      <c r="DZ78" s="8"/>
      <c r="EA78" s="8"/>
      <c r="EB78" s="8"/>
      <c r="EC78" s="8"/>
      <c r="ED78" s="8"/>
      <c r="EE78" s="8"/>
      <c r="EF78" s="8"/>
      <c r="EG78" s="8"/>
      <c r="EH78" s="8"/>
      <c r="EI78" s="8"/>
      <c r="EJ78" s="8"/>
      <c r="EK78" s="8"/>
      <c r="EL78" s="8"/>
      <c r="EM78" s="8"/>
      <c r="EN78" s="8"/>
      <c r="EO78" s="8"/>
      <c r="EP78" s="8"/>
      <c r="EQ78" s="8"/>
      <c r="ER78" s="8"/>
      <c r="ES78" s="8"/>
      <c r="ET78" s="8"/>
      <c r="EU78" s="8"/>
      <c r="EV78" s="8"/>
      <c r="EW78" s="8"/>
      <c r="EX78" s="8"/>
      <c r="EY78" s="8"/>
      <c r="EZ78" s="8"/>
      <c r="FA78" s="8"/>
      <c r="FB78" s="8"/>
      <c r="FC78" s="8"/>
      <c r="FD78" s="8"/>
      <c r="FE78" s="8"/>
      <c r="FF78" s="8"/>
      <c r="FG78" s="8"/>
      <c r="FH78" s="8"/>
      <c r="FI78" s="8"/>
      <c r="FJ78" s="8"/>
      <c r="FK78" s="8"/>
      <c r="FL78" s="8"/>
      <c r="FM78" s="8"/>
      <c r="FN78" s="8"/>
      <c r="FO78" s="8"/>
      <c r="FP78" s="8"/>
      <c r="FQ78" s="8"/>
      <c r="FR78" s="8"/>
      <c r="FS78" s="8"/>
      <c r="FT78" s="8"/>
      <c r="FU78" s="8"/>
      <c r="FV78" s="8"/>
      <c r="FW78" s="8"/>
      <c r="FX78" s="8"/>
      <c r="FY78" s="8"/>
      <c r="FZ78" s="8"/>
      <c r="GA78" s="8"/>
      <c r="GB78" s="8"/>
      <c r="GC78" s="8"/>
      <c r="GD78" s="8"/>
      <c r="GE78" s="8"/>
      <c r="GF78" s="8"/>
      <c r="GG78" s="8"/>
      <c r="GH78" s="8"/>
      <c r="GI78" s="8"/>
      <c r="GJ78" s="8"/>
      <c r="GK78" s="8"/>
      <c r="GL78" s="8"/>
      <c r="GM78" s="8"/>
      <c r="GN78" s="8"/>
      <c r="GO78" s="8"/>
      <c r="GP78" s="8"/>
      <c r="GQ78" s="8"/>
      <c r="GR78" s="8"/>
      <c r="GS78" s="8"/>
      <c r="GT78" s="8"/>
      <c r="GU78" s="8"/>
      <c r="GV78" s="8"/>
      <c r="GW78" s="8"/>
      <c r="GX78" s="8"/>
      <c r="GY78" s="8"/>
      <c r="GZ78" s="8"/>
      <c r="HA78" s="8"/>
      <c r="HB78" s="8"/>
      <c r="HC78" s="8"/>
      <c r="HD78" s="8"/>
      <c r="HE78" s="8"/>
      <c r="HF78" s="8"/>
      <c r="HG78" s="8"/>
      <c r="HH78" s="8"/>
      <c r="HI78" s="8"/>
      <c r="HJ78" s="8"/>
      <c r="HK78" s="8"/>
      <c r="HL78" s="8"/>
      <c r="HM78" s="8"/>
      <c r="HN78" s="8"/>
      <c r="HO78" s="8"/>
      <c r="HP78" s="8"/>
      <c r="HQ78" s="8"/>
      <c r="HR78" s="8"/>
      <c r="HS78" s="8"/>
      <c r="HT78" s="8"/>
      <c r="HU78" s="8"/>
      <c r="HV78" s="8"/>
      <c r="HW78" s="8"/>
      <c r="HX78" s="8"/>
      <c r="HY78" s="8"/>
      <c r="HZ78" s="8"/>
      <c r="IA78" s="8"/>
      <c r="IB78" s="8"/>
      <c r="IC78" s="8"/>
      <c r="ID78" s="8"/>
      <c r="IE78" s="8"/>
      <c r="IF78" s="8"/>
      <c r="IG78" s="8"/>
      <c r="IH78" s="8"/>
      <c r="II78" s="8"/>
      <c r="IJ78" s="8"/>
      <c r="IK78" s="8"/>
      <c r="IL78" s="8"/>
      <c r="IM78" s="8"/>
      <c r="IN78" s="8"/>
      <c r="IO78" s="8"/>
      <c r="IP78" s="8"/>
      <c r="IQ78" s="8"/>
      <c r="IR78" s="8"/>
      <c r="IS78" s="8"/>
      <c r="IT78" s="8"/>
      <c r="IU78" s="8"/>
      <c r="IV78" s="8"/>
      <c r="IW78" s="8"/>
      <c r="IX78" s="8"/>
      <c r="IY78" s="8"/>
      <c r="IZ78" s="8"/>
      <c r="JA78" s="8"/>
      <c r="JB78" s="8"/>
      <c r="JC78" s="8"/>
      <c r="JD78" s="8"/>
      <c r="JE78" s="8"/>
      <c r="JF78" s="8"/>
      <c r="JG78" s="8"/>
      <c r="JH78" s="8"/>
      <c r="JI78" s="8"/>
      <c r="JJ78" s="8"/>
      <c r="JK78" s="8"/>
      <c r="JL78" s="8"/>
      <c r="JM78" s="8"/>
      <c r="JN78" s="8"/>
      <c r="JO78" s="8"/>
      <c r="JP78" s="8"/>
      <c r="JQ78" s="8"/>
      <c r="JR78" s="8"/>
      <c r="JS78" s="8"/>
      <c r="JT78" s="8"/>
      <c r="JU78" s="8"/>
      <c r="JV78" s="8"/>
      <c r="JW78" s="8"/>
      <c r="JX78" s="8"/>
      <c r="JY78" s="8"/>
      <c r="JZ78" s="8"/>
      <c r="KA78" s="8"/>
      <c r="KB78" s="8"/>
      <c r="KC78" s="8"/>
      <c r="KD78" s="8"/>
      <c r="KE78" s="8"/>
      <c r="KF78" s="8"/>
      <c r="KG78" s="8"/>
      <c r="KH78" s="8"/>
      <c r="KI78" s="8"/>
      <c r="KJ78" s="8"/>
      <c r="KK78" s="8"/>
      <c r="KL78" s="8"/>
      <c r="KM78" s="8"/>
      <c r="KN78" s="8"/>
      <c r="KO78" s="8"/>
      <c r="KP78" s="8"/>
      <c r="KQ78" s="8"/>
      <c r="KR78" s="8"/>
      <c r="KS78" s="8"/>
      <c r="KT78" s="8"/>
      <c r="KU78" s="8"/>
      <c r="KV78" s="8"/>
      <c r="KW78" s="8"/>
      <c r="KX78" s="8"/>
      <c r="KY78" s="8"/>
      <c r="KZ78" s="8"/>
      <c r="LA78" s="8"/>
      <c r="LB78" s="8"/>
      <c r="LC78" s="8"/>
      <c r="LD78" s="8"/>
      <c r="LE78" s="8"/>
      <c r="LF78" s="8"/>
      <c r="LG78" s="8"/>
      <c r="LH78" s="8"/>
      <c r="LI78" s="8"/>
      <c r="LJ78" s="8"/>
      <c r="LK78" s="8"/>
      <c r="LL78" s="8"/>
      <c r="LM78" s="8"/>
      <c r="LN78" s="8"/>
      <c r="LO78" s="8"/>
      <c r="LP78" s="8"/>
      <c r="LQ78" s="8"/>
    </row>
    <row r="79" spans="1:329" s="7" customFormat="1" ht="15" customHeight="1" x14ac:dyDescent="0.25">
      <c r="A79" s="71">
        <v>1101240</v>
      </c>
      <c r="B79" s="46" t="s">
        <v>171</v>
      </c>
      <c r="C79" s="44" t="str">
        <f>VLOOKUP(A79,Artikeldaten!A:B,2,0)</f>
        <v>Stoffbezug - Kidzone [Grau]</v>
      </c>
      <c r="D79" s="45">
        <v>50</v>
      </c>
      <c r="E79" s="45">
        <f t="shared" si="2"/>
        <v>84.033613445378151</v>
      </c>
      <c r="F79" s="45">
        <f t="shared" si="3"/>
        <v>100</v>
      </c>
      <c r="G79" s="41"/>
      <c r="H79" s="41"/>
      <c r="I79" s="36"/>
      <c r="J79" s="36"/>
      <c r="K79" s="36"/>
      <c r="L79" s="36"/>
      <c r="M79" s="36"/>
      <c r="N79" s="36"/>
      <c r="O79" s="36"/>
      <c r="P79" s="36"/>
      <c r="Q79" s="35" t="s">
        <v>21</v>
      </c>
      <c r="R79" s="42">
        <v>7350057583357</v>
      </c>
      <c r="S79" s="43" t="s">
        <v>316</v>
      </c>
      <c r="T79" s="43">
        <v>0.7</v>
      </c>
      <c r="U79" s="43">
        <v>0.5</v>
      </c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/>
      <c r="BK79" s="8"/>
      <c r="BL79" s="8"/>
      <c r="BM79" s="8"/>
      <c r="BN79" s="8"/>
      <c r="BO79" s="8"/>
      <c r="BP79" s="8"/>
      <c r="BQ79" s="8"/>
      <c r="BR79" s="8"/>
      <c r="BS79" s="8"/>
      <c r="BT79" s="8"/>
      <c r="BU79" s="8"/>
      <c r="BV79" s="8"/>
      <c r="BW79" s="8"/>
      <c r="BX79" s="8"/>
      <c r="BY79" s="8"/>
      <c r="BZ79" s="8"/>
      <c r="CA79" s="8"/>
      <c r="CB79" s="8"/>
      <c r="CC79" s="8"/>
      <c r="CD79" s="8"/>
      <c r="CE79" s="8"/>
      <c r="CF79" s="8"/>
      <c r="CG79" s="8"/>
      <c r="CH79" s="8"/>
      <c r="CI79" s="8"/>
      <c r="CJ79" s="8"/>
      <c r="CK79" s="8"/>
      <c r="CL79" s="8"/>
      <c r="CM79" s="8"/>
      <c r="CN79" s="8"/>
      <c r="CO79" s="8"/>
      <c r="CP79" s="8"/>
      <c r="CQ79" s="8"/>
      <c r="CR79" s="8"/>
      <c r="CS79" s="8"/>
      <c r="CT79" s="8"/>
      <c r="CU79" s="8"/>
      <c r="CV79" s="8"/>
      <c r="CW79" s="8"/>
      <c r="CX79" s="8"/>
      <c r="CY79" s="8"/>
      <c r="CZ79" s="8"/>
      <c r="DA79" s="8"/>
      <c r="DB79" s="8"/>
      <c r="DC79" s="8"/>
      <c r="DD79" s="8"/>
      <c r="DE79" s="8"/>
      <c r="DF79" s="8"/>
      <c r="DG79" s="8"/>
      <c r="DH79" s="8"/>
      <c r="DI79" s="8"/>
      <c r="DJ79" s="8"/>
      <c r="DK79" s="8"/>
      <c r="DL79" s="8"/>
      <c r="DM79" s="8"/>
      <c r="DN79" s="8"/>
      <c r="DO79" s="8"/>
      <c r="DP79" s="8"/>
      <c r="DQ79" s="8"/>
      <c r="DR79" s="8"/>
      <c r="DS79" s="8"/>
      <c r="DT79" s="8"/>
      <c r="DU79" s="8"/>
      <c r="DV79" s="8"/>
      <c r="DW79" s="8"/>
      <c r="DX79" s="8"/>
      <c r="DY79" s="8"/>
      <c r="DZ79" s="8"/>
      <c r="EA79" s="8"/>
      <c r="EB79" s="8"/>
      <c r="EC79" s="8"/>
      <c r="ED79" s="8"/>
      <c r="EE79" s="8"/>
      <c r="EF79" s="8"/>
      <c r="EG79" s="8"/>
      <c r="EH79" s="8"/>
      <c r="EI79" s="8"/>
      <c r="EJ79" s="8"/>
      <c r="EK79" s="8"/>
      <c r="EL79" s="8"/>
      <c r="EM79" s="8"/>
      <c r="EN79" s="8"/>
      <c r="EO79" s="8"/>
      <c r="EP79" s="8"/>
      <c r="EQ79" s="8"/>
      <c r="ER79" s="8"/>
      <c r="ES79" s="8"/>
      <c r="ET79" s="8"/>
      <c r="EU79" s="8"/>
      <c r="EV79" s="8"/>
      <c r="EW79" s="8"/>
      <c r="EX79" s="8"/>
      <c r="EY79" s="8"/>
      <c r="EZ79" s="8"/>
      <c r="FA79" s="8"/>
      <c r="FB79" s="8"/>
      <c r="FC79" s="8"/>
      <c r="FD79" s="8"/>
      <c r="FE79" s="8"/>
      <c r="FF79" s="8"/>
      <c r="FG79" s="8"/>
      <c r="FH79" s="8"/>
      <c r="FI79" s="8"/>
      <c r="FJ79" s="8"/>
      <c r="FK79" s="8"/>
      <c r="FL79" s="8"/>
      <c r="FM79" s="8"/>
      <c r="FN79" s="8"/>
      <c r="FO79" s="8"/>
      <c r="FP79" s="8"/>
      <c r="FQ79" s="8"/>
      <c r="FR79" s="8"/>
      <c r="FS79" s="8"/>
      <c r="FT79" s="8"/>
      <c r="FU79" s="8"/>
      <c r="FV79" s="8"/>
      <c r="FW79" s="8"/>
      <c r="FX79" s="8"/>
      <c r="FY79" s="8"/>
      <c r="FZ79" s="8"/>
      <c r="GA79" s="8"/>
      <c r="GB79" s="8"/>
      <c r="GC79" s="8"/>
      <c r="GD79" s="8"/>
      <c r="GE79" s="8"/>
      <c r="GF79" s="8"/>
      <c r="GG79" s="8"/>
      <c r="GH79" s="8"/>
      <c r="GI79" s="8"/>
      <c r="GJ79" s="8"/>
      <c r="GK79" s="8"/>
      <c r="GL79" s="8"/>
      <c r="GM79" s="8"/>
      <c r="GN79" s="8"/>
      <c r="GO79" s="8"/>
      <c r="GP79" s="8"/>
      <c r="GQ79" s="8"/>
      <c r="GR79" s="8"/>
      <c r="GS79" s="8"/>
      <c r="GT79" s="8"/>
      <c r="GU79" s="8"/>
      <c r="GV79" s="8"/>
      <c r="GW79" s="8"/>
      <c r="GX79" s="8"/>
      <c r="GY79" s="8"/>
      <c r="GZ79" s="8"/>
      <c r="HA79" s="8"/>
      <c r="HB79" s="8"/>
      <c r="HC79" s="8"/>
      <c r="HD79" s="8"/>
      <c r="HE79" s="8"/>
      <c r="HF79" s="8"/>
      <c r="HG79" s="8"/>
      <c r="HH79" s="8"/>
      <c r="HI79" s="8"/>
      <c r="HJ79" s="8"/>
      <c r="HK79" s="8"/>
      <c r="HL79" s="8"/>
      <c r="HM79" s="8"/>
      <c r="HN79" s="8"/>
      <c r="HO79" s="8"/>
      <c r="HP79" s="8"/>
      <c r="HQ79" s="8"/>
      <c r="HR79" s="8"/>
      <c r="HS79" s="8"/>
      <c r="HT79" s="8"/>
      <c r="HU79" s="8"/>
      <c r="HV79" s="8"/>
      <c r="HW79" s="8"/>
      <c r="HX79" s="8"/>
      <c r="HY79" s="8"/>
      <c r="HZ79" s="8"/>
      <c r="IA79" s="8"/>
      <c r="IB79" s="8"/>
      <c r="IC79" s="8"/>
      <c r="ID79" s="8"/>
      <c r="IE79" s="8"/>
      <c r="IF79" s="8"/>
      <c r="IG79" s="8"/>
      <c r="IH79" s="8"/>
      <c r="II79" s="8"/>
      <c r="IJ79" s="8"/>
      <c r="IK79" s="8"/>
      <c r="IL79" s="8"/>
      <c r="IM79" s="8"/>
      <c r="IN79" s="8"/>
      <c r="IO79" s="8"/>
      <c r="IP79" s="8"/>
      <c r="IQ79" s="8"/>
      <c r="IR79" s="8"/>
      <c r="IS79" s="8"/>
      <c r="IT79" s="8"/>
      <c r="IU79" s="8"/>
      <c r="IV79" s="8"/>
      <c r="IW79" s="8"/>
      <c r="IX79" s="8"/>
      <c r="IY79" s="8"/>
      <c r="IZ79" s="8"/>
      <c r="JA79" s="8"/>
      <c r="JB79" s="8"/>
      <c r="JC79" s="8"/>
      <c r="JD79" s="8"/>
      <c r="JE79" s="8"/>
      <c r="JF79" s="8"/>
      <c r="JG79" s="8"/>
      <c r="JH79" s="8"/>
      <c r="JI79" s="8"/>
      <c r="JJ79" s="8"/>
      <c r="JK79" s="8"/>
      <c r="JL79" s="8"/>
      <c r="JM79" s="8"/>
      <c r="JN79" s="8"/>
      <c r="JO79" s="8"/>
      <c r="JP79" s="8"/>
      <c r="JQ79" s="8"/>
      <c r="JR79" s="8"/>
      <c r="JS79" s="8"/>
      <c r="JT79" s="8"/>
      <c r="JU79" s="8"/>
      <c r="JV79" s="8"/>
      <c r="JW79" s="8"/>
      <c r="JX79" s="8"/>
      <c r="JY79" s="8"/>
      <c r="JZ79" s="8"/>
      <c r="KA79" s="8"/>
      <c r="KB79" s="8"/>
      <c r="KC79" s="8"/>
      <c r="KD79" s="8"/>
      <c r="KE79" s="8"/>
      <c r="KF79" s="8"/>
      <c r="KG79" s="8"/>
      <c r="KH79" s="8"/>
      <c r="KI79" s="8"/>
      <c r="KJ79" s="8"/>
      <c r="KK79" s="8"/>
      <c r="KL79" s="8"/>
      <c r="KM79" s="8"/>
      <c r="KN79" s="8"/>
      <c r="KO79" s="8"/>
      <c r="KP79" s="8"/>
      <c r="KQ79" s="8"/>
      <c r="KR79" s="8"/>
      <c r="KS79" s="8"/>
      <c r="KT79" s="8"/>
      <c r="KU79" s="8"/>
      <c r="KV79" s="8"/>
      <c r="KW79" s="8"/>
      <c r="KX79" s="8"/>
      <c r="KY79" s="8"/>
      <c r="KZ79" s="8"/>
      <c r="LA79" s="8"/>
      <c r="LB79" s="8"/>
      <c r="LC79" s="8"/>
      <c r="LD79" s="8"/>
      <c r="LE79" s="8"/>
      <c r="LF79" s="8"/>
      <c r="LG79" s="8"/>
      <c r="LH79" s="8"/>
      <c r="LI79" s="8"/>
      <c r="LJ79" s="8"/>
      <c r="LK79" s="8"/>
      <c r="LL79" s="8"/>
      <c r="LM79" s="8"/>
      <c r="LN79" s="8"/>
      <c r="LO79" s="8"/>
      <c r="LP79" s="8"/>
      <c r="LQ79" s="8"/>
    </row>
    <row r="80" spans="1:329" s="7" customFormat="1" ht="15" customHeight="1" x14ac:dyDescent="0.25">
      <c r="A80" s="71">
        <v>1101241</v>
      </c>
      <c r="B80" s="46" t="s">
        <v>173</v>
      </c>
      <c r="C80" s="44" t="str">
        <f>VLOOKUP(A80,Artikeldaten!A:B,2,0)</f>
        <v>Stoffbezug - Kidzone [Petrol]</v>
      </c>
      <c r="D80" s="45">
        <v>50</v>
      </c>
      <c r="E80" s="45">
        <f t="shared" si="2"/>
        <v>84.033613445378151</v>
      </c>
      <c r="F80" s="45">
        <f t="shared" si="3"/>
        <v>100</v>
      </c>
      <c r="G80" s="41"/>
      <c r="H80" s="41"/>
      <c r="I80" s="36"/>
      <c r="J80" s="36"/>
      <c r="K80" s="36"/>
      <c r="L80" s="36"/>
      <c r="M80" s="36"/>
      <c r="N80" s="36"/>
      <c r="O80" s="36"/>
      <c r="P80" s="36"/>
      <c r="Q80" s="35" t="s">
        <v>21</v>
      </c>
      <c r="R80" s="42">
        <v>7350057583371</v>
      </c>
      <c r="S80" s="43" t="s">
        <v>316</v>
      </c>
      <c r="T80" s="43">
        <v>0.7</v>
      </c>
      <c r="U80" s="43">
        <v>0.5</v>
      </c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  <c r="BI80" s="8"/>
      <c r="BJ80" s="8"/>
      <c r="BK80" s="8"/>
      <c r="BL80" s="8"/>
      <c r="BM80" s="8"/>
      <c r="BN80" s="8"/>
      <c r="BO80" s="8"/>
      <c r="BP80" s="8"/>
      <c r="BQ80" s="8"/>
      <c r="BR80" s="8"/>
      <c r="BS80" s="8"/>
      <c r="BT80" s="8"/>
      <c r="BU80" s="8"/>
      <c r="BV80" s="8"/>
      <c r="BW80" s="8"/>
      <c r="BX80" s="8"/>
      <c r="BY80" s="8"/>
      <c r="BZ80" s="8"/>
      <c r="CA80" s="8"/>
      <c r="CB80" s="8"/>
      <c r="CC80" s="8"/>
      <c r="CD80" s="8"/>
      <c r="CE80" s="8"/>
      <c r="CF80" s="8"/>
      <c r="CG80" s="8"/>
      <c r="CH80" s="8"/>
      <c r="CI80" s="8"/>
      <c r="CJ80" s="8"/>
      <c r="CK80" s="8"/>
      <c r="CL80" s="8"/>
      <c r="CM80" s="8"/>
      <c r="CN80" s="8"/>
      <c r="CO80" s="8"/>
      <c r="CP80" s="8"/>
      <c r="CQ80" s="8"/>
      <c r="CR80" s="8"/>
      <c r="CS80" s="8"/>
      <c r="CT80" s="8"/>
      <c r="CU80" s="8"/>
      <c r="CV80" s="8"/>
      <c r="CW80" s="8"/>
      <c r="CX80" s="8"/>
      <c r="CY80" s="8"/>
      <c r="CZ80" s="8"/>
      <c r="DA80" s="8"/>
      <c r="DB80" s="8"/>
      <c r="DC80" s="8"/>
      <c r="DD80" s="8"/>
      <c r="DE80" s="8"/>
      <c r="DF80" s="8"/>
      <c r="DG80" s="8"/>
      <c r="DH80" s="8"/>
      <c r="DI80" s="8"/>
      <c r="DJ80" s="8"/>
      <c r="DK80" s="8"/>
      <c r="DL80" s="8"/>
      <c r="DM80" s="8"/>
      <c r="DN80" s="8"/>
      <c r="DO80" s="8"/>
      <c r="DP80" s="8"/>
      <c r="DQ80" s="8"/>
      <c r="DR80" s="8"/>
      <c r="DS80" s="8"/>
      <c r="DT80" s="8"/>
      <c r="DU80" s="8"/>
      <c r="DV80" s="8"/>
      <c r="DW80" s="8"/>
      <c r="DX80" s="8"/>
      <c r="DY80" s="8"/>
      <c r="DZ80" s="8"/>
      <c r="EA80" s="8"/>
      <c r="EB80" s="8"/>
      <c r="EC80" s="8"/>
      <c r="ED80" s="8"/>
      <c r="EE80" s="8"/>
      <c r="EF80" s="8"/>
      <c r="EG80" s="8"/>
      <c r="EH80" s="8"/>
      <c r="EI80" s="8"/>
      <c r="EJ80" s="8"/>
      <c r="EK80" s="8"/>
      <c r="EL80" s="8"/>
      <c r="EM80" s="8"/>
      <c r="EN80" s="8"/>
      <c r="EO80" s="8"/>
      <c r="EP80" s="8"/>
      <c r="EQ80" s="8"/>
      <c r="ER80" s="8"/>
      <c r="ES80" s="8"/>
      <c r="ET80" s="8"/>
      <c r="EU80" s="8"/>
      <c r="EV80" s="8"/>
      <c r="EW80" s="8"/>
      <c r="EX80" s="8"/>
      <c r="EY80" s="8"/>
      <c r="EZ80" s="8"/>
      <c r="FA80" s="8"/>
      <c r="FB80" s="8"/>
      <c r="FC80" s="8"/>
      <c r="FD80" s="8"/>
      <c r="FE80" s="8"/>
      <c r="FF80" s="8"/>
      <c r="FG80" s="8"/>
      <c r="FH80" s="8"/>
      <c r="FI80" s="8"/>
      <c r="FJ80" s="8"/>
      <c r="FK80" s="8"/>
      <c r="FL80" s="8"/>
      <c r="FM80" s="8"/>
      <c r="FN80" s="8"/>
      <c r="FO80" s="8"/>
      <c r="FP80" s="8"/>
      <c r="FQ80" s="8"/>
      <c r="FR80" s="8"/>
      <c r="FS80" s="8"/>
      <c r="FT80" s="8"/>
      <c r="FU80" s="8"/>
      <c r="FV80" s="8"/>
      <c r="FW80" s="8"/>
      <c r="FX80" s="8"/>
      <c r="FY80" s="8"/>
      <c r="FZ80" s="8"/>
      <c r="GA80" s="8"/>
      <c r="GB80" s="8"/>
      <c r="GC80" s="8"/>
      <c r="GD80" s="8"/>
      <c r="GE80" s="8"/>
      <c r="GF80" s="8"/>
      <c r="GG80" s="8"/>
      <c r="GH80" s="8"/>
      <c r="GI80" s="8"/>
      <c r="GJ80" s="8"/>
      <c r="GK80" s="8"/>
      <c r="GL80" s="8"/>
      <c r="GM80" s="8"/>
      <c r="GN80" s="8"/>
      <c r="GO80" s="8"/>
      <c r="GP80" s="8"/>
      <c r="GQ80" s="8"/>
      <c r="GR80" s="8"/>
      <c r="GS80" s="8"/>
      <c r="GT80" s="8"/>
      <c r="GU80" s="8"/>
      <c r="GV80" s="8"/>
      <c r="GW80" s="8"/>
      <c r="GX80" s="8"/>
      <c r="GY80" s="8"/>
      <c r="GZ80" s="8"/>
      <c r="HA80" s="8"/>
      <c r="HB80" s="8"/>
      <c r="HC80" s="8"/>
      <c r="HD80" s="8"/>
      <c r="HE80" s="8"/>
      <c r="HF80" s="8"/>
      <c r="HG80" s="8"/>
      <c r="HH80" s="8"/>
      <c r="HI80" s="8"/>
      <c r="HJ80" s="8"/>
      <c r="HK80" s="8"/>
      <c r="HL80" s="8"/>
      <c r="HM80" s="8"/>
      <c r="HN80" s="8"/>
      <c r="HO80" s="8"/>
      <c r="HP80" s="8"/>
      <c r="HQ80" s="8"/>
      <c r="HR80" s="8"/>
      <c r="HS80" s="8"/>
      <c r="HT80" s="8"/>
      <c r="HU80" s="8"/>
      <c r="HV80" s="8"/>
      <c r="HW80" s="8"/>
      <c r="HX80" s="8"/>
      <c r="HY80" s="8"/>
      <c r="HZ80" s="8"/>
      <c r="IA80" s="8"/>
      <c r="IB80" s="8"/>
      <c r="IC80" s="8"/>
      <c r="ID80" s="8"/>
      <c r="IE80" s="8"/>
      <c r="IF80" s="8"/>
      <c r="IG80" s="8"/>
      <c r="IH80" s="8"/>
      <c r="II80" s="8"/>
      <c r="IJ80" s="8"/>
      <c r="IK80" s="8"/>
      <c r="IL80" s="8"/>
      <c r="IM80" s="8"/>
      <c r="IN80" s="8"/>
      <c r="IO80" s="8"/>
      <c r="IP80" s="8"/>
      <c r="IQ80" s="8"/>
      <c r="IR80" s="8"/>
      <c r="IS80" s="8"/>
      <c r="IT80" s="8"/>
      <c r="IU80" s="8"/>
      <c r="IV80" s="8"/>
      <c r="IW80" s="8"/>
      <c r="IX80" s="8"/>
      <c r="IY80" s="8"/>
      <c r="IZ80" s="8"/>
      <c r="JA80" s="8"/>
      <c r="JB80" s="8"/>
      <c r="JC80" s="8"/>
      <c r="JD80" s="8"/>
      <c r="JE80" s="8"/>
      <c r="JF80" s="8"/>
      <c r="JG80" s="8"/>
      <c r="JH80" s="8"/>
      <c r="JI80" s="8"/>
      <c r="JJ80" s="8"/>
      <c r="JK80" s="8"/>
      <c r="JL80" s="8"/>
      <c r="JM80" s="8"/>
      <c r="JN80" s="8"/>
      <c r="JO80" s="8"/>
      <c r="JP80" s="8"/>
      <c r="JQ80" s="8"/>
      <c r="JR80" s="8"/>
      <c r="JS80" s="8"/>
      <c r="JT80" s="8"/>
      <c r="JU80" s="8"/>
      <c r="JV80" s="8"/>
      <c r="JW80" s="8"/>
      <c r="JX80" s="8"/>
      <c r="JY80" s="8"/>
      <c r="JZ80" s="8"/>
      <c r="KA80" s="8"/>
      <c r="KB80" s="8"/>
      <c r="KC80" s="8"/>
      <c r="KD80" s="8"/>
      <c r="KE80" s="8"/>
      <c r="KF80" s="8"/>
      <c r="KG80" s="8"/>
      <c r="KH80" s="8"/>
      <c r="KI80" s="8"/>
      <c r="KJ80" s="8"/>
      <c r="KK80" s="8"/>
      <c r="KL80" s="8"/>
      <c r="KM80" s="8"/>
      <c r="KN80" s="8"/>
      <c r="KO80" s="8"/>
      <c r="KP80" s="8"/>
      <c r="KQ80" s="8"/>
      <c r="KR80" s="8"/>
      <c r="KS80" s="8"/>
      <c r="KT80" s="8"/>
      <c r="KU80" s="8"/>
      <c r="KV80" s="8"/>
      <c r="KW80" s="8"/>
      <c r="KX80" s="8"/>
      <c r="KY80" s="8"/>
      <c r="KZ80" s="8"/>
      <c r="LA80" s="8"/>
      <c r="LB80" s="8"/>
      <c r="LC80" s="8"/>
      <c r="LD80" s="8"/>
      <c r="LE80" s="8"/>
      <c r="LF80" s="8"/>
      <c r="LG80" s="8"/>
      <c r="LH80" s="8"/>
      <c r="LI80" s="8"/>
      <c r="LJ80" s="8"/>
      <c r="LK80" s="8"/>
      <c r="LL80" s="8"/>
      <c r="LM80" s="8"/>
      <c r="LN80" s="8"/>
      <c r="LO80" s="8"/>
      <c r="LP80" s="8"/>
      <c r="LQ80" s="8"/>
    </row>
    <row r="81" spans="1:329" s="8" customFormat="1" ht="15" customHeight="1" x14ac:dyDescent="0.25">
      <c r="A81" s="71">
        <v>1101242</v>
      </c>
      <c r="B81" s="44" t="s">
        <v>175</v>
      </c>
      <c r="C81" s="44" t="str">
        <f>VLOOKUP(A81,Artikeldaten!A:B,2,0)</f>
        <v xml:space="preserve">Schulterpolster Set - Minikid 1 &amp; Rekid [Schwarz]                </v>
      </c>
      <c r="D81" s="45">
        <v>10</v>
      </c>
      <c r="E81" s="45">
        <f t="shared" si="2"/>
        <v>16.806722689075631</v>
      </c>
      <c r="F81" s="45">
        <f t="shared" si="3"/>
        <v>20</v>
      </c>
      <c r="G81" s="41"/>
      <c r="H81" s="41"/>
      <c r="I81" s="35"/>
      <c r="J81" s="36"/>
      <c r="K81" s="35" t="s">
        <v>21</v>
      </c>
      <c r="L81" s="36"/>
      <c r="M81" s="36"/>
      <c r="N81" s="35" t="s">
        <v>21</v>
      </c>
      <c r="O81" s="36"/>
      <c r="P81" s="36"/>
      <c r="Q81" s="36"/>
      <c r="R81" s="42">
        <v>7350057583531</v>
      </c>
      <c r="S81" s="43" t="s">
        <v>311</v>
      </c>
      <c r="T81" s="43">
        <v>0.23</v>
      </c>
      <c r="U81" s="43">
        <v>0.17</v>
      </c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</row>
    <row r="82" spans="1:329" s="7" customFormat="1" ht="15" customHeight="1" x14ac:dyDescent="0.25">
      <c r="A82" s="71">
        <v>1101244</v>
      </c>
      <c r="B82" s="44" t="s">
        <v>177</v>
      </c>
      <c r="C82" s="44" t="str">
        <f>VLOOKUP(A82,Artikeldaten!A:B,2,0)</f>
        <v>Stoffbezug Kopfstütze - Minikid 1 [Schwarz]</v>
      </c>
      <c r="D82" s="45">
        <v>10</v>
      </c>
      <c r="E82" s="45">
        <f t="shared" si="2"/>
        <v>16.806722689075631</v>
      </c>
      <c r="F82" s="45">
        <f t="shared" si="3"/>
        <v>20</v>
      </c>
      <c r="G82" s="41"/>
      <c r="H82" s="41"/>
      <c r="I82" s="35"/>
      <c r="J82" s="36"/>
      <c r="K82" s="36"/>
      <c r="L82" s="36"/>
      <c r="M82" s="36"/>
      <c r="N82" s="35" t="s">
        <v>21</v>
      </c>
      <c r="O82" s="36"/>
      <c r="P82" s="36"/>
      <c r="Q82" s="36"/>
      <c r="R82" s="42">
        <v>7350057583678</v>
      </c>
      <c r="S82" s="43" t="s">
        <v>329</v>
      </c>
      <c r="T82" s="43">
        <v>0.63</v>
      </c>
      <c r="U82" s="43">
        <v>0.32</v>
      </c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</row>
    <row r="83" spans="1:329" s="7" customFormat="1" ht="15" customHeight="1" x14ac:dyDescent="0.25">
      <c r="A83" s="71">
        <v>1101247</v>
      </c>
      <c r="B83" s="44" t="s">
        <v>179</v>
      </c>
      <c r="C83" s="44" t="str">
        <f>VLOOKUP(A83,Artikeldaten!A:B,2,0)</f>
        <v>Stoffbezug Kopfstütze - Wolmax  [Schwarz]</v>
      </c>
      <c r="D83" s="45">
        <v>10</v>
      </c>
      <c r="E83" s="45">
        <f t="shared" si="2"/>
        <v>16.806722689075631</v>
      </c>
      <c r="F83" s="45">
        <f t="shared" si="3"/>
        <v>20</v>
      </c>
      <c r="G83" s="41"/>
      <c r="H83" s="41"/>
      <c r="I83" s="36"/>
      <c r="J83" s="35"/>
      <c r="K83" s="36"/>
      <c r="L83" s="36"/>
      <c r="M83" s="36"/>
      <c r="N83" s="36"/>
      <c r="O83" s="35" t="s">
        <v>21</v>
      </c>
      <c r="P83" s="36"/>
      <c r="Q83" s="36"/>
      <c r="R83" s="42">
        <v>7350057583708</v>
      </c>
      <c r="S83" s="43" t="s">
        <v>313</v>
      </c>
      <c r="T83" s="43">
        <v>3</v>
      </c>
      <c r="U83" s="43">
        <v>2.2000000000000002</v>
      </c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</row>
    <row r="84" spans="1:329" s="8" customFormat="1" ht="15" customHeight="1" x14ac:dyDescent="0.25">
      <c r="A84" s="70">
        <v>1101281</v>
      </c>
      <c r="B84" s="33" t="s">
        <v>89</v>
      </c>
      <c r="C84" s="33" t="str">
        <f>VLOOKUP(A84,Artikeldaten!A:B,2,0)</f>
        <v>Spannrolle Kopfstütze - Minikid 1 &amp; Rekid</v>
      </c>
      <c r="D84" s="34">
        <v>27</v>
      </c>
      <c r="E84" s="34">
        <f t="shared" si="2"/>
        <v>45.378151260504204</v>
      </c>
      <c r="F84" s="34">
        <f t="shared" si="3"/>
        <v>54</v>
      </c>
      <c r="G84" s="41"/>
      <c r="H84" s="41"/>
      <c r="I84" s="35"/>
      <c r="J84" s="36"/>
      <c r="K84" s="35" t="s">
        <v>21</v>
      </c>
      <c r="L84" s="35"/>
      <c r="M84" s="36"/>
      <c r="N84" s="35" t="s">
        <v>21</v>
      </c>
      <c r="O84" s="36"/>
      <c r="P84" s="35"/>
      <c r="Q84" s="35"/>
      <c r="R84" s="42">
        <v>7350057584224</v>
      </c>
      <c r="S84" s="43" t="s">
        <v>325</v>
      </c>
      <c r="T84" s="43">
        <v>1.6</v>
      </c>
      <c r="U84" s="43">
        <v>1.55</v>
      </c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/>
      <c r="BH84" s="7"/>
      <c r="BI84" s="7"/>
      <c r="BJ84" s="7"/>
      <c r="BK84" s="7"/>
      <c r="BL84" s="7"/>
      <c r="BM84" s="7"/>
      <c r="BN84" s="7"/>
      <c r="BO84" s="7"/>
      <c r="BP84" s="7"/>
      <c r="BQ84" s="7"/>
      <c r="BR84" s="7"/>
      <c r="BS84" s="7"/>
      <c r="BT84" s="7"/>
      <c r="BU84" s="7"/>
      <c r="BV84" s="7"/>
      <c r="BW84" s="7"/>
      <c r="BX84" s="7"/>
      <c r="BY84" s="7"/>
      <c r="BZ84" s="7"/>
      <c r="CA84" s="7"/>
      <c r="CB84" s="7"/>
      <c r="CC84" s="7"/>
      <c r="CD84" s="7"/>
      <c r="CE84" s="7"/>
      <c r="CF84" s="7"/>
      <c r="CG84" s="7"/>
      <c r="CH84" s="7"/>
      <c r="CI84" s="7"/>
      <c r="CJ84" s="7"/>
      <c r="CK84" s="7"/>
      <c r="CL84" s="7"/>
      <c r="CM84" s="7"/>
      <c r="CN84" s="7"/>
      <c r="CO84" s="7"/>
      <c r="CP84" s="7"/>
      <c r="CQ84" s="7"/>
      <c r="CR84" s="7"/>
      <c r="CS84" s="7"/>
      <c r="CT84" s="7"/>
      <c r="CU84" s="7"/>
      <c r="CV84" s="7"/>
      <c r="CW84" s="7"/>
      <c r="CX84" s="7"/>
      <c r="CY84" s="7"/>
      <c r="CZ84" s="7"/>
      <c r="DA84" s="7"/>
      <c r="DB84" s="7"/>
      <c r="DC84" s="7"/>
      <c r="DD84" s="7"/>
      <c r="DE84" s="7"/>
      <c r="DF84" s="7"/>
      <c r="DG84" s="7"/>
      <c r="DH84" s="7"/>
      <c r="DI84" s="7"/>
      <c r="DJ84" s="7"/>
      <c r="DK84" s="7"/>
      <c r="DL84" s="7"/>
      <c r="DM84" s="7"/>
      <c r="DN84" s="7"/>
      <c r="DO84" s="7"/>
      <c r="DP84" s="7"/>
      <c r="DQ84" s="7"/>
      <c r="DR84" s="7"/>
      <c r="DS84" s="7"/>
      <c r="DT84" s="7"/>
      <c r="DU84" s="7"/>
      <c r="DV84" s="7"/>
      <c r="DW84" s="7"/>
      <c r="DX84" s="7"/>
      <c r="DY84" s="7"/>
      <c r="DZ84" s="7"/>
      <c r="EA84" s="7"/>
      <c r="EB84" s="7"/>
      <c r="EC84" s="7"/>
      <c r="ED84" s="7"/>
      <c r="EE84" s="7"/>
      <c r="EF84" s="7"/>
      <c r="EG84" s="7"/>
      <c r="EH84" s="7"/>
      <c r="EI84" s="7"/>
      <c r="EJ84" s="7"/>
      <c r="EK84" s="7"/>
      <c r="EL84" s="7"/>
      <c r="EM84" s="7"/>
      <c r="EN84" s="7"/>
      <c r="EO84" s="7"/>
      <c r="EP84" s="7"/>
      <c r="EQ84" s="7"/>
      <c r="ER84" s="7"/>
      <c r="ES84" s="7"/>
      <c r="ET84" s="7"/>
      <c r="EU84" s="7"/>
      <c r="EV84" s="7"/>
      <c r="EW84" s="7"/>
      <c r="EX84" s="7"/>
      <c r="EY84" s="7"/>
      <c r="EZ84" s="7"/>
      <c r="FA84" s="7"/>
      <c r="FB84" s="7"/>
      <c r="FC84" s="7"/>
      <c r="FD84" s="7"/>
      <c r="FE84" s="7"/>
      <c r="FF84" s="7"/>
      <c r="FG84" s="7"/>
      <c r="FH84" s="7"/>
      <c r="FI84" s="7"/>
      <c r="FJ84" s="7"/>
      <c r="FK84" s="7"/>
      <c r="FL84" s="7"/>
      <c r="FM84" s="7"/>
      <c r="FN84" s="7"/>
      <c r="FO84" s="7"/>
      <c r="FP84" s="7"/>
      <c r="FQ84" s="7"/>
      <c r="FR84" s="7"/>
      <c r="FS84" s="7"/>
      <c r="FT84" s="7"/>
      <c r="FU84" s="7"/>
      <c r="FV84" s="7"/>
      <c r="FW84" s="7"/>
      <c r="FX84" s="7"/>
      <c r="FY84" s="7"/>
      <c r="FZ84" s="7"/>
      <c r="GA84" s="7"/>
      <c r="GB84" s="7"/>
      <c r="GC84" s="7"/>
      <c r="GD84" s="7"/>
      <c r="GE84" s="7"/>
      <c r="GF84" s="7"/>
      <c r="GG84" s="7"/>
      <c r="GH84" s="7"/>
      <c r="GI84" s="7"/>
      <c r="GJ84" s="7"/>
      <c r="GK84" s="7"/>
      <c r="GL84" s="7"/>
      <c r="GM84" s="7"/>
      <c r="GN84" s="7"/>
      <c r="GO84" s="7"/>
      <c r="GP84" s="7"/>
      <c r="GQ84" s="7"/>
      <c r="GR84" s="7"/>
      <c r="GS84" s="7"/>
      <c r="GT84" s="7"/>
      <c r="GU84" s="7"/>
      <c r="GV84" s="7"/>
      <c r="GW84" s="7"/>
      <c r="GX84" s="7"/>
      <c r="GY84" s="7"/>
      <c r="GZ84" s="7"/>
      <c r="HA84" s="7"/>
      <c r="HB84" s="7"/>
      <c r="HC84" s="7"/>
      <c r="HD84" s="7"/>
      <c r="HE84" s="7"/>
      <c r="HF84" s="7"/>
      <c r="HG84" s="7"/>
      <c r="HH84" s="7"/>
      <c r="HI84" s="7"/>
      <c r="HJ84" s="7"/>
      <c r="HK84" s="7"/>
      <c r="HL84" s="7"/>
      <c r="HM84" s="7"/>
      <c r="HN84" s="7"/>
      <c r="HO84" s="7"/>
      <c r="HP84" s="7"/>
      <c r="HQ84" s="7"/>
      <c r="HR84" s="7"/>
      <c r="HS84" s="7"/>
      <c r="HT84" s="7"/>
      <c r="HU84" s="7"/>
      <c r="HV84" s="7"/>
      <c r="HW84" s="7"/>
      <c r="HX84" s="7"/>
      <c r="HY84" s="7"/>
      <c r="HZ84" s="7"/>
      <c r="IA84" s="7"/>
      <c r="IB84" s="7"/>
      <c r="IC84" s="7"/>
      <c r="ID84" s="7"/>
      <c r="IE84" s="7"/>
      <c r="IF84" s="7"/>
      <c r="IG84" s="7"/>
      <c r="IH84" s="7"/>
      <c r="II84" s="7"/>
      <c r="IJ84" s="7"/>
      <c r="IK84" s="7"/>
      <c r="IL84" s="7"/>
      <c r="IM84" s="7"/>
      <c r="IN84" s="7"/>
      <c r="IO84" s="7"/>
      <c r="IP84" s="7"/>
      <c r="IQ84" s="7"/>
      <c r="IR84" s="7"/>
      <c r="IS84" s="7"/>
      <c r="IT84" s="7"/>
      <c r="IU84" s="7"/>
      <c r="IV84" s="7"/>
      <c r="IW84" s="7"/>
      <c r="IX84" s="7"/>
      <c r="IY84" s="7"/>
      <c r="IZ84" s="7"/>
      <c r="JA84" s="7"/>
      <c r="JB84" s="7"/>
      <c r="JC84" s="7"/>
      <c r="JD84" s="7"/>
      <c r="JE84" s="7"/>
      <c r="JF84" s="7"/>
      <c r="JG84" s="7"/>
      <c r="JH84" s="7"/>
      <c r="JI84" s="7"/>
      <c r="JJ84" s="7"/>
      <c r="JK84" s="7"/>
      <c r="JL84" s="7"/>
      <c r="JM84" s="7"/>
      <c r="JN84" s="7"/>
      <c r="JO84" s="7"/>
      <c r="JP84" s="7"/>
      <c r="JQ84" s="7"/>
      <c r="JR84" s="7"/>
      <c r="JS84" s="7"/>
      <c r="JT84" s="7"/>
      <c r="JU84" s="7"/>
      <c r="JV84" s="7"/>
      <c r="JW84" s="7"/>
      <c r="JX84" s="7"/>
      <c r="JY84" s="7"/>
      <c r="JZ84" s="7"/>
      <c r="KA84" s="7"/>
      <c r="KB84" s="7"/>
      <c r="KC84" s="7"/>
      <c r="KD84" s="7"/>
      <c r="KE84" s="7"/>
      <c r="KF84" s="7"/>
      <c r="KG84" s="7"/>
      <c r="KH84" s="7"/>
      <c r="KI84" s="7"/>
      <c r="KJ84" s="7"/>
      <c r="KK84" s="7"/>
      <c r="KL84" s="7"/>
      <c r="KM84" s="7"/>
      <c r="KN84" s="7"/>
      <c r="KO84" s="7"/>
      <c r="KP84" s="7"/>
      <c r="KQ84" s="7"/>
      <c r="KR84" s="7"/>
      <c r="KS84" s="7"/>
      <c r="KT84" s="7"/>
      <c r="KU84" s="7"/>
      <c r="KV84" s="7"/>
      <c r="KW84" s="7"/>
      <c r="KX84" s="7"/>
      <c r="KY84" s="7"/>
      <c r="KZ84" s="7"/>
      <c r="LA84" s="7"/>
      <c r="LB84" s="7"/>
      <c r="LC84" s="7"/>
      <c r="LD84" s="7"/>
      <c r="LE84" s="7"/>
      <c r="LF84" s="7"/>
      <c r="LG84" s="7"/>
      <c r="LH84" s="7"/>
      <c r="LI84" s="7"/>
      <c r="LJ84" s="7"/>
      <c r="LK84" s="7"/>
      <c r="LL84" s="7"/>
      <c r="LM84" s="7"/>
      <c r="LN84" s="7"/>
      <c r="LO84" s="7"/>
      <c r="LP84" s="7"/>
      <c r="LQ84" s="7"/>
    </row>
    <row r="85" spans="1:329" s="7" customFormat="1" ht="15" customHeight="1" x14ac:dyDescent="0.25">
      <c r="A85" s="70">
        <v>1101314</v>
      </c>
      <c r="B85" s="33" t="s">
        <v>182</v>
      </c>
      <c r="C85" s="33" t="str">
        <f>VLOOKUP(A85,Artikeldaten!A:B,2,0)</f>
        <v>Gurt für Stützfuß - Minikid 2 &amp; Move</v>
      </c>
      <c r="D85" s="34">
        <v>3</v>
      </c>
      <c r="E85" s="34">
        <f t="shared" si="2"/>
        <v>5.0420168067226889</v>
      </c>
      <c r="F85" s="34">
        <f t="shared" si="3"/>
        <v>6</v>
      </c>
      <c r="G85" s="41"/>
      <c r="H85" s="41"/>
      <c r="I85" s="35" t="s">
        <v>21</v>
      </c>
      <c r="J85" s="35" t="s">
        <v>21</v>
      </c>
      <c r="K85" s="35"/>
      <c r="L85" s="36"/>
      <c r="M85" s="36"/>
      <c r="N85" s="35"/>
      <c r="O85" s="35"/>
      <c r="P85" s="35"/>
      <c r="Q85" s="35"/>
      <c r="R85" s="42">
        <v>7350057584187</v>
      </c>
      <c r="S85" s="43" t="s">
        <v>311</v>
      </c>
      <c r="T85" s="43">
        <v>0.64</v>
      </c>
      <c r="U85" s="43">
        <v>0.56000000000000005</v>
      </c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</row>
    <row r="86" spans="1:329" s="7" customFormat="1" ht="15" customHeight="1" x14ac:dyDescent="0.25">
      <c r="A86" s="70">
        <v>1101315</v>
      </c>
      <c r="B86" s="33" t="s">
        <v>182</v>
      </c>
      <c r="C86" s="33" t="str">
        <f>VLOOKUP(A86,Artikeldaten!A:B,2,0)</f>
        <v>Gurt für Stützfuß - Minikid 1, Rekid, Wolmax, Duofix &amp; Kidzone</v>
      </c>
      <c r="D86" s="34">
        <v>3</v>
      </c>
      <c r="E86" s="34">
        <f t="shared" si="2"/>
        <v>5.0420168067226889</v>
      </c>
      <c r="F86" s="34">
        <f t="shared" si="3"/>
        <v>6</v>
      </c>
      <c r="G86" s="41"/>
      <c r="H86" s="41"/>
      <c r="I86" s="36"/>
      <c r="J86" s="36"/>
      <c r="K86" s="35" t="s">
        <v>21</v>
      </c>
      <c r="L86" s="36"/>
      <c r="M86" s="36"/>
      <c r="N86" s="35" t="s">
        <v>21</v>
      </c>
      <c r="O86" s="35" t="s">
        <v>21</v>
      </c>
      <c r="P86" s="35" t="s">
        <v>21</v>
      </c>
      <c r="Q86" s="35" t="s">
        <v>21</v>
      </c>
      <c r="R86" s="42">
        <v>7350057584194</v>
      </c>
      <c r="S86" s="43" t="s">
        <v>314</v>
      </c>
      <c r="T86" s="43">
        <v>0.82</v>
      </c>
      <c r="U86" s="43">
        <v>0.68</v>
      </c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</row>
    <row r="87" spans="1:329" s="7" customFormat="1" ht="15" customHeight="1" x14ac:dyDescent="0.25">
      <c r="A87" s="74">
        <v>1101784</v>
      </c>
      <c r="B87" s="48" t="s">
        <v>185</v>
      </c>
      <c r="C87" s="44" t="str">
        <f>VLOOKUP(A87,Artikeldaten!A:B,2,0)</f>
        <v>Stoffbezug - Minikid 2 Tar [Schwarz]</v>
      </c>
      <c r="D87" s="45">
        <v>50</v>
      </c>
      <c r="E87" s="45">
        <f t="shared" si="2"/>
        <v>84.033613445378151</v>
      </c>
      <c r="F87" s="45">
        <f t="shared" si="3"/>
        <v>100</v>
      </c>
      <c r="G87" s="41"/>
      <c r="H87" s="41"/>
      <c r="I87" s="35" t="s">
        <v>21</v>
      </c>
      <c r="J87" s="36"/>
      <c r="K87" s="36"/>
      <c r="L87" s="36"/>
      <c r="M87" s="36"/>
      <c r="N87" s="36"/>
      <c r="O87" s="36"/>
      <c r="P87" s="36"/>
      <c r="Q87" s="36"/>
      <c r="R87" s="42">
        <v>7350057584712</v>
      </c>
      <c r="S87" s="43" t="s">
        <v>313</v>
      </c>
      <c r="T87" s="43">
        <v>3.3</v>
      </c>
      <c r="U87" s="43">
        <v>2.52</v>
      </c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  <c r="BP87" s="8"/>
      <c r="BQ87" s="8"/>
      <c r="BR87" s="8"/>
      <c r="BS87" s="8"/>
      <c r="BT87" s="8"/>
      <c r="BU87" s="8"/>
      <c r="BV87" s="8"/>
      <c r="BW87" s="8"/>
      <c r="BX87" s="8"/>
      <c r="BY87" s="8"/>
      <c r="BZ87" s="8"/>
      <c r="CA87" s="8"/>
      <c r="CB87" s="8"/>
      <c r="CC87" s="8"/>
      <c r="CD87" s="8"/>
      <c r="CE87" s="8"/>
      <c r="CF87" s="8"/>
      <c r="CG87" s="8"/>
      <c r="CH87" s="8"/>
      <c r="CI87" s="8"/>
      <c r="CJ87" s="8"/>
      <c r="CK87" s="8"/>
      <c r="CL87" s="8"/>
      <c r="CM87" s="8"/>
      <c r="CN87" s="8"/>
      <c r="CO87" s="8"/>
      <c r="CP87" s="8"/>
      <c r="CQ87" s="8"/>
      <c r="CR87" s="8"/>
      <c r="CS87" s="8"/>
      <c r="CT87" s="8"/>
      <c r="CU87" s="8"/>
      <c r="CV87" s="8"/>
      <c r="CW87" s="8"/>
      <c r="CX87" s="8"/>
      <c r="CY87" s="8"/>
      <c r="CZ87" s="8"/>
      <c r="DA87" s="8"/>
      <c r="DB87" s="8"/>
      <c r="DC87" s="8"/>
      <c r="DD87" s="8"/>
      <c r="DE87" s="8"/>
      <c r="DF87" s="8"/>
      <c r="DG87" s="8"/>
      <c r="DH87" s="8"/>
      <c r="DI87" s="8"/>
      <c r="DJ87" s="8"/>
      <c r="DK87" s="8"/>
      <c r="DL87" s="8"/>
      <c r="DM87" s="8"/>
      <c r="DN87" s="8"/>
      <c r="DO87" s="8"/>
      <c r="DP87" s="8"/>
      <c r="DQ87" s="8"/>
      <c r="DR87" s="8"/>
      <c r="DS87" s="8"/>
      <c r="DT87" s="8"/>
      <c r="DU87" s="8"/>
      <c r="DV87" s="8"/>
      <c r="DW87" s="8"/>
      <c r="DX87" s="8"/>
      <c r="DY87" s="8"/>
      <c r="DZ87" s="8"/>
      <c r="EA87" s="8"/>
      <c r="EB87" s="8"/>
      <c r="EC87" s="8"/>
      <c r="ED87" s="8"/>
      <c r="EE87" s="8"/>
      <c r="EF87" s="8"/>
      <c r="EG87" s="8"/>
      <c r="EH87" s="8"/>
      <c r="EI87" s="8"/>
      <c r="EJ87" s="8"/>
      <c r="EK87" s="8"/>
      <c r="EL87" s="8"/>
      <c r="EM87" s="8"/>
      <c r="EN87" s="8"/>
      <c r="EO87" s="8"/>
      <c r="EP87" s="8"/>
      <c r="EQ87" s="8"/>
      <c r="ER87" s="8"/>
      <c r="ES87" s="8"/>
      <c r="ET87" s="8"/>
      <c r="EU87" s="8"/>
      <c r="EV87" s="8"/>
      <c r="EW87" s="8"/>
      <c r="EX87" s="8"/>
      <c r="EY87" s="8"/>
      <c r="EZ87" s="8"/>
      <c r="FA87" s="8"/>
      <c r="FB87" s="8"/>
      <c r="FC87" s="8"/>
      <c r="FD87" s="8"/>
      <c r="FE87" s="8"/>
      <c r="FF87" s="8"/>
      <c r="FG87" s="8"/>
      <c r="FH87" s="8"/>
      <c r="FI87" s="8"/>
      <c r="FJ87" s="8"/>
      <c r="FK87" s="8"/>
      <c r="FL87" s="8"/>
      <c r="FM87" s="8"/>
      <c r="FN87" s="8"/>
      <c r="FO87" s="8"/>
      <c r="FP87" s="8"/>
      <c r="FQ87" s="8"/>
      <c r="FR87" s="8"/>
      <c r="FS87" s="8"/>
      <c r="FT87" s="8"/>
      <c r="FU87" s="8"/>
      <c r="FV87" s="8"/>
      <c r="FW87" s="8"/>
      <c r="FX87" s="8"/>
      <c r="FY87" s="8"/>
      <c r="FZ87" s="8"/>
      <c r="GA87" s="8"/>
      <c r="GB87" s="8"/>
      <c r="GC87" s="8"/>
      <c r="GD87" s="8"/>
      <c r="GE87" s="8"/>
      <c r="GF87" s="8"/>
      <c r="GG87" s="8"/>
      <c r="GH87" s="8"/>
      <c r="GI87" s="8"/>
      <c r="GJ87" s="8"/>
      <c r="GK87" s="8"/>
      <c r="GL87" s="8"/>
      <c r="GM87" s="8"/>
      <c r="GN87" s="8"/>
      <c r="GO87" s="8"/>
      <c r="GP87" s="8"/>
      <c r="GQ87" s="8"/>
      <c r="GR87" s="8"/>
      <c r="GS87" s="8"/>
      <c r="GT87" s="8"/>
      <c r="GU87" s="8"/>
      <c r="GV87" s="8"/>
      <c r="GW87" s="8"/>
      <c r="GX87" s="8"/>
      <c r="GY87" s="8"/>
      <c r="GZ87" s="8"/>
      <c r="HA87" s="8"/>
      <c r="HB87" s="8"/>
      <c r="HC87" s="8"/>
      <c r="HD87" s="8"/>
      <c r="HE87" s="8"/>
      <c r="HF87" s="8"/>
      <c r="HG87" s="8"/>
      <c r="HH87" s="8"/>
      <c r="HI87" s="8"/>
      <c r="HJ87" s="8"/>
      <c r="HK87" s="8"/>
      <c r="HL87" s="8"/>
      <c r="HM87" s="8"/>
      <c r="HN87" s="8"/>
      <c r="HO87" s="8"/>
      <c r="HP87" s="8"/>
      <c r="HQ87" s="8"/>
      <c r="HR87" s="8"/>
      <c r="HS87" s="8"/>
      <c r="HT87" s="8"/>
      <c r="HU87" s="8"/>
      <c r="HV87" s="8"/>
      <c r="HW87" s="8"/>
      <c r="HX87" s="8"/>
      <c r="HY87" s="8"/>
      <c r="HZ87" s="8"/>
      <c r="IA87" s="8"/>
      <c r="IB87" s="8"/>
      <c r="IC87" s="8"/>
      <c r="ID87" s="8"/>
      <c r="IE87" s="8"/>
      <c r="IF87" s="8"/>
      <c r="IG87" s="8"/>
      <c r="IH87" s="8"/>
      <c r="II87" s="8"/>
      <c r="IJ87" s="8"/>
      <c r="IK87" s="8"/>
      <c r="IL87" s="8"/>
      <c r="IM87" s="8"/>
      <c r="IN87" s="8"/>
      <c r="IO87" s="8"/>
      <c r="IP87" s="8"/>
      <c r="IQ87" s="8"/>
      <c r="IR87" s="8"/>
      <c r="IS87" s="8"/>
      <c r="IT87" s="8"/>
      <c r="IU87" s="8"/>
      <c r="IV87" s="8"/>
      <c r="IW87" s="8"/>
      <c r="IX87" s="8"/>
      <c r="IY87" s="8"/>
      <c r="IZ87" s="8"/>
      <c r="JA87" s="8"/>
      <c r="JB87" s="8"/>
      <c r="JC87" s="8"/>
      <c r="JD87" s="8"/>
      <c r="JE87" s="8"/>
      <c r="JF87" s="8"/>
      <c r="JG87" s="8"/>
      <c r="JH87" s="8"/>
      <c r="JI87" s="8"/>
      <c r="JJ87" s="8"/>
      <c r="JK87" s="8"/>
      <c r="JL87" s="8"/>
      <c r="JM87" s="8"/>
      <c r="JN87" s="8"/>
      <c r="JO87" s="8"/>
      <c r="JP87" s="8"/>
      <c r="JQ87" s="8"/>
      <c r="JR87" s="8"/>
      <c r="JS87" s="8"/>
      <c r="JT87" s="8"/>
      <c r="JU87" s="8"/>
      <c r="JV87" s="8"/>
      <c r="JW87" s="8"/>
      <c r="JX87" s="8"/>
      <c r="JY87" s="8"/>
      <c r="JZ87" s="8"/>
      <c r="KA87" s="8"/>
      <c r="KB87" s="8"/>
      <c r="KC87" s="8"/>
      <c r="KD87" s="8"/>
      <c r="KE87" s="8"/>
      <c r="KF87" s="8"/>
      <c r="KG87" s="8"/>
      <c r="KH87" s="8"/>
      <c r="KI87" s="8"/>
      <c r="KJ87" s="8"/>
      <c r="KK87" s="8"/>
      <c r="KL87" s="8"/>
      <c r="KM87" s="8"/>
      <c r="KN87" s="8"/>
      <c r="KO87" s="8"/>
      <c r="KP87" s="8"/>
      <c r="KQ87" s="8"/>
      <c r="KR87" s="8"/>
      <c r="KS87" s="8"/>
      <c r="KT87" s="8"/>
      <c r="KU87" s="8"/>
      <c r="KV87" s="8"/>
      <c r="KW87" s="8"/>
      <c r="KX87" s="8"/>
      <c r="KY87" s="8"/>
      <c r="KZ87" s="8"/>
      <c r="LA87" s="8"/>
      <c r="LB87" s="8"/>
      <c r="LC87" s="8"/>
      <c r="LD87" s="8"/>
      <c r="LE87" s="8"/>
      <c r="LF87" s="8"/>
      <c r="LG87" s="8"/>
      <c r="LH87" s="8"/>
      <c r="LI87" s="8"/>
      <c r="LJ87" s="8"/>
      <c r="LK87" s="8"/>
      <c r="LL87" s="8"/>
      <c r="LM87" s="8"/>
      <c r="LN87" s="8"/>
      <c r="LO87" s="8"/>
      <c r="LP87" s="8"/>
      <c r="LQ87" s="8"/>
    </row>
    <row r="88" spans="1:329" s="8" customFormat="1" ht="15" customHeight="1" x14ac:dyDescent="0.25">
      <c r="A88" s="74">
        <v>1101785</v>
      </c>
      <c r="B88" s="48" t="s">
        <v>187</v>
      </c>
      <c r="C88" s="44" t="str">
        <f>VLOOKUP(A88,Artikeldaten!A:B,2,0)</f>
        <v>Stoffbezug - Minikid 2 Granite [Grau]</v>
      </c>
      <c r="D88" s="45">
        <v>50</v>
      </c>
      <c r="E88" s="45">
        <f t="shared" si="2"/>
        <v>84.033613445378151</v>
      </c>
      <c r="F88" s="45">
        <f t="shared" si="3"/>
        <v>100</v>
      </c>
      <c r="G88" s="41"/>
      <c r="H88" s="41"/>
      <c r="I88" s="35" t="s">
        <v>21</v>
      </c>
      <c r="J88" s="36"/>
      <c r="K88" s="36"/>
      <c r="L88" s="36"/>
      <c r="M88" s="36"/>
      <c r="N88" s="36"/>
      <c r="O88" s="36"/>
      <c r="P88" s="36"/>
      <c r="Q88" s="36"/>
      <c r="R88" s="42">
        <v>7350057584729</v>
      </c>
      <c r="S88" s="43" t="s">
        <v>313</v>
      </c>
      <c r="T88" s="43">
        <v>3.3</v>
      </c>
      <c r="U88" s="43">
        <v>2.52</v>
      </c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</row>
    <row r="89" spans="1:329" s="7" customFormat="1" ht="15" customHeight="1" x14ac:dyDescent="0.25">
      <c r="A89" s="74">
        <v>1101786</v>
      </c>
      <c r="B89" s="48" t="s">
        <v>189</v>
      </c>
      <c r="C89" s="44" t="str">
        <f>VLOOKUP(A89,Artikeldaten!A:B,2,0)</f>
        <v>Stoffbezug - Minikid 2 Shellfish [Rot]</v>
      </c>
      <c r="D89" s="45">
        <v>50</v>
      </c>
      <c r="E89" s="45">
        <f t="shared" si="2"/>
        <v>84.033613445378151</v>
      </c>
      <c r="F89" s="45">
        <f t="shared" si="3"/>
        <v>100</v>
      </c>
      <c r="G89" s="41"/>
      <c r="H89" s="41"/>
      <c r="I89" s="35" t="s">
        <v>21</v>
      </c>
      <c r="J89" s="36"/>
      <c r="K89" s="36"/>
      <c r="L89" s="36"/>
      <c r="M89" s="36"/>
      <c r="N89" s="36"/>
      <c r="O89" s="36"/>
      <c r="P89" s="36"/>
      <c r="Q89" s="36"/>
      <c r="R89" s="42">
        <v>7350057584736</v>
      </c>
      <c r="S89" s="43" t="s">
        <v>313</v>
      </c>
      <c r="T89" s="43">
        <v>3.3</v>
      </c>
      <c r="U89" s="43">
        <v>2.52</v>
      </c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  <c r="BP89" s="8"/>
      <c r="BQ89" s="8"/>
      <c r="BR89" s="8"/>
      <c r="BS89" s="8"/>
      <c r="BT89" s="8"/>
      <c r="BU89" s="8"/>
      <c r="BV89" s="8"/>
      <c r="BW89" s="8"/>
      <c r="BX89" s="8"/>
      <c r="BY89" s="8"/>
      <c r="BZ89" s="8"/>
      <c r="CA89" s="8"/>
      <c r="CB89" s="8"/>
      <c r="CC89" s="8"/>
      <c r="CD89" s="8"/>
      <c r="CE89" s="8"/>
      <c r="CF89" s="8"/>
      <c r="CG89" s="8"/>
      <c r="CH89" s="8"/>
      <c r="CI89" s="8"/>
      <c r="CJ89" s="8"/>
      <c r="CK89" s="8"/>
      <c r="CL89" s="8"/>
      <c r="CM89" s="8"/>
      <c r="CN89" s="8"/>
      <c r="CO89" s="8"/>
      <c r="CP89" s="8"/>
      <c r="CQ89" s="8"/>
      <c r="CR89" s="8"/>
      <c r="CS89" s="8"/>
      <c r="CT89" s="8"/>
      <c r="CU89" s="8"/>
      <c r="CV89" s="8"/>
      <c r="CW89" s="8"/>
      <c r="CX89" s="8"/>
      <c r="CY89" s="8"/>
      <c r="CZ89" s="8"/>
      <c r="DA89" s="8"/>
      <c r="DB89" s="8"/>
      <c r="DC89" s="8"/>
      <c r="DD89" s="8"/>
      <c r="DE89" s="8"/>
      <c r="DF89" s="8"/>
      <c r="DG89" s="8"/>
      <c r="DH89" s="8"/>
      <c r="DI89" s="8"/>
      <c r="DJ89" s="8"/>
      <c r="DK89" s="8"/>
      <c r="DL89" s="8"/>
      <c r="DM89" s="8"/>
      <c r="DN89" s="8"/>
      <c r="DO89" s="8"/>
      <c r="DP89" s="8"/>
      <c r="DQ89" s="8"/>
      <c r="DR89" s="8"/>
      <c r="DS89" s="8"/>
      <c r="DT89" s="8"/>
      <c r="DU89" s="8"/>
      <c r="DV89" s="8"/>
      <c r="DW89" s="8"/>
      <c r="DX89" s="8"/>
      <c r="DY89" s="8"/>
      <c r="DZ89" s="8"/>
      <c r="EA89" s="8"/>
      <c r="EB89" s="8"/>
      <c r="EC89" s="8"/>
      <c r="ED89" s="8"/>
      <c r="EE89" s="8"/>
      <c r="EF89" s="8"/>
      <c r="EG89" s="8"/>
      <c r="EH89" s="8"/>
      <c r="EI89" s="8"/>
      <c r="EJ89" s="8"/>
      <c r="EK89" s="8"/>
      <c r="EL89" s="8"/>
      <c r="EM89" s="8"/>
      <c r="EN89" s="8"/>
      <c r="EO89" s="8"/>
      <c r="EP89" s="8"/>
      <c r="EQ89" s="8"/>
      <c r="ER89" s="8"/>
      <c r="ES89" s="8"/>
      <c r="ET89" s="8"/>
      <c r="EU89" s="8"/>
      <c r="EV89" s="8"/>
      <c r="EW89" s="8"/>
      <c r="EX89" s="8"/>
      <c r="EY89" s="8"/>
      <c r="EZ89" s="8"/>
      <c r="FA89" s="8"/>
      <c r="FB89" s="8"/>
      <c r="FC89" s="8"/>
      <c r="FD89" s="8"/>
      <c r="FE89" s="8"/>
      <c r="FF89" s="8"/>
      <c r="FG89" s="8"/>
      <c r="FH89" s="8"/>
      <c r="FI89" s="8"/>
      <c r="FJ89" s="8"/>
      <c r="FK89" s="8"/>
      <c r="FL89" s="8"/>
      <c r="FM89" s="8"/>
      <c r="FN89" s="8"/>
      <c r="FO89" s="8"/>
      <c r="FP89" s="8"/>
      <c r="FQ89" s="8"/>
      <c r="FR89" s="8"/>
      <c r="FS89" s="8"/>
      <c r="FT89" s="8"/>
      <c r="FU89" s="8"/>
      <c r="FV89" s="8"/>
      <c r="FW89" s="8"/>
      <c r="FX89" s="8"/>
      <c r="FY89" s="8"/>
      <c r="FZ89" s="8"/>
      <c r="GA89" s="8"/>
      <c r="GB89" s="8"/>
      <c r="GC89" s="8"/>
      <c r="GD89" s="8"/>
      <c r="GE89" s="8"/>
      <c r="GF89" s="8"/>
      <c r="GG89" s="8"/>
      <c r="GH89" s="8"/>
      <c r="GI89" s="8"/>
      <c r="GJ89" s="8"/>
      <c r="GK89" s="8"/>
      <c r="GL89" s="8"/>
      <c r="GM89" s="8"/>
      <c r="GN89" s="8"/>
      <c r="GO89" s="8"/>
      <c r="GP89" s="8"/>
      <c r="GQ89" s="8"/>
      <c r="GR89" s="8"/>
      <c r="GS89" s="8"/>
      <c r="GT89" s="8"/>
      <c r="GU89" s="8"/>
      <c r="GV89" s="8"/>
      <c r="GW89" s="8"/>
      <c r="GX89" s="8"/>
      <c r="GY89" s="8"/>
      <c r="GZ89" s="8"/>
      <c r="HA89" s="8"/>
      <c r="HB89" s="8"/>
      <c r="HC89" s="8"/>
      <c r="HD89" s="8"/>
      <c r="HE89" s="8"/>
      <c r="HF89" s="8"/>
      <c r="HG89" s="8"/>
      <c r="HH89" s="8"/>
      <c r="HI89" s="8"/>
      <c r="HJ89" s="8"/>
      <c r="HK89" s="8"/>
      <c r="HL89" s="8"/>
      <c r="HM89" s="8"/>
      <c r="HN89" s="8"/>
      <c r="HO89" s="8"/>
      <c r="HP89" s="8"/>
      <c r="HQ89" s="8"/>
      <c r="HR89" s="8"/>
      <c r="HS89" s="8"/>
      <c r="HT89" s="8"/>
      <c r="HU89" s="8"/>
      <c r="HV89" s="8"/>
      <c r="HW89" s="8"/>
      <c r="HX89" s="8"/>
      <c r="HY89" s="8"/>
      <c r="HZ89" s="8"/>
      <c r="IA89" s="8"/>
      <c r="IB89" s="8"/>
      <c r="IC89" s="8"/>
      <c r="ID89" s="8"/>
      <c r="IE89" s="8"/>
      <c r="IF89" s="8"/>
      <c r="IG89" s="8"/>
      <c r="IH89" s="8"/>
      <c r="II89" s="8"/>
      <c r="IJ89" s="8"/>
      <c r="IK89" s="8"/>
      <c r="IL89" s="8"/>
      <c r="IM89" s="8"/>
      <c r="IN89" s="8"/>
      <c r="IO89" s="8"/>
      <c r="IP89" s="8"/>
      <c r="IQ89" s="8"/>
      <c r="IR89" s="8"/>
      <c r="IS89" s="8"/>
      <c r="IT89" s="8"/>
      <c r="IU89" s="8"/>
      <c r="IV89" s="8"/>
      <c r="IW89" s="8"/>
      <c r="IX89" s="8"/>
      <c r="IY89" s="8"/>
      <c r="IZ89" s="8"/>
      <c r="JA89" s="8"/>
      <c r="JB89" s="8"/>
      <c r="JC89" s="8"/>
      <c r="JD89" s="8"/>
      <c r="JE89" s="8"/>
      <c r="JF89" s="8"/>
      <c r="JG89" s="8"/>
      <c r="JH89" s="8"/>
      <c r="JI89" s="8"/>
      <c r="JJ89" s="8"/>
      <c r="JK89" s="8"/>
      <c r="JL89" s="8"/>
      <c r="JM89" s="8"/>
      <c r="JN89" s="8"/>
      <c r="JO89" s="8"/>
      <c r="JP89" s="8"/>
      <c r="JQ89" s="8"/>
      <c r="JR89" s="8"/>
      <c r="JS89" s="8"/>
      <c r="JT89" s="8"/>
      <c r="JU89" s="8"/>
      <c r="JV89" s="8"/>
      <c r="JW89" s="8"/>
      <c r="JX89" s="8"/>
      <c r="JY89" s="8"/>
      <c r="JZ89" s="8"/>
      <c r="KA89" s="8"/>
      <c r="KB89" s="8"/>
      <c r="KC89" s="8"/>
      <c r="KD89" s="8"/>
      <c r="KE89" s="8"/>
      <c r="KF89" s="8"/>
      <c r="KG89" s="8"/>
      <c r="KH89" s="8"/>
      <c r="KI89" s="8"/>
      <c r="KJ89" s="8"/>
      <c r="KK89" s="8"/>
      <c r="KL89" s="8"/>
      <c r="KM89" s="8"/>
      <c r="KN89" s="8"/>
      <c r="KO89" s="8"/>
      <c r="KP89" s="8"/>
      <c r="KQ89" s="8"/>
      <c r="KR89" s="8"/>
      <c r="KS89" s="8"/>
      <c r="KT89" s="8"/>
      <c r="KU89" s="8"/>
      <c r="KV89" s="8"/>
      <c r="KW89" s="8"/>
      <c r="KX89" s="8"/>
      <c r="KY89" s="8"/>
      <c r="KZ89" s="8"/>
      <c r="LA89" s="8"/>
      <c r="LB89" s="8"/>
      <c r="LC89" s="8"/>
      <c r="LD89" s="8"/>
      <c r="LE89" s="8"/>
      <c r="LF89" s="8"/>
      <c r="LG89" s="8"/>
      <c r="LH89" s="8"/>
      <c r="LI89" s="8"/>
      <c r="LJ89" s="8"/>
      <c r="LK89" s="8"/>
      <c r="LL89" s="8"/>
      <c r="LM89" s="8"/>
      <c r="LN89" s="8"/>
      <c r="LO89" s="8"/>
      <c r="LP89" s="8"/>
      <c r="LQ89" s="8"/>
    </row>
    <row r="90" spans="1:329" s="7" customFormat="1" ht="15" customHeight="1" x14ac:dyDescent="0.25">
      <c r="A90" s="74">
        <v>1101787</v>
      </c>
      <c r="B90" s="48" t="s">
        <v>191</v>
      </c>
      <c r="C90" s="44" t="str">
        <f>VLOOKUP(A90,Artikeldaten!A:B,2,0)</f>
        <v>Stoffbezug - Minikid 2 Sea [Blau]</v>
      </c>
      <c r="D90" s="45">
        <v>50</v>
      </c>
      <c r="E90" s="45">
        <f t="shared" si="2"/>
        <v>84.033613445378151</v>
      </c>
      <c r="F90" s="45">
        <f t="shared" si="3"/>
        <v>100</v>
      </c>
      <c r="G90" s="41"/>
      <c r="H90" s="41"/>
      <c r="I90" s="35" t="s">
        <v>21</v>
      </c>
      <c r="J90" s="36"/>
      <c r="K90" s="36"/>
      <c r="L90" s="36"/>
      <c r="M90" s="36"/>
      <c r="N90" s="36"/>
      <c r="O90" s="36"/>
      <c r="P90" s="36"/>
      <c r="Q90" s="36"/>
      <c r="R90" s="42">
        <v>7350057584743</v>
      </c>
      <c r="S90" s="43" t="s">
        <v>313</v>
      </c>
      <c r="T90" s="43">
        <v>3.3</v>
      </c>
      <c r="U90" s="43">
        <v>2.52</v>
      </c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  <c r="BP90" s="8"/>
      <c r="BQ90" s="8"/>
      <c r="BR90" s="8"/>
      <c r="BS90" s="8"/>
      <c r="BT90" s="8"/>
      <c r="BU90" s="8"/>
      <c r="BV90" s="8"/>
      <c r="BW90" s="8"/>
      <c r="BX90" s="8"/>
      <c r="BY90" s="8"/>
      <c r="BZ90" s="8"/>
      <c r="CA90" s="8"/>
      <c r="CB90" s="8"/>
      <c r="CC90" s="8"/>
      <c r="CD90" s="8"/>
      <c r="CE90" s="8"/>
      <c r="CF90" s="8"/>
      <c r="CG90" s="8"/>
      <c r="CH90" s="8"/>
      <c r="CI90" s="8"/>
      <c r="CJ90" s="8"/>
      <c r="CK90" s="8"/>
      <c r="CL90" s="8"/>
      <c r="CM90" s="8"/>
      <c r="CN90" s="8"/>
      <c r="CO90" s="8"/>
      <c r="CP90" s="8"/>
      <c r="CQ90" s="8"/>
      <c r="CR90" s="8"/>
      <c r="CS90" s="8"/>
      <c r="CT90" s="8"/>
      <c r="CU90" s="8"/>
      <c r="CV90" s="8"/>
      <c r="CW90" s="8"/>
      <c r="CX90" s="8"/>
      <c r="CY90" s="8"/>
      <c r="CZ90" s="8"/>
      <c r="DA90" s="8"/>
      <c r="DB90" s="8"/>
      <c r="DC90" s="8"/>
      <c r="DD90" s="8"/>
      <c r="DE90" s="8"/>
      <c r="DF90" s="8"/>
      <c r="DG90" s="8"/>
      <c r="DH90" s="8"/>
      <c r="DI90" s="8"/>
      <c r="DJ90" s="8"/>
      <c r="DK90" s="8"/>
      <c r="DL90" s="8"/>
      <c r="DM90" s="8"/>
      <c r="DN90" s="8"/>
      <c r="DO90" s="8"/>
      <c r="DP90" s="8"/>
      <c r="DQ90" s="8"/>
      <c r="DR90" s="8"/>
      <c r="DS90" s="8"/>
      <c r="DT90" s="8"/>
      <c r="DU90" s="8"/>
      <c r="DV90" s="8"/>
      <c r="DW90" s="8"/>
      <c r="DX90" s="8"/>
      <c r="DY90" s="8"/>
      <c r="DZ90" s="8"/>
      <c r="EA90" s="8"/>
      <c r="EB90" s="8"/>
      <c r="EC90" s="8"/>
      <c r="ED90" s="8"/>
      <c r="EE90" s="8"/>
      <c r="EF90" s="8"/>
      <c r="EG90" s="8"/>
      <c r="EH90" s="8"/>
      <c r="EI90" s="8"/>
      <c r="EJ90" s="8"/>
      <c r="EK90" s="8"/>
      <c r="EL90" s="8"/>
      <c r="EM90" s="8"/>
      <c r="EN90" s="8"/>
      <c r="EO90" s="8"/>
      <c r="EP90" s="8"/>
      <c r="EQ90" s="8"/>
      <c r="ER90" s="8"/>
      <c r="ES90" s="8"/>
      <c r="ET90" s="8"/>
      <c r="EU90" s="8"/>
      <c r="EV90" s="8"/>
      <c r="EW90" s="8"/>
      <c r="EX90" s="8"/>
      <c r="EY90" s="8"/>
      <c r="EZ90" s="8"/>
      <c r="FA90" s="8"/>
      <c r="FB90" s="8"/>
      <c r="FC90" s="8"/>
      <c r="FD90" s="8"/>
      <c r="FE90" s="8"/>
      <c r="FF90" s="8"/>
      <c r="FG90" s="8"/>
      <c r="FH90" s="8"/>
      <c r="FI90" s="8"/>
      <c r="FJ90" s="8"/>
      <c r="FK90" s="8"/>
      <c r="FL90" s="8"/>
      <c r="FM90" s="8"/>
      <c r="FN90" s="8"/>
      <c r="FO90" s="8"/>
      <c r="FP90" s="8"/>
      <c r="FQ90" s="8"/>
      <c r="FR90" s="8"/>
      <c r="FS90" s="8"/>
      <c r="FT90" s="8"/>
      <c r="FU90" s="8"/>
      <c r="FV90" s="8"/>
      <c r="FW90" s="8"/>
      <c r="FX90" s="8"/>
      <c r="FY90" s="8"/>
      <c r="FZ90" s="8"/>
      <c r="GA90" s="8"/>
      <c r="GB90" s="8"/>
      <c r="GC90" s="8"/>
      <c r="GD90" s="8"/>
      <c r="GE90" s="8"/>
      <c r="GF90" s="8"/>
      <c r="GG90" s="8"/>
      <c r="GH90" s="8"/>
      <c r="GI90" s="8"/>
      <c r="GJ90" s="8"/>
      <c r="GK90" s="8"/>
      <c r="GL90" s="8"/>
      <c r="GM90" s="8"/>
      <c r="GN90" s="8"/>
      <c r="GO90" s="8"/>
      <c r="GP90" s="8"/>
      <c r="GQ90" s="8"/>
      <c r="GR90" s="8"/>
      <c r="GS90" s="8"/>
      <c r="GT90" s="8"/>
      <c r="GU90" s="8"/>
      <c r="GV90" s="8"/>
      <c r="GW90" s="8"/>
      <c r="GX90" s="8"/>
      <c r="GY90" s="8"/>
      <c r="GZ90" s="8"/>
      <c r="HA90" s="8"/>
      <c r="HB90" s="8"/>
      <c r="HC90" s="8"/>
      <c r="HD90" s="8"/>
      <c r="HE90" s="8"/>
      <c r="HF90" s="8"/>
      <c r="HG90" s="8"/>
      <c r="HH90" s="8"/>
      <c r="HI90" s="8"/>
      <c r="HJ90" s="8"/>
      <c r="HK90" s="8"/>
      <c r="HL90" s="8"/>
      <c r="HM90" s="8"/>
      <c r="HN90" s="8"/>
      <c r="HO90" s="8"/>
      <c r="HP90" s="8"/>
      <c r="HQ90" s="8"/>
      <c r="HR90" s="8"/>
      <c r="HS90" s="8"/>
      <c r="HT90" s="8"/>
      <c r="HU90" s="8"/>
      <c r="HV90" s="8"/>
      <c r="HW90" s="8"/>
      <c r="HX90" s="8"/>
      <c r="HY90" s="8"/>
      <c r="HZ90" s="8"/>
      <c r="IA90" s="8"/>
      <c r="IB90" s="8"/>
      <c r="IC90" s="8"/>
      <c r="ID90" s="8"/>
      <c r="IE90" s="8"/>
      <c r="IF90" s="8"/>
      <c r="IG90" s="8"/>
      <c r="IH90" s="8"/>
      <c r="II90" s="8"/>
      <c r="IJ90" s="8"/>
      <c r="IK90" s="8"/>
      <c r="IL90" s="8"/>
      <c r="IM90" s="8"/>
      <c r="IN90" s="8"/>
      <c r="IO90" s="8"/>
      <c r="IP90" s="8"/>
      <c r="IQ90" s="8"/>
      <c r="IR90" s="8"/>
      <c r="IS90" s="8"/>
      <c r="IT90" s="8"/>
      <c r="IU90" s="8"/>
      <c r="IV90" s="8"/>
      <c r="IW90" s="8"/>
      <c r="IX90" s="8"/>
      <c r="IY90" s="8"/>
      <c r="IZ90" s="8"/>
      <c r="JA90" s="8"/>
      <c r="JB90" s="8"/>
      <c r="JC90" s="8"/>
      <c r="JD90" s="8"/>
      <c r="JE90" s="8"/>
      <c r="JF90" s="8"/>
      <c r="JG90" s="8"/>
      <c r="JH90" s="8"/>
      <c r="JI90" s="8"/>
      <c r="JJ90" s="8"/>
      <c r="JK90" s="8"/>
      <c r="JL90" s="8"/>
      <c r="JM90" s="8"/>
      <c r="JN90" s="8"/>
      <c r="JO90" s="8"/>
      <c r="JP90" s="8"/>
      <c r="JQ90" s="8"/>
      <c r="JR90" s="8"/>
      <c r="JS90" s="8"/>
      <c r="JT90" s="8"/>
      <c r="JU90" s="8"/>
      <c r="JV90" s="8"/>
      <c r="JW90" s="8"/>
      <c r="JX90" s="8"/>
      <c r="JY90" s="8"/>
      <c r="JZ90" s="8"/>
      <c r="KA90" s="8"/>
      <c r="KB90" s="8"/>
      <c r="KC90" s="8"/>
      <c r="KD90" s="8"/>
      <c r="KE90" s="8"/>
      <c r="KF90" s="8"/>
      <c r="KG90" s="8"/>
      <c r="KH90" s="8"/>
      <c r="KI90" s="8"/>
      <c r="KJ90" s="8"/>
      <c r="KK90" s="8"/>
      <c r="KL90" s="8"/>
      <c r="KM90" s="8"/>
      <c r="KN90" s="8"/>
      <c r="KO90" s="8"/>
      <c r="KP90" s="8"/>
      <c r="KQ90" s="8"/>
      <c r="KR90" s="8"/>
      <c r="KS90" s="8"/>
      <c r="KT90" s="8"/>
      <c r="KU90" s="8"/>
      <c r="KV90" s="8"/>
      <c r="KW90" s="8"/>
      <c r="KX90" s="8"/>
      <c r="KY90" s="8"/>
      <c r="KZ90" s="8"/>
      <c r="LA90" s="8"/>
      <c r="LB90" s="8"/>
      <c r="LC90" s="8"/>
      <c r="LD90" s="8"/>
      <c r="LE90" s="8"/>
      <c r="LF90" s="8"/>
      <c r="LG90" s="8"/>
      <c r="LH90" s="8"/>
      <c r="LI90" s="8"/>
      <c r="LJ90" s="8"/>
      <c r="LK90" s="8"/>
      <c r="LL90" s="8"/>
      <c r="LM90" s="8"/>
      <c r="LN90" s="8"/>
      <c r="LO90" s="8"/>
      <c r="LP90" s="8"/>
      <c r="LQ90" s="8"/>
    </row>
    <row r="91" spans="1:329" s="7" customFormat="1" ht="15" customHeight="1" x14ac:dyDescent="0.25">
      <c r="A91" s="74">
        <v>1101788</v>
      </c>
      <c r="B91" s="48" t="s">
        <v>193</v>
      </c>
      <c r="C91" s="44" t="str">
        <f>VLOOKUP(A91,Artikeldaten!A:B,2,0)</f>
        <v>Stoffbezug - Minikid 2 Moss [Grün]</v>
      </c>
      <c r="D91" s="45">
        <v>50</v>
      </c>
      <c r="E91" s="45">
        <f t="shared" si="2"/>
        <v>84.033613445378151</v>
      </c>
      <c r="F91" s="45">
        <f t="shared" si="3"/>
        <v>100</v>
      </c>
      <c r="G91" s="41"/>
      <c r="H91" s="41"/>
      <c r="I91" s="35" t="s">
        <v>21</v>
      </c>
      <c r="J91" s="36"/>
      <c r="K91" s="36"/>
      <c r="L91" s="36"/>
      <c r="M91" s="36"/>
      <c r="N91" s="36"/>
      <c r="O91" s="36"/>
      <c r="P91" s="36"/>
      <c r="Q91" s="36"/>
      <c r="R91" s="42">
        <v>7350057584750</v>
      </c>
      <c r="S91" s="43" t="s">
        <v>313</v>
      </c>
      <c r="T91" s="43">
        <v>3.3</v>
      </c>
      <c r="U91" s="43">
        <v>2.52</v>
      </c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/>
      <c r="BP91" s="8"/>
      <c r="BQ91" s="8"/>
      <c r="BR91" s="8"/>
      <c r="BS91" s="8"/>
      <c r="BT91" s="8"/>
      <c r="BU91" s="8"/>
      <c r="BV91" s="8"/>
      <c r="BW91" s="8"/>
      <c r="BX91" s="8"/>
      <c r="BY91" s="8"/>
      <c r="BZ91" s="8"/>
      <c r="CA91" s="8"/>
      <c r="CB91" s="8"/>
      <c r="CC91" s="8"/>
      <c r="CD91" s="8"/>
      <c r="CE91" s="8"/>
      <c r="CF91" s="8"/>
      <c r="CG91" s="8"/>
      <c r="CH91" s="8"/>
      <c r="CI91" s="8"/>
      <c r="CJ91" s="8"/>
      <c r="CK91" s="8"/>
      <c r="CL91" s="8"/>
      <c r="CM91" s="8"/>
      <c r="CN91" s="8"/>
      <c r="CO91" s="8"/>
      <c r="CP91" s="8"/>
      <c r="CQ91" s="8"/>
      <c r="CR91" s="8"/>
      <c r="CS91" s="8"/>
      <c r="CT91" s="8"/>
      <c r="CU91" s="8"/>
      <c r="CV91" s="8"/>
      <c r="CW91" s="8"/>
      <c r="CX91" s="8"/>
      <c r="CY91" s="8"/>
      <c r="CZ91" s="8"/>
      <c r="DA91" s="8"/>
      <c r="DB91" s="8"/>
      <c r="DC91" s="8"/>
      <c r="DD91" s="8"/>
      <c r="DE91" s="8"/>
      <c r="DF91" s="8"/>
      <c r="DG91" s="8"/>
      <c r="DH91" s="8"/>
      <c r="DI91" s="8"/>
      <c r="DJ91" s="8"/>
      <c r="DK91" s="8"/>
      <c r="DL91" s="8"/>
      <c r="DM91" s="8"/>
      <c r="DN91" s="8"/>
      <c r="DO91" s="8"/>
      <c r="DP91" s="8"/>
      <c r="DQ91" s="8"/>
      <c r="DR91" s="8"/>
      <c r="DS91" s="8"/>
      <c r="DT91" s="8"/>
      <c r="DU91" s="8"/>
      <c r="DV91" s="8"/>
      <c r="DW91" s="8"/>
      <c r="DX91" s="8"/>
      <c r="DY91" s="8"/>
      <c r="DZ91" s="8"/>
      <c r="EA91" s="8"/>
      <c r="EB91" s="8"/>
      <c r="EC91" s="8"/>
      <c r="ED91" s="8"/>
      <c r="EE91" s="8"/>
      <c r="EF91" s="8"/>
      <c r="EG91" s="8"/>
      <c r="EH91" s="8"/>
      <c r="EI91" s="8"/>
      <c r="EJ91" s="8"/>
      <c r="EK91" s="8"/>
      <c r="EL91" s="8"/>
      <c r="EM91" s="8"/>
      <c r="EN91" s="8"/>
      <c r="EO91" s="8"/>
      <c r="EP91" s="8"/>
      <c r="EQ91" s="8"/>
      <c r="ER91" s="8"/>
      <c r="ES91" s="8"/>
      <c r="ET91" s="8"/>
      <c r="EU91" s="8"/>
      <c r="EV91" s="8"/>
      <c r="EW91" s="8"/>
      <c r="EX91" s="8"/>
      <c r="EY91" s="8"/>
      <c r="EZ91" s="8"/>
      <c r="FA91" s="8"/>
      <c r="FB91" s="8"/>
      <c r="FC91" s="8"/>
      <c r="FD91" s="8"/>
      <c r="FE91" s="8"/>
      <c r="FF91" s="8"/>
      <c r="FG91" s="8"/>
      <c r="FH91" s="8"/>
      <c r="FI91" s="8"/>
      <c r="FJ91" s="8"/>
      <c r="FK91" s="8"/>
      <c r="FL91" s="8"/>
      <c r="FM91" s="8"/>
      <c r="FN91" s="8"/>
      <c r="FO91" s="8"/>
      <c r="FP91" s="8"/>
      <c r="FQ91" s="8"/>
      <c r="FR91" s="8"/>
      <c r="FS91" s="8"/>
      <c r="FT91" s="8"/>
      <c r="FU91" s="8"/>
      <c r="FV91" s="8"/>
      <c r="FW91" s="8"/>
      <c r="FX91" s="8"/>
      <c r="FY91" s="8"/>
      <c r="FZ91" s="8"/>
      <c r="GA91" s="8"/>
      <c r="GB91" s="8"/>
      <c r="GC91" s="8"/>
      <c r="GD91" s="8"/>
      <c r="GE91" s="8"/>
      <c r="GF91" s="8"/>
      <c r="GG91" s="8"/>
      <c r="GH91" s="8"/>
      <c r="GI91" s="8"/>
      <c r="GJ91" s="8"/>
      <c r="GK91" s="8"/>
      <c r="GL91" s="8"/>
      <c r="GM91" s="8"/>
      <c r="GN91" s="8"/>
      <c r="GO91" s="8"/>
      <c r="GP91" s="8"/>
      <c r="GQ91" s="8"/>
      <c r="GR91" s="8"/>
      <c r="GS91" s="8"/>
      <c r="GT91" s="8"/>
      <c r="GU91" s="8"/>
      <c r="GV91" s="8"/>
      <c r="GW91" s="8"/>
      <c r="GX91" s="8"/>
      <c r="GY91" s="8"/>
      <c r="GZ91" s="8"/>
      <c r="HA91" s="8"/>
      <c r="HB91" s="8"/>
      <c r="HC91" s="8"/>
      <c r="HD91" s="8"/>
      <c r="HE91" s="8"/>
      <c r="HF91" s="8"/>
      <c r="HG91" s="8"/>
      <c r="HH91" s="8"/>
      <c r="HI91" s="8"/>
      <c r="HJ91" s="8"/>
      <c r="HK91" s="8"/>
      <c r="HL91" s="8"/>
      <c r="HM91" s="8"/>
      <c r="HN91" s="8"/>
      <c r="HO91" s="8"/>
      <c r="HP91" s="8"/>
      <c r="HQ91" s="8"/>
      <c r="HR91" s="8"/>
      <c r="HS91" s="8"/>
      <c r="HT91" s="8"/>
      <c r="HU91" s="8"/>
      <c r="HV91" s="8"/>
      <c r="HW91" s="8"/>
      <c r="HX91" s="8"/>
      <c r="HY91" s="8"/>
      <c r="HZ91" s="8"/>
      <c r="IA91" s="8"/>
      <c r="IB91" s="8"/>
      <c r="IC91" s="8"/>
      <c r="ID91" s="8"/>
      <c r="IE91" s="8"/>
      <c r="IF91" s="8"/>
      <c r="IG91" s="8"/>
      <c r="IH91" s="8"/>
      <c r="II91" s="8"/>
      <c r="IJ91" s="8"/>
      <c r="IK91" s="8"/>
      <c r="IL91" s="8"/>
      <c r="IM91" s="8"/>
      <c r="IN91" s="8"/>
      <c r="IO91" s="8"/>
      <c r="IP91" s="8"/>
      <c r="IQ91" s="8"/>
      <c r="IR91" s="8"/>
      <c r="IS91" s="8"/>
      <c r="IT91" s="8"/>
      <c r="IU91" s="8"/>
      <c r="IV91" s="8"/>
      <c r="IW91" s="8"/>
      <c r="IX91" s="8"/>
      <c r="IY91" s="8"/>
      <c r="IZ91" s="8"/>
      <c r="JA91" s="8"/>
      <c r="JB91" s="8"/>
      <c r="JC91" s="8"/>
      <c r="JD91" s="8"/>
      <c r="JE91" s="8"/>
      <c r="JF91" s="8"/>
      <c r="JG91" s="8"/>
      <c r="JH91" s="8"/>
      <c r="JI91" s="8"/>
      <c r="JJ91" s="8"/>
      <c r="JK91" s="8"/>
      <c r="JL91" s="8"/>
      <c r="JM91" s="8"/>
      <c r="JN91" s="8"/>
      <c r="JO91" s="8"/>
      <c r="JP91" s="8"/>
      <c r="JQ91" s="8"/>
      <c r="JR91" s="8"/>
      <c r="JS91" s="8"/>
      <c r="JT91" s="8"/>
      <c r="JU91" s="8"/>
      <c r="JV91" s="8"/>
      <c r="JW91" s="8"/>
      <c r="JX91" s="8"/>
      <c r="JY91" s="8"/>
      <c r="JZ91" s="8"/>
      <c r="KA91" s="8"/>
      <c r="KB91" s="8"/>
      <c r="KC91" s="8"/>
      <c r="KD91" s="8"/>
      <c r="KE91" s="8"/>
      <c r="KF91" s="8"/>
      <c r="KG91" s="8"/>
      <c r="KH91" s="8"/>
      <c r="KI91" s="8"/>
      <c r="KJ91" s="8"/>
      <c r="KK91" s="8"/>
      <c r="KL91" s="8"/>
      <c r="KM91" s="8"/>
      <c r="KN91" s="8"/>
      <c r="KO91" s="8"/>
      <c r="KP91" s="8"/>
      <c r="KQ91" s="8"/>
      <c r="KR91" s="8"/>
      <c r="KS91" s="8"/>
      <c r="KT91" s="8"/>
      <c r="KU91" s="8"/>
      <c r="KV91" s="8"/>
      <c r="KW91" s="8"/>
      <c r="KX91" s="8"/>
      <c r="KY91" s="8"/>
      <c r="KZ91" s="8"/>
      <c r="LA91" s="8"/>
      <c r="LB91" s="8"/>
      <c r="LC91" s="8"/>
      <c r="LD91" s="8"/>
      <c r="LE91" s="8"/>
      <c r="LF91" s="8"/>
      <c r="LG91" s="8"/>
      <c r="LH91" s="8"/>
      <c r="LI91" s="8"/>
      <c r="LJ91" s="8"/>
      <c r="LK91" s="8"/>
      <c r="LL91" s="8"/>
      <c r="LM91" s="8"/>
      <c r="LN91" s="8"/>
      <c r="LO91" s="8"/>
      <c r="LP91" s="8"/>
      <c r="LQ91" s="8"/>
    </row>
    <row r="92" spans="1:329" s="7" customFormat="1" ht="15" customHeight="1" x14ac:dyDescent="0.25">
      <c r="A92" s="74">
        <v>1101789</v>
      </c>
      <c r="B92" s="48" t="s">
        <v>195</v>
      </c>
      <c r="C92" s="44" t="str">
        <f>VLOOKUP(A92,Artikeldaten!A:B,2,0)</f>
        <v>Stoffbezug - Minikid 2 Shell Black [Schwarz]]</v>
      </c>
      <c r="D92" s="45">
        <v>50</v>
      </c>
      <c r="E92" s="45">
        <f t="shared" si="2"/>
        <v>84.033613445378151</v>
      </c>
      <c r="F92" s="45">
        <f t="shared" si="3"/>
        <v>100</v>
      </c>
      <c r="G92" s="41"/>
      <c r="H92" s="41"/>
      <c r="I92" s="35" t="s">
        <v>21</v>
      </c>
      <c r="J92" s="36"/>
      <c r="K92" s="36"/>
      <c r="L92" s="36"/>
      <c r="M92" s="36"/>
      <c r="N92" s="36"/>
      <c r="O92" s="36"/>
      <c r="P92" s="36"/>
      <c r="Q92" s="36"/>
      <c r="R92" s="42">
        <v>7350057584767</v>
      </c>
      <c r="S92" s="43" t="s">
        <v>313</v>
      </c>
      <c r="T92" s="43">
        <v>3.3</v>
      </c>
      <c r="U92" s="43">
        <v>2.52</v>
      </c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  <c r="BP92" s="8"/>
      <c r="BQ92" s="8"/>
      <c r="BR92" s="8"/>
      <c r="BS92" s="8"/>
      <c r="BT92" s="8"/>
      <c r="BU92" s="8"/>
      <c r="BV92" s="8"/>
      <c r="BW92" s="8"/>
      <c r="BX92" s="8"/>
      <c r="BY92" s="8"/>
      <c r="BZ92" s="8"/>
      <c r="CA92" s="8"/>
      <c r="CB92" s="8"/>
      <c r="CC92" s="8"/>
      <c r="CD92" s="8"/>
      <c r="CE92" s="8"/>
      <c r="CF92" s="8"/>
      <c r="CG92" s="8"/>
      <c r="CH92" s="8"/>
      <c r="CI92" s="8"/>
      <c r="CJ92" s="8"/>
      <c r="CK92" s="8"/>
      <c r="CL92" s="8"/>
      <c r="CM92" s="8"/>
      <c r="CN92" s="8"/>
      <c r="CO92" s="8"/>
      <c r="CP92" s="8"/>
      <c r="CQ92" s="8"/>
      <c r="CR92" s="8"/>
      <c r="CS92" s="8"/>
      <c r="CT92" s="8"/>
      <c r="CU92" s="8"/>
      <c r="CV92" s="8"/>
      <c r="CW92" s="8"/>
      <c r="CX92" s="8"/>
      <c r="CY92" s="8"/>
      <c r="CZ92" s="8"/>
      <c r="DA92" s="8"/>
      <c r="DB92" s="8"/>
      <c r="DC92" s="8"/>
      <c r="DD92" s="8"/>
      <c r="DE92" s="8"/>
      <c r="DF92" s="8"/>
      <c r="DG92" s="8"/>
      <c r="DH92" s="8"/>
      <c r="DI92" s="8"/>
      <c r="DJ92" s="8"/>
      <c r="DK92" s="8"/>
      <c r="DL92" s="8"/>
      <c r="DM92" s="8"/>
      <c r="DN92" s="8"/>
      <c r="DO92" s="8"/>
      <c r="DP92" s="8"/>
      <c r="DQ92" s="8"/>
      <c r="DR92" s="8"/>
      <c r="DS92" s="8"/>
      <c r="DT92" s="8"/>
      <c r="DU92" s="8"/>
      <c r="DV92" s="8"/>
      <c r="DW92" s="8"/>
      <c r="DX92" s="8"/>
      <c r="DY92" s="8"/>
      <c r="DZ92" s="8"/>
      <c r="EA92" s="8"/>
      <c r="EB92" s="8"/>
      <c r="EC92" s="8"/>
      <c r="ED92" s="8"/>
      <c r="EE92" s="8"/>
      <c r="EF92" s="8"/>
      <c r="EG92" s="8"/>
      <c r="EH92" s="8"/>
      <c r="EI92" s="8"/>
      <c r="EJ92" s="8"/>
      <c r="EK92" s="8"/>
      <c r="EL92" s="8"/>
      <c r="EM92" s="8"/>
      <c r="EN92" s="8"/>
      <c r="EO92" s="8"/>
      <c r="EP92" s="8"/>
      <c r="EQ92" s="8"/>
      <c r="ER92" s="8"/>
      <c r="ES92" s="8"/>
      <c r="ET92" s="8"/>
      <c r="EU92" s="8"/>
      <c r="EV92" s="8"/>
      <c r="EW92" s="8"/>
      <c r="EX92" s="8"/>
      <c r="EY92" s="8"/>
      <c r="EZ92" s="8"/>
      <c r="FA92" s="8"/>
      <c r="FB92" s="8"/>
      <c r="FC92" s="8"/>
      <c r="FD92" s="8"/>
      <c r="FE92" s="8"/>
      <c r="FF92" s="8"/>
      <c r="FG92" s="8"/>
      <c r="FH92" s="8"/>
      <c r="FI92" s="8"/>
      <c r="FJ92" s="8"/>
      <c r="FK92" s="8"/>
      <c r="FL92" s="8"/>
      <c r="FM92" s="8"/>
      <c r="FN92" s="8"/>
      <c r="FO92" s="8"/>
      <c r="FP92" s="8"/>
      <c r="FQ92" s="8"/>
      <c r="FR92" s="8"/>
      <c r="FS92" s="8"/>
      <c r="FT92" s="8"/>
      <c r="FU92" s="8"/>
      <c r="FV92" s="8"/>
      <c r="FW92" s="8"/>
      <c r="FX92" s="8"/>
      <c r="FY92" s="8"/>
      <c r="FZ92" s="8"/>
      <c r="GA92" s="8"/>
      <c r="GB92" s="8"/>
      <c r="GC92" s="8"/>
      <c r="GD92" s="8"/>
      <c r="GE92" s="8"/>
      <c r="GF92" s="8"/>
      <c r="GG92" s="8"/>
      <c r="GH92" s="8"/>
      <c r="GI92" s="8"/>
      <c r="GJ92" s="8"/>
      <c r="GK92" s="8"/>
      <c r="GL92" s="8"/>
      <c r="GM92" s="8"/>
      <c r="GN92" s="8"/>
      <c r="GO92" s="8"/>
      <c r="GP92" s="8"/>
      <c r="GQ92" s="8"/>
      <c r="GR92" s="8"/>
      <c r="GS92" s="8"/>
      <c r="GT92" s="8"/>
      <c r="GU92" s="8"/>
      <c r="GV92" s="8"/>
      <c r="GW92" s="8"/>
      <c r="GX92" s="8"/>
      <c r="GY92" s="8"/>
      <c r="GZ92" s="8"/>
      <c r="HA92" s="8"/>
      <c r="HB92" s="8"/>
      <c r="HC92" s="8"/>
      <c r="HD92" s="8"/>
      <c r="HE92" s="8"/>
      <c r="HF92" s="8"/>
      <c r="HG92" s="8"/>
      <c r="HH92" s="8"/>
      <c r="HI92" s="8"/>
      <c r="HJ92" s="8"/>
      <c r="HK92" s="8"/>
      <c r="HL92" s="8"/>
      <c r="HM92" s="8"/>
      <c r="HN92" s="8"/>
      <c r="HO92" s="8"/>
      <c r="HP92" s="8"/>
      <c r="HQ92" s="8"/>
      <c r="HR92" s="8"/>
      <c r="HS92" s="8"/>
      <c r="HT92" s="8"/>
      <c r="HU92" s="8"/>
      <c r="HV92" s="8"/>
      <c r="HW92" s="8"/>
      <c r="HX92" s="8"/>
      <c r="HY92" s="8"/>
      <c r="HZ92" s="8"/>
      <c r="IA92" s="8"/>
      <c r="IB92" s="8"/>
      <c r="IC92" s="8"/>
      <c r="ID92" s="8"/>
      <c r="IE92" s="8"/>
      <c r="IF92" s="8"/>
      <c r="IG92" s="8"/>
      <c r="IH92" s="8"/>
      <c r="II92" s="8"/>
      <c r="IJ92" s="8"/>
      <c r="IK92" s="8"/>
      <c r="IL92" s="8"/>
      <c r="IM92" s="8"/>
      <c r="IN92" s="8"/>
      <c r="IO92" s="8"/>
      <c r="IP92" s="8"/>
      <c r="IQ92" s="8"/>
      <c r="IR92" s="8"/>
      <c r="IS92" s="8"/>
      <c r="IT92" s="8"/>
      <c r="IU92" s="8"/>
      <c r="IV92" s="8"/>
      <c r="IW92" s="8"/>
      <c r="IX92" s="8"/>
      <c r="IY92" s="8"/>
      <c r="IZ92" s="8"/>
      <c r="JA92" s="8"/>
      <c r="JB92" s="8"/>
      <c r="JC92" s="8"/>
      <c r="JD92" s="8"/>
      <c r="JE92" s="8"/>
      <c r="JF92" s="8"/>
      <c r="JG92" s="8"/>
      <c r="JH92" s="8"/>
      <c r="JI92" s="8"/>
      <c r="JJ92" s="8"/>
      <c r="JK92" s="8"/>
      <c r="JL92" s="8"/>
      <c r="JM92" s="8"/>
      <c r="JN92" s="8"/>
      <c r="JO92" s="8"/>
      <c r="JP92" s="8"/>
      <c r="JQ92" s="8"/>
      <c r="JR92" s="8"/>
      <c r="JS92" s="8"/>
      <c r="JT92" s="8"/>
      <c r="JU92" s="8"/>
      <c r="JV92" s="8"/>
      <c r="JW92" s="8"/>
      <c r="JX92" s="8"/>
      <c r="JY92" s="8"/>
      <c r="JZ92" s="8"/>
      <c r="KA92" s="8"/>
      <c r="KB92" s="8"/>
      <c r="KC92" s="8"/>
      <c r="KD92" s="8"/>
      <c r="KE92" s="8"/>
      <c r="KF92" s="8"/>
      <c r="KG92" s="8"/>
      <c r="KH92" s="8"/>
      <c r="KI92" s="8"/>
      <c r="KJ92" s="8"/>
      <c r="KK92" s="8"/>
      <c r="KL92" s="8"/>
      <c r="KM92" s="8"/>
      <c r="KN92" s="8"/>
      <c r="KO92" s="8"/>
      <c r="KP92" s="8"/>
      <c r="KQ92" s="8"/>
      <c r="KR92" s="8"/>
      <c r="KS92" s="8"/>
      <c r="KT92" s="8"/>
      <c r="KU92" s="8"/>
      <c r="KV92" s="8"/>
      <c r="KW92" s="8"/>
      <c r="KX92" s="8"/>
      <c r="KY92" s="8"/>
      <c r="KZ92" s="8"/>
      <c r="LA92" s="8"/>
      <c r="LB92" s="8"/>
      <c r="LC92" s="8"/>
      <c r="LD92" s="8"/>
      <c r="LE92" s="8"/>
      <c r="LF92" s="8"/>
      <c r="LG92" s="8"/>
      <c r="LH92" s="8"/>
      <c r="LI92" s="8"/>
      <c r="LJ92" s="8"/>
      <c r="LK92" s="8"/>
      <c r="LL92" s="8"/>
      <c r="LM92" s="8"/>
      <c r="LN92" s="8"/>
      <c r="LO92" s="8"/>
      <c r="LP92" s="8"/>
      <c r="LQ92" s="8"/>
    </row>
    <row r="93" spans="1:329" s="7" customFormat="1" ht="15" customHeight="1" x14ac:dyDescent="0.25">
      <c r="A93" s="74">
        <v>1101790</v>
      </c>
      <c r="B93" s="48" t="s">
        <v>197</v>
      </c>
      <c r="C93" s="44" t="str">
        <f>VLOOKUP(A93,Artikeldaten!A:B,2,0)</f>
        <v>Stoffbezug - Minikid 2 Granite Melange [Grau]</v>
      </c>
      <c r="D93" s="45">
        <v>50</v>
      </c>
      <c r="E93" s="45">
        <f t="shared" si="2"/>
        <v>84.033613445378151</v>
      </c>
      <c r="F93" s="45">
        <f t="shared" si="3"/>
        <v>100</v>
      </c>
      <c r="G93" s="41"/>
      <c r="H93" s="41"/>
      <c r="I93" s="35" t="s">
        <v>21</v>
      </c>
      <c r="J93" s="36"/>
      <c r="K93" s="36"/>
      <c r="L93" s="36"/>
      <c r="M93" s="36"/>
      <c r="N93" s="36"/>
      <c r="O93" s="36"/>
      <c r="P93" s="36"/>
      <c r="Q93" s="36"/>
      <c r="R93" s="42">
        <v>7350057584774</v>
      </c>
      <c r="S93" s="43" t="s">
        <v>313</v>
      </c>
      <c r="T93" s="43">
        <v>3.4</v>
      </c>
      <c r="U93" s="43">
        <v>2.62</v>
      </c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  <c r="BP93" s="8"/>
      <c r="BQ93" s="8"/>
      <c r="BR93" s="8"/>
      <c r="BS93" s="8"/>
      <c r="BT93" s="8"/>
      <c r="BU93" s="8"/>
      <c r="BV93" s="8"/>
      <c r="BW93" s="8"/>
      <c r="BX93" s="8"/>
      <c r="BY93" s="8"/>
      <c r="BZ93" s="8"/>
      <c r="CA93" s="8"/>
      <c r="CB93" s="8"/>
      <c r="CC93" s="8"/>
      <c r="CD93" s="8"/>
      <c r="CE93" s="8"/>
      <c r="CF93" s="8"/>
      <c r="CG93" s="8"/>
      <c r="CH93" s="8"/>
      <c r="CI93" s="8"/>
      <c r="CJ93" s="8"/>
      <c r="CK93" s="8"/>
      <c r="CL93" s="8"/>
      <c r="CM93" s="8"/>
      <c r="CN93" s="8"/>
      <c r="CO93" s="8"/>
      <c r="CP93" s="8"/>
      <c r="CQ93" s="8"/>
      <c r="CR93" s="8"/>
      <c r="CS93" s="8"/>
      <c r="CT93" s="8"/>
      <c r="CU93" s="8"/>
      <c r="CV93" s="8"/>
      <c r="CW93" s="8"/>
      <c r="CX93" s="8"/>
      <c r="CY93" s="8"/>
      <c r="CZ93" s="8"/>
      <c r="DA93" s="8"/>
      <c r="DB93" s="8"/>
      <c r="DC93" s="8"/>
      <c r="DD93" s="8"/>
      <c r="DE93" s="8"/>
      <c r="DF93" s="8"/>
      <c r="DG93" s="8"/>
      <c r="DH93" s="8"/>
      <c r="DI93" s="8"/>
      <c r="DJ93" s="8"/>
      <c r="DK93" s="8"/>
      <c r="DL93" s="8"/>
      <c r="DM93" s="8"/>
      <c r="DN93" s="8"/>
      <c r="DO93" s="8"/>
      <c r="DP93" s="8"/>
      <c r="DQ93" s="8"/>
      <c r="DR93" s="8"/>
      <c r="DS93" s="8"/>
      <c r="DT93" s="8"/>
      <c r="DU93" s="8"/>
      <c r="DV93" s="8"/>
      <c r="DW93" s="8"/>
      <c r="DX93" s="8"/>
      <c r="DY93" s="8"/>
      <c r="DZ93" s="8"/>
      <c r="EA93" s="8"/>
      <c r="EB93" s="8"/>
      <c r="EC93" s="8"/>
      <c r="ED93" s="8"/>
      <c r="EE93" s="8"/>
      <c r="EF93" s="8"/>
      <c r="EG93" s="8"/>
      <c r="EH93" s="8"/>
      <c r="EI93" s="8"/>
      <c r="EJ93" s="8"/>
      <c r="EK93" s="8"/>
      <c r="EL93" s="8"/>
      <c r="EM93" s="8"/>
      <c r="EN93" s="8"/>
      <c r="EO93" s="8"/>
      <c r="EP93" s="8"/>
      <c r="EQ93" s="8"/>
      <c r="ER93" s="8"/>
      <c r="ES93" s="8"/>
      <c r="ET93" s="8"/>
      <c r="EU93" s="8"/>
      <c r="EV93" s="8"/>
      <c r="EW93" s="8"/>
      <c r="EX93" s="8"/>
      <c r="EY93" s="8"/>
      <c r="EZ93" s="8"/>
      <c r="FA93" s="8"/>
      <c r="FB93" s="8"/>
      <c r="FC93" s="8"/>
      <c r="FD93" s="8"/>
      <c r="FE93" s="8"/>
      <c r="FF93" s="8"/>
      <c r="FG93" s="8"/>
      <c r="FH93" s="8"/>
      <c r="FI93" s="8"/>
      <c r="FJ93" s="8"/>
      <c r="FK93" s="8"/>
      <c r="FL93" s="8"/>
      <c r="FM93" s="8"/>
      <c r="FN93" s="8"/>
      <c r="FO93" s="8"/>
      <c r="FP93" s="8"/>
      <c r="FQ93" s="8"/>
      <c r="FR93" s="8"/>
      <c r="FS93" s="8"/>
      <c r="FT93" s="8"/>
      <c r="FU93" s="8"/>
      <c r="FV93" s="8"/>
      <c r="FW93" s="8"/>
      <c r="FX93" s="8"/>
      <c r="FY93" s="8"/>
      <c r="FZ93" s="8"/>
      <c r="GA93" s="8"/>
      <c r="GB93" s="8"/>
      <c r="GC93" s="8"/>
      <c r="GD93" s="8"/>
      <c r="GE93" s="8"/>
      <c r="GF93" s="8"/>
      <c r="GG93" s="8"/>
      <c r="GH93" s="8"/>
      <c r="GI93" s="8"/>
      <c r="GJ93" s="8"/>
      <c r="GK93" s="8"/>
      <c r="GL93" s="8"/>
      <c r="GM93" s="8"/>
      <c r="GN93" s="8"/>
      <c r="GO93" s="8"/>
      <c r="GP93" s="8"/>
      <c r="GQ93" s="8"/>
      <c r="GR93" s="8"/>
      <c r="GS93" s="8"/>
      <c r="GT93" s="8"/>
      <c r="GU93" s="8"/>
      <c r="GV93" s="8"/>
      <c r="GW93" s="8"/>
      <c r="GX93" s="8"/>
      <c r="GY93" s="8"/>
      <c r="GZ93" s="8"/>
      <c r="HA93" s="8"/>
      <c r="HB93" s="8"/>
      <c r="HC93" s="8"/>
      <c r="HD93" s="8"/>
      <c r="HE93" s="8"/>
      <c r="HF93" s="8"/>
      <c r="HG93" s="8"/>
      <c r="HH93" s="8"/>
      <c r="HI93" s="8"/>
      <c r="HJ93" s="8"/>
      <c r="HK93" s="8"/>
      <c r="HL93" s="8"/>
      <c r="HM93" s="8"/>
      <c r="HN93" s="8"/>
      <c r="HO93" s="8"/>
      <c r="HP93" s="8"/>
      <c r="HQ93" s="8"/>
      <c r="HR93" s="8"/>
      <c r="HS93" s="8"/>
      <c r="HT93" s="8"/>
      <c r="HU93" s="8"/>
      <c r="HV93" s="8"/>
      <c r="HW93" s="8"/>
      <c r="HX93" s="8"/>
      <c r="HY93" s="8"/>
      <c r="HZ93" s="8"/>
      <c r="IA93" s="8"/>
      <c r="IB93" s="8"/>
      <c r="IC93" s="8"/>
      <c r="ID93" s="8"/>
      <c r="IE93" s="8"/>
      <c r="IF93" s="8"/>
      <c r="IG93" s="8"/>
      <c r="IH93" s="8"/>
      <c r="II93" s="8"/>
      <c r="IJ93" s="8"/>
      <c r="IK93" s="8"/>
      <c r="IL93" s="8"/>
      <c r="IM93" s="8"/>
      <c r="IN93" s="8"/>
      <c r="IO93" s="8"/>
      <c r="IP93" s="8"/>
      <c r="IQ93" s="8"/>
      <c r="IR93" s="8"/>
      <c r="IS93" s="8"/>
      <c r="IT93" s="8"/>
      <c r="IU93" s="8"/>
      <c r="IV93" s="8"/>
      <c r="IW93" s="8"/>
      <c r="IX93" s="8"/>
      <c r="IY93" s="8"/>
      <c r="IZ93" s="8"/>
      <c r="JA93" s="8"/>
      <c r="JB93" s="8"/>
      <c r="JC93" s="8"/>
      <c r="JD93" s="8"/>
      <c r="JE93" s="8"/>
      <c r="JF93" s="8"/>
      <c r="JG93" s="8"/>
      <c r="JH93" s="8"/>
      <c r="JI93" s="8"/>
      <c r="JJ93" s="8"/>
      <c r="JK93" s="8"/>
      <c r="JL93" s="8"/>
      <c r="JM93" s="8"/>
      <c r="JN93" s="8"/>
      <c r="JO93" s="8"/>
      <c r="JP93" s="8"/>
      <c r="JQ93" s="8"/>
      <c r="JR93" s="8"/>
      <c r="JS93" s="8"/>
      <c r="JT93" s="8"/>
      <c r="JU93" s="8"/>
      <c r="JV93" s="8"/>
      <c r="JW93" s="8"/>
      <c r="JX93" s="8"/>
      <c r="JY93" s="8"/>
      <c r="JZ93" s="8"/>
      <c r="KA93" s="8"/>
      <c r="KB93" s="8"/>
      <c r="KC93" s="8"/>
      <c r="KD93" s="8"/>
      <c r="KE93" s="8"/>
      <c r="KF93" s="8"/>
      <c r="KG93" s="8"/>
      <c r="KH93" s="8"/>
      <c r="KI93" s="8"/>
      <c r="KJ93" s="8"/>
      <c r="KK93" s="8"/>
      <c r="KL93" s="8"/>
      <c r="KM93" s="8"/>
      <c r="KN93" s="8"/>
      <c r="KO93" s="8"/>
      <c r="KP93" s="8"/>
      <c r="KQ93" s="8"/>
      <c r="KR93" s="8"/>
      <c r="KS93" s="8"/>
      <c r="KT93" s="8"/>
      <c r="KU93" s="8"/>
      <c r="KV93" s="8"/>
      <c r="KW93" s="8"/>
      <c r="KX93" s="8"/>
      <c r="KY93" s="8"/>
      <c r="KZ93" s="8"/>
      <c r="LA93" s="8"/>
      <c r="LB93" s="8"/>
      <c r="LC93" s="8"/>
      <c r="LD93" s="8"/>
      <c r="LE93" s="8"/>
      <c r="LF93" s="8"/>
      <c r="LG93" s="8"/>
      <c r="LH93" s="8"/>
      <c r="LI93" s="8"/>
      <c r="LJ93" s="8"/>
      <c r="LK93" s="8"/>
      <c r="LL93" s="8"/>
      <c r="LM93" s="8"/>
      <c r="LN93" s="8"/>
      <c r="LO93" s="8"/>
      <c r="LP93" s="8"/>
      <c r="LQ93" s="8"/>
    </row>
    <row r="94" spans="1:329" s="7" customFormat="1" ht="15" customHeight="1" x14ac:dyDescent="0.25">
      <c r="A94" s="74">
        <v>1101791</v>
      </c>
      <c r="B94" s="48" t="s">
        <v>199</v>
      </c>
      <c r="C94" s="44" t="str">
        <f>VLOOKUP(A94,Artikeldaten!A:B,2,0)</f>
        <v>Stoffbezug - Minikid 2 Sky Grey [Grau]</v>
      </c>
      <c r="D94" s="45">
        <v>50</v>
      </c>
      <c r="E94" s="45">
        <f t="shared" si="2"/>
        <v>84.033613445378151</v>
      </c>
      <c r="F94" s="45">
        <f t="shared" si="3"/>
        <v>100</v>
      </c>
      <c r="G94" s="41"/>
      <c r="H94" s="41"/>
      <c r="I94" s="35" t="s">
        <v>21</v>
      </c>
      <c r="J94" s="36"/>
      <c r="K94" s="36"/>
      <c r="L94" s="36"/>
      <c r="M94" s="36"/>
      <c r="N94" s="36"/>
      <c r="O94" s="36"/>
      <c r="P94" s="36"/>
      <c r="Q94" s="36"/>
      <c r="R94" s="42">
        <v>7350057584781</v>
      </c>
      <c r="S94" s="43" t="s">
        <v>313</v>
      </c>
      <c r="T94" s="43">
        <v>3.4</v>
      </c>
      <c r="U94" s="43">
        <v>2.62</v>
      </c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/>
      <c r="BP94" s="8"/>
      <c r="BQ94" s="8"/>
      <c r="BR94" s="8"/>
      <c r="BS94" s="8"/>
      <c r="BT94" s="8"/>
      <c r="BU94" s="8"/>
      <c r="BV94" s="8"/>
      <c r="BW94" s="8"/>
      <c r="BX94" s="8"/>
      <c r="BY94" s="8"/>
      <c r="BZ94" s="8"/>
      <c r="CA94" s="8"/>
      <c r="CB94" s="8"/>
      <c r="CC94" s="8"/>
      <c r="CD94" s="8"/>
      <c r="CE94" s="8"/>
      <c r="CF94" s="8"/>
      <c r="CG94" s="8"/>
      <c r="CH94" s="8"/>
      <c r="CI94" s="8"/>
      <c r="CJ94" s="8"/>
      <c r="CK94" s="8"/>
      <c r="CL94" s="8"/>
      <c r="CM94" s="8"/>
      <c r="CN94" s="8"/>
      <c r="CO94" s="8"/>
      <c r="CP94" s="8"/>
      <c r="CQ94" s="8"/>
      <c r="CR94" s="8"/>
      <c r="CS94" s="8"/>
      <c r="CT94" s="8"/>
      <c r="CU94" s="8"/>
      <c r="CV94" s="8"/>
      <c r="CW94" s="8"/>
      <c r="CX94" s="8"/>
      <c r="CY94" s="8"/>
      <c r="CZ94" s="8"/>
      <c r="DA94" s="8"/>
      <c r="DB94" s="8"/>
      <c r="DC94" s="8"/>
      <c r="DD94" s="8"/>
      <c r="DE94" s="8"/>
      <c r="DF94" s="8"/>
      <c r="DG94" s="8"/>
      <c r="DH94" s="8"/>
      <c r="DI94" s="8"/>
      <c r="DJ94" s="8"/>
      <c r="DK94" s="8"/>
      <c r="DL94" s="8"/>
      <c r="DM94" s="8"/>
      <c r="DN94" s="8"/>
      <c r="DO94" s="8"/>
      <c r="DP94" s="8"/>
      <c r="DQ94" s="8"/>
      <c r="DR94" s="8"/>
      <c r="DS94" s="8"/>
      <c r="DT94" s="8"/>
      <c r="DU94" s="8"/>
      <c r="DV94" s="8"/>
      <c r="DW94" s="8"/>
      <c r="DX94" s="8"/>
      <c r="DY94" s="8"/>
      <c r="DZ94" s="8"/>
      <c r="EA94" s="8"/>
      <c r="EB94" s="8"/>
      <c r="EC94" s="8"/>
      <c r="ED94" s="8"/>
      <c r="EE94" s="8"/>
      <c r="EF94" s="8"/>
      <c r="EG94" s="8"/>
      <c r="EH94" s="8"/>
      <c r="EI94" s="8"/>
      <c r="EJ94" s="8"/>
      <c r="EK94" s="8"/>
      <c r="EL94" s="8"/>
      <c r="EM94" s="8"/>
      <c r="EN94" s="8"/>
      <c r="EO94" s="8"/>
      <c r="EP94" s="8"/>
      <c r="EQ94" s="8"/>
      <c r="ER94" s="8"/>
      <c r="ES94" s="8"/>
      <c r="ET94" s="8"/>
      <c r="EU94" s="8"/>
      <c r="EV94" s="8"/>
      <c r="EW94" s="8"/>
      <c r="EX94" s="8"/>
      <c r="EY94" s="8"/>
      <c r="EZ94" s="8"/>
      <c r="FA94" s="8"/>
      <c r="FB94" s="8"/>
      <c r="FC94" s="8"/>
      <c r="FD94" s="8"/>
      <c r="FE94" s="8"/>
      <c r="FF94" s="8"/>
      <c r="FG94" s="8"/>
      <c r="FH94" s="8"/>
      <c r="FI94" s="8"/>
      <c r="FJ94" s="8"/>
      <c r="FK94" s="8"/>
      <c r="FL94" s="8"/>
      <c r="FM94" s="8"/>
      <c r="FN94" s="8"/>
      <c r="FO94" s="8"/>
      <c r="FP94" s="8"/>
      <c r="FQ94" s="8"/>
      <c r="FR94" s="8"/>
      <c r="FS94" s="8"/>
      <c r="FT94" s="8"/>
      <c r="FU94" s="8"/>
      <c r="FV94" s="8"/>
      <c r="FW94" s="8"/>
      <c r="FX94" s="8"/>
      <c r="FY94" s="8"/>
      <c r="FZ94" s="8"/>
      <c r="GA94" s="8"/>
      <c r="GB94" s="8"/>
      <c r="GC94" s="8"/>
      <c r="GD94" s="8"/>
      <c r="GE94" s="8"/>
      <c r="GF94" s="8"/>
      <c r="GG94" s="8"/>
      <c r="GH94" s="8"/>
      <c r="GI94" s="8"/>
      <c r="GJ94" s="8"/>
      <c r="GK94" s="8"/>
      <c r="GL94" s="8"/>
      <c r="GM94" s="8"/>
      <c r="GN94" s="8"/>
      <c r="GO94" s="8"/>
      <c r="GP94" s="8"/>
      <c r="GQ94" s="8"/>
      <c r="GR94" s="8"/>
      <c r="GS94" s="8"/>
      <c r="GT94" s="8"/>
      <c r="GU94" s="8"/>
      <c r="GV94" s="8"/>
      <c r="GW94" s="8"/>
      <c r="GX94" s="8"/>
      <c r="GY94" s="8"/>
      <c r="GZ94" s="8"/>
      <c r="HA94" s="8"/>
      <c r="HB94" s="8"/>
      <c r="HC94" s="8"/>
      <c r="HD94" s="8"/>
      <c r="HE94" s="8"/>
      <c r="HF94" s="8"/>
      <c r="HG94" s="8"/>
      <c r="HH94" s="8"/>
      <c r="HI94" s="8"/>
      <c r="HJ94" s="8"/>
      <c r="HK94" s="8"/>
      <c r="HL94" s="8"/>
      <c r="HM94" s="8"/>
      <c r="HN94" s="8"/>
      <c r="HO94" s="8"/>
      <c r="HP94" s="8"/>
      <c r="HQ94" s="8"/>
      <c r="HR94" s="8"/>
      <c r="HS94" s="8"/>
      <c r="HT94" s="8"/>
      <c r="HU94" s="8"/>
      <c r="HV94" s="8"/>
      <c r="HW94" s="8"/>
      <c r="HX94" s="8"/>
      <c r="HY94" s="8"/>
      <c r="HZ94" s="8"/>
      <c r="IA94" s="8"/>
      <c r="IB94" s="8"/>
      <c r="IC94" s="8"/>
      <c r="ID94" s="8"/>
      <c r="IE94" s="8"/>
      <c r="IF94" s="8"/>
      <c r="IG94" s="8"/>
      <c r="IH94" s="8"/>
      <c r="II94" s="8"/>
      <c r="IJ94" s="8"/>
      <c r="IK94" s="8"/>
      <c r="IL94" s="8"/>
      <c r="IM94" s="8"/>
      <c r="IN94" s="8"/>
      <c r="IO94" s="8"/>
      <c r="IP94" s="8"/>
      <c r="IQ94" s="8"/>
      <c r="IR94" s="8"/>
      <c r="IS94" s="8"/>
      <c r="IT94" s="8"/>
      <c r="IU94" s="8"/>
      <c r="IV94" s="8"/>
      <c r="IW94" s="8"/>
      <c r="IX94" s="8"/>
      <c r="IY94" s="8"/>
      <c r="IZ94" s="8"/>
      <c r="JA94" s="8"/>
      <c r="JB94" s="8"/>
      <c r="JC94" s="8"/>
      <c r="JD94" s="8"/>
      <c r="JE94" s="8"/>
      <c r="JF94" s="8"/>
      <c r="JG94" s="8"/>
      <c r="JH94" s="8"/>
      <c r="JI94" s="8"/>
      <c r="JJ94" s="8"/>
      <c r="JK94" s="8"/>
      <c r="JL94" s="8"/>
      <c r="JM94" s="8"/>
      <c r="JN94" s="8"/>
      <c r="JO94" s="8"/>
      <c r="JP94" s="8"/>
      <c r="JQ94" s="8"/>
      <c r="JR94" s="8"/>
      <c r="JS94" s="8"/>
      <c r="JT94" s="8"/>
      <c r="JU94" s="8"/>
      <c r="JV94" s="8"/>
      <c r="JW94" s="8"/>
      <c r="JX94" s="8"/>
      <c r="JY94" s="8"/>
      <c r="JZ94" s="8"/>
      <c r="KA94" s="8"/>
      <c r="KB94" s="8"/>
      <c r="KC94" s="8"/>
      <c r="KD94" s="8"/>
      <c r="KE94" s="8"/>
      <c r="KF94" s="8"/>
      <c r="KG94" s="8"/>
      <c r="KH94" s="8"/>
      <c r="KI94" s="8"/>
      <c r="KJ94" s="8"/>
      <c r="KK94" s="8"/>
      <c r="KL94" s="8"/>
      <c r="KM94" s="8"/>
      <c r="KN94" s="8"/>
      <c r="KO94" s="8"/>
      <c r="KP94" s="8"/>
      <c r="KQ94" s="8"/>
      <c r="KR94" s="8"/>
      <c r="KS94" s="8"/>
      <c r="KT94" s="8"/>
      <c r="KU94" s="8"/>
      <c r="KV94" s="8"/>
      <c r="KW94" s="8"/>
      <c r="KX94" s="8"/>
      <c r="KY94" s="8"/>
      <c r="KZ94" s="8"/>
      <c r="LA94" s="8"/>
      <c r="LB94" s="8"/>
      <c r="LC94" s="8"/>
      <c r="LD94" s="8"/>
      <c r="LE94" s="8"/>
      <c r="LF94" s="8"/>
      <c r="LG94" s="8"/>
      <c r="LH94" s="8"/>
      <c r="LI94" s="8"/>
      <c r="LJ94" s="8"/>
      <c r="LK94" s="8"/>
      <c r="LL94" s="8"/>
      <c r="LM94" s="8"/>
      <c r="LN94" s="8"/>
      <c r="LO94" s="8"/>
      <c r="LP94" s="8"/>
      <c r="LQ94" s="8"/>
    </row>
    <row r="95" spans="1:329" s="8" customFormat="1" ht="15" customHeight="1" x14ac:dyDescent="0.25">
      <c r="A95" s="71">
        <v>1101822</v>
      </c>
      <c r="B95" s="44" t="s">
        <v>201</v>
      </c>
      <c r="C95" s="44" t="str">
        <f>VLOOKUP(A95,Artikeldaten!A:B,2,0)</f>
        <v>Gurtschlosspolster - Minikid 2 &amp; Modukid Seat Tar [Schwarz]</v>
      </c>
      <c r="D95" s="45">
        <v>3</v>
      </c>
      <c r="E95" s="45">
        <f t="shared" si="2"/>
        <v>5.0420168067226889</v>
      </c>
      <c r="F95" s="45">
        <f t="shared" si="3"/>
        <v>6</v>
      </c>
      <c r="G95" s="41"/>
      <c r="H95" s="41"/>
      <c r="I95" s="35" t="s">
        <v>21</v>
      </c>
      <c r="J95" s="36"/>
      <c r="K95" s="35"/>
      <c r="L95" s="35" t="s">
        <v>21</v>
      </c>
      <c r="M95" s="36"/>
      <c r="N95" s="35"/>
      <c r="O95" s="35"/>
      <c r="P95" s="35"/>
      <c r="Q95" s="35"/>
      <c r="R95" s="42">
        <v>7350057585276</v>
      </c>
      <c r="S95" s="43"/>
      <c r="T95" s="43"/>
      <c r="U95" s="43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</row>
    <row r="96" spans="1:329" s="8" customFormat="1" ht="15" customHeight="1" x14ac:dyDescent="0.25">
      <c r="A96" s="71">
        <v>1101823</v>
      </c>
      <c r="B96" s="44" t="s">
        <v>203</v>
      </c>
      <c r="C96" s="44" t="str">
        <f>VLOOKUP(A96,Artikeldaten!A:B,2,0)</f>
        <v xml:space="preserve">Schulterpolster Set - Minikid 2 Tar [Schwarz]                </v>
      </c>
      <c r="D96" s="45">
        <v>10</v>
      </c>
      <c r="E96" s="45">
        <f t="shared" si="2"/>
        <v>16.806722689075631</v>
      </c>
      <c r="F96" s="45">
        <f t="shared" si="3"/>
        <v>20</v>
      </c>
      <c r="G96" s="41"/>
      <c r="H96" s="41"/>
      <c r="I96" s="35" t="s">
        <v>21</v>
      </c>
      <c r="J96" s="36"/>
      <c r="K96" s="35"/>
      <c r="L96" s="36"/>
      <c r="M96" s="36"/>
      <c r="N96" s="35"/>
      <c r="O96" s="35"/>
      <c r="P96" s="35"/>
      <c r="Q96" s="35"/>
      <c r="R96" s="42">
        <v>7350057585191</v>
      </c>
      <c r="S96" s="43"/>
      <c r="T96" s="43"/>
      <c r="U96" s="43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</row>
    <row r="97" spans="1:329" s="8" customFormat="1" ht="15" customHeight="1" x14ac:dyDescent="0.25">
      <c r="A97" s="71">
        <v>1101824</v>
      </c>
      <c r="B97" s="44" t="s">
        <v>205</v>
      </c>
      <c r="C97" s="44" t="str">
        <f>VLOOKUP(A97,Artikeldaten!A:B,2,0)</f>
        <v>Gurtschlosspolster - Minikid 2 &amp; Modukid Seat Granite [Grau]</v>
      </c>
      <c r="D97" s="45">
        <v>3</v>
      </c>
      <c r="E97" s="45">
        <f t="shared" si="2"/>
        <v>5.0420168067226889</v>
      </c>
      <c r="F97" s="45">
        <f t="shared" si="3"/>
        <v>6</v>
      </c>
      <c r="G97" s="41"/>
      <c r="H97" s="41"/>
      <c r="I97" s="35" t="s">
        <v>21</v>
      </c>
      <c r="J97" s="36"/>
      <c r="K97" s="35"/>
      <c r="L97" s="35" t="s">
        <v>21</v>
      </c>
      <c r="M97" s="36"/>
      <c r="N97" s="35"/>
      <c r="O97" s="35"/>
      <c r="P97" s="35"/>
      <c r="Q97" s="35"/>
      <c r="R97" s="42">
        <v>7350057585283</v>
      </c>
      <c r="S97" s="43"/>
      <c r="T97" s="43"/>
      <c r="U97" s="43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</row>
    <row r="98" spans="1:329" s="8" customFormat="1" ht="15" customHeight="1" x14ac:dyDescent="0.25">
      <c r="A98" s="71">
        <v>1101825</v>
      </c>
      <c r="B98" s="44" t="s">
        <v>207</v>
      </c>
      <c r="C98" s="44" t="str">
        <f>VLOOKUP(A98,Artikeldaten!A:B,2,0)</f>
        <v>Schulterpolster Set - Minikid 2 Granite [Grau]</v>
      </c>
      <c r="D98" s="45">
        <v>10</v>
      </c>
      <c r="E98" s="45">
        <f t="shared" si="2"/>
        <v>16.806722689075631</v>
      </c>
      <c r="F98" s="45">
        <f t="shared" si="3"/>
        <v>20</v>
      </c>
      <c r="G98" s="41"/>
      <c r="H98" s="41"/>
      <c r="I98" s="35" t="s">
        <v>21</v>
      </c>
      <c r="J98" s="36"/>
      <c r="K98" s="35"/>
      <c r="L98" s="36"/>
      <c r="M98" s="36"/>
      <c r="N98" s="35"/>
      <c r="O98" s="35"/>
      <c r="P98" s="35"/>
      <c r="Q98" s="35"/>
      <c r="R98" s="42">
        <v>7350057585207</v>
      </c>
      <c r="S98" s="43"/>
      <c r="T98" s="43"/>
      <c r="U98" s="43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</row>
    <row r="99" spans="1:329" s="7" customFormat="1" ht="15" customHeight="1" x14ac:dyDescent="0.25">
      <c r="A99" s="71">
        <v>1101826</v>
      </c>
      <c r="B99" s="44" t="s">
        <v>209</v>
      </c>
      <c r="C99" s="44" t="str">
        <f>VLOOKUP(A99,Artikeldaten!A:B,2,0)</f>
        <v>Gurtschlosspolster - Minikid 2 &amp; Modukid Seat Shellfish [Rot]</v>
      </c>
      <c r="D99" s="45">
        <v>3</v>
      </c>
      <c r="E99" s="45">
        <f t="shared" si="2"/>
        <v>5.0420168067226889</v>
      </c>
      <c r="F99" s="45">
        <f t="shared" si="3"/>
        <v>6</v>
      </c>
      <c r="G99" s="41"/>
      <c r="H99" s="41"/>
      <c r="I99" s="35" t="s">
        <v>21</v>
      </c>
      <c r="J99" s="36"/>
      <c r="K99" s="35"/>
      <c r="L99" s="35" t="s">
        <v>21</v>
      </c>
      <c r="M99" s="36"/>
      <c r="N99" s="35"/>
      <c r="O99" s="35"/>
      <c r="P99" s="35"/>
      <c r="Q99" s="35"/>
      <c r="R99" s="42">
        <v>7350057585290</v>
      </c>
      <c r="S99" s="43"/>
      <c r="T99" s="43"/>
      <c r="U99" s="43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8"/>
      <c r="BN99" s="8"/>
      <c r="BO99" s="8"/>
      <c r="BP99" s="8"/>
      <c r="BQ99" s="8"/>
      <c r="BR99" s="8"/>
      <c r="BS99" s="8"/>
      <c r="BT99" s="8"/>
      <c r="BU99" s="8"/>
      <c r="BV99" s="8"/>
      <c r="BW99" s="8"/>
      <c r="BX99" s="8"/>
      <c r="BY99" s="8"/>
      <c r="BZ99" s="8"/>
      <c r="CA99" s="8"/>
      <c r="CB99" s="8"/>
      <c r="CC99" s="8"/>
      <c r="CD99" s="8"/>
      <c r="CE99" s="8"/>
      <c r="CF99" s="8"/>
      <c r="CG99" s="8"/>
      <c r="CH99" s="8"/>
      <c r="CI99" s="8"/>
      <c r="CJ99" s="8"/>
      <c r="CK99" s="8"/>
      <c r="CL99" s="8"/>
      <c r="CM99" s="8"/>
      <c r="CN99" s="8"/>
      <c r="CO99" s="8"/>
      <c r="CP99" s="8"/>
      <c r="CQ99" s="8"/>
      <c r="CR99" s="8"/>
      <c r="CS99" s="8"/>
      <c r="CT99" s="8"/>
      <c r="CU99" s="8"/>
      <c r="CV99" s="8"/>
      <c r="CW99" s="8"/>
      <c r="CX99" s="8"/>
      <c r="CY99" s="8"/>
      <c r="CZ99" s="8"/>
      <c r="DA99" s="8"/>
      <c r="DB99" s="8"/>
      <c r="DC99" s="8"/>
      <c r="DD99" s="8"/>
      <c r="DE99" s="8"/>
      <c r="DF99" s="8"/>
      <c r="DG99" s="8"/>
      <c r="DH99" s="8"/>
      <c r="DI99" s="8"/>
      <c r="DJ99" s="8"/>
      <c r="DK99" s="8"/>
      <c r="DL99" s="8"/>
      <c r="DM99" s="8"/>
      <c r="DN99" s="8"/>
      <c r="DO99" s="8"/>
      <c r="DP99" s="8"/>
      <c r="DQ99" s="8"/>
      <c r="DR99" s="8"/>
      <c r="DS99" s="8"/>
      <c r="DT99" s="8"/>
      <c r="DU99" s="8"/>
      <c r="DV99" s="8"/>
      <c r="DW99" s="8"/>
      <c r="DX99" s="8"/>
      <c r="DY99" s="8"/>
      <c r="DZ99" s="8"/>
      <c r="EA99" s="8"/>
      <c r="EB99" s="8"/>
      <c r="EC99" s="8"/>
      <c r="ED99" s="8"/>
      <c r="EE99" s="8"/>
      <c r="EF99" s="8"/>
      <c r="EG99" s="8"/>
      <c r="EH99" s="8"/>
      <c r="EI99" s="8"/>
      <c r="EJ99" s="8"/>
      <c r="EK99" s="8"/>
      <c r="EL99" s="8"/>
      <c r="EM99" s="8"/>
      <c r="EN99" s="8"/>
      <c r="EO99" s="8"/>
      <c r="EP99" s="8"/>
      <c r="EQ99" s="8"/>
      <c r="ER99" s="8"/>
      <c r="ES99" s="8"/>
      <c r="ET99" s="8"/>
      <c r="EU99" s="8"/>
      <c r="EV99" s="8"/>
      <c r="EW99" s="8"/>
      <c r="EX99" s="8"/>
      <c r="EY99" s="8"/>
      <c r="EZ99" s="8"/>
      <c r="FA99" s="8"/>
      <c r="FB99" s="8"/>
      <c r="FC99" s="8"/>
      <c r="FD99" s="8"/>
      <c r="FE99" s="8"/>
      <c r="FF99" s="8"/>
      <c r="FG99" s="8"/>
      <c r="FH99" s="8"/>
      <c r="FI99" s="8"/>
      <c r="FJ99" s="8"/>
      <c r="FK99" s="8"/>
      <c r="FL99" s="8"/>
      <c r="FM99" s="8"/>
      <c r="FN99" s="8"/>
      <c r="FO99" s="8"/>
      <c r="FP99" s="8"/>
      <c r="FQ99" s="8"/>
      <c r="FR99" s="8"/>
      <c r="FS99" s="8"/>
      <c r="FT99" s="8"/>
      <c r="FU99" s="8"/>
      <c r="FV99" s="8"/>
      <c r="FW99" s="8"/>
      <c r="FX99" s="8"/>
      <c r="FY99" s="8"/>
      <c r="FZ99" s="8"/>
      <c r="GA99" s="8"/>
      <c r="GB99" s="8"/>
      <c r="GC99" s="8"/>
      <c r="GD99" s="8"/>
      <c r="GE99" s="8"/>
      <c r="GF99" s="8"/>
      <c r="GG99" s="8"/>
      <c r="GH99" s="8"/>
      <c r="GI99" s="8"/>
      <c r="GJ99" s="8"/>
      <c r="GK99" s="8"/>
      <c r="GL99" s="8"/>
      <c r="GM99" s="8"/>
      <c r="GN99" s="8"/>
      <c r="GO99" s="8"/>
      <c r="GP99" s="8"/>
      <c r="GQ99" s="8"/>
      <c r="GR99" s="8"/>
      <c r="GS99" s="8"/>
      <c r="GT99" s="8"/>
      <c r="GU99" s="8"/>
      <c r="GV99" s="8"/>
      <c r="GW99" s="8"/>
      <c r="GX99" s="8"/>
      <c r="GY99" s="8"/>
      <c r="GZ99" s="8"/>
      <c r="HA99" s="8"/>
      <c r="HB99" s="8"/>
      <c r="HC99" s="8"/>
      <c r="HD99" s="8"/>
      <c r="HE99" s="8"/>
      <c r="HF99" s="8"/>
      <c r="HG99" s="8"/>
      <c r="HH99" s="8"/>
      <c r="HI99" s="8"/>
      <c r="HJ99" s="8"/>
      <c r="HK99" s="8"/>
      <c r="HL99" s="8"/>
      <c r="HM99" s="8"/>
      <c r="HN99" s="8"/>
      <c r="HO99" s="8"/>
      <c r="HP99" s="8"/>
      <c r="HQ99" s="8"/>
      <c r="HR99" s="8"/>
      <c r="HS99" s="8"/>
      <c r="HT99" s="8"/>
      <c r="HU99" s="8"/>
      <c r="HV99" s="8"/>
      <c r="HW99" s="8"/>
      <c r="HX99" s="8"/>
      <c r="HY99" s="8"/>
      <c r="HZ99" s="8"/>
      <c r="IA99" s="8"/>
      <c r="IB99" s="8"/>
      <c r="IC99" s="8"/>
      <c r="ID99" s="8"/>
      <c r="IE99" s="8"/>
      <c r="IF99" s="8"/>
      <c r="IG99" s="8"/>
      <c r="IH99" s="8"/>
      <c r="II99" s="8"/>
      <c r="IJ99" s="8"/>
      <c r="IK99" s="8"/>
      <c r="IL99" s="8"/>
      <c r="IM99" s="8"/>
      <c r="IN99" s="8"/>
      <c r="IO99" s="8"/>
      <c r="IP99" s="8"/>
      <c r="IQ99" s="8"/>
      <c r="IR99" s="8"/>
      <c r="IS99" s="8"/>
      <c r="IT99" s="8"/>
      <c r="IU99" s="8"/>
      <c r="IV99" s="8"/>
      <c r="IW99" s="8"/>
      <c r="IX99" s="8"/>
      <c r="IY99" s="8"/>
      <c r="IZ99" s="8"/>
      <c r="JA99" s="8"/>
      <c r="JB99" s="8"/>
      <c r="JC99" s="8"/>
      <c r="JD99" s="8"/>
      <c r="JE99" s="8"/>
      <c r="JF99" s="8"/>
      <c r="JG99" s="8"/>
      <c r="JH99" s="8"/>
      <c r="JI99" s="8"/>
      <c r="JJ99" s="8"/>
      <c r="JK99" s="8"/>
      <c r="JL99" s="8"/>
      <c r="JM99" s="8"/>
      <c r="JN99" s="8"/>
      <c r="JO99" s="8"/>
      <c r="JP99" s="8"/>
      <c r="JQ99" s="8"/>
      <c r="JR99" s="8"/>
      <c r="JS99" s="8"/>
      <c r="JT99" s="8"/>
      <c r="JU99" s="8"/>
      <c r="JV99" s="8"/>
      <c r="JW99" s="8"/>
      <c r="JX99" s="8"/>
      <c r="JY99" s="8"/>
      <c r="JZ99" s="8"/>
      <c r="KA99" s="8"/>
      <c r="KB99" s="8"/>
      <c r="KC99" s="8"/>
      <c r="KD99" s="8"/>
      <c r="KE99" s="8"/>
      <c r="KF99" s="8"/>
      <c r="KG99" s="8"/>
      <c r="KH99" s="8"/>
      <c r="KI99" s="8"/>
      <c r="KJ99" s="8"/>
      <c r="KK99" s="8"/>
      <c r="KL99" s="8"/>
      <c r="KM99" s="8"/>
      <c r="KN99" s="8"/>
      <c r="KO99" s="8"/>
      <c r="KP99" s="8"/>
      <c r="KQ99" s="8"/>
      <c r="KR99" s="8"/>
      <c r="KS99" s="8"/>
      <c r="KT99" s="8"/>
      <c r="KU99" s="8"/>
      <c r="KV99" s="8"/>
      <c r="KW99" s="8"/>
      <c r="KX99" s="8"/>
      <c r="KY99" s="8"/>
      <c r="KZ99" s="8"/>
      <c r="LA99" s="8"/>
      <c r="LB99" s="8"/>
      <c r="LC99" s="8"/>
      <c r="LD99" s="8"/>
      <c r="LE99" s="8"/>
      <c r="LF99" s="8"/>
      <c r="LG99" s="8"/>
      <c r="LH99" s="8"/>
      <c r="LI99" s="8"/>
      <c r="LJ99" s="8"/>
      <c r="LK99" s="8"/>
      <c r="LL99" s="8"/>
      <c r="LM99" s="8"/>
      <c r="LN99" s="8"/>
      <c r="LO99" s="8"/>
      <c r="LP99" s="8"/>
      <c r="LQ99" s="8"/>
    </row>
    <row r="100" spans="1:329" s="7" customFormat="1" ht="15" customHeight="1" x14ac:dyDescent="0.25">
      <c r="A100" s="71">
        <v>1101827</v>
      </c>
      <c r="B100" s="44" t="s">
        <v>211</v>
      </c>
      <c r="C100" s="44" t="str">
        <f>VLOOKUP(A100,Artikeldaten!A:B,2,0)</f>
        <v>Schulterpolster Set - Minikid 2 Shellfish [Rot]</v>
      </c>
      <c r="D100" s="45">
        <v>10</v>
      </c>
      <c r="E100" s="45">
        <f t="shared" si="2"/>
        <v>16.806722689075631</v>
      </c>
      <c r="F100" s="45">
        <f t="shared" si="3"/>
        <v>20</v>
      </c>
      <c r="G100" s="41"/>
      <c r="H100" s="41"/>
      <c r="I100" s="35" t="s">
        <v>21</v>
      </c>
      <c r="J100" s="36"/>
      <c r="K100" s="35"/>
      <c r="L100" s="36"/>
      <c r="M100" s="36"/>
      <c r="N100" s="35"/>
      <c r="O100" s="35"/>
      <c r="P100" s="35"/>
      <c r="Q100" s="35"/>
      <c r="R100" s="42">
        <v>7350057585214</v>
      </c>
      <c r="S100" s="43"/>
      <c r="T100" s="43"/>
      <c r="U100" s="43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  <c r="BN100" s="8"/>
      <c r="BO100" s="8"/>
      <c r="BP100" s="8"/>
      <c r="BQ100" s="8"/>
      <c r="BR100" s="8"/>
      <c r="BS100" s="8"/>
      <c r="BT100" s="8"/>
      <c r="BU100" s="8"/>
      <c r="BV100" s="8"/>
      <c r="BW100" s="8"/>
      <c r="BX100" s="8"/>
      <c r="BY100" s="8"/>
      <c r="BZ100" s="8"/>
      <c r="CA100" s="8"/>
      <c r="CB100" s="8"/>
      <c r="CC100" s="8"/>
      <c r="CD100" s="8"/>
      <c r="CE100" s="8"/>
      <c r="CF100" s="8"/>
      <c r="CG100" s="8"/>
      <c r="CH100" s="8"/>
      <c r="CI100" s="8"/>
      <c r="CJ100" s="8"/>
      <c r="CK100" s="8"/>
      <c r="CL100" s="8"/>
      <c r="CM100" s="8"/>
      <c r="CN100" s="8"/>
      <c r="CO100" s="8"/>
      <c r="CP100" s="8"/>
      <c r="CQ100" s="8"/>
      <c r="CR100" s="8"/>
      <c r="CS100" s="8"/>
      <c r="CT100" s="8"/>
      <c r="CU100" s="8"/>
      <c r="CV100" s="8"/>
      <c r="CW100" s="8"/>
      <c r="CX100" s="8"/>
      <c r="CY100" s="8"/>
      <c r="CZ100" s="8"/>
      <c r="DA100" s="8"/>
      <c r="DB100" s="8"/>
      <c r="DC100" s="8"/>
      <c r="DD100" s="8"/>
      <c r="DE100" s="8"/>
      <c r="DF100" s="8"/>
      <c r="DG100" s="8"/>
      <c r="DH100" s="8"/>
      <c r="DI100" s="8"/>
      <c r="DJ100" s="8"/>
      <c r="DK100" s="8"/>
      <c r="DL100" s="8"/>
      <c r="DM100" s="8"/>
      <c r="DN100" s="8"/>
      <c r="DO100" s="8"/>
      <c r="DP100" s="8"/>
      <c r="DQ100" s="8"/>
      <c r="DR100" s="8"/>
      <c r="DS100" s="8"/>
      <c r="DT100" s="8"/>
      <c r="DU100" s="8"/>
      <c r="DV100" s="8"/>
      <c r="DW100" s="8"/>
      <c r="DX100" s="8"/>
      <c r="DY100" s="8"/>
      <c r="DZ100" s="8"/>
      <c r="EA100" s="8"/>
      <c r="EB100" s="8"/>
      <c r="EC100" s="8"/>
      <c r="ED100" s="8"/>
      <c r="EE100" s="8"/>
      <c r="EF100" s="8"/>
      <c r="EG100" s="8"/>
      <c r="EH100" s="8"/>
      <c r="EI100" s="8"/>
      <c r="EJ100" s="8"/>
      <c r="EK100" s="8"/>
      <c r="EL100" s="8"/>
      <c r="EM100" s="8"/>
      <c r="EN100" s="8"/>
      <c r="EO100" s="8"/>
      <c r="EP100" s="8"/>
      <c r="EQ100" s="8"/>
      <c r="ER100" s="8"/>
      <c r="ES100" s="8"/>
      <c r="ET100" s="8"/>
      <c r="EU100" s="8"/>
      <c r="EV100" s="8"/>
      <c r="EW100" s="8"/>
      <c r="EX100" s="8"/>
      <c r="EY100" s="8"/>
      <c r="EZ100" s="8"/>
      <c r="FA100" s="8"/>
      <c r="FB100" s="8"/>
      <c r="FC100" s="8"/>
      <c r="FD100" s="8"/>
      <c r="FE100" s="8"/>
      <c r="FF100" s="8"/>
      <c r="FG100" s="8"/>
      <c r="FH100" s="8"/>
      <c r="FI100" s="8"/>
      <c r="FJ100" s="8"/>
      <c r="FK100" s="8"/>
      <c r="FL100" s="8"/>
      <c r="FM100" s="8"/>
      <c r="FN100" s="8"/>
      <c r="FO100" s="8"/>
      <c r="FP100" s="8"/>
      <c r="FQ100" s="8"/>
      <c r="FR100" s="8"/>
      <c r="FS100" s="8"/>
      <c r="FT100" s="8"/>
      <c r="FU100" s="8"/>
      <c r="FV100" s="8"/>
      <c r="FW100" s="8"/>
      <c r="FX100" s="8"/>
      <c r="FY100" s="8"/>
      <c r="FZ100" s="8"/>
      <c r="GA100" s="8"/>
      <c r="GB100" s="8"/>
      <c r="GC100" s="8"/>
      <c r="GD100" s="8"/>
      <c r="GE100" s="8"/>
      <c r="GF100" s="8"/>
      <c r="GG100" s="8"/>
      <c r="GH100" s="8"/>
      <c r="GI100" s="8"/>
      <c r="GJ100" s="8"/>
      <c r="GK100" s="8"/>
      <c r="GL100" s="8"/>
      <c r="GM100" s="8"/>
      <c r="GN100" s="8"/>
      <c r="GO100" s="8"/>
      <c r="GP100" s="8"/>
      <c r="GQ100" s="8"/>
      <c r="GR100" s="8"/>
      <c r="GS100" s="8"/>
      <c r="GT100" s="8"/>
      <c r="GU100" s="8"/>
      <c r="GV100" s="8"/>
      <c r="GW100" s="8"/>
      <c r="GX100" s="8"/>
      <c r="GY100" s="8"/>
      <c r="GZ100" s="8"/>
      <c r="HA100" s="8"/>
      <c r="HB100" s="8"/>
      <c r="HC100" s="8"/>
      <c r="HD100" s="8"/>
      <c r="HE100" s="8"/>
      <c r="HF100" s="8"/>
      <c r="HG100" s="8"/>
      <c r="HH100" s="8"/>
      <c r="HI100" s="8"/>
      <c r="HJ100" s="8"/>
      <c r="HK100" s="8"/>
      <c r="HL100" s="8"/>
      <c r="HM100" s="8"/>
      <c r="HN100" s="8"/>
      <c r="HO100" s="8"/>
      <c r="HP100" s="8"/>
      <c r="HQ100" s="8"/>
      <c r="HR100" s="8"/>
      <c r="HS100" s="8"/>
      <c r="HT100" s="8"/>
      <c r="HU100" s="8"/>
      <c r="HV100" s="8"/>
      <c r="HW100" s="8"/>
      <c r="HX100" s="8"/>
      <c r="HY100" s="8"/>
      <c r="HZ100" s="8"/>
      <c r="IA100" s="8"/>
      <c r="IB100" s="8"/>
      <c r="IC100" s="8"/>
      <c r="ID100" s="8"/>
      <c r="IE100" s="8"/>
      <c r="IF100" s="8"/>
      <c r="IG100" s="8"/>
      <c r="IH100" s="8"/>
      <c r="II100" s="8"/>
      <c r="IJ100" s="8"/>
      <c r="IK100" s="8"/>
      <c r="IL100" s="8"/>
      <c r="IM100" s="8"/>
      <c r="IN100" s="8"/>
      <c r="IO100" s="8"/>
      <c r="IP100" s="8"/>
      <c r="IQ100" s="8"/>
      <c r="IR100" s="8"/>
      <c r="IS100" s="8"/>
      <c r="IT100" s="8"/>
      <c r="IU100" s="8"/>
      <c r="IV100" s="8"/>
      <c r="IW100" s="8"/>
      <c r="IX100" s="8"/>
      <c r="IY100" s="8"/>
      <c r="IZ100" s="8"/>
      <c r="JA100" s="8"/>
      <c r="JB100" s="8"/>
      <c r="JC100" s="8"/>
      <c r="JD100" s="8"/>
      <c r="JE100" s="8"/>
      <c r="JF100" s="8"/>
      <c r="JG100" s="8"/>
      <c r="JH100" s="8"/>
      <c r="JI100" s="8"/>
      <c r="JJ100" s="8"/>
      <c r="JK100" s="8"/>
      <c r="JL100" s="8"/>
      <c r="JM100" s="8"/>
      <c r="JN100" s="8"/>
      <c r="JO100" s="8"/>
      <c r="JP100" s="8"/>
      <c r="JQ100" s="8"/>
      <c r="JR100" s="8"/>
      <c r="JS100" s="8"/>
      <c r="JT100" s="8"/>
      <c r="JU100" s="8"/>
      <c r="JV100" s="8"/>
      <c r="JW100" s="8"/>
      <c r="JX100" s="8"/>
      <c r="JY100" s="8"/>
      <c r="JZ100" s="8"/>
      <c r="KA100" s="8"/>
      <c r="KB100" s="8"/>
      <c r="KC100" s="8"/>
      <c r="KD100" s="8"/>
      <c r="KE100" s="8"/>
      <c r="KF100" s="8"/>
      <c r="KG100" s="8"/>
      <c r="KH100" s="8"/>
      <c r="KI100" s="8"/>
      <c r="KJ100" s="8"/>
      <c r="KK100" s="8"/>
      <c r="KL100" s="8"/>
      <c r="KM100" s="8"/>
      <c r="KN100" s="8"/>
      <c r="KO100" s="8"/>
      <c r="KP100" s="8"/>
      <c r="KQ100" s="8"/>
      <c r="KR100" s="8"/>
      <c r="KS100" s="8"/>
      <c r="KT100" s="8"/>
      <c r="KU100" s="8"/>
      <c r="KV100" s="8"/>
      <c r="KW100" s="8"/>
      <c r="KX100" s="8"/>
      <c r="KY100" s="8"/>
      <c r="KZ100" s="8"/>
      <c r="LA100" s="8"/>
      <c r="LB100" s="8"/>
      <c r="LC100" s="8"/>
      <c r="LD100" s="8"/>
      <c r="LE100" s="8"/>
      <c r="LF100" s="8"/>
      <c r="LG100" s="8"/>
      <c r="LH100" s="8"/>
      <c r="LI100" s="8"/>
      <c r="LJ100" s="8"/>
      <c r="LK100" s="8"/>
      <c r="LL100" s="8"/>
      <c r="LM100" s="8"/>
      <c r="LN100" s="8"/>
      <c r="LO100" s="8"/>
      <c r="LP100" s="8"/>
      <c r="LQ100" s="8"/>
    </row>
    <row r="101" spans="1:329" s="7" customFormat="1" ht="15" customHeight="1" x14ac:dyDescent="0.25">
      <c r="A101" s="71">
        <v>1101828</v>
      </c>
      <c r="B101" s="44" t="s">
        <v>213</v>
      </c>
      <c r="C101" s="44" t="str">
        <f>VLOOKUP(A101,Artikeldaten!A:B,2,0)</f>
        <v>Gurtschlosspolster - Minikid 2 &amp; Modukid Seat Sea [Blau]</v>
      </c>
      <c r="D101" s="45">
        <v>3</v>
      </c>
      <c r="E101" s="45">
        <f t="shared" si="2"/>
        <v>5.0420168067226889</v>
      </c>
      <c r="F101" s="45">
        <f t="shared" si="3"/>
        <v>6</v>
      </c>
      <c r="G101" s="41"/>
      <c r="H101" s="41"/>
      <c r="I101" s="35" t="s">
        <v>21</v>
      </c>
      <c r="J101" s="36"/>
      <c r="K101" s="35"/>
      <c r="L101" s="35" t="s">
        <v>21</v>
      </c>
      <c r="M101" s="36"/>
      <c r="N101" s="35"/>
      <c r="O101" s="35"/>
      <c r="P101" s="35"/>
      <c r="Q101" s="35"/>
      <c r="R101" s="42">
        <v>7350057585306</v>
      </c>
      <c r="S101" s="43"/>
      <c r="T101" s="43"/>
      <c r="U101" s="43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8"/>
      <c r="BP101" s="8"/>
      <c r="BQ101" s="8"/>
      <c r="BR101" s="8"/>
      <c r="BS101" s="8"/>
      <c r="BT101" s="8"/>
      <c r="BU101" s="8"/>
      <c r="BV101" s="8"/>
      <c r="BW101" s="8"/>
      <c r="BX101" s="8"/>
      <c r="BY101" s="8"/>
      <c r="BZ101" s="8"/>
      <c r="CA101" s="8"/>
      <c r="CB101" s="8"/>
      <c r="CC101" s="8"/>
      <c r="CD101" s="8"/>
      <c r="CE101" s="8"/>
      <c r="CF101" s="8"/>
      <c r="CG101" s="8"/>
      <c r="CH101" s="8"/>
      <c r="CI101" s="8"/>
      <c r="CJ101" s="8"/>
      <c r="CK101" s="8"/>
      <c r="CL101" s="8"/>
      <c r="CM101" s="8"/>
      <c r="CN101" s="8"/>
      <c r="CO101" s="8"/>
      <c r="CP101" s="8"/>
      <c r="CQ101" s="8"/>
      <c r="CR101" s="8"/>
      <c r="CS101" s="8"/>
      <c r="CT101" s="8"/>
      <c r="CU101" s="8"/>
      <c r="CV101" s="8"/>
      <c r="CW101" s="8"/>
      <c r="CX101" s="8"/>
      <c r="CY101" s="8"/>
      <c r="CZ101" s="8"/>
      <c r="DA101" s="8"/>
      <c r="DB101" s="8"/>
      <c r="DC101" s="8"/>
      <c r="DD101" s="8"/>
      <c r="DE101" s="8"/>
      <c r="DF101" s="8"/>
      <c r="DG101" s="8"/>
      <c r="DH101" s="8"/>
      <c r="DI101" s="8"/>
      <c r="DJ101" s="8"/>
      <c r="DK101" s="8"/>
      <c r="DL101" s="8"/>
      <c r="DM101" s="8"/>
      <c r="DN101" s="8"/>
      <c r="DO101" s="8"/>
      <c r="DP101" s="8"/>
      <c r="DQ101" s="8"/>
      <c r="DR101" s="8"/>
      <c r="DS101" s="8"/>
      <c r="DT101" s="8"/>
      <c r="DU101" s="8"/>
      <c r="DV101" s="8"/>
      <c r="DW101" s="8"/>
      <c r="DX101" s="8"/>
      <c r="DY101" s="8"/>
      <c r="DZ101" s="8"/>
      <c r="EA101" s="8"/>
      <c r="EB101" s="8"/>
      <c r="EC101" s="8"/>
      <c r="ED101" s="8"/>
      <c r="EE101" s="8"/>
      <c r="EF101" s="8"/>
      <c r="EG101" s="8"/>
      <c r="EH101" s="8"/>
      <c r="EI101" s="8"/>
      <c r="EJ101" s="8"/>
      <c r="EK101" s="8"/>
      <c r="EL101" s="8"/>
      <c r="EM101" s="8"/>
      <c r="EN101" s="8"/>
      <c r="EO101" s="8"/>
      <c r="EP101" s="8"/>
      <c r="EQ101" s="8"/>
      <c r="ER101" s="8"/>
      <c r="ES101" s="8"/>
      <c r="ET101" s="8"/>
      <c r="EU101" s="8"/>
      <c r="EV101" s="8"/>
      <c r="EW101" s="8"/>
      <c r="EX101" s="8"/>
      <c r="EY101" s="8"/>
      <c r="EZ101" s="8"/>
      <c r="FA101" s="8"/>
      <c r="FB101" s="8"/>
      <c r="FC101" s="8"/>
      <c r="FD101" s="8"/>
      <c r="FE101" s="8"/>
      <c r="FF101" s="8"/>
      <c r="FG101" s="8"/>
      <c r="FH101" s="8"/>
      <c r="FI101" s="8"/>
      <c r="FJ101" s="8"/>
      <c r="FK101" s="8"/>
      <c r="FL101" s="8"/>
      <c r="FM101" s="8"/>
      <c r="FN101" s="8"/>
      <c r="FO101" s="8"/>
      <c r="FP101" s="8"/>
      <c r="FQ101" s="8"/>
      <c r="FR101" s="8"/>
      <c r="FS101" s="8"/>
      <c r="FT101" s="8"/>
      <c r="FU101" s="8"/>
      <c r="FV101" s="8"/>
      <c r="FW101" s="8"/>
      <c r="FX101" s="8"/>
      <c r="FY101" s="8"/>
      <c r="FZ101" s="8"/>
      <c r="GA101" s="8"/>
      <c r="GB101" s="8"/>
      <c r="GC101" s="8"/>
      <c r="GD101" s="8"/>
      <c r="GE101" s="8"/>
      <c r="GF101" s="8"/>
      <c r="GG101" s="8"/>
      <c r="GH101" s="8"/>
      <c r="GI101" s="8"/>
      <c r="GJ101" s="8"/>
      <c r="GK101" s="8"/>
      <c r="GL101" s="8"/>
      <c r="GM101" s="8"/>
      <c r="GN101" s="8"/>
      <c r="GO101" s="8"/>
      <c r="GP101" s="8"/>
      <c r="GQ101" s="8"/>
      <c r="GR101" s="8"/>
      <c r="GS101" s="8"/>
      <c r="GT101" s="8"/>
      <c r="GU101" s="8"/>
      <c r="GV101" s="8"/>
      <c r="GW101" s="8"/>
      <c r="GX101" s="8"/>
      <c r="GY101" s="8"/>
      <c r="GZ101" s="8"/>
      <c r="HA101" s="8"/>
      <c r="HB101" s="8"/>
      <c r="HC101" s="8"/>
      <c r="HD101" s="8"/>
      <c r="HE101" s="8"/>
      <c r="HF101" s="8"/>
      <c r="HG101" s="8"/>
      <c r="HH101" s="8"/>
      <c r="HI101" s="8"/>
      <c r="HJ101" s="8"/>
      <c r="HK101" s="8"/>
      <c r="HL101" s="8"/>
      <c r="HM101" s="8"/>
      <c r="HN101" s="8"/>
      <c r="HO101" s="8"/>
      <c r="HP101" s="8"/>
      <c r="HQ101" s="8"/>
      <c r="HR101" s="8"/>
      <c r="HS101" s="8"/>
      <c r="HT101" s="8"/>
      <c r="HU101" s="8"/>
      <c r="HV101" s="8"/>
      <c r="HW101" s="8"/>
      <c r="HX101" s="8"/>
      <c r="HY101" s="8"/>
      <c r="HZ101" s="8"/>
      <c r="IA101" s="8"/>
      <c r="IB101" s="8"/>
      <c r="IC101" s="8"/>
      <c r="ID101" s="8"/>
      <c r="IE101" s="8"/>
      <c r="IF101" s="8"/>
      <c r="IG101" s="8"/>
      <c r="IH101" s="8"/>
      <c r="II101" s="8"/>
      <c r="IJ101" s="8"/>
      <c r="IK101" s="8"/>
      <c r="IL101" s="8"/>
      <c r="IM101" s="8"/>
      <c r="IN101" s="8"/>
      <c r="IO101" s="8"/>
      <c r="IP101" s="8"/>
      <c r="IQ101" s="8"/>
      <c r="IR101" s="8"/>
      <c r="IS101" s="8"/>
      <c r="IT101" s="8"/>
      <c r="IU101" s="8"/>
      <c r="IV101" s="8"/>
      <c r="IW101" s="8"/>
      <c r="IX101" s="8"/>
      <c r="IY101" s="8"/>
      <c r="IZ101" s="8"/>
      <c r="JA101" s="8"/>
      <c r="JB101" s="8"/>
      <c r="JC101" s="8"/>
      <c r="JD101" s="8"/>
      <c r="JE101" s="8"/>
      <c r="JF101" s="8"/>
      <c r="JG101" s="8"/>
      <c r="JH101" s="8"/>
      <c r="JI101" s="8"/>
      <c r="JJ101" s="8"/>
      <c r="JK101" s="8"/>
      <c r="JL101" s="8"/>
      <c r="JM101" s="8"/>
      <c r="JN101" s="8"/>
      <c r="JO101" s="8"/>
      <c r="JP101" s="8"/>
      <c r="JQ101" s="8"/>
      <c r="JR101" s="8"/>
      <c r="JS101" s="8"/>
      <c r="JT101" s="8"/>
      <c r="JU101" s="8"/>
      <c r="JV101" s="8"/>
      <c r="JW101" s="8"/>
      <c r="JX101" s="8"/>
      <c r="JY101" s="8"/>
      <c r="JZ101" s="8"/>
      <c r="KA101" s="8"/>
      <c r="KB101" s="8"/>
      <c r="KC101" s="8"/>
      <c r="KD101" s="8"/>
      <c r="KE101" s="8"/>
      <c r="KF101" s="8"/>
      <c r="KG101" s="8"/>
      <c r="KH101" s="8"/>
      <c r="KI101" s="8"/>
      <c r="KJ101" s="8"/>
      <c r="KK101" s="8"/>
      <c r="KL101" s="8"/>
      <c r="KM101" s="8"/>
      <c r="KN101" s="8"/>
      <c r="KO101" s="8"/>
      <c r="KP101" s="8"/>
      <c r="KQ101" s="8"/>
      <c r="KR101" s="8"/>
      <c r="KS101" s="8"/>
      <c r="KT101" s="8"/>
      <c r="KU101" s="8"/>
      <c r="KV101" s="8"/>
      <c r="KW101" s="8"/>
      <c r="KX101" s="8"/>
      <c r="KY101" s="8"/>
      <c r="KZ101" s="8"/>
      <c r="LA101" s="8"/>
      <c r="LB101" s="8"/>
      <c r="LC101" s="8"/>
      <c r="LD101" s="8"/>
      <c r="LE101" s="8"/>
      <c r="LF101" s="8"/>
      <c r="LG101" s="8"/>
      <c r="LH101" s="8"/>
      <c r="LI101" s="8"/>
      <c r="LJ101" s="8"/>
      <c r="LK101" s="8"/>
      <c r="LL101" s="8"/>
      <c r="LM101" s="8"/>
      <c r="LN101" s="8"/>
      <c r="LO101" s="8"/>
      <c r="LP101" s="8"/>
      <c r="LQ101" s="8"/>
    </row>
    <row r="102" spans="1:329" s="8" customFormat="1" ht="15" customHeight="1" x14ac:dyDescent="0.25">
      <c r="A102" s="71">
        <v>1101829</v>
      </c>
      <c r="B102" s="44" t="s">
        <v>215</v>
      </c>
      <c r="C102" s="44" t="str">
        <f>VLOOKUP(A102,Artikeldaten!A:B,2,0)</f>
        <v>Schulterpolster Set - Minikid 2 Sea [Blau]</v>
      </c>
      <c r="D102" s="45">
        <v>10</v>
      </c>
      <c r="E102" s="45">
        <f t="shared" si="2"/>
        <v>16.806722689075631</v>
      </c>
      <c r="F102" s="45">
        <f t="shared" si="3"/>
        <v>20</v>
      </c>
      <c r="G102" s="41"/>
      <c r="H102" s="41"/>
      <c r="I102" s="35" t="s">
        <v>21</v>
      </c>
      <c r="J102" s="36"/>
      <c r="K102" s="35"/>
      <c r="L102" s="36"/>
      <c r="M102" s="36"/>
      <c r="N102" s="35"/>
      <c r="O102" s="35"/>
      <c r="P102" s="35"/>
      <c r="Q102" s="35"/>
      <c r="R102" s="42">
        <v>7350057585221</v>
      </c>
      <c r="S102" s="43"/>
      <c r="T102" s="43"/>
      <c r="U102" s="43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</row>
    <row r="103" spans="1:329" s="8" customFormat="1" ht="15" customHeight="1" x14ac:dyDescent="0.25">
      <c r="A103" s="71">
        <v>1101830</v>
      </c>
      <c r="B103" s="44" t="s">
        <v>217</v>
      </c>
      <c r="C103" s="44" t="str">
        <f>VLOOKUP(A103,Artikeldaten!A:B,2,0)</f>
        <v>Gurtschlosspolster - Minikid 2 &amp; Modukid Seat Moss [Grün]</v>
      </c>
      <c r="D103" s="45">
        <v>3</v>
      </c>
      <c r="E103" s="45">
        <f t="shared" si="2"/>
        <v>5.0420168067226889</v>
      </c>
      <c r="F103" s="45">
        <f t="shared" si="3"/>
        <v>6</v>
      </c>
      <c r="G103" s="41"/>
      <c r="H103" s="41"/>
      <c r="I103" s="35" t="s">
        <v>21</v>
      </c>
      <c r="J103" s="36"/>
      <c r="K103" s="35"/>
      <c r="L103" s="35" t="s">
        <v>21</v>
      </c>
      <c r="M103" s="36"/>
      <c r="N103" s="35"/>
      <c r="O103" s="35"/>
      <c r="P103" s="35"/>
      <c r="Q103" s="35"/>
      <c r="R103" s="42">
        <v>7350057585313</v>
      </c>
      <c r="S103" s="43"/>
      <c r="T103" s="43"/>
      <c r="U103" s="43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</row>
    <row r="104" spans="1:329" ht="15" customHeight="1" x14ac:dyDescent="0.25">
      <c r="A104" s="71">
        <v>1101831</v>
      </c>
      <c r="B104" s="44" t="s">
        <v>219</v>
      </c>
      <c r="C104" s="44" t="str">
        <f>VLOOKUP(A104,Artikeldaten!A:B,2,0)</f>
        <v>Schulterpolster Set - Minikid 2 Moss [Grün]</v>
      </c>
      <c r="D104" s="45">
        <v>10</v>
      </c>
      <c r="E104" s="45">
        <f t="shared" si="2"/>
        <v>16.806722689075631</v>
      </c>
      <c r="F104" s="45">
        <f t="shared" si="3"/>
        <v>20</v>
      </c>
      <c r="G104" s="41"/>
      <c r="H104" s="41"/>
      <c r="I104" s="35" t="s">
        <v>21</v>
      </c>
      <c r="J104" s="36"/>
      <c r="K104" s="35"/>
      <c r="L104" s="36"/>
      <c r="M104" s="36"/>
      <c r="N104" s="35"/>
      <c r="O104" s="35"/>
      <c r="P104" s="35"/>
      <c r="Q104" s="35"/>
      <c r="R104" s="42">
        <v>7350057585238</v>
      </c>
      <c r="S104" s="43"/>
      <c r="T104" s="43"/>
      <c r="U104" s="43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  <c r="BI104" s="8"/>
      <c r="BJ104" s="8"/>
      <c r="BK104" s="8"/>
      <c r="BL104" s="8"/>
      <c r="BM104" s="8"/>
      <c r="BN104" s="8"/>
      <c r="BO104" s="8"/>
      <c r="BP104" s="8"/>
      <c r="BQ104" s="8"/>
      <c r="BR104" s="8"/>
      <c r="BS104" s="8"/>
      <c r="BT104" s="8"/>
      <c r="BU104" s="8"/>
      <c r="BV104" s="8"/>
      <c r="BW104" s="8"/>
      <c r="BX104" s="8"/>
      <c r="BY104" s="8"/>
      <c r="BZ104" s="8"/>
      <c r="CA104" s="8"/>
      <c r="CB104" s="8"/>
      <c r="CC104" s="8"/>
      <c r="CD104" s="8"/>
      <c r="CE104" s="8"/>
      <c r="CF104" s="8"/>
      <c r="CG104" s="8"/>
      <c r="CH104" s="8"/>
      <c r="CI104" s="8"/>
      <c r="CJ104" s="8"/>
      <c r="CK104" s="8"/>
      <c r="CL104" s="8"/>
      <c r="CM104" s="8"/>
      <c r="CN104" s="8"/>
      <c r="CO104" s="8"/>
      <c r="CP104" s="8"/>
      <c r="CQ104" s="8"/>
      <c r="CR104" s="8"/>
      <c r="CS104" s="8"/>
      <c r="CT104" s="8"/>
      <c r="CU104" s="8"/>
      <c r="CV104" s="8"/>
      <c r="CW104" s="8"/>
      <c r="CX104" s="8"/>
      <c r="CY104" s="8"/>
      <c r="CZ104" s="8"/>
      <c r="DA104" s="8"/>
      <c r="DB104" s="8"/>
      <c r="DC104" s="8"/>
      <c r="DD104" s="8"/>
      <c r="DE104" s="8"/>
      <c r="DF104" s="8"/>
      <c r="DG104" s="8"/>
      <c r="DH104" s="8"/>
      <c r="DI104" s="8"/>
      <c r="DJ104" s="8"/>
      <c r="DK104" s="8"/>
      <c r="DL104" s="8"/>
      <c r="DM104" s="8"/>
      <c r="DN104" s="8"/>
      <c r="DO104" s="8"/>
      <c r="DP104" s="8"/>
      <c r="DQ104" s="8"/>
      <c r="DR104" s="8"/>
      <c r="DS104" s="8"/>
      <c r="DT104" s="8"/>
      <c r="DU104" s="8"/>
      <c r="DV104" s="8"/>
      <c r="DW104" s="8"/>
      <c r="DX104" s="8"/>
      <c r="DY104" s="8"/>
      <c r="DZ104" s="8"/>
      <c r="EA104" s="8"/>
      <c r="EB104" s="8"/>
      <c r="EC104" s="8"/>
      <c r="ED104" s="8"/>
      <c r="EE104" s="8"/>
      <c r="EF104" s="8"/>
      <c r="EG104" s="8"/>
      <c r="EH104" s="8"/>
      <c r="EI104" s="8"/>
      <c r="EJ104" s="8"/>
      <c r="EK104" s="8"/>
      <c r="EL104" s="8"/>
      <c r="EM104" s="8"/>
      <c r="EN104" s="8"/>
      <c r="EO104" s="8"/>
      <c r="EP104" s="8"/>
      <c r="EQ104" s="8"/>
      <c r="ER104" s="8"/>
      <c r="ES104" s="8"/>
      <c r="ET104" s="8"/>
      <c r="EU104" s="8"/>
      <c r="EV104" s="8"/>
      <c r="EW104" s="8"/>
      <c r="EX104" s="8"/>
      <c r="EY104" s="8"/>
      <c r="EZ104" s="8"/>
      <c r="FA104" s="8"/>
      <c r="FB104" s="8"/>
      <c r="FC104" s="8"/>
      <c r="FD104" s="8"/>
      <c r="FE104" s="8"/>
      <c r="FF104" s="8"/>
      <c r="FG104" s="8"/>
      <c r="FH104" s="8"/>
      <c r="FI104" s="8"/>
      <c r="FJ104" s="8"/>
      <c r="FK104" s="8"/>
      <c r="FL104" s="8"/>
      <c r="FM104" s="8"/>
      <c r="FN104" s="8"/>
      <c r="FO104" s="8"/>
      <c r="FP104" s="8"/>
      <c r="FQ104" s="8"/>
      <c r="FR104" s="8"/>
      <c r="FS104" s="8"/>
      <c r="FT104" s="8"/>
      <c r="FU104" s="8"/>
      <c r="FV104" s="8"/>
      <c r="FW104" s="8"/>
      <c r="FX104" s="8"/>
      <c r="FY104" s="8"/>
      <c r="FZ104" s="8"/>
      <c r="GA104" s="8"/>
      <c r="GB104" s="8"/>
      <c r="GC104" s="8"/>
      <c r="GD104" s="8"/>
      <c r="GE104" s="8"/>
      <c r="GF104" s="8"/>
      <c r="GG104" s="8"/>
      <c r="GH104" s="8"/>
      <c r="GI104" s="8"/>
      <c r="GJ104" s="8"/>
      <c r="GK104" s="8"/>
      <c r="GL104" s="8"/>
      <c r="GM104" s="8"/>
      <c r="GN104" s="8"/>
      <c r="GO104" s="8"/>
      <c r="GP104" s="8"/>
      <c r="GQ104" s="8"/>
      <c r="GR104" s="8"/>
      <c r="GS104" s="8"/>
      <c r="GT104" s="8"/>
      <c r="GU104" s="8"/>
      <c r="GV104" s="8"/>
      <c r="GW104" s="8"/>
      <c r="GX104" s="8"/>
      <c r="GY104" s="8"/>
      <c r="GZ104" s="8"/>
      <c r="HA104" s="8"/>
      <c r="HB104" s="8"/>
      <c r="HC104" s="8"/>
      <c r="HD104" s="8"/>
      <c r="HE104" s="8"/>
      <c r="HF104" s="8"/>
      <c r="HG104" s="8"/>
      <c r="HH104" s="8"/>
      <c r="HI104" s="8"/>
      <c r="HJ104" s="8"/>
      <c r="HK104" s="8"/>
      <c r="HL104" s="8"/>
      <c r="HM104" s="8"/>
      <c r="HN104" s="8"/>
      <c r="HO104" s="8"/>
      <c r="HP104" s="8"/>
      <c r="HQ104" s="8"/>
      <c r="HR104" s="8"/>
      <c r="HS104" s="8"/>
      <c r="HT104" s="8"/>
      <c r="HU104" s="8"/>
      <c r="HV104" s="8"/>
      <c r="HW104" s="8"/>
      <c r="HX104" s="8"/>
      <c r="HY104" s="8"/>
      <c r="HZ104" s="8"/>
      <c r="IA104" s="8"/>
      <c r="IB104" s="8"/>
      <c r="IC104" s="8"/>
      <c r="ID104" s="8"/>
      <c r="IE104" s="8"/>
      <c r="IF104" s="8"/>
      <c r="IG104" s="8"/>
      <c r="IH104" s="8"/>
      <c r="II104" s="8"/>
      <c r="IJ104" s="8"/>
      <c r="IK104" s="8"/>
      <c r="IL104" s="8"/>
      <c r="IM104" s="8"/>
      <c r="IN104" s="8"/>
      <c r="IO104" s="8"/>
      <c r="IP104" s="8"/>
      <c r="IQ104" s="8"/>
      <c r="IR104" s="8"/>
      <c r="IS104" s="8"/>
      <c r="IT104" s="8"/>
      <c r="IU104" s="8"/>
      <c r="IV104" s="8"/>
      <c r="IW104" s="8"/>
      <c r="IX104" s="8"/>
      <c r="IY104" s="8"/>
      <c r="IZ104" s="8"/>
      <c r="JA104" s="8"/>
      <c r="JB104" s="8"/>
      <c r="JC104" s="8"/>
      <c r="JD104" s="8"/>
      <c r="JE104" s="8"/>
      <c r="JF104" s="8"/>
      <c r="JG104" s="8"/>
      <c r="JH104" s="8"/>
      <c r="JI104" s="8"/>
      <c r="JJ104" s="8"/>
      <c r="JK104" s="8"/>
      <c r="JL104" s="8"/>
      <c r="JM104" s="8"/>
      <c r="JN104" s="8"/>
      <c r="JO104" s="8"/>
      <c r="JP104" s="8"/>
      <c r="JQ104" s="8"/>
      <c r="JR104" s="8"/>
      <c r="JS104" s="8"/>
      <c r="JT104" s="8"/>
      <c r="JU104" s="8"/>
      <c r="JV104" s="8"/>
      <c r="JW104" s="8"/>
      <c r="JX104" s="8"/>
      <c r="JY104" s="8"/>
      <c r="JZ104" s="8"/>
      <c r="KA104" s="8"/>
      <c r="KB104" s="8"/>
      <c r="KC104" s="8"/>
      <c r="KD104" s="8"/>
      <c r="KE104" s="8"/>
      <c r="KF104" s="8"/>
      <c r="KG104" s="8"/>
      <c r="KH104" s="8"/>
      <c r="KI104" s="8"/>
      <c r="KJ104" s="8"/>
      <c r="KK104" s="8"/>
      <c r="KL104" s="8"/>
      <c r="KM104" s="8"/>
      <c r="KN104" s="8"/>
      <c r="KO104" s="8"/>
      <c r="KP104" s="8"/>
      <c r="KQ104" s="8"/>
      <c r="KR104" s="8"/>
      <c r="KS104" s="8"/>
      <c r="KT104" s="8"/>
      <c r="KU104" s="8"/>
      <c r="KV104" s="8"/>
      <c r="KW104" s="8"/>
      <c r="KX104" s="8"/>
      <c r="KY104" s="8"/>
      <c r="KZ104" s="8"/>
      <c r="LA104" s="8"/>
      <c r="LB104" s="8"/>
      <c r="LC104" s="8"/>
      <c r="LD104" s="8"/>
      <c r="LE104" s="8"/>
      <c r="LF104" s="8"/>
      <c r="LG104" s="8"/>
      <c r="LH104" s="8"/>
      <c r="LI104" s="8"/>
      <c r="LJ104" s="8"/>
      <c r="LK104" s="8"/>
      <c r="LL104" s="8"/>
      <c r="LM104" s="8"/>
      <c r="LN104" s="8"/>
      <c r="LO104" s="8"/>
      <c r="LP104" s="8"/>
      <c r="LQ104" s="8"/>
    </row>
    <row r="105" spans="1:329" ht="15" customHeight="1" x14ac:dyDescent="0.25">
      <c r="A105" s="71">
        <v>1101832</v>
      </c>
      <c r="B105" s="44" t="s">
        <v>221</v>
      </c>
      <c r="C105" s="44" t="str">
        <f>VLOOKUP(A105,Artikeldaten!A:B,2,0)</f>
        <v>Gurtschlosspolster - Minikid 2 &amp; Modukid Seat Shell Black [Black]</v>
      </c>
      <c r="D105" s="45">
        <v>3</v>
      </c>
      <c r="E105" s="45">
        <f t="shared" si="2"/>
        <v>5.0420168067226889</v>
      </c>
      <c r="F105" s="45">
        <f t="shared" si="3"/>
        <v>6</v>
      </c>
      <c r="G105" s="41"/>
      <c r="H105" s="41"/>
      <c r="I105" s="35" t="s">
        <v>21</v>
      </c>
      <c r="J105" s="36"/>
      <c r="K105" s="35"/>
      <c r="L105" s="35" t="s">
        <v>21</v>
      </c>
      <c r="M105" s="36"/>
      <c r="N105" s="35"/>
      <c r="O105" s="35"/>
      <c r="P105" s="35"/>
      <c r="Q105" s="35"/>
      <c r="R105" s="42">
        <v>7350057585320</v>
      </c>
      <c r="S105" s="43"/>
      <c r="T105" s="43"/>
      <c r="U105" s="43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  <c r="BI105" s="8"/>
      <c r="BJ105" s="8"/>
      <c r="BK105" s="8"/>
      <c r="BL105" s="8"/>
      <c r="BM105" s="8"/>
      <c r="BN105" s="8"/>
      <c r="BO105" s="8"/>
      <c r="BP105" s="8"/>
      <c r="BQ105" s="8"/>
      <c r="BR105" s="8"/>
      <c r="BS105" s="8"/>
      <c r="BT105" s="8"/>
      <c r="BU105" s="8"/>
      <c r="BV105" s="8"/>
      <c r="BW105" s="8"/>
      <c r="BX105" s="8"/>
      <c r="BY105" s="8"/>
      <c r="BZ105" s="8"/>
      <c r="CA105" s="8"/>
      <c r="CB105" s="8"/>
      <c r="CC105" s="8"/>
      <c r="CD105" s="8"/>
      <c r="CE105" s="8"/>
      <c r="CF105" s="8"/>
      <c r="CG105" s="8"/>
      <c r="CH105" s="8"/>
      <c r="CI105" s="8"/>
      <c r="CJ105" s="8"/>
      <c r="CK105" s="8"/>
      <c r="CL105" s="8"/>
      <c r="CM105" s="8"/>
      <c r="CN105" s="8"/>
      <c r="CO105" s="8"/>
      <c r="CP105" s="8"/>
      <c r="CQ105" s="8"/>
      <c r="CR105" s="8"/>
      <c r="CS105" s="8"/>
      <c r="CT105" s="8"/>
      <c r="CU105" s="8"/>
      <c r="CV105" s="8"/>
      <c r="CW105" s="8"/>
      <c r="CX105" s="8"/>
      <c r="CY105" s="8"/>
      <c r="CZ105" s="8"/>
      <c r="DA105" s="8"/>
      <c r="DB105" s="8"/>
      <c r="DC105" s="8"/>
      <c r="DD105" s="8"/>
      <c r="DE105" s="8"/>
      <c r="DF105" s="8"/>
      <c r="DG105" s="8"/>
      <c r="DH105" s="8"/>
      <c r="DI105" s="8"/>
      <c r="DJ105" s="8"/>
      <c r="DK105" s="8"/>
      <c r="DL105" s="8"/>
      <c r="DM105" s="8"/>
      <c r="DN105" s="8"/>
      <c r="DO105" s="8"/>
      <c r="DP105" s="8"/>
      <c r="DQ105" s="8"/>
      <c r="DR105" s="8"/>
      <c r="DS105" s="8"/>
      <c r="DT105" s="8"/>
      <c r="DU105" s="8"/>
      <c r="DV105" s="8"/>
      <c r="DW105" s="8"/>
      <c r="DX105" s="8"/>
      <c r="DY105" s="8"/>
      <c r="DZ105" s="8"/>
      <c r="EA105" s="8"/>
      <c r="EB105" s="8"/>
      <c r="EC105" s="8"/>
      <c r="ED105" s="8"/>
      <c r="EE105" s="8"/>
      <c r="EF105" s="8"/>
      <c r="EG105" s="8"/>
      <c r="EH105" s="8"/>
      <c r="EI105" s="8"/>
      <c r="EJ105" s="8"/>
      <c r="EK105" s="8"/>
      <c r="EL105" s="8"/>
      <c r="EM105" s="8"/>
      <c r="EN105" s="8"/>
      <c r="EO105" s="8"/>
      <c r="EP105" s="8"/>
      <c r="EQ105" s="8"/>
      <c r="ER105" s="8"/>
      <c r="ES105" s="8"/>
      <c r="ET105" s="8"/>
      <c r="EU105" s="8"/>
      <c r="EV105" s="8"/>
      <c r="EW105" s="8"/>
      <c r="EX105" s="8"/>
      <c r="EY105" s="8"/>
      <c r="EZ105" s="8"/>
      <c r="FA105" s="8"/>
      <c r="FB105" s="8"/>
      <c r="FC105" s="8"/>
      <c r="FD105" s="8"/>
      <c r="FE105" s="8"/>
      <c r="FF105" s="8"/>
      <c r="FG105" s="8"/>
      <c r="FH105" s="8"/>
      <c r="FI105" s="8"/>
      <c r="FJ105" s="8"/>
      <c r="FK105" s="8"/>
      <c r="FL105" s="8"/>
      <c r="FM105" s="8"/>
      <c r="FN105" s="8"/>
      <c r="FO105" s="8"/>
      <c r="FP105" s="8"/>
      <c r="FQ105" s="8"/>
      <c r="FR105" s="8"/>
      <c r="FS105" s="8"/>
      <c r="FT105" s="8"/>
      <c r="FU105" s="8"/>
      <c r="FV105" s="8"/>
      <c r="FW105" s="8"/>
      <c r="FX105" s="8"/>
      <c r="FY105" s="8"/>
      <c r="FZ105" s="8"/>
      <c r="GA105" s="8"/>
      <c r="GB105" s="8"/>
      <c r="GC105" s="8"/>
      <c r="GD105" s="8"/>
      <c r="GE105" s="8"/>
      <c r="GF105" s="8"/>
      <c r="GG105" s="8"/>
      <c r="GH105" s="8"/>
      <c r="GI105" s="8"/>
      <c r="GJ105" s="8"/>
      <c r="GK105" s="8"/>
      <c r="GL105" s="8"/>
      <c r="GM105" s="8"/>
      <c r="GN105" s="8"/>
      <c r="GO105" s="8"/>
      <c r="GP105" s="8"/>
      <c r="GQ105" s="8"/>
      <c r="GR105" s="8"/>
      <c r="GS105" s="8"/>
      <c r="GT105" s="8"/>
      <c r="GU105" s="8"/>
      <c r="GV105" s="8"/>
      <c r="GW105" s="8"/>
      <c r="GX105" s="8"/>
      <c r="GY105" s="8"/>
      <c r="GZ105" s="8"/>
      <c r="HA105" s="8"/>
      <c r="HB105" s="8"/>
      <c r="HC105" s="8"/>
      <c r="HD105" s="8"/>
      <c r="HE105" s="8"/>
      <c r="HF105" s="8"/>
      <c r="HG105" s="8"/>
      <c r="HH105" s="8"/>
      <c r="HI105" s="8"/>
      <c r="HJ105" s="8"/>
      <c r="HK105" s="8"/>
      <c r="HL105" s="8"/>
      <c r="HM105" s="8"/>
      <c r="HN105" s="8"/>
      <c r="HO105" s="8"/>
      <c r="HP105" s="8"/>
      <c r="HQ105" s="8"/>
      <c r="HR105" s="8"/>
      <c r="HS105" s="8"/>
      <c r="HT105" s="8"/>
      <c r="HU105" s="8"/>
      <c r="HV105" s="8"/>
      <c r="HW105" s="8"/>
      <c r="HX105" s="8"/>
      <c r="HY105" s="8"/>
      <c r="HZ105" s="8"/>
      <c r="IA105" s="8"/>
      <c r="IB105" s="8"/>
      <c r="IC105" s="8"/>
      <c r="ID105" s="8"/>
      <c r="IE105" s="8"/>
      <c r="IF105" s="8"/>
      <c r="IG105" s="8"/>
      <c r="IH105" s="8"/>
      <c r="II105" s="8"/>
      <c r="IJ105" s="8"/>
      <c r="IK105" s="8"/>
      <c r="IL105" s="8"/>
      <c r="IM105" s="8"/>
      <c r="IN105" s="8"/>
      <c r="IO105" s="8"/>
      <c r="IP105" s="8"/>
      <c r="IQ105" s="8"/>
      <c r="IR105" s="8"/>
      <c r="IS105" s="8"/>
      <c r="IT105" s="8"/>
      <c r="IU105" s="8"/>
      <c r="IV105" s="8"/>
      <c r="IW105" s="8"/>
      <c r="IX105" s="8"/>
      <c r="IY105" s="8"/>
      <c r="IZ105" s="8"/>
      <c r="JA105" s="8"/>
      <c r="JB105" s="8"/>
      <c r="JC105" s="8"/>
      <c r="JD105" s="8"/>
      <c r="JE105" s="8"/>
      <c r="JF105" s="8"/>
      <c r="JG105" s="8"/>
      <c r="JH105" s="8"/>
      <c r="JI105" s="8"/>
      <c r="JJ105" s="8"/>
      <c r="JK105" s="8"/>
      <c r="JL105" s="8"/>
      <c r="JM105" s="8"/>
      <c r="JN105" s="8"/>
      <c r="JO105" s="8"/>
      <c r="JP105" s="8"/>
      <c r="JQ105" s="8"/>
      <c r="JR105" s="8"/>
      <c r="JS105" s="8"/>
      <c r="JT105" s="8"/>
      <c r="JU105" s="8"/>
      <c r="JV105" s="8"/>
      <c r="JW105" s="8"/>
      <c r="JX105" s="8"/>
      <c r="JY105" s="8"/>
      <c r="JZ105" s="8"/>
      <c r="KA105" s="8"/>
      <c r="KB105" s="8"/>
      <c r="KC105" s="8"/>
      <c r="KD105" s="8"/>
      <c r="KE105" s="8"/>
      <c r="KF105" s="8"/>
      <c r="KG105" s="8"/>
      <c r="KH105" s="8"/>
      <c r="KI105" s="8"/>
      <c r="KJ105" s="8"/>
      <c r="KK105" s="8"/>
      <c r="KL105" s="8"/>
      <c r="KM105" s="8"/>
      <c r="KN105" s="8"/>
      <c r="KO105" s="8"/>
      <c r="KP105" s="8"/>
      <c r="KQ105" s="8"/>
      <c r="KR105" s="8"/>
      <c r="KS105" s="8"/>
      <c r="KT105" s="8"/>
      <c r="KU105" s="8"/>
      <c r="KV105" s="8"/>
      <c r="KW105" s="8"/>
      <c r="KX105" s="8"/>
      <c r="KY105" s="8"/>
      <c r="KZ105" s="8"/>
      <c r="LA105" s="8"/>
      <c r="LB105" s="8"/>
      <c r="LC105" s="8"/>
      <c r="LD105" s="8"/>
      <c r="LE105" s="8"/>
      <c r="LF105" s="8"/>
      <c r="LG105" s="8"/>
      <c r="LH105" s="8"/>
      <c r="LI105" s="8"/>
      <c r="LJ105" s="8"/>
      <c r="LK105" s="8"/>
      <c r="LL105" s="8"/>
      <c r="LM105" s="8"/>
      <c r="LN105" s="8"/>
      <c r="LO105" s="8"/>
      <c r="LP105" s="8"/>
      <c r="LQ105" s="8"/>
    </row>
    <row r="106" spans="1:329" s="7" customFormat="1" ht="15" customHeight="1" x14ac:dyDescent="0.25">
      <c r="A106" s="71">
        <v>1101833</v>
      </c>
      <c r="B106" s="44" t="s">
        <v>223</v>
      </c>
      <c r="C106" s="44" t="str">
        <f>VLOOKUP(A106,Artikeldaten!A:B,2,0)</f>
        <v>Schulterpolster Set - Minikid 2 Shell Black [Schwarz]</v>
      </c>
      <c r="D106" s="45">
        <v>10</v>
      </c>
      <c r="E106" s="45">
        <f t="shared" si="2"/>
        <v>16.806722689075631</v>
      </c>
      <c r="F106" s="45">
        <f t="shared" si="3"/>
        <v>20</v>
      </c>
      <c r="G106" s="41"/>
      <c r="H106" s="41"/>
      <c r="I106" s="35" t="s">
        <v>21</v>
      </c>
      <c r="J106" s="36"/>
      <c r="K106" s="35"/>
      <c r="L106" s="36"/>
      <c r="M106" s="36"/>
      <c r="N106" s="35"/>
      <c r="O106" s="35"/>
      <c r="P106" s="35"/>
      <c r="Q106" s="35"/>
      <c r="R106" s="42">
        <v>7350057585245</v>
      </c>
      <c r="S106" s="43"/>
      <c r="T106" s="43"/>
      <c r="U106" s="43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8"/>
      <c r="BK106" s="8"/>
      <c r="BL106" s="8"/>
      <c r="BM106" s="8"/>
      <c r="BN106" s="8"/>
      <c r="BO106" s="8"/>
      <c r="BP106" s="8"/>
      <c r="BQ106" s="8"/>
      <c r="BR106" s="8"/>
      <c r="BS106" s="8"/>
      <c r="BT106" s="8"/>
      <c r="BU106" s="8"/>
      <c r="BV106" s="8"/>
      <c r="BW106" s="8"/>
      <c r="BX106" s="8"/>
      <c r="BY106" s="8"/>
      <c r="BZ106" s="8"/>
      <c r="CA106" s="8"/>
      <c r="CB106" s="8"/>
      <c r="CC106" s="8"/>
      <c r="CD106" s="8"/>
      <c r="CE106" s="8"/>
      <c r="CF106" s="8"/>
      <c r="CG106" s="8"/>
      <c r="CH106" s="8"/>
      <c r="CI106" s="8"/>
      <c r="CJ106" s="8"/>
      <c r="CK106" s="8"/>
      <c r="CL106" s="8"/>
      <c r="CM106" s="8"/>
      <c r="CN106" s="8"/>
      <c r="CO106" s="8"/>
      <c r="CP106" s="8"/>
      <c r="CQ106" s="8"/>
      <c r="CR106" s="8"/>
      <c r="CS106" s="8"/>
      <c r="CT106" s="8"/>
      <c r="CU106" s="8"/>
      <c r="CV106" s="8"/>
      <c r="CW106" s="8"/>
      <c r="CX106" s="8"/>
      <c r="CY106" s="8"/>
      <c r="CZ106" s="8"/>
      <c r="DA106" s="8"/>
      <c r="DB106" s="8"/>
      <c r="DC106" s="8"/>
      <c r="DD106" s="8"/>
      <c r="DE106" s="8"/>
      <c r="DF106" s="8"/>
      <c r="DG106" s="8"/>
      <c r="DH106" s="8"/>
      <c r="DI106" s="8"/>
      <c r="DJ106" s="8"/>
      <c r="DK106" s="8"/>
      <c r="DL106" s="8"/>
      <c r="DM106" s="8"/>
      <c r="DN106" s="8"/>
      <c r="DO106" s="8"/>
      <c r="DP106" s="8"/>
      <c r="DQ106" s="8"/>
      <c r="DR106" s="8"/>
      <c r="DS106" s="8"/>
      <c r="DT106" s="8"/>
      <c r="DU106" s="8"/>
      <c r="DV106" s="8"/>
      <c r="DW106" s="8"/>
      <c r="DX106" s="8"/>
      <c r="DY106" s="8"/>
      <c r="DZ106" s="8"/>
      <c r="EA106" s="8"/>
      <c r="EB106" s="8"/>
      <c r="EC106" s="8"/>
      <c r="ED106" s="8"/>
      <c r="EE106" s="8"/>
      <c r="EF106" s="8"/>
      <c r="EG106" s="8"/>
      <c r="EH106" s="8"/>
      <c r="EI106" s="8"/>
      <c r="EJ106" s="8"/>
      <c r="EK106" s="8"/>
      <c r="EL106" s="8"/>
      <c r="EM106" s="8"/>
      <c r="EN106" s="8"/>
      <c r="EO106" s="8"/>
      <c r="EP106" s="8"/>
      <c r="EQ106" s="8"/>
      <c r="ER106" s="8"/>
      <c r="ES106" s="8"/>
      <c r="ET106" s="8"/>
      <c r="EU106" s="8"/>
      <c r="EV106" s="8"/>
      <c r="EW106" s="8"/>
      <c r="EX106" s="8"/>
      <c r="EY106" s="8"/>
      <c r="EZ106" s="8"/>
      <c r="FA106" s="8"/>
      <c r="FB106" s="8"/>
      <c r="FC106" s="8"/>
      <c r="FD106" s="8"/>
      <c r="FE106" s="8"/>
      <c r="FF106" s="8"/>
      <c r="FG106" s="8"/>
      <c r="FH106" s="8"/>
      <c r="FI106" s="8"/>
      <c r="FJ106" s="8"/>
      <c r="FK106" s="8"/>
      <c r="FL106" s="8"/>
      <c r="FM106" s="8"/>
      <c r="FN106" s="8"/>
      <c r="FO106" s="8"/>
      <c r="FP106" s="8"/>
      <c r="FQ106" s="8"/>
      <c r="FR106" s="8"/>
      <c r="FS106" s="8"/>
      <c r="FT106" s="8"/>
      <c r="FU106" s="8"/>
      <c r="FV106" s="8"/>
      <c r="FW106" s="8"/>
      <c r="FX106" s="8"/>
      <c r="FY106" s="8"/>
      <c r="FZ106" s="8"/>
      <c r="GA106" s="8"/>
      <c r="GB106" s="8"/>
      <c r="GC106" s="8"/>
      <c r="GD106" s="8"/>
      <c r="GE106" s="8"/>
      <c r="GF106" s="8"/>
      <c r="GG106" s="8"/>
      <c r="GH106" s="8"/>
      <c r="GI106" s="8"/>
      <c r="GJ106" s="8"/>
      <c r="GK106" s="8"/>
      <c r="GL106" s="8"/>
      <c r="GM106" s="8"/>
      <c r="GN106" s="8"/>
      <c r="GO106" s="8"/>
      <c r="GP106" s="8"/>
      <c r="GQ106" s="8"/>
      <c r="GR106" s="8"/>
      <c r="GS106" s="8"/>
      <c r="GT106" s="8"/>
      <c r="GU106" s="8"/>
      <c r="GV106" s="8"/>
      <c r="GW106" s="8"/>
      <c r="GX106" s="8"/>
      <c r="GY106" s="8"/>
      <c r="GZ106" s="8"/>
      <c r="HA106" s="8"/>
      <c r="HB106" s="8"/>
      <c r="HC106" s="8"/>
      <c r="HD106" s="8"/>
      <c r="HE106" s="8"/>
      <c r="HF106" s="8"/>
      <c r="HG106" s="8"/>
      <c r="HH106" s="8"/>
      <c r="HI106" s="8"/>
      <c r="HJ106" s="8"/>
      <c r="HK106" s="8"/>
      <c r="HL106" s="8"/>
      <c r="HM106" s="8"/>
      <c r="HN106" s="8"/>
      <c r="HO106" s="8"/>
      <c r="HP106" s="8"/>
      <c r="HQ106" s="8"/>
      <c r="HR106" s="8"/>
      <c r="HS106" s="8"/>
      <c r="HT106" s="8"/>
      <c r="HU106" s="8"/>
      <c r="HV106" s="8"/>
      <c r="HW106" s="8"/>
      <c r="HX106" s="8"/>
      <c r="HY106" s="8"/>
      <c r="HZ106" s="8"/>
      <c r="IA106" s="8"/>
      <c r="IB106" s="8"/>
      <c r="IC106" s="8"/>
      <c r="ID106" s="8"/>
      <c r="IE106" s="8"/>
      <c r="IF106" s="8"/>
      <c r="IG106" s="8"/>
      <c r="IH106" s="8"/>
      <c r="II106" s="8"/>
      <c r="IJ106" s="8"/>
      <c r="IK106" s="8"/>
      <c r="IL106" s="8"/>
      <c r="IM106" s="8"/>
      <c r="IN106" s="8"/>
      <c r="IO106" s="8"/>
      <c r="IP106" s="8"/>
      <c r="IQ106" s="8"/>
      <c r="IR106" s="8"/>
      <c r="IS106" s="8"/>
      <c r="IT106" s="8"/>
      <c r="IU106" s="8"/>
      <c r="IV106" s="8"/>
      <c r="IW106" s="8"/>
      <c r="IX106" s="8"/>
      <c r="IY106" s="8"/>
      <c r="IZ106" s="8"/>
      <c r="JA106" s="8"/>
      <c r="JB106" s="8"/>
      <c r="JC106" s="8"/>
      <c r="JD106" s="8"/>
      <c r="JE106" s="8"/>
      <c r="JF106" s="8"/>
      <c r="JG106" s="8"/>
      <c r="JH106" s="8"/>
      <c r="JI106" s="8"/>
      <c r="JJ106" s="8"/>
      <c r="JK106" s="8"/>
      <c r="JL106" s="8"/>
      <c r="JM106" s="8"/>
      <c r="JN106" s="8"/>
      <c r="JO106" s="8"/>
      <c r="JP106" s="8"/>
      <c r="JQ106" s="8"/>
      <c r="JR106" s="8"/>
      <c r="JS106" s="8"/>
      <c r="JT106" s="8"/>
      <c r="JU106" s="8"/>
      <c r="JV106" s="8"/>
      <c r="JW106" s="8"/>
      <c r="JX106" s="8"/>
      <c r="JY106" s="8"/>
      <c r="JZ106" s="8"/>
      <c r="KA106" s="8"/>
      <c r="KB106" s="8"/>
      <c r="KC106" s="8"/>
      <c r="KD106" s="8"/>
      <c r="KE106" s="8"/>
      <c r="KF106" s="8"/>
      <c r="KG106" s="8"/>
      <c r="KH106" s="8"/>
      <c r="KI106" s="8"/>
      <c r="KJ106" s="8"/>
      <c r="KK106" s="8"/>
      <c r="KL106" s="8"/>
      <c r="KM106" s="8"/>
      <c r="KN106" s="8"/>
      <c r="KO106" s="8"/>
      <c r="KP106" s="8"/>
      <c r="KQ106" s="8"/>
      <c r="KR106" s="8"/>
      <c r="KS106" s="8"/>
      <c r="KT106" s="8"/>
      <c r="KU106" s="8"/>
      <c r="KV106" s="8"/>
      <c r="KW106" s="8"/>
      <c r="KX106" s="8"/>
      <c r="KY106" s="8"/>
      <c r="KZ106" s="8"/>
      <c r="LA106" s="8"/>
      <c r="LB106" s="8"/>
      <c r="LC106" s="8"/>
      <c r="LD106" s="8"/>
      <c r="LE106" s="8"/>
      <c r="LF106" s="8"/>
      <c r="LG106" s="8"/>
      <c r="LH106" s="8"/>
      <c r="LI106" s="8"/>
      <c r="LJ106" s="8"/>
      <c r="LK106" s="8"/>
      <c r="LL106" s="8"/>
      <c r="LM106" s="8"/>
      <c r="LN106" s="8"/>
      <c r="LO106" s="8"/>
      <c r="LP106" s="8"/>
      <c r="LQ106" s="8"/>
    </row>
    <row r="107" spans="1:329" ht="15" customHeight="1" x14ac:dyDescent="0.25">
      <c r="A107" s="71">
        <v>1101834</v>
      </c>
      <c r="B107" s="44" t="s">
        <v>225</v>
      </c>
      <c r="C107" s="44" t="str">
        <f>VLOOKUP(A107,Artikeldaten!A:B,2,0)</f>
        <v>Gurtschlosspolster - Minikid 2 &amp; Modukid Seat Granite Melange [Grau]</v>
      </c>
      <c r="D107" s="45">
        <v>3</v>
      </c>
      <c r="E107" s="45">
        <f t="shared" si="2"/>
        <v>5.0420168067226889</v>
      </c>
      <c r="F107" s="45">
        <f t="shared" si="3"/>
        <v>6</v>
      </c>
      <c r="G107" s="41"/>
      <c r="H107" s="41"/>
      <c r="I107" s="35" t="s">
        <v>21</v>
      </c>
      <c r="J107" s="36"/>
      <c r="K107" s="35"/>
      <c r="L107" s="35" t="s">
        <v>21</v>
      </c>
      <c r="M107" s="36"/>
      <c r="N107" s="35"/>
      <c r="O107" s="35"/>
      <c r="P107" s="35"/>
      <c r="Q107" s="35"/>
      <c r="R107" s="42">
        <v>7350057585337</v>
      </c>
      <c r="S107" s="43"/>
      <c r="T107" s="43"/>
      <c r="U107" s="43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  <c r="BI107" s="8"/>
      <c r="BJ107" s="8"/>
      <c r="BK107" s="8"/>
      <c r="BL107" s="8"/>
      <c r="BM107" s="8"/>
      <c r="BN107" s="8"/>
      <c r="BO107" s="8"/>
      <c r="BP107" s="8"/>
      <c r="BQ107" s="8"/>
      <c r="BR107" s="8"/>
      <c r="BS107" s="8"/>
      <c r="BT107" s="8"/>
      <c r="BU107" s="8"/>
      <c r="BV107" s="8"/>
      <c r="BW107" s="8"/>
      <c r="BX107" s="8"/>
      <c r="BY107" s="8"/>
      <c r="BZ107" s="8"/>
      <c r="CA107" s="8"/>
      <c r="CB107" s="8"/>
      <c r="CC107" s="8"/>
      <c r="CD107" s="8"/>
      <c r="CE107" s="8"/>
      <c r="CF107" s="8"/>
      <c r="CG107" s="8"/>
      <c r="CH107" s="8"/>
      <c r="CI107" s="8"/>
      <c r="CJ107" s="8"/>
      <c r="CK107" s="8"/>
      <c r="CL107" s="8"/>
      <c r="CM107" s="8"/>
      <c r="CN107" s="8"/>
      <c r="CO107" s="8"/>
      <c r="CP107" s="8"/>
      <c r="CQ107" s="8"/>
      <c r="CR107" s="8"/>
      <c r="CS107" s="8"/>
      <c r="CT107" s="8"/>
      <c r="CU107" s="8"/>
      <c r="CV107" s="8"/>
      <c r="CW107" s="8"/>
      <c r="CX107" s="8"/>
      <c r="CY107" s="8"/>
      <c r="CZ107" s="8"/>
      <c r="DA107" s="8"/>
      <c r="DB107" s="8"/>
      <c r="DC107" s="8"/>
      <c r="DD107" s="8"/>
      <c r="DE107" s="8"/>
      <c r="DF107" s="8"/>
      <c r="DG107" s="8"/>
      <c r="DH107" s="8"/>
      <c r="DI107" s="8"/>
      <c r="DJ107" s="8"/>
      <c r="DK107" s="8"/>
      <c r="DL107" s="8"/>
      <c r="DM107" s="8"/>
      <c r="DN107" s="8"/>
      <c r="DO107" s="8"/>
      <c r="DP107" s="8"/>
      <c r="DQ107" s="8"/>
      <c r="DR107" s="8"/>
      <c r="DS107" s="8"/>
      <c r="DT107" s="8"/>
      <c r="DU107" s="8"/>
      <c r="DV107" s="8"/>
      <c r="DW107" s="8"/>
      <c r="DX107" s="8"/>
      <c r="DY107" s="8"/>
      <c r="DZ107" s="8"/>
      <c r="EA107" s="8"/>
      <c r="EB107" s="8"/>
      <c r="EC107" s="8"/>
      <c r="ED107" s="8"/>
      <c r="EE107" s="8"/>
      <c r="EF107" s="8"/>
      <c r="EG107" s="8"/>
      <c r="EH107" s="8"/>
      <c r="EI107" s="8"/>
      <c r="EJ107" s="8"/>
      <c r="EK107" s="8"/>
      <c r="EL107" s="8"/>
      <c r="EM107" s="8"/>
      <c r="EN107" s="8"/>
      <c r="EO107" s="8"/>
      <c r="EP107" s="8"/>
      <c r="EQ107" s="8"/>
      <c r="ER107" s="8"/>
      <c r="ES107" s="8"/>
      <c r="ET107" s="8"/>
      <c r="EU107" s="8"/>
      <c r="EV107" s="8"/>
      <c r="EW107" s="8"/>
      <c r="EX107" s="8"/>
      <c r="EY107" s="8"/>
      <c r="EZ107" s="8"/>
      <c r="FA107" s="8"/>
      <c r="FB107" s="8"/>
      <c r="FC107" s="8"/>
      <c r="FD107" s="8"/>
      <c r="FE107" s="8"/>
      <c r="FF107" s="8"/>
      <c r="FG107" s="8"/>
      <c r="FH107" s="8"/>
      <c r="FI107" s="8"/>
      <c r="FJ107" s="8"/>
      <c r="FK107" s="8"/>
      <c r="FL107" s="8"/>
      <c r="FM107" s="8"/>
      <c r="FN107" s="8"/>
      <c r="FO107" s="8"/>
      <c r="FP107" s="8"/>
      <c r="FQ107" s="8"/>
      <c r="FR107" s="8"/>
      <c r="FS107" s="8"/>
      <c r="FT107" s="8"/>
      <c r="FU107" s="8"/>
      <c r="FV107" s="8"/>
      <c r="FW107" s="8"/>
      <c r="FX107" s="8"/>
      <c r="FY107" s="8"/>
      <c r="FZ107" s="8"/>
      <c r="GA107" s="8"/>
      <c r="GB107" s="8"/>
      <c r="GC107" s="8"/>
      <c r="GD107" s="8"/>
      <c r="GE107" s="8"/>
      <c r="GF107" s="8"/>
      <c r="GG107" s="8"/>
      <c r="GH107" s="8"/>
      <c r="GI107" s="8"/>
      <c r="GJ107" s="8"/>
      <c r="GK107" s="8"/>
      <c r="GL107" s="8"/>
      <c r="GM107" s="8"/>
      <c r="GN107" s="8"/>
      <c r="GO107" s="8"/>
      <c r="GP107" s="8"/>
      <c r="GQ107" s="8"/>
      <c r="GR107" s="8"/>
      <c r="GS107" s="8"/>
      <c r="GT107" s="8"/>
      <c r="GU107" s="8"/>
      <c r="GV107" s="8"/>
      <c r="GW107" s="8"/>
      <c r="GX107" s="8"/>
      <c r="GY107" s="8"/>
      <c r="GZ107" s="8"/>
      <c r="HA107" s="8"/>
      <c r="HB107" s="8"/>
      <c r="HC107" s="8"/>
      <c r="HD107" s="8"/>
      <c r="HE107" s="8"/>
      <c r="HF107" s="8"/>
      <c r="HG107" s="8"/>
      <c r="HH107" s="8"/>
      <c r="HI107" s="8"/>
      <c r="HJ107" s="8"/>
      <c r="HK107" s="8"/>
      <c r="HL107" s="8"/>
      <c r="HM107" s="8"/>
      <c r="HN107" s="8"/>
      <c r="HO107" s="8"/>
      <c r="HP107" s="8"/>
      <c r="HQ107" s="8"/>
      <c r="HR107" s="8"/>
      <c r="HS107" s="8"/>
      <c r="HT107" s="8"/>
      <c r="HU107" s="8"/>
      <c r="HV107" s="8"/>
      <c r="HW107" s="8"/>
      <c r="HX107" s="8"/>
      <c r="HY107" s="8"/>
      <c r="HZ107" s="8"/>
      <c r="IA107" s="8"/>
      <c r="IB107" s="8"/>
      <c r="IC107" s="8"/>
      <c r="ID107" s="8"/>
      <c r="IE107" s="8"/>
      <c r="IF107" s="8"/>
      <c r="IG107" s="8"/>
      <c r="IH107" s="8"/>
      <c r="II107" s="8"/>
      <c r="IJ107" s="8"/>
      <c r="IK107" s="8"/>
      <c r="IL107" s="8"/>
      <c r="IM107" s="8"/>
      <c r="IN107" s="8"/>
      <c r="IO107" s="8"/>
      <c r="IP107" s="8"/>
      <c r="IQ107" s="8"/>
      <c r="IR107" s="8"/>
      <c r="IS107" s="8"/>
      <c r="IT107" s="8"/>
      <c r="IU107" s="8"/>
      <c r="IV107" s="8"/>
      <c r="IW107" s="8"/>
      <c r="IX107" s="8"/>
      <c r="IY107" s="8"/>
      <c r="IZ107" s="8"/>
      <c r="JA107" s="8"/>
      <c r="JB107" s="8"/>
      <c r="JC107" s="8"/>
      <c r="JD107" s="8"/>
      <c r="JE107" s="8"/>
      <c r="JF107" s="8"/>
      <c r="JG107" s="8"/>
      <c r="JH107" s="8"/>
      <c r="JI107" s="8"/>
      <c r="JJ107" s="8"/>
      <c r="JK107" s="8"/>
      <c r="JL107" s="8"/>
      <c r="JM107" s="8"/>
      <c r="JN107" s="8"/>
      <c r="JO107" s="8"/>
      <c r="JP107" s="8"/>
      <c r="JQ107" s="8"/>
      <c r="JR107" s="8"/>
      <c r="JS107" s="8"/>
      <c r="JT107" s="8"/>
      <c r="JU107" s="8"/>
      <c r="JV107" s="8"/>
      <c r="JW107" s="8"/>
      <c r="JX107" s="8"/>
      <c r="JY107" s="8"/>
      <c r="JZ107" s="8"/>
      <c r="KA107" s="8"/>
      <c r="KB107" s="8"/>
      <c r="KC107" s="8"/>
      <c r="KD107" s="8"/>
      <c r="KE107" s="8"/>
      <c r="KF107" s="8"/>
      <c r="KG107" s="8"/>
      <c r="KH107" s="8"/>
      <c r="KI107" s="8"/>
      <c r="KJ107" s="8"/>
      <c r="KK107" s="8"/>
      <c r="KL107" s="8"/>
      <c r="KM107" s="8"/>
      <c r="KN107" s="8"/>
      <c r="KO107" s="8"/>
      <c r="KP107" s="8"/>
      <c r="KQ107" s="8"/>
      <c r="KR107" s="8"/>
      <c r="KS107" s="8"/>
      <c r="KT107" s="8"/>
      <c r="KU107" s="8"/>
      <c r="KV107" s="8"/>
      <c r="KW107" s="8"/>
      <c r="KX107" s="8"/>
      <c r="KY107" s="8"/>
      <c r="KZ107" s="8"/>
      <c r="LA107" s="8"/>
      <c r="LB107" s="8"/>
      <c r="LC107" s="8"/>
      <c r="LD107" s="8"/>
      <c r="LE107" s="8"/>
      <c r="LF107" s="8"/>
      <c r="LG107" s="8"/>
      <c r="LH107" s="8"/>
      <c r="LI107" s="8"/>
      <c r="LJ107" s="8"/>
      <c r="LK107" s="8"/>
      <c r="LL107" s="8"/>
      <c r="LM107" s="8"/>
      <c r="LN107" s="8"/>
      <c r="LO107" s="8"/>
      <c r="LP107" s="8"/>
      <c r="LQ107" s="8"/>
    </row>
    <row r="108" spans="1:329" ht="15" customHeight="1" x14ac:dyDescent="0.25">
      <c r="A108" s="71">
        <v>1101835</v>
      </c>
      <c r="B108" s="44" t="s">
        <v>227</v>
      </c>
      <c r="C108" s="44" t="str">
        <f>VLOOKUP(A108,Artikeldaten!A:B,2,0)</f>
        <v>Schulterpolster Set - Minikid 2 Granite Melange [Grau]</v>
      </c>
      <c r="D108" s="45">
        <v>10</v>
      </c>
      <c r="E108" s="45">
        <f t="shared" si="2"/>
        <v>16.806722689075631</v>
      </c>
      <c r="F108" s="45">
        <f t="shared" si="3"/>
        <v>20</v>
      </c>
      <c r="G108" s="41"/>
      <c r="H108" s="41"/>
      <c r="I108" s="35" t="s">
        <v>21</v>
      </c>
      <c r="J108" s="36"/>
      <c r="K108" s="35"/>
      <c r="L108" s="36"/>
      <c r="M108" s="36"/>
      <c r="N108" s="35"/>
      <c r="O108" s="35"/>
      <c r="P108" s="35"/>
      <c r="Q108" s="35"/>
      <c r="R108" s="42">
        <v>7350057585252</v>
      </c>
      <c r="S108" s="43"/>
      <c r="T108" s="43"/>
      <c r="U108" s="43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8"/>
      <c r="BK108" s="8"/>
      <c r="BL108" s="8"/>
      <c r="BM108" s="8"/>
      <c r="BN108" s="8"/>
      <c r="BO108" s="8"/>
      <c r="BP108" s="8"/>
      <c r="BQ108" s="8"/>
      <c r="BR108" s="8"/>
      <c r="BS108" s="8"/>
      <c r="BT108" s="8"/>
      <c r="BU108" s="8"/>
      <c r="BV108" s="8"/>
      <c r="BW108" s="8"/>
      <c r="BX108" s="8"/>
      <c r="BY108" s="8"/>
      <c r="BZ108" s="8"/>
      <c r="CA108" s="8"/>
      <c r="CB108" s="8"/>
      <c r="CC108" s="8"/>
      <c r="CD108" s="8"/>
      <c r="CE108" s="8"/>
      <c r="CF108" s="8"/>
      <c r="CG108" s="8"/>
      <c r="CH108" s="8"/>
      <c r="CI108" s="8"/>
      <c r="CJ108" s="8"/>
      <c r="CK108" s="8"/>
      <c r="CL108" s="8"/>
      <c r="CM108" s="8"/>
      <c r="CN108" s="8"/>
      <c r="CO108" s="8"/>
      <c r="CP108" s="8"/>
      <c r="CQ108" s="8"/>
      <c r="CR108" s="8"/>
      <c r="CS108" s="8"/>
      <c r="CT108" s="8"/>
      <c r="CU108" s="8"/>
      <c r="CV108" s="8"/>
      <c r="CW108" s="8"/>
      <c r="CX108" s="8"/>
      <c r="CY108" s="8"/>
      <c r="CZ108" s="8"/>
      <c r="DA108" s="8"/>
      <c r="DB108" s="8"/>
      <c r="DC108" s="8"/>
      <c r="DD108" s="8"/>
      <c r="DE108" s="8"/>
      <c r="DF108" s="8"/>
      <c r="DG108" s="8"/>
      <c r="DH108" s="8"/>
      <c r="DI108" s="8"/>
      <c r="DJ108" s="8"/>
      <c r="DK108" s="8"/>
      <c r="DL108" s="8"/>
      <c r="DM108" s="8"/>
      <c r="DN108" s="8"/>
      <c r="DO108" s="8"/>
      <c r="DP108" s="8"/>
      <c r="DQ108" s="8"/>
      <c r="DR108" s="8"/>
      <c r="DS108" s="8"/>
      <c r="DT108" s="8"/>
      <c r="DU108" s="8"/>
      <c r="DV108" s="8"/>
      <c r="DW108" s="8"/>
      <c r="DX108" s="8"/>
      <c r="DY108" s="8"/>
      <c r="DZ108" s="8"/>
      <c r="EA108" s="8"/>
      <c r="EB108" s="8"/>
      <c r="EC108" s="8"/>
      <c r="ED108" s="8"/>
      <c r="EE108" s="8"/>
      <c r="EF108" s="8"/>
      <c r="EG108" s="8"/>
      <c r="EH108" s="8"/>
      <c r="EI108" s="8"/>
      <c r="EJ108" s="8"/>
      <c r="EK108" s="8"/>
      <c r="EL108" s="8"/>
      <c r="EM108" s="8"/>
      <c r="EN108" s="8"/>
      <c r="EO108" s="8"/>
      <c r="EP108" s="8"/>
      <c r="EQ108" s="8"/>
      <c r="ER108" s="8"/>
      <c r="ES108" s="8"/>
      <c r="ET108" s="8"/>
      <c r="EU108" s="8"/>
      <c r="EV108" s="8"/>
      <c r="EW108" s="8"/>
      <c r="EX108" s="8"/>
      <c r="EY108" s="8"/>
      <c r="EZ108" s="8"/>
      <c r="FA108" s="8"/>
      <c r="FB108" s="8"/>
      <c r="FC108" s="8"/>
      <c r="FD108" s="8"/>
      <c r="FE108" s="8"/>
      <c r="FF108" s="8"/>
      <c r="FG108" s="8"/>
      <c r="FH108" s="8"/>
      <c r="FI108" s="8"/>
      <c r="FJ108" s="8"/>
      <c r="FK108" s="8"/>
      <c r="FL108" s="8"/>
      <c r="FM108" s="8"/>
      <c r="FN108" s="8"/>
      <c r="FO108" s="8"/>
      <c r="FP108" s="8"/>
      <c r="FQ108" s="8"/>
      <c r="FR108" s="8"/>
      <c r="FS108" s="8"/>
      <c r="FT108" s="8"/>
      <c r="FU108" s="8"/>
      <c r="FV108" s="8"/>
      <c r="FW108" s="8"/>
      <c r="FX108" s="8"/>
      <c r="FY108" s="8"/>
      <c r="FZ108" s="8"/>
      <c r="GA108" s="8"/>
      <c r="GB108" s="8"/>
      <c r="GC108" s="8"/>
      <c r="GD108" s="8"/>
      <c r="GE108" s="8"/>
      <c r="GF108" s="8"/>
      <c r="GG108" s="8"/>
      <c r="GH108" s="8"/>
      <c r="GI108" s="8"/>
      <c r="GJ108" s="8"/>
      <c r="GK108" s="8"/>
      <c r="GL108" s="8"/>
      <c r="GM108" s="8"/>
      <c r="GN108" s="8"/>
      <c r="GO108" s="8"/>
      <c r="GP108" s="8"/>
      <c r="GQ108" s="8"/>
      <c r="GR108" s="8"/>
      <c r="GS108" s="8"/>
      <c r="GT108" s="8"/>
      <c r="GU108" s="8"/>
      <c r="GV108" s="8"/>
      <c r="GW108" s="8"/>
      <c r="GX108" s="8"/>
      <c r="GY108" s="8"/>
      <c r="GZ108" s="8"/>
      <c r="HA108" s="8"/>
      <c r="HB108" s="8"/>
      <c r="HC108" s="8"/>
      <c r="HD108" s="8"/>
      <c r="HE108" s="8"/>
      <c r="HF108" s="8"/>
      <c r="HG108" s="8"/>
      <c r="HH108" s="8"/>
      <c r="HI108" s="8"/>
      <c r="HJ108" s="8"/>
      <c r="HK108" s="8"/>
      <c r="HL108" s="8"/>
      <c r="HM108" s="8"/>
      <c r="HN108" s="8"/>
      <c r="HO108" s="8"/>
      <c r="HP108" s="8"/>
      <c r="HQ108" s="8"/>
      <c r="HR108" s="8"/>
      <c r="HS108" s="8"/>
      <c r="HT108" s="8"/>
      <c r="HU108" s="8"/>
      <c r="HV108" s="8"/>
      <c r="HW108" s="8"/>
      <c r="HX108" s="8"/>
      <c r="HY108" s="8"/>
      <c r="HZ108" s="8"/>
      <c r="IA108" s="8"/>
      <c r="IB108" s="8"/>
      <c r="IC108" s="8"/>
      <c r="ID108" s="8"/>
      <c r="IE108" s="8"/>
      <c r="IF108" s="8"/>
      <c r="IG108" s="8"/>
      <c r="IH108" s="8"/>
      <c r="II108" s="8"/>
      <c r="IJ108" s="8"/>
      <c r="IK108" s="8"/>
      <c r="IL108" s="8"/>
      <c r="IM108" s="8"/>
      <c r="IN108" s="8"/>
      <c r="IO108" s="8"/>
      <c r="IP108" s="8"/>
      <c r="IQ108" s="8"/>
      <c r="IR108" s="8"/>
      <c r="IS108" s="8"/>
      <c r="IT108" s="8"/>
      <c r="IU108" s="8"/>
      <c r="IV108" s="8"/>
      <c r="IW108" s="8"/>
      <c r="IX108" s="8"/>
      <c r="IY108" s="8"/>
      <c r="IZ108" s="8"/>
      <c r="JA108" s="8"/>
      <c r="JB108" s="8"/>
      <c r="JC108" s="8"/>
      <c r="JD108" s="8"/>
      <c r="JE108" s="8"/>
      <c r="JF108" s="8"/>
      <c r="JG108" s="8"/>
      <c r="JH108" s="8"/>
      <c r="JI108" s="8"/>
      <c r="JJ108" s="8"/>
      <c r="JK108" s="8"/>
      <c r="JL108" s="8"/>
      <c r="JM108" s="8"/>
      <c r="JN108" s="8"/>
      <c r="JO108" s="8"/>
      <c r="JP108" s="8"/>
      <c r="JQ108" s="8"/>
      <c r="JR108" s="8"/>
      <c r="JS108" s="8"/>
      <c r="JT108" s="8"/>
      <c r="JU108" s="8"/>
      <c r="JV108" s="8"/>
      <c r="JW108" s="8"/>
      <c r="JX108" s="8"/>
      <c r="JY108" s="8"/>
      <c r="JZ108" s="8"/>
      <c r="KA108" s="8"/>
      <c r="KB108" s="8"/>
      <c r="KC108" s="8"/>
      <c r="KD108" s="8"/>
      <c r="KE108" s="8"/>
      <c r="KF108" s="8"/>
      <c r="KG108" s="8"/>
      <c r="KH108" s="8"/>
      <c r="KI108" s="8"/>
      <c r="KJ108" s="8"/>
      <c r="KK108" s="8"/>
      <c r="KL108" s="8"/>
      <c r="KM108" s="8"/>
      <c r="KN108" s="8"/>
      <c r="KO108" s="8"/>
      <c r="KP108" s="8"/>
      <c r="KQ108" s="8"/>
      <c r="KR108" s="8"/>
      <c r="KS108" s="8"/>
      <c r="KT108" s="8"/>
      <c r="KU108" s="8"/>
      <c r="KV108" s="8"/>
      <c r="KW108" s="8"/>
      <c r="KX108" s="8"/>
      <c r="KY108" s="8"/>
      <c r="KZ108" s="8"/>
      <c r="LA108" s="8"/>
      <c r="LB108" s="8"/>
      <c r="LC108" s="8"/>
      <c r="LD108" s="8"/>
      <c r="LE108" s="8"/>
      <c r="LF108" s="8"/>
      <c r="LG108" s="8"/>
      <c r="LH108" s="8"/>
      <c r="LI108" s="8"/>
      <c r="LJ108" s="8"/>
      <c r="LK108" s="8"/>
      <c r="LL108" s="8"/>
      <c r="LM108" s="8"/>
      <c r="LN108" s="8"/>
      <c r="LO108" s="8"/>
      <c r="LP108" s="8"/>
      <c r="LQ108" s="8"/>
    </row>
    <row r="109" spans="1:329" ht="15" customHeight="1" x14ac:dyDescent="0.25">
      <c r="A109" s="71">
        <v>1101836</v>
      </c>
      <c r="B109" s="44" t="s">
        <v>229</v>
      </c>
      <c r="C109" s="44" t="str">
        <f>VLOOKUP(A109,Artikeldaten!A:B,2,0)</f>
        <v>Gurtschlosspolster - Minikid 2 &amp; Modukid Seat Sky Grey [Grau]</v>
      </c>
      <c r="D109" s="45">
        <v>3</v>
      </c>
      <c r="E109" s="45">
        <f t="shared" si="2"/>
        <v>5.0420168067226889</v>
      </c>
      <c r="F109" s="45">
        <f t="shared" si="3"/>
        <v>6</v>
      </c>
      <c r="G109" s="41"/>
      <c r="H109" s="41"/>
      <c r="I109" s="35" t="s">
        <v>21</v>
      </c>
      <c r="J109" s="36"/>
      <c r="K109" s="35"/>
      <c r="L109" s="35" t="s">
        <v>21</v>
      </c>
      <c r="M109" s="36"/>
      <c r="N109" s="35"/>
      <c r="O109" s="35"/>
      <c r="P109" s="35"/>
      <c r="Q109" s="35"/>
      <c r="R109" s="42">
        <v>7350057585344</v>
      </c>
      <c r="S109" s="43"/>
      <c r="T109" s="43"/>
      <c r="U109" s="43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  <c r="BI109" s="8"/>
      <c r="BJ109" s="8"/>
      <c r="BK109" s="8"/>
      <c r="BL109" s="8"/>
      <c r="BM109" s="8"/>
      <c r="BN109" s="8"/>
      <c r="BO109" s="8"/>
      <c r="BP109" s="8"/>
      <c r="BQ109" s="8"/>
      <c r="BR109" s="8"/>
      <c r="BS109" s="8"/>
      <c r="BT109" s="8"/>
      <c r="BU109" s="8"/>
      <c r="BV109" s="8"/>
      <c r="BW109" s="8"/>
      <c r="BX109" s="8"/>
      <c r="BY109" s="8"/>
      <c r="BZ109" s="8"/>
      <c r="CA109" s="8"/>
      <c r="CB109" s="8"/>
      <c r="CC109" s="8"/>
      <c r="CD109" s="8"/>
      <c r="CE109" s="8"/>
      <c r="CF109" s="8"/>
      <c r="CG109" s="8"/>
      <c r="CH109" s="8"/>
      <c r="CI109" s="8"/>
      <c r="CJ109" s="8"/>
      <c r="CK109" s="8"/>
      <c r="CL109" s="8"/>
      <c r="CM109" s="8"/>
      <c r="CN109" s="8"/>
      <c r="CO109" s="8"/>
      <c r="CP109" s="8"/>
      <c r="CQ109" s="8"/>
      <c r="CR109" s="8"/>
      <c r="CS109" s="8"/>
      <c r="CT109" s="8"/>
      <c r="CU109" s="8"/>
      <c r="CV109" s="8"/>
      <c r="CW109" s="8"/>
      <c r="CX109" s="8"/>
      <c r="CY109" s="8"/>
      <c r="CZ109" s="8"/>
      <c r="DA109" s="8"/>
      <c r="DB109" s="8"/>
      <c r="DC109" s="8"/>
      <c r="DD109" s="8"/>
      <c r="DE109" s="8"/>
      <c r="DF109" s="8"/>
      <c r="DG109" s="8"/>
      <c r="DH109" s="8"/>
      <c r="DI109" s="8"/>
      <c r="DJ109" s="8"/>
      <c r="DK109" s="8"/>
      <c r="DL109" s="8"/>
      <c r="DM109" s="8"/>
      <c r="DN109" s="8"/>
      <c r="DO109" s="8"/>
      <c r="DP109" s="8"/>
      <c r="DQ109" s="8"/>
      <c r="DR109" s="8"/>
      <c r="DS109" s="8"/>
      <c r="DT109" s="8"/>
      <c r="DU109" s="8"/>
      <c r="DV109" s="8"/>
      <c r="DW109" s="8"/>
      <c r="DX109" s="8"/>
      <c r="DY109" s="8"/>
      <c r="DZ109" s="8"/>
      <c r="EA109" s="8"/>
      <c r="EB109" s="8"/>
      <c r="EC109" s="8"/>
      <c r="ED109" s="8"/>
      <c r="EE109" s="8"/>
      <c r="EF109" s="8"/>
      <c r="EG109" s="8"/>
      <c r="EH109" s="8"/>
      <c r="EI109" s="8"/>
      <c r="EJ109" s="8"/>
      <c r="EK109" s="8"/>
      <c r="EL109" s="8"/>
      <c r="EM109" s="8"/>
      <c r="EN109" s="8"/>
      <c r="EO109" s="8"/>
      <c r="EP109" s="8"/>
      <c r="EQ109" s="8"/>
      <c r="ER109" s="8"/>
      <c r="ES109" s="8"/>
      <c r="ET109" s="8"/>
      <c r="EU109" s="8"/>
      <c r="EV109" s="8"/>
      <c r="EW109" s="8"/>
      <c r="EX109" s="8"/>
      <c r="EY109" s="8"/>
      <c r="EZ109" s="8"/>
      <c r="FA109" s="8"/>
      <c r="FB109" s="8"/>
      <c r="FC109" s="8"/>
      <c r="FD109" s="8"/>
      <c r="FE109" s="8"/>
      <c r="FF109" s="8"/>
      <c r="FG109" s="8"/>
      <c r="FH109" s="8"/>
      <c r="FI109" s="8"/>
      <c r="FJ109" s="8"/>
      <c r="FK109" s="8"/>
      <c r="FL109" s="8"/>
      <c r="FM109" s="8"/>
      <c r="FN109" s="8"/>
      <c r="FO109" s="8"/>
      <c r="FP109" s="8"/>
      <c r="FQ109" s="8"/>
      <c r="FR109" s="8"/>
      <c r="FS109" s="8"/>
      <c r="FT109" s="8"/>
      <c r="FU109" s="8"/>
      <c r="FV109" s="8"/>
      <c r="FW109" s="8"/>
      <c r="FX109" s="8"/>
      <c r="FY109" s="8"/>
      <c r="FZ109" s="8"/>
      <c r="GA109" s="8"/>
      <c r="GB109" s="8"/>
      <c r="GC109" s="8"/>
      <c r="GD109" s="8"/>
      <c r="GE109" s="8"/>
      <c r="GF109" s="8"/>
      <c r="GG109" s="8"/>
      <c r="GH109" s="8"/>
      <c r="GI109" s="8"/>
      <c r="GJ109" s="8"/>
      <c r="GK109" s="8"/>
      <c r="GL109" s="8"/>
      <c r="GM109" s="8"/>
      <c r="GN109" s="8"/>
      <c r="GO109" s="8"/>
      <c r="GP109" s="8"/>
      <c r="GQ109" s="8"/>
      <c r="GR109" s="8"/>
      <c r="GS109" s="8"/>
      <c r="GT109" s="8"/>
      <c r="GU109" s="8"/>
      <c r="GV109" s="8"/>
      <c r="GW109" s="8"/>
      <c r="GX109" s="8"/>
      <c r="GY109" s="8"/>
      <c r="GZ109" s="8"/>
      <c r="HA109" s="8"/>
      <c r="HB109" s="8"/>
      <c r="HC109" s="8"/>
      <c r="HD109" s="8"/>
      <c r="HE109" s="8"/>
      <c r="HF109" s="8"/>
      <c r="HG109" s="8"/>
      <c r="HH109" s="8"/>
      <c r="HI109" s="8"/>
      <c r="HJ109" s="8"/>
      <c r="HK109" s="8"/>
      <c r="HL109" s="8"/>
      <c r="HM109" s="8"/>
      <c r="HN109" s="8"/>
      <c r="HO109" s="8"/>
      <c r="HP109" s="8"/>
      <c r="HQ109" s="8"/>
      <c r="HR109" s="8"/>
      <c r="HS109" s="8"/>
      <c r="HT109" s="8"/>
      <c r="HU109" s="8"/>
      <c r="HV109" s="8"/>
      <c r="HW109" s="8"/>
      <c r="HX109" s="8"/>
      <c r="HY109" s="8"/>
      <c r="HZ109" s="8"/>
      <c r="IA109" s="8"/>
      <c r="IB109" s="8"/>
      <c r="IC109" s="8"/>
      <c r="ID109" s="8"/>
      <c r="IE109" s="8"/>
      <c r="IF109" s="8"/>
      <c r="IG109" s="8"/>
      <c r="IH109" s="8"/>
      <c r="II109" s="8"/>
      <c r="IJ109" s="8"/>
      <c r="IK109" s="8"/>
      <c r="IL109" s="8"/>
      <c r="IM109" s="8"/>
      <c r="IN109" s="8"/>
      <c r="IO109" s="8"/>
      <c r="IP109" s="8"/>
      <c r="IQ109" s="8"/>
      <c r="IR109" s="8"/>
      <c r="IS109" s="8"/>
      <c r="IT109" s="8"/>
      <c r="IU109" s="8"/>
      <c r="IV109" s="8"/>
      <c r="IW109" s="8"/>
      <c r="IX109" s="8"/>
      <c r="IY109" s="8"/>
      <c r="IZ109" s="8"/>
      <c r="JA109" s="8"/>
      <c r="JB109" s="8"/>
      <c r="JC109" s="8"/>
      <c r="JD109" s="8"/>
      <c r="JE109" s="8"/>
      <c r="JF109" s="8"/>
      <c r="JG109" s="8"/>
      <c r="JH109" s="8"/>
      <c r="JI109" s="8"/>
      <c r="JJ109" s="8"/>
      <c r="JK109" s="8"/>
      <c r="JL109" s="8"/>
      <c r="JM109" s="8"/>
      <c r="JN109" s="8"/>
      <c r="JO109" s="8"/>
      <c r="JP109" s="8"/>
      <c r="JQ109" s="8"/>
      <c r="JR109" s="8"/>
      <c r="JS109" s="8"/>
      <c r="JT109" s="8"/>
      <c r="JU109" s="8"/>
      <c r="JV109" s="8"/>
      <c r="JW109" s="8"/>
      <c r="JX109" s="8"/>
      <c r="JY109" s="8"/>
      <c r="JZ109" s="8"/>
      <c r="KA109" s="8"/>
      <c r="KB109" s="8"/>
      <c r="KC109" s="8"/>
      <c r="KD109" s="8"/>
      <c r="KE109" s="8"/>
      <c r="KF109" s="8"/>
      <c r="KG109" s="8"/>
      <c r="KH109" s="8"/>
      <c r="KI109" s="8"/>
      <c r="KJ109" s="8"/>
      <c r="KK109" s="8"/>
      <c r="KL109" s="8"/>
      <c r="KM109" s="8"/>
      <c r="KN109" s="8"/>
      <c r="KO109" s="8"/>
      <c r="KP109" s="8"/>
      <c r="KQ109" s="8"/>
      <c r="KR109" s="8"/>
      <c r="KS109" s="8"/>
      <c r="KT109" s="8"/>
      <c r="KU109" s="8"/>
      <c r="KV109" s="8"/>
      <c r="KW109" s="8"/>
      <c r="KX109" s="8"/>
      <c r="KY109" s="8"/>
      <c r="KZ109" s="8"/>
      <c r="LA109" s="8"/>
      <c r="LB109" s="8"/>
      <c r="LC109" s="8"/>
      <c r="LD109" s="8"/>
      <c r="LE109" s="8"/>
      <c r="LF109" s="8"/>
      <c r="LG109" s="8"/>
      <c r="LH109" s="8"/>
      <c r="LI109" s="8"/>
      <c r="LJ109" s="8"/>
      <c r="LK109" s="8"/>
      <c r="LL109" s="8"/>
      <c r="LM109" s="8"/>
      <c r="LN109" s="8"/>
      <c r="LO109" s="8"/>
      <c r="LP109" s="8"/>
      <c r="LQ109" s="8"/>
    </row>
    <row r="110" spans="1:329" ht="15" customHeight="1" x14ac:dyDescent="0.25">
      <c r="A110" s="71">
        <v>1101837</v>
      </c>
      <c r="B110" s="44" t="s">
        <v>231</v>
      </c>
      <c r="C110" s="44" t="str">
        <f>VLOOKUP(A110,Artikeldaten!A:B,2,0)</f>
        <v>Schulterpolster Set - Minikid 2 Sky Grey [Grau]</v>
      </c>
      <c r="D110" s="45">
        <v>10</v>
      </c>
      <c r="E110" s="45">
        <f t="shared" si="2"/>
        <v>16.806722689075631</v>
      </c>
      <c r="F110" s="45">
        <f t="shared" si="3"/>
        <v>20</v>
      </c>
      <c r="G110" s="41"/>
      <c r="H110" s="41"/>
      <c r="I110" s="35" t="s">
        <v>21</v>
      </c>
      <c r="J110" s="36"/>
      <c r="K110" s="35"/>
      <c r="L110" s="36"/>
      <c r="M110" s="36"/>
      <c r="N110" s="35"/>
      <c r="O110" s="35"/>
      <c r="P110" s="35"/>
      <c r="Q110" s="35"/>
      <c r="R110" s="42">
        <v>7350057585269</v>
      </c>
      <c r="S110" s="43"/>
      <c r="T110" s="43"/>
      <c r="U110" s="43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/>
      <c r="BI110" s="8"/>
      <c r="BJ110" s="8"/>
      <c r="BK110" s="8"/>
      <c r="BL110" s="8"/>
      <c r="BM110" s="8"/>
      <c r="BN110" s="8"/>
      <c r="BO110" s="8"/>
      <c r="BP110" s="8"/>
      <c r="BQ110" s="8"/>
      <c r="BR110" s="8"/>
      <c r="BS110" s="8"/>
      <c r="BT110" s="8"/>
      <c r="BU110" s="8"/>
      <c r="BV110" s="8"/>
      <c r="BW110" s="8"/>
      <c r="BX110" s="8"/>
      <c r="BY110" s="8"/>
      <c r="BZ110" s="8"/>
      <c r="CA110" s="8"/>
      <c r="CB110" s="8"/>
      <c r="CC110" s="8"/>
      <c r="CD110" s="8"/>
      <c r="CE110" s="8"/>
      <c r="CF110" s="8"/>
      <c r="CG110" s="8"/>
      <c r="CH110" s="8"/>
      <c r="CI110" s="8"/>
      <c r="CJ110" s="8"/>
      <c r="CK110" s="8"/>
      <c r="CL110" s="8"/>
      <c r="CM110" s="8"/>
      <c r="CN110" s="8"/>
      <c r="CO110" s="8"/>
      <c r="CP110" s="8"/>
      <c r="CQ110" s="8"/>
      <c r="CR110" s="8"/>
      <c r="CS110" s="8"/>
      <c r="CT110" s="8"/>
      <c r="CU110" s="8"/>
      <c r="CV110" s="8"/>
      <c r="CW110" s="8"/>
      <c r="CX110" s="8"/>
      <c r="CY110" s="8"/>
      <c r="CZ110" s="8"/>
      <c r="DA110" s="8"/>
      <c r="DB110" s="8"/>
      <c r="DC110" s="8"/>
      <c r="DD110" s="8"/>
      <c r="DE110" s="8"/>
      <c r="DF110" s="8"/>
      <c r="DG110" s="8"/>
      <c r="DH110" s="8"/>
      <c r="DI110" s="8"/>
      <c r="DJ110" s="8"/>
      <c r="DK110" s="8"/>
      <c r="DL110" s="8"/>
      <c r="DM110" s="8"/>
      <c r="DN110" s="8"/>
      <c r="DO110" s="8"/>
      <c r="DP110" s="8"/>
      <c r="DQ110" s="8"/>
      <c r="DR110" s="8"/>
      <c r="DS110" s="8"/>
      <c r="DT110" s="8"/>
      <c r="DU110" s="8"/>
      <c r="DV110" s="8"/>
      <c r="DW110" s="8"/>
      <c r="DX110" s="8"/>
      <c r="DY110" s="8"/>
      <c r="DZ110" s="8"/>
      <c r="EA110" s="8"/>
      <c r="EB110" s="8"/>
      <c r="EC110" s="8"/>
      <c r="ED110" s="8"/>
      <c r="EE110" s="8"/>
      <c r="EF110" s="8"/>
      <c r="EG110" s="8"/>
      <c r="EH110" s="8"/>
      <c r="EI110" s="8"/>
      <c r="EJ110" s="8"/>
      <c r="EK110" s="8"/>
      <c r="EL110" s="8"/>
      <c r="EM110" s="8"/>
      <c r="EN110" s="8"/>
      <c r="EO110" s="8"/>
      <c r="EP110" s="8"/>
      <c r="EQ110" s="8"/>
      <c r="ER110" s="8"/>
      <c r="ES110" s="8"/>
      <c r="ET110" s="8"/>
      <c r="EU110" s="8"/>
      <c r="EV110" s="8"/>
      <c r="EW110" s="8"/>
      <c r="EX110" s="8"/>
      <c r="EY110" s="8"/>
      <c r="EZ110" s="8"/>
      <c r="FA110" s="8"/>
      <c r="FB110" s="8"/>
      <c r="FC110" s="8"/>
      <c r="FD110" s="8"/>
      <c r="FE110" s="8"/>
      <c r="FF110" s="8"/>
      <c r="FG110" s="8"/>
      <c r="FH110" s="8"/>
      <c r="FI110" s="8"/>
      <c r="FJ110" s="8"/>
      <c r="FK110" s="8"/>
      <c r="FL110" s="8"/>
      <c r="FM110" s="8"/>
      <c r="FN110" s="8"/>
      <c r="FO110" s="8"/>
      <c r="FP110" s="8"/>
      <c r="FQ110" s="8"/>
      <c r="FR110" s="8"/>
      <c r="FS110" s="8"/>
      <c r="FT110" s="8"/>
      <c r="FU110" s="8"/>
      <c r="FV110" s="8"/>
      <c r="FW110" s="8"/>
      <c r="FX110" s="8"/>
      <c r="FY110" s="8"/>
      <c r="FZ110" s="8"/>
      <c r="GA110" s="8"/>
      <c r="GB110" s="8"/>
      <c r="GC110" s="8"/>
      <c r="GD110" s="8"/>
      <c r="GE110" s="8"/>
      <c r="GF110" s="8"/>
      <c r="GG110" s="8"/>
      <c r="GH110" s="8"/>
      <c r="GI110" s="8"/>
      <c r="GJ110" s="8"/>
      <c r="GK110" s="8"/>
      <c r="GL110" s="8"/>
      <c r="GM110" s="8"/>
      <c r="GN110" s="8"/>
      <c r="GO110" s="8"/>
      <c r="GP110" s="8"/>
      <c r="GQ110" s="8"/>
      <c r="GR110" s="8"/>
      <c r="GS110" s="8"/>
      <c r="GT110" s="8"/>
      <c r="GU110" s="8"/>
      <c r="GV110" s="8"/>
      <c r="GW110" s="8"/>
      <c r="GX110" s="8"/>
      <c r="GY110" s="8"/>
      <c r="GZ110" s="8"/>
      <c r="HA110" s="8"/>
      <c r="HB110" s="8"/>
      <c r="HC110" s="8"/>
      <c r="HD110" s="8"/>
      <c r="HE110" s="8"/>
      <c r="HF110" s="8"/>
      <c r="HG110" s="8"/>
      <c r="HH110" s="8"/>
      <c r="HI110" s="8"/>
      <c r="HJ110" s="8"/>
      <c r="HK110" s="8"/>
      <c r="HL110" s="8"/>
      <c r="HM110" s="8"/>
      <c r="HN110" s="8"/>
      <c r="HO110" s="8"/>
      <c r="HP110" s="8"/>
      <c r="HQ110" s="8"/>
      <c r="HR110" s="8"/>
      <c r="HS110" s="8"/>
      <c r="HT110" s="8"/>
      <c r="HU110" s="8"/>
      <c r="HV110" s="8"/>
      <c r="HW110" s="8"/>
      <c r="HX110" s="8"/>
      <c r="HY110" s="8"/>
      <c r="HZ110" s="8"/>
      <c r="IA110" s="8"/>
      <c r="IB110" s="8"/>
      <c r="IC110" s="8"/>
      <c r="ID110" s="8"/>
      <c r="IE110" s="8"/>
      <c r="IF110" s="8"/>
      <c r="IG110" s="8"/>
      <c r="IH110" s="8"/>
      <c r="II110" s="8"/>
      <c r="IJ110" s="8"/>
      <c r="IK110" s="8"/>
      <c r="IL110" s="8"/>
      <c r="IM110" s="8"/>
      <c r="IN110" s="8"/>
      <c r="IO110" s="8"/>
      <c r="IP110" s="8"/>
      <c r="IQ110" s="8"/>
      <c r="IR110" s="8"/>
      <c r="IS110" s="8"/>
      <c r="IT110" s="8"/>
      <c r="IU110" s="8"/>
      <c r="IV110" s="8"/>
      <c r="IW110" s="8"/>
      <c r="IX110" s="8"/>
      <c r="IY110" s="8"/>
      <c r="IZ110" s="8"/>
      <c r="JA110" s="8"/>
      <c r="JB110" s="8"/>
      <c r="JC110" s="8"/>
      <c r="JD110" s="8"/>
      <c r="JE110" s="8"/>
      <c r="JF110" s="8"/>
      <c r="JG110" s="8"/>
      <c r="JH110" s="8"/>
      <c r="JI110" s="8"/>
      <c r="JJ110" s="8"/>
      <c r="JK110" s="8"/>
      <c r="JL110" s="8"/>
      <c r="JM110" s="8"/>
      <c r="JN110" s="8"/>
      <c r="JO110" s="8"/>
      <c r="JP110" s="8"/>
      <c r="JQ110" s="8"/>
      <c r="JR110" s="8"/>
      <c r="JS110" s="8"/>
      <c r="JT110" s="8"/>
      <c r="JU110" s="8"/>
      <c r="JV110" s="8"/>
      <c r="JW110" s="8"/>
      <c r="JX110" s="8"/>
      <c r="JY110" s="8"/>
      <c r="JZ110" s="8"/>
      <c r="KA110" s="8"/>
      <c r="KB110" s="8"/>
      <c r="KC110" s="8"/>
      <c r="KD110" s="8"/>
      <c r="KE110" s="8"/>
      <c r="KF110" s="8"/>
      <c r="KG110" s="8"/>
      <c r="KH110" s="8"/>
      <c r="KI110" s="8"/>
      <c r="KJ110" s="8"/>
      <c r="KK110" s="8"/>
      <c r="KL110" s="8"/>
      <c r="KM110" s="8"/>
      <c r="KN110" s="8"/>
      <c r="KO110" s="8"/>
      <c r="KP110" s="8"/>
      <c r="KQ110" s="8"/>
      <c r="KR110" s="8"/>
      <c r="KS110" s="8"/>
      <c r="KT110" s="8"/>
      <c r="KU110" s="8"/>
      <c r="KV110" s="8"/>
      <c r="KW110" s="8"/>
      <c r="KX110" s="8"/>
      <c r="KY110" s="8"/>
      <c r="KZ110" s="8"/>
      <c r="LA110" s="8"/>
      <c r="LB110" s="8"/>
      <c r="LC110" s="8"/>
      <c r="LD110" s="8"/>
      <c r="LE110" s="8"/>
      <c r="LF110" s="8"/>
      <c r="LG110" s="8"/>
      <c r="LH110" s="8"/>
      <c r="LI110" s="8"/>
      <c r="LJ110" s="8"/>
      <c r="LK110" s="8"/>
      <c r="LL110" s="8"/>
      <c r="LM110" s="8"/>
      <c r="LN110" s="8"/>
      <c r="LO110" s="8"/>
      <c r="LP110" s="8"/>
      <c r="LQ110" s="8"/>
    </row>
    <row r="111" spans="1:329" ht="15" customHeight="1" x14ac:dyDescent="0.25">
      <c r="A111" s="75">
        <v>1101921</v>
      </c>
      <c r="B111" s="32"/>
      <c r="C111" s="33" t="str">
        <f>VLOOKUP(A111,Artikeldaten!A:B,2,0)</f>
        <v xml:space="preserve">Stützfuß Komplett - Axkid One </v>
      </c>
      <c r="D111" s="34">
        <v>70</v>
      </c>
      <c r="E111" s="34">
        <f t="shared" si="2"/>
        <v>117.64705882352942</v>
      </c>
      <c r="F111" s="34">
        <f t="shared" si="3"/>
        <v>140</v>
      </c>
      <c r="G111" s="35" t="s">
        <v>21</v>
      </c>
      <c r="H111" s="35" t="s">
        <v>21</v>
      </c>
      <c r="I111" s="36"/>
      <c r="J111" s="36"/>
      <c r="K111" s="36"/>
      <c r="L111" s="36"/>
      <c r="M111" s="36"/>
      <c r="N111" s="36"/>
      <c r="O111" s="36"/>
      <c r="P111" s="36"/>
      <c r="Q111" s="36"/>
      <c r="R111" s="37">
        <v>7350057584804</v>
      </c>
      <c r="S111" s="38"/>
      <c r="T111" s="38"/>
      <c r="U111" s="38"/>
    </row>
    <row r="112" spans="1:329" s="7" customFormat="1" ht="15" customHeight="1" x14ac:dyDescent="0.25">
      <c r="A112" s="76">
        <v>1101922</v>
      </c>
      <c r="B112" s="32" t="s">
        <v>234</v>
      </c>
      <c r="C112" s="33" t="str">
        <f>VLOOKUP(A112,Artikeldaten!A:B,2,0)</f>
        <v>Prallbügel ARB Komplett - Axkid One</v>
      </c>
      <c r="D112" s="34">
        <v>78</v>
      </c>
      <c r="E112" s="34">
        <f t="shared" si="2"/>
        <v>131.09243697478993</v>
      </c>
      <c r="F112" s="34">
        <f t="shared" si="3"/>
        <v>156</v>
      </c>
      <c r="G112" s="35" t="s">
        <v>21</v>
      </c>
      <c r="H112" s="35" t="s">
        <v>21</v>
      </c>
      <c r="I112" s="36"/>
      <c r="J112" s="36"/>
      <c r="K112" s="36"/>
      <c r="L112" s="36"/>
      <c r="M112" s="36"/>
      <c r="N112" s="36"/>
      <c r="O112" s="36"/>
      <c r="P112" s="36"/>
      <c r="Q112" s="36"/>
      <c r="R112" s="37">
        <v>7350057584811</v>
      </c>
      <c r="S112" s="38"/>
      <c r="T112" s="38"/>
      <c r="U112" s="38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6"/>
      <c r="BQ112" s="6"/>
      <c r="BR112" s="6"/>
      <c r="BS112" s="6"/>
      <c r="BT112" s="6"/>
      <c r="BU112" s="6"/>
      <c r="BV112" s="6"/>
      <c r="BW112" s="6"/>
      <c r="BX112" s="6"/>
      <c r="BY112" s="6"/>
      <c r="BZ112" s="6"/>
      <c r="CA112" s="6"/>
      <c r="CB112" s="6"/>
      <c r="CC112" s="6"/>
      <c r="CD112" s="6"/>
      <c r="CE112" s="6"/>
      <c r="CF112" s="6"/>
      <c r="CG112" s="6"/>
      <c r="CH112" s="6"/>
      <c r="CI112" s="6"/>
      <c r="CJ112" s="6"/>
      <c r="CK112" s="6"/>
      <c r="CL112" s="6"/>
      <c r="CM112" s="6"/>
      <c r="CN112" s="6"/>
      <c r="CO112" s="6"/>
      <c r="CP112" s="6"/>
      <c r="CQ112" s="6"/>
      <c r="CR112" s="6"/>
      <c r="CS112" s="6"/>
      <c r="CT112" s="6"/>
      <c r="CU112" s="6"/>
      <c r="CV112" s="6"/>
      <c r="CW112" s="6"/>
      <c r="CX112" s="6"/>
      <c r="CY112" s="6"/>
      <c r="CZ112" s="6"/>
      <c r="DA112" s="6"/>
      <c r="DB112" s="6"/>
      <c r="DC112" s="6"/>
      <c r="DD112" s="6"/>
      <c r="DE112" s="6"/>
      <c r="DF112" s="6"/>
      <c r="DG112" s="6"/>
      <c r="DH112" s="6"/>
      <c r="DI112" s="6"/>
      <c r="DJ112" s="6"/>
      <c r="DK112" s="6"/>
      <c r="DL112" s="6"/>
      <c r="DM112" s="6"/>
      <c r="DN112" s="6"/>
      <c r="DO112" s="6"/>
      <c r="DP112" s="6"/>
      <c r="DQ112" s="6"/>
      <c r="DR112" s="6"/>
      <c r="DS112" s="6"/>
      <c r="DT112" s="6"/>
      <c r="DU112" s="6"/>
      <c r="DV112" s="6"/>
      <c r="DW112" s="6"/>
      <c r="DX112" s="6"/>
      <c r="DY112" s="6"/>
      <c r="DZ112" s="6"/>
      <c r="EA112" s="6"/>
      <c r="EB112" s="6"/>
      <c r="EC112" s="6"/>
      <c r="ED112" s="6"/>
      <c r="EE112" s="6"/>
      <c r="EF112" s="6"/>
      <c r="EG112" s="6"/>
      <c r="EH112" s="6"/>
      <c r="EI112" s="6"/>
      <c r="EJ112" s="6"/>
      <c r="EK112" s="6"/>
      <c r="EL112" s="6"/>
      <c r="EM112" s="6"/>
      <c r="EN112" s="6"/>
      <c r="EO112" s="6"/>
      <c r="EP112" s="6"/>
      <c r="EQ112" s="6"/>
      <c r="ER112" s="6"/>
      <c r="ES112" s="6"/>
      <c r="ET112" s="6"/>
      <c r="EU112" s="6"/>
      <c r="EV112" s="6"/>
      <c r="EW112" s="6"/>
      <c r="EX112" s="6"/>
      <c r="EY112" s="6"/>
      <c r="EZ112" s="6"/>
      <c r="FA112" s="6"/>
      <c r="FB112" s="6"/>
      <c r="FC112" s="6"/>
      <c r="FD112" s="6"/>
      <c r="FE112" s="6"/>
      <c r="FF112" s="6"/>
      <c r="FG112" s="6"/>
      <c r="FH112" s="6"/>
      <c r="FI112" s="6"/>
      <c r="FJ112" s="6"/>
      <c r="FK112" s="6"/>
      <c r="FL112" s="6"/>
      <c r="FM112" s="6"/>
      <c r="FN112" s="6"/>
      <c r="FO112" s="6"/>
      <c r="FP112" s="6"/>
      <c r="FQ112" s="6"/>
      <c r="FR112" s="6"/>
      <c r="FS112" s="6"/>
      <c r="FT112" s="6"/>
      <c r="FU112" s="6"/>
      <c r="FV112" s="6"/>
      <c r="FW112" s="6"/>
      <c r="FX112" s="6"/>
      <c r="FY112" s="6"/>
      <c r="FZ112" s="6"/>
      <c r="GA112" s="6"/>
      <c r="GB112" s="6"/>
      <c r="GC112" s="6"/>
      <c r="GD112" s="6"/>
      <c r="GE112" s="6"/>
      <c r="GF112" s="6"/>
      <c r="GG112" s="6"/>
      <c r="GH112" s="6"/>
      <c r="GI112" s="6"/>
      <c r="GJ112" s="6"/>
      <c r="GK112" s="6"/>
      <c r="GL112" s="6"/>
      <c r="GM112" s="6"/>
      <c r="GN112" s="6"/>
      <c r="GO112" s="6"/>
      <c r="GP112" s="6"/>
      <c r="GQ112" s="6"/>
      <c r="GR112" s="6"/>
      <c r="GS112" s="6"/>
      <c r="GT112" s="6"/>
      <c r="GU112" s="6"/>
      <c r="GV112" s="6"/>
      <c r="GW112" s="6"/>
      <c r="GX112" s="6"/>
      <c r="GY112" s="6"/>
      <c r="GZ112" s="6"/>
      <c r="HA112" s="6"/>
      <c r="HB112" s="6"/>
      <c r="HC112" s="6"/>
      <c r="HD112" s="6"/>
      <c r="HE112" s="6"/>
      <c r="HF112" s="6"/>
      <c r="HG112" s="6"/>
      <c r="HH112" s="6"/>
      <c r="HI112" s="6"/>
      <c r="HJ112" s="6"/>
      <c r="HK112" s="6"/>
      <c r="HL112" s="6"/>
      <c r="HM112" s="6"/>
      <c r="HN112" s="6"/>
      <c r="HO112" s="6"/>
      <c r="HP112" s="6"/>
      <c r="HQ112" s="6"/>
      <c r="HR112" s="6"/>
      <c r="HS112" s="6"/>
      <c r="HT112" s="6"/>
      <c r="HU112" s="6"/>
      <c r="HV112" s="6"/>
      <c r="HW112" s="6"/>
      <c r="HX112" s="6"/>
      <c r="HY112" s="6"/>
      <c r="HZ112" s="6"/>
      <c r="IA112" s="6"/>
      <c r="IB112" s="6"/>
      <c r="IC112" s="6"/>
      <c r="ID112" s="6"/>
      <c r="IE112" s="6"/>
      <c r="IF112" s="6"/>
      <c r="IG112" s="6"/>
      <c r="IH112" s="6"/>
      <c r="II112" s="6"/>
      <c r="IJ112" s="6"/>
      <c r="IK112" s="6"/>
      <c r="IL112" s="6"/>
      <c r="IM112" s="6"/>
      <c r="IN112" s="6"/>
      <c r="IO112" s="6"/>
      <c r="IP112" s="6"/>
      <c r="IQ112" s="6"/>
      <c r="IR112" s="6"/>
      <c r="IS112" s="6"/>
      <c r="IT112" s="6"/>
      <c r="IU112" s="6"/>
      <c r="IV112" s="6"/>
      <c r="IW112" s="6"/>
      <c r="IX112" s="6"/>
      <c r="IY112" s="6"/>
      <c r="IZ112" s="6"/>
      <c r="JA112" s="6"/>
      <c r="JB112" s="6"/>
      <c r="JC112" s="6"/>
      <c r="JD112" s="6"/>
      <c r="JE112" s="6"/>
      <c r="JF112" s="6"/>
      <c r="JG112" s="6"/>
      <c r="JH112" s="6"/>
      <c r="JI112" s="6"/>
      <c r="JJ112" s="6"/>
      <c r="JK112" s="6"/>
      <c r="JL112" s="6"/>
      <c r="JM112" s="6"/>
      <c r="JN112" s="6"/>
      <c r="JO112" s="6"/>
      <c r="JP112" s="6"/>
      <c r="JQ112" s="6"/>
      <c r="JR112" s="6"/>
      <c r="JS112" s="6"/>
      <c r="JT112" s="6"/>
      <c r="JU112" s="6"/>
      <c r="JV112" s="6"/>
      <c r="JW112" s="6"/>
      <c r="JX112" s="6"/>
      <c r="JY112" s="6"/>
      <c r="JZ112" s="6"/>
      <c r="KA112" s="6"/>
      <c r="KB112" s="6"/>
      <c r="KC112" s="6"/>
      <c r="KD112" s="6"/>
      <c r="KE112" s="6"/>
      <c r="KF112" s="6"/>
      <c r="KG112" s="6"/>
      <c r="KH112" s="6"/>
      <c r="KI112" s="6"/>
      <c r="KJ112" s="6"/>
      <c r="KK112" s="6"/>
      <c r="KL112" s="6"/>
      <c r="KM112" s="6"/>
      <c r="KN112" s="6"/>
      <c r="KO112" s="6"/>
      <c r="KP112" s="6"/>
      <c r="KQ112" s="6"/>
      <c r="KR112" s="6"/>
      <c r="KS112" s="6"/>
      <c r="KT112" s="6"/>
      <c r="KU112" s="6"/>
      <c r="KV112" s="6"/>
      <c r="KW112" s="6"/>
      <c r="KX112" s="6"/>
      <c r="KY112" s="6"/>
      <c r="KZ112" s="6"/>
      <c r="LA112" s="6"/>
      <c r="LB112" s="6"/>
      <c r="LC112" s="6"/>
      <c r="LD112" s="6"/>
      <c r="LE112" s="6"/>
      <c r="LF112" s="6"/>
      <c r="LG112" s="6"/>
      <c r="LH112" s="6"/>
      <c r="LI112" s="6"/>
      <c r="LJ112" s="6"/>
      <c r="LK112" s="6"/>
      <c r="LL112" s="6"/>
      <c r="LM112" s="6"/>
      <c r="LN112" s="6"/>
      <c r="LO112" s="6"/>
      <c r="LP112" s="6"/>
      <c r="LQ112" s="6"/>
    </row>
    <row r="113" spans="1:329" s="7" customFormat="1" ht="15" customHeight="1" x14ac:dyDescent="0.25">
      <c r="A113" s="75">
        <v>1101924</v>
      </c>
      <c r="B113" s="32" t="s">
        <v>236</v>
      </c>
      <c r="C113" s="33" t="str">
        <f>VLOOKUP(A113,Artikeldaten!A:B,2,0)</f>
        <v>Spieldose Stützfuß - Axkid One</v>
      </c>
      <c r="D113" s="34">
        <v>12</v>
      </c>
      <c r="E113" s="34">
        <f t="shared" si="2"/>
        <v>20.168067226890756</v>
      </c>
      <c r="F113" s="34">
        <f t="shared" si="3"/>
        <v>24</v>
      </c>
      <c r="G113" s="35" t="s">
        <v>21</v>
      </c>
      <c r="H113" s="35" t="s">
        <v>21</v>
      </c>
      <c r="I113" s="36"/>
      <c r="J113" s="36"/>
      <c r="K113" s="36"/>
      <c r="L113" s="36"/>
      <c r="M113" s="36"/>
      <c r="N113" s="36"/>
      <c r="O113" s="36"/>
      <c r="P113" s="36"/>
      <c r="Q113" s="36"/>
      <c r="R113" s="37">
        <v>7350057584828</v>
      </c>
      <c r="S113" s="38"/>
      <c r="T113" s="38"/>
      <c r="U113" s="38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6"/>
      <c r="BQ113" s="6"/>
      <c r="BR113" s="6"/>
      <c r="BS113" s="6"/>
      <c r="BT113" s="6"/>
      <c r="BU113" s="6"/>
      <c r="BV113" s="6"/>
      <c r="BW113" s="6"/>
      <c r="BX113" s="6"/>
      <c r="BY113" s="6"/>
      <c r="BZ113" s="6"/>
      <c r="CA113" s="6"/>
      <c r="CB113" s="6"/>
      <c r="CC113" s="6"/>
      <c r="CD113" s="6"/>
      <c r="CE113" s="6"/>
      <c r="CF113" s="6"/>
      <c r="CG113" s="6"/>
      <c r="CH113" s="6"/>
      <c r="CI113" s="6"/>
      <c r="CJ113" s="6"/>
      <c r="CK113" s="6"/>
      <c r="CL113" s="6"/>
      <c r="CM113" s="6"/>
      <c r="CN113" s="6"/>
      <c r="CO113" s="6"/>
      <c r="CP113" s="6"/>
      <c r="CQ113" s="6"/>
      <c r="CR113" s="6"/>
      <c r="CS113" s="6"/>
      <c r="CT113" s="6"/>
      <c r="CU113" s="6"/>
      <c r="CV113" s="6"/>
      <c r="CW113" s="6"/>
      <c r="CX113" s="6"/>
      <c r="CY113" s="6"/>
      <c r="CZ113" s="6"/>
      <c r="DA113" s="6"/>
      <c r="DB113" s="6"/>
      <c r="DC113" s="6"/>
      <c r="DD113" s="6"/>
      <c r="DE113" s="6"/>
      <c r="DF113" s="6"/>
      <c r="DG113" s="6"/>
      <c r="DH113" s="6"/>
      <c r="DI113" s="6"/>
      <c r="DJ113" s="6"/>
      <c r="DK113" s="6"/>
      <c r="DL113" s="6"/>
      <c r="DM113" s="6"/>
      <c r="DN113" s="6"/>
      <c r="DO113" s="6"/>
      <c r="DP113" s="6"/>
      <c r="DQ113" s="6"/>
      <c r="DR113" s="6"/>
      <c r="DS113" s="6"/>
      <c r="DT113" s="6"/>
      <c r="DU113" s="6"/>
      <c r="DV113" s="6"/>
      <c r="DW113" s="6"/>
      <c r="DX113" s="6"/>
      <c r="DY113" s="6"/>
      <c r="DZ113" s="6"/>
      <c r="EA113" s="6"/>
      <c r="EB113" s="6"/>
      <c r="EC113" s="6"/>
      <c r="ED113" s="6"/>
      <c r="EE113" s="6"/>
      <c r="EF113" s="6"/>
      <c r="EG113" s="6"/>
      <c r="EH113" s="6"/>
      <c r="EI113" s="6"/>
      <c r="EJ113" s="6"/>
      <c r="EK113" s="6"/>
      <c r="EL113" s="6"/>
      <c r="EM113" s="6"/>
      <c r="EN113" s="6"/>
      <c r="EO113" s="6"/>
      <c r="EP113" s="6"/>
      <c r="EQ113" s="6"/>
      <c r="ER113" s="6"/>
      <c r="ES113" s="6"/>
      <c r="ET113" s="6"/>
      <c r="EU113" s="6"/>
      <c r="EV113" s="6"/>
      <c r="EW113" s="6"/>
      <c r="EX113" s="6"/>
      <c r="EY113" s="6"/>
      <c r="EZ113" s="6"/>
      <c r="FA113" s="6"/>
      <c r="FB113" s="6"/>
      <c r="FC113" s="6"/>
      <c r="FD113" s="6"/>
      <c r="FE113" s="6"/>
      <c r="FF113" s="6"/>
      <c r="FG113" s="6"/>
      <c r="FH113" s="6"/>
      <c r="FI113" s="6"/>
      <c r="FJ113" s="6"/>
      <c r="FK113" s="6"/>
      <c r="FL113" s="6"/>
      <c r="FM113" s="6"/>
      <c r="FN113" s="6"/>
      <c r="FO113" s="6"/>
      <c r="FP113" s="6"/>
      <c r="FQ113" s="6"/>
      <c r="FR113" s="6"/>
      <c r="FS113" s="6"/>
      <c r="FT113" s="6"/>
      <c r="FU113" s="6"/>
      <c r="FV113" s="6"/>
      <c r="FW113" s="6"/>
      <c r="FX113" s="6"/>
      <c r="FY113" s="6"/>
      <c r="FZ113" s="6"/>
      <c r="GA113" s="6"/>
      <c r="GB113" s="6"/>
      <c r="GC113" s="6"/>
      <c r="GD113" s="6"/>
      <c r="GE113" s="6"/>
      <c r="GF113" s="6"/>
      <c r="GG113" s="6"/>
      <c r="GH113" s="6"/>
      <c r="GI113" s="6"/>
      <c r="GJ113" s="6"/>
      <c r="GK113" s="6"/>
      <c r="GL113" s="6"/>
      <c r="GM113" s="6"/>
      <c r="GN113" s="6"/>
      <c r="GO113" s="6"/>
      <c r="GP113" s="6"/>
      <c r="GQ113" s="6"/>
      <c r="GR113" s="6"/>
      <c r="GS113" s="6"/>
      <c r="GT113" s="6"/>
      <c r="GU113" s="6"/>
      <c r="GV113" s="6"/>
      <c r="GW113" s="6"/>
      <c r="GX113" s="6"/>
      <c r="GY113" s="6"/>
      <c r="GZ113" s="6"/>
      <c r="HA113" s="6"/>
      <c r="HB113" s="6"/>
      <c r="HC113" s="6"/>
      <c r="HD113" s="6"/>
      <c r="HE113" s="6"/>
      <c r="HF113" s="6"/>
      <c r="HG113" s="6"/>
      <c r="HH113" s="6"/>
      <c r="HI113" s="6"/>
      <c r="HJ113" s="6"/>
      <c r="HK113" s="6"/>
      <c r="HL113" s="6"/>
      <c r="HM113" s="6"/>
      <c r="HN113" s="6"/>
      <c r="HO113" s="6"/>
      <c r="HP113" s="6"/>
      <c r="HQ113" s="6"/>
      <c r="HR113" s="6"/>
      <c r="HS113" s="6"/>
      <c r="HT113" s="6"/>
      <c r="HU113" s="6"/>
      <c r="HV113" s="6"/>
      <c r="HW113" s="6"/>
      <c r="HX113" s="6"/>
      <c r="HY113" s="6"/>
      <c r="HZ113" s="6"/>
      <c r="IA113" s="6"/>
      <c r="IB113" s="6"/>
      <c r="IC113" s="6"/>
      <c r="ID113" s="6"/>
      <c r="IE113" s="6"/>
      <c r="IF113" s="6"/>
      <c r="IG113" s="6"/>
      <c r="IH113" s="6"/>
      <c r="II113" s="6"/>
      <c r="IJ113" s="6"/>
      <c r="IK113" s="6"/>
      <c r="IL113" s="6"/>
      <c r="IM113" s="6"/>
      <c r="IN113" s="6"/>
      <c r="IO113" s="6"/>
      <c r="IP113" s="6"/>
      <c r="IQ113" s="6"/>
      <c r="IR113" s="6"/>
      <c r="IS113" s="6"/>
      <c r="IT113" s="6"/>
      <c r="IU113" s="6"/>
      <c r="IV113" s="6"/>
      <c r="IW113" s="6"/>
      <c r="IX113" s="6"/>
      <c r="IY113" s="6"/>
      <c r="IZ113" s="6"/>
      <c r="JA113" s="6"/>
      <c r="JB113" s="6"/>
      <c r="JC113" s="6"/>
      <c r="JD113" s="6"/>
      <c r="JE113" s="6"/>
      <c r="JF113" s="6"/>
      <c r="JG113" s="6"/>
      <c r="JH113" s="6"/>
      <c r="JI113" s="6"/>
      <c r="JJ113" s="6"/>
      <c r="JK113" s="6"/>
      <c r="JL113" s="6"/>
      <c r="JM113" s="6"/>
      <c r="JN113" s="6"/>
      <c r="JO113" s="6"/>
      <c r="JP113" s="6"/>
      <c r="JQ113" s="6"/>
      <c r="JR113" s="6"/>
      <c r="JS113" s="6"/>
      <c r="JT113" s="6"/>
      <c r="JU113" s="6"/>
      <c r="JV113" s="6"/>
      <c r="JW113" s="6"/>
      <c r="JX113" s="6"/>
      <c r="JY113" s="6"/>
      <c r="JZ113" s="6"/>
      <c r="KA113" s="6"/>
      <c r="KB113" s="6"/>
      <c r="KC113" s="6"/>
      <c r="KD113" s="6"/>
      <c r="KE113" s="6"/>
      <c r="KF113" s="6"/>
      <c r="KG113" s="6"/>
      <c r="KH113" s="6"/>
      <c r="KI113" s="6"/>
      <c r="KJ113" s="6"/>
      <c r="KK113" s="6"/>
      <c r="KL113" s="6"/>
      <c r="KM113" s="6"/>
      <c r="KN113" s="6"/>
      <c r="KO113" s="6"/>
      <c r="KP113" s="6"/>
      <c r="KQ113" s="6"/>
      <c r="KR113" s="6"/>
      <c r="KS113" s="6"/>
      <c r="KT113" s="6"/>
      <c r="KU113" s="6"/>
      <c r="KV113" s="6"/>
      <c r="KW113" s="6"/>
      <c r="KX113" s="6"/>
      <c r="KY113" s="6"/>
      <c r="KZ113" s="6"/>
      <c r="LA113" s="6"/>
      <c r="LB113" s="6"/>
      <c r="LC113" s="6"/>
      <c r="LD113" s="6"/>
      <c r="LE113" s="6"/>
      <c r="LF113" s="6"/>
      <c r="LG113" s="6"/>
      <c r="LH113" s="6"/>
      <c r="LI113" s="6"/>
      <c r="LJ113" s="6"/>
      <c r="LK113" s="6"/>
      <c r="LL113" s="6"/>
      <c r="LM113" s="6"/>
      <c r="LN113" s="6"/>
      <c r="LO113" s="6"/>
      <c r="LP113" s="6"/>
      <c r="LQ113" s="6"/>
    </row>
    <row r="114" spans="1:329" s="7" customFormat="1" ht="15" customHeight="1" x14ac:dyDescent="0.25">
      <c r="A114" s="75">
        <v>1101925</v>
      </c>
      <c r="B114" s="32" t="s">
        <v>238</v>
      </c>
      <c r="C114" s="33" t="str">
        <f>VLOOKUP(A114,Artikeldaten!A:B,2,0)</f>
        <v>Drehknopf Prallbügel - Axkid One</v>
      </c>
      <c r="D114" s="34">
        <v>3</v>
      </c>
      <c r="E114" s="34">
        <f t="shared" si="2"/>
        <v>5.0420168067226889</v>
      </c>
      <c r="F114" s="34">
        <f t="shared" si="3"/>
        <v>6</v>
      </c>
      <c r="G114" s="35" t="s">
        <v>21</v>
      </c>
      <c r="H114" s="35" t="s">
        <v>21</v>
      </c>
      <c r="I114" s="36"/>
      <c r="J114" s="36"/>
      <c r="K114" s="36"/>
      <c r="L114" s="36"/>
      <c r="M114" s="36"/>
      <c r="N114" s="36"/>
      <c r="O114" s="36"/>
      <c r="P114" s="36"/>
      <c r="Q114" s="36"/>
      <c r="R114" s="37">
        <v>7350057584835</v>
      </c>
      <c r="S114" s="38"/>
      <c r="T114" s="38"/>
      <c r="U114" s="38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  <c r="BP114" s="6"/>
      <c r="BQ114" s="6"/>
      <c r="BR114" s="6"/>
      <c r="BS114" s="6"/>
      <c r="BT114" s="6"/>
      <c r="BU114" s="6"/>
      <c r="BV114" s="6"/>
      <c r="BW114" s="6"/>
      <c r="BX114" s="6"/>
      <c r="BY114" s="6"/>
      <c r="BZ114" s="6"/>
      <c r="CA114" s="6"/>
      <c r="CB114" s="6"/>
      <c r="CC114" s="6"/>
      <c r="CD114" s="6"/>
      <c r="CE114" s="6"/>
      <c r="CF114" s="6"/>
      <c r="CG114" s="6"/>
      <c r="CH114" s="6"/>
      <c r="CI114" s="6"/>
      <c r="CJ114" s="6"/>
      <c r="CK114" s="6"/>
      <c r="CL114" s="6"/>
      <c r="CM114" s="6"/>
      <c r="CN114" s="6"/>
      <c r="CO114" s="6"/>
      <c r="CP114" s="6"/>
      <c r="CQ114" s="6"/>
      <c r="CR114" s="6"/>
      <c r="CS114" s="6"/>
      <c r="CT114" s="6"/>
      <c r="CU114" s="6"/>
      <c r="CV114" s="6"/>
      <c r="CW114" s="6"/>
      <c r="CX114" s="6"/>
      <c r="CY114" s="6"/>
      <c r="CZ114" s="6"/>
      <c r="DA114" s="6"/>
      <c r="DB114" s="6"/>
      <c r="DC114" s="6"/>
      <c r="DD114" s="6"/>
      <c r="DE114" s="6"/>
      <c r="DF114" s="6"/>
      <c r="DG114" s="6"/>
      <c r="DH114" s="6"/>
      <c r="DI114" s="6"/>
      <c r="DJ114" s="6"/>
      <c r="DK114" s="6"/>
      <c r="DL114" s="6"/>
      <c r="DM114" s="6"/>
      <c r="DN114" s="6"/>
      <c r="DO114" s="6"/>
      <c r="DP114" s="6"/>
      <c r="DQ114" s="6"/>
      <c r="DR114" s="6"/>
      <c r="DS114" s="6"/>
      <c r="DT114" s="6"/>
      <c r="DU114" s="6"/>
      <c r="DV114" s="6"/>
      <c r="DW114" s="6"/>
      <c r="DX114" s="6"/>
      <c r="DY114" s="6"/>
      <c r="DZ114" s="6"/>
      <c r="EA114" s="6"/>
      <c r="EB114" s="6"/>
      <c r="EC114" s="6"/>
      <c r="ED114" s="6"/>
      <c r="EE114" s="6"/>
      <c r="EF114" s="6"/>
      <c r="EG114" s="6"/>
      <c r="EH114" s="6"/>
      <c r="EI114" s="6"/>
      <c r="EJ114" s="6"/>
      <c r="EK114" s="6"/>
      <c r="EL114" s="6"/>
      <c r="EM114" s="6"/>
      <c r="EN114" s="6"/>
      <c r="EO114" s="6"/>
      <c r="EP114" s="6"/>
      <c r="EQ114" s="6"/>
      <c r="ER114" s="6"/>
      <c r="ES114" s="6"/>
      <c r="ET114" s="6"/>
      <c r="EU114" s="6"/>
      <c r="EV114" s="6"/>
      <c r="EW114" s="6"/>
      <c r="EX114" s="6"/>
      <c r="EY114" s="6"/>
      <c r="EZ114" s="6"/>
      <c r="FA114" s="6"/>
      <c r="FB114" s="6"/>
      <c r="FC114" s="6"/>
      <c r="FD114" s="6"/>
      <c r="FE114" s="6"/>
      <c r="FF114" s="6"/>
      <c r="FG114" s="6"/>
      <c r="FH114" s="6"/>
      <c r="FI114" s="6"/>
      <c r="FJ114" s="6"/>
      <c r="FK114" s="6"/>
      <c r="FL114" s="6"/>
      <c r="FM114" s="6"/>
      <c r="FN114" s="6"/>
      <c r="FO114" s="6"/>
      <c r="FP114" s="6"/>
      <c r="FQ114" s="6"/>
      <c r="FR114" s="6"/>
      <c r="FS114" s="6"/>
      <c r="FT114" s="6"/>
      <c r="FU114" s="6"/>
      <c r="FV114" s="6"/>
      <c r="FW114" s="6"/>
      <c r="FX114" s="6"/>
      <c r="FY114" s="6"/>
      <c r="FZ114" s="6"/>
      <c r="GA114" s="6"/>
      <c r="GB114" s="6"/>
      <c r="GC114" s="6"/>
      <c r="GD114" s="6"/>
      <c r="GE114" s="6"/>
      <c r="GF114" s="6"/>
      <c r="GG114" s="6"/>
      <c r="GH114" s="6"/>
      <c r="GI114" s="6"/>
      <c r="GJ114" s="6"/>
      <c r="GK114" s="6"/>
      <c r="GL114" s="6"/>
      <c r="GM114" s="6"/>
      <c r="GN114" s="6"/>
      <c r="GO114" s="6"/>
      <c r="GP114" s="6"/>
      <c r="GQ114" s="6"/>
      <c r="GR114" s="6"/>
      <c r="GS114" s="6"/>
      <c r="GT114" s="6"/>
      <c r="GU114" s="6"/>
      <c r="GV114" s="6"/>
      <c r="GW114" s="6"/>
      <c r="GX114" s="6"/>
      <c r="GY114" s="6"/>
      <c r="GZ114" s="6"/>
      <c r="HA114" s="6"/>
      <c r="HB114" s="6"/>
      <c r="HC114" s="6"/>
      <c r="HD114" s="6"/>
      <c r="HE114" s="6"/>
      <c r="HF114" s="6"/>
      <c r="HG114" s="6"/>
      <c r="HH114" s="6"/>
      <c r="HI114" s="6"/>
      <c r="HJ114" s="6"/>
      <c r="HK114" s="6"/>
      <c r="HL114" s="6"/>
      <c r="HM114" s="6"/>
      <c r="HN114" s="6"/>
      <c r="HO114" s="6"/>
      <c r="HP114" s="6"/>
      <c r="HQ114" s="6"/>
      <c r="HR114" s="6"/>
      <c r="HS114" s="6"/>
      <c r="HT114" s="6"/>
      <c r="HU114" s="6"/>
      <c r="HV114" s="6"/>
      <c r="HW114" s="6"/>
      <c r="HX114" s="6"/>
      <c r="HY114" s="6"/>
      <c r="HZ114" s="6"/>
      <c r="IA114" s="6"/>
      <c r="IB114" s="6"/>
      <c r="IC114" s="6"/>
      <c r="ID114" s="6"/>
      <c r="IE114" s="6"/>
      <c r="IF114" s="6"/>
      <c r="IG114" s="6"/>
      <c r="IH114" s="6"/>
      <c r="II114" s="6"/>
      <c r="IJ114" s="6"/>
      <c r="IK114" s="6"/>
      <c r="IL114" s="6"/>
      <c r="IM114" s="6"/>
      <c r="IN114" s="6"/>
      <c r="IO114" s="6"/>
      <c r="IP114" s="6"/>
      <c r="IQ114" s="6"/>
      <c r="IR114" s="6"/>
      <c r="IS114" s="6"/>
      <c r="IT114" s="6"/>
      <c r="IU114" s="6"/>
      <c r="IV114" s="6"/>
      <c r="IW114" s="6"/>
      <c r="IX114" s="6"/>
      <c r="IY114" s="6"/>
      <c r="IZ114" s="6"/>
      <c r="JA114" s="6"/>
      <c r="JB114" s="6"/>
      <c r="JC114" s="6"/>
      <c r="JD114" s="6"/>
      <c r="JE114" s="6"/>
      <c r="JF114" s="6"/>
      <c r="JG114" s="6"/>
      <c r="JH114" s="6"/>
      <c r="JI114" s="6"/>
      <c r="JJ114" s="6"/>
      <c r="JK114" s="6"/>
      <c r="JL114" s="6"/>
      <c r="JM114" s="6"/>
      <c r="JN114" s="6"/>
      <c r="JO114" s="6"/>
      <c r="JP114" s="6"/>
      <c r="JQ114" s="6"/>
      <c r="JR114" s="6"/>
      <c r="JS114" s="6"/>
      <c r="JT114" s="6"/>
      <c r="JU114" s="6"/>
      <c r="JV114" s="6"/>
      <c r="JW114" s="6"/>
      <c r="JX114" s="6"/>
      <c r="JY114" s="6"/>
      <c r="JZ114" s="6"/>
      <c r="KA114" s="6"/>
      <c r="KB114" s="6"/>
      <c r="KC114" s="6"/>
      <c r="KD114" s="6"/>
      <c r="KE114" s="6"/>
      <c r="KF114" s="6"/>
      <c r="KG114" s="6"/>
      <c r="KH114" s="6"/>
      <c r="KI114" s="6"/>
      <c r="KJ114" s="6"/>
      <c r="KK114" s="6"/>
      <c r="KL114" s="6"/>
      <c r="KM114" s="6"/>
      <c r="KN114" s="6"/>
      <c r="KO114" s="6"/>
      <c r="KP114" s="6"/>
      <c r="KQ114" s="6"/>
      <c r="KR114" s="6"/>
      <c r="KS114" s="6"/>
      <c r="KT114" s="6"/>
      <c r="KU114" s="6"/>
      <c r="KV114" s="6"/>
      <c r="KW114" s="6"/>
      <c r="KX114" s="6"/>
      <c r="KY114" s="6"/>
      <c r="KZ114" s="6"/>
      <c r="LA114" s="6"/>
      <c r="LB114" s="6"/>
      <c r="LC114" s="6"/>
      <c r="LD114" s="6"/>
      <c r="LE114" s="6"/>
      <c r="LF114" s="6"/>
      <c r="LG114" s="6"/>
      <c r="LH114" s="6"/>
      <c r="LI114" s="6"/>
      <c r="LJ114" s="6"/>
      <c r="LK114" s="6"/>
      <c r="LL114" s="6"/>
      <c r="LM114" s="6"/>
      <c r="LN114" s="6"/>
      <c r="LO114" s="6"/>
      <c r="LP114" s="6"/>
      <c r="LQ114" s="6"/>
    </row>
    <row r="115" spans="1:329" s="7" customFormat="1" ht="15" customHeight="1" x14ac:dyDescent="0.25">
      <c r="A115" s="75">
        <v>1101926</v>
      </c>
      <c r="B115" s="49" t="s">
        <v>240</v>
      </c>
      <c r="C115" s="33" t="str">
        <f>VLOOKUP(A115,Artikeldaten!A:B,2,0)</f>
        <v>Styropor Kopfstütze - Axkid One</v>
      </c>
      <c r="D115" s="34">
        <v>24</v>
      </c>
      <c r="E115" s="34">
        <f t="shared" si="2"/>
        <v>40.336134453781511</v>
      </c>
      <c r="F115" s="34">
        <f t="shared" si="3"/>
        <v>48</v>
      </c>
      <c r="G115" s="35" t="s">
        <v>21</v>
      </c>
      <c r="H115" s="35" t="s">
        <v>21</v>
      </c>
      <c r="I115" s="36"/>
      <c r="J115" s="36"/>
      <c r="K115" s="36"/>
      <c r="L115" s="36"/>
      <c r="M115" s="36"/>
      <c r="N115" s="36"/>
      <c r="O115" s="36"/>
      <c r="P115" s="36"/>
      <c r="Q115" s="36"/>
      <c r="R115" s="37">
        <v>7350057584842</v>
      </c>
      <c r="S115" s="38"/>
      <c r="T115" s="38"/>
      <c r="U115" s="38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  <c r="BP115" s="6"/>
      <c r="BQ115" s="6"/>
      <c r="BR115" s="6"/>
      <c r="BS115" s="6"/>
      <c r="BT115" s="6"/>
      <c r="BU115" s="6"/>
      <c r="BV115" s="6"/>
      <c r="BW115" s="6"/>
      <c r="BX115" s="6"/>
      <c r="BY115" s="6"/>
      <c r="BZ115" s="6"/>
      <c r="CA115" s="6"/>
      <c r="CB115" s="6"/>
      <c r="CC115" s="6"/>
      <c r="CD115" s="6"/>
      <c r="CE115" s="6"/>
      <c r="CF115" s="6"/>
      <c r="CG115" s="6"/>
      <c r="CH115" s="6"/>
      <c r="CI115" s="6"/>
      <c r="CJ115" s="6"/>
      <c r="CK115" s="6"/>
      <c r="CL115" s="6"/>
      <c r="CM115" s="6"/>
      <c r="CN115" s="6"/>
      <c r="CO115" s="6"/>
      <c r="CP115" s="6"/>
      <c r="CQ115" s="6"/>
      <c r="CR115" s="6"/>
      <c r="CS115" s="6"/>
      <c r="CT115" s="6"/>
      <c r="CU115" s="6"/>
      <c r="CV115" s="6"/>
      <c r="CW115" s="6"/>
      <c r="CX115" s="6"/>
      <c r="CY115" s="6"/>
      <c r="CZ115" s="6"/>
      <c r="DA115" s="6"/>
      <c r="DB115" s="6"/>
      <c r="DC115" s="6"/>
      <c r="DD115" s="6"/>
      <c r="DE115" s="6"/>
      <c r="DF115" s="6"/>
      <c r="DG115" s="6"/>
      <c r="DH115" s="6"/>
      <c r="DI115" s="6"/>
      <c r="DJ115" s="6"/>
      <c r="DK115" s="6"/>
      <c r="DL115" s="6"/>
      <c r="DM115" s="6"/>
      <c r="DN115" s="6"/>
      <c r="DO115" s="6"/>
      <c r="DP115" s="6"/>
      <c r="DQ115" s="6"/>
      <c r="DR115" s="6"/>
      <c r="DS115" s="6"/>
      <c r="DT115" s="6"/>
      <c r="DU115" s="6"/>
      <c r="DV115" s="6"/>
      <c r="DW115" s="6"/>
      <c r="DX115" s="6"/>
      <c r="DY115" s="6"/>
      <c r="DZ115" s="6"/>
      <c r="EA115" s="6"/>
      <c r="EB115" s="6"/>
      <c r="EC115" s="6"/>
      <c r="ED115" s="6"/>
      <c r="EE115" s="6"/>
      <c r="EF115" s="6"/>
      <c r="EG115" s="6"/>
      <c r="EH115" s="6"/>
      <c r="EI115" s="6"/>
      <c r="EJ115" s="6"/>
      <c r="EK115" s="6"/>
      <c r="EL115" s="6"/>
      <c r="EM115" s="6"/>
      <c r="EN115" s="6"/>
      <c r="EO115" s="6"/>
      <c r="EP115" s="6"/>
      <c r="EQ115" s="6"/>
      <c r="ER115" s="6"/>
      <c r="ES115" s="6"/>
      <c r="ET115" s="6"/>
      <c r="EU115" s="6"/>
      <c r="EV115" s="6"/>
      <c r="EW115" s="6"/>
      <c r="EX115" s="6"/>
      <c r="EY115" s="6"/>
      <c r="EZ115" s="6"/>
      <c r="FA115" s="6"/>
      <c r="FB115" s="6"/>
      <c r="FC115" s="6"/>
      <c r="FD115" s="6"/>
      <c r="FE115" s="6"/>
      <c r="FF115" s="6"/>
      <c r="FG115" s="6"/>
      <c r="FH115" s="6"/>
      <c r="FI115" s="6"/>
      <c r="FJ115" s="6"/>
      <c r="FK115" s="6"/>
      <c r="FL115" s="6"/>
      <c r="FM115" s="6"/>
      <c r="FN115" s="6"/>
      <c r="FO115" s="6"/>
      <c r="FP115" s="6"/>
      <c r="FQ115" s="6"/>
      <c r="FR115" s="6"/>
      <c r="FS115" s="6"/>
      <c r="FT115" s="6"/>
      <c r="FU115" s="6"/>
      <c r="FV115" s="6"/>
      <c r="FW115" s="6"/>
      <c r="FX115" s="6"/>
      <c r="FY115" s="6"/>
      <c r="FZ115" s="6"/>
      <c r="GA115" s="6"/>
      <c r="GB115" s="6"/>
      <c r="GC115" s="6"/>
      <c r="GD115" s="6"/>
      <c r="GE115" s="6"/>
      <c r="GF115" s="6"/>
      <c r="GG115" s="6"/>
      <c r="GH115" s="6"/>
      <c r="GI115" s="6"/>
      <c r="GJ115" s="6"/>
      <c r="GK115" s="6"/>
      <c r="GL115" s="6"/>
      <c r="GM115" s="6"/>
      <c r="GN115" s="6"/>
      <c r="GO115" s="6"/>
      <c r="GP115" s="6"/>
      <c r="GQ115" s="6"/>
      <c r="GR115" s="6"/>
      <c r="GS115" s="6"/>
      <c r="GT115" s="6"/>
      <c r="GU115" s="6"/>
      <c r="GV115" s="6"/>
      <c r="GW115" s="6"/>
      <c r="GX115" s="6"/>
      <c r="GY115" s="6"/>
      <c r="GZ115" s="6"/>
      <c r="HA115" s="6"/>
      <c r="HB115" s="6"/>
      <c r="HC115" s="6"/>
      <c r="HD115" s="6"/>
      <c r="HE115" s="6"/>
      <c r="HF115" s="6"/>
      <c r="HG115" s="6"/>
      <c r="HH115" s="6"/>
      <c r="HI115" s="6"/>
      <c r="HJ115" s="6"/>
      <c r="HK115" s="6"/>
      <c r="HL115" s="6"/>
      <c r="HM115" s="6"/>
      <c r="HN115" s="6"/>
      <c r="HO115" s="6"/>
      <c r="HP115" s="6"/>
      <c r="HQ115" s="6"/>
      <c r="HR115" s="6"/>
      <c r="HS115" s="6"/>
      <c r="HT115" s="6"/>
      <c r="HU115" s="6"/>
      <c r="HV115" s="6"/>
      <c r="HW115" s="6"/>
      <c r="HX115" s="6"/>
      <c r="HY115" s="6"/>
      <c r="HZ115" s="6"/>
      <c r="IA115" s="6"/>
      <c r="IB115" s="6"/>
      <c r="IC115" s="6"/>
      <c r="ID115" s="6"/>
      <c r="IE115" s="6"/>
      <c r="IF115" s="6"/>
      <c r="IG115" s="6"/>
      <c r="IH115" s="6"/>
      <c r="II115" s="6"/>
      <c r="IJ115" s="6"/>
      <c r="IK115" s="6"/>
      <c r="IL115" s="6"/>
      <c r="IM115" s="6"/>
      <c r="IN115" s="6"/>
      <c r="IO115" s="6"/>
      <c r="IP115" s="6"/>
      <c r="IQ115" s="6"/>
      <c r="IR115" s="6"/>
      <c r="IS115" s="6"/>
      <c r="IT115" s="6"/>
      <c r="IU115" s="6"/>
      <c r="IV115" s="6"/>
      <c r="IW115" s="6"/>
      <c r="IX115" s="6"/>
      <c r="IY115" s="6"/>
      <c r="IZ115" s="6"/>
      <c r="JA115" s="6"/>
      <c r="JB115" s="6"/>
      <c r="JC115" s="6"/>
      <c r="JD115" s="6"/>
      <c r="JE115" s="6"/>
      <c r="JF115" s="6"/>
      <c r="JG115" s="6"/>
      <c r="JH115" s="6"/>
      <c r="JI115" s="6"/>
      <c r="JJ115" s="6"/>
      <c r="JK115" s="6"/>
      <c r="JL115" s="6"/>
      <c r="JM115" s="6"/>
      <c r="JN115" s="6"/>
      <c r="JO115" s="6"/>
      <c r="JP115" s="6"/>
      <c r="JQ115" s="6"/>
      <c r="JR115" s="6"/>
      <c r="JS115" s="6"/>
      <c r="JT115" s="6"/>
      <c r="JU115" s="6"/>
      <c r="JV115" s="6"/>
      <c r="JW115" s="6"/>
      <c r="JX115" s="6"/>
      <c r="JY115" s="6"/>
      <c r="JZ115" s="6"/>
      <c r="KA115" s="6"/>
      <c r="KB115" s="6"/>
      <c r="KC115" s="6"/>
      <c r="KD115" s="6"/>
      <c r="KE115" s="6"/>
      <c r="KF115" s="6"/>
      <c r="KG115" s="6"/>
      <c r="KH115" s="6"/>
      <c r="KI115" s="6"/>
      <c r="KJ115" s="6"/>
      <c r="KK115" s="6"/>
      <c r="KL115" s="6"/>
      <c r="KM115" s="6"/>
      <c r="KN115" s="6"/>
      <c r="KO115" s="6"/>
      <c r="KP115" s="6"/>
      <c r="KQ115" s="6"/>
      <c r="KR115" s="6"/>
      <c r="KS115" s="6"/>
      <c r="KT115" s="6"/>
      <c r="KU115" s="6"/>
      <c r="KV115" s="6"/>
      <c r="KW115" s="6"/>
      <c r="KX115" s="6"/>
      <c r="KY115" s="6"/>
      <c r="KZ115" s="6"/>
      <c r="LA115" s="6"/>
      <c r="LB115" s="6"/>
      <c r="LC115" s="6"/>
      <c r="LD115" s="6"/>
      <c r="LE115" s="6"/>
      <c r="LF115" s="6"/>
      <c r="LG115" s="6"/>
      <c r="LH115" s="6"/>
      <c r="LI115" s="6"/>
      <c r="LJ115" s="6"/>
      <c r="LK115" s="6"/>
      <c r="LL115" s="6"/>
      <c r="LM115" s="6"/>
      <c r="LN115" s="6"/>
      <c r="LO115" s="6"/>
      <c r="LP115" s="6"/>
      <c r="LQ115" s="6"/>
    </row>
    <row r="116" spans="1:329" s="7" customFormat="1" ht="15" customHeight="1" x14ac:dyDescent="0.25">
      <c r="A116" s="75">
        <v>1101927</v>
      </c>
      <c r="B116" s="32" t="s">
        <v>242</v>
      </c>
      <c r="C116" s="33" t="str">
        <f>VLOOKUP(A116,Artikeldaten!A:B,2,0)</f>
        <v>Verstellung Kopfstütze - Axkid One</v>
      </c>
      <c r="D116" s="34">
        <v>5</v>
      </c>
      <c r="E116" s="34">
        <f t="shared" si="2"/>
        <v>8.4033613445378155</v>
      </c>
      <c r="F116" s="34">
        <f t="shared" si="3"/>
        <v>10</v>
      </c>
      <c r="G116" s="35" t="s">
        <v>21</v>
      </c>
      <c r="H116" s="35" t="s">
        <v>21</v>
      </c>
      <c r="I116" s="36"/>
      <c r="J116" s="36"/>
      <c r="K116" s="36"/>
      <c r="L116" s="36"/>
      <c r="M116" s="36"/>
      <c r="N116" s="36"/>
      <c r="O116" s="36"/>
      <c r="P116" s="36"/>
      <c r="Q116" s="36"/>
      <c r="R116" s="37">
        <v>7350057584859</v>
      </c>
      <c r="S116" s="38"/>
      <c r="T116" s="38"/>
      <c r="U116" s="38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6"/>
      <c r="BQ116" s="6"/>
      <c r="BR116" s="6"/>
      <c r="BS116" s="6"/>
      <c r="BT116" s="6"/>
      <c r="BU116" s="6"/>
      <c r="BV116" s="6"/>
      <c r="BW116" s="6"/>
      <c r="BX116" s="6"/>
      <c r="BY116" s="6"/>
      <c r="BZ116" s="6"/>
      <c r="CA116" s="6"/>
      <c r="CB116" s="6"/>
      <c r="CC116" s="6"/>
      <c r="CD116" s="6"/>
      <c r="CE116" s="6"/>
      <c r="CF116" s="6"/>
      <c r="CG116" s="6"/>
      <c r="CH116" s="6"/>
      <c r="CI116" s="6"/>
      <c r="CJ116" s="6"/>
      <c r="CK116" s="6"/>
      <c r="CL116" s="6"/>
      <c r="CM116" s="6"/>
      <c r="CN116" s="6"/>
      <c r="CO116" s="6"/>
      <c r="CP116" s="6"/>
      <c r="CQ116" s="6"/>
      <c r="CR116" s="6"/>
      <c r="CS116" s="6"/>
      <c r="CT116" s="6"/>
      <c r="CU116" s="6"/>
      <c r="CV116" s="6"/>
      <c r="CW116" s="6"/>
      <c r="CX116" s="6"/>
      <c r="CY116" s="6"/>
      <c r="CZ116" s="6"/>
      <c r="DA116" s="6"/>
      <c r="DB116" s="6"/>
      <c r="DC116" s="6"/>
      <c r="DD116" s="6"/>
      <c r="DE116" s="6"/>
      <c r="DF116" s="6"/>
      <c r="DG116" s="6"/>
      <c r="DH116" s="6"/>
      <c r="DI116" s="6"/>
      <c r="DJ116" s="6"/>
      <c r="DK116" s="6"/>
      <c r="DL116" s="6"/>
      <c r="DM116" s="6"/>
      <c r="DN116" s="6"/>
      <c r="DO116" s="6"/>
      <c r="DP116" s="6"/>
      <c r="DQ116" s="6"/>
      <c r="DR116" s="6"/>
      <c r="DS116" s="6"/>
      <c r="DT116" s="6"/>
      <c r="DU116" s="6"/>
      <c r="DV116" s="6"/>
      <c r="DW116" s="6"/>
      <c r="DX116" s="6"/>
      <c r="DY116" s="6"/>
      <c r="DZ116" s="6"/>
      <c r="EA116" s="6"/>
      <c r="EB116" s="6"/>
      <c r="EC116" s="6"/>
      <c r="ED116" s="6"/>
      <c r="EE116" s="6"/>
      <c r="EF116" s="6"/>
      <c r="EG116" s="6"/>
      <c r="EH116" s="6"/>
      <c r="EI116" s="6"/>
      <c r="EJ116" s="6"/>
      <c r="EK116" s="6"/>
      <c r="EL116" s="6"/>
      <c r="EM116" s="6"/>
      <c r="EN116" s="6"/>
      <c r="EO116" s="6"/>
      <c r="EP116" s="6"/>
      <c r="EQ116" s="6"/>
      <c r="ER116" s="6"/>
      <c r="ES116" s="6"/>
      <c r="ET116" s="6"/>
      <c r="EU116" s="6"/>
      <c r="EV116" s="6"/>
      <c r="EW116" s="6"/>
      <c r="EX116" s="6"/>
      <c r="EY116" s="6"/>
      <c r="EZ116" s="6"/>
      <c r="FA116" s="6"/>
      <c r="FB116" s="6"/>
      <c r="FC116" s="6"/>
      <c r="FD116" s="6"/>
      <c r="FE116" s="6"/>
      <c r="FF116" s="6"/>
      <c r="FG116" s="6"/>
      <c r="FH116" s="6"/>
      <c r="FI116" s="6"/>
      <c r="FJ116" s="6"/>
      <c r="FK116" s="6"/>
      <c r="FL116" s="6"/>
      <c r="FM116" s="6"/>
      <c r="FN116" s="6"/>
      <c r="FO116" s="6"/>
      <c r="FP116" s="6"/>
      <c r="FQ116" s="6"/>
      <c r="FR116" s="6"/>
      <c r="FS116" s="6"/>
      <c r="FT116" s="6"/>
      <c r="FU116" s="6"/>
      <c r="FV116" s="6"/>
      <c r="FW116" s="6"/>
      <c r="FX116" s="6"/>
      <c r="FY116" s="6"/>
      <c r="FZ116" s="6"/>
      <c r="GA116" s="6"/>
      <c r="GB116" s="6"/>
      <c r="GC116" s="6"/>
      <c r="GD116" s="6"/>
      <c r="GE116" s="6"/>
      <c r="GF116" s="6"/>
      <c r="GG116" s="6"/>
      <c r="GH116" s="6"/>
      <c r="GI116" s="6"/>
      <c r="GJ116" s="6"/>
      <c r="GK116" s="6"/>
      <c r="GL116" s="6"/>
      <c r="GM116" s="6"/>
      <c r="GN116" s="6"/>
      <c r="GO116" s="6"/>
      <c r="GP116" s="6"/>
      <c r="GQ116" s="6"/>
      <c r="GR116" s="6"/>
      <c r="GS116" s="6"/>
      <c r="GT116" s="6"/>
      <c r="GU116" s="6"/>
      <c r="GV116" s="6"/>
      <c r="GW116" s="6"/>
      <c r="GX116" s="6"/>
      <c r="GY116" s="6"/>
      <c r="GZ116" s="6"/>
      <c r="HA116" s="6"/>
      <c r="HB116" s="6"/>
      <c r="HC116" s="6"/>
      <c r="HD116" s="6"/>
      <c r="HE116" s="6"/>
      <c r="HF116" s="6"/>
      <c r="HG116" s="6"/>
      <c r="HH116" s="6"/>
      <c r="HI116" s="6"/>
      <c r="HJ116" s="6"/>
      <c r="HK116" s="6"/>
      <c r="HL116" s="6"/>
      <c r="HM116" s="6"/>
      <c r="HN116" s="6"/>
      <c r="HO116" s="6"/>
      <c r="HP116" s="6"/>
      <c r="HQ116" s="6"/>
      <c r="HR116" s="6"/>
      <c r="HS116" s="6"/>
      <c r="HT116" s="6"/>
      <c r="HU116" s="6"/>
      <c r="HV116" s="6"/>
      <c r="HW116" s="6"/>
      <c r="HX116" s="6"/>
      <c r="HY116" s="6"/>
      <c r="HZ116" s="6"/>
      <c r="IA116" s="6"/>
      <c r="IB116" s="6"/>
      <c r="IC116" s="6"/>
      <c r="ID116" s="6"/>
      <c r="IE116" s="6"/>
      <c r="IF116" s="6"/>
      <c r="IG116" s="6"/>
      <c r="IH116" s="6"/>
      <c r="II116" s="6"/>
      <c r="IJ116" s="6"/>
      <c r="IK116" s="6"/>
      <c r="IL116" s="6"/>
      <c r="IM116" s="6"/>
      <c r="IN116" s="6"/>
      <c r="IO116" s="6"/>
      <c r="IP116" s="6"/>
      <c r="IQ116" s="6"/>
      <c r="IR116" s="6"/>
      <c r="IS116" s="6"/>
      <c r="IT116" s="6"/>
      <c r="IU116" s="6"/>
      <c r="IV116" s="6"/>
      <c r="IW116" s="6"/>
      <c r="IX116" s="6"/>
      <c r="IY116" s="6"/>
      <c r="IZ116" s="6"/>
      <c r="JA116" s="6"/>
      <c r="JB116" s="6"/>
      <c r="JC116" s="6"/>
      <c r="JD116" s="6"/>
      <c r="JE116" s="6"/>
      <c r="JF116" s="6"/>
      <c r="JG116" s="6"/>
      <c r="JH116" s="6"/>
      <c r="JI116" s="6"/>
      <c r="JJ116" s="6"/>
      <c r="JK116" s="6"/>
      <c r="JL116" s="6"/>
      <c r="JM116" s="6"/>
      <c r="JN116" s="6"/>
      <c r="JO116" s="6"/>
      <c r="JP116" s="6"/>
      <c r="JQ116" s="6"/>
      <c r="JR116" s="6"/>
      <c r="JS116" s="6"/>
      <c r="JT116" s="6"/>
      <c r="JU116" s="6"/>
      <c r="JV116" s="6"/>
      <c r="JW116" s="6"/>
      <c r="JX116" s="6"/>
      <c r="JY116" s="6"/>
      <c r="JZ116" s="6"/>
      <c r="KA116" s="6"/>
      <c r="KB116" s="6"/>
      <c r="KC116" s="6"/>
      <c r="KD116" s="6"/>
      <c r="KE116" s="6"/>
      <c r="KF116" s="6"/>
      <c r="KG116" s="6"/>
      <c r="KH116" s="6"/>
      <c r="KI116" s="6"/>
      <c r="KJ116" s="6"/>
      <c r="KK116" s="6"/>
      <c r="KL116" s="6"/>
      <c r="KM116" s="6"/>
      <c r="KN116" s="6"/>
      <c r="KO116" s="6"/>
      <c r="KP116" s="6"/>
      <c r="KQ116" s="6"/>
      <c r="KR116" s="6"/>
      <c r="KS116" s="6"/>
      <c r="KT116" s="6"/>
      <c r="KU116" s="6"/>
      <c r="KV116" s="6"/>
      <c r="KW116" s="6"/>
      <c r="KX116" s="6"/>
      <c r="KY116" s="6"/>
      <c r="KZ116" s="6"/>
      <c r="LA116" s="6"/>
      <c r="LB116" s="6"/>
      <c r="LC116" s="6"/>
      <c r="LD116" s="6"/>
      <c r="LE116" s="6"/>
      <c r="LF116" s="6"/>
      <c r="LG116" s="6"/>
      <c r="LH116" s="6"/>
      <c r="LI116" s="6"/>
      <c r="LJ116" s="6"/>
      <c r="LK116" s="6"/>
      <c r="LL116" s="6"/>
      <c r="LM116" s="6"/>
      <c r="LN116" s="6"/>
      <c r="LO116" s="6"/>
      <c r="LP116" s="6"/>
      <c r="LQ116" s="6"/>
    </row>
    <row r="117" spans="1:329" s="7" customFormat="1" ht="15" customHeight="1" x14ac:dyDescent="0.25">
      <c r="A117" s="75">
        <v>1101928</v>
      </c>
      <c r="B117" s="32" t="s">
        <v>244</v>
      </c>
      <c r="C117" s="33" t="str">
        <f>VLOOKUP(A117,Artikeldaten!A:B,2,0)</f>
        <v xml:space="preserve">Verstellknopf Stützfuß - Axkid One </v>
      </c>
      <c r="D117" s="34">
        <v>3</v>
      </c>
      <c r="E117" s="34">
        <f t="shared" si="2"/>
        <v>5.0420168067226889</v>
      </c>
      <c r="F117" s="34">
        <f t="shared" si="3"/>
        <v>6</v>
      </c>
      <c r="G117" s="35" t="s">
        <v>21</v>
      </c>
      <c r="H117" s="35" t="s">
        <v>21</v>
      </c>
      <c r="I117" s="36"/>
      <c r="J117" s="36"/>
      <c r="K117" s="36"/>
      <c r="L117" s="36"/>
      <c r="M117" s="36"/>
      <c r="N117" s="36"/>
      <c r="O117" s="36"/>
      <c r="P117" s="36"/>
      <c r="Q117" s="36"/>
      <c r="R117" s="37">
        <v>7350057584866</v>
      </c>
      <c r="S117" s="38"/>
      <c r="T117" s="38"/>
      <c r="U117" s="38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6"/>
      <c r="BQ117" s="6"/>
      <c r="BR117" s="6"/>
      <c r="BS117" s="6"/>
      <c r="BT117" s="6"/>
      <c r="BU117" s="6"/>
      <c r="BV117" s="6"/>
      <c r="BW117" s="6"/>
      <c r="BX117" s="6"/>
      <c r="BY117" s="6"/>
      <c r="BZ117" s="6"/>
      <c r="CA117" s="6"/>
      <c r="CB117" s="6"/>
      <c r="CC117" s="6"/>
      <c r="CD117" s="6"/>
      <c r="CE117" s="6"/>
      <c r="CF117" s="6"/>
      <c r="CG117" s="6"/>
      <c r="CH117" s="6"/>
      <c r="CI117" s="6"/>
      <c r="CJ117" s="6"/>
      <c r="CK117" s="6"/>
      <c r="CL117" s="6"/>
      <c r="CM117" s="6"/>
      <c r="CN117" s="6"/>
      <c r="CO117" s="6"/>
      <c r="CP117" s="6"/>
      <c r="CQ117" s="6"/>
      <c r="CR117" s="6"/>
      <c r="CS117" s="6"/>
      <c r="CT117" s="6"/>
      <c r="CU117" s="6"/>
      <c r="CV117" s="6"/>
      <c r="CW117" s="6"/>
      <c r="CX117" s="6"/>
      <c r="CY117" s="6"/>
      <c r="CZ117" s="6"/>
      <c r="DA117" s="6"/>
      <c r="DB117" s="6"/>
      <c r="DC117" s="6"/>
      <c r="DD117" s="6"/>
      <c r="DE117" s="6"/>
      <c r="DF117" s="6"/>
      <c r="DG117" s="6"/>
      <c r="DH117" s="6"/>
      <c r="DI117" s="6"/>
      <c r="DJ117" s="6"/>
      <c r="DK117" s="6"/>
      <c r="DL117" s="6"/>
      <c r="DM117" s="6"/>
      <c r="DN117" s="6"/>
      <c r="DO117" s="6"/>
      <c r="DP117" s="6"/>
      <c r="DQ117" s="6"/>
      <c r="DR117" s="6"/>
      <c r="DS117" s="6"/>
      <c r="DT117" s="6"/>
      <c r="DU117" s="6"/>
      <c r="DV117" s="6"/>
      <c r="DW117" s="6"/>
      <c r="DX117" s="6"/>
      <c r="DY117" s="6"/>
      <c r="DZ117" s="6"/>
      <c r="EA117" s="6"/>
      <c r="EB117" s="6"/>
      <c r="EC117" s="6"/>
      <c r="ED117" s="6"/>
      <c r="EE117" s="6"/>
      <c r="EF117" s="6"/>
      <c r="EG117" s="6"/>
      <c r="EH117" s="6"/>
      <c r="EI117" s="6"/>
      <c r="EJ117" s="6"/>
      <c r="EK117" s="6"/>
      <c r="EL117" s="6"/>
      <c r="EM117" s="6"/>
      <c r="EN117" s="6"/>
      <c r="EO117" s="6"/>
      <c r="EP117" s="6"/>
      <c r="EQ117" s="6"/>
      <c r="ER117" s="6"/>
      <c r="ES117" s="6"/>
      <c r="ET117" s="6"/>
      <c r="EU117" s="6"/>
      <c r="EV117" s="6"/>
      <c r="EW117" s="6"/>
      <c r="EX117" s="6"/>
      <c r="EY117" s="6"/>
      <c r="EZ117" s="6"/>
      <c r="FA117" s="6"/>
      <c r="FB117" s="6"/>
      <c r="FC117" s="6"/>
      <c r="FD117" s="6"/>
      <c r="FE117" s="6"/>
      <c r="FF117" s="6"/>
      <c r="FG117" s="6"/>
      <c r="FH117" s="6"/>
      <c r="FI117" s="6"/>
      <c r="FJ117" s="6"/>
      <c r="FK117" s="6"/>
      <c r="FL117" s="6"/>
      <c r="FM117" s="6"/>
      <c r="FN117" s="6"/>
      <c r="FO117" s="6"/>
      <c r="FP117" s="6"/>
      <c r="FQ117" s="6"/>
      <c r="FR117" s="6"/>
      <c r="FS117" s="6"/>
      <c r="FT117" s="6"/>
      <c r="FU117" s="6"/>
      <c r="FV117" s="6"/>
      <c r="FW117" s="6"/>
      <c r="FX117" s="6"/>
      <c r="FY117" s="6"/>
      <c r="FZ117" s="6"/>
      <c r="GA117" s="6"/>
      <c r="GB117" s="6"/>
      <c r="GC117" s="6"/>
      <c r="GD117" s="6"/>
      <c r="GE117" s="6"/>
      <c r="GF117" s="6"/>
      <c r="GG117" s="6"/>
      <c r="GH117" s="6"/>
      <c r="GI117" s="6"/>
      <c r="GJ117" s="6"/>
      <c r="GK117" s="6"/>
      <c r="GL117" s="6"/>
      <c r="GM117" s="6"/>
      <c r="GN117" s="6"/>
      <c r="GO117" s="6"/>
      <c r="GP117" s="6"/>
      <c r="GQ117" s="6"/>
      <c r="GR117" s="6"/>
      <c r="GS117" s="6"/>
      <c r="GT117" s="6"/>
      <c r="GU117" s="6"/>
      <c r="GV117" s="6"/>
      <c r="GW117" s="6"/>
      <c r="GX117" s="6"/>
      <c r="GY117" s="6"/>
      <c r="GZ117" s="6"/>
      <c r="HA117" s="6"/>
      <c r="HB117" s="6"/>
      <c r="HC117" s="6"/>
      <c r="HD117" s="6"/>
      <c r="HE117" s="6"/>
      <c r="HF117" s="6"/>
      <c r="HG117" s="6"/>
      <c r="HH117" s="6"/>
      <c r="HI117" s="6"/>
      <c r="HJ117" s="6"/>
      <c r="HK117" s="6"/>
      <c r="HL117" s="6"/>
      <c r="HM117" s="6"/>
      <c r="HN117" s="6"/>
      <c r="HO117" s="6"/>
      <c r="HP117" s="6"/>
      <c r="HQ117" s="6"/>
      <c r="HR117" s="6"/>
      <c r="HS117" s="6"/>
      <c r="HT117" s="6"/>
      <c r="HU117" s="6"/>
      <c r="HV117" s="6"/>
      <c r="HW117" s="6"/>
      <c r="HX117" s="6"/>
      <c r="HY117" s="6"/>
      <c r="HZ117" s="6"/>
      <c r="IA117" s="6"/>
      <c r="IB117" s="6"/>
      <c r="IC117" s="6"/>
      <c r="ID117" s="6"/>
      <c r="IE117" s="6"/>
      <c r="IF117" s="6"/>
      <c r="IG117" s="6"/>
      <c r="IH117" s="6"/>
      <c r="II117" s="6"/>
      <c r="IJ117" s="6"/>
      <c r="IK117" s="6"/>
      <c r="IL117" s="6"/>
      <c r="IM117" s="6"/>
      <c r="IN117" s="6"/>
      <c r="IO117" s="6"/>
      <c r="IP117" s="6"/>
      <c r="IQ117" s="6"/>
      <c r="IR117" s="6"/>
      <c r="IS117" s="6"/>
      <c r="IT117" s="6"/>
      <c r="IU117" s="6"/>
      <c r="IV117" s="6"/>
      <c r="IW117" s="6"/>
      <c r="IX117" s="6"/>
      <c r="IY117" s="6"/>
      <c r="IZ117" s="6"/>
      <c r="JA117" s="6"/>
      <c r="JB117" s="6"/>
      <c r="JC117" s="6"/>
      <c r="JD117" s="6"/>
      <c r="JE117" s="6"/>
      <c r="JF117" s="6"/>
      <c r="JG117" s="6"/>
      <c r="JH117" s="6"/>
      <c r="JI117" s="6"/>
      <c r="JJ117" s="6"/>
      <c r="JK117" s="6"/>
      <c r="JL117" s="6"/>
      <c r="JM117" s="6"/>
      <c r="JN117" s="6"/>
      <c r="JO117" s="6"/>
      <c r="JP117" s="6"/>
      <c r="JQ117" s="6"/>
      <c r="JR117" s="6"/>
      <c r="JS117" s="6"/>
      <c r="JT117" s="6"/>
      <c r="JU117" s="6"/>
      <c r="JV117" s="6"/>
      <c r="JW117" s="6"/>
      <c r="JX117" s="6"/>
      <c r="JY117" s="6"/>
      <c r="JZ117" s="6"/>
      <c r="KA117" s="6"/>
      <c r="KB117" s="6"/>
      <c r="KC117" s="6"/>
      <c r="KD117" s="6"/>
      <c r="KE117" s="6"/>
      <c r="KF117" s="6"/>
      <c r="KG117" s="6"/>
      <c r="KH117" s="6"/>
      <c r="KI117" s="6"/>
      <c r="KJ117" s="6"/>
      <c r="KK117" s="6"/>
      <c r="KL117" s="6"/>
      <c r="KM117" s="6"/>
      <c r="KN117" s="6"/>
      <c r="KO117" s="6"/>
      <c r="KP117" s="6"/>
      <c r="KQ117" s="6"/>
      <c r="KR117" s="6"/>
      <c r="KS117" s="6"/>
      <c r="KT117" s="6"/>
      <c r="KU117" s="6"/>
      <c r="KV117" s="6"/>
      <c r="KW117" s="6"/>
      <c r="KX117" s="6"/>
      <c r="KY117" s="6"/>
      <c r="KZ117" s="6"/>
      <c r="LA117" s="6"/>
      <c r="LB117" s="6"/>
      <c r="LC117" s="6"/>
      <c r="LD117" s="6"/>
      <c r="LE117" s="6"/>
      <c r="LF117" s="6"/>
      <c r="LG117" s="6"/>
      <c r="LH117" s="6"/>
      <c r="LI117" s="6"/>
      <c r="LJ117" s="6"/>
      <c r="LK117" s="6"/>
      <c r="LL117" s="6"/>
      <c r="LM117" s="6"/>
      <c r="LN117" s="6"/>
      <c r="LO117" s="6"/>
      <c r="LP117" s="6"/>
      <c r="LQ117" s="6"/>
    </row>
    <row r="118" spans="1:329" s="7" customFormat="1" ht="15" customHeight="1" x14ac:dyDescent="0.25">
      <c r="A118" s="76">
        <v>1101929</v>
      </c>
      <c r="B118" s="32"/>
      <c r="C118" s="33" t="str">
        <f>VLOOKUP(A118,Artikeldaten!A:B,2,0)</f>
        <v xml:space="preserve">Gurt für Stützfuß - Axkid One </v>
      </c>
      <c r="D118" s="34">
        <v>3</v>
      </c>
      <c r="E118" s="34">
        <f t="shared" si="2"/>
        <v>5.0420168067226889</v>
      </c>
      <c r="F118" s="34">
        <f t="shared" si="3"/>
        <v>6</v>
      </c>
      <c r="G118" s="35" t="s">
        <v>21</v>
      </c>
      <c r="H118" s="35" t="s">
        <v>21</v>
      </c>
      <c r="I118" s="36"/>
      <c r="J118" s="36"/>
      <c r="K118" s="36"/>
      <c r="L118" s="36"/>
      <c r="M118" s="36"/>
      <c r="N118" s="36"/>
      <c r="O118" s="36"/>
      <c r="P118" s="36"/>
      <c r="Q118" s="36"/>
      <c r="R118" s="37">
        <v>7350057584873</v>
      </c>
      <c r="S118" s="38"/>
      <c r="T118" s="38"/>
      <c r="U118" s="38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6"/>
      <c r="BQ118" s="6"/>
      <c r="BR118" s="6"/>
      <c r="BS118" s="6"/>
      <c r="BT118" s="6"/>
      <c r="BU118" s="6"/>
      <c r="BV118" s="6"/>
      <c r="BW118" s="6"/>
      <c r="BX118" s="6"/>
      <c r="BY118" s="6"/>
      <c r="BZ118" s="6"/>
      <c r="CA118" s="6"/>
      <c r="CB118" s="6"/>
      <c r="CC118" s="6"/>
      <c r="CD118" s="6"/>
      <c r="CE118" s="6"/>
      <c r="CF118" s="6"/>
      <c r="CG118" s="6"/>
      <c r="CH118" s="6"/>
      <c r="CI118" s="6"/>
      <c r="CJ118" s="6"/>
      <c r="CK118" s="6"/>
      <c r="CL118" s="6"/>
      <c r="CM118" s="6"/>
      <c r="CN118" s="6"/>
      <c r="CO118" s="6"/>
      <c r="CP118" s="6"/>
      <c r="CQ118" s="6"/>
      <c r="CR118" s="6"/>
      <c r="CS118" s="6"/>
      <c r="CT118" s="6"/>
      <c r="CU118" s="6"/>
      <c r="CV118" s="6"/>
      <c r="CW118" s="6"/>
      <c r="CX118" s="6"/>
      <c r="CY118" s="6"/>
      <c r="CZ118" s="6"/>
      <c r="DA118" s="6"/>
      <c r="DB118" s="6"/>
      <c r="DC118" s="6"/>
      <c r="DD118" s="6"/>
      <c r="DE118" s="6"/>
      <c r="DF118" s="6"/>
      <c r="DG118" s="6"/>
      <c r="DH118" s="6"/>
      <c r="DI118" s="6"/>
      <c r="DJ118" s="6"/>
      <c r="DK118" s="6"/>
      <c r="DL118" s="6"/>
      <c r="DM118" s="6"/>
      <c r="DN118" s="6"/>
      <c r="DO118" s="6"/>
      <c r="DP118" s="6"/>
      <c r="DQ118" s="6"/>
      <c r="DR118" s="6"/>
      <c r="DS118" s="6"/>
      <c r="DT118" s="6"/>
      <c r="DU118" s="6"/>
      <c r="DV118" s="6"/>
      <c r="DW118" s="6"/>
      <c r="DX118" s="6"/>
      <c r="DY118" s="6"/>
      <c r="DZ118" s="6"/>
      <c r="EA118" s="6"/>
      <c r="EB118" s="6"/>
      <c r="EC118" s="6"/>
      <c r="ED118" s="6"/>
      <c r="EE118" s="6"/>
      <c r="EF118" s="6"/>
      <c r="EG118" s="6"/>
      <c r="EH118" s="6"/>
      <c r="EI118" s="6"/>
      <c r="EJ118" s="6"/>
      <c r="EK118" s="6"/>
      <c r="EL118" s="6"/>
      <c r="EM118" s="6"/>
      <c r="EN118" s="6"/>
      <c r="EO118" s="6"/>
      <c r="EP118" s="6"/>
      <c r="EQ118" s="6"/>
      <c r="ER118" s="6"/>
      <c r="ES118" s="6"/>
      <c r="ET118" s="6"/>
      <c r="EU118" s="6"/>
      <c r="EV118" s="6"/>
      <c r="EW118" s="6"/>
      <c r="EX118" s="6"/>
      <c r="EY118" s="6"/>
      <c r="EZ118" s="6"/>
      <c r="FA118" s="6"/>
      <c r="FB118" s="6"/>
      <c r="FC118" s="6"/>
      <c r="FD118" s="6"/>
      <c r="FE118" s="6"/>
      <c r="FF118" s="6"/>
      <c r="FG118" s="6"/>
      <c r="FH118" s="6"/>
      <c r="FI118" s="6"/>
      <c r="FJ118" s="6"/>
      <c r="FK118" s="6"/>
      <c r="FL118" s="6"/>
      <c r="FM118" s="6"/>
      <c r="FN118" s="6"/>
      <c r="FO118" s="6"/>
      <c r="FP118" s="6"/>
      <c r="FQ118" s="6"/>
      <c r="FR118" s="6"/>
      <c r="FS118" s="6"/>
      <c r="FT118" s="6"/>
      <c r="FU118" s="6"/>
      <c r="FV118" s="6"/>
      <c r="FW118" s="6"/>
      <c r="FX118" s="6"/>
      <c r="FY118" s="6"/>
      <c r="FZ118" s="6"/>
      <c r="GA118" s="6"/>
      <c r="GB118" s="6"/>
      <c r="GC118" s="6"/>
      <c r="GD118" s="6"/>
      <c r="GE118" s="6"/>
      <c r="GF118" s="6"/>
      <c r="GG118" s="6"/>
      <c r="GH118" s="6"/>
      <c r="GI118" s="6"/>
      <c r="GJ118" s="6"/>
      <c r="GK118" s="6"/>
      <c r="GL118" s="6"/>
      <c r="GM118" s="6"/>
      <c r="GN118" s="6"/>
      <c r="GO118" s="6"/>
      <c r="GP118" s="6"/>
      <c r="GQ118" s="6"/>
      <c r="GR118" s="6"/>
      <c r="GS118" s="6"/>
      <c r="GT118" s="6"/>
      <c r="GU118" s="6"/>
      <c r="GV118" s="6"/>
      <c r="GW118" s="6"/>
      <c r="GX118" s="6"/>
      <c r="GY118" s="6"/>
      <c r="GZ118" s="6"/>
      <c r="HA118" s="6"/>
      <c r="HB118" s="6"/>
      <c r="HC118" s="6"/>
      <c r="HD118" s="6"/>
      <c r="HE118" s="6"/>
      <c r="HF118" s="6"/>
      <c r="HG118" s="6"/>
      <c r="HH118" s="6"/>
      <c r="HI118" s="6"/>
      <c r="HJ118" s="6"/>
      <c r="HK118" s="6"/>
      <c r="HL118" s="6"/>
      <c r="HM118" s="6"/>
      <c r="HN118" s="6"/>
      <c r="HO118" s="6"/>
      <c r="HP118" s="6"/>
      <c r="HQ118" s="6"/>
      <c r="HR118" s="6"/>
      <c r="HS118" s="6"/>
      <c r="HT118" s="6"/>
      <c r="HU118" s="6"/>
      <c r="HV118" s="6"/>
      <c r="HW118" s="6"/>
      <c r="HX118" s="6"/>
      <c r="HY118" s="6"/>
      <c r="HZ118" s="6"/>
      <c r="IA118" s="6"/>
      <c r="IB118" s="6"/>
      <c r="IC118" s="6"/>
      <c r="ID118" s="6"/>
      <c r="IE118" s="6"/>
      <c r="IF118" s="6"/>
      <c r="IG118" s="6"/>
      <c r="IH118" s="6"/>
      <c r="II118" s="6"/>
      <c r="IJ118" s="6"/>
      <c r="IK118" s="6"/>
      <c r="IL118" s="6"/>
      <c r="IM118" s="6"/>
      <c r="IN118" s="6"/>
      <c r="IO118" s="6"/>
      <c r="IP118" s="6"/>
      <c r="IQ118" s="6"/>
      <c r="IR118" s="6"/>
      <c r="IS118" s="6"/>
      <c r="IT118" s="6"/>
      <c r="IU118" s="6"/>
      <c r="IV118" s="6"/>
      <c r="IW118" s="6"/>
      <c r="IX118" s="6"/>
      <c r="IY118" s="6"/>
      <c r="IZ118" s="6"/>
      <c r="JA118" s="6"/>
      <c r="JB118" s="6"/>
      <c r="JC118" s="6"/>
      <c r="JD118" s="6"/>
      <c r="JE118" s="6"/>
      <c r="JF118" s="6"/>
      <c r="JG118" s="6"/>
      <c r="JH118" s="6"/>
      <c r="JI118" s="6"/>
      <c r="JJ118" s="6"/>
      <c r="JK118" s="6"/>
      <c r="JL118" s="6"/>
      <c r="JM118" s="6"/>
      <c r="JN118" s="6"/>
      <c r="JO118" s="6"/>
      <c r="JP118" s="6"/>
      <c r="JQ118" s="6"/>
      <c r="JR118" s="6"/>
      <c r="JS118" s="6"/>
      <c r="JT118" s="6"/>
      <c r="JU118" s="6"/>
      <c r="JV118" s="6"/>
      <c r="JW118" s="6"/>
      <c r="JX118" s="6"/>
      <c r="JY118" s="6"/>
      <c r="JZ118" s="6"/>
      <c r="KA118" s="6"/>
      <c r="KB118" s="6"/>
      <c r="KC118" s="6"/>
      <c r="KD118" s="6"/>
      <c r="KE118" s="6"/>
      <c r="KF118" s="6"/>
      <c r="KG118" s="6"/>
      <c r="KH118" s="6"/>
      <c r="KI118" s="6"/>
      <c r="KJ118" s="6"/>
      <c r="KK118" s="6"/>
      <c r="KL118" s="6"/>
      <c r="KM118" s="6"/>
      <c r="KN118" s="6"/>
      <c r="KO118" s="6"/>
      <c r="KP118" s="6"/>
      <c r="KQ118" s="6"/>
      <c r="KR118" s="6"/>
      <c r="KS118" s="6"/>
      <c r="KT118" s="6"/>
      <c r="KU118" s="6"/>
      <c r="KV118" s="6"/>
      <c r="KW118" s="6"/>
      <c r="KX118" s="6"/>
      <c r="KY118" s="6"/>
      <c r="KZ118" s="6"/>
      <c r="LA118" s="6"/>
      <c r="LB118" s="6"/>
      <c r="LC118" s="6"/>
      <c r="LD118" s="6"/>
      <c r="LE118" s="6"/>
      <c r="LF118" s="6"/>
      <c r="LG118" s="6"/>
      <c r="LH118" s="6"/>
      <c r="LI118" s="6"/>
      <c r="LJ118" s="6"/>
      <c r="LK118" s="6"/>
      <c r="LL118" s="6"/>
      <c r="LM118" s="6"/>
      <c r="LN118" s="6"/>
      <c r="LO118" s="6"/>
      <c r="LP118" s="6"/>
      <c r="LQ118" s="6"/>
    </row>
    <row r="119" spans="1:329" s="7" customFormat="1" ht="15" customHeight="1" x14ac:dyDescent="0.25">
      <c r="A119" s="76">
        <v>1101931</v>
      </c>
      <c r="B119" s="50" t="s">
        <v>247</v>
      </c>
      <c r="C119" s="33" t="str">
        <f>VLOOKUP(A119,Artikeldaten!A:B,2,0)</f>
        <v>ASIP [Seitenaufprallschutz] - Axkid One</v>
      </c>
      <c r="D119" s="34"/>
      <c r="E119" s="34">
        <f t="shared" si="2"/>
        <v>0</v>
      </c>
      <c r="F119" s="34">
        <f t="shared" si="3"/>
        <v>0</v>
      </c>
      <c r="G119" s="35"/>
      <c r="H119" s="35"/>
      <c r="I119" s="36"/>
      <c r="J119" s="36"/>
      <c r="K119" s="36"/>
      <c r="L119" s="36"/>
      <c r="M119" s="36"/>
      <c r="N119" s="36"/>
      <c r="O119" s="36"/>
      <c r="P119" s="36"/>
      <c r="Q119" s="36"/>
      <c r="R119" s="37"/>
      <c r="S119" s="38"/>
      <c r="T119" s="38"/>
      <c r="U119" s="38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  <c r="BP119" s="6"/>
      <c r="BQ119" s="6"/>
      <c r="BR119" s="6"/>
      <c r="BS119" s="6"/>
      <c r="BT119" s="6"/>
      <c r="BU119" s="6"/>
      <c r="BV119" s="6"/>
      <c r="BW119" s="6"/>
      <c r="BX119" s="6"/>
      <c r="BY119" s="6"/>
      <c r="BZ119" s="6"/>
      <c r="CA119" s="6"/>
      <c r="CB119" s="6"/>
      <c r="CC119" s="6"/>
      <c r="CD119" s="6"/>
      <c r="CE119" s="6"/>
      <c r="CF119" s="6"/>
      <c r="CG119" s="6"/>
      <c r="CH119" s="6"/>
      <c r="CI119" s="6"/>
      <c r="CJ119" s="6"/>
      <c r="CK119" s="6"/>
      <c r="CL119" s="6"/>
      <c r="CM119" s="6"/>
      <c r="CN119" s="6"/>
      <c r="CO119" s="6"/>
      <c r="CP119" s="6"/>
      <c r="CQ119" s="6"/>
      <c r="CR119" s="6"/>
      <c r="CS119" s="6"/>
      <c r="CT119" s="6"/>
      <c r="CU119" s="6"/>
      <c r="CV119" s="6"/>
      <c r="CW119" s="6"/>
      <c r="CX119" s="6"/>
      <c r="CY119" s="6"/>
      <c r="CZ119" s="6"/>
      <c r="DA119" s="6"/>
      <c r="DB119" s="6"/>
      <c r="DC119" s="6"/>
      <c r="DD119" s="6"/>
      <c r="DE119" s="6"/>
      <c r="DF119" s="6"/>
      <c r="DG119" s="6"/>
      <c r="DH119" s="6"/>
      <c r="DI119" s="6"/>
      <c r="DJ119" s="6"/>
      <c r="DK119" s="6"/>
      <c r="DL119" s="6"/>
      <c r="DM119" s="6"/>
      <c r="DN119" s="6"/>
      <c r="DO119" s="6"/>
      <c r="DP119" s="6"/>
      <c r="DQ119" s="6"/>
      <c r="DR119" s="6"/>
      <c r="DS119" s="6"/>
      <c r="DT119" s="6"/>
      <c r="DU119" s="6"/>
      <c r="DV119" s="6"/>
      <c r="DW119" s="6"/>
      <c r="DX119" s="6"/>
      <c r="DY119" s="6"/>
      <c r="DZ119" s="6"/>
      <c r="EA119" s="6"/>
      <c r="EB119" s="6"/>
      <c r="EC119" s="6"/>
      <c r="ED119" s="6"/>
      <c r="EE119" s="6"/>
      <c r="EF119" s="6"/>
      <c r="EG119" s="6"/>
      <c r="EH119" s="6"/>
      <c r="EI119" s="6"/>
      <c r="EJ119" s="6"/>
      <c r="EK119" s="6"/>
      <c r="EL119" s="6"/>
      <c r="EM119" s="6"/>
      <c r="EN119" s="6"/>
      <c r="EO119" s="6"/>
      <c r="EP119" s="6"/>
      <c r="EQ119" s="6"/>
      <c r="ER119" s="6"/>
      <c r="ES119" s="6"/>
      <c r="ET119" s="6"/>
      <c r="EU119" s="6"/>
      <c r="EV119" s="6"/>
      <c r="EW119" s="6"/>
      <c r="EX119" s="6"/>
      <c r="EY119" s="6"/>
      <c r="EZ119" s="6"/>
      <c r="FA119" s="6"/>
      <c r="FB119" s="6"/>
      <c r="FC119" s="6"/>
      <c r="FD119" s="6"/>
      <c r="FE119" s="6"/>
      <c r="FF119" s="6"/>
      <c r="FG119" s="6"/>
      <c r="FH119" s="6"/>
      <c r="FI119" s="6"/>
      <c r="FJ119" s="6"/>
      <c r="FK119" s="6"/>
      <c r="FL119" s="6"/>
      <c r="FM119" s="6"/>
      <c r="FN119" s="6"/>
      <c r="FO119" s="6"/>
      <c r="FP119" s="6"/>
      <c r="FQ119" s="6"/>
      <c r="FR119" s="6"/>
      <c r="FS119" s="6"/>
      <c r="FT119" s="6"/>
      <c r="FU119" s="6"/>
      <c r="FV119" s="6"/>
      <c r="FW119" s="6"/>
      <c r="FX119" s="6"/>
      <c r="FY119" s="6"/>
      <c r="FZ119" s="6"/>
      <c r="GA119" s="6"/>
      <c r="GB119" s="6"/>
      <c r="GC119" s="6"/>
      <c r="GD119" s="6"/>
      <c r="GE119" s="6"/>
      <c r="GF119" s="6"/>
      <c r="GG119" s="6"/>
      <c r="GH119" s="6"/>
      <c r="GI119" s="6"/>
      <c r="GJ119" s="6"/>
      <c r="GK119" s="6"/>
      <c r="GL119" s="6"/>
      <c r="GM119" s="6"/>
      <c r="GN119" s="6"/>
      <c r="GO119" s="6"/>
      <c r="GP119" s="6"/>
      <c r="GQ119" s="6"/>
      <c r="GR119" s="6"/>
      <c r="GS119" s="6"/>
      <c r="GT119" s="6"/>
      <c r="GU119" s="6"/>
      <c r="GV119" s="6"/>
      <c r="GW119" s="6"/>
      <c r="GX119" s="6"/>
      <c r="GY119" s="6"/>
      <c r="GZ119" s="6"/>
      <c r="HA119" s="6"/>
      <c r="HB119" s="6"/>
      <c r="HC119" s="6"/>
      <c r="HD119" s="6"/>
      <c r="HE119" s="6"/>
      <c r="HF119" s="6"/>
      <c r="HG119" s="6"/>
      <c r="HH119" s="6"/>
      <c r="HI119" s="6"/>
      <c r="HJ119" s="6"/>
      <c r="HK119" s="6"/>
      <c r="HL119" s="6"/>
      <c r="HM119" s="6"/>
      <c r="HN119" s="6"/>
      <c r="HO119" s="6"/>
      <c r="HP119" s="6"/>
      <c r="HQ119" s="6"/>
      <c r="HR119" s="6"/>
      <c r="HS119" s="6"/>
      <c r="HT119" s="6"/>
      <c r="HU119" s="6"/>
      <c r="HV119" s="6"/>
      <c r="HW119" s="6"/>
      <c r="HX119" s="6"/>
      <c r="HY119" s="6"/>
      <c r="HZ119" s="6"/>
      <c r="IA119" s="6"/>
      <c r="IB119" s="6"/>
      <c r="IC119" s="6"/>
      <c r="ID119" s="6"/>
      <c r="IE119" s="6"/>
      <c r="IF119" s="6"/>
      <c r="IG119" s="6"/>
      <c r="IH119" s="6"/>
      <c r="II119" s="6"/>
      <c r="IJ119" s="6"/>
      <c r="IK119" s="6"/>
      <c r="IL119" s="6"/>
      <c r="IM119" s="6"/>
      <c r="IN119" s="6"/>
      <c r="IO119" s="6"/>
      <c r="IP119" s="6"/>
      <c r="IQ119" s="6"/>
      <c r="IR119" s="6"/>
      <c r="IS119" s="6"/>
      <c r="IT119" s="6"/>
      <c r="IU119" s="6"/>
      <c r="IV119" s="6"/>
      <c r="IW119" s="6"/>
      <c r="IX119" s="6"/>
      <c r="IY119" s="6"/>
      <c r="IZ119" s="6"/>
      <c r="JA119" s="6"/>
      <c r="JB119" s="6"/>
      <c r="JC119" s="6"/>
      <c r="JD119" s="6"/>
      <c r="JE119" s="6"/>
      <c r="JF119" s="6"/>
      <c r="JG119" s="6"/>
      <c r="JH119" s="6"/>
      <c r="JI119" s="6"/>
      <c r="JJ119" s="6"/>
      <c r="JK119" s="6"/>
      <c r="JL119" s="6"/>
      <c r="JM119" s="6"/>
      <c r="JN119" s="6"/>
      <c r="JO119" s="6"/>
      <c r="JP119" s="6"/>
      <c r="JQ119" s="6"/>
      <c r="JR119" s="6"/>
      <c r="JS119" s="6"/>
      <c r="JT119" s="6"/>
      <c r="JU119" s="6"/>
      <c r="JV119" s="6"/>
      <c r="JW119" s="6"/>
      <c r="JX119" s="6"/>
      <c r="JY119" s="6"/>
      <c r="JZ119" s="6"/>
      <c r="KA119" s="6"/>
      <c r="KB119" s="6"/>
      <c r="KC119" s="6"/>
      <c r="KD119" s="6"/>
      <c r="KE119" s="6"/>
      <c r="KF119" s="6"/>
      <c r="KG119" s="6"/>
      <c r="KH119" s="6"/>
      <c r="KI119" s="6"/>
      <c r="KJ119" s="6"/>
      <c r="KK119" s="6"/>
      <c r="KL119" s="6"/>
      <c r="KM119" s="6"/>
      <c r="KN119" s="6"/>
      <c r="KO119" s="6"/>
      <c r="KP119" s="6"/>
      <c r="KQ119" s="6"/>
      <c r="KR119" s="6"/>
      <c r="KS119" s="6"/>
      <c r="KT119" s="6"/>
      <c r="KU119" s="6"/>
      <c r="KV119" s="6"/>
      <c r="KW119" s="6"/>
      <c r="KX119" s="6"/>
      <c r="KY119" s="6"/>
      <c r="KZ119" s="6"/>
      <c r="LA119" s="6"/>
      <c r="LB119" s="6"/>
      <c r="LC119" s="6"/>
      <c r="LD119" s="6"/>
      <c r="LE119" s="6"/>
      <c r="LF119" s="6"/>
      <c r="LG119" s="6"/>
      <c r="LH119" s="6"/>
      <c r="LI119" s="6"/>
      <c r="LJ119" s="6"/>
      <c r="LK119" s="6"/>
      <c r="LL119" s="6"/>
      <c r="LM119" s="6"/>
      <c r="LN119" s="6"/>
      <c r="LO119" s="6"/>
      <c r="LP119" s="6"/>
      <c r="LQ119" s="6"/>
    </row>
    <row r="120" spans="1:329" s="7" customFormat="1" ht="15" customHeight="1" x14ac:dyDescent="0.25">
      <c r="A120" s="76">
        <v>1101932</v>
      </c>
      <c r="B120" s="51" t="s">
        <v>249</v>
      </c>
      <c r="C120" s="33" t="str">
        <f>VLOOKUP(A120,Artikeldaten!A:B,2,0)</f>
        <v>Prallbügel Abdeckung (RH+LH) - Axkid One</v>
      </c>
      <c r="D120" s="34"/>
      <c r="E120" s="34">
        <f t="shared" si="2"/>
        <v>0</v>
      </c>
      <c r="F120" s="34">
        <f t="shared" si="3"/>
        <v>0</v>
      </c>
      <c r="G120" s="35"/>
      <c r="H120" s="35"/>
      <c r="I120" s="36"/>
      <c r="J120" s="36"/>
      <c r="K120" s="36"/>
      <c r="L120" s="36"/>
      <c r="M120" s="36"/>
      <c r="N120" s="36"/>
      <c r="O120" s="36"/>
      <c r="P120" s="36"/>
      <c r="Q120" s="36"/>
      <c r="R120" s="37"/>
      <c r="S120" s="38"/>
      <c r="T120" s="38"/>
      <c r="U120" s="38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  <c r="BP120" s="6"/>
      <c r="BQ120" s="6"/>
      <c r="BR120" s="6"/>
      <c r="BS120" s="6"/>
      <c r="BT120" s="6"/>
      <c r="BU120" s="6"/>
      <c r="BV120" s="6"/>
      <c r="BW120" s="6"/>
      <c r="BX120" s="6"/>
      <c r="BY120" s="6"/>
      <c r="BZ120" s="6"/>
      <c r="CA120" s="6"/>
      <c r="CB120" s="6"/>
      <c r="CC120" s="6"/>
      <c r="CD120" s="6"/>
      <c r="CE120" s="6"/>
      <c r="CF120" s="6"/>
      <c r="CG120" s="6"/>
      <c r="CH120" s="6"/>
      <c r="CI120" s="6"/>
      <c r="CJ120" s="6"/>
      <c r="CK120" s="6"/>
      <c r="CL120" s="6"/>
      <c r="CM120" s="6"/>
      <c r="CN120" s="6"/>
      <c r="CO120" s="6"/>
      <c r="CP120" s="6"/>
      <c r="CQ120" s="6"/>
      <c r="CR120" s="6"/>
      <c r="CS120" s="6"/>
      <c r="CT120" s="6"/>
      <c r="CU120" s="6"/>
      <c r="CV120" s="6"/>
      <c r="CW120" s="6"/>
      <c r="CX120" s="6"/>
      <c r="CY120" s="6"/>
      <c r="CZ120" s="6"/>
      <c r="DA120" s="6"/>
      <c r="DB120" s="6"/>
      <c r="DC120" s="6"/>
      <c r="DD120" s="6"/>
      <c r="DE120" s="6"/>
      <c r="DF120" s="6"/>
      <c r="DG120" s="6"/>
      <c r="DH120" s="6"/>
      <c r="DI120" s="6"/>
      <c r="DJ120" s="6"/>
      <c r="DK120" s="6"/>
      <c r="DL120" s="6"/>
      <c r="DM120" s="6"/>
      <c r="DN120" s="6"/>
      <c r="DO120" s="6"/>
      <c r="DP120" s="6"/>
      <c r="DQ120" s="6"/>
      <c r="DR120" s="6"/>
      <c r="DS120" s="6"/>
      <c r="DT120" s="6"/>
      <c r="DU120" s="6"/>
      <c r="DV120" s="6"/>
      <c r="DW120" s="6"/>
      <c r="DX120" s="6"/>
      <c r="DY120" s="6"/>
      <c r="DZ120" s="6"/>
      <c r="EA120" s="6"/>
      <c r="EB120" s="6"/>
      <c r="EC120" s="6"/>
      <c r="ED120" s="6"/>
      <c r="EE120" s="6"/>
      <c r="EF120" s="6"/>
      <c r="EG120" s="6"/>
      <c r="EH120" s="6"/>
      <c r="EI120" s="6"/>
      <c r="EJ120" s="6"/>
      <c r="EK120" s="6"/>
      <c r="EL120" s="6"/>
      <c r="EM120" s="6"/>
      <c r="EN120" s="6"/>
      <c r="EO120" s="6"/>
      <c r="EP120" s="6"/>
      <c r="EQ120" s="6"/>
      <c r="ER120" s="6"/>
      <c r="ES120" s="6"/>
      <c r="ET120" s="6"/>
      <c r="EU120" s="6"/>
      <c r="EV120" s="6"/>
      <c r="EW120" s="6"/>
      <c r="EX120" s="6"/>
      <c r="EY120" s="6"/>
      <c r="EZ120" s="6"/>
      <c r="FA120" s="6"/>
      <c r="FB120" s="6"/>
      <c r="FC120" s="6"/>
      <c r="FD120" s="6"/>
      <c r="FE120" s="6"/>
      <c r="FF120" s="6"/>
      <c r="FG120" s="6"/>
      <c r="FH120" s="6"/>
      <c r="FI120" s="6"/>
      <c r="FJ120" s="6"/>
      <c r="FK120" s="6"/>
      <c r="FL120" s="6"/>
      <c r="FM120" s="6"/>
      <c r="FN120" s="6"/>
      <c r="FO120" s="6"/>
      <c r="FP120" s="6"/>
      <c r="FQ120" s="6"/>
      <c r="FR120" s="6"/>
      <c r="FS120" s="6"/>
      <c r="FT120" s="6"/>
      <c r="FU120" s="6"/>
      <c r="FV120" s="6"/>
      <c r="FW120" s="6"/>
      <c r="FX120" s="6"/>
      <c r="FY120" s="6"/>
      <c r="FZ120" s="6"/>
      <c r="GA120" s="6"/>
      <c r="GB120" s="6"/>
      <c r="GC120" s="6"/>
      <c r="GD120" s="6"/>
      <c r="GE120" s="6"/>
      <c r="GF120" s="6"/>
      <c r="GG120" s="6"/>
      <c r="GH120" s="6"/>
      <c r="GI120" s="6"/>
      <c r="GJ120" s="6"/>
      <c r="GK120" s="6"/>
      <c r="GL120" s="6"/>
      <c r="GM120" s="6"/>
      <c r="GN120" s="6"/>
      <c r="GO120" s="6"/>
      <c r="GP120" s="6"/>
      <c r="GQ120" s="6"/>
      <c r="GR120" s="6"/>
      <c r="GS120" s="6"/>
      <c r="GT120" s="6"/>
      <c r="GU120" s="6"/>
      <c r="GV120" s="6"/>
      <c r="GW120" s="6"/>
      <c r="GX120" s="6"/>
      <c r="GY120" s="6"/>
      <c r="GZ120" s="6"/>
      <c r="HA120" s="6"/>
      <c r="HB120" s="6"/>
      <c r="HC120" s="6"/>
      <c r="HD120" s="6"/>
      <c r="HE120" s="6"/>
      <c r="HF120" s="6"/>
      <c r="HG120" s="6"/>
      <c r="HH120" s="6"/>
      <c r="HI120" s="6"/>
      <c r="HJ120" s="6"/>
      <c r="HK120" s="6"/>
      <c r="HL120" s="6"/>
      <c r="HM120" s="6"/>
      <c r="HN120" s="6"/>
      <c r="HO120" s="6"/>
      <c r="HP120" s="6"/>
      <c r="HQ120" s="6"/>
      <c r="HR120" s="6"/>
      <c r="HS120" s="6"/>
      <c r="HT120" s="6"/>
      <c r="HU120" s="6"/>
      <c r="HV120" s="6"/>
      <c r="HW120" s="6"/>
      <c r="HX120" s="6"/>
      <c r="HY120" s="6"/>
      <c r="HZ120" s="6"/>
      <c r="IA120" s="6"/>
      <c r="IB120" s="6"/>
      <c r="IC120" s="6"/>
      <c r="ID120" s="6"/>
      <c r="IE120" s="6"/>
      <c r="IF120" s="6"/>
      <c r="IG120" s="6"/>
      <c r="IH120" s="6"/>
      <c r="II120" s="6"/>
      <c r="IJ120" s="6"/>
      <c r="IK120" s="6"/>
      <c r="IL120" s="6"/>
      <c r="IM120" s="6"/>
      <c r="IN120" s="6"/>
      <c r="IO120" s="6"/>
      <c r="IP120" s="6"/>
      <c r="IQ120" s="6"/>
      <c r="IR120" s="6"/>
      <c r="IS120" s="6"/>
      <c r="IT120" s="6"/>
      <c r="IU120" s="6"/>
      <c r="IV120" s="6"/>
      <c r="IW120" s="6"/>
      <c r="IX120" s="6"/>
      <c r="IY120" s="6"/>
      <c r="IZ120" s="6"/>
      <c r="JA120" s="6"/>
      <c r="JB120" s="6"/>
      <c r="JC120" s="6"/>
      <c r="JD120" s="6"/>
      <c r="JE120" s="6"/>
      <c r="JF120" s="6"/>
      <c r="JG120" s="6"/>
      <c r="JH120" s="6"/>
      <c r="JI120" s="6"/>
      <c r="JJ120" s="6"/>
      <c r="JK120" s="6"/>
      <c r="JL120" s="6"/>
      <c r="JM120" s="6"/>
      <c r="JN120" s="6"/>
      <c r="JO120" s="6"/>
      <c r="JP120" s="6"/>
      <c r="JQ120" s="6"/>
      <c r="JR120" s="6"/>
      <c r="JS120" s="6"/>
      <c r="JT120" s="6"/>
      <c r="JU120" s="6"/>
      <c r="JV120" s="6"/>
      <c r="JW120" s="6"/>
      <c r="JX120" s="6"/>
      <c r="JY120" s="6"/>
      <c r="JZ120" s="6"/>
      <c r="KA120" s="6"/>
      <c r="KB120" s="6"/>
      <c r="KC120" s="6"/>
      <c r="KD120" s="6"/>
      <c r="KE120" s="6"/>
      <c r="KF120" s="6"/>
      <c r="KG120" s="6"/>
      <c r="KH120" s="6"/>
      <c r="KI120" s="6"/>
      <c r="KJ120" s="6"/>
      <c r="KK120" s="6"/>
      <c r="KL120" s="6"/>
      <c r="KM120" s="6"/>
      <c r="KN120" s="6"/>
      <c r="KO120" s="6"/>
      <c r="KP120" s="6"/>
      <c r="KQ120" s="6"/>
      <c r="KR120" s="6"/>
      <c r="KS120" s="6"/>
      <c r="KT120" s="6"/>
      <c r="KU120" s="6"/>
      <c r="KV120" s="6"/>
      <c r="KW120" s="6"/>
      <c r="KX120" s="6"/>
      <c r="KY120" s="6"/>
      <c r="KZ120" s="6"/>
      <c r="LA120" s="6"/>
      <c r="LB120" s="6"/>
      <c r="LC120" s="6"/>
      <c r="LD120" s="6"/>
      <c r="LE120" s="6"/>
      <c r="LF120" s="6"/>
      <c r="LG120" s="6"/>
      <c r="LH120" s="6"/>
      <c r="LI120" s="6"/>
      <c r="LJ120" s="6"/>
      <c r="LK120" s="6"/>
      <c r="LL120" s="6"/>
      <c r="LM120" s="6"/>
      <c r="LN120" s="6"/>
      <c r="LO120" s="6"/>
      <c r="LP120" s="6"/>
      <c r="LQ120" s="6"/>
    </row>
    <row r="121" spans="1:329" s="7" customFormat="1" ht="15" customHeight="1" x14ac:dyDescent="0.25">
      <c r="A121" s="73">
        <v>1101933</v>
      </c>
      <c r="B121" s="47" t="s">
        <v>251</v>
      </c>
      <c r="C121" s="33" t="str">
        <f>VLOOKUP(A121,Artikeldaten!A:B,2,0)</f>
        <v xml:space="preserve">Seitenabdeckung - Axkid One </v>
      </c>
      <c r="D121" s="52">
        <v>3</v>
      </c>
      <c r="E121" s="34">
        <f t="shared" si="2"/>
        <v>5.0420168067226889</v>
      </c>
      <c r="F121" s="34">
        <f t="shared" si="3"/>
        <v>6</v>
      </c>
      <c r="G121" s="35" t="s">
        <v>21</v>
      </c>
      <c r="H121" s="35" t="s">
        <v>21</v>
      </c>
      <c r="I121" s="36"/>
      <c r="J121" s="36"/>
      <c r="K121" s="36"/>
      <c r="L121" s="36"/>
      <c r="M121" s="36"/>
      <c r="N121" s="36"/>
      <c r="O121" s="36"/>
      <c r="P121" s="35"/>
      <c r="Q121" s="36"/>
      <c r="R121" s="42">
        <v>7350057584910</v>
      </c>
      <c r="S121" s="43" t="s">
        <v>330</v>
      </c>
      <c r="T121" s="43">
        <v>1720</v>
      </c>
      <c r="U121" s="43">
        <v>1360</v>
      </c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</row>
    <row r="122" spans="1:329" s="7" customFormat="1" ht="15" customHeight="1" x14ac:dyDescent="0.25">
      <c r="A122" s="76">
        <v>1101934</v>
      </c>
      <c r="B122" s="32" t="s">
        <v>253</v>
      </c>
      <c r="C122" s="33" t="str">
        <f>VLOOKUP(A122,Artikeldaten!A:B,2,0)</f>
        <v xml:space="preserve">Halterung Seitenabdeckung - Axkid One </v>
      </c>
      <c r="D122" s="34">
        <v>3</v>
      </c>
      <c r="E122" s="34">
        <f t="shared" si="2"/>
        <v>5.0420168067226889</v>
      </c>
      <c r="F122" s="34">
        <f t="shared" si="3"/>
        <v>6</v>
      </c>
      <c r="G122" s="35" t="s">
        <v>21</v>
      </c>
      <c r="H122" s="35" t="s">
        <v>21</v>
      </c>
      <c r="I122" s="36"/>
      <c r="J122" s="36"/>
      <c r="K122" s="36"/>
      <c r="L122" s="36"/>
      <c r="M122" s="36"/>
      <c r="N122" s="36"/>
      <c r="O122" s="36"/>
      <c r="P122" s="36"/>
      <c r="Q122" s="36"/>
      <c r="R122" s="37">
        <v>7350057584927</v>
      </c>
      <c r="S122" s="38"/>
      <c r="T122" s="38"/>
      <c r="U122" s="38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  <c r="BP122" s="6"/>
      <c r="BQ122" s="6"/>
      <c r="BR122" s="6"/>
      <c r="BS122" s="6"/>
      <c r="BT122" s="6"/>
      <c r="BU122" s="6"/>
      <c r="BV122" s="6"/>
      <c r="BW122" s="6"/>
      <c r="BX122" s="6"/>
      <c r="BY122" s="6"/>
      <c r="BZ122" s="6"/>
      <c r="CA122" s="6"/>
      <c r="CB122" s="6"/>
      <c r="CC122" s="6"/>
      <c r="CD122" s="6"/>
      <c r="CE122" s="6"/>
      <c r="CF122" s="6"/>
      <c r="CG122" s="6"/>
      <c r="CH122" s="6"/>
      <c r="CI122" s="6"/>
      <c r="CJ122" s="6"/>
      <c r="CK122" s="6"/>
      <c r="CL122" s="6"/>
      <c r="CM122" s="6"/>
      <c r="CN122" s="6"/>
      <c r="CO122" s="6"/>
      <c r="CP122" s="6"/>
      <c r="CQ122" s="6"/>
      <c r="CR122" s="6"/>
      <c r="CS122" s="6"/>
      <c r="CT122" s="6"/>
      <c r="CU122" s="6"/>
      <c r="CV122" s="6"/>
      <c r="CW122" s="6"/>
      <c r="CX122" s="6"/>
      <c r="CY122" s="6"/>
      <c r="CZ122" s="6"/>
      <c r="DA122" s="6"/>
      <c r="DB122" s="6"/>
      <c r="DC122" s="6"/>
      <c r="DD122" s="6"/>
      <c r="DE122" s="6"/>
      <c r="DF122" s="6"/>
      <c r="DG122" s="6"/>
      <c r="DH122" s="6"/>
      <c r="DI122" s="6"/>
      <c r="DJ122" s="6"/>
      <c r="DK122" s="6"/>
      <c r="DL122" s="6"/>
      <c r="DM122" s="6"/>
      <c r="DN122" s="6"/>
      <c r="DO122" s="6"/>
      <c r="DP122" s="6"/>
      <c r="DQ122" s="6"/>
      <c r="DR122" s="6"/>
      <c r="DS122" s="6"/>
      <c r="DT122" s="6"/>
      <c r="DU122" s="6"/>
      <c r="DV122" s="6"/>
      <c r="DW122" s="6"/>
      <c r="DX122" s="6"/>
      <c r="DY122" s="6"/>
      <c r="DZ122" s="6"/>
      <c r="EA122" s="6"/>
      <c r="EB122" s="6"/>
      <c r="EC122" s="6"/>
      <c r="ED122" s="6"/>
      <c r="EE122" s="6"/>
      <c r="EF122" s="6"/>
      <c r="EG122" s="6"/>
      <c r="EH122" s="6"/>
      <c r="EI122" s="6"/>
      <c r="EJ122" s="6"/>
      <c r="EK122" s="6"/>
      <c r="EL122" s="6"/>
      <c r="EM122" s="6"/>
      <c r="EN122" s="6"/>
      <c r="EO122" s="6"/>
      <c r="EP122" s="6"/>
      <c r="EQ122" s="6"/>
      <c r="ER122" s="6"/>
      <c r="ES122" s="6"/>
      <c r="ET122" s="6"/>
      <c r="EU122" s="6"/>
      <c r="EV122" s="6"/>
      <c r="EW122" s="6"/>
      <c r="EX122" s="6"/>
      <c r="EY122" s="6"/>
      <c r="EZ122" s="6"/>
      <c r="FA122" s="6"/>
      <c r="FB122" s="6"/>
      <c r="FC122" s="6"/>
      <c r="FD122" s="6"/>
      <c r="FE122" s="6"/>
      <c r="FF122" s="6"/>
      <c r="FG122" s="6"/>
      <c r="FH122" s="6"/>
      <c r="FI122" s="6"/>
      <c r="FJ122" s="6"/>
      <c r="FK122" s="6"/>
      <c r="FL122" s="6"/>
      <c r="FM122" s="6"/>
      <c r="FN122" s="6"/>
      <c r="FO122" s="6"/>
      <c r="FP122" s="6"/>
      <c r="FQ122" s="6"/>
      <c r="FR122" s="6"/>
      <c r="FS122" s="6"/>
      <c r="FT122" s="6"/>
      <c r="FU122" s="6"/>
      <c r="FV122" s="6"/>
      <c r="FW122" s="6"/>
      <c r="FX122" s="6"/>
      <c r="FY122" s="6"/>
      <c r="FZ122" s="6"/>
      <c r="GA122" s="6"/>
      <c r="GB122" s="6"/>
      <c r="GC122" s="6"/>
      <c r="GD122" s="6"/>
      <c r="GE122" s="6"/>
      <c r="GF122" s="6"/>
      <c r="GG122" s="6"/>
      <c r="GH122" s="6"/>
      <c r="GI122" s="6"/>
      <c r="GJ122" s="6"/>
      <c r="GK122" s="6"/>
      <c r="GL122" s="6"/>
      <c r="GM122" s="6"/>
      <c r="GN122" s="6"/>
      <c r="GO122" s="6"/>
      <c r="GP122" s="6"/>
      <c r="GQ122" s="6"/>
      <c r="GR122" s="6"/>
      <c r="GS122" s="6"/>
      <c r="GT122" s="6"/>
      <c r="GU122" s="6"/>
      <c r="GV122" s="6"/>
      <c r="GW122" s="6"/>
      <c r="GX122" s="6"/>
      <c r="GY122" s="6"/>
      <c r="GZ122" s="6"/>
      <c r="HA122" s="6"/>
      <c r="HB122" s="6"/>
      <c r="HC122" s="6"/>
      <c r="HD122" s="6"/>
      <c r="HE122" s="6"/>
      <c r="HF122" s="6"/>
      <c r="HG122" s="6"/>
      <c r="HH122" s="6"/>
      <c r="HI122" s="6"/>
      <c r="HJ122" s="6"/>
      <c r="HK122" s="6"/>
      <c r="HL122" s="6"/>
      <c r="HM122" s="6"/>
      <c r="HN122" s="6"/>
      <c r="HO122" s="6"/>
      <c r="HP122" s="6"/>
      <c r="HQ122" s="6"/>
      <c r="HR122" s="6"/>
      <c r="HS122" s="6"/>
      <c r="HT122" s="6"/>
      <c r="HU122" s="6"/>
      <c r="HV122" s="6"/>
      <c r="HW122" s="6"/>
      <c r="HX122" s="6"/>
      <c r="HY122" s="6"/>
      <c r="HZ122" s="6"/>
      <c r="IA122" s="6"/>
      <c r="IB122" s="6"/>
      <c r="IC122" s="6"/>
      <c r="ID122" s="6"/>
      <c r="IE122" s="6"/>
      <c r="IF122" s="6"/>
      <c r="IG122" s="6"/>
      <c r="IH122" s="6"/>
      <c r="II122" s="6"/>
      <c r="IJ122" s="6"/>
      <c r="IK122" s="6"/>
      <c r="IL122" s="6"/>
      <c r="IM122" s="6"/>
      <c r="IN122" s="6"/>
      <c r="IO122" s="6"/>
      <c r="IP122" s="6"/>
      <c r="IQ122" s="6"/>
      <c r="IR122" s="6"/>
      <c r="IS122" s="6"/>
      <c r="IT122" s="6"/>
      <c r="IU122" s="6"/>
      <c r="IV122" s="6"/>
      <c r="IW122" s="6"/>
      <c r="IX122" s="6"/>
      <c r="IY122" s="6"/>
      <c r="IZ122" s="6"/>
      <c r="JA122" s="6"/>
      <c r="JB122" s="6"/>
      <c r="JC122" s="6"/>
      <c r="JD122" s="6"/>
      <c r="JE122" s="6"/>
      <c r="JF122" s="6"/>
      <c r="JG122" s="6"/>
      <c r="JH122" s="6"/>
      <c r="JI122" s="6"/>
      <c r="JJ122" s="6"/>
      <c r="JK122" s="6"/>
      <c r="JL122" s="6"/>
      <c r="JM122" s="6"/>
      <c r="JN122" s="6"/>
      <c r="JO122" s="6"/>
      <c r="JP122" s="6"/>
      <c r="JQ122" s="6"/>
      <c r="JR122" s="6"/>
      <c r="JS122" s="6"/>
      <c r="JT122" s="6"/>
      <c r="JU122" s="6"/>
      <c r="JV122" s="6"/>
      <c r="JW122" s="6"/>
      <c r="JX122" s="6"/>
      <c r="JY122" s="6"/>
      <c r="JZ122" s="6"/>
      <c r="KA122" s="6"/>
      <c r="KB122" s="6"/>
      <c r="KC122" s="6"/>
      <c r="KD122" s="6"/>
      <c r="KE122" s="6"/>
      <c r="KF122" s="6"/>
      <c r="KG122" s="6"/>
      <c r="KH122" s="6"/>
      <c r="KI122" s="6"/>
      <c r="KJ122" s="6"/>
      <c r="KK122" s="6"/>
      <c r="KL122" s="6"/>
      <c r="KM122" s="6"/>
      <c r="KN122" s="6"/>
      <c r="KO122" s="6"/>
      <c r="KP122" s="6"/>
      <c r="KQ122" s="6"/>
      <c r="KR122" s="6"/>
      <c r="KS122" s="6"/>
      <c r="KT122" s="6"/>
      <c r="KU122" s="6"/>
      <c r="KV122" s="6"/>
      <c r="KW122" s="6"/>
      <c r="KX122" s="6"/>
      <c r="KY122" s="6"/>
      <c r="KZ122" s="6"/>
      <c r="LA122" s="6"/>
      <c r="LB122" s="6"/>
      <c r="LC122" s="6"/>
      <c r="LD122" s="6"/>
      <c r="LE122" s="6"/>
      <c r="LF122" s="6"/>
      <c r="LG122" s="6"/>
      <c r="LH122" s="6"/>
      <c r="LI122" s="6"/>
      <c r="LJ122" s="6"/>
      <c r="LK122" s="6"/>
      <c r="LL122" s="6"/>
      <c r="LM122" s="6"/>
      <c r="LN122" s="6"/>
      <c r="LO122" s="6"/>
      <c r="LP122" s="6"/>
      <c r="LQ122" s="6"/>
    </row>
    <row r="123" spans="1:329" s="7" customFormat="1" ht="15" customHeight="1" x14ac:dyDescent="0.25">
      <c r="A123" s="76">
        <v>1101935</v>
      </c>
      <c r="B123" s="32" t="s">
        <v>255</v>
      </c>
      <c r="C123" s="33" t="str">
        <f>VLOOKUP(A123,Artikeldaten!A:B,2,0)</f>
        <v xml:space="preserve">Klettverschluss - Axkid One  </v>
      </c>
      <c r="D123" s="34">
        <v>3</v>
      </c>
      <c r="E123" s="34">
        <f t="shared" si="2"/>
        <v>5.0420168067226889</v>
      </c>
      <c r="F123" s="34">
        <f t="shared" si="3"/>
        <v>6</v>
      </c>
      <c r="G123" s="35" t="s">
        <v>21</v>
      </c>
      <c r="H123" s="35" t="s">
        <v>21</v>
      </c>
      <c r="I123" s="36"/>
      <c r="J123" s="36"/>
      <c r="K123" s="36"/>
      <c r="L123" s="36"/>
      <c r="M123" s="36"/>
      <c r="N123" s="36"/>
      <c r="O123" s="36"/>
      <c r="P123" s="36"/>
      <c r="Q123" s="36"/>
      <c r="R123" s="37">
        <v>7350057584873</v>
      </c>
      <c r="S123" s="38"/>
      <c r="T123" s="38"/>
      <c r="U123" s="38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  <c r="BP123" s="6"/>
      <c r="BQ123" s="6"/>
      <c r="BR123" s="6"/>
      <c r="BS123" s="6"/>
      <c r="BT123" s="6"/>
      <c r="BU123" s="6"/>
      <c r="BV123" s="6"/>
      <c r="BW123" s="6"/>
      <c r="BX123" s="6"/>
      <c r="BY123" s="6"/>
      <c r="BZ123" s="6"/>
      <c r="CA123" s="6"/>
      <c r="CB123" s="6"/>
      <c r="CC123" s="6"/>
      <c r="CD123" s="6"/>
      <c r="CE123" s="6"/>
      <c r="CF123" s="6"/>
      <c r="CG123" s="6"/>
      <c r="CH123" s="6"/>
      <c r="CI123" s="6"/>
      <c r="CJ123" s="6"/>
      <c r="CK123" s="6"/>
      <c r="CL123" s="6"/>
      <c r="CM123" s="6"/>
      <c r="CN123" s="6"/>
      <c r="CO123" s="6"/>
      <c r="CP123" s="6"/>
      <c r="CQ123" s="6"/>
      <c r="CR123" s="6"/>
      <c r="CS123" s="6"/>
      <c r="CT123" s="6"/>
      <c r="CU123" s="6"/>
      <c r="CV123" s="6"/>
      <c r="CW123" s="6"/>
      <c r="CX123" s="6"/>
      <c r="CY123" s="6"/>
      <c r="CZ123" s="6"/>
      <c r="DA123" s="6"/>
      <c r="DB123" s="6"/>
      <c r="DC123" s="6"/>
      <c r="DD123" s="6"/>
      <c r="DE123" s="6"/>
      <c r="DF123" s="6"/>
      <c r="DG123" s="6"/>
      <c r="DH123" s="6"/>
      <c r="DI123" s="6"/>
      <c r="DJ123" s="6"/>
      <c r="DK123" s="6"/>
      <c r="DL123" s="6"/>
      <c r="DM123" s="6"/>
      <c r="DN123" s="6"/>
      <c r="DO123" s="6"/>
      <c r="DP123" s="6"/>
      <c r="DQ123" s="6"/>
      <c r="DR123" s="6"/>
      <c r="DS123" s="6"/>
      <c r="DT123" s="6"/>
      <c r="DU123" s="6"/>
      <c r="DV123" s="6"/>
      <c r="DW123" s="6"/>
      <c r="DX123" s="6"/>
      <c r="DY123" s="6"/>
      <c r="DZ123" s="6"/>
      <c r="EA123" s="6"/>
      <c r="EB123" s="6"/>
      <c r="EC123" s="6"/>
      <c r="ED123" s="6"/>
      <c r="EE123" s="6"/>
      <c r="EF123" s="6"/>
      <c r="EG123" s="6"/>
      <c r="EH123" s="6"/>
      <c r="EI123" s="6"/>
      <c r="EJ123" s="6"/>
      <c r="EK123" s="6"/>
      <c r="EL123" s="6"/>
      <c r="EM123" s="6"/>
      <c r="EN123" s="6"/>
      <c r="EO123" s="6"/>
      <c r="EP123" s="6"/>
      <c r="EQ123" s="6"/>
      <c r="ER123" s="6"/>
      <c r="ES123" s="6"/>
      <c r="ET123" s="6"/>
      <c r="EU123" s="6"/>
      <c r="EV123" s="6"/>
      <c r="EW123" s="6"/>
      <c r="EX123" s="6"/>
      <c r="EY123" s="6"/>
      <c r="EZ123" s="6"/>
      <c r="FA123" s="6"/>
      <c r="FB123" s="6"/>
      <c r="FC123" s="6"/>
      <c r="FD123" s="6"/>
      <c r="FE123" s="6"/>
      <c r="FF123" s="6"/>
      <c r="FG123" s="6"/>
      <c r="FH123" s="6"/>
      <c r="FI123" s="6"/>
      <c r="FJ123" s="6"/>
      <c r="FK123" s="6"/>
      <c r="FL123" s="6"/>
      <c r="FM123" s="6"/>
      <c r="FN123" s="6"/>
      <c r="FO123" s="6"/>
      <c r="FP123" s="6"/>
      <c r="FQ123" s="6"/>
      <c r="FR123" s="6"/>
      <c r="FS123" s="6"/>
      <c r="FT123" s="6"/>
      <c r="FU123" s="6"/>
      <c r="FV123" s="6"/>
      <c r="FW123" s="6"/>
      <c r="FX123" s="6"/>
      <c r="FY123" s="6"/>
      <c r="FZ123" s="6"/>
      <c r="GA123" s="6"/>
      <c r="GB123" s="6"/>
      <c r="GC123" s="6"/>
      <c r="GD123" s="6"/>
      <c r="GE123" s="6"/>
      <c r="GF123" s="6"/>
      <c r="GG123" s="6"/>
      <c r="GH123" s="6"/>
      <c r="GI123" s="6"/>
      <c r="GJ123" s="6"/>
      <c r="GK123" s="6"/>
      <c r="GL123" s="6"/>
      <c r="GM123" s="6"/>
      <c r="GN123" s="6"/>
      <c r="GO123" s="6"/>
      <c r="GP123" s="6"/>
      <c r="GQ123" s="6"/>
      <c r="GR123" s="6"/>
      <c r="GS123" s="6"/>
      <c r="GT123" s="6"/>
      <c r="GU123" s="6"/>
      <c r="GV123" s="6"/>
      <c r="GW123" s="6"/>
      <c r="GX123" s="6"/>
      <c r="GY123" s="6"/>
      <c r="GZ123" s="6"/>
      <c r="HA123" s="6"/>
      <c r="HB123" s="6"/>
      <c r="HC123" s="6"/>
      <c r="HD123" s="6"/>
      <c r="HE123" s="6"/>
      <c r="HF123" s="6"/>
      <c r="HG123" s="6"/>
      <c r="HH123" s="6"/>
      <c r="HI123" s="6"/>
      <c r="HJ123" s="6"/>
      <c r="HK123" s="6"/>
      <c r="HL123" s="6"/>
      <c r="HM123" s="6"/>
      <c r="HN123" s="6"/>
      <c r="HO123" s="6"/>
      <c r="HP123" s="6"/>
      <c r="HQ123" s="6"/>
      <c r="HR123" s="6"/>
      <c r="HS123" s="6"/>
      <c r="HT123" s="6"/>
      <c r="HU123" s="6"/>
      <c r="HV123" s="6"/>
      <c r="HW123" s="6"/>
      <c r="HX123" s="6"/>
      <c r="HY123" s="6"/>
      <c r="HZ123" s="6"/>
      <c r="IA123" s="6"/>
      <c r="IB123" s="6"/>
      <c r="IC123" s="6"/>
      <c r="ID123" s="6"/>
      <c r="IE123" s="6"/>
      <c r="IF123" s="6"/>
      <c r="IG123" s="6"/>
      <c r="IH123" s="6"/>
      <c r="II123" s="6"/>
      <c r="IJ123" s="6"/>
      <c r="IK123" s="6"/>
      <c r="IL123" s="6"/>
      <c r="IM123" s="6"/>
      <c r="IN123" s="6"/>
      <c r="IO123" s="6"/>
      <c r="IP123" s="6"/>
      <c r="IQ123" s="6"/>
      <c r="IR123" s="6"/>
      <c r="IS123" s="6"/>
      <c r="IT123" s="6"/>
      <c r="IU123" s="6"/>
      <c r="IV123" s="6"/>
      <c r="IW123" s="6"/>
      <c r="IX123" s="6"/>
      <c r="IY123" s="6"/>
      <c r="IZ123" s="6"/>
      <c r="JA123" s="6"/>
      <c r="JB123" s="6"/>
      <c r="JC123" s="6"/>
      <c r="JD123" s="6"/>
      <c r="JE123" s="6"/>
      <c r="JF123" s="6"/>
      <c r="JG123" s="6"/>
      <c r="JH123" s="6"/>
      <c r="JI123" s="6"/>
      <c r="JJ123" s="6"/>
      <c r="JK123" s="6"/>
      <c r="JL123" s="6"/>
      <c r="JM123" s="6"/>
      <c r="JN123" s="6"/>
      <c r="JO123" s="6"/>
      <c r="JP123" s="6"/>
      <c r="JQ123" s="6"/>
      <c r="JR123" s="6"/>
      <c r="JS123" s="6"/>
      <c r="JT123" s="6"/>
      <c r="JU123" s="6"/>
      <c r="JV123" s="6"/>
      <c r="JW123" s="6"/>
      <c r="JX123" s="6"/>
      <c r="JY123" s="6"/>
      <c r="JZ123" s="6"/>
      <c r="KA123" s="6"/>
      <c r="KB123" s="6"/>
      <c r="KC123" s="6"/>
      <c r="KD123" s="6"/>
      <c r="KE123" s="6"/>
      <c r="KF123" s="6"/>
      <c r="KG123" s="6"/>
      <c r="KH123" s="6"/>
      <c r="KI123" s="6"/>
      <c r="KJ123" s="6"/>
      <c r="KK123" s="6"/>
      <c r="KL123" s="6"/>
      <c r="KM123" s="6"/>
      <c r="KN123" s="6"/>
      <c r="KO123" s="6"/>
      <c r="KP123" s="6"/>
      <c r="KQ123" s="6"/>
      <c r="KR123" s="6"/>
      <c r="KS123" s="6"/>
      <c r="KT123" s="6"/>
      <c r="KU123" s="6"/>
      <c r="KV123" s="6"/>
      <c r="KW123" s="6"/>
      <c r="KX123" s="6"/>
      <c r="KY123" s="6"/>
      <c r="KZ123" s="6"/>
      <c r="LA123" s="6"/>
      <c r="LB123" s="6"/>
      <c r="LC123" s="6"/>
      <c r="LD123" s="6"/>
      <c r="LE123" s="6"/>
      <c r="LF123" s="6"/>
      <c r="LG123" s="6"/>
      <c r="LH123" s="6"/>
      <c r="LI123" s="6"/>
      <c r="LJ123" s="6"/>
      <c r="LK123" s="6"/>
      <c r="LL123" s="6"/>
      <c r="LM123" s="6"/>
      <c r="LN123" s="6"/>
      <c r="LO123" s="6"/>
      <c r="LP123" s="6"/>
      <c r="LQ123" s="6"/>
    </row>
    <row r="124" spans="1:329" s="7" customFormat="1" ht="15" customHeight="1" x14ac:dyDescent="0.25">
      <c r="A124" s="75">
        <v>1101936</v>
      </c>
      <c r="B124" s="32"/>
      <c r="C124" s="33" t="str">
        <f>VLOOKUP(A124,Artikeldaten!A:B,2,0)</f>
        <v xml:space="preserve">5 Punkt Gurtsystem - Axkid One </v>
      </c>
      <c r="D124" s="34">
        <v>29</v>
      </c>
      <c r="E124" s="34">
        <f t="shared" si="2"/>
        <v>48.739495798319332</v>
      </c>
      <c r="F124" s="34">
        <f t="shared" si="3"/>
        <v>58</v>
      </c>
      <c r="G124" s="35" t="s">
        <v>21</v>
      </c>
      <c r="H124" s="35" t="s">
        <v>21</v>
      </c>
      <c r="I124" s="36"/>
      <c r="J124" s="36"/>
      <c r="K124" s="36"/>
      <c r="L124" s="36"/>
      <c r="M124" s="36"/>
      <c r="N124" s="36"/>
      <c r="O124" s="36"/>
      <c r="P124" s="36"/>
      <c r="Q124" s="36"/>
      <c r="R124" s="37">
        <v>7350057584941</v>
      </c>
      <c r="S124" s="38"/>
      <c r="T124" s="38"/>
      <c r="U124" s="38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  <c r="BP124" s="6"/>
      <c r="BQ124" s="6"/>
      <c r="BR124" s="6"/>
      <c r="BS124" s="6"/>
      <c r="BT124" s="6"/>
      <c r="BU124" s="6"/>
      <c r="BV124" s="6"/>
      <c r="BW124" s="6"/>
      <c r="BX124" s="6"/>
      <c r="BY124" s="6"/>
      <c r="BZ124" s="6"/>
      <c r="CA124" s="6"/>
      <c r="CB124" s="6"/>
      <c r="CC124" s="6"/>
      <c r="CD124" s="6"/>
      <c r="CE124" s="6"/>
      <c r="CF124" s="6"/>
      <c r="CG124" s="6"/>
      <c r="CH124" s="6"/>
      <c r="CI124" s="6"/>
      <c r="CJ124" s="6"/>
      <c r="CK124" s="6"/>
      <c r="CL124" s="6"/>
      <c r="CM124" s="6"/>
      <c r="CN124" s="6"/>
      <c r="CO124" s="6"/>
      <c r="CP124" s="6"/>
      <c r="CQ124" s="6"/>
      <c r="CR124" s="6"/>
      <c r="CS124" s="6"/>
      <c r="CT124" s="6"/>
      <c r="CU124" s="6"/>
      <c r="CV124" s="6"/>
      <c r="CW124" s="6"/>
      <c r="CX124" s="6"/>
      <c r="CY124" s="6"/>
      <c r="CZ124" s="6"/>
      <c r="DA124" s="6"/>
      <c r="DB124" s="6"/>
      <c r="DC124" s="6"/>
      <c r="DD124" s="6"/>
      <c r="DE124" s="6"/>
      <c r="DF124" s="6"/>
      <c r="DG124" s="6"/>
      <c r="DH124" s="6"/>
      <c r="DI124" s="6"/>
      <c r="DJ124" s="6"/>
      <c r="DK124" s="6"/>
      <c r="DL124" s="6"/>
      <c r="DM124" s="6"/>
      <c r="DN124" s="6"/>
      <c r="DO124" s="6"/>
      <c r="DP124" s="6"/>
      <c r="DQ124" s="6"/>
      <c r="DR124" s="6"/>
      <c r="DS124" s="6"/>
      <c r="DT124" s="6"/>
      <c r="DU124" s="6"/>
      <c r="DV124" s="6"/>
      <c r="DW124" s="6"/>
      <c r="DX124" s="6"/>
      <c r="DY124" s="6"/>
      <c r="DZ124" s="6"/>
      <c r="EA124" s="6"/>
      <c r="EB124" s="6"/>
      <c r="EC124" s="6"/>
      <c r="ED124" s="6"/>
      <c r="EE124" s="6"/>
      <c r="EF124" s="6"/>
      <c r="EG124" s="6"/>
      <c r="EH124" s="6"/>
      <c r="EI124" s="6"/>
      <c r="EJ124" s="6"/>
      <c r="EK124" s="6"/>
      <c r="EL124" s="6"/>
      <c r="EM124" s="6"/>
      <c r="EN124" s="6"/>
      <c r="EO124" s="6"/>
      <c r="EP124" s="6"/>
      <c r="EQ124" s="6"/>
      <c r="ER124" s="6"/>
      <c r="ES124" s="6"/>
      <c r="ET124" s="6"/>
      <c r="EU124" s="6"/>
      <c r="EV124" s="6"/>
      <c r="EW124" s="6"/>
      <c r="EX124" s="6"/>
      <c r="EY124" s="6"/>
      <c r="EZ124" s="6"/>
      <c r="FA124" s="6"/>
      <c r="FB124" s="6"/>
      <c r="FC124" s="6"/>
      <c r="FD124" s="6"/>
      <c r="FE124" s="6"/>
      <c r="FF124" s="6"/>
      <c r="FG124" s="6"/>
      <c r="FH124" s="6"/>
      <c r="FI124" s="6"/>
      <c r="FJ124" s="6"/>
      <c r="FK124" s="6"/>
      <c r="FL124" s="6"/>
      <c r="FM124" s="6"/>
      <c r="FN124" s="6"/>
      <c r="FO124" s="6"/>
      <c r="FP124" s="6"/>
      <c r="FQ124" s="6"/>
      <c r="FR124" s="6"/>
      <c r="FS124" s="6"/>
      <c r="FT124" s="6"/>
      <c r="FU124" s="6"/>
      <c r="FV124" s="6"/>
      <c r="FW124" s="6"/>
      <c r="FX124" s="6"/>
      <c r="FY124" s="6"/>
      <c r="FZ124" s="6"/>
      <c r="GA124" s="6"/>
      <c r="GB124" s="6"/>
      <c r="GC124" s="6"/>
      <c r="GD124" s="6"/>
      <c r="GE124" s="6"/>
      <c r="GF124" s="6"/>
      <c r="GG124" s="6"/>
      <c r="GH124" s="6"/>
      <c r="GI124" s="6"/>
      <c r="GJ124" s="6"/>
      <c r="GK124" s="6"/>
      <c r="GL124" s="6"/>
      <c r="GM124" s="6"/>
      <c r="GN124" s="6"/>
      <c r="GO124" s="6"/>
      <c r="GP124" s="6"/>
      <c r="GQ124" s="6"/>
      <c r="GR124" s="6"/>
      <c r="GS124" s="6"/>
      <c r="GT124" s="6"/>
      <c r="GU124" s="6"/>
      <c r="GV124" s="6"/>
      <c r="GW124" s="6"/>
      <c r="GX124" s="6"/>
      <c r="GY124" s="6"/>
      <c r="GZ124" s="6"/>
      <c r="HA124" s="6"/>
      <c r="HB124" s="6"/>
      <c r="HC124" s="6"/>
      <c r="HD124" s="6"/>
      <c r="HE124" s="6"/>
      <c r="HF124" s="6"/>
      <c r="HG124" s="6"/>
      <c r="HH124" s="6"/>
      <c r="HI124" s="6"/>
      <c r="HJ124" s="6"/>
      <c r="HK124" s="6"/>
      <c r="HL124" s="6"/>
      <c r="HM124" s="6"/>
      <c r="HN124" s="6"/>
      <c r="HO124" s="6"/>
      <c r="HP124" s="6"/>
      <c r="HQ124" s="6"/>
      <c r="HR124" s="6"/>
      <c r="HS124" s="6"/>
      <c r="HT124" s="6"/>
      <c r="HU124" s="6"/>
      <c r="HV124" s="6"/>
      <c r="HW124" s="6"/>
      <c r="HX124" s="6"/>
      <c r="HY124" s="6"/>
      <c r="HZ124" s="6"/>
      <c r="IA124" s="6"/>
      <c r="IB124" s="6"/>
      <c r="IC124" s="6"/>
      <c r="ID124" s="6"/>
      <c r="IE124" s="6"/>
      <c r="IF124" s="6"/>
      <c r="IG124" s="6"/>
      <c r="IH124" s="6"/>
      <c r="II124" s="6"/>
      <c r="IJ124" s="6"/>
      <c r="IK124" s="6"/>
      <c r="IL124" s="6"/>
      <c r="IM124" s="6"/>
      <c r="IN124" s="6"/>
      <c r="IO124" s="6"/>
      <c r="IP124" s="6"/>
      <c r="IQ124" s="6"/>
      <c r="IR124" s="6"/>
      <c r="IS124" s="6"/>
      <c r="IT124" s="6"/>
      <c r="IU124" s="6"/>
      <c r="IV124" s="6"/>
      <c r="IW124" s="6"/>
      <c r="IX124" s="6"/>
      <c r="IY124" s="6"/>
      <c r="IZ124" s="6"/>
      <c r="JA124" s="6"/>
      <c r="JB124" s="6"/>
      <c r="JC124" s="6"/>
      <c r="JD124" s="6"/>
      <c r="JE124" s="6"/>
      <c r="JF124" s="6"/>
      <c r="JG124" s="6"/>
      <c r="JH124" s="6"/>
      <c r="JI124" s="6"/>
      <c r="JJ124" s="6"/>
      <c r="JK124" s="6"/>
      <c r="JL124" s="6"/>
      <c r="JM124" s="6"/>
      <c r="JN124" s="6"/>
      <c r="JO124" s="6"/>
      <c r="JP124" s="6"/>
      <c r="JQ124" s="6"/>
      <c r="JR124" s="6"/>
      <c r="JS124" s="6"/>
      <c r="JT124" s="6"/>
      <c r="JU124" s="6"/>
      <c r="JV124" s="6"/>
      <c r="JW124" s="6"/>
      <c r="JX124" s="6"/>
      <c r="JY124" s="6"/>
      <c r="JZ124" s="6"/>
      <c r="KA124" s="6"/>
      <c r="KB124" s="6"/>
      <c r="KC124" s="6"/>
      <c r="KD124" s="6"/>
      <c r="KE124" s="6"/>
      <c r="KF124" s="6"/>
      <c r="KG124" s="6"/>
      <c r="KH124" s="6"/>
      <c r="KI124" s="6"/>
      <c r="KJ124" s="6"/>
      <c r="KK124" s="6"/>
      <c r="KL124" s="6"/>
      <c r="KM124" s="6"/>
      <c r="KN124" s="6"/>
      <c r="KO124" s="6"/>
      <c r="KP124" s="6"/>
      <c r="KQ124" s="6"/>
      <c r="KR124" s="6"/>
      <c r="KS124" s="6"/>
      <c r="KT124" s="6"/>
      <c r="KU124" s="6"/>
      <c r="KV124" s="6"/>
      <c r="KW124" s="6"/>
      <c r="KX124" s="6"/>
      <c r="KY124" s="6"/>
      <c r="KZ124" s="6"/>
      <c r="LA124" s="6"/>
      <c r="LB124" s="6"/>
      <c r="LC124" s="6"/>
      <c r="LD124" s="6"/>
      <c r="LE124" s="6"/>
      <c r="LF124" s="6"/>
      <c r="LG124" s="6"/>
      <c r="LH124" s="6"/>
      <c r="LI124" s="6"/>
      <c r="LJ124" s="6"/>
      <c r="LK124" s="6"/>
      <c r="LL124" s="6"/>
      <c r="LM124" s="6"/>
      <c r="LN124" s="6"/>
      <c r="LO124" s="6"/>
      <c r="LP124" s="6"/>
      <c r="LQ124" s="6"/>
    </row>
    <row r="125" spans="1:329" s="7" customFormat="1" ht="15" customHeight="1" x14ac:dyDescent="0.25">
      <c r="A125" s="76">
        <v>1101937</v>
      </c>
      <c r="B125" s="32" t="s">
        <v>258</v>
      </c>
      <c r="C125" s="33" t="str">
        <f>VLOOKUP(A125,Artikeldaten!A:B,2,0)</f>
        <v xml:space="preserve">Stoffbezug - Axkid One Tar </v>
      </c>
      <c r="D125" s="53">
        <v>50</v>
      </c>
      <c r="E125" s="34">
        <f t="shared" si="2"/>
        <v>84.033613445378151</v>
      </c>
      <c r="F125" s="34">
        <f t="shared" si="3"/>
        <v>100</v>
      </c>
      <c r="G125" s="35" t="s">
        <v>21</v>
      </c>
      <c r="H125" s="35" t="s">
        <v>21</v>
      </c>
      <c r="I125" s="36"/>
      <c r="J125" s="36"/>
      <c r="K125" s="36"/>
      <c r="L125" s="36"/>
      <c r="M125" s="36"/>
      <c r="N125" s="36"/>
      <c r="O125" s="36"/>
      <c r="P125" s="36"/>
      <c r="Q125" s="36"/>
      <c r="R125" s="37">
        <v>7350057584996</v>
      </c>
      <c r="S125" s="38"/>
      <c r="T125" s="38"/>
      <c r="U125" s="38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  <c r="BP125" s="6"/>
      <c r="BQ125" s="6"/>
      <c r="BR125" s="6"/>
      <c r="BS125" s="6"/>
      <c r="BT125" s="6"/>
      <c r="BU125" s="6"/>
      <c r="BV125" s="6"/>
      <c r="BW125" s="6"/>
      <c r="BX125" s="6"/>
      <c r="BY125" s="6"/>
      <c r="BZ125" s="6"/>
      <c r="CA125" s="6"/>
      <c r="CB125" s="6"/>
      <c r="CC125" s="6"/>
      <c r="CD125" s="6"/>
      <c r="CE125" s="6"/>
      <c r="CF125" s="6"/>
      <c r="CG125" s="6"/>
      <c r="CH125" s="6"/>
      <c r="CI125" s="6"/>
      <c r="CJ125" s="6"/>
      <c r="CK125" s="6"/>
      <c r="CL125" s="6"/>
      <c r="CM125" s="6"/>
      <c r="CN125" s="6"/>
      <c r="CO125" s="6"/>
      <c r="CP125" s="6"/>
      <c r="CQ125" s="6"/>
      <c r="CR125" s="6"/>
      <c r="CS125" s="6"/>
      <c r="CT125" s="6"/>
      <c r="CU125" s="6"/>
      <c r="CV125" s="6"/>
      <c r="CW125" s="6"/>
      <c r="CX125" s="6"/>
      <c r="CY125" s="6"/>
      <c r="CZ125" s="6"/>
      <c r="DA125" s="6"/>
      <c r="DB125" s="6"/>
      <c r="DC125" s="6"/>
      <c r="DD125" s="6"/>
      <c r="DE125" s="6"/>
      <c r="DF125" s="6"/>
      <c r="DG125" s="6"/>
      <c r="DH125" s="6"/>
      <c r="DI125" s="6"/>
      <c r="DJ125" s="6"/>
      <c r="DK125" s="6"/>
      <c r="DL125" s="6"/>
      <c r="DM125" s="6"/>
      <c r="DN125" s="6"/>
      <c r="DO125" s="6"/>
      <c r="DP125" s="6"/>
      <c r="DQ125" s="6"/>
      <c r="DR125" s="6"/>
      <c r="DS125" s="6"/>
      <c r="DT125" s="6"/>
      <c r="DU125" s="6"/>
      <c r="DV125" s="6"/>
      <c r="DW125" s="6"/>
      <c r="DX125" s="6"/>
      <c r="DY125" s="6"/>
      <c r="DZ125" s="6"/>
      <c r="EA125" s="6"/>
      <c r="EB125" s="6"/>
      <c r="EC125" s="6"/>
      <c r="ED125" s="6"/>
      <c r="EE125" s="6"/>
      <c r="EF125" s="6"/>
      <c r="EG125" s="6"/>
      <c r="EH125" s="6"/>
      <c r="EI125" s="6"/>
      <c r="EJ125" s="6"/>
      <c r="EK125" s="6"/>
      <c r="EL125" s="6"/>
      <c r="EM125" s="6"/>
      <c r="EN125" s="6"/>
      <c r="EO125" s="6"/>
      <c r="EP125" s="6"/>
      <c r="EQ125" s="6"/>
      <c r="ER125" s="6"/>
      <c r="ES125" s="6"/>
      <c r="ET125" s="6"/>
      <c r="EU125" s="6"/>
      <c r="EV125" s="6"/>
      <c r="EW125" s="6"/>
      <c r="EX125" s="6"/>
      <c r="EY125" s="6"/>
      <c r="EZ125" s="6"/>
      <c r="FA125" s="6"/>
      <c r="FB125" s="6"/>
      <c r="FC125" s="6"/>
      <c r="FD125" s="6"/>
      <c r="FE125" s="6"/>
      <c r="FF125" s="6"/>
      <c r="FG125" s="6"/>
      <c r="FH125" s="6"/>
      <c r="FI125" s="6"/>
      <c r="FJ125" s="6"/>
      <c r="FK125" s="6"/>
      <c r="FL125" s="6"/>
      <c r="FM125" s="6"/>
      <c r="FN125" s="6"/>
      <c r="FO125" s="6"/>
      <c r="FP125" s="6"/>
      <c r="FQ125" s="6"/>
      <c r="FR125" s="6"/>
      <c r="FS125" s="6"/>
      <c r="FT125" s="6"/>
      <c r="FU125" s="6"/>
      <c r="FV125" s="6"/>
      <c r="FW125" s="6"/>
      <c r="FX125" s="6"/>
      <c r="FY125" s="6"/>
      <c r="FZ125" s="6"/>
      <c r="GA125" s="6"/>
      <c r="GB125" s="6"/>
      <c r="GC125" s="6"/>
      <c r="GD125" s="6"/>
      <c r="GE125" s="6"/>
      <c r="GF125" s="6"/>
      <c r="GG125" s="6"/>
      <c r="GH125" s="6"/>
      <c r="GI125" s="6"/>
      <c r="GJ125" s="6"/>
      <c r="GK125" s="6"/>
      <c r="GL125" s="6"/>
      <c r="GM125" s="6"/>
      <c r="GN125" s="6"/>
      <c r="GO125" s="6"/>
      <c r="GP125" s="6"/>
      <c r="GQ125" s="6"/>
      <c r="GR125" s="6"/>
      <c r="GS125" s="6"/>
      <c r="GT125" s="6"/>
      <c r="GU125" s="6"/>
      <c r="GV125" s="6"/>
      <c r="GW125" s="6"/>
      <c r="GX125" s="6"/>
      <c r="GY125" s="6"/>
      <c r="GZ125" s="6"/>
      <c r="HA125" s="6"/>
      <c r="HB125" s="6"/>
      <c r="HC125" s="6"/>
      <c r="HD125" s="6"/>
      <c r="HE125" s="6"/>
      <c r="HF125" s="6"/>
      <c r="HG125" s="6"/>
      <c r="HH125" s="6"/>
      <c r="HI125" s="6"/>
      <c r="HJ125" s="6"/>
      <c r="HK125" s="6"/>
      <c r="HL125" s="6"/>
      <c r="HM125" s="6"/>
      <c r="HN125" s="6"/>
      <c r="HO125" s="6"/>
      <c r="HP125" s="6"/>
      <c r="HQ125" s="6"/>
      <c r="HR125" s="6"/>
      <c r="HS125" s="6"/>
      <c r="HT125" s="6"/>
      <c r="HU125" s="6"/>
      <c r="HV125" s="6"/>
      <c r="HW125" s="6"/>
      <c r="HX125" s="6"/>
      <c r="HY125" s="6"/>
      <c r="HZ125" s="6"/>
      <c r="IA125" s="6"/>
      <c r="IB125" s="6"/>
      <c r="IC125" s="6"/>
      <c r="ID125" s="6"/>
      <c r="IE125" s="6"/>
      <c r="IF125" s="6"/>
      <c r="IG125" s="6"/>
      <c r="IH125" s="6"/>
      <c r="II125" s="6"/>
      <c r="IJ125" s="6"/>
      <c r="IK125" s="6"/>
      <c r="IL125" s="6"/>
      <c r="IM125" s="6"/>
      <c r="IN125" s="6"/>
      <c r="IO125" s="6"/>
      <c r="IP125" s="6"/>
      <c r="IQ125" s="6"/>
      <c r="IR125" s="6"/>
      <c r="IS125" s="6"/>
      <c r="IT125" s="6"/>
      <c r="IU125" s="6"/>
      <c r="IV125" s="6"/>
      <c r="IW125" s="6"/>
      <c r="IX125" s="6"/>
      <c r="IY125" s="6"/>
      <c r="IZ125" s="6"/>
      <c r="JA125" s="6"/>
      <c r="JB125" s="6"/>
      <c r="JC125" s="6"/>
      <c r="JD125" s="6"/>
      <c r="JE125" s="6"/>
      <c r="JF125" s="6"/>
      <c r="JG125" s="6"/>
      <c r="JH125" s="6"/>
      <c r="JI125" s="6"/>
      <c r="JJ125" s="6"/>
      <c r="JK125" s="6"/>
      <c r="JL125" s="6"/>
      <c r="JM125" s="6"/>
      <c r="JN125" s="6"/>
      <c r="JO125" s="6"/>
      <c r="JP125" s="6"/>
      <c r="JQ125" s="6"/>
      <c r="JR125" s="6"/>
      <c r="JS125" s="6"/>
      <c r="JT125" s="6"/>
      <c r="JU125" s="6"/>
      <c r="JV125" s="6"/>
      <c r="JW125" s="6"/>
      <c r="JX125" s="6"/>
      <c r="JY125" s="6"/>
      <c r="JZ125" s="6"/>
      <c r="KA125" s="6"/>
      <c r="KB125" s="6"/>
      <c r="KC125" s="6"/>
      <c r="KD125" s="6"/>
      <c r="KE125" s="6"/>
      <c r="KF125" s="6"/>
      <c r="KG125" s="6"/>
      <c r="KH125" s="6"/>
      <c r="KI125" s="6"/>
      <c r="KJ125" s="6"/>
      <c r="KK125" s="6"/>
      <c r="KL125" s="6"/>
      <c r="KM125" s="6"/>
      <c r="KN125" s="6"/>
      <c r="KO125" s="6"/>
      <c r="KP125" s="6"/>
      <c r="KQ125" s="6"/>
      <c r="KR125" s="6"/>
      <c r="KS125" s="6"/>
      <c r="KT125" s="6"/>
      <c r="KU125" s="6"/>
      <c r="KV125" s="6"/>
      <c r="KW125" s="6"/>
      <c r="KX125" s="6"/>
      <c r="KY125" s="6"/>
      <c r="KZ125" s="6"/>
      <c r="LA125" s="6"/>
      <c r="LB125" s="6"/>
      <c r="LC125" s="6"/>
      <c r="LD125" s="6"/>
      <c r="LE125" s="6"/>
      <c r="LF125" s="6"/>
      <c r="LG125" s="6"/>
      <c r="LH125" s="6"/>
      <c r="LI125" s="6"/>
      <c r="LJ125" s="6"/>
      <c r="LK125" s="6"/>
      <c r="LL125" s="6"/>
      <c r="LM125" s="6"/>
      <c r="LN125" s="6"/>
      <c r="LO125" s="6"/>
      <c r="LP125" s="6"/>
      <c r="LQ125" s="6"/>
    </row>
    <row r="126" spans="1:329" s="7" customFormat="1" ht="15" customHeight="1" x14ac:dyDescent="0.25">
      <c r="A126" s="76">
        <v>1101938</v>
      </c>
      <c r="B126" s="32" t="s">
        <v>260</v>
      </c>
      <c r="C126" s="33" t="str">
        <f>VLOOKUP(A126,Artikeldaten!A:B,2,0)</f>
        <v>Bezug Kopfstütze Axkid One Tar</v>
      </c>
      <c r="D126" s="53">
        <v>13</v>
      </c>
      <c r="E126" s="34">
        <f t="shared" si="2"/>
        <v>21.84873949579832</v>
      </c>
      <c r="F126" s="34">
        <f t="shared" si="3"/>
        <v>26</v>
      </c>
      <c r="G126" s="35" t="s">
        <v>21</v>
      </c>
      <c r="H126" s="35" t="s">
        <v>21</v>
      </c>
      <c r="I126" s="36"/>
      <c r="J126" s="36"/>
      <c r="K126" s="36"/>
      <c r="L126" s="36"/>
      <c r="M126" s="36"/>
      <c r="N126" s="36"/>
      <c r="O126" s="36"/>
      <c r="P126" s="36"/>
      <c r="Q126" s="36"/>
      <c r="R126" s="37">
        <v>7350057585009</v>
      </c>
      <c r="S126" s="38"/>
      <c r="T126" s="38"/>
      <c r="U126" s="38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  <c r="BP126" s="6"/>
      <c r="BQ126" s="6"/>
      <c r="BR126" s="6"/>
      <c r="BS126" s="6"/>
      <c r="BT126" s="6"/>
      <c r="BU126" s="6"/>
      <c r="BV126" s="6"/>
      <c r="BW126" s="6"/>
      <c r="BX126" s="6"/>
      <c r="BY126" s="6"/>
      <c r="BZ126" s="6"/>
      <c r="CA126" s="6"/>
      <c r="CB126" s="6"/>
      <c r="CC126" s="6"/>
      <c r="CD126" s="6"/>
      <c r="CE126" s="6"/>
      <c r="CF126" s="6"/>
      <c r="CG126" s="6"/>
      <c r="CH126" s="6"/>
      <c r="CI126" s="6"/>
      <c r="CJ126" s="6"/>
      <c r="CK126" s="6"/>
      <c r="CL126" s="6"/>
      <c r="CM126" s="6"/>
      <c r="CN126" s="6"/>
      <c r="CO126" s="6"/>
      <c r="CP126" s="6"/>
      <c r="CQ126" s="6"/>
      <c r="CR126" s="6"/>
      <c r="CS126" s="6"/>
      <c r="CT126" s="6"/>
      <c r="CU126" s="6"/>
      <c r="CV126" s="6"/>
      <c r="CW126" s="6"/>
      <c r="CX126" s="6"/>
      <c r="CY126" s="6"/>
      <c r="CZ126" s="6"/>
      <c r="DA126" s="6"/>
      <c r="DB126" s="6"/>
      <c r="DC126" s="6"/>
      <c r="DD126" s="6"/>
      <c r="DE126" s="6"/>
      <c r="DF126" s="6"/>
      <c r="DG126" s="6"/>
      <c r="DH126" s="6"/>
      <c r="DI126" s="6"/>
      <c r="DJ126" s="6"/>
      <c r="DK126" s="6"/>
      <c r="DL126" s="6"/>
      <c r="DM126" s="6"/>
      <c r="DN126" s="6"/>
      <c r="DO126" s="6"/>
      <c r="DP126" s="6"/>
      <c r="DQ126" s="6"/>
      <c r="DR126" s="6"/>
      <c r="DS126" s="6"/>
      <c r="DT126" s="6"/>
      <c r="DU126" s="6"/>
      <c r="DV126" s="6"/>
      <c r="DW126" s="6"/>
      <c r="DX126" s="6"/>
      <c r="DY126" s="6"/>
      <c r="DZ126" s="6"/>
      <c r="EA126" s="6"/>
      <c r="EB126" s="6"/>
      <c r="EC126" s="6"/>
      <c r="ED126" s="6"/>
      <c r="EE126" s="6"/>
      <c r="EF126" s="6"/>
      <c r="EG126" s="6"/>
      <c r="EH126" s="6"/>
      <c r="EI126" s="6"/>
      <c r="EJ126" s="6"/>
      <c r="EK126" s="6"/>
      <c r="EL126" s="6"/>
      <c r="EM126" s="6"/>
      <c r="EN126" s="6"/>
      <c r="EO126" s="6"/>
      <c r="EP126" s="6"/>
      <c r="EQ126" s="6"/>
      <c r="ER126" s="6"/>
      <c r="ES126" s="6"/>
      <c r="ET126" s="6"/>
      <c r="EU126" s="6"/>
      <c r="EV126" s="6"/>
      <c r="EW126" s="6"/>
      <c r="EX126" s="6"/>
      <c r="EY126" s="6"/>
      <c r="EZ126" s="6"/>
      <c r="FA126" s="6"/>
      <c r="FB126" s="6"/>
      <c r="FC126" s="6"/>
      <c r="FD126" s="6"/>
      <c r="FE126" s="6"/>
      <c r="FF126" s="6"/>
      <c r="FG126" s="6"/>
      <c r="FH126" s="6"/>
      <c r="FI126" s="6"/>
      <c r="FJ126" s="6"/>
      <c r="FK126" s="6"/>
      <c r="FL126" s="6"/>
      <c r="FM126" s="6"/>
      <c r="FN126" s="6"/>
      <c r="FO126" s="6"/>
      <c r="FP126" s="6"/>
      <c r="FQ126" s="6"/>
      <c r="FR126" s="6"/>
      <c r="FS126" s="6"/>
      <c r="FT126" s="6"/>
      <c r="FU126" s="6"/>
      <c r="FV126" s="6"/>
      <c r="FW126" s="6"/>
      <c r="FX126" s="6"/>
      <c r="FY126" s="6"/>
      <c r="FZ126" s="6"/>
      <c r="GA126" s="6"/>
      <c r="GB126" s="6"/>
      <c r="GC126" s="6"/>
      <c r="GD126" s="6"/>
      <c r="GE126" s="6"/>
      <c r="GF126" s="6"/>
      <c r="GG126" s="6"/>
      <c r="GH126" s="6"/>
      <c r="GI126" s="6"/>
      <c r="GJ126" s="6"/>
      <c r="GK126" s="6"/>
      <c r="GL126" s="6"/>
      <c r="GM126" s="6"/>
      <c r="GN126" s="6"/>
      <c r="GO126" s="6"/>
      <c r="GP126" s="6"/>
      <c r="GQ126" s="6"/>
      <c r="GR126" s="6"/>
      <c r="GS126" s="6"/>
      <c r="GT126" s="6"/>
      <c r="GU126" s="6"/>
      <c r="GV126" s="6"/>
      <c r="GW126" s="6"/>
      <c r="GX126" s="6"/>
      <c r="GY126" s="6"/>
      <c r="GZ126" s="6"/>
      <c r="HA126" s="6"/>
      <c r="HB126" s="6"/>
      <c r="HC126" s="6"/>
      <c r="HD126" s="6"/>
      <c r="HE126" s="6"/>
      <c r="HF126" s="6"/>
      <c r="HG126" s="6"/>
      <c r="HH126" s="6"/>
      <c r="HI126" s="6"/>
      <c r="HJ126" s="6"/>
      <c r="HK126" s="6"/>
      <c r="HL126" s="6"/>
      <c r="HM126" s="6"/>
      <c r="HN126" s="6"/>
      <c r="HO126" s="6"/>
      <c r="HP126" s="6"/>
      <c r="HQ126" s="6"/>
      <c r="HR126" s="6"/>
      <c r="HS126" s="6"/>
      <c r="HT126" s="6"/>
      <c r="HU126" s="6"/>
      <c r="HV126" s="6"/>
      <c r="HW126" s="6"/>
      <c r="HX126" s="6"/>
      <c r="HY126" s="6"/>
      <c r="HZ126" s="6"/>
      <c r="IA126" s="6"/>
      <c r="IB126" s="6"/>
      <c r="IC126" s="6"/>
      <c r="ID126" s="6"/>
      <c r="IE126" s="6"/>
      <c r="IF126" s="6"/>
      <c r="IG126" s="6"/>
      <c r="IH126" s="6"/>
      <c r="II126" s="6"/>
      <c r="IJ126" s="6"/>
      <c r="IK126" s="6"/>
      <c r="IL126" s="6"/>
      <c r="IM126" s="6"/>
      <c r="IN126" s="6"/>
      <c r="IO126" s="6"/>
      <c r="IP126" s="6"/>
      <c r="IQ126" s="6"/>
      <c r="IR126" s="6"/>
      <c r="IS126" s="6"/>
      <c r="IT126" s="6"/>
      <c r="IU126" s="6"/>
      <c r="IV126" s="6"/>
      <c r="IW126" s="6"/>
      <c r="IX126" s="6"/>
      <c r="IY126" s="6"/>
      <c r="IZ126" s="6"/>
      <c r="JA126" s="6"/>
      <c r="JB126" s="6"/>
      <c r="JC126" s="6"/>
      <c r="JD126" s="6"/>
      <c r="JE126" s="6"/>
      <c r="JF126" s="6"/>
      <c r="JG126" s="6"/>
      <c r="JH126" s="6"/>
      <c r="JI126" s="6"/>
      <c r="JJ126" s="6"/>
      <c r="JK126" s="6"/>
      <c r="JL126" s="6"/>
      <c r="JM126" s="6"/>
      <c r="JN126" s="6"/>
      <c r="JO126" s="6"/>
      <c r="JP126" s="6"/>
      <c r="JQ126" s="6"/>
      <c r="JR126" s="6"/>
      <c r="JS126" s="6"/>
      <c r="JT126" s="6"/>
      <c r="JU126" s="6"/>
      <c r="JV126" s="6"/>
      <c r="JW126" s="6"/>
      <c r="JX126" s="6"/>
      <c r="JY126" s="6"/>
      <c r="JZ126" s="6"/>
      <c r="KA126" s="6"/>
      <c r="KB126" s="6"/>
      <c r="KC126" s="6"/>
      <c r="KD126" s="6"/>
      <c r="KE126" s="6"/>
      <c r="KF126" s="6"/>
      <c r="KG126" s="6"/>
      <c r="KH126" s="6"/>
      <c r="KI126" s="6"/>
      <c r="KJ126" s="6"/>
      <c r="KK126" s="6"/>
      <c r="KL126" s="6"/>
      <c r="KM126" s="6"/>
      <c r="KN126" s="6"/>
      <c r="KO126" s="6"/>
      <c r="KP126" s="6"/>
      <c r="KQ126" s="6"/>
      <c r="KR126" s="6"/>
      <c r="KS126" s="6"/>
      <c r="KT126" s="6"/>
      <c r="KU126" s="6"/>
      <c r="KV126" s="6"/>
      <c r="KW126" s="6"/>
      <c r="KX126" s="6"/>
      <c r="KY126" s="6"/>
      <c r="KZ126" s="6"/>
      <c r="LA126" s="6"/>
      <c r="LB126" s="6"/>
      <c r="LC126" s="6"/>
      <c r="LD126" s="6"/>
      <c r="LE126" s="6"/>
      <c r="LF126" s="6"/>
      <c r="LG126" s="6"/>
      <c r="LH126" s="6"/>
      <c r="LI126" s="6"/>
      <c r="LJ126" s="6"/>
      <c r="LK126" s="6"/>
      <c r="LL126" s="6"/>
      <c r="LM126" s="6"/>
      <c r="LN126" s="6"/>
      <c r="LO126" s="6"/>
      <c r="LP126" s="6"/>
      <c r="LQ126" s="6"/>
    </row>
    <row r="127" spans="1:329" ht="15" customHeight="1" x14ac:dyDescent="0.25">
      <c r="A127" s="76">
        <v>1101982</v>
      </c>
      <c r="B127" s="32" t="s">
        <v>262</v>
      </c>
      <c r="C127" s="33" t="str">
        <f>VLOOKUP(A127,Artikeldaten!A:B,2,0)</f>
        <v>Gurtschlosspolster &amp; Schulterpolster (LH + RH) - Axkid One Tar</v>
      </c>
      <c r="D127" s="53">
        <v>20</v>
      </c>
      <c r="E127" s="34">
        <f t="shared" si="2"/>
        <v>33.613445378151262</v>
      </c>
      <c r="F127" s="34">
        <f t="shared" si="3"/>
        <v>40</v>
      </c>
      <c r="G127" s="35" t="s">
        <v>21</v>
      </c>
      <c r="H127" s="35" t="s">
        <v>21</v>
      </c>
      <c r="I127" s="36"/>
      <c r="J127" s="36"/>
      <c r="K127" s="36"/>
      <c r="L127" s="36"/>
      <c r="M127" s="36"/>
      <c r="N127" s="36"/>
      <c r="O127" s="36"/>
      <c r="P127" s="36"/>
      <c r="Q127" s="36"/>
      <c r="R127" s="37">
        <v>7350057585016</v>
      </c>
      <c r="S127" s="38"/>
      <c r="T127" s="38"/>
      <c r="U127" s="38"/>
    </row>
    <row r="128" spans="1:329" ht="15" customHeight="1" x14ac:dyDescent="0.25">
      <c r="A128" s="72">
        <v>1101983</v>
      </c>
      <c r="B128" s="46" t="s">
        <v>264</v>
      </c>
      <c r="C128" s="44" t="str">
        <f>VLOOKUP(A128,Artikeldaten!A:B,2,0)</f>
        <v>Stoffbezug - Axkid One Granite</v>
      </c>
      <c r="D128" s="54">
        <v>50</v>
      </c>
      <c r="E128" s="45">
        <f t="shared" si="2"/>
        <v>84.033613445378151</v>
      </c>
      <c r="F128" s="45">
        <f t="shared" si="3"/>
        <v>100</v>
      </c>
      <c r="G128" s="35" t="s">
        <v>21</v>
      </c>
      <c r="H128" s="35" t="s">
        <v>21</v>
      </c>
      <c r="I128" s="36"/>
      <c r="J128" s="36"/>
      <c r="K128" s="36"/>
      <c r="L128" s="36"/>
      <c r="M128" s="36"/>
      <c r="N128" s="36"/>
      <c r="O128" s="36"/>
      <c r="P128" s="36"/>
      <c r="Q128" s="36"/>
      <c r="R128" s="42">
        <v>7350057585023</v>
      </c>
      <c r="S128" s="43" t="s">
        <v>331</v>
      </c>
      <c r="T128" s="43">
        <v>2908</v>
      </c>
      <c r="U128" s="43">
        <v>2238</v>
      </c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7"/>
      <c r="BI128" s="7"/>
      <c r="BJ128" s="7"/>
      <c r="BK128" s="7"/>
      <c r="BL128" s="7"/>
      <c r="BM128" s="7"/>
      <c r="BN128" s="7"/>
      <c r="BO128" s="7"/>
      <c r="BP128" s="7"/>
      <c r="BQ128" s="7"/>
      <c r="BR128" s="7"/>
      <c r="BS128" s="7"/>
      <c r="BT128" s="7"/>
      <c r="BU128" s="7"/>
      <c r="BV128" s="7"/>
      <c r="BW128" s="7"/>
      <c r="BX128" s="7"/>
      <c r="BY128" s="7"/>
      <c r="BZ128" s="7"/>
      <c r="CA128" s="7"/>
      <c r="CB128" s="7"/>
      <c r="CC128" s="7"/>
      <c r="CD128" s="7"/>
      <c r="CE128" s="7"/>
      <c r="CF128" s="7"/>
      <c r="CG128" s="7"/>
      <c r="CH128" s="7"/>
      <c r="CI128" s="7"/>
      <c r="CJ128" s="7"/>
      <c r="CK128" s="7"/>
      <c r="CL128" s="7"/>
      <c r="CM128" s="7"/>
      <c r="CN128" s="7"/>
      <c r="CO128" s="7"/>
      <c r="CP128" s="7"/>
      <c r="CQ128" s="7"/>
      <c r="CR128" s="7"/>
      <c r="CS128" s="7"/>
      <c r="CT128" s="7"/>
      <c r="CU128" s="7"/>
      <c r="CV128" s="7"/>
      <c r="CW128" s="7"/>
      <c r="CX128" s="7"/>
      <c r="CY128" s="7"/>
      <c r="CZ128" s="7"/>
      <c r="DA128" s="7"/>
      <c r="DB128" s="7"/>
      <c r="DC128" s="7"/>
      <c r="DD128" s="7"/>
      <c r="DE128" s="7"/>
      <c r="DF128" s="7"/>
      <c r="DG128" s="7"/>
      <c r="DH128" s="7"/>
      <c r="DI128" s="7"/>
      <c r="DJ128" s="7"/>
      <c r="DK128" s="7"/>
      <c r="DL128" s="7"/>
      <c r="DM128" s="7"/>
      <c r="DN128" s="7"/>
      <c r="DO128" s="7"/>
      <c r="DP128" s="7"/>
      <c r="DQ128" s="7"/>
      <c r="DR128" s="7"/>
      <c r="DS128" s="7"/>
      <c r="DT128" s="7"/>
      <c r="DU128" s="7"/>
      <c r="DV128" s="7"/>
      <c r="DW128" s="7"/>
      <c r="DX128" s="7"/>
      <c r="DY128" s="7"/>
      <c r="DZ128" s="7"/>
      <c r="EA128" s="7"/>
      <c r="EB128" s="7"/>
      <c r="EC128" s="7"/>
      <c r="ED128" s="7"/>
      <c r="EE128" s="7"/>
      <c r="EF128" s="7"/>
      <c r="EG128" s="7"/>
      <c r="EH128" s="7"/>
      <c r="EI128" s="7"/>
      <c r="EJ128" s="7"/>
      <c r="EK128" s="7"/>
      <c r="EL128" s="7"/>
      <c r="EM128" s="7"/>
      <c r="EN128" s="7"/>
      <c r="EO128" s="7"/>
      <c r="EP128" s="7"/>
      <c r="EQ128" s="7"/>
      <c r="ER128" s="7"/>
      <c r="ES128" s="7"/>
      <c r="ET128" s="7"/>
      <c r="EU128" s="7"/>
      <c r="EV128" s="7"/>
      <c r="EW128" s="7"/>
      <c r="EX128" s="7"/>
      <c r="EY128" s="7"/>
      <c r="EZ128" s="7"/>
      <c r="FA128" s="7"/>
      <c r="FB128" s="7"/>
      <c r="FC128" s="7"/>
      <c r="FD128" s="7"/>
      <c r="FE128" s="7"/>
      <c r="FF128" s="7"/>
      <c r="FG128" s="7"/>
      <c r="FH128" s="7"/>
      <c r="FI128" s="7"/>
      <c r="FJ128" s="7"/>
      <c r="FK128" s="7"/>
      <c r="FL128" s="7"/>
      <c r="FM128" s="7"/>
      <c r="FN128" s="7"/>
      <c r="FO128" s="7"/>
      <c r="FP128" s="7"/>
      <c r="FQ128" s="7"/>
      <c r="FR128" s="7"/>
      <c r="FS128" s="7"/>
      <c r="FT128" s="7"/>
      <c r="FU128" s="7"/>
      <c r="FV128" s="7"/>
      <c r="FW128" s="7"/>
      <c r="FX128" s="7"/>
      <c r="FY128" s="7"/>
      <c r="FZ128" s="7"/>
      <c r="GA128" s="7"/>
      <c r="GB128" s="7"/>
      <c r="GC128" s="7"/>
      <c r="GD128" s="7"/>
      <c r="GE128" s="7"/>
      <c r="GF128" s="7"/>
      <c r="GG128" s="7"/>
      <c r="GH128" s="7"/>
      <c r="GI128" s="7"/>
      <c r="GJ128" s="7"/>
      <c r="GK128" s="7"/>
      <c r="GL128" s="7"/>
      <c r="GM128" s="7"/>
      <c r="GN128" s="7"/>
      <c r="GO128" s="7"/>
      <c r="GP128" s="7"/>
      <c r="GQ128" s="7"/>
      <c r="GR128" s="7"/>
      <c r="GS128" s="7"/>
      <c r="GT128" s="7"/>
      <c r="GU128" s="7"/>
      <c r="GV128" s="7"/>
      <c r="GW128" s="7"/>
      <c r="GX128" s="7"/>
      <c r="GY128" s="7"/>
      <c r="GZ128" s="7"/>
      <c r="HA128" s="7"/>
      <c r="HB128" s="7"/>
      <c r="HC128" s="7"/>
      <c r="HD128" s="7"/>
      <c r="HE128" s="7"/>
      <c r="HF128" s="7"/>
      <c r="HG128" s="7"/>
      <c r="HH128" s="7"/>
      <c r="HI128" s="7"/>
      <c r="HJ128" s="7"/>
      <c r="HK128" s="7"/>
      <c r="HL128" s="7"/>
      <c r="HM128" s="7"/>
      <c r="HN128" s="7"/>
      <c r="HO128" s="7"/>
      <c r="HP128" s="7"/>
      <c r="HQ128" s="7"/>
      <c r="HR128" s="7"/>
      <c r="HS128" s="7"/>
      <c r="HT128" s="7"/>
      <c r="HU128" s="7"/>
      <c r="HV128" s="7"/>
      <c r="HW128" s="7"/>
      <c r="HX128" s="7"/>
      <c r="HY128" s="7"/>
      <c r="HZ128" s="7"/>
      <c r="IA128" s="7"/>
      <c r="IB128" s="7"/>
      <c r="IC128" s="7"/>
      <c r="ID128" s="7"/>
      <c r="IE128" s="7"/>
      <c r="IF128" s="7"/>
      <c r="IG128" s="7"/>
      <c r="IH128" s="7"/>
      <c r="II128" s="7"/>
      <c r="IJ128" s="7"/>
      <c r="IK128" s="7"/>
      <c r="IL128" s="7"/>
      <c r="IM128" s="7"/>
      <c r="IN128" s="7"/>
      <c r="IO128" s="7"/>
      <c r="IP128" s="7"/>
      <c r="IQ128" s="7"/>
      <c r="IR128" s="7"/>
      <c r="IS128" s="7"/>
      <c r="IT128" s="7"/>
      <c r="IU128" s="7"/>
      <c r="IV128" s="7"/>
      <c r="IW128" s="7"/>
      <c r="IX128" s="7"/>
      <c r="IY128" s="7"/>
      <c r="IZ128" s="7"/>
      <c r="JA128" s="7"/>
      <c r="JB128" s="7"/>
      <c r="JC128" s="7"/>
      <c r="JD128" s="7"/>
      <c r="JE128" s="7"/>
      <c r="JF128" s="7"/>
      <c r="JG128" s="7"/>
      <c r="JH128" s="7"/>
      <c r="JI128" s="7"/>
      <c r="JJ128" s="7"/>
      <c r="JK128" s="7"/>
      <c r="JL128" s="7"/>
      <c r="JM128" s="7"/>
      <c r="JN128" s="7"/>
      <c r="JO128" s="7"/>
      <c r="JP128" s="7"/>
      <c r="JQ128" s="7"/>
      <c r="JR128" s="7"/>
      <c r="JS128" s="7"/>
      <c r="JT128" s="7"/>
      <c r="JU128" s="7"/>
      <c r="JV128" s="7"/>
      <c r="JW128" s="7"/>
      <c r="JX128" s="7"/>
      <c r="JY128" s="7"/>
      <c r="JZ128" s="7"/>
      <c r="KA128" s="7"/>
      <c r="KB128" s="7"/>
      <c r="KC128" s="7"/>
      <c r="KD128" s="7"/>
      <c r="KE128" s="7"/>
      <c r="KF128" s="7"/>
      <c r="KG128" s="7"/>
      <c r="KH128" s="7"/>
      <c r="KI128" s="7"/>
      <c r="KJ128" s="7"/>
      <c r="KK128" s="7"/>
      <c r="KL128" s="7"/>
      <c r="KM128" s="7"/>
      <c r="KN128" s="7"/>
      <c r="KO128" s="7"/>
      <c r="KP128" s="7"/>
      <c r="KQ128" s="7"/>
      <c r="KR128" s="7"/>
      <c r="KS128" s="7"/>
      <c r="KT128" s="7"/>
      <c r="KU128" s="7"/>
      <c r="KV128" s="7"/>
      <c r="KW128" s="7"/>
      <c r="KX128" s="7"/>
      <c r="KY128" s="7"/>
      <c r="KZ128" s="7"/>
      <c r="LA128" s="7"/>
      <c r="LB128" s="7"/>
      <c r="LC128" s="7"/>
      <c r="LD128" s="7"/>
      <c r="LE128" s="7"/>
      <c r="LF128" s="7"/>
      <c r="LG128" s="7"/>
      <c r="LH128" s="7"/>
      <c r="LI128" s="7"/>
      <c r="LJ128" s="7"/>
      <c r="LK128" s="7"/>
      <c r="LL128" s="7"/>
      <c r="LM128" s="7"/>
      <c r="LN128" s="7"/>
      <c r="LO128" s="7"/>
      <c r="LP128" s="7"/>
      <c r="LQ128" s="7"/>
    </row>
    <row r="129" spans="1:329" ht="15" customHeight="1" x14ac:dyDescent="0.25">
      <c r="A129" s="72">
        <v>1101984</v>
      </c>
      <c r="B129" s="46" t="s">
        <v>266</v>
      </c>
      <c r="C129" s="44" t="str">
        <f>VLOOKUP(A129,Artikeldaten!A:B,2,0)</f>
        <v>Stoffbezug - Axkid One Brick Melange</v>
      </c>
      <c r="D129" s="54">
        <v>50</v>
      </c>
      <c r="E129" s="45">
        <f t="shared" si="2"/>
        <v>84.033613445378151</v>
      </c>
      <c r="F129" s="45">
        <f t="shared" si="3"/>
        <v>100</v>
      </c>
      <c r="G129" s="35" t="s">
        <v>21</v>
      </c>
      <c r="H129" s="35" t="s">
        <v>21</v>
      </c>
      <c r="I129" s="36"/>
      <c r="J129" s="36"/>
      <c r="K129" s="36"/>
      <c r="L129" s="36"/>
      <c r="M129" s="36"/>
      <c r="N129" s="36"/>
      <c r="O129" s="36"/>
      <c r="P129" s="36"/>
      <c r="Q129" s="36"/>
      <c r="R129" s="42">
        <v>7350057585030</v>
      </c>
      <c r="S129" s="43" t="s">
        <v>331</v>
      </c>
      <c r="T129" s="43">
        <v>2908</v>
      </c>
      <c r="U129" s="43">
        <v>2238</v>
      </c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7"/>
      <c r="BG129" s="7"/>
      <c r="BH129" s="7"/>
      <c r="BI129" s="7"/>
      <c r="BJ129" s="7"/>
      <c r="BK129" s="7"/>
      <c r="BL129" s="7"/>
      <c r="BM129" s="7"/>
      <c r="BN129" s="7"/>
      <c r="BO129" s="7"/>
      <c r="BP129" s="7"/>
      <c r="BQ129" s="7"/>
      <c r="BR129" s="7"/>
      <c r="BS129" s="7"/>
      <c r="BT129" s="7"/>
      <c r="BU129" s="7"/>
      <c r="BV129" s="7"/>
      <c r="BW129" s="7"/>
      <c r="BX129" s="7"/>
      <c r="BY129" s="7"/>
      <c r="BZ129" s="7"/>
      <c r="CA129" s="7"/>
      <c r="CB129" s="7"/>
      <c r="CC129" s="7"/>
      <c r="CD129" s="7"/>
      <c r="CE129" s="7"/>
      <c r="CF129" s="7"/>
      <c r="CG129" s="7"/>
      <c r="CH129" s="7"/>
      <c r="CI129" s="7"/>
      <c r="CJ129" s="7"/>
      <c r="CK129" s="7"/>
      <c r="CL129" s="7"/>
      <c r="CM129" s="7"/>
      <c r="CN129" s="7"/>
      <c r="CO129" s="7"/>
      <c r="CP129" s="7"/>
      <c r="CQ129" s="7"/>
      <c r="CR129" s="7"/>
      <c r="CS129" s="7"/>
      <c r="CT129" s="7"/>
      <c r="CU129" s="7"/>
      <c r="CV129" s="7"/>
      <c r="CW129" s="7"/>
      <c r="CX129" s="7"/>
      <c r="CY129" s="7"/>
      <c r="CZ129" s="7"/>
      <c r="DA129" s="7"/>
      <c r="DB129" s="7"/>
      <c r="DC129" s="7"/>
      <c r="DD129" s="7"/>
      <c r="DE129" s="7"/>
      <c r="DF129" s="7"/>
      <c r="DG129" s="7"/>
      <c r="DH129" s="7"/>
      <c r="DI129" s="7"/>
      <c r="DJ129" s="7"/>
      <c r="DK129" s="7"/>
      <c r="DL129" s="7"/>
      <c r="DM129" s="7"/>
      <c r="DN129" s="7"/>
      <c r="DO129" s="7"/>
      <c r="DP129" s="7"/>
      <c r="DQ129" s="7"/>
      <c r="DR129" s="7"/>
      <c r="DS129" s="7"/>
      <c r="DT129" s="7"/>
      <c r="DU129" s="7"/>
      <c r="DV129" s="7"/>
      <c r="DW129" s="7"/>
      <c r="DX129" s="7"/>
      <c r="DY129" s="7"/>
      <c r="DZ129" s="7"/>
      <c r="EA129" s="7"/>
      <c r="EB129" s="7"/>
      <c r="EC129" s="7"/>
      <c r="ED129" s="7"/>
      <c r="EE129" s="7"/>
      <c r="EF129" s="7"/>
      <c r="EG129" s="7"/>
      <c r="EH129" s="7"/>
      <c r="EI129" s="7"/>
      <c r="EJ129" s="7"/>
      <c r="EK129" s="7"/>
      <c r="EL129" s="7"/>
      <c r="EM129" s="7"/>
      <c r="EN129" s="7"/>
      <c r="EO129" s="7"/>
      <c r="EP129" s="7"/>
      <c r="EQ129" s="7"/>
      <c r="ER129" s="7"/>
      <c r="ES129" s="7"/>
      <c r="ET129" s="7"/>
      <c r="EU129" s="7"/>
      <c r="EV129" s="7"/>
      <c r="EW129" s="7"/>
      <c r="EX129" s="7"/>
      <c r="EY129" s="7"/>
      <c r="EZ129" s="7"/>
      <c r="FA129" s="7"/>
      <c r="FB129" s="7"/>
      <c r="FC129" s="7"/>
      <c r="FD129" s="7"/>
      <c r="FE129" s="7"/>
      <c r="FF129" s="7"/>
      <c r="FG129" s="7"/>
      <c r="FH129" s="7"/>
      <c r="FI129" s="7"/>
      <c r="FJ129" s="7"/>
      <c r="FK129" s="7"/>
      <c r="FL129" s="7"/>
      <c r="FM129" s="7"/>
      <c r="FN129" s="7"/>
      <c r="FO129" s="7"/>
      <c r="FP129" s="7"/>
      <c r="FQ129" s="7"/>
      <c r="FR129" s="7"/>
      <c r="FS129" s="7"/>
      <c r="FT129" s="7"/>
      <c r="FU129" s="7"/>
      <c r="FV129" s="7"/>
      <c r="FW129" s="7"/>
      <c r="FX129" s="7"/>
      <c r="FY129" s="7"/>
      <c r="FZ129" s="7"/>
      <c r="GA129" s="7"/>
      <c r="GB129" s="7"/>
      <c r="GC129" s="7"/>
      <c r="GD129" s="7"/>
      <c r="GE129" s="7"/>
      <c r="GF129" s="7"/>
      <c r="GG129" s="7"/>
      <c r="GH129" s="7"/>
      <c r="GI129" s="7"/>
      <c r="GJ129" s="7"/>
      <c r="GK129" s="7"/>
      <c r="GL129" s="7"/>
      <c r="GM129" s="7"/>
      <c r="GN129" s="7"/>
      <c r="GO129" s="7"/>
      <c r="GP129" s="7"/>
      <c r="GQ129" s="7"/>
      <c r="GR129" s="7"/>
      <c r="GS129" s="7"/>
      <c r="GT129" s="7"/>
      <c r="GU129" s="7"/>
      <c r="GV129" s="7"/>
      <c r="GW129" s="7"/>
      <c r="GX129" s="7"/>
      <c r="GY129" s="7"/>
      <c r="GZ129" s="7"/>
      <c r="HA129" s="7"/>
      <c r="HB129" s="7"/>
      <c r="HC129" s="7"/>
      <c r="HD129" s="7"/>
      <c r="HE129" s="7"/>
      <c r="HF129" s="7"/>
      <c r="HG129" s="7"/>
      <c r="HH129" s="7"/>
      <c r="HI129" s="7"/>
      <c r="HJ129" s="7"/>
      <c r="HK129" s="7"/>
      <c r="HL129" s="7"/>
      <c r="HM129" s="7"/>
      <c r="HN129" s="7"/>
      <c r="HO129" s="7"/>
      <c r="HP129" s="7"/>
      <c r="HQ129" s="7"/>
      <c r="HR129" s="7"/>
      <c r="HS129" s="7"/>
      <c r="HT129" s="7"/>
      <c r="HU129" s="7"/>
      <c r="HV129" s="7"/>
      <c r="HW129" s="7"/>
      <c r="HX129" s="7"/>
      <c r="HY129" s="7"/>
      <c r="HZ129" s="7"/>
      <c r="IA129" s="7"/>
      <c r="IB129" s="7"/>
      <c r="IC129" s="7"/>
      <c r="ID129" s="7"/>
      <c r="IE129" s="7"/>
      <c r="IF129" s="7"/>
      <c r="IG129" s="7"/>
      <c r="IH129" s="7"/>
      <c r="II129" s="7"/>
      <c r="IJ129" s="7"/>
      <c r="IK129" s="7"/>
      <c r="IL129" s="7"/>
      <c r="IM129" s="7"/>
      <c r="IN129" s="7"/>
      <c r="IO129" s="7"/>
      <c r="IP129" s="7"/>
      <c r="IQ129" s="7"/>
      <c r="IR129" s="7"/>
      <c r="IS129" s="7"/>
      <c r="IT129" s="7"/>
      <c r="IU129" s="7"/>
      <c r="IV129" s="7"/>
      <c r="IW129" s="7"/>
      <c r="IX129" s="7"/>
      <c r="IY129" s="7"/>
      <c r="IZ129" s="7"/>
      <c r="JA129" s="7"/>
      <c r="JB129" s="7"/>
      <c r="JC129" s="7"/>
      <c r="JD129" s="7"/>
      <c r="JE129" s="7"/>
      <c r="JF129" s="7"/>
      <c r="JG129" s="7"/>
      <c r="JH129" s="7"/>
      <c r="JI129" s="7"/>
      <c r="JJ129" s="7"/>
      <c r="JK129" s="7"/>
      <c r="JL129" s="7"/>
      <c r="JM129" s="7"/>
      <c r="JN129" s="7"/>
      <c r="JO129" s="7"/>
      <c r="JP129" s="7"/>
      <c r="JQ129" s="7"/>
      <c r="JR129" s="7"/>
      <c r="JS129" s="7"/>
      <c r="JT129" s="7"/>
      <c r="JU129" s="7"/>
      <c r="JV129" s="7"/>
      <c r="JW129" s="7"/>
      <c r="JX129" s="7"/>
      <c r="JY129" s="7"/>
      <c r="JZ129" s="7"/>
      <c r="KA129" s="7"/>
      <c r="KB129" s="7"/>
      <c r="KC129" s="7"/>
      <c r="KD129" s="7"/>
      <c r="KE129" s="7"/>
      <c r="KF129" s="7"/>
      <c r="KG129" s="7"/>
      <c r="KH129" s="7"/>
      <c r="KI129" s="7"/>
      <c r="KJ129" s="7"/>
      <c r="KK129" s="7"/>
      <c r="KL129" s="7"/>
      <c r="KM129" s="7"/>
      <c r="KN129" s="7"/>
      <c r="KO129" s="7"/>
      <c r="KP129" s="7"/>
      <c r="KQ129" s="7"/>
      <c r="KR129" s="7"/>
      <c r="KS129" s="7"/>
      <c r="KT129" s="7"/>
      <c r="KU129" s="7"/>
      <c r="KV129" s="7"/>
      <c r="KW129" s="7"/>
      <c r="KX129" s="7"/>
      <c r="KY129" s="7"/>
      <c r="KZ129" s="7"/>
      <c r="LA129" s="7"/>
      <c r="LB129" s="7"/>
      <c r="LC129" s="7"/>
      <c r="LD129" s="7"/>
      <c r="LE129" s="7"/>
      <c r="LF129" s="7"/>
      <c r="LG129" s="7"/>
      <c r="LH129" s="7"/>
      <c r="LI129" s="7"/>
      <c r="LJ129" s="7"/>
      <c r="LK129" s="7"/>
      <c r="LL129" s="7"/>
      <c r="LM129" s="7"/>
      <c r="LN129" s="7"/>
      <c r="LO129" s="7"/>
      <c r="LP129" s="7"/>
      <c r="LQ129" s="7"/>
    </row>
    <row r="130" spans="1:329" ht="15" customHeight="1" x14ac:dyDescent="0.25">
      <c r="A130" s="72">
        <v>1101985</v>
      </c>
      <c r="B130" s="46" t="s">
        <v>268</v>
      </c>
      <c r="C130" s="44" t="str">
        <f>VLOOKUP(A130,Artikeldaten!A:B,2,0)</f>
        <v>Stoffbezug - Axkid One Tile Melange</v>
      </c>
      <c r="D130" s="54">
        <v>50</v>
      </c>
      <c r="E130" s="45">
        <f t="shared" si="2"/>
        <v>84.033613445378151</v>
      </c>
      <c r="F130" s="45">
        <f t="shared" si="3"/>
        <v>100</v>
      </c>
      <c r="G130" s="35" t="s">
        <v>21</v>
      </c>
      <c r="H130" s="35" t="s">
        <v>21</v>
      </c>
      <c r="I130" s="36"/>
      <c r="J130" s="36"/>
      <c r="K130" s="36"/>
      <c r="L130" s="36"/>
      <c r="M130" s="36"/>
      <c r="N130" s="36"/>
      <c r="O130" s="36"/>
      <c r="P130" s="36"/>
      <c r="Q130" s="36"/>
      <c r="R130" s="42">
        <v>7350057585047</v>
      </c>
      <c r="S130" s="43" t="s">
        <v>331</v>
      </c>
      <c r="T130" s="43">
        <v>2908</v>
      </c>
      <c r="U130" s="43">
        <v>2238</v>
      </c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7"/>
      <c r="BH130" s="7"/>
      <c r="BI130" s="7"/>
      <c r="BJ130" s="7"/>
      <c r="BK130" s="7"/>
      <c r="BL130" s="7"/>
      <c r="BM130" s="7"/>
      <c r="BN130" s="7"/>
      <c r="BO130" s="7"/>
      <c r="BP130" s="7"/>
      <c r="BQ130" s="7"/>
      <c r="BR130" s="7"/>
      <c r="BS130" s="7"/>
      <c r="BT130" s="7"/>
      <c r="BU130" s="7"/>
      <c r="BV130" s="7"/>
      <c r="BW130" s="7"/>
      <c r="BX130" s="7"/>
      <c r="BY130" s="7"/>
      <c r="BZ130" s="7"/>
      <c r="CA130" s="7"/>
      <c r="CB130" s="7"/>
      <c r="CC130" s="7"/>
      <c r="CD130" s="7"/>
      <c r="CE130" s="7"/>
      <c r="CF130" s="7"/>
      <c r="CG130" s="7"/>
      <c r="CH130" s="7"/>
      <c r="CI130" s="7"/>
      <c r="CJ130" s="7"/>
      <c r="CK130" s="7"/>
      <c r="CL130" s="7"/>
      <c r="CM130" s="7"/>
      <c r="CN130" s="7"/>
      <c r="CO130" s="7"/>
      <c r="CP130" s="7"/>
      <c r="CQ130" s="7"/>
      <c r="CR130" s="7"/>
      <c r="CS130" s="7"/>
      <c r="CT130" s="7"/>
      <c r="CU130" s="7"/>
      <c r="CV130" s="7"/>
      <c r="CW130" s="7"/>
      <c r="CX130" s="7"/>
      <c r="CY130" s="7"/>
      <c r="CZ130" s="7"/>
      <c r="DA130" s="7"/>
      <c r="DB130" s="7"/>
      <c r="DC130" s="7"/>
      <c r="DD130" s="7"/>
      <c r="DE130" s="7"/>
      <c r="DF130" s="7"/>
      <c r="DG130" s="7"/>
      <c r="DH130" s="7"/>
      <c r="DI130" s="7"/>
      <c r="DJ130" s="7"/>
      <c r="DK130" s="7"/>
      <c r="DL130" s="7"/>
      <c r="DM130" s="7"/>
      <c r="DN130" s="7"/>
      <c r="DO130" s="7"/>
      <c r="DP130" s="7"/>
      <c r="DQ130" s="7"/>
      <c r="DR130" s="7"/>
      <c r="DS130" s="7"/>
      <c r="DT130" s="7"/>
      <c r="DU130" s="7"/>
      <c r="DV130" s="7"/>
      <c r="DW130" s="7"/>
      <c r="DX130" s="7"/>
      <c r="DY130" s="7"/>
      <c r="DZ130" s="7"/>
      <c r="EA130" s="7"/>
      <c r="EB130" s="7"/>
      <c r="EC130" s="7"/>
      <c r="ED130" s="7"/>
      <c r="EE130" s="7"/>
      <c r="EF130" s="7"/>
      <c r="EG130" s="7"/>
      <c r="EH130" s="7"/>
      <c r="EI130" s="7"/>
      <c r="EJ130" s="7"/>
      <c r="EK130" s="7"/>
      <c r="EL130" s="7"/>
      <c r="EM130" s="7"/>
      <c r="EN130" s="7"/>
      <c r="EO130" s="7"/>
      <c r="EP130" s="7"/>
      <c r="EQ130" s="7"/>
      <c r="ER130" s="7"/>
      <c r="ES130" s="7"/>
      <c r="ET130" s="7"/>
      <c r="EU130" s="7"/>
      <c r="EV130" s="7"/>
      <c r="EW130" s="7"/>
      <c r="EX130" s="7"/>
      <c r="EY130" s="7"/>
      <c r="EZ130" s="7"/>
      <c r="FA130" s="7"/>
      <c r="FB130" s="7"/>
      <c r="FC130" s="7"/>
      <c r="FD130" s="7"/>
      <c r="FE130" s="7"/>
      <c r="FF130" s="7"/>
      <c r="FG130" s="7"/>
      <c r="FH130" s="7"/>
      <c r="FI130" s="7"/>
      <c r="FJ130" s="7"/>
      <c r="FK130" s="7"/>
      <c r="FL130" s="7"/>
      <c r="FM130" s="7"/>
      <c r="FN130" s="7"/>
      <c r="FO130" s="7"/>
      <c r="FP130" s="7"/>
      <c r="FQ130" s="7"/>
      <c r="FR130" s="7"/>
      <c r="FS130" s="7"/>
      <c r="FT130" s="7"/>
      <c r="FU130" s="7"/>
      <c r="FV130" s="7"/>
      <c r="FW130" s="7"/>
      <c r="FX130" s="7"/>
      <c r="FY130" s="7"/>
      <c r="FZ130" s="7"/>
      <c r="GA130" s="7"/>
      <c r="GB130" s="7"/>
      <c r="GC130" s="7"/>
      <c r="GD130" s="7"/>
      <c r="GE130" s="7"/>
      <c r="GF130" s="7"/>
      <c r="GG130" s="7"/>
      <c r="GH130" s="7"/>
      <c r="GI130" s="7"/>
      <c r="GJ130" s="7"/>
      <c r="GK130" s="7"/>
      <c r="GL130" s="7"/>
      <c r="GM130" s="7"/>
      <c r="GN130" s="7"/>
      <c r="GO130" s="7"/>
      <c r="GP130" s="7"/>
      <c r="GQ130" s="7"/>
      <c r="GR130" s="7"/>
      <c r="GS130" s="7"/>
      <c r="GT130" s="7"/>
      <c r="GU130" s="7"/>
      <c r="GV130" s="7"/>
      <c r="GW130" s="7"/>
      <c r="GX130" s="7"/>
      <c r="GY130" s="7"/>
      <c r="GZ130" s="7"/>
      <c r="HA130" s="7"/>
      <c r="HB130" s="7"/>
      <c r="HC130" s="7"/>
      <c r="HD130" s="7"/>
      <c r="HE130" s="7"/>
      <c r="HF130" s="7"/>
      <c r="HG130" s="7"/>
      <c r="HH130" s="7"/>
      <c r="HI130" s="7"/>
      <c r="HJ130" s="7"/>
      <c r="HK130" s="7"/>
      <c r="HL130" s="7"/>
      <c r="HM130" s="7"/>
      <c r="HN130" s="7"/>
      <c r="HO130" s="7"/>
      <c r="HP130" s="7"/>
      <c r="HQ130" s="7"/>
      <c r="HR130" s="7"/>
      <c r="HS130" s="7"/>
      <c r="HT130" s="7"/>
      <c r="HU130" s="7"/>
      <c r="HV130" s="7"/>
      <c r="HW130" s="7"/>
      <c r="HX130" s="7"/>
      <c r="HY130" s="7"/>
      <c r="HZ130" s="7"/>
      <c r="IA130" s="7"/>
      <c r="IB130" s="7"/>
      <c r="IC130" s="7"/>
      <c r="ID130" s="7"/>
      <c r="IE130" s="7"/>
      <c r="IF130" s="7"/>
      <c r="IG130" s="7"/>
      <c r="IH130" s="7"/>
      <c r="II130" s="7"/>
      <c r="IJ130" s="7"/>
      <c r="IK130" s="7"/>
      <c r="IL130" s="7"/>
      <c r="IM130" s="7"/>
      <c r="IN130" s="7"/>
      <c r="IO130" s="7"/>
      <c r="IP130" s="7"/>
      <c r="IQ130" s="7"/>
      <c r="IR130" s="7"/>
      <c r="IS130" s="7"/>
      <c r="IT130" s="7"/>
      <c r="IU130" s="7"/>
      <c r="IV130" s="7"/>
      <c r="IW130" s="7"/>
      <c r="IX130" s="7"/>
      <c r="IY130" s="7"/>
      <c r="IZ130" s="7"/>
      <c r="JA130" s="7"/>
      <c r="JB130" s="7"/>
      <c r="JC130" s="7"/>
      <c r="JD130" s="7"/>
      <c r="JE130" s="7"/>
      <c r="JF130" s="7"/>
      <c r="JG130" s="7"/>
      <c r="JH130" s="7"/>
      <c r="JI130" s="7"/>
      <c r="JJ130" s="7"/>
      <c r="JK130" s="7"/>
      <c r="JL130" s="7"/>
      <c r="JM130" s="7"/>
      <c r="JN130" s="7"/>
      <c r="JO130" s="7"/>
      <c r="JP130" s="7"/>
      <c r="JQ130" s="7"/>
      <c r="JR130" s="7"/>
      <c r="JS130" s="7"/>
      <c r="JT130" s="7"/>
      <c r="JU130" s="7"/>
      <c r="JV130" s="7"/>
      <c r="JW130" s="7"/>
      <c r="JX130" s="7"/>
      <c r="JY130" s="7"/>
      <c r="JZ130" s="7"/>
      <c r="KA130" s="7"/>
      <c r="KB130" s="7"/>
      <c r="KC130" s="7"/>
      <c r="KD130" s="7"/>
      <c r="KE130" s="7"/>
      <c r="KF130" s="7"/>
      <c r="KG130" s="7"/>
      <c r="KH130" s="7"/>
      <c r="KI130" s="7"/>
      <c r="KJ130" s="7"/>
      <c r="KK130" s="7"/>
      <c r="KL130" s="7"/>
      <c r="KM130" s="7"/>
      <c r="KN130" s="7"/>
      <c r="KO130" s="7"/>
      <c r="KP130" s="7"/>
      <c r="KQ130" s="7"/>
      <c r="KR130" s="7"/>
      <c r="KS130" s="7"/>
      <c r="KT130" s="7"/>
      <c r="KU130" s="7"/>
      <c r="KV130" s="7"/>
      <c r="KW130" s="7"/>
      <c r="KX130" s="7"/>
      <c r="KY130" s="7"/>
      <c r="KZ130" s="7"/>
      <c r="LA130" s="7"/>
      <c r="LB130" s="7"/>
      <c r="LC130" s="7"/>
      <c r="LD130" s="7"/>
      <c r="LE130" s="7"/>
      <c r="LF130" s="7"/>
      <c r="LG130" s="7"/>
      <c r="LH130" s="7"/>
      <c r="LI130" s="7"/>
      <c r="LJ130" s="7"/>
      <c r="LK130" s="7"/>
      <c r="LL130" s="7"/>
      <c r="LM130" s="7"/>
      <c r="LN130" s="7"/>
      <c r="LO130" s="7"/>
      <c r="LP130" s="7"/>
      <c r="LQ130" s="7"/>
    </row>
    <row r="131" spans="1:329" ht="15" customHeight="1" x14ac:dyDescent="0.25">
      <c r="A131" s="76">
        <v>1101986</v>
      </c>
      <c r="B131" s="32"/>
      <c r="C131" s="33" t="str">
        <f>VLOOKUP(A131,Artikeldaten!A:B,2,0)</f>
        <v>Isofix Connectoren (LH+RH) - Axkid One</v>
      </c>
      <c r="D131" s="34">
        <v>33</v>
      </c>
      <c r="E131" s="34">
        <f t="shared" si="2"/>
        <v>55.462184873949582</v>
      </c>
      <c r="F131" s="34">
        <f t="shared" si="3"/>
        <v>66</v>
      </c>
      <c r="G131" s="35" t="s">
        <v>21</v>
      </c>
      <c r="H131" s="35" t="s">
        <v>21</v>
      </c>
      <c r="I131" s="36"/>
      <c r="J131" s="36"/>
      <c r="K131" s="36"/>
      <c r="L131" s="36"/>
      <c r="M131" s="36"/>
      <c r="N131" s="36"/>
      <c r="O131" s="36"/>
      <c r="P131" s="36"/>
      <c r="Q131" s="36"/>
      <c r="R131" s="37">
        <v>7350057584958</v>
      </c>
      <c r="S131" s="38"/>
      <c r="T131" s="38"/>
      <c r="U131" s="38"/>
    </row>
    <row r="132" spans="1:329" ht="15" customHeight="1" x14ac:dyDescent="0.25">
      <c r="A132" s="75">
        <v>1101987</v>
      </c>
      <c r="B132" s="32" t="s">
        <v>271</v>
      </c>
      <c r="C132" s="33" t="str">
        <f>VLOOKUP(A132,Artikeldaten!A:B,2,0)</f>
        <v xml:space="preserve">Aufkleber - Axkid One </v>
      </c>
      <c r="D132" s="34">
        <v>3</v>
      </c>
      <c r="E132" s="34">
        <f t="shared" ref="E132:E150" si="4">F132/1.19</f>
        <v>5.0420168067226889</v>
      </c>
      <c r="F132" s="34">
        <f t="shared" ref="F132:F150" si="5">D132*2</f>
        <v>6</v>
      </c>
      <c r="G132" s="35" t="s">
        <v>21</v>
      </c>
      <c r="H132" s="35" t="s">
        <v>21</v>
      </c>
      <c r="I132" s="36"/>
      <c r="J132" s="36"/>
      <c r="K132" s="36"/>
      <c r="L132" s="36"/>
      <c r="M132" s="36"/>
      <c r="N132" s="36"/>
      <c r="O132" s="36"/>
      <c r="P132" s="36"/>
      <c r="Q132" s="36"/>
      <c r="R132" s="37">
        <v>7350057584965</v>
      </c>
      <c r="S132" s="38"/>
      <c r="T132" s="38"/>
      <c r="U132" s="38"/>
    </row>
    <row r="133" spans="1:329" ht="15" customHeight="1" x14ac:dyDescent="0.25">
      <c r="A133" s="76">
        <v>1101990</v>
      </c>
      <c r="B133" s="32" t="s">
        <v>273</v>
      </c>
      <c r="C133" s="33" t="str">
        <f>VLOOKUP(A133,Artikeldaten!A:B,2,0)</f>
        <v>Styropor Inlay 0-3 Jahre - Axkid One</v>
      </c>
      <c r="D133" s="53">
        <v>28</v>
      </c>
      <c r="E133" s="34">
        <f t="shared" si="4"/>
        <v>47.058823529411768</v>
      </c>
      <c r="F133" s="34">
        <f t="shared" si="5"/>
        <v>56</v>
      </c>
      <c r="G133" s="35" t="s">
        <v>21</v>
      </c>
      <c r="H133" s="35" t="s">
        <v>21</v>
      </c>
      <c r="I133" s="36"/>
      <c r="J133" s="36"/>
      <c r="K133" s="36"/>
      <c r="L133" s="36"/>
      <c r="M133" s="36"/>
      <c r="N133" s="36"/>
      <c r="O133" s="36"/>
      <c r="P133" s="36"/>
      <c r="Q133" s="36"/>
      <c r="R133" s="37">
        <v>7350057584972</v>
      </c>
      <c r="S133" s="38"/>
      <c r="T133" s="38"/>
      <c r="U133" s="38"/>
    </row>
    <row r="134" spans="1:329" ht="15" customHeight="1" x14ac:dyDescent="0.25">
      <c r="A134" s="76">
        <v>1101991</v>
      </c>
      <c r="B134" s="32" t="s">
        <v>275</v>
      </c>
      <c r="C134" s="33" t="str">
        <f>VLOOKUP(A134,Artikeldaten!A:B,2,0)</f>
        <v xml:space="preserve">Sitzverkleinerer 0-6 Monate - Axkid One  </v>
      </c>
      <c r="D134" s="34">
        <v>32</v>
      </c>
      <c r="E134" s="34">
        <f t="shared" si="4"/>
        <v>53.781512605042018</v>
      </c>
      <c r="F134" s="34">
        <f t="shared" si="5"/>
        <v>64</v>
      </c>
      <c r="G134" s="35" t="s">
        <v>21</v>
      </c>
      <c r="H134" s="35" t="s">
        <v>21</v>
      </c>
      <c r="I134" s="36"/>
      <c r="J134" s="36"/>
      <c r="K134" s="36"/>
      <c r="L134" s="36"/>
      <c r="M134" s="36"/>
      <c r="N134" s="36"/>
      <c r="O134" s="36"/>
      <c r="P134" s="36"/>
      <c r="Q134" s="36"/>
      <c r="R134" s="37">
        <v>7350057584989</v>
      </c>
      <c r="S134" s="38"/>
      <c r="T134" s="38"/>
      <c r="U134" s="38"/>
    </row>
    <row r="135" spans="1:329" ht="15" customHeight="1" x14ac:dyDescent="0.25">
      <c r="A135" s="76">
        <v>1102002</v>
      </c>
      <c r="B135" s="32" t="s">
        <v>277</v>
      </c>
      <c r="C135" s="33" t="str">
        <f>VLOOKUP(A135,Artikeldaten!A:B,2,0)</f>
        <v>Abdeckung Spieldose [Akustisches Signal] - Axkid One</v>
      </c>
      <c r="D135" s="52">
        <v>3</v>
      </c>
      <c r="E135" s="34">
        <f t="shared" si="4"/>
        <v>5.0420168067226889</v>
      </c>
      <c r="F135" s="34">
        <f t="shared" si="5"/>
        <v>6</v>
      </c>
      <c r="G135" s="35" t="s">
        <v>21</v>
      </c>
      <c r="H135" s="35" t="s">
        <v>21</v>
      </c>
      <c r="I135" s="36"/>
      <c r="J135" s="36"/>
      <c r="K135" s="36"/>
      <c r="L135" s="36"/>
      <c r="M135" s="36"/>
      <c r="N135" s="36"/>
      <c r="O135" s="36"/>
      <c r="P135" s="36"/>
      <c r="Q135" s="36"/>
      <c r="R135" s="42">
        <v>7350057585122</v>
      </c>
      <c r="S135" s="43" t="s">
        <v>330</v>
      </c>
      <c r="T135" s="43">
        <v>560</v>
      </c>
      <c r="U135" s="43">
        <v>200</v>
      </c>
    </row>
    <row r="136" spans="1:329" ht="15" customHeight="1" x14ac:dyDescent="0.25">
      <c r="A136" s="76">
        <v>1102003</v>
      </c>
      <c r="B136" s="32" t="s">
        <v>279</v>
      </c>
      <c r="C136" s="33" t="str">
        <f>VLOOKUP(A136,Artikeldaten!A:B,2,0)</f>
        <v xml:space="preserve">Abdeckung Stützfuß - Axkid One </v>
      </c>
      <c r="D136" s="52">
        <v>3</v>
      </c>
      <c r="E136" s="34">
        <f t="shared" si="4"/>
        <v>5.0420168067226889</v>
      </c>
      <c r="F136" s="34">
        <f t="shared" si="5"/>
        <v>6</v>
      </c>
      <c r="G136" s="35" t="s">
        <v>21</v>
      </c>
      <c r="H136" s="35" t="s">
        <v>21</v>
      </c>
      <c r="I136" s="36"/>
      <c r="J136" s="36"/>
      <c r="K136" s="36"/>
      <c r="L136" s="36"/>
      <c r="M136" s="36"/>
      <c r="N136" s="36"/>
      <c r="O136" s="36"/>
      <c r="P136" s="36"/>
      <c r="Q136" s="36"/>
      <c r="R136" s="42">
        <v>7350057585139</v>
      </c>
      <c r="S136" s="43" t="s">
        <v>330</v>
      </c>
      <c r="T136" s="43">
        <v>2360</v>
      </c>
      <c r="U136" s="43">
        <v>2000</v>
      </c>
    </row>
    <row r="137" spans="1:329" ht="15" customHeight="1" x14ac:dyDescent="0.25">
      <c r="A137" s="72">
        <v>1102852</v>
      </c>
      <c r="B137" s="46" t="s">
        <v>281</v>
      </c>
      <c r="C137" s="44" t="str">
        <f>VLOOKUP(A137,Artikeldaten!A:B,2,0)</f>
        <v>Bezug Kopfstütze - Axkid One Granite Melange</v>
      </c>
      <c r="D137" s="54">
        <v>13</v>
      </c>
      <c r="E137" s="45">
        <f t="shared" si="4"/>
        <v>21.84873949579832</v>
      </c>
      <c r="F137" s="45">
        <f t="shared" si="5"/>
        <v>26</v>
      </c>
      <c r="G137" s="35" t="s">
        <v>21</v>
      </c>
      <c r="H137" s="35" t="s">
        <v>21</v>
      </c>
      <c r="I137" s="36"/>
      <c r="J137" s="36"/>
      <c r="K137" s="36"/>
      <c r="L137" s="36"/>
      <c r="M137" s="36"/>
      <c r="N137" s="36"/>
      <c r="O137" s="36"/>
      <c r="P137" s="36"/>
      <c r="Q137" s="36"/>
      <c r="R137" s="42">
        <v>7350057586242</v>
      </c>
      <c r="S137" s="43"/>
      <c r="T137" s="43"/>
      <c r="U137" s="43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D137" s="7"/>
      <c r="BE137" s="7"/>
      <c r="BF137" s="7"/>
      <c r="BG137" s="7"/>
      <c r="BH137" s="7"/>
      <c r="BI137" s="7"/>
      <c r="BJ137" s="7"/>
      <c r="BK137" s="7"/>
      <c r="BL137" s="7"/>
      <c r="BM137" s="7"/>
      <c r="BN137" s="7"/>
      <c r="BO137" s="7"/>
      <c r="BP137" s="7"/>
      <c r="BQ137" s="7"/>
      <c r="BR137" s="7"/>
      <c r="BS137" s="7"/>
      <c r="BT137" s="7"/>
      <c r="BU137" s="7"/>
      <c r="BV137" s="7"/>
      <c r="BW137" s="7"/>
      <c r="BX137" s="7"/>
      <c r="BY137" s="7"/>
      <c r="BZ137" s="7"/>
      <c r="CA137" s="7"/>
      <c r="CB137" s="7"/>
      <c r="CC137" s="7"/>
      <c r="CD137" s="7"/>
      <c r="CE137" s="7"/>
      <c r="CF137" s="7"/>
      <c r="CG137" s="7"/>
      <c r="CH137" s="7"/>
      <c r="CI137" s="7"/>
      <c r="CJ137" s="7"/>
      <c r="CK137" s="7"/>
      <c r="CL137" s="7"/>
      <c r="CM137" s="7"/>
      <c r="CN137" s="7"/>
      <c r="CO137" s="7"/>
      <c r="CP137" s="7"/>
      <c r="CQ137" s="7"/>
      <c r="CR137" s="7"/>
      <c r="CS137" s="7"/>
      <c r="CT137" s="7"/>
      <c r="CU137" s="7"/>
      <c r="CV137" s="7"/>
      <c r="CW137" s="7"/>
      <c r="CX137" s="7"/>
      <c r="CY137" s="7"/>
      <c r="CZ137" s="7"/>
      <c r="DA137" s="7"/>
      <c r="DB137" s="7"/>
      <c r="DC137" s="7"/>
      <c r="DD137" s="7"/>
      <c r="DE137" s="7"/>
      <c r="DF137" s="7"/>
      <c r="DG137" s="7"/>
      <c r="DH137" s="7"/>
      <c r="DI137" s="7"/>
      <c r="DJ137" s="7"/>
      <c r="DK137" s="7"/>
      <c r="DL137" s="7"/>
      <c r="DM137" s="7"/>
      <c r="DN137" s="7"/>
      <c r="DO137" s="7"/>
      <c r="DP137" s="7"/>
      <c r="DQ137" s="7"/>
      <c r="DR137" s="7"/>
      <c r="DS137" s="7"/>
      <c r="DT137" s="7"/>
      <c r="DU137" s="7"/>
      <c r="DV137" s="7"/>
      <c r="DW137" s="7"/>
      <c r="DX137" s="7"/>
      <c r="DY137" s="7"/>
      <c r="DZ137" s="7"/>
      <c r="EA137" s="7"/>
      <c r="EB137" s="7"/>
      <c r="EC137" s="7"/>
      <c r="ED137" s="7"/>
      <c r="EE137" s="7"/>
      <c r="EF137" s="7"/>
      <c r="EG137" s="7"/>
      <c r="EH137" s="7"/>
      <c r="EI137" s="7"/>
      <c r="EJ137" s="7"/>
      <c r="EK137" s="7"/>
      <c r="EL137" s="7"/>
      <c r="EM137" s="7"/>
      <c r="EN137" s="7"/>
      <c r="EO137" s="7"/>
      <c r="EP137" s="7"/>
      <c r="EQ137" s="7"/>
      <c r="ER137" s="7"/>
      <c r="ES137" s="7"/>
      <c r="ET137" s="7"/>
      <c r="EU137" s="7"/>
      <c r="EV137" s="7"/>
      <c r="EW137" s="7"/>
      <c r="EX137" s="7"/>
      <c r="EY137" s="7"/>
      <c r="EZ137" s="7"/>
      <c r="FA137" s="7"/>
      <c r="FB137" s="7"/>
      <c r="FC137" s="7"/>
      <c r="FD137" s="7"/>
      <c r="FE137" s="7"/>
      <c r="FF137" s="7"/>
      <c r="FG137" s="7"/>
      <c r="FH137" s="7"/>
      <c r="FI137" s="7"/>
      <c r="FJ137" s="7"/>
      <c r="FK137" s="7"/>
      <c r="FL137" s="7"/>
      <c r="FM137" s="7"/>
      <c r="FN137" s="7"/>
      <c r="FO137" s="7"/>
      <c r="FP137" s="7"/>
      <c r="FQ137" s="7"/>
      <c r="FR137" s="7"/>
      <c r="FS137" s="7"/>
      <c r="FT137" s="7"/>
      <c r="FU137" s="7"/>
      <c r="FV137" s="7"/>
      <c r="FW137" s="7"/>
      <c r="FX137" s="7"/>
      <c r="FY137" s="7"/>
      <c r="FZ137" s="7"/>
      <c r="GA137" s="7"/>
      <c r="GB137" s="7"/>
      <c r="GC137" s="7"/>
      <c r="GD137" s="7"/>
      <c r="GE137" s="7"/>
      <c r="GF137" s="7"/>
      <c r="GG137" s="7"/>
      <c r="GH137" s="7"/>
      <c r="GI137" s="7"/>
      <c r="GJ137" s="7"/>
      <c r="GK137" s="7"/>
      <c r="GL137" s="7"/>
      <c r="GM137" s="7"/>
      <c r="GN137" s="7"/>
      <c r="GO137" s="7"/>
      <c r="GP137" s="7"/>
      <c r="GQ137" s="7"/>
      <c r="GR137" s="7"/>
      <c r="GS137" s="7"/>
      <c r="GT137" s="7"/>
      <c r="GU137" s="7"/>
      <c r="GV137" s="7"/>
      <c r="GW137" s="7"/>
      <c r="GX137" s="7"/>
      <c r="GY137" s="7"/>
      <c r="GZ137" s="7"/>
      <c r="HA137" s="7"/>
      <c r="HB137" s="7"/>
      <c r="HC137" s="7"/>
      <c r="HD137" s="7"/>
      <c r="HE137" s="7"/>
      <c r="HF137" s="7"/>
      <c r="HG137" s="7"/>
      <c r="HH137" s="7"/>
      <c r="HI137" s="7"/>
      <c r="HJ137" s="7"/>
      <c r="HK137" s="7"/>
      <c r="HL137" s="7"/>
      <c r="HM137" s="7"/>
      <c r="HN137" s="7"/>
      <c r="HO137" s="7"/>
      <c r="HP137" s="7"/>
      <c r="HQ137" s="7"/>
      <c r="HR137" s="7"/>
      <c r="HS137" s="7"/>
      <c r="HT137" s="7"/>
      <c r="HU137" s="7"/>
      <c r="HV137" s="7"/>
      <c r="HW137" s="7"/>
      <c r="HX137" s="7"/>
      <c r="HY137" s="7"/>
      <c r="HZ137" s="7"/>
      <c r="IA137" s="7"/>
      <c r="IB137" s="7"/>
      <c r="IC137" s="7"/>
      <c r="ID137" s="7"/>
      <c r="IE137" s="7"/>
      <c r="IF137" s="7"/>
      <c r="IG137" s="7"/>
      <c r="IH137" s="7"/>
      <c r="II137" s="7"/>
      <c r="IJ137" s="7"/>
      <c r="IK137" s="7"/>
      <c r="IL137" s="7"/>
      <c r="IM137" s="7"/>
      <c r="IN137" s="7"/>
      <c r="IO137" s="7"/>
      <c r="IP137" s="7"/>
      <c r="IQ137" s="7"/>
      <c r="IR137" s="7"/>
      <c r="IS137" s="7"/>
      <c r="IT137" s="7"/>
      <c r="IU137" s="7"/>
      <c r="IV137" s="7"/>
      <c r="IW137" s="7"/>
      <c r="IX137" s="7"/>
      <c r="IY137" s="7"/>
      <c r="IZ137" s="7"/>
      <c r="JA137" s="7"/>
      <c r="JB137" s="7"/>
      <c r="JC137" s="7"/>
      <c r="JD137" s="7"/>
      <c r="JE137" s="7"/>
      <c r="JF137" s="7"/>
      <c r="JG137" s="7"/>
      <c r="JH137" s="7"/>
      <c r="JI137" s="7"/>
      <c r="JJ137" s="7"/>
      <c r="JK137" s="7"/>
      <c r="JL137" s="7"/>
      <c r="JM137" s="7"/>
      <c r="JN137" s="7"/>
      <c r="JO137" s="7"/>
      <c r="JP137" s="7"/>
      <c r="JQ137" s="7"/>
      <c r="JR137" s="7"/>
      <c r="JS137" s="7"/>
      <c r="JT137" s="7"/>
      <c r="JU137" s="7"/>
      <c r="JV137" s="7"/>
      <c r="JW137" s="7"/>
      <c r="JX137" s="7"/>
      <c r="JY137" s="7"/>
      <c r="JZ137" s="7"/>
      <c r="KA137" s="7"/>
      <c r="KB137" s="7"/>
      <c r="KC137" s="7"/>
      <c r="KD137" s="7"/>
      <c r="KE137" s="7"/>
      <c r="KF137" s="7"/>
      <c r="KG137" s="7"/>
      <c r="KH137" s="7"/>
      <c r="KI137" s="7"/>
      <c r="KJ137" s="7"/>
      <c r="KK137" s="7"/>
      <c r="KL137" s="7"/>
      <c r="KM137" s="7"/>
      <c r="KN137" s="7"/>
      <c r="KO137" s="7"/>
      <c r="KP137" s="7"/>
      <c r="KQ137" s="7"/>
      <c r="KR137" s="7"/>
      <c r="KS137" s="7"/>
      <c r="KT137" s="7"/>
      <c r="KU137" s="7"/>
      <c r="KV137" s="7"/>
      <c r="KW137" s="7"/>
      <c r="KX137" s="7"/>
      <c r="KY137" s="7"/>
      <c r="KZ137" s="7"/>
      <c r="LA137" s="7"/>
      <c r="LB137" s="7"/>
      <c r="LC137" s="7"/>
      <c r="LD137" s="7"/>
      <c r="LE137" s="7"/>
      <c r="LF137" s="7"/>
      <c r="LG137" s="7"/>
      <c r="LH137" s="7"/>
      <c r="LI137" s="7"/>
      <c r="LJ137" s="7"/>
      <c r="LK137" s="7"/>
      <c r="LL137" s="7"/>
      <c r="LM137" s="7"/>
      <c r="LN137" s="7"/>
      <c r="LO137" s="7"/>
      <c r="LP137" s="7"/>
      <c r="LQ137" s="7"/>
    </row>
    <row r="138" spans="1:329" ht="15" customHeight="1" x14ac:dyDescent="0.25">
      <c r="A138" s="72">
        <v>1102853</v>
      </c>
      <c r="B138" s="46" t="s">
        <v>283</v>
      </c>
      <c r="C138" s="44" t="str">
        <f>VLOOKUP(A138,Artikeldaten!A:B,2,0)</f>
        <v>Gurtschlosspolster &amp; Schulterpolster (LH + RH) - Axkid One Granite Melange</v>
      </c>
      <c r="D138" s="54">
        <v>20</v>
      </c>
      <c r="E138" s="45">
        <f t="shared" si="4"/>
        <v>33.613445378151262</v>
      </c>
      <c r="F138" s="45">
        <f t="shared" si="5"/>
        <v>40</v>
      </c>
      <c r="G138" s="35" t="s">
        <v>21</v>
      </c>
      <c r="H138" s="35" t="s">
        <v>21</v>
      </c>
      <c r="I138" s="36"/>
      <c r="J138" s="36"/>
      <c r="K138" s="36"/>
      <c r="L138" s="36"/>
      <c r="M138" s="36"/>
      <c r="N138" s="36"/>
      <c r="O138" s="36"/>
      <c r="P138" s="36"/>
      <c r="Q138" s="36"/>
      <c r="R138" s="42">
        <v>7350057586259</v>
      </c>
      <c r="S138" s="43"/>
      <c r="T138" s="43"/>
      <c r="U138" s="43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D138" s="7"/>
      <c r="BE138" s="7"/>
      <c r="BF138" s="7"/>
      <c r="BG138" s="7"/>
      <c r="BH138" s="7"/>
      <c r="BI138" s="7"/>
      <c r="BJ138" s="7"/>
      <c r="BK138" s="7"/>
      <c r="BL138" s="7"/>
      <c r="BM138" s="7"/>
      <c r="BN138" s="7"/>
      <c r="BO138" s="7"/>
      <c r="BP138" s="7"/>
      <c r="BQ138" s="7"/>
      <c r="BR138" s="7"/>
      <c r="BS138" s="7"/>
      <c r="BT138" s="7"/>
      <c r="BU138" s="7"/>
      <c r="BV138" s="7"/>
      <c r="BW138" s="7"/>
      <c r="BX138" s="7"/>
      <c r="BY138" s="7"/>
      <c r="BZ138" s="7"/>
      <c r="CA138" s="7"/>
      <c r="CB138" s="7"/>
      <c r="CC138" s="7"/>
      <c r="CD138" s="7"/>
      <c r="CE138" s="7"/>
      <c r="CF138" s="7"/>
      <c r="CG138" s="7"/>
      <c r="CH138" s="7"/>
      <c r="CI138" s="7"/>
      <c r="CJ138" s="7"/>
      <c r="CK138" s="7"/>
      <c r="CL138" s="7"/>
      <c r="CM138" s="7"/>
      <c r="CN138" s="7"/>
      <c r="CO138" s="7"/>
      <c r="CP138" s="7"/>
      <c r="CQ138" s="7"/>
      <c r="CR138" s="7"/>
      <c r="CS138" s="7"/>
      <c r="CT138" s="7"/>
      <c r="CU138" s="7"/>
      <c r="CV138" s="7"/>
      <c r="CW138" s="7"/>
      <c r="CX138" s="7"/>
      <c r="CY138" s="7"/>
      <c r="CZ138" s="7"/>
      <c r="DA138" s="7"/>
      <c r="DB138" s="7"/>
      <c r="DC138" s="7"/>
      <c r="DD138" s="7"/>
      <c r="DE138" s="7"/>
      <c r="DF138" s="7"/>
      <c r="DG138" s="7"/>
      <c r="DH138" s="7"/>
      <c r="DI138" s="7"/>
      <c r="DJ138" s="7"/>
      <c r="DK138" s="7"/>
      <c r="DL138" s="7"/>
      <c r="DM138" s="7"/>
      <c r="DN138" s="7"/>
      <c r="DO138" s="7"/>
      <c r="DP138" s="7"/>
      <c r="DQ138" s="7"/>
      <c r="DR138" s="7"/>
      <c r="DS138" s="7"/>
      <c r="DT138" s="7"/>
      <c r="DU138" s="7"/>
      <c r="DV138" s="7"/>
      <c r="DW138" s="7"/>
      <c r="DX138" s="7"/>
      <c r="DY138" s="7"/>
      <c r="DZ138" s="7"/>
      <c r="EA138" s="7"/>
      <c r="EB138" s="7"/>
      <c r="EC138" s="7"/>
      <c r="ED138" s="7"/>
      <c r="EE138" s="7"/>
      <c r="EF138" s="7"/>
      <c r="EG138" s="7"/>
      <c r="EH138" s="7"/>
      <c r="EI138" s="7"/>
      <c r="EJ138" s="7"/>
      <c r="EK138" s="7"/>
      <c r="EL138" s="7"/>
      <c r="EM138" s="7"/>
      <c r="EN138" s="7"/>
      <c r="EO138" s="7"/>
      <c r="EP138" s="7"/>
      <c r="EQ138" s="7"/>
      <c r="ER138" s="7"/>
      <c r="ES138" s="7"/>
      <c r="ET138" s="7"/>
      <c r="EU138" s="7"/>
      <c r="EV138" s="7"/>
      <c r="EW138" s="7"/>
      <c r="EX138" s="7"/>
      <c r="EY138" s="7"/>
      <c r="EZ138" s="7"/>
      <c r="FA138" s="7"/>
      <c r="FB138" s="7"/>
      <c r="FC138" s="7"/>
      <c r="FD138" s="7"/>
      <c r="FE138" s="7"/>
      <c r="FF138" s="7"/>
      <c r="FG138" s="7"/>
      <c r="FH138" s="7"/>
      <c r="FI138" s="7"/>
      <c r="FJ138" s="7"/>
      <c r="FK138" s="7"/>
      <c r="FL138" s="7"/>
      <c r="FM138" s="7"/>
      <c r="FN138" s="7"/>
      <c r="FO138" s="7"/>
      <c r="FP138" s="7"/>
      <c r="FQ138" s="7"/>
      <c r="FR138" s="7"/>
      <c r="FS138" s="7"/>
      <c r="FT138" s="7"/>
      <c r="FU138" s="7"/>
      <c r="FV138" s="7"/>
      <c r="FW138" s="7"/>
      <c r="FX138" s="7"/>
      <c r="FY138" s="7"/>
      <c r="FZ138" s="7"/>
      <c r="GA138" s="7"/>
      <c r="GB138" s="7"/>
      <c r="GC138" s="7"/>
      <c r="GD138" s="7"/>
      <c r="GE138" s="7"/>
      <c r="GF138" s="7"/>
      <c r="GG138" s="7"/>
      <c r="GH138" s="7"/>
      <c r="GI138" s="7"/>
      <c r="GJ138" s="7"/>
      <c r="GK138" s="7"/>
      <c r="GL138" s="7"/>
      <c r="GM138" s="7"/>
      <c r="GN138" s="7"/>
      <c r="GO138" s="7"/>
      <c r="GP138" s="7"/>
      <c r="GQ138" s="7"/>
      <c r="GR138" s="7"/>
      <c r="GS138" s="7"/>
      <c r="GT138" s="7"/>
      <c r="GU138" s="7"/>
      <c r="GV138" s="7"/>
      <c r="GW138" s="7"/>
      <c r="GX138" s="7"/>
      <c r="GY138" s="7"/>
      <c r="GZ138" s="7"/>
      <c r="HA138" s="7"/>
      <c r="HB138" s="7"/>
      <c r="HC138" s="7"/>
      <c r="HD138" s="7"/>
      <c r="HE138" s="7"/>
      <c r="HF138" s="7"/>
      <c r="HG138" s="7"/>
      <c r="HH138" s="7"/>
      <c r="HI138" s="7"/>
      <c r="HJ138" s="7"/>
      <c r="HK138" s="7"/>
      <c r="HL138" s="7"/>
      <c r="HM138" s="7"/>
      <c r="HN138" s="7"/>
      <c r="HO138" s="7"/>
      <c r="HP138" s="7"/>
      <c r="HQ138" s="7"/>
      <c r="HR138" s="7"/>
      <c r="HS138" s="7"/>
      <c r="HT138" s="7"/>
      <c r="HU138" s="7"/>
      <c r="HV138" s="7"/>
      <c r="HW138" s="7"/>
      <c r="HX138" s="7"/>
      <c r="HY138" s="7"/>
      <c r="HZ138" s="7"/>
      <c r="IA138" s="7"/>
      <c r="IB138" s="7"/>
      <c r="IC138" s="7"/>
      <c r="ID138" s="7"/>
      <c r="IE138" s="7"/>
      <c r="IF138" s="7"/>
      <c r="IG138" s="7"/>
      <c r="IH138" s="7"/>
      <c r="II138" s="7"/>
      <c r="IJ138" s="7"/>
      <c r="IK138" s="7"/>
      <c r="IL138" s="7"/>
      <c r="IM138" s="7"/>
      <c r="IN138" s="7"/>
      <c r="IO138" s="7"/>
      <c r="IP138" s="7"/>
      <c r="IQ138" s="7"/>
      <c r="IR138" s="7"/>
      <c r="IS138" s="7"/>
      <c r="IT138" s="7"/>
      <c r="IU138" s="7"/>
      <c r="IV138" s="7"/>
      <c r="IW138" s="7"/>
      <c r="IX138" s="7"/>
      <c r="IY138" s="7"/>
      <c r="IZ138" s="7"/>
      <c r="JA138" s="7"/>
      <c r="JB138" s="7"/>
      <c r="JC138" s="7"/>
      <c r="JD138" s="7"/>
      <c r="JE138" s="7"/>
      <c r="JF138" s="7"/>
      <c r="JG138" s="7"/>
      <c r="JH138" s="7"/>
      <c r="JI138" s="7"/>
      <c r="JJ138" s="7"/>
      <c r="JK138" s="7"/>
      <c r="JL138" s="7"/>
      <c r="JM138" s="7"/>
      <c r="JN138" s="7"/>
      <c r="JO138" s="7"/>
      <c r="JP138" s="7"/>
      <c r="JQ138" s="7"/>
      <c r="JR138" s="7"/>
      <c r="JS138" s="7"/>
      <c r="JT138" s="7"/>
      <c r="JU138" s="7"/>
      <c r="JV138" s="7"/>
      <c r="JW138" s="7"/>
      <c r="JX138" s="7"/>
      <c r="JY138" s="7"/>
      <c r="JZ138" s="7"/>
      <c r="KA138" s="7"/>
      <c r="KB138" s="7"/>
      <c r="KC138" s="7"/>
      <c r="KD138" s="7"/>
      <c r="KE138" s="7"/>
      <c r="KF138" s="7"/>
      <c r="KG138" s="7"/>
      <c r="KH138" s="7"/>
      <c r="KI138" s="7"/>
      <c r="KJ138" s="7"/>
      <c r="KK138" s="7"/>
      <c r="KL138" s="7"/>
      <c r="KM138" s="7"/>
      <c r="KN138" s="7"/>
      <c r="KO138" s="7"/>
      <c r="KP138" s="7"/>
      <c r="KQ138" s="7"/>
      <c r="KR138" s="7"/>
      <c r="KS138" s="7"/>
      <c r="KT138" s="7"/>
      <c r="KU138" s="7"/>
      <c r="KV138" s="7"/>
      <c r="KW138" s="7"/>
      <c r="KX138" s="7"/>
      <c r="KY138" s="7"/>
      <c r="KZ138" s="7"/>
      <c r="LA138" s="7"/>
      <c r="LB138" s="7"/>
      <c r="LC138" s="7"/>
      <c r="LD138" s="7"/>
      <c r="LE138" s="7"/>
      <c r="LF138" s="7"/>
      <c r="LG138" s="7"/>
      <c r="LH138" s="7"/>
      <c r="LI138" s="7"/>
      <c r="LJ138" s="7"/>
      <c r="LK138" s="7"/>
      <c r="LL138" s="7"/>
      <c r="LM138" s="7"/>
      <c r="LN138" s="7"/>
      <c r="LO138" s="7"/>
      <c r="LP138" s="7"/>
      <c r="LQ138" s="7"/>
    </row>
    <row r="139" spans="1:329" ht="15" customHeight="1" x14ac:dyDescent="0.25">
      <c r="A139" s="72">
        <v>1102854</v>
      </c>
      <c r="B139" s="46" t="s">
        <v>285</v>
      </c>
      <c r="C139" s="44" t="str">
        <f>VLOOKUP(A139,Artikeldaten!A:B,2,0)</f>
        <v>Bezug Kopfstütze - Axkid One Tile Melange</v>
      </c>
      <c r="D139" s="54">
        <v>13</v>
      </c>
      <c r="E139" s="45">
        <f t="shared" si="4"/>
        <v>21.84873949579832</v>
      </c>
      <c r="F139" s="45">
        <f t="shared" si="5"/>
        <v>26</v>
      </c>
      <c r="G139" s="35" t="s">
        <v>21</v>
      </c>
      <c r="H139" s="35" t="s">
        <v>21</v>
      </c>
      <c r="I139" s="36"/>
      <c r="J139" s="36"/>
      <c r="K139" s="36"/>
      <c r="L139" s="36"/>
      <c r="M139" s="36"/>
      <c r="N139" s="36"/>
      <c r="O139" s="36"/>
      <c r="P139" s="36"/>
      <c r="Q139" s="36"/>
      <c r="R139" s="42">
        <v>7350057586266</v>
      </c>
      <c r="S139" s="43"/>
      <c r="T139" s="43"/>
      <c r="U139" s="43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D139" s="7"/>
      <c r="BE139" s="7"/>
      <c r="BF139" s="7"/>
      <c r="BG139" s="7"/>
      <c r="BH139" s="7"/>
      <c r="BI139" s="7"/>
      <c r="BJ139" s="7"/>
      <c r="BK139" s="7"/>
      <c r="BL139" s="7"/>
      <c r="BM139" s="7"/>
      <c r="BN139" s="7"/>
      <c r="BO139" s="7"/>
      <c r="BP139" s="7"/>
      <c r="BQ139" s="7"/>
      <c r="BR139" s="7"/>
      <c r="BS139" s="7"/>
      <c r="BT139" s="7"/>
      <c r="BU139" s="7"/>
      <c r="BV139" s="7"/>
      <c r="BW139" s="7"/>
      <c r="BX139" s="7"/>
      <c r="BY139" s="7"/>
      <c r="BZ139" s="7"/>
      <c r="CA139" s="7"/>
      <c r="CB139" s="7"/>
      <c r="CC139" s="7"/>
      <c r="CD139" s="7"/>
      <c r="CE139" s="7"/>
      <c r="CF139" s="7"/>
      <c r="CG139" s="7"/>
      <c r="CH139" s="7"/>
      <c r="CI139" s="7"/>
      <c r="CJ139" s="7"/>
      <c r="CK139" s="7"/>
      <c r="CL139" s="7"/>
      <c r="CM139" s="7"/>
      <c r="CN139" s="7"/>
      <c r="CO139" s="7"/>
      <c r="CP139" s="7"/>
      <c r="CQ139" s="7"/>
      <c r="CR139" s="7"/>
      <c r="CS139" s="7"/>
      <c r="CT139" s="7"/>
      <c r="CU139" s="7"/>
      <c r="CV139" s="7"/>
      <c r="CW139" s="7"/>
      <c r="CX139" s="7"/>
      <c r="CY139" s="7"/>
      <c r="CZ139" s="7"/>
      <c r="DA139" s="7"/>
      <c r="DB139" s="7"/>
      <c r="DC139" s="7"/>
      <c r="DD139" s="7"/>
      <c r="DE139" s="7"/>
      <c r="DF139" s="7"/>
      <c r="DG139" s="7"/>
      <c r="DH139" s="7"/>
      <c r="DI139" s="7"/>
      <c r="DJ139" s="7"/>
      <c r="DK139" s="7"/>
      <c r="DL139" s="7"/>
      <c r="DM139" s="7"/>
      <c r="DN139" s="7"/>
      <c r="DO139" s="7"/>
      <c r="DP139" s="7"/>
      <c r="DQ139" s="7"/>
      <c r="DR139" s="7"/>
      <c r="DS139" s="7"/>
      <c r="DT139" s="7"/>
      <c r="DU139" s="7"/>
      <c r="DV139" s="7"/>
      <c r="DW139" s="7"/>
      <c r="DX139" s="7"/>
      <c r="DY139" s="7"/>
      <c r="DZ139" s="7"/>
      <c r="EA139" s="7"/>
      <c r="EB139" s="7"/>
      <c r="EC139" s="7"/>
      <c r="ED139" s="7"/>
      <c r="EE139" s="7"/>
      <c r="EF139" s="7"/>
      <c r="EG139" s="7"/>
      <c r="EH139" s="7"/>
      <c r="EI139" s="7"/>
      <c r="EJ139" s="7"/>
      <c r="EK139" s="7"/>
      <c r="EL139" s="7"/>
      <c r="EM139" s="7"/>
      <c r="EN139" s="7"/>
      <c r="EO139" s="7"/>
      <c r="EP139" s="7"/>
      <c r="EQ139" s="7"/>
      <c r="ER139" s="7"/>
      <c r="ES139" s="7"/>
      <c r="ET139" s="7"/>
      <c r="EU139" s="7"/>
      <c r="EV139" s="7"/>
      <c r="EW139" s="7"/>
      <c r="EX139" s="7"/>
      <c r="EY139" s="7"/>
      <c r="EZ139" s="7"/>
      <c r="FA139" s="7"/>
      <c r="FB139" s="7"/>
      <c r="FC139" s="7"/>
      <c r="FD139" s="7"/>
      <c r="FE139" s="7"/>
      <c r="FF139" s="7"/>
      <c r="FG139" s="7"/>
      <c r="FH139" s="7"/>
      <c r="FI139" s="7"/>
      <c r="FJ139" s="7"/>
      <c r="FK139" s="7"/>
      <c r="FL139" s="7"/>
      <c r="FM139" s="7"/>
      <c r="FN139" s="7"/>
      <c r="FO139" s="7"/>
      <c r="FP139" s="7"/>
      <c r="FQ139" s="7"/>
      <c r="FR139" s="7"/>
      <c r="FS139" s="7"/>
      <c r="FT139" s="7"/>
      <c r="FU139" s="7"/>
      <c r="FV139" s="7"/>
      <c r="FW139" s="7"/>
      <c r="FX139" s="7"/>
      <c r="FY139" s="7"/>
      <c r="FZ139" s="7"/>
      <c r="GA139" s="7"/>
      <c r="GB139" s="7"/>
      <c r="GC139" s="7"/>
      <c r="GD139" s="7"/>
      <c r="GE139" s="7"/>
      <c r="GF139" s="7"/>
      <c r="GG139" s="7"/>
      <c r="GH139" s="7"/>
      <c r="GI139" s="7"/>
      <c r="GJ139" s="7"/>
      <c r="GK139" s="7"/>
      <c r="GL139" s="7"/>
      <c r="GM139" s="7"/>
      <c r="GN139" s="7"/>
      <c r="GO139" s="7"/>
      <c r="GP139" s="7"/>
      <c r="GQ139" s="7"/>
      <c r="GR139" s="7"/>
      <c r="GS139" s="7"/>
      <c r="GT139" s="7"/>
      <c r="GU139" s="7"/>
      <c r="GV139" s="7"/>
      <c r="GW139" s="7"/>
      <c r="GX139" s="7"/>
      <c r="GY139" s="7"/>
      <c r="GZ139" s="7"/>
      <c r="HA139" s="7"/>
      <c r="HB139" s="7"/>
      <c r="HC139" s="7"/>
      <c r="HD139" s="7"/>
      <c r="HE139" s="7"/>
      <c r="HF139" s="7"/>
      <c r="HG139" s="7"/>
      <c r="HH139" s="7"/>
      <c r="HI139" s="7"/>
      <c r="HJ139" s="7"/>
      <c r="HK139" s="7"/>
      <c r="HL139" s="7"/>
      <c r="HM139" s="7"/>
      <c r="HN139" s="7"/>
      <c r="HO139" s="7"/>
      <c r="HP139" s="7"/>
      <c r="HQ139" s="7"/>
      <c r="HR139" s="7"/>
      <c r="HS139" s="7"/>
      <c r="HT139" s="7"/>
      <c r="HU139" s="7"/>
      <c r="HV139" s="7"/>
      <c r="HW139" s="7"/>
      <c r="HX139" s="7"/>
      <c r="HY139" s="7"/>
      <c r="HZ139" s="7"/>
      <c r="IA139" s="7"/>
      <c r="IB139" s="7"/>
      <c r="IC139" s="7"/>
      <c r="ID139" s="7"/>
      <c r="IE139" s="7"/>
      <c r="IF139" s="7"/>
      <c r="IG139" s="7"/>
      <c r="IH139" s="7"/>
      <c r="II139" s="7"/>
      <c r="IJ139" s="7"/>
      <c r="IK139" s="7"/>
      <c r="IL139" s="7"/>
      <c r="IM139" s="7"/>
      <c r="IN139" s="7"/>
      <c r="IO139" s="7"/>
      <c r="IP139" s="7"/>
      <c r="IQ139" s="7"/>
      <c r="IR139" s="7"/>
      <c r="IS139" s="7"/>
      <c r="IT139" s="7"/>
      <c r="IU139" s="7"/>
      <c r="IV139" s="7"/>
      <c r="IW139" s="7"/>
      <c r="IX139" s="7"/>
      <c r="IY139" s="7"/>
      <c r="IZ139" s="7"/>
      <c r="JA139" s="7"/>
      <c r="JB139" s="7"/>
      <c r="JC139" s="7"/>
      <c r="JD139" s="7"/>
      <c r="JE139" s="7"/>
      <c r="JF139" s="7"/>
      <c r="JG139" s="7"/>
      <c r="JH139" s="7"/>
      <c r="JI139" s="7"/>
      <c r="JJ139" s="7"/>
      <c r="JK139" s="7"/>
      <c r="JL139" s="7"/>
      <c r="JM139" s="7"/>
      <c r="JN139" s="7"/>
      <c r="JO139" s="7"/>
      <c r="JP139" s="7"/>
      <c r="JQ139" s="7"/>
      <c r="JR139" s="7"/>
      <c r="JS139" s="7"/>
      <c r="JT139" s="7"/>
      <c r="JU139" s="7"/>
      <c r="JV139" s="7"/>
      <c r="JW139" s="7"/>
      <c r="JX139" s="7"/>
      <c r="JY139" s="7"/>
      <c r="JZ139" s="7"/>
      <c r="KA139" s="7"/>
      <c r="KB139" s="7"/>
      <c r="KC139" s="7"/>
      <c r="KD139" s="7"/>
      <c r="KE139" s="7"/>
      <c r="KF139" s="7"/>
      <c r="KG139" s="7"/>
      <c r="KH139" s="7"/>
      <c r="KI139" s="7"/>
      <c r="KJ139" s="7"/>
      <c r="KK139" s="7"/>
      <c r="KL139" s="7"/>
      <c r="KM139" s="7"/>
      <c r="KN139" s="7"/>
      <c r="KO139" s="7"/>
      <c r="KP139" s="7"/>
      <c r="KQ139" s="7"/>
      <c r="KR139" s="7"/>
      <c r="KS139" s="7"/>
      <c r="KT139" s="7"/>
      <c r="KU139" s="7"/>
      <c r="KV139" s="7"/>
      <c r="KW139" s="7"/>
      <c r="KX139" s="7"/>
      <c r="KY139" s="7"/>
      <c r="KZ139" s="7"/>
      <c r="LA139" s="7"/>
      <c r="LB139" s="7"/>
      <c r="LC139" s="7"/>
      <c r="LD139" s="7"/>
      <c r="LE139" s="7"/>
      <c r="LF139" s="7"/>
      <c r="LG139" s="7"/>
      <c r="LH139" s="7"/>
      <c r="LI139" s="7"/>
      <c r="LJ139" s="7"/>
      <c r="LK139" s="7"/>
      <c r="LL139" s="7"/>
      <c r="LM139" s="7"/>
      <c r="LN139" s="7"/>
      <c r="LO139" s="7"/>
      <c r="LP139" s="7"/>
      <c r="LQ139" s="7"/>
    </row>
    <row r="140" spans="1:329" ht="15" customHeight="1" x14ac:dyDescent="0.25">
      <c r="A140" s="72">
        <v>1102855</v>
      </c>
      <c r="B140" s="46" t="s">
        <v>287</v>
      </c>
      <c r="C140" s="44" t="str">
        <f>VLOOKUP(A140,Artikeldaten!A:B,2,0)</f>
        <v>Gurtschlosspolster &amp; Schulterpolster (LH + RH) - Axkid One Tile Melange</v>
      </c>
      <c r="D140" s="54">
        <v>20</v>
      </c>
      <c r="E140" s="45">
        <f t="shared" si="4"/>
        <v>33.613445378151262</v>
      </c>
      <c r="F140" s="45">
        <f t="shared" si="5"/>
        <v>40</v>
      </c>
      <c r="G140" s="35" t="s">
        <v>21</v>
      </c>
      <c r="H140" s="35" t="s">
        <v>21</v>
      </c>
      <c r="I140" s="36"/>
      <c r="J140" s="36"/>
      <c r="K140" s="36"/>
      <c r="L140" s="36"/>
      <c r="M140" s="36"/>
      <c r="N140" s="36"/>
      <c r="O140" s="36"/>
      <c r="P140" s="36"/>
      <c r="Q140" s="36"/>
      <c r="R140" s="42">
        <v>7350057586273</v>
      </c>
      <c r="S140" s="43"/>
      <c r="T140" s="43"/>
      <c r="U140" s="43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D140" s="7"/>
      <c r="BE140" s="7"/>
      <c r="BF140" s="7"/>
      <c r="BG140" s="7"/>
      <c r="BH140" s="7"/>
      <c r="BI140" s="7"/>
      <c r="BJ140" s="7"/>
      <c r="BK140" s="7"/>
      <c r="BL140" s="7"/>
      <c r="BM140" s="7"/>
      <c r="BN140" s="7"/>
      <c r="BO140" s="7"/>
      <c r="BP140" s="7"/>
      <c r="BQ140" s="7"/>
      <c r="BR140" s="7"/>
      <c r="BS140" s="7"/>
      <c r="BT140" s="7"/>
      <c r="BU140" s="7"/>
      <c r="BV140" s="7"/>
      <c r="BW140" s="7"/>
      <c r="BX140" s="7"/>
      <c r="BY140" s="7"/>
      <c r="BZ140" s="7"/>
      <c r="CA140" s="7"/>
      <c r="CB140" s="7"/>
      <c r="CC140" s="7"/>
      <c r="CD140" s="7"/>
      <c r="CE140" s="7"/>
      <c r="CF140" s="7"/>
      <c r="CG140" s="7"/>
      <c r="CH140" s="7"/>
      <c r="CI140" s="7"/>
      <c r="CJ140" s="7"/>
      <c r="CK140" s="7"/>
      <c r="CL140" s="7"/>
      <c r="CM140" s="7"/>
      <c r="CN140" s="7"/>
      <c r="CO140" s="7"/>
      <c r="CP140" s="7"/>
      <c r="CQ140" s="7"/>
      <c r="CR140" s="7"/>
      <c r="CS140" s="7"/>
      <c r="CT140" s="7"/>
      <c r="CU140" s="7"/>
      <c r="CV140" s="7"/>
      <c r="CW140" s="7"/>
      <c r="CX140" s="7"/>
      <c r="CY140" s="7"/>
      <c r="CZ140" s="7"/>
      <c r="DA140" s="7"/>
      <c r="DB140" s="7"/>
      <c r="DC140" s="7"/>
      <c r="DD140" s="7"/>
      <c r="DE140" s="7"/>
      <c r="DF140" s="7"/>
      <c r="DG140" s="7"/>
      <c r="DH140" s="7"/>
      <c r="DI140" s="7"/>
      <c r="DJ140" s="7"/>
      <c r="DK140" s="7"/>
      <c r="DL140" s="7"/>
      <c r="DM140" s="7"/>
      <c r="DN140" s="7"/>
      <c r="DO140" s="7"/>
      <c r="DP140" s="7"/>
      <c r="DQ140" s="7"/>
      <c r="DR140" s="7"/>
      <c r="DS140" s="7"/>
      <c r="DT140" s="7"/>
      <c r="DU140" s="7"/>
      <c r="DV140" s="7"/>
      <c r="DW140" s="7"/>
      <c r="DX140" s="7"/>
      <c r="DY140" s="7"/>
      <c r="DZ140" s="7"/>
      <c r="EA140" s="7"/>
      <c r="EB140" s="7"/>
      <c r="EC140" s="7"/>
      <c r="ED140" s="7"/>
      <c r="EE140" s="7"/>
      <c r="EF140" s="7"/>
      <c r="EG140" s="7"/>
      <c r="EH140" s="7"/>
      <c r="EI140" s="7"/>
      <c r="EJ140" s="7"/>
      <c r="EK140" s="7"/>
      <c r="EL140" s="7"/>
      <c r="EM140" s="7"/>
      <c r="EN140" s="7"/>
      <c r="EO140" s="7"/>
      <c r="EP140" s="7"/>
      <c r="EQ140" s="7"/>
      <c r="ER140" s="7"/>
      <c r="ES140" s="7"/>
      <c r="ET140" s="7"/>
      <c r="EU140" s="7"/>
      <c r="EV140" s="7"/>
      <c r="EW140" s="7"/>
      <c r="EX140" s="7"/>
      <c r="EY140" s="7"/>
      <c r="EZ140" s="7"/>
      <c r="FA140" s="7"/>
      <c r="FB140" s="7"/>
      <c r="FC140" s="7"/>
      <c r="FD140" s="7"/>
      <c r="FE140" s="7"/>
      <c r="FF140" s="7"/>
      <c r="FG140" s="7"/>
      <c r="FH140" s="7"/>
      <c r="FI140" s="7"/>
      <c r="FJ140" s="7"/>
      <c r="FK140" s="7"/>
      <c r="FL140" s="7"/>
      <c r="FM140" s="7"/>
      <c r="FN140" s="7"/>
      <c r="FO140" s="7"/>
      <c r="FP140" s="7"/>
      <c r="FQ140" s="7"/>
      <c r="FR140" s="7"/>
      <c r="FS140" s="7"/>
      <c r="FT140" s="7"/>
      <c r="FU140" s="7"/>
      <c r="FV140" s="7"/>
      <c r="FW140" s="7"/>
      <c r="FX140" s="7"/>
      <c r="FY140" s="7"/>
      <c r="FZ140" s="7"/>
      <c r="GA140" s="7"/>
      <c r="GB140" s="7"/>
      <c r="GC140" s="7"/>
      <c r="GD140" s="7"/>
      <c r="GE140" s="7"/>
      <c r="GF140" s="7"/>
      <c r="GG140" s="7"/>
      <c r="GH140" s="7"/>
      <c r="GI140" s="7"/>
      <c r="GJ140" s="7"/>
      <c r="GK140" s="7"/>
      <c r="GL140" s="7"/>
      <c r="GM140" s="7"/>
      <c r="GN140" s="7"/>
      <c r="GO140" s="7"/>
      <c r="GP140" s="7"/>
      <c r="GQ140" s="7"/>
      <c r="GR140" s="7"/>
      <c r="GS140" s="7"/>
      <c r="GT140" s="7"/>
      <c r="GU140" s="7"/>
      <c r="GV140" s="7"/>
      <c r="GW140" s="7"/>
      <c r="GX140" s="7"/>
      <c r="GY140" s="7"/>
      <c r="GZ140" s="7"/>
      <c r="HA140" s="7"/>
      <c r="HB140" s="7"/>
      <c r="HC140" s="7"/>
      <c r="HD140" s="7"/>
      <c r="HE140" s="7"/>
      <c r="HF140" s="7"/>
      <c r="HG140" s="7"/>
      <c r="HH140" s="7"/>
      <c r="HI140" s="7"/>
      <c r="HJ140" s="7"/>
      <c r="HK140" s="7"/>
      <c r="HL140" s="7"/>
      <c r="HM140" s="7"/>
      <c r="HN140" s="7"/>
      <c r="HO140" s="7"/>
      <c r="HP140" s="7"/>
      <c r="HQ140" s="7"/>
      <c r="HR140" s="7"/>
      <c r="HS140" s="7"/>
      <c r="HT140" s="7"/>
      <c r="HU140" s="7"/>
      <c r="HV140" s="7"/>
      <c r="HW140" s="7"/>
      <c r="HX140" s="7"/>
      <c r="HY140" s="7"/>
      <c r="HZ140" s="7"/>
      <c r="IA140" s="7"/>
      <c r="IB140" s="7"/>
      <c r="IC140" s="7"/>
      <c r="ID140" s="7"/>
      <c r="IE140" s="7"/>
      <c r="IF140" s="7"/>
      <c r="IG140" s="7"/>
      <c r="IH140" s="7"/>
      <c r="II140" s="7"/>
      <c r="IJ140" s="7"/>
      <c r="IK140" s="7"/>
      <c r="IL140" s="7"/>
      <c r="IM140" s="7"/>
      <c r="IN140" s="7"/>
      <c r="IO140" s="7"/>
      <c r="IP140" s="7"/>
      <c r="IQ140" s="7"/>
      <c r="IR140" s="7"/>
      <c r="IS140" s="7"/>
      <c r="IT140" s="7"/>
      <c r="IU140" s="7"/>
      <c r="IV140" s="7"/>
      <c r="IW140" s="7"/>
      <c r="IX140" s="7"/>
      <c r="IY140" s="7"/>
      <c r="IZ140" s="7"/>
      <c r="JA140" s="7"/>
      <c r="JB140" s="7"/>
      <c r="JC140" s="7"/>
      <c r="JD140" s="7"/>
      <c r="JE140" s="7"/>
      <c r="JF140" s="7"/>
      <c r="JG140" s="7"/>
      <c r="JH140" s="7"/>
      <c r="JI140" s="7"/>
      <c r="JJ140" s="7"/>
      <c r="JK140" s="7"/>
      <c r="JL140" s="7"/>
      <c r="JM140" s="7"/>
      <c r="JN140" s="7"/>
      <c r="JO140" s="7"/>
      <c r="JP140" s="7"/>
      <c r="JQ140" s="7"/>
      <c r="JR140" s="7"/>
      <c r="JS140" s="7"/>
      <c r="JT140" s="7"/>
      <c r="JU140" s="7"/>
      <c r="JV140" s="7"/>
      <c r="JW140" s="7"/>
      <c r="JX140" s="7"/>
      <c r="JY140" s="7"/>
      <c r="JZ140" s="7"/>
      <c r="KA140" s="7"/>
      <c r="KB140" s="7"/>
      <c r="KC140" s="7"/>
      <c r="KD140" s="7"/>
      <c r="KE140" s="7"/>
      <c r="KF140" s="7"/>
      <c r="KG140" s="7"/>
      <c r="KH140" s="7"/>
      <c r="KI140" s="7"/>
      <c r="KJ140" s="7"/>
      <c r="KK140" s="7"/>
      <c r="KL140" s="7"/>
      <c r="KM140" s="7"/>
      <c r="KN140" s="7"/>
      <c r="KO140" s="7"/>
      <c r="KP140" s="7"/>
      <c r="KQ140" s="7"/>
      <c r="KR140" s="7"/>
      <c r="KS140" s="7"/>
      <c r="KT140" s="7"/>
      <c r="KU140" s="7"/>
      <c r="KV140" s="7"/>
      <c r="KW140" s="7"/>
      <c r="KX140" s="7"/>
      <c r="KY140" s="7"/>
      <c r="KZ140" s="7"/>
      <c r="LA140" s="7"/>
      <c r="LB140" s="7"/>
      <c r="LC140" s="7"/>
      <c r="LD140" s="7"/>
      <c r="LE140" s="7"/>
      <c r="LF140" s="7"/>
      <c r="LG140" s="7"/>
      <c r="LH140" s="7"/>
      <c r="LI140" s="7"/>
      <c r="LJ140" s="7"/>
      <c r="LK140" s="7"/>
      <c r="LL140" s="7"/>
      <c r="LM140" s="7"/>
      <c r="LN140" s="7"/>
      <c r="LO140" s="7"/>
      <c r="LP140" s="7"/>
      <c r="LQ140" s="7"/>
    </row>
    <row r="141" spans="1:329" ht="15" customHeight="1" x14ac:dyDescent="0.25">
      <c r="A141" s="72">
        <v>1102856</v>
      </c>
      <c r="B141" s="46" t="s">
        <v>289</v>
      </c>
      <c r="C141" s="44" t="str">
        <f>VLOOKUP(A141,Artikeldaten!A:B,2,0)</f>
        <v>Bezug Kopfstütze - Axkid One Brick Melange</v>
      </c>
      <c r="D141" s="54">
        <v>13</v>
      </c>
      <c r="E141" s="45">
        <f t="shared" si="4"/>
        <v>21.84873949579832</v>
      </c>
      <c r="F141" s="45">
        <f t="shared" si="5"/>
        <v>26</v>
      </c>
      <c r="G141" s="35" t="s">
        <v>21</v>
      </c>
      <c r="H141" s="35" t="s">
        <v>21</v>
      </c>
      <c r="I141" s="36"/>
      <c r="J141" s="36"/>
      <c r="K141" s="36"/>
      <c r="L141" s="36"/>
      <c r="M141" s="36"/>
      <c r="N141" s="36"/>
      <c r="O141" s="36"/>
      <c r="P141" s="36"/>
      <c r="Q141" s="36"/>
      <c r="R141" s="42">
        <v>7350057586280</v>
      </c>
      <c r="S141" s="43"/>
      <c r="T141" s="43"/>
      <c r="U141" s="43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D141" s="7"/>
      <c r="BE141" s="7"/>
      <c r="BF141" s="7"/>
      <c r="BG141" s="7"/>
      <c r="BH141" s="7"/>
      <c r="BI141" s="7"/>
      <c r="BJ141" s="7"/>
      <c r="BK141" s="7"/>
      <c r="BL141" s="7"/>
      <c r="BM141" s="7"/>
      <c r="BN141" s="7"/>
      <c r="BO141" s="7"/>
      <c r="BP141" s="7"/>
      <c r="BQ141" s="7"/>
      <c r="BR141" s="7"/>
      <c r="BS141" s="7"/>
      <c r="BT141" s="7"/>
      <c r="BU141" s="7"/>
      <c r="BV141" s="7"/>
      <c r="BW141" s="7"/>
      <c r="BX141" s="7"/>
      <c r="BY141" s="7"/>
      <c r="BZ141" s="7"/>
      <c r="CA141" s="7"/>
      <c r="CB141" s="7"/>
      <c r="CC141" s="7"/>
      <c r="CD141" s="7"/>
      <c r="CE141" s="7"/>
      <c r="CF141" s="7"/>
      <c r="CG141" s="7"/>
      <c r="CH141" s="7"/>
      <c r="CI141" s="7"/>
      <c r="CJ141" s="7"/>
      <c r="CK141" s="7"/>
      <c r="CL141" s="7"/>
      <c r="CM141" s="7"/>
      <c r="CN141" s="7"/>
      <c r="CO141" s="7"/>
      <c r="CP141" s="7"/>
      <c r="CQ141" s="7"/>
      <c r="CR141" s="7"/>
      <c r="CS141" s="7"/>
      <c r="CT141" s="7"/>
      <c r="CU141" s="7"/>
      <c r="CV141" s="7"/>
      <c r="CW141" s="7"/>
      <c r="CX141" s="7"/>
      <c r="CY141" s="7"/>
      <c r="CZ141" s="7"/>
      <c r="DA141" s="7"/>
      <c r="DB141" s="7"/>
      <c r="DC141" s="7"/>
      <c r="DD141" s="7"/>
      <c r="DE141" s="7"/>
      <c r="DF141" s="7"/>
      <c r="DG141" s="7"/>
      <c r="DH141" s="7"/>
      <c r="DI141" s="7"/>
      <c r="DJ141" s="7"/>
      <c r="DK141" s="7"/>
      <c r="DL141" s="7"/>
      <c r="DM141" s="7"/>
      <c r="DN141" s="7"/>
      <c r="DO141" s="7"/>
      <c r="DP141" s="7"/>
      <c r="DQ141" s="7"/>
      <c r="DR141" s="7"/>
      <c r="DS141" s="7"/>
      <c r="DT141" s="7"/>
      <c r="DU141" s="7"/>
      <c r="DV141" s="7"/>
      <c r="DW141" s="7"/>
      <c r="DX141" s="7"/>
      <c r="DY141" s="7"/>
      <c r="DZ141" s="7"/>
      <c r="EA141" s="7"/>
      <c r="EB141" s="7"/>
      <c r="EC141" s="7"/>
      <c r="ED141" s="7"/>
      <c r="EE141" s="7"/>
      <c r="EF141" s="7"/>
      <c r="EG141" s="7"/>
      <c r="EH141" s="7"/>
      <c r="EI141" s="7"/>
      <c r="EJ141" s="7"/>
      <c r="EK141" s="7"/>
      <c r="EL141" s="7"/>
      <c r="EM141" s="7"/>
      <c r="EN141" s="7"/>
      <c r="EO141" s="7"/>
      <c r="EP141" s="7"/>
      <c r="EQ141" s="7"/>
      <c r="ER141" s="7"/>
      <c r="ES141" s="7"/>
      <c r="ET141" s="7"/>
      <c r="EU141" s="7"/>
      <c r="EV141" s="7"/>
      <c r="EW141" s="7"/>
      <c r="EX141" s="7"/>
      <c r="EY141" s="7"/>
      <c r="EZ141" s="7"/>
      <c r="FA141" s="7"/>
      <c r="FB141" s="7"/>
      <c r="FC141" s="7"/>
      <c r="FD141" s="7"/>
      <c r="FE141" s="7"/>
      <c r="FF141" s="7"/>
      <c r="FG141" s="7"/>
      <c r="FH141" s="7"/>
      <c r="FI141" s="7"/>
      <c r="FJ141" s="7"/>
      <c r="FK141" s="7"/>
      <c r="FL141" s="7"/>
      <c r="FM141" s="7"/>
      <c r="FN141" s="7"/>
      <c r="FO141" s="7"/>
      <c r="FP141" s="7"/>
      <c r="FQ141" s="7"/>
      <c r="FR141" s="7"/>
      <c r="FS141" s="7"/>
      <c r="FT141" s="7"/>
      <c r="FU141" s="7"/>
      <c r="FV141" s="7"/>
      <c r="FW141" s="7"/>
      <c r="FX141" s="7"/>
      <c r="FY141" s="7"/>
      <c r="FZ141" s="7"/>
      <c r="GA141" s="7"/>
      <c r="GB141" s="7"/>
      <c r="GC141" s="7"/>
      <c r="GD141" s="7"/>
      <c r="GE141" s="7"/>
      <c r="GF141" s="7"/>
      <c r="GG141" s="7"/>
      <c r="GH141" s="7"/>
      <c r="GI141" s="7"/>
      <c r="GJ141" s="7"/>
      <c r="GK141" s="7"/>
      <c r="GL141" s="7"/>
      <c r="GM141" s="7"/>
      <c r="GN141" s="7"/>
      <c r="GO141" s="7"/>
      <c r="GP141" s="7"/>
      <c r="GQ141" s="7"/>
      <c r="GR141" s="7"/>
      <c r="GS141" s="7"/>
      <c r="GT141" s="7"/>
      <c r="GU141" s="7"/>
      <c r="GV141" s="7"/>
      <c r="GW141" s="7"/>
      <c r="GX141" s="7"/>
      <c r="GY141" s="7"/>
      <c r="GZ141" s="7"/>
      <c r="HA141" s="7"/>
      <c r="HB141" s="7"/>
      <c r="HC141" s="7"/>
      <c r="HD141" s="7"/>
      <c r="HE141" s="7"/>
      <c r="HF141" s="7"/>
      <c r="HG141" s="7"/>
      <c r="HH141" s="7"/>
      <c r="HI141" s="7"/>
      <c r="HJ141" s="7"/>
      <c r="HK141" s="7"/>
      <c r="HL141" s="7"/>
      <c r="HM141" s="7"/>
      <c r="HN141" s="7"/>
      <c r="HO141" s="7"/>
      <c r="HP141" s="7"/>
      <c r="HQ141" s="7"/>
      <c r="HR141" s="7"/>
      <c r="HS141" s="7"/>
      <c r="HT141" s="7"/>
      <c r="HU141" s="7"/>
      <c r="HV141" s="7"/>
      <c r="HW141" s="7"/>
      <c r="HX141" s="7"/>
      <c r="HY141" s="7"/>
      <c r="HZ141" s="7"/>
      <c r="IA141" s="7"/>
      <c r="IB141" s="7"/>
      <c r="IC141" s="7"/>
      <c r="ID141" s="7"/>
      <c r="IE141" s="7"/>
      <c r="IF141" s="7"/>
      <c r="IG141" s="7"/>
      <c r="IH141" s="7"/>
      <c r="II141" s="7"/>
      <c r="IJ141" s="7"/>
      <c r="IK141" s="7"/>
      <c r="IL141" s="7"/>
      <c r="IM141" s="7"/>
      <c r="IN141" s="7"/>
      <c r="IO141" s="7"/>
      <c r="IP141" s="7"/>
      <c r="IQ141" s="7"/>
      <c r="IR141" s="7"/>
      <c r="IS141" s="7"/>
      <c r="IT141" s="7"/>
      <c r="IU141" s="7"/>
      <c r="IV141" s="7"/>
      <c r="IW141" s="7"/>
      <c r="IX141" s="7"/>
      <c r="IY141" s="7"/>
      <c r="IZ141" s="7"/>
      <c r="JA141" s="7"/>
      <c r="JB141" s="7"/>
      <c r="JC141" s="7"/>
      <c r="JD141" s="7"/>
      <c r="JE141" s="7"/>
      <c r="JF141" s="7"/>
      <c r="JG141" s="7"/>
      <c r="JH141" s="7"/>
      <c r="JI141" s="7"/>
      <c r="JJ141" s="7"/>
      <c r="JK141" s="7"/>
      <c r="JL141" s="7"/>
      <c r="JM141" s="7"/>
      <c r="JN141" s="7"/>
      <c r="JO141" s="7"/>
      <c r="JP141" s="7"/>
      <c r="JQ141" s="7"/>
      <c r="JR141" s="7"/>
      <c r="JS141" s="7"/>
      <c r="JT141" s="7"/>
      <c r="JU141" s="7"/>
      <c r="JV141" s="7"/>
      <c r="JW141" s="7"/>
      <c r="JX141" s="7"/>
      <c r="JY141" s="7"/>
      <c r="JZ141" s="7"/>
      <c r="KA141" s="7"/>
      <c r="KB141" s="7"/>
      <c r="KC141" s="7"/>
      <c r="KD141" s="7"/>
      <c r="KE141" s="7"/>
      <c r="KF141" s="7"/>
      <c r="KG141" s="7"/>
      <c r="KH141" s="7"/>
      <c r="KI141" s="7"/>
      <c r="KJ141" s="7"/>
      <c r="KK141" s="7"/>
      <c r="KL141" s="7"/>
      <c r="KM141" s="7"/>
      <c r="KN141" s="7"/>
      <c r="KO141" s="7"/>
      <c r="KP141" s="7"/>
      <c r="KQ141" s="7"/>
      <c r="KR141" s="7"/>
      <c r="KS141" s="7"/>
      <c r="KT141" s="7"/>
      <c r="KU141" s="7"/>
      <c r="KV141" s="7"/>
      <c r="KW141" s="7"/>
      <c r="KX141" s="7"/>
      <c r="KY141" s="7"/>
      <c r="KZ141" s="7"/>
      <c r="LA141" s="7"/>
      <c r="LB141" s="7"/>
      <c r="LC141" s="7"/>
      <c r="LD141" s="7"/>
      <c r="LE141" s="7"/>
      <c r="LF141" s="7"/>
      <c r="LG141" s="7"/>
      <c r="LH141" s="7"/>
      <c r="LI141" s="7"/>
      <c r="LJ141" s="7"/>
      <c r="LK141" s="7"/>
      <c r="LL141" s="7"/>
      <c r="LM141" s="7"/>
      <c r="LN141" s="7"/>
      <c r="LO141" s="7"/>
      <c r="LP141" s="7"/>
      <c r="LQ141" s="7"/>
    </row>
    <row r="142" spans="1:329" ht="15" customHeight="1" x14ac:dyDescent="0.25">
      <c r="A142" s="77">
        <v>1102857</v>
      </c>
      <c r="B142" s="55" t="s">
        <v>291</v>
      </c>
      <c r="C142" s="44" t="str">
        <f>VLOOKUP(A142,Artikeldaten!A:B,2,0)</f>
        <v>Gurtschlosspolster &amp; Schulterpolster (LH + RH) - Axkid One Brick Melange</v>
      </c>
      <c r="D142" s="54">
        <v>20</v>
      </c>
      <c r="E142" s="45">
        <f t="shared" si="4"/>
        <v>33.613445378151262</v>
      </c>
      <c r="F142" s="45">
        <f t="shared" si="5"/>
        <v>40</v>
      </c>
      <c r="G142" s="35" t="s">
        <v>21</v>
      </c>
      <c r="H142" s="35" t="s">
        <v>21</v>
      </c>
      <c r="I142" s="36"/>
      <c r="J142" s="36"/>
      <c r="K142" s="36"/>
      <c r="L142" s="36"/>
      <c r="M142" s="36"/>
      <c r="N142" s="36"/>
      <c r="O142" s="36"/>
      <c r="P142" s="36"/>
      <c r="Q142" s="36"/>
      <c r="R142" s="42">
        <v>7350057586297</v>
      </c>
      <c r="S142" s="43"/>
      <c r="T142" s="43"/>
      <c r="U142" s="43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D142" s="7"/>
      <c r="BE142" s="7"/>
      <c r="BF142" s="7"/>
      <c r="BG142" s="7"/>
      <c r="BH142" s="7"/>
      <c r="BI142" s="7"/>
      <c r="BJ142" s="7"/>
      <c r="BK142" s="7"/>
      <c r="BL142" s="7"/>
      <c r="BM142" s="7"/>
      <c r="BN142" s="7"/>
      <c r="BO142" s="7"/>
      <c r="BP142" s="7"/>
      <c r="BQ142" s="7"/>
      <c r="BR142" s="7"/>
      <c r="BS142" s="7"/>
      <c r="BT142" s="7"/>
      <c r="BU142" s="7"/>
      <c r="BV142" s="7"/>
      <c r="BW142" s="7"/>
      <c r="BX142" s="7"/>
      <c r="BY142" s="7"/>
      <c r="BZ142" s="7"/>
      <c r="CA142" s="7"/>
      <c r="CB142" s="7"/>
      <c r="CC142" s="7"/>
      <c r="CD142" s="7"/>
      <c r="CE142" s="7"/>
      <c r="CF142" s="7"/>
      <c r="CG142" s="7"/>
      <c r="CH142" s="7"/>
      <c r="CI142" s="7"/>
      <c r="CJ142" s="7"/>
      <c r="CK142" s="7"/>
      <c r="CL142" s="7"/>
      <c r="CM142" s="7"/>
      <c r="CN142" s="7"/>
      <c r="CO142" s="7"/>
      <c r="CP142" s="7"/>
      <c r="CQ142" s="7"/>
      <c r="CR142" s="7"/>
      <c r="CS142" s="7"/>
      <c r="CT142" s="7"/>
      <c r="CU142" s="7"/>
      <c r="CV142" s="7"/>
      <c r="CW142" s="7"/>
      <c r="CX142" s="7"/>
      <c r="CY142" s="7"/>
      <c r="CZ142" s="7"/>
      <c r="DA142" s="7"/>
      <c r="DB142" s="7"/>
      <c r="DC142" s="7"/>
      <c r="DD142" s="7"/>
      <c r="DE142" s="7"/>
      <c r="DF142" s="7"/>
      <c r="DG142" s="7"/>
      <c r="DH142" s="7"/>
      <c r="DI142" s="7"/>
      <c r="DJ142" s="7"/>
      <c r="DK142" s="7"/>
      <c r="DL142" s="7"/>
      <c r="DM142" s="7"/>
      <c r="DN142" s="7"/>
      <c r="DO142" s="7"/>
      <c r="DP142" s="7"/>
      <c r="DQ142" s="7"/>
      <c r="DR142" s="7"/>
      <c r="DS142" s="7"/>
      <c r="DT142" s="7"/>
      <c r="DU142" s="7"/>
      <c r="DV142" s="7"/>
      <c r="DW142" s="7"/>
      <c r="DX142" s="7"/>
      <c r="DY142" s="7"/>
      <c r="DZ142" s="7"/>
      <c r="EA142" s="7"/>
      <c r="EB142" s="7"/>
      <c r="EC142" s="7"/>
      <c r="ED142" s="7"/>
      <c r="EE142" s="7"/>
      <c r="EF142" s="7"/>
      <c r="EG142" s="7"/>
      <c r="EH142" s="7"/>
      <c r="EI142" s="7"/>
      <c r="EJ142" s="7"/>
      <c r="EK142" s="7"/>
      <c r="EL142" s="7"/>
      <c r="EM142" s="7"/>
      <c r="EN142" s="7"/>
      <c r="EO142" s="7"/>
      <c r="EP142" s="7"/>
      <c r="EQ142" s="7"/>
      <c r="ER142" s="7"/>
      <c r="ES142" s="7"/>
      <c r="ET142" s="7"/>
      <c r="EU142" s="7"/>
      <c r="EV142" s="7"/>
      <c r="EW142" s="7"/>
      <c r="EX142" s="7"/>
      <c r="EY142" s="7"/>
      <c r="EZ142" s="7"/>
      <c r="FA142" s="7"/>
      <c r="FB142" s="7"/>
      <c r="FC142" s="7"/>
      <c r="FD142" s="7"/>
      <c r="FE142" s="7"/>
      <c r="FF142" s="7"/>
      <c r="FG142" s="7"/>
      <c r="FH142" s="7"/>
      <c r="FI142" s="7"/>
      <c r="FJ142" s="7"/>
      <c r="FK142" s="7"/>
      <c r="FL142" s="7"/>
      <c r="FM142" s="7"/>
      <c r="FN142" s="7"/>
      <c r="FO142" s="7"/>
      <c r="FP142" s="7"/>
      <c r="FQ142" s="7"/>
      <c r="FR142" s="7"/>
      <c r="FS142" s="7"/>
      <c r="FT142" s="7"/>
      <c r="FU142" s="7"/>
      <c r="FV142" s="7"/>
      <c r="FW142" s="7"/>
      <c r="FX142" s="7"/>
      <c r="FY142" s="7"/>
      <c r="FZ142" s="7"/>
      <c r="GA142" s="7"/>
      <c r="GB142" s="7"/>
      <c r="GC142" s="7"/>
      <c r="GD142" s="7"/>
      <c r="GE142" s="7"/>
      <c r="GF142" s="7"/>
      <c r="GG142" s="7"/>
      <c r="GH142" s="7"/>
      <c r="GI142" s="7"/>
      <c r="GJ142" s="7"/>
      <c r="GK142" s="7"/>
      <c r="GL142" s="7"/>
      <c r="GM142" s="7"/>
      <c r="GN142" s="7"/>
      <c r="GO142" s="7"/>
      <c r="GP142" s="7"/>
      <c r="GQ142" s="7"/>
      <c r="GR142" s="7"/>
      <c r="GS142" s="7"/>
      <c r="GT142" s="7"/>
      <c r="GU142" s="7"/>
      <c r="GV142" s="7"/>
      <c r="GW142" s="7"/>
      <c r="GX142" s="7"/>
      <c r="GY142" s="7"/>
      <c r="GZ142" s="7"/>
      <c r="HA142" s="7"/>
      <c r="HB142" s="7"/>
      <c r="HC142" s="7"/>
      <c r="HD142" s="7"/>
      <c r="HE142" s="7"/>
      <c r="HF142" s="7"/>
      <c r="HG142" s="7"/>
      <c r="HH142" s="7"/>
      <c r="HI142" s="7"/>
      <c r="HJ142" s="7"/>
      <c r="HK142" s="7"/>
      <c r="HL142" s="7"/>
      <c r="HM142" s="7"/>
      <c r="HN142" s="7"/>
      <c r="HO142" s="7"/>
      <c r="HP142" s="7"/>
      <c r="HQ142" s="7"/>
      <c r="HR142" s="7"/>
      <c r="HS142" s="7"/>
      <c r="HT142" s="7"/>
      <c r="HU142" s="7"/>
      <c r="HV142" s="7"/>
      <c r="HW142" s="7"/>
      <c r="HX142" s="7"/>
      <c r="HY142" s="7"/>
      <c r="HZ142" s="7"/>
      <c r="IA142" s="7"/>
      <c r="IB142" s="7"/>
      <c r="IC142" s="7"/>
      <c r="ID142" s="7"/>
      <c r="IE142" s="7"/>
      <c r="IF142" s="7"/>
      <c r="IG142" s="7"/>
      <c r="IH142" s="7"/>
      <c r="II142" s="7"/>
      <c r="IJ142" s="7"/>
      <c r="IK142" s="7"/>
      <c r="IL142" s="7"/>
      <c r="IM142" s="7"/>
      <c r="IN142" s="7"/>
      <c r="IO142" s="7"/>
      <c r="IP142" s="7"/>
      <c r="IQ142" s="7"/>
      <c r="IR142" s="7"/>
      <c r="IS142" s="7"/>
      <c r="IT142" s="7"/>
      <c r="IU142" s="7"/>
      <c r="IV142" s="7"/>
      <c r="IW142" s="7"/>
      <c r="IX142" s="7"/>
      <c r="IY142" s="7"/>
      <c r="IZ142" s="7"/>
      <c r="JA142" s="7"/>
      <c r="JB142" s="7"/>
      <c r="JC142" s="7"/>
      <c r="JD142" s="7"/>
      <c r="JE142" s="7"/>
      <c r="JF142" s="7"/>
      <c r="JG142" s="7"/>
      <c r="JH142" s="7"/>
      <c r="JI142" s="7"/>
      <c r="JJ142" s="7"/>
      <c r="JK142" s="7"/>
      <c r="JL142" s="7"/>
      <c r="JM142" s="7"/>
      <c r="JN142" s="7"/>
      <c r="JO142" s="7"/>
      <c r="JP142" s="7"/>
      <c r="JQ142" s="7"/>
      <c r="JR142" s="7"/>
      <c r="JS142" s="7"/>
      <c r="JT142" s="7"/>
      <c r="JU142" s="7"/>
      <c r="JV142" s="7"/>
      <c r="JW142" s="7"/>
      <c r="JX142" s="7"/>
      <c r="JY142" s="7"/>
      <c r="JZ142" s="7"/>
      <c r="KA142" s="7"/>
      <c r="KB142" s="7"/>
      <c r="KC142" s="7"/>
      <c r="KD142" s="7"/>
      <c r="KE142" s="7"/>
      <c r="KF142" s="7"/>
      <c r="KG142" s="7"/>
      <c r="KH142" s="7"/>
      <c r="KI142" s="7"/>
      <c r="KJ142" s="7"/>
      <c r="KK142" s="7"/>
      <c r="KL142" s="7"/>
      <c r="KM142" s="7"/>
      <c r="KN142" s="7"/>
      <c r="KO142" s="7"/>
      <c r="KP142" s="7"/>
      <c r="KQ142" s="7"/>
      <c r="KR142" s="7"/>
      <c r="KS142" s="7"/>
      <c r="KT142" s="7"/>
      <c r="KU142" s="7"/>
      <c r="KV142" s="7"/>
      <c r="KW142" s="7"/>
      <c r="KX142" s="7"/>
      <c r="KY142" s="7"/>
      <c r="KZ142" s="7"/>
      <c r="LA142" s="7"/>
      <c r="LB142" s="7"/>
      <c r="LC142" s="7"/>
      <c r="LD142" s="7"/>
      <c r="LE142" s="7"/>
      <c r="LF142" s="7"/>
      <c r="LG142" s="7"/>
      <c r="LH142" s="7"/>
      <c r="LI142" s="7"/>
      <c r="LJ142" s="7"/>
      <c r="LK142" s="7"/>
      <c r="LL142" s="7"/>
      <c r="LM142" s="7"/>
      <c r="LN142" s="7"/>
      <c r="LO142" s="7"/>
      <c r="LP142" s="7"/>
      <c r="LQ142" s="7"/>
    </row>
    <row r="143" spans="1:329" ht="15" customHeight="1" x14ac:dyDescent="0.25">
      <c r="A143" s="76">
        <v>1102859</v>
      </c>
      <c r="B143" s="32" t="s">
        <v>293</v>
      </c>
      <c r="C143" s="33" t="str">
        <f>VLOOKUP(A143,Artikeldaten!A:B,2,0)</f>
        <v xml:space="preserve">ASIP Befestigung (LH+RH) - Axkid One </v>
      </c>
      <c r="D143" s="34">
        <v>6</v>
      </c>
      <c r="E143" s="34">
        <f t="shared" si="4"/>
        <v>10.084033613445378</v>
      </c>
      <c r="F143" s="34">
        <f t="shared" si="5"/>
        <v>12</v>
      </c>
      <c r="G143" s="35" t="s">
        <v>21</v>
      </c>
      <c r="H143" s="35" t="s">
        <v>21</v>
      </c>
      <c r="I143" s="36"/>
      <c r="J143" s="36"/>
      <c r="K143" s="36"/>
      <c r="L143" s="36"/>
      <c r="M143" s="36"/>
      <c r="N143" s="36"/>
      <c r="O143" s="36"/>
      <c r="P143" s="36"/>
      <c r="Q143" s="36"/>
      <c r="R143" s="37">
        <v>7350057586426</v>
      </c>
      <c r="S143" s="38"/>
      <c r="T143" s="38"/>
      <c r="U143" s="38"/>
    </row>
    <row r="144" spans="1:329" ht="15" customHeight="1" x14ac:dyDescent="0.25">
      <c r="A144" s="76">
        <v>1103019</v>
      </c>
      <c r="B144" s="32" t="s">
        <v>295</v>
      </c>
      <c r="C144" s="33" t="str">
        <f>VLOOKUP(A144,Artikeldaten!A:B,2,0)</f>
        <v xml:space="preserve">Abdeckung Stützfuß 2021 - Axkid One </v>
      </c>
      <c r="D144" s="34">
        <v>4</v>
      </c>
      <c r="E144" s="34">
        <f t="shared" si="4"/>
        <v>6.7226890756302522</v>
      </c>
      <c r="F144" s="34">
        <f t="shared" si="5"/>
        <v>8</v>
      </c>
      <c r="G144" s="35" t="s">
        <v>21</v>
      </c>
      <c r="H144" s="35" t="s">
        <v>21</v>
      </c>
      <c r="I144" s="36"/>
      <c r="J144" s="36"/>
      <c r="K144" s="36"/>
      <c r="L144" s="36"/>
      <c r="M144" s="36"/>
      <c r="N144" s="36"/>
      <c r="O144" s="36"/>
      <c r="P144" s="36"/>
      <c r="Q144" s="36"/>
      <c r="R144" s="37">
        <v>7350057586464</v>
      </c>
      <c r="S144" s="38"/>
      <c r="T144" s="38"/>
      <c r="U144" s="38"/>
    </row>
    <row r="145" spans="1:329" ht="15" customHeight="1" x14ac:dyDescent="0.25">
      <c r="A145" s="76">
        <v>1103021</v>
      </c>
      <c r="B145" s="32" t="s">
        <v>297</v>
      </c>
      <c r="C145" s="33" t="str">
        <f>VLOOKUP(A145,Artikeldaten!A:B,2,0)</f>
        <v>Werkzeug ASIP - Axkid One</v>
      </c>
      <c r="D145" s="34">
        <v>9</v>
      </c>
      <c r="E145" s="34">
        <f t="shared" si="4"/>
        <v>15.126050420168069</v>
      </c>
      <c r="F145" s="34">
        <f t="shared" si="5"/>
        <v>18</v>
      </c>
      <c r="G145" s="35" t="s">
        <v>21</v>
      </c>
      <c r="H145" s="35" t="s">
        <v>21</v>
      </c>
      <c r="I145" s="36"/>
      <c r="J145" s="36"/>
      <c r="K145" s="36"/>
      <c r="L145" s="36"/>
      <c r="M145" s="36"/>
      <c r="N145" s="36"/>
      <c r="O145" s="36"/>
      <c r="P145" s="36"/>
      <c r="Q145" s="36"/>
      <c r="R145" s="37"/>
      <c r="S145" s="38"/>
      <c r="T145" s="38"/>
      <c r="U145" s="38"/>
    </row>
    <row r="146" spans="1:329" ht="15" customHeight="1" x14ac:dyDescent="0.25">
      <c r="A146" s="76">
        <v>1103028</v>
      </c>
      <c r="B146" s="32" t="s">
        <v>299</v>
      </c>
      <c r="C146" s="33" t="str">
        <f>VLOOKUP(A146,Artikeldaten!A:B,2,0)</f>
        <v>SOFIX Abstandhalter LH [10stk] - Axkid One</v>
      </c>
      <c r="D146" s="34">
        <v>21</v>
      </c>
      <c r="E146" s="34">
        <f t="shared" si="4"/>
        <v>35.294117647058826</v>
      </c>
      <c r="F146" s="34">
        <f t="shared" si="5"/>
        <v>42</v>
      </c>
      <c r="G146" s="35" t="s">
        <v>21</v>
      </c>
      <c r="H146" s="35" t="s">
        <v>21</v>
      </c>
      <c r="I146" s="36"/>
      <c r="J146" s="36"/>
      <c r="K146" s="36"/>
      <c r="L146" s="36"/>
      <c r="M146" s="36"/>
      <c r="N146" s="36"/>
      <c r="O146" s="36"/>
      <c r="P146" s="36"/>
      <c r="Q146" s="36"/>
      <c r="R146" s="37">
        <v>7350057586501</v>
      </c>
      <c r="S146" s="38"/>
      <c r="T146" s="38"/>
      <c r="U146" s="38"/>
    </row>
    <row r="147" spans="1:329" ht="15" customHeight="1" x14ac:dyDescent="0.25">
      <c r="A147" s="76">
        <v>1103031</v>
      </c>
      <c r="B147" s="32" t="s">
        <v>301</v>
      </c>
      <c r="C147" s="33" t="str">
        <f>VLOOKUP(A147,Artikeldaten!A:B,2,0)</f>
        <v>ISOFIX Abstandhalter RH [10stk] - Axkid One</v>
      </c>
      <c r="D147" s="34">
        <v>21</v>
      </c>
      <c r="E147" s="34">
        <f t="shared" si="4"/>
        <v>35.294117647058826</v>
      </c>
      <c r="F147" s="34">
        <f t="shared" si="5"/>
        <v>42</v>
      </c>
      <c r="G147" s="35" t="s">
        <v>21</v>
      </c>
      <c r="H147" s="35" t="s">
        <v>21</v>
      </c>
      <c r="I147" s="36"/>
      <c r="J147" s="36"/>
      <c r="K147" s="36"/>
      <c r="L147" s="36"/>
      <c r="M147" s="36"/>
      <c r="N147" s="36"/>
      <c r="O147" s="36"/>
      <c r="P147" s="36"/>
      <c r="Q147" s="36"/>
      <c r="R147" s="37">
        <v>7350057586525</v>
      </c>
      <c r="S147" s="38"/>
      <c r="T147" s="38"/>
      <c r="U147" s="38"/>
    </row>
    <row r="148" spans="1:329" ht="15" customHeight="1" x14ac:dyDescent="0.25">
      <c r="A148" s="76">
        <v>1103295</v>
      </c>
      <c r="B148" s="32"/>
      <c r="C148" s="33" t="str">
        <f>VLOOKUP(A148,Artikeldaten!A:B,2,0)</f>
        <v>Harness Friction Decrease - Axkid One</v>
      </c>
      <c r="D148" s="34">
        <v>0</v>
      </c>
      <c r="E148" s="34">
        <f t="shared" si="4"/>
        <v>0</v>
      </c>
      <c r="F148" s="34">
        <f t="shared" si="5"/>
        <v>0</v>
      </c>
      <c r="G148" s="39"/>
      <c r="H148" s="39"/>
      <c r="I148" s="36"/>
      <c r="J148" s="36"/>
      <c r="K148" s="36"/>
      <c r="L148" s="36"/>
      <c r="M148" s="36"/>
      <c r="N148" s="36"/>
      <c r="O148" s="36"/>
      <c r="P148" s="36"/>
      <c r="Q148" s="36"/>
      <c r="R148" s="40"/>
      <c r="S148" s="38"/>
      <c r="T148" s="38"/>
      <c r="U148" s="38"/>
    </row>
    <row r="149" spans="1:329" ht="15" customHeight="1" x14ac:dyDescent="0.25">
      <c r="A149" s="75">
        <v>1103343</v>
      </c>
      <c r="B149" s="32" t="s">
        <v>304</v>
      </c>
      <c r="C149" s="33" t="str">
        <f>VLOOKUP(A149,Artikeldaten!A:B,2,0)</f>
        <v xml:space="preserve">Recline Busching &amp; Stop Screw - Axkid One </v>
      </c>
      <c r="D149" s="34">
        <v>3</v>
      </c>
      <c r="E149" s="34">
        <f t="shared" si="4"/>
        <v>5.0420168067226889</v>
      </c>
      <c r="F149" s="34">
        <f t="shared" si="5"/>
        <v>6</v>
      </c>
      <c r="G149" s="35" t="s">
        <v>21</v>
      </c>
      <c r="H149" s="35" t="s">
        <v>21</v>
      </c>
      <c r="I149" s="36"/>
      <c r="J149" s="36"/>
      <c r="K149" s="36"/>
      <c r="L149" s="36"/>
      <c r="M149" s="36"/>
      <c r="N149" s="36"/>
      <c r="O149" s="36"/>
      <c r="P149" s="36"/>
      <c r="Q149" s="36"/>
      <c r="R149" s="37">
        <v>7350057586792</v>
      </c>
      <c r="S149" s="38"/>
      <c r="T149" s="38"/>
      <c r="U149" s="38"/>
    </row>
    <row r="150" spans="1:329" ht="15" customHeight="1" x14ac:dyDescent="0.25">
      <c r="A150" s="70">
        <v>1900028</v>
      </c>
      <c r="B150" s="33" t="s">
        <v>306</v>
      </c>
      <c r="C150" s="33" t="str">
        <f>VLOOKUP(A150,Artikeldaten!A:B,2,0)</f>
        <v xml:space="preserve">Nieten - Universal </v>
      </c>
      <c r="D150" s="34">
        <v>0.1</v>
      </c>
      <c r="E150" s="34">
        <f t="shared" si="4"/>
        <v>0.16806722689075632</v>
      </c>
      <c r="F150" s="34">
        <f t="shared" si="5"/>
        <v>0.2</v>
      </c>
      <c r="G150" s="41"/>
      <c r="H150" s="41"/>
      <c r="I150" s="35" t="s">
        <v>21</v>
      </c>
      <c r="J150" s="35" t="s">
        <v>21</v>
      </c>
      <c r="K150" s="35" t="s">
        <v>21</v>
      </c>
      <c r="L150" s="36"/>
      <c r="M150" s="36"/>
      <c r="N150" s="35" t="s">
        <v>21</v>
      </c>
      <c r="O150" s="35" t="s">
        <v>21</v>
      </c>
      <c r="P150" s="35" t="s">
        <v>21</v>
      </c>
      <c r="Q150" s="35" t="s">
        <v>21</v>
      </c>
      <c r="R150" s="42">
        <v>7350057584101</v>
      </c>
      <c r="S150" s="43" t="s">
        <v>332</v>
      </c>
      <c r="T150" s="43">
        <v>7.5</v>
      </c>
      <c r="U150" s="43">
        <v>7.1</v>
      </c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D150" s="7"/>
      <c r="BE150" s="7"/>
      <c r="BF150" s="7"/>
      <c r="BG150" s="7"/>
      <c r="BH150" s="7"/>
      <c r="BI150" s="7"/>
      <c r="BJ150" s="7"/>
      <c r="BK150" s="7"/>
      <c r="BL150" s="7"/>
      <c r="BM150" s="7"/>
      <c r="BN150" s="7"/>
      <c r="BO150" s="7"/>
      <c r="BP150" s="7"/>
      <c r="BQ150" s="7"/>
      <c r="BR150" s="7"/>
      <c r="BS150" s="7"/>
      <c r="BT150" s="7"/>
      <c r="BU150" s="7"/>
      <c r="BV150" s="7"/>
      <c r="BW150" s="7"/>
      <c r="BX150" s="7"/>
      <c r="BY150" s="7"/>
      <c r="BZ150" s="7"/>
      <c r="CA150" s="7"/>
      <c r="CB150" s="7"/>
      <c r="CC150" s="7"/>
      <c r="CD150" s="7"/>
      <c r="CE150" s="7"/>
      <c r="CF150" s="7"/>
      <c r="CG150" s="7"/>
      <c r="CH150" s="7"/>
      <c r="CI150" s="7"/>
      <c r="CJ150" s="7"/>
      <c r="CK150" s="7"/>
      <c r="CL150" s="7"/>
      <c r="CM150" s="7"/>
      <c r="CN150" s="7"/>
      <c r="CO150" s="7"/>
      <c r="CP150" s="7"/>
      <c r="CQ150" s="7"/>
      <c r="CR150" s="7"/>
      <c r="CS150" s="7"/>
      <c r="CT150" s="7"/>
      <c r="CU150" s="7"/>
      <c r="CV150" s="7"/>
      <c r="CW150" s="7"/>
      <c r="CX150" s="7"/>
      <c r="CY150" s="7"/>
      <c r="CZ150" s="7"/>
      <c r="DA150" s="7"/>
      <c r="DB150" s="7"/>
      <c r="DC150" s="7"/>
      <c r="DD150" s="7"/>
      <c r="DE150" s="7"/>
      <c r="DF150" s="7"/>
      <c r="DG150" s="7"/>
      <c r="DH150" s="7"/>
      <c r="DI150" s="7"/>
      <c r="DJ150" s="7"/>
      <c r="DK150" s="7"/>
      <c r="DL150" s="7"/>
      <c r="DM150" s="7"/>
      <c r="DN150" s="7"/>
      <c r="DO150" s="7"/>
      <c r="DP150" s="7"/>
      <c r="DQ150" s="7"/>
      <c r="DR150" s="7"/>
      <c r="DS150" s="7"/>
      <c r="DT150" s="7"/>
      <c r="DU150" s="7"/>
      <c r="DV150" s="7"/>
      <c r="DW150" s="7"/>
      <c r="DX150" s="7"/>
      <c r="DY150" s="7"/>
      <c r="DZ150" s="7"/>
      <c r="EA150" s="7"/>
      <c r="EB150" s="7"/>
      <c r="EC150" s="7"/>
      <c r="ED150" s="7"/>
      <c r="EE150" s="7"/>
      <c r="EF150" s="7"/>
      <c r="EG150" s="7"/>
      <c r="EH150" s="7"/>
      <c r="EI150" s="7"/>
      <c r="EJ150" s="7"/>
      <c r="EK150" s="7"/>
      <c r="EL150" s="7"/>
      <c r="EM150" s="7"/>
      <c r="EN150" s="7"/>
      <c r="EO150" s="7"/>
      <c r="EP150" s="7"/>
      <c r="EQ150" s="7"/>
      <c r="ER150" s="7"/>
      <c r="ES150" s="7"/>
      <c r="ET150" s="7"/>
      <c r="EU150" s="7"/>
      <c r="EV150" s="7"/>
      <c r="EW150" s="7"/>
      <c r="EX150" s="7"/>
      <c r="EY150" s="7"/>
      <c r="EZ150" s="7"/>
      <c r="FA150" s="7"/>
      <c r="FB150" s="7"/>
      <c r="FC150" s="7"/>
      <c r="FD150" s="7"/>
      <c r="FE150" s="7"/>
      <c r="FF150" s="7"/>
      <c r="FG150" s="7"/>
      <c r="FH150" s="7"/>
      <c r="FI150" s="7"/>
      <c r="FJ150" s="7"/>
      <c r="FK150" s="7"/>
      <c r="FL150" s="7"/>
      <c r="FM150" s="7"/>
      <c r="FN150" s="7"/>
      <c r="FO150" s="7"/>
      <c r="FP150" s="7"/>
      <c r="FQ150" s="7"/>
      <c r="FR150" s="7"/>
      <c r="FS150" s="7"/>
      <c r="FT150" s="7"/>
      <c r="FU150" s="7"/>
      <c r="FV150" s="7"/>
      <c r="FW150" s="7"/>
      <c r="FX150" s="7"/>
      <c r="FY150" s="7"/>
      <c r="FZ150" s="7"/>
      <c r="GA150" s="7"/>
      <c r="GB150" s="7"/>
      <c r="GC150" s="7"/>
      <c r="GD150" s="7"/>
      <c r="GE150" s="7"/>
      <c r="GF150" s="7"/>
      <c r="GG150" s="7"/>
      <c r="GH150" s="7"/>
      <c r="GI150" s="7"/>
      <c r="GJ150" s="7"/>
      <c r="GK150" s="7"/>
      <c r="GL150" s="7"/>
      <c r="GM150" s="7"/>
      <c r="GN150" s="7"/>
      <c r="GO150" s="7"/>
      <c r="GP150" s="7"/>
      <c r="GQ150" s="7"/>
      <c r="GR150" s="7"/>
      <c r="GS150" s="7"/>
      <c r="GT150" s="7"/>
      <c r="GU150" s="7"/>
      <c r="GV150" s="7"/>
      <c r="GW150" s="7"/>
      <c r="GX150" s="7"/>
      <c r="GY150" s="7"/>
      <c r="GZ150" s="7"/>
      <c r="HA150" s="7"/>
      <c r="HB150" s="7"/>
      <c r="HC150" s="7"/>
      <c r="HD150" s="7"/>
      <c r="HE150" s="7"/>
      <c r="HF150" s="7"/>
      <c r="HG150" s="7"/>
      <c r="HH150" s="7"/>
      <c r="HI150" s="7"/>
      <c r="HJ150" s="7"/>
      <c r="HK150" s="7"/>
      <c r="HL150" s="7"/>
      <c r="HM150" s="7"/>
      <c r="HN150" s="7"/>
      <c r="HO150" s="7"/>
      <c r="HP150" s="7"/>
      <c r="HQ150" s="7"/>
      <c r="HR150" s="7"/>
      <c r="HS150" s="7"/>
      <c r="HT150" s="7"/>
      <c r="HU150" s="7"/>
      <c r="HV150" s="7"/>
      <c r="HW150" s="7"/>
      <c r="HX150" s="7"/>
      <c r="HY150" s="7"/>
      <c r="HZ150" s="7"/>
      <c r="IA150" s="7"/>
      <c r="IB150" s="7"/>
      <c r="IC150" s="7"/>
      <c r="ID150" s="7"/>
      <c r="IE150" s="7"/>
      <c r="IF150" s="7"/>
      <c r="IG150" s="7"/>
      <c r="IH150" s="7"/>
      <c r="II150" s="7"/>
      <c r="IJ150" s="7"/>
      <c r="IK150" s="7"/>
      <c r="IL150" s="7"/>
      <c r="IM150" s="7"/>
      <c r="IN150" s="7"/>
      <c r="IO150" s="7"/>
      <c r="IP150" s="7"/>
      <c r="IQ150" s="7"/>
      <c r="IR150" s="7"/>
      <c r="IS150" s="7"/>
      <c r="IT150" s="7"/>
      <c r="IU150" s="7"/>
      <c r="IV150" s="7"/>
      <c r="IW150" s="7"/>
      <c r="IX150" s="7"/>
      <c r="IY150" s="7"/>
      <c r="IZ150" s="7"/>
      <c r="JA150" s="7"/>
      <c r="JB150" s="7"/>
      <c r="JC150" s="7"/>
      <c r="JD150" s="7"/>
      <c r="JE150" s="7"/>
      <c r="JF150" s="7"/>
      <c r="JG150" s="7"/>
      <c r="JH150" s="7"/>
      <c r="JI150" s="7"/>
      <c r="JJ150" s="7"/>
      <c r="JK150" s="7"/>
      <c r="JL150" s="7"/>
      <c r="JM150" s="7"/>
      <c r="JN150" s="7"/>
      <c r="JO150" s="7"/>
      <c r="JP150" s="7"/>
      <c r="JQ150" s="7"/>
      <c r="JR150" s="7"/>
      <c r="JS150" s="7"/>
      <c r="JT150" s="7"/>
      <c r="JU150" s="7"/>
      <c r="JV150" s="7"/>
      <c r="JW150" s="7"/>
      <c r="JX150" s="7"/>
      <c r="JY150" s="7"/>
      <c r="JZ150" s="7"/>
      <c r="KA150" s="7"/>
      <c r="KB150" s="7"/>
      <c r="KC150" s="7"/>
      <c r="KD150" s="7"/>
      <c r="KE150" s="7"/>
      <c r="KF150" s="7"/>
      <c r="KG150" s="7"/>
      <c r="KH150" s="7"/>
      <c r="KI150" s="7"/>
      <c r="KJ150" s="7"/>
      <c r="KK150" s="7"/>
      <c r="KL150" s="7"/>
      <c r="KM150" s="7"/>
      <c r="KN150" s="7"/>
      <c r="KO150" s="7"/>
      <c r="KP150" s="7"/>
      <c r="KQ150" s="7"/>
      <c r="KR150" s="7"/>
      <c r="KS150" s="7"/>
      <c r="KT150" s="7"/>
      <c r="KU150" s="7"/>
      <c r="KV150" s="7"/>
      <c r="KW150" s="7"/>
      <c r="KX150" s="7"/>
      <c r="KY150" s="7"/>
      <c r="KZ150" s="7"/>
      <c r="LA150" s="7"/>
      <c r="LB150" s="7"/>
      <c r="LC150" s="7"/>
      <c r="LD150" s="7"/>
      <c r="LE150" s="7"/>
      <c r="LF150" s="7"/>
      <c r="LG150" s="7"/>
      <c r="LH150" s="7"/>
      <c r="LI150" s="7"/>
      <c r="LJ150" s="7"/>
      <c r="LK150" s="7"/>
      <c r="LL150" s="7"/>
      <c r="LM150" s="7"/>
      <c r="LN150" s="7"/>
      <c r="LO150" s="7"/>
      <c r="LP150" s="7"/>
      <c r="LQ150" s="7"/>
    </row>
    <row r="151" spans="1:329" x14ac:dyDescent="0.25">
      <c r="A151" s="12"/>
      <c r="B151" s="11"/>
      <c r="C151" s="11"/>
      <c r="D151" s="4"/>
      <c r="E151" s="21"/>
      <c r="F151" s="21"/>
      <c r="G151" s="22"/>
      <c r="H151" s="22"/>
      <c r="I151" s="5"/>
      <c r="J151" s="5"/>
      <c r="K151" s="5"/>
      <c r="L151" s="5"/>
      <c r="M151" s="5"/>
      <c r="N151" s="5"/>
      <c r="Q151" s="5"/>
      <c r="R151" s="23"/>
    </row>
    <row r="152" spans="1:329" x14ac:dyDescent="0.25">
      <c r="A152" s="14"/>
      <c r="C152" s="15"/>
      <c r="G152" s="9"/>
      <c r="H152" s="9"/>
      <c r="R152" s="18"/>
    </row>
  </sheetData>
  <sheetProtection sheet="1" objects="1" scenarios="1" selectLockedCells="1"/>
  <mergeCells count="1">
    <mergeCell ref="A1:C1"/>
  </mergeCells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4899E-5274-4974-87ED-274C8AB86155}">
  <dimension ref="A1:B347"/>
  <sheetViews>
    <sheetView workbookViewId="0">
      <selection activeCell="B13" sqref="B13"/>
    </sheetView>
  </sheetViews>
  <sheetFormatPr baseColWidth="10" defaultColWidth="8.85546875" defaultRowHeight="15" x14ac:dyDescent="0.25"/>
  <cols>
    <col min="1" max="1" width="20.28515625" style="31" bestFit="1" customWidth="1"/>
    <col min="2" max="2" width="63.28515625" style="30" bestFit="1" customWidth="1"/>
    <col min="3" max="16384" width="8.85546875" style="26"/>
  </cols>
  <sheetData>
    <row r="1" spans="1:2" x14ac:dyDescent="0.25">
      <c r="A1" s="24" t="s">
        <v>333</v>
      </c>
      <c r="B1" s="25" t="s">
        <v>2</v>
      </c>
    </row>
    <row r="2" spans="1:2" x14ac:dyDescent="0.25">
      <c r="A2" s="27">
        <v>1002101</v>
      </c>
      <c r="B2" s="28" t="s">
        <v>20</v>
      </c>
    </row>
    <row r="3" spans="1:2" x14ac:dyDescent="0.25">
      <c r="A3" s="27">
        <v>1002103</v>
      </c>
      <c r="B3" s="28" t="s">
        <v>22</v>
      </c>
    </row>
    <row r="4" spans="1:2" x14ac:dyDescent="0.25">
      <c r="A4" s="27">
        <v>1002104</v>
      </c>
      <c r="B4" s="28" t="s">
        <v>24</v>
      </c>
    </row>
    <row r="5" spans="1:2" x14ac:dyDescent="0.25">
      <c r="A5" s="27">
        <v>1002108</v>
      </c>
      <c r="B5" s="28" t="s">
        <v>26</v>
      </c>
    </row>
    <row r="6" spans="1:2" x14ac:dyDescent="0.25">
      <c r="A6" s="27">
        <v>1002112</v>
      </c>
      <c r="B6" s="28" t="s">
        <v>28</v>
      </c>
    </row>
    <row r="7" spans="1:2" x14ac:dyDescent="0.25">
      <c r="A7" s="27">
        <v>1002117</v>
      </c>
      <c r="B7" s="28" t="s">
        <v>30</v>
      </c>
    </row>
    <row r="8" spans="1:2" x14ac:dyDescent="0.25">
      <c r="A8" s="27">
        <v>1002118</v>
      </c>
      <c r="B8" s="28" t="s">
        <v>32</v>
      </c>
    </row>
    <row r="9" spans="1:2" x14ac:dyDescent="0.25">
      <c r="A9" s="27">
        <v>1002119</v>
      </c>
      <c r="B9" s="28" t="s">
        <v>34</v>
      </c>
    </row>
    <row r="10" spans="1:2" x14ac:dyDescent="0.25">
      <c r="A10" s="27">
        <v>1002202</v>
      </c>
      <c r="B10" s="28" t="s">
        <v>36</v>
      </c>
    </row>
    <row r="11" spans="1:2" x14ac:dyDescent="0.25">
      <c r="A11" s="27">
        <v>1002287</v>
      </c>
      <c r="B11" s="28" t="s">
        <v>38</v>
      </c>
    </row>
    <row r="12" spans="1:2" x14ac:dyDescent="0.25">
      <c r="A12" s="27">
        <v>1002288</v>
      </c>
      <c r="B12" s="28" t="s">
        <v>40</v>
      </c>
    </row>
    <row r="13" spans="1:2" x14ac:dyDescent="0.25">
      <c r="A13" s="27">
        <v>1002321</v>
      </c>
      <c r="B13" s="28" t="s">
        <v>42</v>
      </c>
    </row>
    <row r="14" spans="1:2" x14ac:dyDescent="0.25">
      <c r="A14" s="27">
        <v>1003124</v>
      </c>
      <c r="B14" s="28" t="s">
        <v>44</v>
      </c>
    </row>
    <row r="15" spans="1:2" x14ac:dyDescent="0.25">
      <c r="A15" s="27">
        <v>1003207</v>
      </c>
      <c r="B15" s="28" t="s">
        <v>46</v>
      </c>
    </row>
    <row r="16" spans="1:2" x14ac:dyDescent="0.25">
      <c r="A16" s="27">
        <v>1003400</v>
      </c>
      <c r="B16" s="28" t="s">
        <v>48</v>
      </c>
    </row>
    <row r="17" spans="1:2" x14ac:dyDescent="0.25">
      <c r="A17" s="27">
        <v>1003409</v>
      </c>
      <c r="B17" s="28" t="s">
        <v>50</v>
      </c>
    </row>
    <row r="18" spans="1:2" x14ac:dyDescent="0.25">
      <c r="A18" s="27">
        <v>1004000</v>
      </c>
      <c r="B18" s="28" t="s">
        <v>52</v>
      </c>
    </row>
    <row r="19" spans="1:2" x14ac:dyDescent="0.25">
      <c r="A19" s="27">
        <v>1004102</v>
      </c>
      <c r="B19" s="28" t="s">
        <v>54</v>
      </c>
    </row>
    <row r="20" spans="1:2" x14ac:dyDescent="0.25">
      <c r="A20" s="27">
        <v>1004445</v>
      </c>
      <c r="B20" s="28" t="s">
        <v>56</v>
      </c>
    </row>
    <row r="21" spans="1:2" x14ac:dyDescent="0.25">
      <c r="A21" s="27">
        <v>1004453</v>
      </c>
      <c r="B21" s="28" t="s">
        <v>58</v>
      </c>
    </row>
    <row r="22" spans="1:2" x14ac:dyDescent="0.25">
      <c r="A22" s="27">
        <v>1006000</v>
      </c>
      <c r="B22" s="28" t="s">
        <v>60</v>
      </c>
    </row>
    <row r="23" spans="1:2" x14ac:dyDescent="0.25">
      <c r="A23" s="27">
        <v>1006003</v>
      </c>
      <c r="B23" s="28" t="s">
        <v>62</v>
      </c>
    </row>
    <row r="24" spans="1:2" x14ac:dyDescent="0.25">
      <c r="A24" s="27">
        <v>1006504</v>
      </c>
      <c r="B24" s="28" t="s">
        <v>64</v>
      </c>
    </row>
    <row r="25" spans="1:2" x14ac:dyDescent="0.25">
      <c r="A25" s="27">
        <v>1007215</v>
      </c>
      <c r="B25" s="28" t="s">
        <v>66</v>
      </c>
    </row>
    <row r="26" spans="1:2" x14ac:dyDescent="0.25">
      <c r="A26" s="27">
        <v>1100714</v>
      </c>
      <c r="B26" s="28" t="s">
        <v>68</v>
      </c>
    </row>
    <row r="27" spans="1:2" x14ac:dyDescent="0.25">
      <c r="A27" s="27">
        <v>1100734</v>
      </c>
      <c r="B27" s="28" t="s">
        <v>70</v>
      </c>
    </row>
    <row r="28" spans="1:2" x14ac:dyDescent="0.25">
      <c r="A28" s="27">
        <v>1100737</v>
      </c>
      <c r="B28" s="28" t="s">
        <v>72</v>
      </c>
    </row>
    <row r="29" spans="1:2" x14ac:dyDescent="0.25">
      <c r="A29" s="27">
        <v>1100738</v>
      </c>
      <c r="B29" s="28" t="s">
        <v>74</v>
      </c>
    </row>
    <row r="30" spans="1:2" x14ac:dyDescent="0.25">
      <c r="A30" s="27">
        <v>1100739</v>
      </c>
      <c r="B30" s="28" t="s">
        <v>76</v>
      </c>
    </row>
    <row r="31" spans="1:2" x14ac:dyDescent="0.25">
      <c r="A31" s="27">
        <v>1100791</v>
      </c>
      <c r="B31" s="28" t="s">
        <v>78</v>
      </c>
    </row>
    <row r="32" spans="1:2" x14ac:dyDescent="0.25">
      <c r="A32" s="27">
        <v>1100810</v>
      </c>
      <c r="B32" s="28" t="s">
        <v>80</v>
      </c>
    </row>
    <row r="33" spans="1:2" x14ac:dyDescent="0.25">
      <c r="A33" s="27">
        <v>1100813</v>
      </c>
      <c r="B33" s="28" t="s">
        <v>82</v>
      </c>
    </row>
    <row r="34" spans="1:2" x14ac:dyDescent="0.25">
      <c r="A34" s="27">
        <v>1100815</v>
      </c>
      <c r="B34" s="28" t="s">
        <v>84</v>
      </c>
    </row>
    <row r="35" spans="1:2" x14ac:dyDescent="0.25">
      <c r="A35" s="27">
        <v>1100816</v>
      </c>
      <c r="B35" s="28" t="s">
        <v>86</v>
      </c>
    </row>
    <row r="36" spans="1:2" x14ac:dyDescent="0.25">
      <c r="A36" s="27">
        <v>1100817</v>
      </c>
      <c r="B36" s="28" t="s">
        <v>88</v>
      </c>
    </row>
    <row r="37" spans="1:2" x14ac:dyDescent="0.25">
      <c r="A37" s="27">
        <v>1100834</v>
      </c>
      <c r="B37" s="28" t="s">
        <v>90</v>
      </c>
    </row>
    <row r="38" spans="1:2" x14ac:dyDescent="0.25">
      <c r="A38" s="27">
        <v>1100839</v>
      </c>
      <c r="B38" s="28" t="s">
        <v>92</v>
      </c>
    </row>
    <row r="39" spans="1:2" x14ac:dyDescent="0.25">
      <c r="A39" s="27">
        <v>1100844</v>
      </c>
      <c r="B39" s="28" t="s">
        <v>94</v>
      </c>
    </row>
    <row r="40" spans="1:2" x14ac:dyDescent="0.25">
      <c r="A40" s="27">
        <v>1100849</v>
      </c>
      <c r="B40" s="28" t="s">
        <v>96</v>
      </c>
    </row>
    <row r="41" spans="1:2" x14ac:dyDescent="0.25">
      <c r="A41" s="27">
        <v>1100859</v>
      </c>
      <c r="B41" s="28" t="s">
        <v>98</v>
      </c>
    </row>
    <row r="42" spans="1:2" x14ac:dyDescent="0.25">
      <c r="A42" s="27">
        <v>1100939</v>
      </c>
      <c r="B42" s="28" t="s">
        <v>100</v>
      </c>
    </row>
    <row r="43" spans="1:2" x14ac:dyDescent="0.25">
      <c r="A43" s="27">
        <v>1100960</v>
      </c>
      <c r="B43" s="28" t="s">
        <v>102</v>
      </c>
    </row>
    <row r="44" spans="1:2" x14ac:dyDescent="0.25">
      <c r="A44" s="27">
        <v>1100961</v>
      </c>
      <c r="B44" s="28" t="s">
        <v>104</v>
      </c>
    </row>
    <row r="45" spans="1:2" x14ac:dyDescent="0.25">
      <c r="A45" s="27">
        <v>1101175</v>
      </c>
      <c r="B45" s="28" t="s">
        <v>106</v>
      </c>
    </row>
    <row r="46" spans="1:2" x14ac:dyDescent="0.25">
      <c r="A46" s="27">
        <v>1101176</v>
      </c>
      <c r="B46" s="28" t="s">
        <v>108</v>
      </c>
    </row>
    <row r="47" spans="1:2" x14ac:dyDescent="0.25">
      <c r="A47" s="27">
        <v>1101177</v>
      </c>
      <c r="B47" s="28" t="s">
        <v>110</v>
      </c>
    </row>
    <row r="48" spans="1:2" x14ac:dyDescent="0.25">
      <c r="A48" s="27">
        <v>1101178</v>
      </c>
      <c r="B48" s="28" t="s">
        <v>114</v>
      </c>
    </row>
    <row r="49" spans="1:2" x14ac:dyDescent="0.25">
      <c r="A49" s="27">
        <v>1101179</v>
      </c>
      <c r="B49" s="28" t="s">
        <v>112</v>
      </c>
    </row>
    <row r="50" spans="1:2" x14ac:dyDescent="0.25">
      <c r="A50" s="27">
        <v>1101180</v>
      </c>
      <c r="B50" s="28" t="s">
        <v>114</v>
      </c>
    </row>
    <row r="51" spans="1:2" x14ac:dyDescent="0.25">
      <c r="A51" s="27">
        <v>1101181</v>
      </c>
      <c r="B51" s="28" t="s">
        <v>116</v>
      </c>
    </row>
    <row r="52" spans="1:2" x14ac:dyDescent="0.25">
      <c r="A52" s="27">
        <v>1101184</v>
      </c>
      <c r="B52" s="28" t="s">
        <v>118</v>
      </c>
    </row>
    <row r="53" spans="1:2" x14ac:dyDescent="0.25">
      <c r="A53" s="27">
        <v>1101190</v>
      </c>
      <c r="B53" s="28" t="s">
        <v>120</v>
      </c>
    </row>
    <row r="54" spans="1:2" x14ac:dyDescent="0.25">
      <c r="A54" s="27">
        <v>1101191</v>
      </c>
      <c r="B54" s="28" t="s">
        <v>122</v>
      </c>
    </row>
    <row r="55" spans="1:2" x14ac:dyDescent="0.25">
      <c r="A55" s="27">
        <v>1101192</v>
      </c>
      <c r="B55" s="28" t="s">
        <v>124</v>
      </c>
    </row>
    <row r="56" spans="1:2" x14ac:dyDescent="0.25">
      <c r="A56" s="27">
        <v>1101194</v>
      </c>
      <c r="B56" s="28" t="s">
        <v>126</v>
      </c>
    </row>
    <row r="57" spans="1:2" x14ac:dyDescent="0.25">
      <c r="A57" s="27">
        <v>1101195</v>
      </c>
      <c r="B57" s="28" t="s">
        <v>128</v>
      </c>
    </row>
    <row r="58" spans="1:2" x14ac:dyDescent="0.25">
      <c r="A58" s="27">
        <v>1101197</v>
      </c>
      <c r="B58" s="28" t="s">
        <v>130</v>
      </c>
    </row>
    <row r="59" spans="1:2" x14ac:dyDescent="0.25">
      <c r="A59" s="27">
        <v>1101216</v>
      </c>
      <c r="B59" s="28" t="s">
        <v>132</v>
      </c>
    </row>
    <row r="60" spans="1:2" x14ac:dyDescent="0.25">
      <c r="A60" s="27">
        <v>1101217</v>
      </c>
      <c r="B60" s="28" t="s">
        <v>134</v>
      </c>
    </row>
    <row r="61" spans="1:2" x14ac:dyDescent="0.25">
      <c r="A61" s="27">
        <v>1101218</v>
      </c>
      <c r="B61" s="28" t="s">
        <v>136</v>
      </c>
    </row>
    <row r="62" spans="1:2" x14ac:dyDescent="0.25">
      <c r="A62" s="27">
        <v>1101219</v>
      </c>
      <c r="B62" s="28" t="s">
        <v>138</v>
      </c>
    </row>
    <row r="63" spans="1:2" x14ac:dyDescent="0.25">
      <c r="A63" s="27">
        <v>1101221</v>
      </c>
      <c r="B63" s="28" t="s">
        <v>140</v>
      </c>
    </row>
    <row r="64" spans="1:2" x14ac:dyDescent="0.25">
      <c r="A64" s="27">
        <v>1101222</v>
      </c>
      <c r="B64" s="28" t="s">
        <v>142</v>
      </c>
    </row>
    <row r="65" spans="1:2" x14ac:dyDescent="0.25">
      <c r="A65" s="27">
        <v>1101223</v>
      </c>
      <c r="B65" s="28" t="s">
        <v>144</v>
      </c>
    </row>
    <row r="66" spans="1:2" x14ac:dyDescent="0.25">
      <c r="A66" s="27">
        <v>1101224</v>
      </c>
      <c r="B66" s="28" t="s">
        <v>146</v>
      </c>
    </row>
    <row r="67" spans="1:2" x14ac:dyDescent="0.25">
      <c r="A67" s="27">
        <v>1101225</v>
      </c>
      <c r="B67" s="28" t="s">
        <v>148</v>
      </c>
    </row>
    <row r="68" spans="1:2" x14ac:dyDescent="0.25">
      <c r="A68" s="27">
        <v>1101226</v>
      </c>
      <c r="B68" s="28" t="s">
        <v>150</v>
      </c>
    </row>
    <row r="69" spans="1:2" x14ac:dyDescent="0.25">
      <c r="A69" s="27">
        <v>1101227</v>
      </c>
      <c r="B69" s="28" t="s">
        <v>152</v>
      </c>
    </row>
    <row r="70" spans="1:2" x14ac:dyDescent="0.25">
      <c r="A70" s="27">
        <v>1101228</v>
      </c>
      <c r="B70" s="28" t="s">
        <v>154</v>
      </c>
    </row>
    <row r="71" spans="1:2" x14ac:dyDescent="0.25">
      <c r="A71" s="27">
        <v>1101229</v>
      </c>
      <c r="B71" s="28" t="s">
        <v>156</v>
      </c>
    </row>
    <row r="72" spans="1:2" x14ac:dyDescent="0.25">
      <c r="A72" s="27">
        <v>1101230</v>
      </c>
      <c r="B72" s="28" t="s">
        <v>158</v>
      </c>
    </row>
    <row r="73" spans="1:2" x14ac:dyDescent="0.25">
      <c r="A73" s="27">
        <v>1101231</v>
      </c>
      <c r="B73" s="28" t="s">
        <v>160</v>
      </c>
    </row>
    <row r="74" spans="1:2" x14ac:dyDescent="0.25">
      <c r="A74" s="27">
        <v>1101232</v>
      </c>
      <c r="B74" s="28" t="s">
        <v>162</v>
      </c>
    </row>
    <row r="75" spans="1:2" x14ac:dyDescent="0.25">
      <c r="A75" s="27">
        <v>1101236</v>
      </c>
      <c r="B75" s="28" t="s">
        <v>164</v>
      </c>
    </row>
    <row r="76" spans="1:2" x14ac:dyDescent="0.25">
      <c r="A76" s="27">
        <v>1101237</v>
      </c>
      <c r="B76" s="28" t="s">
        <v>166</v>
      </c>
    </row>
    <row r="77" spans="1:2" x14ac:dyDescent="0.25">
      <c r="A77" s="27">
        <v>1101238</v>
      </c>
      <c r="B77" s="28" t="s">
        <v>168</v>
      </c>
    </row>
    <row r="78" spans="1:2" x14ac:dyDescent="0.25">
      <c r="A78" s="27">
        <v>1101239</v>
      </c>
      <c r="B78" s="28" t="s">
        <v>170</v>
      </c>
    </row>
    <row r="79" spans="1:2" x14ac:dyDescent="0.25">
      <c r="A79" s="27">
        <v>1101240</v>
      </c>
      <c r="B79" s="28" t="s">
        <v>172</v>
      </c>
    </row>
    <row r="80" spans="1:2" x14ac:dyDescent="0.25">
      <c r="A80" s="27">
        <v>1101241</v>
      </c>
      <c r="B80" s="28" t="s">
        <v>174</v>
      </c>
    </row>
    <row r="81" spans="1:2" x14ac:dyDescent="0.25">
      <c r="A81" s="27">
        <v>1101242</v>
      </c>
      <c r="B81" s="28" t="s">
        <v>176</v>
      </c>
    </row>
    <row r="82" spans="1:2" x14ac:dyDescent="0.25">
      <c r="A82" s="27">
        <v>1101244</v>
      </c>
      <c r="B82" s="28" t="s">
        <v>178</v>
      </c>
    </row>
    <row r="83" spans="1:2" x14ac:dyDescent="0.25">
      <c r="A83" s="27">
        <v>1101247</v>
      </c>
      <c r="B83" s="28" t="s">
        <v>180</v>
      </c>
    </row>
    <row r="84" spans="1:2" x14ac:dyDescent="0.25">
      <c r="A84" s="27">
        <v>1101281</v>
      </c>
      <c r="B84" s="28" t="s">
        <v>181</v>
      </c>
    </row>
    <row r="85" spans="1:2" x14ac:dyDescent="0.25">
      <c r="A85" s="27">
        <v>1101314</v>
      </c>
      <c r="B85" s="28" t="s">
        <v>183</v>
      </c>
    </row>
    <row r="86" spans="1:2" x14ac:dyDescent="0.25">
      <c r="A86" s="27">
        <v>1101315</v>
      </c>
      <c r="B86" s="28" t="s">
        <v>184</v>
      </c>
    </row>
    <row r="87" spans="1:2" x14ac:dyDescent="0.25">
      <c r="A87" s="27">
        <v>1101548</v>
      </c>
      <c r="B87" s="28" t="s">
        <v>334</v>
      </c>
    </row>
    <row r="88" spans="1:2" x14ac:dyDescent="0.25">
      <c r="A88" s="27">
        <v>1101784</v>
      </c>
      <c r="B88" s="28" t="s">
        <v>186</v>
      </c>
    </row>
    <row r="89" spans="1:2" x14ac:dyDescent="0.25">
      <c r="A89" s="27">
        <v>1101785</v>
      </c>
      <c r="B89" s="28" t="s">
        <v>188</v>
      </c>
    </row>
    <row r="90" spans="1:2" x14ac:dyDescent="0.25">
      <c r="A90" s="27">
        <v>1101786</v>
      </c>
      <c r="B90" s="28" t="s">
        <v>190</v>
      </c>
    </row>
    <row r="91" spans="1:2" x14ac:dyDescent="0.25">
      <c r="A91" s="27">
        <v>1101787</v>
      </c>
      <c r="B91" s="28" t="s">
        <v>192</v>
      </c>
    </row>
    <row r="92" spans="1:2" x14ac:dyDescent="0.25">
      <c r="A92" s="27">
        <v>1101788</v>
      </c>
      <c r="B92" s="28" t="s">
        <v>194</v>
      </c>
    </row>
    <row r="93" spans="1:2" x14ac:dyDescent="0.25">
      <c r="A93" s="27">
        <v>1101789</v>
      </c>
      <c r="B93" s="28" t="s">
        <v>196</v>
      </c>
    </row>
    <row r="94" spans="1:2" x14ac:dyDescent="0.25">
      <c r="A94" s="27">
        <v>1101790</v>
      </c>
      <c r="B94" s="28" t="s">
        <v>198</v>
      </c>
    </row>
    <row r="95" spans="1:2" x14ac:dyDescent="0.25">
      <c r="A95" s="27">
        <v>1101791</v>
      </c>
      <c r="B95" s="28" t="s">
        <v>200</v>
      </c>
    </row>
    <row r="96" spans="1:2" x14ac:dyDescent="0.25">
      <c r="A96" s="27">
        <v>1101822</v>
      </c>
      <c r="B96" s="28" t="s">
        <v>202</v>
      </c>
    </row>
    <row r="97" spans="1:2" x14ac:dyDescent="0.25">
      <c r="A97" s="27">
        <v>1101823</v>
      </c>
      <c r="B97" s="28" t="s">
        <v>204</v>
      </c>
    </row>
    <row r="98" spans="1:2" x14ac:dyDescent="0.25">
      <c r="A98" s="27">
        <v>1101824</v>
      </c>
      <c r="B98" s="28" t="s">
        <v>206</v>
      </c>
    </row>
    <row r="99" spans="1:2" x14ac:dyDescent="0.25">
      <c r="A99" s="27">
        <v>1101825</v>
      </c>
      <c r="B99" s="28" t="s">
        <v>208</v>
      </c>
    </row>
    <row r="100" spans="1:2" x14ac:dyDescent="0.25">
      <c r="A100" s="27">
        <v>1101826</v>
      </c>
      <c r="B100" s="28" t="s">
        <v>210</v>
      </c>
    </row>
    <row r="101" spans="1:2" x14ac:dyDescent="0.25">
      <c r="A101" s="27">
        <v>1101827</v>
      </c>
      <c r="B101" s="28" t="s">
        <v>212</v>
      </c>
    </row>
    <row r="102" spans="1:2" x14ac:dyDescent="0.25">
      <c r="A102" s="27">
        <v>1101828</v>
      </c>
      <c r="B102" s="28" t="s">
        <v>214</v>
      </c>
    </row>
    <row r="103" spans="1:2" x14ac:dyDescent="0.25">
      <c r="A103" s="27">
        <v>1101829</v>
      </c>
      <c r="B103" s="28" t="s">
        <v>216</v>
      </c>
    </row>
    <row r="104" spans="1:2" x14ac:dyDescent="0.25">
      <c r="A104" s="27">
        <v>1101830</v>
      </c>
      <c r="B104" s="28" t="s">
        <v>218</v>
      </c>
    </row>
    <row r="105" spans="1:2" x14ac:dyDescent="0.25">
      <c r="A105" s="27">
        <v>1101831</v>
      </c>
      <c r="B105" s="28" t="s">
        <v>220</v>
      </c>
    </row>
    <row r="106" spans="1:2" x14ac:dyDescent="0.25">
      <c r="A106" s="27">
        <v>1101832</v>
      </c>
      <c r="B106" s="28" t="s">
        <v>222</v>
      </c>
    </row>
    <row r="107" spans="1:2" x14ac:dyDescent="0.25">
      <c r="A107" s="27">
        <v>1101833</v>
      </c>
      <c r="B107" s="28" t="s">
        <v>224</v>
      </c>
    </row>
    <row r="108" spans="1:2" x14ac:dyDescent="0.25">
      <c r="A108" s="27">
        <v>1101834</v>
      </c>
      <c r="B108" s="28" t="s">
        <v>226</v>
      </c>
    </row>
    <row r="109" spans="1:2" x14ac:dyDescent="0.25">
      <c r="A109" s="27">
        <v>1101835</v>
      </c>
      <c r="B109" s="28" t="s">
        <v>228</v>
      </c>
    </row>
    <row r="110" spans="1:2" x14ac:dyDescent="0.25">
      <c r="A110" s="27">
        <v>1101836</v>
      </c>
      <c r="B110" s="28" t="s">
        <v>230</v>
      </c>
    </row>
    <row r="111" spans="1:2" x14ac:dyDescent="0.25">
      <c r="A111" s="27">
        <v>1101837</v>
      </c>
      <c r="B111" s="28" t="s">
        <v>232</v>
      </c>
    </row>
    <row r="112" spans="1:2" x14ac:dyDescent="0.25">
      <c r="A112" s="27">
        <v>1101921</v>
      </c>
      <c r="B112" s="28" t="s">
        <v>233</v>
      </c>
    </row>
    <row r="113" spans="1:2" x14ac:dyDescent="0.25">
      <c r="A113" s="27">
        <v>1101922</v>
      </c>
      <c r="B113" s="28" t="s">
        <v>235</v>
      </c>
    </row>
    <row r="114" spans="1:2" x14ac:dyDescent="0.25">
      <c r="A114" s="27">
        <v>1101924</v>
      </c>
      <c r="B114" s="28" t="s">
        <v>237</v>
      </c>
    </row>
    <row r="115" spans="1:2" x14ac:dyDescent="0.25">
      <c r="A115" s="27">
        <v>1101925</v>
      </c>
      <c r="B115" s="28" t="s">
        <v>239</v>
      </c>
    </row>
    <row r="116" spans="1:2" x14ac:dyDescent="0.25">
      <c r="A116" s="27">
        <v>1101926</v>
      </c>
      <c r="B116" s="28" t="s">
        <v>241</v>
      </c>
    </row>
    <row r="117" spans="1:2" x14ac:dyDescent="0.25">
      <c r="A117" s="27">
        <v>1101927</v>
      </c>
      <c r="B117" s="28" t="s">
        <v>243</v>
      </c>
    </row>
    <row r="118" spans="1:2" x14ac:dyDescent="0.25">
      <c r="A118" s="27">
        <v>1101928</v>
      </c>
      <c r="B118" s="28" t="s">
        <v>245</v>
      </c>
    </row>
    <row r="119" spans="1:2" x14ac:dyDescent="0.25">
      <c r="A119" s="27">
        <v>1101929</v>
      </c>
      <c r="B119" s="28" t="s">
        <v>246</v>
      </c>
    </row>
    <row r="120" spans="1:2" x14ac:dyDescent="0.25">
      <c r="A120" s="27">
        <v>1101930</v>
      </c>
      <c r="B120" s="28" t="s">
        <v>335</v>
      </c>
    </row>
    <row r="121" spans="1:2" x14ac:dyDescent="0.25">
      <c r="A121" s="27">
        <v>1101931</v>
      </c>
      <c r="B121" s="28" t="s">
        <v>248</v>
      </c>
    </row>
    <row r="122" spans="1:2" x14ac:dyDescent="0.25">
      <c r="A122" s="27">
        <v>1101932</v>
      </c>
      <c r="B122" s="28" t="s">
        <v>250</v>
      </c>
    </row>
    <row r="123" spans="1:2" x14ac:dyDescent="0.25">
      <c r="A123" s="27">
        <v>1101933</v>
      </c>
      <c r="B123" s="28" t="s">
        <v>252</v>
      </c>
    </row>
    <row r="124" spans="1:2" x14ac:dyDescent="0.25">
      <c r="A124" s="27">
        <v>1101934</v>
      </c>
      <c r="B124" s="28" t="s">
        <v>254</v>
      </c>
    </row>
    <row r="125" spans="1:2" x14ac:dyDescent="0.25">
      <c r="A125" s="27">
        <v>1101935</v>
      </c>
      <c r="B125" s="28" t="s">
        <v>256</v>
      </c>
    </row>
    <row r="126" spans="1:2" x14ac:dyDescent="0.25">
      <c r="A126" s="27">
        <v>1101936</v>
      </c>
      <c r="B126" s="28" t="s">
        <v>257</v>
      </c>
    </row>
    <row r="127" spans="1:2" x14ac:dyDescent="0.25">
      <c r="A127" s="27">
        <v>1101937</v>
      </c>
      <c r="B127" s="28" t="s">
        <v>259</v>
      </c>
    </row>
    <row r="128" spans="1:2" x14ac:dyDescent="0.25">
      <c r="A128" s="27">
        <v>1101938</v>
      </c>
      <c r="B128" s="28" t="s">
        <v>261</v>
      </c>
    </row>
    <row r="129" spans="1:2" x14ac:dyDescent="0.25">
      <c r="A129" s="27">
        <v>1101982</v>
      </c>
      <c r="B129" s="28" t="s">
        <v>263</v>
      </c>
    </row>
    <row r="130" spans="1:2" x14ac:dyDescent="0.25">
      <c r="A130" s="27">
        <v>1101983</v>
      </c>
      <c r="B130" s="28" t="s">
        <v>265</v>
      </c>
    </row>
    <row r="131" spans="1:2" x14ac:dyDescent="0.25">
      <c r="A131" s="27">
        <v>1101984</v>
      </c>
      <c r="B131" s="28" t="s">
        <v>267</v>
      </c>
    </row>
    <row r="132" spans="1:2" x14ac:dyDescent="0.25">
      <c r="A132" s="27">
        <v>1101985</v>
      </c>
      <c r="B132" s="28" t="s">
        <v>269</v>
      </c>
    </row>
    <row r="133" spans="1:2" x14ac:dyDescent="0.25">
      <c r="A133" s="27">
        <v>1101986</v>
      </c>
      <c r="B133" s="28" t="s">
        <v>270</v>
      </c>
    </row>
    <row r="134" spans="1:2" x14ac:dyDescent="0.25">
      <c r="A134" s="27">
        <v>1101987</v>
      </c>
      <c r="B134" s="28" t="s">
        <v>272</v>
      </c>
    </row>
    <row r="135" spans="1:2" x14ac:dyDescent="0.25">
      <c r="A135" s="27">
        <v>1101990</v>
      </c>
      <c r="B135" s="28" t="s">
        <v>274</v>
      </c>
    </row>
    <row r="136" spans="1:2" x14ac:dyDescent="0.25">
      <c r="A136" s="27">
        <v>1101991</v>
      </c>
      <c r="B136" s="28" t="s">
        <v>276</v>
      </c>
    </row>
    <row r="137" spans="1:2" x14ac:dyDescent="0.25">
      <c r="A137" s="27">
        <v>1102002</v>
      </c>
      <c r="B137" s="28" t="s">
        <v>278</v>
      </c>
    </row>
    <row r="138" spans="1:2" x14ac:dyDescent="0.25">
      <c r="A138" s="27">
        <v>1102003</v>
      </c>
      <c r="B138" s="28" t="s">
        <v>280</v>
      </c>
    </row>
    <row r="139" spans="1:2" x14ac:dyDescent="0.25">
      <c r="A139" s="27">
        <v>1102852</v>
      </c>
      <c r="B139" s="28" t="s">
        <v>282</v>
      </c>
    </row>
    <row r="140" spans="1:2" x14ac:dyDescent="0.25">
      <c r="A140" s="27">
        <v>1102853</v>
      </c>
      <c r="B140" s="28" t="s">
        <v>284</v>
      </c>
    </row>
    <row r="141" spans="1:2" x14ac:dyDescent="0.25">
      <c r="A141" s="27">
        <v>1102854</v>
      </c>
      <c r="B141" s="28" t="s">
        <v>286</v>
      </c>
    </row>
    <row r="142" spans="1:2" x14ac:dyDescent="0.25">
      <c r="A142" s="27">
        <v>1102855</v>
      </c>
      <c r="B142" s="28" t="s">
        <v>288</v>
      </c>
    </row>
    <row r="143" spans="1:2" x14ac:dyDescent="0.25">
      <c r="A143" s="27">
        <v>1102856</v>
      </c>
      <c r="B143" s="28" t="s">
        <v>290</v>
      </c>
    </row>
    <row r="144" spans="1:2" x14ac:dyDescent="0.25">
      <c r="A144" s="27">
        <v>1102857</v>
      </c>
      <c r="B144" s="28" t="s">
        <v>292</v>
      </c>
    </row>
    <row r="145" spans="1:2" x14ac:dyDescent="0.25">
      <c r="A145" s="27">
        <v>1102859</v>
      </c>
      <c r="B145" s="28" t="s">
        <v>294</v>
      </c>
    </row>
    <row r="146" spans="1:2" x14ac:dyDescent="0.25">
      <c r="A146" s="27">
        <v>1103019</v>
      </c>
      <c r="B146" s="28" t="s">
        <v>296</v>
      </c>
    </row>
    <row r="147" spans="1:2" x14ac:dyDescent="0.25">
      <c r="A147" s="27">
        <v>1103021</v>
      </c>
      <c r="B147" s="28" t="s">
        <v>298</v>
      </c>
    </row>
    <row r="148" spans="1:2" x14ac:dyDescent="0.25">
      <c r="A148" s="27">
        <v>1103028</v>
      </c>
      <c r="B148" s="28" t="s">
        <v>300</v>
      </c>
    </row>
    <row r="149" spans="1:2" x14ac:dyDescent="0.25">
      <c r="A149" s="27">
        <v>1103031</v>
      </c>
      <c r="B149" s="28" t="s">
        <v>302</v>
      </c>
    </row>
    <row r="150" spans="1:2" x14ac:dyDescent="0.25">
      <c r="A150" s="27">
        <v>1103200</v>
      </c>
      <c r="B150" s="28" t="s">
        <v>336</v>
      </c>
    </row>
    <row r="151" spans="1:2" x14ac:dyDescent="0.25">
      <c r="A151" s="27">
        <v>1103295</v>
      </c>
      <c r="B151" s="28" t="s">
        <v>303</v>
      </c>
    </row>
    <row r="152" spans="1:2" x14ac:dyDescent="0.25">
      <c r="A152" s="27">
        <v>1103319</v>
      </c>
      <c r="B152" s="28" t="s">
        <v>337</v>
      </c>
    </row>
    <row r="153" spans="1:2" x14ac:dyDescent="0.25">
      <c r="A153" s="27">
        <v>1103343</v>
      </c>
      <c r="B153" s="28" t="s">
        <v>305</v>
      </c>
    </row>
    <row r="154" spans="1:2" x14ac:dyDescent="0.25">
      <c r="A154" s="27">
        <v>136226</v>
      </c>
      <c r="B154" s="28" t="s">
        <v>338</v>
      </c>
    </row>
    <row r="155" spans="1:2" x14ac:dyDescent="0.25">
      <c r="A155" s="27">
        <v>157799</v>
      </c>
      <c r="B155" s="28" t="s">
        <v>339</v>
      </c>
    </row>
    <row r="156" spans="1:2" x14ac:dyDescent="0.25">
      <c r="A156" s="27">
        <v>167022</v>
      </c>
      <c r="B156" s="28" t="s">
        <v>340</v>
      </c>
    </row>
    <row r="157" spans="1:2" x14ac:dyDescent="0.25">
      <c r="A157" s="27">
        <v>167033</v>
      </c>
      <c r="B157" s="28" t="s">
        <v>341</v>
      </c>
    </row>
    <row r="158" spans="1:2" x14ac:dyDescent="0.25">
      <c r="A158" s="27">
        <v>169073</v>
      </c>
      <c r="B158" s="28" t="s">
        <v>342</v>
      </c>
    </row>
    <row r="159" spans="1:2" x14ac:dyDescent="0.25">
      <c r="A159" s="27">
        <v>177354</v>
      </c>
      <c r="B159" s="28" t="s">
        <v>343</v>
      </c>
    </row>
    <row r="160" spans="1:2" x14ac:dyDescent="0.25">
      <c r="A160" s="27">
        <v>183097</v>
      </c>
      <c r="B160" s="28" t="s">
        <v>344</v>
      </c>
    </row>
    <row r="161" spans="1:2" x14ac:dyDescent="0.25">
      <c r="A161" s="27">
        <v>1900028</v>
      </c>
      <c r="B161" s="28" t="s">
        <v>307</v>
      </c>
    </row>
    <row r="162" spans="1:2" x14ac:dyDescent="0.25">
      <c r="A162" s="27">
        <v>20040001</v>
      </c>
      <c r="B162" s="28" t="s">
        <v>345</v>
      </c>
    </row>
    <row r="163" spans="1:2" x14ac:dyDescent="0.25">
      <c r="A163" s="27">
        <v>20040002</v>
      </c>
      <c r="B163" s="28" t="s">
        <v>346</v>
      </c>
    </row>
    <row r="164" spans="1:2" x14ac:dyDescent="0.25">
      <c r="A164" s="27">
        <v>20040003</v>
      </c>
      <c r="B164" s="28" t="s">
        <v>347</v>
      </c>
    </row>
    <row r="165" spans="1:2" x14ac:dyDescent="0.25">
      <c r="A165" s="27">
        <v>20040011</v>
      </c>
      <c r="B165" s="28" t="s">
        <v>348</v>
      </c>
    </row>
    <row r="166" spans="1:2" x14ac:dyDescent="0.25">
      <c r="A166" s="27">
        <v>20040013</v>
      </c>
      <c r="B166" s="28" t="s">
        <v>349</v>
      </c>
    </row>
    <row r="167" spans="1:2" x14ac:dyDescent="0.25">
      <c r="A167" s="27">
        <v>20040016</v>
      </c>
      <c r="B167" s="28" t="s">
        <v>350</v>
      </c>
    </row>
    <row r="168" spans="1:2" x14ac:dyDescent="0.25">
      <c r="A168" s="27">
        <v>20040017</v>
      </c>
      <c r="B168" s="28" t="s">
        <v>351</v>
      </c>
    </row>
    <row r="169" spans="1:2" x14ac:dyDescent="0.25">
      <c r="A169" s="27">
        <v>20040018</v>
      </c>
      <c r="B169" s="28" t="s">
        <v>352</v>
      </c>
    </row>
    <row r="170" spans="1:2" x14ac:dyDescent="0.25">
      <c r="A170" s="27">
        <v>20040019</v>
      </c>
      <c r="B170" s="28" t="s">
        <v>353</v>
      </c>
    </row>
    <row r="171" spans="1:2" x14ac:dyDescent="0.25">
      <c r="A171" s="27">
        <v>20040020</v>
      </c>
      <c r="B171" s="28" t="s">
        <v>354</v>
      </c>
    </row>
    <row r="172" spans="1:2" x14ac:dyDescent="0.25">
      <c r="A172" s="27">
        <v>20040021</v>
      </c>
      <c r="B172" s="28" t="s">
        <v>355</v>
      </c>
    </row>
    <row r="173" spans="1:2" x14ac:dyDescent="0.25">
      <c r="A173" s="27">
        <v>20040022</v>
      </c>
      <c r="B173" s="28" t="s">
        <v>356</v>
      </c>
    </row>
    <row r="174" spans="1:2" x14ac:dyDescent="0.25">
      <c r="A174" s="27">
        <v>20040023</v>
      </c>
      <c r="B174" s="28" t="s">
        <v>357</v>
      </c>
    </row>
    <row r="175" spans="1:2" x14ac:dyDescent="0.25">
      <c r="A175" s="27">
        <v>21020003</v>
      </c>
      <c r="B175" s="28" t="s">
        <v>358</v>
      </c>
    </row>
    <row r="176" spans="1:2" x14ac:dyDescent="0.25">
      <c r="A176" s="27">
        <v>22120102</v>
      </c>
      <c r="B176" s="28" t="s">
        <v>359</v>
      </c>
    </row>
    <row r="177" spans="1:2" x14ac:dyDescent="0.25">
      <c r="A177" s="27">
        <v>22120103</v>
      </c>
      <c r="B177" s="28" t="s">
        <v>360</v>
      </c>
    </row>
    <row r="178" spans="1:2" x14ac:dyDescent="0.25">
      <c r="A178" s="27">
        <v>221203</v>
      </c>
      <c r="B178" s="28" t="s">
        <v>361</v>
      </c>
    </row>
    <row r="179" spans="1:2" x14ac:dyDescent="0.25">
      <c r="A179" s="27">
        <v>22140201</v>
      </c>
      <c r="B179" s="28" t="s">
        <v>362</v>
      </c>
    </row>
    <row r="180" spans="1:2" x14ac:dyDescent="0.25">
      <c r="A180" s="27">
        <v>22140202</v>
      </c>
      <c r="B180" s="28" t="s">
        <v>363</v>
      </c>
    </row>
    <row r="181" spans="1:2" x14ac:dyDescent="0.25">
      <c r="A181" s="27">
        <v>22140203</v>
      </c>
      <c r="B181" s="28" t="s">
        <v>364</v>
      </c>
    </row>
    <row r="182" spans="1:2" x14ac:dyDescent="0.25">
      <c r="A182" s="27">
        <v>22140210</v>
      </c>
      <c r="B182" s="28" t="s">
        <v>365</v>
      </c>
    </row>
    <row r="183" spans="1:2" x14ac:dyDescent="0.25">
      <c r="A183" s="27">
        <v>22140211</v>
      </c>
      <c r="B183" s="28" t="s">
        <v>366</v>
      </c>
    </row>
    <row r="184" spans="1:2" x14ac:dyDescent="0.25">
      <c r="A184" s="27">
        <v>22140213</v>
      </c>
      <c r="B184" s="28" t="s">
        <v>367</v>
      </c>
    </row>
    <row r="185" spans="1:2" x14ac:dyDescent="0.25">
      <c r="A185" s="27">
        <v>22140216</v>
      </c>
      <c r="B185" s="28" t="s">
        <v>368</v>
      </c>
    </row>
    <row r="186" spans="1:2" x14ac:dyDescent="0.25">
      <c r="A186" s="27">
        <v>22140217</v>
      </c>
      <c r="B186" s="28" t="s">
        <v>369</v>
      </c>
    </row>
    <row r="187" spans="1:2" x14ac:dyDescent="0.25">
      <c r="A187" s="27">
        <v>22140218</v>
      </c>
      <c r="B187" s="28" t="s">
        <v>370</v>
      </c>
    </row>
    <row r="188" spans="1:2" x14ac:dyDescent="0.25">
      <c r="A188" s="27">
        <v>22140219</v>
      </c>
      <c r="B188" s="28" t="s">
        <v>371</v>
      </c>
    </row>
    <row r="189" spans="1:2" x14ac:dyDescent="0.25">
      <c r="A189" s="27">
        <v>22140220</v>
      </c>
      <c r="B189" s="28" t="s">
        <v>372</v>
      </c>
    </row>
    <row r="190" spans="1:2" x14ac:dyDescent="0.25">
      <c r="A190" s="27">
        <v>22140221</v>
      </c>
      <c r="B190" s="28" t="s">
        <v>373</v>
      </c>
    </row>
    <row r="191" spans="1:2" x14ac:dyDescent="0.25">
      <c r="A191" s="27">
        <v>22140222</v>
      </c>
      <c r="B191" s="28" t="s">
        <v>374</v>
      </c>
    </row>
    <row r="192" spans="1:2" x14ac:dyDescent="0.25">
      <c r="A192" s="27">
        <v>22140223</v>
      </c>
      <c r="B192" s="28" t="s">
        <v>375</v>
      </c>
    </row>
    <row r="193" spans="1:2" x14ac:dyDescent="0.25">
      <c r="A193" s="27">
        <v>22140316</v>
      </c>
      <c r="B193" s="28" t="s">
        <v>368</v>
      </c>
    </row>
    <row r="194" spans="1:2" x14ac:dyDescent="0.25">
      <c r="A194" s="27">
        <v>22140317</v>
      </c>
      <c r="B194" s="28" t="s">
        <v>369</v>
      </c>
    </row>
    <row r="195" spans="1:2" x14ac:dyDescent="0.25">
      <c r="A195" s="27">
        <v>22140318</v>
      </c>
      <c r="B195" s="28" t="s">
        <v>370</v>
      </c>
    </row>
    <row r="196" spans="1:2" x14ac:dyDescent="0.25">
      <c r="A196" s="27">
        <v>22140319</v>
      </c>
      <c r="B196" s="28" t="s">
        <v>371</v>
      </c>
    </row>
    <row r="197" spans="1:2" x14ac:dyDescent="0.25">
      <c r="A197" s="27">
        <v>22140320</v>
      </c>
      <c r="B197" s="28" t="s">
        <v>372</v>
      </c>
    </row>
    <row r="198" spans="1:2" x14ac:dyDescent="0.25">
      <c r="A198" s="27">
        <v>22140321</v>
      </c>
      <c r="B198" s="28" t="s">
        <v>373</v>
      </c>
    </row>
    <row r="199" spans="1:2" x14ac:dyDescent="0.25">
      <c r="A199" s="27">
        <v>22140322</v>
      </c>
      <c r="B199" s="28" t="s">
        <v>374</v>
      </c>
    </row>
    <row r="200" spans="1:2" x14ac:dyDescent="0.25">
      <c r="A200" s="27">
        <v>22150116</v>
      </c>
      <c r="B200" s="28" t="s">
        <v>376</v>
      </c>
    </row>
    <row r="201" spans="1:2" x14ac:dyDescent="0.25">
      <c r="A201" s="27">
        <v>22150117</v>
      </c>
      <c r="B201" s="28" t="s">
        <v>377</v>
      </c>
    </row>
    <row r="202" spans="1:2" x14ac:dyDescent="0.25">
      <c r="A202" s="27">
        <v>22150118</v>
      </c>
      <c r="B202" s="28" t="s">
        <v>378</v>
      </c>
    </row>
    <row r="203" spans="1:2" x14ac:dyDescent="0.25">
      <c r="A203" s="27">
        <v>22150119</v>
      </c>
      <c r="B203" s="28" t="s">
        <v>379</v>
      </c>
    </row>
    <row r="204" spans="1:2" x14ac:dyDescent="0.25">
      <c r="A204" s="27">
        <v>22150120</v>
      </c>
      <c r="B204" s="28" t="s">
        <v>380</v>
      </c>
    </row>
    <row r="205" spans="1:2" x14ac:dyDescent="0.25">
      <c r="A205" s="27">
        <v>22150121</v>
      </c>
      <c r="B205" s="28" t="s">
        <v>381</v>
      </c>
    </row>
    <row r="206" spans="1:2" x14ac:dyDescent="0.25">
      <c r="A206" s="27">
        <v>22150123</v>
      </c>
      <c r="B206" s="28" t="s">
        <v>382</v>
      </c>
    </row>
    <row r="207" spans="1:2" x14ac:dyDescent="0.25">
      <c r="A207" s="27">
        <v>24100001</v>
      </c>
      <c r="B207" s="28" t="s">
        <v>383</v>
      </c>
    </row>
    <row r="208" spans="1:2" x14ac:dyDescent="0.25">
      <c r="A208" s="27">
        <v>24100002</v>
      </c>
      <c r="B208" s="28" t="s">
        <v>384</v>
      </c>
    </row>
    <row r="209" spans="1:2" x14ac:dyDescent="0.25">
      <c r="A209" s="27">
        <v>24100003</v>
      </c>
      <c r="B209" s="28" t="s">
        <v>385</v>
      </c>
    </row>
    <row r="210" spans="1:2" x14ac:dyDescent="0.25">
      <c r="A210" s="27">
        <v>24100011</v>
      </c>
      <c r="B210" s="28" t="s">
        <v>386</v>
      </c>
    </row>
    <row r="211" spans="1:2" x14ac:dyDescent="0.25">
      <c r="A211" s="27">
        <v>24100013</v>
      </c>
      <c r="B211" s="28" t="s">
        <v>387</v>
      </c>
    </row>
    <row r="212" spans="1:2" x14ac:dyDescent="0.25">
      <c r="A212" s="27">
        <v>24100016</v>
      </c>
      <c r="B212" s="28" t="s">
        <v>388</v>
      </c>
    </row>
    <row r="213" spans="1:2" x14ac:dyDescent="0.25">
      <c r="A213" s="27">
        <v>24100017</v>
      </c>
      <c r="B213" s="28" t="s">
        <v>389</v>
      </c>
    </row>
    <row r="214" spans="1:2" x14ac:dyDescent="0.25">
      <c r="A214" s="27">
        <v>24100018</v>
      </c>
      <c r="B214" s="28" t="s">
        <v>390</v>
      </c>
    </row>
    <row r="215" spans="1:2" x14ac:dyDescent="0.25">
      <c r="A215" s="27">
        <v>24100019</v>
      </c>
      <c r="B215" s="28" t="s">
        <v>391</v>
      </c>
    </row>
    <row r="216" spans="1:2" x14ac:dyDescent="0.25">
      <c r="A216" s="27">
        <v>24100020</v>
      </c>
      <c r="B216" s="28" t="s">
        <v>392</v>
      </c>
    </row>
    <row r="217" spans="1:2" x14ac:dyDescent="0.25">
      <c r="A217" s="27">
        <v>24100021</v>
      </c>
      <c r="B217" s="28" t="s">
        <v>393</v>
      </c>
    </row>
    <row r="218" spans="1:2" x14ac:dyDescent="0.25">
      <c r="A218" s="27">
        <v>24100022</v>
      </c>
      <c r="B218" s="28" t="s">
        <v>394</v>
      </c>
    </row>
    <row r="219" spans="1:2" x14ac:dyDescent="0.25">
      <c r="A219" s="27">
        <v>24100023</v>
      </c>
      <c r="B219" s="28" t="s">
        <v>395</v>
      </c>
    </row>
    <row r="220" spans="1:2" x14ac:dyDescent="0.25">
      <c r="A220" s="27">
        <v>25110016</v>
      </c>
      <c r="B220" s="28" t="s">
        <v>396</v>
      </c>
    </row>
    <row r="221" spans="1:2" x14ac:dyDescent="0.25">
      <c r="A221" s="27">
        <v>25110021</v>
      </c>
      <c r="B221" s="28" t="s">
        <v>397</v>
      </c>
    </row>
    <row r="222" spans="1:2" x14ac:dyDescent="0.25">
      <c r="A222" s="27">
        <v>25110024</v>
      </c>
      <c r="B222" s="28" t="s">
        <v>398</v>
      </c>
    </row>
    <row r="223" spans="1:2" x14ac:dyDescent="0.25">
      <c r="A223" s="27">
        <v>25110025</v>
      </c>
      <c r="B223" s="28" t="s">
        <v>399</v>
      </c>
    </row>
    <row r="224" spans="1:2" x14ac:dyDescent="0.25">
      <c r="A224" s="27">
        <v>25110116</v>
      </c>
      <c r="B224" s="28" t="s">
        <v>400</v>
      </c>
    </row>
    <row r="225" spans="1:2" x14ac:dyDescent="0.25">
      <c r="A225" s="27">
        <v>25110121</v>
      </c>
      <c r="B225" s="28" t="s">
        <v>401</v>
      </c>
    </row>
    <row r="226" spans="1:2" x14ac:dyDescent="0.25">
      <c r="A226" s="27">
        <v>25110124</v>
      </c>
      <c r="B226" s="28" t="s">
        <v>402</v>
      </c>
    </row>
    <row r="227" spans="1:2" x14ac:dyDescent="0.25">
      <c r="A227" s="27">
        <v>25110125</v>
      </c>
      <c r="B227" s="28" t="s">
        <v>403</v>
      </c>
    </row>
    <row r="228" spans="1:2" x14ac:dyDescent="0.25">
      <c r="A228" s="27">
        <v>25120016</v>
      </c>
      <c r="B228" s="28" t="s">
        <v>404</v>
      </c>
    </row>
    <row r="229" spans="1:2" x14ac:dyDescent="0.25">
      <c r="A229" s="27">
        <v>25120021</v>
      </c>
      <c r="B229" s="28" t="s">
        <v>405</v>
      </c>
    </row>
    <row r="230" spans="1:2" x14ac:dyDescent="0.25">
      <c r="A230" s="27">
        <v>25120024</v>
      </c>
      <c r="B230" s="28" t="s">
        <v>406</v>
      </c>
    </row>
    <row r="231" spans="1:2" x14ac:dyDescent="0.25">
      <c r="A231" s="27">
        <v>25120025</v>
      </c>
      <c r="B231" s="28" t="s">
        <v>407</v>
      </c>
    </row>
    <row r="232" spans="1:2" x14ac:dyDescent="0.25">
      <c r="A232" s="27">
        <v>25120116</v>
      </c>
      <c r="B232" s="28" t="s">
        <v>408</v>
      </c>
    </row>
    <row r="233" spans="1:2" x14ac:dyDescent="0.25">
      <c r="A233" s="27">
        <v>25120121</v>
      </c>
      <c r="B233" s="28" t="s">
        <v>409</v>
      </c>
    </row>
    <row r="234" spans="1:2" x14ac:dyDescent="0.25">
      <c r="A234" s="27">
        <v>25120124</v>
      </c>
      <c r="B234" s="28" t="s">
        <v>410</v>
      </c>
    </row>
    <row r="235" spans="1:2" x14ac:dyDescent="0.25">
      <c r="A235" s="27">
        <v>25120125</v>
      </c>
      <c r="B235" s="28" t="s">
        <v>411</v>
      </c>
    </row>
    <row r="236" spans="1:2" x14ac:dyDescent="0.25">
      <c r="A236" s="27">
        <v>260301</v>
      </c>
      <c r="B236" s="28" t="s">
        <v>412</v>
      </c>
    </row>
    <row r="237" spans="1:2" x14ac:dyDescent="0.25">
      <c r="A237" s="27">
        <v>260302</v>
      </c>
      <c r="B237" s="28" t="s">
        <v>413</v>
      </c>
    </row>
    <row r="238" spans="1:2" x14ac:dyDescent="0.25">
      <c r="A238" s="27">
        <v>260303</v>
      </c>
      <c r="B238" s="28" t="s">
        <v>414</v>
      </c>
    </row>
    <row r="239" spans="1:2" x14ac:dyDescent="0.25">
      <c r="A239" s="27">
        <v>260311</v>
      </c>
      <c r="B239" s="28" t="s">
        <v>415</v>
      </c>
    </row>
    <row r="240" spans="1:2" x14ac:dyDescent="0.25">
      <c r="A240" s="27">
        <v>270302</v>
      </c>
      <c r="B240" s="28" t="s">
        <v>416</v>
      </c>
    </row>
    <row r="241" spans="1:2" x14ac:dyDescent="0.25">
      <c r="A241" s="27">
        <v>270311</v>
      </c>
      <c r="B241" s="28" t="s">
        <v>417</v>
      </c>
    </row>
    <row r="242" spans="1:2" x14ac:dyDescent="0.25">
      <c r="A242" s="27">
        <v>27040002</v>
      </c>
      <c r="B242" s="28" t="s">
        <v>418</v>
      </c>
    </row>
    <row r="243" spans="1:2" x14ac:dyDescent="0.25">
      <c r="A243" s="27">
        <v>27040003</v>
      </c>
      <c r="B243" s="28" t="s">
        <v>419</v>
      </c>
    </row>
    <row r="244" spans="1:2" x14ac:dyDescent="0.25">
      <c r="A244" s="27">
        <v>27040102</v>
      </c>
      <c r="B244" s="28" t="s">
        <v>420</v>
      </c>
    </row>
    <row r="245" spans="1:2" x14ac:dyDescent="0.25">
      <c r="A245" s="27">
        <v>27040103</v>
      </c>
      <c r="B245" s="28" t="s">
        <v>421</v>
      </c>
    </row>
    <row r="246" spans="1:2" x14ac:dyDescent="0.25">
      <c r="A246" s="27">
        <v>27040121</v>
      </c>
      <c r="B246" s="28" t="s">
        <v>422</v>
      </c>
    </row>
    <row r="247" spans="1:2" x14ac:dyDescent="0.25">
      <c r="A247" s="27">
        <v>27040122</v>
      </c>
      <c r="B247" s="28" t="s">
        <v>423</v>
      </c>
    </row>
    <row r="248" spans="1:2" x14ac:dyDescent="0.25">
      <c r="A248" s="29" t="s">
        <v>424</v>
      </c>
      <c r="B248" s="28" t="s">
        <v>425</v>
      </c>
    </row>
    <row r="249" spans="1:2" x14ac:dyDescent="0.25">
      <c r="A249" s="29" t="s">
        <v>426</v>
      </c>
      <c r="B249" s="28" t="s">
        <v>427</v>
      </c>
    </row>
    <row r="250" spans="1:2" x14ac:dyDescent="0.25">
      <c r="A250" s="27">
        <v>30100002</v>
      </c>
      <c r="B250" s="28" t="s">
        <v>428</v>
      </c>
    </row>
    <row r="251" spans="1:2" x14ac:dyDescent="0.25">
      <c r="A251" s="27">
        <v>30100003</v>
      </c>
      <c r="B251" s="28" t="s">
        <v>429</v>
      </c>
    </row>
    <row r="252" spans="1:2" x14ac:dyDescent="0.25">
      <c r="A252" s="27">
        <v>31409</v>
      </c>
      <c r="B252" s="28" t="s">
        <v>430</v>
      </c>
    </row>
    <row r="253" spans="1:2" x14ac:dyDescent="0.25">
      <c r="A253" s="27">
        <v>332957</v>
      </c>
      <c r="B253" s="28" t="s">
        <v>431</v>
      </c>
    </row>
    <row r="254" spans="1:2" x14ac:dyDescent="0.25">
      <c r="A254" s="27">
        <v>50566</v>
      </c>
      <c r="B254" s="28" t="s">
        <v>432</v>
      </c>
    </row>
    <row r="255" spans="1:2" x14ac:dyDescent="0.25">
      <c r="A255" s="27">
        <v>51977</v>
      </c>
      <c r="B255" s="28" t="s">
        <v>433</v>
      </c>
    </row>
    <row r="256" spans="1:2" x14ac:dyDescent="0.25">
      <c r="A256" s="27">
        <v>52125</v>
      </c>
      <c r="B256" s="28" t="s">
        <v>434</v>
      </c>
    </row>
    <row r="257" spans="1:2" x14ac:dyDescent="0.25">
      <c r="A257" s="27">
        <v>52141</v>
      </c>
      <c r="B257" s="28" t="s">
        <v>435</v>
      </c>
    </row>
    <row r="258" spans="1:2" x14ac:dyDescent="0.25">
      <c r="A258" s="27">
        <v>52216</v>
      </c>
      <c r="B258" s="28" t="s">
        <v>436</v>
      </c>
    </row>
    <row r="259" spans="1:2" x14ac:dyDescent="0.25">
      <c r="A259" s="27">
        <v>52237</v>
      </c>
      <c r="B259" s="28" t="s">
        <v>437</v>
      </c>
    </row>
    <row r="260" spans="1:2" x14ac:dyDescent="0.25">
      <c r="A260" s="27">
        <v>52380</v>
      </c>
      <c r="B260" s="28" t="s">
        <v>438</v>
      </c>
    </row>
    <row r="261" spans="1:2" x14ac:dyDescent="0.25">
      <c r="A261" s="27">
        <v>60929</v>
      </c>
      <c r="B261" s="28" t="s">
        <v>439</v>
      </c>
    </row>
    <row r="262" spans="1:2" x14ac:dyDescent="0.25">
      <c r="A262" s="27">
        <v>800003</v>
      </c>
      <c r="B262" s="28" t="s">
        <v>440</v>
      </c>
    </row>
    <row r="263" spans="1:2" x14ac:dyDescent="0.25">
      <c r="A263" s="27">
        <v>800203</v>
      </c>
      <c r="B263" s="28" t="s">
        <v>441</v>
      </c>
    </row>
    <row r="264" spans="1:2" x14ac:dyDescent="0.25">
      <c r="A264" s="27">
        <v>800507</v>
      </c>
      <c r="B264" s="28" t="s">
        <v>442</v>
      </c>
    </row>
    <row r="265" spans="1:2" x14ac:dyDescent="0.25">
      <c r="A265" s="27">
        <v>800608</v>
      </c>
      <c r="B265" s="28" t="s">
        <v>443</v>
      </c>
    </row>
    <row r="266" spans="1:2" x14ac:dyDescent="0.25">
      <c r="A266" s="27">
        <v>800803</v>
      </c>
      <c r="B266" s="28" t="s">
        <v>444</v>
      </c>
    </row>
    <row r="267" spans="1:2" x14ac:dyDescent="0.25">
      <c r="A267" s="27">
        <v>801106</v>
      </c>
      <c r="B267" s="28" t="s">
        <v>445</v>
      </c>
    </row>
    <row r="268" spans="1:2" x14ac:dyDescent="0.25">
      <c r="A268" s="27">
        <v>801403</v>
      </c>
      <c r="B268" s="28" t="s">
        <v>446</v>
      </c>
    </row>
    <row r="269" spans="1:2" x14ac:dyDescent="0.25">
      <c r="A269" s="27">
        <v>803303</v>
      </c>
      <c r="B269" s="28" t="s">
        <v>447</v>
      </c>
    </row>
    <row r="270" spans="1:2" x14ac:dyDescent="0.25">
      <c r="A270" s="27">
        <v>803701</v>
      </c>
      <c r="B270" s="28" t="s">
        <v>448</v>
      </c>
    </row>
    <row r="271" spans="1:2" x14ac:dyDescent="0.25">
      <c r="A271" s="27">
        <v>803803</v>
      </c>
      <c r="B271" s="28" t="s">
        <v>449</v>
      </c>
    </row>
    <row r="272" spans="1:2" x14ac:dyDescent="0.25">
      <c r="A272" s="27">
        <v>803906</v>
      </c>
      <c r="B272" s="28" t="s">
        <v>450</v>
      </c>
    </row>
    <row r="273" spans="1:2" x14ac:dyDescent="0.25">
      <c r="A273" s="27">
        <v>804003</v>
      </c>
      <c r="B273" s="28" t="s">
        <v>451</v>
      </c>
    </row>
    <row r="274" spans="1:2" x14ac:dyDescent="0.25">
      <c r="A274" s="27">
        <v>804103</v>
      </c>
      <c r="B274" s="28" t="s">
        <v>452</v>
      </c>
    </row>
    <row r="275" spans="1:2" x14ac:dyDescent="0.25">
      <c r="A275" s="27">
        <v>804303</v>
      </c>
      <c r="B275" s="28" t="s">
        <v>453</v>
      </c>
    </row>
    <row r="276" spans="1:2" x14ac:dyDescent="0.25">
      <c r="A276" s="27">
        <v>804403</v>
      </c>
      <c r="B276" s="28" t="s">
        <v>454</v>
      </c>
    </row>
    <row r="277" spans="1:2" x14ac:dyDescent="0.25">
      <c r="A277" s="27">
        <v>804503</v>
      </c>
      <c r="B277" s="28" t="s">
        <v>455</v>
      </c>
    </row>
    <row r="278" spans="1:2" x14ac:dyDescent="0.25">
      <c r="A278" s="27">
        <v>804603</v>
      </c>
      <c r="B278" s="28" t="s">
        <v>456</v>
      </c>
    </row>
    <row r="279" spans="1:2" x14ac:dyDescent="0.25">
      <c r="A279" s="27">
        <v>804916</v>
      </c>
      <c r="B279" s="28" t="s">
        <v>457</v>
      </c>
    </row>
    <row r="280" spans="1:2" x14ac:dyDescent="0.25">
      <c r="A280" s="27">
        <v>805006</v>
      </c>
      <c r="B280" s="28" t="s">
        <v>458</v>
      </c>
    </row>
    <row r="281" spans="1:2" x14ac:dyDescent="0.25">
      <c r="A281" s="27">
        <v>805101</v>
      </c>
      <c r="B281" s="28" t="s">
        <v>459</v>
      </c>
    </row>
    <row r="282" spans="1:2" x14ac:dyDescent="0.25">
      <c r="A282" s="27">
        <v>805201</v>
      </c>
      <c r="B282" s="28" t="s">
        <v>460</v>
      </c>
    </row>
    <row r="283" spans="1:2" x14ac:dyDescent="0.25">
      <c r="A283" s="27">
        <v>90100102</v>
      </c>
      <c r="B283" s="28" t="s">
        <v>461</v>
      </c>
    </row>
    <row r="284" spans="1:2" x14ac:dyDescent="0.25">
      <c r="A284" s="27">
        <v>90100103</v>
      </c>
      <c r="B284" s="28" t="s">
        <v>462</v>
      </c>
    </row>
    <row r="285" spans="1:2" x14ac:dyDescent="0.25">
      <c r="A285" s="27">
        <v>90100214</v>
      </c>
      <c r="B285" s="28" t="s">
        <v>463</v>
      </c>
    </row>
    <row r="286" spans="1:2" x14ac:dyDescent="0.25">
      <c r="A286" s="27">
        <v>90100314</v>
      </c>
      <c r="B286" s="28" t="s">
        <v>464</v>
      </c>
    </row>
    <row r="287" spans="1:2" x14ac:dyDescent="0.25">
      <c r="A287" s="27">
        <v>90100403</v>
      </c>
      <c r="B287" s="28" t="s">
        <v>465</v>
      </c>
    </row>
    <row r="288" spans="1:2" x14ac:dyDescent="0.25">
      <c r="A288" s="27">
        <v>90100506</v>
      </c>
      <c r="B288" s="28" t="s">
        <v>466</v>
      </c>
    </row>
    <row r="289" spans="1:2" x14ac:dyDescent="0.25">
      <c r="A289" s="27">
        <v>90100606</v>
      </c>
      <c r="B289" s="28" t="s">
        <v>467</v>
      </c>
    </row>
    <row r="290" spans="1:2" x14ac:dyDescent="0.25">
      <c r="A290" s="27">
        <v>90100703</v>
      </c>
      <c r="B290" s="28" t="s">
        <v>468</v>
      </c>
    </row>
    <row r="291" spans="1:2" x14ac:dyDescent="0.25">
      <c r="A291" s="27">
        <v>990003</v>
      </c>
      <c r="B291" s="28" t="s">
        <v>469</v>
      </c>
    </row>
    <row r="292" spans="1:2" x14ac:dyDescent="0.25">
      <c r="A292" s="27">
        <v>990004</v>
      </c>
      <c r="B292" s="28" t="s">
        <v>470</v>
      </c>
    </row>
    <row r="293" spans="1:2" x14ac:dyDescent="0.25">
      <c r="A293" s="27">
        <v>990007</v>
      </c>
      <c r="B293" s="28" t="s">
        <v>471</v>
      </c>
    </row>
    <row r="294" spans="1:2" x14ac:dyDescent="0.25">
      <c r="A294" s="27">
        <v>990013</v>
      </c>
      <c r="B294" s="28" t="s">
        <v>472</v>
      </c>
    </row>
    <row r="295" spans="1:2" x14ac:dyDescent="0.25">
      <c r="A295" s="27">
        <v>990018</v>
      </c>
      <c r="B295" s="28" t="s">
        <v>473</v>
      </c>
    </row>
    <row r="296" spans="1:2" x14ac:dyDescent="0.25">
      <c r="A296" s="27">
        <v>990028</v>
      </c>
      <c r="B296" s="28" t="s">
        <v>474</v>
      </c>
    </row>
    <row r="297" spans="1:2" x14ac:dyDescent="0.25">
      <c r="A297" s="27">
        <v>990029</v>
      </c>
      <c r="B297" s="28" t="s">
        <v>474</v>
      </c>
    </row>
    <row r="298" spans="1:2" x14ac:dyDescent="0.25">
      <c r="A298" s="27">
        <v>990030</v>
      </c>
      <c r="B298" s="28" t="s">
        <v>474</v>
      </c>
    </row>
    <row r="299" spans="1:2" x14ac:dyDescent="0.25">
      <c r="A299" s="27">
        <v>990031</v>
      </c>
      <c r="B299" s="28" t="s">
        <v>474</v>
      </c>
    </row>
    <row r="300" spans="1:2" x14ac:dyDescent="0.25">
      <c r="A300" s="27">
        <v>990032</v>
      </c>
      <c r="B300" s="28" t="s">
        <v>474</v>
      </c>
    </row>
    <row r="301" spans="1:2" x14ac:dyDescent="0.25">
      <c r="A301" s="27">
        <v>990033</v>
      </c>
      <c r="B301" s="28" t="s">
        <v>475</v>
      </c>
    </row>
    <row r="302" spans="1:2" x14ac:dyDescent="0.25">
      <c r="A302" s="27">
        <v>990034</v>
      </c>
      <c r="B302" s="28" t="s">
        <v>475</v>
      </c>
    </row>
    <row r="303" spans="1:2" x14ac:dyDescent="0.25">
      <c r="A303" s="27">
        <v>990035</v>
      </c>
      <c r="B303" s="28" t="s">
        <v>475</v>
      </c>
    </row>
    <row r="304" spans="1:2" x14ac:dyDescent="0.25">
      <c r="A304" s="27">
        <v>990036</v>
      </c>
      <c r="B304" s="28" t="s">
        <v>475</v>
      </c>
    </row>
    <row r="305" spans="1:2" x14ac:dyDescent="0.25">
      <c r="A305" s="27">
        <v>990037</v>
      </c>
      <c r="B305" s="28" t="s">
        <v>476</v>
      </c>
    </row>
    <row r="306" spans="1:2" x14ac:dyDescent="0.25">
      <c r="A306" s="27">
        <v>990038</v>
      </c>
      <c r="B306" s="28" t="s">
        <v>476</v>
      </c>
    </row>
    <row r="307" spans="1:2" x14ac:dyDescent="0.25">
      <c r="A307" s="27">
        <v>990039</v>
      </c>
      <c r="B307" s="28" t="s">
        <v>476</v>
      </c>
    </row>
    <row r="308" spans="1:2" x14ac:dyDescent="0.25">
      <c r="A308" s="27">
        <v>990040</v>
      </c>
      <c r="B308" s="28" t="s">
        <v>476</v>
      </c>
    </row>
    <row r="309" spans="1:2" x14ac:dyDescent="0.25">
      <c r="A309" s="27">
        <v>990042</v>
      </c>
      <c r="B309" s="28" t="s">
        <v>477</v>
      </c>
    </row>
    <row r="310" spans="1:2" x14ac:dyDescent="0.25">
      <c r="A310" s="27">
        <v>990043</v>
      </c>
      <c r="B310" s="28" t="s">
        <v>478</v>
      </c>
    </row>
    <row r="311" spans="1:2" x14ac:dyDescent="0.25">
      <c r="A311" s="27">
        <v>990044</v>
      </c>
      <c r="B311" s="28" t="s">
        <v>478</v>
      </c>
    </row>
    <row r="312" spans="1:2" x14ac:dyDescent="0.25">
      <c r="A312" s="27">
        <v>990045</v>
      </c>
      <c r="B312" s="28" t="s">
        <v>477</v>
      </c>
    </row>
    <row r="313" spans="1:2" x14ac:dyDescent="0.25">
      <c r="A313" s="27">
        <v>990054</v>
      </c>
      <c r="B313" s="28" t="s">
        <v>479</v>
      </c>
    </row>
    <row r="314" spans="1:2" x14ac:dyDescent="0.25">
      <c r="A314" s="27">
        <v>990056</v>
      </c>
      <c r="B314" s="28" t="s">
        <v>480</v>
      </c>
    </row>
    <row r="315" spans="1:2" x14ac:dyDescent="0.25">
      <c r="A315" s="27">
        <v>990059</v>
      </c>
      <c r="B315" s="28" t="s">
        <v>481</v>
      </c>
    </row>
    <row r="316" spans="1:2" x14ac:dyDescent="0.25">
      <c r="A316" s="27">
        <v>990074</v>
      </c>
      <c r="B316" s="28" t="s">
        <v>482</v>
      </c>
    </row>
    <row r="317" spans="1:2" x14ac:dyDescent="0.25">
      <c r="A317" s="27">
        <v>990086</v>
      </c>
      <c r="B317" s="28" t="s">
        <v>483</v>
      </c>
    </row>
    <row r="318" spans="1:2" x14ac:dyDescent="0.25">
      <c r="A318" s="27">
        <v>990087</v>
      </c>
      <c r="B318" s="28" t="s">
        <v>484</v>
      </c>
    </row>
    <row r="319" spans="1:2" x14ac:dyDescent="0.25">
      <c r="A319" s="27">
        <v>990088</v>
      </c>
      <c r="B319" s="28" t="s">
        <v>485</v>
      </c>
    </row>
    <row r="320" spans="1:2" x14ac:dyDescent="0.25">
      <c r="A320" s="27">
        <v>990089</v>
      </c>
      <c r="B320" s="28" t="s">
        <v>486</v>
      </c>
    </row>
    <row r="321" spans="1:2" x14ac:dyDescent="0.25">
      <c r="A321" s="27">
        <v>990094</v>
      </c>
      <c r="B321" s="28" t="s">
        <v>487</v>
      </c>
    </row>
    <row r="322" spans="1:2" x14ac:dyDescent="0.25">
      <c r="A322" s="27">
        <v>990095</v>
      </c>
      <c r="B322" s="28" t="s">
        <v>488</v>
      </c>
    </row>
    <row r="323" spans="1:2" x14ac:dyDescent="0.25">
      <c r="A323" s="26">
        <v>990096</v>
      </c>
      <c r="B323" s="30" t="s">
        <v>489</v>
      </c>
    </row>
    <row r="324" spans="1:2" x14ac:dyDescent="0.25">
      <c r="A324" s="26">
        <v>990097</v>
      </c>
      <c r="B324" s="30" t="s">
        <v>490</v>
      </c>
    </row>
    <row r="325" spans="1:2" x14ac:dyDescent="0.25">
      <c r="A325" s="26">
        <v>990098</v>
      </c>
      <c r="B325" s="30" t="s">
        <v>491</v>
      </c>
    </row>
    <row r="326" spans="1:2" x14ac:dyDescent="0.25">
      <c r="A326" s="31" t="s">
        <v>492</v>
      </c>
      <c r="B326" s="30" t="s">
        <v>493</v>
      </c>
    </row>
    <row r="327" spans="1:2" x14ac:dyDescent="0.25">
      <c r="A327" s="31" t="s">
        <v>494</v>
      </c>
      <c r="B327" s="30" t="s">
        <v>495</v>
      </c>
    </row>
    <row r="328" spans="1:2" x14ac:dyDescent="0.25">
      <c r="A328" s="31" t="s">
        <v>496</v>
      </c>
      <c r="B328" s="30" t="s">
        <v>497</v>
      </c>
    </row>
    <row r="329" spans="1:2" x14ac:dyDescent="0.25">
      <c r="A329" s="31" t="s">
        <v>498</v>
      </c>
      <c r="B329" s="30" t="s">
        <v>499</v>
      </c>
    </row>
    <row r="330" spans="1:2" x14ac:dyDescent="0.25">
      <c r="A330" s="31" t="s">
        <v>500</v>
      </c>
      <c r="B330" s="30" t="s">
        <v>501</v>
      </c>
    </row>
    <row r="331" spans="1:2" x14ac:dyDescent="0.25">
      <c r="A331" s="31" t="s">
        <v>502</v>
      </c>
      <c r="B331" s="30" t="s">
        <v>503</v>
      </c>
    </row>
    <row r="332" spans="1:2" x14ac:dyDescent="0.25">
      <c r="A332" s="31" t="s">
        <v>504</v>
      </c>
      <c r="B332" s="30" t="s">
        <v>503</v>
      </c>
    </row>
    <row r="333" spans="1:2" x14ac:dyDescent="0.25">
      <c r="A333" s="31" t="s">
        <v>505</v>
      </c>
      <c r="B333" s="30" t="s">
        <v>506</v>
      </c>
    </row>
    <row r="334" spans="1:2" x14ac:dyDescent="0.25">
      <c r="A334" s="31" t="s">
        <v>507</v>
      </c>
      <c r="B334" s="30" t="s">
        <v>508</v>
      </c>
    </row>
    <row r="335" spans="1:2" x14ac:dyDescent="0.25">
      <c r="A335" s="31" t="s">
        <v>509</v>
      </c>
      <c r="B335" s="30" t="s">
        <v>510</v>
      </c>
    </row>
    <row r="336" spans="1:2" x14ac:dyDescent="0.25">
      <c r="A336" s="31" t="s">
        <v>511</v>
      </c>
      <c r="B336" s="30" t="s">
        <v>512</v>
      </c>
    </row>
    <row r="337" spans="1:2" x14ac:dyDescent="0.25">
      <c r="A337" s="31" t="s">
        <v>513</v>
      </c>
      <c r="B337" s="30" t="s">
        <v>514</v>
      </c>
    </row>
    <row r="338" spans="1:2" x14ac:dyDescent="0.25">
      <c r="A338" s="31" t="s">
        <v>515</v>
      </c>
      <c r="B338" s="30" t="s">
        <v>516</v>
      </c>
    </row>
    <row r="339" spans="1:2" x14ac:dyDescent="0.25">
      <c r="A339" s="31" t="s">
        <v>517</v>
      </c>
      <c r="B339" s="30" t="s">
        <v>518</v>
      </c>
    </row>
    <row r="340" spans="1:2" x14ac:dyDescent="0.25">
      <c r="A340" s="31" t="s">
        <v>519</v>
      </c>
      <c r="B340" s="30" t="s">
        <v>520</v>
      </c>
    </row>
    <row r="341" spans="1:2" x14ac:dyDescent="0.25">
      <c r="A341" s="31" t="s">
        <v>521</v>
      </c>
      <c r="B341" s="30" t="s">
        <v>522</v>
      </c>
    </row>
    <row r="342" spans="1:2" x14ac:dyDescent="0.25">
      <c r="A342" s="31" t="s">
        <v>523</v>
      </c>
      <c r="B342" s="30" t="s">
        <v>524</v>
      </c>
    </row>
    <row r="343" spans="1:2" x14ac:dyDescent="0.25">
      <c r="A343" s="31" t="s">
        <v>525</v>
      </c>
      <c r="B343" s="30" t="s">
        <v>526</v>
      </c>
    </row>
    <row r="344" spans="1:2" x14ac:dyDescent="0.25">
      <c r="A344" s="31" t="s">
        <v>527</v>
      </c>
      <c r="B344" s="30" t="s">
        <v>528</v>
      </c>
    </row>
    <row r="345" spans="1:2" x14ac:dyDescent="0.25">
      <c r="A345" s="31" t="s">
        <v>529</v>
      </c>
      <c r="B345" s="30" t="s">
        <v>530</v>
      </c>
    </row>
    <row r="346" spans="1:2" x14ac:dyDescent="0.25">
      <c r="A346" s="31" t="s">
        <v>531</v>
      </c>
      <c r="B346" s="30" t="s">
        <v>532</v>
      </c>
    </row>
    <row r="347" spans="1:2" x14ac:dyDescent="0.25">
      <c r="A347" s="31" t="s">
        <v>533</v>
      </c>
      <c r="B347" s="30" t="s">
        <v>534</v>
      </c>
    </row>
  </sheetData>
  <sheetProtection algorithmName="SHA-512" hashValue="jPjBaOdXg6JJNRQqvCzoWOyHpLaV3+q5S0ncTHjHD080rA3Y3IJSFNhK2WxLjyIw3OS1ryaux09bnAfkTr4UQg==" saltValue="qb2u7NRq4RweVo2ZGO//1g==" spinCount="100000" sheet="1" objects="1" scenarios="1" selectLockedCells="1" selectUnlockedCells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DE17CB1DB6AC2345AFC8C5CDEAE36552" ma:contentTypeVersion="11" ma:contentTypeDescription="Skapa ett nytt dokument." ma:contentTypeScope="" ma:versionID="dfed6f5fe4d0bb8f26a46a52725ff677">
  <xsd:schema xmlns:xsd="http://www.w3.org/2001/XMLSchema" xmlns:xs="http://www.w3.org/2001/XMLSchema" xmlns:p="http://schemas.microsoft.com/office/2006/metadata/properties" xmlns:ns2="88b9bdb5-febf-4db7-b7d2-3aa31c9eb32c" xmlns:ns3="4866865f-21c0-4973-9a52-0e055d02862a" targetNamespace="http://schemas.microsoft.com/office/2006/metadata/properties" ma:root="true" ma:fieldsID="52c8a80e7fe59411c9c627933ca8eef7" ns2:_="" ns3:_="">
    <xsd:import namespace="88b9bdb5-febf-4db7-b7d2-3aa31c9eb32c"/>
    <xsd:import namespace="4866865f-21c0-4973-9a52-0e055d02862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b9bdb5-febf-4db7-b7d2-3aa31c9eb32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66865f-21c0-4973-9a52-0e055d02862a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Dela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Delat med information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ehållstyp"/>
        <xsd:element ref="dc:title" minOccurs="0" maxOccurs="1" ma:index="4" ma:displayName="Rubri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A6BBDAB-2C6A-412E-94DD-29B5B33B3AC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8b9bdb5-febf-4db7-b7d2-3aa31c9eb32c"/>
    <ds:schemaRef ds:uri="4866865f-21c0-4973-9a52-0e055d02862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AE781C4-2996-475A-8F83-4C0CA0B41FBF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D33E7B55-E355-47A1-B281-1E5634CE648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Ersatzteilpreisliste</vt:lpstr>
      <vt:lpstr>Artikeldaten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Benjamin Hering</dc:creator>
  <cp:keywords/>
  <dc:description/>
  <cp:lastModifiedBy>Intel I7 Octa Core</cp:lastModifiedBy>
  <cp:revision/>
  <dcterms:created xsi:type="dcterms:W3CDTF">2022-01-18T14:01:38Z</dcterms:created>
  <dcterms:modified xsi:type="dcterms:W3CDTF">2022-02-01T07:13:48Z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0x010100DE17CB1DB6AC2345AFC8C5CDEAE36552</vt:lpwstr>
  </property>
</Properties>
</file>