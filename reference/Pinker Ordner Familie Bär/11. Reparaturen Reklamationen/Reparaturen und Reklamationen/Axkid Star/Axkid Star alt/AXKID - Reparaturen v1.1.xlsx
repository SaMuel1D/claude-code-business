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kids.sharepoint.com/sites/Axkid-Germany/Delade dokument/General/4 - AFTER SALES/AXKID REPARATUREN/"/>
    </mc:Choice>
  </mc:AlternateContent>
  <xr:revisionPtr revIDLastSave="4" documentId="8_{1D4DA36C-84C3-4633-B225-D80B3EC7C8B8}" xr6:coauthVersionLast="47" xr6:coauthVersionMax="47" xr10:uidLastSave="{0574495F-86B4-4FBD-B460-715DEB26D0A4}"/>
  <bookViews>
    <workbookView xWindow="-120" yWindow="-120" windowWidth="29040" windowHeight="15720" xr2:uid="{993DAC1F-0A03-4B53-9EB3-DC5B9CBDC20D}"/>
  </bookViews>
  <sheets>
    <sheet name="Kostenvoranschlag" sheetId="3" r:id="rId1"/>
    <sheet name="Sitze &amp; Ersatzteile" sheetId="4" r:id="rId2"/>
    <sheet name="Nachkauf" sheetId="6" r:id="rId3"/>
    <sheet name="Ersatzteilpreisliste" sheetId="5" state="hidden" r:id="rId4"/>
    <sheet name="DATA" sheetId="1" state="hidden" r:id="rId5"/>
  </sheets>
  <definedNames>
    <definedName name="Ersatzteile">Table5[]</definedName>
    <definedName name="issue_selector">DATA!#REF!</definedName>
    <definedName name="Kostanpflichtig">Table4[Bitte wählen]</definedName>
    <definedName name="Nachkauf">Table53[]</definedName>
    <definedName name="_xlnm.Print_Area" localSheetId="0">Kostenvoranschlag!$B$1:$G$42</definedName>
    <definedName name="product_selector">Kostenvoranschlag!$C$6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D24" i="4"/>
  <c r="C25" i="4"/>
  <c r="D25" i="4"/>
  <c r="B24" i="4"/>
  <c r="B25" i="4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87" i="4"/>
  <c r="D130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4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2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1" i="4"/>
  <c r="D132" i="4"/>
  <c r="D13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7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6" i="4"/>
  <c r="D67" i="4"/>
  <c r="D68" i="4"/>
  <c r="D69" i="4"/>
  <c r="D70" i="4"/>
  <c r="D73" i="4"/>
  <c r="D74" i="4"/>
  <c r="D76" i="4"/>
  <c r="D77" i="4"/>
  <c r="D78" i="4"/>
  <c r="D79" i="4"/>
  <c r="D81" i="4"/>
  <c r="D82" i="4"/>
  <c r="D83" i="4"/>
  <c r="D84" i="4"/>
  <c r="D86" i="4"/>
  <c r="D88" i="4"/>
  <c r="D91" i="4"/>
  <c r="D92" i="4"/>
  <c r="D2" i="4"/>
  <c r="C15" i="4"/>
  <c r="C10" i="4"/>
  <c r="C11" i="4"/>
  <c r="C12" i="4"/>
  <c r="C13" i="4"/>
  <c r="C14" i="4"/>
  <c r="C16" i="4"/>
  <c r="C17" i="4"/>
  <c r="C18" i="4"/>
  <c r="C19" i="4"/>
  <c r="C20" i="4"/>
  <c r="C21" i="4"/>
  <c r="C22" i="4"/>
  <c r="C23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3" i="4"/>
  <c r="C4" i="4"/>
  <c r="C5" i="4"/>
  <c r="C6" i="4"/>
  <c r="C7" i="4"/>
  <c r="C8" i="4"/>
  <c r="C9" i="4"/>
  <c r="C2" i="4"/>
  <c r="B41" i="3" a="1"/>
  <c r="B28" i="3" a="1"/>
  <c r="B25" i="3" a="1"/>
  <c r="B40" i="3" a="1"/>
  <c r="B29" i="3" a="1"/>
  <c r="B21" i="3" a="1"/>
  <c r="B34" i="3" a="1"/>
  <c r="B30" i="3" a="1"/>
  <c r="B20" i="3" a="1"/>
  <c r="B19" i="3" a="1"/>
  <c r="B31" i="3" a="1"/>
  <c r="B18" i="3" a="1"/>
  <c r="B33" i="3" a="1"/>
  <c r="B35" i="3" a="1"/>
  <c r="B36" i="3" a="1"/>
  <c r="B39" i="3" a="1"/>
  <c r="B22" i="3" a="1"/>
  <c r="B32" i="3" a="1"/>
  <c r="B24" i="3" a="1"/>
  <c r="B37" i="3" a="1"/>
  <c r="B27" i="3" a="1"/>
  <c r="B38" i="3" a="1"/>
  <c r="B26" i="3" a="1"/>
  <c r="B23" i="3" a="1"/>
  <c r="B40" i="3" l="1"/>
  <c r="B41" i="3"/>
  <c r="D65" i="4"/>
  <c r="B28" i="3"/>
  <c r="B26" i="3"/>
  <c r="B24" i="3"/>
  <c r="B22" i="3"/>
  <c r="B20" i="3"/>
  <c r="B29" i="3"/>
  <c r="B27" i="3"/>
  <c r="B25" i="3"/>
  <c r="B23" i="3"/>
  <c r="B21" i="3"/>
  <c r="B19" i="3"/>
  <c r="B18" i="3"/>
  <c r="B39" i="3"/>
  <c r="B38" i="3"/>
  <c r="B35" i="3"/>
  <c r="B32" i="3"/>
  <c r="B37" i="3"/>
  <c r="B34" i="3"/>
  <c r="B31" i="3"/>
  <c r="B36" i="3"/>
  <c r="B33" i="3"/>
  <c r="B30" i="3"/>
  <c r="C41" i="3" l="1"/>
  <c r="D41" i="3"/>
  <c r="I41" i="3" s="1"/>
  <c r="F41" i="3"/>
  <c r="G41" i="3" s="1" a="1"/>
  <c r="G41" i="3" s="1"/>
  <c r="C40" i="3"/>
  <c r="F40" i="3"/>
  <c r="G40" i="3" s="1" a="1"/>
  <c r="G40" i="3" s="1"/>
  <c r="D40" i="3"/>
  <c r="I40" i="3" s="1"/>
  <c r="F27" i="3"/>
  <c r="G27" i="3" s="1" a="1"/>
  <c r="G27" i="3" s="1"/>
  <c r="D27" i="3"/>
  <c r="I27" i="3" s="1"/>
  <c r="C27" i="3"/>
  <c r="F25" i="3"/>
  <c r="G25" i="3" s="1" a="1"/>
  <c r="G25" i="3" s="1"/>
  <c r="D25" i="3"/>
  <c r="I25" i="3" s="1"/>
  <c r="C25" i="3"/>
  <c r="F29" i="3"/>
  <c r="G29" i="3" s="1" a="1"/>
  <c r="G29" i="3" s="1"/>
  <c r="C29" i="3"/>
  <c r="D29" i="3"/>
  <c r="I29" i="3" s="1"/>
  <c r="C20" i="3"/>
  <c r="D20" i="3"/>
  <c r="I20" i="3" s="1"/>
  <c r="F20" i="3"/>
  <c r="G20" i="3" s="1" a="1"/>
  <c r="G20" i="3" s="1"/>
  <c r="C22" i="3"/>
  <c r="F22" i="3"/>
  <c r="G22" i="3" s="1" a="1"/>
  <c r="G22" i="3" s="1"/>
  <c r="D22" i="3"/>
  <c r="I22" i="3" s="1"/>
  <c r="D19" i="3"/>
  <c r="I19" i="3" s="1"/>
  <c r="C19" i="3"/>
  <c r="F19" i="3"/>
  <c r="G19" i="3" s="1" a="1"/>
  <c r="G19" i="3" s="1"/>
  <c r="D24" i="3"/>
  <c r="I24" i="3" s="1"/>
  <c r="C24" i="3"/>
  <c r="F24" i="3"/>
  <c r="G24" i="3" s="1" a="1"/>
  <c r="G24" i="3" s="1"/>
  <c r="F21" i="3"/>
  <c r="G21" i="3" s="1" a="1"/>
  <c r="G21" i="3" s="1"/>
  <c r="C21" i="3"/>
  <c r="D21" i="3"/>
  <c r="I21" i="3" s="1"/>
  <c r="D26" i="3"/>
  <c r="I26" i="3" s="1"/>
  <c r="F26" i="3"/>
  <c r="G26" i="3" s="1" a="1"/>
  <c r="G26" i="3" s="1"/>
  <c r="C26" i="3"/>
  <c r="D23" i="3"/>
  <c r="I23" i="3" s="1"/>
  <c r="F23" i="3"/>
  <c r="G23" i="3" s="1" a="1"/>
  <c r="G23" i="3" s="1"/>
  <c r="C23" i="3"/>
  <c r="C28" i="3"/>
  <c r="F28" i="3"/>
  <c r="G28" i="3" s="1" a="1"/>
  <c r="G28" i="3" s="1"/>
  <c r="D28" i="3"/>
  <c r="I28" i="3" s="1"/>
  <c r="F36" i="3"/>
  <c r="G36" i="3" s="1" a="1"/>
  <c r="G36" i="3" s="1"/>
  <c r="D36" i="3"/>
  <c r="I36" i="3" s="1"/>
  <c r="C36" i="3"/>
  <c r="C37" i="3"/>
  <c r="F37" i="3"/>
  <c r="G37" i="3" s="1" a="1"/>
  <c r="G37" i="3" s="1"/>
  <c r="D37" i="3"/>
  <c r="I37" i="3" s="1"/>
  <c r="C32" i="3"/>
  <c r="D32" i="3"/>
  <c r="I32" i="3" s="1"/>
  <c r="F32" i="3"/>
  <c r="G32" i="3" s="1" a="1"/>
  <c r="G32" i="3" s="1"/>
  <c r="D39" i="3"/>
  <c r="I39" i="3" s="1"/>
  <c r="C39" i="3"/>
  <c r="F39" i="3"/>
  <c r="G39" i="3" s="1" a="1"/>
  <c r="G39" i="3" s="1"/>
  <c r="C38" i="3"/>
  <c r="F38" i="3"/>
  <c r="G38" i="3" s="1" a="1"/>
  <c r="G38" i="3" s="1"/>
  <c r="D38" i="3"/>
  <c r="I38" i="3" s="1"/>
  <c r="F30" i="3"/>
  <c r="G30" i="3" s="1" a="1"/>
  <c r="G30" i="3" s="1"/>
  <c r="D30" i="3"/>
  <c r="I30" i="3" s="1"/>
  <c r="C30" i="3"/>
  <c r="C31" i="3"/>
  <c r="F31" i="3"/>
  <c r="G31" i="3" s="1" a="1"/>
  <c r="G31" i="3" s="1"/>
  <c r="D31" i="3"/>
  <c r="I31" i="3" s="1"/>
  <c r="F33" i="3"/>
  <c r="G33" i="3" s="1" a="1"/>
  <c r="G33" i="3" s="1"/>
  <c r="D33" i="3"/>
  <c r="I33" i="3" s="1"/>
  <c r="C33" i="3"/>
  <c r="C34" i="3"/>
  <c r="F34" i="3"/>
  <c r="G34" i="3" s="1" a="1"/>
  <c r="G34" i="3" s="1"/>
  <c r="D34" i="3"/>
  <c r="I34" i="3" s="1"/>
  <c r="C35" i="3"/>
  <c r="D35" i="3"/>
  <c r="I35" i="3" s="1"/>
  <c r="F35" i="3"/>
  <c r="G35" i="3" s="1" a="1"/>
  <c r="G35" i="3" s="1"/>
  <c r="D18" i="3"/>
  <c r="I18" i="3" s="1"/>
  <c r="C18" i="3"/>
  <c r="F18" i="3"/>
  <c r="G18" i="3" s="1" a="1"/>
  <c r="G18" i="3" s="1"/>
  <c r="G9" i="3" l="1"/>
  <c r="G10" i="3"/>
  <c r="G13" i="3" l="1"/>
  <c r="G1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<sst xmlns="http://schemas.openxmlformats.org/spreadsheetml/2006/main" count="284" uniqueCount="252">
  <si>
    <t>Kostenvoranschlag</t>
  </si>
  <si>
    <t>Version 1.1</t>
  </si>
  <si>
    <t>Händler*in</t>
  </si>
  <si>
    <t>Kundenname</t>
  </si>
  <si>
    <t>Seriennummer:</t>
  </si>
  <si>
    <t>Sitz:</t>
  </si>
  <si>
    <t>Bitte wählen</t>
  </si>
  <si>
    <t>Ersatzteil(e):</t>
  </si>
  <si>
    <t>Ersatzteilkosten:</t>
  </si>
  <si>
    <t>Aufwand:</t>
  </si>
  <si>
    <t>Reinigungspauschale:</t>
  </si>
  <si>
    <t>Lieferkosten:</t>
  </si>
  <si>
    <t>Gesamt:</t>
  </si>
  <si>
    <t>Enthaltene MwSt.19%</t>
  </si>
  <si>
    <t>Nr</t>
  </si>
  <si>
    <t>Artikelnummer</t>
  </si>
  <si>
    <t>Beschreibung</t>
  </si>
  <si>
    <t>UVP</t>
  </si>
  <si>
    <t>Menge</t>
  </si>
  <si>
    <t>Aufwand</t>
  </si>
  <si>
    <t>Kosten</t>
  </si>
  <si>
    <t>Ersatzteil</t>
  </si>
  <si>
    <t>Axkid ONE ONE2</t>
  </si>
  <si>
    <t>ISOFIX</t>
  </si>
  <si>
    <t>SLED</t>
  </si>
  <si>
    <t>Axkid Minikid 3</t>
  </si>
  <si>
    <t>Axkid Minikid 2</t>
  </si>
  <si>
    <t>Axkid Minikid 2 (2022/23)</t>
  </si>
  <si>
    <t>Axkid Move</t>
  </si>
  <si>
    <t>Axkid Rekid</t>
  </si>
  <si>
    <t>Nr.</t>
  </si>
  <si>
    <t>EK Netto</t>
  </si>
  <si>
    <t>Bezug Kopfstütze [Brick Melange] - ONE ONE2</t>
  </si>
  <si>
    <t>Marge:</t>
  </si>
  <si>
    <t>Bezug Kopfstütze [Granite Melange] - ONE ONE2</t>
  </si>
  <si>
    <t>Bezug Kopfstütze [Granite] - MK3</t>
  </si>
  <si>
    <t>Bezug Kopfstütze [Schwarz] - MK1</t>
  </si>
  <si>
    <t xml:space="preserve">Bezug Kopfstütze [Schwarz] - MK2 </t>
  </si>
  <si>
    <t>Bezug Kopfstütze [Schwarz] - WM</t>
  </si>
  <si>
    <t>Bezug Kopfstütze [Tar] - MK3</t>
  </si>
  <si>
    <t>Bezug Kopfstütze [Tar] - ONE ONE2</t>
  </si>
  <si>
    <t>Bezug Kopfstütze [Tile Melange] - ONE ONE2</t>
  </si>
  <si>
    <t>Bezug Kopfstütze 2022 [Granite Melange] - MK2</t>
  </si>
  <si>
    <t>Bezug Kopfstütze 2022 [Shell Black] - MK2</t>
  </si>
  <si>
    <t>Bezug Kopfstütze 2022 [Tar] - MK2</t>
  </si>
  <si>
    <t>Bezug Kopfstütze 2022 [Tar] - MV</t>
  </si>
  <si>
    <t>Bezug Kopfstütze 2022 [Tar] - WM</t>
  </si>
  <si>
    <t xml:space="preserve">Gurtschlosspolster [Granite Melange] - MK2 MDS </t>
  </si>
  <si>
    <t xml:space="preserve">Gurtschlosspolster [Granite] - MK2 MDS </t>
  </si>
  <si>
    <t xml:space="preserve">Gurtschlosspolster [Grau] - MK2 MDS </t>
  </si>
  <si>
    <t>Gurtschlosspolster [Moss] - MK2 MDS</t>
  </si>
  <si>
    <t>Gurtschlosspolster [Olivegrün] - MK2</t>
  </si>
  <si>
    <t xml:space="preserve">Gurtschlosspolster [Petrol] - MK2 MDS </t>
  </si>
  <si>
    <t xml:space="preserve">Gurtschlosspolster [Rot] - MK2 MDS </t>
  </si>
  <si>
    <t xml:space="preserve">Gurtschlosspolster [Schwarz] - MK2 MDS </t>
  </si>
  <si>
    <t>Gurtschlosspolster [Schwarz] - MV WM</t>
  </si>
  <si>
    <t xml:space="preserve">Gurtschlosspolster [Sea] - MK2 MDS </t>
  </si>
  <si>
    <t>Gurtschlosspolster [Shell Black] - MK2 MDS</t>
  </si>
  <si>
    <t xml:space="preserve">Gurtschlosspolster [Shellfish] - MK2 MDS </t>
  </si>
  <si>
    <t>Gurtschlosspolster [Sky Grey] - MK2 MDS</t>
  </si>
  <si>
    <t xml:space="preserve">Gurtschlosspolster [Tar] - MK2 MDS </t>
  </si>
  <si>
    <t>Gurtschlosspolster 2022 [Granite Melange] - MK1 MK2 WM MV</t>
  </si>
  <si>
    <t>Gurtschlosspolster 2022 [Shell Black] - MK1 MK2 WM MV</t>
  </si>
  <si>
    <t>Gurtschlosspolster 2022 [Tar] - MK1 MK2 WM MV</t>
  </si>
  <si>
    <t>Hitzeschutzpad - ONE ONE2</t>
  </si>
  <si>
    <t>Inlay 0-105cm - ONE ONE2</t>
  </si>
  <si>
    <t>Inlay 0-60cm [ONE+] - ONE+ ONE+2</t>
  </si>
  <si>
    <t>Schulter- &amp; Gurtschlosspolster [Brick Melange] - ONE</t>
  </si>
  <si>
    <t xml:space="preserve">Schulter- &amp; Gurtschlosspolster [Granite Melange] - ONE </t>
  </si>
  <si>
    <t>Schulter- &amp; Gurtschlosspolster [Granite]  - MK3</t>
  </si>
  <si>
    <t>Schulter- &amp; Gurtschlosspolster [Tar] - MK3</t>
  </si>
  <si>
    <t>Schulter- &amp; Gurtschlosspolster [Tar] - ONE</t>
  </si>
  <si>
    <t>Schulter- &amp; Gurtschlosspolster [Tile Melange] - ONE</t>
  </si>
  <si>
    <t>Schulterpolster [Granite Melange] - MK2</t>
  </si>
  <si>
    <t xml:space="preserve">Schulterpolster [Granite] - MK2 </t>
  </si>
  <si>
    <t>Schulterpolster [Grau] - MK2</t>
  </si>
  <si>
    <t>Schulterpolster [Moss] - MK2</t>
  </si>
  <si>
    <t xml:space="preserve">Schulterpolster [Olivegrün] - MK2   </t>
  </si>
  <si>
    <t>Schulterpolster [Petrol] - MK2</t>
  </si>
  <si>
    <t xml:space="preserve">Schulterpolster [Rot] - MK2 </t>
  </si>
  <si>
    <t>Schulterpolster [Schwarz] - MK1 RK</t>
  </si>
  <si>
    <t>Schulterpolster [Schwarz] - MK2</t>
  </si>
  <si>
    <t xml:space="preserve">Schulterpolster [Schwarz] - MV WM           </t>
  </si>
  <si>
    <t xml:space="preserve">Schulterpolster [Sea] - MK2 </t>
  </si>
  <si>
    <t xml:space="preserve">Schulterpolster [Shell Black] - MK2 </t>
  </si>
  <si>
    <t xml:space="preserve">Schulterpolster [Shellfish] - MK2 </t>
  </si>
  <si>
    <t>Schulterpolster [Sky Grey] - MK2</t>
  </si>
  <si>
    <t>Schulterpolster [Tar] - MK2</t>
  </si>
  <si>
    <t>Schulterpolster 2022 [Granite Melange] - MK2</t>
  </si>
  <si>
    <t>Schulterpolster 2022 [Shell Black] - MK2</t>
  </si>
  <si>
    <t>Schulterpolster 2022 [Tar] - MK1</t>
  </si>
  <si>
    <t>Schulterpolster 2022 [Tar] - MK2</t>
  </si>
  <si>
    <t>Schulterpolster 2022 [Tar] - MV</t>
  </si>
  <si>
    <t>Schulterpolster 2022 [Tar] - WM</t>
  </si>
  <si>
    <t>Stoffbezug [Brick Melange] - ONE ONE2</t>
  </si>
  <si>
    <t>Stoffbezug [Granite Melange] - MK3</t>
  </si>
  <si>
    <t>Stoffbezug [Granite] - MK2</t>
  </si>
  <si>
    <t>Stoffbezug [Granite] - MK3</t>
  </si>
  <si>
    <t>Stoffbezug [Granite] - ONE ONE2</t>
  </si>
  <si>
    <t>Stoffbezug [Grau] - DF</t>
  </si>
  <si>
    <t>Stoffbezug [Grau] - KZ</t>
  </si>
  <si>
    <t>Stoffbezug [Grau] - MK1</t>
  </si>
  <si>
    <t xml:space="preserve">Stoffbezug [Grau] - MK2 </t>
  </si>
  <si>
    <t>Stoffbezug [Grau] - MK2 Granite Melange</t>
  </si>
  <si>
    <t>Stoffbezug [Grau] - MV</t>
  </si>
  <si>
    <t>Stoffbezug [Grau] - RK</t>
  </si>
  <si>
    <t>Stoffbezug [Moss] - MK2</t>
  </si>
  <si>
    <t>Stoffbezug [Moss] - MK3</t>
  </si>
  <si>
    <t>Stoffbezug [Olivegrün] - MK2</t>
  </si>
  <si>
    <t>Stoffbezug [Petrol] - DF</t>
  </si>
  <si>
    <t>Stoffbezug [Petrol] - KZ</t>
  </si>
  <si>
    <t>Stoffbezug [Petrol] - MK1</t>
  </si>
  <si>
    <t>Stoffbezug [Petrol] - MK2</t>
  </si>
  <si>
    <t>Stoffbezug [Petrol] - RK</t>
  </si>
  <si>
    <t>Stoffbezug [Rosa] - MK2</t>
  </si>
  <si>
    <t>Stoffbezug [Rot] - DF</t>
  </si>
  <si>
    <t>Stoffbezug [Rot] - KZ</t>
  </si>
  <si>
    <t>Stoffbezug [Rot] - MK1</t>
  </si>
  <si>
    <t xml:space="preserve">Stoffbezug [Rot] - MK2 </t>
  </si>
  <si>
    <t>Stoffbezug [Rot] - RK</t>
  </si>
  <si>
    <t>Stoffbezug [Schwarz] - DF</t>
  </si>
  <si>
    <t xml:space="preserve">Stoffbezug [Schwarz] - KZ </t>
  </si>
  <si>
    <t>Stoffbezug [Schwarz] - MK1</t>
  </si>
  <si>
    <t xml:space="preserve">Stoffbezug [Schwarz] - MK2 </t>
  </si>
  <si>
    <t>Stoffbezug [Schwarz] - MV</t>
  </si>
  <si>
    <t>Stoffbezug [Schwarz] - RK</t>
  </si>
  <si>
    <t>Stoffbezug [Schwarz] - WM</t>
  </si>
  <si>
    <t>Stoffbezug [Sea] - MK2</t>
  </si>
  <si>
    <t>Stoffbezug [Sea] - MK3</t>
  </si>
  <si>
    <t xml:space="preserve">Stoffbezug [Shell Black] - MK2 </t>
  </si>
  <si>
    <t>Stoffbezug [Shell Black] - MK3</t>
  </si>
  <si>
    <t>Stoffbezug [Shellfisch] - MK3</t>
  </si>
  <si>
    <t>Stoffbezug [Shellfish] - MK2</t>
  </si>
  <si>
    <t>Stoffbezug [Sky Grey] - MK2</t>
  </si>
  <si>
    <t xml:space="preserve">Stoffbezug [Tar] - MK2 </t>
  </si>
  <si>
    <t>Stoffbezug [Tar] - MK3</t>
  </si>
  <si>
    <t>Stoffbezug [Tar] - ONE ONE2</t>
  </si>
  <si>
    <t>Stoffbezug [Tile Melange] - ONE ONE2</t>
  </si>
  <si>
    <t>Stoffbezug 2022 [Granite Melange] - MK2</t>
  </si>
  <si>
    <t>Stoffbezug 2022 [Granite] - MK1</t>
  </si>
  <si>
    <t>Stoffbezug 2022 [Granite] - MK2</t>
  </si>
  <si>
    <t>Stoffbezug 2022 [Granite] - MV</t>
  </si>
  <si>
    <t>Stoffbezug 2022 [Granite] - WM</t>
  </si>
  <si>
    <t>Stoffbezug 2022 [Moss] - MK2</t>
  </si>
  <si>
    <t>Stoffbezug 2022 [Sea] - MK2</t>
  </si>
  <si>
    <t>Stoffbezug 2022 [Shell Black] - MK2</t>
  </si>
  <si>
    <t>Stoffbezug 2022 [Shellfish] - MK2</t>
  </si>
  <si>
    <t>Stoffbezug 2022 [Tar] -  MK1</t>
  </si>
  <si>
    <t>Stoffbezug 2022 [Tar] -  MK2</t>
  </si>
  <si>
    <t>Stoffbezug 2022 [Tar] -  MV</t>
  </si>
  <si>
    <t>Stoffbezug 2022 [Tar] -  WM</t>
  </si>
  <si>
    <t>3 Punkt Gurtsystem - Shield</t>
  </si>
  <si>
    <t>5 Punkt Gurtsystem - MK3</t>
  </si>
  <si>
    <t>5 Punkt Gurtsystem - ONE ONE2</t>
  </si>
  <si>
    <t>5 Punkt Gurtsystem Holmberg - MK1 MK2 RK MV WM DF KZ</t>
  </si>
  <si>
    <t xml:space="preserve">5 Punkt Gurtsystem Shield - MDS          </t>
  </si>
  <si>
    <t>Styropor EPS [LH+RH] - MK3</t>
  </si>
  <si>
    <t>Abdeckung Spieldose [Akustisches Signal] - ONE ONE2</t>
  </si>
  <si>
    <t>Absatz &amp; Nieten - MK2</t>
  </si>
  <si>
    <t>Anti Friction Kit + Schulterpolster - ONE</t>
  </si>
  <si>
    <t>ARB Abdeckung (RH+LH) - ONE ONE2</t>
  </si>
  <si>
    <t>ARB Drehknopf - ONE ONE2</t>
  </si>
  <si>
    <t>ARB Komplett - ONE ONE2</t>
  </si>
  <si>
    <t>ASIP + Halterung - MK3</t>
  </si>
  <si>
    <t>ASIP Befestigung - MDS</t>
  </si>
  <si>
    <t>ASIP Befestigung - MK2 MV</t>
  </si>
  <si>
    <t>ASIP Befestigung (LH+RH) - ONE ONE2</t>
  </si>
  <si>
    <t xml:space="preserve">ASIP Seitenaufprallschutz - MK2 MDS                      </t>
  </si>
  <si>
    <t>ASIP Seitenaufprallschutz - ONE ONE2 MK3</t>
  </si>
  <si>
    <t>ASIP Werkzeug - ONE</t>
  </si>
  <si>
    <t>Aufkleber - MK3</t>
  </si>
  <si>
    <t xml:space="preserve">Aufkleber - ONE </t>
  </si>
  <si>
    <t>BUSHINGS + HOUSING SUPPORT LEG (MK3)</t>
  </si>
  <si>
    <t>Gummifuß - MK1 RK</t>
  </si>
  <si>
    <t>Gummifuß - MK2 MV</t>
  </si>
  <si>
    <t>Gurtabdeckung - MDS MK2 MK1 RK MV WM DF KZ</t>
  </si>
  <si>
    <t>Gurtaufroller [LH] - MK2 MK1 RK DF</t>
  </si>
  <si>
    <t>Gurtaufroller [RH] - MK2 MK1 RK DF</t>
  </si>
  <si>
    <t>Gurtaufroller 900mm HARNESS [LH] - MK3</t>
  </si>
  <si>
    <t>Gurtaufroller 900mm HARNESS [RH] - MK3</t>
  </si>
  <si>
    <t>Gurtaufroller Gehäuse Vorne u. Hinten - MK3</t>
  </si>
  <si>
    <t>Gurtklemme - MK3</t>
  </si>
  <si>
    <t>Gurtklemme [Blau] - MK2 MV</t>
  </si>
  <si>
    <t>Gurtklemme + Schrauben - MK3</t>
  </si>
  <si>
    <t>Gurtstraffer - MDS MK2 MK1 RK MV WM DF KZ</t>
  </si>
  <si>
    <t xml:space="preserve">Halterung Seitenabdeckung - ONE </t>
  </si>
  <si>
    <t>HANGTAGS + MANUAL + PACKAGING - MK3</t>
  </si>
  <si>
    <t>Harness Low Friction Clips FIELD FIX - ONE ONE2</t>
  </si>
  <si>
    <t>Inlay 0-125cm - ONE</t>
  </si>
  <si>
    <t xml:space="preserve">Inlay Infant [Schwarz] - MDI </t>
  </si>
  <si>
    <t xml:space="preserve">Inlay Kopfstütze [Schwarz] - MDI </t>
  </si>
  <si>
    <t>ISOFIX Abstandhalter [LH] 10stk - ONE ONE2</t>
  </si>
  <si>
    <t>ISOFIX Abstandhalter [RH] 10stk - ONE ONE2</t>
  </si>
  <si>
    <t>ISOFIX Connectoren (LH+RH) - ONE</t>
  </si>
  <si>
    <t>Klettverschluss - MK3</t>
  </si>
  <si>
    <t>Klettverschluss - ONE ONE2</t>
  </si>
  <si>
    <t>Kopfstütze - DF KZ</t>
  </si>
  <si>
    <t xml:space="preserve">Kopfstütze - MDS </t>
  </si>
  <si>
    <t>Kopfstütze - MK1 RK</t>
  </si>
  <si>
    <t xml:space="preserve">Kopfstütze - MK2                           </t>
  </si>
  <si>
    <t>Kopfstütze - MK3</t>
  </si>
  <si>
    <t>Kopfstütze - MV WM</t>
  </si>
  <si>
    <t>Kopfstütze + Styropor EPS - ONE</t>
  </si>
  <si>
    <t>Kopfstütze + Styropor EPS - ONE2</t>
  </si>
  <si>
    <t>Kopfstütze Aufroller &amp; Clip - MK3</t>
  </si>
  <si>
    <t>Kopfstütze Bremseinheit - MK1 MK2 MDS RK KZ DF</t>
  </si>
  <si>
    <t>Kopfstütze Bremseinheit - MK3</t>
  </si>
  <si>
    <t>Kopfstütze Hebel Bremseinheit - MK3</t>
  </si>
  <si>
    <t>Kopfstütze Mutter - ONE</t>
  </si>
  <si>
    <t>Kopfstütze Rückenplatte - MK MDS RK DF KZ</t>
  </si>
  <si>
    <t>Kopfstütze Spannrolle - MK1 RK</t>
  </si>
  <si>
    <t>Kopfstütze Spannrolle - MK2 MDS</t>
  </si>
  <si>
    <t>Kopfstütze Verstellknopf - ONE</t>
  </si>
  <si>
    <t>Leerkarton - MK1 MK2 MV RK WM</t>
  </si>
  <si>
    <t>Neigungsverstellung - MK1 MK2</t>
  </si>
  <si>
    <t xml:space="preserve">Nieten - Universal </t>
  </si>
  <si>
    <t>Recline Bushing + Stop Screw - ONE ONE2</t>
  </si>
  <si>
    <t>Schaumstoff Sitzfläche - MDS MK2 MK1 RK MV WM DF KZ</t>
  </si>
  <si>
    <t xml:space="preserve">Schaumstoff Sitzfläche [Schwarz] - MDI </t>
  </si>
  <si>
    <t>Schaumstoff Sitzfläche Geklebt - MDS</t>
  </si>
  <si>
    <t xml:space="preserve">Schaumstoff Sitzfläche Geklebt - MK2 MK1 RK MV WM DF KZ </t>
  </si>
  <si>
    <t>Seitenabdeckung - ONE ONE2</t>
  </si>
  <si>
    <t>Strohhalm - MDS K2 MK1 RK MV WM DF KZ</t>
  </si>
  <si>
    <t>Stützfuß Abdeckung - ONE ONE2</t>
  </si>
  <si>
    <t>Stützfuß Gurt - ONE ONE2</t>
  </si>
  <si>
    <t>Stützfuß Gurtband  - MK2 MV</t>
  </si>
  <si>
    <t>Stützfuß Gurtband - MK1 RK WM DF KZ</t>
  </si>
  <si>
    <t>Stützfuß Gurtband - MK3</t>
  </si>
  <si>
    <t>Stützfuß Knopf - MK3</t>
  </si>
  <si>
    <t>Stützfuß Knopf - ONE ONE2</t>
  </si>
  <si>
    <t>Stützfuß Komplett - MK1 RK WM DF KZ</t>
  </si>
  <si>
    <t>Stützfuß Komplett - MK2 MV</t>
  </si>
  <si>
    <t>Stützfuß Komplett - MK3</t>
  </si>
  <si>
    <t>Stützfuß Komplett - ONE ONE2</t>
  </si>
  <si>
    <t>Stützfuß Spieldose - ONE ONE2</t>
  </si>
  <si>
    <t>Stützfußhalter - DF KZ</t>
  </si>
  <si>
    <t>Tannenbaum - MK1 MK2 RK MV WM DF KZ</t>
  </si>
  <si>
    <t>Tragegriff - MDI</t>
  </si>
  <si>
    <t>Zentraler Gurtversteller - MK3</t>
  </si>
  <si>
    <t>Styropor EPS [LH] - MK1 RK DF KZ</t>
  </si>
  <si>
    <t>Styropor EPS [LH] - MK2</t>
  </si>
  <si>
    <t>Styropor EPS [LH] - MV WM</t>
  </si>
  <si>
    <t>Styropor EPS [RH] - MK1 RK DF KZ</t>
  </si>
  <si>
    <t>Styropor EPS [RH] - MK2</t>
  </si>
  <si>
    <t>Styropor EPS [RH] - MV WM</t>
  </si>
  <si>
    <t>Styropor EPS [Rücken] - MK1 RK DF KZ</t>
  </si>
  <si>
    <t>Styropor EPS [Rücken] - MV WM</t>
  </si>
  <si>
    <t>Reinigung - ISOFIX</t>
  </si>
  <si>
    <t xml:space="preserve">Reinigung - Schiebefunktion </t>
  </si>
  <si>
    <t>Axkid ONE / ONE 2</t>
  </si>
  <si>
    <t>Kostenpflichtig</t>
  </si>
  <si>
    <t>Kostenfrei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</si>
</sst>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7]_-;\-* #,##0.00\ [$€-407]_-;_-* &quot;-&quot;??\ [$€-407]_-;_-@_-"/>
    <numFmt numFmtId="165" formatCode="_-[$€-2]\ * #,##0.00_-;\-[$€-2]\ * #,##0.00_-;_-[$€-2]\ * &quot;-&quot;??_-;_-@_-"/>
  </numFmts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2060"/>
      <name val="Neue Haas Grotesk Text Pro"/>
      <family val="2"/>
      <charset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2060"/>
      <name val="Neue Haas Grotesk Text Pro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444444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2"/>
      <color theme="1"/>
      <name val="Calibri"/>
      <scheme val="minor"/>
    </font>
    <font>
      <b/>
      <sz val="12"/>
      <color rgb="FF33475B"/>
      <name val="Calibri"/>
    </font>
    <font>
      <b/>
      <sz val="11"/>
      <color theme="0"/>
      <name val="Calibri"/>
      <family val="2"/>
      <scheme val="minor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0" fontId="6" fillId="0" borderId="0"/>
    <xf numFmtId="9" fontId="15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165" fontId="0" fillId="2" borderId="0" xfId="0" applyNumberFormat="1" applyFill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2" fillId="0" borderId="9" xfId="0" applyNumberFormat="1" applyFont="1" applyBorder="1" applyAlignment="1">
      <alignment horizontal="center" vertical="center"/>
    </xf>
    <xf numFmtId="9" fontId="2" fillId="0" borderId="10" xfId="2" applyFont="1" applyBorder="1" applyAlignment="1" applyProtection="1">
      <alignment horizontal="center" vertical="center"/>
    </xf>
    <xf numFmtId="10" fontId="0" fillId="0" borderId="0" xfId="2" applyNumberFormat="1" applyFont="1" applyProtection="1"/>
    <xf numFmtId="49" fontId="18" fillId="0" borderId="0" xfId="0" applyNumberFormat="1" applyFont="1" applyProtection="1">
      <protection locked="0"/>
    </xf>
    <xf numFmtId="165" fontId="17" fillId="2" borderId="5" xfId="0" applyNumberFormat="1" applyFont="1" applyFill="1" applyBorder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left"/>
      <protection locked="0"/>
    </xf>
    <xf numFmtId="165" fontId="20" fillId="2" borderId="5" xfId="0" applyNumberFormat="1" applyFont="1" applyFill="1" applyBorder="1" applyProtection="1">
      <protection locked="0"/>
    </xf>
    <xf numFmtId="0" fontId="0" fillId="0" borderId="7" xfId="0" applyBorder="1" applyProtection="1">
      <protection locked="0"/>
    </xf>
    <xf numFmtId="4" fontId="0" fillId="0" borderId="0" xfId="0" applyNumberFormat="1"/>
    <xf numFmtId="49" fontId="3" fillId="0" borderId="1" xfId="0" applyNumberFormat="1" applyFont="1" applyBorder="1"/>
    <xf numFmtId="4" fontId="3" fillId="0" borderId="2" xfId="0" applyNumberFormat="1" applyFont="1" applyBorder="1"/>
    <xf numFmtId="4" fontId="4" fillId="0" borderId="2" xfId="0" applyNumberFormat="1" applyFont="1" applyBorder="1" applyAlignment="1">
      <alignment vertical="center"/>
    </xf>
    <xf numFmtId="4" fontId="5" fillId="0" borderId="0" xfId="0" applyNumberFormat="1" applyFont="1"/>
    <xf numFmtId="4" fontId="5" fillId="0" borderId="0" xfId="0" applyNumberFormat="1" applyFont="1" applyAlignment="1">
      <alignment horizontal="center"/>
    </xf>
    <xf numFmtId="4" fontId="11" fillId="0" borderId="4" xfId="0" applyNumberFormat="1" applyFont="1" applyBorder="1"/>
    <xf numFmtId="4" fontId="8" fillId="0" borderId="0" xfId="0" applyNumberFormat="1" applyFont="1"/>
    <xf numFmtId="4" fontId="8" fillId="0" borderId="5" xfId="0" applyNumberFormat="1" applyFont="1" applyBorder="1"/>
    <xf numFmtId="4" fontId="7" fillId="0" borderId="0" xfId="0" applyNumberFormat="1" applyFont="1"/>
    <xf numFmtId="4" fontId="0" fillId="0" borderId="0" xfId="0" applyNumberFormat="1" applyAlignment="1">
      <alignment horizontal="center"/>
    </xf>
    <xf numFmtId="49" fontId="11" fillId="0" borderId="4" xfId="0" applyNumberFormat="1" applyFont="1" applyBorder="1"/>
    <xf numFmtId="49" fontId="8" fillId="0" borderId="0" xfId="0" applyNumberFormat="1" applyFont="1" applyAlignment="1">
      <alignment horizontal="right"/>
    </xf>
    <xf numFmtId="49" fontId="8" fillId="0" borderId="0" xfId="0" applyNumberFormat="1" applyFont="1"/>
    <xf numFmtId="49" fontId="8" fillId="0" borderId="5" xfId="0" applyNumberFormat="1" applyFont="1" applyBorder="1"/>
    <xf numFmtId="49" fontId="18" fillId="0" borderId="4" xfId="0" applyNumberFormat="1" applyFont="1" applyBorder="1"/>
    <xf numFmtId="4" fontId="9" fillId="0" borderId="0" xfId="0" applyNumberFormat="1" applyFont="1"/>
    <xf numFmtId="4" fontId="9" fillId="0" borderId="5" xfId="0" applyNumberFormat="1" applyFont="1" applyBorder="1"/>
    <xf numFmtId="4" fontId="9" fillId="0" borderId="4" xfId="0" applyNumberFormat="1" applyFont="1" applyBorder="1"/>
    <xf numFmtId="4" fontId="17" fillId="0" borderId="4" xfId="0" applyNumberFormat="1" applyFont="1" applyBorder="1"/>
    <xf numFmtId="4" fontId="17" fillId="0" borderId="0" xfId="0" applyNumberFormat="1" applyFont="1"/>
    <xf numFmtId="49" fontId="18" fillId="0" borderId="0" xfId="0" applyNumberFormat="1" applyFont="1" applyAlignment="1">
      <alignment horizontal="right"/>
    </xf>
    <xf numFmtId="165" fontId="17" fillId="0" borderId="5" xfId="0" applyNumberFormat="1" applyFont="1" applyBorder="1"/>
    <xf numFmtId="4" fontId="16" fillId="0" borderId="0" xfId="0" applyNumberFormat="1" applyFont="1"/>
    <xf numFmtId="4" fontId="8" fillId="0" borderId="4" xfId="0" applyNumberFormat="1" applyFont="1" applyBorder="1"/>
    <xf numFmtId="49" fontId="11" fillId="0" borderId="0" xfId="0" applyNumberFormat="1" applyFont="1" applyAlignment="1">
      <alignment horizontal="right"/>
    </xf>
    <xf numFmtId="4" fontId="10" fillId="0" borderId="4" xfId="0" applyNumberFormat="1" applyFont="1" applyBorder="1"/>
    <xf numFmtId="4" fontId="10" fillId="0" borderId="0" xfId="0" applyNumberFormat="1" applyFont="1"/>
    <xf numFmtId="4" fontId="20" fillId="0" borderId="0" xfId="0" applyNumberFormat="1" applyFont="1"/>
    <xf numFmtId="49" fontId="14" fillId="0" borderId="0" xfId="0" applyNumberFormat="1" applyFont="1" applyAlignment="1">
      <alignment horizontal="right"/>
    </xf>
    <xf numFmtId="165" fontId="20" fillId="0" borderId="5" xfId="0" applyNumberFormat="1" applyFont="1" applyBorder="1"/>
    <xf numFmtId="4" fontId="10" fillId="0" borderId="4" xfId="0" applyNumberFormat="1" applyFont="1" applyBorder="1" applyAlignment="1">
      <alignment horizontal="right"/>
    </xf>
    <xf numFmtId="4" fontId="10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1" fillId="0" borderId="6" xfId="0" applyNumberFormat="1" applyFont="1" applyBorder="1"/>
    <xf numFmtId="4" fontId="11" fillId="0" borderId="7" xfId="0" applyNumberFormat="1" applyFont="1" applyBorder="1"/>
    <xf numFmtId="4" fontId="8" fillId="0" borderId="7" xfId="0" applyNumberFormat="1" applyFont="1" applyBorder="1"/>
    <xf numFmtId="4" fontId="11" fillId="0" borderId="7" xfId="0" applyNumberFormat="1" applyFont="1" applyBorder="1" applyAlignment="1">
      <alignment horizontal="right"/>
    </xf>
    <xf numFmtId="4" fontId="18" fillId="0" borderId="7" xfId="0" applyNumberFormat="1" applyFont="1" applyBorder="1"/>
    <xf numFmtId="4" fontId="18" fillId="0" borderId="8" xfId="0" applyNumberFormat="1" applyFont="1" applyBorder="1"/>
    <xf numFmtId="0" fontId="12" fillId="0" borderId="0" xfId="0" applyFont="1"/>
    <xf numFmtId="0" fontId="12" fillId="0" borderId="4" xfId="0" applyFont="1" applyBorder="1"/>
    <xf numFmtId="0" fontId="12" fillId="0" borderId="5" xfId="0" applyFont="1" applyBorder="1"/>
    <xf numFmtId="0" fontId="1" fillId="0" borderId="0" xfId="0" applyFont="1"/>
    <xf numFmtId="0" fontId="1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0" fillId="0" borderId="4" xfId="0" applyBorder="1" applyAlignment="1">
      <alignment horizontal="left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21" fillId="2" borderId="0" xfId="0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/>
      <protection locked="0"/>
    </xf>
    <xf numFmtId="14" fontId="24" fillId="0" borderId="3" xfId="0" applyNumberFormat="1" applyFont="1" applyBorder="1" applyAlignment="1">
      <alignment horizontal="center" vertical="center"/>
    </xf>
    <xf numFmtId="0" fontId="23" fillId="3" borderId="11" xfId="0" applyFont="1" applyFill="1" applyBorder="1"/>
    <xf numFmtId="49" fontId="8" fillId="0" borderId="0" xfId="0" applyNumberFormat="1" applyFont="1" applyAlignment="1"/>
    <xf numFmtId="49" fontId="8" fillId="0" borderId="5" xfId="0" applyNumberFormat="1" applyFont="1" applyBorder="1" applyAlignment="1"/>
    <xf numFmtId="4" fontId="8" fillId="0" borderId="0" xfId="0" applyNumberFormat="1" applyFont="1" applyAlignment="1"/>
    <xf numFmtId="4" fontId="10" fillId="0" borderId="0" xfId="0" applyNumberFormat="1" applyFont="1" applyAlignment="1"/>
    <xf numFmtId="4" fontId="11" fillId="0" borderId="0" xfId="0" applyNumberFormat="1" applyFont="1" applyAlignment="1"/>
  </cellXfs>
  <cellStyles count="3">
    <cellStyle name="Normal" xfId="0" builtinId="0"/>
    <cellStyle name="Normal 2" xfId="1" xr:uid="{3FA87E4E-808E-43E8-B111-6DB9669E2FB2}"/>
    <cellStyle name="Percent" xfId="2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1" hidden="0"/>
    </dxf>
    <dxf>
      <numFmt numFmtId="165" formatCode="_-[$€-2]\ * #,##0.00_-;\-[$€-2]\ * #,##0.00_-;_-[$€-2]\ * &quot;-&quot;??_-;_-@_-"/>
      <alignment horizontal="general" vertical="bottom" textRotation="0" wrapText="0" indent="0" justifyLastLine="0" shrinkToFit="0" readingOrder="0"/>
      <protection locked="1" hidden="0"/>
    </dxf>
    <dxf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numFmt numFmtId="165" formatCode="_-[$€-2]\ * #,##0.00_-;\-[$€-2]\ * #,##0.00_-;_-[$€-2]\ * &quot;-&quot;??_-;_-@_-"/>
      <alignment horizontal="center" vertical="bottom" textRotation="0" wrapText="0" indent="0" justifyLastLine="0" shrinkToFit="0" readingOrder="0"/>
      <protection locked="1" hidden="0"/>
    </dxf>
    <dxf>
      <numFmt numFmtId="165" formatCode="_-[$€-2]\ * #,##0.00_-;\-[$€-2]\ * #,##0.00_-;_-[$€-2]\ * &quot;-&quot;??_-;_-@_-"/>
      <protection locked="1" hidden="0"/>
    </dxf>
    <dxf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vertical/>
      </border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95250</xdr:rowOff>
    </xdr:from>
    <xdr:to>
      <xdr:col>6</xdr:col>
      <xdr:colOff>796680</xdr:colOff>
      <xdr:row>9</xdr:row>
      <xdr:rowOff>452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DD09AB4E-7339-BDAA-8DAB-88D43D2C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95250"/>
          <a:ext cx="2968380" cy="17092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B24613-DD33-4F87-A99E-67EA128D87ED}" name="Table3" displayName="Table3" ref="A17:B41" totalsRowShown="0" headerRowDxfId="22" dataDxfId="21">
  <autoFilter ref="A17:B41" xr:uid="{ABB24613-DD33-4F87-A99E-67EA128D87ED}"/>
  <tableColumns count="2">
    <tableColumn id="1" xr3:uid="{4CBEC1BB-0304-4567-9268-D8D07AE7F20C}" name="Nr" dataDxfId="20"/>
    <tableColumn id="2" xr3:uid="{34B6A19A-1457-40F1-AD72-2FBF98469FE4}" name="Artikelnummer" dataDxfId="19">
      <calculatedColumnFormula array="1">IFERROR(_xlfn.LET(_xlpm.X,INDIRECT("data["&amp;product_selector&amp;"]"),INDEX(_xlfn._xlws.SORT(_xlfn.UNIQUE(_xlfn._xlws.FILTER(_xlpm.X,_xlpm.X&lt;&gt;""))),Table3[[#This Row],[Nr]])),"")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D8A2EE-C051-48CC-B702-095A76A8D123}" name="Table53" displayName="Table53" ref="A1:D121" totalsRowShown="0" headerRowDxfId="18" dataDxfId="17">
  <autoFilter ref="A1:D121" xr:uid="{6ED8A2EE-C051-48CC-B702-095A76A8D123}"/>
  <sortState xmlns:xlrd2="http://schemas.microsoft.com/office/spreadsheetml/2017/richdata2" ref="A2:D121">
    <sortCondition ref="B1:B121"/>
  </sortState>
  <tableColumns count="4">
    <tableColumn id="1" xr3:uid="{AD40BFA1-1B91-4ABC-A3A9-AC8B7353637A}" name="Nr." dataDxfId="16"/>
    <tableColumn id="2" xr3:uid="{08AD7015-D8C4-49C9-B364-82897690A1A5}" name="Beschreibung" dataDxfId="15"/>
    <tableColumn id="3" xr3:uid="{6BEC40F8-5AA9-455C-B1B0-26EDBD645402}" name="UVP" dataDxfId="14"/>
    <tableColumn id="4" xr3:uid="{FE18EE0D-C4BE-4BB2-B075-4FD94C58E3D7}" name="EK Netto" dataDxfId="13">
      <calculatedColumnFormula>(Table53[[#This Row],[UVP]]/1.19)*(1-G$2)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7B851C-C35F-427F-BD76-04C29A0FD826}" name="Table5" displayName="Table5" ref="A1:D99" totalsRowShown="0" headerRowDxfId="12" dataDxfId="11">
  <autoFilter ref="A1:D99" xr:uid="{1F7B851C-C35F-427F-BD76-04C29A0FD826}"/>
  <sortState xmlns:xlrd2="http://schemas.microsoft.com/office/spreadsheetml/2017/richdata2" ref="A2:D89">
    <sortCondition ref="B1:B89"/>
  </sortState>
  <tableColumns count="4">
    <tableColumn id="1" xr3:uid="{41AF36E4-A089-4CC9-AA5B-BA8F754FF614}" name="Nr." dataDxfId="10"/>
    <tableColumn id="2" xr3:uid="{F86119D8-E343-4D3B-AEDF-0FA7EE2F2E4C}" name="Beschreibung" dataDxfId="9"/>
    <tableColumn id="3" xr3:uid="{AF08A760-5899-4349-97E9-FA1C0FBB6437}" name="UVP" dataDxfId="8"/>
    <tableColumn id="4" xr3:uid="{1D5C9AC1-9C86-463F-BFF7-53D48C8B887C}" name="Aufwand" dataDxfId="7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8AFAB-F350-4A88-A6A1-F1287CBE2531}" name="data" displayName="data" ref="A1:G25" totalsRowShown="0">
  <autoFilter ref="A1:G25" xr:uid="{C818AFAB-F350-4A88-A6A1-F1287CBE2531}"/>
  <tableColumns count="7">
    <tableColumn id="7" xr3:uid="{9F52792E-FFB4-4BF9-BECD-D3EB0AC8F531}" name="Bitte wählen" dataDxfId="6"/>
    <tableColumn id="8" xr3:uid="{491464A1-3F0B-4026-972F-527B6CBD7594}" name="Axkid ONE / ONE 2" dataDxfId="5"/>
    <tableColumn id="9" xr3:uid="{971857DC-A8E1-4246-9BA1-D58BC372EB4C}" name="Axkid Minikid 3" dataDxfId="4"/>
    <tableColumn id="10" xr3:uid="{49AF6794-5935-4611-89CF-75BC8A0BAA52}" name="Axkid Minikid 2" dataDxfId="3"/>
    <tableColumn id="11" xr3:uid="{B3CD3FC9-724F-4F31-A92B-89940CDFEBF1}" name="Axkid Minikid 2 (2022/23)" dataDxfId="2"/>
    <tableColumn id="12" xr3:uid="{2C9B7303-501C-4DEE-8100-F89CA4541304}" name="Axkid Move"/>
    <tableColumn id="13" xr3:uid="{3A672989-EE88-4D73-A8E5-9B34B469584F}" name="Axkid Rekid" dataDxfId="1"/>
  </tableColumns>
  <tableStyleInfo name="TableStyleLight1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B56EE8-BB95-4D85-9AD3-37AC4C686C3D}" name="Table4" displayName="Table4" ref="D30:D32" totalsRowShown="0" headerRowDxfId="0">
  <autoFilter ref="D30:D32" xr:uid="{1FB56EE8-BB95-4D85-9AD3-37AC4C686C3D}"/>
  <tableColumns count="1">
    <tableColumn id="1" xr3:uid="{4CC7B4B1-0FEA-4ED9-921F-667192432E3F}" name="Bitte wähle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1045-DEB1-4903-BFD2-6F508885B621}">
  <sheetPr>
    <pageSetUpPr fitToPage="1"/>
  </sheetPr>
  <dimension ref="A1:K42"/>
  <sheetViews>
    <sheetView tabSelected="1" topLeftCell="B1" zoomScaleNormal="100" workbookViewId="0">
      <selection activeCell="E28" sqref="E28"/>
    </sheetView>
  </sheetViews>
  <sheetFormatPr defaultColWidth="10.5703125" defaultRowHeight="15"/>
  <cols>
    <col min="1" max="1" width="0" hidden="1" customWidth="1"/>
    <col min="2" max="2" width="17" customWidth="1"/>
    <col min="3" max="3" width="58.42578125" customWidth="1"/>
    <col min="4" max="4" width="12.42578125" style="79" customWidth="1"/>
    <col min="5" max="5" width="10.28515625" customWidth="1"/>
    <col min="6" max="6" width="10.5703125" customWidth="1"/>
    <col min="7" max="7" width="12.42578125" customWidth="1"/>
    <col min="8" max="8" width="10.5703125" style="65" customWidth="1"/>
    <col min="9" max="9" width="10.5703125" style="7" hidden="1" customWidth="1"/>
  </cols>
  <sheetData>
    <row r="1" spans="2:11" s="21" customFormat="1" ht="22.5" customHeight="1">
      <c r="B1" s="22" t="s">
        <v>0</v>
      </c>
      <c r="C1" s="23"/>
      <c r="D1" s="23"/>
      <c r="E1" s="23"/>
      <c r="F1" s="24"/>
      <c r="G1" s="86" t="s">
        <v>1</v>
      </c>
      <c r="H1" s="25"/>
      <c r="I1" s="26"/>
      <c r="J1" s="25"/>
      <c r="K1" s="25"/>
    </row>
    <row r="2" spans="2:11" s="21" customFormat="1">
      <c r="B2" s="27"/>
      <c r="C2" s="28"/>
      <c r="D2" s="28"/>
      <c r="E2" s="28"/>
      <c r="F2" s="28"/>
      <c r="G2" s="29"/>
      <c r="H2" s="30"/>
      <c r="I2" s="31"/>
      <c r="J2" s="28"/>
      <c r="K2" s="28"/>
    </row>
    <row r="3" spans="2:11" s="21" customFormat="1" ht="15.75">
      <c r="B3" s="32" t="s">
        <v>2</v>
      </c>
      <c r="C3" s="84"/>
      <c r="D3" s="33"/>
      <c r="E3" s="33"/>
      <c r="F3" s="88"/>
      <c r="G3" s="89"/>
      <c r="H3" s="30"/>
      <c r="I3" s="31"/>
      <c r="J3" s="28"/>
      <c r="K3" s="28"/>
    </row>
    <row r="4" spans="2:11" s="21" customFormat="1" ht="15.75">
      <c r="B4" s="32" t="s">
        <v>3</v>
      </c>
      <c r="C4" s="85"/>
      <c r="D4" s="33"/>
      <c r="E4" s="33"/>
      <c r="F4" s="34"/>
      <c r="G4" s="35"/>
      <c r="H4" s="30"/>
      <c r="I4" s="31"/>
      <c r="J4" s="28"/>
      <c r="K4" s="28"/>
    </row>
    <row r="5" spans="2:11" s="21" customFormat="1" ht="15.75">
      <c r="B5" s="32" t="s">
        <v>4</v>
      </c>
      <c r="C5" s="84"/>
      <c r="D5" s="34"/>
      <c r="E5" s="34"/>
      <c r="F5" s="34"/>
      <c r="G5" s="35"/>
      <c r="H5" s="30"/>
      <c r="I5" s="31"/>
      <c r="J5" s="28"/>
      <c r="K5" s="28"/>
    </row>
    <row r="6" spans="2:11" s="21" customFormat="1">
      <c r="B6" s="32" t="s">
        <v>5</v>
      </c>
      <c r="C6" s="17" t="s">
        <v>6</v>
      </c>
      <c r="D6" s="34"/>
      <c r="E6" s="34"/>
      <c r="F6" s="34"/>
      <c r="G6" s="35"/>
      <c r="H6" s="30"/>
      <c r="I6" s="31"/>
      <c r="J6" s="28"/>
      <c r="K6" s="28"/>
    </row>
    <row r="7" spans="2:11" s="21" customFormat="1">
      <c r="B7" s="36" t="s">
        <v>7</v>
      </c>
      <c r="C7" s="18"/>
      <c r="D7" s="37"/>
      <c r="E7" s="37"/>
      <c r="F7" s="37"/>
      <c r="G7" s="38"/>
      <c r="H7" s="30"/>
      <c r="I7" s="31"/>
      <c r="J7" s="37"/>
      <c r="K7" s="37"/>
    </row>
    <row r="8" spans="2:11" s="21" customFormat="1">
      <c r="B8" s="39"/>
      <c r="C8" s="37"/>
      <c r="D8" s="37"/>
      <c r="E8" s="37"/>
      <c r="F8" s="37"/>
      <c r="G8" s="38"/>
      <c r="H8" s="30"/>
      <c r="I8" s="31"/>
      <c r="J8" s="37"/>
      <c r="K8" s="37"/>
    </row>
    <row r="9" spans="2:11" s="21" customFormat="1">
      <c r="B9" s="40"/>
      <c r="C9" s="41"/>
      <c r="D9" s="41"/>
      <c r="E9" s="41"/>
      <c r="F9" s="42" t="s">
        <v>8</v>
      </c>
      <c r="G9" s="43">
        <f ca="1">IF(C7="Kostenfrei",0,SUM(I18:I39))</f>
        <v>0</v>
      </c>
      <c r="H9" s="44"/>
      <c r="I9" s="31"/>
      <c r="J9" s="41"/>
      <c r="K9" s="41"/>
    </row>
    <row r="10" spans="2:11" s="21" customFormat="1">
      <c r="B10" s="45"/>
      <c r="C10" s="28"/>
      <c r="D10" s="28"/>
      <c r="E10" s="41"/>
      <c r="F10" s="42" t="s">
        <v>9</v>
      </c>
      <c r="G10" s="43">
        <f ca="1">SUM(G18:G39)</f>
        <v>0</v>
      </c>
      <c r="H10" s="30"/>
      <c r="I10" s="31"/>
      <c r="J10" s="28"/>
      <c r="K10" s="28"/>
    </row>
    <row r="11" spans="2:11" s="21" customFormat="1">
      <c r="B11" s="45"/>
      <c r="C11" s="28"/>
      <c r="D11" s="28"/>
      <c r="E11" s="41"/>
      <c r="F11" s="46" t="s">
        <v>10</v>
      </c>
      <c r="G11" s="15"/>
      <c r="H11" s="30"/>
      <c r="I11" s="31"/>
      <c r="J11" s="90"/>
      <c r="K11" s="90"/>
    </row>
    <row r="12" spans="2:11" s="21" customFormat="1">
      <c r="B12" s="47"/>
      <c r="C12" s="48"/>
      <c r="D12" s="48"/>
      <c r="E12" s="49"/>
      <c r="F12" s="46" t="s">
        <v>11</v>
      </c>
      <c r="G12" s="19"/>
      <c r="H12" s="30"/>
      <c r="I12" s="31"/>
      <c r="J12" s="91"/>
      <c r="K12" s="91"/>
    </row>
    <row r="13" spans="2:11" s="21" customFormat="1">
      <c r="B13" s="47"/>
      <c r="C13" s="48"/>
      <c r="D13" s="48"/>
      <c r="E13" s="49"/>
      <c r="F13" s="50" t="s">
        <v>12</v>
      </c>
      <c r="G13" s="51">
        <f ca="1">SUM(G9:G12)</f>
        <v>0</v>
      </c>
      <c r="H13" s="30"/>
      <c r="I13" s="31"/>
      <c r="J13" s="48"/>
      <c r="K13" s="48"/>
    </row>
    <row r="14" spans="2:11" s="21" customFormat="1">
      <c r="B14" s="52"/>
      <c r="C14" s="53"/>
      <c r="D14" s="53"/>
      <c r="E14" s="54"/>
      <c r="F14" s="55" t="s">
        <v>13</v>
      </c>
      <c r="G14" s="51">
        <f ca="1">G13-(G13/1.19)</f>
        <v>0</v>
      </c>
      <c r="H14" s="30"/>
      <c r="I14" s="31"/>
      <c r="J14" s="48"/>
      <c r="K14" s="48"/>
    </row>
    <row r="15" spans="2:11" s="21" customFormat="1" ht="15.75" thickBot="1">
      <c r="B15" s="56"/>
      <c r="C15" s="57"/>
      <c r="D15" s="58"/>
      <c r="E15" s="59"/>
      <c r="F15" s="60"/>
      <c r="G15" s="61"/>
      <c r="H15" s="30"/>
      <c r="I15" s="31"/>
      <c r="J15" s="92"/>
      <c r="K15" s="92"/>
    </row>
    <row r="16" spans="2:11" s="62" customFormat="1" ht="15" customHeight="1">
      <c r="B16" s="63"/>
      <c r="G16" s="64"/>
      <c r="H16" s="65"/>
      <c r="I16" s="66"/>
    </row>
    <row r="17" spans="1:9">
      <c r="A17" t="s">
        <v>14</v>
      </c>
      <c r="B17" s="67" t="s">
        <v>15</v>
      </c>
      <c r="C17" s="68" t="s">
        <v>16</v>
      </c>
      <c r="D17" s="69" t="s">
        <v>17</v>
      </c>
      <c r="E17" s="5" t="s">
        <v>18</v>
      </c>
      <c r="F17" s="70" t="s">
        <v>19</v>
      </c>
      <c r="G17" s="71" t="s">
        <v>20</v>
      </c>
      <c r="I17" s="72" t="s">
        <v>21</v>
      </c>
    </row>
    <row r="18" spans="1:9">
      <c r="A18">
        <v>1</v>
      </c>
      <c r="B18" s="73" t="str" cm="1">
        <f t="array" aca="1" ref="B18" ca="1">IFERROR(_xlfn.LET(_xlpm.X,INDIRECT("data["&amp;product_selector&amp;"]"),INDEX(_xlfn._xlws.SORT(_xlfn.UNIQUE(_xlfn._xlws.FILTER(_xlpm.X,_xlpm.X&lt;&gt;""))),Table3[[#This Row],[Nr]])),"")</f>
        <v/>
      </c>
      <c r="C18" s="74" t="str">
        <f ca="1">IFERROR(_xlfn.XLOOKUP(Table3[[#This Row],[Artikelnummer]],'Sitze &amp; Ersatzteile'!A:A,'Sitze &amp; Ersatzteile'!B:B),"")</f>
        <v/>
      </c>
      <c r="D18" s="75">
        <f ca="1">_xlfn.IFNA(_xlfn.XLOOKUP(Table3[[#This Row],[Artikelnummer]],'Sitze &amp; Ersatzteile'!A:A,'Sitze &amp; Ersatzteile'!C:C),0)</f>
        <v>0</v>
      </c>
      <c r="E18" s="16"/>
      <c r="F18" s="76">
        <f ca="1">IFERROR(_xlfn.XLOOKUP(Table3[[#This Row],[Artikelnummer]],'Sitze &amp; Ersatzteile'!A:A,'Sitze &amp; Ersatzteile'!D:D),0)</f>
        <v>0</v>
      </c>
      <c r="G18" s="77" cm="1">
        <f t="array" aca="1" ref="G18" ca="1">_xlfn.IFS(E18=0,0,F18=0,0,E18&gt;0,F18*DATA!B$29)</f>
        <v>0</v>
      </c>
      <c r="I18" s="78">
        <f ca="1">IFERROR(E18*D18,"")</f>
        <v>0</v>
      </c>
    </row>
    <row r="19" spans="1:9">
      <c r="A19">
        <v>2</v>
      </c>
      <c r="B19" s="73" t="str" cm="1">
        <f t="array" aca="1" ref="B19" ca="1">IFERROR(_xlfn.LET(_xlpm.X,INDIRECT("data["&amp;product_selector&amp;"]"),INDEX(_xlfn._xlws.SORT(_xlfn.UNIQUE(_xlfn._xlws.FILTER(_xlpm.X,_xlpm.X&lt;&gt;""))),Table3[[#This Row],[Nr]])),"")</f>
        <v/>
      </c>
      <c r="C19" s="74" t="str">
        <f ca="1">IFERROR(_xlfn.XLOOKUP(Table3[[#This Row],[Artikelnummer]],'Sitze &amp; Ersatzteile'!A:A,'Sitze &amp; Ersatzteile'!B:B),"")</f>
        <v/>
      </c>
      <c r="D19" s="75">
        <f ca="1">_xlfn.IFNA(_xlfn.XLOOKUP(Table3[[#This Row],[Artikelnummer]],'Sitze &amp; Ersatzteile'!A:A,'Sitze &amp; Ersatzteile'!C:C),0)</f>
        <v>0</v>
      </c>
      <c r="E19" s="16"/>
      <c r="F19" s="76">
        <f ca="1">IFERROR(_xlfn.XLOOKUP(Table3[[#This Row],[Artikelnummer]],'Sitze &amp; Ersatzteile'!A:A,'Sitze &amp; Ersatzteile'!D:D),0)</f>
        <v>0</v>
      </c>
      <c r="G19" s="77" cm="1">
        <f t="array" aca="1" ref="G19" ca="1">_xlfn.IFS(E19=0,0,F19=0,0,E19&gt;0,F19*DATA!B$29)</f>
        <v>0</v>
      </c>
      <c r="I19" s="78">
        <f t="shared" ref="I19:I41" ca="1" si="0">IFERROR(E19*D19,"")</f>
        <v>0</v>
      </c>
    </row>
    <row r="20" spans="1:9">
      <c r="A20">
        <v>3</v>
      </c>
      <c r="B20" s="73" t="str" cm="1">
        <f t="array" aca="1" ref="B20" ca="1">IFERROR(_xlfn.LET(_xlpm.X,INDIRECT("data["&amp;product_selector&amp;"]"),INDEX(_xlfn._xlws.SORT(_xlfn.UNIQUE(_xlfn._xlws.FILTER(_xlpm.X,_xlpm.X&lt;&gt;""))),Table3[[#This Row],[Nr]])),"")</f>
        <v/>
      </c>
      <c r="C20" s="74" t="str">
        <f ca="1">IFERROR(_xlfn.XLOOKUP(Table3[[#This Row],[Artikelnummer]],'Sitze &amp; Ersatzteile'!A:A,'Sitze &amp; Ersatzteile'!B:B),"")</f>
        <v/>
      </c>
      <c r="D20" s="75">
        <f ca="1">_xlfn.IFNA(_xlfn.XLOOKUP(Table3[[#This Row],[Artikelnummer]],'Sitze &amp; Ersatzteile'!A:A,'Sitze &amp; Ersatzteile'!C:C),0)</f>
        <v>0</v>
      </c>
      <c r="E20" s="16"/>
      <c r="F20" s="76">
        <f ca="1">IFERROR(_xlfn.XLOOKUP(Table3[[#This Row],[Artikelnummer]],'Sitze &amp; Ersatzteile'!A:A,'Sitze &amp; Ersatzteile'!D:D),0)</f>
        <v>0</v>
      </c>
      <c r="G20" s="77" cm="1">
        <f t="array" aca="1" ref="G20" ca="1">_xlfn.IFS(E20=0,0,F20=0,0,E20&gt;0,F20*DATA!B$29)</f>
        <v>0</v>
      </c>
      <c r="I20" s="78">
        <f t="shared" ca="1" si="0"/>
        <v>0</v>
      </c>
    </row>
    <row r="21" spans="1:9">
      <c r="A21">
        <v>4</v>
      </c>
      <c r="B21" s="73" t="str" cm="1">
        <f t="array" aca="1" ref="B21" ca="1">IFERROR(_xlfn.LET(_xlpm.X,INDIRECT("data["&amp;product_selector&amp;"]"),INDEX(_xlfn._xlws.SORT(_xlfn.UNIQUE(_xlfn._xlws.FILTER(_xlpm.X,_xlpm.X&lt;&gt;""))),Table3[[#This Row],[Nr]])),"")</f>
        <v/>
      </c>
      <c r="C21" s="74" t="str">
        <f ca="1">IFERROR(_xlfn.XLOOKUP(Table3[[#This Row],[Artikelnummer]],'Sitze &amp; Ersatzteile'!A:A,'Sitze &amp; Ersatzteile'!B:B),"")</f>
        <v/>
      </c>
      <c r="D21" s="75">
        <f ca="1">_xlfn.IFNA(_xlfn.XLOOKUP(Table3[[#This Row],[Artikelnummer]],'Sitze &amp; Ersatzteile'!A:A,'Sitze &amp; Ersatzteile'!C:C),0)</f>
        <v>0</v>
      </c>
      <c r="E21" s="16"/>
      <c r="F21" s="76">
        <f ca="1">IFERROR(_xlfn.XLOOKUP(Table3[[#This Row],[Artikelnummer]],'Sitze &amp; Ersatzteile'!A:A,'Sitze &amp; Ersatzteile'!D:D),0)</f>
        <v>0</v>
      </c>
      <c r="G21" s="77" cm="1">
        <f t="array" aca="1" ref="G21" ca="1">_xlfn.IFS(E21=0,0,F21=0,0,E21&gt;0,F21*DATA!B$29)</f>
        <v>0</v>
      </c>
      <c r="I21" s="78">
        <f t="shared" ca="1" si="0"/>
        <v>0</v>
      </c>
    </row>
    <row r="22" spans="1:9">
      <c r="A22">
        <v>5</v>
      </c>
      <c r="B22" s="73" t="str" cm="1">
        <f t="array" aca="1" ref="B22" ca="1">IFERROR(_xlfn.LET(_xlpm.X,INDIRECT("data["&amp;product_selector&amp;"]"),INDEX(_xlfn._xlws.SORT(_xlfn.UNIQUE(_xlfn._xlws.FILTER(_xlpm.X,_xlpm.X&lt;&gt;""))),Table3[[#This Row],[Nr]])),"")</f>
        <v/>
      </c>
      <c r="C22" s="74" t="str">
        <f ca="1">IFERROR(_xlfn.XLOOKUP(Table3[[#This Row],[Artikelnummer]],'Sitze &amp; Ersatzteile'!A:A,'Sitze &amp; Ersatzteile'!B:B),"")</f>
        <v/>
      </c>
      <c r="D22" s="75">
        <f ca="1">_xlfn.IFNA(_xlfn.XLOOKUP(Table3[[#This Row],[Artikelnummer]],'Sitze &amp; Ersatzteile'!A:A,'Sitze &amp; Ersatzteile'!C:C),0)</f>
        <v>0</v>
      </c>
      <c r="E22" s="16"/>
      <c r="F22" s="76">
        <f ca="1">IFERROR(_xlfn.XLOOKUP(Table3[[#This Row],[Artikelnummer]],'Sitze &amp; Ersatzteile'!A:A,'Sitze &amp; Ersatzteile'!D:D),0)</f>
        <v>0</v>
      </c>
      <c r="G22" s="77" cm="1">
        <f t="array" aca="1" ref="G22" ca="1">_xlfn.IFS(E22=0,0,F22=0,0,E22&gt;0,F22*DATA!B$29)</f>
        <v>0</v>
      </c>
      <c r="I22" s="78">
        <f t="shared" ca="1" si="0"/>
        <v>0</v>
      </c>
    </row>
    <row r="23" spans="1:9">
      <c r="A23">
        <v>6</v>
      </c>
      <c r="B23" s="73" t="str" cm="1">
        <f t="array" aca="1" ref="B23" ca="1">IFERROR(_xlfn.LET(_xlpm.X,INDIRECT("data["&amp;product_selector&amp;"]"),INDEX(_xlfn._xlws.SORT(_xlfn.UNIQUE(_xlfn._xlws.FILTER(_xlpm.X,_xlpm.X&lt;&gt;""))),Table3[[#This Row],[Nr]])),"")</f>
        <v/>
      </c>
      <c r="C23" s="74" t="str">
        <f ca="1">IFERROR(_xlfn.XLOOKUP(Table3[[#This Row],[Artikelnummer]],'Sitze &amp; Ersatzteile'!A:A,'Sitze &amp; Ersatzteile'!B:B),"")</f>
        <v/>
      </c>
      <c r="D23" s="75">
        <f ca="1">_xlfn.IFNA(_xlfn.XLOOKUP(Table3[[#This Row],[Artikelnummer]],'Sitze &amp; Ersatzteile'!A:A,'Sitze &amp; Ersatzteile'!C:C),0)</f>
        <v>0</v>
      </c>
      <c r="E23" s="16"/>
      <c r="F23" s="76">
        <f ca="1">IFERROR(_xlfn.XLOOKUP(Table3[[#This Row],[Artikelnummer]],'Sitze &amp; Ersatzteile'!A:A,'Sitze &amp; Ersatzteile'!D:D),0)</f>
        <v>0</v>
      </c>
      <c r="G23" s="77" cm="1">
        <f t="array" aca="1" ref="G23" ca="1">_xlfn.IFS(E23=0,0,F23=0,0,E23&gt;0,F23*DATA!B$29)</f>
        <v>0</v>
      </c>
      <c r="I23" s="78">
        <f t="shared" ca="1" si="0"/>
        <v>0</v>
      </c>
    </row>
    <row r="24" spans="1:9">
      <c r="A24">
        <v>7</v>
      </c>
      <c r="B24" s="73" t="str" cm="1">
        <f t="array" aca="1" ref="B24" ca="1">IFERROR(_xlfn.LET(_xlpm.X,INDIRECT("data["&amp;product_selector&amp;"]"),INDEX(_xlfn._xlws.SORT(_xlfn.UNIQUE(_xlfn._xlws.FILTER(_xlpm.X,_xlpm.X&lt;&gt;""))),Table3[[#This Row],[Nr]])),"")</f>
        <v/>
      </c>
      <c r="C24" s="74" t="str">
        <f ca="1">IFERROR(_xlfn.XLOOKUP(Table3[[#This Row],[Artikelnummer]],'Sitze &amp; Ersatzteile'!A:A,'Sitze &amp; Ersatzteile'!B:B),"")</f>
        <v/>
      </c>
      <c r="D24" s="75">
        <f ca="1">_xlfn.IFNA(_xlfn.XLOOKUP(Table3[[#This Row],[Artikelnummer]],'Sitze &amp; Ersatzteile'!A:A,'Sitze &amp; Ersatzteile'!C:C),0)</f>
        <v>0</v>
      </c>
      <c r="E24" s="16"/>
      <c r="F24" s="76">
        <f ca="1">IFERROR(_xlfn.XLOOKUP(Table3[[#This Row],[Artikelnummer]],'Sitze &amp; Ersatzteile'!A:A,'Sitze &amp; Ersatzteile'!D:D),0)</f>
        <v>0</v>
      </c>
      <c r="G24" s="77" cm="1">
        <f t="array" aca="1" ref="G24" ca="1">_xlfn.IFS(E24=0,0,F24=0,0,E24&gt;0,F24*DATA!B$29)</f>
        <v>0</v>
      </c>
      <c r="I24" s="78">
        <f t="shared" ca="1" si="0"/>
        <v>0</v>
      </c>
    </row>
    <row r="25" spans="1:9">
      <c r="A25">
        <v>8</v>
      </c>
      <c r="B25" s="73" t="str" cm="1">
        <f t="array" aca="1" ref="B25" ca="1">IFERROR(_xlfn.LET(_xlpm.X,INDIRECT("data["&amp;product_selector&amp;"]"),INDEX(_xlfn._xlws.SORT(_xlfn.UNIQUE(_xlfn._xlws.FILTER(_xlpm.X,_xlpm.X&lt;&gt;""))),Table3[[#This Row],[Nr]])),"")</f>
        <v/>
      </c>
      <c r="C25" s="74" t="str">
        <f ca="1">IFERROR(_xlfn.XLOOKUP(Table3[[#This Row],[Artikelnummer]],'Sitze &amp; Ersatzteile'!A:A,'Sitze &amp; Ersatzteile'!B:B),"")</f>
        <v/>
      </c>
      <c r="D25" s="75">
        <f ca="1">_xlfn.IFNA(_xlfn.XLOOKUP(Table3[[#This Row],[Artikelnummer]],'Sitze &amp; Ersatzteile'!A:A,'Sitze &amp; Ersatzteile'!C:C),0)</f>
        <v>0</v>
      </c>
      <c r="E25" s="16"/>
      <c r="F25" s="76">
        <f ca="1">IFERROR(_xlfn.XLOOKUP(Table3[[#This Row],[Artikelnummer]],'Sitze &amp; Ersatzteile'!A:A,'Sitze &amp; Ersatzteile'!D:D),0)</f>
        <v>0</v>
      </c>
      <c r="G25" s="77" cm="1">
        <f t="array" aca="1" ref="G25" ca="1">_xlfn.IFS(E25=0,0,F25=0,0,E25&gt;0,F25*DATA!B$29)</f>
        <v>0</v>
      </c>
      <c r="I25" s="78">
        <f t="shared" ca="1" si="0"/>
        <v>0</v>
      </c>
    </row>
    <row r="26" spans="1:9">
      <c r="A26">
        <v>9</v>
      </c>
      <c r="B26" s="73" t="str" cm="1">
        <f t="array" aca="1" ref="B26" ca="1">IFERROR(_xlfn.LET(_xlpm.X,INDIRECT("data["&amp;product_selector&amp;"]"),INDEX(_xlfn._xlws.SORT(_xlfn.UNIQUE(_xlfn._xlws.FILTER(_xlpm.X,_xlpm.X&lt;&gt;""))),Table3[[#This Row],[Nr]])),"")</f>
        <v/>
      </c>
      <c r="C26" s="74" t="str">
        <f ca="1">IFERROR(_xlfn.XLOOKUP(Table3[[#This Row],[Artikelnummer]],'Sitze &amp; Ersatzteile'!A:A,'Sitze &amp; Ersatzteile'!B:B),"")</f>
        <v/>
      </c>
      <c r="D26" s="75">
        <f ca="1">_xlfn.IFNA(_xlfn.XLOOKUP(Table3[[#This Row],[Artikelnummer]],'Sitze &amp; Ersatzteile'!A:A,'Sitze &amp; Ersatzteile'!C:C),0)</f>
        <v>0</v>
      </c>
      <c r="E26" s="16"/>
      <c r="F26" s="76">
        <f ca="1">IFERROR(_xlfn.XLOOKUP(Table3[[#This Row],[Artikelnummer]],'Sitze &amp; Ersatzteile'!A:A,'Sitze &amp; Ersatzteile'!D:D),0)</f>
        <v>0</v>
      </c>
      <c r="G26" s="77" cm="1">
        <f t="array" aca="1" ref="G26" ca="1">_xlfn.IFS(E26=0,0,F26=0,0,E26&gt;0,F26*DATA!B$29)</f>
        <v>0</v>
      </c>
      <c r="I26" s="78">
        <f t="shared" ca="1" si="0"/>
        <v>0</v>
      </c>
    </row>
    <row r="27" spans="1:9">
      <c r="A27">
        <v>10</v>
      </c>
      <c r="B27" s="73" t="str" cm="1">
        <f t="array" aca="1" ref="B27" ca="1">IFERROR(_xlfn.LET(_xlpm.X,INDIRECT("data["&amp;product_selector&amp;"]"),INDEX(_xlfn._xlws.SORT(_xlfn.UNIQUE(_xlfn._xlws.FILTER(_xlpm.X,_xlpm.X&lt;&gt;""))),Table3[[#This Row],[Nr]])),"")</f>
        <v/>
      </c>
      <c r="C27" s="74" t="str">
        <f ca="1">IFERROR(_xlfn.XLOOKUP(Table3[[#This Row],[Artikelnummer]],'Sitze &amp; Ersatzteile'!A:A,'Sitze &amp; Ersatzteile'!B:B),"")</f>
        <v/>
      </c>
      <c r="D27" s="75">
        <f ca="1">_xlfn.IFNA(_xlfn.XLOOKUP(Table3[[#This Row],[Artikelnummer]],'Sitze &amp; Ersatzteile'!A:A,'Sitze &amp; Ersatzteile'!C:C),0)</f>
        <v>0</v>
      </c>
      <c r="E27" s="16"/>
      <c r="F27" s="76">
        <f ca="1">IFERROR(_xlfn.XLOOKUP(Table3[[#This Row],[Artikelnummer]],'Sitze &amp; Ersatzteile'!A:A,'Sitze &amp; Ersatzteile'!D:D),0)</f>
        <v>0</v>
      </c>
      <c r="G27" s="77" cm="1">
        <f t="array" aca="1" ref="G27" ca="1">_xlfn.IFS(E27=0,0,F27=0,0,E27&gt;0,F27*DATA!B$29)</f>
        <v>0</v>
      </c>
      <c r="I27" s="78">
        <f t="shared" ca="1" si="0"/>
        <v>0</v>
      </c>
    </row>
    <row r="28" spans="1:9">
      <c r="A28">
        <v>11</v>
      </c>
      <c r="B28" s="73" t="str" cm="1">
        <f t="array" aca="1" ref="B28" ca="1">IFERROR(_xlfn.LET(_xlpm.X,INDIRECT("data["&amp;product_selector&amp;"]"),INDEX(_xlfn._xlws.SORT(_xlfn.UNIQUE(_xlfn._xlws.FILTER(_xlpm.X,_xlpm.X&lt;&gt;""))),Table3[[#This Row],[Nr]])),"")</f>
        <v/>
      </c>
      <c r="C28" s="74" t="str">
        <f ca="1">IFERROR(_xlfn.XLOOKUP(Table3[[#This Row],[Artikelnummer]],'Sitze &amp; Ersatzteile'!A:A,'Sitze &amp; Ersatzteile'!B:B),"")</f>
        <v/>
      </c>
      <c r="D28" s="75">
        <f ca="1">_xlfn.IFNA(_xlfn.XLOOKUP(Table3[[#This Row],[Artikelnummer]],'Sitze &amp; Ersatzteile'!A:A,'Sitze &amp; Ersatzteile'!C:C),0)</f>
        <v>0</v>
      </c>
      <c r="E28" s="16"/>
      <c r="F28" s="76">
        <f ca="1">IFERROR(_xlfn.XLOOKUP(Table3[[#This Row],[Artikelnummer]],'Sitze &amp; Ersatzteile'!A:A,'Sitze &amp; Ersatzteile'!D:D),0)</f>
        <v>0</v>
      </c>
      <c r="G28" s="77" cm="1">
        <f t="array" aca="1" ref="G28" ca="1">_xlfn.IFS(E28=0,0,F28=0,0,E28&gt;0,F28*DATA!B$29)</f>
        <v>0</v>
      </c>
      <c r="I28" s="78">
        <f t="shared" ca="1" si="0"/>
        <v>0</v>
      </c>
    </row>
    <row r="29" spans="1:9">
      <c r="A29">
        <v>12</v>
      </c>
      <c r="B29" s="73" t="str" cm="1">
        <f t="array" aca="1" ref="B29" ca="1">IFERROR(_xlfn.LET(_xlpm.X,INDIRECT("data["&amp;product_selector&amp;"]"),INDEX(_xlfn._xlws.SORT(_xlfn.UNIQUE(_xlfn._xlws.FILTER(_xlpm.X,_xlpm.X&lt;&gt;""))),Table3[[#This Row],[Nr]])),"")</f>
        <v/>
      </c>
      <c r="C29" s="74" t="str">
        <f ca="1">IFERROR(_xlfn.XLOOKUP(Table3[[#This Row],[Artikelnummer]],'Sitze &amp; Ersatzteile'!A:A,'Sitze &amp; Ersatzteile'!B:B),"")</f>
        <v/>
      </c>
      <c r="D29" s="75">
        <f ca="1">_xlfn.IFNA(_xlfn.XLOOKUP(Table3[[#This Row],[Artikelnummer]],'Sitze &amp; Ersatzteile'!A:A,'Sitze &amp; Ersatzteile'!C:C),0)</f>
        <v>0</v>
      </c>
      <c r="E29" s="16"/>
      <c r="F29" s="76">
        <f ca="1">IFERROR(_xlfn.XLOOKUP(Table3[[#This Row],[Artikelnummer]],'Sitze &amp; Ersatzteile'!A:A,'Sitze &amp; Ersatzteile'!D:D),0)</f>
        <v>0</v>
      </c>
      <c r="G29" s="77" cm="1">
        <f t="array" aca="1" ref="G29" ca="1">_xlfn.IFS(E29=0,0,F29=0,0,E29&gt;0,F29*DATA!B$29)</f>
        <v>0</v>
      </c>
      <c r="I29" s="78">
        <f t="shared" ca="1" si="0"/>
        <v>0</v>
      </c>
    </row>
    <row r="30" spans="1:9">
      <c r="A30">
        <v>13</v>
      </c>
      <c r="B30" s="73" t="str" cm="1">
        <f t="array" aca="1" ref="B30" ca="1">IFERROR(_xlfn.LET(_xlpm.X,INDIRECT("data["&amp;product_selector&amp;"]"),INDEX(_xlfn._xlws.SORT(_xlfn.UNIQUE(_xlfn._xlws.FILTER(_xlpm.X,_xlpm.X&lt;&gt;""))),Table3[[#This Row],[Nr]])),"")</f>
        <v/>
      </c>
      <c r="C30" s="74" t="str">
        <f ca="1">IFERROR(_xlfn.XLOOKUP(Table3[[#This Row],[Artikelnummer]],'Sitze &amp; Ersatzteile'!A:A,'Sitze &amp; Ersatzteile'!B:B),"")</f>
        <v/>
      </c>
      <c r="D30" s="75">
        <f ca="1">_xlfn.IFNA(_xlfn.XLOOKUP(Table3[[#This Row],[Artikelnummer]],'Sitze &amp; Ersatzteile'!A:A,'Sitze &amp; Ersatzteile'!C:C),0)</f>
        <v>0</v>
      </c>
      <c r="E30" s="16"/>
      <c r="F30" s="76">
        <f ca="1">IFERROR(_xlfn.XLOOKUP(Table3[[#This Row],[Artikelnummer]],'Sitze &amp; Ersatzteile'!A:A,'Sitze &amp; Ersatzteile'!D:D),0)</f>
        <v>0</v>
      </c>
      <c r="G30" s="77" cm="1">
        <f t="array" aca="1" ref="G30" ca="1">_xlfn.IFS(E30=0,0,F30=0,0,E30&gt;0,F30*DATA!B$29)</f>
        <v>0</v>
      </c>
      <c r="I30" s="78">
        <f t="shared" ca="1" si="0"/>
        <v>0</v>
      </c>
    </row>
    <row r="31" spans="1:9">
      <c r="A31">
        <v>14</v>
      </c>
      <c r="B31" s="73" t="str" cm="1">
        <f t="array" aca="1" ref="B31" ca="1">IFERROR(_xlfn.LET(_xlpm.X,INDIRECT("data["&amp;product_selector&amp;"]"),INDEX(_xlfn._xlws.SORT(_xlfn.UNIQUE(_xlfn._xlws.FILTER(_xlpm.X,_xlpm.X&lt;&gt;""))),Table3[[#This Row],[Nr]])),"")</f>
        <v/>
      </c>
      <c r="C31" s="74" t="str">
        <f ca="1">IFERROR(_xlfn.XLOOKUP(Table3[[#This Row],[Artikelnummer]],'Sitze &amp; Ersatzteile'!A:A,'Sitze &amp; Ersatzteile'!B:B),"")</f>
        <v/>
      </c>
      <c r="D31" s="75">
        <f ca="1">_xlfn.IFNA(_xlfn.XLOOKUP(Table3[[#This Row],[Artikelnummer]],'Sitze &amp; Ersatzteile'!A:A,'Sitze &amp; Ersatzteile'!C:C),0)</f>
        <v>0</v>
      </c>
      <c r="E31" s="16"/>
      <c r="F31" s="76">
        <f ca="1">IFERROR(_xlfn.XLOOKUP(Table3[[#This Row],[Artikelnummer]],'Sitze &amp; Ersatzteile'!A:A,'Sitze &amp; Ersatzteile'!D:D),0)</f>
        <v>0</v>
      </c>
      <c r="G31" s="77" cm="1">
        <f t="array" aca="1" ref="G31" ca="1">_xlfn.IFS(E31=0,0,F31=0,0,E31&gt;0,F31*DATA!B$29)</f>
        <v>0</v>
      </c>
      <c r="I31" s="78">
        <f t="shared" ca="1" si="0"/>
        <v>0</v>
      </c>
    </row>
    <row r="32" spans="1:9">
      <c r="A32">
        <v>15</v>
      </c>
      <c r="B32" s="73" t="str" cm="1">
        <f t="array" aca="1" ref="B32" ca="1">IFERROR(_xlfn.LET(_xlpm.X,INDIRECT("data["&amp;product_selector&amp;"]"),INDEX(_xlfn._xlws.SORT(_xlfn.UNIQUE(_xlfn._xlws.FILTER(_xlpm.X,_xlpm.X&lt;&gt;""))),Table3[[#This Row],[Nr]])),"")</f>
        <v/>
      </c>
      <c r="C32" s="74" t="str">
        <f ca="1">IFERROR(_xlfn.XLOOKUP(Table3[[#This Row],[Artikelnummer]],'Sitze &amp; Ersatzteile'!A:A,'Sitze &amp; Ersatzteile'!B:B),"")</f>
        <v/>
      </c>
      <c r="D32" s="75">
        <f ca="1">_xlfn.IFNA(_xlfn.XLOOKUP(Table3[[#This Row],[Artikelnummer]],'Sitze &amp; Ersatzteile'!A:A,'Sitze &amp; Ersatzteile'!C:C),0)</f>
        <v>0</v>
      </c>
      <c r="E32" s="16"/>
      <c r="F32" s="76">
        <f ca="1">IFERROR(_xlfn.XLOOKUP(Table3[[#This Row],[Artikelnummer]],'Sitze &amp; Ersatzteile'!A:A,'Sitze &amp; Ersatzteile'!D:D),0)</f>
        <v>0</v>
      </c>
      <c r="G32" s="77" cm="1">
        <f t="array" aca="1" ref="G32" ca="1">_xlfn.IFS(E32=0,0,F32=0,0,E32&gt;0,F32*DATA!B$29)</f>
        <v>0</v>
      </c>
      <c r="I32" s="78">
        <f t="shared" ca="1" si="0"/>
        <v>0</v>
      </c>
    </row>
    <row r="33" spans="1:9">
      <c r="A33">
        <v>16</v>
      </c>
      <c r="B33" s="73" t="str" cm="1">
        <f t="array" aca="1" ref="B33" ca="1">IFERROR(_xlfn.LET(_xlpm.X,INDIRECT("data["&amp;product_selector&amp;"]"),INDEX(_xlfn._xlws.SORT(_xlfn.UNIQUE(_xlfn._xlws.FILTER(_xlpm.X,_xlpm.X&lt;&gt;""))),Table3[[#This Row],[Nr]])),"")</f>
        <v/>
      </c>
      <c r="C33" s="74" t="str">
        <f ca="1">IFERROR(_xlfn.XLOOKUP(Table3[[#This Row],[Artikelnummer]],'Sitze &amp; Ersatzteile'!A:A,'Sitze &amp; Ersatzteile'!B:B),"")</f>
        <v/>
      </c>
      <c r="D33" s="75">
        <f ca="1">_xlfn.IFNA(_xlfn.XLOOKUP(Table3[[#This Row],[Artikelnummer]],'Sitze &amp; Ersatzteile'!A:A,'Sitze &amp; Ersatzteile'!C:C),0)</f>
        <v>0</v>
      </c>
      <c r="E33" s="16"/>
      <c r="F33" s="76">
        <f ca="1">IFERROR(_xlfn.XLOOKUP(Table3[[#This Row],[Artikelnummer]],'Sitze &amp; Ersatzteile'!A:A,'Sitze &amp; Ersatzteile'!D:D),0)</f>
        <v>0</v>
      </c>
      <c r="G33" s="77" cm="1">
        <f t="array" aca="1" ref="G33" ca="1">_xlfn.IFS(E33=0,0,F33=0,0,E33&gt;0,F33*DATA!B$29)</f>
        <v>0</v>
      </c>
      <c r="I33" s="78">
        <f t="shared" ca="1" si="0"/>
        <v>0</v>
      </c>
    </row>
    <row r="34" spans="1:9">
      <c r="A34">
        <v>17</v>
      </c>
      <c r="B34" s="73" t="str" cm="1">
        <f t="array" aca="1" ref="B34" ca="1">IFERROR(_xlfn.LET(_xlpm.X,INDIRECT("data["&amp;product_selector&amp;"]"),INDEX(_xlfn._xlws.SORT(_xlfn.UNIQUE(_xlfn._xlws.FILTER(_xlpm.X,_xlpm.X&lt;&gt;""))),Table3[[#This Row],[Nr]])),"")</f>
        <v/>
      </c>
      <c r="C34" s="74" t="str">
        <f ca="1">IFERROR(_xlfn.XLOOKUP(Table3[[#This Row],[Artikelnummer]],'Sitze &amp; Ersatzteile'!A:A,'Sitze &amp; Ersatzteile'!B:B),"")</f>
        <v/>
      </c>
      <c r="D34" s="75">
        <f ca="1">_xlfn.IFNA(_xlfn.XLOOKUP(Table3[[#This Row],[Artikelnummer]],'Sitze &amp; Ersatzteile'!A:A,'Sitze &amp; Ersatzteile'!C:C),0)</f>
        <v>0</v>
      </c>
      <c r="E34" s="16"/>
      <c r="F34" s="76">
        <f ca="1">IFERROR(_xlfn.XLOOKUP(Table3[[#This Row],[Artikelnummer]],'Sitze &amp; Ersatzteile'!A:A,'Sitze &amp; Ersatzteile'!D:D),0)</f>
        <v>0</v>
      </c>
      <c r="G34" s="77" cm="1">
        <f t="array" aca="1" ref="G34" ca="1">_xlfn.IFS(E34=0,0,F34=0,0,E34&gt;0,F34*DATA!B$29)</f>
        <v>0</v>
      </c>
      <c r="I34" s="78">
        <f t="shared" ca="1" si="0"/>
        <v>0</v>
      </c>
    </row>
    <row r="35" spans="1:9">
      <c r="A35">
        <v>18</v>
      </c>
      <c r="B35" s="73" t="str" cm="1">
        <f t="array" aca="1" ref="B35" ca="1">IFERROR(_xlfn.LET(_xlpm.X,INDIRECT("data["&amp;product_selector&amp;"]"),INDEX(_xlfn._xlws.SORT(_xlfn.UNIQUE(_xlfn._xlws.FILTER(_xlpm.X,_xlpm.X&lt;&gt;""))),Table3[[#This Row],[Nr]])),"")</f>
        <v/>
      </c>
      <c r="C35" s="74" t="str">
        <f ca="1">IFERROR(_xlfn.XLOOKUP(Table3[[#This Row],[Artikelnummer]],'Sitze &amp; Ersatzteile'!A:A,'Sitze &amp; Ersatzteile'!B:B),"")</f>
        <v/>
      </c>
      <c r="D35" s="75">
        <f ca="1">_xlfn.IFNA(_xlfn.XLOOKUP(Table3[[#This Row],[Artikelnummer]],'Sitze &amp; Ersatzteile'!A:A,'Sitze &amp; Ersatzteile'!C:C),0)</f>
        <v>0</v>
      </c>
      <c r="E35" s="16"/>
      <c r="F35" s="76">
        <f ca="1">IFERROR(_xlfn.XLOOKUP(Table3[[#This Row],[Artikelnummer]],'Sitze &amp; Ersatzteile'!A:A,'Sitze &amp; Ersatzteile'!D:D),0)</f>
        <v>0</v>
      </c>
      <c r="G35" s="77" cm="1">
        <f t="array" aca="1" ref="G35" ca="1">_xlfn.IFS(E35=0,0,F35=0,0,E35&gt;0,F35*DATA!B$29)</f>
        <v>0</v>
      </c>
      <c r="I35" s="78">
        <f t="shared" ca="1" si="0"/>
        <v>0</v>
      </c>
    </row>
    <row r="36" spans="1:9">
      <c r="A36">
        <v>19</v>
      </c>
      <c r="B36" s="73" t="str" cm="1">
        <f t="array" aca="1" ref="B36" ca="1">IFERROR(_xlfn.LET(_xlpm.X,INDIRECT("data["&amp;product_selector&amp;"]"),INDEX(_xlfn._xlws.SORT(_xlfn.UNIQUE(_xlfn._xlws.FILTER(_xlpm.X,_xlpm.X&lt;&gt;""))),Table3[[#This Row],[Nr]])),"")</f>
        <v/>
      </c>
      <c r="C36" s="74" t="str">
        <f ca="1">IFERROR(_xlfn.XLOOKUP(Table3[[#This Row],[Artikelnummer]],'Sitze &amp; Ersatzteile'!A:A,'Sitze &amp; Ersatzteile'!B:B),"")</f>
        <v/>
      </c>
      <c r="D36" s="75">
        <f ca="1">_xlfn.IFNA(_xlfn.XLOOKUP(Table3[[#This Row],[Artikelnummer]],'Sitze &amp; Ersatzteile'!A:A,'Sitze &amp; Ersatzteile'!C:C),0)</f>
        <v>0</v>
      </c>
      <c r="E36" s="16"/>
      <c r="F36" s="76">
        <f ca="1">IFERROR(_xlfn.XLOOKUP(Table3[[#This Row],[Artikelnummer]],'Sitze &amp; Ersatzteile'!A:A,'Sitze &amp; Ersatzteile'!D:D),0)</f>
        <v>0</v>
      </c>
      <c r="G36" s="77" cm="1">
        <f t="array" aca="1" ref="G36" ca="1">_xlfn.IFS(E36=0,0,F36=0,0,E36&gt;0,F36*DATA!B$29)</f>
        <v>0</v>
      </c>
      <c r="I36" s="78">
        <f t="shared" ca="1" si="0"/>
        <v>0</v>
      </c>
    </row>
    <row r="37" spans="1:9">
      <c r="A37">
        <v>20</v>
      </c>
      <c r="B37" s="73" t="str" cm="1">
        <f t="array" aca="1" ref="B37" ca="1">IFERROR(_xlfn.LET(_xlpm.X,INDIRECT("data["&amp;product_selector&amp;"]"),INDEX(_xlfn._xlws.SORT(_xlfn.UNIQUE(_xlfn._xlws.FILTER(_xlpm.X,_xlpm.X&lt;&gt;""))),Table3[[#This Row],[Nr]])),"")</f>
        <v/>
      </c>
      <c r="C37" s="74" t="str">
        <f ca="1">IFERROR(_xlfn.XLOOKUP(Table3[[#This Row],[Artikelnummer]],'Sitze &amp; Ersatzteile'!A:A,'Sitze &amp; Ersatzteile'!B:B),"")</f>
        <v/>
      </c>
      <c r="D37" s="75">
        <f ca="1">_xlfn.IFNA(_xlfn.XLOOKUP(Table3[[#This Row],[Artikelnummer]],'Sitze &amp; Ersatzteile'!A:A,'Sitze &amp; Ersatzteile'!C:C),0)</f>
        <v>0</v>
      </c>
      <c r="E37" s="16"/>
      <c r="F37" s="76">
        <f ca="1">IFERROR(_xlfn.XLOOKUP(Table3[[#This Row],[Artikelnummer]],'Sitze &amp; Ersatzteile'!A:A,'Sitze &amp; Ersatzteile'!D:D),0)</f>
        <v>0</v>
      </c>
      <c r="G37" s="77" cm="1">
        <f t="array" aca="1" ref="G37" ca="1">_xlfn.IFS(E37=0,0,F37=0,0,E37&gt;0,F37*DATA!B$29)</f>
        <v>0</v>
      </c>
      <c r="I37" s="78">
        <f t="shared" ca="1" si="0"/>
        <v>0</v>
      </c>
    </row>
    <row r="38" spans="1:9">
      <c r="A38">
        <v>21</v>
      </c>
      <c r="B38" s="73" t="str" cm="1">
        <f t="array" aca="1" ref="B38" ca="1">IFERROR(_xlfn.LET(_xlpm.X,INDIRECT("data["&amp;product_selector&amp;"]"),INDEX(_xlfn._xlws.SORT(_xlfn.UNIQUE(_xlfn._xlws.FILTER(_xlpm.X,_xlpm.X&lt;&gt;""))),Table3[[#This Row],[Nr]])),"")</f>
        <v/>
      </c>
      <c r="C38" s="74" t="str">
        <f ca="1">IFERROR(_xlfn.XLOOKUP(Table3[[#This Row],[Artikelnummer]],'Sitze &amp; Ersatzteile'!A:A,'Sitze &amp; Ersatzteile'!B:B),"")</f>
        <v/>
      </c>
      <c r="D38" s="75">
        <f ca="1">_xlfn.IFNA(_xlfn.XLOOKUP(Table3[[#This Row],[Artikelnummer]],'Sitze &amp; Ersatzteile'!A:A,'Sitze &amp; Ersatzteile'!C:C),0)</f>
        <v>0</v>
      </c>
      <c r="E38" s="16"/>
      <c r="F38" s="76">
        <f ca="1">IFERROR(_xlfn.XLOOKUP(Table3[[#This Row],[Artikelnummer]],'Sitze &amp; Ersatzteile'!A:A,'Sitze &amp; Ersatzteile'!D:D),0)</f>
        <v>0</v>
      </c>
      <c r="G38" s="77" cm="1">
        <f t="array" aca="1" ref="G38" ca="1">_xlfn.IFS(E38=0,0,F38=0,0,E38&gt;0,F38*DATA!B$29)</f>
        <v>0</v>
      </c>
      <c r="I38" s="78">
        <f t="shared" ca="1" si="0"/>
        <v>0</v>
      </c>
    </row>
    <row r="39" spans="1:9">
      <c r="A39">
        <v>22</v>
      </c>
      <c r="B39" s="73" t="str" cm="1">
        <f t="array" aca="1" ref="B39" ca="1">IFERROR(_xlfn.LET(_xlpm.X,INDIRECT("data["&amp;product_selector&amp;"]"),INDEX(_xlfn._xlws.SORT(_xlfn.UNIQUE(_xlfn._xlws.FILTER(_xlpm.X,_xlpm.X&lt;&gt;""))),Table3[[#This Row],[Nr]])),"")</f>
        <v/>
      </c>
      <c r="C39" s="74" t="str">
        <f ca="1">IFERROR(_xlfn.XLOOKUP(Table3[[#This Row],[Artikelnummer]],'Sitze &amp; Ersatzteile'!A:A,'Sitze &amp; Ersatzteile'!B:B),"")</f>
        <v/>
      </c>
      <c r="D39" s="75">
        <f ca="1">_xlfn.IFNA(_xlfn.XLOOKUP(Table3[[#This Row],[Artikelnummer]],'Sitze &amp; Ersatzteile'!A:A,'Sitze &amp; Ersatzteile'!C:C),0)</f>
        <v>0</v>
      </c>
      <c r="E39" s="16"/>
      <c r="F39" s="76">
        <f ca="1">IFERROR(_xlfn.XLOOKUP(Table3[[#This Row],[Artikelnummer]],'Sitze &amp; Ersatzteile'!A:A,'Sitze &amp; Ersatzteile'!D:D),0)</f>
        <v>0</v>
      </c>
      <c r="G39" s="77" cm="1">
        <f t="array" aca="1" ref="G39" ca="1">_xlfn.IFS(E39=0,0,F39=0,0,E39&gt;0,F39*DATA!B$29)</f>
        <v>0</v>
      </c>
      <c r="I39" s="78">
        <f t="shared" ca="1" si="0"/>
        <v>0</v>
      </c>
    </row>
    <row r="40" spans="1:9">
      <c r="A40">
        <v>23</v>
      </c>
      <c r="B40" s="73" t="str" cm="1">
        <f t="array" aca="1" ref="B40" ca="1">IFERROR(_xlfn.LET(_xlpm.X,INDIRECT("data["&amp;product_selector&amp;"]"),INDEX(_xlfn._xlws.SORT(_xlfn.UNIQUE(_xlfn._xlws.FILTER(_xlpm.X,_xlpm.X&lt;&gt;""))),Table3[[#This Row],[Nr]])),"")</f>
        <v/>
      </c>
      <c r="C40" s="74" t="str">
        <f ca="1">IFERROR(_xlfn.XLOOKUP(Table3[[#This Row],[Artikelnummer]],'Sitze &amp; Ersatzteile'!A:A,'Sitze &amp; Ersatzteile'!B:B),"")</f>
        <v/>
      </c>
      <c r="D40" s="75">
        <f ca="1">_xlfn.IFNA(_xlfn.XLOOKUP(Table3[[#This Row],[Artikelnummer]],'Sitze &amp; Ersatzteile'!A:A,'Sitze &amp; Ersatzteile'!C:C),0)</f>
        <v>0</v>
      </c>
      <c r="E40" s="16"/>
      <c r="F40" s="76">
        <f ca="1">IFERROR(_xlfn.XLOOKUP(Table3[[#This Row],[Artikelnummer]],'Sitze &amp; Ersatzteile'!A:A,'Sitze &amp; Ersatzteile'!D:D),0)</f>
        <v>0</v>
      </c>
      <c r="G40" s="77" cm="1">
        <f t="array" aca="1" ref="G40" ca="1">_xlfn.IFS(E40=0,0,F40=0,0,E40&gt;0,F40*DATA!B$29)</f>
        <v>0</v>
      </c>
      <c r="I40" s="78">
        <f t="shared" ca="1" si="0"/>
        <v>0</v>
      </c>
    </row>
    <row r="41" spans="1:9">
      <c r="A41">
        <v>24</v>
      </c>
      <c r="B41" s="73" t="str" cm="1">
        <f t="array" aca="1" ref="B41" ca="1">IFERROR(_xlfn.LET(_xlpm.X,INDIRECT("data["&amp;product_selector&amp;"]"),INDEX(_xlfn._xlws.SORT(_xlfn.UNIQUE(_xlfn._xlws.FILTER(_xlpm.X,_xlpm.X&lt;&gt;""))),Table3[[#This Row],[Nr]])),"")</f>
        <v/>
      </c>
      <c r="C41" s="74" t="str">
        <f ca="1">IFERROR(_xlfn.XLOOKUP(Table3[[#This Row],[Artikelnummer]],'Sitze &amp; Ersatzteile'!A:A,'Sitze &amp; Ersatzteile'!B:B),"")</f>
        <v/>
      </c>
      <c r="D41" s="75">
        <f ca="1">_xlfn.IFNA(_xlfn.XLOOKUP(Table3[[#This Row],[Artikelnummer]],'Sitze &amp; Ersatzteile'!A:A,'Sitze &amp; Ersatzteile'!C:C),0)</f>
        <v>0</v>
      </c>
      <c r="E41" s="16"/>
      <c r="F41" s="76">
        <f ca="1">IFERROR(_xlfn.XLOOKUP(Table3[[#This Row],[Artikelnummer]],'Sitze &amp; Ersatzteile'!A:A,'Sitze &amp; Ersatzteile'!D:D),0)</f>
        <v>0</v>
      </c>
      <c r="G41" s="77" cm="1">
        <f t="array" aca="1" ref="G41" ca="1">_xlfn.IFS(E41=0,0,F41=0,0,E41&gt;0,F41*DATA!B$29)</f>
        <v>0</v>
      </c>
      <c r="I41" s="78">
        <f t="shared" ca="1" si="0"/>
        <v>0</v>
      </c>
    </row>
    <row r="42" spans="1:9" ht="15.75" thickBot="1">
      <c r="B42" s="80"/>
      <c r="C42" s="81"/>
      <c r="D42" s="82"/>
      <c r="E42" s="20"/>
      <c r="F42" s="81"/>
      <c r="G42" s="83"/>
    </row>
  </sheetData>
  <sheetProtection algorithmName="SHA-512" hashValue="QVT87GhhL9lBbTdi7j+bvYxn3sAlWRN6OMh57Sq8/ygTBwSveakr+ofJpFL524l8G+YeG2BYyd2bULLQXy498Q==" saltValue="jkyP3fUDfhL/wzTYyY5Rwg==" spinCount="100000" sheet="1" selectLockedCells="1"/>
  <mergeCells count="4">
    <mergeCell ref="J15:K15"/>
    <mergeCell ref="J11:K11"/>
    <mergeCell ref="J12:K12"/>
    <mergeCell ref="F3:G3"/>
  </mergeCells>
  <dataValidations count="1">
    <dataValidation type="list" allowBlank="1" showInputMessage="1" showErrorMessage="1" sqref="C6" xr:uid="{7CBA1611-3F68-497D-BD18-79FB97BDF349}">
      <formula1>INDIRECT("data[#Headers]")</formula1>
    </dataValidation>
  </dataValidations>
  <pageMargins left="0.7" right="0.7" top="0.75" bottom="0.75" header="0.3" footer="0.3"/>
  <pageSetup scale="85" orientation="landscape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Bitte angeben ob Kostenpflichtig oder Kostenfrei" promptTitle="Kostenpflichtig / Kostenfrei" xr:uid="{785B0A95-1FA7-4978-9022-20BADF3ED4E7}">
          <x14:formula1>
            <xm:f>DATA!$D$30:$D$32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CCD3-17DB-412C-A58D-1FBD28E7A8B8}">
  <dimension ref="A1:D133"/>
  <sheetViews>
    <sheetView workbookViewId="0">
      <selection activeCell="I19" sqref="I19"/>
    </sheetView>
  </sheetViews>
  <sheetFormatPr defaultColWidth="8.85546875" defaultRowHeight="15"/>
  <cols>
    <col min="1" max="1" width="15.5703125" customWidth="1"/>
    <col min="2" max="2" width="55.5703125" bestFit="1" customWidth="1"/>
    <col min="3" max="3" width="10.28515625" style="7" customWidth="1"/>
    <col min="4" max="4" width="12.140625" style="7" customWidth="1"/>
  </cols>
  <sheetData>
    <row r="1" spans="1:4">
      <c r="A1" s="87" t="s">
        <v>22</v>
      </c>
      <c r="B1" s="87"/>
      <c r="C1" s="87" t="s">
        <v>17</v>
      </c>
      <c r="D1" s="87" t="s">
        <v>19</v>
      </c>
    </row>
    <row r="2" spans="1:4">
      <c r="A2" s="10">
        <v>1103898</v>
      </c>
      <c r="B2" t="str">
        <f>_xlfn.XLOOKUP(A2,Ersatzteilpreisliste!A:A,Ersatzteilpreisliste!B:B)</f>
        <v>Kopfstütze + Styropor EPS - ONE2</v>
      </c>
      <c r="C2" s="9">
        <f>_xlfn.XLOOKUP(A2,Ersatzteilpreisliste!A:A,Ersatzteilpreisliste!C:C)</f>
        <v>24</v>
      </c>
      <c r="D2" s="7">
        <f>_xlfn.XLOOKUP(A2,Ersatzteilpreisliste!A:A,Ersatzteilpreisliste!D:D)</f>
        <v>1</v>
      </c>
    </row>
    <row r="3" spans="1:4">
      <c r="A3" s="10">
        <v>1103343</v>
      </c>
      <c r="B3" t="str">
        <f>_xlfn.XLOOKUP(A3,Ersatzteilpreisliste!A:A,Ersatzteilpreisliste!B:B)</f>
        <v>Recline Bushing + Stop Screw - ONE ONE2</v>
      </c>
      <c r="C3" s="9">
        <f>_xlfn.XLOOKUP(A3,Ersatzteilpreisliste!A:A,Ersatzteilpreisliste!C:C)</f>
        <v>3</v>
      </c>
      <c r="D3" s="7">
        <f>_xlfn.XLOOKUP(A3,Ersatzteilpreisliste!A:A,Ersatzteilpreisliste!D:D)</f>
        <v>3</v>
      </c>
    </row>
    <row r="4" spans="1:4">
      <c r="A4" s="10">
        <v>1103295</v>
      </c>
      <c r="B4" t="str">
        <f>_xlfn.XLOOKUP(A4,Ersatzteilpreisliste!A:A,Ersatzteilpreisliste!B:B)</f>
        <v>Anti Friction Kit + Schulterpolster - ONE</v>
      </c>
      <c r="C4" s="9">
        <f>_xlfn.XLOOKUP(A4,Ersatzteilpreisliste!A:A,Ersatzteilpreisliste!C:C)</f>
        <v>21</v>
      </c>
      <c r="D4" s="7">
        <f>_xlfn.XLOOKUP(A4,Ersatzteilpreisliste!A:A,Ersatzteilpreisliste!D:D)</f>
        <v>1</v>
      </c>
    </row>
    <row r="5" spans="1:4">
      <c r="A5" s="10">
        <v>1103031</v>
      </c>
      <c r="B5" t="str">
        <f>_xlfn.XLOOKUP(A5,Ersatzteilpreisliste!A:A,Ersatzteilpreisliste!B:B)</f>
        <v>ISOFIX Abstandhalter [RH] 10stk - ONE ONE2</v>
      </c>
      <c r="C5" s="9">
        <f>_xlfn.XLOOKUP(A5,Ersatzteilpreisliste!A:A,Ersatzteilpreisliste!C:C)</f>
        <v>21</v>
      </c>
      <c r="D5" s="7">
        <f>_xlfn.XLOOKUP(A5,Ersatzteilpreisliste!A:A,Ersatzteilpreisliste!D:D)</f>
        <v>1</v>
      </c>
    </row>
    <row r="6" spans="1:4">
      <c r="A6" s="10">
        <v>1103028</v>
      </c>
      <c r="B6" t="str">
        <f>_xlfn.XLOOKUP(A6,Ersatzteilpreisliste!A:A,Ersatzteilpreisliste!B:B)</f>
        <v>ISOFIX Abstandhalter [LH] 10stk - ONE ONE2</v>
      </c>
      <c r="C6" s="9">
        <f>_xlfn.XLOOKUP(A6,Ersatzteilpreisliste!A:A,Ersatzteilpreisliste!C:C)</f>
        <v>21</v>
      </c>
      <c r="D6" s="7">
        <f>_xlfn.XLOOKUP(A6,Ersatzteilpreisliste!A:A,Ersatzteilpreisliste!D:D)</f>
        <v>1</v>
      </c>
    </row>
    <row r="7" spans="1:4">
      <c r="A7" s="10">
        <v>1103019</v>
      </c>
      <c r="B7" t="str">
        <f>_xlfn.XLOOKUP(A7,Ersatzteilpreisliste!A:A,Ersatzteilpreisliste!B:B)</f>
        <v>Stützfuß Abdeckung - ONE ONE2</v>
      </c>
      <c r="C7" s="9">
        <f>_xlfn.XLOOKUP(A7,Ersatzteilpreisliste!A:A,Ersatzteilpreisliste!C:C)</f>
        <v>4</v>
      </c>
      <c r="D7" s="7">
        <f>_xlfn.XLOOKUP(A7,Ersatzteilpreisliste!A:A,Ersatzteilpreisliste!D:D)</f>
        <v>1</v>
      </c>
    </row>
    <row r="8" spans="1:4">
      <c r="A8" s="10">
        <v>1102859</v>
      </c>
      <c r="B8" t="str">
        <f>_xlfn.XLOOKUP(A8,Ersatzteilpreisliste!A:A,Ersatzteilpreisliste!B:B)</f>
        <v>ASIP Befestigung (LH+RH) - ONE ONE2</v>
      </c>
      <c r="C8" s="9">
        <f>_xlfn.XLOOKUP(A8,Ersatzteilpreisliste!A:A,Ersatzteilpreisliste!C:C)</f>
        <v>6</v>
      </c>
      <c r="D8" s="7">
        <f>_xlfn.XLOOKUP(A8,Ersatzteilpreisliste!A:A,Ersatzteilpreisliste!D:D)</f>
        <v>2</v>
      </c>
    </row>
    <row r="9" spans="1:4">
      <c r="A9" s="10">
        <v>1102238</v>
      </c>
      <c r="B9" t="str">
        <f>_xlfn.XLOOKUP(A9,Ersatzteilpreisliste!A:A,Ersatzteilpreisliste!B:B)</f>
        <v>Kopfstütze Mutter - ONE</v>
      </c>
      <c r="C9" s="9">
        <f>_xlfn.XLOOKUP(A9,Ersatzteilpreisliste!A:A,Ersatzteilpreisliste!C:C)</f>
        <v>1</v>
      </c>
      <c r="D9" s="7">
        <f>_xlfn.XLOOKUP(A9,Ersatzteilpreisliste!A:A,Ersatzteilpreisliste!D:D)</f>
        <v>1</v>
      </c>
    </row>
    <row r="10" spans="1:4">
      <c r="A10" s="10">
        <v>1101986</v>
      </c>
      <c r="B10" t="str">
        <f>_xlfn.XLOOKUP(A10,Ersatzteilpreisliste!A:A,Ersatzteilpreisliste!B:B)</f>
        <v>ISOFIX Connectoren (LH+RH) - ONE</v>
      </c>
      <c r="C10" s="9">
        <f>_xlfn.XLOOKUP(A10,Ersatzteilpreisliste!A:A,Ersatzteilpreisliste!C:C)</f>
        <v>33</v>
      </c>
      <c r="D10" s="7">
        <f>_xlfn.XLOOKUP(A10,Ersatzteilpreisliste!A:A,Ersatzteilpreisliste!D:D)</f>
        <v>1</v>
      </c>
    </row>
    <row r="11" spans="1:4">
      <c r="A11" s="10">
        <v>1101936</v>
      </c>
      <c r="B11" t="str">
        <f>_xlfn.XLOOKUP(A11,Ersatzteilpreisliste!A:A,Ersatzteilpreisliste!B:B)</f>
        <v>5 Punkt Gurtsystem - ONE ONE2</v>
      </c>
      <c r="C11" s="9">
        <f>_xlfn.XLOOKUP(A11,Ersatzteilpreisliste!A:A,Ersatzteilpreisliste!C:C)</f>
        <v>30</v>
      </c>
      <c r="D11" s="7">
        <f>_xlfn.XLOOKUP(A11,Ersatzteilpreisliste!A:A,Ersatzteilpreisliste!D:D)</f>
        <v>4</v>
      </c>
    </row>
    <row r="12" spans="1:4">
      <c r="A12" s="10">
        <v>1101935</v>
      </c>
      <c r="B12" t="str">
        <f>_xlfn.XLOOKUP(A12,Ersatzteilpreisliste!A:A,Ersatzteilpreisliste!B:B)</f>
        <v>Klettverschluss - ONE ONE2</v>
      </c>
      <c r="C12" s="9">
        <f>_xlfn.XLOOKUP(A12,Ersatzteilpreisliste!A:A,Ersatzteilpreisliste!C:C)</f>
        <v>3</v>
      </c>
      <c r="D12" s="7">
        <f>_xlfn.XLOOKUP(A12,Ersatzteilpreisliste!A:A,Ersatzteilpreisliste!D:D)</f>
        <v>1</v>
      </c>
    </row>
    <row r="13" spans="1:4">
      <c r="A13" s="10">
        <v>1101934</v>
      </c>
      <c r="B13" t="str">
        <f>_xlfn.XLOOKUP(A13,Ersatzteilpreisliste!A:A,Ersatzteilpreisliste!B:B)</f>
        <v xml:space="preserve">Halterung Seitenabdeckung - ONE </v>
      </c>
      <c r="C13" s="9">
        <f>_xlfn.XLOOKUP(A13,Ersatzteilpreisliste!A:A,Ersatzteilpreisliste!C:C)</f>
        <v>3</v>
      </c>
      <c r="D13" s="7">
        <f>_xlfn.XLOOKUP(A13,Ersatzteilpreisliste!A:A,Ersatzteilpreisliste!D:D)</f>
        <v>2</v>
      </c>
    </row>
    <row r="14" spans="1:4">
      <c r="A14" s="10">
        <v>1101933</v>
      </c>
      <c r="B14" t="str">
        <f>_xlfn.XLOOKUP(A14,Ersatzteilpreisliste!A:A,Ersatzteilpreisliste!B:B)</f>
        <v>Seitenabdeckung - ONE ONE2</v>
      </c>
      <c r="C14" s="9">
        <f>_xlfn.XLOOKUP(A14,Ersatzteilpreisliste!A:A,Ersatzteilpreisliste!C:C)</f>
        <v>3</v>
      </c>
      <c r="D14" s="7">
        <f>_xlfn.XLOOKUP(A14,Ersatzteilpreisliste!A:A,Ersatzteilpreisliste!D:D)</f>
        <v>2</v>
      </c>
    </row>
    <row r="15" spans="1:4">
      <c r="A15" s="10">
        <v>1101932</v>
      </c>
      <c r="B15" t="str">
        <f>_xlfn.XLOOKUP(A15,Ersatzteilpreisliste!A:A,Ersatzteilpreisliste!B:B)</f>
        <v>ARB Abdeckung (RH+LH) - ONE ONE2</v>
      </c>
      <c r="C15" s="9">
        <f>_xlfn.XLOOKUP(A15,Ersatzteilpreisliste!A:A,Ersatzteilpreisliste!C:C)</f>
        <v>3</v>
      </c>
      <c r="D15" s="7">
        <f>_xlfn.XLOOKUP(A15,Ersatzteilpreisliste!A:A,Ersatzteilpreisliste!D:D)</f>
        <v>1</v>
      </c>
    </row>
    <row r="16" spans="1:4">
      <c r="A16" s="10">
        <v>1101929</v>
      </c>
      <c r="B16" t="str">
        <f>_xlfn.XLOOKUP(A16,Ersatzteilpreisliste!A:A,Ersatzteilpreisliste!B:B)</f>
        <v>Stützfuß Gurt - ONE ONE2</v>
      </c>
      <c r="C16" s="9">
        <f>_xlfn.XLOOKUP(A16,Ersatzteilpreisliste!A:A,Ersatzteilpreisliste!C:C)</f>
        <v>3</v>
      </c>
      <c r="D16" s="7">
        <f>_xlfn.XLOOKUP(A16,Ersatzteilpreisliste!A:A,Ersatzteilpreisliste!D:D)</f>
        <v>1</v>
      </c>
    </row>
    <row r="17" spans="1:4">
      <c r="A17" s="10">
        <v>1101928</v>
      </c>
      <c r="B17" t="str">
        <f>_xlfn.XLOOKUP(A17,Ersatzteilpreisliste!A:A,Ersatzteilpreisliste!B:B)</f>
        <v>Stützfuß Knopf - ONE ONE2</v>
      </c>
      <c r="C17" s="9">
        <f>_xlfn.XLOOKUP(A17,Ersatzteilpreisliste!A:A,Ersatzteilpreisliste!C:C)</f>
        <v>3</v>
      </c>
      <c r="D17" s="7">
        <f>_xlfn.XLOOKUP(A17,Ersatzteilpreisliste!A:A,Ersatzteilpreisliste!D:D)</f>
        <v>1</v>
      </c>
    </row>
    <row r="18" spans="1:4">
      <c r="A18" s="10">
        <v>1101927</v>
      </c>
      <c r="B18" t="str">
        <f>_xlfn.XLOOKUP(A18,Ersatzteilpreisliste!A:A,Ersatzteilpreisliste!B:B)</f>
        <v>Kopfstütze Verstellknopf - ONE</v>
      </c>
      <c r="C18" s="9">
        <f>_xlfn.XLOOKUP(A18,Ersatzteilpreisliste!A:A,Ersatzteilpreisliste!C:C)</f>
        <v>5</v>
      </c>
      <c r="D18" s="7">
        <f>_xlfn.XLOOKUP(A18,Ersatzteilpreisliste!A:A,Ersatzteilpreisliste!D:D)</f>
        <v>4</v>
      </c>
    </row>
    <row r="19" spans="1:4">
      <c r="A19" s="10">
        <v>1101926</v>
      </c>
      <c r="B19" t="str">
        <f>_xlfn.XLOOKUP(A19,Ersatzteilpreisliste!A:A,Ersatzteilpreisliste!B:B)</f>
        <v>Kopfstütze + Styropor EPS - ONE</v>
      </c>
      <c r="C19" s="9">
        <f>_xlfn.XLOOKUP(A19,Ersatzteilpreisliste!A:A,Ersatzteilpreisliste!C:C)</f>
        <v>24</v>
      </c>
      <c r="D19" s="7">
        <f>_xlfn.XLOOKUP(A19,Ersatzteilpreisliste!A:A,Ersatzteilpreisliste!D:D)</f>
        <v>1</v>
      </c>
    </row>
    <row r="20" spans="1:4">
      <c r="A20" s="10">
        <v>1101925</v>
      </c>
      <c r="B20" t="str">
        <f>_xlfn.XLOOKUP(A20,Ersatzteilpreisliste!A:A,Ersatzteilpreisliste!B:B)</f>
        <v>ARB Drehknopf - ONE ONE2</v>
      </c>
      <c r="C20" s="9">
        <f>_xlfn.XLOOKUP(A20,Ersatzteilpreisliste!A:A,Ersatzteilpreisliste!C:C)</f>
        <v>3</v>
      </c>
      <c r="D20" s="7">
        <f>_xlfn.XLOOKUP(A20,Ersatzteilpreisliste!A:A,Ersatzteilpreisliste!D:D)</f>
        <v>1</v>
      </c>
    </row>
    <row r="21" spans="1:4">
      <c r="A21" s="10">
        <v>1101924</v>
      </c>
      <c r="B21" t="str">
        <f>_xlfn.XLOOKUP(A21,Ersatzteilpreisliste!A:A,Ersatzteilpreisliste!B:B)</f>
        <v>Stützfuß Spieldose - ONE ONE2</v>
      </c>
      <c r="C21" s="9">
        <f>_xlfn.XLOOKUP(A21,Ersatzteilpreisliste!A:A,Ersatzteilpreisliste!C:C)</f>
        <v>12</v>
      </c>
      <c r="D21" s="7">
        <f>_xlfn.XLOOKUP(A21,Ersatzteilpreisliste!A:A,Ersatzteilpreisliste!D:D)</f>
        <v>1</v>
      </c>
    </row>
    <row r="22" spans="1:4">
      <c r="A22" s="10">
        <v>1101922</v>
      </c>
      <c r="B22" t="str">
        <f>_xlfn.XLOOKUP(A22,Ersatzteilpreisliste!A:A,Ersatzteilpreisliste!B:B)</f>
        <v>ARB Komplett - ONE ONE2</v>
      </c>
      <c r="C22" s="9">
        <f>_xlfn.XLOOKUP(A22,Ersatzteilpreisliste!A:A,Ersatzteilpreisliste!C:C)</f>
        <v>78</v>
      </c>
      <c r="D22" s="7">
        <f>_xlfn.XLOOKUP(A22,Ersatzteilpreisliste!A:A,Ersatzteilpreisliste!D:D)</f>
        <v>3</v>
      </c>
    </row>
    <row r="23" spans="1:4">
      <c r="A23" s="10">
        <v>1101921</v>
      </c>
      <c r="B23" t="str">
        <f>_xlfn.XLOOKUP(A23,Ersatzteilpreisliste!A:A,Ersatzteilpreisliste!B:B)</f>
        <v>Stützfuß Komplett - ONE ONE2</v>
      </c>
      <c r="C23" s="9">
        <f>_xlfn.XLOOKUP(A23,Ersatzteilpreisliste!A:A,Ersatzteilpreisliste!C:C)</f>
        <v>70</v>
      </c>
      <c r="D23" s="7">
        <f>_xlfn.XLOOKUP(A23,Ersatzteilpreisliste!A:A,Ersatzteilpreisliste!D:D)</f>
        <v>1</v>
      </c>
    </row>
    <row r="24" spans="1:4">
      <c r="A24" s="10" t="s">
        <v>23</v>
      </c>
      <c r="B24" t="str">
        <f>_xlfn.XLOOKUP(A24,Ersatzteilpreisliste!A:A,Ersatzteilpreisliste!B:B)</f>
        <v>Reinigung - ISOFIX</v>
      </c>
      <c r="C24" s="9">
        <f>_xlfn.XLOOKUP(A24,Ersatzteilpreisliste!A:A,Ersatzteilpreisliste!C:C)</f>
        <v>0</v>
      </c>
      <c r="D24" s="7">
        <f>_xlfn.XLOOKUP(A24,Ersatzteilpreisliste!A:A,Ersatzteilpreisliste!D:D)</f>
        <v>2</v>
      </c>
    </row>
    <row r="25" spans="1:4">
      <c r="A25" s="10" t="s">
        <v>24</v>
      </c>
      <c r="B25" t="str">
        <f>_xlfn.XLOOKUP(A25,Ersatzteilpreisliste!A:A,Ersatzteilpreisliste!B:B)</f>
        <v xml:space="preserve">Reinigung - Schiebefunktion </v>
      </c>
      <c r="C25" s="9">
        <f>_xlfn.XLOOKUP(A25,Ersatzteilpreisliste!A:A,Ersatzteilpreisliste!C:C)</f>
        <v>0</v>
      </c>
      <c r="D25" s="7">
        <f>_xlfn.XLOOKUP(A25,Ersatzteilpreisliste!A:A,Ersatzteilpreisliste!D:D)</f>
        <v>2</v>
      </c>
    </row>
    <row r="26" spans="1:4">
      <c r="C26" s="9"/>
    </row>
    <row r="27" spans="1:4">
      <c r="A27" s="87" t="s">
        <v>25</v>
      </c>
      <c r="B27" s="87"/>
      <c r="C27" s="87" t="s">
        <v>17</v>
      </c>
      <c r="D27" s="87" t="s">
        <v>19</v>
      </c>
    </row>
    <row r="28" spans="1:4">
      <c r="A28" s="10">
        <v>1104796</v>
      </c>
      <c r="B28" t="str">
        <f>_xlfn.XLOOKUP(A28,Ersatzteilpreisliste!A:A,Ersatzteilpreisliste!B:B)</f>
        <v>Kopfstütze Aufroller &amp; Clip - MK3</v>
      </c>
      <c r="C28" s="9">
        <f>_xlfn.XLOOKUP(A28,Ersatzteilpreisliste!A:A,Ersatzteilpreisliste!C:C)</f>
        <v>25</v>
      </c>
      <c r="D28" s="7">
        <f>_xlfn.XLOOKUP(A28,Ersatzteilpreisliste!A:A,Ersatzteilpreisliste!D:D)</f>
        <v>1</v>
      </c>
    </row>
    <row r="29" spans="1:4">
      <c r="A29" s="10">
        <v>1103706</v>
      </c>
      <c r="B29" t="str">
        <f>_xlfn.XLOOKUP(A29,Ersatzteilpreisliste!A:A,Ersatzteilpreisliste!B:B)</f>
        <v>BUSHINGS + HOUSING SUPPORT LEG (MK3)</v>
      </c>
      <c r="C29" s="9">
        <f>_xlfn.XLOOKUP(A29,Ersatzteilpreisliste!A:A,Ersatzteilpreisliste!C:C)</f>
        <v>3</v>
      </c>
      <c r="D29" s="7">
        <f>_xlfn.XLOOKUP(A29,Ersatzteilpreisliste!A:A,Ersatzteilpreisliste!D:D)</f>
        <v>1</v>
      </c>
    </row>
    <row r="30" spans="1:4">
      <c r="A30" s="10">
        <v>1103703</v>
      </c>
      <c r="B30" t="str">
        <f>_xlfn.XLOOKUP(A30,Ersatzteilpreisliste!A:A,Ersatzteilpreisliste!B:B)</f>
        <v>Aufkleber - MK3</v>
      </c>
      <c r="C30" s="9">
        <f>_xlfn.XLOOKUP(A30,Ersatzteilpreisliste!A:A,Ersatzteilpreisliste!C:C)</f>
        <v>1.5</v>
      </c>
      <c r="D30" s="7">
        <f>_xlfn.XLOOKUP(A30,Ersatzteilpreisliste!A:A,Ersatzteilpreisliste!D:D)</f>
        <v>1</v>
      </c>
    </row>
    <row r="31" spans="1:4">
      <c r="A31" s="10">
        <v>1103702</v>
      </c>
      <c r="B31" t="str">
        <f>_xlfn.XLOOKUP(A31,Ersatzteilpreisliste!A:A,Ersatzteilpreisliste!B:B)</f>
        <v>HANGTAGS + MANUAL + PACKAGING - MK3</v>
      </c>
      <c r="C31" s="9">
        <f>_xlfn.XLOOKUP(A31,Ersatzteilpreisliste!A:A,Ersatzteilpreisliste!C:C)</f>
        <v>20</v>
      </c>
      <c r="D31" s="7">
        <f>_xlfn.XLOOKUP(A31,Ersatzteilpreisliste!A:A,Ersatzteilpreisliste!D:D)</f>
        <v>1</v>
      </c>
    </row>
    <row r="32" spans="1:4">
      <c r="A32" s="10">
        <v>1103693</v>
      </c>
      <c r="B32" t="str">
        <f>_xlfn.XLOOKUP(A32,Ersatzteilpreisliste!A:A,Ersatzteilpreisliste!B:B)</f>
        <v>Kopfstütze Bremseinheit - MK3</v>
      </c>
      <c r="C32" s="9">
        <f>_xlfn.XLOOKUP(A32,Ersatzteilpreisliste!A:A,Ersatzteilpreisliste!C:C)</f>
        <v>10</v>
      </c>
      <c r="D32" s="7">
        <f>_xlfn.XLOOKUP(A32,Ersatzteilpreisliste!A:A,Ersatzteilpreisliste!D:D)</f>
        <v>1</v>
      </c>
    </row>
    <row r="33" spans="1:4">
      <c r="A33" s="10">
        <v>1103688</v>
      </c>
      <c r="B33" t="str">
        <f>_xlfn.XLOOKUP(A33,Ersatzteilpreisliste!A:A,Ersatzteilpreisliste!B:B)</f>
        <v>Klettverschluss - MK3</v>
      </c>
      <c r="C33" s="9">
        <f>_xlfn.XLOOKUP(A33,Ersatzteilpreisliste!A:A,Ersatzteilpreisliste!C:C)</f>
        <v>4</v>
      </c>
      <c r="D33" s="7">
        <f>_xlfn.XLOOKUP(A33,Ersatzteilpreisliste!A:A,Ersatzteilpreisliste!D:D)</f>
        <v>1</v>
      </c>
    </row>
    <row r="34" spans="1:4">
      <c r="A34" s="10">
        <v>1103686</v>
      </c>
      <c r="B34" t="str">
        <f>_xlfn.XLOOKUP(A34,Ersatzteilpreisliste!A:A,Ersatzteilpreisliste!B:B)</f>
        <v>Stützfuß Knopf - MK3</v>
      </c>
      <c r="C34" s="9">
        <f>_xlfn.XLOOKUP(A34,Ersatzteilpreisliste!A:A,Ersatzteilpreisliste!C:C)</f>
        <v>3</v>
      </c>
      <c r="D34" s="7">
        <f>_xlfn.XLOOKUP(A34,Ersatzteilpreisliste!A:A,Ersatzteilpreisliste!D:D)</f>
        <v>1</v>
      </c>
    </row>
    <row r="35" spans="1:4">
      <c r="A35" s="10">
        <v>1103685</v>
      </c>
      <c r="B35" t="str">
        <f>_xlfn.XLOOKUP(A35,Ersatzteilpreisliste!A:A,Ersatzteilpreisliste!B:B)</f>
        <v>Stützfuß Gurtband - MK3</v>
      </c>
      <c r="C35" s="9">
        <f>_xlfn.XLOOKUP(A35,Ersatzteilpreisliste!A:A,Ersatzteilpreisliste!C:C)</f>
        <v>3</v>
      </c>
      <c r="D35" s="7">
        <f>_xlfn.XLOOKUP(A35,Ersatzteilpreisliste!A:A,Ersatzteilpreisliste!D:D)</f>
        <v>1</v>
      </c>
    </row>
    <row r="36" spans="1:4">
      <c r="A36" s="10">
        <v>1103684</v>
      </c>
      <c r="B36" t="str">
        <f>_xlfn.XLOOKUP(A36,Ersatzteilpreisliste!A:A,Ersatzteilpreisliste!B:B)</f>
        <v>Stützfuß Komplett - MK3</v>
      </c>
      <c r="C36" s="9">
        <f>_xlfn.XLOOKUP(A36,Ersatzteilpreisliste!A:A,Ersatzteilpreisliste!C:C)</f>
        <v>8</v>
      </c>
      <c r="D36" s="7">
        <f>_xlfn.XLOOKUP(A36,Ersatzteilpreisliste!A:A,Ersatzteilpreisliste!D:D)</f>
        <v>1</v>
      </c>
    </row>
    <row r="37" spans="1:4">
      <c r="A37" s="10">
        <v>1103681</v>
      </c>
      <c r="B37" t="str">
        <f>_xlfn.XLOOKUP(A37,Ersatzteilpreisliste!A:A,Ersatzteilpreisliste!B:B)</f>
        <v>Styropor EPS [LH+RH] - MK3</v>
      </c>
      <c r="C37" s="9">
        <f>_xlfn.XLOOKUP(A37,Ersatzteilpreisliste!A:A,Ersatzteilpreisliste!C:C)</f>
        <v>17</v>
      </c>
      <c r="D37" s="7">
        <f>_xlfn.XLOOKUP(A37,Ersatzteilpreisliste!A:A,Ersatzteilpreisliste!D:D)</f>
        <v>1</v>
      </c>
    </row>
    <row r="38" spans="1:4">
      <c r="A38" s="10">
        <v>1103651</v>
      </c>
      <c r="B38" t="str">
        <f>_xlfn.XLOOKUP(A38,Ersatzteilpreisliste!A:A,Ersatzteilpreisliste!B:B)</f>
        <v>Gurtklemme + Schrauben - MK3</v>
      </c>
      <c r="C38" s="9">
        <f>_xlfn.XLOOKUP(A38,Ersatzteilpreisliste!A:A,Ersatzteilpreisliste!C:C)</f>
        <v>7.5</v>
      </c>
      <c r="D38" s="7">
        <f>_xlfn.XLOOKUP(A38,Ersatzteilpreisliste!A:A,Ersatzteilpreisliste!D:D)</f>
        <v>1</v>
      </c>
    </row>
    <row r="39" spans="1:4">
      <c r="A39" s="10">
        <v>1103650</v>
      </c>
      <c r="B39" t="str">
        <f>_xlfn.XLOOKUP(A39,Ersatzteilpreisliste!A:A,Ersatzteilpreisliste!B:B)</f>
        <v>Gurtklemme - MK3</v>
      </c>
      <c r="C39" s="9">
        <f>_xlfn.XLOOKUP(A39,Ersatzteilpreisliste!A:A,Ersatzteilpreisliste!C:C)</f>
        <v>6</v>
      </c>
      <c r="D39" s="7">
        <f>_xlfn.XLOOKUP(A39,Ersatzteilpreisliste!A:A,Ersatzteilpreisliste!D:D)</f>
        <v>1</v>
      </c>
    </row>
    <row r="40" spans="1:4">
      <c r="A40" s="10">
        <v>1103649</v>
      </c>
      <c r="B40" t="str">
        <f>_xlfn.XLOOKUP(A40,Ersatzteilpreisliste!A:A,Ersatzteilpreisliste!B:B)</f>
        <v>Gurtaufroller Gehäuse Vorne u. Hinten - MK3</v>
      </c>
      <c r="C40" s="9">
        <f>_xlfn.XLOOKUP(A40,Ersatzteilpreisliste!A:A,Ersatzteilpreisliste!C:C)</f>
        <v>5</v>
      </c>
      <c r="D40" s="7">
        <f>_xlfn.XLOOKUP(A40,Ersatzteilpreisliste!A:A,Ersatzteilpreisliste!D:D)</f>
        <v>1</v>
      </c>
    </row>
    <row r="41" spans="1:4">
      <c r="A41" s="10">
        <v>1103648</v>
      </c>
      <c r="B41" t="str">
        <f>_xlfn.XLOOKUP(A41,Ersatzteilpreisliste!A:A,Ersatzteilpreisliste!B:B)</f>
        <v>Gurtaufroller 900mm HARNESS [LH] - MK3</v>
      </c>
      <c r="C41" s="9">
        <f>_xlfn.XLOOKUP(A41,Ersatzteilpreisliste!A:A,Ersatzteilpreisliste!C:C)</f>
        <v>25</v>
      </c>
      <c r="D41" s="7">
        <f>_xlfn.XLOOKUP(A41,Ersatzteilpreisliste!A:A,Ersatzteilpreisliste!D:D)</f>
        <v>1</v>
      </c>
    </row>
    <row r="42" spans="1:4">
      <c r="A42" s="10">
        <v>1103647</v>
      </c>
      <c r="B42" t="str">
        <f>_xlfn.XLOOKUP(A42,Ersatzteilpreisliste!A:A,Ersatzteilpreisliste!B:B)</f>
        <v>Gurtaufroller 900mm HARNESS [RH] - MK3</v>
      </c>
      <c r="C42" s="9">
        <f>_xlfn.XLOOKUP(A42,Ersatzteilpreisliste!A:A,Ersatzteilpreisliste!C:C)</f>
        <v>25</v>
      </c>
      <c r="D42" s="7">
        <f>_xlfn.XLOOKUP(A42,Ersatzteilpreisliste!A:A,Ersatzteilpreisliste!D:D)</f>
        <v>1</v>
      </c>
    </row>
    <row r="43" spans="1:4">
      <c r="A43" s="10">
        <v>1103646</v>
      </c>
      <c r="B43" t="str">
        <f>_xlfn.XLOOKUP(A43,Ersatzteilpreisliste!A:A,Ersatzteilpreisliste!B:B)</f>
        <v>Kopfstütze - MK3</v>
      </c>
      <c r="C43" s="9">
        <f>_xlfn.XLOOKUP(A43,Ersatzteilpreisliste!A:A,Ersatzteilpreisliste!C:C)</f>
        <v>25</v>
      </c>
      <c r="D43" s="7">
        <f>_xlfn.XLOOKUP(A43,Ersatzteilpreisliste!A:A,Ersatzteilpreisliste!D:D)</f>
        <v>1</v>
      </c>
    </row>
    <row r="44" spans="1:4">
      <c r="A44" s="10">
        <v>1103643</v>
      </c>
      <c r="B44" t="str">
        <f>_xlfn.XLOOKUP(A44,Ersatzteilpreisliste!A:A,Ersatzteilpreisliste!B:B)</f>
        <v>5 Punkt Gurtsystem - MK3</v>
      </c>
      <c r="C44" s="9">
        <f>_xlfn.XLOOKUP(A44,Ersatzteilpreisliste!A:A,Ersatzteilpreisliste!C:C)</f>
        <v>35</v>
      </c>
      <c r="D44" s="7">
        <f>_xlfn.XLOOKUP(A44,Ersatzteilpreisliste!A:A,Ersatzteilpreisliste!D:D)</f>
        <v>1</v>
      </c>
    </row>
    <row r="45" spans="1:4">
      <c r="A45" s="10">
        <v>1103642</v>
      </c>
      <c r="B45" t="str">
        <f>_xlfn.XLOOKUP(A45,Ersatzteilpreisliste!A:A,Ersatzteilpreisliste!B:B)</f>
        <v>Zentraler Gurtversteller - MK3</v>
      </c>
      <c r="C45" s="9">
        <f>_xlfn.XLOOKUP(A45,Ersatzteilpreisliste!A:A,Ersatzteilpreisliste!C:C)</f>
        <v>5</v>
      </c>
      <c r="D45" s="7">
        <f>_xlfn.XLOOKUP(A45,Ersatzteilpreisliste!A:A,Ersatzteilpreisliste!D:D)</f>
        <v>1</v>
      </c>
    </row>
    <row r="46" spans="1:4" ht="14.25" customHeight="1">
      <c r="A46" s="10">
        <v>1103641</v>
      </c>
      <c r="B46" t="str">
        <f>_xlfn.XLOOKUP(A46,Ersatzteilpreisliste!A:A,Ersatzteilpreisliste!B:B)</f>
        <v>ASIP + Halterung - MK3</v>
      </c>
      <c r="C46" s="9">
        <f>_xlfn.XLOOKUP(A46,Ersatzteilpreisliste!A:A,Ersatzteilpreisliste!C:C)</f>
        <v>7</v>
      </c>
      <c r="D46" s="7">
        <f>_xlfn.XLOOKUP(A46,Ersatzteilpreisliste!A:A,Ersatzteilpreisliste!D:D)</f>
        <v>1</v>
      </c>
    </row>
    <row r="47" spans="1:4">
      <c r="A47" s="10">
        <v>1103693</v>
      </c>
      <c r="B47" t="str">
        <f>_xlfn.XLOOKUP(A47,Ersatzteilpreisliste!A:A,Ersatzteilpreisliste!B:B)</f>
        <v>Kopfstütze Bremseinheit - MK3</v>
      </c>
      <c r="C47" s="9">
        <f>_xlfn.XLOOKUP(A47,Ersatzteilpreisliste!A:A,Ersatzteilpreisliste!C:C)</f>
        <v>10</v>
      </c>
      <c r="D47" s="7">
        <f>_xlfn.XLOOKUP(A47,Ersatzteilpreisliste!A:A,Ersatzteilpreisliste!D:D)</f>
        <v>1</v>
      </c>
    </row>
    <row r="48" spans="1:4">
      <c r="A48" s="10">
        <v>1103639</v>
      </c>
      <c r="B48" t="str">
        <f>_xlfn.XLOOKUP(A48,Ersatzteilpreisliste!A:A,Ersatzteilpreisliste!B:B)</f>
        <v>Kopfstütze Hebel Bremseinheit - MK3</v>
      </c>
      <c r="C48" s="9">
        <f>_xlfn.XLOOKUP(A48,Ersatzteilpreisliste!A:A,Ersatzteilpreisliste!C:C)</f>
        <v>5</v>
      </c>
      <c r="D48" s="7">
        <f>_xlfn.XLOOKUP(A48,Ersatzteilpreisliste!A:A,Ersatzteilpreisliste!D:D)</f>
        <v>1</v>
      </c>
    </row>
    <row r="49" spans="1:4">
      <c r="C49" s="9"/>
    </row>
    <row r="50" spans="1:4">
      <c r="A50" s="87" t="s">
        <v>26</v>
      </c>
      <c r="B50" s="87"/>
      <c r="C50" s="87" t="s">
        <v>17</v>
      </c>
      <c r="D50" s="87" t="s">
        <v>19</v>
      </c>
    </row>
    <row r="51" spans="1:4">
      <c r="A51" s="10">
        <v>1101314</v>
      </c>
      <c r="B51" t="str">
        <f>_xlfn.XLOOKUP(A51,Ersatzteilpreisliste!A:A,Ersatzteilpreisliste!B:B)</f>
        <v>Stützfuß Gurtband  - MK2 MV</v>
      </c>
      <c r="C51" s="9">
        <f>_xlfn.XLOOKUP(A51,Ersatzteilpreisliste!A:A,Ersatzteilpreisliste!C:C)</f>
        <v>3</v>
      </c>
      <c r="D51" s="7">
        <f>_xlfn.XLOOKUP(A51,Ersatzteilpreisliste!A:A,Ersatzteilpreisliste!D:D)</f>
        <v>3</v>
      </c>
    </row>
    <row r="52" spans="1:4">
      <c r="A52" s="10">
        <v>1101279</v>
      </c>
      <c r="B52" t="str">
        <f>_xlfn.XLOOKUP(A52,Ersatzteilpreisliste!A:A,Ersatzteilpreisliste!B:B)</f>
        <v>Absatz &amp; Nieten - MK2</v>
      </c>
      <c r="C52" s="9">
        <f>_xlfn.XLOOKUP(A52,Ersatzteilpreisliste!A:A,Ersatzteilpreisliste!C:C)</f>
        <v>13</v>
      </c>
      <c r="D52" s="7">
        <f>_xlfn.XLOOKUP(A52,Ersatzteilpreisliste!A:A,Ersatzteilpreisliste!D:D)</f>
        <v>1</v>
      </c>
    </row>
    <row r="53" spans="1:4">
      <c r="A53" s="10">
        <v>1100939</v>
      </c>
      <c r="B53" t="str">
        <f>_xlfn.XLOOKUP(A53,Ersatzteilpreisliste!A:A,Ersatzteilpreisliste!B:B)</f>
        <v>Gurtklemme [Blau] - MK2 MV</v>
      </c>
      <c r="C53" s="9">
        <f>_xlfn.XLOOKUP(A53,Ersatzteilpreisliste!A:A,Ersatzteilpreisliste!C:C)</f>
        <v>3</v>
      </c>
      <c r="D53" s="7">
        <f>_xlfn.XLOOKUP(A53,Ersatzteilpreisliste!A:A,Ersatzteilpreisliste!D:D)</f>
        <v>1</v>
      </c>
    </row>
    <row r="54" spans="1:4">
      <c r="A54" s="10">
        <v>1100834</v>
      </c>
      <c r="B54" t="str">
        <f>_xlfn.XLOOKUP(A54,Ersatzteilpreisliste!A:A,Ersatzteilpreisliste!B:B)</f>
        <v>Kopfstütze Spannrolle - MK2 MDS</v>
      </c>
      <c r="C54" s="9">
        <f>_xlfn.XLOOKUP(A54,Ersatzteilpreisliste!A:A,Ersatzteilpreisliste!C:C)</f>
        <v>13</v>
      </c>
      <c r="D54" s="7">
        <f>_xlfn.XLOOKUP(A54,Ersatzteilpreisliste!A:A,Ersatzteilpreisliste!D:D)</f>
        <v>3</v>
      </c>
    </row>
    <row r="55" spans="1:4">
      <c r="A55" s="10">
        <v>1100817</v>
      </c>
      <c r="B55" t="str">
        <f>_xlfn.XLOOKUP(A55,Ersatzteilpreisliste!A:A,Ersatzteilpreisliste!B:B)</f>
        <v>Neigungsverstellung - MK1 MK2</v>
      </c>
      <c r="C55" s="9">
        <f>_xlfn.XLOOKUP(A55,Ersatzteilpreisliste!A:A,Ersatzteilpreisliste!C:C)</f>
        <v>16</v>
      </c>
      <c r="D55" s="7">
        <f>_xlfn.XLOOKUP(A55,Ersatzteilpreisliste!A:A,Ersatzteilpreisliste!D:D)</f>
        <v>3</v>
      </c>
    </row>
    <row r="56" spans="1:4">
      <c r="A56" s="10">
        <v>1100816</v>
      </c>
      <c r="B56" t="str">
        <f>_xlfn.XLOOKUP(A56,Ersatzteilpreisliste!A:A,Ersatzteilpreisliste!B:B)</f>
        <v>ASIP Befestigung - MK2 MV</v>
      </c>
      <c r="C56" s="9">
        <f>_xlfn.XLOOKUP(A56,Ersatzteilpreisliste!A:A,Ersatzteilpreisliste!C:C)</f>
        <v>5</v>
      </c>
      <c r="D56" s="7">
        <f>_xlfn.XLOOKUP(A56,Ersatzteilpreisliste!A:A,Ersatzteilpreisliste!D:D)</f>
        <v>1</v>
      </c>
    </row>
    <row r="57" spans="1:4">
      <c r="A57" s="10">
        <v>1006504</v>
      </c>
      <c r="B57" t="str">
        <f>_xlfn.XLOOKUP(A57,Ersatzteilpreisliste!A:A,Ersatzteilpreisliste!B:B)</f>
        <v xml:space="preserve">Kopfstütze - MK2                           </v>
      </c>
      <c r="C57" s="9">
        <f>_xlfn.XLOOKUP(A57,Ersatzteilpreisliste!A:A,Ersatzteilpreisliste!C:C)</f>
        <v>19</v>
      </c>
      <c r="D57" s="7">
        <f>_xlfn.XLOOKUP(A57,Ersatzteilpreisliste!A:A,Ersatzteilpreisliste!D:D)</f>
        <v>2</v>
      </c>
    </row>
    <row r="58" spans="1:4">
      <c r="A58" s="10">
        <v>1004453</v>
      </c>
      <c r="B58" t="str">
        <f>_xlfn.XLOOKUP(A58,Ersatzteilpreisliste!A:A,Ersatzteilpreisliste!B:B)</f>
        <v>Gummifuß - MK2 MV</v>
      </c>
      <c r="C58" s="9">
        <f>_xlfn.XLOOKUP(A58,Ersatzteilpreisliste!A:A,Ersatzteilpreisliste!C:C)</f>
        <v>3</v>
      </c>
      <c r="D58" s="7">
        <f>_xlfn.XLOOKUP(A58,Ersatzteilpreisliste!A:A,Ersatzteilpreisliste!D:D)</f>
        <v>1</v>
      </c>
    </row>
    <row r="59" spans="1:4">
      <c r="A59" s="10">
        <v>1004445</v>
      </c>
      <c r="B59" t="str">
        <f>_xlfn.XLOOKUP(A59,Ersatzteilpreisliste!A:A,Ersatzteilpreisliste!B:B)</f>
        <v>Stützfuß Komplett - MK2 MV</v>
      </c>
      <c r="C59" s="9">
        <f>_xlfn.XLOOKUP(A59,Ersatzteilpreisliste!A:A,Ersatzteilpreisliste!C:C)</f>
        <v>30</v>
      </c>
      <c r="D59" s="7">
        <f>_xlfn.XLOOKUP(A59,Ersatzteilpreisliste!A:A,Ersatzteilpreisliste!D:D)</f>
        <v>3</v>
      </c>
    </row>
    <row r="60" spans="1:4">
      <c r="A60" s="10">
        <v>1003409</v>
      </c>
      <c r="B60" t="str">
        <f>_xlfn.XLOOKUP(A60,Ersatzteilpreisliste!A:A,Ersatzteilpreisliste!B:B)</f>
        <v>Gurtaufroller [LH] - MK2 MK1 RK DF</v>
      </c>
      <c r="C60" s="9">
        <f>_xlfn.XLOOKUP(A60,Ersatzteilpreisliste!A:A,Ersatzteilpreisliste!C:C)</f>
        <v>23</v>
      </c>
      <c r="D60" s="7">
        <f>_xlfn.XLOOKUP(A60,Ersatzteilpreisliste!A:A,Ersatzteilpreisliste!D:D)</f>
        <v>1</v>
      </c>
    </row>
    <row r="61" spans="1:4">
      <c r="A61" s="10">
        <v>1003400</v>
      </c>
      <c r="B61" t="str">
        <f>_xlfn.XLOOKUP(A61,Ersatzteilpreisliste!A:A,Ersatzteilpreisliste!B:B)</f>
        <v>Gurtaufroller [RH] - MK2 MK1 RK DF</v>
      </c>
      <c r="C61" s="9">
        <f>_xlfn.XLOOKUP(A61,Ersatzteilpreisliste!A:A,Ersatzteilpreisliste!C:C)</f>
        <v>23</v>
      </c>
      <c r="D61" s="7">
        <f>_xlfn.XLOOKUP(A61,Ersatzteilpreisliste!A:A,Ersatzteilpreisliste!D:D)</f>
        <v>1</v>
      </c>
    </row>
    <row r="62" spans="1:4">
      <c r="A62" s="10">
        <v>1003207</v>
      </c>
      <c r="B62" t="str">
        <f>_xlfn.XLOOKUP(A62,Ersatzteilpreisliste!A:A,Ersatzteilpreisliste!B:B)</f>
        <v>Gurtabdeckung - MDS MK2 MK1 RK MV WM DF KZ</v>
      </c>
      <c r="C62" s="9">
        <f>_xlfn.XLOOKUP(A62,Ersatzteilpreisliste!A:A,Ersatzteilpreisliste!C:C)</f>
        <v>3</v>
      </c>
      <c r="D62" s="7">
        <f>_xlfn.XLOOKUP(A62,Ersatzteilpreisliste!A:A,Ersatzteilpreisliste!D:D)</f>
        <v>1</v>
      </c>
    </row>
    <row r="63" spans="1:4">
      <c r="A63" s="10">
        <v>1003126</v>
      </c>
      <c r="B63" t="str">
        <f>_xlfn.XLOOKUP(A63,Ersatzteilpreisliste!A:A,Ersatzteilpreisliste!B:B)</f>
        <v>Gurtstraffer - MDS MK2 MK1 RK MV WM DF KZ</v>
      </c>
      <c r="C63" s="9">
        <f>_xlfn.XLOOKUP(A63,Ersatzteilpreisliste!A:A,Ersatzteilpreisliste!C:C)</f>
        <v>7</v>
      </c>
      <c r="D63" s="7">
        <f>_xlfn.XLOOKUP(A63,Ersatzteilpreisliste!A:A,Ersatzteilpreisliste!D:D)</f>
        <v>1</v>
      </c>
    </row>
    <row r="64" spans="1:4">
      <c r="A64" s="10">
        <v>1003124</v>
      </c>
      <c r="B64" t="str">
        <f>_xlfn.XLOOKUP(A64,Ersatzteilpreisliste!A:A,Ersatzteilpreisliste!B:B)</f>
        <v>5 Punkt Gurtsystem Holmberg - MK1 MK2 RK MV WM DF KZ</v>
      </c>
      <c r="C64" s="9">
        <f>_xlfn.XLOOKUP(A64,Ersatzteilpreisliste!A:A,Ersatzteilpreisliste!C:C)</f>
        <v>30</v>
      </c>
      <c r="D64" s="7">
        <f>_xlfn.XLOOKUP(A64,Ersatzteilpreisliste!A:A,Ersatzteilpreisliste!D:D)</f>
        <v>3</v>
      </c>
    </row>
    <row r="65" spans="1:4">
      <c r="A65" s="10">
        <v>1002288</v>
      </c>
      <c r="B65" t="str">
        <f>_xlfn.XLOOKUP(A65,Ersatzteilpreisliste!A:A,Ersatzteilpreisliste!B:B)</f>
        <v>Styropor EPS [LH] - MK2</v>
      </c>
      <c r="C65" s="9">
        <f>_xlfn.XLOOKUP(A65,Ersatzteilpreisliste!A:A,Ersatzteilpreisliste!C:C)</f>
        <v>7</v>
      </c>
      <c r="D65" s="7">
        <f>_xlfn.XLOOKUP(A65,Ersatzteilpreisliste!A:A,Ersatzteilpreisliste!D:D)</f>
        <v>1</v>
      </c>
    </row>
    <row r="66" spans="1:4">
      <c r="A66" s="10">
        <v>1002287</v>
      </c>
      <c r="B66" t="str">
        <f>_xlfn.XLOOKUP(A66,Ersatzteilpreisliste!A:A,Ersatzteilpreisliste!B:B)</f>
        <v>Styropor EPS [RH] - MK2</v>
      </c>
      <c r="C66" s="9">
        <f>_xlfn.XLOOKUP(A66,Ersatzteilpreisliste!A:A,Ersatzteilpreisliste!C:C)</f>
        <v>7</v>
      </c>
      <c r="D66" s="7">
        <f>_xlfn.XLOOKUP(A66,Ersatzteilpreisliste!A:A,Ersatzteilpreisliste!D:D)</f>
        <v>1</v>
      </c>
    </row>
    <row r="67" spans="1:4">
      <c r="A67" s="10">
        <v>1002202</v>
      </c>
      <c r="B67" t="str">
        <f>_xlfn.XLOOKUP(A67,Ersatzteilpreisliste!A:A,Ersatzteilpreisliste!B:B)</f>
        <v>Tannenbaum - MK1 MK2 RK MV WM DF KZ</v>
      </c>
      <c r="C67" s="9">
        <f>_xlfn.XLOOKUP(A67,Ersatzteilpreisliste!A:A,Ersatzteilpreisliste!C:C)</f>
        <v>3</v>
      </c>
      <c r="D67" s="7">
        <f>_xlfn.XLOOKUP(A67,Ersatzteilpreisliste!A:A,Ersatzteilpreisliste!D:D)</f>
        <v>1</v>
      </c>
    </row>
    <row r="68" spans="1:4">
      <c r="A68" s="10">
        <v>1002112</v>
      </c>
      <c r="B68" t="str">
        <f>_xlfn.XLOOKUP(A68,Ersatzteilpreisliste!A:A,Ersatzteilpreisliste!B:B)</f>
        <v>Schaumstoff Sitzfläche - MDS MK2 MK1 RK MV WM DF KZ</v>
      </c>
      <c r="C68" s="9">
        <f>_xlfn.XLOOKUP(A68,Ersatzteilpreisliste!A:A,Ersatzteilpreisliste!C:C)</f>
        <v>3</v>
      </c>
      <c r="D68" s="7">
        <f>_xlfn.XLOOKUP(A68,Ersatzteilpreisliste!A:A,Ersatzteilpreisliste!D:D)</f>
        <v>1</v>
      </c>
    </row>
    <row r="69" spans="1:4">
      <c r="A69" s="10">
        <v>1002108</v>
      </c>
      <c r="B69" t="str">
        <f>_xlfn.XLOOKUP(A69,Ersatzteilpreisliste!A:A,Ersatzteilpreisliste!B:B)</f>
        <v xml:space="preserve">Schaumstoff Sitzfläche Geklebt - MK2 MK1 RK MV WM DF KZ </v>
      </c>
      <c r="C69" s="9">
        <f>_xlfn.XLOOKUP(A69,Ersatzteilpreisliste!A:A,Ersatzteilpreisliste!C:C)</f>
        <v>4</v>
      </c>
      <c r="D69" s="7">
        <f>_xlfn.XLOOKUP(A69,Ersatzteilpreisliste!A:A,Ersatzteilpreisliste!D:D)</f>
        <v>1</v>
      </c>
    </row>
    <row r="70" spans="1:4">
      <c r="A70" s="10">
        <v>1900028</v>
      </c>
      <c r="B70" t="str">
        <f>_xlfn.XLOOKUP(A70,Ersatzteilpreisliste!A:A,Ersatzteilpreisliste!B:B)</f>
        <v xml:space="preserve">Nieten - Universal </v>
      </c>
      <c r="C70" s="9">
        <f>_xlfn.XLOOKUP(A70,Ersatzteilpreisliste!A:A,Ersatzteilpreisliste!C:C)</f>
        <v>1</v>
      </c>
      <c r="D70" s="7">
        <f>_xlfn.XLOOKUP(A70,Ersatzteilpreisliste!A:A,Ersatzteilpreisliste!D:D)</f>
        <v>0</v>
      </c>
    </row>
    <row r="71" spans="1:4">
      <c r="A71" s="10"/>
      <c r="C71" s="9"/>
    </row>
    <row r="72" spans="1:4">
      <c r="A72" s="87" t="s">
        <v>27</v>
      </c>
      <c r="B72" s="87"/>
      <c r="C72" s="87" t="s">
        <v>17</v>
      </c>
      <c r="D72" s="87" t="s">
        <v>19</v>
      </c>
    </row>
    <row r="73" spans="1:4">
      <c r="A73" s="10">
        <v>1006003</v>
      </c>
      <c r="B73" t="str">
        <f>_xlfn.XLOOKUP(A73,Ersatzteilpreisliste!A:A,Ersatzteilpreisliste!B:B)</f>
        <v>Kopfstütze - MK1 RK</v>
      </c>
      <c r="C73" s="9">
        <f>_xlfn.XLOOKUP(A73,Ersatzteilpreisliste!A:A,Ersatzteilpreisliste!C:C)</f>
        <v>19</v>
      </c>
      <c r="D73" s="7">
        <f>_xlfn.XLOOKUP(A73,Ersatzteilpreisliste!A:A,Ersatzteilpreisliste!D:D)</f>
        <v>2</v>
      </c>
    </row>
    <row r="74" spans="1:4">
      <c r="A74" s="10">
        <v>1101314</v>
      </c>
      <c r="B74" t="str">
        <f>_xlfn.XLOOKUP(A74,Ersatzteilpreisliste!A:A,Ersatzteilpreisliste!B:B)</f>
        <v>Stützfuß Gurtband  - MK2 MV</v>
      </c>
      <c r="C74" s="9">
        <f>_xlfn.XLOOKUP(A74,Ersatzteilpreisliste!A:A,Ersatzteilpreisliste!C:C)</f>
        <v>3</v>
      </c>
      <c r="D74" s="7">
        <f>_xlfn.XLOOKUP(A74,Ersatzteilpreisliste!A:A,Ersatzteilpreisliste!D:D)</f>
        <v>3</v>
      </c>
    </row>
    <row r="75" spans="1:4">
      <c r="A75" s="10">
        <v>1101279</v>
      </c>
      <c r="B75" t="str">
        <f>_xlfn.XLOOKUP(A75,Ersatzteilpreisliste!A:A,Ersatzteilpreisliste!B:B)</f>
        <v>Absatz &amp; Nieten - MK2</v>
      </c>
      <c r="C75" s="9">
        <f>_xlfn.XLOOKUP(A75,Ersatzteilpreisliste!A:A,Ersatzteilpreisliste!C:C)</f>
        <v>13</v>
      </c>
      <c r="D75" s="7">
        <v>0</v>
      </c>
    </row>
    <row r="76" spans="1:4">
      <c r="A76" s="10">
        <v>1100939</v>
      </c>
      <c r="B76" t="str">
        <f>_xlfn.XLOOKUP(A76,Ersatzteilpreisliste!A:A,Ersatzteilpreisliste!B:B)</f>
        <v>Gurtklemme [Blau] - MK2 MV</v>
      </c>
      <c r="C76" s="9">
        <f>_xlfn.XLOOKUP(A76,Ersatzteilpreisliste!A:A,Ersatzteilpreisliste!C:C)</f>
        <v>3</v>
      </c>
      <c r="D76" s="7">
        <f>_xlfn.XLOOKUP(A76,Ersatzteilpreisliste!A:A,Ersatzteilpreisliste!D:D)</f>
        <v>1</v>
      </c>
    </row>
    <row r="77" spans="1:4">
      <c r="A77" s="10">
        <v>1100834</v>
      </c>
      <c r="B77" t="str">
        <f>_xlfn.XLOOKUP(A77,Ersatzteilpreisliste!A:A,Ersatzteilpreisliste!B:B)</f>
        <v>Kopfstütze Spannrolle - MK2 MDS</v>
      </c>
      <c r="C77" s="9">
        <f>_xlfn.XLOOKUP(A77,Ersatzteilpreisliste!A:A,Ersatzteilpreisliste!C:C)</f>
        <v>13</v>
      </c>
      <c r="D77" s="7">
        <f>_xlfn.XLOOKUP(A77,Ersatzteilpreisliste!A:A,Ersatzteilpreisliste!D:D)</f>
        <v>3</v>
      </c>
    </row>
    <row r="78" spans="1:4">
      <c r="A78" s="10">
        <v>1100817</v>
      </c>
      <c r="B78" t="str">
        <f>_xlfn.XLOOKUP(A78,Ersatzteilpreisliste!A:A,Ersatzteilpreisliste!B:B)</f>
        <v>Neigungsverstellung - MK1 MK2</v>
      </c>
      <c r="C78" s="9">
        <f>_xlfn.XLOOKUP(A78,Ersatzteilpreisliste!A:A,Ersatzteilpreisliste!C:C)</f>
        <v>16</v>
      </c>
      <c r="D78" s="7">
        <f>_xlfn.XLOOKUP(A78,Ersatzteilpreisliste!A:A,Ersatzteilpreisliste!D:D)</f>
        <v>3</v>
      </c>
    </row>
    <row r="79" spans="1:4">
      <c r="A79" s="10">
        <v>1100816</v>
      </c>
      <c r="B79" t="str">
        <f>_xlfn.XLOOKUP(A79,Ersatzteilpreisliste!A:A,Ersatzteilpreisliste!B:B)</f>
        <v>ASIP Befestigung - MK2 MV</v>
      </c>
      <c r="C79" s="9">
        <f>_xlfn.XLOOKUP(A79,Ersatzteilpreisliste!A:A,Ersatzteilpreisliste!C:C)</f>
        <v>5</v>
      </c>
      <c r="D79" s="7">
        <f>_xlfn.XLOOKUP(A79,Ersatzteilpreisliste!A:A,Ersatzteilpreisliste!D:D)</f>
        <v>1</v>
      </c>
    </row>
    <row r="80" spans="1:4">
      <c r="A80" s="10">
        <v>1004453</v>
      </c>
      <c r="B80" t="str">
        <f>_xlfn.XLOOKUP(A80,Ersatzteilpreisliste!A:A,Ersatzteilpreisliste!B:B)</f>
        <v>Gummifuß - MK2 MV</v>
      </c>
      <c r="C80" s="9">
        <f>_xlfn.XLOOKUP(A80,Ersatzteilpreisliste!A:A,Ersatzteilpreisliste!C:C)</f>
        <v>3</v>
      </c>
      <c r="D80" s="7">
        <v>0</v>
      </c>
    </row>
    <row r="81" spans="1:4">
      <c r="A81" s="10">
        <v>1004445</v>
      </c>
      <c r="B81" t="str">
        <f>_xlfn.XLOOKUP(A81,Ersatzteilpreisliste!A:A,Ersatzteilpreisliste!B:B)</f>
        <v>Stützfuß Komplett - MK2 MV</v>
      </c>
      <c r="C81" s="9">
        <f>_xlfn.XLOOKUP(A81,Ersatzteilpreisliste!A:A,Ersatzteilpreisliste!C:C)</f>
        <v>30</v>
      </c>
      <c r="D81" s="7">
        <f>_xlfn.XLOOKUP(A81,Ersatzteilpreisliste!A:A,Ersatzteilpreisliste!D:D)</f>
        <v>3</v>
      </c>
    </row>
    <row r="82" spans="1:4">
      <c r="A82" s="10">
        <v>1003409</v>
      </c>
      <c r="B82" t="str">
        <f>_xlfn.XLOOKUP(A82,Ersatzteilpreisliste!A:A,Ersatzteilpreisliste!B:B)</f>
        <v>Gurtaufroller [LH] - MK2 MK1 RK DF</v>
      </c>
      <c r="C82" s="9">
        <f>_xlfn.XLOOKUP(A82,Ersatzteilpreisliste!A:A,Ersatzteilpreisliste!C:C)</f>
        <v>23</v>
      </c>
      <c r="D82" s="7">
        <f>_xlfn.XLOOKUP(A82,Ersatzteilpreisliste!A:A,Ersatzteilpreisliste!D:D)</f>
        <v>1</v>
      </c>
    </row>
    <row r="83" spans="1:4">
      <c r="A83" s="10">
        <v>1003400</v>
      </c>
      <c r="B83" t="str">
        <f>_xlfn.XLOOKUP(A83,Ersatzteilpreisliste!A:A,Ersatzteilpreisliste!B:B)</f>
        <v>Gurtaufroller [RH] - MK2 MK1 RK DF</v>
      </c>
      <c r="C83" s="9">
        <f>_xlfn.XLOOKUP(A83,Ersatzteilpreisliste!A:A,Ersatzteilpreisliste!C:C)</f>
        <v>23</v>
      </c>
      <c r="D83" s="7">
        <f>_xlfn.XLOOKUP(A83,Ersatzteilpreisliste!A:A,Ersatzteilpreisliste!D:D)</f>
        <v>1</v>
      </c>
    </row>
    <row r="84" spans="1:4">
      <c r="A84" s="10">
        <v>1003207</v>
      </c>
      <c r="B84" t="str">
        <f>_xlfn.XLOOKUP(A84,Ersatzteilpreisliste!A:A,Ersatzteilpreisliste!B:B)</f>
        <v>Gurtabdeckung - MDS MK2 MK1 RK MV WM DF KZ</v>
      </c>
      <c r="C84" s="9">
        <f>_xlfn.XLOOKUP(A84,Ersatzteilpreisliste!A:A,Ersatzteilpreisliste!C:C)</f>
        <v>3</v>
      </c>
      <c r="D84" s="7">
        <f>_xlfn.XLOOKUP(A84,Ersatzteilpreisliste!A:A,Ersatzteilpreisliste!D:D)</f>
        <v>1</v>
      </c>
    </row>
    <row r="85" spans="1:4">
      <c r="A85" s="10">
        <v>1003126</v>
      </c>
      <c r="B85" t="str">
        <f>_xlfn.XLOOKUP(A85,Ersatzteilpreisliste!A:A,Ersatzteilpreisliste!B:B)</f>
        <v>Gurtstraffer - MDS MK2 MK1 RK MV WM DF KZ</v>
      </c>
      <c r="C85" s="9">
        <f>_xlfn.XLOOKUP(A85,Ersatzteilpreisliste!A:A,Ersatzteilpreisliste!C:C)</f>
        <v>7</v>
      </c>
      <c r="D85" s="7">
        <v>0</v>
      </c>
    </row>
    <row r="86" spans="1:4">
      <c r="A86" s="10">
        <v>1003124</v>
      </c>
      <c r="B86" t="str">
        <f>_xlfn.XLOOKUP(A86,Ersatzteilpreisliste!A:A,Ersatzteilpreisliste!B:B)</f>
        <v>5 Punkt Gurtsystem Holmberg - MK1 MK2 RK MV WM DF KZ</v>
      </c>
      <c r="C86" s="9">
        <f>_xlfn.XLOOKUP(A86,Ersatzteilpreisliste!A:A,Ersatzteilpreisliste!C:C)</f>
        <v>30</v>
      </c>
      <c r="D86" s="7">
        <f>_xlfn.XLOOKUP(A86,Ersatzteilpreisliste!A:A,Ersatzteilpreisliste!D:D)</f>
        <v>3</v>
      </c>
    </row>
    <row r="87" spans="1:4">
      <c r="A87" s="10">
        <v>1002288</v>
      </c>
      <c r="B87" t="str">
        <f>_xlfn.XLOOKUP(A87,Ersatzteilpreisliste!A:A,Ersatzteilpreisliste!B:B)</f>
        <v>Styropor EPS [LH] - MK2</v>
      </c>
      <c r="C87" s="9">
        <f>_xlfn.XLOOKUP(A87,Ersatzteilpreisliste!A:A,Ersatzteilpreisliste!C:C)</f>
        <v>7</v>
      </c>
      <c r="D87" s="7">
        <f>_xlfn.XLOOKUP(A87,Ersatzteilpreisliste!A:A,Ersatzteilpreisliste!D:D)</f>
        <v>1</v>
      </c>
    </row>
    <row r="88" spans="1:4">
      <c r="A88" s="10">
        <v>1002287</v>
      </c>
      <c r="B88" t="str">
        <f>_xlfn.XLOOKUP(A88,Ersatzteilpreisliste!A:A,Ersatzteilpreisliste!B:B)</f>
        <v>Styropor EPS [RH] - MK2</v>
      </c>
      <c r="C88" s="9">
        <f>_xlfn.XLOOKUP(A88,Ersatzteilpreisliste!A:A,Ersatzteilpreisliste!C:C)</f>
        <v>7</v>
      </c>
      <c r="D88" s="7">
        <f>_xlfn.XLOOKUP(A88,Ersatzteilpreisliste!A:A,Ersatzteilpreisliste!D:D)</f>
        <v>1</v>
      </c>
    </row>
    <row r="89" spans="1:4">
      <c r="A89" s="10">
        <v>1002202</v>
      </c>
      <c r="B89" t="str">
        <f>_xlfn.XLOOKUP(A89,Ersatzteilpreisliste!A:A,Ersatzteilpreisliste!B:B)</f>
        <v>Tannenbaum - MK1 MK2 RK MV WM DF KZ</v>
      </c>
      <c r="C89" s="9">
        <f>_xlfn.XLOOKUP(A89,Ersatzteilpreisliste!A:A,Ersatzteilpreisliste!C:C)</f>
        <v>3</v>
      </c>
      <c r="D89" s="7">
        <v>0</v>
      </c>
    </row>
    <row r="90" spans="1:4">
      <c r="A90" s="10">
        <v>1002112</v>
      </c>
      <c r="B90" t="str">
        <f>_xlfn.XLOOKUP(A90,Ersatzteilpreisliste!A:A,Ersatzteilpreisliste!B:B)</f>
        <v>Schaumstoff Sitzfläche - MDS MK2 MK1 RK MV WM DF KZ</v>
      </c>
      <c r="C90" s="9">
        <f>_xlfn.XLOOKUP(A90,Ersatzteilpreisliste!A:A,Ersatzteilpreisliste!C:C)</f>
        <v>3</v>
      </c>
      <c r="D90" s="7">
        <v>0</v>
      </c>
    </row>
    <row r="91" spans="1:4">
      <c r="A91" s="10">
        <v>1002108</v>
      </c>
      <c r="B91" t="str">
        <f>_xlfn.XLOOKUP(A91,Ersatzteilpreisliste!A:A,Ersatzteilpreisliste!B:B)</f>
        <v xml:space="preserve">Schaumstoff Sitzfläche Geklebt - MK2 MK1 RK MV WM DF KZ </v>
      </c>
      <c r="C91" s="9">
        <f>_xlfn.XLOOKUP(A91,Ersatzteilpreisliste!A:A,Ersatzteilpreisliste!C:C)</f>
        <v>4</v>
      </c>
      <c r="D91" s="7">
        <f>_xlfn.XLOOKUP(A91,Ersatzteilpreisliste!A:A,Ersatzteilpreisliste!D:D)</f>
        <v>1</v>
      </c>
    </row>
    <row r="92" spans="1:4">
      <c r="A92" s="10">
        <v>1900028</v>
      </c>
      <c r="B92" t="str">
        <f>_xlfn.XLOOKUP(A92,Ersatzteilpreisliste!A:A,Ersatzteilpreisliste!B:B)</f>
        <v xml:space="preserve">Nieten - Universal </v>
      </c>
      <c r="C92" s="9">
        <f>_xlfn.XLOOKUP(A92,Ersatzteilpreisliste!A:A,Ersatzteilpreisliste!C:C)</f>
        <v>1</v>
      </c>
      <c r="D92" s="7">
        <f>_xlfn.XLOOKUP(A92,Ersatzteilpreisliste!A:A,Ersatzteilpreisliste!D:D)</f>
        <v>0</v>
      </c>
    </row>
    <row r="93" spans="1:4">
      <c r="C93" s="9"/>
    </row>
    <row r="94" spans="1:4">
      <c r="A94" s="87" t="s">
        <v>28</v>
      </c>
      <c r="B94" s="87"/>
      <c r="C94" s="87" t="s">
        <v>17</v>
      </c>
      <c r="D94" s="87" t="s">
        <v>19</v>
      </c>
    </row>
    <row r="95" spans="1:4">
      <c r="A95" s="10">
        <v>1101314</v>
      </c>
      <c r="B95" t="str">
        <f>_xlfn.XLOOKUP(A95,Ersatzteilpreisliste!A:A,Ersatzteilpreisliste!B:B)</f>
        <v>Stützfuß Gurtband  - MK2 MV</v>
      </c>
      <c r="C95" s="9">
        <f>_xlfn.XLOOKUP(A95,Ersatzteilpreisliste!A:A,Ersatzteilpreisliste!C:C)</f>
        <v>3</v>
      </c>
      <c r="D95" s="7">
        <f>_xlfn.XLOOKUP(A95,Ersatzteilpreisliste!A:A,Ersatzteilpreisliste!D:D)</f>
        <v>3</v>
      </c>
    </row>
    <row r="96" spans="1:4">
      <c r="A96" s="10">
        <v>1101232</v>
      </c>
      <c r="B96" t="str">
        <f>_xlfn.XLOOKUP(A96,Ersatzteilpreisliste!A:A,Ersatzteilpreisliste!B:B)</f>
        <v>Kopfstütze - MV WM</v>
      </c>
      <c r="C96" s="9">
        <f>_xlfn.XLOOKUP(A96,Ersatzteilpreisliste!A:A,Ersatzteilpreisliste!C:C)</f>
        <v>19</v>
      </c>
      <c r="D96" s="7">
        <f>_xlfn.XLOOKUP(A96,Ersatzteilpreisliste!A:A,Ersatzteilpreisliste!D:D)</f>
        <v>2</v>
      </c>
    </row>
    <row r="97" spans="1:4">
      <c r="A97" s="10">
        <v>1100939</v>
      </c>
      <c r="B97" t="str">
        <f>_xlfn.XLOOKUP(A97,Ersatzteilpreisliste!A:A,Ersatzteilpreisliste!B:B)</f>
        <v>Gurtklemme [Blau] - MK2 MV</v>
      </c>
      <c r="C97" s="9">
        <f>_xlfn.XLOOKUP(A97,Ersatzteilpreisliste!A:A,Ersatzteilpreisliste!C:C)</f>
        <v>3</v>
      </c>
      <c r="D97" s="7">
        <f>_xlfn.XLOOKUP(A97,Ersatzteilpreisliste!A:A,Ersatzteilpreisliste!D:D)</f>
        <v>1</v>
      </c>
    </row>
    <row r="98" spans="1:4">
      <c r="A98" s="10">
        <v>1100816</v>
      </c>
      <c r="B98" t="str">
        <f>_xlfn.XLOOKUP(A98,Ersatzteilpreisliste!A:A,Ersatzteilpreisliste!B:B)</f>
        <v>ASIP Befestigung - MK2 MV</v>
      </c>
      <c r="C98" s="9">
        <f>_xlfn.XLOOKUP(A98,Ersatzteilpreisliste!A:A,Ersatzteilpreisliste!C:C)</f>
        <v>5</v>
      </c>
      <c r="D98" s="7">
        <f>_xlfn.XLOOKUP(A98,Ersatzteilpreisliste!A:A,Ersatzteilpreisliste!D:D)</f>
        <v>1</v>
      </c>
    </row>
    <row r="99" spans="1:4">
      <c r="A99" s="10">
        <v>1007215</v>
      </c>
      <c r="B99" t="str">
        <f>_xlfn.XLOOKUP(A99,Ersatzteilpreisliste!A:A,Ersatzteilpreisliste!B:B)</f>
        <v>Strohhalm - MDS K2 MK1 RK MV WM DF KZ</v>
      </c>
      <c r="C99" s="9">
        <f>_xlfn.XLOOKUP(A99,Ersatzteilpreisliste!A:A,Ersatzteilpreisliste!C:C)</f>
        <v>3</v>
      </c>
      <c r="D99" s="7">
        <f>_xlfn.XLOOKUP(A99,Ersatzteilpreisliste!A:A,Ersatzteilpreisliste!D:D)</f>
        <v>1</v>
      </c>
    </row>
    <row r="100" spans="1:4">
      <c r="A100" s="10">
        <v>1004453</v>
      </c>
      <c r="B100" t="str">
        <f>_xlfn.XLOOKUP(A100,Ersatzteilpreisliste!A:A,Ersatzteilpreisliste!B:B)</f>
        <v>Gummifuß - MK2 MV</v>
      </c>
      <c r="C100" s="9">
        <f>_xlfn.XLOOKUP(A100,Ersatzteilpreisliste!A:A,Ersatzteilpreisliste!C:C)</f>
        <v>3</v>
      </c>
      <c r="D100" s="7">
        <f>_xlfn.XLOOKUP(A100,Ersatzteilpreisliste!A:A,Ersatzteilpreisliste!D:D)</f>
        <v>1</v>
      </c>
    </row>
    <row r="101" spans="1:4">
      <c r="A101" s="10">
        <v>1004445</v>
      </c>
      <c r="B101" t="str">
        <f>_xlfn.XLOOKUP(A101,Ersatzteilpreisliste!A:A,Ersatzteilpreisliste!B:B)</f>
        <v>Stützfuß Komplett - MK2 MV</v>
      </c>
      <c r="C101" s="9">
        <f>_xlfn.XLOOKUP(A101,Ersatzteilpreisliste!A:A,Ersatzteilpreisliste!C:C)</f>
        <v>30</v>
      </c>
      <c r="D101" s="7">
        <f>_xlfn.XLOOKUP(A101,Ersatzteilpreisliste!A:A,Ersatzteilpreisliste!D:D)</f>
        <v>3</v>
      </c>
    </row>
    <row r="102" spans="1:4">
      <c r="A102" s="10">
        <v>1003207</v>
      </c>
      <c r="B102" t="str">
        <f>_xlfn.XLOOKUP(A102,Ersatzteilpreisliste!A:A,Ersatzteilpreisliste!B:B)</f>
        <v>Gurtabdeckung - MDS MK2 MK1 RK MV WM DF KZ</v>
      </c>
      <c r="C102" s="9">
        <f>_xlfn.XLOOKUP(A102,Ersatzteilpreisliste!A:A,Ersatzteilpreisliste!C:C)</f>
        <v>3</v>
      </c>
      <c r="D102" s="7">
        <f>_xlfn.XLOOKUP(A102,Ersatzteilpreisliste!A:A,Ersatzteilpreisliste!D:D)</f>
        <v>1</v>
      </c>
    </row>
    <row r="103" spans="1:4">
      <c r="A103" s="10">
        <v>1003126</v>
      </c>
      <c r="B103" t="str">
        <f>_xlfn.XLOOKUP(A103,Ersatzteilpreisliste!A:A,Ersatzteilpreisliste!B:B)</f>
        <v>Gurtstraffer - MDS MK2 MK1 RK MV WM DF KZ</v>
      </c>
      <c r="C103" s="9">
        <f>_xlfn.XLOOKUP(A103,Ersatzteilpreisliste!A:A,Ersatzteilpreisliste!C:C)</f>
        <v>7</v>
      </c>
      <c r="D103" s="7">
        <f>_xlfn.XLOOKUP(A103,Ersatzteilpreisliste!A:A,Ersatzteilpreisliste!D:D)</f>
        <v>1</v>
      </c>
    </row>
    <row r="104" spans="1:4">
      <c r="A104" s="10">
        <v>1003124</v>
      </c>
      <c r="B104" t="str">
        <f>_xlfn.XLOOKUP(A104,Ersatzteilpreisliste!A:A,Ersatzteilpreisliste!B:B)</f>
        <v>5 Punkt Gurtsystem Holmberg - MK1 MK2 RK MV WM DF KZ</v>
      </c>
      <c r="C104" s="9">
        <f>_xlfn.XLOOKUP(A104,Ersatzteilpreisliste!A:A,Ersatzteilpreisliste!C:C)</f>
        <v>30</v>
      </c>
      <c r="D104" s="7">
        <f>_xlfn.XLOOKUP(A104,Ersatzteilpreisliste!A:A,Ersatzteilpreisliste!D:D)</f>
        <v>3</v>
      </c>
    </row>
    <row r="105" spans="1:4">
      <c r="A105" s="10">
        <v>1002202</v>
      </c>
      <c r="B105" t="str">
        <f>_xlfn.XLOOKUP(A105,Ersatzteilpreisliste!A:A,Ersatzteilpreisliste!B:B)</f>
        <v>Tannenbaum - MK1 MK2 RK MV WM DF KZ</v>
      </c>
      <c r="C105" s="9">
        <f>_xlfn.XLOOKUP(A105,Ersatzteilpreisliste!A:A,Ersatzteilpreisliste!C:C)</f>
        <v>3</v>
      </c>
      <c r="D105" s="7">
        <f>_xlfn.XLOOKUP(A105,Ersatzteilpreisliste!A:A,Ersatzteilpreisliste!D:D)</f>
        <v>1</v>
      </c>
    </row>
    <row r="106" spans="1:4">
      <c r="A106" s="10">
        <v>1002119</v>
      </c>
      <c r="B106" t="str">
        <f>_xlfn.XLOOKUP(A106,Ersatzteilpreisliste!A:A,Ersatzteilpreisliste!B:B)</f>
        <v>Styropor EPS [LH] - MV WM</v>
      </c>
      <c r="C106" s="9">
        <f>_xlfn.XLOOKUP(A106,Ersatzteilpreisliste!A:A,Ersatzteilpreisliste!C:C)</f>
        <v>7</v>
      </c>
      <c r="D106" s="7">
        <f>_xlfn.XLOOKUP(A106,Ersatzteilpreisliste!A:A,Ersatzteilpreisliste!D:D)</f>
        <v>1</v>
      </c>
    </row>
    <row r="107" spans="1:4">
      <c r="A107" s="10">
        <v>1002118</v>
      </c>
      <c r="B107" t="str">
        <f>_xlfn.XLOOKUP(A107,Ersatzteilpreisliste!A:A,Ersatzteilpreisliste!B:B)</f>
        <v>Styropor EPS [RH] - MV WM</v>
      </c>
      <c r="C107" s="9">
        <f>_xlfn.XLOOKUP(A107,Ersatzteilpreisliste!A:A,Ersatzteilpreisliste!C:C)</f>
        <v>7</v>
      </c>
      <c r="D107" s="7">
        <f>_xlfn.XLOOKUP(A107,Ersatzteilpreisliste!A:A,Ersatzteilpreisliste!D:D)</f>
        <v>1</v>
      </c>
    </row>
    <row r="108" spans="1:4">
      <c r="A108" s="10">
        <v>1002117</v>
      </c>
      <c r="B108" t="str">
        <f>_xlfn.XLOOKUP(A108,Ersatzteilpreisliste!A:A,Ersatzteilpreisliste!B:B)</f>
        <v>Styropor EPS [Rücken] - MV WM</v>
      </c>
      <c r="C108" s="9">
        <f>_xlfn.XLOOKUP(A108,Ersatzteilpreisliste!A:A,Ersatzteilpreisliste!C:C)</f>
        <v>7</v>
      </c>
      <c r="D108" s="7">
        <f>_xlfn.XLOOKUP(A108,Ersatzteilpreisliste!A:A,Ersatzteilpreisliste!D:D)</f>
        <v>1</v>
      </c>
    </row>
    <row r="109" spans="1:4">
      <c r="A109" s="10">
        <v>1002112</v>
      </c>
      <c r="B109" t="str">
        <f>_xlfn.XLOOKUP(A109,Ersatzteilpreisliste!A:A,Ersatzteilpreisliste!B:B)</f>
        <v>Schaumstoff Sitzfläche - MDS MK2 MK1 RK MV WM DF KZ</v>
      </c>
      <c r="C109" s="9">
        <f>_xlfn.XLOOKUP(A109,Ersatzteilpreisliste!A:A,Ersatzteilpreisliste!C:C)</f>
        <v>3</v>
      </c>
      <c r="D109" s="7">
        <f>_xlfn.XLOOKUP(A109,Ersatzteilpreisliste!A:A,Ersatzteilpreisliste!D:D)</f>
        <v>1</v>
      </c>
    </row>
    <row r="110" spans="1:4">
      <c r="A110" s="10">
        <v>1002108</v>
      </c>
      <c r="B110" t="str">
        <f>_xlfn.XLOOKUP(A110,Ersatzteilpreisliste!A:A,Ersatzteilpreisliste!B:B)</f>
        <v xml:space="preserve">Schaumstoff Sitzfläche Geklebt - MK2 MK1 RK MV WM DF KZ </v>
      </c>
      <c r="C110" s="9">
        <f>_xlfn.XLOOKUP(A110,Ersatzteilpreisliste!A:A,Ersatzteilpreisliste!C:C)</f>
        <v>4</v>
      </c>
      <c r="D110" s="7">
        <f>_xlfn.XLOOKUP(A110,Ersatzteilpreisliste!A:A,Ersatzteilpreisliste!D:D)</f>
        <v>1</v>
      </c>
    </row>
    <row r="111" spans="1:4">
      <c r="A111" s="10">
        <v>1900028</v>
      </c>
      <c r="B111" t="str">
        <f>_xlfn.XLOOKUP(A111,Ersatzteilpreisliste!A:A,Ersatzteilpreisliste!B:B)</f>
        <v xml:space="preserve">Nieten - Universal </v>
      </c>
      <c r="C111" s="9">
        <f>_xlfn.XLOOKUP(A111,Ersatzteilpreisliste!A:A,Ersatzteilpreisliste!C:C)</f>
        <v>1</v>
      </c>
      <c r="D111" s="7">
        <f>_xlfn.XLOOKUP(A111,Ersatzteilpreisliste!A:A,Ersatzteilpreisliste!D:D)</f>
        <v>0</v>
      </c>
    </row>
    <row r="112" spans="1:4">
      <c r="C112" s="9"/>
    </row>
    <row r="113" spans="1:4">
      <c r="A113" s="87" t="s">
        <v>29</v>
      </c>
      <c r="B113" s="87"/>
      <c r="C113" s="87" t="s">
        <v>17</v>
      </c>
      <c r="D113" s="87" t="s">
        <v>19</v>
      </c>
    </row>
    <row r="114" spans="1:4">
      <c r="A114" s="10">
        <v>1101315</v>
      </c>
      <c r="B114" t="str">
        <f>_xlfn.XLOOKUP(A114,Ersatzteilpreisliste!A:A,Ersatzteilpreisliste!B:B)</f>
        <v>Stützfuß Gurtband - MK1 RK WM DF KZ</v>
      </c>
      <c r="C114" s="9">
        <f>_xlfn.XLOOKUP(A114,Ersatzteilpreisliste!A:A,Ersatzteilpreisliste!C:C)</f>
        <v>3</v>
      </c>
      <c r="D114" s="7">
        <f>_xlfn.XLOOKUP(A114,Ersatzteilpreisliste!A:A,Ersatzteilpreisliste!D:D)</f>
        <v>3</v>
      </c>
    </row>
    <row r="115" spans="1:4">
      <c r="A115" s="10">
        <v>1101281</v>
      </c>
      <c r="B115" t="str">
        <f>_xlfn.XLOOKUP(A115,Ersatzteilpreisliste!A:A,Ersatzteilpreisliste!B:B)</f>
        <v>Kopfstütze Spannrolle - MK1 RK</v>
      </c>
      <c r="C115" s="9">
        <f>_xlfn.XLOOKUP(A115,Ersatzteilpreisliste!A:A,Ersatzteilpreisliste!C:C)</f>
        <v>27</v>
      </c>
      <c r="D115" s="7">
        <f>_xlfn.XLOOKUP(A115,Ersatzteilpreisliste!A:A,Ersatzteilpreisliste!D:D)</f>
        <v>2</v>
      </c>
    </row>
    <row r="116" spans="1:4">
      <c r="A116" s="10">
        <v>1101197</v>
      </c>
      <c r="B116" t="str">
        <f>_xlfn.XLOOKUP(A116,Ersatzteilpreisliste!A:A,Ersatzteilpreisliste!B:B)</f>
        <v>Kopfstütze Rückenplatte - MK MDS RK DF KZ</v>
      </c>
      <c r="C116" s="9">
        <f>_xlfn.XLOOKUP(A116,Ersatzteilpreisliste!A:A,Ersatzteilpreisliste!C:C)</f>
        <v>10</v>
      </c>
      <c r="D116" s="7">
        <f>_xlfn.XLOOKUP(A116,Ersatzteilpreisliste!A:A,Ersatzteilpreisliste!D:D)</f>
        <v>2</v>
      </c>
    </row>
    <row r="117" spans="1:4">
      <c r="A117" s="10">
        <v>1100791</v>
      </c>
      <c r="B117" t="str">
        <f>_xlfn.XLOOKUP(A117,Ersatzteilpreisliste!A:A,Ersatzteilpreisliste!B:B)</f>
        <v>Kopfstütze Bremseinheit - MK1 MK2 MDS RK KZ DF</v>
      </c>
      <c r="C117" s="9">
        <f>_xlfn.XLOOKUP(A117,Ersatzteilpreisliste!A:A,Ersatzteilpreisliste!C:C)</f>
        <v>3</v>
      </c>
      <c r="D117" s="7">
        <f>_xlfn.XLOOKUP(A117,Ersatzteilpreisliste!A:A,Ersatzteilpreisliste!D:D)</f>
        <v>2</v>
      </c>
    </row>
    <row r="118" spans="1:4">
      <c r="A118" s="10">
        <v>1007215</v>
      </c>
      <c r="B118" t="str">
        <f>_xlfn.XLOOKUP(A118,Ersatzteilpreisliste!A:A,Ersatzteilpreisliste!B:B)</f>
        <v>Strohhalm - MDS K2 MK1 RK MV WM DF KZ</v>
      </c>
      <c r="C118" s="9">
        <f>_xlfn.XLOOKUP(A118,Ersatzteilpreisliste!A:A,Ersatzteilpreisliste!C:C)</f>
        <v>3</v>
      </c>
      <c r="D118" s="7">
        <f>_xlfn.XLOOKUP(A118,Ersatzteilpreisliste!A:A,Ersatzteilpreisliste!D:D)</f>
        <v>1</v>
      </c>
    </row>
    <row r="119" spans="1:4">
      <c r="A119" s="10">
        <v>1006003</v>
      </c>
      <c r="B119" t="str">
        <f>_xlfn.XLOOKUP(A119,Ersatzteilpreisliste!A:A,Ersatzteilpreisliste!B:B)</f>
        <v>Kopfstütze - MK1 RK</v>
      </c>
      <c r="C119" s="9">
        <f>_xlfn.XLOOKUP(A119,Ersatzteilpreisliste!A:A,Ersatzteilpreisliste!C:C)</f>
        <v>19</v>
      </c>
      <c r="D119" s="7">
        <f>_xlfn.XLOOKUP(A119,Ersatzteilpreisliste!A:A,Ersatzteilpreisliste!D:D)</f>
        <v>2</v>
      </c>
    </row>
    <row r="120" spans="1:4">
      <c r="A120" s="10">
        <v>1004102</v>
      </c>
      <c r="B120" t="str">
        <f>_xlfn.XLOOKUP(A120,Ersatzteilpreisliste!A:A,Ersatzteilpreisliste!B:B)</f>
        <v>Gummifuß - MK1 RK</v>
      </c>
      <c r="C120" s="9">
        <f>_xlfn.XLOOKUP(A120,Ersatzteilpreisliste!A:A,Ersatzteilpreisliste!C:C)</f>
        <v>3</v>
      </c>
      <c r="D120" s="7">
        <f>_xlfn.XLOOKUP(A120,Ersatzteilpreisliste!A:A,Ersatzteilpreisliste!D:D)</f>
        <v>1</v>
      </c>
    </row>
    <row r="121" spans="1:4">
      <c r="A121" s="10">
        <v>1004000</v>
      </c>
      <c r="B121" t="str">
        <f>_xlfn.XLOOKUP(A121,Ersatzteilpreisliste!A:A,Ersatzteilpreisliste!B:B)</f>
        <v>Stützfuß Komplett - MK1 RK WM DF KZ</v>
      </c>
      <c r="C121" s="9">
        <f>_xlfn.XLOOKUP(A121,Ersatzteilpreisliste!A:A,Ersatzteilpreisliste!C:C)</f>
        <v>40</v>
      </c>
      <c r="D121" s="7">
        <f>_xlfn.XLOOKUP(A121,Ersatzteilpreisliste!A:A,Ersatzteilpreisliste!D:D)</f>
        <v>3</v>
      </c>
    </row>
    <row r="122" spans="1:4">
      <c r="A122" s="10">
        <v>1003409</v>
      </c>
      <c r="B122" t="str">
        <f>_xlfn.XLOOKUP(A122,Ersatzteilpreisliste!A:A,Ersatzteilpreisliste!B:B)</f>
        <v>Gurtaufroller [LH] - MK2 MK1 RK DF</v>
      </c>
      <c r="C122" s="9">
        <f>_xlfn.XLOOKUP(A122,Ersatzteilpreisliste!A:A,Ersatzteilpreisliste!C:C)</f>
        <v>23</v>
      </c>
      <c r="D122" s="7">
        <f>_xlfn.XLOOKUP(A122,Ersatzteilpreisliste!A:A,Ersatzteilpreisliste!D:D)</f>
        <v>1</v>
      </c>
    </row>
    <row r="123" spans="1:4">
      <c r="A123" s="10">
        <v>1003400</v>
      </c>
      <c r="B123" t="str">
        <f>_xlfn.XLOOKUP(A123,Ersatzteilpreisliste!A:A,Ersatzteilpreisliste!B:B)</f>
        <v>Gurtaufroller [RH] - MK2 MK1 RK DF</v>
      </c>
      <c r="C123" s="9">
        <f>_xlfn.XLOOKUP(A123,Ersatzteilpreisliste!A:A,Ersatzteilpreisliste!C:C)</f>
        <v>23</v>
      </c>
      <c r="D123" s="7">
        <f>_xlfn.XLOOKUP(A123,Ersatzteilpreisliste!A:A,Ersatzteilpreisliste!D:D)</f>
        <v>1</v>
      </c>
    </row>
    <row r="124" spans="1:4">
      <c r="A124" s="10">
        <v>1003207</v>
      </c>
      <c r="B124" t="str">
        <f>_xlfn.XLOOKUP(A124,Ersatzteilpreisliste!A:A,Ersatzteilpreisliste!B:B)</f>
        <v>Gurtabdeckung - MDS MK2 MK1 RK MV WM DF KZ</v>
      </c>
      <c r="C124" s="9">
        <f>_xlfn.XLOOKUP(A124,Ersatzteilpreisliste!A:A,Ersatzteilpreisliste!C:C)</f>
        <v>3</v>
      </c>
      <c r="D124" s="7">
        <f>_xlfn.XLOOKUP(A124,Ersatzteilpreisliste!A:A,Ersatzteilpreisliste!D:D)</f>
        <v>1</v>
      </c>
    </row>
    <row r="125" spans="1:4">
      <c r="A125" s="10">
        <v>1003126</v>
      </c>
      <c r="B125" t="str">
        <f>_xlfn.XLOOKUP(A125,Ersatzteilpreisliste!A:A,Ersatzteilpreisliste!B:B)</f>
        <v>Gurtstraffer - MDS MK2 MK1 RK MV WM DF KZ</v>
      </c>
      <c r="C125" s="9">
        <f>_xlfn.XLOOKUP(A125,Ersatzteilpreisliste!A:A,Ersatzteilpreisliste!C:C)</f>
        <v>7</v>
      </c>
      <c r="D125" s="7">
        <f>_xlfn.XLOOKUP(A125,Ersatzteilpreisliste!A:A,Ersatzteilpreisliste!D:D)</f>
        <v>1</v>
      </c>
    </row>
    <row r="126" spans="1:4">
      <c r="A126" s="10">
        <v>1003124</v>
      </c>
      <c r="B126" t="str">
        <f>_xlfn.XLOOKUP(A126,Ersatzteilpreisliste!A:A,Ersatzteilpreisliste!B:B)</f>
        <v>5 Punkt Gurtsystem Holmberg - MK1 MK2 RK MV WM DF KZ</v>
      </c>
      <c r="C126" s="9">
        <f>_xlfn.XLOOKUP(A126,Ersatzteilpreisliste!A:A,Ersatzteilpreisliste!C:C)</f>
        <v>30</v>
      </c>
      <c r="D126" s="7">
        <f>_xlfn.XLOOKUP(A126,Ersatzteilpreisliste!A:A,Ersatzteilpreisliste!D:D)</f>
        <v>3</v>
      </c>
    </row>
    <row r="127" spans="1:4">
      <c r="A127" s="10">
        <v>1002202</v>
      </c>
      <c r="B127" t="str">
        <f>_xlfn.XLOOKUP(A127,Ersatzteilpreisliste!A:A,Ersatzteilpreisliste!B:B)</f>
        <v>Tannenbaum - MK1 MK2 RK MV WM DF KZ</v>
      </c>
      <c r="C127" s="9">
        <f>_xlfn.XLOOKUP(A127,Ersatzteilpreisliste!A:A,Ersatzteilpreisliste!C:C)</f>
        <v>3</v>
      </c>
      <c r="D127" s="7">
        <f>_xlfn.XLOOKUP(A127,Ersatzteilpreisliste!A:A,Ersatzteilpreisliste!D:D)</f>
        <v>1</v>
      </c>
    </row>
    <row r="128" spans="1:4">
      <c r="A128" s="10">
        <v>1002112</v>
      </c>
      <c r="B128" t="str">
        <f>_xlfn.XLOOKUP(A128,Ersatzteilpreisliste!A:A,Ersatzteilpreisliste!B:B)</f>
        <v>Schaumstoff Sitzfläche - MDS MK2 MK1 RK MV WM DF KZ</v>
      </c>
      <c r="C128" s="9">
        <f>_xlfn.XLOOKUP(A128,Ersatzteilpreisliste!A:A,Ersatzteilpreisliste!C:C)</f>
        <v>3</v>
      </c>
      <c r="D128" s="7">
        <f>_xlfn.XLOOKUP(A128,Ersatzteilpreisliste!A:A,Ersatzteilpreisliste!D:D)</f>
        <v>1</v>
      </c>
    </row>
    <row r="129" spans="1:4">
      <c r="A129" s="10">
        <v>1002108</v>
      </c>
      <c r="B129" t="str">
        <f>_xlfn.XLOOKUP(A129,Ersatzteilpreisliste!A:A,Ersatzteilpreisliste!B:B)</f>
        <v xml:space="preserve">Schaumstoff Sitzfläche Geklebt - MK2 MK1 RK MV WM DF KZ </v>
      </c>
      <c r="C129" s="9">
        <f>_xlfn.XLOOKUP(A129,Ersatzteilpreisliste!A:A,Ersatzteilpreisliste!C:C)</f>
        <v>4</v>
      </c>
      <c r="D129" s="7">
        <f>_xlfn.XLOOKUP(A129,Ersatzteilpreisliste!A:A,Ersatzteilpreisliste!D:D)</f>
        <v>1</v>
      </c>
    </row>
    <row r="130" spans="1:4">
      <c r="A130" s="10">
        <v>1002104</v>
      </c>
      <c r="B130" t="str">
        <f>_xlfn.XLOOKUP(A130,Ersatzteilpreisliste!A:A,Ersatzteilpreisliste!B:B)</f>
        <v>Styropor EPS [LH] - MK1 RK DF KZ</v>
      </c>
      <c r="C130" s="9">
        <f>_xlfn.XLOOKUP(A130,Ersatzteilpreisliste!A:A,Ersatzteilpreisliste!C:C)</f>
        <v>7</v>
      </c>
      <c r="D130" s="7">
        <f>_xlfn.XLOOKUP(A130,Ersatzteilpreisliste!A:A,Ersatzteilpreisliste!D:D)</f>
        <v>1</v>
      </c>
    </row>
    <row r="131" spans="1:4">
      <c r="A131" s="10">
        <v>1002103</v>
      </c>
      <c r="B131" t="str">
        <f>_xlfn.XLOOKUP(A131,Ersatzteilpreisliste!A:A,Ersatzteilpreisliste!B:B)</f>
        <v>Styropor EPS [RH] - MK1 RK DF KZ</v>
      </c>
      <c r="C131" s="9">
        <f>_xlfn.XLOOKUP(A131,Ersatzteilpreisliste!A:A,Ersatzteilpreisliste!C:C)</f>
        <v>7</v>
      </c>
      <c r="D131" s="7">
        <f>_xlfn.XLOOKUP(A131,Ersatzteilpreisliste!A:A,Ersatzteilpreisliste!D:D)</f>
        <v>1</v>
      </c>
    </row>
    <row r="132" spans="1:4">
      <c r="A132" s="10">
        <v>1002101</v>
      </c>
      <c r="B132" t="str">
        <f>_xlfn.XLOOKUP(A132,Ersatzteilpreisliste!A:A,Ersatzteilpreisliste!B:B)</f>
        <v>Styropor EPS [Rücken] - MK1 RK DF KZ</v>
      </c>
      <c r="C132" s="9">
        <f>_xlfn.XLOOKUP(A132,Ersatzteilpreisliste!A:A,Ersatzteilpreisliste!C:C)</f>
        <v>7</v>
      </c>
      <c r="D132" s="7">
        <f>_xlfn.XLOOKUP(A132,Ersatzteilpreisliste!A:A,Ersatzteilpreisliste!D:D)</f>
        <v>1</v>
      </c>
    </row>
    <row r="133" spans="1:4">
      <c r="A133" s="10">
        <v>1900028</v>
      </c>
      <c r="B133" t="str">
        <f>_xlfn.XLOOKUP(A133,Ersatzteilpreisliste!A:A,Ersatzteilpreisliste!B:B)</f>
        <v xml:space="preserve">Nieten - Universal </v>
      </c>
      <c r="C133" s="9">
        <f>_xlfn.XLOOKUP(A133,Ersatzteilpreisliste!A:A,Ersatzteilpreisliste!C:C)</f>
        <v>1</v>
      </c>
      <c r="D133" s="7">
        <f>_xlfn.XLOOKUP(A133,Ersatzteilpreisliste!A:A,Ersatzteilpreisliste!D:D)</f>
        <v>0</v>
      </c>
    </row>
  </sheetData>
  <sheetProtection algorithmName="SHA-512" hashValue="+Kl2q008CZCtGCfaks4cma5RCV9mYuUoZr2op86NKcSmoeV3LxBhrdTrMjwUljjzqlCRIjsK+GrvbgX+6BNBog==" saltValue="nGw7ZUr2WdDoBVrjUVPmYw==" spinCount="100000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D476-BCFD-499D-9533-55A42D0E9E1C}">
  <dimension ref="A1:I121"/>
  <sheetViews>
    <sheetView workbookViewId="0">
      <selection activeCell="B1" sqref="B1"/>
    </sheetView>
  </sheetViews>
  <sheetFormatPr defaultColWidth="8.85546875" defaultRowHeight="15"/>
  <cols>
    <col min="1" max="1" width="15.5703125" style="10" customWidth="1"/>
    <col min="2" max="2" width="59.42578125" customWidth="1"/>
    <col min="3" max="3" width="13.28515625" style="6" customWidth="1"/>
    <col min="4" max="4" width="14.5703125" customWidth="1"/>
    <col min="6" max="6" width="8.5703125" style="7" customWidth="1"/>
    <col min="7" max="7" width="7" style="7" customWidth="1"/>
  </cols>
  <sheetData>
    <row r="1" spans="1:9">
      <c r="A1" s="10" t="s">
        <v>30</v>
      </c>
      <c r="B1" t="s">
        <v>16</v>
      </c>
      <c r="C1" s="4" t="s">
        <v>17</v>
      </c>
      <c r="D1" s="7" t="s">
        <v>31</v>
      </c>
    </row>
    <row r="2" spans="1:9">
      <c r="A2" s="10">
        <v>1102856</v>
      </c>
      <c r="B2" t="s">
        <v>32</v>
      </c>
      <c r="C2" s="6">
        <v>13</v>
      </c>
      <c r="D2" s="9">
        <f>(Table53[[#This Row],[UVP]]/1.19)*(1-G$2)</f>
        <v>6.5546218487394956</v>
      </c>
      <c r="F2" s="11" t="s">
        <v>33</v>
      </c>
      <c r="G2" s="12">
        <v>0.4</v>
      </c>
      <c r="H2" s="13"/>
    </row>
    <row r="3" spans="1:9">
      <c r="A3" s="10">
        <v>1102852</v>
      </c>
      <c r="B3" t="s">
        <v>34</v>
      </c>
      <c r="C3" s="6">
        <v>13</v>
      </c>
      <c r="D3" s="9">
        <f>(Table53[[#This Row],[UVP]]/1.19)*(1-G$2)</f>
        <v>6.5546218487394956</v>
      </c>
    </row>
    <row r="4" spans="1:9">
      <c r="A4" s="10">
        <v>1103690</v>
      </c>
      <c r="B4" t="s">
        <v>35</v>
      </c>
      <c r="C4" s="6">
        <v>13</v>
      </c>
      <c r="D4" s="9">
        <f>(Table53[[#This Row],[UVP]]/1.19)*(1-G$2)</f>
        <v>6.5546218487394956</v>
      </c>
      <c r="F4" s="9"/>
      <c r="H4" s="6"/>
      <c r="I4" s="13"/>
    </row>
    <row r="5" spans="1:9">
      <c r="A5" s="10">
        <v>1101244</v>
      </c>
      <c r="B5" t="s">
        <v>36</v>
      </c>
      <c r="C5" s="6">
        <v>13</v>
      </c>
      <c r="D5" s="9">
        <f>(Table53[[#This Row],[UVP]]/1.19)*(1-G$2)</f>
        <v>6.5546218487394956</v>
      </c>
    </row>
    <row r="6" spans="1:9">
      <c r="A6" s="10">
        <v>1100960</v>
      </c>
      <c r="B6" t="s">
        <v>37</v>
      </c>
      <c r="C6" s="6">
        <v>13</v>
      </c>
      <c r="D6" s="9">
        <f>(Table53[[#This Row],[UVP]]/1.19)*(1-G$2)</f>
        <v>6.5546218487394956</v>
      </c>
    </row>
    <row r="7" spans="1:9">
      <c r="A7" s="10">
        <v>1101247</v>
      </c>
      <c r="B7" t="s">
        <v>38</v>
      </c>
      <c r="C7" s="6">
        <v>13</v>
      </c>
      <c r="D7" s="9">
        <f>(Table53[[#This Row],[UVP]]/1.19)*(1-G$2)</f>
        <v>6.5546218487394956</v>
      </c>
    </row>
    <row r="8" spans="1:9">
      <c r="A8" s="10">
        <v>1103689</v>
      </c>
      <c r="B8" t="s">
        <v>39</v>
      </c>
      <c r="C8" s="6">
        <v>13</v>
      </c>
      <c r="D8" s="9">
        <f>(Table53[[#This Row],[UVP]]/1.19)*(1-G$2)</f>
        <v>6.5546218487394956</v>
      </c>
    </row>
    <row r="9" spans="1:9">
      <c r="A9" s="10">
        <v>1101938</v>
      </c>
      <c r="B9" t="s">
        <v>40</v>
      </c>
      <c r="C9" s="6">
        <v>13</v>
      </c>
      <c r="D9" s="9">
        <f>(Table53[[#This Row],[UVP]]/1.19)*(1-G$2)</f>
        <v>6.5546218487394956</v>
      </c>
    </row>
    <row r="10" spans="1:9">
      <c r="A10" s="10">
        <v>1102854</v>
      </c>
      <c r="B10" t="s">
        <v>41</v>
      </c>
      <c r="C10" s="6">
        <v>13</v>
      </c>
      <c r="D10" s="9">
        <f>(Table53[[#This Row],[UVP]]/1.19)*(1-G$2)</f>
        <v>6.5546218487394956</v>
      </c>
    </row>
    <row r="11" spans="1:9">
      <c r="A11" s="10">
        <v>1104118</v>
      </c>
      <c r="B11" t="s">
        <v>42</v>
      </c>
      <c r="C11" s="6">
        <v>13</v>
      </c>
      <c r="D11" s="9">
        <f>(Table53[[#This Row],[UVP]]/1.19)*(1-G$2)</f>
        <v>6.5546218487394956</v>
      </c>
    </row>
    <row r="12" spans="1:9">
      <c r="A12" s="10">
        <v>1104133</v>
      </c>
      <c r="B12" t="s">
        <v>43</v>
      </c>
      <c r="C12" s="6">
        <v>13</v>
      </c>
      <c r="D12" s="9">
        <f>(Table53[[#This Row],[UVP]]/1.19)*(1-G$2)</f>
        <v>6.5546218487394956</v>
      </c>
    </row>
    <row r="13" spans="1:9">
      <c r="A13" s="10">
        <v>1104117</v>
      </c>
      <c r="B13" t="s">
        <v>44</v>
      </c>
      <c r="C13" s="6">
        <v>13</v>
      </c>
      <c r="D13" s="9">
        <f>(Table53[[#This Row],[UVP]]/1.19)*(1-G$2)</f>
        <v>6.5546218487394956</v>
      </c>
    </row>
    <row r="14" spans="1:9">
      <c r="A14" s="10">
        <v>1104151</v>
      </c>
      <c r="B14" t="s">
        <v>44</v>
      </c>
      <c r="C14" s="6">
        <v>13</v>
      </c>
      <c r="D14" s="9">
        <f>(Table53[[#This Row],[UVP]]/1.19)*(1-G$2)</f>
        <v>6.5546218487394956</v>
      </c>
    </row>
    <row r="15" spans="1:9">
      <c r="A15" s="10">
        <v>1104148</v>
      </c>
      <c r="B15" t="s">
        <v>45</v>
      </c>
      <c r="C15" s="6">
        <v>13</v>
      </c>
      <c r="D15" s="9">
        <f>(Table53[[#This Row],[UVP]]/1.19)*(1-G$2)</f>
        <v>6.5546218487394956</v>
      </c>
    </row>
    <row r="16" spans="1:9">
      <c r="A16" s="10">
        <v>1104154</v>
      </c>
      <c r="B16" t="s">
        <v>46</v>
      </c>
      <c r="C16" s="6">
        <v>13</v>
      </c>
      <c r="D16" s="9">
        <f>(Table53[[#This Row],[UVP]]/1.19)*(1-G$2)</f>
        <v>6.5546218487394956</v>
      </c>
    </row>
    <row r="17" spans="1:4">
      <c r="A17" s="10">
        <v>1101834</v>
      </c>
      <c r="B17" t="s">
        <v>47</v>
      </c>
      <c r="C17" s="6">
        <v>9.9</v>
      </c>
      <c r="D17" s="9">
        <f>(Table53[[#This Row],[UVP]]/1.19)*(1-G$2)</f>
        <v>4.9915966386554622</v>
      </c>
    </row>
    <row r="18" spans="1:4">
      <c r="A18" s="10">
        <v>1101824</v>
      </c>
      <c r="B18" t="s">
        <v>48</v>
      </c>
      <c r="C18" s="6">
        <v>9.9</v>
      </c>
      <c r="D18" s="9">
        <f>(Table53[[#This Row],[UVP]]/1.19)*(1-G$2)</f>
        <v>4.9915966386554622</v>
      </c>
    </row>
    <row r="19" spans="1:4">
      <c r="A19" s="10">
        <v>1100839</v>
      </c>
      <c r="B19" t="s">
        <v>49</v>
      </c>
      <c r="C19" s="6">
        <v>9.9</v>
      </c>
      <c r="D19" s="9">
        <f>(Table53[[#This Row],[UVP]]/1.19)*(1-G$2)</f>
        <v>4.9915966386554622</v>
      </c>
    </row>
    <row r="20" spans="1:4">
      <c r="A20" s="10">
        <v>1101830</v>
      </c>
      <c r="B20" t="s">
        <v>50</v>
      </c>
      <c r="C20" s="6">
        <v>9.9</v>
      </c>
      <c r="D20" s="9">
        <f>(Table53[[#This Row],[UVP]]/1.19)*(1-G$2)</f>
        <v>4.9915966386554622</v>
      </c>
    </row>
    <row r="21" spans="1:4">
      <c r="A21" s="10">
        <v>1101184</v>
      </c>
      <c r="B21" t="s">
        <v>51</v>
      </c>
      <c r="C21" s="6">
        <v>9.9</v>
      </c>
      <c r="D21" s="9">
        <f>(Table53[[#This Row],[UVP]]/1.19)*(1-G$2)</f>
        <v>4.9915966386554622</v>
      </c>
    </row>
    <row r="22" spans="1:4">
      <c r="A22" s="10">
        <v>1100849</v>
      </c>
      <c r="B22" t="s">
        <v>52</v>
      </c>
      <c r="C22" s="6">
        <v>9.9</v>
      </c>
      <c r="D22" s="9">
        <f>(Table53[[#This Row],[UVP]]/1.19)*(1-G$2)</f>
        <v>4.9915966386554622</v>
      </c>
    </row>
    <row r="23" spans="1:4">
      <c r="A23" s="10">
        <v>1100714</v>
      </c>
      <c r="B23" t="s">
        <v>53</v>
      </c>
      <c r="C23" s="6">
        <v>9.9</v>
      </c>
      <c r="D23" s="9">
        <f>(Table53[[#This Row],[UVP]]/1.19)*(1-G$2)</f>
        <v>4.9915966386554622</v>
      </c>
    </row>
    <row r="24" spans="1:4">
      <c r="A24" s="10">
        <v>1100844</v>
      </c>
      <c r="B24" t="s">
        <v>54</v>
      </c>
      <c r="C24" s="6">
        <v>9.9</v>
      </c>
      <c r="D24" s="9">
        <f>(Table53[[#This Row],[UVP]]/1.19)*(1-G$2)</f>
        <v>4.9915966386554622</v>
      </c>
    </row>
    <row r="25" spans="1:4">
      <c r="A25" s="10">
        <v>1101231</v>
      </c>
      <c r="B25" t="s">
        <v>55</v>
      </c>
      <c r="C25" s="6">
        <v>9.9</v>
      </c>
      <c r="D25" s="9">
        <f>(Table53[[#This Row],[UVP]]/1.19)*(1-G$2)</f>
        <v>4.9915966386554622</v>
      </c>
    </row>
    <row r="26" spans="1:4">
      <c r="A26" s="10">
        <v>1101828</v>
      </c>
      <c r="B26" t="s">
        <v>56</v>
      </c>
      <c r="C26" s="6">
        <v>9.9</v>
      </c>
      <c r="D26" s="9">
        <f>(Table53[[#This Row],[UVP]]/1.19)*(1-G$2)</f>
        <v>4.9915966386554622</v>
      </c>
    </row>
    <row r="27" spans="1:4">
      <c r="A27" s="10">
        <v>1101832</v>
      </c>
      <c r="B27" t="s">
        <v>57</v>
      </c>
      <c r="C27" s="6">
        <v>9.9</v>
      </c>
      <c r="D27" s="9">
        <f>(Table53[[#This Row],[UVP]]/1.19)*(1-G$2)</f>
        <v>4.9915966386554622</v>
      </c>
    </row>
    <row r="28" spans="1:4">
      <c r="A28" s="10">
        <v>1101826</v>
      </c>
      <c r="B28" t="s">
        <v>58</v>
      </c>
      <c r="C28" s="6">
        <v>9.9</v>
      </c>
      <c r="D28" s="9">
        <f>(Table53[[#This Row],[UVP]]/1.19)*(1-G$2)</f>
        <v>4.9915966386554622</v>
      </c>
    </row>
    <row r="29" spans="1:4">
      <c r="A29" s="10">
        <v>1101836</v>
      </c>
      <c r="B29" t="s">
        <v>59</v>
      </c>
      <c r="C29" s="6">
        <v>9.9</v>
      </c>
      <c r="D29" s="9">
        <f>(Table53[[#This Row],[UVP]]/1.19)*(1-G$2)</f>
        <v>4.9915966386554622</v>
      </c>
    </row>
    <row r="30" spans="1:4">
      <c r="A30" s="10">
        <v>1101822</v>
      </c>
      <c r="B30" t="s">
        <v>60</v>
      </c>
      <c r="C30" s="6">
        <v>9.9</v>
      </c>
      <c r="D30" s="9">
        <f>(Table53[[#This Row],[UVP]]/1.19)*(1-G$2)</f>
        <v>4.9915966386554622</v>
      </c>
    </row>
    <row r="31" spans="1:4">
      <c r="A31" s="10">
        <v>1104143</v>
      </c>
      <c r="B31" t="s">
        <v>61</v>
      </c>
      <c r="C31" s="6">
        <v>9.9</v>
      </c>
      <c r="D31" s="9">
        <f>(Table53[[#This Row],[UVP]]/1.19)*(1-G$2)</f>
        <v>4.9915966386554622</v>
      </c>
    </row>
    <row r="32" spans="1:4">
      <c r="A32" s="10">
        <v>1104144</v>
      </c>
      <c r="B32" t="s">
        <v>62</v>
      </c>
      <c r="C32" s="6">
        <v>9.9</v>
      </c>
      <c r="D32" s="9">
        <f>(Table53[[#This Row],[UVP]]/1.19)*(1-G$2)</f>
        <v>4.9915966386554622</v>
      </c>
    </row>
    <row r="33" spans="1:4">
      <c r="A33" s="10">
        <v>1104142</v>
      </c>
      <c r="B33" t="s">
        <v>63</v>
      </c>
      <c r="C33" s="6">
        <v>9.9</v>
      </c>
      <c r="D33" s="9">
        <f>(Table53[[#This Row],[UVP]]/1.19)*(1-G$2)</f>
        <v>4.9915966386554622</v>
      </c>
    </row>
    <row r="34" spans="1:4">
      <c r="A34" s="10">
        <v>1103200</v>
      </c>
      <c r="B34" t="s">
        <v>64</v>
      </c>
      <c r="C34" s="6">
        <v>9.9</v>
      </c>
      <c r="D34" s="9">
        <f>(Table53[[#This Row],[UVP]]/1.19)*(1-G$2)</f>
        <v>4.9915966386554622</v>
      </c>
    </row>
    <row r="35" spans="1:4">
      <c r="A35" s="10">
        <v>1103900</v>
      </c>
      <c r="B35" t="s">
        <v>65</v>
      </c>
      <c r="C35" s="6">
        <v>89.9</v>
      </c>
      <c r="D35" s="9">
        <f>(Table53[[#This Row],[UVP]]/1.19)*(1-G$2)</f>
        <v>45.327731092436977</v>
      </c>
    </row>
    <row r="36" spans="1:4">
      <c r="A36" s="10">
        <v>1103901</v>
      </c>
      <c r="B36" t="s">
        <v>66</v>
      </c>
      <c r="C36" s="6">
        <v>89.9</v>
      </c>
      <c r="D36" s="9">
        <f>(Table53[[#This Row],[UVP]]/1.19)*(1-G$2)</f>
        <v>45.327731092436977</v>
      </c>
    </row>
    <row r="37" spans="1:4">
      <c r="A37" s="10">
        <v>1102857</v>
      </c>
      <c r="B37" t="s">
        <v>67</v>
      </c>
      <c r="C37" s="6">
        <v>17.899999999999999</v>
      </c>
      <c r="D37" s="9">
        <f>(Table53[[#This Row],[UVP]]/1.19)*(1-G$2)</f>
        <v>9.0252100840336134</v>
      </c>
    </row>
    <row r="38" spans="1:4">
      <c r="A38" s="10">
        <v>1102853</v>
      </c>
      <c r="B38" t="s">
        <v>68</v>
      </c>
      <c r="C38" s="6">
        <v>17.899999999999999</v>
      </c>
      <c r="D38" s="9">
        <f>(Table53[[#This Row],[UVP]]/1.19)*(1-G$2)</f>
        <v>9.0252100840336134</v>
      </c>
    </row>
    <row r="39" spans="1:4">
      <c r="A39" s="10">
        <v>1103683</v>
      </c>
      <c r="B39" t="s">
        <v>69</v>
      </c>
      <c r="C39" s="6">
        <v>17.899999999999999</v>
      </c>
      <c r="D39" s="9">
        <f>(Table53[[#This Row],[UVP]]/1.19)*(1-G$2)</f>
        <v>9.0252100840336134</v>
      </c>
    </row>
    <row r="40" spans="1:4">
      <c r="A40" s="10">
        <v>1103682</v>
      </c>
      <c r="B40" t="s">
        <v>70</v>
      </c>
      <c r="C40" s="6">
        <v>17.899999999999999</v>
      </c>
      <c r="D40" s="9">
        <f>(Table53[[#This Row],[UVP]]/1.19)*(1-G$2)</f>
        <v>9.0252100840336134</v>
      </c>
    </row>
    <row r="41" spans="1:4">
      <c r="A41" s="10">
        <v>1101982</v>
      </c>
      <c r="B41" t="s">
        <v>71</v>
      </c>
      <c r="C41" s="6">
        <v>17.899999999999999</v>
      </c>
      <c r="D41" s="9">
        <f>(Table53[[#This Row],[UVP]]/1.19)*(1-G$2)</f>
        <v>9.0252100840336134</v>
      </c>
    </row>
    <row r="42" spans="1:4">
      <c r="A42" s="10">
        <v>1102855</v>
      </c>
      <c r="B42" t="s">
        <v>72</v>
      </c>
      <c r="C42" s="6">
        <v>17.899999999999999</v>
      </c>
      <c r="D42" s="9">
        <f>(Table53[[#This Row],[UVP]]/1.19)*(1-G$2)</f>
        <v>9.0252100840336134</v>
      </c>
    </row>
    <row r="43" spans="1:4">
      <c r="A43" s="10">
        <v>1101835</v>
      </c>
      <c r="B43" t="s">
        <v>73</v>
      </c>
      <c r="C43" s="6">
        <v>9.9</v>
      </c>
      <c r="D43" s="9">
        <f>(Table53[[#This Row],[UVP]]/1.19)*(1-G$2)</f>
        <v>4.9915966386554622</v>
      </c>
    </row>
    <row r="44" spans="1:4">
      <c r="A44" s="10">
        <v>1101825</v>
      </c>
      <c r="B44" t="s">
        <v>74</v>
      </c>
      <c r="C44" s="6">
        <v>9.9</v>
      </c>
      <c r="D44" s="9">
        <f>(Table53[[#This Row],[UVP]]/1.19)*(1-G$2)</f>
        <v>4.9915966386554622</v>
      </c>
    </row>
    <row r="45" spans="1:4">
      <c r="A45" s="10">
        <v>1101191</v>
      </c>
      <c r="B45" t="s">
        <v>75</v>
      </c>
      <c r="C45" s="6">
        <v>9.9</v>
      </c>
      <c r="D45" s="9">
        <f>(Table53[[#This Row],[UVP]]/1.19)*(1-G$2)</f>
        <v>4.9915966386554622</v>
      </c>
    </row>
    <row r="46" spans="1:4">
      <c r="A46" s="10">
        <v>1101831</v>
      </c>
      <c r="B46" t="s">
        <v>76</v>
      </c>
      <c r="C46" s="6">
        <v>9.9</v>
      </c>
      <c r="D46" s="9">
        <f>(Table53[[#This Row],[UVP]]/1.19)*(1-G$2)</f>
        <v>4.9915966386554622</v>
      </c>
    </row>
    <row r="47" spans="1:4">
      <c r="A47" s="10">
        <v>1101194</v>
      </c>
      <c r="B47" t="s">
        <v>77</v>
      </c>
      <c r="C47" s="6">
        <v>9.9</v>
      </c>
      <c r="D47" s="9">
        <f>(Table53[[#This Row],[UVP]]/1.19)*(1-G$2)</f>
        <v>4.9915966386554622</v>
      </c>
    </row>
    <row r="48" spans="1:4">
      <c r="A48" s="10">
        <v>1101195</v>
      </c>
      <c r="B48" t="s">
        <v>78</v>
      </c>
      <c r="C48" s="6">
        <v>9.9</v>
      </c>
      <c r="D48" s="9">
        <f>(Table53[[#This Row],[UVP]]/1.19)*(1-G$2)</f>
        <v>4.9915966386554622</v>
      </c>
    </row>
    <row r="49" spans="1:4">
      <c r="A49" s="10">
        <v>1101190</v>
      </c>
      <c r="B49" t="s">
        <v>79</v>
      </c>
      <c r="C49" s="6">
        <v>9.9</v>
      </c>
      <c r="D49" s="9">
        <f>(Table53[[#This Row],[UVP]]/1.19)*(1-G$2)</f>
        <v>4.9915966386554622</v>
      </c>
    </row>
    <row r="50" spans="1:4">
      <c r="A50" s="10">
        <v>1101242</v>
      </c>
      <c r="B50" t="s">
        <v>80</v>
      </c>
      <c r="C50" s="6">
        <v>9.9</v>
      </c>
      <c r="D50" s="9">
        <f>(Table53[[#This Row],[UVP]]/1.19)*(1-G$2)</f>
        <v>4.9915966386554622</v>
      </c>
    </row>
    <row r="51" spans="1:4">
      <c r="A51" s="10">
        <v>1101192</v>
      </c>
      <c r="B51" t="s">
        <v>81</v>
      </c>
      <c r="C51" s="6">
        <v>9.9</v>
      </c>
      <c r="D51" s="9">
        <f>(Table53[[#This Row],[UVP]]/1.19)*(1-G$2)</f>
        <v>4.9915966386554622</v>
      </c>
    </row>
    <row r="52" spans="1:4">
      <c r="A52" s="10">
        <v>1101230</v>
      </c>
      <c r="B52" t="s">
        <v>82</v>
      </c>
      <c r="C52" s="6">
        <v>9.9</v>
      </c>
      <c r="D52" s="9">
        <f>(Table53[[#This Row],[UVP]]/1.19)*(1-G$2)</f>
        <v>4.9915966386554622</v>
      </c>
    </row>
    <row r="53" spans="1:4">
      <c r="A53" s="10">
        <v>1101829</v>
      </c>
      <c r="B53" t="s">
        <v>83</v>
      </c>
      <c r="C53" s="6">
        <v>9.9</v>
      </c>
      <c r="D53" s="9">
        <f>(Table53[[#This Row],[UVP]]/1.19)*(1-G$2)</f>
        <v>4.9915966386554622</v>
      </c>
    </row>
    <row r="54" spans="1:4">
      <c r="A54" s="10">
        <v>1101833</v>
      </c>
      <c r="B54" t="s">
        <v>84</v>
      </c>
      <c r="C54" s="6">
        <v>9.9</v>
      </c>
      <c r="D54" s="9">
        <f>(Table53[[#This Row],[UVP]]/1.19)*(1-G$2)</f>
        <v>4.9915966386554622</v>
      </c>
    </row>
    <row r="55" spans="1:4">
      <c r="A55" s="10">
        <v>1101827</v>
      </c>
      <c r="B55" t="s">
        <v>85</v>
      </c>
      <c r="C55" s="6">
        <v>9.9</v>
      </c>
      <c r="D55" s="9">
        <f>(Table53[[#This Row],[UVP]]/1.19)*(1-G$2)</f>
        <v>4.9915966386554622</v>
      </c>
    </row>
    <row r="56" spans="1:4">
      <c r="A56" s="10">
        <v>1101837</v>
      </c>
      <c r="B56" t="s">
        <v>86</v>
      </c>
      <c r="C56" s="6">
        <v>9.9</v>
      </c>
      <c r="D56" s="9">
        <f>(Table53[[#This Row],[UVP]]/1.19)*(1-G$2)</f>
        <v>4.9915966386554622</v>
      </c>
    </row>
    <row r="57" spans="1:4">
      <c r="A57" s="10">
        <v>1101823</v>
      </c>
      <c r="B57" t="s">
        <v>87</v>
      </c>
      <c r="C57" s="6">
        <v>9.9</v>
      </c>
      <c r="D57" s="9">
        <f>(Table53[[#This Row],[UVP]]/1.19)*(1-G$2)</f>
        <v>4.9915966386554622</v>
      </c>
    </row>
    <row r="58" spans="1:4">
      <c r="A58" s="10">
        <v>1104147</v>
      </c>
      <c r="B58" t="s">
        <v>88</v>
      </c>
      <c r="C58" s="6">
        <v>9.9</v>
      </c>
      <c r="D58" s="9">
        <f>(Table53[[#This Row],[UVP]]/1.19)*(1-G$2)</f>
        <v>4.9915966386554622</v>
      </c>
    </row>
    <row r="59" spans="1:4">
      <c r="A59" s="10">
        <v>1104146</v>
      </c>
      <c r="B59" t="s">
        <v>89</v>
      </c>
      <c r="C59" s="6">
        <v>9.9</v>
      </c>
      <c r="D59" s="9">
        <f>(Table53[[#This Row],[UVP]]/1.19)*(1-G$2)</f>
        <v>4.9915966386554622</v>
      </c>
    </row>
    <row r="60" spans="1:4">
      <c r="A60" s="10">
        <v>1104153</v>
      </c>
      <c r="B60" t="s">
        <v>90</v>
      </c>
      <c r="C60" s="6">
        <v>9.9</v>
      </c>
      <c r="D60" s="9">
        <f>(Table53[[#This Row],[UVP]]/1.19)*(1-G$2)</f>
        <v>4.9915966386554622</v>
      </c>
    </row>
    <row r="61" spans="1:4">
      <c r="A61" s="10">
        <v>1104145</v>
      </c>
      <c r="B61" t="s">
        <v>91</v>
      </c>
      <c r="C61" s="6">
        <v>9.9</v>
      </c>
      <c r="D61" s="9">
        <f>(Table53[[#This Row],[UVP]]/1.19)*(1-G$2)</f>
        <v>4.9915966386554622</v>
      </c>
    </row>
    <row r="62" spans="1:4">
      <c r="A62" s="10">
        <v>1104150</v>
      </c>
      <c r="B62" t="s">
        <v>92</v>
      </c>
      <c r="C62" s="6">
        <v>9.9</v>
      </c>
      <c r="D62" s="9">
        <f>(Table53[[#This Row],[UVP]]/1.19)*(1-G$2)</f>
        <v>4.9915966386554622</v>
      </c>
    </row>
    <row r="63" spans="1:4">
      <c r="A63" s="10">
        <v>1104158</v>
      </c>
      <c r="B63" t="s">
        <v>93</v>
      </c>
      <c r="C63" s="6">
        <v>9.9</v>
      </c>
      <c r="D63" s="9">
        <f>(Table53[[#This Row],[UVP]]/1.19)*(1-G$2)</f>
        <v>4.9915966386554622</v>
      </c>
    </row>
    <row r="64" spans="1:4">
      <c r="A64" s="10">
        <v>1101984</v>
      </c>
      <c r="B64" t="s">
        <v>94</v>
      </c>
      <c r="C64" s="6">
        <v>99.9</v>
      </c>
      <c r="D64" s="9">
        <f>(Table53[[#This Row],[UVP]]/1.19)*(1-G$2)</f>
        <v>50.36974789915967</v>
      </c>
    </row>
    <row r="65" spans="1:4">
      <c r="A65" s="10">
        <v>1103699</v>
      </c>
      <c r="B65" t="s">
        <v>95</v>
      </c>
      <c r="C65" s="6">
        <v>99.9</v>
      </c>
      <c r="D65" s="9">
        <f>(Table53[[#This Row],[UVP]]/1.19)*(1-G$2)</f>
        <v>50.36974789915967</v>
      </c>
    </row>
    <row r="66" spans="1:4">
      <c r="A66" s="10">
        <v>1101785</v>
      </c>
      <c r="B66" t="s">
        <v>96</v>
      </c>
      <c r="C66" s="6">
        <v>99.9</v>
      </c>
      <c r="D66" s="9">
        <f>(Table53[[#This Row],[UVP]]/1.19)*(1-G$2)</f>
        <v>50.36974789915967</v>
      </c>
    </row>
    <row r="67" spans="1:4">
      <c r="A67" s="10">
        <v>1103695</v>
      </c>
      <c r="B67" t="s">
        <v>97</v>
      </c>
      <c r="C67" s="6">
        <v>99.9</v>
      </c>
      <c r="D67" s="9">
        <f>(Table53[[#This Row],[UVP]]/1.19)*(1-G$2)</f>
        <v>50.36974789915967</v>
      </c>
    </row>
    <row r="68" spans="1:4">
      <c r="A68" s="10">
        <v>1101983</v>
      </c>
      <c r="B68" t="s">
        <v>98</v>
      </c>
      <c r="C68" s="6">
        <v>99.9</v>
      </c>
      <c r="D68" s="9">
        <f>(Table53[[#This Row],[UVP]]/1.19)*(1-G$2)</f>
        <v>50.36974789915967</v>
      </c>
    </row>
    <row r="69" spans="1:4">
      <c r="A69" s="10">
        <v>1101237</v>
      </c>
      <c r="B69" t="s">
        <v>99</v>
      </c>
      <c r="C69" s="6">
        <v>99.9</v>
      </c>
      <c r="D69" s="9">
        <f>(Table53[[#This Row],[UVP]]/1.19)*(1-G$2)</f>
        <v>50.36974789915967</v>
      </c>
    </row>
    <row r="70" spans="1:4">
      <c r="A70" s="10">
        <v>1101240</v>
      </c>
      <c r="B70" t="s">
        <v>100</v>
      </c>
      <c r="C70" s="6">
        <v>99.9</v>
      </c>
      <c r="D70" s="9">
        <f>(Table53[[#This Row],[UVP]]/1.19)*(1-G$2)</f>
        <v>50.36974789915967</v>
      </c>
    </row>
    <row r="71" spans="1:4">
      <c r="A71" s="10">
        <v>1101217</v>
      </c>
      <c r="B71" t="s">
        <v>101</v>
      </c>
      <c r="C71" s="6">
        <v>99.9</v>
      </c>
      <c r="D71" s="9">
        <f>(Table53[[#This Row],[UVP]]/1.19)*(1-G$2)</f>
        <v>50.36974789915967</v>
      </c>
    </row>
    <row r="72" spans="1:4">
      <c r="A72" s="10">
        <v>1101176</v>
      </c>
      <c r="B72" t="s">
        <v>102</v>
      </c>
      <c r="C72" s="6">
        <v>99.9</v>
      </c>
      <c r="D72" s="9">
        <f>(Table53[[#This Row],[UVP]]/1.19)*(1-G$2)</f>
        <v>50.36974789915967</v>
      </c>
    </row>
    <row r="73" spans="1:4">
      <c r="A73" s="10">
        <v>1101790</v>
      </c>
      <c r="B73" t="s">
        <v>103</v>
      </c>
      <c r="C73" s="6">
        <v>99.9</v>
      </c>
      <c r="D73" s="9">
        <f>(Table53[[#This Row],[UVP]]/1.19)*(1-G$2)</f>
        <v>50.36974789915967</v>
      </c>
    </row>
    <row r="74" spans="1:4">
      <c r="A74" s="10">
        <v>1101225</v>
      </c>
      <c r="B74" t="s">
        <v>104</v>
      </c>
      <c r="C74" s="6">
        <v>99.9</v>
      </c>
      <c r="D74" s="9">
        <f>(Table53[[#This Row],[UVP]]/1.19)*(1-G$2)</f>
        <v>50.36974789915967</v>
      </c>
    </row>
    <row r="75" spans="1:4">
      <c r="A75" s="10">
        <v>1101222</v>
      </c>
      <c r="B75" t="s">
        <v>105</v>
      </c>
      <c r="C75" s="6">
        <v>99.9</v>
      </c>
      <c r="D75" s="9">
        <f>(Table53[[#This Row],[UVP]]/1.19)*(1-G$2)</f>
        <v>50.36974789915967</v>
      </c>
    </row>
    <row r="76" spans="1:4">
      <c r="A76" s="10">
        <v>1101788</v>
      </c>
      <c r="B76" t="s">
        <v>106</v>
      </c>
      <c r="C76" s="6">
        <v>99.9</v>
      </c>
      <c r="D76" s="9">
        <f>(Table53[[#This Row],[UVP]]/1.19)*(1-G$2)</f>
        <v>50.36974789915967</v>
      </c>
    </row>
    <row r="77" spans="1:4">
      <c r="A77" s="10">
        <v>1103698</v>
      </c>
      <c r="B77" t="s">
        <v>107</v>
      </c>
      <c r="C77" s="6">
        <v>99.9</v>
      </c>
      <c r="D77" s="9">
        <f>(Table53[[#This Row],[UVP]]/1.19)*(1-G$2)</f>
        <v>50.36974789915967</v>
      </c>
    </row>
    <row r="78" spans="1:4">
      <c r="A78" s="10">
        <v>1101179</v>
      </c>
      <c r="B78" t="s">
        <v>108</v>
      </c>
      <c r="C78" s="6">
        <v>99.9</v>
      </c>
      <c r="D78" s="9">
        <f>(Table53[[#This Row],[UVP]]/1.19)*(1-G$2)</f>
        <v>50.36974789915967</v>
      </c>
    </row>
    <row r="79" spans="1:4">
      <c r="A79" s="10">
        <v>1101238</v>
      </c>
      <c r="B79" t="s">
        <v>109</v>
      </c>
      <c r="C79" s="6">
        <v>99.9</v>
      </c>
      <c r="D79" s="9">
        <f>(Table53[[#This Row],[UVP]]/1.19)*(1-G$2)</f>
        <v>50.36974789915967</v>
      </c>
    </row>
    <row r="80" spans="1:4">
      <c r="A80" s="10">
        <v>1101241</v>
      </c>
      <c r="B80" t="s">
        <v>110</v>
      </c>
      <c r="C80" s="6">
        <v>99.9</v>
      </c>
      <c r="D80" s="9">
        <f>(Table53[[#This Row],[UVP]]/1.19)*(1-G$2)</f>
        <v>50.36974789915967</v>
      </c>
    </row>
    <row r="81" spans="1:4">
      <c r="A81" s="10">
        <v>1101219</v>
      </c>
      <c r="B81" t="s">
        <v>111</v>
      </c>
      <c r="C81" s="6">
        <v>99.9</v>
      </c>
      <c r="D81" s="9">
        <f>(Table53[[#This Row],[UVP]]/1.19)*(1-G$2)</f>
        <v>50.36974789915967</v>
      </c>
    </row>
    <row r="82" spans="1:4">
      <c r="A82" s="10">
        <v>1101178</v>
      </c>
      <c r="B82" t="s">
        <v>112</v>
      </c>
      <c r="C82" s="6">
        <v>99.9</v>
      </c>
      <c r="D82" s="9">
        <f>(Table53[[#This Row],[UVP]]/1.19)*(1-G$2)</f>
        <v>50.36974789915967</v>
      </c>
    </row>
    <row r="83" spans="1:4">
      <c r="A83" s="10">
        <v>1101180</v>
      </c>
      <c r="B83" t="s">
        <v>112</v>
      </c>
      <c r="C83" s="6">
        <v>99.9</v>
      </c>
      <c r="D83" s="9">
        <f>(Table53[[#This Row],[UVP]]/1.19)*(1-G$2)</f>
        <v>50.36974789915967</v>
      </c>
    </row>
    <row r="84" spans="1:4">
      <c r="A84" s="10">
        <v>1101224</v>
      </c>
      <c r="B84" t="s">
        <v>113</v>
      </c>
      <c r="C84" s="6">
        <v>99.9</v>
      </c>
      <c r="D84" s="9">
        <f>(Table53[[#This Row],[UVP]]/1.19)*(1-G$2)</f>
        <v>50.36974789915967</v>
      </c>
    </row>
    <row r="85" spans="1:4">
      <c r="A85" s="10">
        <v>1101181</v>
      </c>
      <c r="B85" t="s">
        <v>114</v>
      </c>
      <c r="C85" s="6">
        <v>99.9</v>
      </c>
      <c r="D85" s="9">
        <f>(Table53[[#This Row],[UVP]]/1.19)*(1-G$2)</f>
        <v>50.36974789915967</v>
      </c>
    </row>
    <row r="86" spans="1:4">
      <c r="A86" s="10">
        <v>1101236</v>
      </c>
      <c r="B86" t="s">
        <v>115</v>
      </c>
      <c r="C86" s="6">
        <v>99.9</v>
      </c>
      <c r="D86" s="9">
        <f>(Table53[[#This Row],[UVP]]/1.19)*(1-G$2)</f>
        <v>50.36974789915967</v>
      </c>
    </row>
    <row r="87" spans="1:4">
      <c r="A87" s="10">
        <v>1101239</v>
      </c>
      <c r="B87" t="s">
        <v>116</v>
      </c>
      <c r="C87" s="6">
        <v>99.9</v>
      </c>
      <c r="D87" s="9">
        <f>(Table53[[#This Row],[UVP]]/1.19)*(1-G$2)</f>
        <v>50.36974789915967</v>
      </c>
    </row>
    <row r="88" spans="1:4">
      <c r="A88" s="10">
        <v>1101216</v>
      </c>
      <c r="B88" t="s">
        <v>117</v>
      </c>
      <c r="C88" s="6">
        <v>99.9</v>
      </c>
      <c r="D88" s="9">
        <f>(Table53[[#This Row],[UVP]]/1.19)*(1-G$2)</f>
        <v>50.36974789915967</v>
      </c>
    </row>
    <row r="89" spans="1:4">
      <c r="A89" s="10">
        <v>1100961</v>
      </c>
      <c r="B89" t="s">
        <v>118</v>
      </c>
      <c r="C89" s="6">
        <v>99.9</v>
      </c>
      <c r="D89" s="9">
        <f>(Table53[[#This Row],[UVP]]/1.19)*(1-G$2)</f>
        <v>50.36974789915967</v>
      </c>
    </row>
    <row r="90" spans="1:4">
      <c r="A90" s="10">
        <v>1101221</v>
      </c>
      <c r="B90" t="s">
        <v>119</v>
      </c>
      <c r="C90" s="6">
        <v>99.9</v>
      </c>
      <c r="D90" s="9">
        <f>(Table53[[#This Row],[UVP]]/1.19)*(1-G$2)</f>
        <v>50.36974789915967</v>
      </c>
    </row>
    <row r="91" spans="1:4">
      <c r="A91" s="10">
        <v>1101228</v>
      </c>
      <c r="B91" t="s">
        <v>120</v>
      </c>
      <c r="C91" s="6">
        <v>99.9</v>
      </c>
      <c r="D91" s="9">
        <f>(Table53[[#This Row],[UVP]]/1.19)*(1-G$2)</f>
        <v>50.36974789915967</v>
      </c>
    </row>
    <row r="92" spans="1:4">
      <c r="A92" s="10">
        <v>1101229</v>
      </c>
      <c r="B92" t="s">
        <v>121</v>
      </c>
      <c r="C92" s="6">
        <v>99.9</v>
      </c>
      <c r="D92" s="9">
        <f>(Table53[[#This Row],[UVP]]/1.19)*(1-G$2)</f>
        <v>50.36974789915967</v>
      </c>
    </row>
    <row r="93" spans="1:4">
      <c r="A93" s="10">
        <v>1101218</v>
      </c>
      <c r="B93" t="s">
        <v>122</v>
      </c>
      <c r="C93" s="6">
        <v>99.9</v>
      </c>
      <c r="D93" s="9">
        <f>(Table53[[#This Row],[UVP]]/1.19)*(1-G$2)</f>
        <v>50.36974789915967</v>
      </c>
    </row>
    <row r="94" spans="1:4">
      <c r="A94" s="10">
        <v>1101177</v>
      </c>
      <c r="B94" t="s">
        <v>123</v>
      </c>
      <c r="C94" s="6">
        <v>99.9</v>
      </c>
      <c r="D94" s="9">
        <f>(Table53[[#This Row],[UVP]]/1.19)*(1-G$2)</f>
        <v>50.36974789915967</v>
      </c>
    </row>
    <row r="95" spans="1:4">
      <c r="A95" s="10">
        <v>1101226</v>
      </c>
      <c r="B95" t="s">
        <v>124</v>
      </c>
      <c r="C95" s="6">
        <v>99.9</v>
      </c>
      <c r="D95" s="9">
        <f>(Table53[[#This Row],[UVP]]/1.19)*(1-G$2)</f>
        <v>50.36974789915967</v>
      </c>
    </row>
    <row r="96" spans="1:4">
      <c r="A96" s="10">
        <v>1101223</v>
      </c>
      <c r="B96" t="s">
        <v>125</v>
      </c>
      <c r="C96" s="6">
        <v>99.9</v>
      </c>
      <c r="D96" s="9">
        <f>(Table53[[#This Row],[UVP]]/1.19)*(1-G$2)</f>
        <v>50.36974789915967</v>
      </c>
    </row>
    <row r="97" spans="1:4">
      <c r="A97" s="10">
        <v>1101227</v>
      </c>
      <c r="B97" t="s">
        <v>126</v>
      </c>
      <c r="C97" s="6">
        <v>99.9</v>
      </c>
      <c r="D97" s="9">
        <f>(Table53[[#This Row],[UVP]]/1.19)*(1-G$2)</f>
        <v>50.36974789915967</v>
      </c>
    </row>
    <row r="98" spans="1:4">
      <c r="A98" s="10">
        <v>1101787</v>
      </c>
      <c r="B98" t="s">
        <v>127</v>
      </c>
      <c r="C98" s="6">
        <v>99.9</v>
      </c>
      <c r="D98" s="9">
        <f>(Table53[[#This Row],[UVP]]/1.19)*(1-G$2)</f>
        <v>50.36974789915967</v>
      </c>
    </row>
    <row r="99" spans="1:4">
      <c r="A99" s="10">
        <v>1103697</v>
      </c>
      <c r="B99" t="s">
        <v>128</v>
      </c>
      <c r="C99" s="6">
        <v>99.9</v>
      </c>
      <c r="D99" s="9">
        <f>(Table53[[#This Row],[UVP]]/1.19)*(1-G$2)</f>
        <v>50.36974789915967</v>
      </c>
    </row>
    <row r="100" spans="1:4">
      <c r="A100" s="10">
        <v>1101789</v>
      </c>
      <c r="B100" t="s">
        <v>129</v>
      </c>
      <c r="C100" s="6">
        <v>99.9</v>
      </c>
      <c r="D100" s="9">
        <f>(Table53[[#This Row],[UVP]]/1.19)*(1-G$2)</f>
        <v>50.36974789915967</v>
      </c>
    </row>
    <row r="101" spans="1:4">
      <c r="A101" s="10">
        <v>1103700</v>
      </c>
      <c r="B101" t="s">
        <v>130</v>
      </c>
      <c r="C101" s="6">
        <v>99.9</v>
      </c>
      <c r="D101" s="9">
        <f>(Table53[[#This Row],[UVP]]/1.19)*(1-G$2)</f>
        <v>50.36974789915967</v>
      </c>
    </row>
    <row r="102" spans="1:4">
      <c r="A102" s="10">
        <v>1103696</v>
      </c>
      <c r="B102" t="s">
        <v>131</v>
      </c>
      <c r="C102" s="6">
        <v>99.9</v>
      </c>
      <c r="D102" s="9">
        <f>(Table53[[#This Row],[UVP]]/1.19)*(1-G$2)</f>
        <v>50.36974789915967</v>
      </c>
    </row>
    <row r="103" spans="1:4">
      <c r="A103" s="10">
        <v>1101786</v>
      </c>
      <c r="B103" t="s">
        <v>132</v>
      </c>
      <c r="C103" s="6">
        <v>99.9</v>
      </c>
      <c r="D103" s="9">
        <f>(Table53[[#This Row],[UVP]]/1.19)*(1-G$2)</f>
        <v>50.36974789915967</v>
      </c>
    </row>
    <row r="104" spans="1:4">
      <c r="A104" s="10">
        <v>1101791</v>
      </c>
      <c r="B104" t="s">
        <v>133</v>
      </c>
      <c r="C104" s="6">
        <v>99.9</v>
      </c>
      <c r="D104" s="9">
        <f>(Table53[[#This Row],[UVP]]/1.19)*(1-G$2)</f>
        <v>50.36974789915967</v>
      </c>
    </row>
    <row r="105" spans="1:4">
      <c r="A105" s="10">
        <v>1101784</v>
      </c>
      <c r="B105" t="s">
        <v>134</v>
      </c>
      <c r="C105" s="6">
        <v>99.9</v>
      </c>
      <c r="D105" s="9">
        <f>(Table53[[#This Row],[UVP]]/1.19)*(1-G$2)</f>
        <v>50.36974789915967</v>
      </c>
    </row>
    <row r="106" spans="1:4">
      <c r="A106" s="10">
        <v>1103694</v>
      </c>
      <c r="B106" t="s">
        <v>135</v>
      </c>
      <c r="C106" s="6">
        <v>99.9</v>
      </c>
      <c r="D106" s="9">
        <f>(Table53[[#This Row],[UVP]]/1.19)*(1-G$2)</f>
        <v>50.36974789915967</v>
      </c>
    </row>
    <row r="107" spans="1:4">
      <c r="A107" s="10">
        <v>1101937</v>
      </c>
      <c r="B107" t="s">
        <v>136</v>
      </c>
      <c r="C107" s="6">
        <v>99.9</v>
      </c>
      <c r="D107" s="9">
        <f>(Table53[[#This Row],[UVP]]/1.19)*(1-G$2)</f>
        <v>50.36974789915967</v>
      </c>
    </row>
    <row r="108" spans="1:4">
      <c r="A108" s="10">
        <v>1101985</v>
      </c>
      <c r="B108" t="s">
        <v>137</v>
      </c>
      <c r="C108" s="6">
        <v>99.9</v>
      </c>
      <c r="D108" s="9">
        <f>(Table53[[#This Row],[UVP]]/1.19)*(1-G$2)</f>
        <v>50.36974789915967</v>
      </c>
    </row>
    <row r="109" spans="1:4">
      <c r="A109" s="10">
        <v>1104130</v>
      </c>
      <c r="B109" t="s">
        <v>138</v>
      </c>
      <c r="C109" s="6">
        <v>99.9</v>
      </c>
      <c r="D109" s="9">
        <f>(Table53[[#This Row],[UVP]]/1.19)*(1-G$2)</f>
        <v>50.36974789915967</v>
      </c>
    </row>
    <row r="110" spans="1:4">
      <c r="A110" s="10">
        <v>1104138</v>
      </c>
      <c r="B110" t="s">
        <v>139</v>
      </c>
      <c r="C110" s="6">
        <v>99.9</v>
      </c>
      <c r="D110" s="9">
        <f>(Table53[[#This Row],[UVP]]/1.19)*(1-G$2)</f>
        <v>50.36974789915967</v>
      </c>
    </row>
    <row r="111" spans="1:4">
      <c r="A111" s="10">
        <v>1104125</v>
      </c>
      <c r="B111" t="s">
        <v>140</v>
      </c>
      <c r="C111" s="6">
        <v>99.9</v>
      </c>
      <c r="D111" s="9">
        <f>(Table53[[#This Row],[UVP]]/1.19)*(1-G$2)</f>
        <v>50.36974789915967</v>
      </c>
    </row>
    <row r="112" spans="1:4">
      <c r="A112" s="10">
        <v>1104136</v>
      </c>
      <c r="B112" t="s">
        <v>141</v>
      </c>
      <c r="C112" s="6">
        <v>99.9</v>
      </c>
      <c r="D112" s="9">
        <f>(Table53[[#This Row],[UVP]]/1.19)*(1-G$2)</f>
        <v>50.36974789915967</v>
      </c>
    </row>
    <row r="113" spans="1:4">
      <c r="A113" s="10">
        <v>1104140</v>
      </c>
      <c r="B113" t="s">
        <v>142</v>
      </c>
      <c r="C113" s="6">
        <v>99.9</v>
      </c>
      <c r="D113" s="9">
        <f>(Table53[[#This Row],[UVP]]/1.19)*(1-G$2)</f>
        <v>50.36974789915967</v>
      </c>
    </row>
    <row r="114" spans="1:4">
      <c r="A114" s="10">
        <v>1104128</v>
      </c>
      <c r="B114" t="s">
        <v>143</v>
      </c>
      <c r="C114" s="6">
        <v>99.9</v>
      </c>
      <c r="D114" s="9">
        <f>(Table53[[#This Row],[UVP]]/1.19)*(1-G$2)</f>
        <v>50.36974789915967</v>
      </c>
    </row>
    <row r="115" spans="1:4">
      <c r="A115" s="10">
        <v>1104127</v>
      </c>
      <c r="B115" t="s">
        <v>144</v>
      </c>
      <c r="C115" s="6">
        <v>99.9</v>
      </c>
      <c r="D115" s="9">
        <f>(Table53[[#This Row],[UVP]]/1.19)*(1-G$2)</f>
        <v>50.36974789915967</v>
      </c>
    </row>
    <row r="116" spans="1:4">
      <c r="A116" s="10">
        <v>1104129</v>
      </c>
      <c r="B116" t="s">
        <v>145</v>
      </c>
      <c r="C116" s="6">
        <v>99.9</v>
      </c>
      <c r="D116" s="9">
        <f>(Table53[[#This Row],[UVP]]/1.19)*(1-G$2)</f>
        <v>50.36974789915967</v>
      </c>
    </row>
    <row r="117" spans="1:4">
      <c r="A117" s="10">
        <v>1104126</v>
      </c>
      <c r="B117" t="s">
        <v>146</v>
      </c>
      <c r="C117" s="6">
        <v>99.9</v>
      </c>
      <c r="D117" s="9">
        <f>(Table53[[#This Row],[UVP]]/1.19)*(1-G$2)</f>
        <v>50.36974789915967</v>
      </c>
    </row>
    <row r="118" spans="1:4">
      <c r="A118" s="10">
        <v>1104137</v>
      </c>
      <c r="B118" t="s">
        <v>147</v>
      </c>
      <c r="C118" s="6">
        <v>99.9</v>
      </c>
      <c r="D118" s="9">
        <f>(Table53[[#This Row],[UVP]]/1.19)*(1-G$2)</f>
        <v>50.36974789915967</v>
      </c>
    </row>
    <row r="119" spans="1:4">
      <c r="A119" s="10">
        <v>1104124</v>
      </c>
      <c r="B119" t="s">
        <v>148</v>
      </c>
      <c r="C119" s="6">
        <v>99.9</v>
      </c>
      <c r="D119" s="9">
        <f>(Table53[[#This Row],[UVP]]/1.19)*(1-G$2)</f>
        <v>50.36974789915967</v>
      </c>
    </row>
    <row r="120" spans="1:4">
      <c r="A120" s="10">
        <v>1104135</v>
      </c>
      <c r="B120" t="s">
        <v>149</v>
      </c>
      <c r="C120" s="6">
        <v>99.9</v>
      </c>
      <c r="D120" s="9">
        <f>(Table53[[#This Row],[UVP]]/1.19)*(1-G$2)</f>
        <v>50.36974789915967</v>
      </c>
    </row>
    <row r="121" spans="1:4">
      <c r="A121" s="10">
        <v>1104139</v>
      </c>
      <c r="B121" t="s">
        <v>150</v>
      </c>
      <c r="C121" s="6">
        <v>99.9</v>
      </c>
      <c r="D121" s="9">
        <f>(Table53[[#This Row],[UVP]]/1.19)*(1-G$2)</f>
        <v>50.36974789915967</v>
      </c>
    </row>
  </sheetData>
  <sheetProtection algorithmName="SHA-512" hashValue="WtvzqpRej1O9NXmIN/ur3U0JKQ+jSAi0sQLod4q4Mx993azXDgZLOJXiwwnouHBoJeTWYZaPynGLWN8t6o5P4w==" saltValue="uN+9453ChaWTOZyGlhU3wg==" spinCount="100000" sheet="1"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763F-8F42-495A-9209-E3CBA618FBF9}">
  <sheetPr>
    <tabColor theme="3" tint="0.59999389629810485"/>
  </sheetPr>
  <dimension ref="A1:D99"/>
  <sheetViews>
    <sheetView topLeftCell="A48" workbookViewId="0">
      <selection activeCell="D67" sqref="D67"/>
    </sheetView>
  </sheetViews>
  <sheetFormatPr defaultColWidth="8.85546875" defaultRowHeight="15"/>
  <cols>
    <col min="1" max="1" width="14.42578125" style="10" customWidth="1"/>
    <col min="2" max="2" width="59.42578125" customWidth="1"/>
    <col min="3" max="3" width="13.42578125" style="9" customWidth="1"/>
    <col min="4" max="4" width="14.7109375" style="7" customWidth="1"/>
  </cols>
  <sheetData>
    <row r="1" spans="1:4">
      <c r="A1" s="10" t="s">
        <v>30</v>
      </c>
      <c r="B1" t="s">
        <v>16</v>
      </c>
      <c r="C1" s="4" t="s">
        <v>17</v>
      </c>
      <c r="D1" s="5" t="s">
        <v>19</v>
      </c>
    </row>
    <row r="2" spans="1:4">
      <c r="A2" s="10">
        <v>1100813</v>
      </c>
      <c r="B2" t="s">
        <v>151</v>
      </c>
      <c r="C2" s="6">
        <v>20</v>
      </c>
      <c r="D2" s="7">
        <v>1</v>
      </c>
    </row>
    <row r="3" spans="1:4">
      <c r="A3" s="10">
        <v>1103643</v>
      </c>
      <c r="B3" t="s">
        <v>152</v>
      </c>
      <c r="C3" s="6">
        <v>35</v>
      </c>
      <c r="D3" s="7">
        <v>1</v>
      </c>
    </row>
    <row r="4" spans="1:4">
      <c r="A4" s="10">
        <v>1101936</v>
      </c>
      <c r="B4" t="s">
        <v>153</v>
      </c>
      <c r="C4" s="6">
        <v>30</v>
      </c>
      <c r="D4" s="7">
        <v>4</v>
      </c>
    </row>
    <row r="5" spans="1:4">
      <c r="A5" s="10">
        <v>1003124</v>
      </c>
      <c r="B5" t="s">
        <v>154</v>
      </c>
      <c r="C5" s="6">
        <v>30</v>
      </c>
      <c r="D5" s="7">
        <v>3</v>
      </c>
    </row>
    <row r="6" spans="1:4">
      <c r="A6" s="10">
        <v>1100810</v>
      </c>
      <c r="B6" t="s">
        <v>155</v>
      </c>
      <c r="C6" s="6">
        <v>20</v>
      </c>
      <c r="D6" s="7">
        <v>1</v>
      </c>
    </row>
    <row r="7" spans="1:4">
      <c r="A7" s="10">
        <v>1103681</v>
      </c>
      <c r="B7" t="s">
        <v>156</v>
      </c>
      <c r="C7" s="6">
        <v>17</v>
      </c>
      <c r="D7" s="7">
        <v>1</v>
      </c>
    </row>
    <row r="8" spans="1:4">
      <c r="A8" s="10">
        <v>1102002</v>
      </c>
      <c r="B8" t="s">
        <v>157</v>
      </c>
      <c r="C8" s="6">
        <v>3</v>
      </c>
      <c r="D8" s="7">
        <v>1</v>
      </c>
    </row>
    <row r="9" spans="1:4">
      <c r="A9" s="10">
        <v>1101279</v>
      </c>
      <c r="B9" t="s">
        <v>158</v>
      </c>
      <c r="C9" s="6">
        <v>13</v>
      </c>
      <c r="D9" s="7">
        <v>1</v>
      </c>
    </row>
    <row r="10" spans="1:4">
      <c r="A10" s="10">
        <v>1103295</v>
      </c>
      <c r="B10" t="s">
        <v>159</v>
      </c>
      <c r="C10" s="6">
        <v>21</v>
      </c>
      <c r="D10" s="7">
        <v>1</v>
      </c>
    </row>
    <row r="11" spans="1:4">
      <c r="A11" s="10">
        <v>1101932</v>
      </c>
      <c r="B11" t="s">
        <v>160</v>
      </c>
      <c r="C11" s="6">
        <v>3</v>
      </c>
      <c r="D11" s="7">
        <v>1</v>
      </c>
    </row>
    <row r="12" spans="1:4">
      <c r="A12" s="10">
        <v>1101925</v>
      </c>
      <c r="B12" t="s">
        <v>161</v>
      </c>
      <c r="C12" s="6">
        <v>3</v>
      </c>
      <c r="D12" s="7">
        <v>1</v>
      </c>
    </row>
    <row r="13" spans="1:4">
      <c r="A13" s="10">
        <v>1101922</v>
      </c>
      <c r="B13" t="s">
        <v>162</v>
      </c>
      <c r="C13" s="6">
        <v>78</v>
      </c>
      <c r="D13" s="7">
        <v>3</v>
      </c>
    </row>
    <row r="14" spans="1:4">
      <c r="A14" s="10">
        <v>1103641</v>
      </c>
      <c r="B14" t="s">
        <v>163</v>
      </c>
      <c r="C14" s="6">
        <v>7</v>
      </c>
      <c r="D14" s="7">
        <v>1</v>
      </c>
    </row>
    <row r="15" spans="1:4">
      <c r="A15" s="10">
        <v>1100859</v>
      </c>
      <c r="B15" t="s">
        <v>164</v>
      </c>
      <c r="C15" s="6">
        <v>5</v>
      </c>
      <c r="D15" s="7">
        <v>1</v>
      </c>
    </row>
    <row r="16" spans="1:4">
      <c r="A16" s="10">
        <v>1100816</v>
      </c>
      <c r="B16" t="s">
        <v>165</v>
      </c>
      <c r="C16" s="6">
        <v>5</v>
      </c>
      <c r="D16" s="7">
        <v>1</v>
      </c>
    </row>
    <row r="17" spans="1:4">
      <c r="A17" s="10">
        <v>1102859</v>
      </c>
      <c r="B17" t="s">
        <v>166</v>
      </c>
      <c r="C17" s="6">
        <v>6</v>
      </c>
      <c r="D17" s="7">
        <v>2</v>
      </c>
    </row>
    <row r="18" spans="1:4">
      <c r="A18" s="10">
        <v>1101175</v>
      </c>
      <c r="B18" t="s">
        <v>167</v>
      </c>
      <c r="C18" s="6">
        <v>8</v>
      </c>
      <c r="D18" s="7">
        <v>1</v>
      </c>
    </row>
    <row r="19" spans="1:4">
      <c r="A19" s="10">
        <v>1101931</v>
      </c>
      <c r="B19" t="s">
        <v>168</v>
      </c>
      <c r="C19" s="6">
        <v>8</v>
      </c>
      <c r="D19" s="7">
        <v>1</v>
      </c>
    </row>
    <row r="20" spans="1:4">
      <c r="A20" s="10">
        <v>1103021</v>
      </c>
      <c r="B20" t="s">
        <v>169</v>
      </c>
      <c r="C20" s="6">
        <v>9</v>
      </c>
      <c r="D20" s="7">
        <v>2</v>
      </c>
    </row>
    <row r="21" spans="1:4">
      <c r="A21" s="10">
        <v>1103703</v>
      </c>
      <c r="B21" t="s">
        <v>170</v>
      </c>
      <c r="C21" s="6">
        <v>1.5</v>
      </c>
      <c r="D21" s="7">
        <v>1</v>
      </c>
    </row>
    <row r="22" spans="1:4">
      <c r="A22" s="10">
        <v>1101987</v>
      </c>
      <c r="B22" t="s">
        <v>171</v>
      </c>
      <c r="C22" s="6">
        <v>3</v>
      </c>
      <c r="D22" s="7">
        <v>1</v>
      </c>
    </row>
    <row r="23" spans="1:4">
      <c r="A23" s="10">
        <v>1103706</v>
      </c>
      <c r="B23" t="s">
        <v>172</v>
      </c>
      <c r="C23" s="6">
        <v>3</v>
      </c>
      <c r="D23" s="7">
        <v>1</v>
      </c>
    </row>
    <row r="24" spans="1:4">
      <c r="A24" s="10">
        <v>1004102</v>
      </c>
      <c r="B24" t="s">
        <v>173</v>
      </c>
      <c r="C24" s="6">
        <v>3</v>
      </c>
      <c r="D24" s="7">
        <v>1</v>
      </c>
    </row>
    <row r="25" spans="1:4">
      <c r="A25" s="10">
        <v>1004453</v>
      </c>
      <c r="B25" t="s">
        <v>174</v>
      </c>
      <c r="C25" s="6">
        <v>3</v>
      </c>
      <c r="D25" s="7">
        <v>1</v>
      </c>
    </row>
    <row r="26" spans="1:4">
      <c r="A26" s="10">
        <v>1003207</v>
      </c>
      <c r="B26" t="s">
        <v>175</v>
      </c>
      <c r="C26" s="6">
        <v>3</v>
      </c>
      <c r="D26" s="7">
        <v>1</v>
      </c>
    </row>
    <row r="27" spans="1:4">
      <c r="A27" s="10">
        <v>1003409</v>
      </c>
      <c r="B27" t="s">
        <v>176</v>
      </c>
      <c r="C27" s="6">
        <v>23</v>
      </c>
      <c r="D27" s="7">
        <v>1</v>
      </c>
    </row>
    <row r="28" spans="1:4">
      <c r="A28" s="10">
        <v>1003400</v>
      </c>
      <c r="B28" t="s">
        <v>177</v>
      </c>
      <c r="C28" s="6">
        <v>23</v>
      </c>
      <c r="D28" s="7">
        <v>1</v>
      </c>
    </row>
    <row r="29" spans="1:4">
      <c r="A29" s="10">
        <v>1103648</v>
      </c>
      <c r="B29" t="s">
        <v>178</v>
      </c>
      <c r="C29" s="6">
        <v>25</v>
      </c>
      <c r="D29" s="7">
        <v>1</v>
      </c>
    </row>
    <row r="30" spans="1:4">
      <c r="A30" s="10">
        <v>1103647</v>
      </c>
      <c r="B30" t="s">
        <v>179</v>
      </c>
      <c r="C30" s="6">
        <v>25</v>
      </c>
      <c r="D30" s="7">
        <v>1</v>
      </c>
    </row>
    <row r="31" spans="1:4">
      <c r="A31" s="10">
        <v>1103649</v>
      </c>
      <c r="B31" t="s">
        <v>180</v>
      </c>
      <c r="C31" s="6">
        <v>5</v>
      </c>
      <c r="D31" s="7">
        <v>1</v>
      </c>
    </row>
    <row r="32" spans="1:4">
      <c r="A32" s="10">
        <v>1103650</v>
      </c>
      <c r="B32" t="s">
        <v>181</v>
      </c>
      <c r="C32" s="6">
        <v>6</v>
      </c>
      <c r="D32" s="7">
        <v>1</v>
      </c>
    </row>
    <row r="33" spans="1:4">
      <c r="A33" s="10">
        <v>1100939</v>
      </c>
      <c r="B33" t="s">
        <v>182</v>
      </c>
      <c r="C33" s="6">
        <v>3</v>
      </c>
      <c r="D33" s="7">
        <v>1</v>
      </c>
    </row>
    <row r="34" spans="1:4">
      <c r="A34" s="10">
        <v>1103651</v>
      </c>
      <c r="B34" t="s">
        <v>183</v>
      </c>
      <c r="C34" s="6">
        <v>7.5</v>
      </c>
      <c r="D34" s="7">
        <v>1</v>
      </c>
    </row>
    <row r="35" spans="1:4">
      <c r="A35" s="10">
        <v>1003126</v>
      </c>
      <c r="B35" t="s">
        <v>184</v>
      </c>
      <c r="C35" s="6">
        <v>7</v>
      </c>
      <c r="D35" s="7">
        <v>1</v>
      </c>
    </row>
    <row r="36" spans="1:4">
      <c r="A36" s="10">
        <v>1101934</v>
      </c>
      <c r="B36" t="s">
        <v>185</v>
      </c>
      <c r="C36" s="6">
        <v>3</v>
      </c>
      <c r="D36" s="7">
        <v>2</v>
      </c>
    </row>
    <row r="37" spans="1:4">
      <c r="A37" s="10">
        <v>1103702</v>
      </c>
      <c r="B37" t="s">
        <v>186</v>
      </c>
      <c r="C37" s="6">
        <v>20</v>
      </c>
      <c r="D37" s="7">
        <v>1</v>
      </c>
    </row>
    <row r="38" spans="1:4">
      <c r="A38" s="10">
        <v>1103672</v>
      </c>
      <c r="B38" t="s">
        <v>187</v>
      </c>
      <c r="C38" s="6">
        <v>8</v>
      </c>
      <c r="D38" s="7">
        <v>1</v>
      </c>
    </row>
    <row r="39" spans="1:4">
      <c r="A39" s="10">
        <v>1101990</v>
      </c>
      <c r="B39" t="s">
        <v>188</v>
      </c>
      <c r="C39" s="6">
        <v>28</v>
      </c>
      <c r="D39" s="7">
        <v>1</v>
      </c>
    </row>
    <row r="40" spans="1:4">
      <c r="A40" s="10">
        <v>1100738</v>
      </c>
      <c r="B40" t="s">
        <v>189</v>
      </c>
      <c r="C40" s="6">
        <v>8</v>
      </c>
      <c r="D40" s="7">
        <v>1</v>
      </c>
    </row>
    <row r="41" spans="1:4">
      <c r="A41" s="10">
        <v>1100737</v>
      </c>
      <c r="B41" t="s">
        <v>190</v>
      </c>
      <c r="C41" s="6">
        <v>5</v>
      </c>
      <c r="D41" s="7">
        <v>1</v>
      </c>
    </row>
    <row r="42" spans="1:4">
      <c r="A42" s="10">
        <v>1103028</v>
      </c>
      <c r="B42" t="s">
        <v>191</v>
      </c>
      <c r="C42" s="6">
        <v>21</v>
      </c>
      <c r="D42" s="7">
        <v>1</v>
      </c>
    </row>
    <row r="43" spans="1:4">
      <c r="A43" s="10">
        <v>1103031</v>
      </c>
      <c r="B43" t="s">
        <v>192</v>
      </c>
      <c r="C43" s="6">
        <v>21</v>
      </c>
      <c r="D43" s="7">
        <v>1</v>
      </c>
    </row>
    <row r="44" spans="1:4">
      <c r="A44" s="10">
        <v>1101986</v>
      </c>
      <c r="B44" t="s">
        <v>193</v>
      </c>
      <c r="C44" s="6">
        <v>33</v>
      </c>
      <c r="D44" s="7">
        <v>1</v>
      </c>
    </row>
    <row r="45" spans="1:4">
      <c r="A45" s="10">
        <v>1103688</v>
      </c>
      <c r="B45" t="s">
        <v>194</v>
      </c>
      <c r="C45" s="6">
        <v>4</v>
      </c>
      <c r="D45" s="7">
        <v>1</v>
      </c>
    </row>
    <row r="46" spans="1:4">
      <c r="A46" s="10">
        <v>1101935</v>
      </c>
      <c r="B46" t="s">
        <v>195</v>
      </c>
      <c r="C46" s="6">
        <v>3</v>
      </c>
      <c r="D46" s="7">
        <v>1</v>
      </c>
    </row>
    <row r="47" spans="1:4">
      <c r="A47" s="10">
        <v>1006000</v>
      </c>
      <c r="B47" t="s">
        <v>196</v>
      </c>
      <c r="C47" s="6">
        <v>13</v>
      </c>
      <c r="D47" s="7">
        <v>1</v>
      </c>
    </row>
    <row r="48" spans="1:4">
      <c r="A48" s="10">
        <v>1100815</v>
      </c>
      <c r="B48" t="s">
        <v>197</v>
      </c>
      <c r="C48" s="6">
        <v>19</v>
      </c>
      <c r="D48" s="7">
        <v>1</v>
      </c>
    </row>
    <row r="49" spans="1:4">
      <c r="A49" s="10">
        <v>1006003</v>
      </c>
      <c r="B49" t="s">
        <v>198</v>
      </c>
      <c r="C49" s="6">
        <v>19</v>
      </c>
      <c r="D49" s="7">
        <v>2</v>
      </c>
    </row>
    <row r="50" spans="1:4">
      <c r="A50" s="10">
        <v>1006504</v>
      </c>
      <c r="B50" t="s">
        <v>199</v>
      </c>
      <c r="C50" s="6">
        <v>19</v>
      </c>
      <c r="D50" s="7">
        <v>2</v>
      </c>
    </row>
    <row r="51" spans="1:4">
      <c r="A51" s="10">
        <v>1103646</v>
      </c>
      <c r="B51" t="s">
        <v>200</v>
      </c>
      <c r="C51" s="6">
        <v>25</v>
      </c>
      <c r="D51" s="7">
        <v>1</v>
      </c>
    </row>
    <row r="52" spans="1:4">
      <c r="A52" s="10">
        <v>1101232</v>
      </c>
      <c r="B52" t="s">
        <v>201</v>
      </c>
      <c r="C52" s="6">
        <v>19</v>
      </c>
      <c r="D52" s="7">
        <v>2</v>
      </c>
    </row>
    <row r="53" spans="1:4">
      <c r="A53" s="10">
        <v>1101926</v>
      </c>
      <c r="B53" t="s">
        <v>202</v>
      </c>
      <c r="C53" s="6">
        <v>24</v>
      </c>
      <c r="D53" s="7">
        <v>1</v>
      </c>
    </row>
    <row r="54" spans="1:4">
      <c r="A54" s="10">
        <v>1103898</v>
      </c>
      <c r="B54" t="s">
        <v>203</v>
      </c>
      <c r="C54" s="6">
        <v>24</v>
      </c>
      <c r="D54" s="7">
        <v>1</v>
      </c>
    </row>
    <row r="55" spans="1:4">
      <c r="A55" s="10">
        <v>1104796</v>
      </c>
      <c r="B55" t="s">
        <v>204</v>
      </c>
      <c r="C55" s="6">
        <v>25</v>
      </c>
      <c r="D55" s="7">
        <v>1</v>
      </c>
    </row>
    <row r="56" spans="1:4">
      <c r="A56" s="10">
        <v>1100791</v>
      </c>
      <c r="B56" t="s">
        <v>205</v>
      </c>
      <c r="C56" s="6">
        <v>3</v>
      </c>
      <c r="D56" s="7">
        <v>2</v>
      </c>
    </row>
    <row r="57" spans="1:4">
      <c r="A57" s="10">
        <v>1103693</v>
      </c>
      <c r="B57" t="s">
        <v>206</v>
      </c>
      <c r="C57" s="6">
        <v>10</v>
      </c>
      <c r="D57" s="7">
        <v>1</v>
      </c>
    </row>
    <row r="58" spans="1:4">
      <c r="A58" s="10">
        <v>1103639</v>
      </c>
      <c r="B58" t="s">
        <v>207</v>
      </c>
      <c r="C58" s="6">
        <v>5</v>
      </c>
      <c r="D58" s="7">
        <v>1</v>
      </c>
    </row>
    <row r="59" spans="1:4">
      <c r="A59" s="10">
        <v>1102238</v>
      </c>
      <c r="B59" t="s">
        <v>208</v>
      </c>
      <c r="C59" s="6">
        <v>1</v>
      </c>
      <c r="D59" s="7">
        <v>1</v>
      </c>
    </row>
    <row r="60" spans="1:4">
      <c r="A60" s="10">
        <v>1101197</v>
      </c>
      <c r="B60" t="s">
        <v>209</v>
      </c>
      <c r="C60" s="6">
        <v>10</v>
      </c>
      <c r="D60" s="7">
        <v>2</v>
      </c>
    </row>
    <row r="61" spans="1:4">
      <c r="A61" s="10">
        <v>1101281</v>
      </c>
      <c r="B61" t="s">
        <v>210</v>
      </c>
      <c r="C61" s="6">
        <v>27</v>
      </c>
      <c r="D61" s="7">
        <v>2</v>
      </c>
    </row>
    <row r="62" spans="1:4">
      <c r="A62" s="10">
        <v>1100834</v>
      </c>
      <c r="B62" t="s">
        <v>211</v>
      </c>
      <c r="C62" s="6">
        <v>13</v>
      </c>
      <c r="D62" s="7">
        <v>3</v>
      </c>
    </row>
    <row r="63" spans="1:4">
      <c r="A63" s="10">
        <v>1101927</v>
      </c>
      <c r="B63" t="s">
        <v>212</v>
      </c>
      <c r="C63" s="6">
        <v>5</v>
      </c>
      <c r="D63" s="7">
        <v>4</v>
      </c>
    </row>
    <row r="64" spans="1:4">
      <c r="A64" s="10">
        <v>1102847</v>
      </c>
      <c r="B64" t="s">
        <v>213</v>
      </c>
      <c r="C64" s="6">
        <v>11</v>
      </c>
      <c r="D64" s="7">
        <v>1</v>
      </c>
    </row>
    <row r="65" spans="1:4">
      <c r="A65" s="10">
        <v>1100817</v>
      </c>
      <c r="B65" t="s">
        <v>214</v>
      </c>
      <c r="C65" s="6">
        <v>16</v>
      </c>
      <c r="D65" s="7">
        <v>3</v>
      </c>
    </row>
    <row r="66" spans="1:4">
      <c r="A66" s="10">
        <v>1900028</v>
      </c>
      <c r="B66" t="s">
        <v>215</v>
      </c>
      <c r="C66" s="6">
        <v>1</v>
      </c>
      <c r="D66" s="7">
        <v>0</v>
      </c>
    </row>
    <row r="67" spans="1:4">
      <c r="A67" s="10">
        <v>1103343</v>
      </c>
      <c r="B67" t="s">
        <v>216</v>
      </c>
      <c r="C67" s="6">
        <v>3</v>
      </c>
      <c r="D67" s="7">
        <v>3</v>
      </c>
    </row>
    <row r="68" spans="1:4">
      <c r="A68" s="10">
        <v>1002112</v>
      </c>
      <c r="B68" t="s">
        <v>217</v>
      </c>
      <c r="C68" s="6">
        <v>3</v>
      </c>
      <c r="D68" s="7">
        <v>1</v>
      </c>
    </row>
    <row r="69" spans="1:4">
      <c r="A69" s="10">
        <v>1100739</v>
      </c>
      <c r="B69" t="s">
        <v>218</v>
      </c>
      <c r="C69" s="6">
        <v>5</v>
      </c>
      <c r="D69" s="7">
        <v>1</v>
      </c>
    </row>
    <row r="70" spans="1:4">
      <c r="A70" s="10">
        <v>1002321</v>
      </c>
      <c r="B70" t="s">
        <v>219</v>
      </c>
      <c r="C70" s="6">
        <v>4</v>
      </c>
      <c r="D70" s="7">
        <v>1</v>
      </c>
    </row>
    <row r="71" spans="1:4">
      <c r="A71" s="10">
        <v>1002108</v>
      </c>
      <c r="B71" t="s">
        <v>220</v>
      </c>
      <c r="C71" s="6">
        <v>4</v>
      </c>
      <c r="D71" s="7">
        <v>1</v>
      </c>
    </row>
    <row r="72" spans="1:4">
      <c r="A72" s="10">
        <v>1101933</v>
      </c>
      <c r="B72" t="s">
        <v>221</v>
      </c>
      <c r="C72" s="6">
        <v>3</v>
      </c>
      <c r="D72" s="7">
        <v>2</v>
      </c>
    </row>
    <row r="73" spans="1:4">
      <c r="A73" s="10">
        <v>1007215</v>
      </c>
      <c r="B73" t="s">
        <v>222</v>
      </c>
      <c r="C73" s="6">
        <v>3</v>
      </c>
      <c r="D73" s="7">
        <v>1</v>
      </c>
    </row>
    <row r="74" spans="1:4">
      <c r="A74" s="10">
        <v>1103019</v>
      </c>
      <c r="B74" t="s">
        <v>223</v>
      </c>
      <c r="C74" s="6">
        <v>4</v>
      </c>
      <c r="D74" s="7">
        <v>1</v>
      </c>
    </row>
    <row r="75" spans="1:4">
      <c r="A75" s="10">
        <v>1101929</v>
      </c>
      <c r="B75" t="s">
        <v>224</v>
      </c>
      <c r="C75" s="6">
        <v>3</v>
      </c>
      <c r="D75" s="7">
        <v>1</v>
      </c>
    </row>
    <row r="76" spans="1:4">
      <c r="A76" s="10">
        <v>1101314</v>
      </c>
      <c r="B76" t="s">
        <v>225</v>
      </c>
      <c r="C76" s="6">
        <v>3</v>
      </c>
      <c r="D76" s="7">
        <v>3</v>
      </c>
    </row>
    <row r="77" spans="1:4">
      <c r="A77" s="10">
        <v>1101315</v>
      </c>
      <c r="B77" t="s">
        <v>226</v>
      </c>
      <c r="C77" s="6">
        <v>3</v>
      </c>
      <c r="D77" s="7">
        <v>3</v>
      </c>
    </row>
    <row r="78" spans="1:4">
      <c r="A78" s="10">
        <v>1103685</v>
      </c>
      <c r="B78" t="s">
        <v>227</v>
      </c>
      <c r="C78" s="6">
        <v>3</v>
      </c>
      <c r="D78" s="7">
        <v>1</v>
      </c>
    </row>
    <row r="79" spans="1:4">
      <c r="A79" s="10">
        <v>1103686</v>
      </c>
      <c r="B79" t="s">
        <v>228</v>
      </c>
      <c r="C79" s="6">
        <v>3</v>
      </c>
      <c r="D79" s="7">
        <v>1</v>
      </c>
    </row>
    <row r="80" spans="1:4">
      <c r="A80" s="10">
        <v>1101928</v>
      </c>
      <c r="B80" t="s">
        <v>229</v>
      </c>
      <c r="C80" s="6">
        <v>3</v>
      </c>
      <c r="D80" s="7">
        <v>1</v>
      </c>
    </row>
    <row r="81" spans="1:4">
      <c r="A81" s="10">
        <v>1004000</v>
      </c>
      <c r="B81" t="s">
        <v>230</v>
      </c>
      <c r="C81" s="6">
        <v>40</v>
      </c>
      <c r="D81" s="7">
        <v>3</v>
      </c>
    </row>
    <row r="82" spans="1:4">
      <c r="A82" s="10">
        <v>1004445</v>
      </c>
      <c r="B82" t="s">
        <v>231</v>
      </c>
      <c r="C82" s="6">
        <v>30</v>
      </c>
      <c r="D82" s="7">
        <v>3</v>
      </c>
    </row>
    <row r="83" spans="1:4">
      <c r="A83" s="10">
        <v>1103684</v>
      </c>
      <c r="B83" t="s">
        <v>232</v>
      </c>
      <c r="C83" s="6">
        <v>8</v>
      </c>
      <c r="D83" s="7">
        <v>1</v>
      </c>
    </row>
    <row r="84" spans="1:4">
      <c r="A84" s="10">
        <v>1101921</v>
      </c>
      <c r="B84" t="s">
        <v>233</v>
      </c>
      <c r="C84" s="6">
        <v>70</v>
      </c>
      <c r="D84" s="7">
        <v>1</v>
      </c>
    </row>
    <row r="85" spans="1:4">
      <c r="A85" s="10">
        <v>1101924</v>
      </c>
      <c r="B85" t="s">
        <v>234</v>
      </c>
      <c r="C85" s="6">
        <v>12</v>
      </c>
      <c r="D85" s="7">
        <v>1</v>
      </c>
    </row>
    <row r="86" spans="1:4">
      <c r="A86" s="10">
        <v>1002201</v>
      </c>
      <c r="B86" t="s">
        <v>235</v>
      </c>
      <c r="C86" s="6">
        <v>3</v>
      </c>
      <c r="D86" s="7">
        <v>1</v>
      </c>
    </row>
    <row r="87" spans="1:4">
      <c r="A87" s="10">
        <v>1002202</v>
      </c>
      <c r="B87" t="s">
        <v>236</v>
      </c>
      <c r="C87" s="6">
        <v>3</v>
      </c>
      <c r="D87" s="7">
        <v>1</v>
      </c>
    </row>
    <row r="88" spans="1:4">
      <c r="A88" s="10">
        <v>1002220</v>
      </c>
      <c r="B88" t="s">
        <v>237</v>
      </c>
      <c r="C88" s="6">
        <v>5</v>
      </c>
      <c r="D88" s="7">
        <v>1</v>
      </c>
    </row>
    <row r="89" spans="1:4">
      <c r="A89" s="10">
        <v>1103642</v>
      </c>
      <c r="B89" t="s">
        <v>238</v>
      </c>
      <c r="C89" s="6">
        <v>5</v>
      </c>
      <c r="D89" s="7">
        <v>1</v>
      </c>
    </row>
    <row r="90" spans="1:4">
      <c r="A90" s="10">
        <v>1002104</v>
      </c>
      <c r="B90" t="s">
        <v>239</v>
      </c>
      <c r="C90" s="6">
        <v>7</v>
      </c>
      <c r="D90" s="8">
        <v>1</v>
      </c>
    </row>
    <row r="91" spans="1:4">
      <c r="A91" s="10">
        <v>1002288</v>
      </c>
      <c r="B91" t="s">
        <v>240</v>
      </c>
      <c r="C91" s="6">
        <v>7</v>
      </c>
      <c r="D91" s="8">
        <v>1</v>
      </c>
    </row>
    <row r="92" spans="1:4">
      <c r="A92" s="10">
        <v>1002119</v>
      </c>
      <c r="B92" t="s">
        <v>241</v>
      </c>
      <c r="C92" s="6">
        <v>7</v>
      </c>
      <c r="D92" s="8">
        <v>1</v>
      </c>
    </row>
    <row r="93" spans="1:4">
      <c r="A93" s="10">
        <v>1002103</v>
      </c>
      <c r="B93" t="s">
        <v>242</v>
      </c>
      <c r="C93" s="6">
        <v>7</v>
      </c>
      <c r="D93" s="8">
        <v>1</v>
      </c>
    </row>
    <row r="94" spans="1:4">
      <c r="A94" s="10">
        <v>1002287</v>
      </c>
      <c r="B94" t="s">
        <v>243</v>
      </c>
      <c r="C94" s="6">
        <v>7</v>
      </c>
      <c r="D94" s="8">
        <v>1</v>
      </c>
    </row>
    <row r="95" spans="1:4">
      <c r="A95" s="10">
        <v>1002118</v>
      </c>
      <c r="B95" t="s">
        <v>244</v>
      </c>
      <c r="C95" s="6">
        <v>7</v>
      </c>
      <c r="D95" s="8">
        <v>1</v>
      </c>
    </row>
    <row r="96" spans="1:4">
      <c r="A96" s="10">
        <v>1002101</v>
      </c>
      <c r="B96" t="s">
        <v>245</v>
      </c>
      <c r="C96" s="6">
        <v>7</v>
      </c>
      <c r="D96" s="8">
        <v>1</v>
      </c>
    </row>
    <row r="97" spans="1:4">
      <c r="A97" s="10">
        <v>1002117</v>
      </c>
      <c r="B97" t="s">
        <v>246</v>
      </c>
      <c r="C97" s="6">
        <v>7</v>
      </c>
      <c r="D97" s="8">
        <v>1</v>
      </c>
    </row>
    <row r="98" spans="1:4">
      <c r="A98" s="10" t="s">
        <v>23</v>
      </c>
      <c r="B98" t="s">
        <v>247</v>
      </c>
      <c r="C98" s="6">
        <v>0</v>
      </c>
      <c r="D98" s="7">
        <v>2</v>
      </c>
    </row>
    <row r="99" spans="1:4">
      <c r="A99" s="10" t="s">
        <v>24</v>
      </c>
      <c r="B99" t="s">
        <v>248</v>
      </c>
      <c r="C99" s="6">
        <v>0</v>
      </c>
      <c r="D99" s="7">
        <v>2</v>
      </c>
    </row>
  </sheetData>
  <sheetProtection algorithmName="SHA-512" hashValue="53gQQ1C7d8CHo7mF60jgBKaNhCiUIHffMm27zaLgwhjDPdpyVYnSrxF8QXrjklG82QcDEd/4i896+q9iNpUXBA==" saltValue="5A1VIDWFKfJOAJ0sVmqomA==" spinCount="100000" sheet="1" objects="1" scenarios="1" select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436A-8303-45E8-A302-126014EF90DA}">
  <sheetPr>
    <tabColor rgb="FFFF0000"/>
  </sheetPr>
  <dimension ref="A1:G32"/>
  <sheetViews>
    <sheetView zoomScaleNormal="100" workbookViewId="0">
      <selection activeCell="F29" sqref="F29"/>
    </sheetView>
  </sheetViews>
  <sheetFormatPr defaultRowHeight="15"/>
  <cols>
    <col min="1" max="1" width="17" customWidth="1"/>
    <col min="2" max="2" width="26.42578125" customWidth="1"/>
    <col min="3" max="3" width="24.140625" customWidth="1"/>
    <col min="4" max="4" width="25.5703125" customWidth="1"/>
    <col min="5" max="6" width="24.140625" customWidth="1"/>
    <col min="7" max="7" width="16.28515625" customWidth="1"/>
    <col min="8" max="8" width="22.28515625" customWidth="1"/>
    <col min="9" max="9" width="7.7109375" customWidth="1"/>
    <col min="10" max="11" width="17" customWidth="1"/>
    <col min="12" max="12" width="12.7109375" customWidth="1"/>
  </cols>
  <sheetData>
    <row r="1" spans="1:7">
      <c r="A1" t="s">
        <v>6</v>
      </c>
      <c r="B1" t="s">
        <v>249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>
      <c r="A2" s="1"/>
      <c r="B2" s="1">
        <v>1103898</v>
      </c>
      <c r="C2" s="1">
        <v>1104796</v>
      </c>
      <c r="D2" s="1">
        <v>1101314</v>
      </c>
      <c r="E2" s="1">
        <v>1006003</v>
      </c>
      <c r="F2" s="1">
        <v>1101314</v>
      </c>
      <c r="G2" s="1">
        <v>1101315</v>
      </c>
    </row>
    <row r="3" spans="1:7">
      <c r="A3" s="1"/>
      <c r="B3" s="1">
        <v>1103343</v>
      </c>
      <c r="C3" s="1">
        <v>1103706</v>
      </c>
      <c r="D3" s="1">
        <v>1101279</v>
      </c>
      <c r="E3" s="1">
        <v>1101314</v>
      </c>
      <c r="F3" s="1">
        <v>1101232</v>
      </c>
      <c r="G3" s="1">
        <v>1101281</v>
      </c>
    </row>
    <row r="4" spans="1:7">
      <c r="A4" s="1"/>
      <c r="B4" s="1">
        <v>1103295</v>
      </c>
      <c r="C4" s="1">
        <v>1103703</v>
      </c>
      <c r="D4" s="1">
        <v>1100939</v>
      </c>
      <c r="E4" s="1">
        <v>1101279</v>
      </c>
      <c r="F4" s="1">
        <v>1100939</v>
      </c>
      <c r="G4" s="1">
        <v>1101197</v>
      </c>
    </row>
    <row r="5" spans="1:7">
      <c r="A5" s="1"/>
      <c r="B5" s="1">
        <v>1103031</v>
      </c>
      <c r="C5" s="1">
        <v>1103702</v>
      </c>
      <c r="D5" s="1">
        <v>1100834</v>
      </c>
      <c r="E5" s="1">
        <v>1100939</v>
      </c>
      <c r="F5" s="1">
        <v>1100816</v>
      </c>
      <c r="G5" s="1">
        <v>1100791</v>
      </c>
    </row>
    <row r="6" spans="1:7">
      <c r="A6" s="1"/>
      <c r="B6" s="1">
        <v>1103028</v>
      </c>
      <c r="C6" s="1">
        <v>1103693</v>
      </c>
      <c r="D6" s="1">
        <v>1100817</v>
      </c>
      <c r="E6" s="1">
        <v>1100834</v>
      </c>
      <c r="F6" s="1">
        <v>1007215</v>
      </c>
      <c r="G6" s="1">
        <v>1007215</v>
      </c>
    </row>
    <row r="7" spans="1:7">
      <c r="A7" s="1"/>
      <c r="B7" s="1">
        <v>1103019</v>
      </c>
      <c r="C7" s="1">
        <v>1103688</v>
      </c>
      <c r="D7" s="1">
        <v>1100816</v>
      </c>
      <c r="E7" s="1">
        <v>1100817</v>
      </c>
      <c r="F7" s="1">
        <v>1004453</v>
      </c>
      <c r="G7" s="1">
        <v>1006003</v>
      </c>
    </row>
    <row r="8" spans="1:7">
      <c r="A8" s="1"/>
      <c r="B8" s="1">
        <v>1102859</v>
      </c>
      <c r="C8" s="1">
        <v>1103686</v>
      </c>
      <c r="D8" s="1">
        <v>1006504</v>
      </c>
      <c r="E8" s="1">
        <v>1100816</v>
      </c>
      <c r="F8" s="1">
        <v>1004445</v>
      </c>
      <c r="G8" s="1">
        <v>1004102</v>
      </c>
    </row>
    <row r="9" spans="1:7">
      <c r="A9" s="1"/>
      <c r="B9" s="1">
        <v>1102238</v>
      </c>
      <c r="C9" s="1">
        <v>1103685</v>
      </c>
      <c r="D9" s="1">
        <v>1004453</v>
      </c>
      <c r="E9" s="1">
        <v>1004453</v>
      </c>
      <c r="F9" s="1">
        <v>1003207</v>
      </c>
      <c r="G9" s="1">
        <v>1004000</v>
      </c>
    </row>
    <row r="10" spans="1:7">
      <c r="A10" s="1"/>
      <c r="B10" s="1">
        <v>1101986</v>
      </c>
      <c r="C10" s="1">
        <v>1103684</v>
      </c>
      <c r="D10" s="1">
        <v>1004445</v>
      </c>
      <c r="E10" s="1">
        <v>1004445</v>
      </c>
      <c r="F10" s="1">
        <v>1003126</v>
      </c>
      <c r="G10" s="1">
        <v>1003409</v>
      </c>
    </row>
    <row r="11" spans="1:7">
      <c r="A11" s="1"/>
      <c r="B11" s="1">
        <v>1101936</v>
      </c>
      <c r="C11" s="1">
        <v>1103681</v>
      </c>
      <c r="D11" s="1">
        <v>1003409</v>
      </c>
      <c r="E11" s="1">
        <v>1003409</v>
      </c>
      <c r="F11" s="1">
        <v>1003124</v>
      </c>
      <c r="G11" s="1">
        <v>1003400</v>
      </c>
    </row>
    <row r="12" spans="1:7">
      <c r="A12" s="1"/>
      <c r="B12" s="1">
        <v>1101935</v>
      </c>
      <c r="C12" s="1">
        <v>1103651</v>
      </c>
      <c r="D12" s="1">
        <v>1003400</v>
      </c>
      <c r="E12" s="1">
        <v>1003400</v>
      </c>
      <c r="F12" s="1">
        <v>1002202</v>
      </c>
      <c r="G12" s="1">
        <v>1003207</v>
      </c>
    </row>
    <row r="13" spans="1:7">
      <c r="A13" s="1"/>
      <c r="B13" s="1">
        <v>1101934</v>
      </c>
      <c r="C13" s="1">
        <v>1103650</v>
      </c>
      <c r="D13" s="1">
        <v>1003207</v>
      </c>
      <c r="E13" s="1">
        <v>1003207</v>
      </c>
      <c r="F13" s="1">
        <v>1002119</v>
      </c>
      <c r="G13" s="1">
        <v>1003126</v>
      </c>
    </row>
    <row r="14" spans="1:7">
      <c r="A14" s="1"/>
      <c r="B14" s="1">
        <v>1101933</v>
      </c>
      <c r="C14" s="1">
        <v>1103649</v>
      </c>
      <c r="D14" s="1">
        <v>1003126</v>
      </c>
      <c r="E14" s="1">
        <v>1003126</v>
      </c>
      <c r="F14" s="1">
        <v>1002118</v>
      </c>
      <c r="G14" s="1">
        <v>1003124</v>
      </c>
    </row>
    <row r="15" spans="1:7">
      <c r="A15" s="1"/>
      <c r="B15" s="1">
        <v>1101932</v>
      </c>
      <c r="C15" s="1">
        <v>1103648</v>
      </c>
      <c r="D15" s="1">
        <v>1003124</v>
      </c>
      <c r="E15" s="1">
        <v>1003124</v>
      </c>
      <c r="F15" s="1">
        <v>1002117</v>
      </c>
      <c r="G15" s="1">
        <v>1002202</v>
      </c>
    </row>
    <row r="16" spans="1:7">
      <c r="A16" s="1"/>
      <c r="B16" s="1">
        <v>1101929</v>
      </c>
      <c r="C16" s="1">
        <v>1103647</v>
      </c>
      <c r="D16" s="1">
        <v>1002288</v>
      </c>
      <c r="E16" s="1">
        <v>1002288</v>
      </c>
      <c r="F16" s="1">
        <v>1002112</v>
      </c>
      <c r="G16" s="1">
        <v>1002112</v>
      </c>
    </row>
    <row r="17" spans="1:7">
      <c r="A17" s="1"/>
      <c r="B17" s="1">
        <v>1101928</v>
      </c>
      <c r="C17" s="1">
        <v>1103646</v>
      </c>
      <c r="D17" s="1">
        <v>1002287</v>
      </c>
      <c r="E17" s="1">
        <v>1002287</v>
      </c>
      <c r="F17" s="1">
        <v>1002108</v>
      </c>
      <c r="G17" s="1">
        <v>1002108</v>
      </c>
    </row>
    <row r="18" spans="1:7">
      <c r="A18" s="1"/>
      <c r="B18" s="1">
        <v>1101927</v>
      </c>
      <c r="C18" s="1">
        <v>1103643</v>
      </c>
      <c r="D18" s="1">
        <v>1002202</v>
      </c>
      <c r="E18" s="1">
        <v>1002202</v>
      </c>
      <c r="F18" s="1">
        <v>1900028</v>
      </c>
      <c r="G18" s="1">
        <v>1002104</v>
      </c>
    </row>
    <row r="19" spans="1:7">
      <c r="A19" s="1"/>
      <c r="B19" s="1">
        <v>1101926</v>
      </c>
      <c r="C19" s="1">
        <v>1103642</v>
      </c>
      <c r="D19" s="1">
        <v>1002112</v>
      </c>
      <c r="E19" s="1">
        <v>1002112</v>
      </c>
      <c r="F19" s="1"/>
      <c r="G19" s="1">
        <v>1002103</v>
      </c>
    </row>
    <row r="20" spans="1:7">
      <c r="A20" s="1"/>
      <c r="B20" s="1">
        <v>1101925</v>
      </c>
      <c r="C20" s="1">
        <v>1103641</v>
      </c>
      <c r="D20" s="1">
        <v>1002108</v>
      </c>
      <c r="E20" s="1">
        <v>1002108</v>
      </c>
      <c r="G20" s="1">
        <v>1002101</v>
      </c>
    </row>
    <row r="21" spans="1:7">
      <c r="A21" s="1"/>
      <c r="B21" s="1">
        <v>1101924</v>
      </c>
      <c r="C21" s="1">
        <v>1103693</v>
      </c>
      <c r="D21" s="1">
        <v>1900028</v>
      </c>
      <c r="E21" s="1">
        <v>1900028</v>
      </c>
      <c r="G21" s="1">
        <v>1900028</v>
      </c>
    </row>
    <row r="22" spans="1:7">
      <c r="B22" s="1">
        <v>1101922</v>
      </c>
      <c r="C22" s="1">
        <v>1103639</v>
      </c>
      <c r="D22" s="1">
        <v>1100791</v>
      </c>
      <c r="E22" s="1">
        <v>1100791</v>
      </c>
    </row>
    <row r="23" spans="1:7">
      <c r="B23" s="1">
        <v>1101921</v>
      </c>
    </row>
    <row r="24" spans="1:7">
      <c r="B24" s="1" t="s">
        <v>23</v>
      </c>
    </row>
    <row r="25" spans="1:7">
      <c r="A25" s="1"/>
      <c r="B25" s="1" t="s">
        <v>24</v>
      </c>
      <c r="C25" s="1"/>
      <c r="D25" s="1"/>
      <c r="E25" s="1"/>
      <c r="G25" s="1"/>
    </row>
    <row r="26" spans="1:7">
      <c r="B26" s="1"/>
    </row>
    <row r="27" spans="1:7">
      <c r="B27" s="1"/>
    </row>
    <row r="29" spans="1:7">
      <c r="A29" s="2" t="s">
        <v>19</v>
      </c>
      <c r="B29" s="3">
        <v>17.850000000000001</v>
      </c>
    </row>
    <row r="30" spans="1:7">
      <c r="D30" s="14" t="s">
        <v>6</v>
      </c>
    </row>
    <row r="31" spans="1:7">
      <c r="D31" t="s">
        <v>250</v>
      </c>
    </row>
    <row r="32" spans="1:7">
      <c r="D32" t="s">
        <v>251</v>
      </c>
    </row>
  </sheetData>
  <sheetProtection algorithmName="SHA-512" hashValue="rak7Xb4+Ukh0GLXbdvAnIcv+iFzLAYCE27iIz5qceggEFjnkaLzBfRQYI+yiPJrQQqUNnXa20ZNtpUUeakFWKQ==" saltValue="zQt7NRRFIO/PC8KxPVnZrQ==" spinCount="100000" sheet="1" objects="1" scenarios="1" selectLockedCells="1" selectUnlockedCells="1"/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2CD5FF5EC034E8457B73DF2ACD0A4" ma:contentTypeVersion="13" ma:contentTypeDescription="Create a new document." ma:contentTypeScope="" ma:versionID="f89032bef10b91e6c3013934e1c9a633">
  <xsd:schema xmlns:xsd="http://www.w3.org/2001/XMLSchema" xmlns:xs="http://www.w3.org/2001/XMLSchema" xmlns:p="http://schemas.microsoft.com/office/2006/metadata/properties" xmlns:ns2="d48a2c2e-42fa-478b-8534-660f2664e864" xmlns:ns3="0273f83e-b246-4bf4-abae-6ed6e4492634" targetNamespace="http://schemas.microsoft.com/office/2006/metadata/properties" ma:root="true" ma:fieldsID="2364bdbcc7e57117799b7a0d201709f7" ns2:_="" ns3:_="">
    <xsd:import namespace="d48a2c2e-42fa-478b-8534-660f2664e864"/>
    <xsd:import namespace="0273f83e-b246-4bf4-abae-6ed6e4492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a2c2e-42fa-478b-8534-660f2664e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f83e-b246-4bf4-abae-6ed6e44926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bc6ec2-4a0e-40c7-b646-e075e1e91c88}" ma:internalName="TaxCatchAll" ma:showField="CatchAllData" ma:web="0273f83e-b246-4bf4-abae-6ed6e44926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73f83e-b246-4bf4-abae-6ed6e4492634" xsi:nil="true"/>
    <lcf76f155ced4ddcb4097134ff3c332f xmlns="d48a2c2e-42fa-478b-8534-660f2664e864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5393C-583D-4A69-876D-58B5A5C8EE23}"/>
</file>

<file path=customXml/itemProps2.xml><?xml version="1.0" encoding="utf-8"?>
<ds:datastoreItem xmlns:ds="http://schemas.openxmlformats.org/officeDocument/2006/customXml" ds:itemID="{FCFB080C-9C8A-455B-891F-3D823A93EB42}"/>
</file>

<file path=customXml/itemProps3.xml><?xml version="1.0" encoding="utf-8"?>
<ds:datastoreItem xmlns:ds="http://schemas.openxmlformats.org/officeDocument/2006/customXml" ds:itemID="{08C6AC82-E847-48C1-873A-9F2105E28E28}"/>
</file>

<file path=customXml/itemProps4.xml><?xml version="1.0" encoding="utf-8"?>
<ds:datastoreItem xmlns:ds="http://schemas.openxmlformats.org/officeDocument/2006/customXml" ds:itemID="{8452E330-96C0-40BB-B99C-D72667C1D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Lundgren</dc:creator>
  <cp:keywords/>
  <dc:description/>
  <cp:lastModifiedBy>Ines Schubert</cp:lastModifiedBy>
  <cp:revision/>
  <dcterms:created xsi:type="dcterms:W3CDTF">2023-01-31T09:49:23Z</dcterms:created>
  <dcterms:modified xsi:type="dcterms:W3CDTF">2023-03-20T10:41:20Z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0x010100D232CD5FF5EC034E8457B73DF2ACD0A4</vt:lpwstr>
  </property>
  <property fmtid="{D5CDD505-2E9C-101B-9397-08002B2CF9AE}" pid="3" name="MediaServiceImageTags">
    <vt:lpwstr/>
  </property>
</Properties>
</file>