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d.docs.live.net/785e24dc64e526d1/Dokumente/Ladenlokal/Familie Bär/Pinker Ordner Familie Bär/10. Preislisten Konditionen/"/>
    </mc:Choice>
  </mc:AlternateContent>
  <xr:revisionPtr revIDLastSave="0" documentId="8_{B860A4EF-01EA-4EA9-A2EC-B25CD88089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byschalen" sheetId="7" r:id="rId1"/>
    <sheet name="Reboarder" sheetId="10" r:id="rId2"/>
    <sheet name="Folgesitze" sheetId="8" r:id="rId3"/>
    <sheet name="eigene Konditionen" sheetId="9" r:id="rId4"/>
  </sheets>
  <definedNames>
    <definedName name="_xlnm._FilterDatabase" localSheetId="2" hidden="1">Folgesitze!$G$1:$G$921</definedName>
    <definedName name="_xlnm.Print_Area" localSheetId="0">Babyschalen!$A$1:$L$43</definedName>
    <definedName name="_xlnm.Print_Area" localSheetId="3">'eigene Konditionen'!$A$1:$C$18</definedName>
    <definedName name="_xlnm.Print_Area" localSheetId="2">Folgesitze!$A$1:$L$33</definedName>
    <definedName name="_xlnm.Print_Area" localSheetId="1">Reboarder!$A$1:$L$112</definedName>
    <definedName name="_xlnm.Print_Titles" localSheetId="0">Babyschalen!$2:$4</definedName>
    <definedName name="_xlnm.Print_Titles" localSheetId="2">Folgesitze!$2:$4</definedName>
    <definedName name="_xlnm.Print_Titles" localSheetId="1">Reboarder!$2:$4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0aPk1yGsH6pzqB2yphLPahnzgvg=="/>
    </ext>
  </extLst>
</workbook>
</file>

<file path=xl/calcChain.xml><?xml version="1.0" encoding="utf-8"?>
<calcChain xmlns="http://schemas.openxmlformats.org/spreadsheetml/2006/main">
  <c r="E25" i="8" l="1"/>
  <c r="H25" i="8" s="1"/>
  <c r="J25" i="8" s="1"/>
  <c r="F25" i="8"/>
  <c r="G25" i="8"/>
  <c r="I25" i="8" s="1"/>
  <c r="K25" i="8"/>
  <c r="L25" i="8"/>
  <c r="E33" i="7"/>
  <c r="H33" i="7" s="1"/>
  <c r="J33" i="7" s="1"/>
  <c r="F33" i="7"/>
  <c r="G33" i="7"/>
  <c r="I33" i="7" s="1"/>
  <c r="K33" i="7"/>
  <c r="L33" i="7"/>
  <c r="E34" i="7"/>
  <c r="H34" i="7" s="1"/>
  <c r="J34" i="7" s="1"/>
  <c r="F34" i="7"/>
  <c r="G34" i="7"/>
  <c r="I34" i="7" s="1"/>
  <c r="K34" i="7"/>
  <c r="L34" i="7"/>
  <c r="E19" i="7"/>
  <c r="H19" i="7" s="1"/>
  <c r="J19" i="7" s="1"/>
  <c r="F19" i="7"/>
  <c r="G19" i="7"/>
  <c r="I19" i="7" s="1"/>
  <c r="K19" i="7"/>
  <c r="L19" i="7"/>
  <c r="E14" i="7"/>
  <c r="H14" i="7" s="1"/>
  <c r="J14" i="7" s="1"/>
  <c r="G14" i="7"/>
  <c r="I14" i="7" s="1"/>
  <c r="K14" i="7"/>
  <c r="L14" i="7"/>
  <c r="E59" i="10"/>
  <c r="H59" i="10" s="1"/>
  <c r="J59" i="10" s="1"/>
  <c r="F59" i="10"/>
  <c r="G59" i="10"/>
  <c r="I59" i="10" s="1"/>
  <c r="K59" i="10"/>
  <c r="L59" i="10"/>
  <c r="H30" i="10"/>
  <c r="L30" i="10"/>
  <c r="K30" i="10"/>
  <c r="E30" i="10" s="1"/>
  <c r="L29" i="10"/>
  <c r="K29" i="10"/>
  <c r="E29" i="10" s="1"/>
  <c r="L28" i="10"/>
  <c r="K28" i="10"/>
  <c r="E28" i="10" s="1"/>
  <c r="H15" i="10"/>
  <c r="C25" i="8"/>
  <c r="L100" i="10"/>
  <c r="K100" i="10"/>
  <c r="E100" i="10"/>
  <c r="G100" i="10" s="1"/>
  <c r="I100" i="10" s="1"/>
  <c r="C100" i="10"/>
  <c r="C33" i="7"/>
  <c r="C34" i="7"/>
  <c r="K10" i="7"/>
  <c r="L22" i="10"/>
  <c r="K22" i="10"/>
  <c r="E22" i="10" s="1"/>
  <c r="C22" i="10"/>
  <c r="C74" i="10"/>
  <c r="K74" i="10"/>
  <c r="E74" i="10" s="1"/>
  <c r="L74" i="10"/>
  <c r="C19" i="7"/>
  <c r="C11" i="7"/>
  <c r="L12" i="7"/>
  <c r="K12" i="7"/>
  <c r="E12" i="7" s="1"/>
  <c r="C12" i="7"/>
  <c r="C30" i="10"/>
  <c r="C29" i="10"/>
  <c r="C28" i="10"/>
  <c r="C27" i="10"/>
  <c r="K27" i="10"/>
  <c r="E27" i="10" s="1"/>
  <c r="L27" i="10"/>
  <c r="C14" i="7"/>
  <c r="K32" i="7"/>
  <c r="E32" i="7" s="1"/>
  <c r="L32" i="7"/>
  <c r="K102" i="10"/>
  <c r="E102" i="10" s="1"/>
  <c r="L102" i="10"/>
  <c r="C102" i="10"/>
  <c r="C32" i="7"/>
  <c r="C66" i="10"/>
  <c r="C65" i="10"/>
  <c r="K65" i="10"/>
  <c r="E65" i="10" s="1"/>
  <c r="L65" i="10"/>
  <c r="K66" i="10"/>
  <c r="E66" i="10" s="1"/>
  <c r="L66" i="10"/>
  <c r="K64" i="10"/>
  <c r="E64" i="10" s="1"/>
  <c r="L64" i="10"/>
  <c r="C64" i="10"/>
  <c r="K20" i="10"/>
  <c r="E20" i="10" s="1"/>
  <c r="L20" i="10"/>
  <c r="C20" i="10"/>
  <c r="C17" i="10"/>
  <c r="K17" i="10"/>
  <c r="E17" i="10" s="1"/>
  <c r="L17" i="10"/>
  <c r="C18" i="10"/>
  <c r="K18" i="10"/>
  <c r="E18" i="10" s="1"/>
  <c r="L18" i="10"/>
  <c r="K24" i="10"/>
  <c r="E24" i="10" s="1"/>
  <c r="L24" i="10"/>
  <c r="C24" i="10"/>
  <c r="K40" i="7"/>
  <c r="E40" i="7" s="1"/>
  <c r="K39" i="7"/>
  <c r="E39" i="7" s="1"/>
  <c r="L26" i="7"/>
  <c r="K26" i="7"/>
  <c r="E26" i="7" s="1"/>
  <c r="K43" i="7"/>
  <c r="E43" i="7" s="1"/>
  <c r="L43" i="7"/>
  <c r="L40" i="7"/>
  <c r="L39" i="7"/>
  <c r="C39" i="7"/>
  <c r="C40" i="7"/>
  <c r="K92" i="10"/>
  <c r="E92" i="10" s="1"/>
  <c r="L92" i="10"/>
  <c r="C92" i="10"/>
  <c r="K88" i="10"/>
  <c r="E88" i="10" s="1"/>
  <c r="L88" i="10"/>
  <c r="K89" i="10"/>
  <c r="E89" i="10" s="1"/>
  <c r="L89" i="10"/>
  <c r="C88" i="10"/>
  <c r="C89" i="10"/>
  <c r="K85" i="10"/>
  <c r="E85" i="10" s="1"/>
  <c r="L85" i="10"/>
  <c r="K86" i="10"/>
  <c r="E86" i="10" s="1"/>
  <c r="L86" i="10"/>
  <c r="C85" i="10"/>
  <c r="C86" i="10"/>
  <c r="C26" i="7"/>
  <c r="C43" i="7"/>
  <c r="L42" i="7"/>
  <c r="K42" i="7"/>
  <c r="E42" i="7" s="1"/>
  <c r="C42" i="7"/>
  <c r="C7" i="7"/>
  <c r="K109" i="10"/>
  <c r="L109" i="10"/>
  <c r="K110" i="10"/>
  <c r="L110" i="10"/>
  <c r="K111" i="10"/>
  <c r="L111" i="10"/>
  <c r="K68" i="10"/>
  <c r="E68" i="10" s="1"/>
  <c r="L68" i="10"/>
  <c r="K69" i="10"/>
  <c r="E69" i="10" s="1"/>
  <c r="L69" i="10"/>
  <c r="K71" i="10"/>
  <c r="E71" i="10" s="1"/>
  <c r="L71" i="10"/>
  <c r="K60" i="10"/>
  <c r="E60" i="10" s="1"/>
  <c r="L60" i="10"/>
  <c r="K61" i="10"/>
  <c r="E61" i="10" s="1"/>
  <c r="L61" i="10"/>
  <c r="K62" i="10"/>
  <c r="E62" i="10" s="1"/>
  <c r="L62" i="10"/>
  <c r="K63" i="10"/>
  <c r="E63" i="10" s="1"/>
  <c r="L63" i="10"/>
  <c r="K56" i="10"/>
  <c r="E56" i="10" s="1"/>
  <c r="L56" i="10"/>
  <c r="K57" i="10"/>
  <c r="E57" i="10" s="1"/>
  <c r="L57" i="10"/>
  <c r="K58" i="10"/>
  <c r="E58" i="10" s="1"/>
  <c r="L58" i="10"/>
  <c r="C63" i="10"/>
  <c r="C62" i="10"/>
  <c r="C61" i="10"/>
  <c r="C60" i="10"/>
  <c r="C71" i="10"/>
  <c r="C69" i="10"/>
  <c r="C68" i="10"/>
  <c r="C57" i="10"/>
  <c r="C56" i="10"/>
  <c r="L20" i="7"/>
  <c r="K20" i="7"/>
  <c r="E20" i="7" s="1"/>
  <c r="C20" i="7"/>
  <c r="F14" i="7" l="1"/>
  <c r="H28" i="10"/>
  <c r="J28" i="10" s="1"/>
  <c r="G28" i="10"/>
  <c r="I28" i="10" s="1"/>
  <c r="F28" i="10"/>
  <c r="H29" i="10"/>
  <c r="J29" i="10" s="1"/>
  <c r="G29" i="10"/>
  <c r="I29" i="10" s="1"/>
  <c r="F29" i="10"/>
  <c r="J30" i="10"/>
  <c r="G30" i="10"/>
  <c r="I30" i="10" s="1"/>
  <c r="F30" i="10"/>
  <c r="F100" i="10"/>
  <c r="H100" i="10"/>
  <c r="J100" i="10" s="1"/>
  <c r="H22" i="10"/>
  <c r="J22" i="10" s="1"/>
  <c r="F22" i="10"/>
  <c r="G22" i="10"/>
  <c r="I22" i="10" s="1"/>
  <c r="F74" i="10"/>
  <c r="G74" i="10"/>
  <c r="I74" i="10" s="1"/>
  <c r="H74" i="10"/>
  <c r="J74" i="10" s="1"/>
  <c r="H27" i="10"/>
  <c r="J27" i="10" s="1"/>
  <c r="G12" i="7"/>
  <c r="I12" i="7" s="1"/>
  <c r="F12" i="7"/>
  <c r="H12" i="7"/>
  <c r="J12" i="7" s="1"/>
  <c r="G27" i="10"/>
  <c r="I27" i="10" s="1"/>
  <c r="F27" i="10"/>
  <c r="F66" i="10"/>
  <c r="F32" i="7"/>
  <c r="G32" i="7"/>
  <c r="I32" i="7" s="1"/>
  <c r="H32" i="7"/>
  <c r="J32" i="7" s="1"/>
  <c r="H102" i="10"/>
  <c r="J102" i="10" s="1"/>
  <c r="F102" i="10"/>
  <c r="G102" i="10"/>
  <c r="I102" i="10" s="1"/>
  <c r="G66" i="10"/>
  <c r="I66" i="10" s="1"/>
  <c r="H66" i="10"/>
  <c r="J66" i="10" s="1"/>
  <c r="F43" i="7"/>
  <c r="F65" i="10"/>
  <c r="H65" i="10"/>
  <c r="J65" i="10" s="1"/>
  <c r="G65" i="10"/>
  <c r="I65" i="10" s="1"/>
  <c r="F64" i="10"/>
  <c r="G64" i="10"/>
  <c r="I64" i="10" s="1"/>
  <c r="H64" i="10"/>
  <c r="J64" i="10" s="1"/>
  <c r="F20" i="10"/>
  <c r="G20" i="10"/>
  <c r="I20" i="10" s="1"/>
  <c r="H20" i="10"/>
  <c r="J20" i="10" s="1"/>
  <c r="H17" i="10"/>
  <c r="J17" i="10" s="1"/>
  <c r="G17" i="10"/>
  <c r="I17" i="10" s="1"/>
  <c r="F17" i="10"/>
  <c r="H18" i="10"/>
  <c r="J18" i="10" s="1"/>
  <c r="F18" i="10"/>
  <c r="G18" i="10"/>
  <c r="I18" i="10" s="1"/>
  <c r="F24" i="10"/>
  <c r="G24" i="10"/>
  <c r="I24" i="10" s="1"/>
  <c r="H24" i="10"/>
  <c r="J24" i="10" s="1"/>
  <c r="F26" i="7"/>
  <c r="G26" i="7"/>
  <c r="I26" i="7" s="1"/>
  <c r="H26" i="7"/>
  <c r="J26" i="7" s="1"/>
  <c r="H43" i="7"/>
  <c r="J43" i="7" s="1"/>
  <c r="G43" i="7"/>
  <c r="I43" i="7" s="1"/>
  <c r="F40" i="7"/>
  <c r="H40" i="7"/>
  <c r="J40" i="7" s="1"/>
  <c r="G40" i="7"/>
  <c r="I40" i="7" s="1"/>
  <c r="F39" i="7"/>
  <c r="G39" i="7"/>
  <c r="I39" i="7" s="1"/>
  <c r="H39" i="7"/>
  <c r="J39" i="7" s="1"/>
  <c r="H92" i="10"/>
  <c r="J92" i="10" s="1"/>
  <c r="F92" i="10"/>
  <c r="G92" i="10"/>
  <c r="I92" i="10" s="1"/>
  <c r="F88" i="10"/>
  <c r="H88" i="10"/>
  <c r="J88" i="10" s="1"/>
  <c r="G88" i="10"/>
  <c r="I88" i="10" s="1"/>
  <c r="F89" i="10"/>
  <c r="G89" i="10"/>
  <c r="I89" i="10" s="1"/>
  <c r="H89" i="10"/>
  <c r="J89" i="10" s="1"/>
  <c r="F86" i="10"/>
  <c r="G86" i="10"/>
  <c r="I86" i="10" s="1"/>
  <c r="H86" i="10"/>
  <c r="J86" i="10" s="1"/>
  <c r="H85" i="10"/>
  <c r="J85" i="10" s="1"/>
  <c r="F85" i="10"/>
  <c r="G85" i="10"/>
  <c r="I85" i="10" s="1"/>
  <c r="H20" i="7"/>
  <c r="J20" i="7" s="1"/>
  <c r="F20" i="7"/>
  <c r="G20" i="7"/>
  <c r="I20" i="7" s="1"/>
  <c r="G42" i="7"/>
  <c r="I42" i="7" s="1"/>
  <c r="F42" i="7"/>
  <c r="H42" i="7"/>
  <c r="J42" i="7" s="1"/>
  <c r="F69" i="10"/>
  <c r="G69" i="10"/>
  <c r="I69" i="10" s="1"/>
  <c r="H69" i="10"/>
  <c r="J69" i="10" s="1"/>
  <c r="F71" i="10"/>
  <c r="G71" i="10"/>
  <c r="I71" i="10" s="1"/>
  <c r="H71" i="10"/>
  <c r="J71" i="10" s="1"/>
  <c r="H68" i="10"/>
  <c r="J68" i="10" s="1"/>
  <c r="F68" i="10"/>
  <c r="G68" i="10"/>
  <c r="I68" i="10" s="1"/>
  <c r="G62" i="10"/>
  <c r="I62" i="10" s="1"/>
  <c r="F62" i="10"/>
  <c r="H62" i="10"/>
  <c r="J62" i="10" s="1"/>
  <c r="F60" i="10"/>
  <c r="G60" i="10"/>
  <c r="I60" i="10" s="1"/>
  <c r="H60" i="10"/>
  <c r="J60" i="10" s="1"/>
  <c r="G63" i="10"/>
  <c r="I63" i="10" s="1"/>
  <c r="F63" i="10"/>
  <c r="H63" i="10"/>
  <c r="J63" i="10" s="1"/>
  <c r="F61" i="10"/>
  <c r="G61" i="10"/>
  <c r="I61" i="10" s="1"/>
  <c r="H61" i="10"/>
  <c r="J61" i="10" s="1"/>
  <c r="H57" i="10"/>
  <c r="J57" i="10" s="1"/>
  <c r="F57" i="10"/>
  <c r="G57" i="10"/>
  <c r="I57" i="10" s="1"/>
  <c r="G58" i="10"/>
  <c r="I58" i="10" s="1"/>
  <c r="H58" i="10"/>
  <c r="J58" i="10" s="1"/>
  <c r="F58" i="10"/>
  <c r="H56" i="10"/>
  <c r="J56" i="10" s="1"/>
  <c r="F56" i="10"/>
  <c r="G56" i="10"/>
  <c r="I56" i="10" s="1"/>
  <c r="C10" i="10"/>
  <c r="K10" i="10"/>
  <c r="E10" i="10" s="1"/>
  <c r="L10" i="10"/>
  <c r="C8" i="8"/>
  <c r="K8" i="8"/>
  <c r="E8" i="8" s="1"/>
  <c r="L8" i="8"/>
  <c r="H10" i="10" l="1"/>
  <c r="J10" i="10" s="1"/>
  <c r="G10" i="10"/>
  <c r="I10" i="10" s="1"/>
  <c r="F10" i="10"/>
  <c r="H8" i="8"/>
  <c r="J8" i="8" s="1"/>
  <c r="G8" i="8"/>
  <c r="I8" i="8" s="1"/>
  <c r="F8" i="8"/>
  <c r="C32" i="8"/>
  <c r="K32" i="8"/>
  <c r="E32" i="8" s="1"/>
  <c r="L32" i="8"/>
  <c r="C94" i="10"/>
  <c r="K13" i="8"/>
  <c r="E13" i="8" s="1"/>
  <c r="C13" i="8"/>
  <c r="L13" i="8"/>
  <c r="C9" i="8"/>
  <c r="K9" i="8"/>
  <c r="E9" i="8" s="1"/>
  <c r="L9" i="8"/>
  <c r="K10" i="8"/>
  <c r="E10" i="8" s="1"/>
  <c r="C10" i="8"/>
  <c r="L10" i="8"/>
  <c r="K11" i="8"/>
  <c r="E11" i="8" s="1"/>
  <c r="C11" i="8"/>
  <c r="G11" i="8" s="1"/>
  <c r="L11" i="8"/>
  <c r="C84" i="10"/>
  <c r="D84" i="10"/>
  <c r="K84" i="10"/>
  <c r="L84" i="10"/>
  <c r="E110" i="10"/>
  <c r="C110" i="10"/>
  <c r="E109" i="10"/>
  <c r="E111" i="10"/>
  <c r="C109" i="10"/>
  <c r="C111" i="10"/>
  <c r="L108" i="10"/>
  <c r="K108" i="10"/>
  <c r="E108" i="10" s="1"/>
  <c r="C108" i="10"/>
  <c r="L6" i="10"/>
  <c r="L7" i="10"/>
  <c r="L8" i="10"/>
  <c r="L11" i="10"/>
  <c r="L12" i="10"/>
  <c r="L13" i="10"/>
  <c r="L15" i="10"/>
  <c r="L16" i="10"/>
  <c r="L19" i="10"/>
  <c r="L21" i="10"/>
  <c r="L23" i="10"/>
  <c r="L25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73" i="10"/>
  <c r="L76" i="10"/>
  <c r="L77" i="10"/>
  <c r="L78" i="10"/>
  <c r="L79" i="10"/>
  <c r="L81" i="10"/>
  <c r="L82" i="10"/>
  <c r="L90" i="10"/>
  <c r="L91" i="10"/>
  <c r="L94" i="10"/>
  <c r="L95" i="10"/>
  <c r="L96" i="10"/>
  <c r="L97" i="10"/>
  <c r="L99" i="10"/>
  <c r="L101" i="10"/>
  <c r="L103" i="10"/>
  <c r="L105" i="10"/>
  <c r="L106" i="10"/>
  <c r="L112" i="10"/>
  <c r="K112" i="10"/>
  <c r="E112" i="10" s="1"/>
  <c r="K106" i="10"/>
  <c r="E106" i="10" s="1"/>
  <c r="K105" i="10"/>
  <c r="E105" i="10" s="1"/>
  <c r="K101" i="10"/>
  <c r="E101" i="10" s="1"/>
  <c r="K103" i="10"/>
  <c r="E103" i="10" s="1"/>
  <c r="K99" i="10"/>
  <c r="E99" i="10" s="1"/>
  <c r="K95" i="10"/>
  <c r="E95" i="10" s="1"/>
  <c r="K96" i="10"/>
  <c r="E96" i="10" s="1"/>
  <c r="K97" i="10"/>
  <c r="E97" i="10" s="1"/>
  <c r="K94" i="10"/>
  <c r="E94" i="10" s="1"/>
  <c r="K91" i="10"/>
  <c r="E91" i="10" s="1"/>
  <c r="K90" i="10"/>
  <c r="E90" i="10" s="1"/>
  <c r="K82" i="10"/>
  <c r="E82" i="10" s="1"/>
  <c r="K81" i="10"/>
  <c r="E81" i="10" s="1"/>
  <c r="K77" i="10"/>
  <c r="E77" i="10" s="1"/>
  <c r="K78" i="10"/>
  <c r="E78" i="10" s="1"/>
  <c r="K79" i="10"/>
  <c r="E79" i="10" s="1"/>
  <c r="K76" i="10"/>
  <c r="E76" i="10" s="1"/>
  <c r="K73" i="10"/>
  <c r="E73" i="10" s="1"/>
  <c r="K31" i="10"/>
  <c r="E31" i="10" s="1"/>
  <c r="K32" i="10"/>
  <c r="E32" i="10" s="1"/>
  <c r="K33" i="10"/>
  <c r="E33" i="10" s="1"/>
  <c r="K34" i="10"/>
  <c r="E34" i="10" s="1"/>
  <c r="K35" i="10"/>
  <c r="E35" i="10" s="1"/>
  <c r="K36" i="10"/>
  <c r="E36" i="10" s="1"/>
  <c r="K37" i="10"/>
  <c r="E37" i="10" s="1"/>
  <c r="K38" i="10"/>
  <c r="E38" i="10" s="1"/>
  <c r="K39" i="10"/>
  <c r="E39" i="10" s="1"/>
  <c r="K40" i="10"/>
  <c r="E40" i="10" s="1"/>
  <c r="K41" i="10"/>
  <c r="E41" i="10" s="1"/>
  <c r="K42" i="10"/>
  <c r="E42" i="10" s="1"/>
  <c r="K43" i="10"/>
  <c r="E43" i="10" s="1"/>
  <c r="K44" i="10"/>
  <c r="E44" i="10" s="1"/>
  <c r="K45" i="10"/>
  <c r="E45" i="10" s="1"/>
  <c r="K46" i="10"/>
  <c r="E46" i="10" s="1"/>
  <c r="K47" i="10"/>
  <c r="E47" i="10" s="1"/>
  <c r="K48" i="10"/>
  <c r="E48" i="10" s="1"/>
  <c r="K49" i="10"/>
  <c r="E49" i="10" s="1"/>
  <c r="K50" i="10"/>
  <c r="E50" i="10" s="1"/>
  <c r="K51" i="10"/>
  <c r="E51" i="10" s="1"/>
  <c r="K52" i="10"/>
  <c r="E52" i="10" s="1"/>
  <c r="K53" i="10"/>
  <c r="E53" i="10" s="1"/>
  <c r="K54" i="10"/>
  <c r="E54" i="10" s="1"/>
  <c r="K25" i="10"/>
  <c r="E25" i="10" s="1"/>
  <c r="K23" i="10"/>
  <c r="E23" i="10" s="1"/>
  <c r="K21" i="10"/>
  <c r="E21" i="10" s="1"/>
  <c r="K19" i="10"/>
  <c r="E19" i="10" s="1"/>
  <c r="K16" i="10"/>
  <c r="E16" i="10" s="1"/>
  <c r="K15" i="10"/>
  <c r="E15" i="10" s="1"/>
  <c r="K13" i="10"/>
  <c r="E13" i="10" s="1"/>
  <c r="K12" i="10"/>
  <c r="E12" i="10" s="1"/>
  <c r="K11" i="10"/>
  <c r="E11" i="10" s="1"/>
  <c r="K8" i="10"/>
  <c r="E8" i="10" s="1"/>
  <c r="K7" i="10"/>
  <c r="E7" i="10" s="1"/>
  <c r="K6" i="10"/>
  <c r="E6" i="10" s="1"/>
  <c r="C112" i="10"/>
  <c r="C106" i="10"/>
  <c r="C105" i="10"/>
  <c r="C103" i="10"/>
  <c r="C101" i="10"/>
  <c r="C99" i="10"/>
  <c r="C97" i="10"/>
  <c r="C96" i="10"/>
  <c r="C95" i="10"/>
  <c r="C91" i="10"/>
  <c r="C90" i="10"/>
  <c r="C82" i="10"/>
  <c r="C81" i="10"/>
  <c r="C79" i="10"/>
  <c r="C78" i="10"/>
  <c r="C77" i="10"/>
  <c r="C76" i="10"/>
  <c r="C73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25" i="10"/>
  <c r="C23" i="10"/>
  <c r="C21" i="10"/>
  <c r="C19" i="10"/>
  <c r="C16" i="10"/>
  <c r="C15" i="10"/>
  <c r="C13" i="10"/>
  <c r="C12" i="10"/>
  <c r="C11" i="10"/>
  <c r="C8" i="10"/>
  <c r="C7" i="10"/>
  <c r="C6" i="10"/>
  <c r="L6" i="8"/>
  <c r="L12" i="8"/>
  <c r="L15" i="8"/>
  <c r="L16" i="8"/>
  <c r="L18" i="8"/>
  <c r="L19" i="8"/>
  <c r="L20" i="8"/>
  <c r="L22" i="8"/>
  <c r="L23" i="8"/>
  <c r="L24" i="8"/>
  <c r="L26" i="8"/>
  <c r="L28" i="8"/>
  <c r="L29" i="8"/>
  <c r="L30" i="8"/>
  <c r="L31" i="8"/>
  <c r="L33" i="8"/>
  <c r="K33" i="8"/>
  <c r="E33" i="8" s="1"/>
  <c r="K31" i="8"/>
  <c r="E31" i="8" s="1"/>
  <c r="K30" i="8"/>
  <c r="E30" i="8" s="1"/>
  <c r="K29" i="8"/>
  <c r="E29" i="8" s="1"/>
  <c r="K28" i="8"/>
  <c r="E28" i="8" s="1"/>
  <c r="K23" i="8"/>
  <c r="E23" i="8" s="1"/>
  <c r="K24" i="8"/>
  <c r="E24" i="8" s="1"/>
  <c r="K26" i="8"/>
  <c r="E26" i="8" s="1"/>
  <c r="K22" i="8"/>
  <c r="E22" i="8" s="1"/>
  <c r="K18" i="8"/>
  <c r="E18" i="8" s="1"/>
  <c r="K19" i="8"/>
  <c r="E19" i="8" s="1"/>
  <c r="K20" i="8"/>
  <c r="E20" i="8" s="1"/>
  <c r="K16" i="8"/>
  <c r="E16" i="8" s="1"/>
  <c r="K15" i="8"/>
  <c r="E15" i="8" s="1"/>
  <c r="K12" i="8"/>
  <c r="E12" i="8" s="1"/>
  <c r="K6" i="8"/>
  <c r="E6" i="8" s="1"/>
  <c r="L6" i="7"/>
  <c r="L7" i="7"/>
  <c r="L8" i="7"/>
  <c r="L10" i="7"/>
  <c r="L13" i="7"/>
  <c r="L15" i="7"/>
  <c r="L17" i="7"/>
  <c r="L18" i="7"/>
  <c r="L21" i="7"/>
  <c r="L23" i="7"/>
  <c r="L24" i="7"/>
  <c r="L25" i="7"/>
  <c r="L27" i="7"/>
  <c r="L29" i="7"/>
  <c r="L30" i="7"/>
  <c r="L31" i="7"/>
  <c r="L35" i="7"/>
  <c r="L36" i="7"/>
  <c r="L37" i="7"/>
  <c r="K30" i="7"/>
  <c r="E30" i="7" s="1"/>
  <c r="K31" i="7"/>
  <c r="E31" i="7" s="1"/>
  <c r="K35" i="7"/>
  <c r="E35" i="7" s="1"/>
  <c r="K36" i="7"/>
  <c r="E36" i="7" s="1"/>
  <c r="K37" i="7"/>
  <c r="E37" i="7" s="1"/>
  <c r="K29" i="7"/>
  <c r="E29" i="7" s="1"/>
  <c r="K24" i="7"/>
  <c r="E24" i="7" s="1"/>
  <c r="K25" i="7"/>
  <c r="E25" i="7" s="1"/>
  <c r="K27" i="7"/>
  <c r="E27" i="7" s="1"/>
  <c r="K23" i="7"/>
  <c r="E23" i="7" s="1"/>
  <c r="K18" i="7"/>
  <c r="E18" i="7" s="1"/>
  <c r="K21" i="7"/>
  <c r="E21" i="7" s="1"/>
  <c r="K17" i="7"/>
  <c r="E17" i="7" s="1"/>
  <c r="K13" i="7"/>
  <c r="E13" i="7" s="1"/>
  <c r="K15" i="7"/>
  <c r="E15" i="7" s="1"/>
  <c r="E10" i="7"/>
  <c r="K7" i="7"/>
  <c r="E7" i="7" s="1"/>
  <c r="K8" i="7"/>
  <c r="E8" i="7" s="1"/>
  <c r="K6" i="7"/>
  <c r="E6" i="7" s="1"/>
  <c r="C6" i="7"/>
  <c r="C8" i="7"/>
  <c r="C10" i="7"/>
  <c r="C13" i="7"/>
  <c r="C15" i="7"/>
  <c r="C17" i="7"/>
  <c r="C18" i="7"/>
  <c r="C21" i="7"/>
  <c r="C23" i="7"/>
  <c r="C24" i="7"/>
  <c r="C25" i="7"/>
  <c r="C27" i="7"/>
  <c r="C29" i="7"/>
  <c r="C30" i="7"/>
  <c r="C31" i="7"/>
  <c r="C35" i="7"/>
  <c r="C36" i="7"/>
  <c r="C37" i="7"/>
  <c r="C12" i="8"/>
  <c r="C15" i="8"/>
  <c r="C16" i="8"/>
  <c r="C18" i="8"/>
  <c r="C19" i="8"/>
  <c r="C20" i="8"/>
  <c r="C22" i="8"/>
  <c r="C23" i="8"/>
  <c r="C24" i="8"/>
  <c r="C26" i="8"/>
  <c r="C28" i="8"/>
  <c r="C29" i="8"/>
  <c r="C30" i="8"/>
  <c r="C31" i="8"/>
  <c r="C33" i="8"/>
  <c r="C6" i="8"/>
  <c r="F26" i="8" l="1"/>
  <c r="G35" i="7"/>
  <c r="I35" i="7" s="1"/>
  <c r="G8" i="7"/>
  <c r="I8" i="7" s="1"/>
  <c r="G21" i="7"/>
  <c r="I21" i="7" s="1"/>
  <c r="F24" i="7"/>
  <c r="G18" i="7"/>
  <c r="I18" i="7" s="1"/>
  <c r="F37" i="7"/>
  <c r="F109" i="10"/>
  <c r="G109" i="10"/>
  <c r="I109" i="10" s="1"/>
  <c r="H109" i="10"/>
  <c r="J109" i="10" s="1"/>
  <c r="H111" i="10"/>
  <c r="J111" i="10" s="1"/>
  <c r="F111" i="10"/>
  <c r="G111" i="10"/>
  <c r="I111" i="10" s="1"/>
  <c r="G110" i="10"/>
  <c r="I110" i="10" s="1"/>
  <c r="F110" i="10"/>
  <c r="H110" i="10"/>
  <c r="J110" i="10" s="1"/>
  <c r="G16" i="8"/>
  <c r="I16" i="8" s="1"/>
  <c r="G103" i="10"/>
  <c r="I103" i="10" s="1"/>
  <c r="G54" i="10"/>
  <c r="I54" i="10" s="1"/>
  <c r="H40" i="10"/>
  <c r="J40" i="10" s="1"/>
  <c r="G53" i="10"/>
  <c r="I53" i="10" s="1"/>
  <c r="G38" i="10"/>
  <c r="I38" i="10" s="1"/>
  <c r="G81" i="10"/>
  <c r="I81" i="10" s="1"/>
  <c r="G44" i="10"/>
  <c r="I44" i="10" s="1"/>
  <c r="G105" i="10"/>
  <c r="I105" i="10" s="1"/>
  <c r="G48" i="10"/>
  <c r="I48" i="10" s="1"/>
  <c r="G94" i="10"/>
  <c r="I94" i="10" s="1"/>
  <c r="G36" i="10"/>
  <c r="I36" i="10" s="1"/>
  <c r="G24" i="7"/>
  <c r="I24" i="7" s="1"/>
  <c r="H108" i="10"/>
  <c r="J108" i="10" s="1"/>
  <c r="G42" i="10"/>
  <c r="I42" i="10" s="1"/>
  <c r="F6" i="7"/>
  <c r="H25" i="10"/>
  <c r="J25" i="10" s="1"/>
  <c r="G31" i="10"/>
  <c r="I31" i="10" s="1"/>
  <c r="F54" i="10"/>
  <c r="F37" i="10"/>
  <c r="H44" i="10"/>
  <c r="J44" i="10" s="1"/>
  <c r="H48" i="10"/>
  <c r="J48" i="10" s="1"/>
  <c r="F52" i="10"/>
  <c r="G6" i="10"/>
  <c r="I6" i="10" s="1"/>
  <c r="G21" i="10"/>
  <c r="I21" i="10" s="1"/>
  <c r="G35" i="10"/>
  <c r="I35" i="10" s="1"/>
  <c r="G32" i="10"/>
  <c r="I32" i="10" s="1"/>
  <c r="G16" i="10"/>
  <c r="I16" i="10" s="1"/>
  <c r="F90" i="10"/>
  <c r="G8" i="10"/>
  <c r="I8" i="10" s="1"/>
  <c r="J15" i="10"/>
  <c r="H23" i="10"/>
  <c r="J23" i="10" s="1"/>
  <c r="F36" i="10"/>
  <c r="F44" i="10"/>
  <c r="F45" i="10"/>
  <c r="F48" i="10"/>
  <c r="G101" i="10"/>
  <c r="I101" i="10" s="1"/>
  <c r="H33" i="10"/>
  <c r="J33" i="10" s="1"/>
  <c r="H36" i="10"/>
  <c r="J36" i="10" s="1"/>
  <c r="F40" i="10"/>
  <c r="G46" i="10"/>
  <c r="I46" i="10" s="1"/>
  <c r="H54" i="10"/>
  <c r="J54" i="10" s="1"/>
  <c r="G95" i="10"/>
  <c r="I95" i="10" s="1"/>
  <c r="G97" i="10"/>
  <c r="I97" i="10" s="1"/>
  <c r="G106" i="10"/>
  <c r="I106" i="10" s="1"/>
  <c r="F23" i="10"/>
  <c r="G40" i="10"/>
  <c r="I40" i="10" s="1"/>
  <c r="H50" i="10"/>
  <c r="J50" i="10" s="1"/>
  <c r="G90" i="10"/>
  <c r="I90" i="10" s="1"/>
  <c r="H6" i="10"/>
  <c r="J6" i="10" s="1"/>
  <c r="G7" i="10"/>
  <c r="I7" i="10" s="1"/>
  <c r="H42" i="10"/>
  <c r="J42" i="10" s="1"/>
  <c r="G50" i="10"/>
  <c r="I50" i="10" s="1"/>
  <c r="G73" i="10"/>
  <c r="I73" i="10" s="1"/>
  <c r="F81" i="10"/>
  <c r="G112" i="10"/>
  <c r="I112" i="10" s="1"/>
  <c r="G77" i="10"/>
  <c r="I77" i="10" s="1"/>
  <c r="H77" i="10"/>
  <c r="J77" i="10" s="1"/>
  <c r="F77" i="10"/>
  <c r="F33" i="10"/>
  <c r="F6" i="10"/>
  <c r="G15" i="10"/>
  <c r="I15" i="10" s="1"/>
  <c r="G23" i="10"/>
  <c r="I23" i="10" s="1"/>
  <c r="G25" i="10"/>
  <c r="I25" i="10" s="1"/>
  <c r="G33" i="10"/>
  <c r="I33" i="10" s="1"/>
  <c r="G37" i="10"/>
  <c r="I37" i="10" s="1"/>
  <c r="H38" i="10"/>
  <c r="J38" i="10" s="1"/>
  <c r="G45" i="10"/>
  <c r="I45" i="10" s="1"/>
  <c r="H46" i="10"/>
  <c r="J46" i="10" s="1"/>
  <c r="G52" i="10"/>
  <c r="I52" i="10" s="1"/>
  <c r="H53" i="10"/>
  <c r="J53" i="10" s="1"/>
  <c r="G79" i="10"/>
  <c r="I79" i="10" s="1"/>
  <c r="F82" i="10"/>
  <c r="H90" i="10"/>
  <c r="J90" i="10" s="1"/>
  <c r="F94" i="10"/>
  <c r="H97" i="10"/>
  <c r="J97" i="10" s="1"/>
  <c r="F105" i="10"/>
  <c r="G108" i="10"/>
  <c r="I108" i="10" s="1"/>
  <c r="F42" i="10"/>
  <c r="F50" i="10"/>
  <c r="H81" i="10"/>
  <c r="J81" i="10" s="1"/>
  <c r="F96" i="10"/>
  <c r="H106" i="10"/>
  <c r="J106" i="10" s="1"/>
  <c r="H7" i="10"/>
  <c r="J7" i="10" s="1"/>
  <c r="F38" i="10"/>
  <c r="F46" i="10"/>
  <c r="F53" i="10"/>
  <c r="F73" i="10"/>
  <c r="F97" i="10"/>
  <c r="F103" i="10"/>
  <c r="H105" i="10"/>
  <c r="J105" i="10" s="1"/>
  <c r="H12" i="8"/>
  <c r="J12" i="8" s="1"/>
  <c r="G9" i="8"/>
  <c r="I9" i="8" s="1"/>
  <c r="G26" i="8"/>
  <c r="I26" i="8" s="1"/>
  <c r="H18" i="8"/>
  <c r="J18" i="8" s="1"/>
  <c r="F13" i="8"/>
  <c r="G30" i="8"/>
  <c r="I30" i="8" s="1"/>
  <c r="H26" i="8"/>
  <c r="J26" i="8" s="1"/>
  <c r="H33" i="8"/>
  <c r="J33" i="8" s="1"/>
  <c r="F31" i="8"/>
  <c r="G29" i="8"/>
  <c r="I29" i="8" s="1"/>
  <c r="H15" i="8"/>
  <c r="J15" i="8" s="1"/>
  <c r="H28" i="8"/>
  <c r="J28" i="8" s="1"/>
  <c r="F24" i="8"/>
  <c r="F20" i="8"/>
  <c r="H19" i="8"/>
  <c r="J19" i="8" s="1"/>
  <c r="H6" i="8"/>
  <c r="J6" i="8" s="1"/>
  <c r="H31" i="8"/>
  <c r="J31" i="8" s="1"/>
  <c r="F18" i="8"/>
  <c r="G24" i="8"/>
  <c r="I24" i="8" s="1"/>
  <c r="G6" i="8"/>
  <c r="I6" i="8" s="1"/>
  <c r="G15" i="8"/>
  <c r="I15" i="8" s="1"/>
  <c r="H30" i="8"/>
  <c r="J30" i="8" s="1"/>
  <c r="H24" i="8"/>
  <c r="J24" i="8" s="1"/>
  <c r="H16" i="8"/>
  <c r="J16" i="8" s="1"/>
  <c r="G32" i="8"/>
  <c r="I32" i="8" s="1"/>
  <c r="H29" i="8"/>
  <c r="J29" i="8" s="1"/>
  <c r="H22" i="8"/>
  <c r="J22" i="8" s="1"/>
  <c r="H23" i="8"/>
  <c r="J23" i="8" s="1"/>
  <c r="F23" i="8"/>
  <c r="F76" i="10"/>
  <c r="H76" i="10"/>
  <c r="J76" i="10" s="1"/>
  <c r="F78" i="10"/>
  <c r="H78" i="10"/>
  <c r="J78" i="10" s="1"/>
  <c r="G78" i="10"/>
  <c r="I78" i="10" s="1"/>
  <c r="G41" i="10"/>
  <c r="I41" i="10" s="1"/>
  <c r="H41" i="10"/>
  <c r="J41" i="10" s="1"/>
  <c r="H43" i="10"/>
  <c r="J43" i="10" s="1"/>
  <c r="F43" i="10"/>
  <c r="G43" i="10"/>
  <c r="I43" i="10" s="1"/>
  <c r="F6" i="8"/>
  <c r="H34" i="10"/>
  <c r="J34" i="10" s="1"/>
  <c r="F34" i="10"/>
  <c r="G31" i="8"/>
  <c r="I31" i="8" s="1"/>
  <c r="G23" i="8"/>
  <c r="I23" i="8" s="1"/>
  <c r="H20" i="8"/>
  <c r="J20" i="8" s="1"/>
  <c r="H37" i="7"/>
  <c r="J37" i="7" s="1"/>
  <c r="G37" i="7"/>
  <c r="I37" i="7" s="1"/>
  <c r="F99" i="10"/>
  <c r="H99" i="10"/>
  <c r="J99" i="10" s="1"/>
  <c r="G99" i="10"/>
  <c r="I99" i="10" s="1"/>
  <c r="G49" i="10"/>
  <c r="I49" i="10" s="1"/>
  <c r="H49" i="10"/>
  <c r="J49" i="10" s="1"/>
  <c r="H51" i="10"/>
  <c r="J51" i="10" s="1"/>
  <c r="F51" i="10"/>
  <c r="G51" i="10"/>
  <c r="I51" i="10" s="1"/>
  <c r="G20" i="8"/>
  <c r="I20" i="8" s="1"/>
  <c r="G18" i="8"/>
  <c r="I18" i="8" s="1"/>
  <c r="H19" i="10"/>
  <c r="J19" i="10" s="1"/>
  <c r="F19" i="10"/>
  <c r="F30" i="8"/>
  <c r="F16" i="8"/>
  <c r="H24" i="7"/>
  <c r="J24" i="7" s="1"/>
  <c r="H8" i="10"/>
  <c r="J8" i="10" s="1"/>
  <c r="F8" i="10"/>
  <c r="H16" i="10"/>
  <c r="J16" i="10" s="1"/>
  <c r="F16" i="10"/>
  <c r="G19" i="10"/>
  <c r="I19" i="10" s="1"/>
  <c r="H31" i="10"/>
  <c r="J31" i="10" s="1"/>
  <c r="F31" i="10"/>
  <c r="G34" i="10"/>
  <c r="I34" i="10" s="1"/>
  <c r="F41" i="10"/>
  <c r="F49" i="10"/>
  <c r="H73" i="10"/>
  <c r="J73" i="10" s="1"/>
  <c r="G76" i="10"/>
  <c r="I76" i="10" s="1"/>
  <c r="G82" i="10"/>
  <c r="I82" i="10" s="1"/>
  <c r="H82" i="10"/>
  <c r="J82" i="10" s="1"/>
  <c r="H91" i="10"/>
  <c r="J91" i="10" s="1"/>
  <c r="F91" i="10"/>
  <c r="G91" i="10"/>
  <c r="I91" i="10" s="1"/>
  <c r="H96" i="10"/>
  <c r="J96" i="10" s="1"/>
  <c r="G96" i="10"/>
  <c r="I96" i="10" s="1"/>
  <c r="F11" i="10"/>
  <c r="G13" i="10"/>
  <c r="I13" i="10" s="1"/>
  <c r="F21" i="10"/>
  <c r="H21" i="10"/>
  <c r="J21" i="10" s="1"/>
  <c r="F32" i="10"/>
  <c r="H32" i="10"/>
  <c r="J32" i="10" s="1"/>
  <c r="F35" i="10"/>
  <c r="H35" i="10"/>
  <c r="J35" i="10" s="1"/>
  <c r="H37" i="10"/>
  <c r="J37" i="10" s="1"/>
  <c r="H45" i="10"/>
  <c r="J45" i="10" s="1"/>
  <c r="H52" i="10"/>
  <c r="J52" i="10" s="1"/>
  <c r="H79" i="10"/>
  <c r="J79" i="10" s="1"/>
  <c r="F79" i="10"/>
  <c r="H94" i="10"/>
  <c r="J94" i="10" s="1"/>
  <c r="H101" i="10"/>
  <c r="J101" i="10" s="1"/>
  <c r="F101" i="10"/>
  <c r="H103" i="10"/>
  <c r="J103" i="10" s="1"/>
  <c r="F106" i="10"/>
  <c r="F15" i="8"/>
  <c r="F29" i="8"/>
  <c r="H39" i="10"/>
  <c r="J39" i="10" s="1"/>
  <c r="F39" i="10"/>
  <c r="H47" i="10"/>
  <c r="J47" i="10" s="1"/>
  <c r="F47" i="10"/>
  <c r="H112" i="10"/>
  <c r="J112" i="10" s="1"/>
  <c r="F112" i="10"/>
  <c r="E84" i="10"/>
  <c r="F7" i="10"/>
  <c r="G12" i="10"/>
  <c r="I12" i="10" s="1"/>
  <c r="F15" i="10"/>
  <c r="F25" i="10"/>
  <c r="G39" i="10"/>
  <c r="I39" i="10" s="1"/>
  <c r="G47" i="10"/>
  <c r="I47" i="10" s="1"/>
  <c r="H95" i="10"/>
  <c r="J95" i="10" s="1"/>
  <c r="F95" i="10"/>
  <c r="F108" i="10"/>
  <c r="G13" i="8"/>
  <c r="I13" i="8" s="1"/>
  <c r="H13" i="10"/>
  <c r="J13" i="10" s="1"/>
  <c r="F13" i="10"/>
  <c r="H12" i="10"/>
  <c r="J12" i="10" s="1"/>
  <c r="F12" i="10"/>
  <c r="G11" i="10"/>
  <c r="I11" i="10" s="1"/>
  <c r="H11" i="10"/>
  <c r="J11" i="10" s="1"/>
  <c r="H36" i="7"/>
  <c r="J36" i="7" s="1"/>
  <c r="G36" i="7"/>
  <c r="I36" i="7" s="1"/>
  <c r="F36" i="7"/>
  <c r="H31" i="7"/>
  <c r="J31" i="7" s="1"/>
  <c r="G31" i="7"/>
  <c r="I31" i="7" s="1"/>
  <c r="H27" i="7"/>
  <c r="J27" i="7" s="1"/>
  <c r="F27" i="7"/>
  <c r="H13" i="7"/>
  <c r="J13" i="7" s="1"/>
  <c r="G13" i="7"/>
  <c r="I13" i="7" s="1"/>
  <c r="H10" i="7"/>
  <c r="J10" i="7" s="1"/>
  <c r="G10" i="7"/>
  <c r="I10" i="7" s="1"/>
  <c r="F10" i="7"/>
  <c r="H30" i="7"/>
  <c r="J30" i="7" s="1"/>
  <c r="F30" i="7"/>
  <c r="I11" i="8"/>
  <c r="H11" i="8"/>
  <c r="J11" i="8" s="1"/>
  <c r="H9" i="8"/>
  <c r="J9" i="8" s="1"/>
  <c r="F13" i="7"/>
  <c r="G30" i="7"/>
  <c r="I30" i="7" s="1"/>
  <c r="H35" i="7"/>
  <c r="J35" i="7" s="1"/>
  <c r="F35" i="7"/>
  <c r="H23" i="7"/>
  <c r="J23" i="7" s="1"/>
  <c r="G23" i="7"/>
  <c r="I23" i="7" s="1"/>
  <c r="F23" i="7"/>
  <c r="H15" i="7"/>
  <c r="J15" i="7" s="1"/>
  <c r="F15" i="7"/>
  <c r="F8" i="7"/>
  <c r="H8" i="7"/>
  <c r="J8" i="7" s="1"/>
  <c r="H6" i="7"/>
  <c r="J6" i="7" s="1"/>
  <c r="G6" i="7"/>
  <c r="I6" i="7" s="1"/>
  <c r="G12" i="8"/>
  <c r="I12" i="8" s="1"/>
  <c r="F12" i="8"/>
  <c r="G22" i="8"/>
  <c r="I22" i="8" s="1"/>
  <c r="F22" i="8"/>
  <c r="G28" i="8"/>
  <c r="I28" i="8" s="1"/>
  <c r="F28" i="8"/>
  <c r="G33" i="8"/>
  <c r="I33" i="8" s="1"/>
  <c r="F33" i="8"/>
  <c r="F11" i="8"/>
  <c r="G10" i="8"/>
  <c r="I10" i="8" s="1"/>
  <c r="F10" i="8"/>
  <c r="H10" i="8"/>
  <c r="J10" i="8" s="1"/>
  <c r="H13" i="8"/>
  <c r="J13" i="8" s="1"/>
  <c r="H7" i="7"/>
  <c r="J7" i="7" s="1"/>
  <c r="G7" i="7"/>
  <c r="I7" i="7" s="1"/>
  <c r="H17" i="7"/>
  <c r="J17" i="7" s="1"/>
  <c r="G17" i="7"/>
  <c r="I17" i="7" s="1"/>
  <c r="F17" i="7"/>
  <c r="H32" i="8"/>
  <c r="J32" i="8" s="1"/>
  <c r="F32" i="8"/>
  <c r="F31" i="7"/>
  <c r="H25" i="7"/>
  <c r="J25" i="7" s="1"/>
  <c r="G25" i="7"/>
  <c r="I25" i="7" s="1"/>
  <c r="F25" i="7"/>
  <c r="F7" i="7"/>
  <c r="G27" i="7"/>
  <c r="I27" i="7" s="1"/>
  <c r="G15" i="7"/>
  <c r="I15" i="7" s="1"/>
  <c r="H29" i="7"/>
  <c r="J29" i="7" s="1"/>
  <c r="G29" i="7"/>
  <c r="I29" i="7" s="1"/>
  <c r="F29" i="7"/>
  <c r="H21" i="7"/>
  <c r="J21" i="7" s="1"/>
  <c r="F21" i="7"/>
  <c r="H18" i="7"/>
  <c r="J18" i="7" s="1"/>
  <c r="F18" i="7"/>
  <c r="G19" i="8"/>
  <c r="I19" i="8" s="1"/>
  <c r="F19" i="8"/>
  <c r="F9" i="8"/>
  <c r="F84" i="10" l="1"/>
  <c r="G84" i="10"/>
  <c r="I84" i="10" s="1"/>
  <c r="H84" i="10"/>
  <c r="J84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940D5-3C86-4EC9-8D60-1CA34318B101}" keepAlive="1" name="Abfrage - Tabelle1" description="Verbindung mit der Abfrage 'Tabelle1' in der Arbeitsmappe." type="5" refreshedVersion="0" background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<sst xmlns="http://schemas.openxmlformats.org/spreadsheetml/2006/main" count="261" uniqueCount="201">
  <si>
    <t>Babyschalen</t>
  </si>
  <si>
    <t>Sitz/Variante</t>
  </si>
  <si>
    <t>VK Brutto</t>
  </si>
  <si>
    <t>VK netto</t>
  </si>
  <si>
    <t>EK netto regulär</t>
  </si>
  <si>
    <t>EK netto</t>
  </si>
  <si>
    <t>Zuschlag</t>
  </si>
  <si>
    <t>Gewinn</t>
  </si>
  <si>
    <t>Gewinn nach Skonto</t>
  </si>
  <si>
    <t>Marge [%]</t>
  </si>
  <si>
    <t>Marge [%] nach Skonto</t>
  </si>
  <si>
    <t>Rabatt(+)/ Zuschlag(-)</t>
  </si>
  <si>
    <t>Skonto</t>
  </si>
  <si>
    <t>Avionaut</t>
  </si>
  <si>
    <t>Cosmo</t>
  </si>
  <si>
    <t>BeSafe</t>
  </si>
  <si>
    <t>Modular i-Size Base</t>
  </si>
  <si>
    <t>Britax Römer</t>
  </si>
  <si>
    <t>Baby-Safe 3 i-Size Standard</t>
  </si>
  <si>
    <t>Baby-Safe 3 i-Size Marble</t>
  </si>
  <si>
    <t>Flex Base 5Z</t>
  </si>
  <si>
    <t>Cybex</t>
  </si>
  <si>
    <r>
      <rPr>
        <b/>
        <sz val="11"/>
        <color rgb="FF000000"/>
        <rFont val="Calibri"/>
        <family val="2"/>
      </rPr>
      <t>Kiddy</t>
    </r>
    <r>
      <rPr>
        <sz val="11"/>
        <color rgb="FF000000"/>
        <rFont val="Calibri"/>
        <family val="2"/>
      </rPr>
      <t xml:space="preserve"> Evoluna i-Size 2</t>
    </r>
  </si>
  <si>
    <t>Maxi Cosi</t>
  </si>
  <si>
    <t>Coral 360</t>
  </si>
  <si>
    <t>Jade</t>
  </si>
  <si>
    <t>Pebble Pro i-Size</t>
  </si>
  <si>
    <t>FamilyFix 3</t>
  </si>
  <si>
    <t>FamilyFix 360</t>
  </si>
  <si>
    <t>Reboarder</t>
  </si>
  <si>
    <t>Sky 2.0</t>
  </si>
  <si>
    <t>Avova</t>
  </si>
  <si>
    <t>Sperber-Fix Grey &amp; Black</t>
  </si>
  <si>
    <t>Sperber-Fix i-Size alle anderen</t>
  </si>
  <si>
    <t>Sperber-Fix 61 Grey &amp; Black</t>
  </si>
  <si>
    <t>Sperber-Fix 61 alle anderen</t>
  </si>
  <si>
    <t>Axkid</t>
  </si>
  <si>
    <t>Rekid</t>
  </si>
  <si>
    <t>BeSafe: 1,5% Frachtzuschlag auf EK berücksichtigt</t>
  </si>
  <si>
    <t>Modular A (RF) X1 i-Size Mél</t>
  </si>
  <si>
    <t>Modular A (RF) X1 i-Size Mesh</t>
  </si>
  <si>
    <t>Plus X1 BC</t>
  </si>
  <si>
    <t>Turn B i-Size BC</t>
  </si>
  <si>
    <t>Turn B i-Size Mél &amp; PCI</t>
  </si>
  <si>
    <t>Turn B i-Size Mesh</t>
  </si>
  <si>
    <t>Turn M i-Size Mesh</t>
  </si>
  <si>
    <t>Turn i-Size BC</t>
  </si>
  <si>
    <t>Turn i-Size Mél &amp; PCI</t>
  </si>
  <si>
    <t>Turn i-Size Mesh</t>
  </si>
  <si>
    <t>Twist B i-Size BC</t>
  </si>
  <si>
    <t>Twist B i-Size Mél &amp; PCI</t>
  </si>
  <si>
    <t>Twist B i-Size Mesh</t>
  </si>
  <si>
    <t>Twist M i-Size Mesh</t>
  </si>
  <si>
    <t>Twist i-Size BC</t>
  </si>
  <si>
    <t>Twist i-Size Mél &amp;. PCI</t>
  </si>
  <si>
    <t>Twist i-Size Mesh</t>
  </si>
  <si>
    <t>Stretch Mesh</t>
  </si>
  <si>
    <t>Stretch B Mesh</t>
  </si>
  <si>
    <t>Concord</t>
  </si>
  <si>
    <t>Reverso: Spezial EK und VK berücksichtigt</t>
  </si>
  <si>
    <t>Cybex Base Z 2</t>
  </si>
  <si>
    <t>Sirona SX2 i-Size</t>
  </si>
  <si>
    <t>Goodbaby</t>
  </si>
  <si>
    <t>Vaya 2 i-Size Comfort</t>
  </si>
  <si>
    <t>Vaya 2 i-Size Plus</t>
  </si>
  <si>
    <t>Joie</t>
  </si>
  <si>
    <t>i-Spin 360 E</t>
  </si>
  <si>
    <t>i-Spin 360 R</t>
  </si>
  <si>
    <t>Klippan</t>
  </si>
  <si>
    <t>Century</t>
  </si>
  <si>
    <t>Century reduzierter VK</t>
  </si>
  <si>
    <t>Opti 129</t>
  </si>
  <si>
    <t>Opti 129 reduzierter VK</t>
  </si>
  <si>
    <t>Mica Pro Eco i-size</t>
  </si>
  <si>
    <t>Pearl 360</t>
  </si>
  <si>
    <t>Nachfolger</t>
  </si>
  <si>
    <t>HyFive World</t>
  </si>
  <si>
    <t>HyFiveOne TT City</t>
  </si>
  <si>
    <t>nuna</t>
  </si>
  <si>
    <t>prym</t>
  </si>
  <si>
    <t>Todl Next Standard</t>
  </si>
  <si>
    <t>Todl Next Sonderkollektion</t>
  </si>
  <si>
    <t>Base next</t>
  </si>
  <si>
    <r>
      <rPr>
        <b/>
        <sz val="11"/>
        <color rgb="FF000000"/>
        <rFont val="Calibri"/>
        <family val="2"/>
      </rPr>
      <t>Swandoo</t>
    </r>
    <r>
      <rPr>
        <sz val="11"/>
        <color rgb="FF000000"/>
        <rFont val="Calibri"/>
        <family val="2"/>
      </rPr>
      <t xml:space="preserve"> Marie³ i-Size</t>
    </r>
  </si>
  <si>
    <t>Folgesitze</t>
  </si>
  <si>
    <t>Skonto [%]</t>
  </si>
  <si>
    <t>Max Space Comfort System +</t>
  </si>
  <si>
    <t xml:space="preserve">Avova </t>
  </si>
  <si>
    <t>Sora Fix Grex &amp; Black</t>
  </si>
  <si>
    <t>Sora fix alle anderen</t>
  </si>
  <si>
    <t>Star Grey &amp; Black</t>
  </si>
  <si>
    <t>EK für Doppelpack!</t>
  </si>
  <si>
    <t>Star alle anderen</t>
  </si>
  <si>
    <t>Star Fix Grey &amp; Black</t>
  </si>
  <si>
    <t>Star Fix alle anderen</t>
  </si>
  <si>
    <t>1,5% Frachtzuschlag auf EK</t>
  </si>
  <si>
    <t>Flex Fix i-Size Mesh</t>
  </si>
  <si>
    <t>Kidfix i-Size Standard</t>
  </si>
  <si>
    <t>Kidfix i-Size Green Sense</t>
  </si>
  <si>
    <t>Kidfix M i-Size</t>
  </si>
  <si>
    <t>i-Traver</t>
  </si>
  <si>
    <t>Traver</t>
  </si>
  <si>
    <r>
      <rPr>
        <b/>
        <sz val="11"/>
        <color rgb="FF000000"/>
        <rFont val="Calibri"/>
        <family val="2"/>
      </rPr>
      <t>Kiddy</t>
    </r>
    <r>
      <rPr>
        <sz val="11"/>
        <color rgb="FF000000"/>
        <rFont val="Calibri"/>
        <family val="2"/>
      </rPr>
      <t xml:space="preserve"> Cruiserfix 3</t>
    </r>
  </si>
  <si>
    <r>
      <rPr>
        <b/>
        <sz val="11"/>
        <color rgb="FF000000"/>
        <rFont val="Calibri"/>
        <family val="2"/>
      </rPr>
      <t>nuna</t>
    </r>
    <r>
      <rPr>
        <sz val="11"/>
        <color rgb="FF000000"/>
        <rFont val="Calibri"/>
        <family val="2"/>
      </rPr>
      <t xml:space="preserve"> aace</t>
    </r>
  </si>
  <si>
    <r>
      <t xml:space="preserve">Takata </t>
    </r>
    <r>
      <rPr>
        <sz val="11"/>
        <color rgb="FF000000"/>
        <rFont val="Calibri"/>
        <family val="2"/>
      </rPr>
      <t>Maxi</t>
    </r>
  </si>
  <si>
    <t>Kiddy</t>
  </si>
  <si>
    <t>Swandoo</t>
  </si>
  <si>
    <t>Takata</t>
  </si>
  <si>
    <t>DUALFIX Pro M</t>
  </si>
  <si>
    <t>DUALFIX 5Z i-SIZE</t>
  </si>
  <si>
    <t>DUALFIX 5Z i-SIZE Marble</t>
  </si>
  <si>
    <t xml:space="preserve">DUALFIX 5Z i-SIZE Green Sense  </t>
  </si>
  <si>
    <t>DUALFIX 5 i-SIZE</t>
  </si>
  <si>
    <t xml:space="preserve">DUALFIX 5 i-SIZE Marble </t>
  </si>
  <si>
    <t xml:space="preserve">DUALFIX 5 i-SIZE Green Sense  </t>
  </si>
  <si>
    <t xml:space="preserve">DUALFIX Pro M Marble </t>
  </si>
  <si>
    <t>DUALFIX Pro M Green Sense</t>
  </si>
  <si>
    <t>DUALFIX M Plus</t>
  </si>
  <si>
    <t>Pixel Pro2.0 C</t>
  </si>
  <si>
    <t>AeroFIX RWF 2.0 C</t>
  </si>
  <si>
    <t>Albert i-Size 1.2</t>
  </si>
  <si>
    <t>Albert Lite</t>
  </si>
  <si>
    <r>
      <rPr>
        <b/>
        <sz val="11"/>
        <color rgb="FF000000"/>
        <rFont val="Calibri"/>
        <family val="2"/>
      </rPr>
      <t>Swandoo</t>
    </r>
    <r>
      <rPr>
        <sz val="11"/>
        <color rgb="FF000000"/>
        <rFont val="Calibri"/>
        <family val="2"/>
      </rPr>
      <t xml:space="preserve"> Charlie i-Size</t>
    </r>
  </si>
  <si>
    <t>i-Harbour</t>
  </si>
  <si>
    <t>i-Harbour inkl. Base Encore</t>
  </si>
  <si>
    <t>Base Encore</t>
  </si>
  <si>
    <t>Arra next</t>
  </si>
  <si>
    <t>Turn2Me</t>
  </si>
  <si>
    <t>Eversure</t>
  </si>
  <si>
    <t>Graco</t>
  </si>
  <si>
    <t>Ascent (Sitz+Base)</t>
  </si>
  <si>
    <r>
      <rPr>
        <b/>
        <sz val="11"/>
        <color rgb="FF000000"/>
        <rFont val="Calibri"/>
        <family val="2"/>
      </rPr>
      <t>Joie</t>
    </r>
    <r>
      <rPr>
        <sz val="11"/>
        <color rgb="FF000000"/>
        <rFont val="Calibri"/>
        <family val="2"/>
      </rPr>
      <t xml:space="preserve"> i-Snug 2</t>
    </r>
  </si>
  <si>
    <t>One+ 2 (bis 5 Stück)</t>
  </si>
  <si>
    <t>One+ 2 (ab 6 Stück)</t>
  </si>
  <si>
    <t>Minikid 2 (bis 5 Stück)</t>
  </si>
  <si>
    <t>Minikid 2 (ab 6 Stück)</t>
  </si>
  <si>
    <t>Minikid 4 (bis 5 Stück)</t>
  </si>
  <si>
    <t>Minikid 4 (ab 6 Stück)</t>
  </si>
  <si>
    <t>Max-Safe Pro</t>
  </si>
  <si>
    <t>Max-Safe Pro Green Sense</t>
  </si>
  <si>
    <t>Safe-Way M</t>
  </si>
  <si>
    <t>Pebble 360</t>
  </si>
  <si>
    <t>Pebble 360 Luxe</t>
  </si>
  <si>
    <t>Pearl 360 + Inlay</t>
  </si>
  <si>
    <t>Beyond Base</t>
  </si>
  <si>
    <t>Modular (RF) X1 i-Size alle</t>
  </si>
  <si>
    <t>Go Modular X2</t>
  </si>
  <si>
    <t>Go Modular X2 Mesh</t>
  </si>
  <si>
    <t>VK ab 15.06.24: 609 EUR</t>
  </si>
  <si>
    <t>VK ab 15.06.24: 629 EUR</t>
  </si>
  <si>
    <t>VK ab 15.06.24: 529 EUR</t>
  </si>
  <si>
    <t>VK ab 15.06.24: 549 EUR</t>
  </si>
  <si>
    <t>Twist M i-Size Melange</t>
  </si>
  <si>
    <t>VK ab 15.06.24: 569 EUR</t>
  </si>
  <si>
    <t>VK ab 15.06.24: 589 EUR</t>
  </si>
  <si>
    <t>VK ab 15.06.24: 639 EUR</t>
  </si>
  <si>
    <t>VK ab 15.06.24: 659 EUR</t>
  </si>
  <si>
    <t>VK ab 15.06.24: 559 EUR</t>
  </si>
  <si>
    <t>VK ab 15.06.24: 579 EUR</t>
  </si>
  <si>
    <t>VK ab 15.06.24: 599 EUR</t>
  </si>
  <si>
    <t>Turn M i-Size Melange</t>
  </si>
  <si>
    <t>Stretch</t>
  </si>
  <si>
    <t>Stretch B</t>
  </si>
  <si>
    <t>Beyond</t>
  </si>
  <si>
    <t>Beyond Mesh</t>
  </si>
  <si>
    <t>Beyond 360</t>
  </si>
  <si>
    <t>Beyond 360 Mesh</t>
  </si>
  <si>
    <t xml:space="preserve">Flex Fix 2 </t>
  </si>
  <si>
    <t>Go Beyond</t>
  </si>
  <si>
    <t>Go Beyond Mesh</t>
  </si>
  <si>
    <t>AeroFIX 2.0 C</t>
  </si>
  <si>
    <t>Base IQ</t>
  </si>
  <si>
    <t>Babysafe 3 i-size &amp; Vario 5Z</t>
  </si>
  <si>
    <t>Bundles mit Vario Base 5Z</t>
  </si>
  <si>
    <t xml:space="preserve">DUALFIX 5Z i-SIZE LUX  </t>
  </si>
  <si>
    <t xml:space="preserve">DUALFIX 5 i-SIZE LUX </t>
  </si>
  <si>
    <t>Vario Base 5Z</t>
  </si>
  <si>
    <t>Reverso Plus</t>
  </si>
  <si>
    <t>Reverso Plus ab 10 Stück</t>
  </si>
  <si>
    <t>VK ab 15.06.24: 619 EUR</t>
  </si>
  <si>
    <t>One 2 (bis 5 Stück)</t>
  </si>
  <si>
    <t>One 2 (ab 6 Stück)</t>
  </si>
  <si>
    <t>Movekid (bis 5 Stück)</t>
  </si>
  <si>
    <t>Movekid (ab 6 Stück)</t>
  </si>
  <si>
    <t>Pebble 360 Pro2</t>
  </si>
  <si>
    <t>Pebble 360 Pro2 Twillic</t>
  </si>
  <si>
    <t>Mica 360 Pro</t>
  </si>
  <si>
    <t>Pearl 360 Pro</t>
  </si>
  <si>
    <t>Cloud T i-size</t>
  </si>
  <si>
    <t>Base T</t>
  </si>
  <si>
    <t>Cloud T i-size Plus</t>
  </si>
  <si>
    <t>Sirona T</t>
  </si>
  <si>
    <t>Sirona T i-Size Plus</t>
  </si>
  <si>
    <t xml:space="preserve">Solution T i-Fix </t>
  </si>
  <si>
    <t>Solution T i-Fix Plus</t>
  </si>
  <si>
    <t>Solution S2 i-Fix</t>
  </si>
  <si>
    <t>Solution G i-fix</t>
  </si>
  <si>
    <t>Solution G i-fix Plus</t>
  </si>
  <si>
    <t>2 % Rabatt für Star Händler</t>
  </si>
  <si>
    <t>Konditionen Verbund (Stand: 27.05.2024 )</t>
  </si>
  <si>
    <t>Margenberechnung Verbund (Stand: 27.05.2024)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</si>
</sst>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>
    <font>
      <sz val="11"/>
      <color rgb="FF000000"/>
      <name val="Calibri"/>
    </font>
    <font>
      <sz val="11"/>
      <color theme="1"/>
      <name val="Helvetica Neue"/>
      <family val="2"/>
      <scheme val="minor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b/>
      <sz val="18"/>
      <color theme="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9"/>
      <color theme="0"/>
      <name val="Calibri"/>
      <family val="2"/>
    </font>
    <font>
      <b/>
      <sz val="8"/>
      <color rgb="FFFF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sz val="11"/>
      <color rgb="FFFFFF00"/>
      <name val="Calibri"/>
      <family val="2"/>
    </font>
    <font>
      <sz val="8"/>
      <name val="Calibri"/>
      <family val="2"/>
    </font>
    <font>
      <sz val="9"/>
      <color rgb="FF1D1C1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82A73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auto="1"/>
      </right>
      <top style="thin">
        <color rgb="FFAAAAAA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5" fillId="0" borderId="1"/>
    <xf numFmtId="0" fontId="1" fillId="0" borderId="1"/>
    <xf numFmtId="0" fontId="10" fillId="0" borderId="1"/>
    <xf numFmtId="0" fontId="3" fillId="0" borderId="1" applyNumberFormat="0" applyFill="0" applyBorder="0" applyAlignment="0" applyProtection="0"/>
    <xf numFmtId="0" fontId="3" fillId="0" borderId="1" applyNumberFormat="0" applyFill="0" applyBorder="0" applyAlignment="0" applyProtection="0"/>
    <xf numFmtId="0" fontId="5" fillId="0" borderId="1"/>
  </cellStyleXfs>
  <cellXfs count="244">
    <xf numFmtId="0" fontId="0" fillId="0" borderId="0" xfId="0"/>
    <xf numFmtId="0" fontId="0" fillId="0" borderId="1" xfId="4" applyFont="1" applyAlignment="1">
      <alignment horizontal="left" vertical="center"/>
    </xf>
    <xf numFmtId="0" fontId="5" fillId="0" borderId="1" xfId="4" applyFont="1" applyAlignment="1">
      <alignment horizontal="left" vertical="top"/>
    </xf>
    <xf numFmtId="0" fontId="2" fillId="0" borderId="1" xfId="4" applyFont="1" applyAlignment="1">
      <alignment horizontal="left" vertical="center" wrapText="1"/>
    </xf>
    <xf numFmtId="0" fontId="9" fillId="0" borderId="1" xfId="4" applyFont="1" applyAlignment="1">
      <alignment horizontal="left" vertical="center"/>
    </xf>
    <xf numFmtId="0" fontId="0" fillId="0" borderId="1" xfId="4" applyFont="1" applyAlignment="1">
      <alignment horizontal="left" vertical="center" wrapText="1"/>
    </xf>
    <xf numFmtId="0" fontId="8" fillId="0" borderId="1" xfId="4" applyFont="1" applyAlignment="1">
      <alignment horizontal="left" vertical="center"/>
    </xf>
    <xf numFmtId="0" fontId="4" fillId="7" borderId="1" xfId="4" applyFont="1" applyFill="1" applyAlignment="1">
      <alignment horizontal="center" vertical="center"/>
    </xf>
    <xf numFmtId="0" fontId="0" fillId="7" borderId="1" xfId="4" applyFont="1" applyFill="1" applyAlignment="1">
      <alignment horizontal="left" vertical="center"/>
    </xf>
    <xf numFmtId="0" fontId="4" fillId="7" borderId="2" xfId="4" applyFont="1" applyFill="1" applyBorder="1" applyAlignment="1">
      <alignment horizontal="left" vertical="center"/>
    </xf>
    <xf numFmtId="49" fontId="6" fillId="4" borderId="6" xfId="4" applyNumberFormat="1" applyFont="1" applyFill="1" applyBorder="1" applyAlignment="1">
      <alignment horizontal="left" vertical="center" wrapText="1"/>
    </xf>
    <xf numFmtId="49" fontId="6" fillId="5" borderId="7" xfId="4" applyNumberFormat="1" applyFont="1" applyFill="1" applyBorder="1" applyAlignment="1">
      <alignment horizontal="center" vertical="center" wrapText="1"/>
    </xf>
    <xf numFmtId="49" fontId="11" fillId="5" borderId="7" xfId="4" applyNumberFormat="1" applyFont="1" applyFill="1" applyBorder="1" applyAlignment="1">
      <alignment horizontal="center" vertical="center"/>
    </xf>
    <xf numFmtId="49" fontId="11" fillId="5" borderId="7" xfId="4" applyNumberFormat="1" applyFont="1" applyFill="1" applyBorder="1" applyAlignment="1">
      <alignment horizontal="center" vertical="center" wrapText="1"/>
    </xf>
    <xf numFmtId="0" fontId="4" fillId="7" borderId="1" xfId="4" applyFont="1" applyFill="1" applyAlignment="1">
      <alignment horizontal="left" vertical="center"/>
    </xf>
    <xf numFmtId="0" fontId="7" fillId="0" borderId="1" xfId="4" applyFont="1" applyAlignment="1">
      <alignment horizontal="left" vertical="top"/>
    </xf>
    <xf numFmtId="2" fontId="5" fillId="0" borderId="11" xfId="4" applyNumberFormat="1" applyFont="1" applyBorder="1" applyAlignment="1">
      <alignment horizontal="left" vertical="center" wrapText="1"/>
    </xf>
    <xf numFmtId="2" fontId="8" fillId="0" borderId="11" xfId="4" applyNumberFormat="1" applyFont="1" applyBorder="1" applyAlignment="1">
      <alignment horizontal="left" vertical="center"/>
    </xf>
    <xf numFmtId="0" fontId="12" fillId="0" borderId="11" xfId="4" applyFont="1" applyBorder="1" applyAlignment="1">
      <alignment horizontal="left" vertical="center"/>
    </xf>
    <xf numFmtId="49" fontId="8" fillId="0" borderId="11" xfId="4" applyNumberFormat="1" applyFont="1" applyBorder="1" applyAlignment="1">
      <alignment horizontal="left" vertical="center"/>
    </xf>
    <xf numFmtId="2" fontId="5" fillId="0" borderId="4" xfId="4" applyNumberFormat="1" applyFont="1" applyBorder="1" applyAlignment="1">
      <alignment horizontal="center" vertical="top"/>
    </xf>
    <xf numFmtId="2" fontId="5" fillId="0" borderId="12" xfId="4" applyNumberFormat="1" applyFont="1" applyBorder="1" applyAlignment="1">
      <alignment horizontal="center" vertical="top"/>
    </xf>
    <xf numFmtId="2" fontId="5" fillId="0" borderId="1" xfId="4" applyNumberFormat="1" applyFont="1" applyAlignment="1">
      <alignment horizontal="left" vertical="center" wrapText="1"/>
    </xf>
    <xf numFmtId="2" fontId="8" fillId="0" borderId="1" xfId="4" applyNumberFormat="1" applyFont="1" applyAlignment="1">
      <alignment horizontal="left" vertical="center"/>
    </xf>
    <xf numFmtId="0" fontId="12" fillId="0" borderId="1" xfId="4" applyFont="1" applyAlignment="1">
      <alignment horizontal="left" vertical="center"/>
    </xf>
    <xf numFmtId="49" fontId="8" fillId="0" borderId="1" xfId="4" applyNumberFormat="1" applyFont="1" applyAlignment="1">
      <alignment horizontal="left" vertical="center"/>
    </xf>
    <xf numFmtId="49" fontId="7" fillId="2" borderId="2" xfId="4" applyNumberFormat="1" applyFont="1" applyFill="1" applyBorder="1" applyAlignment="1">
      <alignment horizontal="left" vertical="center"/>
    </xf>
    <xf numFmtId="49" fontId="7" fillId="2" borderId="11" xfId="4" applyNumberFormat="1" applyFont="1" applyFill="1" applyBorder="1" applyAlignment="1">
      <alignment horizontal="left" vertical="center"/>
    </xf>
    <xf numFmtId="49" fontId="2" fillId="0" borderId="11" xfId="4" applyNumberFormat="1" applyFont="1" applyBorder="1" applyAlignment="1">
      <alignment horizontal="left" vertical="center"/>
    </xf>
    <xf numFmtId="49" fontId="5" fillId="2" borderId="4" xfId="4" applyNumberFormat="1" applyFont="1" applyFill="1" applyBorder="1" applyAlignment="1">
      <alignment horizontal="left" vertical="center"/>
    </xf>
    <xf numFmtId="49" fontId="5" fillId="2" borderId="12" xfId="4" applyNumberFormat="1" applyFont="1" applyFill="1" applyBorder="1" applyAlignment="1">
      <alignment horizontal="left" vertical="center"/>
    </xf>
    <xf numFmtId="49" fontId="7" fillId="2" borderId="4" xfId="4" applyNumberFormat="1" applyFont="1" applyFill="1" applyBorder="1" applyAlignment="1">
      <alignment horizontal="left" vertical="center"/>
    </xf>
    <xf numFmtId="10" fontId="13" fillId="7" borderId="1" xfId="4" applyNumberFormat="1" applyFont="1" applyFill="1" applyAlignment="1">
      <alignment horizontal="center" vertical="center"/>
    </xf>
    <xf numFmtId="0" fontId="14" fillId="7" borderId="1" xfId="4" applyFont="1" applyFill="1" applyAlignment="1">
      <alignment horizontal="right" vertical="center"/>
    </xf>
    <xf numFmtId="49" fontId="5" fillId="0" borderId="4" xfId="4" applyNumberFormat="1" applyFont="1" applyBorder="1" applyAlignment="1">
      <alignment horizontal="left" vertical="center"/>
    </xf>
    <xf numFmtId="0" fontId="5" fillId="0" borderId="0" xfId="0" applyFont="1"/>
    <xf numFmtId="9" fontId="0" fillId="0" borderId="0" xfId="0" applyNumberFormat="1"/>
    <xf numFmtId="9" fontId="0" fillId="8" borderId="0" xfId="0" applyNumberFormat="1" applyFill="1"/>
    <xf numFmtId="2" fontId="12" fillId="0" borderId="1" xfId="4" applyNumberFormat="1" applyFont="1" applyAlignment="1">
      <alignment horizontal="left" vertical="center"/>
    </xf>
    <xf numFmtId="2" fontId="12" fillId="0" borderId="11" xfId="4" applyNumberFormat="1" applyFont="1" applyBorder="1" applyAlignment="1">
      <alignment horizontal="left" vertical="center"/>
    </xf>
    <xf numFmtId="0" fontId="17" fillId="0" borderId="1" xfId="4" applyFont="1" applyAlignment="1">
      <alignment horizontal="left" vertical="center"/>
    </xf>
    <xf numFmtId="0" fontId="0" fillId="0" borderId="1" xfId="4" applyFont="1" applyAlignment="1">
      <alignment horizontal="right" vertical="center"/>
    </xf>
    <xf numFmtId="49" fontId="2" fillId="0" borderId="11" xfId="4" applyNumberFormat="1" applyFont="1" applyBorder="1" applyAlignment="1">
      <alignment horizontal="right" vertical="center"/>
    </xf>
    <xf numFmtId="2" fontId="8" fillId="0" borderId="11" xfId="4" applyNumberFormat="1" applyFont="1" applyBorder="1" applyAlignment="1">
      <alignment horizontal="right" vertical="center"/>
    </xf>
    <xf numFmtId="0" fontId="9" fillId="0" borderId="1" xfId="4" applyFont="1" applyAlignment="1">
      <alignment horizontal="right" vertical="center"/>
    </xf>
    <xf numFmtId="0" fontId="8" fillId="0" borderId="1" xfId="4" applyFont="1" applyAlignment="1">
      <alignment horizontal="right" vertical="center"/>
    </xf>
    <xf numFmtId="164" fontId="0" fillId="0" borderId="0" xfId="0" applyNumberFormat="1"/>
    <xf numFmtId="0" fontId="4" fillId="7" borderId="3" xfId="4" applyFont="1" applyFill="1" applyBorder="1" applyAlignment="1">
      <alignment horizontal="center" vertical="center"/>
    </xf>
    <xf numFmtId="49" fontId="11" fillId="5" borderId="8" xfId="4" applyNumberFormat="1" applyFont="1" applyFill="1" applyBorder="1" applyAlignment="1">
      <alignment horizontal="center" vertical="center"/>
    </xf>
    <xf numFmtId="2" fontId="8" fillId="0" borderId="3" xfId="4" applyNumberFormat="1" applyFont="1" applyBorder="1" applyAlignment="1">
      <alignment horizontal="left" vertical="center"/>
    </xf>
    <xf numFmtId="2" fontId="5" fillId="0" borderId="11" xfId="4" applyNumberFormat="1" applyFont="1" applyBorder="1" applyAlignment="1">
      <alignment horizontal="center" vertical="top"/>
    </xf>
    <xf numFmtId="2" fontId="5" fillId="0" borderId="4" xfId="4" applyNumberFormat="1" applyFont="1" applyBorder="1" applyAlignment="1">
      <alignment horizontal="center" vertical="center" wrapText="1"/>
    </xf>
    <xf numFmtId="2" fontId="8" fillId="0" borderId="4" xfId="4" applyNumberFormat="1" applyFont="1" applyBorder="1" applyAlignment="1">
      <alignment horizontal="center" vertical="center"/>
    </xf>
    <xf numFmtId="9" fontId="8" fillId="0" borderId="4" xfId="4" applyNumberFormat="1" applyFont="1" applyBorder="1" applyAlignment="1">
      <alignment horizontal="center" vertical="center"/>
    </xf>
    <xf numFmtId="9" fontId="5" fillId="0" borderId="4" xfId="4" applyNumberFormat="1" applyFont="1" applyBorder="1" applyAlignment="1">
      <alignment horizontal="center" vertical="center"/>
    </xf>
    <xf numFmtId="2" fontId="5" fillId="0" borderId="12" xfId="4" applyNumberFormat="1" applyFont="1" applyBorder="1" applyAlignment="1">
      <alignment horizontal="center" vertical="center" wrapText="1"/>
    </xf>
    <xf numFmtId="2" fontId="8" fillId="0" borderId="12" xfId="4" applyNumberFormat="1" applyFont="1" applyBorder="1" applyAlignment="1">
      <alignment horizontal="center" vertical="center"/>
    </xf>
    <xf numFmtId="9" fontId="8" fillId="0" borderId="12" xfId="4" applyNumberFormat="1" applyFont="1" applyBorder="1" applyAlignment="1">
      <alignment horizontal="center" vertical="center"/>
    </xf>
    <xf numFmtId="9" fontId="5" fillId="0" borderId="12" xfId="4" applyNumberFormat="1" applyFont="1" applyBorder="1" applyAlignment="1">
      <alignment horizontal="center" vertical="center"/>
    </xf>
    <xf numFmtId="2" fontId="5" fillId="0" borderId="11" xfId="4" applyNumberFormat="1" applyFont="1" applyBorder="1" applyAlignment="1">
      <alignment horizontal="center" vertical="center" wrapText="1"/>
    </xf>
    <xf numFmtId="2" fontId="8" fillId="0" borderId="11" xfId="4" applyNumberFormat="1" applyFont="1" applyBorder="1" applyAlignment="1">
      <alignment horizontal="center" vertical="center"/>
    </xf>
    <xf numFmtId="9" fontId="8" fillId="0" borderId="11" xfId="4" applyNumberFormat="1" applyFont="1" applyBorder="1" applyAlignment="1">
      <alignment horizontal="center" vertical="center"/>
    </xf>
    <xf numFmtId="9" fontId="5" fillId="0" borderId="11" xfId="4" applyNumberFormat="1" applyFont="1" applyBorder="1" applyAlignment="1">
      <alignment horizontal="center" vertical="center"/>
    </xf>
    <xf numFmtId="9" fontId="7" fillId="0" borderId="4" xfId="4" applyNumberFormat="1" applyFont="1" applyBorder="1" applyAlignment="1">
      <alignment horizontal="center" vertical="center"/>
    </xf>
    <xf numFmtId="9" fontId="5" fillId="0" borderId="11" xfId="4" applyNumberFormat="1" applyFont="1" applyBorder="1" applyAlignment="1">
      <alignment horizontal="center" vertical="top"/>
    </xf>
    <xf numFmtId="9" fontId="5" fillId="0" borderId="4" xfId="4" applyNumberFormat="1" applyFont="1" applyBorder="1" applyAlignment="1">
      <alignment horizontal="center" vertical="top"/>
    </xf>
    <xf numFmtId="9" fontId="7" fillId="0" borderId="4" xfId="4" applyNumberFormat="1" applyFont="1" applyBorder="1" applyAlignment="1">
      <alignment horizontal="center" vertical="top"/>
    </xf>
    <xf numFmtId="164" fontId="5" fillId="0" borderId="4" xfId="4" applyNumberFormat="1" applyFont="1" applyBorder="1" applyAlignment="1">
      <alignment horizontal="center" vertical="top"/>
    </xf>
    <xf numFmtId="164" fontId="5" fillId="0" borderId="12" xfId="4" applyNumberFormat="1" applyFont="1" applyBorder="1" applyAlignment="1">
      <alignment horizontal="center" vertical="center"/>
    </xf>
    <xf numFmtId="0" fontId="7" fillId="0" borderId="11" xfId="4" applyFont="1" applyBorder="1" applyAlignment="1">
      <alignment horizontal="left" vertical="center" wrapText="1"/>
    </xf>
    <xf numFmtId="49" fontId="2" fillId="0" borderId="1" xfId="4" applyNumberFormat="1" applyFont="1" applyAlignment="1">
      <alignment horizontal="left" vertical="center"/>
    </xf>
    <xf numFmtId="2" fontId="8" fillId="0" borderId="3" xfId="4" applyNumberFormat="1" applyFont="1" applyBorder="1" applyAlignment="1">
      <alignment horizontal="right" vertical="center"/>
    </xf>
    <xf numFmtId="49" fontId="11" fillId="5" borderId="7" xfId="4" applyNumberFormat="1" applyFont="1" applyFill="1" applyBorder="1" applyAlignment="1">
      <alignment horizontal="left" vertical="center" wrapText="1"/>
    </xf>
    <xf numFmtId="0" fontId="5" fillId="0" borderId="12" xfId="4" applyFont="1" applyBorder="1" applyAlignment="1">
      <alignment horizontal="center" vertical="top"/>
    </xf>
    <xf numFmtId="2" fontId="18" fillId="0" borderId="12" xfId="4" applyNumberFormat="1" applyFont="1" applyBorder="1" applyAlignment="1">
      <alignment horizontal="center" vertical="center"/>
    </xf>
    <xf numFmtId="0" fontId="0" fillId="0" borderId="11" xfId="4" applyFont="1" applyBorder="1" applyAlignment="1">
      <alignment horizontal="center" vertical="center"/>
    </xf>
    <xf numFmtId="0" fontId="0" fillId="0" borderId="11" xfId="4" applyFont="1" applyBorder="1" applyAlignment="1">
      <alignment horizontal="center" vertical="center" wrapText="1"/>
    </xf>
    <xf numFmtId="0" fontId="8" fillId="0" borderId="11" xfId="4" applyFont="1" applyBorder="1" applyAlignment="1">
      <alignment horizontal="center" vertical="center"/>
    </xf>
    <xf numFmtId="0" fontId="18" fillId="0" borderId="11" xfId="4" applyFont="1" applyBorder="1" applyAlignment="1">
      <alignment horizontal="center" vertical="center"/>
    </xf>
    <xf numFmtId="2" fontId="18" fillId="0" borderId="4" xfId="4" applyNumberFormat="1" applyFont="1" applyBorder="1" applyAlignment="1">
      <alignment horizontal="center" vertical="center"/>
    </xf>
    <xf numFmtId="2" fontId="18" fillId="0" borderId="11" xfId="4" applyNumberFormat="1" applyFont="1" applyBorder="1" applyAlignment="1">
      <alignment horizontal="center" vertical="center"/>
    </xf>
    <xf numFmtId="0" fontId="0" fillId="0" borderId="1" xfId="7" applyFont="1" applyAlignment="1">
      <alignment horizontal="left" vertical="center"/>
    </xf>
    <xf numFmtId="0" fontId="4" fillId="7" borderId="2" xfId="7" applyFont="1" applyFill="1" applyBorder="1" applyAlignment="1">
      <alignment horizontal="left" vertical="center"/>
    </xf>
    <xf numFmtId="0" fontId="4" fillId="7" borderId="1" xfId="7" applyFont="1" applyFill="1" applyAlignment="1">
      <alignment horizontal="center" vertical="center"/>
    </xf>
    <xf numFmtId="0" fontId="4" fillId="7" borderId="1" xfId="7" applyFont="1" applyFill="1" applyAlignment="1">
      <alignment horizontal="left" vertical="center"/>
    </xf>
    <xf numFmtId="0" fontId="14" fillId="7" borderId="1" xfId="7" applyFont="1" applyFill="1" applyAlignment="1">
      <alignment horizontal="right" vertical="center"/>
    </xf>
    <xf numFmtId="10" fontId="13" fillId="7" borderId="1" xfId="7" applyNumberFormat="1" applyFont="1" applyFill="1" applyAlignment="1">
      <alignment horizontal="center" vertical="center"/>
    </xf>
    <xf numFmtId="0" fontId="0" fillId="7" borderId="1" xfId="7" applyFont="1" applyFill="1" applyAlignment="1">
      <alignment horizontal="left" vertical="center"/>
    </xf>
    <xf numFmtId="0" fontId="4" fillId="7" borderId="3" xfId="7" applyFont="1" applyFill="1" applyBorder="1" applyAlignment="1">
      <alignment horizontal="center" vertical="center"/>
    </xf>
    <xf numFmtId="49" fontId="6" fillId="4" borderId="6" xfId="7" applyNumberFormat="1" applyFont="1" applyFill="1" applyBorder="1" applyAlignment="1">
      <alignment horizontal="left" vertical="center" wrapText="1"/>
    </xf>
    <xf numFmtId="49" fontId="6" fillId="5" borderId="7" xfId="7" applyNumberFormat="1" applyFont="1" applyFill="1" applyBorder="1" applyAlignment="1">
      <alignment horizontal="center" vertical="center" wrapText="1"/>
    </xf>
    <xf numFmtId="49" fontId="11" fillId="5" borderId="7" xfId="7" applyNumberFormat="1" applyFont="1" applyFill="1" applyBorder="1" applyAlignment="1">
      <alignment horizontal="center" vertical="center" wrapText="1"/>
    </xf>
    <xf numFmtId="49" fontId="11" fillId="5" borderId="7" xfId="7" applyNumberFormat="1" applyFont="1" applyFill="1" applyBorder="1" applyAlignment="1">
      <alignment horizontal="center" vertical="center"/>
    </xf>
    <xf numFmtId="49" fontId="11" fillId="5" borderId="8" xfId="7" applyNumberFormat="1" applyFont="1" applyFill="1" applyBorder="1" applyAlignment="1">
      <alignment horizontal="center" vertical="center"/>
    </xf>
    <xf numFmtId="49" fontId="7" fillId="2" borderId="2" xfId="7" applyNumberFormat="1" applyFont="1" applyFill="1" applyBorder="1" applyAlignment="1">
      <alignment horizontal="left" vertical="center"/>
    </xf>
    <xf numFmtId="2" fontId="5" fillId="0" borderId="1" xfId="7" applyNumberFormat="1" applyAlignment="1">
      <alignment horizontal="left" vertical="center" wrapText="1"/>
    </xf>
    <xf numFmtId="0" fontId="2" fillId="0" borderId="1" xfId="7" applyFont="1" applyAlignment="1">
      <alignment horizontal="left" vertical="center"/>
    </xf>
    <xf numFmtId="2" fontId="8" fillId="0" borderId="1" xfId="7" applyNumberFormat="1" applyFont="1" applyAlignment="1">
      <alignment horizontal="left" vertical="center"/>
    </xf>
    <xf numFmtId="2" fontId="12" fillId="0" borderId="1" xfId="7" applyNumberFormat="1" applyFont="1" applyAlignment="1">
      <alignment horizontal="left" vertical="center"/>
    </xf>
    <xf numFmtId="0" fontId="12" fillId="0" borderId="1" xfId="7" applyFont="1" applyAlignment="1">
      <alignment horizontal="left" vertical="center"/>
    </xf>
    <xf numFmtId="49" fontId="8" fillId="0" borderId="1" xfId="7" applyNumberFormat="1" applyFont="1" applyAlignment="1">
      <alignment horizontal="left" vertical="center"/>
    </xf>
    <xf numFmtId="49" fontId="2" fillId="0" borderId="1" xfId="7" applyNumberFormat="1" applyFont="1" applyAlignment="1">
      <alignment horizontal="left" vertical="center"/>
    </xf>
    <xf numFmtId="2" fontId="8" fillId="0" borderId="3" xfId="7" applyNumberFormat="1" applyFont="1" applyBorder="1" applyAlignment="1">
      <alignment horizontal="left" vertical="center"/>
    </xf>
    <xf numFmtId="49" fontId="7" fillId="2" borderId="11" xfId="7" applyNumberFormat="1" applyFont="1" applyFill="1" applyBorder="1" applyAlignment="1">
      <alignment horizontal="left" vertical="center"/>
    </xf>
    <xf numFmtId="2" fontId="5" fillId="0" borderId="11" xfId="7" applyNumberFormat="1" applyBorder="1" applyAlignment="1">
      <alignment horizontal="left" vertical="center" wrapText="1"/>
    </xf>
    <xf numFmtId="0" fontId="2" fillId="0" borderId="11" xfId="7" applyFont="1" applyBorder="1" applyAlignment="1">
      <alignment horizontal="left" vertical="center"/>
    </xf>
    <xf numFmtId="2" fontId="8" fillId="0" borderId="11" xfId="7" applyNumberFormat="1" applyFont="1" applyBorder="1" applyAlignment="1">
      <alignment horizontal="left" vertical="center"/>
    </xf>
    <xf numFmtId="0" fontId="12" fillId="0" borderId="11" xfId="7" applyFont="1" applyBorder="1" applyAlignment="1">
      <alignment horizontal="left" vertical="center"/>
    </xf>
    <xf numFmtId="49" fontId="8" fillId="0" borderId="11" xfId="7" applyNumberFormat="1" applyFont="1" applyBorder="1" applyAlignment="1">
      <alignment horizontal="left" vertical="center"/>
    </xf>
    <xf numFmtId="49" fontId="2" fillId="0" borderId="11" xfId="7" applyNumberFormat="1" applyFont="1" applyBorder="1" applyAlignment="1">
      <alignment horizontal="left" vertical="center"/>
    </xf>
    <xf numFmtId="49" fontId="5" fillId="2" borderId="4" xfId="7" applyNumberFormat="1" applyFill="1" applyBorder="1" applyAlignment="1">
      <alignment horizontal="left" vertical="center"/>
    </xf>
    <xf numFmtId="2" fontId="5" fillId="0" borderId="4" xfId="7" applyNumberFormat="1" applyBorder="1" applyAlignment="1">
      <alignment horizontal="center" vertical="top"/>
    </xf>
    <xf numFmtId="2" fontId="5" fillId="0" borderId="4" xfId="7" applyNumberFormat="1" applyBorder="1" applyAlignment="1">
      <alignment horizontal="center" vertical="center" wrapText="1"/>
    </xf>
    <xf numFmtId="2" fontId="8" fillId="0" borderId="4" xfId="7" applyNumberFormat="1" applyFont="1" applyBorder="1" applyAlignment="1">
      <alignment horizontal="center" vertical="center"/>
    </xf>
    <xf numFmtId="9" fontId="8" fillId="0" borderId="4" xfId="7" applyNumberFormat="1" applyFont="1" applyBorder="1" applyAlignment="1">
      <alignment horizontal="center" vertical="center"/>
    </xf>
    <xf numFmtId="9" fontId="5" fillId="0" borderId="4" xfId="7" applyNumberFormat="1" applyBorder="1" applyAlignment="1">
      <alignment horizontal="center" vertical="center"/>
    </xf>
    <xf numFmtId="0" fontId="0" fillId="0" borderId="1" xfId="7" applyFont="1" applyAlignment="1">
      <alignment horizontal="right" vertical="center"/>
    </xf>
    <xf numFmtId="0" fontId="5" fillId="0" borderId="1" xfId="7"/>
    <xf numFmtId="9" fontId="5" fillId="0" borderId="1" xfId="7" applyNumberFormat="1"/>
    <xf numFmtId="0" fontId="5" fillId="0" borderId="1" xfId="7" applyAlignment="1">
      <alignment horizontal="left" vertical="top"/>
    </xf>
    <xf numFmtId="49" fontId="5" fillId="2" borderId="12" xfId="7" applyNumberFormat="1" applyFill="1" applyBorder="1" applyAlignment="1">
      <alignment horizontal="left" vertical="center"/>
    </xf>
    <xf numFmtId="2" fontId="5" fillId="0" borderId="12" xfId="7" applyNumberFormat="1" applyBorder="1" applyAlignment="1">
      <alignment horizontal="center" vertical="center" wrapText="1"/>
    </xf>
    <xf numFmtId="2" fontId="5" fillId="0" borderId="12" xfId="7" applyNumberFormat="1" applyBorder="1" applyAlignment="1">
      <alignment horizontal="center" vertical="top"/>
    </xf>
    <xf numFmtId="2" fontId="8" fillId="0" borderId="12" xfId="7" applyNumberFormat="1" applyFont="1" applyBorder="1" applyAlignment="1">
      <alignment horizontal="center" vertical="center"/>
    </xf>
    <xf numFmtId="9" fontId="8" fillId="0" borderId="12" xfId="7" applyNumberFormat="1" applyFont="1" applyBorder="1" applyAlignment="1">
      <alignment horizontal="center" vertical="center"/>
    </xf>
    <xf numFmtId="9" fontId="5" fillId="0" borderId="12" xfId="7" applyNumberFormat="1" applyBorder="1" applyAlignment="1">
      <alignment horizontal="center" vertical="center"/>
    </xf>
    <xf numFmtId="2" fontId="5" fillId="0" borderId="11" xfId="7" applyNumberFormat="1" applyBorder="1" applyAlignment="1">
      <alignment horizontal="center" vertical="center" wrapText="1"/>
    </xf>
    <xf numFmtId="2" fontId="5" fillId="0" borderId="11" xfId="7" applyNumberFormat="1" applyBorder="1" applyAlignment="1">
      <alignment horizontal="center" vertical="top"/>
    </xf>
    <xf numFmtId="2" fontId="8" fillId="0" borderId="11" xfId="7" applyNumberFormat="1" applyFont="1" applyBorder="1" applyAlignment="1">
      <alignment horizontal="center" vertical="center"/>
    </xf>
    <xf numFmtId="9" fontId="8" fillId="0" borderId="11" xfId="7" applyNumberFormat="1" applyFont="1" applyBorder="1" applyAlignment="1">
      <alignment horizontal="center" vertical="center"/>
    </xf>
    <xf numFmtId="49" fontId="5" fillId="0" borderId="11" xfId="7" applyNumberFormat="1" applyBorder="1" applyAlignment="1">
      <alignment horizontal="center" vertical="top"/>
    </xf>
    <xf numFmtId="9" fontId="5" fillId="0" borderId="11" xfId="7" applyNumberFormat="1" applyBorder="1" applyAlignment="1">
      <alignment horizontal="center" vertical="center"/>
    </xf>
    <xf numFmtId="164" fontId="5" fillId="0" borderId="1" xfId="7" applyNumberFormat="1"/>
    <xf numFmtId="9" fontId="5" fillId="8" borderId="1" xfId="7" applyNumberFormat="1" applyFill="1"/>
    <xf numFmtId="49" fontId="15" fillId="2" borderId="4" xfId="7" applyNumberFormat="1" applyFont="1" applyFill="1" applyBorder="1" applyAlignment="1">
      <alignment horizontal="left" vertical="center"/>
    </xf>
    <xf numFmtId="0" fontId="5" fillId="8" borderId="1" xfId="7" applyFill="1" applyAlignment="1">
      <alignment horizontal="left" vertical="top"/>
    </xf>
    <xf numFmtId="49" fontId="7" fillId="2" borderId="4" xfId="7" applyNumberFormat="1" applyFont="1" applyFill="1" applyBorder="1" applyAlignment="1">
      <alignment horizontal="left" vertical="center"/>
    </xf>
    <xf numFmtId="0" fontId="5" fillId="0" borderId="4" xfId="7" applyBorder="1" applyAlignment="1">
      <alignment horizontal="center" vertical="top"/>
    </xf>
    <xf numFmtId="164" fontId="5" fillId="0" borderId="4" xfId="7" applyNumberFormat="1" applyBorder="1" applyAlignment="1">
      <alignment horizontal="center" vertical="center"/>
    </xf>
    <xf numFmtId="164" fontId="5" fillId="0" borderId="12" xfId="7" applyNumberFormat="1" applyBorder="1" applyAlignment="1">
      <alignment horizontal="center" vertical="center"/>
    </xf>
    <xf numFmtId="49" fontId="5" fillId="0" borderId="4" xfId="7" applyNumberFormat="1" applyBorder="1" applyAlignment="1">
      <alignment horizontal="center" vertical="top"/>
    </xf>
    <xf numFmtId="0" fontId="7" fillId="0" borderId="1" xfId="7" applyFont="1" applyAlignment="1">
      <alignment horizontal="left" vertical="top"/>
    </xf>
    <xf numFmtId="0" fontId="12" fillId="0" borderId="1" xfId="7" applyFont="1" applyAlignment="1">
      <alignment horizontal="left" vertical="top"/>
    </xf>
    <xf numFmtId="0" fontId="5" fillId="2" borderId="1" xfId="7" applyFill="1" applyAlignment="1">
      <alignment horizontal="left" vertical="top" wrapText="1"/>
    </xf>
    <xf numFmtId="2" fontId="5" fillId="0" borderId="1" xfId="7" applyNumberFormat="1" applyAlignment="1">
      <alignment horizontal="left" vertical="top"/>
    </xf>
    <xf numFmtId="10" fontId="8" fillId="0" borderId="1" xfId="7" applyNumberFormat="1" applyFont="1" applyAlignment="1">
      <alignment horizontal="left" vertical="center"/>
    </xf>
    <xf numFmtId="9" fontId="5" fillId="0" borderId="1" xfId="7" applyNumberFormat="1" applyAlignment="1">
      <alignment horizontal="left" vertical="center"/>
    </xf>
    <xf numFmtId="0" fontId="8" fillId="0" borderId="1" xfId="7" applyFont="1" applyAlignment="1">
      <alignment horizontal="left" vertical="top"/>
    </xf>
    <xf numFmtId="0" fontId="5" fillId="0" borderId="1" xfId="7" applyAlignment="1">
      <alignment horizontal="left" vertical="top" wrapText="1"/>
    </xf>
    <xf numFmtId="0" fontId="2" fillId="0" borderId="1" xfId="7" applyFont="1" applyAlignment="1">
      <alignment horizontal="left" vertical="center" wrapText="1"/>
    </xf>
    <xf numFmtId="0" fontId="9" fillId="0" borderId="1" xfId="7" applyFont="1" applyAlignment="1">
      <alignment horizontal="left" vertical="center"/>
    </xf>
    <xf numFmtId="0" fontId="0" fillId="0" borderId="1" xfId="7" applyFont="1" applyAlignment="1">
      <alignment horizontal="left" vertical="center" wrapText="1"/>
    </xf>
    <xf numFmtId="0" fontId="8" fillId="0" borderId="1" xfId="7" applyFont="1" applyAlignment="1">
      <alignment horizontal="left" vertical="center"/>
    </xf>
    <xf numFmtId="49" fontId="5" fillId="0" borderId="13" xfId="4" applyNumberFormat="1" applyFont="1" applyBorder="1" applyAlignment="1">
      <alignment horizontal="left" vertical="center"/>
    </xf>
    <xf numFmtId="2" fontId="5" fillId="0" borderId="13" xfId="4" applyNumberFormat="1" applyFont="1" applyBorder="1" applyAlignment="1">
      <alignment horizontal="center" vertical="top"/>
    </xf>
    <xf numFmtId="2" fontId="5" fillId="0" borderId="13" xfId="4" applyNumberFormat="1" applyFont="1" applyBorder="1" applyAlignment="1">
      <alignment horizontal="center" vertical="center" wrapText="1"/>
    </xf>
    <xf numFmtId="49" fontId="5" fillId="0" borderId="12" xfId="4" applyNumberFormat="1" applyFont="1" applyBorder="1" applyAlignment="1">
      <alignment horizontal="left" vertical="center"/>
    </xf>
    <xf numFmtId="49" fontId="6" fillId="5" borderId="7" xfId="7" applyNumberFormat="1" applyFont="1" applyFill="1" applyBorder="1" applyAlignment="1">
      <alignment horizontal="center" vertical="center"/>
    </xf>
    <xf numFmtId="49" fontId="6" fillId="5" borderId="7" xfId="4" applyNumberFormat="1" applyFont="1" applyFill="1" applyBorder="1" applyAlignment="1">
      <alignment horizontal="center" vertical="center"/>
    </xf>
    <xf numFmtId="0" fontId="19" fillId="0" borderId="1" xfId="7" applyFont="1" applyAlignment="1">
      <alignment horizontal="left" vertical="center"/>
    </xf>
    <xf numFmtId="0" fontId="19" fillId="0" borderId="1" xfId="4" applyFont="1" applyAlignment="1">
      <alignment horizontal="left" vertical="top"/>
    </xf>
    <xf numFmtId="0" fontId="2" fillId="8" borderId="1" xfId="4" applyFont="1" applyFill="1" applyAlignment="1">
      <alignment horizontal="left" vertical="center"/>
    </xf>
    <xf numFmtId="0" fontId="0" fillId="8" borderId="1" xfId="4" applyFont="1" applyFill="1" applyAlignment="1">
      <alignment horizontal="left" vertical="center"/>
    </xf>
    <xf numFmtId="0" fontId="5" fillId="6" borderId="1" xfId="7" applyFill="1" applyAlignment="1">
      <alignment horizontal="left" vertical="top"/>
    </xf>
    <xf numFmtId="0" fontId="2" fillId="8" borderId="1" xfId="7" applyFont="1" applyFill="1" applyAlignment="1">
      <alignment horizontal="left" vertical="center"/>
    </xf>
    <xf numFmtId="0" fontId="0" fillId="8" borderId="1" xfId="7" applyFont="1" applyFill="1" applyAlignment="1">
      <alignment horizontal="left" vertical="center"/>
    </xf>
    <xf numFmtId="49" fontId="5" fillId="2" borderId="11" xfId="4" applyNumberFormat="1" applyFont="1" applyFill="1" applyBorder="1" applyAlignment="1">
      <alignment horizontal="left" vertical="center"/>
    </xf>
    <xf numFmtId="49" fontId="7" fillId="2" borderId="13" xfId="7" applyNumberFormat="1" applyFont="1" applyFill="1" applyBorder="1" applyAlignment="1">
      <alignment horizontal="left" vertical="center"/>
    </xf>
    <xf numFmtId="2" fontId="5" fillId="0" borderId="13" xfId="7" applyNumberFormat="1" applyBorder="1" applyAlignment="1">
      <alignment horizontal="center" vertical="top"/>
    </xf>
    <xf numFmtId="2" fontId="5" fillId="0" borderId="13" xfId="7" applyNumberFormat="1" applyBorder="1" applyAlignment="1">
      <alignment horizontal="center" vertical="center" wrapText="1"/>
    </xf>
    <xf numFmtId="9" fontId="5" fillId="0" borderId="13" xfId="7" applyNumberFormat="1" applyBorder="1" applyAlignment="1">
      <alignment horizontal="center" vertical="center"/>
    </xf>
    <xf numFmtId="2" fontId="5" fillId="0" borderId="4" xfId="7" applyNumberFormat="1" applyBorder="1" applyAlignment="1">
      <alignment horizontal="center" vertical="top" wrapText="1"/>
    </xf>
    <xf numFmtId="2" fontId="8" fillId="0" borderId="4" xfId="7" applyNumberFormat="1" applyFont="1" applyBorder="1" applyAlignment="1">
      <alignment horizontal="center" vertical="top"/>
    </xf>
    <xf numFmtId="2" fontId="7" fillId="0" borderId="4" xfId="4" applyNumberFormat="1" applyFont="1" applyBorder="1" applyAlignment="1">
      <alignment horizontal="center" vertical="top"/>
    </xf>
    <xf numFmtId="2" fontId="5" fillId="0" borderId="1" xfId="4" applyNumberFormat="1" applyFont="1" applyAlignment="1">
      <alignment horizontal="left" vertical="center"/>
    </xf>
    <xf numFmtId="2" fontId="5" fillId="0" borderId="11" xfId="4" applyNumberFormat="1" applyFont="1" applyBorder="1" applyAlignment="1">
      <alignment horizontal="left" vertical="center"/>
    </xf>
    <xf numFmtId="2" fontId="5" fillId="0" borderId="1" xfId="7" applyNumberFormat="1" applyAlignment="1">
      <alignment horizontal="left" vertical="center"/>
    </xf>
    <xf numFmtId="2" fontId="5" fillId="0" borderId="11" xfId="7" applyNumberFormat="1" applyBorder="1" applyAlignment="1">
      <alignment horizontal="left" vertical="center"/>
    </xf>
    <xf numFmtId="0" fontId="18" fillId="0" borderId="1" xfId="4" applyFont="1" applyAlignment="1">
      <alignment horizontal="left" vertical="center"/>
    </xf>
    <xf numFmtId="49" fontId="5" fillId="2" borderId="1" xfId="4" applyNumberFormat="1" applyFont="1" applyFill="1" applyAlignment="1">
      <alignment horizontal="left" vertical="center"/>
    </xf>
    <xf numFmtId="2" fontId="5" fillId="6" borderId="1" xfId="4" applyNumberFormat="1" applyFont="1" applyFill="1" applyAlignment="1">
      <alignment horizontal="left" vertical="top" wrapText="1"/>
    </xf>
    <xf numFmtId="2" fontId="5" fillId="0" borderId="1" xfId="4" applyNumberFormat="1" applyFont="1" applyAlignment="1">
      <alignment horizontal="left" vertical="top"/>
    </xf>
    <xf numFmtId="10" fontId="8" fillId="0" borderId="1" xfId="4" applyNumberFormat="1" applyFont="1" applyAlignment="1">
      <alignment horizontal="left" vertical="center"/>
    </xf>
    <xf numFmtId="9" fontId="5" fillId="0" borderId="1" xfId="4" applyNumberFormat="1" applyFont="1" applyAlignment="1">
      <alignment horizontal="left" vertical="top"/>
    </xf>
    <xf numFmtId="9" fontId="5" fillId="0" borderId="1" xfId="4" applyNumberFormat="1" applyFont="1" applyAlignment="1">
      <alignment horizontal="left" vertical="center"/>
    </xf>
    <xf numFmtId="2" fontId="5" fillId="6" borderId="1" xfId="4" applyNumberFormat="1" applyFont="1" applyFill="1" applyAlignment="1">
      <alignment horizontal="left" vertical="top"/>
    </xf>
    <xf numFmtId="2" fontId="5" fillId="8" borderId="1" xfId="4" applyNumberFormat="1" applyFont="1" applyFill="1" applyAlignment="1">
      <alignment horizontal="left" vertical="top"/>
    </xf>
    <xf numFmtId="49" fontId="7" fillId="2" borderId="1" xfId="4" applyNumberFormat="1" applyFont="1" applyFill="1" applyAlignment="1">
      <alignment horizontal="left" vertical="center"/>
    </xf>
    <xf numFmtId="49" fontId="15" fillId="2" borderId="1" xfId="4" applyNumberFormat="1" applyFont="1" applyFill="1" applyAlignment="1">
      <alignment horizontal="left" vertical="center"/>
    </xf>
    <xf numFmtId="2" fontId="8" fillId="8" borderId="1" xfId="4" applyNumberFormat="1" applyFont="1" applyFill="1" applyAlignment="1">
      <alignment horizontal="left" vertical="top"/>
    </xf>
    <xf numFmtId="2" fontId="7" fillId="8" borderId="1" xfId="4" applyNumberFormat="1" applyFont="1" applyFill="1" applyAlignment="1">
      <alignment horizontal="left" vertical="top"/>
    </xf>
    <xf numFmtId="2" fontId="7" fillId="0" borderId="1" xfId="4" applyNumberFormat="1" applyFont="1" applyAlignment="1">
      <alignment horizontal="left" vertical="center" wrapText="1"/>
    </xf>
    <xf numFmtId="2" fontId="7" fillId="0" borderId="1" xfId="4" applyNumberFormat="1" applyFont="1" applyAlignment="1">
      <alignment horizontal="left" vertical="top"/>
    </xf>
    <xf numFmtId="2" fontId="11" fillId="0" borderId="1" xfId="4" applyNumberFormat="1" applyFont="1" applyAlignment="1">
      <alignment horizontal="left" vertical="center"/>
    </xf>
    <xf numFmtId="10" fontId="11" fillId="0" borderId="1" xfId="4" applyNumberFormat="1" applyFont="1" applyAlignment="1">
      <alignment horizontal="left" vertical="center"/>
    </xf>
    <xf numFmtId="9" fontId="7" fillId="0" borderId="1" xfId="4" applyNumberFormat="1" applyFont="1" applyAlignment="1">
      <alignment horizontal="left" vertical="center"/>
    </xf>
    <xf numFmtId="0" fontId="5" fillId="2" borderId="1" xfId="4" applyFont="1" applyFill="1" applyAlignment="1">
      <alignment horizontal="left" vertical="top" wrapText="1"/>
    </xf>
    <xf numFmtId="0" fontId="5" fillId="6" borderId="1" xfId="4" applyFont="1" applyFill="1" applyAlignment="1">
      <alignment horizontal="left" vertical="top"/>
    </xf>
    <xf numFmtId="0" fontId="8" fillId="0" borderId="1" xfId="4" applyFont="1" applyAlignment="1">
      <alignment horizontal="left" vertical="top"/>
    </xf>
    <xf numFmtId="0" fontId="5" fillId="0" borderId="1" xfId="4" applyFont="1" applyAlignment="1">
      <alignment horizontal="left" vertical="top" wrapText="1"/>
    </xf>
    <xf numFmtId="0" fontId="5" fillId="8" borderId="1" xfId="4" applyFont="1" applyFill="1" applyAlignment="1">
      <alignment horizontal="left" vertical="top"/>
    </xf>
    <xf numFmtId="2" fontId="8" fillId="0" borderId="13" xfId="7" applyNumberFormat="1" applyFont="1" applyBorder="1" applyAlignment="1">
      <alignment horizontal="center" vertical="center"/>
    </xf>
    <xf numFmtId="9" fontId="8" fillId="0" borderId="13" xfId="7" applyNumberFormat="1" applyFont="1" applyBorder="1" applyAlignment="1">
      <alignment horizontal="center" vertical="center"/>
    </xf>
    <xf numFmtId="9" fontId="8" fillId="0" borderId="1" xfId="4" applyNumberFormat="1" applyFont="1" applyAlignment="1">
      <alignment horizontal="left" vertical="center"/>
    </xf>
    <xf numFmtId="10" fontId="5" fillId="0" borderId="1" xfId="4" applyNumberFormat="1" applyFont="1" applyAlignment="1">
      <alignment horizontal="right" vertical="top"/>
    </xf>
    <xf numFmtId="2" fontId="8" fillId="0" borderId="1" xfId="4" applyNumberFormat="1" applyFont="1" applyAlignment="1">
      <alignment horizontal="right" vertical="center"/>
    </xf>
    <xf numFmtId="10" fontId="5" fillId="0" borderId="1" xfId="4" applyNumberFormat="1" applyFont="1" applyAlignment="1">
      <alignment horizontal="right" vertical="center"/>
    </xf>
    <xf numFmtId="2" fontId="16" fillId="0" borderId="1" xfId="4" applyNumberFormat="1" applyFont="1" applyAlignment="1">
      <alignment horizontal="left" vertical="center"/>
    </xf>
    <xf numFmtId="10" fontId="7" fillId="0" borderId="1" xfId="4" applyNumberFormat="1" applyFont="1" applyAlignment="1">
      <alignment horizontal="right" vertical="center"/>
    </xf>
    <xf numFmtId="2" fontId="11" fillId="0" borderId="1" xfId="4" applyNumberFormat="1" applyFont="1" applyAlignment="1">
      <alignment horizontal="right" vertical="center"/>
    </xf>
    <xf numFmtId="0" fontId="12" fillId="0" borderId="1" xfId="4" applyFont="1" applyAlignment="1">
      <alignment horizontal="left" vertical="top"/>
    </xf>
    <xf numFmtId="0" fontId="8" fillId="0" borderId="1" xfId="4" applyFont="1" applyAlignment="1">
      <alignment horizontal="right" vertical="top"/>
    </xf>
    <xf numFmtId="9" fontId="5" fillId="0" borderId="1" xfId="4" applyNumberFormat="1" applyFont="1" applyAlignment="1">
      <alignment horizontal="right" vertical="center"/>
    </xf>
    <xf numFmtId="0" fontId="5" fillId="0" borderId="1" xfId="7" applyAlignment="1">
      <alignment horizontal="center" vertical="top"/>
    </xf>
    <xf numFmtId="2" fontId="0" fillId="0" borderId="1" xfId="7" applyNumberFormat="1" applyFont="1" applyAlignment="1">
      <alignment horizontal="right" vertical="center"/>
    </xf>
    <xf numFmtId="2" fontId="5" fillId="0" borderId="1" xfId="7" applyNumberFormat="1" applyAlignment="1">
      <alignment horizontal="center" vertical="top"/>
    </xf>
    <xf numFmtId="49" fontId="5" fillId="2" borderId="14" xfId="7" applyNumberFormat="1" applyFill="1" applyBorder="1" applyAlignment="1">
      <alignment horizontal="left" vertical="center"/>
    </xf>
    <xf numFmtId="2" fontId="5" fillId="0" borderId="14" xfId="7" applyNumberFormat="1" applyBorder="1" applyAlignment="1">
      <alignment horizontal="center" vertical="top"/>
    </xf>
    <xf numFmtId="2" fontId="5" fillId="0" borderId="14" xfId="7" applyNumberFormat="1" applyBorder="1" applyAlignment="1">
      <alignment horizontal="center" vertical="center" wrapText="1"/>
    </xf>
    <xf numFmtId="2" fontId="8" fillId="0" borderId="14" xfId="7" applyNumberFormat="1" applyFont="1" applyBorder="1" applyAlignment="1">
      <alignment horizontal="center" vertical="center"/>
    </xf>
    <xf numFmtId="9" fontId="8" fillId="0" borderId="14" xfId="7" applyNumberFormat="1" applyFont="1" applyBorder="1" applyAlignment="1">
      <alignment horizontal="center" vertical="center"/>
    </xf>
    <xf numFmtId="9" fontId="5" fillId="0" borderId="14" xfId="7" applyNumberFormat="1" applyBorder="1" applyAlignment="1">
      <alignment horizontal="center" vertical="center"/>
    </xf>
    <xf numFmtId="0" fontId="21" fillId="0" borderId="0" xfId="0" applyFont="1"/>
    <xf numFmtId="49" fontId="5" fillId="2" borderId="11" xfId="7" applyNumberFormat="1" applyFill="1" applyBorder="1" applyAlignment="1">
      <alignment horizontal="left" vertical="center"/>
    </xf>
    <xf numFmtId="9" fontId="0" fillId="9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2" fontId="5" fillId="0" borderId="15" xfId="7" applyNumberFormat="1" applyBorder="1" applyAlignment="1">
      <alignment horizontal="center" vertical="top"/>
    </xf>
    <xf numFmtId="2" fontId="5" fillId="0" borderId="15" xfId="7" applyNumberFormat="1" applyBorder="1" applyAlignment="1">
      <alignment horizontal="center" vertical="center" wrapText="1"/>
    </xf>
    <xf numFmtId="49" fontId="5" fillId="2" borderId="13" xfId="7" applyNumberFormat="1" applyFill="1" applyBorder="1" applyAlignment="1">
      <alignment horizontal="left" vertical="center"/>
    </xf>
    <xf numFmtId="2" fontId="7" fillId="0" borderId="11" xfId="7" applyNumberFormat="1" applyFont="1" applyBorder="1" applyAlignment="1">
      <alignment horizontal="center" vertical="top"/>
    </xf>
    <xf numFmtId="9" fontId="5" fillId="0" borderId="15" xfId="7" applyNumberFormat="1" applyBorder="1" applyAlignment="1">
      <alignment horizontal="center" vertical="center"/>
    </xf>
    <xf numFmtId="164" fontId="5" fillId="0" borderId="11" xfId="4" applyNumberFormat="1" applyFont="1" applyBorder="1" applyAlignment="1">
      <alignment horizontal="center" vertical="top"/>
    </xf>
    <xf numFmtId="164" fontId="5" fillId="0" borderId="12" xfId="4" applyNumberFormat="1" applyFont="1" applyBorder="1" applyAlignment="1">
      <alignment horizontal="center" vertical="top"/>
    </xf>
    <xf numFmtId="2" fontId="7" fillId="0" borderId="11" xfId="4" applyNumberFormat="1" applyFont="1" applyBorder="1" applyAlignment="1">
      <alignment horizontal="center" vertical="top"/>
    </xf>
    <xf numFmtId="0" fontId="5" fillId="0" borderId="11" xfId="7" applyBorder="1" applyAlignment="1">
      <alignment horizontal="center" vertical="top"/>
    </xf>
    <xf numFmtId="49" fontId="5" fillId="2" borderId="13" xfId="4" applyNumberFormat="1" applyFont="1" applyFill="1" applyBorder="1" applyAlignment="1">
      <alignment horizontal="left" vertical="center"/>
    </xf>
    <xf numFmtId="0" fontId="4" fillId="3" borderId="9" xfId="4" applyFont="1" applyFill="1" applyBorder="1" applyAlignment="1">
      <alignment horizontal="center" vertical="center"/>
    </xf>
    <xf numFmtId="0" fontId="4" fillId="3" borderId="5" xfId="4" applyFont="1" applyFill="1" applyBorder="1" applyAlignment="1">
      <alignment horizontal="center" vertical="center"/>
    </xf>
    <xf numFmtId="0" fontId="4" fillId="3" borderId="10" xfId="4" applyFont="1" applyFill="1" applyBorder="1" applyAlignment="1">
      <alignment horizontal="center" vertical="center"/>
    </xf>
    <xf numFmtId="0" fontId="4" fillId="3" borderId="9" xfId="7" applyFont="1" applyFill="1" applyBorder="1" applyAlignment="1">
      <alignment horizontal="center" vertical="center"/>
    </xf>
    <xf numFmtId="0" fontId="4" fillId="3" borderId="5" xfId="7" applyFont="1" applyFill="1" applyBorder="1" applyAlignment="1">
      <alignment horizontal="center" vertical="center"/>
    </xf>
    <xf numFmtId="0" fontId="4" fillId="3" borderId="10" xfId="7" applyFont="1" applyFill="1" applyBorder="1" applyAlignment="1">
      <alignment horizontal="center" vertical="center"/>
    </xf>
    <xf numFmtId="0" fontId="4" fillId="7" borderId="2" xfId="4" applyFont="1" applyFill="1" applyBorder="1" applyAlignment="1">
      <alignment horizontal="left" vertical="center"/>
    </xf>
    <xf numFmtId="0" fontId="4" fillId="7" borderId="1" xfId="4" applyFont="1" applyFill="1" applyAlignment="1">
      <alignment horizontal="left" vertical="center"/>
    </xf>
  </cellXfs>
  <cellStyles count="8">
    <cellStyle name="Hyperlink" xfId="1" xr:uid="{00000000-000B-0000-0000-000008000000}"/>
    <cellStyle name="Hyperlink 2" xfId="6" xr:uid="{876882C5-3FB5-489F-82F2-8FC958E245D3}"/>
    <cellStyle name="Link 2" xfId="5" xr:uid="{A47C5524-ABE3-4A5E-9B9D-54DC82A066EC}"/>
    <cellStyle name="Standard" xfId="0" builtinId="0"/>
    <cellStyle name="Standard 2" xfId="2" xr:uid="{3BE14372-63CA-473A-B0EC-80DF5F5D6453}"/>
    <cellStyle name="Standard 3" xfId="3" xr:uid="{E17B02BD-875E-4F34-96D9-E42C9C32F574}"/>
    <cellStyle name="Standard 4" xfId="4" xr:uid="{07A56C20-B5B2-444E-9609-04AAEE8E42F7}"/>
    <cellStyle name="Standard 4 2" xfId="7" xr:uid="{7F3986AD-CF4C-477D-981A-11D060658ECC}"/>
  </cellStyles>
  <dxfs count="1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CCFF"/>
      <color rgb="FFBDD7EE"/>
      <color rgb="FFE93997"/>
      <color rgb="FF982A73"/>
      <color rgb="FF8F31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BAD1-FAA7-4E79-AB51-D95461EE3DDE}">
  <sheetPr codeName="Tabelle1"/>
  <dimension ref="A1:O930"/>
  <sheetViews>
    <sheetView showGridLines="0" tabSelected="1" view="pageBreakPreview" zoomScale="120" zoomScaleNormal="120" zoomScaleSheetLayoutView="120" zoomScalePageLayoutView="75" workbookViewId="0">
      <pane ySplit="3" topLeftCell="A4" activePane="bottomLeft" state="frozen"/>
      <selection sqref="A1:C1"/>
      <selection pane="bottomLeft" activeCell="E32" sqref="E32:L34"/>
    </sheetView>
  </sheetViews>
  <sheetFormatPr baseColWidth="10" defaultColWidth="14.42578125" defaultRowHeight="15"/>
  <cols>
    <col min="1" max="1" width="27.28515625" style="5" customWidth="1"/>
    <col min="2" max="2" width="10.140625" style="162" customWidth="1"/>
    <col min="3" max="4" width="10.140625" style="5" customWidth="1"/>
    <col min="5" max="10" width="10.140625" style="6" customWidth="1"/>
    <col min="11" max="11" width="10.140625" style="1" customWidth="1"/>
    <col min="12" max="12" width="10.140625" style="6" customWidth="1"/>
    <col min="13" max="28" width="11.42578125" style="1" customWidth="1"/>
    <col min="29" max="16384" width="14.42578125" style="1"/>
  </cols>
  <sheetData>
    <row r="1" spans="1:15" ht="23.45" customHeight="1">
      <c r="A1" s="236" t="s">
        <v>200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8"/>
    </row>
    <row r="2" spans="1:15" s="8" customFormat="1" ht="23.25">
      <c r="A2" s="9" t="s">
        <v>0</v>
      </c>
      <c r="B2" s="7"/>
      <c r="C2" s="7"/>
      <c r="D2" s="14"/>
      <c r="E2" s="7"/>
      <c r="F2" s="7"/>
      <c r="G2" s="7"/>
      <c r="H2" s="33"/>
      <c r="I2" s="32"/>
      <c r="J2" s="32"/>
      <c r="L2" s="47"/>
      <c r="M2" s="35"/>
      <c r="N2" s="36"/>
      <c r="O2" s="36"/>
    </row>
    <row r="3" spans="1:15" ht="45">
      <c r="A3" s="10" t="s">
        <v>1</v>
      </c>
      <c r="B3" s="158" t="s">
        <v>2</v>
      </c>
      <c r="C3" s="11" t="s">
        <v>3</v>
      </c>
      <c r="D3" s="13" t="s">
        <v>4</v>
      </c>
      <c r="E3" s="12" t="s">
        <v>5</v>
      </c>
      <c r="F3" s="158" t="s">
        <v>6</v>
      </c>
      <c r="G3" s="12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48" t="s">
        <v>12</v>
      </c>
      <c r="M3" s="35"/>
      <c r="N3" s="36"/>
      <c r="O3" s="36"/>
    </row>
    <row r="4" spans="1:15" ht="15.75">
      <c r="A4" s="26"/>
      <c r="B4" s="174"/>
      <c r="C4" s="22"/>
      <c r="D4" s="22"/>
      <c r="E4" s="23"/>
      <c r="F4" s="38"/>
      <c r="G4" s="23"/>
      <c r="H4" s="23"/>
      <c r="I4" s="24"/>
      <c r="J4" s="25"/>
      <c r="K4" s="70"/>
      <c r="L4" s="49"/>
      <c r="M4" s="35"/>
      <c r="N4" s="36"/>
      <c r="O4" s="36"/>
    </row>
    <row r="5" spans="1:15" ht="15.75">
      <c r="A5" s="27" t="s">
        <v>13</v>
      </c>
      <c r="B5" s="175"/>
      <c r="C5" s="16"/>
      <c r="D5" s="16"/>
      <c r="E5" s="17"/>
      <c r="F5" s="17"/>
      <c r="G5" s="17"/>
      <c r="H5" s="17"/>
      <c r="I5" s="18"/>
      <c r="J5" s="19"/>
      <c r="K5" s="28"/>
      <c r="L5" s="17"/>
      <c r="M5" s="35"/>
      <c r="N5" s="46"/>
      <c r="O5" s="36"/>
    </row>
    <row r="6" spans="1:15" s="2" customFormat="1">
      <c r="A6" s="29" t="s">
        <v>14</v>
      </c>
      <c r="B6" s="20">
        <v>184</v>
      </c>
      <c r="C6" s="51">
        <f>B6/119*100</f>
        <v>154.62184873949582</v>
      </c>
      <c r="D6" s="20">
        <v>119</v>
      </c>
      <c r="E6" s="20">
        <f>D6-K6*D6</f>
        <v>95.2</v>
      </c>
      <c r="F6" s="52">
        <f>C6/E6</f>
        <v>1.6241790833980652</v>
      </c>
      <c r="G6" s="52">
        <f>C6-E6</f>
        <v>59.421848739495815</v>
      </c>
      <c r="H6" s="52">
        <f>C6-E6*(1-L6)</f>
        <v>59.421848739495815</v>
      </c>
      <c r="I6" s="53">
        <f>G6/C6</f>
        <v>0.38430434782608702</v>
      </c>
      <c r="J6" s="53">
        <f>H6/C6</f>
        <v>0.38430434782608702</v>
      </c>
      <c r="K6" s="54">
        <f>'eigene Konditionen'!B$3</f>
        <v>0.2</v>
      </c>
      <c r="L6" s="54">
        <f>'eigene Konditionen'!C$3</f>
        <v>0</v>
      </c>
      <c r="M6" s="35"/>
      <c r="N6" s="36"/>
      <c r="O6" s="36"/>
    </row>
    <row r="7" spans="1:15">
      <c r="A7" s="29" t="s">
        <v>118</v>
      </c>
      <c r="B7" s="20">
        <v>279</v>
      </c>
      <c r="C7" s="51">
        <f>B7/119*100</f>
        <v>234.45378151260505</v>
      </c>
      <c r="D7" s="20">
        <v>168</v>
      </c>
      <c r="E7" s="20">
        <f t="shared" ref="E7:E37" si="0">D7-K7*D7</f>
        <v>134.4</v>
      </c>
      <c r="F7" s="52">
        <f t="shared" ref="F7:F37" si="1">C7/E7</f>
        <v>1.7444477791116446</v>
      </c>
      <c r="G7" s="52">
        <f t="shared" ref="G7:G37" si="2">C7-E7</f>
        <v>100.05378151260504</v>
      </c>
      <c r="H7" s="52">
        <f t="shared" ref="H7:H37" si="3">C7-E7*(1-L7)</f>
        <v>100.05378151260504</v>
      </c>
      <c r="I7" s="53">
        <f t="shared" ref="I7:I37" si="4">G7/C7</f>
        <v>0.42675268817204298</v>
      </c>
      <c r="J7" s="53">
        <f t="shared" ref="J7:J36" si="5">H7/C7</f>
        <v>0.42675268817204298</v>
      </c>
      <c r="K7" s="54">
        <f>'eigene Konditionen'!B$3</f>
        <v>0.2</v>
      </c>
      <c r="L7" s="54">
        <f>'eigene Konditionen'!C$3</f>
        <v>0</v>
      </c>
      <c r="M7" s="35"/>
      <c r="N7" s="36"/>
      <c r="O7" s="36"/>
    </row>
    <row r="8" spans="1:15" s="2" customFormat="1" ht="15.75" thickBot="1">
      <c r="A8" s="30" t="s">
        <v>171</v>
      </c>
      <c r="B8" s="21">
        <v>199</v>
      </c>
      <c r="C8" s="55">
        <f>B8/119*100</f>
        <v>167.22689075630254</v>
      </c>
      <c r="D8" s="21">
        <v>152</v>
      </c>
      <c r="E8" s="21">
        <f t="shared" si="0"/>
        <v>121.6</v>
      </c>
      <c r="F8" s="56">
        <f t="shared" si="1"/>
        <v>1.3752211410880144</v>
      </c>
      <c r="G8" s="56">
        <f t="shared" si="2"/>
        <v>45.626890756302544</v>
      </c>
      <c r="H8" s="56">
        <f t="shared" si="3"/>
        <v>45.626890756302544</v>
      </c>
      <c r="I8" s="57">
        <f t="shared" si="4"/>
        <v>0.27284422110552775</v>
      </c>
      <c r="J8" s="57">
        <f t="shared" si="5"/>
        <v>0.27284422110552775</v>
      </c>
      <c r="K8" s="58">
        <f>'eigene Konditionen'!B$3</f>
        <v>0.2</v>
      </c>
      <c r="L8" s="58">
        <f>'eigene Konditionen'!C$3</f>
        <v>0</v>
      </c>
      <c r="M8" s="35"/>
      <c r="N8" s="36"/>
      <c r="O8" s="36"/>
    </row>
    <row r="9" spans="1:15" s="2" customFormat="1">
      <c r="A9" s="27" t="s">
        <v>15</v>
      </c>
      <c r="B9" s="50"/>
      <c r="C9" s="59"/>
      <c r="D9" s="59"/>
      <c r="E9" s="50"/>
      <c r="F9" s="60"/>
      <c r="G9" s="60"/>
      <c r="H9" s="60"/>
      <c r="I9" s="61"/>
      <c r="J9" s="61"/>
      <c r="K9" s="64"/>
      <c r="L9" s="62"/>
      <c r="M9" s="35"/>
      <c r="N9" s="37"/>
      <c r="O9" s="37"/>
    </row>
    <row r="10" spans="1:15" s="2" customFormat="1">
      <c r="A10" s="29" t="s">
        <v>168</v>
      </c>
      <c r="B10" s="20">
        <v>389</v>
      </c>
      <c r="C10" s="51">
        <f t="shared" ref="C10:C15" si="6">B10/119*100</f>
        <v>326.89075630252103</v>
      </c>
      <c r="D10" s="51">
        <v>204</v>
      </c>
      <c r="E10" s="20">
        <f>D10-K10*D10</f>
        <v>205.02</v>
      </c>
      <c r="F10" s="52">
        <f t="shared" si="1"/>
        <v>1.5944335006463808</v>
      </c>
      <c r="G10" s="52">
        <f t="shared" si="2"/>
        <v>121.87075630252102</v>
      </c>
      <c r="H10" s="52">
        <f t="shared" si="3"/>
        <v>121.87075630252102</v>
      </c>
      <c r="I10" s="53">
        <f t="shared" si="4"/>
        <v>0.37281799485861183</v>
      </c>
      <c r="J10" s="53">
        <f t="shared" si="5"/>
        <v>0.37281799485861183</v>
      </c>
      <c r="K10" s="67">
        <f>'eigene Konditionen'!B$6</f>
        <v>-5.0000000000000001E-3</v>
      </c>
      <c r="L10" s="54">
        <f>'eigene Konditionen'!C$6</f>
        <v>0</v>
      </c>
      <c r="M10" s="35"/>
      <c r="N10" s="36"/>
      <c r="O10" s="36"/>
    </row>
    <row r="11" spans="1:15" s="2" customFormat="1">
      <c r="A11" s="29" t="s">
        <v>169</v>
      </c>
      <c r="B11" s="20">
        <v>409</v>
      </c>
      <c r="C11" s="51">
        <f t="shared" si="6"/>
        <v>343.6974789915966</v>
      </c>
      <c r="D11" s="51">
        <v>212</v>
      </c>
      <c r="E11" s="20"/>
      <c r="F11" s="52"/>
      <c r="G11" s="52"/>
      <c r="H11" s="52"/>
      <c r="I11" s="53"/>
      <c r="J11" s="53"/>
      <c r="K11" s="67"/>
      <c r="L11" s="54"/>
      <c r="M11" s="35"/>
      <c r="N11" s="36"/>
      <c r="O11" s="36"/>
    </row>
    <row r="12" spans="1:15" s="2" customFormat="1">
      <c r="A12" s="29" t="s">
        <v>146</v>
      </c>
      <c r="B12" s="20">
        <v>239</v>
      </c>
      <c r="C12" s="51">
        <f t="shared" si="6"/>
        <v>200.84033613445376</v>
      </c>
      <c r="D12" s="51">
        <v>115</v>
      </c>
      <c r="E12" s="20">
        <f>D12-K12*D12</f>
        <v>115.575</v>
      </c>
      <c r="F12" s="52">
        <f t="shared" ref="F12" si="7">C12/E12</f>
        <v>1.737748960713422</v>
      </c>
      <c r="G12" s="52">
        <f t="shared" ref="G12" si="8">C12-E12</f>
        <v>85.265336134453761</v>
      </c>
      <c r="H12" s="52">
        <f t="shared" ref="H12" si="9">C12-E12*(1-L12)</f>
        <v>85.265336134453761</v>
      </c>
      <c r="I12" s="53">
        <f t="shared" ref="I12" si="10">G12/C12</f>
        <v>0.42454288702928866</v>
      </c>
      <c r="J12" s="53">
        <f t="shared" ref="J12" si="11">H12/C12</f>
        <v>0.42454288702928866</v>
      </c>
      <c r="K12" s="67">
        <f>'eigene Konditionen'!B$6</f>
        <v>-5.0000000000000001E-3</v>
      </c>
      <c r="L12" s="54">
        <f>'eigene Konditionen'!C$6</f>
        <v>0</v>
      </c>
      <c r="M12" s="35"/>
      <c r="N12" s="36"/>
      <c r="O12" s="36"/>
    </row>
    <row r="13" spans="1:15" s="2" customFormat="1">
      <c r="A13" s="29" t="s">
        <v>147</v>
      </c>
      <c r="B13" s="20">
        <v>259</v>
      </c>
      <c r="C13" s="51">
        <f t="shared" si="6"/>
        <v>217.64705882352939</v>
      </c>
      <c r="D13" s="51">
        <v>125</v>
      </c>
      <c r="E13" s="20">
        <f t="shared" si="0"/>
        <v>125.625</v>
      </c>
      <c r="F13" s="52">
        <f t="shared" si="1"/>
        <v>1.732513901082821</v>
      </c>
      <c r="G13" s="52">
        <f t="shared" si="2"/>
        <v>92.022058823529392</v>
      </c>
      <c r="H13" s="52">
        <f t="shared" si="3"/>
        <v>92.022058823529392</v>
      </c>
      <c r="I13" s="53">
        <f t="shared" si="4"/>
        <v>0.42280405405405402</v>
      </c>
      <c r="J13" s="53">
        <f t="shared" si="5"/>
        <v>0.42280405405405402</v>
      </c>
      <c r="K13" s="67">
        <f>'eigene Konditionen'!B$6</f>
        <v>-5.0000000000000001E-3</v>
      </c>
      <c r="L13" s="54">
        <f>'eigene Konditionen'!C$6</f>
        <v>0</v>
      </c>
      <c r="M13" s="35"/>
      <c r="N13" s="36"/>
      <c r="O13" s="36"/>
    </row>
    <row r="14" spans="1:15" s="2" customFormat="1">
      <c r="A14" s="235" t="s">
        <v>144</v>
      </c>
      <c r="B14" s="154">
        <v>289</v>
      </c>
      <c r="C14" s="155">
        <f t="shared" si="6"/>
        <v>242.85714285714283</v>
      </c>
      <c r="D14" s="155">
        <v>152</v>
      </c>
      <c r="E14" s="20">
        <f t="shared" ref="E14" si="12">D14-K14*D14</f>
        <v>152.76</v>
      </c>
      <c r="F14" s="52">
        <f t="shared" ref="F14" si="13">C14/E14</f>
        <v>1.5897953839823438</v>
      </c>
      <c r="G14" s="52">
        <f t="shared" ref="G14" si="14">C14-E14</f>
        <v>90.097142857142842</v>
      </c>
      <c r="H14" s="52">
        <f t="shared" ref="H14" si="15">C14-E14*(1-L14)</f>
        <v>90.097142857142842</v>
      </c>
      <c r="I14" s="53">
        <f t="shared" ref="I14" si="16">G14/C14</f>
        <v>0.37098823529411762</v>
      </c>
      <c r="J14" s="53">
        <f t="shared" ref="J14" si="17">H14/C14</f>
        <v>0.37098823529411762</v>
      </c>
      <c r="K14" s="67">
        <f>'eigene Konditionen'!B$6</f>
        <v>-5.0000000000000001E-3</v>
      </c>
      <c r="L14" s="54">
        <f>'eigene Konditionen'!C$6</f>
        <v>0</v>
      </c>
      <c r="M14" s="35"/>
      <c r="N14" s="36"/>
      <c r="O14" s="36"/>
    </row>
    <row r="15" spans="1:15" s="2" customFormat="1" ht="15.75" thickBot="1">
      <c r="A15" s="30" t="s">
        <v>16</v>
      </c>
      <c r="B15" s="21">
        <v>199</v>
      </c>
      <c r="C15" s="55">
        <f t="shared" si="6"/>
        <v>167.22689075630254</v>
      </c>
      <c r="D15" s="21">
        <v>105</v>
      </c>
      <c r="E15" s="21">
        <f t="shared" si="0"/>
        <v>105.52500000000001</v>
      </c>
      <c r="F15" s="56">
        <f t="shared" si="1"/>
        <v>1.5847134873850037</v>
      </c>
      <c r="G15" s="56">
        <f t="shared" si="2"/>
        <v>61.701890756302532</v>
      </c>
      <c r="H15" s="56">
        <f t="shared" si="3"/>
        <v>61.701890756302532</v>
      </c>
      <c r="I15" s="57">
        <f t="shared" si="4"/>
        <v>0.36897110552763823</v>
      </c>
      <c r="J15" s="57">
        <f t="shared" si="5"/>
        <v>0.36897110552763823</v>
      </c>
      <c r="K15" s="68">
        <f>'eigene Konditionen'!B$6</f>
        <v>-5.0000000000000001E-3</v>
      </c>
      <c r="L15" s="58">
        <f>'eigene Konditionen'!C$6</f>
        <v>0</v>
      </c>
      <c r="M15" s="35"/>
      <c r="N15" s="36"/>
      <c r="O15" s="36"/>
    </row>
    <row r="16" spans="1:15" s="2" customFormat="1">
      <c r="A16" s="27" t="s">
        <v>17</v>
      </c>
      <c r="B16" s="50"/>
      <c r="C16" s="51"/>
      <c r="D16" s="51"/>
      <c r="E16" s="20"/>
      <c r="F16" s="52"/>
      <c r="G16" s="52"/>
      <c r="H16" s="52"/>
      <c r="I16" s="53"/>
      <c r="J16" s="53"/>
      <c r="K16" s="64"/>
      <c r="L16" s="54"/>
      <c r="M16" s="35"/>
      <c r="N16" s="46"/>
      <c r="O16" s="36"/>
    </row>
    <row r="17" spans="1:15" s="2" customFormat="1">
      <c r="A17" s="34" t="s">
        <v>18</v>
      </c>
      <c r="B17" s="20">
        <v>259.89999999999998</v>
      </c>
      <c r="C17" s="51">
        <f t="shared" ref="C17:C20" si="18">B17/119*100</f>
        <v>218.40336134453779</v>
      </c>
      <c r="D17" s="51">
        <v>200</v>
      </c>
      <c r="E17" s="20">
        <f t="shared" si="0"/>
        <v>146</v>
      </c>
      <c r="F17" s="52">
        <f t="shared" si="1"/>
        <v>1.4959134338666971</v>
      </c>
      <c r="G17" s="52">
        <f t="shared" si="2"/>
        <v>72.403361344537785</v>
      </c>
      <c r="H17" s="52">
        <f t="shared" si="3"/>
        <v>76.783361344537781</v>
      </c>
      <c r="I17" s="53">
        <f t="shared" si="4"/>
        <v>0.33151212004617153</v>
      </c>
      <c r="J17" s="53">
        <f t="shared" si="5"/>
        <v>0.35156675644478635</v>
      </c>
      <c r="K17" s="65">
        <f>'eigene Konditionen'!B$7</f>
        <v>0.27</v>
      </c>
      <c r="L17" s="54">
        <f>'eigene Konditionen'!C$7</f>
        <v>0.03</v>
      </c>
      <c r="M17" s="35"/>
      <c r="N17" s="36"/>
      <c r="O17" s="36"/>
    </row>
    <row r="18" spans="1:15" s="2" customFormat="1">
      <c r="A18" s="34" t="s">
        <v>19</v>
      </c>
      <c r="B18" s="20">
        <v>289.89999999999998</v>
      </c>
      <c r="C18" s="51">
        <f t="shared" si="18"/>
        <v>243.61344537815123</v>
      </c>
      <c r="D18" s="51">
        <v>225.21</v>
      </c>
      <c r="E18" s="20">
        <f t="shared" si="0"/>
        <v>164.4033</v>
      </c>
      <c r="F18" s="52">
        <f t="shared" si="1"/>
        <v>1.4818038651179826</v>
      </c>
      <c r="G18" s="52">
        <f t="shared" si="2"/>
        <v>79.210145378151225</v>
      </c>
      <c r="H18" s="52">
        <f t="shared" si="3"/>
        <v>84.142244378151219</v>
      </c>
      <c r="I18" s="53">
        <f t="shared" si="4"/>
        <v>0.32514685408761634</v>
      </c>
      <c r="J18" s="53">
        <f t="shared" si="5"/>
        <v>0.34539244846498779</v>
      </c>
      <c r="K18" s="65">
        <f>'eigene Konditionen'!B$7</f>
        <v>0.27</v>
      </c>
      <c r="L18" s="54">
        <f>'eigene Konditionen'!C$7</f>
        <v>0.03</v>
      </c>
      <c r="M18" s="35"/>
      <c r="N18" s="36"/>
      <c r="O18" s="36"/>
    </row>
    <row r="19" spans="1:15" s="2" customFormat="1">
      <c r="A19" s="153" t="s">
        <v>172</v>
      </c>
      <c r="B19" s="154">
        <v>479</v>
      </c>
      <c r="C19" s="155">
        <f t="shared" si="18"/>
        <v>402.52100840336135</v>
      </c>
      <c r="D19" s="155">
        <v>380</v>
      </c>
      <c r="E19" s="20">
        <f t="shared" ref="E19" si="19">D19-K19*D19</f>
        <v>277.39999999999998</v>
      </c>
      <c r="F19" s="52">
        <f t="shared" ref="F19" si="20">C19/E19</f>
        <v>1.4510490569695795</v>
      </c>
      <c r="G19" s="52">
        <f t="shared" ref="G19" si="21">C19-E19</f>
        <v>125.12100840336137</v>
      </c>
      <c r="H19" s="52">
        <f t="shared" ref="H19" si="22">C19-E19*(1-L19)</f>
        <v>133.44300840336138</v>
      </c>
      <c r="I19" s="53">
        <f t="shared" ref="I19" si="23">G19/C19</f>
        <v>0.31084342379958252</v>
      </c>
      <c r="J19" s="53">
        <f t="shared" ref="J19" si="24">H19/C19</f>
        <v>0.33151812108559509</v>
      </c>
      <c r="K19" s="65">
        <f>'eigene Konditionen'!B$7</f>
        <v>0.27</v>
      </c>
      <c r="L19" s="54">
        <f>'eigene Konditionen'!C$7</f>
        <v>0.03</v>
      </c>
      <c r="M19" s="35"/>
      <c r="N19" s="36"/>
      <c r="O19" s="36"/>
    </row>
    <row r="20" spans="1:15" s="2" customFormat="1">
      <c r="A20" s="153" t="s">
        <v>176</v>
      </c>
      <c r="B20" s="154">
        <v>259.89999999999998</v>
      </c>
      <c r="C20" s="155">
        <f t="shared" si="18"/>
        <v>218.40336134453779</v>
      </c>
      <c r="D20" s="155">
        <v>225</v>
      </c>
      <c r="E20" s="20">
        <f>D20-K20*D20</f>
        <v>164.25</v>
      </c>
      <c r="F20" s="52">
        <f t="shared" si="1"/>
        <v>1.3297008301037307</v>
      </c>
      <c r="G20" s="52">
        <f t="shared" ref="G20" si="25">C20-E20</f>
        <v>54.153361344537785</v>
      </c>
      <c r="H20" s="52">
        <f t="shared" ref="H20" si="26">C20-E20*(1-L20)</f>
        <v>59.080861344537794</v>
      </c>
      <c r="I20" s="53">
        <f t="shared" ref="I20" si="27">G20/C20</f>
        <v>0.24795113505194294</v>
      </c>
      <c r="J20" s="53">
        <f t="shared" ref="J20" si="28">H20/C20</f>
        <v>0.27051260100038471</v>
      </c>
      <c r="K20" s="65">
        <f>'eigene Konditionen'!B$7</f>
        <v>0.27</v>
      </c>
      <c r="L20" s="54">
        <f>'eigene Konditionen'!C$7</f>
        <v>0.03</v>
      </c>
      <c r="M20" s="35"/>
      <c r="N20" s="36"/>
      <c r="O20" s="36"/>
    </row>
    <row r="21" spans="1:15" s="2" customFormat="1" ht="15.75" thickBot="1">
      <c r="A21" s="156" t="s">
        <v>20</v>
      </c>
      <c r="B21" s="21">
        <v>259.89999999999998</v>
      </c>
      <c r="C21" s="55">
        <f>B21/119*100</f>
        <v>218.40336134453779</v>
      </c>
      <c r="D21" s="21">
        <v>225</v>
      </c>
      <c r="E21" s="21">
        <f t="shared" si="0"/>
        <v>164.25</v>
      </c>
      <c r="F21" s="56">
        <f t="shared" si="1"/>
        <v>1.3297008301037307</v>
      </c>
      <c r="G21" s="56">
        <f t="shared" si="2"/>
        <v>54.153361344537785</v>
      </c>
      <c r="H21" s="56">
        <f t="shared" si="3"/>
        <v>59.080861344537794</v>
      </c>
      <c r="I21" s="57">
        <f t="shared" si="4"/>
        <v>0.24795113505194294</v>
      </c>
      <c r="J21" s="57">
        <f t="shared" si="5"/>
        <v>0.27051260100038471</v>
      </c>
      <c r="K21" s="58">
        <f>'eigene Konditionen'!B$7</f>
        <v>0.27</v>
      </c>
      <c r="L21" s="58">
        <f>'eigene Konditionen'!C$7</f>
        <v>0.03</v>
      </c>
      <c r="M21" s="35"/>
      <c r="N21"/>
      <c r="O21" s="35"/>
    </row>
    <row r="22" spans="1:15" s="2" customFormat="1">
      <c r="A22" s="31" t="s">
        <v>21</v>
      </c>
      <c r="B22" s="20"/>
      <c r="C22" s="51"/>
      <c r="D22" s="51"/>
      <c r="E22" s="20"/>
      <c r="F22" s="52"/>
      <c r="G22" s="52"/>
      <c r="H22" s="52"/>
      <c r="I22" s="53"/>
      <c r="J22" s="53"/>
      <c r="K22" s="65"/>
      <c r="L22" s="54"/>
    </row>
    <row r="23" spans="1:15" s="2" customFormat="1">
      <c r="A23" s="29" t="s">
        <v>188</v>
      </c>
      <c r="B23" s="20">
        <v>249.95</v>
      </c>
      <c r="C23" s="51">
        <f>B23/119*100</f>
        <v>210.0420168067227</v>
      </c>
      <c r="D23" s="20">
        <v>151.30000000000001</v>
      </c>
      <c r="E23" s="20">
        <f t="shared" si="0"/>
        <v>151.30000000000001</v>
      </c>
      <c r="F23" s="52">
        <f t="shared" si="1"/>
        <v>1.3882486239704077</v>
      </c>
      <c r="G23" s="52">
        <f t="shared" si="2"/>
        <v>58.742016806722688</v>
      </c>
      <c r="H23" s="52">
        <f t="shared" si="3"/>
        <v>63.281016806722704</v>
      </c>
      <c r="I23" s="53">
        <f t="shared" si="4"/>
        <v>0.27966793358671732</v>
      </c>
      <c r="J23" s="53">
        <f t="shared" si="5"/>
        <v>0.30127789557911588</v>
      </c>
      <c r="K23" s="65">
        <f>'eigene Konditionen'!B$9</f>
        <v>0</v>
      </c>
      <c r="L23" s="54">
        <f>'eigene Konditionen'!C$9</f>
        <v>0.03</v>
      </c>
    </row>
    <row r="24" spans="1:15" s="2" customFormat="1">
      <c r="A24" s="29" t="s">
        <v>190</v>
      </c>
      <c r="B24" s="20">
        <v>279.95</v>
      </c>
      <c r="C24" s="51">
        <f>B24/119*100</f>
        <v>235.25210084033614</v>
      </c>
      <c r="D24" s="20">
        <v>169</v>
      </c>
      <c r="E24" s="20">
        <f t="shared" si="0"/>
        <v>169</v>
      </c>
      <c r="F24" s="52">
        <f t="shared" si="1"/>
        <v>1.3920242653274328</v>
      </c>
      <c r="G24" s="52">
        <f t="shared" si="2"/>
        <v>66.252100840336141</v>
      </c>
      <c r="H24" s="52">
        <f t="shared" si="3"/>
        <v>71.322100840336134</v>
      </c>
      <c r="I24" s="53">
        <f t="shared" si="4"/>
        <v>0.28162171816395787</v>
      </c>
      <c r="J24" s="53">
        <f t="shared" si="5"/>
        <v>0.30317306661903909</v>
      </c>
      <c r="K24" s="65">
        <f>'eigene Konditionen'!B$9</f>
        <v>0</v>
      </c>
      <c r="L24" s="54">
        <f>'eigene Konditionen'!C$9</f>
        <v>0.03</v>
      </c>
    </row>
    <row r="25" spans="1:15" s="2" customFormat="1" ht="15.75" thickBot="1">
      <c r="A25" s="30" t="s">
        <v>189</v>
      </c>
      <c r="B25" s="21">
        <v>249.95</v>
      </c>
      <c r="C25" s="55">
        <f>B25/119*100</f>
        <v>210.0420168067227</v>
      </c>
      <c r="D25" s="21">
        <v>160.6</v>
      </c>
      <c r="E25" s="21">
        <f t="shared" si="0"/>
        <v>160.6</v>
      </c>
      <c r="F25" s="56">
        <f t="shared" si="1"/>
        <v>1.3078581370281612</v>
      </c>
      <c r="G25" s="56">
        <f t="shared" si="2"/>
        <v>49.442016806722705</v>
      </c>
      <c r="H25" s="56">
        <f t="shared" si="3"/>
        <v>54.260016806722717</v>
      </c>
      <c r="I25" s="57">
        <f t="shared" si="4"/>
        <v>0.2353910782156432</v>
      </c>
      <c r="J25" s="57">
        <f t="shared" si="5"/>
        <v>0.25832934586917394</v>
      </c>
      <c r="K25" s="58">
        <f>'eigene Konditionen'!B$9</f>
        <v>0</v>
      </c>
      <c r="L25" s="58">
        <f>'eigene Konditionen'!C$9</f>
        <v>0.03</v>
      </c>
    </row>
    <row r="26" spans="1:15" s="2" customFormat="1" ht="15.75" thickBot="1">
      <c r="A26" s="30" t="s">
        <v>131</v>
      </c>
      <c r="B26" s="21">
        <v>119.95</v>
      </c>
      <c r="C26" s="55">
        <f>B26/119*100</f>
        <v>100.79831932773109</v>
      </c>
      <c r="D26" s="21">
        <v>72.7</v>
      </c>
      <c r="E26" s="21">
        <f t="shared" ref="E26" si="29">D26-K26*D26</f>
        <v>72.7</v>
      </c>
      <c r="F26" s="56">
        <f t="shared" ref="F26" si="30">C26/E26</f>
        <v>1.3864968270664524</v>
      </c>
      <c r="G26" s="56">
        <f t="shared" ref="G26" si="31">C26-E26</f>
        <v>28.09831932773109</v>
      </c>
      <c r="H26" s="56">
        <f t="shared" ref="H26" si="32">C26-E26*(1-L26)</f>
        <v>31.733319327731095</v>
      </c>
      <c r="I26" s="57">
        <f t="shared" ref="I26" si="33">G26/C26</f>
        <v>0.27875781575656522</v>
      </c>
      <c r="J26" s="57">
        <f t="shared" ref="J26" si="34">H26/C26</f>
        <v>0.31481992496873701</v>
      </c>
      <c r="K26" s="58">
        <f>'eigene Konditionen'!B$9</f>
        <v>0</v>
      </c>
      <c r="L26" s="58">
        <f>'eigene Konditionen'!C$11</f>
        <v>0.05</v>
      </c>
    </row>
    <row r="27" spans="1:15" s="2" customFormat="1" ht="15.75" thickBot="1">
      <c r="A27" s="30" t="s">
        <v>22</v>
      </c>
      <c r="B27" s="21">
        <v>399</v>
      </c>
      <c r="C27" s="55">
        <f>B27/119*100</f>
        <v>335.29411764705884</v>
      </c>
      <c r="D27" s="21">
        <v>309</v>
      </c>
      <c r="E27" s="21">
        <f t="shared" si="0"/>
        <v>309</v>
      </c>
      <c r="F27" s="56">
        <f t="shared" si="1"/>
        <v>1.0850942318675043</v>
      </c>
      <c r="G27" s="56">
        <f t="shared" si="2"/>
        <v>26.29411764705884</v>
      </c>
      <c r="H27" s="56">
        <f t="shared" si="3"/>
        <v>35.564117647058822</v>
      </c>
      <c r="I27" s="57">
        <f t="shared" si="4"/>
        <v>7.8421052631578989E-2</v>
      </c>
      <c r="J27" s="57">
        <f t="shared" si="5"/>
        <v>0.10606842105263158</v>
      </c>
      <c r="K27" s="58">
        <f>'eigene Konditionen'!B$9</f>
        <v>0</v>
      </c>
      <c r="L27" s="58">
        <f>'eigene Konditionen'!C$9</f>
        <v>0.03</v>
      </c>
    </row>
    <row r="28" spans="1:15" s="15" customFormat="1">
      <c r="A28" s="31" t="s">
        <v>23</v>
      </c>
      <c r="B28" s="173"/>
      <c r="C28" s="51"/>
      <c r="D28" s="51"/>
      <c r="E28" s="20"/>
      <c r="F28" s="52"/>
      <c r="G28" s="52"/>
      <c r="H28" s="52"/>
      <c r="I28" s="53"/>
      <c r="J28" s="53"/>
      <c r="K28" s="66"/>
      <c r="L28" s="63"/>
    </row>
    <row r="29" spans="1:15" s="2" customFormat="1">
      <c r="A29" s="29" t="s">
        <v>24</v>
      </c>
      <c r="B29" s="20">
        <v>349.99</v>
      </c>
      <c r="C29" s="51">
        <f t="shared" ref="C29:C37" si="35">B29/119*100</f>
        <v>294.10924369747897</v>
      </c>
      <c r="D29" s="51">
        <v>289.19</v>
      </c>
      <c r="E29" s="20">
        <f t="shared" si="0"/>
        <v>198.09514999999999</v>
      </c>
      <c r="F29" s="52">
        <f t="shared" si="1"/>
        <v>1.4846867462301778</v>
      </c>
      <c r="G29" s="52">
        <f t="shared" si="2"/>
        <v>96.014093697478984</v>
      </c>
      <c r="H29" s="52">
        <f t="shared" si="3"/>
        <v>96.014093697478984</v>
      </c>
      <c r="I29" s="53">
        <f t="shared" si="4"/>
        <v>0.32645724592131203</v>
      </c>
      <c r="J29" s="53">
        <f t="shared" si="5"/>
        <v>0.32645724592131203</v>
      </c>
      <c r="K29" s="67">
        <f>'eigene Konditionen'!B$14</f>
        <v>0.315</v>
      </c>
      <c r="L29" s="54">
        <f>'eigene Konditionen'!C$14</f>
        <v>0</v>
      </c>
    </row>
    <row r="30" spans="1:15" s="2" customFormat="1">
      <c r="A30" s="29" t="s">
        <v>25</v>
      </c>
      <c r="B30" s="20">
        <v>269.99</v>
      </c>
      <c r="C30" s="51">
        <f t="shared" si="35"/>
        <v>226.88235294117649</v>
      </c>
      <c r="D30" s="51">
        <v>223.09</v>
      </c>
      <c r="E30" s="20">
        <f t="shared" si="0"/>
        <v>152.81664999999998</v>
      </c>
      <c r="F30" s="52">
        <f t="shared" si="1"/>
        <v>1.4846703742110334</v>
      </c>
      <c r="G30" s="52">
        <f t="shared" si="2"/>
        <v>74.065702941176511</v>
      </c>
      <c r="H30" s="52">
        <f t="shared" si="3"/>
        <v>74.065702941176511</v>
      </c>
      <c r="I30" s="53">
        <f t="shared" si="4"/>
        <v>0.32644981851179689</v>
      </c>
      <c r="J30" s="53">
        <f t="shared" si="5"/>
        <v>0.32644981851179689</v>
      </c>
      <c r="K30" s="67">
        <f>'eigene Konditionen'!B$14</f>
        <v>0.315</v>
      </c>
      <c r="L30" s="54">
        <f>'eigene Konditionen'!C$14</f>
        <v>0</v>
      </c>
    </row>
    <row r="31" spans="1:15" s="2" customFormat="1">
      <c r="A31" s="29" t="s">
        <v>141</v>
      </c>
      <c r="B31" s="20">
        <v>229.99</v>
      </c>
      <c r="C31" s="51">
        <f t="shared" si="35"/>
        <v>193.26890756302521</v>
      </c>
      <c r="D31" s="51">
        <v>190.09</v>
      </c>
      <c r="E31" s="20">
        <f t="shared" si="0"/>
        <v>130.21164999999999</v>
      </c>
      <c r="F31" s="52">
        <f t="shared" si="1"/>
        <v>1.4842674028247489</v>
      </c>
      <c r="G31" s="52">
        <f t="shared" si="2"/>
        <v>63.057257563025217</v>
      </c>
      <c r="H31" s="52">
        <f t="shared" si="3"/>
        <v>63.057257563025217</v>
      </c>
      <c r="I31" s="53">
        <f t="shared" si="4"/>
        <v>0.32626695291099617</v>
      </c>
      <c r="J31" s="53">
        <f t="shared" si="5"/>
        <v>0.32626695291099617</v>
      </c>
      <c r="K31" s="67">
        <f>'eigene Konditionen'!B$14</f>
        <v>0.315</v>
      </c>
      <c r="L31" s="54">
        <f>'eigene Konditionen'!C$14</f>
        <v>0</v>
      </c>
    </row>
    <row r="32" spans="1:15" s="2" customFormat="1">
      <c r="A32" s="29" t="s">
        <v>142</v>
      </c>
      <c r="B32" s="20">
        <v>249.99</v>
      </c>
      <c r="C32" s="51">
        <f t="shared" si="35"/>
        <v>210.07563025210084</v>
      </c>
      <c r="D32" s="51">
        <v>206.59</v>
      </c>
      <c r="E32" s="20">
        <f t="shared" ref="E32" si="36">D32-K32*D32</f>
        <v>141.51415</v>
      </c>
      <c r="F32" s="52">
        <f t="shared" ref="F32" si="37">C32/E32</f>
        <v>1.4844849808453842</v>
      </c>
      <c r="G32" s="52">
        <f t="shared" ref="G32" si="38">C32-E32</f>
        <v>68.561480252100836</v>
      </c>
      <c r="H32" s="52">
        <f t="shared" ref="H32" si="39">C32-E32*(1-L32)</f>
        <v>68.561480252100836</v>
      </c>
      <c r="I32" s="53">
        <f t="shared" ref="I32" si="40">G32/C32</f>
        <v>0.32636570062802511</v>
      </c>
      <c r="J32" s="53">
        <f t="shared" ref="J32" si="41">H32/C32</f>
        <v>0.32636570062802511</v>
      </c>
      <c r="K32" s="67">
        <f>'eigene Konditionen'!B$14</f>
        <v>0.315</v>
      </c>
      <c r="L32" s="54">
        <f>'eigene Konditionen'!C$14</f>
        <v>0</v>
      </c>
    </row>
    <row r="33" spans="1:12" s="2" customFormat="1">
      <c r="A33" s="29" t="s">
        <v>184</v>
      </c>
      <c r="B33" s="20">
        <v>299.99</v>
      </c>
      <c r="C33" s="51">
        <f t="shared" si="35"/>
        <v>252.09243697478993</v>
      </c>
      <c r="D33" s="51">
        <v>247.89</v>
      </c>
      <c r="E33" s="20">
        <f t="shared" ref="E33:E34" si="42">D33-K33*D33</f>
        <v>169.80464999999998</v>
      </c>
      <c r="F33" s="52">
        <f t="shared" ref="F33:F34" si="43">C33/E33</f>
        <v>1.4846026712153639</v>
      </c>
      <c r="G33" s="52">
        <f t="shared" ref="G33:G34" si="44">C33-E33</f>
        <v>82.287786974789952</v>
      </c>
      <c r="H33" s="52">
        <f t="shared" ref="H33:H34" si="45">C33-E33*(1-L33)</f>
        <v>82.287786974789952</v>
      </c>
      <c r="I33" s="53">
        <f t="shared" ref="I33:I34" si="46">G33/C33</f>
        <v>0.32641910230341026</v>
      </c>
      <c r="J33" s="53">
        <f t="shared" ref="J33:J34" si="47">H33/C33</f>
        <v>0.32641910230341026</v>
      </c>
      <c r="K33" s="67">
        <f>'eigene Konditionen'!B$14</f>
        <v>0.315</v>
      </c>
      <c r="L33" s="54">
        <f>'eigene Konditionen'!C$14</f>
        <v>0</v>
      </c>
    </row>
    <row r="34" spans="1:12" s="2" customFormat="1">
      <c r="A34" s="29" t="s">
        <v>185</v>
      </c>
      <c r="B34" s="20">
        <v>319.99</v>
      </c>
      <c r="C34" s="51">
        <f t="shared" si="35"/>
        <v>268.89915966386553</v>
      </c>
      <c r="D34" s="51">
        <v>264.49</v>
      </c>
      <c r="E34" s="20">
        <f t="shared" si="42"/>
        <v>181.17565000000002</v>
      </c>
      <c r="F34" s="52">
        <f t="shared" si="43"/>
        <v>1.4841903956953679</v>
      </c>
      <c r="G34" s="52">
        <f t="shared" si="44"/>
        <v>87.723509663865514</v>
      </c>
      <c r="H34" s="52">
        <f t="shared" si="45"/>
        <v>87.723509663865514</v>
      </c>
      <c r="I34" s="53">
        <f t="shared" si="46"/>
        <v>0.32623199631238464</v>
      </c>
      <c r="J34" s="53">
        <f t="shared" si="47"/>
        <v>0.32623199631238464</v>
      </c>
      <c r="K34" s="67">
        <f>'eigene Konditionen'!B$14</f>
        <v>0.315</v>
      </c>
      <c r="L34" s="54">
        <f>'eigene Konditionen'!C$14</f>
        <v>0</v>
      </c>
    </row>
    <row r="35" spans="1:12" s="2" customFormat="1">
      <c r="A35" s="29" t="s">
        <v>26</v>
      </c>
      <c r="B35" s="20">
        <v>199.99</v>
      </c>
      <c r="C35" s="51">
        <f t="shared" si="35"/>
        <v>168.05882352941177</v>
      </c>
      <c r="D35" s="51">
        <v>165.29</v>
      </c>
      <c r="E35" s="20">
        <f t="shared" si="0"/>
        <v>113.22364999999999</v>
      </c>
      <c r="F35" s="52">
        <f t="shared" si="1"/>
        <v>1.4843084773314743</v>
      </c>
      <c r="G35" s="52">
        <f t="shared" si="2"/>
        <v>54.835173529411776</v>
      </c>
      <c r="H35" s="52">
        <f t="shared" si="3"/>
        <v>54.835173529411776</v>
      </c>
      <c r="I35" s="53">
        <f t="shared" si="4"/>
        <v>0.32628559677983904</v>
      </c>
      <c r="J35" s="53">
        <f t="shared" si="5"/>
        <v>0.32628559677983904</v>
      </c>
      <c r="K35" s="67">
        <f>'eigene Konditionen'!B$14</f>
        <v>0.315</v>
      </c>
      <c r="L35" s="54">
        <f>'eigene Konditionen'!C$14</f>
        <v>0</v>
      </c>
    </row>
    <row r="36" spans="1:12" s="2" customFormat="1">
      <c r="A36" s="29" t="s">
        <v>27</v>
      </c>
      <c r="B36" s="20">
        <v>189.99</v>
      </c>
      <c r="C36" s="51">
        <f t="shared" si="35"/>
        <v>159.65546218487395</v>
      </c>
      <c r="D36" s="51">
        <v>156.99</v>
      </c>
      <c r="E36" s="20">
        <f t="shared" si="0"/>
        <v>107.53815</v>
      </c>
      <c r="F36" s="52">
        <f t="shared" si="1"/>
        <v>1.4846402154479499</v>
      </c>
      <c r="G36" s="52">
        <f t="shared" si="2"/>
        <v>52.117312184873953</v>
      </c>
      <c r="H36" s="52">
        <f t="shared" si="3"/>
        <v>52.117312184873953</v>
      </c>
      <c r="I36" s="53">
        <f t="shared" si="4"/>
        <v>0.326436136112427</v>
      </c>
      <c r="J36" s="53">
        <f t="shared" si="5"/>
        <v>0.326436136112427</v>
      </c>
      <c r="K36" s="67">
        <f>'eigene Konditionen'!B$14</f>
        <v>0.315</v>
      </c>
      <c r="L36" s="54">
        <f>'eigene Konditionen'!C$14</f>
        <v>0</v>
      </c>
    </row>
    <row r="37" spans="1:12" s="2" customFormat="1" ht="15.75" thickBot="1">
      <c r="A37" s="30" t="s">
        <v>28</v>
      </c>
      <c r="B37" s="21">
        <v>219.99</v>
      </c>
      <c r="C37" s="55">
        <f t="shared" si="35"/>
        <v>184.8655462184874</v>
      </c>
      <c r="D37" s="55">
        <v>181.79</v>
      </c>
      <c r="E37" s="21">
        <f t="shared" si="0"/>
        <v>124.52615</v>
      </c>
      <c r="F37" s="56">
        <f t="shared" si="1"/>
        <v>1.4845520095055327</v>
      </c>
      <c r="G37" s="56">
        <f t="shared" si="2"/>
        <v>60.339396218487394</v>
      </c>
      <c r="H37" s="56">
        <f t="shared" si="3"/>
        <v>60.339396218487394</v>
      </c>
      <c r="I37" s="57">
        <f t="shared" si="4"/>
        <v>0.3263961157325333</v>
      </c>
      <c r="J37" s="57">
        <f>H37/C37</f>
        <v>0.3263961157325333</v>
      </c>
      <c r="K37" s="232">
        <f>'eigene Konditionen'!B$14</f>
        <v>0.315</v>
      </c>
      <c r="L37" s="58">
        <f>'eigene Konditionen'!C$14</f>
        <v>0</v>
      </c>
    </row>
    <row r="38" spans="1:12" s="2" customFormat="1">
      <c r="A38" s="27" t="s">
        <v>78</v>
      </c>
      <c r="B38" s="50"/>
      <c r="C38" s="59"/>
      <c r="D38" s="59"/>
      <c r="E38" s="50"/>
      <c r="F38" s="60"/>
      <c r="G38" s="60"/>
      <c r="H38" s="60"/>
      <c r="I38" s="61"/>
      <c r="J38" s="61"/>
      <c r="K38" s="231"/>
      <c r="L38" s="62"/>
    </row>
    <row r="39" spans="1:12" s="2" customFormat="1">
      <c r="A39" s="29" t="s">
        <v>126</v>
      </c>
      <c r="B39" s="20">
        <v>279.95</v>
      </c>
      <c r="C39" s="51">
        <f t="shared" ref="C39:C40" si="48">B39/119*100</f>
        <v>235.25210084033614</v>
      </c>
      <c r="D39" s="51">
        <v>155.94999999999999</v>
      </c>
      <c r="E39" s="20">
        <f t="shared" ref="E39:E40" si="49">D39-K39*D39</f>
        <v>148.15249999999997</v>
      </c>
      <c r="F39" s="52">
        <f t="shared" ref="F39:F40" si="50">C39/E39</f>
        <v>1.5879050359618379</v>
      </c>
      <c r="G39" s="52">
        <f t="shared" ref="G39:G40" si="51">C39-E39</f>
        <v>87.099600840336166</v>
      </c>
      <c r="H39" s="52">
        <f t="shared" ref="H39:H40" si="52">C39-E39*(1-L39)</f>
        <v>94.507225840336162</v>
      </c>
      <c r="I39" s="53">
        <f t="shared" ref="I39:I40" si="53">G39/C39</f>
        <v>0.37023941775317032</v>
      </c>
      <c r="J39" s="53">
        <f t="shared" ref="J39:J40" si="54">H39/C39</f>
        <v>0.40172744686551182</v>
      </c>
      <c r="K39" s="67">
        <f>'eigene Konditionen'!B$16</f>
        <v>0.05</v>
      </c>
      <c r="L39" s="54">
        <f>'eigene Konditionen'!C$16</f>
        <v>0.05</v>
      </c>
    </row>
    <row r="40" spans="1:12" s="2" customFormat="1" ht="15.75" thickBot="1">
      <c r="A40" s="30" t="s">
        <v>82</v>
      </c>
      <c r="B40" s="21">
        <v>219.95</v>
      </c>
      <c r="C40" s="55">
        <f t="shared" si="48"/>
        <v>184.83193277310923</v>
      </c>
      <c r="D40" s="55">
        <v>121.95</v>
      </c>
      <c r="E40" s="21">
        <f t="shared" si="49"/>
        <v>115.85250000000001</v>
      </c>
      <c r="F40" s="56">
        <f t="shared" si="50"/>
        <v>1.5954073737995229</v>
      </c>
      <c r="G40" s="56">
        <f t="shared" si="51"/>
        <v>68.979432773109224</v>
      </c>
      <c r="H40" s="56">
        <f t="shared" si="52"/>
        <v>74.772057773109225</v>
      </c>
      <c r="I40" s="57">
        <f t="shared" si="53"/>
        <v>0.37320084110024998</v>
      </c>
      <c r="J40" s="57">
        <f t="shared" si="54"/>
        <v>0.40454079904523749</v>
      </c>
      <c r="K40" s="232">
        <f>'eigene Konditionen'!B$16</f>
        <v>0.05</v>
      </c>
      <c r="L40" s="58">
        <f>'eigene Konditionen'!C$16</f>
        <v>0.05</v>
      </c>
    </row>
    <row r="41" spans="1:12" s="15" customFormat="1">
      <c r="A41" s="27" t="s">
        <v>106</v>
      </c>
      <c r="B41" s="233"/>
      <c r="C41" s="59"/>
      <c r="D41" s="59"/>
      <c r="E41" s="50"/>
      <c r="F41" s="60"/>
      <c r="G41" s="60"/>
      <c r="H41" s="60"/>
      <c r="I41" s="61"/>
      <c r="J41" s="61"/>
      <c r="K41" s="231"/>
      <c r="L41" s="62"/>
    </row>
    <row r="42" spans="1:12" s="2" customFormat="1">
      <c r="A42" s="29" t="s">
        <v>120</v>
      </c>
      <c r="B42" s="20">
        <v>269</v>
      </c>
      <c r="C42" s="51">
        <f t="shared" ref="C42:C43" si="55">B42/119*100</f>
        <v>226.05042016806723</v>
      </c>
      <c r="D42" s="51">
        <v>154.9</v>
      </c>
      <c r="E42" s="20">
        <f>D42-K42*D42</f>
        <v>144.05700000000002</v>
      </c>
      <c r="F42" s="52">
        <f t="shared" ref="F42" si="56">C42/E42</f>
        <v>1.5691734533418522</v>
      </c>
      <c r="G42" s="52">
        <f t="shared" ref="G42" si="57">C42-E42</f>
        <v>81.993420168067217</v>
      </c>
      <c r="H42" s="52">
        <f t="shared" ref="H42" si="58">C42-E42*(1-L42)</f>
        <v>86.315130168067213</v>
      </c>
      <c r="I42" s="53">
        <f t="shared" ref="I42" si="59">G42/C42</f>
        <v>0.36272182156133825</v>
      </c>
      <c r="J42" s="53">
        <f t="shared" ref="J42" si="60">H42/C42</f>
        <v>0.38184016691449807</v>
      </c>
      <c r="K42" s="67">
        <f>'eigene Konditionen'!B$17</f>
        <v>7.0000000000000007E-2</v>
      </c>
      <c r="L42" s="54">
        <f>'eigene Konditionen'!C$17</f>
        <v>0.03</v>
      </c>
    </row>
    <row r="43" spans="1:12" s="2" customFormat="1">
      <c r="A43" s="29" t="s">
        <v>121</v>
      </c>
      <c r="B43" s="20">
        <v>196</v>
      </c>
      <c r="C43" s="51">
        <f t="shared" si="55"/>
        <v>164.70588235294116</v>
      </c>
      <c r="D43" s="51">
        <v>99</v>
      </c>
      <c r="E43" s="20">
        <f>D43-K43*D43</f>
        <v>92.07</v>
      </c>
      <c r="F43" s="52">
        <f t="shared" ref="F43" si="61">C43/E43</f>
        <v>1.7889201949923013</v>
      </c>
      <c r="G43" s="52">
        <f t="shared" ref="G43" si="62">C43-E43</f>
        <v>72.635882352941167</v>
      </c>
      <c r="H43" s="52">
        <f t="shared" ref="H43" si="63">C43-E43*(1-L43)</f>
        <v>75.39798235294117</v>
      </c>
      <c r="I43" s="53">
        <f t="shared" ref="I43" si="64">G43/C43</f>
        <v>0.44100357142857144</v>
      </c>
      <c r="J43" s="53">
        <f t="shared" ref="J43" si="65">H43/C43</f>
        <v>0.4577734642857143</v>
      </c>
      <c r="K43" s="67">
        <f>'eigene Konditionen'!B$17</f>
        <v>7.0000000000000007E-2</v>
      </c>
      <c r="L43" s="54">
        <f>'eigene Konditionen'!C$17</f>
        <v>0.03</v>
      </c>
    </row>
    <row r="44" spans="1:12" s="2" customFormat="1">
      <c r="A44" s="179"/>
      <c r="B44" s="185"/>
      <c r="C44" s="22"/>
      <c r="D44" s="22"/>
      <c r="E44" s="181"/>
      <c r="F44" s="23"/>
      <c r="G44" s="23"/>
      <c r="H44" s="23"/>
      <c r="I44" s="182"/>
      <c r="J44" s="182"/>
      <c r="K44" s="183"/>
      <c r="L44" s="184"/>
    </row>
    <row r="45" spans="1:12" s="2" customFormat="1">
      <c r="A45" s="179"/>
      <c r="B45" s="185"/>
      <c r="C45" s="22"/>
      <c r="D45" s="22"/>
      <c r="E45" s="181"/>
      <c r="F45" s="23"/>
      <c r="G45" s="23"/>
      <c r="H45" s="23"/>
      <c r="I45" s="182"/>
      <c r="J45" s="182"/>
      <c r="K45" s="183"/>
      <c r="L45" s="184"/>
    </row>
    <row r="46" spans="1:12" s="2" customFormat="1">
      <c r="A46" s="179"/>
      <c r="B46" s="180"/>
      <c r="C46" s="22"/>
      <c r="D46" s="22"/>
      <c r="E46" s="181"/>
      <c r="F46" s="23"/>
      <c r="G46" s="23"/>
      <c r="H46" s="23"/>
      <c r="I46" s="182"/>
      <c r="J46" s="182"/>
      <c r="K46" s="183"/>
      <c r="L46" s="184"/>
    </row>
    <row r="47" spans="1:12" s="2" customFormat="1">
      <c r="A47" s="179"/>
      <c r="B47" s="185"/>
      <c r="C47" s="22"/>
      <c r="D47" s="22"/>
      <c r="E47" s="181"/>
      <c r="F47" s="23"/>
      <c r="G47" s="23"/>
      <c r="H47" s="23"/>
      <c r="I47" s="182"/>
      <c r="J47" s="182"/>
      <c r="K47" s="183"/>
      <c r="L47" s="184"/>
    </row>
    <row r="48" spans="1:12" s="2" customFormat="1">
      <c r="A48" s="179"/>
      <c r="B48" s="186"/>
      <c r="C48" s="22"/>
      <c r="D48" s="22"/>
      <c r="E48" s="181"/>
      <c r="F48" s="23"/>
      <c r="G48" s="23"/>
      <c r="H48" s="23"/>
      <c r="I48" s="182"/>
      <c r="J48" s="182"/>
      <c r="K48" s="183"/>
      <c r="L48" s="184"/>
    </row>
    <row r="49" spans="1:12" s="2" customFormat="1">
      <c r="A49" s="179"/>
      <c r="B49" s="180"/>
      <c r="C49" s="22"/>
      <c r="D49" s="22"/>
      <c r="E49" s="181"/>
      <c r="F49" s="23"/>
      <c r="G49" s="23"/>
      <c r="H49" s="23"/>
      <c r="I49" s="182"/>
      <c r="J49" s="182"/>
      <c r="K49" s="183"/>
      <c r="L49" s="184"/>
    </row>
    <row r="50" spans="1:12" s="2" customFormat="1">
      <c r="A50" s="187"/>
      <c r="B50" s="185"/>
      <c r="C50" s="22"/>
      <c r="D50" s="22"/>
      <c r="E50" s="181"/>
      <c r="F50" s="23"/>
      <c r="G50" s="23"/>
      <c r="H50" s="23"/>
      <c r="I50" s="182"/>
      <c r="J50" s="182"/>
      <c r="K50" s="183"/>
      <c r="L50" s="184"/>
    </row>
    <row r="51" spans="1:12" s="2" customFormat="1">
      <c r="A51" s="179"/>
      <c r="B51" s="185"/>
      <c r="C51" s="22"/>
      <c r="D51" s="22"/>
      <c r="E51" s="181"/>
      <c r="F51" s="23"/>
      <c r="G51" s="23"/>
      <c r="H51" s="23"/>
      <c r="I51" s="182"/>
      <c r="J51" s="182"/>
      <c r="K51" s="184"/>
      <c r="L51" s="184"/>
    </row>
    <row r="52" spans="1:12" s="2" customFormat="1">
      <c r="A52" s="179"/>
      <c r="B52" s="186"/>
      <c r="C52" s="22"/>
      <c r="D52" s="22"/>
      <c r="E52" s="181"/>
      <c r="F52" s="23"/>
      <c r="G52" s="23"/>
      <c r="H52" s="23"/>
      <c r="I52" s="182"/>
      <c r="J52" s="182"/>
      <c r="K52" s="184"/>
      <c r="L52" s="184"/>
    </row>
    <row r="53" spans="1:12" s="2" customFormat="1">
      <c r="A53" s="179"/>
      <c r="B53" s="185"/>
      <c r="C53" s="22"/>
      <c r="D53" s="22"/>
      <c r="E53" s="181"/>
      <c r="F53" s="23"/>
      <c r="G53" s="23"/>
      <c r="H53" s="23"/>
      <c r="I53" s="182"/>
      <c r="J53" s="182"/>
      <c r="K53" s="184"/>
      <c r="L53" s="184"/>
    </row>
    <row r="54" spans="1:12" s="2" customFormat="1">
      <c r="A54" s="179"/>
      <c r="B54" s="180"/>
      <c r="C54" s="22"/>
      <c r="D54" s="22"/>
      <c r="E54" s="181"/>
      <c r="F54" s="23"/>
      <c r="G54" s="23"/>
      <c r="H54" s="23"/>
      <c r="I54" s="182"/>
      <c r="J54" s="182"/>
      <c r="K54" s="184"/>
      <c r="L54" s="184"/>
    </row>
    <row r="55" spans="1:12" s="2" customFormat="1">
      <c r="A55" s="179"/>
      <c r="B55" s="180"/>
      <c r="C55" s="22"/>
      <c r="D55" s="22"/>
      <c r="E55" s="181"/>
      <c r="F55" s="23"/>
      <c r="G55" s="23"/>
      <c r="H55" s="23"/>
      <c r="I55" s="182"/>
      <c r="J55" s="182"/>
      <c r="K55" s="184"/>
      <c r="L55" s="184"/>
    </row>
    <row r="56" spans="1:12" s="2" customFormat="1">
      <c r="A56" s="179"/>
      <c r="B56" s="186"/>
      <c r="C56" s="22"/>
      <c r="D56" s="22"/>
      <c r="E56" s="181"/>
      <c r="F56" s="23"/>
      <c r="G56" s="23"/>
      <c r="H56" s="23"/>
      <c r="I56" s="182"/>
      <c r="J56" s="182"/>
      <c r="K56" s="184"/>
      <c r="L56" s="184"/>
    </row>
    <row r="57" spans="1:12" s="2" customFormat="1">
      <c r="A57" s="179"/>
      <c r="B57" s="185"/>
      <c r="C57" s="22"/>
      <c r="D57" s="22"/>
      <c r="E57" s="181"/>
      <c r="F57" s="23"/>
      <c r="G57" s="23"/>
      <c r="H57" s="23"/>
      <c r="I57" s="182"/>
      <c r="J57" s="182"/>
      <c r="K57" s="184"/>
      <c r="L57" s="184"/>
    </row>
    <row r="58" spans="1:12" s="2" customFormat="1">
      <c r="A58" s="179"/>
      <c r="B58" s="185"/>
      <c r="C58" s="22"/>
      <c r="D58" s="22"/>
      <c r="E58" s="181"/>
      <c r="F58" s="23"/>
      <c r="G58" s="23"/>
      <c r="H58" s="23"/>
      <c r="I58" s="182"/>
      <c r="J58" s="182"/>
      <c r="K58" s="184"/>
      <c r="L58" s="184"/>
    </row>
    <row r="59" spans="1:12" s="2" customFormat="1">
      <c r="A59" s="179"/>
      <c r="B59" s="185"/>
      <c r="C59" s="22"/>
      <c r="D59" s="22"/>
      <c r="E59" s="181"/>
      <c r="F59" s="23"/>
      <c r="G59" s="23"/>
      <c r="H59" s="23"/>
      <c r="I59" s="182"/>
      <c r="J59" s="182"/>
      <c r="K59" s="184"/>
      <c r="L59" s="184"/>
    </row>
    <row r="60" spans="1:12" s="2" customFormat="1">
      <c r="A60" s="179"/>
      <c r="B60" s="180"/>
      <c r="C60" s="22"/>
      <c r="D60" s="22"/>
      <c r="E60" s="181"/>
      <c r="F60" s="23"/>
      <c r="G60" s="23"/>
      <c r="H60" s="23"/>
      <c r="I60" s="182"/>
      <c r="J60" s="182"/>
      <c r="K60" s="184"/>
      <c r="L60" s="184"/>
    </row>
    <row r="61" spans="1:12" s="2" customFormat="1">
      <c r="A61" s="188"/>
      <c r="B61" s="185"/>
      <c r="C61" s="22"/>
      <c r="D61" s="22"/>
      <c r="E61" s="181"/>
      <c r="F61" s="23"/>
      <c r="G61" s="23"/>
      <c r="H61" s="23"/>
      <c r="I61" s="182"/>
      <c r="J61" s="182"/>
      <c r="K61" s="183"/>
      <c r="L61" s="184"/>
    </row>
    <row r="62" spans="1:12" s="2" customFormat="1">
      <c r="A62" s="179"/>
      <c r="B62" s="185"/>
      <c r="C62" s="22"/>
      <c r="D62" s="22"/>
      <c r="E62" s="181"/>
      <c r="F62" s="23"/>
      <c r="G62" s="23"/>
      <c r="H62" s="23"/>
      <c r="I62" s="182"/>
      <c r="J62" s="182"/>
      <c r="K62" s="184"/>
      <c r="L62" s="184"/>
    </row>
    <row r="63" spans="1:12" s="2" customFormat="1">
      <c r="A63" s="179"/>
      <c r="B63" s="186"/>
      <c r="C63" s="22"/>
      <c r="D63" s="22"/>
      <c r="E63" s="181"/>
      <c r="F63" s="23"/>
      <c r="G63" s="23"/>
      <c r="H63" s="23"/>
      <c r="I63" s="182"/>
      <c r="J63" s="182"/>
      <c r="K63" s="184"/>
      <c r="L63" s="184"/>
    </row>
    <row r="64" spans="1:12" s="2" customFormat="1">
      <c r="A64" s="179"/>
      <c r="B64" s="185"/>
      <c r="C64" s="22"/>
      <c r="D64" s="22"/>
      <c r="E64" s="181"/>
      <c r="F64" s="23"/>
      <c r="G64" s="23"/>
      <c r="H64" s="23"/>
      <c r="I64" s="182"/>
      <c r="J64" s="182"/>
      <c r="K64" s="184"/>
      <c r="L64" s="184"/>
    </row>
    <row r="65" spans="1:12" s="2" customFormat="1">
      <c r="A65" s="187"/>
      <c r="B65" s="185"/>
      <c r="C65" s="22"/>
      <c r="D65" s="22"/>
      <c r="E65" s="181"/>
      <c r="F65" s="23"/>
      <c r="G65" s="23"/>
      <c r="H65" s="23"/>
      <c r="I65" s="182"/>
      <c r="J65" s="182"/>
      <c r="K65" s="184"/>
      <c r="L65" s="184"/>
    </row>
    <row r="66" spans="1:12" s="2" customFormat="1">
      <c r="A66" s="179"/>
      <c r="B66" s="185"/>
      <c r="C66" s="22"/>
      <c r="D66" s="22"/>
      <c r="E66" s="181"/>
      <c r="F66" s="23"/>
      <c r="G66" s="23"/>
      <c r="H66" s="23"/>
      <c r="I66" s="182"/>
      <c r="J66" s="182"/>
      <c r="K66" s="184"/>
      <c r="L66" s="184"/>
    </row>
    <row r="67" spans="1:12" s="2" customFormat="1">
      <c r="A67" s="179"/>
      <c r="B67" s="180"/>
      <c r="C67" s="22"/>
      <c r="D67" s="22"/>
      <c r="E67" s="181"/>
      <c r="F67" s="23"/>
      <c r="G67" s="23"/>
      <c r="H67" s="23"/>
      <c r="I67" s="182"/>
      <c r="J67" s="182"/>
      <c r="K67" s="183"/>
      <c r="L67" s="184"/>
    </row>
    <row r="68" spans="1:12" s="2" customFormat="1" ht="12.6" customHeight="1">
      <c r="A68" s="187"/>
      <c r="B68" s="189"/>
      <c r="C68" s="22"/>
      <c r="D68" s="22"/>
      <c r="E68" s="181"/>
      <c r="F68" s="23"/>
      <c r="G68" s="23"/>
      <c r="H68" s="23"/>
      <c r="I68" s="182"/>
      <c r="J68" s="182"/>
      <c r="K68" s="184"/>
      <c r="L68" s="184"/>
    </row>
    <row r="69" spans="1:12" s="2" customFormat="1">
      <c r="A69" s="179"/>
      <c r="B69" s="186"/>
      <c r="C69" s="22"/>
      <c r="D69" s="22"/>
      <c r="E69" s="181"/>
      <c r="F69" s="23"/>
      <c r="G69" s="23"/>
      <c r="H69" s="23"/>
      <c r="I69" s="182"/>
      <c r="J69" s="182"/>
      <c r="K69" s="184"/>
      <c r="L69" s="184"/>
    </row>
    <row r="70" spans="1:12" s="2" customFormat="1">
      <c r="A70" s="179"/>
      <c r="B70" s="185"/>
      <c r="C70" s="22"/>
      <c r="D70" s="22"/>
      <c r="E70" s="181"/>
      <c r="F70" s="23"/>
      <c r="G70" s="23"/>
      <c r="H70" s="23"/>
      <c r="I70" s="182"/>
      <c r="J70" s="182"/>
      <c r="K70" s="184"/>
      <c r="L70" s="184"/>
    </row>
    <row r="71" spans="1:12" s="2" customFormat="1">
      <c r="A71" s="179"/>
      <c r="B71" s="185"/>
      <c r="C71" s="22"/>
      <c r="D71" s="22"/>
      <c r="E71" s="181"/>
      <c r="F71" s="23"/>
      <c r="G71" s="23"/>
      <c r="H71" s="23"/>
      <c r="I71" s="182"/>
      <c r="J71" s="182"/>
      <c r="K71" s="184"/>
      <c r="L71" s="184"/>
    </row>
    <row r="72" spans="1:12" s="2" customFormat="1">
      <c r="A72" s="179"/>
      <c r="B72" s="180"/>
      <c r="C72" s="22"/>
      <c r="D72" s="22"/>
      <c r="E72" s="181"/>
      <c r="F72" s="23"/>
      <c r="G72" s="23"/>
      <c r="H72" s="23"/>
      <c r="I72" s="182"/>
      <c r="J72" s="182"/>
      <c r="K72" s="184"/>
      <c r="L72" s="184"/>
    </row>
    <row r="73" spans="1:12" s="2" customFormat="1">
      <c r="A73" s="187"/>
      <c r="B73" s="185"/>
      <c r="C73" s="22"/>
      <c r="D73" s="22"/>
      <c r="E73" s="181"/>
      <c r="F73" s="23"/>
      <c r="G73" s="23"/>
      <c r="H73" s="23"/>
      <c r="I73" s="182"/>
      <c r="J73" s="182"/>
      <c r="K73" s="184"/>
      <c r="L73" s="184"/>
    </row>
    <row r="74" spans="1:12" s="2" customFormat="1">
      <c r="A74" s="179"/>
      <c r="B74" s="186"/>
      <c r="C74" s="22"/>
      <c r="D74" s="22"/>
      <c r="E74" s="181"/>
      <c r="F74" s="23"/>
      <c r="G74" s="23"/>
      <c r="H74" s="23"/>
      <c r="I74" s="182"/>
      <c r="J74" s="182"/>
      <c r="K74" s="184"/>
      <c r="L74" s="184"/>
    </row>
    <row r="75" spans="1:12" s="2" customFormat="1">
      <c r="A75" s="179"/>
      <c r="B75" s="180"/>
      <c r="C75" s="22"/>
      <c r="D75" s="22"/>
      <c r="E75" s="181"/>
      <c r="F75" s="23"/>
      <c r="G75" s="23"/>
      <c r="H75" s="23"/>
      <c r="I75" s="182"/>
      <c r="J75" s="182"/>
      <c r="K75" s="184"/>
      <c r="L75" s="184"/>
    </row>
    <row r="76" spans="1:12" s="15" customFormat="1">
      <c r="A76" s="187"/>
      <c r="B76" s="190"/>
      <c r="C76" s="191"/>
      <c r="D76" s="191"/>
      <c r="E76" s="192"/>
      <c r="F76" s="193"/>
      <c r="G76" s="193"/>
      <c r="H76" s="193"/>
      <c r="I76" s="194"/>
      <c r="J76" s="194"/>
      <c r="K76" s="195"/>
      <c r="L76" s="195"/>
    </row>
    <row r="77" spans="1:12" s="2" customFormat="1">
      <c r="A77" s="179"/>
      <c r="B77" s="185"/>
      <c r="C77" s="22"/>
      <c r="D77" s="22"/>
      <c r="E77" s="181"/>
      <c r="F77" s="23"/>
      <c r="G77" s="23"/>
      <c r="H77" s="23"/>
      <c r="I77" s="182"/>
      <c r="J77" s="182"/>
      <c r="K77" s="184"/>
      <c r="L77" s="184"/>
    </row>
    <row r="78" spans="1:12" s="2" customFormat="1">
      <c r="A78" s="179"/>
      <c r="B78" s="185"/>
      <c r="C78" s="22"/>
      <c r="D78" s="22"/>
      <c r="E78" s="181"/>
      <c r="F78" s="23"/>
      <c r="G78" s="23"/>
      <c r="H78" s="23"/>
      <c r="I78" s="182"/>
      <c r="J78" s="182"/>
      <c r="K78" s="184"/>
      <c r="L78" s="184"/>
    </row>
    <row r="79" spans="1:12" s="2" customFormat="1">
      <c r="A79" s="179"/>
      <c r="B79" s="180"/>
      <c r="C79" s="22"/>
      <c r="D79" s="22"/>
      <c r="E79" s="181"/>
      <c r="F79" s="23"/>
      <c r="G79" s="23"/>
      <c r="H79" s="23"/>
      <c r="I79" s="182"/>
      <c r="J79" s="182"/>
      <c r="K79" s="184"/>
      <c r="L79" s="184"/>
    </row>
    <row r="80" spans="1:12" s="2" customFormat="1">
      <c r="A80" s="187"/>
      <c r="B80" s="186"/>
      <c r="C80" s="22"/>
      <c r="D80" s="22"/>
      <c r="E80" s="181"/>
      <c r="F80" s="23"/>
      <c r="G80" s="23"/>
      <c r="H80" s="23"/>
      <c r="I80" s="182"/>
      <c r="J80" s="182"/>
      <c r="K80" s="184"/>
      <c r="L80" s="184"/>
    </row>
    <row r="81" spans="1:12" s="2" customFormat="1">
      <c r="A81" s="179"/>
      <c r="B81" s="185"/>
      <c r="C81" s="22"/>
      <c r="D81" s="22"/>
      <c r="E81" s="181"/>
      <c r="F81" s="23"/>
      <c r="G81" s="23"/>
      <c r="H81" s="23"/>
      <c r="I81" s="182"/>
      <c r="J81" s="182"/>
      <c r="K81" s="184"/>
      <c r="L81" s="184"/>
    </row>
    <row r="82" spans="1:12" s="2" customFormat="1">
      <c r="A82" s="179"/>
      <c r="B82" s="186"/>
      <c r="C82" s="22"/>
      <c r="D82" s="22"/>
      <c r="E82" s="181"/>
      <c r="F82" s="23"/>
      <c r="G82" s="23"/>
      <c r="H82" s="23"/>
      <c r="I82" s="182"/>
      <c r="J82" s="182"/>
      <c r="K82" s="184"/>
      <c r="L82" s="184"/>
    </row>
    <row r="83" spans="1:12" s="2" customFormat="1">
      <c r="A83" s="179"/>
      <c r="B83" s="185"/>
      <c r="C83" s="22"/>
      <c r="D83" s="22"/>
      <c r="E83" s="181"/>
      <c r="F83" s="23"/>
      <c r="G83" s="23"/>
      <c r="H83" s="23"/>
      <c r="I83" s="182"/>
      <c r="J83" s="182"/>
      <c r="K83" s="184"/>
      <c r="L83" s="184"/>
    </row>
    <row r="84" spans="1:12" s="2" customFormat="1">
      <c r="A84" s="179"/>
      <c r="B84" s="180"/>
      <c r="C84" s="22"/>
      <c r="D84" s="22"/>
      <c r="E84" s="181"/>
      <c r="F84" s="23"/>
      <c r="G84" s="23"/>
      <c r="H84" s="23"/>
      <c r="I84" s="182"/>
      <c r="J84" s="182"/>
      <c r="K84" s="183"/>
      <c r="L84" s="184"/>
    </row>
    <row r="85" spans="1:12" s="2" customFormat="1">
      <c r="A85" s="187"/>
      <c r="B85" s="185"/>
      <c r="C85" s="22"/>
      <c r="D85" s="22"/>
      <c r="E85" s="181"/>
      <c r="F85" s="23"/>
      <c r="G85" s="23"/>
      <c r="H85" s="23"/>
      <c r="I85" s="182"/>
      <c r="J85" s="182"/>
      <c r="K85" s="184"/>
      <c r="L85" s="184"/>
    </row>
    <row r="86" spans="1:12" s="2" customFormat="1">
      <c r="A86" s="179"/>
      <c r="B86" s="185"/>
      <c r="C86" s="22"/>
      <c r="D86" s="22"/>
      <c r="E86" s="181"/>
      <c r="F86" s="23"/>
      <c r="G86" s="23"/>
      <c r="H86" s="23"/>
      <c r="I86" s="182"/>
      <c r="J86" s="182"/>
      <c r="K86" s="184"/>
      <c r="L86" s="184"/>
    </row>
    <row r="87" spans="1:12" s="2" customFormat="1" ht="15.6" customHeight="1">
      <c r="A87" s="179"/>
      <c r="B87" s="185"/>
      <c r="C87" s="22"/>
      <c r="D87" s="22"/>
      <c r="E87" s="181"/>
      <c r="F87" s="23"/>
      <c r="G87" s="23"/>
      <c r="H87" s="23"/>
      <c r="I87" s="182"/>
      <c r="J87" s="182"/>
      <c r="K87" s="184"/>
      <c r="L87" s="184"/>
    </row>
    <row r="88" spans="1:12" s="2" customFormat="1">
      <c r="A88" s="179"/>
      <c r="B88" s="180"/>
      <c r="C88" s="22"/>
      <c r="D88" s="22"/>
      <c r="E88" s="181"/>
      <c r="F88" s="23"/>
      <c r="G88" s="23"/>
      <c r="H88" s="23"/>
      <c r="I88" s="182"/>
      <c r="J88" s="182"/>
      <c r="K88" s="184"/>
      <c r="L88" s="184"/>
    </row>
    <row r="89" spans="1:12" s="2" customFormat="1">
      <c r="A89" s="187"/>
      <c r="B89" s="185"/>
      <c r="C89" s="22"/>
      <c r="D89" s="22"/>
      <c r="E89" s="181"/>
      <c r="F89" s="23"/>
      <c r="G89" s="23"/>
      <c r="H89" s="23"/>
      <c r="I89" s="182"/>
      <c r="J89" s="182"/>
      <c r="K89" s="184"/>
      <c r="L89" s="184"/>
    </row>
    <row r="90" spans="1:12" s="2" customFormat="1">
      <c r="A90" s="179"/>
      <c r="B90" s="185"/>
      <c r="C90" s="22"/>
      <c r="D90" s="22"/>
      <c r="E90" s="181"/>
      <c r="F90" s="23"/>
      <c r="G90" s="23"/>
      <c r="H90" s="23"/>
      <c r="I90" s="182"/>
      <c r="J90" s="182"/>
      <c r="K90" s="184"/>
      <c r="L90" s="184"/>
    </row>
    <row r="91" spans="1:12" s="2" customFormat="1">
      <c r="A91" s="179"/>
      <c r="B91" s="180"/>
      <c r="C91" s="22"/>
      <c r="D91" s="22"/>
      <c r="E91" s="181"/>
      <c r="F91" s="23"/>
      <c r="G91" s="23"/>
      <c r="H91" s="23"/>
      <c r="I91" s="182"/>
      <c r="J91" s="182"/>
      <c r="K91" s="183"/>
      <c r="L91" s="184"/>
    </row>
    <row r="92" spans="1:12" s="2" customFormat="1">
      <c r="A92" s="187"/>
      <c r="B92" s="185"/>
      <c r="C92" s="22"/>
      <c r="D92" s="22"/>
      <c r="E92" s="181"/>
      <c r="F92" s="23"/>
      <c r="G92" s="23"/>
      <c r="H92" s="23"/>
      <c r="I92" s="182"/>
      <c r="J92" s="182"/>
      <c r="K92" s="184"/>
      <c r="L92" s="184"/>
    </row>
    <row r="93" spans="1:12" s="2" customFormat="1">
      <c r="A93" s="179"/>
      <c r="B93" s="180"/>
      <c r="C93" s="22"/>
      <c r="D93" s="22"/>
      <c r="E93" s="181"/>
      <c r="F93" s="23"/>
      <c r="G93" s="23"/>
      <c r="H93" s="23"/>
      <c r="I93" s="182"/>
      <c r="J93" s="182"/>
      <c r="K93" s="184"/>
      <c r="L93" s="184"/>
    </row>
    <row r="94" spans="1:12" s="2" customFormat="1">
      <c r="A94" s="187"/>
      <c r="B94" s="185"/>
      <c r="C94" s="22"/>
      <c r="D94" s="22"/>
      <c r="E94" s="181"/>
      <c r="F94" s="23"/>
      <c r="G94" s="23"/>
      <c r="H94" s="23"/>
      <c r="I94" s="182"/>
      <c r="J94" s="182"/>
      <c r="K94" s="184"/>
      <c r="L94" s="184"/>
    </row>
    <row r="95" spans="1:12" s="2" customFormat="1">
      <c r="A95" s="179"/>
      <c r="B95" s="185"/>
      <c r="C95" s="22"/>
      <c r="D95" s="22"/>
      <c r="E95" s="181"/>
      <c r="F95" s="23"/>
      <c r="G95" s="23"/>
      <c r="H95" s="23"/>
      <c r="I95" s="182"/>
      <c r="J95" s="182"/>
      <c r="K95" s="184"/>
      <c r="L95" s="184"/>
    </row>
    <row r="96" spans="1:12" s="2" customFormat="1">
      <c r="A96" s="196"/>
      <c r="B96" s="197"/>
      <c r="C96" s="22"/>
      <c r="D96" s="22"/>
      <c r="E96" s="181"/>
      <c r="F96" s="23"/>
      <c r="G96" s="23"/>
      <c r="H96" s="23"/>
      <c r="I96" s="182"/>
      <c r="J96" s="182"/>
      <c r="K96" s="184"/>
      <c r="L96" s="184"/>
    </row>
    <row r="97" spans="1:12" s="2" customFormat="1">
      <c r="A97" s="196"/>
      <c r="B97" s="197"/>
      <c r="C97" s="22"/>
      <c r="D97" s="22"/>
      <c r="E97" s="181"/>
      <c r="F97" s="198"/>
      <c r="G97" s="23"/>
      <c r="H97" s="23"/>
      <c r="I97" s="182"/>
      <c r="J97" s="182"/>
      <c r="K97" s="184"/>
      <c r="L97" s="184"/>
    </row>
    <row r="98" spans="1:12" s="2" customFormat="1">
      <c r="A98" s="196"/>
      <c r="B98" s="197"/>
      <c r="C98" s="22"/>
      <c r="D98" s="22"/>
      <c r="E98" s="181"/>
      <c r="F98" s="198"/>
      <c r="G98" s="23"/>
      <c r="H98" s="23"/>
      <c r="I98" s="182"/>
      <c r="J98" s="182"/>
      <c r="K98" s="184"/>
      <c r="L98" s="184"/>
    </row>
    <row r="99" spans="1:12" s="2" customFormat="1">
      <c r="A99" s="199"/>
      <c r="B99" s="200"/>
      <c r="C99" s="22"/>
      <c r="D99" s="22"/>
      <c r="E99" s="181"/>
      <c r="F99" s="198"/>
      <c r="G99" s="23"/>
      <c r="H99" s="23"/>
      <c r="I99" s="182"/>
      <c r="J99" s="182"/>
      <c r="K99" s="184"/>
      <c r="L99" s="184"/>
    </row>
    <row r="100" spans="1:12" s="2" customFormat="1">
      <c r="A100" s="199"/>
      <c r="B100" s="200"/>
      <c r="C100" s="22"/>
      <c r="D100" s="22"/>
      <c r="E100" s="181"/>
      <c r="F100" s="198"/>
      <c r="G100" s="23"/>
      <c r="H100" s="23"/>
      <c r="I100" s="182"/>
      <c r="J100" s="182"/>
      <c r="K100" s="184"/>
      <c r="L100" s="184"/>
    </row>
    <row r="101" spans="1:12" s="2" customFormat="1">
      <c r="A101" s="199"/>
      <c r="B101" s="200"/>
      <c r="C101" s="22"/>
      <c r="D101" s="22"/>
      <c r="E101" s="181"/>
      <c r="F101" s="198"/>
      <c r="G101" s="23"/>
      <c r="H101" s="23"/>
      <c r="I101" s="182"/>
      <c r="J101" s="182"/>
      <c r="K101" s="184"/>
      <c r="L101" s="184"/>
    </row>
    <row r="102" spans="1:12" s="2" customFormat="1">
      <c r="A102" s="199"/>
      <c r="B102" s="200"/>
      <c r="C102" s="22"/>
      <c r="D102" s="22"/>
      <c r="E102" s="181"/>
      <c r="F102" s="198"/>
      <c r="G102" s="23"/>
      <c r="H102" s="23"/>
      <c r="I102" s="182"/>
      <c r="J102" s="182"/>
      <c r="K102" s="184"/>
      <c r="L102" s="184"/>
    </row>
    <row r="103" spans="1:12" ht="15.75">
      <c r="A103" s="3"/>
      <c r="B103" s="161"/>
      <c r="C103" s="22"/>
      <c r="D103" s="22"/>
      <c r="E103" s="181"/>
      <c r="F103" s="4"/>
      <c r="G103" s="23"/>
      <c r="H103" s="23"/>
      <c r="I103" s="182"/>
      <c r="J103" s="182"/>
      <c r="K103" s="184"/>
      <c r="L103" s="184"/>
    </row>
    <row r="104" spans="1:12" ht="15.75">
      <c r="A104" s="3"/>
      <c r="B104" s="161"/>
      <c r="C104" s="22"/>
      <c r="D104" s="22"/>
      <c r="E104" s="181"/>
      <c r="F104" s="4"/>
      <c r="G104" s="23"/>
      <c r="H104" s="23"/>
      <c r="I104" s="182"/>
      <c r="J104" s="182"/>
      <c r="K104" s="184"/>
      <c r="L104" s="184"/>
    </row>
    <row r="105" spans="1:12" ht="15.75">
      <c r="A105" s="3"/>
      <c r="B105" s="161"/>
      <c r="C105" s="22"/>
      <c r="D105" s="22"/>
      <c r="E105" s="181"/>
      <c r="F105" s="4"/>
      <c r="G105" s="23"/>
      <c r="H105" s="23"/>
      <c r="I105" s="182"/>
      <c r="J105" s="182"/>
      <c r="K105" s="184"/>
      <c r="L105" s="184"/>
    </row>
    <row r="106" spans="1:12" ht="15.75">
      <c r="A106" s="3"/>
      <c r="B106" s="161"/>
      <c r="C106" s="22"/>
      <c r="D106" s="22"/>
      <c r="E106" s="181"/>
      <c r="F106" s="4"/>
      <c r="G106" s="23"/>
      <c r="H106" s="23"/>
      <c r="I106" s="182"/>
      <c r="J106" s="182"/>
      <c r="K106" s="184"/>
      <c r="L106" s="4"/>
    </row>
    <row r="107" spans="1:12" ht="15.75">
      <c r="A107" s="3"/>
      <c r="B107" s="161"/>
      <c r="C107" s="22"/>
      <c r="D107" s="22"/>
      <c r="E107" s="181"/>
      <c r="F107" s="4"/>
      <c r="G107" s="23"/>
      <c r="H107" s="23"/>
      <c r="I107" s="182"/>
      <c r="J107" s="182"/>
      <c r="K107" s="184"/>
      <c r="L107" s="4"/>
    </row>
    <row r="108" spans="1:12" ht="15.75">
      <c r="A108" s="3"/>
      <c r="B108" s="161"/>
      <c r="C108" s="22"/>
      <c r="D108" s="22"/>
      <c r="E108" s="181"/>
      <c r="F108" s="4"/>
      <c r="G108" s="23"/>
      <c r="H108" s="23"/>
      <c r="I108" s="182"/>
      <c r="J108" s="182"/>
      <c r="K108" s="184"/>
      <c r="L108" s="4"/>
    </row>
    <row r="109" spans="1:12" ht="15.75">
      <c r="A109" s="3"/>
      <c r="B109" s="161"/>
      <c r="C109" s="22"/>
      <c r="D109" s="22"/>
      <c r="E109" s="181"/>
      <c r="F109" s="4"/>
      <c r="G109" s="23"/>
      <c r="H109" s="23"/>
      <c r="I109" s="182"/>
      <c r="J109" s="182"/>
      <c r="K109" s="184"/>
      <c r="L109" s="4"/>
    </row>
    <row r="110" spans="1:12" ht="15.75">
      <c r="A110" s="3"/>
      <c r="B110" s="161"/>
      <c r="C110" s="22"/>
      <c r="D110" s="22"/>
      <c r="E110" s="181"/>
      <c r="F110" s="4"/>
      <c r="G110" s="23"/>
      <c r="H110" s="23"/>
      <c r="I110" s="182"/>
      <c r="J110" s="182"/>
      <c r="K110" s="184"/>
      <c r="L110" s="4"/>
    </row>
    <row r="111" spans="1:12" ht="15.75">
      <c r="A111" s="3"/>
      <c r="B111" s="161"/>
      <c r="C111" s="22"/>
      <c r="D111" s="22"/>
      <c r="E111" s="181"/>
      <c r="F111" s="4"/>
      <c r="G111" s="23"/>
      <c r="H111" s="23"/>
      <c r="I111" s="182"/>
      <c r="J111" s="182"/>
      <c r="K111" s="184"/>
      <c r="L111" s="4"/>
    </row>
    <row r="112" spans="1:12" ht="15.75">
      <c r="A112" s="3"/>
      <c r="B112" s="161"/>
      <c r="C112" s="22"/>
      <c r="D112" s="22"/>
      <c r="E112" s="181"/>
      <c r="F112" s="4"/>
      <c r="G112" s="23"/>
      <c r="H112" s="23"/>
      <c r="I112" s="182"/>
      <c r="J112" s="182"/>
      <c r="L112" s="4"/>
    </row>
    <row r="113" spans="1:12" ht="15.75">
      <c r="A113" s="3"/>
      <c r="B113" s="161"/>
      <c r="C113" s="22"/>
      <c r="D113" s="22"/>
      <c r="E113" s="181"/>
      <c r="F113" s="4"/>
      <c r="G113" s="23"/>
      <c r="H113" s="23"/>
      <c r="I113" s="182"/>
      <c r="J113" s="182"/>
      <c r="L113" s="4"/>
    </row>
    <row r="114" spans="1:12" ht="15.75">
      <c r="A114" s="3"/>
      <c r="B114" s="161"/>
      <c r="C114" s="22"/>
      <c r="D114" s="22"/>
      <c r="E114" s="181"/>
      <c r="F114" s="4"/>
      <c r="G114" s="23"/>
      <c r="H114" s="23"/>
      <c r="I114" s="182"/>
      <c r="J114" s="182"/>
      <c r="L114" s="4"/>
    </row>
    <row r="115" spans="1:12" ht="15.75">
      <c r="A115" s="3"/>
      <c r="B115" s="161"/>
      <c r="C115" s="22"/>
      <c r="D115" s="22"/>
      <c r="E115" s="181"/>
      <c r="F115" s="4"/>
      <c r="G115" s="23"/>
      <c r="H115" s="23"/>
      <c r="I115" s="182"/>
      <c r="J115" s="182"/>
      <c r="L115" s="4"/>
    </row>
    <row r="116" spans="1:12" ht="15.75">
      <c r="A116" s="3"/>
      <c r="B116" s="161"/>
      <c r="C116" s="22"/>
      <c r="D116" s="22"/>
      <c r="E116" s="181"/>
      <c r="F116" s="4"/>
      <c r="G116" s="23"/>
      <c r="H116" s="23"/>
      <c r="I116" s="182"/>
      <c r="J116" s="182"/>
      <c r="L116" s="4"/>
    </row>
    <row r="117" spans="1:12" ht="15.75">
      <c r="A117" s="3"/>
      <c r="B117" s="161"/>
      <c r="C117" s="22"/>
      <c r="D117" s="22"/>
      <c r="E117" s="181"/>
      <c r="F117" s="4"/>
      <c r="G117" s="23"/>
      <c r="H117" s="23"/>
      <c r="I117" s="182"/>
      <c r="J117" s="182"/>
      <c r="L117" s="4"/>
    </row>
    <row r="118" spans="1:12" ht="15.75">
      <c r="A118" s="3"/>
      <c r="B118" s="161"/>
      <c r="C118" s="22"/>
      <c r="D118" s="22"/>
      <c r="E118" s="181"/>
      <c r="F118" s="4"/>
      <c r="G118" s="23"/>
      <c r="H118" s="23"/>
      <c r="I118" s="182"/>
      <c r="J118" s="182"/>
      <c r="L118" s="4"/>
    </row>
    <row r="119" spans="1:12" ht="15.75">
      <c r="A119" s="3"/>
      <c r="B119" s="161"/>
      <c r="C119" s="22"/>
      <c r="D119" s="22"/>
      <c r="E119" s="181"/>
      <c r="F119" s="4"/>
      <c r="G119" s="23"/>
      <c r="H119" s="23"/>
      <c r="I119" s="182"/>
      <c r="J119" s="182"/>
      <c r="L119" s="4"/>
    </row>
    <row r="120" spans="1:12" ht="15.75">
      <c r="A120" s="3"/>
      <c r="B120" s="161"/>
      <c r="C120" s="22"/>
      <c r="D120" s="22"/>
      <c r="E120" s="181"/>
      <c r="F120" s="4"/>
      <c r="G120" s="23"/>
      <c r="H120" s="23"/>
      <c r="I120" s="182"/>
      <c r="J120" s="182"/>
      <c r="L120" s="4"/>
    </row>
    <row r="121" spans="1:12" ht="15.75">
      <c r="A121" s="3"/>
      <c r="B121" s="161"/>
      <c r="C121" s="22"/>
      <c r="D121" s="22"/>
      <c r="E121" s="181"/>
      <c r="F121" s="4"/>
      <c r="G121" s="23"/>
      <c r="H121" s="23"/>
      <c r="I121" s="182"/>
      <c r="J121" s="182"/>
      <c r="L121" s="4"/>
    </row>
    <row r="122" spans="1:12" ht="15.75">
      <c r="A122" s="3"/>
      <c r="B122" s="161"/>
      <c r="C122" s="22"/>
      <c r="D122" s="22"/>
      <c r="E122" s="181"/>
      <c r="F122" s="4"/>
      <c r="G122" s="23"/>
      <c r="H122" s="23"/>
      <c r="I122" s="182"/>
      <c r="J122" s="182"/>
      <c r="L122" s="4"/>
    </row>
    <row r="123" spans="1:12" ht="15.75">
      <c r="A123" s="3"/>
      <c r="B123" s="161"/>
      <c r="C123" s="22"/>
      <c r="D123" s="22"/>
      <c r="E123" s="181"/>
      <c r="F123" s="4"/>
      <c r="G123" s="4"/>
      <c r="H123" s="4"/>
      <c r="I123" s="4"/>
      <c r="J123" s="4"/>
      <c r="L123" s="4"/>
    </row>
    <row r="124" spans="1:12" ht="15.75">
      <c r="A124" s="3"/>
      <c r="B124" s="161"/>
      <c r="C124" s="22"/>
      <c r="D124" s="22"/>
      <c r="E124" s="181"/>
      <c r="F124" s="4"/>
      <c r="G124" s="4"/>
      <c r="H124" s="4"/>
      <c r="I124" s="4"/>
      <c r="J124" s="4"/>
      <c r="L124" s="4"/>
    </row>
    <row r="125" spans="1:12" ht="15.75">
      <c r="A125" s="3"/>
      <c r="B125" s="161"/>
      <c r="C125" s="22"/>
      <c r="D125" s="22"/>
      <c r="E125" s="181"/>
      <c r="F125" s="4"/>
      <c r="G125" s="4"/>
      <c r="H125" s="4"/>
      <c r="I125" s="4"/>
      <c r="J125" s="4"/>
      <c r="L125" s="4"/>
    </row>
    <row r="126" spans="1:12" ht="15.75">
      <c r="A126" s="3"/>
      <c r="B126" s="161"/>
      <c r="C126" s="22"/>
      <c r="D126" s="22"/>
      <c r="E126" s="181"/>
      <c r="F126" s="4"/>
      <c r="G126" s="4"/>
      <c r="H126" s="4"/>
      <c r="I126" s="4"/>
      <c r="J126" s="4"/>
      <c r="L126" s="4"/>
    </row>
    <row r="127" spans="1:12" ht="15.75">
      <c r="A127" s="3"/>
      <c r="B127" s="161"/>
      <c r="C127" s="22"/>
      <c r="D127" s="22"/>
      <c r="E127" s="181"/>
      <c r="F127" s="4"/>
      <c r="G127" s="4"/>
      <c r="H127" s="4"/>
      <c r="I127" s="4"/>
      <c r="J127" s="4"/>
      <c r="L127" s="4"/>
    </row>
    <row r="128" spans="1:12" ht="15.75">
      <c r="A128" s="3"/>
      <c r="B128" s="161"/>
      <c r="C128" s="22"/>
      <c r="D128" s="22"/>
      <c r="E128" s="181"/>
      <c r="F128" s="4"/>
      <c r="G128" s="4"/>
      <c r="H128" s="4"/>
      <c r="I128" s="4"/>
      <c r="J128" s="4"/>
      <c r="L128" s="4"/>
    </row>
    <row r="129" spans="1:12" ht="15.75">
      <c r="A129" s="3"/>
      <c r="B129" s="161"/>
      <c r="C129" s="22"/>
      <c r="D129" s="22"/>
      <c r="E129" s="181"/>
      <c r="F129" s="4"/>
      <c r="G129" s="4"/>
      <c r="H129" s="4"/>
      <c r="I129" s="4"/>
      <c r="J129" s="4"/>
      <c r="L129" s="4"/>
    </row>
    <row r="130" spans="1:12" ht="15.75">
      <c r="A130" s="3"/>
      <c r="B130" s="161"/>
      <c r="C130" s="22"/>
      <c r="D130" s="22"/>
      <c r="E130" s="181"/>
      <c r="F130" s="4"/>
      <c r="G130" s="4"/>
      <c r="H130" s="4"/>
      <c r="I130" s="4"/>
      <c r="J130" s="4"/>
      <c r="L130" s="4"/>
    </row>
    <row r="131" spans="1:12" ht="15.75">
      <c r="A131" s="3"/>
      <c r="B131" s="161"/>
      <c r="C131" s="22"/>
      <c r="D131" s="22"/>
      <c r="E131" s="181"/>
      <c r="F131" s="4"/>
      <c r="G131" s="4"/>
      <c r="H131" s="4"/>
      <c r="I131" s="4"/>
      <c r="J131" s="4"/>
      <c r="L131" s="4"/>
    </row>
    <row r="132" spans="1:12" ht="15.75">
      <c r="A132" s="3"/>
      <c r="B132" s="161"/>
      <c r="C132" s="22"/>
      <c r="D132" s="22"/>
      <c r="E132" s="181"/>
      <c r="F132" s="4"/>
      <c r="G132" s="4"/>
      <c r="H132" s="4"/>
      <c r="I132" s="4"/>
      <c r="J132" s="4"/>
      <c r="L132" s="4"/>
    </row>
    <row r="133" spans="1:12" ht="15.75">
      <c r="A133" s="3"/>
      <c r="B133" s="161"/>
      <c r="C133" s="22"/>
      <c r="D133" s="22"/>
      <c r="E133" s="181"/>
      <c r="F133" s="4"/>
      <c r="G133" s="4"/>
      <c r="H133" s="4"/>
      <c r="I133" s="4"/>
      <c r="J133" s="4"/>
      <c r="L133" s="4"/>
    </row>
    <row r="134" spans="1:12" ht="15.75">
      <c r="A134" s="3"/>
      <c r="B134" s="161"/>
      <c r="C134" s="22"/>
      <c r="D134" s="22"/>
      <c r="E134" s="181"/>
      <c r="F134" s="4"/>
      <c r="G134" s="4"/>
      <c r="H134" s="4"/>
      <c r="I134" s="4"/>
      <c r="J134" s="4"/>
      <c r="L134" s="4"/>
    </row>
    <row r="135" spans="1:12" ht="15.75">
      <c r="A135" s="3"/>
      <c r="B135" s="161"/>
      <c r="C135" s="22"/>
      <c r="D135" s="22"/>
      <c r="E135" s="181"/>
      <c r="F135" s="4"/>
      <c r="G135" s="4"/>
      <c r="H135" s="4"/>
      <c r="I135" s="4"/>
      <c r="J135" s="4"/>
      <c r="L135" s="4"/>
    </row>
    <row r="136" spans="1:12" ht="15.75">
      <c r="A136" s="3"/>
      <c r="B136" s="161"/>
      <c r="C136" s="22"/>
      <c r="D136" s="22"/>
      <c r="E136" s="181"/>
      <c r="F136" s="4"/>
      <c r="G136" s="4"/>
      <c r="H136" s="4"/>
      <c r="I136" s="4"/>
      <c r="J136" s="4"/>
      <c r="L136" s="4"/>
    </row>
    <row r="137" spans="1:12" ht="15.75">
      <c r="A137" s="3"/>
      <c r="B137" s="161"/>
      <c r="C137" s="22"/>
      <c r="D137" s="22"/>
      <c r="E137" s="181"/>
      <c r="F137" s="4"/>
      <c r="G137" s="4"/>
      <c r="H137" s="4"/>
      <c r="I137" s="4"/>
      <c r="J137" s="4"/>
      <c r="L137" s="4"/>
    </row>
    <row r="138" spans="1:12" ht="15.75">
      <c r="A138" s="3"/>
      <c r="B138" s="161"/>
      <c r="C138" s="22"/>
      <c r="D138" s="22"/>
      <c r="E138" s="181"/>
      <c r="F138" s="4"/>
      <c r="G138" s="4"/>
      <c r="H138" s="4"/>
      <c r="I138" s="4"/>
      <c r="J138" s="4"/>
      <c r="L138" s="4"/>
    </row>
    <row r="139" spans="1:12" ht="15.75">
      <c r="A139" s="3"/>
      <c r="B139" s="161"/>
      <c r="C139" s="22"/>
      <c r="D139" s="22"/>
      <c r="E139" s="181"/>
      <c r="F139" s="4"/>
      <c r="G139" s="4"/>
      <c r="H139" s="4"/>
      <c r="I139" s="4"/>
      <c r="J139" s="4"/>
      <c r="L139" s="4"/>
    </row>
    <row r="140" spans="1:12" ht="15.75">
      <c r="A140" s="3"/>
      <c r="B140" s="161"/>
      <c r="C140" s="22"/>
      <c r="D140" s="22"/>
      <c r="E140" s="181"/>
      <c r="F140" s="4"/>
      <c r="G140" s="4"/>
      <c r="H140" s="4"/>
      <c r="I140" s="4"/>
      <c r="J140" s="4"/>
      <c r="L140" s="4"/>
    </row>
    <row r="141" spans="1:12" ht="15.75">
      <c r="A141" s="3"/>
      <c r="B141" s="161"/>
      <c r="C141" s="22"/>
      <c r="D141" s="22"/>
      <c r="E141" s="181"/>
      <c r="F141" s="4"/>
      <c r="G141" s="4"/>
      <c r="H141" s="4"/>
      <c r="I141" s="4"/>
      <c r="J141" s="4"/>
      <c r="L141" s="4"/>
    </row>
    <row r="142" spans="1:12" ht="15.75">
      <c r="A142" s="3"/>
      <c r="B142" s="161"/>
      <c r="C142" s="22"/>
      <c r="D142" s="22"/>
      <c r="E142" s="181"/>
      <c r="F142" s="4"/>
      <c r="G142" s="4"/>
      <c r="H142" s="4"/>
      <c r="I142" s="4"/>
      <c r="J142" s="4"/>
      <c r="L142" s="4"/>
    </row>
    <row r="143" spans="1:12" ht="15.75">
      <c r="A143" s="3"/>
      <c r="B143" s="161"/>
      <c r="C143" s="22"/>
      <c r="D143" s="22"/>
      <c r="E143" s="181"/>
      <c r="F143" s="4"/>
      <c r="G143" s="4"/>
      <c r="H143" s="4"/>
      <c r="I143" s="4"/>
      <c r="J143" s="4"/>
      <c r="L143" s="4"/>
    </row>
    <row r="144" spans="1:12" ht="15.75">
      <c r="A144" s="3"/>
      <c r="B144" s="161"/>
      <c r="C144" s="22"/>
      <c r="D144" s="22"/>
      <c r="E144" s="181"/>
      <c r="F144" s="4"/>
      <c r="G144" s="4"/>
      <c r="H144" s="4"/>
      <c r="I144" s="4"/>
      <c r="J144" s="4"/>
      <c r="L144" s="4"/>
    </row>
    <row r="145" spans="1:12" ht="15.75">
      <c r="A145" s="3"/>
      <c r="B145" s="161"/>
      <c r="C145" s="22"/>
      <c r="D145" s="22"/>
      <c r="E145" s="181"/>
      <c r="F145" s="4"/>
      <c r="G145" s="4"/>
      <c r="H145" s="4"/>
      <c r="I145" s="4"/>
      <c r="J145" s="4"/>
      <c r="L145" s="4"/>
    </row>
    <row r="146" spans="1:12" ht="15.75">
      <c r="A146" s="3"/>
      <c r="B146" s="161"/>
      <c r="C146" s="22"/>
      <c r="D146" s="22"/>
      <c r="E146" s="181"/>
      <c r="F146" s="4"/>
      <c r="G146" s="4"/>
      <c r="H146" s="4"/>
      <c r="I146" s="4"/>
      <c r="J146" s="4"/>
      <c r="L146" s="4"/>
    </row>
    <row r="147" spans="1:12" ht="15.75">
      <c r="A147" s="3"/>
      <c r="B147" s="161"/>
      <c r="C147" s="22"/>
      <c r="D147" s="22"/>
      <c r="E147" s="181"/>
      <c r="F147" s="4"/>
      <c r="G147" s="4"/>
      <c r="H147" s="4"/>
      <c r="I147" s="4"/>
      <c r="J147" s="4"/>
      <c r="L147" s="4"/>
    </row>
    <row r="148" spans="1:12" ht="15.75">
      <c r="A148" s="3"/>
      <c r="B148" s="161"/>
      <c r="C148" s="22"/>
      <c r="D148" s="22"/>
      <c r="E148" s="181"/>
      <c r="F148" s="4"/>
      <c r="G148" s="4"/>
      <c r="H148" s="4"/>
      <c r="I148" s="4"/>
      <c r="J148" s="4"/>
      <c r="L148" s="4"/>
    </row>
    <row r="149" spans="1:12" ht="15.75">
      <c r="A149" s="3"/>
      <c r="B149" s="161"/>
      <c r="C149" s="22"/>
      <c r="D149" s="22"/>
      <c r="E149" s="181"/>
      <c r="F149" s="4"/>
      <c r="G149" s="4"/>
      <c r="H149" s="4"/>
      <c r="I149" s="4"/>
      <c r="J149" s="4"/>
      <c r="L149" s="4"/>
    </row>
    <row r="150" spans="1:12" ht="15.75">
      <c r="A150" s="3"/>
      <c r="B150" s="161"/>
      <c r="C150" s="22"/>
      <c r="D150" s="22"/>
      <c r="E150" s="181"/>
      <c r="F150" s="4"/>
      <c r="G150" s="4"/>
      <c r="H150" s="4"/>
      <c r="I150" s="4"/>
      <c r="J150" s="4"/>
      <c r="L150" s="4"/>
    </row>
    <row r="151" spans="1:12" ht="15.75">
      <c r="A151" s="3"/>
      <c r="B151" s="161"/>
      <c r="C151" s="22"/>
      <c r="D151" s="22"/>
      <c r="E151" s="181"/>
      <c r="F151" s="4"/>
      <c r="G151" s="4"/>
      <c r="H151" s="4"/>
      <c r="I151" s="4"/>
      <c r="J151" s="4"/>
      <c r="L151" s="4"/>
    </row>
    <row r="152" spans="1:12" ht="15.75">
      <c r="A152" s="3"/>
      <c r="B152" s="161"/>
      <c r="C152" s="22"/>
      <c r="D152" s="22"/>
      <c r="E152" s="181"/>
      <c r="F152" s="4"/>
      <c r="G152" s="4"/>
      <c r="H152" s="4"/>
      <c r="I152" s="4"/>
      <c r="J152" s="4"/>
      <c r="L152" s="4"/>
    </row>
    <row r="153" spans="1:12" ht="15.75">
      <c r="A153" s="3"/>
      <c r="B153" s="161"/>
      <c r="C153" s="22"/>
      <c r="D153" s="22"/>
      <c r="E153" s="181"/>
      <c r="F153" s="4"/>
      <c r="G153" s="4"/>
      <c r="H153" s="4"/>
      <c r="I153" s="4"/>
      <c r="J153" s="4"/>
      <c r="L153" s="4"/>
    </row>
    <row r="154" spans="1:12" ht="15.75">
      <c r="A154" s="3"/>
      <c r="B154" s="161"/>
      <c r="C154" s="22"/>
      <c r="D154" s="22"/>
      <c r="E154" s="181"/>
      <c r="F154" s="4"/>
      <c r="G154" s="4"/>
      <c r="H154" s="4"/>
      <c r="I154" s="4"/>
      <c r="J154" s="4"/>
      <c r="L154" s="4"/>
    </row>
    <row r="155" spans="1:12" ht="15.75">
      <c r="A155" s="3"/>
      <c r="B155" s="161"/>
      <c r="C155" s="22"/>
      <c r="D155" s="22"/>
      <c r="E155" s="4"/>
      <c r="F155" s="4"/>
      <c r="G155" s="4"/>
      <c r="H155" s="4"/>
      <c r="I155" s="4"/>
      <c r="J155" s="4"/>
      <c r="L155" s="4"/>
    </row>
    <row r="156" spans="1:12" ht="15.75">
      <c r="A156" s="3"/>
      <c r="B156" s="161"/>
      <c r="C156" s="22"/>
      <c r="D156" s="22"/>
      <c r="E156" s="4"/>
      <c r="F156" s="4"/>
      <c r="G156" s="4"/>
      <c r="H156" s="4"/>
      <c r="I156" s="4"/>
      <c r="J156" s="4"/>
      <c r="L156" s="4"/>
    </row>
    <row r="157" spans="1:12" ht="15.75">
      <c r="A157" s="3"/>
      <c r="B157" s="161"/>
      <c r="C157" s="22"/>
      <c r="D157" s="22"/>
      <c r="E157" s="4"/>
      <c r="F157" s="4"/>
      <c r="G157" s="4"/>
      <c r="H157" s="4"/>
      <c r="I157" s="4"/>
      <c r="J157" s="4"/>
      <c r="L157" s="4"/>
    </row>
    <row r="158" spans="1:12" ht="15.75">
      <c r="A158" s="3"/>
      <c r="B158" s="161"/>
      <c r="C158" s="22"/>
      <c r="D158" s="22"/>
      <c r="E158" s="4"/>
      <c r="F158" s="4"/>
      <c r="G158" s="4"/>
      <c r="H158" s="4"/>
      <c r="I158" s="4"/>
      <c r="J158" s="4"/>
      <c r="L158" s="4"/>
    </row>
    <row r="159" spans="1:12" ht="15.75">
      <c r="A159" s="3"/>
      <c r="B159" s="161"/>
      <c r="C159" s="22"/>
      <c r="D159" s="22"/>
      <c r="E159" s="4"/>
      <c r="F159" s="4"/>
      <c r="G159" s="4"/>
      <c r="H159" s="4"/>
      <c r="I159" s="4"/>
      <c r="J159" s="4"/>
      <c r="L159" s="4"/>
    </row>
    <row r="160" spans="1:12" ht="15.75">
      <c r="A160" s="3"/>
      <c r="B160" s="161"/>
      <c r="C160" s="22"/>
      <c r="D160" s="22"/>
      <c r="E160" s="4"/>
      <c r="F160" s="4"/>
      <c r="G160" s="4"/>
      <c r="H160" s="4"/>
      <c r="I160" s="4"/>
      <c r="J160" s="4"/>
      <c r="L160" s="4"/>
    </row>
    <row r="161" spans="1:12" ht="15.75">
      <c r="A161" s="3"/>
      <c r="B161" s="161"/>
      <c r="C161" s="3"/>
      <c r="D161" s="3"/>
      <c r="E161" s="4"/>
      <c r="F161" s="4"/>
      <c r="G161" s="4"/>
      <c r="H161" s="4"/>
      <c r="I161" s="4"/>
      <c r="J161" s="4"/>
      <c r="L161" s="4"/>
    </row>
    <row r="162" spans="1:12" ht="15.75">
      <c r="A162" s="3"/>
      <c r="B162" s="161"/>
      <c r="C162" s="3"/>
      <c r="D162" s="3"/>
      <c r="E162" s="4"/>
      <c r="F162" s="4"/>
      <c r="G162" s="4"/>
      <c r="H162" s="4"/>
      <c r="I162" s="4"/>
      <c r="J162" s="4"/>
      <c r="L162" s="4"/>
    </row>
    <row r="163" spans="1:12" ht="15.75">
      <c r="A163" s="3"/>
      <c r="B163" s="161"/>
      <c r="C163" s="3"/>
      <c r="D163" s="3"/>
      <c r="E163" s="4"/>
      <c r="F163" s="4"/>
      <c r="G163" s="4"/>
      <c r="H163" s="4"/>
      <c r="I163" s="4"/>
      <c r="J163" s="4"/>
      <c r="L163" s="4"/>
    </row>
    <row r="164" spans="1:12" ht="15.75">
      <c r="A164" s="3"/>
      <c r="B164" s="161"/>
      <c r="C164" s="3"/>
      <c r="D164" s="3"/>
      <c r="E164" s="4"/>
      <c r="F164" s="4"/>
      <c r="G164" s="4"/>
      <c r="H164" s="4"/>
      <c r="I164" s="4"/>
      <c r="J164" s="4"/>
      <c r="L164" s="4"/>
    </row>
    <row r="165" spans="1:12" ht="15.75">
      <c r="A165" s="3"/>
      <c r="B165" s="161"/>
      <c r="C165" s="3"/>
      <c r="D165" s="3"/>
      <c r="E165" s="4"/>
      <c r="F165" s="4"/>
      <c r="G165" s="4"/>
      <c r="H165" s="4"/>
      <c r="I165" s="4"/>
      <c r="J165" s="4"/>
      <c r="L165" s="4"/>
    </row>
    <row r="166" spans="1:12" ht="15.75">
      <c r="A166" s="3"/>
      <c r="B166" s="161"/>
      <c r="C166" s="3"/>
      <c r="D166" s="3"/>
      <c r="E166" s="4"/>
      <c r="F166" s="4"/>
      <c r="G166" s="4"/>
      <c r="H166" s="4"/>
      <c r="I166" s="4"/>
      <c r="J166" s="4"/>
      <c r="L166" s="4"/>
    </row>
    <row r="167" spans="1:12" ht="15.75">
      <c r="A167" s="3"/>
      <c r="B167" s="161"/>
      <c r="C167" s="3"/>
      <c r="D167" s="3"/>
      <c r="E167" s="4"/>
      <c r="F167" s="4"/>
      <c r="G167" s="4"/>
      <c r="H167" s="4"/>
      <c r="I167" s="4"/>
      <c r="J167" s="4"/>
      <c r="L167" s="4"/>
    </row>
    <row r="168" spans="1:12" ht="15.75">
      <c r="A168" s="3"/>
      <c r="B168" s="161"/>
      <c r="C168" s="3"/>
      <c r="D168" s="3"/>
      <c r="E168" s="4"/>
      <c r="F168" s="4"/>
      <c r="G168" s="4"/>
      <c r="H168" s="4"/>
      <c r="I168" s="4"/>
      <c r="J168" s="4"/>
      <c r="L168" s="4"/>
    </row>
    <row r="169" spans="1:12" ht="15.75">
      <c r="A169" s="3"/>
      <c r="B169" s="161"/>
      <c r="C169" s="3"/>
      <c r="D169" s="3"/>
      <c r="E169" s="4"/>
      <c r="F169" s="4"/>
      <c r="G169" s="4"/>
      <c r="H169" s="4"/>
      <c r="I169" s="4"/>
      <c r="J169" s="4"/>
      <c r="L169" s="4"/>
    </row>
    <row r="170" spans="1:12" ht="15.75">
      <c r="A170" s="3"/>
      <c r="B170" s="161"/>
      <c r="C170" s="3"/>
      <c r="D170" s="3"/>
      <c r="E170" s="4"/>
      <c r="F170" s="4"/>
      <c r="G170" s="4"/>
      <c r="H170" s="4"/>
      <c r="I170" s="4"/>
      <c r="J170" s="4"/>
      <c r="L170" s="4"/>
    </row>
    <row r="171" spans="1:12" ht="15.75">
      <c r="A171" s="3"/>
      <c r="B171" s="161"/>
      <c r="C171" s="3"/>
      <c r="D171" s="3"/>
      <c r="E171" s="4"/>
      <c r="F171" s="4"/>
      <c r="G171" s="4"/>
      <c r="H171" s="4"/>
      <c r="I171" s="4"/>
      <c r="J171" s="4"/>
      <c r="L171" s="4"/>
    </row>
    <row r="172" spans="1:12" ht="15.75">
      <c r="A172" s="3"/>
      <c r="B172" s="161"/>
      <c r="C172" s="3"/>
      <c r="D172" s="3"/>
      <c r="E172" s="4"/>
      <c r="F172" s="4"/>
      <c r="G172" s="4"/>
      <c r="H172" s="4"/>
      <c r="I172" s="4"/>
      <c r="J172" s="4"/>
      <c r="L172" s="4"/>
    </row>
    <row r="173" spans="1:12" ht="15.75">
      <c r="A173" s="3"/>
      <c r="B173" s="161"/>
      <c r="C173" s="3"/>
      <c r="D173" s="3"/>
      <c r="E173" s="4"/>
      <c r="F173" s="4"/>
      <c r="G173" s="4"/>
      <c r="H173" s="4"/>
      <c r="I173" s="4"/>
      <c r="J173" s="4"/>
      <c r="L173" s="4"/>
    </row>
    <row r="174" spans="1:12" ht="15.75">
      <c r="A174" s="3"/>
      <c r="B174" s="161"/>
      <c r="C174" s="3"/>
      <c r="D174" s="3"/>
      <c r="E174" s="4"/>
      <c r="F174" s="4"/>
      <c r="G174" s="4"/>
      <c r="H174" s="4"/>
      <c r="I174" s="4"/>
      <c r="J174" s="4"/>
      <c r="L174" s="4"/>
    </row>
    <row r="175" spans="1:12" ht="15.75">
      <c r="A175" s="3"/>
      <c r="B175" s="161"/>
      <c r="C175" s="3"/>
      <c r="D175" s="3"/>
      <c r="E175" s="4"/>
      <c r="F175" s="4"/>
      <c r="G175" s="4"/>
      <c r="H175" s="4"/>
      <c r="I175" s="4"/>
      <c r="J175" s="4"/>
      <c r="L175" s="4"/>
    </row>
    <row r="176" spans="1:12" ht="15.75">
      <c r="A176" s="3"/>
      <c r="B176" s="161"/>
      <c r="C176" s="3"/>
      <c r="D176" s="3"/>
      <c r="E176" s="4"/>
      <c r="F176" s="4"/>
      <c r="G176" s="4"/>
      <c r="H176" s="4"/>
      <c r="I176" s="4"/>
      <c r="J176" s="4"/>
      <c r="L176" s="4"/>
    </row>
    <row r="177" spans="1:12" ht="15.75">
      <c r="A177" s="3"/>
      <c r="B177" s="161"/>
      <c r="C177" s="3"/>
      <c r="D177" s="3"/>
      <c r="E177" s="4"/>
      <c r="F177" s="4"/>
      <c r="G177" s="4"/>
      <c r="H177" s="4"/>
      <c r="I177" s="4"/>
      <c r="J177" s="4"/>
      <c r="L177" s="4"/>
    </row>
    <row r="178" spans="1:12" ht="15.75">
      <c r="A178" s="3"/>
      <c r="B178" s="161"/>
      <c r="C178" s="3"/>
      <c r="D178" s="3"/>
      <c r="E178" s="4"/>
      <c r="F178" s="4"/>
      <c r="G178" s="4"/>
      <c r="H178" s="4"/>
      <c r="I178" s="4"/>
      <c r="J178" s="4"/>
      <c r="L178" s="4"/>
    </row>
    <row r="179" spans="1:12" ht="15.75">
      <c r="A179" s="3"/>
      <c r="B179" s="161"/>
      <c r="C179" s="3"/>
      <c r="D179" s="3"/>
      <c r="E179" s="4"/>
      <c r="F179" s="4"/>
      <c r="G179" s="4"/>
      <c r="H179" s="4"/>
      <c r="I179" s="4"/>
      <c r="J179" s="4"/>
      <c r="L179" s="4"/>
    </row>
    <row r="180" spans="1:12" ht="15.75">
      <c r="A180" s="3"/>
      <c r="B180" s="161"/>
      <c r="C180" s="3"/>
      <c r="D180" s="3"/>
      <c r="E180" s="4"/>
      <c r="F180" s="4"/>
      <c r="G180" s="4"/>
      <c r="H180" s="4"/>
      <c r="I180" s="4"/>
      <c r="J180" s="4"/>
      <c r="L180" s="4"/>
    </row>
    <row r="181" spans="1:12" ht="15.75">
      <c r="A181" s="3"/>
      <c r="B181" s="161"/>
      <c r="C181" s="3"/>
      <c r="D181" s="3"/>
      <c r="E181" s="4"/>
      <c r="F181" s="4"/>
      <c r="G181" s="4"/>
      <c r="H181" s="4"/>
      <c r="I181" s="4"/>
      <c r="J181" s="4"/>
      <c r="L181" s="4"/>
    </row>
    <row r="182" spans="1:12" ht="15.75">
      <c r="A182" s="3"/>
      <c r="B182" s="161"/>
      <c r="C182" s="3"/>
      <c r="D182" s="3"/>
      <c r="E182" s="4"/>
      <c r="F182" s="4"/>
      <c r="G182" s="4"/>
      <c r="H182" s="4"/>
      <c r="I182" s="4"/>
      <c r="J182" s="4"/>
      <c r="L182" s="4"/>
    </row>
    <row r="183" spans="1:12" ht="15.75">
      <c r="A183" s="3"/>
      <c r="B183" s="161"/>
      <c r="C183" s="3"/>
      <c r="D183" s="3"/>
      <c r="E183" s="4"/>
      <c r="F183" s="4"/>
      <c r="G183" s="4"/>
      <c r="H183" s="4"/>
      <c r="I183" s="4"/>
      <c r="J183" s="4"/>
      <c r="L183" s="4"/>
    </row>
    <row r="184" spans="1:12" ht="15.75">
      <c r="A184" s="3"/>
      <c r="B184" s="161"/>
      <c r="C184" s="3"/>
      <c r="D184" s="3"/>
      <c r="E184" s="4"/>
      <c r="F184" s="4"/>
      <c r="G184" s="4"/>
      <c r="H184" s="4"/>
      <c r="I184" s="4"/>
      <c r="J184" s="4"/>
      <c r="L184" s="4"/>
    </row>
    <row r="185" spans="1:12" ht="15.75">
      <c r="A185" s="3"/>
      <c r="B185" s="161"/>
      <c r="C185" s="3"/>
      <c r="D185" s="3"/>
      <c r="E185" s="4"/>
      <c r="F185" s="4"/>
      <c r="G185" s="4"/>
      <c r="H185" s="4"/>
      <c r="I185" s="4"/>
      <c r="J185" s="4"/>
      <c r="L185" s="4"/>
    </row>
    <row r="186" spans="1:12" ht="15.75">
      <c r="A186" s="3"/>
      <c r="B186" s="161"/>
      <c r="C186" s="3"/>
      <c r="D186" s="3"/>
      <c r="E186" s="4"/>
      <c r="F186" s="4"/>
      <c r="G186" s="4"/>
      <c r="H186" s="4"/>
      <c r="I186" s="4"/>
      <c r="J186" s="4"/>
      <c r="L186" s="4"/>
    </row>
    <row r="187" spans="1:12" ht="15.75">
      <c r="A187" s="3"/>
      <c r="B187" s="161"/>
      <c r="C187" s="3"/>
      <c r="D187" s="3"/>
      <c r="E187" s="4"/>
      <c r="F187" s="4"/>
      <c r="G187" s="4"/>
      <c r="H187" s="4"/>
      <c r="I187" s="4"/>
      <c r="J187" s="4"/>
      <c r="L187" s="4"/>
    </row>
    <row r="188" spans="1:12" ht="15.75">
      <c r="A188" s="3"/>
      <c r="B188" s="161"/>
      <c r="C188" s="3"/>
      <c r="D188" s="3"/>
      <c r="E188" s="4"/>
      <c r="F188" s="4"/>
      <c r="G188" s="4"/>
      <c r="H188" s="4"/>
      <c r="I188" s="4"/>
      <c r="J188" s="4"/>
      <c r="L188" s="4"/>
    </row>
    <row r="189" spans="1:12" ht="15.75">
      <c r="A189" s="3"/>
      <c r="B189" s="161"/>
      <c r="C189" s="3"/>
      <c r="D189" s="3"/>
      <c r="E189" s="4"/>
      <c r="F189" s="4"/>
      <c r="G189" s="4"/>
      <c r="H189" s="4"/>
      <c r="I189" s="4"/>
      <c r="J189" s="4"/>
      <c r="L189" s="4"/>
    </row>
    <row r="190" spans="1:12" ht="15.75">
      <c r="A190" s="3"/>
      <c r="B190" s="161"/>
      <c r="C190" s="3"/>
      <c r="D190" s="3"/>
      <c r="E190" s="4"/>
      <c r="F190" s="4"/>
      <c r="G190" s="4"/>
      <c r="H190" s="4"/>
      <c r="I190" s="4"/>
      <c r="J190" s="4"/>
      <c r="L190" s="4"/>
    </row>
    <row r="191" spans="1:12" ht="15.75">
      <c r="A191" s="3"/>
      <c r="B191" s="161"/>
      <c r="C191" s="3"/>
      <c r="D191" s="3"/>
      <c r="E191" s="4"/>
      <c r="F191" s="4"/>
      <c r="G191" s="4"/>
      <c r="H191" s="4"/>
      <c r="I191" s="4"/>
      <c r="J191" s="4"/>
      <c r="L191" s="4"/>
    </row>
    <row r="192" spans="1:12" ht="15.75">
      <c r="A192" s="3"/>
      <c r="B192" s="161"/>
      <c r="C192" s="3"/>
      <c r="D192" s="3"/>
      <c r="E192" s="4"/>
      <c r="F192" s="4"/>
      <c r="G192" s="4"/>
      <c r="H192" s="4"/>
      <c r="I192" s="4"/>
      <c r="J192" s="4"/>
      <c r="L192" s="4"/>
    </row>
    <row r="193" spans="1:12" ht="15.75">
      <c r="A193" s="3"/>
      <c r="B193" s="161"/>
      <c r="C193" s="3"/>
      <c r="D193" s="3"/>
      <c r="E193" s="4"/>
      <c r="F193" s="4"/>
      <c r="G193" s="4"/>
      <c r="H193" s="4"/>
      <c r="I193" s="4"/>
      <c r="J193" s="4"/>
      <c r="L193" s="4"/>
    </row>
    <row r="194" spans="1:12" ht="15.75">
      <c r="A194" s="3"/>
      <c r="B194" s="161"/>
      <c r="C194" s="3"/>
      <c r="D194" s="3"/>
      <c r="E194" s="4"/>
      <c r="F194" s="4"/>
      <c r="G194" s="4"/>
      <c r="H194" s="4"/>
      <c r="I194" s="4"/>
      <c r="J194" s="4"/>
      <c r="L194" s="4"/>
    </row>
    <row r="195" spans="1:12" ht="15.75">
      <c r="A195" s="3"/>
      <c r="B195" s="161"/>
      <c r="C195" s="3"/>
      <c r="D195" s="3"/>
      <c r="E195" s="4"/>
      <c r="F195" s="4"/>
      <c r="G195" s="4"/>
      <c r="H195" s="4"/>
      <c r="I195" s="4"/>
      <c r="J195" s="4"/>
      <c r="L195" s="4"/>
    </row>
    <row r="196" spans="1:12" ht="15.75">
      <c r="A196" s="3"/>
      <c r="B196" s="161"/>
      <c r="C196" s="3"/>
      <c r="D196" s="3"/>
      <c r="E196" s="4"/>
      <c r="F196" s="4"/>
      <c r="G196" s="4"/>
      <c r="H196" s="4"/>
      <c r="I196" s="4"/>
      <c r="J196" s="4"/>
      <c r="L196" s="4"/>
    </row>
    <row r="197" spans="1:12" ht="15.75">
      <c r="A197" s="3"/>
      <c r="B197" s="161"/>
      <c r="C197" s="3"/>
      <c r="D197" s="3"/>
      <c r="E197" s="4"/>
      <c r="F197" s="4"/>
      <c r="G197" s="4"/>
      <c r="H197" s="4"/>
      <c r="I197" s="4"/>
      <c r="J197" s="4"/>
      <c r="L197" s="4"/>
    </row>
    <row r="198" spans="1:12" ht="15.75">
      <c r="A198" s="3"/>
      <c r="B198" s="161"/>
      <c r="C198" s="3"/>
      <c r="D198" s="3"/>
      <c r="E198" s="4"/>
      <c r="F198" s="4"/>
      <c r="G198" s="4"/>
      <c r="H198" s="4"/>
      <c r="I198" s="4"/>
      <c r="J198" s="4"/>
      <c r="L198" s="4"/>
    </row>
    <row r="199" spans="1:12" ht="15.75">
      <c r="A199" s="3"/>
      <c r="B199" s="161"/>
      <c r="C199" s="3"/>
      <c r="D199" s="3"/>
      <c r="E199" s="4"/>
      <c r="F199" s="4"/>
      <c r="G199" s="4"/>
      <c r="H199" s="4"/>
      <c r="I199" s="4"/>
      <c r="J199" s="4"/>
      <c r="L199" s="4"/>
    </row>
    <row r="200" spans="1:12" ht="15.75">
      <c r="A200" s="3"/>
      <c r="B200" s="161"/>
      <c r="C200" s="3"/>
      <c r="D200" s="3"/>
      <c r="E200" s="4"/>
      <c r="F200" s="4"/>
      <c r="G200" s="4"/>
      <c r="H200" s="4"/>
      <c r="I200" s="4"/>
      <c r="J200" s="4"/>
      <c r="L200" s="4"/>
    </row>
    <row r="201" spans="1:12" ht="15.75">
      <c r="A201" s="3"/>
      <c r="B201" s="161"/>
      <c r="C201" s="3"/>
      <c r="D201" s="3"/>
      <c r="E201" s="4"/>
      <c r="F201" s="4"/>
      <c r="G201" s="4"/>
      <c r="H201" s="4"/>
      <c r="I201" s="4"/>
      <c r="J201" s="4"/>
      <c r="L201" s="4"/>
    </row>
    <row r="202" spans="1:12" ht="15.75">
      <c r="A202" s="3"/>
      <c r="B202" s="161"/>
      <c r="C202" s="3"/>
      <c r="D202" s="3"/>
      <c r="E202" s="4"/>
      <c r="F202" s="4"/>
      <c r="G202" s="4"/>
      <c r="H202" s="4"/>
      <c r="I202" s="4"/>
      <c r="J202" s="4"/>
      <c r="L202" s="4"/>
    </row>
    <row r="203" spans="1:12" ht="15.75">
      <c r="A203" s="3"/>
      <c r="B203" s="161"/>
      <c r="C203" s="3"/>
      <c r="D203" s="3"/>
      <c r="E203" s="4"/>
      <c r="F203" s="4"/>
      <c r="G203" s="4"/>
      <c r="H203" s="4"/>
      <c r="I203" s="4"/>
      <c r="J203" s="4"/>
      <c r="L203" s="4"/>
    </row>
    <row r="204" spans="1:12" ht="15.75">
      <c r="A204" s="3"/>
      <c r="B204" s="161"/>
      <c r="C204" s="3"/>
      <c r="D204" s="3"/>
      <c r="E204" s="4"/>
      <c r="F204" s="4"/>
      <c r="G204" s="4"/>
      <c r="H204" s="4"/>
      <c r="I204" s="4"/>
      <c r="J204" s="4"/>
      <c r="L204" s="4"/>
    </row>
    <row r="205" spans="1:12" ht="15.75">
      <c r="A205" s="3"/>
      <c r="B205" s="161"/>
      <c r="C205" s="3"/>
      <c r="D205" s="3"/>
      <c r="E205" s="4"/>
      <c r="F205" s="4"/>
      <c r="G205" s="4"/>
      <c r="H205" s="4"/>
      <c r="I205" s="4"/>
      <c r="J205" s="4"/>
      <c r="L205" s="4"/>
    </row>
    <row r="206" spans="1:12" ht="15.75">
      <c r="A206" s="3"/>
      <c r="B206" s="161"/>
      <c r="C206" s="3"/>
      <c r="D206" s="3"/>
      <c r="E206" s="4"/>
      <c r="F206" s="4"/>
      <c r="G206" s="4"/>
      <c r="H206" s="4"/>
      <c r="I206" s="4"/>
      <c r="J206" s="4"/>
      <c r="L206" s="4"/>
    </row>
    <row r="207" spans="1:12" ht="15.75">
      <c r="A207" s="3"/>
      <c r="B207" s="161"/>
      <c r="C207" s="3"/>
      <c r="D207" s="3"/>
      <c r="E207" s="4"/>
      <c r="F207" s="4"/>
      <c r="G207" s="4"/>
      <c r="H207" s="4"/>
      <c r="I207" s="4"/>
      <c r="J207" s="4"/>
      <c r="L207" s="4"/>
    </row>
    <row r="208" spans="1:12" ht="15.75">
      <c r="A208" s="3"/>
      <c r="B208" s="161"/>
      <c r="C208" s="3"/>
      <c r="D208" s="3"/>
      <c r="E208" s="4"/>
      <c r="F208" s="4"/>
      <c r="G208" s="4"/>
      <c r="H208" s="4"/>
      <c r="I208" s="4"/>
      <c r="J208" s="4"/>
      <c r="L208" s="4"/>
    </row>
    <row r="209" spans="1:12" ht="15.75">
      <c r="A209" s="3"/>
      <c r="B209" s="161"/>
      <c r="C209" s="3"/>
      <c r="D209" s="3"/>
      <c r="E209" s="4"/>
      <c r="F209" s="4"/>
      <c r="G209" s="4"/>
      <c r="H209" s="4"/>
      <c r="I209" s="4"/>
      <c r="J209" s="4"/>
      <c r="L209" s="4"/>
    </row>
    <row r="210" spans="1:12" ht="15.75">
      <c r="A210" s="3"/>
      <c r="B210" s="161"/>
      <c r="C210" s="3"/>
      <c r="D210" s="3"/>
      <c r="E210" s="4"/>
      <c r="F210" s="4"/>
      <c r="G210" s="4"/>
      <c r="H210" s="4"/>
      <c r="I210" s="4"/>
      <c r="J210" s="4"/>
      <c r="L210" s="4"/>
    </row>
    <row r="211" spans="1:12" ht="15.75">
      <c r="A211" s="3"/>
      <c r="B211" s="161"/>
      <c r="C211" s="3"/>
      <c r="D211" s="3"/>
      <c r="E211" s="4"/>
      <c r="F211" s="4"/>
      <c r="G211" s="4"/>
      <c r="H211" s="4"/>
      <c r="I211" s="4"/>
      <c r="J211" s="4"/>
      <c r="L211" s="4"/>
    </row>
    <row r="212" spans="1:12" ht="15.75">
      <c r="A212" s="3"/>
      <c r="B212" s="161"/>
      <c r="C212" s="3"/>
      <c r="D212" s="3"/>
      <c r="E212" s="4"/>
      <c r="F212" s="4"/>
      <c r="G212" s="4"/>
      <c r="H212" s="4"/>
      <c r="I212" s="4"/>
      <c r="J212" s="4"/>
      <c r="L212" s="4"/>
    </row>
    <row r="213" spans="1:12" ht="15.75">
      <c r="A213" s="3"/>
      <c r="B213" s="161"/>
      <c r="C213" s="3"/>
      <c r="D213" s="3"/>
      <c r="E213" s="4"/>
      <c r="F213" s="4"/>
      <c r="G213" s="4"/>
      <c r="H213" s="4"/>
      <c r="I213" s="4"/>
      <c r="J213" s="4"/>
      <c r="L213" s="4"/>
    </row>
    <row r="214" spans="1:12" ht="15.75">
      <c r="A214" s="3"/>
      <c r="B214" s="161"/>
      <c r="C214" s="3"/>
      <c r="D214" s="3"/>
      <c r="E214" s="4"/>
      <c r="F214" s="4"/>
      <c r="G214" s="4"/>
      <c r="H214" s="4"/>
      <c r="I214" s="4"/>
      <c r="J214" s="4"/>
      <c r="L214" s="4"/>
    </row>
    <row r="215" spans="1:12" ht="15.75">
      <c r="A215" s="3"/>
      <c r="B215" s="161"/>
      <c r="C215" s="3"/>
      <c r="D215" s="3"/>
      <c r="E215" s="4"/>
      <c r="F215" s="4"/>
      <c r="G215" s="4"/>
      <c r="H215" s="4"/>
      <c r="I215" s="4"/>
      <c r="J215" s="4"/>
      <c r="L215" s="4"/>
    </row>
    <row r="216" spans="1:12" ht="15.75">
      <c r="A216" s="3"/>
      <c r="B216" s="161"/>
      <c r="C216" s="3"/>
      <c r="D216" s="3"/>
      <c r="E216" s="4"/>
      <c r="F216" s="4"/>
      <c r="G216" s="4"/>
      <c r="H216" s="4"/>
      <c r="I216" s="4"/>
      <c r="J216" s="4"/>
      <c r="L216" s="4"/>
    </row>
    <row r="217" spans="1:12" ht="15.75">
      <c r="A217" s="3"/>
      <c r="B217" s="161"/>
      <c r="C217" s="3"/>
      <c r="D217" s="3"/>
      <c r="E217" s="4"/>
      <c r="F217" s="4"/>
      <c r="G217" s="4"/>
      <c r="H217" s="4"/>
      <c r="I217" s="4"/>
      <c r="J217" s="4"/>
      <c r="L217" s="4"/>
    </row>
    <row r="218" spans="1:12" ht="15.75">
      <c r="A218" s="3"/>
      <c r="B218" s="161"/>
      <c r="C218" s="3"/>
      <c r="D218" s="3"/>
      <c r="E218" s="4"/>
      <c r="F218" s="4"/>
      <c r="G218" s="4"/>
      <c r="H218" s="4"/>
      <c r="I218" s="4"/>
      <c r="J218" s="4"/>
      <c r="L218" s="4"/>
    </row>
    <row r="219" spans="1:12" ht="15.75">
      <c r="A219" s="3"/>
      <c r="B219" s="161"/>
      <c r="C219" s="3"/>
      <c r="D219" s="3"/>
      <c r="E219" s="4"/>
      <c r="F219" s="4"/>
      <c r="G219" s="4"/>
      <c r="H219" s="4"/>
      <c r="I219" s="4"/>
      <c r="J219" s="4"/>
      <c r="L219" s="4"/>
    </row>
    <row r="220" spans="1:12" ht="15.75">
      <c r="A220" s="3"/>
      <c r="B220" s="161"/>
      <c r="C220" s="3"/>
      <c r="D220" s="3"/>
      <c r="E220" s="4"/>
      <c r="F220" s="4"/>
      <c r="G220" s="4"/>
      <c r="H220" s="4"/>
      <c r="I220" s="4"/>
      <c r="J220" s="4"/>
      <c r="L220" s="4"/>
    </row>
    <row r="221" spans="1:12" ht="15.75">
      <c r="A221" s="3"/>
      <c r="B221" s="161"/>
      <c r="C221" s="3"/>
      <c r="D221" s="3"/>
      <c r="E221" s="4"/>
      <c r="F221" s="4"/>
      <c r="G221" s="4"/>
      <c r="H221" s="4"/>
      <c r="I221" s="4"/>
      <c r="J221" s="4"/>
      <c r="L221" s="4"/>
    </row>
    <row r="222" spans="1:12" ht="15.75">
      <c r="A222" s="3"/>
      <c r="B222" s="161"/>
      <c r="C222" s="3"/>
      <c r="D222" s="3"/>
      <c r="E222" s="4"/>
      <c r="F222" s="4"/>
      <c r="G222" s="4"/>
      <c r="H222" s="4"/>
      <c r="I222" s="4"/>
      <c r="J222" s="4"/>
      <c r="L222" s="4"/>
    </row>
    <row r="223" spans="1:12" ht="15.75">
      <c r="A223" s="3"/>
      <c r="B223" s="161"/>
      <c r="C223" s="3"/>
      <c r="D223" s="3"/>
      <c r="E223" s="4"/>
      <c r="F223" s="4"/>
      <c r="G223" s="4"/>
      <c r="H223" s="4"/>
      <c r="I223" s="4"/>
      <c r="J223" s="4"/>
      <c r="L223" s="4"/>
    </row>
    <row r="224" spans="1:12" ht="15.75">
      <c r="A224" s="3"/>
      <c r="B224" s="161"/>
      <c r="C224" s="3"/>
      <c r="D224" s="3"/>
      <c r="E224" s="4"/>
      <c r="F224" s="4"/>
      <c r="G224" s="4"/>
      <c r="H224" s="4"/>
      <c r="I224" s="4"/>
      <c r="J224" s="4"/>
      <c r="L224" s="4"/>
    </row>
    <row r="225" spans="1:12" ht="15.75">
      <c r="A225" s="3"/>
      <c r="B225" s="161"/>
      <c r="C225" s="3"/>
      <c r="D225" s="3"/>
      <c r="E225" s="4"/>
      <c r="F225" s="4"/>
      <c r="G225" s="4"/>
      <c r="H225" s="4"/>
      <c r="I225" s="4"/>
      <c r="J225" s="4"/>
      <c r="L225" s="4"/>
    </row>
    <row r="226" spans="1:12" ht="15.75">
      <c r="A226" s="3"/>
      <c r="B226" s="161"/>
      <c r="C226" s="3"/>
      <c r="D226" s="3"/>
      <c r="E226" s="4"/>
      <c r="F226" s="4"/>
      <c r="G226" s="4"/>
      <c r="H226" s="4"/>
      <c r="I226" s="4"/>
      <c r="J226" s="4"/>
      <c r="L226" s="4"/>
    </row>
    <row r="227" spans="1:12" ht="15.75">
      <c r="A227" s="3"/>
      <c r="B227" s="161"/>
      <c r="C227" s="3"/>
      <c r="D227" s="3"/>
      <c r="E227" s="4"/>
      <c r="F227" s="4"/>
      <c r="G227" s="4"/>
      <c r="H227" s="4"/>
      <c r="I227" s="4"/>
      <c r="J227" s="4"/>
      <c r="L227" s="4"/>
    </row>
    <row r="228" spans="1:12" ht="15.75">
      <c r="A228" s="3"/>
      <c r="B228" s="161"/>
      <c r="C228" s="3"/>
      <c r="D228" s="3"/>
      <c r="E228" s="4"/>
      <c r="F228" s="4"/>
      <c r="G228" s="4"/>
      <c r="H228" s="4"/>
      <c r="I228" s="4"/>
      <c r="J228" s="4"/>
      <c r="L228" s="4"/>
    </row>
    <row r="229" spans="1:12" ht="15.75">
      <c r="A229" s="3"/>
      <c r="B229" s="161"/>
      <c r="C229" s="3"/>
      <c r="D229" s="3"/>
      <c r="E229" s="4"/>
      <c r="F229" s="4"/>
      <c r="G229" s="4"/>
      <c r="H229" s="4"/>
      <c r="I229" s="4"/>
      <c r="J229" s="4"/>
      <c r="L229" s="4"/>
    </row>
    <row r="230" spans="1:12" ht="15.75">
      <c r="A230" s="3"/>
      <c r="B230" s="161"/>
      <c r="C230" s="3"/>
      <c r="D230" s="3"/>
      <c r="E230" s="4"/>
      <c r="F230" s="4"/>
      <c r="G230" s="4"/>
      <c r="H230" s="4"/>
      <c r="I230" s="4"/>
      <c r="J230" s="4"/>
      <c r="L230" s="4"/>
    </row>
    <row r="231" spans="1:12" ht="15.75">
      <c r="A231" s="3"/>
      <c r="B231" s="161"/>
      <c r="C231" s="3"/>
      <c r="D231" s="3"/>
      <c r="E231" s="4"/>
      <c r="F231" s="4"/>
      <c r="G231" s="4"/>
      <c r="H231" s="4"/>
      <c r="I231" s="4"/>
      <c r="J231" s="4"/>
      <c r="L231" s="4"/>
    </row>
    <row r="232" spans="1:12" ht="15.75">
      <c r="A232" s="3"/>
      <c r="B232" s="161"/>
      <c r="C232" s="3"/>
      <c r="D232" s="3"/>
      <c r="E232" s="4"/>
      <c r="F232" s="4"/>
      <c r="G232" s="4"/>
      <c r="H232" s="4"/>
      <c r="I232" s="4"/>
      <c r="J232" s="4"/>
      <c r="L232" s="4"/>
    </row>
    <row r="233" spans="1:12" ht="15.75">
      <c r="A233" s="3"/>
      <c r="B233" s="161"/>
      <c r="C233" s="3"/>
      <c r="D233" s="3"/>
      <c r="E233" s="4"/>
      <c r="F233" s="4"/>
      <c r="G233" s="4"/>
      <c r="H233" s="4"/>
      <c r="I233" s="4"/>
      <c r="J233" s="4"/>
      <c r="L233" s="4"/>
    </row>
    <row r="234" spans="1:12" ht="15.75">
      <c r="A234" s="3"/>
      <c r="B234" s="161"/>
      <c r="C234" s="3"/>
      <c r="D234" s="3"/>
      <c r="E234" s="4"/>
      <c r="F234" s="4"/>
      <c r="G234" s="4"/>
      <c r="H234" s="4"/>
      <c r="I234" s="4"/>
      <c r="J234" s="4"/>
      <c r="L234" s="4"/>
    </row>
    <row r="235" spans="1:12" ht="15.75">
      <c r="A235" s="3"/>
      <c r="B235" s="161"/>
      <c r="C235" s="3"/>
      <c r="D235" s="3"/>
      <c r="E235" s="4"/>
      <c r="F235" s="4"/>
      <c r="G235" s="4"/>
      <c r="H235" s="4"/>
      <c r="I235" s="4"/>
      <c r="J235" s="4"/>
      <c r="L235" s="4"/>
    </row>
    <row r="236" spans="1:12" ht="15.75">
      <c r="A236" s="3"/>
      <c r="B236" s="161"/>
      <c r="C236" s="3"/>
      <c r="D236" s="3"/>
      <c r="E236" s="4"/>
      <c r="F236" s="4"/>
      <c r="G236" s="4"/>
      <c r="H236" s="4"/>
      <c r="I236" s="4"/>
      <c r="J236" s="4"/>
      <c r="L236" s="4"/>
    </row>
    <row r="237" spans="1:12" ht="15.75">
      <c r="A237" s="3"/>
      <c r="B237" s="161"/>
      <c r="C237" s="3"/>
      <c r="D237" s="3"/>
      <c r="E237" s="4"/>
      <c r="F237" s="4"/>
      <c r="G237" s="4"/>
      <c r="H237" s="4"/>
      <c r="I237" s="4"/>
      <c r="J237" s="4"/>
      <c r="L237" s="4"/>
    </row>
    <row r="238" spans="1:12" ht="15.75">
      <c r="A238" s="3"/>
      <c r="B238" s="161"/>
      <c r="C238" s="3"/>
      <c r="D238" s="3"/>
      <c r="E238" s="4"/>
      <c r="F238" s="4"/>
      <c r="G238" s="4"/>
      <c r="H238" s="4"/>
      <c r="I238" s="4"/>
      <c r="J238" s="4"/>
      <c r="L238" s="4"/>
    </row>
    <row r="239" spans="1:12" ht="15.75">
      <c r="A239" s="3"/>
      <c r="B239" s="161"/>
      <c r="C239" s="3"/>
      <c r="D239" s="3"/>
      <c r="E239" s="4"/>
      <c r="F239" s="4"/>
      <c r="G239" s="4"/>
      <c r="H239" s="4"/>
      <c r="I239" s="4"/>
      <c r="J239" s="4"/>
      <c r="L239" s="4"/>
    </row>
    <row r="240" spans="1:12" ht="15.75">
      <c r="A240" s="3"/>
      <c r="B240" s="161"/>
      <c r="C240" s="3"/>
      <c r="D240" s="3"/>
      <c r="E240" s="4"/>
      <c r="F240" s="4"/>
      <c r="G240" s="4"/>
      <c r="H240" s="4"/>
      <c r="I240" s="4"/>
      <c r="J240" s="4"/>
      <c r="L240" s="4"/>
    </row>
    <row r="241" spans="1:12" ht="15.75">
      <c r="A241" s="3"/>
      <c r="B241" s="161"/>
      <c r="C241" s="3"/>
      <c r="D241" s="3"/>
      <c r="E241" s="4"/>
      <c r="F241" s="4"/>
      <c r="G241" s="4"/>
      <c r="H241" s="4"/>
      <c r="I241" s="4"/>
      <c r="J241" s="4"/>
      <c r="L241" s="4"/>
    </row>
    <row r="242" spans="1:12" ht="15.75">
      <c r="A242" s="3"/>
      <c r="B242" s="161"/>
      <c r="C242" s="3"/>
      <c r="D242" s="3"/>
      <c r="E242" s="4"/>
      <c r="F242" s="4"/>
      <c r="G242" s="4"/>
      <c r="H242" s="4"/>
      <c r="I242" s="4"/>
      <c r="J242" s="4"/>
      <c r="L242" s="4"/>
    </row>
    <row r="243" spans="1:12" ht="15.75">
      <c r="A243" s="3"/>
      <c r="B243" s="161"/>
      <c r="C243" s="3"/>
      <c r="D243" s="3"/>
      <c r="E243" s="4"/>
      <c r="F243" s="4"/>
      <c r="G243" s="4"/>
      <c r="H243" s="4"/>
      <c r="I243" s="4"/>
      <c r="J243" s="4"/>
      <c r="L243" s="4"/>
    </row>
    <row r="244" spans="1:12" ht="15.75">
      <c r="A244" s="3"/>
      <c r="B244" s="161"/>
      <c r="C244" s="3"/>
      <c r="D244" s="3"/>
      <c r="E244" s="4"/>
      <c r="F244" s="4"/>
      <c r="G244" s="4"/>
      <c r="H244" s="4"/>
      <c r="I244" s="4"/>
      <c r="J244" s="4"/>
      <c r="L244" s="4"/>
    </row>
    <row r="245" spans="1:12" ht="15.75">
      <c r="A245" s="3"/>
      <c r="B245" s="161"/>
      <c r="C245" s="3"/>
      <c r="D245" s="3"/>
      <c r="E245" s="4"/>
      <c r="F245" s="4"/>
      <c r="G245" s="4"/>
      <c r="H245" s="4"/>
      <c r="I245" s="4"/>
      <c r="J245" s="4"/>
      <c r="L245" s="4"/>
    </row>
    <row r="246" spans="1:12" ht="15.75">
      <c r="A246" s="3"/>
      <c r="B246" s="161"/>
      <c r="C246" s="3"/>
      <c r="D246" s="3"/>
      <c r="E246" s="4"/>
      <c r="F246" s="4"/>
      <c r="G246" s="4"/>
      <c r="H246" s="4"/>
      <c r="I246" s="4"/>
      <c r="J246" s="4"/>
      <c r="L246" s="4"/>
    </row>
    <row r="247" spans="1:12" ht="15.75">
      <c r="A247" s="3"/>
      <c r="B247" s="161"/>
      <c r="C247" s="3"/>
      <c r="D247" s="3"/>
      <c r="E247" s="4"/>
      <c r="F247" s="4"/>
      <c r="G247" s="4"/>
      <c r="H247" s="4"/>
      <c r="I247" s="4"/>
      <c r="J247" s="4"/>
      <c r="L247" s="4"/>
    </row>
    <row r="248" spans="1:12" ht="15.75">
      <c r="A248" s="3"/>
      <c r="B248" s="161"/>
      <c r="C248" s="3"/>
      <c r="D248" s="3"/>
      <c r="E248" s="4"/>
      <c r="F248" s="4"/>
      <c r="G248" s="4"/>
      <c r="H248" s="4"/>
      <c r="I248" s="4"/>
      <c r="J248" s="4"/>
      <c r="L248" s="4"/>
    </row>
    <row r="249" spans="1:12" ht="15.75">
      <c r="A249" s="3"/>
      <c r="B249" s="161"/>
      <c r="C249" s="3"/>
      <c r="D249" s="3"/>
      <c r="E249" s="4"/>
      <c r="F249" s="4"/>
      <c r="G249" s="4"/>
      <c r="H249" s="4"/>
      <c r="I249" s="4"/>
      <c r="J249" s="4"/>
      <c r="L249" s="4"/>
    </row>
    <row r="250" spans="1:12" ht="15.75">
      <c r="A250" s="3"/>
      <c r="B250" s="161"/>
      <c r="C250" s="3"/>
      <c r="D250" s="3"/>
      <c r="E250" s="4"/>
      <c r="F250" s="4"/>
      <c r="G250" s="4"/>
      <c r="H250" s="4"/>
      <c r="I250" s="4"/>
      <c r="J250" s="4"/>
      <c r="L250" s="4"/>
    </row>
    <row r="251" spans="1:12" ht="15.75">
      <c r="A251" s="3"/>
      <c r="B251" s="161"/>
      <c r="C251" s="3"/>
      <c r="D251" s="3"/>
      <c r="E251" s="4"/>
      <c r="F251" s="4"/>
      <c r="G251" s="4"/>
      <c r="H251" s="4"/>
      <c r="I251" s="4"/>
      <c r="J251" s="4"/>
      <c r="L251" s="4"/>
    </row>
    <row r="252" spans="1:12" ht="15.75">
      <c r="A252" s="3"/>
      <c r="B252" s="161"/>
      <c r="C252" s="3"/>
      <c r="D252" s="3"/>
      <c r="E252" s="4"/>
      <c r="F252" s="4"/>
      <c r="G252" s="4"/>
      <c r="H252" s="4"/>
      <c r="I252" s="4"/>
      <c r="J252" s="4"/>
      <c r="L252" s="4"/>
    </row>
    <row r="253" spans="1:12" ht="15.75">
      <c r="A253" s="3"/>
      <c r="B253" s="161"/>
      <c r="C253" s="3"/>
      <c r="D253" s="3"/>
      <c r="E253" s="4"/>
      <c r="F253" s="4"/>
      <c r="G253" s="4"/>
      <c r="H253" s="4"/>
      <c r="I253" s="4"/>
      <c r="J253" s="4"/>
      <c r="L253" s="4"/>
    </row>
    <row r="254" spans="1:12" ht="15.75">
      <c r="A254" s="3"/>
      <c r="B254" s="161"/>
      <c r="C254" s="3"/>
      <c r="D254" s="3"/>
      <c r="E254" s="4"/>
      <c r="F254" s="4"/>
      <c r="G254" s="4"/>
      <c r="H254" s="4"/>
      <c r="I254" s="4"/>
      <c r="J254" s="4"/>
      <c r="L254" s="4"/>
    </row>
    <row r="255" spans="1:12" ht="15.75">
      <c r="A255" s="3"/>
      <c r="B255" s="161"/>
      <c r="C255" s="3"/>
      <c r="D255" s="3"/>
      <c r="E255" s="4"/>
      <c r="F255" s="4"/>
      <c r="G255" s="4"/>
      <c r="H255" s="4"/>
      <c r="I255" s="4"/>
      <c r="J255" s="4"/>
      <c r="L255" s="4"/>
    </row>
    <row r="256" spans="1:12" ht="15.75">
      <c r="A256" s="3"/>
      <c r="B256" s="161"/>
      <c r="C256" s="3"/>
      <c r="D256" s="3"/>
      <c r="E256" s="4"/>
      <c r="F256" s="4"/>
      <c r="G256" s="4"/>
      <c r="H256" s="4"/>
      <c r="I256" s="4"/>
      <c r="J256" s="4"/>
      <c r="L256" s="4"/>
    </row>
    <row r="257" spans="1:12" ht="15.75">
      <c r="A257" s="3"/>
      <c r="B257" s="161"/>
      <c r="C257" s="3"/>
      <c r="D257" s="3"/>
      <c r="E257" s="4"/>
      <c r="F257" s="4"/>
      <c r="G257" s="4"/>
      <c r="H257" s="4"/>
      <c r="I257" s="4"/>
      <c r="J257" s="4"/>
      <c r="L257" s="4"/>
    </row>
    <row r="258" spans="1:12" ht="15.75">
      <c r="A258" s="3"/>
      <c r="B258" s="161"/>
      <c r="C258" s="3"/>
      <c r="D258" s="3"/>
      <c r="E258" s="4"/>
      <c r="F258" s="4"/>
      <c r="G258" s="4"/>
      <c r="H258" s="4"/>
      <c r="I258" s="4"/>
      <c r="J258" s="4"/>
      <c r="L258" s="4"/>
    </row>
    <row r="259" spans="1:12" ht="15.75">
      <c r="A259" s="3"/>
      <c r="B259" s="161"/>
      <c r="C259" s="3"/>
      <c r="D259" s="3"/>
      <c r="E259" s="4"/>
      <c r="F259" s="4"/>
      <c r="G259" s="4"/>
      <c r="H259" s="4"/>
      <c r="I259" s="4"/>
      <c r="J259" s="4"/>
      <c r="L259" s="4"/>
    </row>
    <row r="260" spans="1:12" ht="15.75">
      <c r="A260" s="3"/>
      <c r="B260" s="161"/>
      <c r="C260" s="3"/>
      <c r="D260" s="3"/>
      <c r="E260" s="4"/>
      <c r="F260" s="4"/>
      <c r="G260" s="4"/>
      <c r="H260" s="4"/>
      <c r="I260" s="4"/>
      <c r="J260" s="4"/>
      <c r="L260" s="4"/>
    </row>
    <row r="261" spans="1:12" ht="15.75">
      <c r="A261" s="3"/>
      <c r="B261" s="161"/>
      <c r="C261" s="3"/>
      <c r="D261" s="3"/>
      <c r="E261" s="4"/>
      <c r="F261" s="4"/>
      <c r="G261" s="4"/>
      <c r="H261" s="4"/>
      <c r="I261" s="4"/>
      <c r="J261" s="4"/>
      <c r="L261" s="4"/>
    </row>
    <row r="262" spans="1:12" ht="15.75">
      <c r="A262" s="3"/>
      <c r="B262" s="161"/>
      <c r="C262" s="3"/>
      <c r="D262" s="3"/>
      <c r="E262" s="4"/>
      <c r="F262" s="4"/>
      <c r="G262" s="4"/>
      <c r="H262" s="4"/>
      <c r="I262" s="4"/>
      <c r="J262" s="4"/>
      <c r="L262" s="4"/>
    </row>
    <row r="263" spans="1:12" ht="15.75">
      <c r="A263" s="3"/>
      <c r="B263" s="161"/>
      <c r="C263" s="3"/>
      <c r="D263" s="3"/>
      <c r="E263" s="4"/>
      <c r="F263" s="4"/>
      <c r="G263" s="4"/>
      <c r="H263" s="4"/>
      <c r="I263" s="4"/>
      <c r="J263" s="4"/>
      <c r="L263" s="4"/>
    </row>
    <row r="264" spans="1:12" ht="15.75">
      <c r="A264" s="3"/>
      <c r="B264" s="161"/>
      <c r="C264" s="3"/>
      <c r="D264" s="3"/>
      <c r="E264" s="4"/>
      <c r="F264" s="4"/>
      <c r="G264" s="4"/>
      <c r="H264" s="4"/>
      <c r="I264" s="4"/>
      <c r="J264" s="4"/>
      <c r="L264" s="4"/>
    </row>
    <row r="265" spans="1:12" ht="15.75">
      <c r="A265" s="3"/>
      <c r="B265" s="161"/>
      <c r="C265" s="3"/>
      <c r="D265" s="3"/>
      <c r="E265" s="4"/>
      <c r="F265" s="4"/>
      <c r="G265" s="4"/>
      <c r="H265" s="4"/>
      <c r="I265" s="4"/>
      <c r="J265" s="4"/>
      <c r="L265" s="4"/>
    </row>
    <row r="266" spans="1:12" ht="15.75">
      <c r="A266" s="3"/>
      <c r="B266" s="161"/>
      <c r="C266" s="3"/>
      <c r="D266" s="3"/>
      <c r="E266" s="4"/>
      <c r="F266" s="4"/>
      <c r="G266" s="4"/>
      <c r="H266" s="4"/>
      <c r="I266" s="4"/>
      <c r="J266" s="4"/>
      <c r="L266" s="4"/>
    </row>
    <row r="267" spans="1:12" ht="15.75">
      <c r="A267" s="3"/>
      <c r="B267" s="161"/>
      <c r="C267" s="3"/>
      <c r="D267" s="3"/>
      <c r="E267" s="4"/>
      <c r="F267" s="4"/>
      <c r="G267" s="4"/>
      <c r="H267" s="4"/>
      <c r="I267" s="4"/>
      <c r="J267" s="4"/>
      <c r="L267" s="4"/>
    </row>
    <row r="268" spans="1:12" ht="15.75">
      <c r="A268" s="3"/>
      <c r="B268" s="161"/>
      <c r="C268" s="3"/>
      <c r="D268" s="3"/>
      <c r="E268" s="4"/>
      <c r="F268" s="4"/>
      <c r="G268" s="4"/>
      <c r="H268" s="4"/>
      <c r="I268" s="4"/>
      <c r="J268" s="4"/>
      <c r="L268" s="4"/>
    </row>
    <row r="269" spans="1:12" ht="15.75">
      <c r="A269" s="3"/>
      <c r="B269" s="161"/>
      <c r="C269" s="3"/>
      <c r="D269" s="3"/>
      <c r="E269" s="4"/>
      <c r="F269" s="4"/>
      <c r="G269" s="4"/>
      <c r="H269" s="4"/>
      <c r="I269" s="4"/>
      <c r="J269" s="4"/>
      <c r="L269" s="4"/>
    </row>
    <row r="270" spans="1:12" ht="15.75">
      <c r="A270" s="3"/>
      <c r="B270" s="161"/>
      <c r="C270" s="3"/>
      <c r="D270" s="3"/>
      <c r="E270" s="4"/>
      <c r="F270" s="4"/>
      <c r="G270" s="4"/>
      <c r="H270" s="4"/>
      <c r="I270" s="4"/>
      <c r="J270" s="4"/>
      <c r="L270" s="4"/>
    </row>
    <row r="271" spans="1:12" ht="15.75">
      <c r="A271" s="3"/>
      <c r="B271" s="161"/>
      <c r="C271" s="3"/>
      <c r="D271" s="3"/>
      <c r="E271" s="4"/>
      <c r="F271" s="4"/>
      <c r="G271" s="4"/>
      <c r="H271" s="4"/>
      <c r="I271" s="4"/>
      <c r="J271" s="4"/>
      <c r="L271" s="4"/>
    </row>
    <row r="272" spans="1:12" ht="15.75">
      <c r="A272" s="3"/>
      <c r="B272" s="161"/>
      <c r="C272" s="3"/>
      <c r="D272" s="3"/>
      <c r="E272" s="4"/>
      <c r="F272" s="4"/>
      <c r="G272" s="4"/>
      <c r="H272" s="4"/>
      <c r="I272" s="4"/>
      <c r="J272" s="4"/>
      <c r="L272" s="4"/>
    </row>
    <row r="273" spans="1:12" ht="15.75">
      <c r="A273" s="3"/>
      <c r="B273" s="161"/>
      <c r="C273" s="3"/>
      <c r="D273" s="3"/>
      <c r="E273" s="4"/>
      <c r="F273" s="4"/>
      <c r="G273" s="4"/>
      <c r="H273" s="4"/>
      <c r="I273" s="4"/>
      <c r="J273" s="4"/>
      <c r="L273" s="4"/>
    </row>
    <row r="274" spans="1:12" ht="15.75">
      <c r="A274" s="3"/>
      <c r="B274" s="161"/>
      <c r="C274" s="3"/>
      <c r="D274" s="3"/>
      <c r="E274" s="4"/>
      <c r="F274" s="4"/>
      <c r="G274" s="4"/>
      <c r="H274" s="4"/>
      <c r="I274" s="4"/>
      <c r="J274" s="4"/>
      <c r="L274" s="4"/>
    </row>
    <row r="275" spans="1:12" ht="15.75">
      <c r="A275" s="3"/>
      <c r="B275" s="161"/>
      <c r="C275" s="3"/>
      <c r="D275" s="3"/>
      <c r="E275" s="4"/>
      <c r="F275" s="4"/>
      <c r="G275" s="4"/>
      <c r="H275" s="4"/>
      <c r="I275" s="4"/>
      <c r="J275" s="4"/>
      <c r="L275" s="4"/>
    </row>
    <row r="276" spans="1:12" ht="15.75">
      <c r="A276" s="3"/>
      <c r="B276" s="161"/>
      <c r="C276" s="3"/>
      <c r="D276" s="3"/>
      <c r="E276" s="4"/>
      <c r="F276" s="4"/>
      <c r="G276" s="4"/>
      <c r="H276" s="4"/>
      <c r="I276" s="4"/>
      <c r="J276" s="4"/>
      <c r="L276" s="4"/>
    </row>
    <row r="277" spans="1:12" ht="15.75">
      <c r="A277" s="3"/>
      <c r="B277" s="161"/>
      <c r="C277" s="3"/>
      <c r="D277" s="3"/>
      <c r="E277" s="4"/>
      <c r="F277" s="4"/>
      <c r="G277" s="4"/>
      <c r="H277" s="4"/>
      <c r="I277" s="4"/>
      <c r="J277" s="4"/>
      <c r="L277" s="4"/>
    </row>
    <row r="278" spans="1:12" ht="15.75">
      <c r="A278" s="3"/>
      <c r="B278" s="161"/>
      <c r="C278" s="3"/>
      <c r="D278" s="3"/>
      <c r="E278" s="4"/>
      <c r="F278" s="4"/>
      <c r="G278" s="4"/>
      <c r="H278" s="4"/>
      <c r="I278" s="4"/>
      <c r="J278" s="4"/>
      <c r="L278" s="4"/>
    </row>
    <row r="279" spans="1:12" ht="15.75">
      <c r="A279" s="3"/>
      <c r="B279" s="161"/>
      <c r="C279" s="3"/>
      <c r="D279" s="3"/>
      <c r="E279" s="4"/>
      <c r="F279" s="4"/>
      <c r="G279" s="4"/>
      <c r="H279" s="4"/>
      <c r="I279" s="4"/>
      <c r="J279" s="4"/>
      <c r="L279" s="4"/>
    </row>
    <row r="280" spans="1:12" ht="15.75">
      <c r="A280" s="3"/>
      <c r="B280" s="161"/>
      <c r="C280" s="3"/>
      <c r="D280" s="3"/>
      <c r="E280" s="4"/>
      <c r="F280" s="4"/>
      <c r="G280" s="4"/>
      <c r="H280" s="4"/>
      <c r="I280" s="4"/>
      <c r="J280" s="4"/>
      <c r="L280" s="4"/>
    </row>
    <row r="281" spans="1:12" ht="15.75">
      <c r="A281" s="3"/>
      <c r="B281" s="161"/>
      <c r="C281" s="3"/>
      <c r="D281" s="3"/>
      <c r="E281" s="4"/>
      <c r="F281" s="4"/>
      <c r="G281" s="4"/>
      <c r="H281" s="4"/>
      <c r="I281" s="4"/>
      <c r="J281" s="4"/>
      <c r="L281" s="4"/>
    </row>
    <row r="282" spans="1:12" ht="15.75">
      <c r="A282" s="3"/>
      <c r="B282" s="161"/>
      <c r="C282" s="3"/>
      <c r="D282" s="3"/>
      <c r="E282" s="4"/>
      <c r="F282" s="4"/>
      <c r="G282" s="4"/>
      <c r="H282" s="4"/>
      <c r="I282" s="4"/>
      <c r="J282" s="4"/>
      <c r="L282" s="4"/>
    </row>
    <row r="283" spans="1:12" ht="15.75">
      <c r="A283" s="3"/>
      <c r="B283" s="161"/>
      <c r="C283" s="3"/>
      <c r="D283" s="3"/>
      <c r="E283" s="4"/>
      <c r="F283" s="4"/>
      <c r="G283" s="4"/>
      <c r="H283" s="4"/>
      <c r="I283" s="4"/>
      <c r="J283" s="4"/>
      <c r="L283" s="4"/>
    </row>
    <row r="284" spans="1:12" ht="15.75">
      <c r="A284" s="3"/>
      <c r="B284" s="161"/>
      <c r="C284" s="3"/>
      <c r="D284" s="3"/>
      <c r="E284" s="4"/>
      <c r="F284" s="4"/>
      <c r="G284" s="4"/>
      <c r="H284" s="4"/>
      <c r="I284" s="4"/>
      <c r="J284" s="4"/>
      <c r="L284" s="4"/>
    </row>
    <row r="285" spans="1:12" ht="15.75">
      <c r="A285" s="3"/>
      <c r="B285" s="161"/>
      <c r="C285" s="3"/>
      <c r="D285" s="3"/>
      <c r="E285" s="4"/>
      <c r="F285" s="4"/>
      <c r="G285" s="4"/>
      <c r="H285" s="4"/>
      <c r="I285" s="4"/>
      <c r="J285" s="4"/>
      <c r="L285" s="4"/>
    </row>
    <row r="286" spans="1:12" ht="15.75">
      <c r="A286" s="3"/>
      <c r="B286" s="161"/>
      <c r="C286" s="3"/>
      <c r="D286" s="3"/>
      <c r="E286" s="4"/>
      <c r="F286" s="4"/>
      <c r="G286" s="4"/>
      <c r="H286" s="4"/>
      <c r="I286" s="4"/>
      <c r="J286" s="4"/>
      <c r="L286" s="4"/>
    </row>
    <row r="287" spans="1:12" ht="15.75">
      <c r="A287" s="3"/>
      <c r="B287" s="161"/>
      <c r="C287" s="3"/>
      <c r="D287" s="3"/>
      <c r="E287" s="4"/>
      <c r="F287" s="4"/>
      <c r="G287" s="4"/>
      <c r="H287" s="4"/>
      <c r="I287" s="4"/>
      <c r="J287" s="4"/>
      <c r="L287" s="4"/>
    </row>
    <row r="288" spans="1:12" ht="15.75">
      <c r="A288" s="3"/>
      <c r="B288" s="161"/>
      <c r="C288" s="3"/>
      <c r="D288" s="3"/>
      <c r="E288" s="4"/>
      <c r="F288" s="4"/>
      <c r="G288" s="4"/>
      <c r="H288" s="4"/>
      <c r="I288" s="4"/>
      <c r="J288" s="4"/>
      <c r="L288" s="4"/>
    </row>
    <row r="289" spans="1:12" ht="15.75">
      <c r="A289" s="3"/>
      <c r="B289" s="161"/>
      <c r="C289" s="3"/>
      <c r="D289" s="3"/>
      <c r="E289" s="4"/>
      <c r="F289" s="4"/>
      <c r="G289" s="4"/>
      <c r="H289" s="4"/>
      <c r="I289" s="4"/>
      <c r="J289" s="4"/>
      <c r="L289" s="4"/>
    </row>
    <row r="290" spans="1:12" ht="15.75">
      <c r="A290" s="3"/>
      <c r="B290" s="161"/>
      <c r="C290" s="3"/>
      <c r="D290" s="3"/>
      <c r="E290" s="4"/>
      <c r="F290" s="4"/>
      <c r="G290" s="4"/>
      <c r="H290" s="4"/>
      <c r="I290" s="4"/>
      <c r="J290" s="4"/>
      <c r="L290" s="4"/>
    </row>
    <row r="291" spans="1:12" ht="15.75">
      <c r="A291" s="3"/>
      <c r="B291" s="161"/>
      <c r="C291" s="3"/>
      <c r="D291" s="3"/>
      <c r="E291" s="4"/>
      <c r="F291" s="4"/>
      <c r="G291" s="4"/>
      <c r="H291" s="4"/>
      <c r="I291" s="4"/>
      <c r="J291" s="4"/>
      <c r="L291" s="4"/>
    </row>
    <row r="292" spans="1:12" ht="15.75">
      <c r="A292" s="3"/>
      <c r="B292" s="161"/>
      <c r="C292" s="3"/>
      <c r="D292" s="3"/>
      <c r="E292" s="4"/>
      <c r="F292" s="4"/>
      <c r="G292" s="4"/>
      <c r="H292" s="4"/>
      <c r="I292" s="4"/>
      <c r="J292" s="4"/>
      <c r="L292" s="4"/>
    </row>
    <row r="293" spans="1:12" ht="15.75">
      <c r="A293" s="3"/>
      <c r="B293" s="161"/>
      <c r="C293" s="3"/>
      <c r="D293" s="3"/>
      <c r="E293" s="4"/>
      <c r="F293" s="4"/>
      <c r="G293" s="4"/>
      <c r="H293" s="4"/>
      <c r="I293" s="4"/>
      <c r="J293" s="4"/>
      <c r="L293" s="4"/>
    </row>
    <row r="294" spans="1:12" ht="15.75">
      <c r="A294" s="3"/>
      <c r="B294" s="161"/>
      <c r="C294" s="3"/>
      <c r="D294" s="3"/>
      <c r="E294" s="4"/>
      <c r="F294" s="4"/>
      <c r="G294" s="4"/>
      <c r="H294" s="4"/>
      <c r="I294" s="4"/>
      <c r="J294" s="4"/>
      <c r="L294" s="4"/>
    </row>
    <row r="295" spans="1:12" ht="15.75">
      <c r="A295" s="3"/>
      <c r="B295" s="161"/>
      <c r="C295" s="3"/>
      <c r="D295" s="3"/>
      <c r="E295" s="4"/>
      <c r="F295" s="4"/>
      <c r="G295" s="4"/>
      <c r="H295" s="4"/>
      <c r="I295" s="4"/>
      <c r="J295" s="4"/>
      <c r="L295" s="4"/>
    </row>
    <row r="296" spans="1:12" ht="15.75">
      <c r="A296" s="3"/>
      <c r="B296" s="161"/>
      <c r="C296" s="3"/>
      <c r="D296" s="3"/>
      <c r="E296" s="4"/>
      <c r="F296" s="4"/>
      <c r="G296" s="4"/>
      <c r="H296" s="4"/>
      <c r="I296" s="4"/>
      <c r="J296" s="4"/>
      <c r="L296" s="4"/>
    </row>
    <row r="297" spans="1:12" ht="15.75">
      <c r="A297" s="3"/>
      <c r="B297" s="161"/>
      <c r="C297" s="3"/>
      <c r="D297" s="3"/>
      <c r="E297" s="4"/>
      <c r="F297" s="4"/>
      <c r="G297" s="4"/>
      <c r="H297" s="4"/>
      <c r="I297" s="4"/>
      <c r="J297" s="4"/>
      <c r="L297" s="4"/>
    </row>
    <row r="298" spans="1:12" ht="15.75">
      <c r="A298" s="3"/>
      <c r="B298" s="161"/>
      <c r="C298" s="3"/>
      <c r="D298" s="3"/>
      <c r="E298" s="4"/>
      <c r="F298" s="4"/>
      <c r="G298" s="4"/>
      <c r="H298" s="4"/>
      <c r="I298" s="4"/>
      <c r="J298" s="4"/>
      <c r="L298" s="4"/>
    </row>
    <row r="299" spans="1:12" ht="15.75">
      <c r="A299" s="3"/>
      <c r="B299" s="161"/>
      <c r="C299" s="3"/>
      <c r="D299" s="3"/>
      <c r="E299" s="4"/>
      <c r="F299" s="4"/>
      <c r="G299" s="4"/>
      <c r="H299" s="4"/>
      <c r="I299" s="4"/>
      <c r="J299" s="4"/>
      <c r="L299" s="4"/>
    </row>
    <row r="300" spans="1:12" ht="15.75">
      <c r="A300" s="3"/>
      <c r="B300" s="161"/>
      <c r="C300" s="3"/>
      <c r="D300" s="3"/>
      <c r="E300" s="4"/>
      <c r="F300" s="4"/>
      <c r="G300" s="4"/>
      <c r="H300" s="4"/>
      <c r="I300" s="4"/>
      <c r="J300" s="4"/>
      <c r="L300" s="4"/>
    </row>
    <row r="301" spans="1:12" ht="15.75">
      <c r="A301" s="3"/>
      <c r="B301" s="161"/>
      <c r="C301" s="3"/>
      <c r="D301" s="3"/>
      <c r="E301" s="4"/>
      <c r="F301" s="4"/>
      <c r="G301" s="4"/>
      <c r="H301" s="4"/>
      <c r="I301" s="4"/>
      <c r="J301" s="4"/>
      <c r="L301" s="4"/>
    </row>
    <row r="302" spans="1:12" ht="15.75">
      <c r="A302" s="3"/>
      <c r="B302" s="161"/>
      <c r="C302" s="3"/>
      <c r="D302" s="3"/>
      <c r="E302" s="4"/>
      <c r="F302" s="4"/>
      <c r="G302" s="4"/>
      <c r="H302" s="4"/>
      <c r="I302" s="4"/>
      <c r="J302" s="4"/>
      <c r="L302" s="4"/>
    </row>
    <row r="303" spans="1:12" ht="15.75">
      <c r="A303" s="3"/>
      <c r="B303" s="161"/>
      <c r="C303" s="3"/>
      <c r="D303" s="3"/>
      <c r="E303" s="4"/>
      <c r="F303" s="4"/>
      <c r="G303" s="4"/>
      <c r="H303" s="4"/>
      <c r="I303" s="4"/>
      <c r="J303" s="4"/>
      <c r="L303" s="4"/>
    </row>
    <row r="304" spans="1:12" ht="15.75">
      <c r="A304" s="3"/>
      <c r="B304" s="161"/>
      <c r="C304" s="3"/>
      <c r="D304" s="3"/>
      <c r="E304" s="4"/>
      <c r="F304" s="4"/>
      <c r="G304" s="4"/>
      <c r="H304" s="4"/>
      <c r="I304" s="4"/>
      <c r="J304" s="4"/>
      <c r="L304" s="4"/>
    </row>
    <row r="305" spans="1:12" ht="15.75">
      <c r="A305" s="3"/>
      <c r="B305" s="161"/>
      <c r="C305" s="3"/>
      <c r="D305" s="3"/>
      <c r="E305" s="4"/>
      <c r="F305" s="4"/>
      <c r="G305" s="4"/>
      <c r="H305" s="4"/>
      <c r="I305" s="4"/>
      <c r="J305" s="4"/>
      <c r="L305" s="4"/>
    </row>
    <row r="306" spans="1:12" ht="15.75">
      <c r="A306" s="3"/>
      <c r="B306" s="161"/>
      <c r="C306" s="3"/>
      <c r="D306" s="3"/>
      <c r="E306" s="4"/>
      <c r="F306" s="4"/>
      <c r="G306" s="4"/>
      <c r="H306" s="4"/>
      <c r="I306" s="4"/>
      <c r="J306" s="4"/>
      <c r="L306" s="4"/>
    </row>
    <row r="307" spans="1:12" ht="15.75">
      <c r="A307" s="3"/>
      <c r="B307" s="161"/>
      <c r="C307" s="3"/>
      <c r="D307" s="3"/>
      <c r="E307" s="4"/>
      <c r="F307" s="4"/>
      <c r="G307" s="4"/>
      <c r="H307" s="4"/>
      <c r="I307" s="4"/>
      <c r="J307" s="4"/>
      <c r="L307" s="4"/>
    </row>
    <row r="308" spans="1:12" ht="15.75">
      <c r="A308" s="3"/>
      <c r="B308" s="161"/>
      <c r="C308" s="3"/>
      <c r="D308" s="3"/>
      <c r="E308" s="4"/>
      <c r="F308" s="4"/>
      <c r="G308" s="4"/>
      <c r="H308" s="4"/>
      <c r="I308" s="4"/>
      <c r="J308" s="4"/>
      <c r="L308" s="4"/>
    </row>
    <row r="309" spans="1:12" ht="15.75">
      <c r="A309" s="3"/>
      <c r="B309" s="161"/>
      <c r="C309" s="3"/>
      <c r="D309" s="3"/>
      <c r="E309" s="4"/>
      <c r="F309" s="4"/>
      <c r="G309" s="4"/>
      <c r="H309" s="4"/>
      <c r="I309" s="4"/>
      <c r="J309" s="4"/>
      <c r="L309" s="4"/>
    </row>
    <row r="310" spans="1:12" ht="15.75">
      <c r="A310" s="3"/>
      <c r="B310" s="161"/>
      <c r="C310" s="3"/>
      <c r="D310" s="3"/>
      <c r="E310" s="4"/>
      <c r="F310" s="4"/>
      <c r="G310" s="4"/>
      <c r="H310" s="4"/>
      <c r="I310" s="4"/>
      <c r="J310" s="4"/>
      <c r="L310" s="4"/>
    </row>
    <row r="311" spans="1:12" ht="15.75">
      <c r="A311" s="3"/>
      <c r="B311" s="161"/>
      <c r="C311" s="3"/>
      <c r="D311" s="3"/>
      <c r="E311" s="4"/>
      <c r="F311" s="4"/>
      <c r="G311" s="4"/>
      <c r="H311" s="4"/>
      <c r="I311" s="4"/>
      <c r="J311" s="4"/>
      <c r="L311" s="4"/>
    </row>
    <row r="312" spans="1:12" ht="15.75">
      <c r="A312" s="3"/>
      <c r="B312" s="161"/>
      <c r="C312" s="3"/>
      <c r="D312" s="3"/>
      <c r="E312" s="4"/>
      <c r="F312" s="4"/>
      <c r="G312" s="4"/>
      <c r="H312" s="4"/>
      <c r="I312" s="4"/>
      <c r="J312" s="4"/>
      <c r="L312" s="4"/>
    </row>
    <row r="313" spans="1:12" ht="15.75">
      <c r="A313" s="3"/>
      <c r="B313" s="161"/>
      <c r="C313" s="3"/>
      <c r="D313" s="3"/>
      <c r="E313" s="4"/>
      <c r="F313" s="4"/>
      <c r="G313" s="4"/>
      <c r="H313" s="4"/>
      <c r="I313" s="4"/>
      <c r="J313" s="4"/>
      <c r="L313" s="4"/>
    </row>
    <row r="314" spans="1:12" ht="15.75">
      <c r="A314" s="3"/>
      <c r="B314" s="161"/>
      <c r="C314" s="3"/>
      <c r="D314" s="3"/>
      <c r="E314" s="4"/>
      <c r="F314" s="4"/>
      <c r="G314" s="4"/>
      <c r="H314" s="4"/>
      <c r="I314" s="4"/>
      <c r="J314" s="4"/>
      <c r="L314" s="4"/>
    </row>
    <row r="315" spans="1:12" ht="15.75">
      <c r="A315" s="3"/>
      <c r="B315" s="161"/>
      <c r="C315" s="3"/>
      <c r="D315" s="3"/>
      <c r="E315" s="4"/>
      <c r="F315" s="4"/>
      <c r="G315" s="4"/>
      <c r="H315" s="4"/>
      <c r="I315" s="4"/>
      <c r="J315" s="4"/>
      <c r="L315" s="4"/>
    </row>
    <row r="316" spans="1:12" ht="15.75">
      <c r="A316" s="3"/>
      <c r="B316" s="161"/>
      <c r="C316" s="3"/>
      <c r="D316" s="3"/>
      <c r="E316" s="4"/>
      <c r="F316" s="4"/>
      <c r="G316" s="4"/>
      <c r="H316" s="4"/>
      <c r="I316" s="4"/>
      <c r="J316" s="4"/>
      <c r="L316" s="4"/>
    </row>
    <row r="317" spans="1:12" ht="15.75">
      <c r="A317" s="3"/>
      <c r="B317" s="161"/>
      <c r="C317" s="3"/>
      <c r="D317" s="3"/>
      <c r="E317" s="4"/>
      <c r="F317" s="4"/>
      <c r="G317" s="4"/>
      <c r="H317" s="4"/>
      <c r="I317" s="4"/>
      <c r="J317" s="4"/>
      <c r="L317" s="4"/>
    </row>
    <row r="318" spans="1:12" ht="15.75">
      <c r="A318" s="3"/>
      <c r="B318" s="161"/>
      <c r="C318" s="3"/>
      <c r="D318" s="3"/>
      <c r="E318" s="4"/>
      <c r="F318" s="4"/>
      <c r="G318" s="4"/>
      <c r="H318" s="4"/>
      <c r="I318" s="4"/>
      <c r="J318" s="4"/>
      <c r="L318" s="4"/>
    </row>
    <row r="319" spans="1:12" ht="15.75">
      <c r="A319" s="3"/>
      <c r="B319" s="161"/>
      <c r="C319" s="3"/>
      <c r="D319" s="3"/>
      <c r="E319" s="4"/>
      <c r="F319" s="4"/>
      <c r="G319" s="4"/>
      <c r="H319" s="4"/>
      <c r="I319" s="4"/>
      <c r="J319" s="4"/>
      <c r="L319" s="4"/>
    </row>
    <row r="320" spans="1:12" ht="15.75">
      <c r="A320" s="3"/>
      <c r="B320" s="161"/>
      <c r="C320" s="3"/>
      <c r="D320" s="3"/>
      <c r="E320" s="4"/>
      <c r="F320" s="4"/>
      <c r="G320" s="4"/>
      <c r="H320" s="4"/>
      <c r="I320" s="4"/>
      <c r="J320" s="4"/>
      <c r="L320" s="4"/>
    </row>
    <row r="321" spans="1:12" ht="15.75">
      <c r="A321" s="3"/>
      <c r="B321" s="161"/>
      <c r="C321" s="3"/>
      <c r="D321" s="3"/>
      <c r="E321" s="4"/>
      <c r="F321" s="4"/>
      <c r="G321" s="4"/>
      <c r="H321" s="4"/>
      <c r="I321" s="4"/>
      <c r="J321" s="4"/>
      <c r="L321" s="4"/>
    </row>
    <row r="322" spans="1:12" ht="15.75">
      <c r="A322" s="3"/>
      <c r="B322" s="161"/>
      <c r="C322" s="3"/>
      <c r="D322" s="3"/>
      <c r="E322" s="4"/>
      <c r="F322" s="4"/>
      <c r="G322" s="4"/>
      <c r="H322" s="4"/>
      <c r="I322" s="4"/>
      <c r="J322" s="4"/>
      <c r="L322" s="4"/>
    </row>
    <row r="323" spans="1:12" ht="15.75">
      <c r="A323" s="3"/>
      <c r="B323" s="161"/>
      <c r="C323" s="3"/>
      <c r="D323" s="3"/>
      <c r="E323" s="4"/>
      <c r="F323" s="4"/>
      <c r="G323" s="4"/>
      <c r="H323" s="4"/>
      <c r="I323" s="4"/>
      <c r="J323" s="4"/>
      <c r="L323" s="4"/>
    </row>
    <row r="324" spans="1:12" ht="15.75">
      <c r="A324" s="3"/>
      <c r="B324" s="161"/>
      <c r="C324" s="3"/>
      <c r="D324" s="3"/>
      <c r="E324" s="4"/>
      <c r="F324" s="4"/>
      <c r="G324" s="4"/>
      <c r="H324" s="4"/>
      <c r="I324" s="4"/>
      <c r="J324" s="4"/>
      <c r="L324" s="4"/>
    </row>
    <row r="325" spans="1:12" ht="15.75">
      <c r="A325" s="3"/>
      <c r="B325" s="161"/>
      <c r="C325" s="3"/>
      <c r="D325" s="3"/>
      <c r="E325" s="4"/>
      <c r="F325" s="4"/>
      <c r="G325" s="4"/>
      <c r="H325" s="4"/>
      <c r="I325" s="4"/>
      <c r="J325" s="4"/>
      <c r="L325" s="4"/>
    </row>
    <row r="326" spans="1:12" ht="15.75">
      <c r="A326" s="3"/>
      <c r="B326" s="161"/>
      <c r="C326" s="3"/>
      <c r="D326" s="3"/>
      <c r="E326" s="4"/>
      <c r="F326" s="4"/>
      <c r="G326" s="4"/>
      <c r="H326" s="4"/>
      <c r="I326" s="4"/>
      <c r="J326" s="4"/>
      <c r="L326" s="4"/>
    </row>
    <row r="327" spans="1:12" ht="15.75">
      <c r="A327" s="3"/>
      <c r="B327" s="161"/>
      <c r="C327" s="3"/>
      <c r="D327" s="3"/>
      <c r="E327" s="4"/>
      <c r="F327" s="4"/>
      <c r="G327" s="4"/>
      <c r="H327" s="4"/>
      <c r="I327" s="4"/>
      <c r="J327" s="4"/>
      <c r="L327" s="4"/>
    </row>
    <row r="328" spans="1:12" ht="15.75">
      <c r="A328" s="3"/>
      <c r="B328" s="161"/>
      <c r="C328" s="3"/>
      <c r="D328" s="3"/>
      <c r="E328" s="4"/>
      <c r="F328" s="4"/>
      <c r="G328" s="4"/>
      <c r="H328" s="4"/>
      <c r="I328" s="4"/>
      <c r="J328" s="4"/>
      <c r="L328" s="4"/>
    </row>
    <row r="329" spans="1:12" ht="15.75">
      <c r="A329" s="3"/>
      <c r="B329" s="161"/>
      <c r="C329" s="3"/>
      <c r="D329" s="3"/>
      <c r="E329" s="4"/>
      <c r="F329" s="4"/>
      <c r="G329" s="4"/>
      <c r="H329" s="4"/>
      <c r="I329" s="4"/>
      <c r="J329" s="4"/>
      <c r="L329" s="4"/>
    </row>
    <row r="330" spans="1:12" ht="15.75">
      <c r="A330" s="3"/>
      <c r="B330" s="161"/>
      <c r="C330" s="3"/>
      <c r="D330" s="3"/>
      <c r="E330" s="4"/>
      <c r="F330" s="4"/>
      <c r="G330" s="4"/>
      <c r="H330" s="4"/>
      <c r="I330" s="4"/>
      <c r="J330" s="4"/>
      <c r="L330" s="4"/>
    </row>
    <row r="331" spans="1:12" ht="15.75">
      <c r="A331" s="3"/>
      <c r="B331" s="161"/>
      <c r="C331" s="3"/>
      <c r="D331" s="3"/>
      <c r="E331" s="4"/>
      <c r="F331" s="4"/>
      <c r="G331" s="4"/>
      <c r="H331" s="4"/>
      <c r="I331" s="4"/>
      <c r="J331" s="4"/>
      <c r="L331" s="4"/>
    </row>
    <row r="332" spans="1:12" ht="15.75">
      <c r="A332" s="3"/>
      <c r="B332" s="161"/>
      <c r="C332" s="3"/>
      <c r="D332" s="3"/>
      <c r="E332" s="4"/>
      <c r="F332" s="4"/>
      <c r="G332" s="4"/>
      <c r="H332" s="4"/>
      <c r="I332" s="4"/>
      <c r="J332" s="4"/>
      <c r="L332" s="4"/>
    </row>
    <row r="333" spans="1:12" ht="15.75">
      <c r="A333" s="3"/>
      <c r="B333" s="161"/>
      <c r="C333" s="3"/>
      <c r="D333" s="3"/>
      <c r="E333" s="4"/>
      <c r="F333" s="4"/>
      <c r="G333" s="4"/>
      <c r="H333" s="4"/>
      <c r="I333" s="4"/>
      <c r="J333" s="4"/>
      <c r="L333" s="4"/>
    </row>
    <row r="334" spans="1:12" ht="15.75">
      <c r="A334" s="3"/>
      <c r="B334" s="161"/>
      <c r="C334" s="3"/>
      <c r="D334" s="3"/>
      <c r="E334" s="4"/>
      <c r="F334" s="4"/>
      <c r="G334" s="4"/>
      <c r="H334" s="4"/>
      <c r="I334" s="4"/>
      <c r="J334" s="4"/>
      <c r="L334" s="4"/>
    </row>
    <row r="335" spans="1:12" ht="15.75">
      <c r="A335" s="3"/>
      <c r="B335" s="161"/>
      <c r="C335" s="3"/>
      <c r="D335" s="3"/>
      <c r="E335" s="4"/>
      <c r="F335" s="4"/>
      <c r="G335" s="4"/>
      <c r="H335" s="4"/>
      <c r="I335" s="4"/>
      <c r="J335" s="4"/>
      <c r="L335" s="4"/>
    </row>
    <row r="336" spans="1:12" ht="15.75">
      <c r="A336" s="3"/>
      <c r="B336" s="161"/>
      <c r="C336" s="3"/>
      <c r="D336" s="3"/>
      <c r="E336" s="4"/>
      <c r="F336" s="4"/>
      <c r="G336" s="4"/>
      <c r="H336" s="4"/>
      <c r="I336" s="4"/>
      <c r="J336" s="4"/>
      <c r="L336" s="4"/>
    </row>
    <row r="337" spans="1:12" ht="15.75">
      <c r="A337" s="3"/>
      <c r="B337" s="161"/>
      <c r="C337" s="3"/>
      <c r="D337" s="3"/>
      <c r="E337" s="4"/>
      <c r="F337" s="4"/>
      <c r="G337" s="4"/>
      <c r="H337" s="4"/>
      <c r="I337" s="4"/>
      <c r="J337" s="4"/>
      <c r="L337" s="4"/>
    </row>
    <row r="338" spans="1:12" ht="15.75">
      <c r="A338" s="3"/>
      <c r="B338" s="161"/>
      <c r="C338" s="3"/>
      <c r="D338" s="3"/>
      <c r="E338" s="4"/>
      <c r="F338" s="4"/>
      <c r="G338" s="4"/>
      <c r="H338" s="4"/>
      <c r="I338" s="4"/>
      <c r="J338" s="4"/>
      <c r="L338" s="4"/>
    </row>
    <row r="339" spans="1:12" ht="15.75">
      <c r="A339" s="3"/>
      <c r="B339" s="161"/>
      <c r="C339" s="3"/>
      <c r="D339" s="3"/>
      <c r="E339" s="4"/>
      <c r="F339" s="4"/>
      <c r="G339" s="4"/>
      <c r="H339" s="4"/>
      <c r="I339" s="4"/>
      <c r="J339" s="4"/>
      <c r="L339" s="4"/>
    </row>
    <row r="340" spans="1:12" ht="15.75">
      <c r="A340" s="3"/>
      <c r="B340" s="161"/>
      <c r="C340" s="3"/>
      <c r="D340" s="3"/>
      <c r="E340" s="4"/>
      <c r="F340" s="4"/>
      <c r="G340" s="4"/>
      <c r="H340" s="4"/>
      <c r="I340" s="4"/>
      <c r="J340" s="4"/>
      <c r="L340" s="4"/>
    </row>
    <row r="341" spans="1:12" ht="15.75">
      <c r="A341" s="3"/>
      <c r="B341" s="161"/>
      <c r="C341" s="3"/>
      <c r="D341" s="3"/>
      <c r="E341" s="4"/>
      <c r="F341" s="4"/>
      <c r="G341" s="4"/>
      <c r="H341" s="4"/>
      <c r="I341" s="4"/>
      <c r="J341" s="4"/>
      <c r="L341" s="4"/>
    </row>
    <row r="342" spans="1:12" ht="15.75">
      <c r="A342" s="3"/>
      <c r="B342" s="161"/>
      <c r="C342" s="3"/>
      <c r="D342" s="3"/>
      <c r="E342" s="4"/>
      <c r="F342" s="4"/>
      <c r="G342" s="4"/>
      <c r="H342" s="4"/>
      <c r="I342" s="4"/>
      <c r="J342" s="4"/>
      <c r="L342" s="4"/>
    </row>
    <row r="343" spans="1:12" ht="15.75">
      <c r="A343" s="3"/>
      <c r="B343" s="161"/>
      <c r="C343" s="3"/>
      <c r="D343" s="3"/>
      <c r="E343" s="4"/>
      <c r="F343" s="4"/>
      <c r="G343" s="4"/>
      <c r="H343" s="4"/>
      <c r="I343" s="4"/>
      <c r="J343" s="4"/>
      <c r="L343" s="4"/>
    </row>
    <row r="344" spans="1:12" ht="15.75">
      <c r="A344" s="3"/>
      <c r="B344" s="161"/>
      <c r="C344" s="3"/>
      <c r="D344" s="3"/>
      <c r="E344" s="4"/>
      <c r="F344" s="4"/>
      <c r="G344" s="4"/>
      <c r="H344" s="4"/>
      <c r="I344" s="4"/>
      <c r="J344" s="4"/>
      <c r="L344" s="4"/>
    </row>
    <row r="345" spans="1:12" ht="15.75">
      <c r="A345" s="3"/>
      <c r="B345" s="161"/>
      <c r="C345" s="3"/>
      <c r="D345" s="3"/>
      <c r="E345" s="4"/>
      <c r="F345" s="4"/>
      <c r="G345" s="4"/>
      <c r="H345" s="4"/>
      <c r="I345" s="4"/>
      <c r="J345" s="4"/>
      <c r="L345" s="4"/>
    </row>
    <row r="346" spans="1:12" ht="15.75">
      <c r="A346" s="3"/>
      <c r="B346" s="161"/>
      <c r="C346" s="3"/>
      <c r="D346" s="3"/>
      <c r="E346" s="4"/>
      <c r="F346" s="4"/>
      <c r="G346" s="4"/>
      <c r="H346" s="4"/>
      <c r="I346" s="4"/>
      <c r="J346" s="4"/>
      <c r="L346" s="4"/>
    </row>
    <row r="347" spans="1:12" ht="15.75">
      <c r="A347" s="3"/>
      <c r="B347" s="161"/>
      <c r="C347" s="3"/>
      <c r="D347" s="3"/>
      <c r="E347" s="4"/>
      <c r="F347" s="4"/>
      <c r="G347" s="4"/>
      <c r="H347" s="4"/>
      <c r="I347" s="4"/>
      <c r="J347" s="4"/>
      <c r="L347" s="4"/>
    </row>
    <row r="348" spans="1:12" ht="15.75">
      <c r="A348" s="3"/>
      <c r="B348" s="161"/>
      <c r="C348" s="3"/>
      <c r="D348" s="3"/>
      <c r="E348" s="4"/>
      <c r="F348" s="4"/>
      <c r="G348" s="4"/>
      <c r="H348" s="4"/>
      <c r="I348" s="4"/>
      <c r="J348" s="4"/>
      <c r="L348" s="4"/>
    </row>
    <row r="349" spans="1:12" ht="15.75">
      <c r="A349" s="3"/>
      <c r="B349" s="161"/>
      <c r="C349" s="3"/>
      <c r="D349" s="3"/>
      <c r="E349" s="4"/>
      <c r="F349" s="4"/>
      <c r="G349" s="4"/>
      <c r="H349" s="4"/>
      <c r="I349" s="4"/>
      <c r="J349" s="4"/>
      <c r="L349" s="4"/>
    </row>
    <row r="350" spans="1:12" ht="15.75">
      <c r="A350" s="3"/>
      <c r="B350" s="161"/>
      <c r="C350" s="3"/>
      <c r="D350" s="3"/>
      <c r="E350" s="4"/>
      <c r="F350" s="4"/>
      <c r="G350" s="4"/>
      <c r="H350" s="4"/>
      <c r="I350" s="4"/>
      <c r="J350" s="4"/>
      <c r="L350" s="4"/>
    </row>
    <row r="351" spans="1:12" ht="15.75">
      <c r="A351" s="3"/>
      <c r="B351" s="161"/>
      <c r="C351" s="3"/>
      <c r="D351" s="3"/>
      <c r="E351" s="4"/>
      <c r="F351" s="4"/>
      <c r="G351" s="4"/>
      <c r="H351" s="4"/>
      <c r="I351" s="4"/>
      <c r="J351" s="4"/>
      <c r="L351" s="4"/>
    </row>
    <row r="352" spans="1:12" ht="15.75">
      <c r="A352" s="3"/>
      <c r="B352" s="161"/>
      <c r="C352" s="3"/>
      <c r="D352" s="3"/>
      <c r="E352" s="4"/>
      <c r="F352" s="4"/>
      <c r="G352" s="4"/>
      <c r="H352" s="4"/>
      <c r="I352" s="4"/>
      <c r="J352" s="4"/>
      <c r="L352" s="4"/>
    </row>
    <row r="353" spans="1:12" ht="15.75">
      <c r="A353" s="3"/>
      <c r="B353" s="161"/>
      <c r="C353" s="3"/>
      <c r="D353" s="3"/>
      <c r="E353" s="4"/>
      <c r="F353" s="4"/>
      <c r="G353" s="4"/>
      <c r="H353" s="4"/>
      <c r="I353" s="4"/>
      <c r="J353" s="4"/>
      <c r="L353" s="4"/>
    </row>
    <row r="354" spans="1:12" ht="15.75">
      <c r="A354" s="3"/>
      <c r="B354" s="161"/>
      <c r="C354" s="3"/>
      <c r="D354" s="3"/>
      <c r="E354" s="4"/>
      <c r="F354" s="4"/>
      <c r="G354" s="4"/>
      <c r="H354" s="4"/>
      <c r="I354" s="4"/>
      <c r="J354" s="4"/>
      <c r="L354" s="4"/>
    </row>
    <row r="355" spans="1:12" ht="15.75">
      <c r="A355" s="3"/>
      <c r="B355" s="161"/>
      <c r="C355" s="3"/>
      <c r="D355" s="3"/>
      <c r="E355" s="4"/>
      <c r="F355" s="4"/>
      <c r="G355" s="4"/>
      <c r="H355" s="4"/>
      <c r="I355" s="4"/>
      <c r="J355" s="4"/>
      <c r="L355" s="4"/>
    </row>
    <row r="356" spans="1:12" ht="15.75">
      <c r="A356" s="3"/>
      <c r="B356" s="161"/>
      <c r="C356" s="3"/>
      <c r="D356" s="3"/>
      <c r="E356" s="4"/>
      <c r="F356" s="4"/>
      <c r="G356" s="4"/>
      <c r="H356" s="4"/>
      <c r="I356" s="4"/>
      <c r="J356" s="4"/>
      <c r="L356" s="4"/>
    </row>
    <row r="357" spans="1:12" ht="15.75">
      <c r="A357" s="3"/>
      <c r="B357" s="161"/>
      <c r="C357" s="3"/>
      <c r="D357" s="3"/>
      <c r="E357" s="4"/>
      <c r="F357" s="4"/>
      <c r="G357" s="4"/>
      <c r="H357" s="4"/>
      <c r="I357" s="4"/>
      <c r="J357" s="4"/>
      <c r="L357" s="4"/>
    </row>
    <row r="358" spans="1:12" ht="15.75">
      <c r="A358" s="3"/>
      <c r="B358" s="161"/>
      <c r="C358" s="3"/>
      <c r="D358" s="3"/>
      <c r="E358" s="4"/>
      <c r="F358" s="4"/>
      <c r="G358" s="4"/>
      <c r="H358" s="4"/>
      <c r="I358" s="4"/>
      <c r="J358" s="4"/>
      <c r="L358" s="4"/>
    </row>
    <row r="359" spans="1:12" ht="15.75">
      <c r="A359" s="3"/>
      <c r="B359" s="161"/>
      <c r="C359" s="3"/>
      <c r="D359" s="3"/>
      <c r="E359" s="4"/>
      <c r="F359" s="4"/>
      <c r="G359" s="4"/>
      <c r="H359" s="4"/>
      <c r="I359" s="4"/>
      <c r="J359" s="4"/>
      <c r="L359" s="4"/>
    </row>
    <row r="360" spans="1:12" ht="15.75">
      <c r="A360" s="3"/>
      <c r="B360" s="161"/>
      <c r="C360" s="3"/>
      <c r="D360" s="3"/>
      <c r="E360" s="4"/>
      <c r="F360" s="4"/>
      <c r="G360" s="4"/>
      <c r="H360" s="4"/>
      <c r="I360" s="4"/>
      <c r="J360" s="4"/>
      <c r="L360" s="4"/>
    </row>
    <row r="361" spans="1:12" ht="15.75">
      <c r="A361" s="3"/>
      <c r="B361" s="161"/>
      <c r="C361" s="3"/>
      <c r="D361" s="3"/>
      <c r="E361" s="4"/>
      <c r="F361" s="4"/>
      <c r="G361" s="4"/>
      <c r="H361" s="4"/>
      <c r="I361" s="4"/>
      <c r="J361" s="4"/>
      <c r="L361" s="4"/>
    </row>
    <row r="362" spans="1:12" ht="15.75">
      <c r="A362" s="3"/>
      <c r="B362" s="161"/>
      <c r="C362" s="3"/>
      <c r="D362" s="3"/>
      <c r="E362" s="4"/>
      <c r="F362" s="4"/>
      <c r="G362" s="4"/>
      <c r="H362" s="4"/>
      <c r="I362" s="4"/>
      <c r="J362" s="4"/>
      <c r="L362" s="4"/>
    </row>
    <row r="363" spans="1:12" ht="15.75">
      <c r="A363" s="3"/>
      <c r="B363" s="161"/>
      <c r="C363" s="3"/>
      <c r="D363" s="3"/>
      <c r="E363" s="4"/>
      <c r="F363" s="4"/>
      <c r="G363" s="4"/>
      <c r="H363" s="4"/>
      <c r="I363" s="4"/>
      <c r="J363" s="4"/>
      <c r="L363" s="4"/>
    </row>
    <row r="364" spans="1:12" ht="15.75">
      <c r="A364" s="3"/>
      <c r="B364" s="161"/>
      <c r="C364" s="3"/>
      <c r="D364" s="3"/>
      <c r="E364" s="4"/>
      <c r="F364" s="4"/>
      <c r="G364" s="4"/>
      <c r="H364" s="4"/>
      <c r="I364" s="4"/>
      <c r="J364" s="4"/>
      <c r="L364" s="4"/>
    </row>
    <row r="365" spans="1:12" ht="15.75">
      <c r="A365" s="3"/>
      <c r="B365" s="161"/>
      <c r="C365" s="3"/>
      <c r="D365" s="3"/>
      <c r="E365" s="4"/>
      <c r="F365" s="4"/>
      <c r="G365" s="4"/>
      <c r="H365" s="4"/>
      <c r="I365" s="4"/>
      <c r="J365" s="4"/>
      <c r="L365" s="4"/>
    </row>
    <row r="366" spans="1:12" ht="15.75">
      <c r="A366" s="3"/>
      <c r="B366" s="161"/>
      <c r="C366" s="3"/>
      <c r="D366" s="3"/>
      <c r="E366" s="4"/>
      <c r="F366" s="4"/>
      <c r="G366" s="4"/>
      <c r="H366" s="4"/>
      <c r="I366" s="4"/>
      <c r="J366" s="4"/>
      <c r="L366" s="4"/>
    </row>
    <row r="367" spans="1:12" ht="15.75">
      <c r="A367" s="3"/>
      <c r="B367" s="161"/>
      <c r="C367" s="3"/>
      <c r="D367" s="3"/>
      <c r="E367" s="4"/>
      <c r="F367" s="4"/>
      <c r="G367" s="4"/>
      <c r="H367" s="4"/>
      <c r="I367" s="4"/>
      <c r="J367" s="4"/>
      <c r="L367" s="4"/>
    </row>
    <row r="368" spans="1:12" ht="15.75">
      <c r="A368" s="3"/>
      <c r="B368" s="161"/>
      <c r="C368" s="3"/>
      <c r="D368" s="3"/>
      <c r="E368" s="4"/>
      <c r="F368" s="4"/>
      <c r="G368" s="4"/>
      <c r="H368" s="4"/>
      <c r="I368" s="4"/>
      <c r="J368" s="4"/>
      <c r="L368" s="4"/>
    </row>
    <row r="369" spans="1:12" ht="15.75">
      <c r="A369" s="3"/>
      <c r="B369" s="161"/>
      <c r="C369" s="3"/>
      <c r="D369" s="3"/>
      <c r="E369" s="4"/>
      <c r="F369" s="4"/>
      <c r="G369" s="4"/>
      <c r="H369" s="4"/>
      <c r="I369" s="4"/>
      <c r="J369" s="4"/>
      <c r="L369" s="4"/>
    </row>
    <row r="370" spans="1:12" ht="15.75">
      <c r="A370" s="3"/>
      <c r="B370" s="161"/>
      <c r="C370" s="3"/>
      <c r="D370" s="3"/>
      <c r="E370" s="4"/>
      <c r="F370" s="4"/>
      <c r="G370" s="4"/>
      <c r="H370" s="4"/>
      <c r="I370" s="4"/>
      <c r="J370" s="4"/>
      <c r="L370" s="4"/>
    </row>
    <row r="371" spans="1:12" ht="15.75">
      <c r="A371" s="3"/>
      <c r="B371" s="161"/>
      <c r="C371" s="3"/>
      <c r="D371" s="3"/>
      <c r="E371" s="4"/>
      <c r="F371" s="4"/>
      <c r="G371" s="4"/>
      <c r="H371" s="4"/>
      <c r="I371" s="4"/>
      <c r="J371" s="4"/>
      <c r="L371" s="4"/>
    </row>
    <row r="372" spans="1:12" ht="15.75">
      <c r="A372" s="3"/>
      <c r="B372" s="161"/>
      <c r="C372" s="3"/>
      <c r="D372" s="3"/>
      <c r="E372" s="4"/>
      <c r="F372" s="4"/>
      <c r="G372" s="4"/>
      <c r="H372" s="4"/>
      <c r="I372" s="4"/>
      <c r="J372" s="4"/>
      <c r="L372" s="4"/>
    </row>
    <row r="373" spans="1:12" ht="15.75">
      <c r="A373" s="3"/>
      <c r="B373" s="161"/>
      <c r="C373" s="3"/>
      <c r="D373" s="3"/>
      <c r="E373" s="4"/>
      <c r="F373" s="4"/>
      <c r="G373" s="4"/>
      <c r="H373" s="4"/>
      <c r="I373" s="4"/>
      <c r="J373" s="4"/>
      <c r="L373" s="4"/>
    </row>
    <row r="374" spans="1:12" ht="15.75">
      <c r="A374" s="3"/>
      <c r="B374" s="161"/>
      <c r="C374" s="3"/>
      <c r="D374" s="3"/>
      <c r="E374" s="4"/>
      <c r="F374" s="4"/>
      <c r="G374" s="4"/>
      <c r="H374" s="4"/>
      <c r="I374" s="4"/>
      <c r="J374" s="4"/>
      <c r="L374" s="4"/>
    </row>
    <row r="375" spans="1:12" ht="15.75">
      <c r="A375" s="3"/>
      <c r="B375" s="161"/>
      <c r="C375" s="3"/>
      <c r="D375" s="3"/>
      <c r="E375" s="4"/>
      <c r="F375" s="4"/>
      <c r="G375" s="4"/>
      <c r="H375" s="4"/>
      <c r="I375" s="4"/>
      <c r="J375" s="4"/>
      <c r="L375" s="4"/>
    </row>
    <row r="376" spans="1:12" ht="15.75">
      <c r="A376" s="3"/>
      <c r="B376" s="161"/>
      <c r="C376" s="3"/>
      <c r="D376" s="3"/>
      <c r="E376" s="4"/>
      <c r="F376" s="4"/>
      <c r="G376" s="4"/>
      <c r="H376" s="4"/>
      <c r="I376" s="4"/>
      <c r="J376" s="4"/>
      <c r="L376" s="4"/>
    </row>
    <row r="377" spans="1:12" ht="15.75">
      <c r="A377" s="3"/>
      <c r="B377" s="161"/>
      <c r="C377" s="3"/>
      <c r="D377" s="3"/>
      <c r="E377" s="4"/>
      <c r="F377" s="4"/>
      <c r="G377" s="4"/>
      <c r="H377" s="4"/>
      <c r="I377" s="4"/>
      <c r="J377" s="4"/>
      <c r="L377" s="4"/>
    </row>
    <row r="378" spans="1:12" ht="15.75">
      <c r="A378" s="3"/>
      <c r="B378" s="161"/>
      <c r="C378" s="3"/>
      <c r="D378" s="3"/>
      <c r="E378" s="4"/>
      <c r="F378" s="4"/>
      <c r="G378" s="4"/>
      <c r="H378" s="4"/>
      <c r="I378" s="4"/>
      <c r="J378" s="4"/>
      <c r="L378" s="4"/>
    </row>
    <row r="379" spans="1:12" ht="15.75">
      <c r="A379" s="3"/>
      <c r="B379" s="161"/>
      <c r="C379" s="3"/>
      <c r="D379" s="3"/>
      <c r="E379" s="4"/>
      <c r="F379" s="4"/>
      <c r="G379" s="4"/>
      <c r="H379" s="4"/>
      <c r="I379" s="4"/>
      <c r="J379" s="4"/>
      <c r="L379" s="4"/>
    </row>
    <row r="380" spans="1:12" ht="15.75">
      <c r="A380" s="3"/>
      <c r="B380" s="161"/>
      <c r="C380" s="3"/>
      <c r="D380" s="3"/>
      <c r="E380" s="4"/>
      <c r="F380" s="4"/>
      <c r="G380" s="4"/>
      <c r="H380" s="4"/>
      <c r="I380" s="4"/>
      <c r="J380" s="4"/>
      <c r="L380" s="4"/>
    </row>
    <row r="381" spans="1:12" ht="15.75">
      <c r="A381" s="3"/>
      <c r="B381" s="161"/>
      <c r="C381" s="3"/>
      <c r="D381" s="3"/>
      <c r="E381" s="4"/>
      <c r="F381" s="4"/>
      <c r="G381" s="4"/>
      <c r="H381" s="4"/>
      <c r="I381" s="4"/>
      <c r="J381" s="4"/>
      <c r="L381" s="4"/>
    </row>
    <row r="382" spans="1:12" ht="15.75">
      <c r="A382" s="3"/>
      <c r="B382" s="161"/>
      <c r="C382" s="3"/>
      <c r="D382" s="3"/>
      <c r="E382" s="4"/>
      <c r="F382" s="4"/>
      <c r="G382" s="4"/>
      <c r="H382" s="4"/>
      <c r="I382" s="4"/>
      <c r="J382" s="4"/>
      <c r="L382" s="4"/>
    </row>
    <row r="383" spans="1:12" ht="15.75">
      <c r="A383" s="3"/>
      <c r="B383" s="161"/>
      <c r="C383" s="3"/>
      <c r="D383" s="3"/>
      <c r="E383" s="4"/>
      <c r="F383" s="4"/>
      <c r="G383" s="4"/>
      <c r="H383" s="4"/>
      <c r="I383" s="4"/>
      <c r="J383" s="4"/>
      <c r="L383" s="4"/>
    </row>
    <row r="384" spans="1:12" ht="15.75">
      <c r="A384" s="3"/>
      <c r="B384" s="161"/>
      <c r="C384" s="3"/>
      <c r="D384" s="3"/>
      <c r="E384" s="4"/>
      <c r="F384" s="4"/>
      <c r="G384" s="4"/>
      <c r="H384" s="4"/>
      <c r="I384" s="4"/>
      <c r="J384" s="4"/>
      <c r="L384" s="4"/>
    </row>
    <row r="385" spans="1:12" ht="15.75">
      <c r="A385" s="3"/>
      <c r="B385" s="161"/>
      <c r="C385" s="3"/>
      <c r="D385" s="3"/>
      <c r="E385" s="4"/>
      <c r="F385" s="4"/>
      <c r="G385" s="4"/>
      <c r="H385" s="4"/>
      <c r="I385" s="4"/>
      <c r="J385" s="4"/>
      <c r="L385" s="4"/>
    </row>
    <row r="386" spans="1:12" ht="15.75">
      <c r="A386" s="3"/>
      <c r="B386" s="161"/>
      <c r="C386" s="3"/>
      <c r="D386" s="3"/>
      <c r="E386" s="4"/>
      <c r="F386" s="4"/>
      <c r="G386" s="4"/>
      <c r="H386" s="4"/>
      <c r="I386" s="4"/>
      <c r="J386" s="4"/>
      <c r="L386" s="4"/>
    </row>
    <row r="387" spans="1:12" ht="15.75">
      <c r="A387" s="3"/>
      <c r="B387" s="161"/>
      <c r="C387" s="3"/>
      <c r="D387" s="3"/>
      <c r="E387" s="4"/>
      <c r="F387" s="4"/>
      <c r="G387" s="4"/>
      <c r="H387" s="4"/>
      <c r="I387" s="4"/>
      <c r="J387" s="4"/>
      <c r="L387" s="4"/>
    </row>
    <row r="388" spans="1:12" ht="15.75">
      <c r="A388" s="3"/>
      <c r="B388" s="161"/>
      <c r="C388" s="3"/>
      <c r="D388" s="3"/>
      <c r="E388" s="4"/>
      <c r="F388" s="4"/>
      <c r="G388" s="4"/>
      <c r="H388" s="4"/>
      <c r="I388" s="4"/>
      <c r="J388" s="4"/>
      <c r="L388" s="4"/>
    </row>
    <row r="389" spans="1:12" ht="15.75">
      <c r="A389" s="3"/>
      <c r="B389" s="161"/>
      <c r="C389" s="3"/>
      <c r="D389" s="3"/>
      <c r="E389" s="4"/>
      <c r="F389" s="4"/>
      <c r="G389" s="4"/>
      <c r="H389" s="4"/>
      <c r="I389" s="4"/>
      <c r="J389" s="4"/>
      <c r="L389" s="4"/>
    </row>
    <row r="390" spans="1:12" ht="15.75">
      <c r="A390" s="3"/>
      <c r="B390" s="161"/>
      <c r="C390" s="3"/>
      <c r="D390" s="3"/>
      <c r="E390" s="4"/>
      <c r="F390" s="4"/>
      <c r="G390" s="4"/>
      <c r="H390" s="4"/>
      <c r="I390" s="4"/>
      <c r="J390" s="4"/>
      <c r="L390" s="4"/>
    </row>
    <row r="391" spans="1:12" ht="15.75">
      <c r="A391" s="3"/>
      <c r="B391" s="161"/>
      <c r="C391" s="3"/>
      <c r="D391" s="3"/>
      <c r="E391" s="4"/>
      <c r="F391" s="4"/>
      <c r="G391" s="4"/>
      <c r="H391" s="4"/>
      <c r="I391" s="4"/>
      <c r="J391" s="4"/>
      <c r="L391" s="4"/>
    </row>
    <row r="392" spans="1:12" ht="15.75">
      <c r="A392" s="3"/>
      <c r="B392" s="161"/>
      <c r="C392" s="3"/>
      <c r="D392" s="3"/>
      <c r="E392" s="4"/>
      <c r="F392" s="4"/>
      <c r="G392" s="4"/>
      <c r="H392" s="4"/>
      <c r="I392" s="4"/>
      <c r="J392" s="4"/>
      <c r="L392" s="4"/>
    </row>
    <row r="393" spans="1:12" ht="15.75">
      <c r="A393" s="3"/>
      <c r="B393" s="161"/>
      <c r="C393" s="3"/>
      <c r="D393" s="3"/>
      <c r="E393" s="4"/>
      <c r="F393" s="4"/>
      <c r="G393" s="4"/>
      <c r="H393" s="4"/>
      <c r="I393" s="4"/>
      <c r="J393" s="4"/>
      <c r="L393" s="4"/>
    </row>
    <row r="394" spans="1:12" ht="15.75">
      <c r="A394" s="3"/>
      <c r="B394" s="161"/>
      <c r="C394" s="3"/>
      <c r="D394" s="3"/>
      <c r="E394" s="4"/>
      <c r="F394" s="4"/>
      <c r="G394" s="4"/>
      <c r="H394" s="4"/>
      <c r="I394" s="4"/>
      <c r="J394" s="4"/>
      <c r="L394" s="4"/>
    </row>
    <row r="395" spans="1:12" ht="15.75">
      <c r="A395" s="3"/>
      <c r="B395" s="161"/>
      <c r="C395" s="3"/>
      <c r="D395" s="3"/>
      <c r="E395" s="4"/>
      <c r="F395" s="4"/>
      <c r="G395" s="4"/>
      <c r="H395" s="4"/>
      <c r="I395" s="4"/>
      <c r="J395" s="4"/>
      <c r="L395" s="4"/>
    </row>
    <row r="396" spans="1:12" ht="15.75">
      <c r="A396" s="3"/>
      <c r="B396" s="161"/>
      <c r="C396" s="3"/>
      <c r="D396" s="3"/>
      <c r="E396" s="4"/>
      <c r="F396" s="4"/>
      <c r="G396" s="4"/>
      <c r="H396" s="4"/>
      <c r="I396" s="4"/>
      <c r="J396" s="4"/>
      <c r="L396" s="4"/>
    </row>
    <row r="397" spans="1:12" ht="15.75">
      <c r="A397" s="3"/>
      <c r="B397" s="161"/>
      <c r="C397" s="3"/>
      <c r="D397" s="3"/>
      <c r="E397" s="4"/>
      <c r="F397" s="4"/>
      <c r="G397" s="4"/>
      <c r="H397" s="4"/>
      <c r="I397" s="4"/>
      <c r="J397" s="4"/>
      <c r="L397" s="4"/>
    </row>
    <row r="398" spans="1:12" ht="15.75">
      <c r="A398" s="3"/>
      <c r="B398" s="161"/>
      <c r="C398" s="3"/>
      <c r="D398" s="3"/>
      <c r="E398" s="4"/>
      <c r="F398" s="4"/>
      <c r="G398" s="4"/>
      <c r="H398" s="4"/>
      <c r="I398" s="4"/>
      <c r="J398" s="4"/>
      <c r="L398" s="4"/>
    </row>
    <row r="399" spans="1:12" ht="15.75">
      <c r="A399" s="3"/>
      <c r="B399" s="161"/>
      <c r="C399" s="3"/>
      <c r="D399" s="3"/>
      <c r="E399" s="4"/>
      <c r="F399" s="4"/>
      <c r="G399" s="4"/>
      <c r="H399" s="4"/>
      <c r="I399" s="4"/>
      <c r="J399" s="4"/>
      <c r="L399" s="4"/>
    </row>
    <row r="400" spans="1:12" ht="15.75">
      <c r="A400" s="3"/>
      <c r="B400" s="161"/>
      <c r="C400" s="3"/>
      <c r="D400" s="3"/>
      <c r="E400" s="4"/>
      <c r="F400" s="4"/>
      <c r="G400" s="4"/>
      <c r="H400" s="4"/>
      <c r="I400" s="4"/>
      <c r="J400" s="4"/>
      <c r="L400" s="4"/>
    </row>
    <row r="401" spans="1:12" ht="15.75">
      <c r="A401" s="3"/>
      <c r="B401" s="161"/>
      <c r="C401" s="3"/>
      <c r="D401" s="3"/>
      <c r="E401" s="4"/>
      <c r="F401" s="4"/>
      <c r="G401" s="4"/>
      <c r="H401" s="4"/>
      <c r="I401" s="4"/>
      <c r="J401" s="4"/>
      <c r="L401" s="4"/>
    </row>
    <row r="402" spans="1:12" ht="15.75">
      <c r="A402" s="3"/>
      <c r="B402" s="161"/>
      <c r="C402" s="3"/>
      <c r="D402" s="3"/>
      <c r="E402" s="4"/>
      <c r="F402" s="4"/>
      <c r="G402" s="4"/>
      <c r="H402" s="4"/>
      <c r="I402" s="4"/>
      <c r="J402" s="4"/>
      <c r="L402" s="4"/>
    </row>
    <row r="403" spans="1:12" ht="15.75">
      <c r="A403" s="3"/>
      <c r="B403" s="161"/>
      <c r="C403" s="3"/>
      <c r="D403" s="3"/>
      <c r="E403" s="4"/>
      <c r="F403" s="4"/>
      <c r="G403" s="4"/>
      <c r="H403" s="4"/>
      <c r="I403" s="4"/>
      <c r="J403" s="4"/>
      <c r="L403" s="4"/>
    </row>
    <row r="404" spans="1:12" ht="15.75">
      <c r="A404" s="3"/>
      <c r="B404" s="161"/>
      <c r="C404" s="3"/>
      <c r="D404" s="3"/>
      <c r="E404" s="4"/>
      <c r="F404" s="4"/>
      <c r="G404" s="4"/>
      <c r="H404" s="4"/>
      <c r="I404" s="4"/>
      <c r="J404" s="4"/>
      <c r="L404" s="4"/>
    </row>
    <row r="405" spans="1:12" ht="15.75">
      <c r="A405" s="3"/>
      <c r="B405" s="161"/>
      <c r="C405" s="3"/>
      <c r="D405" s="3"/>
      <c r="E405" s="4"/>
      <c r="F405" s="4"/>
      <c r="G405" s="4"/>
      <c r="H405" s="4"/>
      <c r="I405" s="4"/>
      <c r="J405" s="4"/>
      <c r="L405" s="4"/>
    </row>
    <row r="406" spans="1:12" ht="15.75">
      <c r="A406" s="3"/>
      <c r="B406" s="161"/>
      <c r="C406" s="3"/>
      <c r="D406" s="3"/>
      <c r="E406" s="4"/>
      <c r="F406" s="4"/>
      <c r="G406" s="4"/>
      <c r="H406" s="4"/>
      <c r="I406" s="4"/>
      <c r="J406" s="4"/>
      <c r="L406" s="4"/>
    </row>
    <row r="407" spans="1:12" ht="15.75">
      <c r="A407" s="3"/>
      <c r="B407" s="161"/>
      <c r="C407" s="3"/>
      <c r="D407" s="3"/>
      <c r="E407" s="4"/>
      <c r="F407" s="4"/>
      <c r="G407" s="4"/>
      <c r="H407" s="4"/>
      <c r="I407" s="4"/>
      <c r="J407" s="4"/>
      <c r="L407" s="4"/>
    </row>
    <row r="408" spans="1:12" ht="15.75">
      <c r="A408" s="3"/>
      <c r="B408" s="161"/>
      <c r="C408" s="3"/>
      <c r="D408" s="3"/>
      <c r="E408" s="4"/>
      <c r="F408" s="4"/>
      <c r="G408" s="4"/>
      <c r="H408" s="4"/>
      <c r="I408" s="4"/>
      <c r="J408" s="4"/>
      <c r="L408" s="4"/>
    </row>
    <row r="409" spans="1:12" ht="15.75">
      <c r="A409" s="3"/>
      <c r="B409" s="161"/>
      <c r="C409" s="3"/>
      <c r="D409" s="3"/>
      <c r="E409" s="4"/>
      <c r="F409" s="4"/>
      <c r="G409" s="4"/>
      <c r="H409" s="4"/>
      <c r="I409" s="4"/>
      <c r="J409" s="4"/>
      <c r="L409" s="4"/>
    </row>
    <row r="410" spans="1:12" ht="15.75">
      <c r="A410" s="3"/>
      <c r="B410" s="161"/>
      <c r="C410" s="3"/>
      <c r="D410" s="3"/>
      <c r="E410" s="4"/>
      <c r="F410" s="4"/>
      <c r="G410" s="4"/>
      <c r="H410" s="4"/>
      <c r="I410" s="4"/>
      <c r="J410" s="4"/>
      <c r="L410" s="4"/>
    </row>
    <row r="411" spans="1:12" ht="15.75">
      <c r="A411" s="3"/>
      <c r="B411" s="161"/>
      <c r="C411" s="3"/>
      <c r="D411" s="3"/>
      <c r="E411" s="4"/>
      <c r="F411" s="4"/>
      <c r="G411" s="4"/>
      <c r="H411" s="4"/>
      <c r="I411" s="4"/>
      <c r="J411" s="4"/>
      <c r="L411" s="4"/>
    </row>
    <row r="412" spans="1:12" ht="15.75">
      <c r="A412" s="3"/>
      <c r="B412" s="161"/>
      <c r="C412" s="3"/>
      <c r="D412" s="3"/>
      <c r="E412" s="4"/>
      <c r="F412" s="4"/>
      <c r="G412" s="4"/>
      <c r="H412" s="4"/>
      <c r="I412" s="4"/>
      <c r="J412" s="4"/>
      <c r="L412" s="4"/>
    </row>
    <row r="413" spans="1:12" ht="15.75">
      <c r="A413" s="3"/>
      <c r="B413" s="161"/>
      <c r="C413" s="3"/>
      <c r="D413" s="3"/>
      <c r="E413" s="4"/>
      <c r="F413" s="4"/>
      <c r="G413" s="4"/>
      <c r="H413" s="4"/>
      <c r="I413" s="4"/>
      <c r="J413" s="4"/>
      <c r="L413" s="4"/>
    </row>
    <row r="414" spans="1:12" ht="15.75">
      <c r="A414" s="3"/>
      <c r="B414" s="161"/>
      <c r="C414" s="3"/>
      <c r="D414" s="3"/>
      <c r="E414" s="4"/>
      <c r="F414" s="4"/>
      <c r="G414" s="4"/>
      <c r="H414" s="4"/>
      <c r="I414" s="4"/>
      <c r="J414" s="4"/>
      <c r="L414" s="4"/>
    </row>
    <row r="415" spans="1:12" ht="15.75">
      <c r="A415" s="3"/>
      <c r="B415" s="161"/>
      <c r="C415" s="3"/>
      <c r="D415" s="3"/>
      <c r="E415" s="4"/>
      <c r="F415" s="4"/>
      <c r="G415" s="4"/>
      <c r="H415" s="4"/>
      <c r="I415" s="4"/>
      <c r="J415" s="4"/>
      <c r="L415" s="4"/>
    </row>
    <row r="416" spans="1:12" ht="15.75">
      <c r="A416" s="3"/>
      <c r="B416" s="161"/>
      <c r="C416" s="3"/>
      <c r="D416" s="3"/>
      <c r="E416" s="4"/>
      <c r="F416" s="4"/>
      <c r="G416" s="4"/>
      <c r="H416" s="4"/>
      <c r="I416" s="4"/>
      <c r="J416" s="4"/>
      <c r="L416" s="4"/>
    </row>
    <row r="417" spans="1:12" ht="15.75">
      <c r="A417" s="3"/>
      <c r="B417" s="161"/>
      <c r="C417" s="3"/>
      <c r="D417" s="3"/>
      <c r="E417" s="4"/>
      <c r="F417" s="4"/>
      <c r="G417" s="4"/>
      <c r="H417" s="4"/>
      <c r="I417" s="4"/>
      <c r="J417" s="4"/>
      <c r="L417" s="4"/>
    </row>
    <row r="418" spans="1:12" ht="15.75">
      <c r="A418" s="3"/>
      <c r="B418" s="161"/>
      <c r="C418" s="3"/>
      <c r="D418" s="3"/>
      <c r="E418" s="4"/>
      <c r="F418" s="4"/>
      <c r="G418" s="4"/>
      <c r="H418" s="4"/>
      <c r="I418" s="4"/>
      <c r="J418" s="4"/>
      <c r="L418" s="4"/>
    </row>
    <row r="419" spans="1:12" ht="15.75">
      <c r="A419" s="3"/>
      <c r="B419" s="161"/>
      <c r="C419" s="3"/>
      <c r="D419" s="3"/>
      <c r="E419" s="4"/>
      <c r="F419" s="4"/>
      <c r="G419" s="4"/>
      <c r="H419" s="4"/>
      <c r="I419" s="4"/>
      <c r="J419" s="4"/>
      <c r="L419" s="4"/>
    </row>
    <row r="420" spans="1:12" ht="15.75">
      <c r="A420" s="3"/>
      <c r="B420" s="161"/>
      <c r="C420" s="3"/>
      <c r="D420" s="3"/>
      <c r="E420" s="4"/>
      <c r="F420" s="4"/>
      <c r="G420" s="4"/>
      <c r="H420" s="4"/>
      <c r="I420" s="4"/>
      <c r="J420" s="4"/>
      <c r="L420" s="4"/>
    </row>
    <row r="421" spans="1:12" ht="15.75">
      <c r="A421" s="3"/>
      <c r="B421" s="161"/>
      <c r="C421" s="3"/>
      <c r="D421" s="3"/>
      <c r="E421" s="4"/>
      <c r="F421" s="4"/>
      <c r="G421" s="4"/>
      <c r="H421" s="4"/>
      <c r="I421" s="4"/>
      <c r="J421" s="4"/>
      <c r="L421" s="4"/>
    </row>
    <row r="422" spans="1:12" ht="15.75">
      <c r="A422" s="3"/>
      <c r="B422" s="161"/>
      <c r="C422" s="3"/>
      <c r="D422" s="3"/>
      <c r="E422" s="4"/>
      <c r="F422" s="4"/>
      <c r="G422" s="4"/>
      <c r="H422" s="4"/>
      <c r="I422" s="4"/>
      <c r="J422" s="4"/>
      <c r="L422" s="4"/>
    </row>
    <row r="423" spans="1:12" ht="15.75">
      <c r="A423" s="3"/>
      <c r="B423" s="161"/>
      <c r="C423" s="3"/>
      <c r="D423" s="3"/>
      <c r="E423" s="4"/>
      <c r="F423" s="4"/>
      <c r="G423" s="4"/>
      <c r="H423" s="4"/>
      <c r="I423" s="4"/>
      <c r="J423" s="4"/>
      <c r="L423" s="4"/>
    </row>
    <row r="424" spans="1:12" ht="15.75">
      <c r="A424" s="3"/>
      <c r="B424" s="161"/>
      <c r="C424" s="3"/>
      <c r="D424" s="3"/>
      <c r="E424" s="4"/>
      <c r="F424" s="4"/>
      <c r="G424" s="4"/>
      <c r="H424" s="4"/>
      <c r="I424" s="4"/>
      <c r="J424" s="4"/>
      <c r="L424" s="4"/>
    </row>
    <row r="425" spans="1:12" ht="15.75">
      <c r="A425" s="3"/>
      <c r="B425" s="161"/>
      <c r="C425" s="3"/>
      <c r="D425" s="3"/>
      <c r="E425" s="4"/>
      <c r="F425" s="4"/>
      <c r="G425" s="4"/>
      <c r="H425" s="4"/>
      <c r="I425" s="4"/>
      <c r="J425" s="4"/>
      <c r="L425" s="4"/>
    </row>
    <row r="426" spans="1:12" ht="15.75">
      <c r="A426" s="3"/>
      <c r="B426" s="161"/>
      <c r="C426" s="3"/>
      <c r="D426" s="3"/>
      <c r="E426" s="4"/>
      <c r="F426" s="4"/>
      <c r="G426" s="4"/>
      <c r="H426" s="4"/>
      <c r="I426" s="4"/>
      <c r="J426" s="4"/>
      <c r="L426" s="4"/>
    </row>
    <row r="427" spans="1:12" ht="15.75">
      <c r="A427" s="3"/>
      <c r="B427" s="161"/>
      <c r="C427" s="3"/>
      <c r="D427" s="3"/>
      <c r="E427" s="4"/>
      <c r="F427" s="4"/>
      <c r="G427" s="4"/>
      <c r="H427" s="4"/>
      <c r="I427" s="4"/>
      <c r="J427" s="4"/>
      <c r="L427" s="4"/>
    </row>
    <row r="428" spans="1:12" ht="15.75">
      <c r="A428" s="3"/>
      <c r="B428" s="161"/>
      <c r="C428" s="3"/>
      <c r="D428" s="3"/>
      <c r="E428" s="4"/>
      <c r="F428" s="4"/>
      <c r="G428" s="4"/>
      <c r="H428" s="4"/>
      <c r="I428" s="4"/>
      <c r="J428" s="4"/>
      <c r="L428" s="4"/>
    </row>
    <row r="429" spans="1:12" ht="15.75">
      <c r="A429" s="3"/>
      <c r="B429" s="161"/>
      <c r="C429" s="3"/>
      <c r="D429" s="3"/>
      <c r="E429" s="4"/>
      <c r="F429" s="4"/>
      <c r="G429" s="4"/>
      <c r="H429" s="4"/>
      <c r="I429" s="4"/>
      <c r="J429" s="4"/>
      <c r="L429" s="4"/>
    </row>
    <row r="430" spans="1:12" ht="15.75">
      <c r="A430" s="3"/>
      <c r="B430" s="161"/>
      <c r="C430" s="3"/>
      <c r="D430" s="3"/>
      <c r="E430" s="4"/>
      <c r="F430" s="4"/>
      <c r="G430" s="4"/>
      <c r="H430" s="4"/>
      <c r="I430" s="4"/>
      <c r="J430" s="4"/>
      <c r="L430" s="4"/>
    </row>
    <row r="431" spans="1:12" ht="15.75">
      <c r="A431" s="3"/>
      <c r="B431" s="161"/>
      <c r="C431" s="3"/>
      <c r="D431" s="3"/>
      <c r="E431" s="4"/>
      <c r="F431" s="4"/>
      <c r="G431" s="4"/>
      <c r="H431" s="4"/>
      <c r="I431" s="4"/>
      <c r="J431" s="4"/>
      <c r="L431" s="4"/>
    </row>
    <row r="432" spans="1:12" ht="15.75">
      <c r="A432" s="3"/>
      <c r="B432" s="161"/>
      <c r="C432" s="3"/>
      <c r="D432" s="3"/>
      <c r="E432" s="4"/>
      <c r="F432" s="4"/>
      <c r="G432" s="4"/>
      <c r="H432" s="4"/>
      <c r="I432" s="4"/>
      <c r="J432" s="4"/>
      <c r="L432" s="4"/>
    </row>
    <row r="433" spans="1:12" ht="15.75">
      <c r="A433" s="3"/>
      <c r="B433" s="161"/>
      <c r="C433" s="3"/>
      <c r="D433" s="3"/>
      <c r="E433" s="4"/>
      <c r="F433" s="4"/>
      <c r="G433" s="4"/>
      <c r="H433" s="4"/>
      <c r="I433" s="4"/>
      <c r="J433" s="4"/>
      <c r="L433" s="4"/>
    </row>
    <row r="434" spans="1:12" ht="15.75">
      <c r="A434" s="3"/>
      <c r="B434" s="161"/>
      <c r="C434" s="3"/>
      <c r="D434" s="3"/>
      <c r="E434" s="4"/>
      <c r="F434" s="4"/>
      <c r="G434" s="4"/>
      <c r="H434" s="4"/>
      <c r="I434" s="4"/>
      <c r="J434" s="4"/>
      <c r="L434" s="4"/>
    </row>
    <row r="435" spans="1:12" ht="15.75">
      <c r="A435" s="3"/>
      <c r="B435" s="161"/>
      <c r="C435" s="3"/>
      <c r="D435" s="3"/>
      <c r="E435" s="4"/>
      <c r="F435" s="4"/>
      <c r="G435" s="4"/>
      <c r="H435" s="4"/>
      <c r="I435" s="4"/>
      <c r="J435" s="4"/>
      <c r="L435" s="4"/>
    </row>
    <row r="436" spans="1:12" ht="15.75">
      <c r="A436" s="3"/>
      <c r="B436" s="161"/>
      <c r="C436" s="3"/>
      <c r="D436" s="3"/>
      <c r="E436" s="4"/>
      <c r="F436" s="4"/>
      <c r="G436" s="4"/>
      <c r="H436" s="4"/>
      <c r="I436" s="4"/>
      <c r="J436" s="4"/>
      <c r="L436" s="4"/>
    </row>
    <row r="437" spans="1:12" ht="15.75">
      <c r="A437" s="3"/>
      <c r="B437" s="161"/>
      <c r="C437" s="3"/>
      <c r="D437" s="3"/>
      <c r="E437" s="4"/>
      <c r="F437" s="4"/>
      <c r="G437" s="4"/>
      <c r="H437" s="4"/>
      <c r="I437" s="4"/>
      <c r="J437" s="4"/>
      <c r="L437" s="4"/>
    </row>
    <row r="438" spans="1:12" ht="15.75">
      <c r="A438" s="3"/>
      <c r="B438" s="161"/>
      <c r="C438" s="3"/>
      <c r="D438" s="3"/>
      <c r="E438" s="4"/>
      <c r="F438" s="4"/>
      <c r="G438" s="4"/>
      <c r="H438" s="4"/>
      <c r="I438" s="4"/>
      <c r="J438" s="4"/>
      <c r="L438" s="4"/>
    </row>
    <row r="439" spans="1:12" ht="15.75">
      <c r="A439" s="3"/>
      <c r="B439" s="161"/>
      <c r="C439" s="3"/>
      <c r="D439" s="3"/>
      <c r="E439" s="4"/>
      <c r="F439" s="4"/>
      <c r="G439" s="4"/>
      <c r="H439" s="4"/>
      <c r="I439" s="4"/>
      <c r="J439" s="4"/>
      <c r="L439" s="4"/>
    </row>
    <row r="440" spans="1:12" ht="15.75">
      <c r="A440" s="3"/>
      <c r="B440" s="161"/>
      <c r="C440" s="3"/>
      <c r="D440" s="3"/>
      <c r="E440" s="4"/>
      <c r="F440" s="4"/>
      <c r="G440" s="4"/>
      <c r="H440" s="4"/>
      <c r="I440" s="4"/>
      <c r="J440" s="4"/>
      <c r="L440" s="4"/>
    </row>
    <row r="441" spans="1:12" ht="15.75">
      <c r="A441" s="3"/>
      <c r="B441" s="161"/>
      <c r="C441" s="3"/>
      <c r="D441" s="3"/>
      <c r="E441" s="4"/>
      <c r="F441" s="4"/>
      <c r="G441" s="4"/>
      <c r="H441" s="4"/>
      <c r="I441" s="4"/>
      <c r="J441" s="4"/>
      <c r="L441" s="4"/>
    </row>
    <row r="442" spans="1:12" ht="15.75">
      <c r="A442" s="3"/>
      <c r="B442" s="161"/>
      <c r="C442" s="3"/>
      <c r="D442" s="3"/>
      <c r="E442" s="4"/>
      <c r="F442" s="4"/>
      <c r="G442" s="4"/>
      <c r="H442" s="4"/>
      <c r="I442" s="4"/>
      <c r="J442" s="4"/>
      <c r="L442" s="4"/>
    </row>
    <row r="443" spans="1:12" ht="15.75">
      <c r="A443" s="3"/>
      <c r="B443" s="161"/>
      <c r="C443" s="3"/>
      <c r="D443" s="3"/>
      <c r="E443" s="4"/>
      <c r="F443" s="4"/>
      <c r="G443" s="4"/>
      <c r="H443" s="4"/>
      <c r="I443" s="4"/>
      <c r="J443" s="4"/>
      <c r="L443" s="4"/>
    </row>
    <row r="444" spans="1:12" ht="15.75">
      <c r="A444" s="3"/>
      <c r="B444" s="161"/>
      <c r="C444" s="3"/>
      <c r="D444" s="3"/>
      <c r="E444" s="4"/>
      <c r="F444" s="4"/>
      <c r="G444" s="4"/>
      <c r="H444" s="4"/>
      <c r="I444" s="4"/>
      <c r="J444" s="4"/>
      <c r="L444" s="4"/>
    </row>
    <row r="445" spans="1:12" ht="15.75">
      <c r="A445" s="3"/>
      <c r="B445" s="161"/>
      <c r="C445" s="3"/>
      <c r="D445" s="3"/>
      <c r="E445" s="4"/>
      <c r="F445" s="4"/>
      <c r="G445" s="4"/>
      <c r="H445" s="4"/>
      <c r="I445" s="4"/>
      <c r="J445" s="4"/>
      <c r="L445" s="4"/>
    </row>
    <row r="446" spans="1:12" ht="15.75">
      <c r="A446" s="3"/>
      <c r="B446" s="161"/>
      <c r="C446" s="3"/>
      <c r="D446" s="3"/>
      <c r="E446" s="4"/>
      <c r="F446" s="4"/>
      <c r="G446" s="4"/>
      <c r="H446" s="4"/>
      <c r="I446" s="4"/>
      <c r="J446" s="4"/>
      <c r="L446" s="4"/>
    </row>
    <row r="447" spans="1:12" ht="15.75">
      <c r="A447" s="3"/>
      <c r="B447" s="161"/>
      <c r="C447" s="3"/>
      <c r="D447" s="3"/>
      <c r="E447" s="4"/>
      <c r="F447" s="4"/>
      <c r="G447" s="4"/>
      <c r="H447" s="4"/>
      <c r="I447" s="4"/>
      <c r="J447" s="4"/>
      <c r="L447" s="4"/>
    </row>
    <row r="448" spans="1:12" ht="15.75">
      <c r="A448" s="3"/>
      <c r="B448" s="161"/>
      <c r="C448" s="3"/>
      <c r="D448" s="3"/>
      <c r="E448" s="4"/>
      <c r="F448" s="4"/>
      <c r="G448" s="4"/>
      <c r="H448" s="4"/>
      <c r="I448" s="4"/>
      <c r="J448" s="4"/>
      <c r="L448" s="4"/>
    </row>
    <row r="449" spans="1:12" ht="15.75">
      <c r="A449" s="3"/>
      <c r="B449" s="161"/>
      <c r="C449" s="3"/>
      <c r="D449" s="3"/>
      <c r="E449" s="4"/>
      <c r="F449" s="4"/>
      <c r="G449" s="4"/>
      <c r="H449" s="4"/>
      <c r="I449" s="4"/>
      <c r="J449" s="4"/>
      <c r="L449" s="4"/>
    </row>
    <row r="450" spans="1:12" ht="15.75">
      <c r="A450" s="3"/>
      <c r="B450" s="161"/>
      <c r="C450" s="3"/>
      <c r="D450" s="3"/>
      <c r="E450" s="4"/>
      <c r="F450" s="4"/>
      <c r="G450" s="4"/>
      <c r="H450" s="4"/>
      <c r="I450" s="4"/>
      <c r="J450" s="4"/>
      <c r="L450" s="4"/>
    </row>
    <row r="451" spans="1:12" ht="15.75">
      <c r="A451" s="3"/>
      <c r="B451" s="161"/>
      <c r="C451" s="3"/>
      <c r="D451" s="3"/>
      <c r="E451" s="4"/>
      <c r="F451" s="4"/>
      <c r="G451" s="4"/>
      <c r="H451" s="4"/>
      <c r="I451" s="4"/>
      <c r="J451" s="4"/>
      <c r="L451" s="4"/>
    </row>
    <row r="452" spans="1:12" ht="15.75">
      <c r="A452" s="3"/>
      <c r="B452" s="161"/>
      <c r="C452" s="3"/>
      <c r="D452" s="3"/>
      <c r="E452" s="4"/>
      <c r="F452" s="4"/>
      <c r="G452" s="4"/>
      <c r="H452" s="4"/>
      <c r="I452" s="4"/>
      <c r="J452" s="4"/>
      <c r="L452" s="4"/>
    </row>
    <row r="453" spans="1:12" ht="15.75">
      <c r="A453" s="3"/>
      <c r="B453" s="161"/>
      <c r="C453" s="3"/>
      <c r="D453" s="3"/>
      <c r="E453" s="4"/>
      <c r="F453" s="4"/>
      <c r="G453" s="4"/>
      <c r="H453" s="4"/>
      <c r="I453" s="4"/>
      <c r="J453" s="4"/>
      <c r="L453" s="4"/>
    </row>
    <row r="454" spans="1:12" ht="15.75">
      <c r="A454" s="3"/>
      <c r="B454" s="161"/>
      <c r="C454" s="3"/>
      <c r="D454" s="3"/>
      <c r="E454" s="4"/>
      <c r="F454" s="4"/>
      <c r="G454" s="4"/>
      <c r="H454" s="4"/>
      <c r="I454" s="4"/>
      <c r="J454" s="4"/>
      <c r="L454" s="4"/>
    </row>
    <row r="455" spans="1:12" ht="15.75">
      <c r="A455" s="3"/>
      <c r="B455" s="161"/>
      <c r="C455" s="3"/>
      <c r="D455" s="3"/>
      <c r="E455" s="4"/>
      <c r="F455" s="4"/>
      <c r="G455" s="4"/>
      <c r="H455" s="4"/>
      <c r="I455" s="4"/>
      <c r="J455" s="4"/>
      <c r="L455" s="4"/>
    </row>
    <row r="456" spans="1:12" ht="15.75">
      <c r="A456" s="3"/>
      <c r="B456" s="161"/>
      <c r="C456" s="3"/>
      <c r="D456" s="3"/>
      <c r="E456" s="4"/>
      <c r="F456" s="4"/>
      <c r="G456" s="4"/>
      <c r="H456" s="4"/>
      <c r="I456" s="4"/>
      <c r="J456" s="4"/>
      <c r="L456" s="4"/>
    </row>
    <row r="457" spans="1:12" ht="15.75">
      <c r="A457" s="3"/>
      <c r="B457" s="161"/>
      <c r="C457" s="3"/>
      <c r="D457" s="3"/>
      <c r="E457" s="4"/>
      <c r="F457" s="4"/>
      <c r="G457" s="4"/>
      <c r="H457" s="4"/>
      <c r="I457" s="4"/>
      <c r="J457" s="4"/>
      <c r="L457" s="4"/>
    </row>
    <row r="458" spans="1:12" ht="15.75">
      <c r="A458" s="3"/>
      <c r="B458" s="161"/>
      <c r="C458" s="3"/>
      <c r="D458" s="3"/>
      <c r="E458" s="4"/>
      <c r="F458" s="4"/>
      <c r="G458" s="4"/>
      <c r="H458" s="4"/>
      <c r="I458" s="4"/>
      <c r="J458" s="4"/>
      <c r="L458" s="4"/>
    </row>
    <row r="459" spans="1:12" ht="15.75">
      <c r="A459" s="3"/>
      <c r="B459" s="161"/>
      <c r="C459" s="3"/>
      <c r="D459" s="3"/>
      <c r="E459" s="4"/>
      <c r="F459" s="4"/>
      <c r="G459" s="4"/>
      <c r="H459" s="4"/>
      <c r="I459" s="4"/>
      <c r="J459" s="4"/>
      <c r="L459" s="4"/>
    </row>
    <row r="460" spans="1:12" ht="15.75">
      <c r="A460" s="3"/>
      <c r="B460" s="161"/>
      <c r="C460" s="3"/>
      <c r="D460" s="3"/>
      <c r="E460" s="4"/>
      <c r="F460" s="4"/>
      <c r="G460" s="4"/>
      <c r="H460" s="4"/>
      <c r="I460" s="4"/>
      <c r="J460" s="4"/>
      <c r="L460" s="4"/>
    </row>
    <row r="461" spans="1:12" ht="15.75">
      <c r="A461" s="3"/>
      <c r="B461" s="161"/>
      <c r="C461" s="3"/>
      <c r="D461" s="3"/>
      <c r="E461" s="4"/>
      <c r="F461" s="4"/>
      <c r="G461" s="4"/>
      <c r="H461" s="4"/>
      <c r="I461" s="4"/>
      <c r="J461" s="4"/>
      <c r="L461" s="4"/>
    </row>
    <row r="462" spans="1:12" ht="15.75">
      <c r="A462" s="3"/>
      <c r="B462" s="161"/>
      <c r="C462" s="3"/>
      <c r="D462" s="3"/>
      <c r="E462" s="4"/>
      <c r="F462" s="4"/>
      <c r="G462" s="4"/>
      <c r="H462" s="4"/>
      <c r="I462" s="4"/>
      <c r="J462" s="4"/>
      <c r="L462" s="4"/>
    </row>
    <row r="463" spans="1:12" ht="15.75">
      <c r="A463" s="3"/>
      <c r="B463" s="161"/>
      <c r="C463" s="3"/>
      <c r="D463" s="3"/>
      <c r="E463" s="4"/>
      <c r="F463" s="4"/>
      <c r="G463" s="4"/>
      <c r="H463" s="4"/>
      <c r="I463" s="4"/>
      <c r="J463" s="4"/>
      <c r="L463" s="4"/>
    </row>
    <row r="464" spans="1:12" ht="15.75">
      <c r="A464" s="3"/>
      <c r="B464" s="161"/>
      <c r="C464" s="3"/>
      <c r="D464" s="3"/>
      <c r="E464" s="4"/>
      <c r="F464" s="4"/>
      <c r="G464" s="4"/>
      <c r="H464" s="4"/>
      <c r="I464" s="4"/>
      <c r="J464" s="4"/>
      <c r="L464" s="4"/>
    </row>
    <row r="465" spans="1:12" ht="15.75">
      <c r="A465" s="3"/>
      <c r="B465" s="161"/>
      <c r="C465" s="3"/>
      <c r="D465" s="3"/>
      <c r="E465" s="4"/>
      <c r="F465" s="4"/>
      <c r="G465" s="4"/>
      <c r="H465" s="4"/>
      <c r="I465" s="4"/>
      <c r="J465" s="4"/>
      <c r="L465" s="4"/>
    </row>
    <row r="466" spans="1:12" ht="15.75">
      <c r="A466" s="3"/>
      <c r="B466" s="161"/>
      <c r="C466" s="3"/>
      <c r="D466" s="3"/>
      <c r="E466" s="4"/>
      <c r="F466" s="4"/>
      <c r="G466" s="4"/>
      <c r="H466" s="4"/>
      <c r="I466" s="4"/>
      <c r="J466" s="4"/>
      <c r="L466" s="4"/>
    </row>
    <row r="467" spans="1:12" ht="15.75">
      <c r="A467" s="3"/>
      <c r="B467" s="161"/>
      <c r="C467" s="3"/>
      <c r="D467" s="3"/>
      <c r="E467" s="4"/>
      <c r="F467" s="4"/>
      <c r="G467" s="4"/>
      <c r="H467" s="4"/>
      <c r="I467" s="4"/>
      <c r="J467" s="4"/>
      <c r="L467" s="4"/>
    </row>
    <row r="468" spans="1:12" ht="15.75">
      <c r="A468" s="3"/>
      <c r="B468" s="161"/>
      <c r="C468" s="3"/>
      <c r="D468" s="3"/>
      <c r="E468" s="4"/>
      <c r="F468" s="4"/>
      <c r="G468" s="4"/>
      <c r="H468" s="4"/>
      <c r="I468" s="4"/>
      <c r="J468" s="4"/>
      <c r="L468" s="4"/>
    </row>
    <row r="469" spans="1:12" ht="15.75">
      <c r="A469" s="3"/>
      <c r="B469" s="161"/>
      <c r="C469" s="3"/>
      <c r="D469" s="3"/>
      <c r="E469" s="4"/>
      <c r="F469" s="4"/>
      <c r="G469" s="4"/>
      <c r="H469" s="4"/>
      <c r="I469" s="4"/>
      <c r="J469" s="4"/>
      <c r="L469" s="4"/>
    </row>
    <row r="470" spans="1:12" ht="15.75">
      <c r="A470" s="3"/>
      <c r="B470" s="161"/>
      <c r="C470" s="3"/>
      <c r="D470" s="3"/>
      <c r="E470" s="4"/>
      <c r="F470" s="4"/>
      <c r="G470" s="4"/>
      <c r="H470" s="4"/>
      <c r="I470" s="4"/>
      <c r="J470" s="4"/>
      <c r="L470" s="4"/>
    </row>
    <row r="471" spans="1:12" ht="15.75">
      <c r="A471" s="3"/>
      <c r="B471" s="161"/>
      <c r="C471" s="3"/>
      <c r="D471" s="3"/>
      <c r="E471" s="4"/>
      <c r="F471" s="4"/>
      <c r="G471" s="4"/>
      <c r="H471" s="4"/>
      <c r="I471" s="4"/>
      <c r="J471" s="4"/>
      <c r="L471" s="4"/>
    </row>
    <row r="472" spans="1:12" ht="15.75">
      <c r="A472" s="3"/>
      <c r="B472" s="161"/>
      <c r="C472" s="3"/>
      <c r="D472" s="3"/>
      <c r="E472" s="4"/>
      <c r="F472" s="4"/>
      <c r="G472" s="4"/>
      <c r="H472" s="4"/>
      <c r="I472" s="4"/>
      <c r="J472" s="4"/>
      <c r="L472" s="4"/>
    </row>
    <row r="473" spans="1:12" ht="15.75">
      <c r="A473" s="3"/>
      <c r="B473" s="161"/>
      <c r="C473" s="3"/>
      <c r="D473" s="3"/>
      <c r="E473" s="4"/>
      <c r="F473" s="4"/>
      <c r="G473" s="4"/>
      <c r="H473" s="4"/>
      <c r="I473" s="4"/>
      <c r="J473" s="4"/>
      <c r="L473" s="4"/>
    </row>
    <row r="474" spans="1:12" ht="15.75">
      <c r="A474" s="3"/>
      <c r="B474" s="161"/>
      <c r="C474" s="3"/>
      <c r="D474" s="3"/>
      <c r="E474" s="4"/>
      <c r="F474" s="4"/>
      <c r="G474" s="4"/>
      <c r="H474" s="4"/>
      <c r="I474" s="4"/>
      <c r="J474" s="4"/>
      <c r="L474" s="4"/>
    </row>
    <row r="475" spans="1:12" ht="15.75">
      <c r="A475" s="3"/>
      <c r="B475" s="161"/>
      <c r="C475" s="3"/>
      <c r="D475" s="3"/>
      <c r="E475" s="4"/>
      <c r="F475" s="4"/>
      <c r="G475" s="4"/>
      <c r="H475" s="4"/>
      <c r="I475" s="4"/>
      <c r="J475" s="4"/>
      <c r="L475" s="4"/>
    </row>
    <row r="476" spans="1:12" ht="15.75">
      <c r="A476" s="3"/>
      <c r="B476" s="161"/>
      <c r="C476" s="3"/>
      <c r="D476" s="3"/>
      <c r="E476" s="4"/>
      <c r="F476" s="4"/>
      <c r="G476" s="4"/>
      <c r="H476" s="4"/>
      <c r="I476" s="4"/>
      <c r="J476" s="4"/>
      <c r="L476" s="4"/>
    </row>
    <row r="477" spans="1:12" ht="15.75">
      <c r="A477" s="3"/>
      <c r="B477" s="161"/>
      <c r="C477" s="3"/>
      <c r="D477" s="3"/>
      <c r="E477" s="4"/>
      <c r="F477" s="4"/>
      <c r="G477" s="4"/>
      <c r="H477" s="4"/>
      <c r="I477" s="4"/>
      <c r="J477" s="4"/>
      <c r="L477" s="4"/>
    </row>
    <row r="478" spans="1:12" ht="15.75">
      <c r="A478" s="3"/>
      <c r="B478" s="161"/>
      <c r="C478" s="3"/>
      <c r="D478" s="3"/>
      <c r="E478" s="4"/>
      <c r="F478" s="4"/>
      <c r="G478" s="4"/>
      <c r="H478" s="4"/>
      <c r="I478" s="4"/>
      <c r="J478" s="4"/>
      <c r="L478" s="4"/>
    </row>
    <row r="479" spans="1:12" ht="15.75">
      <c r="A479" s="3"/>
      <c r="B479" s="161"/>
      <c r="C479" s="3"/>
      <c r="D479" s="3"/>
      <c r="E479" s="4"/>
      <c r="F479" s="4"/>
      <c r="G479" s="4"/>
      <c r="H479" s="4"/>
      <c r="I479" s="4"/>
      <c r="J479" s="4"/>
      <c r="L479" s="4"/>
    </row>
    <row r="480" spans="1:12" ht="15.75">
      <c r="A480" s="3"/>
      <c r="B480" s="161"/>
      <c r="C480" s="3"/>
      <c r="D480" s="3"/>
      <c r="E480" s="4"/>
      <c r="F480" s="4"/>
      <c r="G480" s="4"/>
      <c r="H480" s="4"/>
      <c r="I480" s="4"/>
      <c r="J480" s="4"/>
      <c r="L480" s="4"/>
    </row>
    <row r="481" spans="1:12" ht="15.75">
      <c r="A481" s="3"/>
      <c r="B481" s="161"/>
      <c r="C481" s="3"/>
      <c r="D481" s="3"/>
      <c r="E481" s="4"/>
      <c r="F481" s="4"/>
      <c r="G481" s="4"/>
      <c r="H481" s="4"/>
      <c r="I481" s="4"/>
      <c r="J481" s="4"/>
      <c r="L481" s="4"/>
    </row>
    <row r="482" spans="1:12" ht="15.75">
      <c r="A482" s="3"/>
      <c r="B482" s="161"/>
      <c r="C482" s="3"/>
      <c r="D482" s="3"/>
      <c r="E482" s="4"/>
      <c r="F482" s="4"/>
      <c r="G482" s="4"/>
      <c r="H482" s="4"/>
      <c r="I482" s="4"/>
      <c r="J482" s="4"/>
      <c r="L482" s="4"/>
    </row>
    <row r="483" spans="1:12" ht="15.75">
      <c r="A483" s="3"/>
      <c r="B483" s="161"/>
      <c r="C483" s="3"/>
      <c r="D483" s="3"/>
      <c r="E483" s="4"/>
      <c r="F483" s="4"/>
      <c r="G483" s="4"/>
      <c r="H483" s="4"/>
      <c r="I483" s="4"/>
      <c r="J483" s="4"/>
      <c r="L483" s="4"/>
    </row>
    <row r="484" spans="1:12" ht="15.75">
      <c r="A484" s="3"/>
      <c r="B484" s="161"/>
      <c r="C484" s="3"/>
      <c r="D484" s="3"/>
      <c r="E484" s="4"/>
      <c r="F484" s="4"/>
      <c r="G484" s="4"/>
      <c r="H484" s="4"/>
      <c r="I484" s="4"/>
      <c r="J484" s="4"/>
      <c r="L484" s="4"/>
    </row>
    <row r="485" spans="1:12" ht="15.75">
      <c r="A485" s="3"/>
      <c r="B485" s="161"/>
      <c r="C485" s="3"/>
      <c r="D485" s="3"/>
      <c r="E485" s="4"/>
      <c r="F485" s="4"/>
      <c r="G485" s="4"/>
      <c r="H485" s="4"/>
      <c r="I485" s="4"/>
      <c r="J485" s="4"/>
      <c r="L485" s="4"/>
    </row>
    <row r="486" spans="1:12" ht="15.75">
      <c r="A486" s="3"/>
      <c r="B486" s="161"/>
      <c r="C486" s="3"/>
      <c r="D486" s="3"/>
      <c r="E486" s="4"/>
      <c r="F486" s="4"/>
      <c r="G486" s="4"/>
      <c r="H486" s="4"/>
      <c r="I486" s="4"/>
      <c r="J486" s="4"/>
      <c r="L486" s="4"/>
    </row>
    <row r="487" spans="1:12" ht="15.75">
      <c r="A487" s="3"/>
      <c r="B487" s="161"/>
      <c r="C487" s="3"/>
      <c r="D487" s="3"/>
      <c r="E487" s="4"/>
      <c r="F487" s="4"/>
      <c r="G487" s="4"/>
      <c r="H487" s="4"/>
      <c r="I487" s="4"/>
      <c r="J487" s="4"/>
      <c r="L487" s="4"/>
    </row>
    <row r="488" spans="1:12" ht="15.75">
      <c r="A488" s="3"/>
      <c r="B488" s="161"/>
      <c r="C488" s="3"/>
      <c r="D488" s="3"/>
      <c r="E488" s="4"/>
      <c r="F488" s="4"/>
      <c r="G488" s="4"/>
      <c r="H488" s="4"/>
      <c r="I488" s="4"/>
      <c r="J488" s="4"/>
      <c r="L488" s="4"/>
    </row>
    <row r="489" spans="1:12" ht="15.75">
      <c r="A489" s="3"/>
      <c r="B489" s="161"/>
      <c r="C489" s="3"/>
      <c r="D489" s="3"/>
      <c r="E489" s="4"/>
      <c r="F489" s="4"/>
      <c r="G489" s="4"/>
      <c r="H489" s="4"/>
      <c r="I489" s="4"/>
      <c r="J489" s="4"/>
      <c r="L489" s="4"/>
    </row>
    <row r="490" spans="1:12" ht="15.75">
      <c r="A490" s="3"/>
      <c r="B490" s="161"/>
      <c r="C490" s="3"/>
      <c r="D490" s="3"/>
      <c r="E490" s="4"/>
      <c r="F490" s="4"/>
      <c r="G490" s="4"/>
      <c r="H490" s="4"/>
      <c r="I490" s="4"/>
      <c r="J490" s="4"/>
      <c r="L490" s="4"/>
    </row>
    <row r="491" spans="1:12" ht="15.75">
      <c r="A491" s="3"/>
      <c r="B491" s="161"/>
      <c r="C491" s="3"/>
      <c r="D491" s="3"/>
      <c r="E491" s="4"/>
      <c r="F491" s="4"/>
      <c r="G491" s="4"/>
      <c r="H491" s="4"/>
      <c r="I491" s="4"/>
      <c r="J491" s="4"/>
      <c r="L491" s="4"/>
    </row>
    <row r="492" spans="1:12" ht="15.75">
      <c r="A492" s="3"/>
      <c r="B492" s="161"/>
      <c r="C492" s="3"/>
      <c r="D492" s="3"/>
      <c r="E492" s="4"/>
      <c r="F492" s="4"/>
      <c r="G492" s="4"/>
      <c r="H492" s="4"/>
      <c r="I492" s="4"/>
      <c r="J492" s="4"/>
      <c r="L492" s="4"/>
    </row>
    <row r="493" spans="1:12" ht="15.75">
      <c r="A493" s="3"/>
      <c r="B493" s="161"/>
      <c r="C493" s="3"/>
      <c r="D493" s="3"/>
      <c r="E493" s="4"/>
      <c r="F493" s="4"/>
      <c r="G493" s="4"/>
      <c r="H493" s="4"/>
      <c r="I493" s="4"/>
      <c r="J493" s="4"/>
      <c r="L493" s="4"/>
    </row>
    <row r="494" spans="1:12" ht="15.75">
      <c r="A494" s="3"/>
      <c r="B494" s="161"/>
      <c r="C494" s="3"/>
      <c r="D494" s="3"/>
      <c r="E494" s="4"/>
      <c r="F494" s="4"/>
      <c r="G494" s="4"/>
      <c r="H494" s="4"/>
      <c r="I494" s="4"/>
      <c r="J494" s="4"/>
      <c r="L494" s="4"/>
    </row>
    <row r="495" spans="1:12" ht="15.75">
      <c r="A495" s="3"/>
      <c r="B495" s="161"/>
      <c r="C495" s="3"/>
      <c r="D495" s="3"/>
      <c r="E495" s="4"/>
      <c r="F495" s="4"/>
      <c r="G495" s="4"/>
      <c r="H495" s="4"/>
      <c r="I495" s="4"/>
      <c r="J495" s="4"/>
      <c r="L495" s="4"/>
    </row>
    <row r="496" spans="1:12" ht="15.75">
      <c r="A496" s="3"/>
      <c r="B496" s="161"/>
      <c r="C496" s="3"/>
      <c r="D496" s="3"/>
      <c r="E496" s="4"/>
      <c r="F496" s="4"/>
      <c r="G496" s="4"/>
      <c r="H496" s="4"/>
      <c r="I496" s="4"/>
      <c r="J496" s="4"/>
      <c r="L496" s="4"/>
    </row>
    <row r="497" spans="1:12" ht="15.75">
      <c r="A497" s="3"/>
      <c r="B497" s="161"/>
      <c r="C497" s="3"/>
      <c r="D497" s="3"/>
      <c r="E497" s="4"/>
      <c r="F497" s="4"/>
      <c r="G497" s="4"/>
      <c r="H497" s="4"/>
      <c r="I497" s="4"/>
      <c r="J497" s="4"/>
      <c r="L497" s="4"/>
    </row>
    <row r="498" spans="1:12" ht="15.75">
      <c r="A498" s="3"/>
      <c r="B498" s="161"/>
      <c r="C498" s="3"/>
      <c r="D498" s="3"/>
      <c r="E498" s="4"/>
      <c r="F498" s="4"/>
      <c r="G498" s="4"/>
      <c r="H498" s="4"/>
      <c r="I498" s="4"/>
      <c r="J498" s="4"/>
      <c r="L498" s="4"/>
    </row>
    <row r="499" spans="1:12" ht="15.75">
      <c r="A499" s="3"/>
      <c r="B499" s="161"/>
      <c r="C499" s="3"/>
      <c r="D499" s="3"/>
      <c r="E499" s="4"/>
      <c r="F499" s="4"/>
      <c r="G499" s="4"/>
      <c r="H499" s="4"/>
      <c r="I499" s="4"/>
      <c r="J499" s="4"/>
      <c r="L499" s="4"/>
    </row>
    <row r="500" spans="1:12" ht="15.75">
      <c r="A500" s="3"/>
      <c r="B500" s="161"/>
      <c r="C500" s="3"/>
      <c r="D500" s="3"/>
      <c r="E500" s="4"/>
      <c r="F500" s="4"/>
      <c r="G500" s="4"/>
      <c r="H500" s="4"/>
      <c r="I500" s="4"/>
      <c r="J500" s="4"/>
      <c r="L500" s="4"/>
    </row>
    <row r="501" spans="1:12" ht="15.75">
      <c r="A501" s="3"/>
      <c r="B501" s="161"/>
      <c r="C501" s="3"/>
      <c r="D501" s="3"/>
      <c r="E501" s="4"/>
      <c r="F501" s="4"/>
      <c r="G501" s="4"/>
      <c r="H501" s="4"/>
      <c r="I501" s="4"/>
      <c r="J501" s="4"/>
      <c r="L501" s="4"/>
    </row>
    <row r="502" spans="1:12" ht="15.75">
      <c r="A502" s="3"/>
      <c r="B502" s="161"/>
      <c r="C502" s="3"/>
      <c r="D502" s="3"/>
      <c r="E502" s="4"/>
      <c r="F502" s="4"/>
      <c r="G502" s="4"/>
      <c r="H502" s="4"/>
      <c r="I502" s="4"/>
      <c r="J502" s="4"/>
      <c r="L502" s="4"/>
    </row>
    <row r="503" spans="1:12" ht="15.75">
      <c r="A503" s="3"/>
      <c r="B503" s="161"/>
      <c r="C503" s="3"/>
      <c r="D503" s="3"/>
      <c r="E503" s="4"/>
      <c r="F503" s="4"/>
      <c r="G503" s="4"/>
      <c r="H503" s="4"/>
      <c r="I503" s="4"/>
      <c r="J503" s="4"/>
      <c r="L503" s="4"/>
    </row>
    <row r="504" spans="1:12" ht="15.75">
      <c r="A504" s="3"/>
      <c r="B504" s="161"/>
      <c r="C504" s="3"/>
      <c r="D504" s="3"/>
      <c r="E504" s="4"/>
      <c r="F504" s="4"/>
      <c r="G504" s="4"/>
      <c r="H504" s="4"/>
      <c r="I504" s="4"/>
      <c r="J504" s="4"/>
      <c r="L504" s="4"/>
    </row>
    <row r="505" spans="1:12" ht="15.75">
      <c r="A505" s="3"/>
      <c r="B505" s="161"/>
      <c r="C505" s="3"/>
      <c r="D505" s="3"/>
      <c r="E505" s="4"/>
      <c r="F505" s="4"/>
      <c r="G505" s="4"/>
      <c r="H505" s="4"/>
      <c r="I505" s="4"/>
      <c r="J505" s="4"/>
      <c r="L505" s="4"/>
    </row>
    <row r="506" spans="1:12" ht="15.75">
      <c r="A506" s="3"/>
      <c r="B506" s="161"/>
      <c r="C506" s="3"/>
      <c r="D506" s="3"/>
      <c r="E506" s="4"/>
      <c r="F506" s="4"/>
      <c r="G506" s="4"/>
      <c r="H506" s="4"/>
      <c r="I506" s="4"/>
      <c r="J506" s="4"/>
      <c r="L506" s="4"/>
    </row>
    <row r="507" spans="1:12" ht="15.75">
      <c r="A507" s="3"/>
      <c r="B507" s="161"/>
      <c r="C507" s="3"/>
      <c r="D507" s="3"/>
      <c r="E507" s="4"/>
      <c r="F507" s="4"/>
      <c r="G507" s="4"/>
      <c r="H507" s="4"/>
      <c r="I507" s="4"/>
      <c r="J507" s="4"/>
      <c r="L507" s="4"/>
    </row>
    <row r="508" spans="1:12" ht="15.75">
      <c r="A508" s="3"/>
      <c r="B508" s="161"/>
      <c r="C508" s="3"/>
      <c r="D508" s="3"/>
      <c r="E508" s="4"/>
      <c r="F508" s="4"/>
      <c r="G508" s="4"/>
      <c r="H508" s="4"/>
      <c r="I508" s="4"/>
      <c r="J508" s="4"/>
      <c r="L508" s="4"/>
    </row>
    <row r="509" spans="1:12" ht="15.75">
      <c r="A509" s="3"/>
      <c r="B509" s="161"/>
      <c r="C509" s="3"/>
      <c r="D509" s="3"/>
      <c r="E509" s="4"/>
      <c r="F509" s="4"/>
      <c r="G509" s="4"/>
      <c r="H509" s="4"/>
      <c r="I509" s="4"/>
      <c r="J509" s="4"/>
      <c r="L509" s="4"/>
    </row>
    <row r="510" spans="1:12" ht="15.75">
      <c r="A510" s="3"/>
      <c r="B510" s="161"/>
      <c r="C510" s="3"/>
      <c r="D510" s="3"/>
      <c r="E510" s="4"/>
      <c r="F510" s="4"/>
      <c r="G510" s="4"/>
      <c r="H510" s="4"/>
      <c r="I510" s="4"/>
      <c r="J510" s="4"/>
      <c r="L510" s="4"/>
    </row>
    <row r="511" spans="1:12" ht="15.75">
      <c r="A511" s="3"/>
      <c r="B511" s="161"/>
      <c r="C511" s="3"/>
      <c r="D511" s="3"/>
      <c r="E511" s="4"/>
      <c r="F511" s="4"/>
      <c r="G511" s="4"/>
      <c r="H511" s="4"/>
      <c r="I511" s="4"/>
      <c r="J511" s="4"/>
      <c r="L511" s="4"/>
    </row>
    <row r="512" spans="1:12" ht="15.75">
      <c r="A512" s="3"/>
      <c r="B512" s="161"/>
      <c r="C512" s="3"/>
      <c r="D512" s="3"/>
      <c r="E512" s="4"/>
      <c r="F512" s="4"/>
      <c r="G512" s="4"/>
      <c r="H512" s="4"/>
      <c r="I512" s="4"/>
      <c r="J512" s="4"/>
      <c r="L512" s="4"/>
    </row>
    <row r="513" spans="1:12" ht="15.75">
      <c r="A513" s="3"/>
      <c r="B513" s="161"/>
      <c r="C513" s="3"/>
      <c r="D513" s="3"/>
      <c r="E513" s="4"/>
      <c r="F513" s="4"/>
      <c r="G513" s="4"/>
      <c r="H513" s="4"/>
      <c r="I513" s="4"/>
      <c r="J513" s="4"/>
      <c r="L513" s="4"/>
    </row>
    <row r="514" spans="1:12" ht="15.75">
      <c r="A514" s="3"/>
      <c r="B514" s="161"/>
      <c r="C514" s="3"/>
      <c r="D514" s="3"/>
      <c r="E514" s="4"/>
      <c r="F514" s="4"/>
      <c r="G514" s="4"/>
      <c r="H514" s="4"/>
      <c r="I514" s="4"/>
      <c r="J514" s="4"/>
      <c r="L514" s="4"/>
    </row>
    <row r="515" spans="1:12" ht="15.75">
      <c r="A515" s="3"/>
      <c r="B515" s="161"/>
      <c r="C515" s="3"/>
      <c r="D515" s="3"/>
      <c r="E515" s="4"/>
      <c r="F515" s="4"/>
      <c r="G515" s="4"/>
      <c r="H515" s="4"/>
      <c r="I515" s="4"/>
      <c r="J515" s="4"/>
      <c r="L515" s="4"/>
    </row>
    <row r="516" spans="1:12" ht="15.75">
      <c r="A516" s="3"/>
      <c r="B516" s="161"/>
      <c r="C516" s="3"/>
      <c r="D516" s="3"/>
      <c r="E516" s="4"/>
      <c r="F516" s="4"/>
      <c r="G516" s="4"/>
      <c r="H516" s="4"/>
      <c r="I516" s="4"/>
      <c r="J516" s="4"/>
      <c r="L516" s="4"/>
    </row>
    <row r="517" spans="1:12" ht="15.75">
      <c r="A517" s="3"/>
      <c r="B517" s="161"/>
      <c r="C517" s="3"/>
      <c r="D517" s="3"/>
      <c r="E517" s="4"/>
      <c r="F517" s="4"/>
      <c r="G517" s="4"/>
      <c r="H517" s="4"/>
      <c r="I517" s="4"/>
      <c r="J517" s="4"/>
      <c r="L517" s="4"/>
    </row>
    <row r="518" spans="1:12" ht="15.75">
      <c r="A518" s="3"/>
      <c r="B518" s="161"/>
      <c r="C518" s="3"/>
      <c r="D518" s="3"/>
      <c r="E518" s="4"/>
      <c r="F518" s="4"/>
      <c r="G518" s="4"/>
      <c r="H518" s="4"/>
      <c r="I518" s="4"/>
      <c r="J518" s="4"/>
      <c r="L518" s="4"/>
    </row>
    <row r="519" spans="1:12" ht="15.75">
      <c r="A519" s="3"/>
      <c r="B519" s="161"/>
      <c r="C519" s="3"/>
      <c r="D519" s="3"/>
      <c r="E519" s="4"/>
      <c r="F519" s="4"/>
      <c r="G519" s="4"/>
      <c r="H519" s="4"/>
      <c r="I519" s="4"/>
      <c r="J519" s="4"/>
      <c r="L519" s="4"/>
    </row>
    <row r="520" spans="1:12" ht="15.75">
      <c r="A520" s="3"/>
      <c r="B520" s="161"/>
      <c r="C520" s="3"/>
      <c r="D520" s="3"/>
      <c r="E520" s="4"/>
      <c r="F520" s="4"/>
      <c r="G520" s="4"/>
      <c r="H520" s="4"/>
      <c r="I520" s="4"/>
      <c r="J520" s="4"/>
      <c r="L520" s="4"/>
    </row>
    <row r="521" spans="1:12" ht="15.75">
      <c r="A521" s="3"/>
      <c r="B521" s="161"/>
      <c r="C521" s="3"/>
      <c r="D521" s="3"/>
      <c r="E521" s="4"/>
      <c r="F521" s="4"/>
      <c r="G521" s="4"/>
      <c r="H521" s="4"/>
      <c r="I521" s="4"/>
      <c r="J521" s="4"/>
      <c r="L521" s="4"/>
    </row>
    <row r="522" spans="1:12" ht="15.75">
      <c r="A522" s="3"/>
      <c r="B522" s="161"/>
      <c r="C522" s="3"/>
      <c r="D522" s="3"/>
      <c r="E522" s="4"/>
      <c r="F522" s="4"/>
      <c r="G522" s="4"/>
      <c r="H522" s="4"/>
      <c r="I522" s="4"/>
      <c r="J522" s="4"/>
      <c r="L522" s="4"/>
    </row>
    <row r="523" spans="1:12" ht="15.75">
      <c r="A523" s="3"/>
      <c r="B523" s="161"/>
      <c r="C523" s="3"/>
      <c r="D523" s="3"/>
      <c r="E523" s="4"/>
      <c r="F523" s="4"/>
      <c r="G523" s="4"/>
      <c r="H523" s="4"/>
      <c r="I523" s="4"/>
      <c r="J523" s="4"/>
      <c r="L523" s="4"/>
    </row>
    <row r="524" spans="1:12" ht="15.75">
      <c r="A524" s="3"/>
      <c r="B524" s="161"/>
      <c r="C524" s="3"/>
      <c r="D524" s="3"/>
      <c r="E524" s="4"/>
      <c r="F524" s="4"/>
      <c r="G524" s="4"/>
      <c r="H524" s="4"/>
      <c r="I524" s="4"/>
      <c r="J524" s="4"/>
      <c r="L524" s="4"/>
    </row>
    <row r="525" spans="1:12" ht="15.75">
      <c r="A525" s="3"/>
      <c r="B525" s="161"/>
      <c r="C525" s="3"/>
      <c r="D525" s="3"/>
      <c r="E525" s="4"/>
      <c r="F525" s="4"/>
      <c r="G525" s="4"/>
      <c r="H525" s="4"/>
      <c r="I525" s="4"/>
      <c r="J525" s="4"/>
      <c r="L525" s="4"/>
    </row>
    <row r="526" spans="1:12" ht="15.75">
      <c r="A526" s="3"/>
      <c r="B526" s="161"/>
      <c r="C526" s="3"/>
      <c r="D526" s="3"/>
      <c r="E526" s="4"/>
      <c r="F526" s="4"/>
      <c r="G526" s="4"/>
      <c r="H526" s="4"/>
      <c r="I526" s="4"/>
      <c r="J526" s="4"/>
      <c r="L526" s="4"/>
    </row>
    <row r="527" spans="1:12" ht="15.75">
      <c r="A527" s="3"/>
      <c r="B527" s="161"/>
      <c r="C527" s="3"/>
      <c r="D527" s="3"/>
      <c r="E527" s="4"/>
      <c r="F527" s="4"/>
      <c r="G527" s="4"/>
      <c r="H527" s="4"/>
      <c r="I527" s="4"/>
      <c r="J527" s="4"/>
      <c r="L527" s="4"/>
    </row>
    <row r="528" spans="1:12" ht="15.75">
      <c r="A528" s="3"/>
      <c r="B528" s="161"/>
      <c r="C528" s="3"/>
      <c r="D528" s="3"/>
      <c r="E528" s="4"/>
      <c r="F528" s="4"/>
      <c r="G528" s="4"/>
      <c r="H528" s="4"/>
      <c r="I528" s="4"/>
      <c r="J528" s="4"/>
      <c r="L528" s="4"/>
    </row>
    <row r="529" spans="1:12" ht="15.75">
      <c r="A529" s="3"/>
      <c r="B529" s="161"/>
      <c r="C529" s="3"/>
      <c r="D529" s="3"/>
      <c r="E529" s="4"/>
      <c r="F529" s="4"/>
      <c r="G529" s="4"/>
      <c r="H529" s="4"/>
      <c r="I529" s="4"/>
      <c r="J529" s="4"/>
      <c r="L529" s="4"/>
    </row>
    <row r="530" spans="1:12" ht="15.75">
      <c r="A530" s="3"/>
      <c r="B530" s="161"/>
      <c r="C530" s="3"/>
      <c r="D530" s="3"/>
      <c r="E530" s="4"/>
      <c r="F530" s="4"/>
      <c r="G530" s="4"/>
      <c r="H530" s="4"/>
      <c r="I530" s="4"/>
      <c r="J530" s="4"/>
      <c r="L530" s="4"/>
    </row>
    <row r="531" spans="1:12" ht="15.75">
      <c r="A531" s="3"/>
      <c r="B531" s="161"/>
      <c r="C531" s="3"/>
      <c r="D531" s="3"/>
      <c r="E531" s="4"/>
      <c r="F531" s="4"/>
      <c r="G531" s="4"/>
      <c r="H531" s="4"/>
      <c r="I531" s="4"/>
      <c r="J531" s="4"/>
      <c r="L531" s="4"/>
    </row>
    <row r="532" spans="1:12" ht="15.75">
      <c r="A532" s="3"/>
      <c r="B532" s="161"/>
      <c r="C532" s="3"/>
      <c r="D532" s="3"/>
      <c r="E532" s="4"/>
      <c r="F532" s="4"/>
      <c r="G532" s="4"/>
      <c r="H532" s="4"/>
      <c r="I532" s="4"/>
      <c r="J532" s="4"/>
      <c r="L532" s="4"/>
    </row>
    <row r="533" spans="1:12" ht="15.75">
      <c r="A533" s="3"/>
      <c r="B533" s="161"/>
      <c r="C533" s="3"/>
      <c r="D533" s="3"/>
      <c r="E533" s="4"/>
      <c r="F533" s="4"/>
      <c r="G533" s="4"/>
      <c r="H533" s="4"/>
      <c r="I533" s="4"/>
      <c r="J533" s="4"/>
      <c r="L533" s="4"/>
    </row>
    <row r="534" spans="1:12" ht="15.75">
      <c r="A534" s="3"/>
      <c r="B534" s="161"/>
      <c r="C534" s="3"/>
      <c r="D534" s="3"/>
      <c r="E534" s="4"/>
      <c r="F534" s="4"/>
      <c r="G534" s="4"/>
      <c r="H534" s="4"/>
      <c r="I534" s="4"/>
      <c r="J534" s="4"/>
      <c r="L534" s="4"/>
    </row>
    <row r="535" spans="1:12" ht="15.75">
      <c r="A535" s="3"/>
      <c r="B535" s="161"/>
      <c r="C535" s="3"/>
      <c r="D535" s="3"/>
      <c r="E535" s="4"/>
      <c r="F535" s="4"/>
      <c r="G535" s="4"/>
      <c r="H535" s="4"/>
      <c r="I535" s="4"/>
      <c r="J535" s="4"/>
      <c r="L535" s="4"/>
    </row>
    <row r="536" spans="1:12" ht="15.75">
      <c r="A536" s="3"/>
      <c r="B536" s="161"/>
      <c r="C536" s="3"/>
      <c r="D536" s="3"/>
      <c r="E536" s="4"/>
      <c r="F536" s="4"/>
      <c r="G536" s="4"/>
      <c r="H536" s="4"/>
      <c r="I536" s="4"/>
      <c r="J536" s="4"/>
      <c r="L536" s="4"/>
    </row>
    <row r="537" spans="1:12" ht="15.75">
      <c r="A537" s="3"/>
      <c r="B537" s="161"/>
      <c r="C537" s="3"/>
      <c r="D537" s="3"/>
      <c r="E537" s="4"/>
      <c r="F537" s="4"/>
      <c r="G537" s="4"/>
      <c r="H537" s="4"/>
      <c r="I537" s="4"/>
      <c r="J537" s="4"/>
      <c r="L537" s="4"/>
    </row>
    <row r="538" spans="1:12" ht="15.75">
      <c r="A538" s="3"/>
      <c r="B538" s="161"/>
      <c r="C538" s="3"/>
      <c r="D538" s="3"/>
      <c r="E538" s="4"/>
      <c r="F538" s="4"/>
      <c r="G538" s="4"/>
      <c r="H538" s="4"/>
      <c r="I538" s="4"/>
      <c r="J538" s="4"/>
      <c r="L538" s="4"/>
    </row>
    <row r="539" spans="1:12" ht="15.75">
      <c r="A539" s="3"/>
      <c r="B539" s="161"/>
      <c r="C539" s="3"/>
      <c r="D539" s="3"/>
      <c r="E539" s="4"/>
      <c r="F539" s="4"/>
      <c r="G539" s="4"/>
      <c r="H539" s="4"/>
      <c r="I539" s="4"/>
      <c r="J539" s="4"/>
      <c r="L539" s="4"/>
    </row>
    <row r="540" spans="1:12" ht="15.75">
      <c r="A540" s="3"/>
      <c r="B540" s="161"/>
      <c r="C540" s="3"/>
      <c r="D540" s="3"/>
      <c r="E540" s="4"/>
      <c r="F540" s="4"/>
      <c r="G540" s="4"/>
      <c r="H540" s="4"/>
      <c r="I540" s="4"/>
      <c r="J540" s="4"/>
      <c r="L540" s="4"/>
    </row>
    <row r="541" spans="1:12" ht="15.75">
      <c r="A541" s="3"/>
      <c r="B541" s="161"/>
      <c r="C541" s="3"/>
      <c r="D541" s="3"/>
      <c r="E541" s="4"/>
      <c r="F541" s="4"/>
      <c r="G541" s="4"/>
      <c r="H541" s="4"/>
      <c r="I541" s="4"/>
      <c r="J541" s="4"/>
      <c r="L541" s="4"/>
    </row>
    <row r="542" spans="1:12" ht="15.75">
      <c r="A542" s="3"/>
      <c r="B542" s="161"/>
      <c r="C542" s="3"/>
      <c r="D542" s="3"/>
      <c r="E542" s="4"/>
      <c r="F542" s="4"/>
      <c r="G542" s="4"/>
      <c r="H542" s="4"/>
      <c r="I542" s="4"/>
      <c r="J542" s="4"/>
      <c r="L542" s="4"/>
    </row>
    <row r="543" spans="1:12" ht="15.75">
      <c r="A543" s="3"/>
      <c r="B543" s="161"/>
      <c r="C543" s="3"/>
      <c r="D543" s="3"/>
      <c r="E543" s="4"/>
      <c r="F543" s="4"/>
      <c r="G543" s="4"/>
      <c r="H543" s="4"/>
      <c r="I543" s="4"/>
      <c r="J543" s="4"/>
      <c r="L543" s="4"/>
    </row>
    <row r="544" spans="1:12" ht="15.75">
      <c r="A544" s="3"/>
      <c r="B544" s="161"/>
      <c r="C544" s="3"/>
      <c r="D544" s="3"/>
      <c r="E544" s="4"/>
      <c r="F544" s="4"/>
      <c r="G544" s="4"/>
      <c r="H544" s="4"/>
      <c r="I544" s="4"/>
      <c r="J544" s="4"/>
      <c r="L544" s="4"/>
    </row>
    <row r="545" spans="1:12" ht="15.75">
      <c r="A545" s="3"/>
      <c r="B545" s="161"/>
      <c r="C545" s="3"/>
      <c r="D545" s="3"/>
      <c r="E545" s="4"/>
      <c r="F545" s="4"/>
      <c r="G545" s="4"/>
      <c r="H545" s="4"/>
      <c r="I545" s="4"/>
      <c r="J545" s="4"/>
      <c r="L545" s="4"/>
    </row>
    <row r="546" spans="1:12" ht="15.75">
      <c r="A546" s="3"/>
      <c r="B546" s="161"/>
      <c r="C546" s="3"/>
      <c r="D546" s="3"/>
      <c r="E546" s="4"/>
      <c r="F546" s="4"/>
      <c r="G546" s="4"/>
      <c r="H546" s="4"/>
      <c r="I546" s="4"/>
      <c r="J546" s="4"/>
      <c r="L546" s="4"/>
    </row>
    <row r="547" spans="1:12" ht="15.75">
      <c r="A547" s="3"/>
      <c r="B547" s="161"/>
      <c r="C547" s="3"/>
      <c r="D547" s="3"/>
      <c r="E547" s="4"/>
      <c r="F547" s="4"/>
      <c r="G547" s="4"/>
      <c r="H547" s="4"/>
      <c r="I547" s="4"/>
      <c r="J547" s="4"/>
      <c r="L547" s="4"/>
    </row>
    <row r="548" spans="1:12" ht="15.75">
      <c r="A548" s="3"/>
      <c r="B548" s="161"/>
      <c r="C548" s="3"/>
      <c r="D548" s="3"/>
      <c r="E548" s="4"/>
      <c r="F548" s="4"/>
      <c r="G548" s="4"/>
      <c r="H548" s="4"/>
      <c r="I548" s="4"/>
      <c r="J548" s="4"/>
      <c r="L548" s="4"/>
    </row>
    <row r="549" spans="1:12" ht="15.75">
      <c r="A549" s="3"/>
      <c r="B549" s="161"/>
      <c r="C549" s="3"/>
      <c r="D549" s="3"/>
      <c r="E549" s="4"/>
      <c r="F549" s="4"/>
      <c r="G549" s="4"/>
      <c r="H549" s="4"/>
      <c r="I549" s="4"/>
      <c r="J549" s="4"/>
      <c r="L549" s="4"/>
    </row>
    <row r="550" spans="1:12" ht="15.75">
      <c r="A550" s="3"/>
      <c r="B550" s="161"/>
      <c r="C550" s="3"/>
      <c r="D550" s="3"/>
      <c r="E550" s="4"/>
      <c r="F550" s="4"/>
      <c r="G550" s="4"/>
      <c r="H550" s="4"/>
      <c r="I550" s="4"/>
      <c r="J550" s="4"/>
      <c r="L550" s="4"/>
    </row>
    <row r="551" spans="1:12" ht="15.75">
      <c r="A551" s="3"/>
      <c r="B551" s="161"/>
      <c r="C551" s="3"/>
      <c r="D551" s="3"/>
      <c r="E551" s="4"/>
      <c r="F551" s="4"/>
      <c r="G551" s="4"/>
      <c r="H551" s="4"/>
      <c r="I551" s="4"/>
      <c r="J551" s="4"/>
      <c r="L551" s="4"/>
    </row>
    <row r="552" spans="1:12" ht="15.75">
      <c r="A552" s="3"/>
      <c r="B552" s="161"/>
      <c r="C552" s="3"/>
      <c r="D552" s="3"/>
      <c r="E552" s="4"/>
      <c r="F552" s="4"/>
      <c r="G552" s="4"/>
      <c r="H552" s="4"/>
      <c r="I552" s="4"/>
      <c r="J552" s="4"/>
      <c r="L552" s="4"/>
    </row>
    <row r="553" spans="1:12" ht="15.75">
      <c r="A553" s="3"/>
      <c r="B553" s="161"/>
      <c r="C553" s="3"/>
      <c r="D553" s="3"/>
      <c r="E553" s="4"/>
      <c r="F553" s="4"/>
      <c r="G553" s="4"/>
      <c r="H553" s="4"/>
      <c r="I553" s="4"/>
      <c r="J553" s="4"/>
      <c r="L553" s="4"/>
    </row>
    <row r="554" spans="1:12" ht="15.75">
      <c r="A554" s="3"/>
      <c r="B554" s="161"/>
      <c r="C554" s="3"/>
      <c r="D554" s="3"/>
      <c r="E554" s="4"/>
      <c r="F554" s="4"/>
      <c r="G554" s="4"/>
      <c r="H554" s="4"/>
      <c r="I554" s="4"/>
      <c r="J554" s="4"/>
      <c r="L554" s="4"/>
    </row>
    <row r="555" spans="1:12" ht="15.75">
      <c r="A555" s="3"/>
      <c r="B555" s="161"/>
      <c r="C555" s="3"/>
      <c r="D555" s="3"/>
      <c r="E555" s="4"/>
      <c r="F555" s="4"/>
      <c r="G555" s="4"/>
      <c r="H555" s="4"/>
      <c r="I555" s="4"/>
      <c r="J555" s="4"/>
      <c r="L555" s="4"/>
    </row>
    <row r="556" spans="1:12" ht="15.75">
      <c r="A556" s="3"/>
      <c r="B556" s="161"/>
      <c r="C556" s="3"/>
      <c r="D556" s="3"/>
      <c r="E556" s="4"/>
      <c r="F556" s="4"/>
      <c r="G556" s="4"/>
      <c r="H556" s="4"/>
      <c r="I556" s="4"/>
      <c r="J556" s="4"/>
      <c r="L556" s="4"/>
    </row>
    <row r="557" spans="1:12" ht="15.75">
      <c r="A557" s="3"/>
      <c r="B557" s="161"/>
      <c r="C557" s="3"/>
      <c r="D557" s="3"/>
      <c r="E557" s="4"/>
      <c r="F557" s="4"/>
      <c r="G557" s="4"/>
      <c r="H557" s="4"/>
      <c r="I557" s="4"/>
      <c r="J557" s="4"/>
      <c r="L557" s="4"/>
    </row>
    <row r="558" spans="1:12" ht="15.75">
      <c r="A558" s="3"/>
      <c r="B558" s="161"/>
      <c r="C558" s="3"/>
      <c r="D558" s="3"/>
      <c r="E558" s="4"/>
      <c r="F558" s="4"/>
      <c r="G558" s="4"/>
      <c r="H558" s="4"/>
      <c r="I558" s="4"/>
      <c r="J558" s="4"/>
      <c r="L558" s="4"/>
    </row>
    <row r="559" spans="1:12" ht="15.75">
      <c r="A559" s="3"/>
      <c r="B559" s="161"/>
      <c r="C559" s="3"/>
      <c r="D559" s="3"/>
      <c r="E559" s="4"/>
      <c r="F559" s="4"/>
      <c r="G559" s="4"/>
      <c r="H559" s="4"/>
      <c r="I559" s="4"/>
      <c r="J559" s="4"/>
      <c r="L559" s="4"/>
    </row>
    <row r="560" spans="1:12" ht="15.75">
      <c r="A560" s="3"/>
      <c r="B560" s="161"/>
      <c r="C560" s="3"/>
      <c r="D560" s="3"/>
      <c r="E560" s="4"/>
      <c r="F560" s="4"/>
      <c r="G560" s="4"/>
      <c r="H560" s="4"/>
      <c r="I560" s="4"/>
      <c r="J560" s="4"/>
      <c r="L560" s="4"/>
    </row>
    <row r="561" spans="1:12" ht="15.75">
      <c r="A561" s="3"/>
      <c r="B561" s="161"/>
      <c r="C561" s="3"/>
      <c r="D561" s="3"/>
      <c r="E561" s="4"/>
      <c r="F561" s="4"/>
      <c r="G561" s="4"/>
      <c r="H561" s="4"/>
      <c r="I561" s="4"/>
      <c r="J561" s="4"/>
      <c r="L561" s="4"/>
    </row>
    <row r="562" spans="1:12" ht="15.75">
      <c r="A562" s="3"/>
      <c r="B562" s="161"/>
      <c r="C562" s="3"/>
      <c r="D562" s="3"/>
      <c r="E562" s="4"/>
      <c r="F562" s="4"/>
      <c r="G562" s="4"/>
      <c r="H562" s="4"/>
      <c r="I562" s="4"/>
      <c r="J562" s="4"/>
      <c r="L562" s="4"/>
    </row>
    <row r="563" spans="1:12" ht="15.75">
      <c r="A563" s="3"/>
      <c r="B563" s="161"/>
      <c r="C563" s="3"/>
      <c r="D563" s="3"/>
      <c r="E563" s="4"/>
      <c r="F563" s="4"/>
      <c r="G563" s="4"/>
      <c r="H563" s="4"/>
      <c r="I563" s="4"/>
      <c r="J563" s="4"/>
      <c r="L563" s="4"/>
    </row>
    <row r="564" spans="1:12" ht="15.75">
      <c r="A564" s="3"/>
      <c r="B564" s="161"/>
      <c r="C564" s="3"/>
      <c r="D564" s="3"/>
      <c r="E564" s="4"/>
      <c r="F564" s="4"/>
      <c r="G564" s="4"/>
      <c r="H564" s="4"/>
      <c r="I564" s="4"/>
      <c r="J564" s="4"/>
      <c r="L564" s="4"/>
    </row>
    <row r="565" spans="1:12" ht="15.75">
      <c r="A565" s="3"/>
      <c r="B565" s="161"/>
      <c r="C565" s="3"/>
      <c r="D565" s="3"/>
      <c r="E565" s="4"/>
      <c r="F565" s="4"/>
      <c r="G565" s="4"/>
      <c r="H565" s="4"/>
      <c r="I565" s="4"/>
      <c r="J565" s="4"/>
      <c r="L565" s="4"/>
    </row>
    <row r="566" spans="1:12" ht="15.75">
      <c r="A566" s="3"/>
      <c r="B566" s="161"/>
      <c r="C566" s="3"/>
      <c r="D566" s="3"/>
      <c r="E566" s="4"/>
      <c r="F566" s="4"/>
      <c r="G566" s="4"/>
      <c r="H566" s="4"/>
      <c r="I566" s="4"/>
      <c r="J566" s="4"/>
      <c r="L566" s="4"/>
    </row>
    <row r="567" spans="1:12" ht="15.75">
      <c r="A567" s="3"/>
      <c r="B567" s="161"/>
      <c r="C567" s="3"/>
      <c r="D567" s="3"/>
      <c r="E567" s="4"/>
      <c r="F567" s="4"/>
      <c r="G567" s="4"/>
      <c r="H567" s="4"/>
      <c r="I567" s="4"/>
      <c r="J567" s="4"/>
      <c r="L567" s="4"/>
    </row>
    <row r="568" spans="1:12" ht="15.75">
      <c r="A568" s="3"/>
      <c r="B568" s="161"/>
      <c r="C568" s="3"/>
      <c r="D568" s="3"/>
      <c r="E568" s="4"/>
      <c r="F568" s="4"/>
      <c r="G568" s="4"/>
      <c r="H568" s="4"/>
      <c r="I568" s="4"/>
      <c r="J568" s="4"/>
      <c r="L568" s="4"/>
    </row>
    <row r="569" spans="1:12" ht="15.75">
      <c r="A569" s="3"/>
      <c r="B569" s="161"/>
      <c r="C569" s="3"/>
      <c r="D569" s="3"/>
      <c r="E569" s="4"/>
      <c r="F569" s="4"/>
      <c r="G569" s="4"/>
      <c r="H569" s="4"/>
      <c r="I569" s="4"/>
      <c r="J569" s="4"/>
      <c r="L569" s="4"/>
    </row>
    <row r="570" spans="1:12" ht="15.75">
      <c r="A570" s="3"/>
      <c r="B570" s="161"/>
      <c r="C570" s="3"/>
      <c r="D570" s="3"/>
      <c r="E570" s="4"/>
      <c r="F570" s="4"/>
      <c r="G570" s="4"/>
      <c r="H570" s="4"/>
      <c r="I570" s="4"/>
      <c r="J570" s="4"/>
      <c r="L570" s="4"/>
    </row>
    <row r="571" spans="1:12" ht="15.75">
      <c r="A571" s="3"/>
      <c r="B571" s="161"/>
      <c r="C571" s="3"/>
      <c r="D571" s="3"/>
      <c r="E571" s="4"/>
      <c r="F571" s="4"/>
      <c r="G571" s="4"/>
      <c r="H571" s="4"/>
      <c r="I571" s="4"/>
      <c r="J571" s="4"/>
      <c r="L571" s="4"/>
    </row>
    <row r="572" spans="1:12" ht="15.75">
      <c r="A572" s="3"/>
      <c r="B572" s="161"/>
      <c r="C572" s="3"/>
      <c r="D572" s="3"/>
      <c r="E572" s="4"/>
      <c r="F572" s="4"/>
      <c r="G572" s="4"/>
      <c r="H572" s="4"/>
      <c r="I572" s="4"/>
      <c r="J572" s="4"/>
      <c r="L572" s="4"/>
    </row>
    <row r="573" spans="1:12" ht="15.75">
      <c r="A573" s="3"/>
      <c r="B573" s="161"/>
      <c r="C573" s="3"/>
      <c r="D573" s="3"/>
      <c r="E573" s="4"/>
      <c r="F573" s="4"/>
      <c r="G573" s="4"/>
      <c r="H573" s="4"/>
      <c r="I573" s="4"/>
      <c r="J573" s="4"/>
      <c r="L573" s="4"/>
    </row>
    <row r="574" spans="1:12" ht="15.75">
      <c r="A574" s="3"/>
      <c r="B574" s="161"/>
      <c r="C574" s="3"/>
      <c r="D574" s="3"/>
      <c r="E574" s="4"/>
      <c r="F574" s="4"/>
      <c r="G574" s="4"/>
      <c r="H574" s="4"/>
      <c r="I574" s="4"/>
      <c r="J574" s="4"/>
      <c r="L574" s="4"/>
    </row>
    <row r="575" spans="1:12" ht="15.75">
      <c r="A575" s="3"/>
      <c r="B575" s="161"/>
      <c r="C575" s="3"/>
      <c r="D575" s="3"/>
      <c r="E575" s="4"/>
      <c r="F575" s="4"/>
      <c r="G575" s="4"/>
      <c r="H575" s="4"/>
      <c r="I575" s="4"/>
      <c r="J575" s="4"/>
      <c r="L575" s="4"/>
    </row>
    <row r="576" spans="1:12" ht="15.75">
      <c r="A576" s="3"/>
      <c r="B576" s="161"/>
      <c r="C576" s="3"/>
      <c r="D576" s="3"/>
      <c r="E576" s="4"/>
      <c r="F576" s="4"/>
      <c r="G576" s="4"/>
      <c r="H576" s="4"/>
      <c r="I576" s="4"/>
      <c r="J576" s="4"/>
      <c r="L576" s="4"/>
    </row>
    <row r="577" spans="1:12" ht="15.75">
      <c r="A577" s="3"/>
      <c r="B577" s="161"/>
      <c r="C577" s="3"/>
      <c r="D577" s="3"/>
      <c r="E577" s="4"/>
      <c r="F577" s="4"/>
      <c r="G577" s="4"/>
      <c r="H577" s="4"/>
      <c r="I577" s="4"/>
      <c r="J577" s="4"/>
      <c r="L577" s="4"/>
    </row>
    <row r="578" spans="1:12" ht="15.75">
      <c r="A578" s="3"/>
      <c r="B578" s="161"/>
      <c r="C578" s="3"/>
      <c r="D578" s="3"/>
      <c r="E578" s="4"/>
      <c r="F578" s="4"/>
      <c r="G578" s="4"/>
      <c r="H578" s="4"/>
      <c r="I578" s="4"/>
      <c r="J578" s="4"/>
      <c r="L578" s="4"/>
    </row>
    <row r="579" spans="1:12" ht="15.75">
      <c r="A579" s="3"/>
      <c r="B579" s="161"/>
      <c r="C579" s="3"/>
      <c r="D579" s="3"/>
      <c r="E579" s="4"/>
      <c r="F579" s="4"/>
      <c r="G579" s="4"/>
      <c r="H579" s="4"/>
      <c r="I579" s="4"/>
      <c r="J579" s="4"/>
      <c r="L579" s="4"/>
    </row>
    <row r="580" spans="1:12" ht="15.75">
      <c r="A580" s="3"/>
      <c r="B580" s="161"/>
      <c r="C580" s="3"/>
      <c r="D580" s="3"/>
      <c r="E580" s="4"/>
      <c r="F580" s="4"/>
      <c r="G580" s="4"/>
      <c r="H580" s="4"/>
      <c r="I580" s="4"/>
      <c r="J580" s="4"/>
      <c r="L580" s="4"/>
    </row>
    <row r="581" spans="1:12" ht="15.75">
      <c r="A581" s="3"/>
      <c r="B581" s="161"/>
      <c r="C581" s="3"/>
      <c r="D581" s="3"/>
      <c r="E581" s="4"/>
      <c r="F581" s="4"/>
      <c r="G581" s="4"/>
      <c r="H581" s="4"/>
      <c r="I581" s="4"/>
      <c r="J581" s="4"/>
      <c r="L581" s="4"/>
    </row>
    <row r="582" spans="1:12" ht="15.75">
      <c r="A582" s="3"/>
      <c r="B582" s="161"/>
      <c r="C582" s="3"/>
      <c r="D582" s="3"/>
      <c r="E582" s="4"/>
      <c r="F582" s="4"/>
      <c r="G582" s="4"/>
      <c r="H582" s="4"/>
      <c r="I582" s="4"/>
      <c r="J582" s="4"/>
      <c r="L582" s="4"/>
    </row>
    <row r="583" spans="1:12" ht="15.75">
      <c r="A583" s="3"/>
      <c r="B583" s="161"/>
      <c r="C583" s="3"/>
      <c r="D583" s="3"/>
      <c r="E583" s="4"/>
      <c r="F583" s="4"/>
      <c r="G583" s="4"/>
      <c r="H583" s="4"/>
      <c r="I583" s="4"/>
      <c r="J583" s="4"/>
      <c r="L583" s="4"/>
    </row>
    <row r="584" spans="1:12" ht="15.75">
      <c r="A584" s="3"/>
      <c r="B584" s="161"/>
      <c r="C584" s="3"/>
      <c r="D584" s="3"/>
      <c r="E584" s="4"/>
      <c r="F584" s="4"/>
      <c r="G584" s="4"/>
      <c r="H584" s="4"/>
      <c r="I584" s="4"/>
      <c r="J584" s="4"/>
      <c r="L584" s="4"/>
    </row>
    <row r="585" spans="1:12" ht="15.75">
      <c r="A585" s="3"/>
      <c r="B585" s="161"/>
      <c r="C585" s="3"/>
      <c r="D585" s="3"/>
      <c r="E585" s="4"/>
      <c r="F585" s="4"/>
      <c r="G585" s="4"/>
      <c r="H585" s="4"/>
      <c r="I585" s="4"/>
      <c r="J585" s="4"/>
      <c r="L585" s="4"/>
    </row>
    <row r="586" spans="1:12" ht="15.75">
      <c r="A586" s="3"/>
      <c r="B586" s="161"/>
      <c r="C586" s="3"/>
      <c r="D586" s="3"/>
      <c r="E586" s="4"/>
      <c r="F586" s="4"/>
      <c r="G586" s="4"/>
      <c r="H586" s="4"/>
      <c r="I586" s="4"/>
      <c r="J586" s="4"/>
      <c r="L586" s="4"/>
    </row>
    <row r="587" spans="1:12" ht="15.75">
      <c r="A587" s="3"/>
      <c r="B587" s="161"/>
      <c r="C587" s="3"/>
      <c r="D587" s="3"/>
      <c r="E587" s="4"/>
      <c r="F587" s="4"/>
      <c r="G587" s="4"/>
      <c r="H587" s="4"/>
      <c r="I587" s="4"/>
      <c r="J587" s="4"/>
      <c r="L587" s="4"/>
    </row>
    <row r="588" spans="1:12" ht="15.75">
      <c r="A588" s="3"/>
      <c r="B588" s="161"/>
      <c r="C588" s="3"/>
      <c r="D588" s="3"/>
      <c r="E588" s="4"/>
      <c r="F588" s="4"/>
      <c r="G588" s="4"/>
      <c r="H588" s="4"/>
      <c r="I588" s="4"/>
      <c r="J588" s="4"/>
      <c r="L588" s="4"/>
    </row>
    <row r="589" spans="1:12" ht="15.75">
      <c r="A589" s="3"/>
      <c r="B589" s="161"/>
      <c r="C589" s="3"/>
      <c r="D589" s="3"/>
      <c r="E589" s="4"/>
      <c r="F589" s="4"/>
      <c r="G589" s="4"/>
      <c r="H589" s="4"/>
      <c r="I589" s="4"/>
      <c r="J589" s="4"/>
      <c r="L589" s="4"/>
    </row>
    <row r="590" spans="1:12" ht="15.75">
      <c r="A590" s="3"/>
      <c r="B590" s="161"/>
      <c r="C590" s="3"/>
      <c r="D590" s="3"/>
      <c r="E590" s="4"/>
      <c r="F590" s="4"/>
      <c r="G590" s="4"/>
      <c r="H590" s="4"/>
      <c r="I590" s="4"/>
      <c r="J590" s="4"/>
      <c r="L590" s="4"/>
    </row>
    <row r="591" spans="1:12" ht="15.75">
      <c r="A591" s="3"/>
      <c r="B591" s="161"/>
      <c r="C591" s="3"/>
      <c r="D591" s="3"/>
      <c r="E591" s="4"/>
      <c r="F591" s="4"/>
      <c r="G591" s="4"/>
      <c r="H591" s="4"/>
      <c r="I591" s="4"/>
      <c r="J591" s="4"/>
      <c r="L591" s="4"/>
    </row>
    <row r="592" spans="1:12" ht="15.75">
      <c r="A592" s="3"/>
      <c r="B592" s="161"/>
      <c r="C592" s="3"/>
      <c r="D592" s="3"/>
      <c r="E592" s="4"/>
      <c r="F592" s="4"/>
      <c r="G592" s="4"/>
      <c r="H592" s="4"/>
      <c r="I592" s="4"/>
      <c r="J592" s="4"/>
      <c r="L592" s="4"/>
    </row>
    <row r="593" spans="1:12" ht="15.75">
      <c r="A593" s="3"/>
      <c r="B593" s="161"/>
      <c r="C593" s="3"/>
      <c r="D593" s="3"/>
      <c r="E593" s="4"/>
      <c r="F593" s="4"/>
      <c r="G593" s="4"/>
      <c r="H593" s="4"/>
      <c r="I593" s="4"/>
      <c r="J593" s="4"/>
      <c r="L593" s="4"/>
    </row>
    <row r="594" spans="1:12" ht="15.75">
      <c r="A594" s="3"/>
      <c r="B594" s="161"/>
      <c r="C594" s="3"/>
      <c r="D594" s="3"/>
      <c r="E594" s="4"/>
      <c r="F594" s="4"/>
      <c r="G594" s="4"/>
      <c r="H594" s="4"/>
      <c r="I594" s="4"/>
      <c r="J594" s="4"/>
      <c r="L594" s="4"/>
    </row>
    <row r="595" spans="1:12" ht="15.75">
      <c r="A595" s="3"/>
      <c r="B595" s="161"/>
      <c r="C595" s="3"/>
      <c r="D595" s="3"/>
      <c r="E595" s="4"/>
      <c r="F595" s="4"/>
      <c r="G595" s="4"/>
      <c r="H595" s="4"/>
      <c r="I595" s="4"/>
      <c r="J595" s="4"/>
      <c r="L595" s="4"/>
    </row>
    <row r="596" spans="1:12" ht="15.75">
      <c r="A596" s="3"/>
      <c r="B596" s="161"/>
      <c r="C596" s="3"/>
      <c r="D596" s="3"/>
      <c r="E596" s="4"/>
      <c r="F596" s="4"/>
      <c r="G596" s="4"/>
      <c r="H596" s="4"/>
      <c r="I596" s="4"/>
      <c r="J596" s="4"/>
      <c r="L596" s="4"/>
    </row>
    <row r="597" spans="1:12" ht="15.75">
      <c r="A597" s="3"/>
      <c r="B597" s="161"/>
      <c r="C597" s="3"/>
      <c r="D597" s="3"/>
      <c r="E597" s="4"/>
      <c r="F597" s="4"/>
      <c r="G597" s="4"/>
      <c r="H597" s="4"/>
      <c r="I597" s="4"/>
      <c r="J597" s="4"/>
      <c r="L597" s="4"/>
    </row>
    <row r="598" spans="1:12" ht="15.75">
      <c r="A598" s="3"/>
      <c r="B598" s="161"/>
      <c r="C598" s="3"/>
      <c r="D598" s="3"/>
      <c r="E598" s="4"/>
      <c r="F598" s="4"/>
      <c r="G598" s="4"/>
      <c r="H598" s="4"/>
      <c r="I598" s="4"/>
      <c r="J598" s="4"/>
      <c r="L598" s="4"/>
    </row>
    <row r="599" spans="1:12" ht="15.75">
      <c r="A599" s="3"/>
      <c r="B599" s="161"/>
      <c r="C599" s="3"/>
      <c r="D599" s="3"/>
      <c r="E599" s="4"/>
      <c r="F599" s="4"/>
      <c r="G599" s="4"/>
      <c r="H599" s="4"/>
      <c r="I599" s="4"/>
      <c r="J599" s="4"/>
      <c r="L599" s="4"/>
    </row>
    <row r="600" spans="1:12" ht="15.75">
      <c r="A600" s="3"/>
      <c r="B600" s="161"/>
      <c r="C600" s="3"/>
      <c r="D600" s="3"/>
      <c r="E600" s="4"/>
      <c r="F600" s="4"/>
      <c r="G600" s="4"/>
      <c r="H600" s="4"/>
      <c r="I600" s="4"/>
      <c r="J600" s="4"/>
      <c r="L600" s="4"/>
    </row>
    <row r="601" spans="1:12" ht="15.75">
      <c r="A601" s="3"/>
      <c r="B601" s="161"/>
      <c r="C601" s="3"/>
      <c r="D601" s="3"/>
      <c r="E601" s="4"/>
      <c r="F601" s="4"/>
      <c r="G601" s="4"/>
      <c r="H601" s="4"/>
      <c r="I601" s="4"/>
      <c r="J601" s="4"/>
      <c r="L601" s="4"/>
    </row>
    <row r="602" spans="1:12" ht="15.75">
      <c r="A602" s="3"/>
      <c r="B602" s="161"/>
      <c r="C602" s="3"/>
      <c r="D602" s="3"/>
      <c r="E602" s="4"/>
      <c r="F602" s="4"/>
      <c r="G602" s="4"/>
      <c r="H602" s="4"/>
      <c r="I602" s="4"/>
      <c r="J602" s="4"/>
      <c r="L602" s="4"/>
    </row>
    <row r="603" spans="1:12" ht="15.75">
      <c r="A603" s="3"/>
      <c r="B603" s="161"/>
      <c r="C603" s="3"/>
      <c r="D603" s="3"/>
      <c r="E603" s="4"/>
      <c r="F603" s="4"/>
      <c r="G603" s="4"/>
      <c r="H603" s="4"/>
      <c r="I603" s="4"/>
      <c r="J603" s="4"/>
      <c r="L603" s="4"/>
    </row>
    <row r="604" spans="1:12" ht="15.75">
      <c r="A604" s="3"/>
      <c r="B604" s="161"/>
      <c r="C604" s="3"/>
      <c r="D604" s="3"/>
      <c r="E604" s="4"/>
      <c r="F604" s="4"/>
      <c r="G604" s="4"/>
      <c r="H604" s="4"/>
      <c r="I604" s="4"/>
      <c r="J604" s="4"/>
      <c r="L604" s="4"/>
    </row>
    <row r="605" spans="1:12" ht="15.75">
      <c r="A605" s="3"/>
      <c r="B605" s="161"/>
      <c r="C605" s="3"/>
      <c r="D605" s="3"/>
      <c r="E605" s="4"/>
      <c r="F605" s="4"/>
      <c r="G605" s="4"/>
      <c r="H605" s="4"/>
      <c r="I605" s="4"/>
      <c r="J605" s="4"/>
      <c r="L605" s="4"/>
    </row>
    <row r="606" spans="1:12" ht="15.75">
      <c r="A606" s="3"/>
      <c r="B606" s="161"/>
      <c r="C606" s="3"/>
      <c r="D606" s="3"/>
      <c r="E606" s="4"/>
      <c r="F606" s="4"/>
      <c r="G606" s="4"/>
      <c r="H606" s="4"/>
      <c r="I606" s="4"/>
      <c r="J606" s="4"/>
      <c r="L606" s="4"/>
    </row>
    <row r="607" spans="1:12" ht="15.75">
      <c r="A607" s="3"/>
      <c r="B607" s="161"/>
      <c r="C607" s="3"/>
      <c r="D607" s="3"/>
      <c r="E607" s="4"/>
      <c r="F607" s="4"/>
      <c r="G607" s="4"/>
      <c r="H607" s="4"/>
      <c r="I607" s="4"/>
      <c r="J607" s="4"/>
      <c r="L607" s="4"/>
    </row>
    <row r="608" spans="1:12" ht="15.75">
      <c r="A608" s="3"/>
      <c r="B608" s="161"/>
      <c r="C608" s="3"/>
      <c r="D608" s="3"/>
      <c r="E608" s="4"/>
      <c r="F608" s="4"/>
      <c r="G608" s="4"/>
      <c r="H608" s="4"/>
      <c r="I608" s="4"/>
      <c r="J608" s="4"/>
      <c r="L608" s="4"/>
    </row>
    <row r="609" spans="1:12" ht="15.75">
      <c r="A609" s="3"/>
      <c r="B609" s="161"/>
      <c r="C609" s="3"/>
      <c r="D609" s="3"/>
      <c r="E609" s="4"/>
      <c r="F609" s="4"/>
      <c r="G609" s="4"/>
      <c r="H609" s="4"/>
      <c r="I609" s="4"/>
      <c r="J609" s="4"/>
      <c r="L609" s="4"/>
    </row>
    <row r="610" spans="1:12" ht="15.75">
      <c r="A610" s="3"/>
      <c r="B610" s="161"/>
      <c r="C610" s="3"/>
      <c r="D610" s="3"/>
      <c r="E610" s="4"/>
      <c r="F610" s="4"/>
      <c r="G610" s="4"/>
      <c r="H610" s="4"/>
      <c r="I610" s="4"/>
      <c r="J610" s="4"/>
      <c r="L610" s="4"/>
    </row>
    <row r="611" spans="1:12" ht="15.75">
      <c r="A611" s="3"/>
      <c r="B611" s="161"/>
      <c r="C611" s="3"/>
      <c r="D611" s="3"/>
      <c r="E611" s="4"/>
      <c r="F611" s="4"/>
      <c r="G611" s="4"/>
      <c r="H611" s="4"/>
      <c r="I611" s="4"/>
      <c r="J611" s="4"/>
      <c r="L611" s="4"/>
    </row>
    <row r="612" spans="1:12" ht="15.75">
      <c r="A612" s="3"/>
      <c r="B612" s="161"/>
      <c r="C612" s="3"/>
      <c r="D612" s="3"/>
      <c r="E612" s="4"/>
      <c r="F612" s="4"/>
      <c r="G612" s="4"/>
      <c r="H612" s="4"/>
      <c r="I612" s="4"/>
      <c r="J612" s="4"/>
      <c r="L612" s="4"/>
    </row>
    <row r="613" spans="1:12" ht="15.75">
      <c r="A613" s="3"/>
      <c r="B613" s="161"/>
      <c r="C613" s="3"/>
      <c r="D613" s="3"/>
      <c r="E613" s="4"/>
      <c r="F613" s="4"/>
      <c r="G613" s="4"/>
      <c r="H613" s="4"/>
      <c r="I613" s="4"/>
      <c r="J613" s="4"/>
      <c r="L613" s="4"/>
    </row>
    <row r="614" spans="1:12" ht="15.75">
      <c r="A614" s="3"/>
      <c r="B614" s="161"/>
      <c r="C614" s="3"/>
      <c r="D614" s="3"/>
      <c r="E614" s="4"/>
      <c r="F614" s="4"/>
      <c r="G614" s="4"/>
      <c r="H614" s="4"/>
      <c r="I614" s="4"/>
      <c r="J614" s="4"/>
      <c r="L614" s="4"/>
    </row>
    <row r="615" spans="1:12" ht="15.75">
      <c r="A615" s="3"/>
      <c r="B615" s="161"/>
      <c r="C615" s="3"/>
      <c r="D615" s="3"/>
      <c r="E615" s="4"/>
      <c r="F615" s="4"/>
      <c r="G615" s="4"/>
      <c r="H615" s="4"/>
      <c r="I615" s="4"/>
      <c r="J615" s="4"/>
      <c r="L615" s="4"/>
    </row>
    <row r="616" spans="1:12" ht="15.75">
      <c r="A616" s="3"/>
      <c r="B616" s="161"/>
      <c r="C616" s="3"/>
      <c r="D616" s="3"/>
      <c r="E616" s="4"/>
      <c r="F616" s="4"/>
      <c r="G616" s="4"/>
      <c r="H616" s="4"/>
      <c r="I616" s="4"/>
      <c r="J616" s="4"/>
      <c r="L616" s="4"/>
    </row>
    <row r="617" spans="1:12" ht="15.75">
      <c r="A617" s="3"/>
      <c r="B617" s="161"/>
      <c r="C617" s="3"/>
      <c r="D617" s="3"/>
      <c r="E617" s="4"/>
      <c r="F617" s="4"/>
      <c r="G617" s="4"/>
      <c r="H617" s="4"/>
      <c r="I617" s="4"/>
      <c r="J617" s="4"/>
      <c r="L617" s="4"/>
    </row>
    <row r="618" spans="1:12" ht="15.75">
      <c r="A618" s="3"/>
      <c r="B618" s="161"/>
      <c r="C618" s="3"/>
      <c r="D618" s="3"/>
      <c r="E618" s="4"/>
      <c r="F618" s="4"/>
      <c r="G618" s="4"/>
      <c r="H618" s="4"/>
      <c r="I618" s="4"/>
      <c r="J618" s="4"/>
      <c r="L618" s="4"/>
    </row>
    <row r="619" spans="1:12" ht="15.75">
      <c r="A619" s="3"/>
      <c r="B619" s="161"/>
      <c r="C619" s="3"/>
      <c r="D619" s="3"/>
      <c r="E619" s="4"/>
      <c r="F619" s="4"/>
      <c r="G619" s="4"/>
      <c r="H619" s="4"/>
      <c r="I619" s="4"/>
      <c r="J619" s="4"/>
      <c r="L619" s="4"/>
    </row>
    <row r="620" spans="1:12" ht="15.75">
      <c r="A620" s="3"/>
      <c r="B620" s="161"/>
      <c r="C620" s="3"/>
      <c r="D620" s="3"/>
      <c r="E620" s="4"/>
      <c r="F620" s="4"/>
      <c r="G620" s="4"/>
      <c r="H620" s="4"/>
      <c r="I620" s="4"/>
      <c r="J620" s="4"/>
      <c r="L620" s="4"/>
    </row>
    <row r="621" spans="1:12" ht="15.75">
      <c r="A621" s="3"/>
      <c r="B621" s="161"/>
      <c r="C621" s="3"/>
      <c r="D621" s="3"/>
      <c r="E621" s="4"/>
      <c r="F621" s="4"/>
      <c r="G621" s="4"/>
      <c r="H621" s="4"/>
      <c r="I621" s="4"/>
      <c r="J621" s="4"/>
      <c r="L621" s="4"/>
    </row>
    <row r="622" spans="1:12" ht="15.75">
      <c r="A622" s="3"/>
      <c r="B622" s="161"/>
      <c r="C622" s="3"/>
      <c r="D622" s="3"/>
      <c r="E622" s="4"/>
      <c r="F622" s="4"/>
      <c r="G622" s="4"/>
      <c r="H622" s="4"/>
      <c r="I622" s="4"/>
      <c r="J622" s="4"/>
      <c r="L622" s="4"/>
    </row>
    <row r="623" spans="1:12" ht="15.75">
      <c r="A623" s="3"/>
      <c r="B623" s="161"/>
      <c r="C623" s="3"/>
      <c r="D623" s="3"/>
      <c r="E623" s="4"/>
      <c r="F623" s="4"/>
      <c r="G623" s="4"/>
      <c r="H623" s="4"/>
      <c r="I623" s="4"/>
      <c r="J623" s="4"/>
      <c r="L623" s="4"/>
    </row>
    <row r="624" spans="1:12" ht="15.75">
      <c r="A624" s="3"/>
      <c r="B624" s="161"/>
      <c r="C624" s="3"/>
      <c r="D624" s="3"/>
      <c r="E624" s="4"/>
      <c r="F624" s="4"/>
      <c r="G624" s="4"/>
      <c r="H624" s="4"/>
      <c r="I624" s="4"/>
      <c r="J624" s="4"/>
      <c r="L624" s="4"/>
    </row>
    <row r="625" spans="1:12" ht="15.75">
      <c r="A625" s="3"/>
      <c r="B625" s="161"/>
      <c r="C625" s="3"/>
      <c r="D625" s="3"/>
      <c r="E625" s="4"/>
      <c r="F625" s="4"/>
      <c r="G625" s="4"/>
      <c r="H625" s="4"/>
      <c r="I625" s="4"/>
      <c r="J625" s="4"/>
      <c r="L625" s="4"/>
    </row>
    <row r="626" spans="1:12" ht="15.75">
      <c r="A626" s="3"/>
      <c r="B626" s="161"/>
      <c r="C626" s="3"/>
      <c r="D626" s="3"/>
      <c r="E626" s="4"/>
      <c r="F626" s="4"/>
      <c r="G626" s="4"/>
      <c r="H626" s="4"/>
      <c r="I626" s="4"/>
      <c r="J626" s="4"/>
      <c r="L626" s="4"/>
    </row>
    <row r="627" spans="1:12" ht="15.75">
      <c r="A627" s="3"/>
      <c r="B627" s="161"/>
      <c r="C627" s="3"/>
      <c r="D627" s="3"/>
      <c r="E627" s="4"/>
      <c r="F627" s="4"/>
      <c r="G627" s="4"/>
      <c r="H627" s="4"/>
      <c r="I627" s="4"/>
      <c r="J627" s="4"/>
      <c r="L627" s="4"/>
    </row>
    <row r="628" spans="1:12" ht="15.75">
      <c r="A628" s="3"/>
      <c r="B628" s="161"/>
      <c r="C628" s="3"/>
      <c r="D628" s="3"/>
      <c r="E628" s="4"/>
      <c r="F628" s="4"/>
      <c r="G628" s="4"/>
      <c r="H628" s="4"/>
      <c r="I628" s="4"/>
      <c r="J628" s="4"/>
      <c r="L628" s="4"/>
    </row>
    <row r="629" spans="1:12" ht="15.75">
      <c r="A629" s="3"/>
      <c r="B629" s="161"/>
      <c r="C629" s="3"/>
      <c r="D629" s="3"/>
      <c r="E629" s="4"/>
      <c r="F629" s="4"/>
      <c r="G629" s="4"/>
      <c r="H629" s="4"/>
      <c r="I629" s="4"/>
      <c r="J629" s="4"/>
      <c r="L629" s="4"/>
    </row>
    <row r="630" spans="1:12" ht="15.75">
      <c r="A630" s="3"/>
      <c r="B630" s="161"/>
      <c r="C630" s="3"/>
      <c r="D630" s="3"/>
      <c r="E630" s="4"/>
      <c r="F630" s="4"/>
      <c r="G630" s="4"/>
      <c r="H630" s="4"/>
      <c r="I630" s="4"/>
      <c r="J630" s="4"/>
      <c r="L630" s="4"/>
    </row>
    <row r="631" spans="1:12" ht="15.75">
      <c r="A631" s="3"/>
      <c r="B631" s="161"/>
      <c r="C631" s="3"/>
      <c r="D631" s="3"/>
      <c r="E631" s="4"/>
      <c r="F631" s="4"/>
      <c r="G631" s="4"/>
      <c r="H631" s="4"/>
      <c r="I631" s="4"/>
      <c r="J631" s="4"/>
      <c r="L631" s="4"/>
    </row>
    <row r="632" spans="1:12" ht="15.75">
      <c r="A632" s="3"/>
      <c r="B632" s="161"/>
      <c r="C632" s="3"/>
      <c r="D632" s="3"/>
      <c r="E632" s="4"/>
      <c r="F632" s="4"/>
      <c r="G632" s="4"/>
      <c r="H632" s="4"/>
      <c r="I632" s="4"/>
      <c r="J632" s="4"/>
      <c r="L632" s="4"/>
    </row>
    <row r="633" spans="1:12" ht="15.75">
      <c r="A633" s="3"/>
      <c r="B633" s="161"/>
      <c r="C633" s="3"/>
      <c r="D633" s="3"/>
      <c r="E633" s="4"/>
      <c r="F633" s="4"/>
      <c r="G633" s="4"/>
      <c r="H633" s="4"/>
      <c r="I633" s="4"/>
      <c r="J633" s="4"/>
      <c r="L633" s="4"/>
    </row>
    <row r="634" spans="1:12" ht="15.75">
      <c r="A634" s="3"/>
      <c r="B634" s="161"/>
      <c r="C634" s="3"/>
      <c r="D634" s="3"/>
      <c r="E634" s="4"/>
      <c r="F634" s="4"/>
      <c r="G634" s="4"/>
      <c r="H634" s="4"/>
      <c r="I634" s="4"/>
      <c r="J634" s="4"/>
      <c r="L634" s="4"/>
    </row>
    <row r="635" spans="1:12" ht="15.75">
      <c r="A635" s="3"/>
      <c r="B635" s="161"/>
      <c r="C635" s="3"/>
      <c r="D635" s="3"/>
      <c r="E635" s="4"/>
      <c r="F635" s="4"/>
      <c r="G635" s="4"/>
      <c r="H635" s="4"/>
      <c r="I635" s="4"/>
      <c r="J635" s="4"/>
      <c r="L635" s="4"/>
    </row>
    <row r="636" spans="1:12" ht="15.75">
      <c r="A636" s="3"/>
      <c r="B636" s="161"/>
      <c r="C636" s="3"/>
      <c r="D636" s="3"/>
      <c r="E636" s="4"/>
      <c r="F636" s="4"/>
      <c r="G636" s="4"/>
      <c r="H636" s="4"/>
      <c r="I636" s="4"/>
      <c r="J636" s="4"/>
      <c r="L636" s="4"/>
    </row>
    <row r="637" spans="1:12" ht="15.75">
      <c r="A637" s="3"/>
      <c r="B637" s="161"/>
      <c r="C637" s="3"/>
      <c r="D637" s="3"/>
      <c r="E637" s="4"/>
      <c r="F637" s="4"/>
      <c r="G637" s="4"/>
      <c r="H637" s="4"/>
      <c r="I637" s="4"/>
      <c r="J637" s="4"/>
      <c r="L637" s="4"/>
    </row>
    <row r="638" spans="1:12" ht="15.75">
      <c r="A638" s="3"/>
      <c r="B638" s="161"/>
      <c r="C638" s="3"/>
      <c r="D638" s="3"/>
      <c r="E638" s="4"/>
      <c r="F638" s="4"/>
      <c r="G638" s="4"/>
      <c r="H638" s="4"/>
      <c r="I638" s="4"/>
      <c r="J638" s="4"/>
      <c r="L638" s="4"/>
    </row>
    <row r="639" spans="1:12" ht="15.75">
      <c r="A639" s="3"/>
      <c r="B639" s="161"/>
      <c r="C639" s="3"/>
      <c r="D639" s="3"/>
      <c r="E639" s="4"/>
      <c r="F639" s="4"/>
      <c r="G639" s="4"/>
      <c r="H639" s="4"/>
      <c r="I639" s="4"/>
      <c r="J639" s="4"/>
      <c r="L639" s="4"/>
    </row>
    <row r="640" spans="1:12" ht="15.75">
      <c r="A640" s="3"/>
      <c r="B640" s="161"/>
      <c r="C640" s="3"/>
      <c r="D640" s="3"/>
      <c r="E640" s="4"/>
      <c r="F640" s="4"/>
      <c r="G640" s="4"/>
      <c r="H640" s="4"/>
      <c r="I640" s="4"/>
      <c r="J640" s="4"/>
      <c r="L640" s="4"/>
    </row>
    <row r="641" spans="1:12" ht="15.75">
      <c r="A641" s="3"/>
      <c r="B641" s="161"/>
      <c r="C641" s="3"/>
      <c r="D641" s="3"/>
      <c r="E641" s="4"/>
      <c r="F641" s="4"/>
      <c r="G641" s="4"/>
      <c r="H641" s="4"/>
      <c r="I641" s="4"/>
      <c r="J641" s="4"/>
      <c r="L641" s="4"/>
    </row>
    <row r="642" spans="1:12" ht="15.75">
      <c r="A642" s="3"/>
      <c r="B642" s="161"/>
      <c r="C642" s="3"/>
      <c r="D642" s="3"/>
      <c r="E642" s="4"/>
      <c r="F642" s="4"/>
      <c r="G642" s="4"/>
      <c r="H642" s="4"/>
      <c r="I642" s="4"/>
      <c r="J642" s="4"/>
      <c r="L642" s="4"/>
    </row>
    <row r="643" spans="1:12" ht="15.75">
      <c r="A643" s="3"/>
      <c r="B643" s="161"/>
      <c r="C643" s="3"/>
      <c r="D643" s="3"/>
      <c r="E643" s="4"/>
      <c r="F643" s="4"/>
      <c r="G643" s="4"/>
      <c r="H643" s="4"/>
      <c r="I643" s="4"/>
      <c r="J643" s="4"/>
      <c r="L643" s="4"/>
    </row>
    <row r="644" spans="1:12" ht="15.75">
      <c r="A644" s="3"/>
      <c r="B644" s="161"/>
      <c r="C644" s="3"/>
      <c r="D644" s="3"/>
      <c r="E644" s="4"/>
      <c r="F644" s="4"/>
      <c r="G644" s="4"/>
      <c r="H644" s="4"/>
      <c r="I644" s="4"/>
      <c r="J644" s="4"/>
      <c r="L644" s="4"/>
    </row>
    <row r="645" spans="1:12" ht="15.75">
      <c r="A645" s="3"/>
      <c r="B645" s="161"/>
      <c r="C645" s="3"/>
      <c r="D645" s="3"/>
      <c r="E645" s="4"/>
      <c r="F645" s="4"/>
      <c r="G645" s="4"/>
      <c r="H645" s="4"/>
      <c r="I645" s="4"/>
      <c r="J645" s="4"/>
      <c r="L645" s="4"/>
    </row>
    <row r="646" spans="1:12" ht="15.75">
      <c r="A646" s="3"/>
      <c r="B646" s="161"/>
      <c r="C646" s="3"/>
      <c r="D646" s="3"/>
      <c r="E646" s="4"/>
      <c r="F646" s="4"/>
      <c r="G646" s="4"/>
      <c r="H646" s="4"/>
      <c r="I646" s="4"/>
      <c r="J646" s="4"/>
      <c r="L646" s="4"/>
    </row>
    <row r="647" spans="1:12" ht="15.75">
      <c r="A647" s="3"/>
      <c r="B647" s="161"/>
      <c r="C647" s="3"/>
      <c r="D647" s="3"/>
      <c r="E647" s="4"/>
      <c r="F647" s="4"/>
      <c r="G647" s="4"/>
      <c r="H647" s="4"/>
      <c r="I647" s="4"/>
      <c r="J647" s="4"/>
      <c r="L647" s="4"/>
    </row>
    <row r="648" spans="1:12" ht="15.75">
      <c r="A648" s="3"/>
      <c r="B648" s="161"/>
      <c r="C648" s="3"/>
      <c r="D648" s="3"/>
      <c r="E648" s="4"/>
      <c r="F648" s="4"/>
      <c r="G648" s="4"/>
      <c r="H648" s="4"/>
      <c r="I648" s="4"/>
      <c r="J648" s="4"/>
      <c r="L648" s="4"/>
    </row>
    <row r="649" spans="1:12" ht="15.75">
      <c r="A649" s="3"/>
      <c r="B649" s="161"/>
      <c r="C649" s="3"/>
      <c r="D649" s="3"/>
      <c r="E649" s="4"/>
      <c r="F649" s="4"/>
      <c r="G649" s="4"/>
      <c r="H649" s="4"/>
      <c r="I649" s="4"/>
      <c r="J649" s="4"/>
      <c r="L649" s="4"/>
    </row>
    <row r="650" spans="1:12" ht="15.75">
      <c r="A650" s="3"/>
      <c r="B650" s="161"/>
      <c r="C650" s="3"/>
      <c r="D650" s="3"/>
      <c r="E650" s="4"/>
      <c r="F650" s="4"/>
      <c r="G650" s="4"/>
      <c r="H650" s="4"/>
      <c r="I650" s="4"/>
      <c r="J650" s="4"/>
      <c r="L650" s="4"/>
    </row>
    <row r="651" spans="1:12" ht="15.75">
      <c r="A651" s="3"/>
      <c r="B651" s="161"/>
      <c r="C651" s="3"/>
      <c r="D651" s="3"/>
      <c r="E651" s="4"/>
      <c r="F651" s="4"/>
      <c r="G651" s="4"/>
      <c r="H651" s="4"/>
      <c r="I651" s="4"/>
      <c r="J651" s="4"/>
      <c r="L651" s="4"/>
    </row>
    <row r="652" spans="1:12" ht="15.75">
      <c r="A652" s="3"/>
      <c r="B652" s="161"/>
      <c r="C652" s="3"/>
      <c r="D652" s="3"/>
      <c r="E652" s="4"/>
      <c r="F652" s="4"/>
      <c r="G652" s="4"/>
      <c r="H652" s="4"/>
      <c r="I652" s="4"/>
      <c r="J652" s="4"/>
      <c r="L652" s="4"/>
    </row>
    <row r="653" spans="1:12" ht="15.75">
      <c r="A653" s="3"/>
      <c r="B653" s="161"/>
      <c r="C653" s="3"/>
      <c r="D653" s="3"/>
      <c r="E653" s="4"/>
      <c r="F653" s="4"/>
      <c r="G653" s="4"/>
      <c r="H653" s="4"/>
      <c r="I653" s="4"/>
      <c r="J653" s="4"/>
      <c r="L653" s="4"/>
    </row>
    <row r="654" spans="1:12" ht="15.75">
      <c r="A654" s="3"/>
      <c r="B654" s="161"/>
      <c r="C654" s="3"/>
      <c r="D654" s="3"/>
      <c r="E654" s="4"/>
      <c r="F654" s="4"/>
      <c r="G654" s="4"/>
      <c r="H654" s="4"/>
      <c r="I654" s="4"/>
      <c r="J654" s="4"/>
      <c r="L654" s="4"/>
    </row>
    <row r="655" spans="1:12" ht="15.75">
      <c r="A655" s="3"/>
      <c r="B655" s="161"/>
      <c r="C655" s="3"/>
      <c r="D655" s="3"/>
      <c r="E655" s="4"/>
      <c r="F655" s="4"/>
      <c r="G655" s="4"/>
      <c r="H655" s="4"/>
      <c r="I655" s="4"/>
      <c r="J655" s="4"/>
      <c r="L655" s="4"/>
    </row>
    <row r="656" spans="1:12" ht="15.75">
      <c r="A656" s="3"/>
      <c r="B656" s="161"/>
      <c r="C656" s="3"/>
      <c r="D656" s="3"/>
      <c r="E656" s="4"/>
      <c r="F656" s="4"/>
      <c r="G656" s="4"/>
      <c r="H656" s="4"/>
      <c r="I656" s="4"/>
      <c r="J656" s="4"/>
      <c r="L656" s="4"/>
    </row>
    <row r="657" spans="1:12" ht="15.75">
      <c r="A657" s="3"/>
      <c r="B657" s="161"/>
      <c r="C657" s="3"/>
      <c r="D657" s="3"/>
      <c r="E657" s="4"/>
      <c r="F657" s="4"/>
      <c r="G657" s="4"/>
      <c r="H657" s="4"/>
      <c r="I657" s="4"/>
      <c r="J657" s="4"/>
      <c r="L657" s="4"/>
    </row>
    <row r="658" spans="1:12" ht="15.75">
      <c r="A658" s="3"/>
      <c r="B658" s="161"/>
      <c r="C658" s="3"/>
      <c r="D658" s="3"/>
      <c r="E658" s="4"/>
      <c r="F658" s="4"/>
      <c r="G658" s="4"/>
      <c r="H658" s="4"/>
      <c r="I658" s="4"/>
      <c r="J658" s="4"/>
      <c r="L658" s="4"/>
    </row>
    <row r="659" spans="1:12" ht="15.75">
      <c r="A659" s="3"/>
      <c r="B659" s="161"/>
      <c r="C659" s="3"/>
      <c r="D659" s="3"/>
      <c r="E659" s="4"/>
      <c r="F659" s="4"/>
      <c r="G659" s="4"/>
      <c r="H659" s="4"/>
      <c r="I659" s="4"/>
      <c r="J659" s="4"/>
      <c r="L659" s="4"/>
    </row>
    <row r="660" spans="1:12" ht="15.75">
      <c r="A660" s="3"/>
      <c r="B660" s="161"/>
      <c r="C660" s="3"/>
      <c r="D660" s="3"/>
      <c r="E660" s="4"/>
      <c r="F660" s="4"/>
      <c r="G660" s="4"/>
      <c r="H660" s="4"/>
      <c r="I660" s="4"/>
      <c r="J660" s="4"/>
      <c r="L660" s="4"/>
    </row>
    <row r="661" spans="1:12" ht="15.75">
      <c r="A661" s="3"/>
      <c r="B661" s="161"/>
      <c r="C661" s="3"/>
      <c r="D661" s="3"/>
      <c r="E661" s="4"/>
      <c r="F661" s="4"/>
      <c r="G661" s="4"/>
      <c r="H661" s="4"/>
      <c r="I661" s="4"/>
      <c r="J661" s="4"/>
      <c r="L661" s="4"/>
    </row>
    <row r="662" spans="1:12" ht="15.75">
      <c r="A662" s="3"/>
      <c r="B662" s="161"/>
      <c r="C662" s="3"/>
      <c r="D662" s="3"/>
      <c r="E662" s="4"/>
      <c r="F662" s="4"/>
      <c r="G662" s="4"/>
      <c r="H662" s="4"/>
      <c r="I662" s="4"/>
      <c r="J662" s="4"/>
      <c r="L662" s="4"/>
    </row>
    <row r="663" spans="1:12" ht="15.75">
      <c r="A663" s="3"/>
      <c r="B663" s="161"/>
      <c r="C663" s="3"/>
      <c r="D663" s="3"/>
      <c r="E663" s="4"/>
      <c r="F663" s="4"/>
      <c r="G663" s="4"/>
      <c r="H663" s="4"/>
      <c r="I663" s="4"/>
      <c r="J663" s="4"/>
      <c r="L663" s="4"/>
    </row>
    <row r="664" spans="1:12" ht="15.75">
      <c r="A664" s="3"/>
      <c r="B664" s="161"/>
      <c r="C664" s="3"/>
      <c r="D664" s="3"/>
      <c r="E664" s="4"/>
      <c r="F664" s="4"/>
      <c r="G664" s="4"/>
      <c r="H664" s="4"/>
      <c r="I664" s="4"/>
      <c r="J664" s="4"/>
      <c r="L664" s="4"/>
    </row>
    <row r="665" spans="1:12" ht="15.75">
      <c r="A665" s="3"/>
      <c r="B665" s="161"/>
      <c r="C665" s="3"/>
      <c r="D665" s="3"/>
      <c r="E665" s="4"/>
      <c r="F665" s="4"/>
      <c r="G665" s="4"/>
      <c r="H665" s="4"/>
      <c r="I665" s="4"/>
      <c r="J665" s="4"/>
      <c r="L665" s="4"/>
    </row>
    <row r="666" spans="1:12" ht="15.75">
      <c r="A666" s="3"/>
      <c r="B666" s="161"/>
      <c r="C666" s="3"/>
      <c r="D666" s="3"/>
      <c r="E666" s="4"/>
      <c r="F666" s="4"/>
      <c r="G666" s="4"/>
      <c r="H666" s="4"/>
      <c r="I666" s="4"/>
      <c r="J666" s="4"/>
      <c r="L666" s="4"/>
    </row>
    <row r="667" spans="1:12" ht="15.75">
      <c r="A667" s="3"/>
      <c r="B667" s="161"/>
      <c r="C667" s="3"/>
      <c r="D667" s="3"/>
      <c r="E667" s="4"/>
      <c r="F667" s="4"/>
      <c r="G667" s="4"/>
      <c r="H667" s="4"/>
      <c r="I667" s="4"/>
      <c r="J667" s="4"/>
      <c r="L667" s="4"/>
    </row>
    <row r="668" spans="1:12" ht="15.75">
      <c r="A668" s="3"/>
      <c r="B668" s="161"/>
      <c r="C668" s="3"/>
      <c r="D668" s="3"/>
      <c r="E668" s="4"/>
      <c r="F668" s="4"/>
      <c r="G668" s="4"/>
      <c r="H668" s="4"/>
      <c r="I668" s="4"/>
      <c r="J668" s="4"/>
      <c r="L668" s="4"/>
    </row>
    <row r="669" spans="1:12" ht="15.75">
      <c r="A669" s="3"/>
      <c r="B669" s="161"/>
      <c r="C669" s="3"/>
      <c r="D669" s="3"/>
      <c r="E669" s="4"/>
      <c r="F669" s="4"/>
      <c r="G669" s="4"/>
      <c r="H669" s="4"/>
      <c r="I669" s="4"/>
      <c r="J669" s="4"/>
      <c r="L669" s="4"/>
    </row>
    <row r="670" spans="1:12" ht="15.75">
      <c r="A670" s="3"/>
      <c r="B670" s="161"/>
      <c r="C670" s="3"/>
      <c r="D670" s="3"/>
      <c r="E670" s="4"/>
      <c r="F670" s="4"/>
      <c r="G670" s="4"/>
      <c r="H670" s="4"/>
      <c r="I670" s="4"/>
      <c r="J670" s="4"/>
      <c r="L670" s="4"/>
    </row>
    <row r="671" spans="1:12" ht="15.75">
      <c r="A671" s="3"/>
      <c r="B671" s="161"/>
      <c r="C671" s="3"/>
      <c r="D671" s="3"/>
      <c r="E671" s="4"/>
      <c r="F671" s="4"/>
      <c r="G671" s="4"/>
      <c r="H671" s="4"/>
      <c r="I671" s="4"/>
      <c r="J671" s="4"/>
      <c r="L671" s="4"/>
    </row>
    <row r="672" spans="1:12" ht="15.75">
      <c r="A672" s="3"/>
      <c r="B672" s="161"/>
      <c r="C672" s="3"/>
      <c r="D672" s="3"/>
      <c r="E672" s="4"/>
      <c r="F672" s="4"/>
      <c r="G672" s="4"/>
      <c r="H672" s="4"/>
      <c r="I672" s="4"/>
      <c r="J672" s="4"/>
      <c r="L672" s="4"/>
    </row>
    <row r="673" spans="1:12" ht="15.75">
      <c r="A673" s="3"/>
      <c r="B673" s="161"/>
      <c r="C673" s="3"/>
      <c r="D673" s="3"/>
      <c r="E673" s="4"/>
      <c r="F673" s="4"/>
      <c r="G673" s="4"/>
      <c r="H673" s="4"/>
      <c r="I673" s="4"/>
      <c r="J673" s="4"/>
      <c r="L673" s="4"/>
    </row>
    <row r="674" spans="1:12" ht="15.75">
      <c r="A674" s="3"/>
      <c r="B674" s="161"/>
      <c r="C674" s="3"/>
      <c r="D674" s="3"/>
      <c r="E674" s="4"/>
      <c r="F674" s="4"/>
      <c r="G674" s="4"/>
      <c r="H674" s="4"/>
      <c r="I674" s="4"/>
      <c r="J674" s="4"/>
      <c r="L674" s="4"/>
    </row>
    <row r="675" spans="1:12" ht="15.75">
      <c r="A675" s="3"/>
      <c r="B675" s="161"/>
      <c r="C675" s="3"/>
      <c r="D675" s="3"/>
      <c r="E675" s="4"/>
      <c r="F675" s="4"/>
      <c r="G675" s="4"/>
      <c r="H675" s="4"/>
      <c r="I675" s="4"/>
      <c r="J675" s="4"/>
      <c r="L675" s="4"/>
    </row>
    <row r="676" spans="1:12" ht="15.75">
      <c r="A676" s="3"/>
      <c r="B676" s="161"/>
      <c r="C676" s="3"/>
      <c r="D676" s="3"/>
      <c r="E676" s="4"/>
      <c r="F676" s="4"/>
      <c r="G676" s="4"/>
      <c r="H676" s="4"/>
      <c r="I676" s="4"/>
      <c r="J676" s="4"/>
      <c r="L676" s="4"/>
    </row>
    <row r="677" spans="1:12" ht="15.75">
      <c r="A677" s="3"/>
      <c r="B677" s="161"/>
      <c r="C677" s="3"/>
      <c r="D677" s="3"/>
      <c r="E677" s="4"/>
      <c r="F677" s="4"/>
      <c r="G677" s="4"/>
      <c r="H677" s="4"/>
      <c r="I677" s="4"/>
      <c r="J677" s="4"/>
      <c r="L677" s="4"/>
    </row>
    <row r="678" spans="1:12" ht="15.75">
      <c r="A678" s="3"/>
      <c r="B678" s="161"/>
      <c r="C678" s="3"/>
      <c r="D678" s="3"/>
      <c r="E678" s="4"/>
      <c r="F678" s="4"/>
      <c r="G678" s="4"/>
      <c r="H678" s="4"/>
      <c r="I678" s="4"/>
      <c r="J678" s="4"/>
      <c r="L678" s="4"/>
    </row>
    <row r="679" spans="1:12" ht="15.75">
      <c r="A679" s="3"/>
      <c r="B679" s="161"/>
      <c r="C679" s="3"/>
      <c r="D679" s="3"/>
      <c r="E679" s="4"/>
      <c r="F679" s="4"/>
      <c r="G679" s="4"/>
      <c r="H679" s="4"/>
      <c r="I679" s="4"/>
      <c r="J679" s="4"/>
      <c r="L679" s="4"/>
    </row>
    <row r="680" spans="1:12" ht="15.75">
      <c r="A680" s="3"/>
      <c r="B680" s="161"/>
      <c r="C680" s="3"/>
      <c r="D680" s="3"/>
      <c r="E680" s="4"/>
      <c r="F680" s="4"/>
      <c r="G680" s="4"/>
      <c r="H680" s="4"/>
      <c r="I680" s="4"/>
      <c r="J680" s="4"/>
      <c r="L680" s="4"/>
    </row>
    <row r="681" spans="1:12" ht="15.75">
      <c r="A681" s="3"/>
      <c r="B681" s="161"/>
      <c r="C681" s="3"/>
      <c r="D681" s="3"/>
      <c r="E681" s="4"/>
      <c r="F681" s="4"/>
      <c r="G681" s="4"/>
      <c r="H681" s="4"/>
      <c r="I681" s="4"/>
      <c r="J681" s="4"/>
      <c r="L681" s="4"/>
    </row>
    <row r="682" spans="1:12" ht="15.75">
      <c r="A682" s="3"/>
      <c r="B682" s="161"/>
      <c r="C682" s="3"/>
      <c r="D682" s="3"/>
      <c r="E682" s="4"/>
      <c r="F682" s="4"/>
      <c r="G682" s="4"/>
      <c r="H682" s="4"/>
      <c r="I682" s="4"/>
      <c r="J682" s="4"/>
      <c r="L682" s="4"/>
    </row>
    <row r="683" spans="1:12" ht="15.75">
      <c r="A683" s="3"/>
      <c r="B683" s="161"/>
      <c r="C683" s="3"/>
      <c r="D683" s="3"/>
      <c r="E683" s="4"/>
      <c r="F683" s="4"/>
      <c r="G683" s="4"/>
      <c r="H683" s="4"/>
      <c r="I683" s="4"/>
      <c r="J683" s="4"/>
      <c r="L683" s="4"/>
    </row>
    <row r="684" spans="1:12" ht="15.75">
      <c r="A684" s="3"/>
      <c r="B684" s="161"/>
      <c r="C684" s="3"/>
      <c r="D684" s="3"/>
      <c r="E684" s="4"/>
      <c r="F684" s="4"/>
      <c r="G684" s="4"/>
      <c r="H684" s="4"/>
      <c r="I684" s="4"/>
      <c r="J684" s="4"/>
      <c r="L684" s="4"/>
    </row>
    <row r="685" spans="1:12" ht="15.75">
      <c r="A685" s="3"/>
      <c r="B685" s="161"/>
      <c r="C685" s="3"/>
      <c r="D685" s="3"/>
      <c r="E685" s="4"/>
      <c r="F685" s="4"/>
      <c r="G685" s="4"/>
      <c r="H685" s="4"/>
      <c r="I685" s="4"/>
      <c r="J685" s="4"/>
      <c r="L685" s="4"/>
    </row>
    <row r="686" spans="1:12" ht="15.75">
      <c r="A686" s="3"/>
      <c r="B686" s="161"/>
      <c r="C686" s="3"/>
      <c r="D686" s="3"/>
      <c r="E686" s="4"/>
      <c r="F686" s="4"/>
      <c r="G686" s="4"/>
      <c r="H686" s="4"/>
      <c r="I686" s="4"/>
      <c r="J686" s="4"/>
      <c r="L686" s="4"/>
    </row>
    <row r="687" spans="1:12" ht="15.75">
      <c r="A687" s="3"/>
      <c r="B687" s="161"/>
      <c r="C687" s="3"/>
      <c r="D687" s="3"/>
      <c r="E687" s="4"/>
      <c r="F687" s="4"/>
      <c r="G687" s="4"/>
      <c r="H687" s="4"/>
      <c r="I687" s="4"/>
      <c r="J687" s="4"/>
      <c r="L687" s="4"/>
    </row>
    <row r="688" spans="1:12" ht="15.75">
      <c r="A688" s="3"/>
      <c r="B688" s="161"/>
      <c r="C688" s="3"/>
      <c r="D688" s="3"/>
      <c r="E688" s="4"/>
      <c r="F688" s="4"/>
      <c r="G688" s="4"/>
      <c r="H688" s="4"/>
      <c r="I688" s="4"/>
      <c r="J688" s="4"/>
      <c r="L688" s="4"/>
    </row>
    <row r="689" spans="1:12" ht="15.75">
      <c r="A689" s="3"/>
      <c r="B689" s="161"/>
      <c r="C689" s="3"/>
      <c r="D689" s="3"/>
      <c r="E689" s="4"/>
      <c r="F689" s="4"/>
      <c r="G689" s="4"/>
      <c r="H689" s="4"/>
      <c r="I689" s="4"/>
      <c r="J689" s="4"/>
      <c r="L689" s="4"/>
    </row>
    <row r="690" spans="1:12" ht="15.75">
      <c r="A690" s="3"/>
      <c r="B690" s="161"/>
      <c r="C690" s="3"/>
      <c r="D690" s="3"/>
      <c r="E690" s="4"/>
      <c r="F690" s="4"/>
      <c r="G690" s="4"/>
      <c r="H690" s="4"/>
      <c r="I690" s="4"/>
      <c r="J690" s="4"/>
      <c r="L690" s="4"/>
    </row>
    <row r="691" spans="1:12" ht="15.75">
      <c r="A691" s="3"/>
      <c r="B691" s="161"/>
      <c r="C691" s="3"/>
      <c r="D691" s="3"/>
      <c r="E691" s="4"/>
      <c r="F691" s="4"/>
      <c r="G691" s="4"/>
      <c r="H691" s="4"/>
      <c r="I691" s="4"/>
      <c r="J691" s="4"/>
      <c r="L691" s="4"/>
    </row>
    <row r="692" spans="1:12" ht="15.75">
      <c r="A692" s="3"/>
      <c r="B692" s="161"/>
      <c r="C692" s="3"/>
      <c r="D692" s="3"/>
      <c r="E692" s="4"/>
      <c r="F692" s="4"/>
      <c r="G692" s="4"/>
      <c r="H692" s="4"/>
      <c r="I692" s="4"/>
      <c r="J692" s="4"/>
      <c r="L692" s="4"/>
    </row>
    <row r="693" spans="1:12" ht="15.75">
      <c r="A693" s="3"/>
      <c r="B693" s="161"/>
      <c r="C693" s="3"/>
      <c r="D693" s="3"/>
      <c r="E693" s="4"/>
      <c r="F693" s="4"/>
      <c r="G693" s="4"/>
      <c r="H693" s="4"/>
      <c r="I693" s="4"/>
      <c r="J693" s="4"/>
      <c r="L693" s="4"/>
    </row>
    <row r="694" spans="1:12" ht="15.75">
      <c r="A694" s="3"/>
      <c r="B694" s="161"/>
      <c r="C694" s="3"/>
      <c r="D694" s="3"/>
      <c r="E694" s="4"/>
      <c r="F694" s="4"/>
      <c r="G694" s="4"/>
      <c r="H694" s="4"/>
      <c r="I694" s="4"/>
      <c r="J694" s="4"/>
      <c r="L694" s="4"/>
    </row>
    <row r="695" spans="1:12" ht="15.75">
      <c r="A695" s="3"/>
      <c r="B695" s="161"/>
      <c r="C695" s="3"/>
      <c r="D695" s="3"/>
      <c r="E695" s="4"/>
      <c r="F695" s="4"/>
      <c r="G695" s="4"/>
      <c r="H695" s="4"/>
      <c r="I695" s="4"/>
      <c r="J695" s="4"/>
      <c r="L695" s="4"/>
    </row>
    <row r="696" spans="1:12" ht="15.75">
      <c r="A696" s="3"/>
      <c r="B696" s="161"/>
      <c r="C696" s="3"/>
      <c r="D696" s="3"/>
      <c r="E696" s="4"/>
      <c r="F696" s="4"/>
      <c r="G696" s="4"/>
      <c r="H696" s="4"/>
      <c r="I696" s="4"/>
      <c r="J696" s="4"/>
      <c r="L696" s="4"/>
    </row>
    <row r="697" spans="1:12" ht="15.75">
      <c r="A697" s="3"/>
      <c r="B697" s="161"/>
      <c r="C697" s="3"/>
      <c r="D697" s="3"/>
      <c r="E697" s="4"/>
      <c r="F697" s="4"/>
      <c r="G697" s="4"/>
      <c r="H697" s="4"/>
      <c r="I697" s="4"/>
      <c r="J697" s="4"/>
      <c r="L697" s="4"/>
    </row>
    <row r="698" spans="1:12" ht="15.75">
      <c r="A698" s="3"/>
      <c r="B698" s="161"/>
      <c r="C698" s="3"/>
      <c r="D698" s="3"/>
      <c r="E698" s="4"/>
      <c r="F698" s="4"/>
      <c r="G698" s="4"/>
      <c r="H698" s="4"/>
      <c r="I698" s="4"/>
      <c r="J698" s="4"/>
      <c r="L698" s="4"/>
    </row>
    <row r="699" spans="1:12" ht="15.75">
      <c r="A699" s="3"/>
      <c r="B699" s="161"/>
      <c r="C699" s="3"/>
      <c r="D699" s="3"/>
      <c r="E699" s="4"/>
      <c r="F699" s="4"/>
      <c r="G699" s="4"/>
      <c r="H699" s="4"/>
      <c r="I699" s="4"/>
      <c r="J699" s="4"/>
      <c r="L699" s="4"/>
    </row>
    <row r="700" spans="1:12" ht="15.75">
      <c r="A700" s="3"/>
      <c r="B700" s="161"/>
      <c r="C700" s="3"/>
      <c r="D700" s="3"/>
      <c r="E700" s="4"/>
      <c r="F700" s="4"/>
      <c r="G700" s="4"/>
      <c r="H700" s="4"/>
      <c r="I700" s="4"/>
      <c r="J700" s="4"/>
      <c r="L700" s="4"/>
    </row>
    <row r="701" spans="1:12" ht="15.75">
      <c r="A701" s="3"/>
      <c r="B701" s="161"/>
      <c r="C701" s="3"/>
      <c r="D701" s="3"/>
      <c r="E701" s="4"/>
      <c r="F701" s="4"/>
      <c r="G701" s="4"/>
      <c r="H701" s="4"/>
      <c r="I701" s="4"/>
      <c r="J701" s="4"/>
      <c r="L701" s="4"/>
    </row>
    <row r="702" spans="1:12" ht="15.75">
      <c r="A702" s="3"/>
      <c r="B702" s="161"/>
      <c r="C702" s="3"/>
      <c r="D702" s="3"/>
      <c r="E702" s="4"/>
      <c r="F702" s="4"/>
      <c r="G702" s="4"/>
      <c r="H702" s="4"/>
      <c r="I702" s="4"/>
      <c r="J702" s="4"/>
      <c r="L702" s="4"/>
    </row>
    <row r="703" spans="1:12" ht="15.75">
      <c r="A703" s="3"/>
      <c r="B703" s="161"/>
      <c r="C703" s="3"/>
      <c r="D703" s="3"/>
      <c r="E703" s="4"/>
      <c r="F703" s="4"/>
      <c r="G703" s="4"/>
      <c r="H703" s="4"/>
      <c r="I703" s="4"/>
      <c r="J703" s="4"/>
      <c r="L703" s="4"/>
    </row>
    <row r="704" spans="1:12" ht="15.75">
      <c r="A704" s="3"/>
      <c r="B704" s="161"/>
      <c r="C704" s="3"/>
      <c r="D704" s="3"/>
      <c r="E704" s="4"/>
      <c r="F704" s="4"/>
      <c r="G704" s="4"/>
      <c r="H704" s="4"/>
      <c r="I704" s="4"/>
      <c r="J704" s="4"/>
      <c r="L704" s="4"/>
    </row>
    <row r="705" spans="1:12" ht="15.75">
      <c r="A705" s="3"/>
      <c r="B705" s="161"/>
      <c r="C705" s="3"/>
      <c r="D705" s="3"/>
      <c r="E705" s="4"/>
      <c r="F705" s="4"/>
      <c r="G705" s="4"/>
      <c r="H705" s="4"/>
      <c r="I705" s="4"/>
      <c r="J705" s="4"/>
      <c r="L705" s="4"/>
    </row>
    <row r="706" spans="1:12" ht="15.75">
      <c r="A706" s="3"/>
      <c r="B706" s="161"/>
      <c r="C706" s="3"/>
      <c r="D706" s="3"/>
      <c r="E706" s="4"/>
      <c r="F706" s="4"/>
      <c r="G706" s="4"/>
      <c r="H706" s="4"/>
      <c r="I706" s="4"/>
      <c r="J706" s="4"/>
      <c r="L706" s="4"/>
    </row>
    <row r="707" spans="1:12" ht="15.75">
      <c r="A707" s="3"/>
      <c r="B707" s="161"/>
      <c r="C707" s="3"/>
      <c r="D707" s="3"/>
      <c r="E707" s="4"/>
      <c r="F707" s="4"/>
      <c r="G707" s="4"/>
      <c r="H707" s="4"/>
      <c r="I707" s="4"/>
      <c r="J707" s="4"/>
      <c r="L707" s="4"/>
    </row>
    <row r="708" spans="1:12" ht="15.75">
      <c r="A708" s="3"/>
      <c r="B708" s="161"/>
      <c r="C708" s="3"/>
      <c r="D708" s="3"/>
      <c r="E708" s="4"/>
      <c r="F708" s="4"/>
      <c r="G708" s="4"/>
      <c r="H708" s="4"/>
      <c r="I708" s="4"/>
      <c r="J708" s="4"/>
      <c r="L708" s="4"/>
    </row>
    <row r="709" spans="1:12" ht="15.75">
      <c r="A709" s="3"/>
      <c r="B709" s="161"/>
      <c r="C709" s="3"/>
      <c r="D709" s="3"/>
      <c r="E709" s="4"/>
      <c r="F709" s="4"/>
      <c r="G709" s="4"/>
      <c r="H709" s="4"/>
      <c r="I709" s="4"/>
      <c r="J709" s="4"/>
      <c r="L709" s="4"/>
    </row>
    <row r="710" spans="1:12" ht="15.75">
      <c r="A710" s="3"/>
      <c r="B710" s="161"/>
      <c r="C710" s="3"/>
      <c r="D710" s="3"/>
      <c r="E710" s="4"/>
      <c r="F710" s="4"/>
      <c r="G710" s="4"/>
      <c r="H710" s="4"/>
      <c r="I710" s="4"/>
      <c r="J710" s="4"/>
      <c r="L710" s="4"/>
    </row>
    <row r="711" spans="1:12" ht="15.75">
      <c r="A711" s="3"/>
      <c r="B711" s="161"/>
      <c r="C711" s="3"/>
      <c r="D711" s="3"/>
      <c r="E711" s="4"/>
      <c r="F711" s="4"/>
      <c r="G711" s="4"/>
      <c r="H711" s="4"/>
      <c r="I711" s="4"/>
      <c r="J711" s="4"/>
      <c r="L711" s="4"/>
    </row>
    <row r="712" spans="1:12" ht="15.75">
      <c r="A712" s="3"/>
      <c r="B712" s="161"/>
      <c r="C712" s="3"/>
      <c r="D712" s="3"/>
      <c r="E712" s="4"/>
      <c r="F712" s="4"/>
      <c r="G712" s="4"/>
      <c r="H712" s="4"/>
      <c r="I712" s="4"/>
      <c r="J712" s="4"/>
      <c r="L712" s="4"/>
    </row>
    <row r="713" spans="1:12" ht="15.75">
      <c r="A713" s="3"/>
      <c r="B713" s="161"/>
      <c r="C713" s="3"/>
      <c r="D713" s="3"/>
      <c r="E713" s="4"/>
      <c r="F713" s="4"/>
      <c r="G713" s="4"/>
      <c r="H713" s="4"/>
      <c r="I713" s="4"/>
      <c r="J713" s="4"/>
      <c r="L713" s="4"/>
    </row>
    <row r="714" spans="1:12" ht="15.75">
      <c r="A714" s="3"/>
      <c r="B714" s="161"/>
      <c r="C714" s="3"/>
      <c r="D714" s="3"/>
      <c r="E714" s="4"/>
      <c r="F714" s="4"/>
      <c r="G714" s="4"/>
      <c r="H714" s="4"/>
      <c r="I714" s="4"/>
      <c r="J714" s="4"/>
      <c r="L714" s="4"/>
    </row>
    <row r="715" spans="1:12" ht="15.75">
      <c r="A715" s="3"/>
      <c r="B715" s="161"/>
      <c r="C715" s="3"/>
      <c r="D715" s="3"/>
      <c r="E715" s="4"/>
      <c r="F715" s="4"/>
      <c r="G715" s="4"/>
      <c r="H715" s="4"/>
      <c r="I715" s="4"/>
      <c r="J715" s="4"/>
      <c r="L715" s="4"/>
    </row>
    <row r="716" spans="1:12" ht="15.75">
      <c r="A716" s="3"/>
      <c r="B716" s="161"/>
      <c r="C716" s="3"/>
      <c r="D716" s="3"/>
      <c r="E716" s="4"/>
      <c r="F716" s="4"/>
      <c r="G716" s="4"/>
      <c r="H716" s="4"/>
      <c r="I716" s="4"/>
      <c r="J716" s="4"/>
      <c r="L716" s="4"/>
    </row>
    <row r="717" spans="1:12" ht="15.75">
      <c r="A717" s="3"/>
      <c r="B717" s="161"/>
      <c r="C717" s="3"/>
      <c r="D717" s="3"/>
      <c r="E717" s="4"/>
      <c r="F717" s="4"/>
      <c r="G717" s="4"/>
      <c r="H717" s="4"/>
      <c r="I717" s="4"/>
      <c r="J717" s="4"/>
      <c r="L717" s="4"/>
    </row>
    <row r="718" spans="1:12" ht="15.75">
      <c r="A718" s="3"/>
      <c r="B718" s="161"/>
      <c r="C718" s="3"/>
      <c r="D718" s="3"/>
      <c r="E718" s="4"/>
      <c r="F718" s="4"/>
      <c r="G718" s="4"/>
      <c r="H718" s="4"/>
      <c r="I718" s="4"/>
      <c r="J718" s="4"/>
      <c r="L718" s="4"/>
    </row>
    <row r="719" spans="1:12" ht="15.75">
      <c r="A719" s="3"/>
      <c r="B719" s="161"/>
      <c r="C719" s="3"/>
      <c r="D719" s="3"/>
      <c r="E719" s="4"/>
      <c r="F719" s="4"/>
      <c r="G719" s="4"/>
      <c r="H719" s="4"/>
      <c r="I719" s="4"/>
      <c r="J719" s="4"/>
      <c r="L719" s="4"/>
    </row>
    <row r="720" spans="1:12" ht="15.75">
      <c r="A720" s="3"/>
      <c r="B720" s="161"/>
      <c r="C720" s="3"/>
      <c r="D720" s="3"/>
      <c r="E720" s="4"/>
      <c r="F720" s="4"/>
      <c r="G720" s="4"/>
      <c r="H720" s="4"/>
      <c r="I720" s="4"/>
      <c r="J720" s="4"/>
      <c r="L720" s="4"/>
    </row>
    <row r="721" spans="1:12" ht="15.75">
      <c r="A721" s="3"/>
      <c r="B721" s="161"/>
      <c r="C721" s="3"/>
      <c r="D721" s="3"/>
      <c r="E721" s="4"/>
      <c r="F721" s="4"/>
      <c r="G721" s="4"/>
      <c r="H721" s="4"/>
      <c r="I721" s="4"/>
      <c r="J721" s="4"/>
      <c r="L721" s="4"/>
    </row>
    <row r="722" spans="1:12" ht="15.75">
      <c r="A722" s="3"/>
      <c r="B722" s="161"/>
      <c r="C722" s="3"/>
      <c r="D722" s="3"/>
      <c r="E722" s="4"/>
      <c r="F722" s="4"/>
      <c r="G722" s="4"/>
      <c r="H722" s="4"/>
      <c r="I722" s="4"/>
      <c r="J722" s="4"/>
      <c r="L722" s="4"/>
    </row>
    <row r="723" spans="1:12" ht="15.75">
      <c r="A723" s="3"/>
      <c r="B723" s="161"/>
      <c r="C723" s="3"/>
      <c r="D723" s="3"/>
      <c r="E723" s="4"/>
      <c r="F723" s="4"/>
      <c r="G723" s="4"/>
      <c r="H723" s="4"/>
      <c r="I723" s="4"/>
      <c r="J723" s="4"/>
      <c r="L723" s="4"/>
    </row>
    <row r="724" spans="1:12" ht="15.75">
      <c r="A724" s="3"/>
      <c r="B724" s="161"/>
      <c r="C724" s="3"/>
      <c r="D724" s="3"/>
      <c r="E724" s="4"/>
      <c r="F724" s="4"/>
      <c r="G724" s="4"/>
      <c r="H724" s="4"/>
      <c r="I724" s="4"/>
      <c r="J724" s="4"/>
      <c r="L724" s="4"/>
    </row>
    <row r="725" spans="1:12" ht="15.75">
      <c r="A725" s="3"/>
      <c r="B725" s="161"/>
      <c r="C725" s="3"/>
      <c r="D725" s="3"/>
      <c r="E725" s="4"/>
      <c r="F725" s="4"/>
      <c r="G725" s="4"/>
      <c r="H725" s="4"/>
      <c r="I725" s="4"/>
      <c r="J725" s="4"/>
      <c r="L725" s="4"/>
    </row>
    <row r="726" spans="1:12" ht="15.75">
      <c r="A726" s="3"/>
      <c r="B726" s="161"/>
      <c r="C726" s="3"/>
      <c r="D726" s="3"/>
      <c r="E726" s="4"/>
      <c r="F726" s="4"/>
      <c r="G726" s="4"/>
      <c r="H726" s="4"/>
      <c r="I726" s="4"/>
      <c r="J726" s="4"/>
      <c r="L726" s="4"/>
    </row>
    <row r="727" spans="1:12" ht="15.75">
      <c r="A727" s="3"/>
      <c r="B727" s="161"/>
      <c r="C727" s="3"/>
      <c r="D727" s="3"/>
      <c r="E727" s="4"/>
      <c r="F727" s="4"/>
      <c r="G727" s="4"/>
      <c r="H727" s="4"/>
      <c r="I727" s="4"/>
      <c r="J727" s="4"/>
      <c r="L727" s="4"/>
    </row>
    <row r="728" spans="1:12" ht="15.75">
      <c r="A728" s="3"/>
      <c r="B728" s="161"/>
      <c r="C728" s="3"/>
      <c r="D728" s="3"/>
      <c r="E728" s="4"/>
      <c r="F728" s="4"/>
      <c r="G728" s="4"/>
      <c r="H728" s="4"/>
      <c r="I728" s="4"/>
      <c r="J728" s="4"/>
      <c r="L728" s="4"/>
    </row>
    <row r="729" spans="1:12" ht="15.75">
      <c r="A729" s="3"/>
      <c r="B729" s="161"/>
      <c r="C729" s="3"/>
      <c r="D729" s="3"/>
      <c r="E729" s="4"/>
      <c r="F729" s="4"/>
      <c r="G729" s="4"/>
      <c r="H729" s="4"/>
      <c r="I729" s="4"/>
      <c r="J729" s="4"/>
      <c r="L729" s="4"/>
    </row>
    <row r="730" spans="1:12" ht="15.75">
      <c r="A730" s="3"/>
      <c r="B730" s="161"/>
      <c r="C730" s="3"/>
      <c r="D730" s="3"/>
      <c r="E730" s="4"/>
      <c r="F730" s="4"/>
      <c r="G730" s="4"/>
      <c r="H730" s="4"/>
      <c r="I730" s="4"/>
      <c r="J730" s="4"/>
      <c r="L730" s="4"/>
    </row>
    <row r="731" spans="1:12" ht="15.75">
      <c r="A731" s="3"/>
      <c r="B731" s="161"/>
      <c r="C731" s="3"/>
      <c r="D731" s="3"/>
      <c r="E731" s="4"/>
      <c r="F731" s="4"/>
      <c r="G731" s="4"/>
      <c r="H731" s="4"/>
      <c r="I731" s="4"/>
      <c r="J731" s="4"/>
      <c r="L731" s="4"/>
    </row>
    <row r="732" spans="1:12" ht="15.75">
      <c r="A732" s="3"/>
      <c r="B732" s="161"/>
      <c r="C732" s="3"/>
      <c r="D732" s="3"/>
      <c r="E732" s="4"/>
      <c r="F732" s="4"/>
      <c r="G732" s="4"/>
      <c r="H732" s="4"/>
      <c r="I732" s="4"/>
      <c r="J732" s="4"/>
      <c r="L732" s="4"/>
    </row>
    <row r="733" spans="1:12" ht="15.75">
      <c r="A733" s="3"/>
      <c r="B733" s="161"/>
      <c r="C733" s="3"/>
      <c r="D733" s="3"/>
      <c r="E733" s="4"/>
      <c r="F733" s="4"/>
      <c r="G733" s="4"/>
      <c r="H733" s="4"/>
      <c r="I733" s="4"/>
      <c r="J733" s="4"/>
      <c r="L733" s="4"/>
    </row>
    <row r="734" spans="1:12" ht="15.75">
      <c r="A734" s="3"/>
      <c r="B734" s="161"/>
      <c r="C734" s="3"/>
      <c r="D734" s="3"/>
      <c r="E734" s="4"/>
      <c r="F734" s="4"/>
      <c r="G734" s="4"/>
      <c r="H734" s="4"/>
      <c r="I734" s="4"/>
      <c r="J734" s="4"/>
      <c r="L734" s="4"/>
    </row>
    <row r="735" spans="1:12" ht="15.75">
      <c r="A735" s="3"/>
      <c r="B735" s="161"/>
      <c r="C735" s="3"/>
      <c r="D735" s="3"/>
      <c r="E735" s="4"/>
      <c r="F735" s="4"/>
      <c r="G735" s="4"/>
      <c r="H735" s="4"/>
      <c r="I735" s="4"/>
      <c r="J735" s="4"/>
      <c r="L735" s="4"/>
    </row>
    <row r="736" spans="1:12" ht="15.75">
      <c r="A736" s="3"/>
      <c r="B736" s="161"/>
      <c r="C736" s="3"/>
      <c r="D736" s="3"/>
      <c r="E736" s="4"/>
      <c r="F736" s="4"/>
      <c r="G736" s="4"/>
      <c r="H736" s="4"/>
      <c r="I736" s="4"/>
      <c r="J736" s="4"/>
      <c r="L736" s="4"/>
    </row>
    <row r="737" spans="1:12" ht="15.75">
      <c r="A737" s="3"/>
      <c r="B737" s="161"/>
      <c r="C737" s="3"/>
      <c r="D737" s="3"/>
      <c r="E737" s="4"/>
      <c r="F737" s="4"/>
      <c r="G737" s="4"/>
      <c r="H737" s="4"/>
      <c r="I737" s="4"/>
      <c r="J737" s="4"/>
      <c r="L737" s="4"/>
    </row>
    <row r="738" spans="1:12" ht="15.75">
      <c r="A738" s="3"/>
      <c r="B738" s="161"/>
      <c r="C738" s="3"/>
      <c r="D738" s="3"/>
      <c r="E738" s="4"/>
      <c r="F738" s="4"/>
      <c r="G738" s="4"/>
      <c r="H738" s="4"/>
      <c r="I738" s="4"/>
      <c r="J738" s="4"/>
      <c r="L738" s="4"/>
    </row>
    <row r="739" spans="1:12" ht="15.75">
      <c r="A739" s="3"/>
      <c r="B739" s="161"/>
      <c r="C739" s="3"/>
      <c r="D739" s="3"/>
      <c r="E739" s="4"/>
      <c r="F739" s="4"/>
      <c r="G739" s="4"/>
      <c r="H739" s="4"/>
      <c r="I739" s="4"/>
      <c r="J739" s="4"/>
      <c r="L739" s="4"/>
    </row>
    <row r="740" spans="1:12" ht="15.75">
      <c r="A740" s="3"/>
      <c r="B740" s="161"/>
      <c r="C740" s="3"/>
      <c r="D740" s="3"/>
      <c r="E740" s="4"/>
      <c r="F740" s="4"/>
      <c r="G740" s="4"/>
      <c r="H740" s="4"/>
      <c r="I740" s="4"/>
      <c r="J740" s="4"/>
      <c r="L740" s="4"/>
    </row>
    <row r="741" spans="1:12" ht="15.75">
      <c r="A741" s="3"/>
      <c r="B741" s="161"/>
      <c r="C741" s="3"/>
      <c r="D741" s="3"/>
      <c r="E741" s="4"/>
      <c r="F741" s="4"/>
      <c r="G741" s="4"/>
      <c r="H741" s="4"/>
      <c r="I741" s="4"/>
      <c r="J741" s="4"/>
      <c r="L741" s="4"/>
    </row>
    <row r="742" spans="1:12" ht="15.75">
      <c r="A742" s="3"/>
      <c r="B742" s="161"/>
      <c r="C742" s="3"/>
      <c r="D742" s="3"/>
      <c r="E742" s="4"/>
      <c r="F742" s="4"/>
      <c r="G742" s="4"/>
      <c r="H742" s="4"/>
      <c r="I742" s="4"/>
      <c r="J742" s="4"/>
      <c r="L742" s="4"/>
    </row>
    <row r="743" spans="1:12" ht="15.75">
      <c r="A743" s="3"/>
      <c r="B743" s="161"/>
      <c r="C743" s="3"/>
      <c r="D743" s="3"/>
      <c r="E743" s="4"/>
      <c r="F743" s="4"/>
      <c r="G743" s="4"/>
      <c r="H743" s="4"/>
      <c r="I743" s="4"/>
      <c r="J743" s="4"/>
      <c r="L743" s="4"/>
    </row>
    <row r="744" spans="1:12" ht="15.75">
      <c r="A744" s="3"/>
      <c r="B744" s="161"/>
      <c r="C744" s="3"/>
      <c r="D744" s="3"/>
      <c r="E744" s="4"/>
      <c r="F744" s="4"/>
      <c r="G744" s="4"/>
      <c r="H744" s="4"/>
      <c r="I744" s="4"/>
      <c r="J744" s="4"/>
      <c r="L744" s="4"/>
    </row>
    <row r="745" spans="1:12" ht="15.75">
      <c r="A745" s="3"/>
      <c r="B745" s="161"/>
      <c r="C745" s="3"/>
      <c r="D745" s="3"/>
      <c r="E745" s="4"/>
      <c r="F745" s="4"/>
      <c r="G745" s="4"/>
      <c r="H745" s="4"/>
      <c r="I745" s="4"/>
      <c r="J745" s="4"/>
      <c r="L745" s="4"/>
    </row>
    <row r="746" spans="1:12" ht="15.75">
      <c r="A746" s="3"/>
      <c r="B746" s="161"/>
      <c r="C746" s="3"/>
      <c r="D746" s="3"/>
      <c r="E746" s="4"/>
      <c r="F746" s="4"/>
      <c r="G746" s="4"/>
      <c r="H746" s="4"/>
      <c r="I746" s="4"/>
      <c r="J746" s="4"/>
      <c r="L746" s="4"/>
    </row>
    <row r="747" spans="1:12" ht="15.75">
      <c r="A747" s="3"/>
      <c r="B747" s="161"/>
      <c r="C747" s="3"/>
      <c r="D747" s="3"/>
      <c r="E747" s="4"/>
      <c r="F747" s="4"/>
      <c r="G747" s="4"/>
      <c r="H747" s="4"/>
      <c r="I747" s="4"/>
      <c r="J747" s="4"/>
      <c r="L747" s="4"/>
    </row>
    <row r="748" spans="1:12" ht="15.75">
      <c r="A748" s="3"/>
      <c r="B748" s="161"/>
      <c r="C748" s="3"/>
      <c r="D748" s="3"/>
      <c r="E748" s="4"/>
      <c r="F748" s="4"/>
      <c r="G748" s="4"/>
      <c r="H748" s="4"/>
      <c r="I748" s="4"/>
      <c r="J748" s="4"/>
      <c r="L748" s="4"/>
    </row>
    <row r="749" spans="1:12" ht="15.75">
      <c r="A749" s="3"/>
      <c r="B749" s="161"/>
      <c r="C749" s="3"/>
      <c r="D749" s="3"/>
      <c r="E749" s="4"/>
      <c r="F749" s="4"/>
      <c r="G749" s="4"/>
      <c r="H749" s="4"/>
      <c r="I749" s="4"/>
      <c r="J749" s="4"/>
      <c r="L749" s="4"/>
    </row>
    <row r="750" spans="1:12" ht="15.75">
      <c r="A750" s="3"/>
      <c r="B750" s="161"/>
      <c r="C750" s="3"/>
      <c r="D750" s="3"/>
      <c r="E750" s="4"/>
      <c r="F750" s="4"/>
      <c r="G750" s="4"/>
      <c r="H750" s="4"/>
      <c r="I750" s="4"/>
      <c r="J750" s="4"/>
      <c r="L750" s="4"/>
    </row>
    <row r="751" spans="1:12" ht="15.75">
      <c r="A751" s="3"/>
      <c r="B751" s="161"/>
      <c r="C751" s="3"/>
      <c r="D751" s="3"/>
      <c r="E751" s="4"/>
      <c r="F751" s="4"/>
      <c r="G751" s="4"/>
      <c r="H751" s="4"/>
      <c r="I751" s="4"/>
      <c r="J751" s="4"/>
      <c r="L751" s="4"/>
    </row>
    <row r="752" spans="1:12" ht="15.75">
      <c r="A752" s="3"/>
      <c r="B752" s="161"/>
      <c r="C752" s="3"/>
      <c r="D752" s="3"/>
      <c r="E752" s="4"/>
      <c r="F752" s="4"/>
      <c r="G752" s="4"/>
      <c r="H752" s="4"/>
      <c r="I752" s="4"/>
      <c r="J752" s="4"/>
      <c r="L752" s="4"/>
    </row>
    <row r="753" spans="1:12" ht="15.75">
      <c r="A753" s="3"/>
      <c r="B753" s="161"/>
      <c r="C753" s="3"/>
      <c r="D753" s="3"/>
      <c r="E753" s="4"/>
      <c r="F753" s="4"/>
      <c r="G753" s="4"/>
      <c r="H753" s="4"/>
      <c r="I753" s="4"/>
      <c r="J753" s="4"/>
      <c r="L753" s="4"/>
    </row>
    <row r="754" spans="1:12" ht="15.75">
      <c r="A754" s="3"/>
      <c r="B754" s="161"/>
      <c r="C754" s="3"/>
      <c r="D754" s="3"/>
      <c r="E754" s="4"/>
      <c r="F754" s="4"/>
      <c r="G754" s="4"/>
      <c r="H754" s="4"/>
      <c r="I754" s="4"/>
      <c r="J754" s="4"/>
      <c r="L754" s="4"/>
    </row>
    <row r="755" spans="1:12" ht="15.75">
      <c r="A755" s="3"/>
      <c r="B755" s="161"/>
      <c r="C755" s="3"/>
      <c r="D755" s="3"/>
      <c r="E755" s="4"/>
      <c r="F755" s="4"/>
      <c r="G755" s="4"/>
      <c r="H755" s="4"/>
      <c r="I755" s="4"/>
      <c r="J755" s="4"/>
      <c r="L755" s="4"/>
    </row>
    <row r="756" spans="1:12" ht="15.75">
      <c r="A756" s="3"/>
      <c r="B756" s="161"/>
      <c r="C756" s="3"/>
      <c r="D756" s="3"/>
      <c r="E756" s="4"/>
      <c r="F756" s="4"/>
      <c r="G756" s="4"/>
      <c r="H756" s="4"/>
      <c r="I756" s="4"/>
      <c r="J756" s="4"/>
      <c r="L756" s="4"/>
    </row>
    <row r="757" spans="1:12" ht="15.75">
      <c r="A757" s="3"/>
      <c r="B757" s="161"/>
      <c r="C757" s="3"/>
      <c r="D757" s="3"/>
      <c r="E757" s="4"/>
      <c r="F757" s="4"/>
      <c r="G757" s="4"/>
      <c r="H757" s="4"/>
      <c r="I757" s="4"/>
      <c r="J757" s="4"/>
      <c r="L757" s="4"/>
    </row>
    <row r="758" spans="1:12" ht="15.75">
      <c r="A758" s="3"/>
      <c r="B758" s="161"/>
      <c r="C758" s="3"/>
      <c r="D758" s="3"/>
      <c r="E758" s="4"/>
      <c r="F758" s="4"/>
      <c r="G758" s="4"/>
      <c r="H758" s="4"/>
      <c r="I758" s="4"/>
      <c r="J758" s="4"/>
      <c r="L758" s="4"/>
    </row>
    <row r="759" spans="1:12" ht="15.75">
      <c r="A759" s="3"/>
      <c r="B759" s="161"/>
      <c r="C759" s="3"/>
      <c r="D759" s="3"/>
      <c r="E759" s="4"/>
      <c r="F759" s="4"/>
      <c r="G759" s="4"/>
      <c r="H759" s="4"/>
      <c r="I759" s="4"/>
      <c r="J759" s="4"/>
      <c r="L759" s="4"/>
    </row>
    <row r="760" spans="1:12" ht="15.75">
      <c r="A760" s="3"/>
      <c r="B760" s="161"/>
      <c r="C760" s="3"/>
      <c r="D760" s="3"/>
      <c r="E760" s="4"/>
      <c r="F760" s="4"/>
      <c r="G760" s="4"/>
      <c r="H760" s="4"/>
      <c r="I760" s="4"/>
      <c r="J760" s="4"/>
      <c r="L760" s="4"/>
    </row>
    <row r="761" spans="1:12" ht="15.75">
      <c r="A761" s="3"/>
      <c r="B761" s="161"/>
      <c r="C761" s="3"/>
      <c r="D761" s="3"/>
      <c r="E761" s="4"/>
      <c r="F761" s="4"/>
      <c r="G761" s="4"/>
      <c r="H761" s="4"/>
      <c r="I761" s="4"/>
      <c r="J761" s="4"/>
      <c r="L761" s="4"/>
    </row>
    <row r="762" spans="1:12" ht="15.75">
      <c r="A762" s="3"/>
      <c r="B762" s="161"/>
      <c r="C762" s="3"/>
      <c r="D762" s="3"/>
      <c r="E762" s="4"/>
      <c r="F762" s="4"/>
      <c r="G762" s="4"/>
      <c r="H762" s="4"/>
      <c r="I762" s="4"/>
      <c r="J762" s="4"/>
      <c r="L762" s="4"/>
    </row>
    <row r="763" spans="1:12" ht="15.75">
      <c r="A763" s="3"/>
      <c r="B763" s="161"/>
      <c r="C763" s="3"/>
      <c r="D763" s="3"/>
      <c r="E763" s="4"/>
      <c r="F763" s="4"/>
      <c r="G763" s="4"/>
      <c r="H763" s="4"/>
      <c r="I763" s="4"/>
      <c r="J763" s="4"/>
      <c r="L763" s="4"/>
    </row>
    <row r="764" spans="1:12" ht="15.75">
      <c r="A764" s="3"/>
      <c r="B764" s="161"/>
      <c r="C764" s="3"/>
      <c r="D764" s="3"/>
      <c r="E764" s="4"/>
      <c r="F764" s="4"/>
      <c r="G764" s="4"/>
      <c r="H764" s="4"/>
      <c r="I764" s="4"/>
      <c r="J764" s="4"/>
      <c r="L764" s="4"/>
    </row>
    <row r="765" spans="1:12" ht="15.75">
      <c r="A765" s="3"/>
      <c r="B765" s="161"/>
      <c r="C765" s="3"/>
      <c r="D765" s="3"/>
      <c r="E765" s="4"/>
      <c r="F765" s="4"/>
      <c r="G765" s="4"/>
      <c r="H765" s="4"/>
      <c r="I765" s="4"/>
      <c r="J765" s="4"/>
      <c r="L765" s="4"/>
    </row>
    <row r="766" spans="1:12" ht="15.75">
      <c r="A766" s="3"/>
      <c r="B766" s="161"/>
      <c r="C766" s="3"/>
      <c r="D766" s="3"/>
      <c r="E766" s="4"/>
      <c r="F766" s="4"/>
      <c r="G766" s="4"/>
      <c r="H766" s="4"/>
      <c r="I766" s="4"/>
      <c r="J766" s="4"/>
      <c r="L766" s="4"/>
    </row>
    <row r="767" spans="1:12" ht="15.75">
      <c r="A767" s="3"/>
      <c r="B767" s="161"/>
      <c r="C767" s="3"/>
      <c r="D767" s="3"/>
      <c r="E767" s="4"/>
      <c r="F767" s="4"/>
      <c r="G767" s="4"/>
      <c r="H767" s="4"/>
      <c r="I767" s="4"/>
      <c r="J767" s="4"/>
      <c r="L767" s="4"/>
    </row>
    <row r="768" spans="1:12" ht="15.75">
      <c r="A768" s="3"/>
      <c r="B768" s="161"/>
      <c r="C768" s="3"/>
      <c r="D768" s="3"/>
      <c r="E768" s="4"/>
      <c r="F768" s="4"/>
      <c r="G768" s="4"/>
      <c r="H768" s="4"/>
      <c r="I768" s="4"/>
      <c r="J768" s="4"/>
      <c r="L768" s="4"/>
    </row>
    <row r="769" spans="1:12" ht="15.75">
      <c r="A769" s="3"/>
      <c r="B769" s="161"/>
      <c r="C769" s="3"/>
      <c r="D769" s="3"/>
      <c r="E769" s="4"/>
      <c r="F769" s="4"/>
      <c r="G769" s="4"/>
      <c r="H769" s="4"/>
      <c r="I769" s="4"/>
      <c r="J769" s="4"/>
      <c r="L769" s="4"/>
    </row>
    <row r="770" spans="1:12" ht="15.75">
      <c r="A770" s="3"/>
      <c r="B770" s="161"/>
      <c r="C770" s="3"/>
      <c r="D770" s="3"/>
      <c r="E770" s="4"/>
      <c r="F770" s="4"/>
      <c r="G770" s="4"/>
      <c r="H770" s="4"/>
      <c r="I770" s="4"/>
      <c r="J770" s="4"/>
      <c r="L770" s="4"/>
    </row>
    <row r="771" spans="1:12" ht="15.75">
      <c r="A771" s="3"/>
      <c r="B771" s="161"/>
      <c r="C771" s="3"/>
      <c r="D771" s="3"/>
      <c r="E771" s="4"/>
      <c r="F771" s="4"/>
      <c r="G771" s="4"/>
      <c r="H771" s="4"/>
      <c r="I771" s="4"/>
      <c r="J771" s="4"/>
      <c r="L771" s="4"/>
    </row>
    <row r="772" spans="1:12" ht="15.75">
      <c r="A772" s="3"/>
      <c r="B772" s="161"/>
      <c r="C772" s="3"/>
      <c r="D772" s="3"/>
      <c r="E772" s="4"/>
      <c r="F772" s="4"/>
      <c r="G772" s="4"/>
      <c r="H772" s="4"/>
      <c r="I772" s="4"/>
      <c r="J772" s="4"/>
      <c r="L772" s="4"/>
    </row>
    <row r="773" spans="1:12" ht="15.75">
      <c r="A773" s="3"/>
      <c r="B773" s="161"/>
      <c r="C773" s="3"/>
      <c r="D773" s="3"/>
      <c r="E773" s="4"/>
      <c r="F773" s="4"/>
      <c r="G773" s="4"/>
      <c r="H773" s="4"/>
      <c r="I773" s="4"/>
      <c r="J773" s="4"/>
      <c r="L773" s="4"/>
    </row>
    <row r="774" spans="1:12" ht="15.75">
      <c r="A774" s="3"/>
      <c r="B774" s="161"/>
      <c r="C774" s="3"/>
      <c r="D774" s="3"/>
      <c r="E774" s="4"/>
      <c r="F774" s="4"/>
      <c r="G774" s="4"/>
      <c r="H774" s="4"/>
      <c r="I774" s="4"/>
      <c r="J774" s="4"/>
      <c r="L774" s="4"/>
    </row>
    <row r="775" spans="1:12" ht="15.75">
      <c r="A775" s="3"/>
      <c r="B775" s="161"/>
      <c r="C775" s="3"/>
      <c r="D775" s="3"/>
      <c r="E775" s="4"/>
      <c r="F775" s="4"/>
      <c r="G775" s="4"/>
      <c r="H775" s="4"/>
      <c r="I775" s="4"/>
      <c r="J775" s="4"/>
      <c r="L775" s="4"/>
    </row>
    <row r="776" spans="1:12" ht="15.75">
      <c r="A776" s="3"/>
      <c r="B776" s="161"/>
      <c r="C776" s="3"/>
      <c r="D776" s="3"/>
      <c r="E776" s="4"/>
      <c r="F776" s="4"/>
      <c r="G776" s="4"/>
      <c r="H776" s="4"/>
      <c r="I776" s="4"/>
      <c r="J776" s="4"/>
      <c r="L776" s="4"/>
    </row>
    <row r="777" spans="1:12" ht="15.75">
      <c r="A777" s="3"/>
      <c r="B777" s="161"/>
      <c r="C777" s="3"/>
      <c r="D777" s="3"/>
      <c r="E777" s="4"/>
      <c r="F777" s="4"/>
      <c r="G777" s="4"/>
      <c r="H777" s="4"/>
      <c r="I777" s="4"/>
      <c r="J777" s="4"/>
      <c r="L777" s="4"/>
    </row>
    <row r="778" spans="1:12" ht="15.75">
      <c r="A778" s="3"/>
      <c r="B778" s="161"/>
      <c r="C778" s="3"/>
      <c r="D778" s="3"/>
      <c r="E778" s="4"/>
      <c r="F778" s="4"/>
      <c r="G778" s="4"/>
      <c r="H778" s="4"/>
      <c r="I778" s="4"/>
      <c r="J778" s="4"/>
      <c r="L778" s="4"/>
    </row>
    <row r="779" spans="1:12" ht="15.75">
      <c r="A779" s="3"/>
      <c r="B779" s="161"/>
      <c r="C779" s="3"/>
      <c r="D779" s="3"/>
      <c r="E779" s="4"/>
      <c r="F779" s="4"/>
      <c r="G779" s="4"/>
      <c r="H779" s="4"/>
      <c r="I779" s="4"/>
      <c r="J779" s="4"/>
      <c r="L779" s="4"/>
    </row>
    <row r="780" spans="1:12" ht="15.75">
      <c r="A780" s="3"/>
      <c r="B780" s="161"/>
      <c r="C780" s="3"/>
      <c r="D780" s="3"/>
      <c r="E780" s="4"/>
      <c r="F780" s="4"/>
      <c r="G780" s="4"/>
      <c r="H780" s="4"/>
      <c r="I780" s="4"/>
      <c r="J780" s="4"/>
      <c r="L780" s="4"/>
    </row>
    <row r="781" spans="1:12" ht="15.75">
      <c r="A781" s="3"/>
      <c r="B781" s="161"/>
      <c r="C781" s="3"/>
      <c r="D781" s="3"/>
      <c r="E781" s="4"/>
      <c r="F781" s="4"/>
      <c r="G781" s="4"/>
      <c r="H781" s="4"/>
      <c r="I781" s="4"/>
      <c r="J781" s="4"/>
      <c r="L781" s="4"/>
    </row>
    <row r="782" spans="1:12" ht="15.75">
      <c r="A782" s="3"/>
      <c r="B782" s="161"/>
      <c r="C782" s="3"/>
      <c r="D782" s="3"/>
      <c r="E782" s="4"/>
      <c r="F782" s="4"/>
      <c r="G782" s="4"/>
      <c r="H782" s="4"/>
      <c r="I782" s="4"/>
      <c r="J782" s="4"/>
      <c r="L782" s="4"/>
    </row>
    <row r="783" spans="1:12" ht="15.75">
      <c r="A783" s="3"/>
      <c r="B783" s="161"/>
      <c r="C783" s="3"/>
      <c r="D783" s="3"/>
      <c r="E783" s="4"/>
      <c r="F783" s="4"/>
      <c r="G783" s="4"/>
      <c r="H783" s="4"/>
      <c r="I783" s="4"/>
      <c r="J783" s="4"/>
      <c r="L783" s="4"/>
    </row>
    <row r="784" spans="1:12" ht="15.75">
      <c r="A784" s="3"/>
      <c r="B784" s="161"/>
      <c r="C784" s="3"/>
      <c r="D784" s="3"/>
      <c r="E784" s="4"/>
      <c r="F784" s="4"/>
      <c r="G784" s="4"/>
      <c r="H784" s="4"/>
      <c r="I784" s="4"/>
      <c r="J784" s="4"/>
      <c r="L784" s="4"/>
    </row>
    <row r="785" spans="1:12" ht="15.75">
      <c r="A785" s="3"/>
      <c r="B785" s="161"/>
      <c r="C785" s="3"/>
      <c r="D785" s="3"/>
      <c r="E785" s="4"/>
      <c r="F785" s="4"/>
      <c r="G785" s="4"/>
      <c r="H785" s="4"/>
      <c r="I785" s="4"/>
      <c r="J785" s="4"/>
      <c r="L785" s="4"/>
    </row>
    <row r="786" spans="1:12" ht="15.75">
      <c r="A786" s="3"/>
      <c r="B786" s="161"/>
      <c r="C786" s="3"/>
      <c r="D786" s="3"/>
      <c r="E786" s="4"/>
      <c r="F786" s="4"/>
      <c r="G786" s="4"/>
      <c r="H786" s="4"/>
      <c r="I786" s="4"/>
      <c r="J786" s="4"/>
      <c r="L786" s="4"/>
    </row>
    <row r="787" spans="1:12" ht="15.75">
      <c r="A787" s="3"/>
      <c r="B787" s="161"/>
      <c r="C787" s="3"/>
      <c r="D787" s="3"/>
      <c r="E787" s="4"/>
      <c r="F787" s="4"/>
      <c r="G787" s="4"/>
      <c r="H787" s="4"/>
      <c r="I787" s="4"/>
      <c r="J787" s="4"/>
      <c r="L787" s="4"/>
    </row>
    <row r="788" spans="1:12" ht="15.75">
      <c r="A788" s="3"/>
      <c r="B788" s="161"/>
      <c r="C788" s="3"/>
      <c r="D788" s="3"/>
      <c r="E788" s="4"/>
      <c r="F788" s="4"/>
      <c r="G788" s="4"/>
      <c r="H788" s="4"/>
      <c r="I788" s="4"/>
      <c r="J788" s="4"/>
      <c r="L788" s="4"/>
    </row>
    <row r="789" spans="1:12" ht="15.75">
      <c r="A789" s="3"/>
      <c r="B789" s="161"/>
      <c r="C789" s="3"/>
      <c r="D789" s="3"/>
      <c r="E789" s="4"/>
      <c r="F789" s="4"/>
      <c r="G789" s="4"/>
      <c r="H789" s="4"/>
      <c r="I789" s="4"/>
      <c r="J789" s="4"/>
      <c r="L789" s="4"/>
    </row>
    <row r="790" spans="1:12" ht="15.75">
      <c r="A790" s="3"/>
      <c r="B790" s="161"/>
      <c r="C790" s="3"/>
      <c r="D790" s="3"/>
      <c r="E790" s="4"/>
      <c r="F790" s="4"/>
      <c r="G790" s="4"/>
      <c r="H790" s="4"/>
      <c r="I790" s="4"/>
      <c r="J790" s="4"/>
      <c r="L790" s="4"/>
    </row>
    <row r="791" spans="1:12" ht="15.75">
      <c r="A791" s="3"/>
      <c r="B791" s="161"/>
      <c r="C791" s="3"/>
      <c r="D791" s="3"/>
      <c r="E791" s="4"/>
      <c r="F791" s="4"/>
      <c r="G791" s="4"/>
      <c r="H791" s="4"/>
      <c r="I791" s="4"/>
      <c r="J791" s="4"/>
      <c r="L791" s="4"/>
    </row>
    <row r="792" spans="1:12" ht="15.75">
      <c r="A792" s="3"/>
      <c r="B792" s="161"/>
      <c r="C792" s="3"/>
      <c r="D792" s="3"/>
      <c r="E792" s="4"/>
      <c r="F792" s="4"/>
      <c r="G792" s="4"/>
      <c r="H792" s="4"/>
      <c r="I792" s="4"/>
      <c r="J792" s="4"/>
      <c r="L792" s="4"/>
    </row>
    <row r="793" spans="1:12" ht="15.75">
      <c r="A793" s="3"/>
      <c r="B793" s="161"/>
      <c r="C793" s="3"/>
      <c r="D793" s="3"/>
      <c r="E793" s="4"/>
      <c r="F793" s="4"/>
      <c r="G793" s="4"/>
      <c r="H793" s="4"/>
      <c r="I793" s="4"/>
      <c r="J793" s="4"/>
      <c r="L793" s="4"/>
    </row>
    <row r="794" spans="1:12" ht="15.75">
      <c r="A794" s="3"/>
      <c r="B794" s="161"/>
      <c r="C794" s="3"/>
      <c r="D794" s="3"/>
      <c r="E794" s="4"/>
      <c r="F794" s="4"/>
      <c r="G794" s="4"/>
      <c r="H794" s="4"/>
      <c r="I794" s="4"/>
      <c r="J794" s="4"/>
      <c r="L794" s="4"/>
    </row>
    <row r="795" spans="1:12" ht="15.75">
      <c r="A795" s="3"/>
      <c r="B795" s="161"/>
      <c r="C795" s="3"/>
      <c r="D795" s="3"/>
      <c r="E795" s="4"/>
      <c r="F795" s="4"/>
      <c r="G795" s="4"/>
      <c r="H795" s="4"/>
      <c r="I795" s="4"/>
      <c r="J795" s="4"/>
      <c r="L795" s="4"/>
    </row>
    <row r="796" spans="1:12" ht="15.75">
      <c r="A796" s="3"/>
      <c r="B796" s="161"/>
      <c r="C796" s="3"/>
      <c r="D796" s="3"/>
      <c r="E796" s="4"/>
      <c r="F796" s="4"/>
      <c r="G796" s="4"/>
      <c r="H796" s="4"/>
      <c r="I796" s="4"/>
      <c r="J796" s="4"/>
      <c r="L796" s="4"/>
    </row>
    <row r="797" spans="1:12" ht="15.75">
      <c r="A797" s="3"/>
      <c r="B797" s="161"/>
      <c r="C797" s="3"/>
      <c r="D797" s="3"/>
      <c r="E797" s="4"/>
      <c r="F797" s="4"/>
      <c r="G797" s="4"/>
      <c r="H797" s="4"/>
      <c r="I797" s="4"/>
      <c r="J797" s="4"/>
      <c r="L797" s="4"/>
    </row>
    <row r="798" spans="1:12" ht="15.75">
      <c r="A798" s="3"/>
      <c r="B798" s="161"/>
      <c r="C798" s="3"/>
      <c r="D798" s="3"/>
      <c r="E798" s="4"/>
      <c r="F798" s="4"/>
      <c r="G798" s="4"/>
      <c r="H798" s="4"/>
      <c r="I798" s="4"/>
      <c r="J798" s="4"/>
      <c r="L798" s="4"/>
    </row>
    <row r="799" spans="1:12" ht="15.75">
      <c r="A799" s="3"/>
      <c r="B799" s="161"/>
      <c r="C799" s="3"/>
      <c r="D799" s="3"/>
      <c r="E799" s="4"/>
      <c r="F799" s="4"/>
      <c r="G799" s="4"/>
      <c r="H799" s="4"/>
      <c r="I799" s="4"/>
      <c r="J799" s="4"/>
      <c r="L799" s="4"/>
    </row>
    <row r="800" spans="1:12" ht="15.75">
      <c r="A800" s="3"/>
      <c r="B800" s="161"/>
      <c r="C800" s="3"/>
      <c r="D800" s="3"/>
      <c r="E800" s="4"/>
      <c r="F800" s="4"/>
      <c r="G800" s="4"/>
      <c r="H800" s="4"/>
      <c r="I800" s="4"/>
      <c r="J800" s="4"/>
      <c r="L800" s="4"/>
    </row>
    <row r="801" spans="1:12" ht="15.75">
      <c r="A801" s="3"/>
      <c r="B801" s="161"/>
      <c r="C801" s="3"/>
      <c r="D801" s="3"/>
      <c r="E801" s="4"/>
      <c r="F801" s="4"/>
      <c r="G801" s="4"/>
      <c r="H801" s="4"/>
      <c r="I801" s="4"/>
      <c r="J801" s="4"/>
      <c r="L801" s="4"/>
    </row>
    <row r="802" spans="1:12" ht="15.75">
      <c r="A802" s="3"/>
      <c r="B802" s="161"/>
      <c r="C802" s="3"/>
      <c r="D802" s="3"/>
      <c r="E802" s="4"/>
      <c r="F802" s="4"/>
      <c r="G802" s="4"/>
      <c r="H802" s="4"/>
      <c r="I802" s="4"/>
      <c r="J802" s="4"/>
      <c r="L802" s="4"/>
    </row>
    <row r="803" spans="1:12" ht="15.75">
      <c r="A803" s="3"/>
      <c r="B803" s="161"/>
      <c r="C803" s="3"/>
      <c r="D803" s="3"/>
      <c r="E803" s="4"/>
      <c r="F803" s="4"/>
      <c r="G803" s="4"/>
      <c r="H803" s="4"/>
      <c r="I803" s="4"/>
      <c r="J803" s="4"/>
      <c r="L803" s="4"/>
    </row>
    <row r="804" spans="1:12" ht="15.75">
      <c r="A804" s="3"/>
      <c r="B804" s="161"/>
      <c r="C804" s="3"/>
      <c r="D804" s="3"/>
      <c r="E804" s="4"/>
      <c r="F804" s="4"/>
      <c r="G804" s="4"/>
      <c r="H804" s="4"/>
      <c r="I804" s="4"/>
      <c r="J804" s="4"/>
      <c r="L804" s="4"/>
    </row>
    <row r="805" spans="1:12" ht="15.75">
      <c r="A805" s="3"/>
      <c r="B805" s="161"/>
      <c r="C805" s="3"/>
      <c r="D805" s="3"/>
      <c r="E805" s="4"/>
      <c r="F805" s="4"/>
      <c r="G805" s="4"/>
      <c r="H805" s="4"/>
      <c r="I805" s="4"/>
      <c r="J805" s="4"/>
      <c r="L805" s="4"/>
    </row>
    <row r="806" spans="1:12" ht="15.75">
      <c r="A806" s="3"/>
      <c r="B806" s="161"/>
      <c r="C806" s="3"/>
      <c r="D806" s="3"/>
      <c r="E806" s="4"/>
      <c r="F806" s="4"/>
      <c r="G806" s="4"/>
      <c r="H806" s="4"/>
      <c r="I806" s="4"/>
      <c r="J806" s="4"/>
      <c r="L806" s="4"/>
    </row>
    <row r="807" spans="1:12" ht="15.75">
      <c r="A807" s="3"/>
      <c r="B807" s="161"/>
      <c r="C807" s="3"/>
      <c r="D807" s="3"/>
      <c r="E807" s="4"/>
      <c r="F807" s="4"/>
      <c r="G807" s="4"/>
      <c r="H807" s="4"/>
      <c r="I807" s="4"/>
      <c r="J807" s="4"/>
      <c r="L807" s="4"/>
    </row>
    <row r="808" spans="1:12" ht="15.75">
      <c r="A808" s="3"/>
      <c r="B808" s="161"/>
      <c r="C808" s="3"/>
      <c r="D808" s="3"/>
      <c r="E808" s="4"/>
      <c r="F808" s="4"/>
      <c r="G808" s="4"/>
      <c r="H808" s="4"/>
      <c r="I808" s="4"/>
      <c r="J808" s="4"/>
      <c r="L808" s="4"/>
    </row>
    <row r="809" spans="1:12" ht="15.75">
      <c r="A809" s="3"/>
      <c r="B809" s="161"/>
      <c r="C809" s="3"/>
      <c r="D809" s="3"/>
      <c r="E809" s="4"/>
      <c r="F809" s="4"/>
      <c r="G809" s="4"/>
      <c r="H809" s="4"/>
      <c r="I809" s="4"/>
      <c r="J809" s="4"/>
      <c r="L809" s="4"/>
    </row>
    <row r="810" spans="1:12" ht="15.75">
      <c r="A810" s="3"/>
      <c r="B810" s="161"/>
      <c r="C810" s="3"/>
      <c r="D810" s="3"/>
      <c r="E810" s="4"/>
      <c r="F810" s="4"/>
      <c r="G810" s="4"/>
      <c r="H810" s="4"/>
      <c r="I810" s="4"/>
      <c r="J810" s="4"/>
      <c r="L810" s="4"/>
    </row>
    <row r="811" spans="1:12" ht="15.75">
      <c r="A811" s="3"/>
      <c r="B811" s="161"/>
      <c r="C811" s="3"/>
      <c r="D811" s="3"/>
      <c r="E811" s="4"/>
      <c r="F811" s="4"/>
      <c r="G811" s="4"/>
      <c r="H811" s="4"/>
      <c r="I811" s="4"/>
      <c r="J811" s="4"/>
      <c r="L811" s="4"/>
    </row>
    <row r="812" spans="1:12" ht="15.75">
      <c r="A812" s="3"/>
      <c r="B812" s="161"/>
      <c r="C812" s="3"/>
      <c r="D812" s="3"/>
      <c r="E812" s="4"/>
      <c r="F812" s="4"/>
      <c r="G812" s="4"/>
      <c r="H812" s="4"/>
      <c r="I812" s="4"/>
      <c r="J812" s="4"/>
      <c r="L812" s="4"/>
    </row>
    <row r="813" spans="1:12" ht="15.75">
      <c r="A813" s="3"/>
      <c r="B813" s="161"/>
      <c r="C813" s="3"/>
      <c r="D813" s="3"/>
      <c r="E813" s="4"/>
      <c r="F813" s="4"/>
      <c r="G813" s="4"/>
      <c r="H813" s="4"/>
      <c r="I813" s="4"/>
      <c r="J813" s="4"/>
      <c r="L813" s="4"/>
    </row>
    <row r="814" spans="1:12" ht="15.75">
      <c r="A814" s="3"/>
      <c r="B814" s="161"/>
      <c r="C814" s="3"/>
      <c r="D814" s="3"/>
      <c r="E814" s="4"/>
      <c r="F814" s="4"/>
      <c r="G814" s="4"/>
      <c r="H814" s="4"/>
      <c r="I814" s="4"/>
      <c r="J814" s="4"/>
      <c r="L814" s="4"/>
    </row>
    <row r="815" spans="1:12" ht="15.75">
      <c r="A815" s="3"/>
      <c r="B815" s="161"/>
      <c r="C815" s="3"/>
      <c r="D815" s="3"/>
      <c r="E815" s="4"/>
      <c r="F815" s="4"/>
      <c r="G815" s="4"/>
      <c r="H815" s="4"/>
      <c r="I815" s="4"/>
      <c r="J815" s="4"/>
      <c r="L815" s="4"/>
    </row>
    <row r="816" spans="1:12" ht="15.75">
      <c r="A816" s="3"/>
      <c r="B816" s="161"/>
      <c r="C816" s="3"/>
      <c r="D816" s="3"/>
      <c r="E816" s="4"/>
      <c r="F816" s="4"/>
      <c r="G816" s="4"/>
      <c r="H816" s="4"/>
      <c r="I816" s="4"/>
      <c r="J816" s="4"/>
      <c r="L816" s="4"/>
    </row>
    <row r="817" spans="1:12" ht="15.75">
      <c r="A817" s="3"/>
      <c r="B817" s="161"/>
      <c r="C817" s="3"/>
      <c r="D817" s="3"/>
      <c r="E817" s="4"/>
      <c r="F817" s="4"/>
      <c r="G817" s="4"/>
      <c r="H817" s="4"/>
      <c r="I817" s="4"/>
      <c r="J817" s="4"/>
      <c r="L817" s="4"/>
    </row>
    <row r="818" spans="1:12" ht="15.75">
      <c r="A818" s="3"/>
      <c r="B818" s="161"/>
      <c r="C818" s="3"/>
      <c r="D818" s="3"/>
      <c r="E818" s="4"/>
      <c r="F818" s="4"/>
      <c r="G818" s="4"/>
      <c r="H818" s="4"/>
      <c r="I818" s="4"/>
      <c r="J818" s="4"/>
      <c r="L818" s="4"/>
    </row>
    <row r="819" spans="1:12" ht="15.75">
      <c r="A819" s="3"/>
      <c r="B819" s="161"/>
      <c r="C819" s="3"/>
      <c r="D819" s="3"/>
      <c r="E819" s="4"/>
      <c r="F819" s="4"/>
      <c r="G819" s="4"/>
      <c r="H819" s="4"/>
      <c r="I819" s="4"/>
      <c r="J819" s="4"/>
      <c r="L819" s="4"/>
    </row>
    <row r="820" spans="1:12" ht="15.75">
      <c r="A820" s="3"/>
      <c r="B820" s="161"/>
      <c r="C820" s="3"/>
      <c r="D820" s="3"/>
      <c r="E820" s="4"/>
      <c r="F820" s="4"/>
      <c r="G820" s="4"/>
      <c r="H820" s="4"/>
      <c r="I820" s="4"/>
      <c r="J820" s="4"/>
      <c r="L820" s="4"/>
    </row>
    <row r="821" spans="1:12" ht="15.75">
      <c r="A821" s="3"/>
      <c r="B821" s="161"/>
      <c r="C821" s="3"/>
      <c r="D821" s="3"/>
      <c r="E821" s="4"/>
      <c r="F821" s="4"/>
      <c r="G821" s="4"/>
      <c r="H821" s="4"/>
      <c r="I821" s="4"/>
      <c r="J821" s="4"/>
      <c r="L821" s="4"/>
    </row>
    <row r="822" spans="1:12" ht="15.75">
      <c r="A822" s="3"/>
      <c r="B822" s="161"/>
      <c r="C822" s="3"/>
      <c r="D822" s="3"/>
      <c r="E822" s="4"/>
      <c r="F822" s="4"/>
      <c r="G822" s="4"/>
      <c r="H822" s="4"/>
      <c r="I822" s="4"/>
      <c r="J822" s="4"/>
      <c r="L822" s="4"/>
    </row>
    <row r="823" spans="1:12" ht="15.75">
      <c r="A823" s="3"/>
      <c r="B823" s="161"/>
      <c r="C823" s="3"/>
      <c r="D823" s="3"/>
      <c r="E823" s="4"/>
      <c r="F823" s="4"/>
      <c r="G823" s="4"/>
      <c r="H823" s="4"/>
      <c r="I823" s="4"/>
      <c r="J823" s="4"/>
      <c r="L823" s="4"/>
    </row>
    <row r="824" spans="1:12" ht="15.75">
      <c r="A824" s="3"/>
      <c r="B824" s="161"/>
      <c r="C824" s="3"/>
      <c r="D824" s="3"/>
      <c r="E824" s="4"/>
      <c r="F824" s="4"/>
      <c r="G824" s="4"/>
      <c r="H824" s="4"/>
      <c r="I824" s="4"/>
      <c r="J824" s="4"/>
      <c r="L824" s="4"/>
    </row>
    <row r="825" spans="1:12" ht="15.75">
      <c r="A825" s="3"/>
      <c r="B825" s="161"/>
      <c r="C825" s="3"/>
      <c r="D825" s="3"/>
      <c r="E825" s="4"/>
      <c r="F825" s="4"/>
      <c r="G825" s="4"/>
      <c r="H825" s="4"/>
      <c r="I825" s="4"/>
      <c r="J825" s="4"/>
      <c r="L825" s="4"/>
    </row>
    <row r="826" spans="1:12" ht="15.75">
      <c r="A826" s="3"/>
      <c r="B826" s="161"/>
      <c r="C826" s="3"/>
      <c r="D826" s="3"/>
      <c r="E826" s="4"/>
      <c r="F826" s="4"/>
      <c r="G826" s="4"/>
      <c r="H826" s="4"/>
      <c r="I826" s="4"/>
      <c r="J826" s="4"/>
      <c r="L826" s="4"/>
    </row>
    <row r="827" spans="1:12" ht="15.75">
      <c r="A827" s="3"/>
      <c r="B827" s="161"/>
      <c r="C827" s="3"/>
      <c r="D827" s="3"/>
      <c r="E827" s="4"/>
      <c r="F827" s="4"/>
      <c r="G827" s="4"/>
      <c r="H827" s="4"/>
      <c r="I827" s="4"/>
      <c r="J827" s="4"/>
      <c r="L827" s="4"/>
    </row>
    <row r="828" spans="1:12" ht="15.75">
      <c r="A828" s="3"/>
      <c r="B828" s="161"/>
      <c r="C828" s="3"/>
      <c r="D828" s="3"/>
      <c r="E828" s="4"/>
      <c r="F828" s="4"/>
      <c r="G828" s="4"/>
      <c r="H828" s="4"/>
      <c r="I828" s="4"/>
      <c r="J828" s="4"/>
      <c r="L828" s="4"/>
    </row>
    <row r="829" spans="1:12" ht="15.75">
      <c r="A829" s="3"/>
      <c r="B829" s="161"/>
      <c r="C829" s="3"/>
      <c r="D829" s="3"/>
      <c r="E829" s="4"/>
      <c r="F829" s="4"/>
      <c r="G829" s="4"/>
      <c r="H829" s="4"/>
      <c r="I829" s="4"/>
      <c r="J829" s="4"/>
      <c r="L829" s="4"/>
    </row>
    <row r="830" spans="1:12" ht="15.75">
      <c r="A830" s="3"/>
      <c r="B830" s="161"/>
      <c r="C830" s="3"/>
      <c r="D830" s="3"/>
      <c r="E830" s="4"/>
      <c r="F830" s="4"/>
      <c r="G830" s="4"/>
      <c r="H830" s="4"/>
      <c r="I830" s="4"/>
      <c r="J830" s="4"/>
      <c r="L830" s="4"/>
    </row>
    <row r="831" spans="1:12" ht="15.75">
      <c r="A831" s="3"/>
      <c r="B831" s="161"/>
      <c r="C831" s="3"/>
      <c r="D831" s="3"/>
      <c r="E831" s="4"/>
      <c r="F831" s="4"/>
      <c r="G831" s="4"/>
      <c r="H831" s="4"/>
      <c r="I831" s="4"/>
      <c r="J831" s="4"/>
      <c r="L831" s="4"/>
    </row>
    <row r="832" spans="1:12" ht="15.75">
      <c r="A832" s="3"/>
      <c r="B832" s="161"/>
      <c r="C832" s="3"/>
      <c r="D832" s="3"/>
      <c r="E832" s="4"/>
      <c r="F832" s="4"/>
      <c r="G832" s="4"/>
      <c r="H832" s="4"/>
      <c r="I832" s="4"/>
      <c r="J832" s="4"/>
      <c r="L832" s="4"/>
    </row>
    <row r="833" spans="1:12" ht="15.75">
      <c r="A833" s="3"/>
      <c r="B833" s="161"/>
      <c r="C833" s="3"/>
      <c r="D833" s="3"/>
      <c r="E833" s="4"/>
      <c r="F833" s="4"/>
      <c r="G833" s="4"/>
      <c r="H833" s="4"/>
      <c r="I833" s="4"/>
      <c r="J833" s="4"/>
      <c r="L833" s="4"/>
    </row>
    <row r="834" spans="1:12" ht="15.75">
      <c r="A834" s="3"/>
      <c r="B834" s="161"/>
      <c r="C834" s="3"/>
      <c r="D834" s="3"/>
      <c r="E834" s="4"/>
      <c r="F834" s="4"/>
      <c r="G834" s="4"/>
      <c r="H834" s="4"/>
      <c r="I834" s="4"/>
      <c r="J834" s="4"/>
      <c r="L834" s="4"/>
    </row>
    <row r="835" spans="1:12" ht="15.75">
      <c r="A835" s="3"/>
      <c r="B835" s="161"/>
      <c r="C835" s="3"/>
      <c r="D835" s="3"/>
      <c r="E835" s="4"/>
      <c r="F835" s="4"/>
      <c r="G835" s="4"/>
      <c r="H835" s="4"/>
      <c r="I835" s="4"/>
      <c r="J835" s="4"/>
      <c r="L835" s="4"/>
    </row>
    <row r="836" spans="1:12" ht="15.75">
      <c r="A836" s="3"/>
      <c r="B836" s="161"/>
      <c r="C836" s="3"/>
      <c r="D836" s="3"/>
      <c r="E836" s="4"/>
      <c r="F836" s="4"/>
      <c r="G836" s="4"/>
      <c r="H836" s="4"/>
      <c r="I836" s="4"/>
      <c r="J836" s="4"/>
      <c r="L836" s="4"/>
    </row>
    <row r="837" spans="1:12" ht="15.75">
      <c r="A837" s="3"/>
      <c r="B837" s="161"/>
      <c r="C837" s="3"/>
      <c r="D837" s="3"/>
      <c r="E837" s="4"/>
      <c r="F837" s="4"/>
      <c r="G837" s="4"/>
      <c r="H837" s="4"/>
      <c r="I837" s="4"/>
      <c r="J837" s="4"/>
      <c r="L837" s="4"/>
    </row>
    <row r="838" spans="1:12" ht="15.75">
      <c r="A838" s="3"/>
      <c r="B838" s="161"/>
      <c r="C838" s="3"/>
      <c r="D838" s="3"/>
      <c r="E838" s="4"/>
      <c r="F838" s="4"/>
      <c r="G838" s="4"/>
      <c r="H838" s="4"/>
      <c r="I838" s="4"/>
      <c r="J838" s="4"/>
      <c r="L838" s="4"/>
    </row>
    <row r="839" spans="1:12" ht="15.75">
      <c r="A839" s="3"/>
      <c r="B839" s="161"/>
      <c r="C839" s="3"/>
      <c r="D839" s="3"/>
      <c r="E839" s="4"/>
      <c r="F839" s="4"/>
      <c r="G839" s="4"/>
      <c r="H839" s="4"/>
      <c r="I839" s="4"/>
      <c r="J839" s="4"/>
      <c r="L839" s="4"/>
    </row>
    <row r="840" spans="1:12" ht="15.75">
      <c r="A840" s="3"/>
      <c r="B840" s="161"/>
      <c r="C840" s="3"/>
      <c r="D840" s="3"/>
      <c r="E840" s="4"/>
      <c r="F840" s="4"/>
      <c r="G840" s="4"/>
      <c r="H840" s="4"/>
      <c r="I840" s="4"/>
      <c r="J840" s="4"/>
      <c r="L840" s="4"/>
    </row>
    <row r="841" spans="1:12" ht="15.75">
      <c r="A841" s="3"/>
      <c r="B841" s="161"/>
      <c r="C841" s="3"/>
      <c r="D841" s="3"/>
      <c r="E841" s="4"/>
      <c r="F841" s="4"/>
      <c r="G841" s="4"/>
      <c r="H841" s="4"/>
      <c r="I841" s="4"/>
      <c r="J841" s="4"/>
      <c r="L841" s="4"/>
    </row>
    <row r="842" spans="1:12" ht="15.75">
      <c r="A842" s="3"/>
      <c r="B842" s="161"/>
      <c r="C842" s="3"/>
      <c r="D842" s="3"/>
      <c r="E842" s="4"/>
      <c r="F842" s="4"/>
      <c r="G842" s="4"/>
      <c r="H842" s="4"/>
      <c r="I842" s="4"/>
      <c r="J842" s="4"/>
      <c r="L842" s="4"/>
    </row>
    <row r="843" spans="1:12" ht="15.75">
      <c r="A843" s="3"/>
      <c r="B843" s="161"/>
      <c r="C843" s="3"/>
      <c r="D843" s="3"/>
      <c r="E843" s="4"/>
      <c r="F843" s="4"/>
      <c r="G843" s="4"/>
      <c r="H843" s="4"/>
      <c r="I843" s="4"/>
      <c r="J843" s="4"/>
      <c r="L843" s="4"/>
    </row>
    <row r="844" spans="1:12" ht="15.75">
      <c r="A844" s="3"/>
      <c r="B844" s="161"/>
      <c r="C844" s="3"/>
      <c r="D844" s="3"/>
      <c r="E844" s="4"/>
      <c r="F844" s="4"/>
      <c r="G844" s="4"/>
      <c r="H844" s="4"/>
      <c r="I844" s="4"/>
      <c r="J844" s="4"/>
      <c r="L844" s="4"/>
    </row>
    <row r="845" spans="1:12" ht="15.75">
      <c r="A845" s="3"/>
      <c r="B845" s="161"/>
      <c r="C845" s="3"/>
      <c r="D845" s="3"/>
      <c r="E845" s="4"/>
      <c r="F845" s="4"/>
      <c r="G845" s="4"/>
      <c r="H845" s="4"/>
      <c r="I845" s="4"/>
      <c r="J845" s="4"/>
      <c r="L845" s="4"/>
    </row>
    <row r="846" spans="1:12" ht="15.75">
      <c r="A846" s="3"/>
      <c r="B846" s="161"/>
      <c r="C846" s="3"/>
      <c r="D846" s="3"/>
      <c r="E846" s="4"/>
      <c r="F846" s="4"/>
      <c r="G846" s="4"/>
      <c r="H846" s="4"/>
      <c r="I846" s="4"/>
      <c r="J846" s="4"/>
      <c r="L846" s="4"/>
    </row>
    <row r="847" spans="1:12" ht="15.75">
      <c r="A847" s="3"/>
      <c r="B847" s="161"/>
      <c r="C847" s="3"/>
      <c r="D847" s="3"/>
      <c r="E847" s="4"/>
      <c r="F847" s="4"/>
      <c r="G847" s="4"/>
      <c r="H847" s="4"/>
      <c r="I847" s="4"/>
      <c r="J847" s="4"/>
      <c r="L847" s="4"/>
    </row>
    <row r="848" spans="1:12" ht="15.75">
      <c r="A848" s="3"/>
      <c r="B848" s="161"/>
      <c r="C848" s="3"/>
      <c r="D848" s="3"/>
      <c r="E848" s="4"/>
      <c r="F848" s="4"/>
      <c r="G848" s="4"/>
      <c r="H848" s="4"/>
      <c r="I848" s="4"/>
      <c r="J848" s="4"/>
      <c r="L848" s="4"/>
    </row>
    <row r="849" spans="1:12" ht="15.75">
      <c r="A849" s="3"/>
      <c r="B849" s="161"/>
      <c r="C849" s="3"/>
      <c r="D849" s="3"/>
      <c r="E849" s="4"/>
      <c r="F849" s="4"/>
      <c r="G849" s="4"/>
      <c r="H849" s="4"/>
      <c r="I849" s="4"/>
      <c r="J849" s="4"/>
      <c r="L849" s="4"/>
    </row>
    <row r="850" spans="1:12" ht="15.75">
      <c r="A850" s="3"/>
      <c r="B850" s="161"/>
      <c r="C850" s="3"/>
      <c r="D850" s="3"/>
      <c r="E850" s="4"/>
      <c r="F850" s="4"/>
      <c r="G850" s="4"/>
      <c r="H850" s="4"/>
      <c r="I850" s="4"/>
      <c r="J850" s="4"/>
      <c r="L850" s="4"/>
    </row>
    <row r="851" spans="1:12" ht="15.75">
      <c r="A851" s="3"/>
      <c r="B851" s="161"/>
      <c r="C851" s="3"/>
      <c r="D851" s="3"/>
      <c r="E851" s="4"/>
      <c r="F851" s="4"/>
      <c r="G851" s="4"/>
      <c r="H851" s="4"/>
      <c r="I851" s="4"/>
      <c r="J851" s="4"/>
      <c r="L851" s="4"/>
    </row>
    <row r="852" spans="1:12" ht="15.75">
      <c r="A852" s="3"/>
      <c r="B852" s="161"/>
      <c r="C852" s="3"/>
      <c r="D852" s="3"/>
      <c r="E852" s="4"/>
      <c r="F852" s="4"/>
      <c r="G852" s="4"/>
      <c r="H852" s="4"/>
      <c r="I852" s="4"/>
      <c r="J852" s="4"/>
      <c r="L852" s="4"/>
    </row>
    <row r="853" spans="1:12" ht="15.75">
      <c r="A853" s="3"/>
      <c r="B853" s="161"/>
      <c r="C853" s="3"/>
      <c r="D853" s="3"/>
      <c r="E853" s="4"/>
      <c r="F853" s="4"/>
      <c r="G853" s="4"/>
      <c r="H853" s="4"/>
      <c r="I853" s="4"/>
      <c r="J853" s="4"/>
      <c r="L853" s="4"/>
    </row>
    <row r="854" spans="1:12" ht="15.75">
      <c r="A854" s="3"/>
      <c r="B854" s="161"/>
      <c r="C854" s="3"/>
      <c r="D854" s="3"/>
      <c r="E854" s="4"/>
      <c r="F854" s="4"/>
      <c r="G854" s="4"/>
      <c r="H854" s="4"/>
      <c r="I854" s="4"/>
      <c r="J854" s="4"/>
      <c r="L854" s="4"/>
    </row>
    <row r="855" spans="1:12" ht="15.75">
      <c r="A855" s="3"/>
      <c r="B855" s="161"/>
      <c r="C855" s="3"/>
      <c r="D855" s="3"/>
      <c r="E855" s="4"/>
      <c r="F855" s="4"/>
      <c r="G855" s="4"/>
      <c r="H855" s="4"/>
      <c r="I855" s="4"/>
      <c r="J855" s="4"/>
      <c r="L855" s="4"/>
    </row>
    <row r="856" spans="1:12" ht="15.75">
      <c r="A856" s="3"/>
      <c r="B856" s="161"/>
      <c r="C856" s="3"/>
      <c r="D856" s="3"/>
      <c r="E856" s="4"/>
      <c r="F856" s="4"/>
      <c r="G856" s="4"/>
      <c r="H856" s="4"/>
      <c r="I856" s="4"/>
      <c r="J856" s="4"/>
      <c r="L856" s="4"/>
    </row>
    <row r="857" spans="1:12" ht="15.75">
      <c r="A857" s="3"/>
      <c r="B857" s="161"/>
      <c r="C857" s="3"/>
      <c r="D857" s="3"/>
      <c r="E857" s="4"/>
      <c r="F857" s="4"/>
      <c r="G857" s="4"/>
      <c r="H857" s="4"/>
      <c r="I857" s="4"/>
      <c r="J857" s="4"/>
      <c r="L857" s="4"/>
    </row>
    <row r="858" spans="1:12" ht="15.75">
      <c r="A858" s="3"/>
      <c r="B858" s="161"/>
      <c r="C858" s="3"/>
      <c r="D858" s="3"/>
      <c r="E858" s="4"/>
      <c r="F858" s="4"/>
      <c r="G858" s="4"/>
      <c r="H858" s="4"/>
      <c r="I858" s="4"/>
      <c r="J858" s="4"/>
      <c r="L858" s="4"/>
    </row>
    <row r="859" spans="1:12" ht="15.75">
      <c r="A859" s="3"/>
      <c r="B859" s="161"/>
      <c r="C859" s="3"/>
      <c r="D859" s="3"/>
      <c r="E859" s="4"/>
      <c r="F859" s="4"/>
      <c r="G859" s="4"/>
      <c r="H859" s="4"/>
      <c r="I859" s="4"/>
      <c r="J859" s="4"/>
      <c r="L859" s="4"/>
    </row>
    <row r="860" spans="1:12" ht="15.75">
      <c r="A860" s="3"/>
      <c r="B860" s="161"/>
      <c r="C860" s="3"/>
      <c r="D860" s="3"/>
      <c r="E860" s="4"/>
      <c r="F860" s="4"/>
      <c r="G860" s="4"/>
      <c r="H860" s="4"/>
      <c r="I860" s="4"/>
      <c r="J860" s="4"/>
      <c r="L860" s="4"/>
    </row>
    <row r="861" spans="1:12" ht="15.75">
      <c r="A861" s="3"/>
      <c r="B861" s="161"/>
      <c r="C861" s="3"/>
      <c r="D861" s="3"/>
      <c r="E861" s="4"/>
      <c r="F861" s="4"/>
      <c r="G861" s="4"/>
      <c r="H861" s="4"/>
      <c r="I861" s="4"/>
      <c r="J861" s="4"/>
      <c r="L861" s="4"/>
    </row>
    <row r="862" spans="1:12" ht="15.75">
      <c r="A862" s="3"/>
      <c r="B862" s="161"/>
      <c r="C862" s="3"/>
      <c r="D862" s="3"/>
      <c r="E862" s="4"/>
      <c r="F862" s="4"/>
      <c r="G862" s="4"/>
      <c r="H862" s="4"/>
      <c r="I862" s="4"/>
      <c r="J862" s="4"/>
      <c r="L862" s="4"/>
    </row>
    <row r="863" spans="1:12" ht="15.75">
      <c r="A863" s="3"/>
      <c r="B863" s="161"/>
      <c r="C863" s="3"/>
      <c r="D863" s="3"/>
      <c r="E863" s="4"/>
      <c r="F863" s="4"/>
      <c r="G863" s="4"/>
      <c r="H863" s="4"/>
      <c r="I863" s="4"/>
      <c r="J863" s="4"/>
      <c r="L863" s="4"/>
    </row>
    <row r="864" spans="1:12" ht="15.75">
      <c r="A864" s="3"/>
      <c r="B864" s="161"/>
      <c r="C864" s="3"/>
      <c r="D864" s="3"/>
      <c r="E864" s="4"/>
      <c r="F864" s="4"/>
      <c r="G864" s="4"/>
      <c r="H864" s="4"/>
      <c r="I864" s="4"/>
      <c r="J864" s="4"/>
      <c r="L864" s="4"/>
    </row>
    <row r="865" spans="1:12" ht="15.75">
      <c r="A865" s="3"/>
      <c r="B865" s="161"/>
      <c r="C865" s="3"/>
      <c r="D865" s="3"/>
      <c r="E865" s="4"/>
      <c r="F865" s="4"/>
      <c r="G865" s="4"/>
      <c r="H865" s="4"/>
      <c r="I865" s="4"/>
      <c r="J865" s="4"/>
      <c r="L865" s="4"/>
    </row>
    <row r="866" spans="1:12" ht="15.75">
      <c r="A866" s="3"/>
      <c r="B866" s="161"/>
      <c r="C866" s="3"/>
      <c r="D866" s="3"/>
      <c r="E866" s="4"/>
      <c r="F866" s="4"/>
      <c r="G866" s="4"/>
      <c r="H866" s="4"/>
      <c r="I866" s="4"/>
      <c r="J866" s="4"/>
      <c r="L866" s="4"/>
    </row>
    <row r="867" spans="1:12" ht="15.75">
      <c r="A867" s="3"/>
      <c r="B867" s="161"/>
      <c r="C867" s="3"/>
      <c r="D867" s="3"/>
      <c r="E867" s="4"/>
      <c r="F867" s="4"/>
      <c r="G867" s="4"/>
      <c r="H867" s="4"/>
      <c r="I867" s="4"/>
      <c r="J867" s="4"/>
      <c r="L867" s="4"/>
    </row>
    <row r="868" spans="1:12" ht="15.75">
      <c r="A868" s="3"/>
      <c r="B868" s="161"/>
      <c r="C868" s="3"/>
      <c r="D868" s="3"/>
      <c r="E868" s="4"/>
      <c r="F868" s="4"/>
      <c r="G868" s="4"/>
      <c r="H868" s="4"/>
      <c r="I868" s="4"/>
      <c r="J868" s="4"/>
      <c r="L868" s="4"/>
    </row>
    <row r="869" spans="1:12" ht="15.75">
      <c r="A869" s="3"/>
      <c r="B869" s="161"/>
      <c r="C869" s="3"/>
      <c r="D869" s="3"/>
      <c r="E869" s="4"/>
      <c r="F869" s="4"/>
      <c r="G869" s="4"/>
      <c r="H869" s="4"/>
      <c r="I869" s="4"/>
      <c r="J869" s="4"/>
      <c r="L869" s="4"/>
    </row>
    <row r="870" spans="1:12" ht="15.75">
      <c r="A870" s="3"/>
      <c r="B870" s="161"/>
      <c r="C870" s="3"/>
      <c r="D870" s="3"/>
      <c r="E870" s="4"/>
      <c r="F870" s="4"/>
      <c r="G870" s="4"/>
      <c r="H870" s="4"/>
      <c r="I870" s="4"/>
      <c r="J870" s="4"/>
      <c r="L870" s="4"/>
    </row>
    <row r="871" spans="1:12" ht="15.75">
      <c r="A871" s="3"/>
      <c r="B871" s="161"/>
      <c r="C871" s="3"/>
      <c r="D871" s="3"/>
      <c r="E871" s="4"/>
      <c r="F871" s="4"/>
      <c r="G871" s="4"/>
      <c r="H871" s="4"/>
      <c r="I871" s="4"/>
      <c r="J871" s="4"/>
      <c r="L871" s="4"/>
    </row>
    <row r="872" spans="1:12" ht="15.75">
      <c r="A872" s="3"/>
      <c r="B872" s="161"/>
      <c r="C872" s="3"/>
      <c r="D872" s="3"/>
      <c r="E872" s="4"/>
      <c r="F872" s="4"/>
      <c r="G872" s="4"/>
      <c r="H872" s="4"/>
      <c r="I872" s="4"/>
      <c r="J872" s="4"/>
      <c r="L872" s="4"/>
    </row>
    <row r="873" spans="1:12" ht="15.75">
      <c r="A873" s="3"/>
      <c r="B873" s="161"/>
      <c r="C873" s="3"/>
      <c r="D873" s="3"/>
      <c r="E873" s="4"/>
      <c r="F873" s="4"/>
      <c r="G873" s="4"/>
      <c r="H873" s="4"/>
      <c r="I873" s="4"/>
      <c r="J873" s="4"/>
      <c r="L873" s="4"/>
    </row>
    <row r="874" spans="1:12" ht="15.75">
      <c r="A874" s="3"/>
      <c r="B874" s="161"/>
      <c r="C874" s="3"/>
      <c r="D874" s="3"/>
      <c r="E874" s="4"/>
      <c r="F874" s="4"/>
      <c r="G874" s="4"/>
      <c r="H874" s="4"/>
      <c r="I874" s="4"/>
      <c r="J874" s="4"/>
      <c r="L874" s="4"/>
    </row>
    <row r="875" spans="1:12" ht="15.75">
      <c r="A875" s="3"/>
      <c r="B875" s="161"/>
      <c r="C875" s="3"/>
      <c r="D875" s="3"/>
      <c r="E875" s="4"/>
      <c r="F875" s="4"/>
      <c r="G875" s="4"/>
      <c r="H875" s="4"/>
      <c r="I875" s="4"/>
      <c r="J875" s="4"/>
      <c r="L875" s="4"/>
    </row>
    <row r="876" spans="1:12" ht="15.75">
      <c r="A876" s="3"/>
      <c r="B876" s="161"/>
      <c r="C876" s="3"/>
      <c r="D876" s="3"/>
      <c r="E876" s="4"/>
      <c r="F876" s="4"/>
      <c r="G876" s="4"/>
      <c r="H876" s="4"/>
      <c r="I876" s="4"/>
      <c r="J876" s="4"/>
      <c r="L876" s="4"/>
    </row>
    <row r="877" spans="1:12" ht="15.75">
      <c r="A877" s="3"/>
      <c r="B877" s="161"/>
      <c r="C877" s="3"/>
      <c r="D877" s="3"/>
      <c r="E877" s="4"/>
      <c r="F877" s="4"/>
      <c r="G877" s="4"/>
      <c r="H877" s="4"/>
      <c r="I877" s="4"/>
      <c r="J877" s="4"/>
      <c r="L877" s="4"/>
    </row>
    <row r="878" spans="1:12" ht="15.75">
      <c r="A878" s="3"/>
      <c r="B878" s="161"/>
      <c r="C878" s="3"/>
      <c r="D878" s="3"/>
      <c r="E878" s="4"/>
      <c r="F878" s="4"/>
      <c r="G878" s="4"/>
      <c r="H878" s="4"/>
      <c r="I878" s="4"/>
      <c r="J878" s="4"/>
      <c r="L878" s="4"/>
    </row>
    <row r="879" spans="1:12" ht="15.75">
      <c r="A879" s="3"/>
      <c r="B879" s="161"/>
      <c r="C879" s="3"/>
      <c r="D879" s="3"/>
      <c r="E879" s="4"/>
      <c r="F879" s="4"/>
      <c r="G879" s="4"/>
      <c r="H879" s="4"/>
      <c r="I879" s="4"/>
      <c r="J879" s="4"/>
      <c r="L879" s="4"/>
    </row>
    <row r="880" spans="1:12" ht="15.75">
      <c r="A880" s="3"/>
      <c r="B880" s="161"/>
      <c r="C880" s="3"/>
      <c r="D880" s="3"/>
      <c r="E880" s="4"/>
      <c r="F880" s="4"/>
      <c r="G880" s="4"/>
      <c r="H880" s="4"/>
      <c r="I880" s="4"/>
      <c r="J880" s="4"/>
      <c r="L880" s="4"/>
    </row>
    <row r="881" spans="1:12" ht="15.75">
      <c r="A881" s="3"/>
      <c r="B881" s="161"/>
      <c r="C881" s="3"/>
      <c r="D881" s="3"/>
      <c r="E881" s="4"/>
      <c r="F881" s="4"/>
      <c r="G881" s="4"/>
      <c r="H881" s="4"/>
      <c r="I881" s="4"/>
      <c r="J881" s="4"/>
      <c r="L881" s="4"/>
    </row>
    <row r="882" spans="1:12" ht="15.75">
      <c r="A882" s="3"/>
      <c r="B882" s="161"/>
      <c r="C882" s="3"/>
      <c r="D882" s="3"/>
      <c r="E882" s="4"/>
      <c r="F882" s="4"/>
      <c r="G882" s="4"/>
      <c r="H882" s="4"/>
      <c r="I882" s="4"/>
      <c r="J882" s="4"/>
      <c r="L882" s="4"/>
    </row>
    <row r="883" spans="1:12" ht="15.75">
      <c r="A883" s="3"/>
      <c r="B883" s="161"/>
      <c r="C883" s="3"/>
      <c r="D883" s="3"/>
      <c r="E883" s="4"/>
      <c r="F883" s="4"/>
      <c r="G883" s="4"/>
      <c r="H883" s="4"/>
      <c r="I883" s="4"/>
      <c r="J883" s="4"/>
      <c r="L883" s="4"/>
    </row>
    <row r="884" spans="1:12" ht="15.75">
      <c r="A884" s="3"/>
      <c r="B884" s="161"/>
      <c r="C884" s="3"/>
      <c r="D884" s="3"/>
      <c r="E884" s="4"/>
      <c r="F884" s="4"/>
      <c r="G884" s="4"/>
      <c r="H884" s="4"/>
      <c r="I884" s="4"/>
      <c r="J884" s="4"/>
      <c r="L884" s="4"/>
    </row>
    <row r="885" spans="1:12" ht="15.75">
      <c r="A885" s="3"/>
      <c r="B885" s="161"/>
      <c r="C885" s="3"/>
      <c r="D885" s="3"/>
      <c r="E885" s="4"/>
      <c r="F885" s="4"/>
      <c r="G885" s="4"/>
      <c r="H885" s="4"/>
      <c r="I885" s="4"/>
      <c r="J885" s="4"/>
      <c r="L885" s="4"/>
    </row>
    <row r="886" spans="1:12" ht="15.75">
      <c r="A886" s="3"/>
      <c r="B886" s="161"/>
      <c r="C886" s="3"/>
      <c r="D886" s="3"/>
      <c r="E886" s="4"/>
      <c r="F886" s="4"/>
      <c r="G886" s="4"/>
      <c r="H886" s="4"/>
      <c r="I886" s="4"/>
      <c r="J886" s="4"/>
      <c r="L886" s="4"/>
    </row>
    <row r="887" spans="1:12" ht="15.75">
      <c r="A887" s="3"/>
      <c r="B887" s="161"/>
      <c r="C887" s="3"/>
      <c r="D887" s="3"/>
      <c r="E887" s="4"/>
      <c r="F887" s="4"/>
      <c r="G887" s="4"/>
      <c r="H887" s="4"/>
      <c r="I887" s="4"/>
      <c r="J887" s="4"/>
      <c r="L887" s="4"/>
    </row>
    <row r="888" spans="1:12" ht="15.75">
      <c r="A888" s="3"/>
      <c r="B888" s="161"/>
      <c r="C888" s="3"/>
      <c r="D888" s="3"/>
      <c r="E888" s="4"/>
      <c r="F888" s="4"/>
      <c r="G888" s="4"/>
      <c r="H888" s="4"/>
      <c r="I888" s="4"/>
      <c r="J888" s="4"/>
      <c r="L888" s="4"/>
    </row>
    <row r="889" spans="1:12" ht="15.75">
      <c r="A889" s="3"/>
      <c r="B889" s="161"/>
      <c r="C889" s="3"/>
      <c r="D889" s="3"/>
      <c r="E889" s="4"/>
      <c r="F889" s="4"/>
      <c r="G889" s="4"/>
      <c r="H889" s="4"/>
      <c r="I889" s="4"/>
      <c r="J889" s="4"/>
      <c r="L889" s="4"/>
    </row>
    <row r="890" spans="1:12" ht="15.75">
      <c r="A890" s="3"/>
      <c r="B890" s="161"/>
      <c r="C890" s="3"/>
      <c r="D890" s="3"/>
      <c r="E890" s="4"/>
      <c r="F890" s="4"/>
      <c r="G890" s="4"/>
      <c r="H890" s="4"/>
      <c r="I890" s="4"/>
      <c r="J890" s="4"/>
      <c r="L890" s="4"/>
    </row>
    <row r="891" spans="1:12" ht="15.75">
      <c r="A891" s="3"/>
      <c r="B891" s="161"/>
      <c r="C891" s="3"/>
      <c r="D891" s="3"/>
      <c r="E891" s="4"/>
      <c r="F891" s="4"/>
      <c r="G891" s="4"/>
      <c r="H891" s="4"/>
      <c r="I891" s="4"/>
      <c r="J891" s="4"/>
      <c r="L891" s="4"/>
    </row>
    <row r="892" spans="1:12" ht="15.75">
      <c r="A892" s="3"/>
      <c r="B892" s="161"/>
      <c r="C892" s="3"/>
      <c r="D892" s="3"/>
      <c r="E892" s="4"/>
      <c r="F892" s="4"/>
      <c r="G892" s="4"/>
      <c r="H892" s="4"/>
      <c r="I892" s="4"/>
      <c r="J892" s="4"/>
      <c r="L892" s="4"/>
    </row>
    <row r="893" spans="1:12" ht="15.75">
      <c r="A893" s="3"/>
      <c r="B893" s="161"/>
      <c r="C893" s="3"/>
      <c r="D893" s="3"/>
      <c r="E893" s="4"/>
      <c r="F893" s="4"/>
      <c r="G893" s="4"/>
      <c r="H893" s="4"/>
      <c r="I893" s="4"/>
      <c r="J893" s="4"/>
      <c r="L893" s="4"/>
    </row>
    <row r="894" spans="1:12" ht="15.75">
      <c r="A894" s="3"/>
      <c r="B894" s="161"/>
      <c r="C894" s="3"/>
      <c r="D894" s="3"/>
      <c r="E894" s="4"/>
      <c r="F894" s="4"/>
      <c r="G894" s="4"/>
      <c r="H894" s="4"/>
      <c r="I894" s="4"/>
      <c r="J894" s="4"/>
      <c r="L894" s="4"/>
    </row>
    <row r="895" spans="1:12" ht="15.75">
      <c r="A895" s="3"/>
      <c r="B895" s="161"/>
      <c r="C895" s="3"/>
      <c r="D895" s="3"/>
      <c r="E895" s="4"/>
      <c r="F895" s="4"/>
      <c r="G895" s="4"/>
      <c r="H895" s="4"/>
      <c r="I895" s="4"/>
      <c r="J895" s="4"/>
      <c r="L895" s="4"/>
    </row>
    <row r="896" spans="1:12" ht="15.75">
      <c r="A896" s="3"/>
      <c r="B896" s="161"/>
      <c r="C896" s="3"/>
      <c r="D896" s="3"/>
      <c r="E896" s="4"/>
      <c r="F896" s="4"/>
      <c r="G896" s="4"/>
      <c r="H896" s="4"/>
      <c r="I896" s="4"/>
      <c r="J896" s="4"/>
      <c r="L896" s="4"/>
    </row>
    <row r="897" spans="1:12" ht="15.75">
      <c r="A897" s="3"/>
      <c r="B897" s="161"/>
      <c r="C897" s="3"/>
      <c r="D897" s="3"/>
      <c r="E897" s="4"/>
      <c r="F897" s="4"/>
      <c r="G897" s="4"/>
      <c r="H897" s="4"/>
      <c r="I897" s="4"/>
      <c r="J897" s="4"/>
      <c r="L897" s="4"/>
    </row>
    <row r="898" spans="1:12" ht="15.75">
      <c r="A898" s="3"/>
      <c r="B898" s="161"/>
      <c r="C898" s="3"/>
      <c r="D898" s="3"/>
      <c r="E898" s="4"/>
      <c r="F898" s="4"/>
      <c r="G898" s="4"/>
      <c r="H898" s="4"/>
      <c r="I898" s="4"/>
      <c r="J898" s="4"/>
      <c r="L898" s="4"/>
    </row>
    <row r="899" spans="1:12" ht="15.75">
      <c r="A899" s="3"/>
      <c r="B899" s="161"/>
      <c r="C899" s="3"/>
      <c r="D899" s="3"/>
      <c r="E899" s="4"/>
      <c r="F899" s="4"/>
      <c r="G899" s="4"/>
      <c r="H899" s="4"/>
      <c r="I899" s="4"/>
      <c r="J899" s="4"/>
      <c r="L899" s="4"/>
    </row>
    <row r="900" spans="1:12" ht="15.75">
      <c r="A900" s="3"/>
      <c r="B900" s="161"/>
      <c r="C900" s="3"/>
      <c r="D900" s="3"/>
      <c r="E900" s="4"/>
      <c r="F900" s="4"/>
      <c r="G900" s="4"/>
      <c r="H900" s="4"/>
      <c r="I900" s="4"/>
      <c r="J900" s="4"/>
      <c r="L900" s="4"/>
    </row>
    <row r="901" spans="1:12" ht="15.75">
      <c r="A901" s="3"/>
      <c r="B901" s="161"/>
      <c r="C901" s="3"/>
      <c r="D901" s="3"/>
      <c r="E901" s="4"/>
      <c r="F901" s="4"/>
      <c r="G901" s="4"/>
      <c r="H901" s="4"/>
      <c r="I901" s="4"/>
      <c r="J901" s="4"/>
      <c r="L901" s="4"/>
    </row>
    <row r="902" spans="1:12" ht="15.75">
      <c r="A902" s="3"/>
      <c r="B902" s="161"/>
      <c r="C902" s="3"/>
      <c r="D902" s="3"/>
      <c r="E902" s="4"/>
      <c r="F902" s="4"/>
      <c r="G902" s="4"/>
      <c r="H902" s="4"/>
      <c r="I902" s="4"/>
      <c r="J902" s="4"/>
      <c r="L902" s="4"/>
    </row>
    <row r="903" spans="1:12" ht="15.75">
      <c r="A903" s="3"/>
      <c r="B903" s="161"/>
      <c r="C903" s="3"/>
      <c r="D903" s="3"/>
      <c r="E903" s="4"/>
      <c r="F903" s="4"/>
      <c r="G903" s="4"/>
      <c r="H903" s="4"/>
      <c r="I903" s="4"/>
      <c r="J903" s="4"/>
      <c r="L903" s="4"/>
    </row>
    <row r="904" spans="1:12" ht="15.75">
      <c r="A904" s="3"/>
      <c r="B904" s="161"/>
      <c r="C904" s="3"/>
      <c r="D904" s="3"/>
      <c r="E904" s="4"/>
      <c r="F904" s="4"/>
      <c r="G904" s="4"/>
      <c r="H904" s="4"/>
      <c r="I904" s="4"/>
      <c r="J904" s="4"/>
      <c r="L904" s="4"/>
    </row>
    <row r="905" spans="1:12" ht="15.75">
      <c r="A905" s="3"/>
      <c r="B905" s="161"/>
      <c r="C905" s="3"/>
      <c r="D905" s="3"/>
      <c r="E905" s="4"/>
      <c r="F905" s="4"/>
      <c r="G905" s="4"/>
      <c r="H905" s="4"/>
      <c r="I905" s="4"/>
      <c r="J905" s="4"/>
      <c r="L905" s="4"/>
    </row>
    <row r="906" spans="1:12" ht="15.75">
      <c r="A906" s="3"/>
      <c r="B906" s="161"/>
      <c r="C906" s="3"/>
      <c r="D906" s="3"/>
      <c r="E906" s="4"/>
      <c r="F906" s="4"/>
      <c r="G906" s="4"/>
      <c r="H906" s="4"/>
      <c r="I906" s="4"/>
      <c r="J906" s="4"/>
      <c r="L906" s="4"/>
    </row>
    <row r="907" spans="1:12" ht="15.75">
      <c r="A907" s="3"/>
      <c r="B907" s="161"/>
      <c r="C907" s="3"/>
      <c r="D907" s="3"/>
      <c r="E907" s="4"/>
      <c r="F907" s="4"/>
      <c r="G907" s="4"/>
      <c r="H907" s="4"/>
      <c r="I907" s="4"/>
      <c r="J907" s="4"/>
      <c r="L907" s="4"/>
    </row>
    <row r="908" spans="1:12" ht="15.75">
      <c r="A908" s="3"/>
      <c r="B908" s="161"/>
      <c r="C908" s="3"/>
      <c r="D908" s="3"/>
      <c r="E908" s="4"/>
      <c r="F908" s="4"/>
      <c r="G908" s="4"/>
      <c r="H908" s="4"/>
      <c r="I908" s="4"/>
      <c r="J908" s="4"/>
      <c r="L908" s="4"/>
    </row>
    <row r="909" spans="1:12" ht="15.75">
      <c r="A909" s="3"/>
      <c r="B909" s="161"/>
      <c r="C909" s="3"/>
      <c r="D909" s="3"/>
      <c r="E909" s="4"/>
      <c r="F909" s="4"/>
      <c r="G909" s="4"/>
      <c r="H909" s="4"/>
      <c r="I909" s="4"/>
      <c r="J909" s="4"/>
      <c r="L909" s="4"/>
    </row>
    <row r="910" spans="1:12" ht="15.75">
      <c r="A910" s="3"/>
      <c r="B910" s="161"/>
      <c r="C910" s="3"/>
      <c r="D910" s="3"/>
      <c r="E910" s="4"/>
      <c r="F910" s="4"/>
      <c r="G910" s="4"/>
      <c r="H910" s="4"/>
      <c r="I910" s="4"/>
      <c r="J910" s="4"/>
      <c r="L910" s="4"/>
    </row>
    <row r="911" spans="1:12" ht="15.75">
      <c r="A911" s="3"/>
      <c r="B911" s="161"/>
      <c r="C911" s="3"/>
      <c r="D911" s="3"/>
      <c r="E911" s="4"/>
      <c r="F911" s="4"/>
      <c r="G911" s="4"/>
      <c r="H911" s="4"/>
      <c r="I911" s="4"/>
      <c r="J911" s="4"/>
      <c r="L911" s="4"/>
    </row>
    <row r="912" spans="1:12" ht="15.75">
      <c r="A912" s="3"/>
      <c r="B912" s="161"/>
      <c r="C912" s="3"/>
      <c r="D912" s="3"/>
      <c r="E912" s="4"/>
      <c r="F912" s="4"/>
      <c r="G912" s="4"/>
      <c r="H912" s="4"/>
      <c r="I912" s="4"/>
      <c r="J912" s="4"/>
      <c r="L912" s="4"/>
    </row>
    <row r="913" spans="1:12" ht="15.75">
      <c r="A913" s="3"/>
      <c r="B913" s="161"/>
      <c r="C913" s="3"/>
      <c r="D913" s="3"/>
      <c r="E913" s="4"/>
      <c r="F913" s="4"/>
      <c r="G913" s="4"/>
      <c r="H913" s="4"/>
      <c r="I913" s="4"/>
      <c r="J913" s="4"/>
      <c r="L913" s="4"/>
    </row>
    <row r="914" spans="1:12" ht="15.75">
      <c r="A914" s="3"/>
      <c r="B914" s="161"/>
      <c r="C914" s="3"/>
      <c r="D914" s="3"/>
      <c r="E914" s="4"/>
      <c r="F914" s="4"/>
      <c r="G914" s="4"/>
      <c r="H914" s="4"/>
      <c r="I914" s="4"/>
      <c r="J914" s="4"/>
      <c r="L914" s="4"/>
    </row>
    <row r="915" spans="1:12" ht="15.75">
      <c r="A915" s="3"/>
      <c r="B915" s="161"/>
      <c r="C915" s="3"/>
      <c r="D915" s="3"/>
      <c r="E915" s="4"/>
      <c r="F915" s="4"/>
      <c r="G915" s="4"/>
      <c r="H915" s="4"/>
      <c r="I915" s="4"/>
      <c r="J915" s="4"/>
      <c r="L915" s="4"/>
    </row>
    <row r="916" spans="1:12" ht="15.75">
      <c r="A916" s="3"/>
      <c r="B916" s="161"/>
      <c r="C916" s="3"/>
      <c r="D916" s="3"/>
      <c r="E916" s="4"/>
      <c r="F916" s="4"/>
      <c r="G916" s="4"/>
      <c r="H916" s="4"/>
      <c r="I916" s="4"/>
      <c r="J916" s="4"/>
      <c r="L916" s="4"/>
    </row>
    <row r="917" spans="1:12" ht="15.75">
      <c r="A917" s="3"/>
      <c r="B917" s="161"/>
      <c r="C917" s="3"/>
      <c r="D917" s="3"/>
      <c r="E917" s="4"/>
      <c r="F917" s="4"/>
      <c r="G917" s="4"/>
      <c r="H917" s="4"/>
      <c r="I917" s="4"/>
      <c r="J917" s="4"/>
      <c r="L917" s="4"/>
    </row>
    <row r="918" spans="1:12" ht="15.75">
      <c r="A918" s="3"/>
      <c r="B918" s="161"/>
      <c r="C918" s="3"/>
      <c r="D918" s="3"/>
      <c r="E918" s="4"/>
      <c r="F918" s="4"/>
      <c r="G918" s="4"/>
      <c r="H918" s="4"/>
      <c r="I918" s="4"/>
      <c r="J918" s="4"/>
      <c r="L918" s="4"/>
    </row>
    <row r="919" spans="1:12" ht="15.75">
      <c r="A919" s="3"/>
      <c r="B919" s="161"/>
      <c r="C919" s="3"/>
      <c r="D919" s="3"/>
      <c r="E919" s="4"/>
      <c r="F919" s="4"/>
      <c r="G919" s="4"/>
      <c r="H919" s="4"/>
      <c r="I919" s="4"/>
      <c r="J919" s="4"/>
      <c r="L919" s="4"/>
    </row>
    <row r="920" spans="1:12" ht="15.75">
      <c r="A920" s="3"/>
      <c r="B920" s="161"/>
      <c r="C920" s="3"/>
      <c r="D920" s="3"/>
      <c r="E920" s="4"/>
      <c r="F920" s="4"/>
      <c r="G920" s="4"/>
      <c r="H920" s="4"/>
      <c r="I920" s="4"/>
      <c r="J920" s="4"/>
      <c r="L920" s="4"/>
    </row>
    <row r="921" spans="1:12" ht="15.75">
      <c r="A921" s="3"/>
      <c r="B921" s="161"/>
      <c r="C921" s="3"/>
      <c r="D921" s="3"/>
      <c r="E921" s="4"/>
      <c r="F921" s="4"/>
      <c r="G921" s="4"/>
      <c r="H921" s="4"/>
      <c r="I921" s="4"/>
      <c r="J921" s="4"/>
      <c r="L921" s="4"/>
    </row>
    <row r="922" spans="1:12" ht="15.75">
      <c r="A922" s="3"/>
      <c r="B922" s="161"/>
      <c r="C922" s="3"/>
      <c r="D922" s="3"/>
      <c r="E922" s="4"/>
      <c r="F922" s="4"/>
      <c r="G922" s="4"/>
      <c r="H922" s="4"/>
      <c r="I922" s="4"/>
      <c r="J922" s="4"/>
      <c r="L922" s="4"/>
    </row>
    <row r="923" spans="1:12" ht="15.75">
      <c r="A923" s="3"/>
      <c r="B923" s="161"/>
      <c r="C923" s="3"/>
      <c r="D923" s="3"/>
      <c r="E923" s="4"/>
      <c r="F923" s="4"/>
      <c r="G923" s="4"/>
      <c r="H923" s="4"/>
      <c r="I923" s="4"/>
      <c r="J923" s="4"/>
      <c r="L923" s="4"/>
    </row>
    <row r="924" spans="1:12" ht="15.75">
      <c r="A924" s="3"/>
      <c r="B924" s="161"/>
      <c r="C924" s="3"/>
      <c r="D924" s="3"/>
      <c r="E924" s="4"/>
      <c r="F924" s="4"/>
      <c r="G924" s="4"/>
      <c r="H924" s="4"/>
      <c r="I924" s="4"/>
      <c r="J924" s="4"/>
      <c r="L924" s="4"/>
    </row>
    <row r="925" spans="1:12" ht="15.75">
      <c r="A925" s="3"/>
      <c r="B925" s="161"/>
      <c r="C925" s="3"/>
      <c r="D925" s="3"/>
      <c r="E925" s="4"/>
      <c r="F925" s="4"/>
      <c r="G925" s="4"/>
      <c r="H925" s="4"/>
      <c r="I925" s="4"/>
      <c r="J925" s="4"/>
      <c r="L925" s="4"/>
    </row>
    <row r="926" spans="1:12" ht="15.75">
      <c r="A926" s="3"/>
      <c r="B926" s="161"/>
      <c r="C926" s="3"/>
      <c r="D926" s="3"/>
      <c r="E926" s="4"/>
      <c r="F926" s="4"/>
      <c r="G926" s="4"/>
      <c r="H926" s="4"/>
      <c r="I926" s="4"/>
      <c r="J926" s="4"/>
      <c r="L926" s="4"/>
    </row>
    <row r="927" spans="1:12" ht="15.75">
      <c r="A927" s="3"/>
      <c r="B927" s="161"/>
      <c r="C927" s="3"/>
      <c r="D927" s="3"/>
      <c r="E927" s="4"/>
      <c r="F927" s="4"/>
      <c r="G927" s="4"/>
      <c r="H927" s="4"/>
      <c r="I927" s="4"/>
      <c r="J927" s="4"/>
      <c r="L927" s="4"/>
    </row>
    <row r="928" spans="1:12" ht="15.75">
      <c r="A928" s="3"/>
      <c r="B928" s="161"/>
      <c r="C928" s="3"/>
      <c r="D928" s="3"/>
      <c r="E928" s="4"/>
      <c r="F928" s="4"/>
      <c r="G928" s="4"/>
      <c r="H928" s="4"/>
      <c r="I928" s="4"/>
      <c r="J928" s="4"/>
      <c r="L928" s="4"/>
    </row>
    <row r="929" spans="1:12" ht="15.75">
      <c r="A929" s="3"/>
      <c r="B929" s="161"/>
      <c r="C929" s="3"/>
      <c r="D929" s="3"/>
      <c r="E929" s="4"/>
      <c r="F929" s="4"/>
      <c r="G929" s="4"/>
      <c r="H929" s="4"/>
      <c r="I929" s="4"/>
      <c r="J929" s="4"/>
      <c r="L929" s="4"/>
    </row>
    <row r="930" spans="1:12" ht="15.75">
      <c r="A930" s="3"/>
      <c r="B930" s="161"/>
      <c r="C930" s="3"/>
      <c r="D930" s="3"/>
      <c r="E930" s="4"/>
      <c r="F930" s="4"/>
      <c r="G930" s="4"/>
      <c r="H930" s="4"/>
      <c r="I930" s="4"/>
      <c r="J930" s="4"/>
      <c r="L930" s="4"/>
    </row>
  </sheetData>
  <mergeCells count="1">
    <mergeCell ref="A1:L1"/>
  </mergeCells>
  <conditionalFormatting sqref="G1:G1048576">
    <cfRule type="top10" dxfId="10" priority="1" rank="2"/>
    <cfRule type="cellIs" dxfId="9" priority="2" operator="between">
      <formula>1</formula>
      <formula>50</formula>
    </cfRule>
  </conditionalFormatting>
  <conditionalFormatting sqref="I1:I1048576">
    <cfRule type="top10" dxfId="8" priority="550" rank="2"/>
  </conditionalFormatting>
  <pageMargins left="0.39370078740157483" right="0.39370078740157483" top="0.74803149606299213" bottom="0.74803149606299213" header="0" footer="0.31496062992125984"/>
  <pageSetup paperSize="9" fitToHeight="0" orientation="landscape" r:id="rId1"/>
  <headerFooter scaleWithDoc="0">
    <oddFooter>&amp;CMargenliste Seite &amp;P von &amp;N</oddFooter>
  </headerFooter>
  <rowBreaks count="1" manualBreakCount="1">
    <brk id="27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D6DE-82E8-42EE-99D2-516F1D5258D6}">
  <sheetPr codeName="Tabelle2"/>
  <dimension ref="A1:S947"/>
  <sheetViews>
    <sheetView showGridLines="0" view="pageBreakPreview" zoomScale="120" zoomScaleNormal="120" zoomScaleSheetLayoutView="120" zoomScalePageLayoutView="75" workbookViewId="0">
      <pane ySplit="3" topLeftCell="A4" activePane="bottomLeft" state="frozen"/>
      <selection sqref="A1:C1"/>
      <selection pane="bottomLeft" activeCell="E58" sqref="E58:L59"/>
    </sheetView>
  </sheetViews>
  <sheetFormatPr baseColWidth="10" defaultColWidth="14.42578125" defaultRowHeight="15"/>
  <cols>
    <col min="1" max="1" width="27.28515625" style="151" customWidth="1"/>
    <col min="2" max="2" width="10.140625" style="165" customWidth="1"/>
    <col min="3" max="3" width="10.140625" style="151" customWidth="1"/>
    <col min="4" max="4" width="10.140625" style="81" customWidth="1"/>
    <col min="5" max="10" width="10.140625" style="152" customWidth="1"/>
    <col min="11" max="11" width="10.140625" style="81" customWidth="1"/>
    <col min="12" max="12" width="10.140625" style="152" customWidth="1"/>
    <col min="13" max="13" width="9" style="81" customWidth="1"/>
    <col min="14" max="15" width="7.28515625" style="81" bestFit="1" customWidth="1"/>
    <col min="16" max="16" width="6.7109375" style="81" bestFit="1" customWidth="1"/>
    <col min="17" max="28" width="11.42578125" style="81" customWidth="1"/>
    <col min="29" max="16384" width="14.42578125" style="81"/>
  </cols>
  <sheetData>
    <row r="1" spans="1:17" ht="23.45" customHeight="1">
      <c r="A1" s="239" t="s">
        <v>200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1"/>
    </row>
    <row r="2" spans="1:17" s="87" customFormat="1" ht="23.25">
      <c r="A2" s="82" t="s">
        <v>29</v>
      </c>
      <c r="B2" s="83"/>
      <c r="C2" s="83"/>
      <c r="D2" s="84"/>
      <c r="E2" s="83"/>
      <c r="F2" s="83"/>
      <c r="G2" s="83"/>
      <c r="H2" s="85"/>
      <c r="I2" s="86"/>
      <c r="J2" s="86"/>
      <c r="L2" s="88"/>
    </row>
    <row r="3" spans="1:17" ht="45">
      <c r="A3" s="89" t="s">
        <v>1</v>
      </c>
      <c r="B3" s="157" t="s">
        <v>2</v>
      </c>
      <c r="C3" s="90" t="s">
        <v>3</v>
      </c>
      <c r="D3" s="91" t="s">
        <v>4</v>
      </c>
      <c r="E3" s="92" t="s">
        <v>5</v>
      </c>
      <c r="F3" s="157" t="s">
        <v>6</v>
      </c>
      <c r="G3" s="92" t="s">
        <v>7</v>
      </c>
      <c r="H3" s="91" t="s">
        <v>8</v>
      </c>
      <c r="I3" s="91" t="s">
        <v>9</v>
      </c>
      <c r="J3" s="91" t="s">
        <v>10</v>
      </c>
      <c r="K3" s="91" t="s">
        <v>11</v>
      </c>
      <c r="L3" s="93" t="s">
        <v>12</v>
      </c>
      <c r="M3" s="159"/>
    </row>
    <row r="4" spans="1:17" ht="15.75">
      <c r="A4" s="94"/>
      <c r="B4" s="176"/>
      <c r="C4" s="95"/>
      <c r="D4" s="96"/>
      <c r="E4" s="97"/>
      <c r="F4" s="98"/>
      <c r="G4" s="97"/>
      <c r="H4" s="97"/>
      <c r="I4" s="99"/>
      <c r="J4" s="100"/>
      <c r="K4" s="101"/>
      <c r="L4" s="102"/>
    </row>
    <row r="5" spans="1:17" ht="15.75">
      <c r="A5" s="103" t="s">
        <v>13</v>
      </c>
      <c r="B5" s="177"/>
      <c r="C5" s="104"/>
      <c r="D5" s="105"/>
      <c r="E5" s="106"/>
      <c r="F5" s="106"/>
      <c r="G5" s="106"/>
      <c r="H5" s="106"/>
      <c r="I5" s="107"/>
      <c r="J5" s="108"/>
      <c r="K5" s="109"/>
      <c r="L5" s="106"/>
    </row>
    <row r="6" spans="1:17">
      <c r="A6" s="110" t="s">
        <v>170</v>
      </c>
      <c r="B6" s="111">
        <v>329</v>
      </c>
      <c r="C6" s="112">
        <f>B6/119*100</f>
        <v>276.47058823529409</v>
      </c>
      <c r="D6" s="111">
        <v>195</v>
      </c>
      <c r="E6" s="111">
        <f>D6-K6*D6</f>
        <v>156</v>
      </c>
      <c r="F6" s="113">
        <f>C6/E6</f>
        <v>1.7722473604826543</v>
      </c>
      <c r="G6" s="113">
        <f>C6-E6</f>
        <v>120.47058823529409</v>
      </c>
      <c r="H6" s="113">
        <f>C6-E6*(1-L6)</f>
        <v>120.47058823529409</v>
      </c>
      <c r="I6" s="114">
        <f>G6/C6</f>
        <v>0.43574468085106377</v>
      </c>
      <c r="J6" s="114">
        <f>H6/C6</f>
        <v>0.43574468085106377</v>
      </c>
      <c r="K6" s="115">
        <f>'eigene Konditionen'!B$3</f>
        <v>0.2</v>
      </c>
      <c r="L6" s="115">
        <f>'eigene Konditionen'!C$3</f>
        <v>0</v>
      </c>
      <c r="N6" s="116"/>
      <c r="O6" s="117"/>
      <c r="P6" s="118"/>
      <c r="Q6" s="118"/>
    </row>
    <row r="7" spans="1:17" s="119" customFormat="1">
      <c r="A7" s="110" t="s">
        <v>119</v>
      </c>
      <c r="B7" s="111">
        <v>329</v>
      </c>
      <c r="C7" s="112">
        <f>B7/119*100</f>
        <v>276.47058823529409</v>
      </c>
      <c r="D7" s="111">
        <v>195</v>
      </c>
      <c r="E7" s="111">
        <f>D7-K7*D7</f>
        <v>156</v>
      </c>
      <c r="F7" s="113">
        <f>C7/E7</f>
        <v>1.7722473604826543</v>
      </c>
      <c r="G7" s="113">
        <f>C7-E7</f>
        <v>120.47058823529409</v>
      </c>
      <c r="H7" s="113">
        <f>C7-E7*(1-L7)</f>
        <v>120.47058823529409</v>
      </c>
      <c r="I7" s="114">
        <f>G7/C7</f>
        <v>0.43574468085106377</v>
      </c>
      <c r="J7" s="114">
        <f>H7/C7</f>
        <v>0.43574468085106377</v>
      </c>
      <c r="K7" s="115">
        <f>'eigene Konditionen'!B$3</f>
        <v>0.2</v>
      </c>
      <c r="L7" s="115">
        <f>'eigene Konditionen'!C$3</f>
        <v>0</v>
      </c>
      <c r="N7" s="116"/>
      <c r="O7" s="117"/>
      <c r="P7" s="118"/>
      <c r="Q7" s="118"/>
    </row>
    <row r="8" spans="1:17" s="119" customFormat="1" ht="15.75" thickBot="1">
      <c r="A8" s="120" t="s">
        <v>30</v>
      </c>
      <c r="B8" s="122">
        <v>439</v>
      </c>
      <c r="C8" s="121">
        <f>B8/119*100</f>
        <v>368.9075630252101</v>
      </c>
      <c r="D8" s="122">
        <v>265</v>
      </c>
      <c r="E8" s="122">
        <f>D8-K8*D8</f>
        <v>212</v>
      </c>
      <c r="F8" s="123">
        <f>C8/E8</f>
        <v>1.740130014269859</v>
      </c>
      <c r="G8" s="123">
        <f>C8-E8</f>
        <v>156.9075630252101</v>
      </c>
      <c r="H8" s="123">
        <f>C8-E8*(1-L8)</f>
        <v>156.9075630252101</v>
      </c>
      <c r="I8" s="124">
        <f>G8/C8</f>
        <v>0.42533029612756268</v>
      </c>
      <c r="J8" s="124">
        <f>H8/C8</f>
        <v>0.42533029612756268</v>
      </c>
      <c r="K8" s="125">
        <f>'eigene Konditionen'!B$3</f>
        <v>0.2</v>
      </c>
      <c r="L8" s="125">
        <f>'eigene Konditionen'!C$3</f>
        <v>0</v>
      </c>
      <c r="N8" s="116"/>
      <c r="O8" s="117"/>
      <c r="P8" s="118"/>
      <c r="Q8" s="118"/>
    </row>
    <row r="9" spans="1:17" s="119" customFormat="1">
      <c r="A9" s="103" t="s">
        <v>31</v>
      </c>
      <c r="B9" s="127"/>
      <c r="C9" s="126"/>
      <c r="D9" s="111"/>
      <c r="E9" s="127"/>
      <c r="F9" s="128"/>
      <c r="G9" s="128"/>
      <c r="H9" s="128"/>
      <c r="I9" s="129"/>
      <c r="J9" s="129"/>
      <c r="K9" s="130"/>
      <c r="L9" s="131"/>
      <c r="N9" s="116"/>
      <c r="O9" s="117"/>
      <c r="P9" s="132"/>
      <c r="Q9" s="118"/>
    </row>
    <row r="10" spans="1:17" s="119" customFormat="1">
      <c r="A10" s="223" t="s">
        <v>32</v>
      </c>
      <c r="B10" s="127">
        <v>499.95</v>
      </c>
      <c r="C10" s="112">
        <f>B10/119*100</f>
        <v>420.1260504201681</v>
      </c>
      <c r="D10" s="111">
        <v>269</v>
      </c>
      <c r="E10" s="111">
        <f>D10-K10*D10</f>
        <v>269</v>
      </c>
      <c r="F10" s="113">
        <f>C10/E10</f>
        <v>1.5618068788853832</v>
      </c>
      <c r="G10" s="113">
        <f>C10-E10</f>
        <v>151.1260504201681</v>
      </c>
      <c r="H10" s="113">
        <f>C10-E10*(1-L10)</f>
        <v>159.19605042016809</v>
      </c>
      <c r="I10" s="114">
        <f>G10/C10</f>
        <v>0.35971597159715979</v>
      </c>
      <c r="J10" s="114">
        <f>H10/C10</f>
        <v>0.37892449244924498</v>
      </c>
      <c r="K10" s="115">
        <f>'eigene Konditionen'!B$4</f>
        <v>0</v>
      </c>
      <c r="L10" s="115">
        <f>'eigene Konditionen'!C$4</f>
        <v>0.03</v>
      </c>
      <c r="N10" s="116"/>
      <c r="O10" s="117"/>
      <c r="P10" s="118"/>
      <c r="Q10" s="118"/>
    </row>
    <row r="11" spans="1:17" s="119" customFormat="1">
      <c r="A11" s="110" t="s">
        <v>33</v>
      </c>
      <c r="B11" s="111">
        <v>489.95</v>
      </c>
      <c r="C11" s="112">
        <f>B11/119*100</f>
        <v>411.72268907563023</v>
      </c>
      <c r="D11" s="111">
        <v>264</v>
      </c>
      <c r="E11" s="111">
        <f>D11-K11*D11</f>
        <v>264</v>
      </c>
      <c r="F11" s="113">
        <f>C11/E11</f>
        <v>1.5595556404379933</v>
      </c>
      <c r="G11" s="113">
        <f>C11-E11</f>
        <v>147.72268907563023</v>
      </c>
      <c r="H11" s="113">
        <f>C11-E11*(1-L11)</f>
        <v>155.64268907563024</v>
      </c>
      <c r="I11" s="114">
        <f>G11/C11</f>
        <v>0.35879171344014693</v>
      </c>
      <c r="J11" s="114">
        <f>H11/C11</f>
        <v>0.37802796203694256</v>
      </c>
      <c r="K11" s="115">
        <f>'eigene Konditionen'!B$4</f>
        <v>0</v>
      </c>
      <c r="L11" s="115">
        <f>'eigene Konditionen'!C$4</f>
        <v>0.03</v>
      </c>
      <c r="N11" s="116"/>
      <c r="O11" s="117"/>
      <c r="P11" s="118"/>
      <c r="Q11" s="118"/>
    </row>
    <row r="12" spans="1:17" s="119" customFormat="1">
      <c r="A12" s="110" t="s">
        <v>34</v>
      </c>
      <c r="B12" s="171">
        <v>479.95</v>
      </c>
      <c r="C12" s="112">
        <f>B12/119*100</f>
        <v>403.31932773109241</v>
      </c>
      <c r="D12" s="111">
        <v>259</v>
      </c>
      <c r="E12" s="111">
        <f>D12-K12*D12</f>
        <v>259</v>
      </c>
      <c r="F12" s="113">
        <f>C12/E12</f>
        <v>1.5572174815872295</v>
      </c>
      <c r="G12" s="113">
        <f>C12-E12</f>
        <v>144.31932773109241</v>
      </c>
      <c r="H12" s="113">
        <f>C12-E12*(1-L12)</f>
        <v>152.08932773109242</v>
      </c>
      <c r="I12" s="114">
        <f>G12/C12</f>
        <v>0.35782894051463693</v>
      </c>
      <c r="J12" s="114">
        <f>H12/C12</f>
        <v>0.37709407229919784</v>
      </c>
      <c r="K12" s="115">
        <f>'eigene Konditionen'!B$4</f>
        <v>0</v>
      </c>
      <c r="L12" s="115">
        <f>'eigene Konditionen'!C$4</f>
        <v>0.03</v>
      </c>
      <c r="N12" s="116"/>
      <c r="O12" s="117"/>
      <c r="P12" s="118"/>
      <c r="Q12" s="118"/>
    </row>
    <row r="13" spans="1:17" s="119" customFormat="1" ht="15.75" thickBot="1">
      <c r="A13" s="120" t="s">
        <v>35</v>
      </c>
      <c r="B13" s="122">
        <v>469.95</v>
      </c>
      <c r="C13" s="121">
        <f>B13/119*100</f>
        <v>394.9159663865546</v>
      </c>
      <c r="D13" s="122">
        <v>254</v>
      </c>
      <c r="E13" s="122">
        <f>D13-K13*D13</f>
        <v>254</v>
      </c>
      <c r="F13" s="123">
        <f>C13/E13</f>
        <v>1.5547872692384039</v>
      </c>
      <c r="G13" s="123">
        <f>C13-E13</f>
        <v>140.9159663865546</v>
      </c>
      <c r="H13" s="123">
        <f>C13-E13*(1-L13)</f>
        <v>148.53596638655461</v>
      </c>
      <c r="I13" s="124">
        <f>G13/C13</f>
        <v>0.35682519416959246</v>
      </c>
      <c r="J13" s="124">
        <f>H13/C13</f>
        <v>0.3761204383445047</v>
      </c>
      <c r="K13" s="125">
        <f>'eigene Konditionen'!B$4</f>
        <v>0</v>
      </c>
      <c r="L13" s="125">
        <f>'eigene Konditionen'!C$4</f>
        <v>0.03</v>
      </c>
      <c r="M13" s="222"/>
      <c r="N13" s="116"/>
      <c r="O13" s="117"/>
      <c r="P13" s="118"/>
      <c r="Q13" s="118"/>
    </row>
    <row r="14" spans="1:17" s="119" customFormat="1">
      <c r="A14" s="103" t="s">
        <v>36</v>
      </c>
      <c r="B14" s="127"/>
      <c r="C14" s="126"/>
      <c r="D14" s="127"/>
      <c r="E14" s="127"/>
      <c r="F14" s="128"/>
      <c r="G14" s="128"/>
      <c r="H14" s="128"/>
      <c r="I14" s="129"/>
      <c r="J14" s="129"/>
      <c r="K14" s="130"/>
      <c r="L14" s="131"/>
      <c r="N14" s="116"/>
      <c r="O14" s="117"/>
      <c r="P14" s="133"/>
      <c r="Q14" s="133"/>
    </row>
    <row r="15" spans="1:17" s="119" customFormat="1">
      <c r="A15" s="110" t="s">
        <v>134</v>
      </c>
      <c r="B15" s="111">
        <v>299.89999999999998</v>
      </c>
      <c r="C15" s="112">
        <f t="shared" ref="C15:C25" si="0">B15/119*100</f>
        <v>252.01680672268907</v>
      </c>
      <c r="D15" s="111">
        <v>190</v>
      </c>
      <c r="E15" s="111">
        <f t="shared" ref="E15:E25" si="1">D15-K15*D15</f>
        <v>190</v>
      </c>
      <c r="F15" s="113">
        <f t="shared" ref="F15:F25" si="2">C15/E15</f>
        <v>1.3264042459088898</v>
      </c>
      <c r="G15" s="113">
        <f t="shared" ref="G15:G25" si="3">C15-E15</f>
        <v>62.016806722689068</v>
      </c>
      <c r="H15" s="113">
        <f t="shared" ref="H15:H25" si="4">C15-E15*(1-L15)</f>
        <v>65.81680672268908</v>
      </c>
      <c r="I15" s="114">
        <f t="shared" ref="I15:I25" si="5">G15/C15</f>
        <v>0.24608202734244747</v>
      </c>
      <c r="J15" s="114">
        <f t="shared" ref="J15:J25" si="6">H15/C15</f>
        <v>0.26116038679559855</v>
      </c>
      <c r="K15" s="115">
        <f>'eigene Konditionen'!B$5</f>
        <v>0</v>
      </c>
      <c r="L15" s="115">
        <f>'eigene Konditionen'!C$5</f>
        <v>0.02</v>
      </c>
      <c r="N15" s="116"/>
      <c r="O15" s="117"/>
      <c r="P15" s="118"/>
      <c r="Q15" s="118"/>
    </row>
    <row r="16" spans="1:17" s="119" customFormat="1">
      <c r="A16" s="110" t="s">
        <v>135</v>
      </c>
      <c r="B16" s="111">
        <v>299.89999999999998</v>
      </c>
      <c r="C16" s="112">
        <f t="shared" si="0"/>
        <v>252.01680672268907</v>
      </c>
      <c r="D16" s="111">
        <v>175</v>
      </c>
      <c r="E16" s="111">
        <f t="shared" si="1"/>
        <v>175</v>
      </c>
      <c r="F16" s="113">
        <f t="shared" si="2"/>
        <v>1.440096038415366</v>
      </c>
      <c r="G16" s="113">
        <f t="shared" si="3"/>
        <v>77.016806722689068</v>
      </c>
      <c r="H16" s="113">
        <f t="shared" si="4"/>
        <v>80.516806722689068</v>
      </c>
      <c r="I16" s="114">
        <f t="shared" si="5"/>
        <v>0.30560186728909633</v>
      </c>
      <c r="J16" s="114">
        <f t="shared" si="6"/>
        <v>0.31948982994331443</v>
      </c>
      <c r="K16" s="115">
        <f>'eigene Konditionen'!B$5</f>
        <v>0</v>
      </c>
      <c r="L16" s="115">
        <f>'eigene Konditionen'!C$5</f>
        <v>0.02</v>
      </c>
      <c r="N16" s="116"/>
      <c r="O16" s="117"/>
      <c r="P16" s="118"/>
      <c r="Q16" s="118"/>
    </row>
    <row r="17" spans="1:17" s="119" customFormat="1">
      <c r="A17" s="110" t="s">
        <v>136</v>
      </c>
      <c r="B17" s="111">
        <v>649.9</v>
      </c>
      <c r="C17" s="112">
        <f t="shared" si="0"/>
        <v>546.13445378151266</v>
      </c>
      <c r="D17" s="111">
        <v>327.68</v>
      </c>
      <c r="E17" s="111">
        <f t="shared" si="1"/>
        <v>327.68</v>
      </c>
      <c r="F17" s="113">
        <f t="shared" si="2"/>
        <v>1.6666700860031514</v>
      </c>
      <c r="G17" s="113">
        <f t="shared" si="3"/>
        <v>218.45445378151265</v>
      </c>
      <c r="H17" s="113">
        <f t="shared" si="4"/>
        <v>225.00805378151267</v>
      </c>
      <c r="I17" s="114">
        <f t="shared" si="5"/>
        <v>0.40000123095860907</v>
      </c>
      <c r="J17" s="114">
        <f t="shared" si="6"/>
        <v>0.41200120633943693</v>
      </c>
      <c r="K17" s="115">
        <f>'eigene Konditionen'!B$5</f>
        <v>0</v>
      </c>
      <c r="L17" s="115">
        <f>'eigene Konditionen'!C$5</f>
        <v>0.02</v>
      </c>
      <c r="N17" s="116"/>
      <c r="O17" s="117"/>
      <c r="P17" s="118"/>
      <c r="Q17" s="118"/>
    </row>
    <row r="18" spans="1:17" s="119" customFormat="1">
      <c r="A18" s="110" t="s">
        <v>137</v>
      </c>
      <c r="B18" s="111">
        <v>649.9</v>
      </c>
      <c r="C18" s="112">
        <f t="shared" si="0"/>
        <v>546.13445378151266</v>
      </c>
      <c r="D18" s="111">
        <v>315</v>
      </c>
      <c r="E18" s="111">
        <f t="shared" si="1"/>
        <v>315</v>
      </c>
      <c r="F18" s="113">
        <f t="shared" si="2"/>
        <v>1.7337601707349608</v>
      </c>
      <c r="G18" s="113">
        <f t="shared" si="3"/>
        <v>231.13445378151266</v>
      </c>
      <c r="H18" s="113">
        <f t="shared" si="4"/>
        <v>237.43445378151267</v>
      </c>
      <c r="I18" s="114">
        <f t="shared" si="5"/>
        <v>0.42321895676257892</v>
      </c>
      <c r="J18" s="114">
        <f t="shared" si="6"/>
        <v>0.43475457762732739</v>
      </c>
      <c r="K18" s="115">
        <f>'eigene Konditionen'!B$5</f>
        <v>0</v>
      </c>
      <c r="L18" s="115">
        <f>'eigene Konditionen'!C$5</f>
        <v>0.02</v>
      </c>
      <c r="N18" s="116"/>
      <c r="O18" s="117"/>
      <c r="P18" s="118"/>
      <c r="Q18" s="118"/>
    </row>
    <row r="19" spans="1:17" s="119" customFormat="1">
      <c r="A19" s="110" t="s">
        <v>182</v>
      </c>
      <c r="B19" s="111">
        <v>449.9</v>
      </c>
      <c r="C19" s="112">
        <f t="shared" si="0"/>
        <v>378.06722689075627</v>
      </c>
      <c r="D19" s="111">
        <v>235</v>
      </c>
      <c r="E19" s="111">
        <f t="shared" si="1"/>
        <v>235</v>
      </c>
      <c r="F19" s="113">
        <f t="shared" si="2"/>
        <v>1.6087967101734308</v>
      </c>
      <c r="G19" s="113">
        <f t="shared" si="3"/>
        <v>143.06722689075627</v>
      </c>
      <c r="H19" s="113">
        <f t="shared" si="4"/>
        <v>147.76722689075629</v>
      </c>
      <c r="I19" s="114">
        <f t="shared" si="5"/>
        <v>0.37841742609468765</v>
      </c>
      <c r="J19" s="114">
        <f t="shared" si="6"/>
        <v>0.39084907757279397</v>
      </c>
      <c r="K19" s="115">
        <f>'eigene Konditionen'!B$5</f>
        <v>0</v>
      </c>
      <c r="L19" s="115">
        <f>'eigene Konditionen'!C$5</f>
        <v>0.02</v>
      </c>
      <c r="N19" s="116"/>
      <c r="O19" s="117"/>
      <c r="P19" s="118"/>
      <c r="Q19" s="118"/>
    </row>
    <row r="20" spans="1:17" s="119" customFormat="1">
      <c r="A20" s="110" t="s">
        <v>183</v>
      </c>
      <c r="B20" s="111">
        <v>449.9</v>
      </c>
      <c r="C20" s="112">
        <f t="shared" si="0"/>
        <v>378.06722689075627</v>
      </c>
      <c r="D20" s="111">
        <v>225</v>
      </c>
      <c r="E20" s="111">
        <f t="shared" ref="E20" si="7">D20-K20*D20</f>
        <v>225</v>
      </c>
      <c r="F20" s="113">
        <f t="shared" ref="F20" si="8">C20/E20</f>
        <v>1.6802987861811389</v>
      </c>
      <c r="G20" s="113">
        <f t="shared" ref="G20" si="9">C20-E20</f>
        <v>153.06722689075627</v>
      </c>
      <c r="H20" s="113">
        <f t="shared" ref="H20" si="10">C20-E20*(1-L20)</f>
        <v>157.56722689075627</v>
      </c>
      <c r="I20" s="114">
        <f t="shared" ref="I20" si="11">G20/C20</f>
        <v>0.40486774838853073</v>
      </c>
      <c r="J20" s="114">
        <f t="shared" ref="J20" si="12">H20/C20</f>
        <v>0.41677039342076011</v>
      </c>
      <c r="K20" s="115">
        <f>'eigene Konditionen'!B$5</f>
        <v>0</v>
      </c>
      <c r="L20" s="115">
        <f>'eigene Konditionen'!C$5</f>
        <v>0.02</v>
      </c>
      <c r="N20" s="116"/>
      <c r="O20" s="117"/>
      <c r="P20" s="118"/>
      <c r="Q20" s="118"/>
    </row>
    <row r="21" spans="1:17" s="119" customFormat="1">
      <c r="A21" s="110" t="s">
        <v>180</v>
      </c>
      <c r="B21" s="111">
        <v>799.9</v>
      </c>
      <c r="C21" s="112">
        <f t="shared" si="0"/>
        <v>672.18487394957981</v>
      </c>
      <c r="D21" s="111">
        <v>435.26</v>
      </c>
      <c r="E21" s="111">
        <f>D21-K21*D21</f>
        <v>435.26</v>
      </c>
      <c r="F21" s="113">
        <f t="shared" si="2"/>
        <v>1.5443295362532274</v>
      </c>
      <c r="G21" s="113">
        <f t="shared" si="3"/>
        <v>236.92487394957982</v>
      </c>
      <c r="H21" s="113">
        <f t="shared" si="4"/>
        <v>245.63007394957981</v>
      </c>
      <c r="I21" s="114">
        <f t="shared" si="5"/>
        <v>0.35246980872609074</v>
      </c>
      <c r="J21" s="114">
        <f t="shared" si="6"/>
        <v>0.36542041255156893</v>
      </c>
      <c r="K21" s="115">
        <f>'eigene Konditionen'!B$5</f>
        <v>0</v>
      </c>
      <c r="L21" s="115">
        <f>'eigene Konditionen'!C$5</f>
        <v>0.02</v>
      </c>
      <c r="O21" s="117"/>
      <c r="P21" s="111"/>
      <c r="Q21" s="118"/>
    </row>
    <row r="22" spans="1:17" s="119" customFormat="1">
      <c r="A22" s="110" t="s">
        <v>181</v>
      </c>
      <c r="B22" s="111">
        <v>799.9</v>
      </c>
      <c r="C22" s="112">
        <f t="shared" ref="C22" si="13">B22/119*100</f>
        <v>672.18487394957981</v>
      </c>
      <c r="D22" s="111">
        <v>420</v>
      </c>
      <c r="E22" s="111">
        <f>D22-K22*D22</f>
        <v>420</v>
      </c>
      <c r="F22" s="113">
        <f t="shared" ref="F22" si="14">C22/E22</f>
        <v>1.6004401760704281</v>
      </c>
      <c r="G22" s="113">
        <f t="shared" ref="G22" si="15">C22-E22</f>
        <v>252.18487394957981</v>
      </c>
      <c r="H22" s="113">
        <f t="shared" ref="H22" si="16">C22-E22*(1-L22)</f>
        <v>260.58487394957984</v>
      </c>
      <c r="I22" s="114">
        <f t="shared" ref="I22" si="17">G22/C22</f>
        <v>0.37517189648706084</v>
      </c>
      <c r="J22" s="114">
        <f t="shared" ref="J22" si="18">H22/C22</f>
        <v>0.38766845855731968</v>
      </c>
      <c r="K22" s="115">
        <f>'eigene Konditionen'!B$5</f>
        <v>0</v>
      </c>
      <c r="L22" s="115">
        <f>'eigene Konditionen'!C$5</f>
        <v>0.02</v>
      </c>
      <c r="O22" s="117"/>
      <c r="P22" s="111"/>
      <c r="Q22" s="118"/>
    </row>
    <row r="23" spans="1:17" s="119" customFormat="1">
      <c r="A23" s="110" t="s">
        <v>132</v>
      </c>
      <c r="B23" s="111">
        <v>849.9</v>
      </c>
      <c r="C23" s="112">
        <f t="shared" si="0"/>
        <v>714.20168067226882</v>
      </c>
      <c r="D23" s="111">
        <v>464.23</v>
      </c>
      <c r="E23" s="111">
        <f t="shared" si="1"/>
        <v>464.23</v>
      </c>
      <c r="F23" s="113">
        <f t="shared" si="2"/>
        <v>1.5384651588054818</v>
      </c>
      <c r="G23" s="113">
        <f t="shared" si="3"/>
        <v>249.9716806722688</v>
      </c>
      <c r="H23" s="113">
        <f t="shared" si="4"/>
        <v>259.25628067226882</v>
      </c>
      <c r="I23" s="114">
        <f t="shared" si="5"/>
        <v>0.35000152959171654</v>
      </c>
      <c r="J23" s="114">
        <f t="shared" si="6"/>
        <v>0.36300149899988227</v>
      </c>
      <c r="K23" s="115">
        <f>'eigene Konditionen'!B$5</f>
        <v>0</v>
      </c>
      <c r="L23" s="115">
        <f>'eigene Konditionen'!C$5</f>
        <v>0.02</v>
      </c>
      <c r="N23" s="116"/>
      <c r="O23" s="117"/>
      <c r="P23" s="118"/>
      <c r="Q23" s="118"/>
    </row>
    <row r="24" spans="1:17" s="119" customFormat="1">
      <c r="A24" s="110" t="s">
        <v>133</v>
      </c>
      <c r="B24" s="111">
        <v>849.9</v>
      </c>
      <c r="C24" s="112">
        <f t="shared" si="0"/>
        <v>714.20168067226882</v>
      </c>
      <c r="D24" s="111">
        <v>450</v>
      </c>
      <c r="E24" s="111">
        <f t="shared" ref="E24" si="19">D24-K24*D24</f>
        <v>450</v>
      </c>
      <c r="F24" s="113">
        <f t="shared" ref="F24" si="20">C24/E24</f>
        <v>1.5871148459383753</v>
      </c>
      <c r="G24" s="113">
        <f t="shared" ref="G24" si="21">C24-E24</f>
        <v>264.20168067226882</v>
      </c>
      <c r="H24" s="113">
        <f t="shared" ref="H24" si="22">C24-E24*(1-L24)</f>
        <v>273.20168067226882</v>
      </c>
      <c r="I24" s="114">
        <f t="shared" ref="I24" si="23">G24/C24</f>
        <v>0.36992587363219193</v>
      </c>
      <c r="J24" s="114">
        <f t="shared" ref="J24" si="24">H24/C24</f>
        <v>0.38252735615954808</v>
      </c>
      <c r="K24" s="115">
        <f>'eigene Konditionen'!B$5</f>
        <v>0</v>
      </c>
      <c r="L24" s="115">
        <f>'eigene Konditionen'!C$5</f>
        <v>0.02</v>
      </c>
      <c r="N24" s="116"/>
      <c r="O24" s="117"/>
      <c r="P24" s="118"/>
      <c r="Q24" s="118"/>
    </row>
    <row r="25" spans="1:17" s="119" customFormat="1" ht="15.75" thickBot="1">
      <c r="A25" s="120" t="s">
        <v>37</v>
      </c>
      <c r="B25" s="122">
        <v>499.9</v>
      </c>
      <c r="C25" s="121">
        <f t="shared" si="0"/>
        <v>420.0840336134454</v>
      </c>
      <c r="D25" s="122">
        <v>285</v>
      </c>
      <c r="E25" s="122">
        <f t="shared" si="1"/>
        <v>285</v>
      </c>
      <c r="F25" s="123">
        <f t="shared" si="2"/>
        <v>1.4739790653103346</v>
      </c>
      <c r="G25" s="123">
        <f t="shared" si="3"/>
        <v>135.0840336134454</v>
      </c>
      <c r="H25" s="123">
        <f t="shared" si="4"/>
        <v>140.78403361344539</v>
      </c>
      <c r="I25" s="124">
        <f t="shared" si="5"/>
        <v>0.32156431286257253</v>
      </c>
      <c r="J25" s="124">
        <f t="shared" si="6"/>
        <v>0.33513302660532107</v>
      </c>
      <c r="K25" s="125">
        <f>'eigene Konditionen'!B$5</f>
        <v>0</v>
      </c>
      <c r="L25" s="125">
        <f>'eigene Konditionen'!C$5</f>
        <v>0.02</v>
      </c>
      <c r="N25" s="116"/>
      <c r="O25" s="117"/>
      <c r="P25" s="117"/>
      <c r="Q25" s="117"/>
    </row>
    <row r="26" spans="1:17" s="119" customFormat="1">
      <c r="A26" s="103" t="s">
        <v>15</v>
      </c>
      <c r="B26" s="127"/>
      <c r="C26" s="126"/>
      <c r="D26" s="127"/>
      <c r="E26" s="127"/>
      <c r="F26" s="128"/>
      <c r="G26" s="128"/>
      <c r="H26" s="128"/>
      <c r="I26" s="129"/>
      <c r="J26" s="129"/>
      <c r="K26" s="234"/>
      <c r="L26" s="131"/>
      <c r="M26" s="119" t="s">
        <v>38</v>
      </c>
    </row>
    <row r="27" spans="1:17" s="119" customFormat="1">
      <c r="A27" s="110" t="s">
        <v>163</v>
      </c>
      <c r="B27" s="111">
        <v>469</v>
      </c>
      <c r="C27" s="112">
        <f t="shared" ref="C27:C54" si="25">B27/119*100</f>
        <v>394.11764705882354</v>
      </c>
      <c r="D27" s="111">
        <v>246</v>
      </c>
      <c r="E27" s="111">
        <f t="shared" ref="E27:E54" si="26">D27-K27*D27</f>
        <v>247.23</v>
      </c>
      <c r="F27" s="113">
        <f t="shared" ref="F27:F54" si="27">C27/E27</f>
        <v>1.5941335883947076</v>
      </c>
      <c r="G27" s="113">
        <f t="shared" ref="G27:G54" si="28">C27-E27</f>
        <v>146.88764705882355</v>
      </c>
      <c r="H27" s="113">
        <f t="shared" ref="H27:H54" si="29">C27-E27*(1-L27)</f>
        <v>146.88764705882355</v>
      </c>
      <c r="I27" s="114">
        <f t="shared" ref="I27:I54" si="30">G27/C27</f>
        <v>0.37270000000000003</v>
      </c>
      <c r="J27" s="114">
        <f t="shared" ref="J27:J54" si="31">H27/C27</f>
        <v>0.37270000000000003</v>
      </c>
      <c r="K27" s="138">
        <f>'eigene Konditionen'!B$6</f>
        <v>-5.0000000000000001E-3</v>
      </c>
      <c r="L27" s="115">
        <f>'eigene Konditionen'!C$6</f>
        <v>0</v>
      </c>
    </row>
    <row r="28" spans="1:17" s="119" customFormat="1">
      <c r="A28" s="110" t="s">
        <v>164</v>
      </c>
      <c r="B28" s="111">
        <v>489</v>
      </c>
      <c r="C28" s="112">
        <f t="shared" si="25"/>
        <v>410.92436974789911</v>
      </c>
      <c r="D28" s="111">
        <v>257</v>
      </c>
      <c r="E28" s="111">
        <f t="shared" ref="E28:E30" si="32">D28-K28*D28</f>
        <v>258.28500000000003</v>
      </c>
      <c r="F28" s="113">
        <f t="shared" ref="F28:F30" si="33">C28/E28</f>
        <v>1.5909726455190936</v>
      </c>
      <c r="G28" s="113">
        <f t="shared" ref="G28:G30" si="34">C28-E28</f>
        <v>152.63936974789908</v>
      </c>
      <c r="H28" s="113">
        <f t="shared" ref="H28:H29" si="35">C28-E28*(1-L28)</f>
        <v>152.63936974789908</v>
      </c>
      <c r="I28" s="114">
        <f t="shared" ref="I28:I30" si="36">G28/C28</f>
        <v>0.37145368098159492</v>
      </c>
      <c r="J28" s="114">
        <f t="shared" ref="J28:J30" si="37">H28/C28</f>
        <v>0.37145368098159492</v>
      </c>
      <c r="K28" s="138">
        <f>'eigene Konditionen'!B$6</f>
        <v>-5.0000000000000001E-3</v>
      </c>
      <c r="L28" s="115">
        <f>'eigene Konditionen'!C$6</f>
        <v>0</v>
      </c>
    </row>
    <row r="29" spans="1:17" s="119" customFormat="1">
      <c r="A29" s="110" t="s">
        <v>165</v>
      </c>
      <c r="B29" s="111">
        <v>499</v>
      </c>
      <c r="C29" s="112">
        <f t="shared" si="25"/>
        <v>419.32773109243698</v>
      </c>
      <c r="D29" s="111">
        <v>262</v>
      </c>
      <c r="E29" s="111">
        <f t="shared" si="32"/>
        <v>263.31</v>
      </c>
      <c r="F29" s="113">
        <f t="shared" si="33"/>
        <v>1.5925248987597773</v>
      </c>
      <c r="G29" s="113">
        <f t="shared" si="34"/>
        <v>156.01773109243697</v>
      </c>
      <c r="H29" s="113">
        <f t="shared" si="35"/>
        <v>156.01773109243697</v>
      </c>
      <c r="I29" s="114">
        <f t="shared" si="36"/>
        <v>0.37206633266533068</v>
      </c>
      <c r="J29" s="114">
        <f t="shared" si="37"/>
        <v>0.37206633266533068</v>
      </c>
      <c r="K29" s="138">
        <f>'eigene Konditionen'!B$6</f>
        <v>-5.0000000000000001E-3</v>
      </c>
      <c r="L29" s="115">
        <f>'eigene Konditionen'!C$6</f>
        <v>0</v>
      </c>
    </row>
    <row r="30" spans="1:17" s="119" customFormat="1">
      <c r="A30" s="110" t="s">
        <v>166</v>
      </c>
      <c r="B30" s="111">
        <v>519</v>
      </c>
      <c r="C30" s="112">
        <f t="shared" si="25"/>
        <v>436.13445378151255</v>
      </c>
      <c r="D30" s="111">
        <v>273</v>
      </c>
      <c r="E30" s="111">
        <f t="shared" si="32"/>
        <v>274.36500000000001</v>
      </c>
      <c r="F30" s="113">
        <f t="shared" si="33"/>
        <v>1.5896140316057534</v>
      </c>
      <c r="G30" s="113">
        <f t="shared" si="34"/>
        <v>161.76945378151254</v>
      </c>
      <c r="H30" s="113">
        <f>C30-E30*(1-L30)</f>
        <v>161.76945378151254</v>
      </c>
      <c r="I30" s="114">
        <f t="shared" si="36"/>
        <v>0.37091647398843919</v>
      </c>
      <c r="J30" s="114">
        <f t="shared" si="37"/>
        <v>0.37091647398843919</v>
      </c>
      <c r="K30" s="138">
        <f>'eigene Konditionen'!B$6</f>
        <v>-5.0000000000000001E-3</v>
      </c>
      <c r="L30" s="115">
        <f>'eigene Konditionen'!C$6</f>
        <v>0</v>
      </c>
    </row>
    <row r="31" spans="1:17" s="119" customFormat="1">
      <c r="A31" s="110" t="s">
        <v>39</v>
      </c>
      <c r="B31" s="111">
        <v>359</v>
      </c>
      <c r="C31" s="112">
        <f t="shared" si="25"/>
        <v>301.68067226890753</v>
      </c>
      <c r="D31" s="111">
        <v>200</v>
      </c>
      <c r="E31" s="111">
        <f t="shared" si="26"/>
        <v>201</v>
      </c>
      <c r="F31" s="113">
        <f t="shared" si="27"/>
        <v>1.5008988670094903</v>
      </c>
      <c r="G31" s="113">
        <f t="shared" si="28"/>
        <v>100.68067226890753</v>
      </c>
      <c r="H31" s="113">
        <f t="shared" si="29"/>
        <v>100.68067226890753</v>
      </c>
      <c r="I31" s="114">
        <f t="shared" si="30"/>
        <v>0.33373259052924781</v>
      </c>
      <c r="J31" s="114">
        <f t="shared" si="31"/>
        <v>0.33373259052924781</v>
      </c>
      <c r="K31" s="138">
        <f>'eigene Konditionen'!B$6</f>
        <v>-5.0000000000000001E-3</v>
      </c>
      <c r="L31" s="115">
        <f>'eigene Konditionen'!C$6</f>
        <v>0</v>
      </c>
    </row>
    <row r="32" spans="1:17" s="119" customFormat="1">
      <c r="A32" s="110" t="s">
        <v>40</v>
      </c>
      <c r="B32" s="111">
        <v>379</v>
      </c>
      <c r="C32" s="112">
        <f t="shared" si="25"/>
        <v>318.48739495798316</v>
      </c>
      <c r="D32" s="111">
        <v>205</v>
      </c>
      <c r="E32" s="111">
        <f t="shared" si="26"/>
        <v>206.02500000000001</v>
      </c>
      <c r="F32" s="113">
        <f t="shared" si="27"/>
        <v>1.5458677100254006</v>
      </c>
      <c r="G32" s="113">
        <f t="shared" si="28"/>
        <v>112.46239495798315</v>
      </c>
      <c r="H32" s="113">
        <f t="shared" si="29"/>
        <v>112.46239495798315</v>
      </c>
      <c r="I32" s="114">
        <f t="shared" si="30"/>
        <v>0.35311411609498672</v>
      </c>
      <c r="J32" s="114">
        <f t="shared" si="31"/>
        <v>0.35311411609498672</v>
      </c>
      <c r="K32" s="138">
        <f>'eigene Konditionen'!B$6</f>
        <v>-5.0000000000000001E-3</v>
      </c>
      <c r="L32" s="115">
        <f>'eigene Konditionen'!C$6</f>
        <v>0</v>
      </c>
    </row>
    <row r="33" spans="1:13" s="119" customFormat="1">
      <c r="A33" s="110" t="s">
        <v>145</v>
      </c>
      <c r="B33" s="111">
        <v>339</v>
      </c>
      <c r="C33" s="112">
        <f t="shared" si="25"/>
        <v>284.87394957983196</v>
      </c>
      <c r="D33" s="111">
        <v>175</v>
      </c>
      <c r="E33" s="111">
        <f t="shared" si="26"/>
        <v>175.875</v>
      </c>
      <c r="F33" s="113">
        <f t="shared" si="27"/>
        <v>1.6197523785633658</v>
      </c>
      <c r="G33" s="113">
        <f t="shared" si="28"/>
        <v>108.99894957983196</v>
      </c>
      <c r="H33" s="113">
        <f t="shared" si="29"/>
        <v>108.99894957983196</v>
      </c>
      <c r="I33" s="114">
        <f t="shared" si="30"/>
        <v>0.38262168141592928</v>
      </c>
      <c r="J33" s="114">
        <f t="shared" si="31"/>
        <v>0.38262168141592928</v>
      </c>
      <c r="K33" s="138">
        <f>'eigene Konditionen'!B$6</f>
        <v>-5.0000000000000001E-3</v>
      </c>
      <c r="L33" s="115">
        <f>'eigene Konditionen'!C$6</f>
        <v>0</v>
      </c>
    </row>
    <row r="34" spans="1:13" s="119" customFormat="1">
      <c r="A34" s="110" t="s">
        <v>41</v>
      </c>
      <c r="B34" s="111">
        <v>519</v>
      </c>
      <c r="C34" s="112">
        <f t="shared" si="25"/>
        <v>436.13445378151255</v>
      </c>
      <c r="D34" s="111">
        <v>316.5</v>
      </c>
      <c r="E34" s="111">
        <f t="shared" si="26"/>
        <v>318.08249999999998</v>
      </c>
      <c r="F34" s="113">
        <f t="shared" si="27"/>
        <v>1.3711362737073325</v>
      </c>
      <c r="G34" s="113">
        <f t="shared" si="28"/>
        <v>118.05195378151257</v>
      </c>
      <c r="H34" s="113">
        <f t="shared" si="29"/>
        <v>118.05195378151257</v>
      </c>
      <c r="I34" s="114">
        <f t="shared" si="30"/>
        <v>0.27067789017341037</v>
      </c>
      <c r="J34" s="114">
        <f t="shared" si="31"/>
        <v>0.27067789017341037</v>
      </c>
      <c r="K34" s="138">
        <f>'eigene Konditionen'!B$6</f>
        <v>-5.0000000000000001E-3</v>
      </c>
      <c r="L34" s="115">
        <f>'eigene Konditionen'!C$6</f>
        <v>0</v>
      </c>
    </row>
    <row r="35" spans="1:13" s="119" customFormat="1">
      <c r="A35" s="110" t="s">
        <v>42</v>
      </c>
      <c r="B35" s="111">
        <v>639</v>
      </c>
      <c r="C35" s="112">
        <f t="shared" si="25"/>
        <v>536.97478991596631</v>
      </c>
      <c r="D35" s="111">
        <v>341</v>
      </c>
      <c r="E35" s="111">
        <f t="shared" si="26"/>
        <v>342.70499999999998</v>
      </c>
      <c r="F35" s="113">
        <f t="shared" si="27"/>
        <v>1.5668717699361443</v>
      </c>
      <c r="G35" s="113">
        <f t="shared" si="28"/>
        <v>194.26978991596633</v>
      </c>
      <c r="H35" s="113">
        <f t="shared" si="29"/>
        <v>194.26978991596633</v>
      </c>
      <c r="I35" s="114">
        <f t="shared" si="30"/>
        <v>0.36178568075117368</v>
      </c>
      <c r="J35" s="114">
        <f t="shared" si="31"/>
        <v>0.36178568075117368</v>
      </c>
      <c r="K35" s="138">
        <f>'eigene Konditionen'!B$6</f>
        <v>-5.0000000000000001E-3</v>
      </c>
      <c r="L35" s="115">
        <f>'eigene Konditionen'!C$6</f>
        <v>0</v>
      </c>
      <c r="M35" s="119" t="s">
        <v>155</v>
      </c>
    </row>
    <row r="36" spans="1:13" s="119" customFormat="1">
      <c r="A36" s="110" t="s">
        <v>43</v>
      </c>
      <c r="B36" s="111">
        <v>639</v>
      </c>
      <c r="C36" s="112">
        <f t="shared" si="25"/>
        <v>536.97478991596631</v>
      </c>
      <c r="D36" s="111">
        <v>341</v>
      </c>
      <c r="E36" s="111">
        <f t="shared" si="26"/>
        <v>342.70499999999998</v>
      </c>
      <c r="F36" s="113">
        <f t="shared" si="27"/>
        <v>1.5668717699361443</v>
      </c>
      <c r="G36" s="113">
        <f t="shared" si="28"/>
        <v>194.26978991596633</v>
      </c>
      <c r="H36" s="113">
        <f t="shared" si="29"/>
        <v>194.26978991596633</v>
      </c>
      <c r="I36" s="114">
        <f t="shared" si="30"/>
        <v>0.36178568075117368</v>
      </c>
      <c r="J36" s="114">
        <f t="shared" si="31"/>
        <v>0.36178568075117368</v>
      </c>
      <c r="K36" s="138">
        <f>'eigene Konditionen'!B$6</f>
        <v>-5.0000000000000001E-3</v>
      </c>
      <c r="L36" s="115">
        <f>'eigene Konditionen'!C$6</f>
        <v>0</v>
      </c>
      <c r="M36" s="119" t="s">
        <v>155</v>
      </c>
    </row>
    <row r="37" spans="1:13" s="119" customFormat="1">
      <c r="A37" s="110" t="s">
        <v>44</v>
      </c>
      <c r="B37" s="111">
        <v>659</v>
      </c>
      <c r="C37" s="112">
        <f t="shared" si="25"/>
        <v>553.78151260504205</v>
      </c>
      <c r="D37" s="111">
        <v>350</v>
      </c>
      <c r="E37" s="111">
        <f t="shared" si="26"/>
        <v>351.75</v>
      </c>
      <c r="F37" s="113">
        <f t="shared" si="27"/>
        <v>1.5743610877186696</v>
      </c>
      <c r="G37" s="113">
        <f t="shared" si="28"/>
        <v>202.03151260504205</v>
      </c>
      <c r="H37" s="113">
        <f t="shared" si="29"/>
        <v>202.03151260504205</v>
      </c>
      <c r="I37" s="114">
        <f t="shared" si="30"/>
        <v>0.36482169954476484</v>
      </c>
      <c r="J37" s="114">
        <f t="shared" si="31"/>
        <v>0.36482169954476484</v>
      </c>
      <c r="K37" s="138">
        <f>'eigene Konditionen'!B$6</f>
        <v>-5.0000000000000001E-3</v>
      </c>
      <c r="L37" s="115">
        <f>'eigene Konditionen'!C$6</f>
        <v>0</v>
      </c>
      <c r="M37" s="119" t="s">
        <v>156</v>
      </c>
    </row>
    <row r="38" spans="1:13" s="119" customFormat="1">
      <c r="A38" s="110" t="s">
        <v>160</v>
      </c>
      <c r="B38" s="111">
        <v>599</v>
      </c>
      <c r="C38" s="112">
        <f t="shared" si="25"/>
        <v>503.36134453781511</v>
      </c>
      <c r="D38" s="111">
        <v>298</v>
      </c>
      <c r="E38" s="111">
        <f t="shared" si="26"/>
        <v>299.49</v>
      </c>
      <c r="F38" s="113">
        <f t="shared" si="27"/>
        <v>1.6807283867168021</v>
      </c>
      <c r="G38" s="113">
        <f t="shared" si="28"/>
        <v>203.87134453781511</v>
      </c>
      <c r="H38" s="113">
        <f t="shared" si="29"/>
        <v>203.87134453781511</v>
      </c>
      <c r="I38" s="114">
        <f t="shared" si="30"/>
        <v>0.40501986644407345</v>
      </c>
      <c r="J38" s="114">
        <f t="shared" si="31"/>
        <v>0.40501986644407345</v>
      </c>
      <c r="K38" s="138">
        <f>'eigene Konditionen'!B$6</f>
        <v>-5.0000000000000001E-3</v>
      </c>
      <c r="L38" s="115">
        <f>'eigene Konditionen'!C$6</f>
        <v>0</v>
      </c>
      <c r="M38" s="119" t="s">
        <v>159</v>
      </c>
    </row>
    <row r="39" spans="1:13" s="119" customFormat="1">
      <c r="A39" s="110" t="s">
        <v>45</v>
      </c>
      <c r="B39" s="111">
        <v>619</v>
      </c>
      <c r="C39" s="112">
        <f t="shared" si="25"/>
        <v>520.1680672268908</v>
      </c>
      <c r="D39" s="111">
        <v>307</v>
      </c>
      <c r="E39" s="111">
        <f t="shared" si="26"/>
        <v>308.53500000000003</v>
      </c>
      <c r="F39" s="113">
        <f t="shared" si="27"/>
        <v>1.6859288807651993</v>
      </c>
      <c r="G39" s="113">
        <f t="shared" si="28"/>
        <v>211.63306722689077</v>
      </c>
      <c r="H39" s="113">
        <f t="shared" si="29"/>
        <v>211.63306722689077</v>
      </c>
      <c r="I39" s="114">
        <f t="shared" si="30"/>
        <v>0.40685516962843293</v>
      </c>
      <c r="J39" s="114">
        <f t="shared" si="31"/>
        <v>0.40685516962843293</v>
      </c>
      <c r="K39" s="138">
        <f>'eigene Konditionen'!B$6</f>
        <v>-5.0000000000000001E-3</v>
      </c>
      <c r="L39" s="115">
        <f>'eigene Konditionen'!C$6</f>
        <v>0</v>
      </c>
      <c r="M39" s="119" t="s">
        <v>179</v>
      </c>
    </row>
    <row r="40" spans="1:13" s="119" customFormat="1">
      <c r="A40" s="110" t="s">
        <v>46</v>
      </c>
      <c r="B40" s="111">
        <v>559</v>
      </c>
      <c r="C40" s="112">
        <f t="shared" si="25"/>
        <v>469.74789915966386</v>
      </c>
      <c r="D40" s="111">
        <v>298</v>
      </c>
      <c r="E40" s="111">
        <f t="shared" si="26"/>
        <v>299.49</v>
      </c>
      <c r="F40" s="113">
        <f t="shared" si="27"/>
        <v>1.5684927682382177</v>
      </c>
      <c r="G40" s="113">
        <f t="shared" si="28"/>
        <v>170.25789915966385</v>
      </c>
      <c r="H40" s="113">
        <f t="shared" si="29"/>
        <v>170.25789915966385</v>
      </c>
      <c r="I40" s="114">
        <f t="shared" si="30"/>
        <v>0.36244525939177097</v>
      </c>
      <c r="J40" s="114">
        <f t="shared" si="31"/>
        <v>0.36244525939177097</v>
      </c>
      <c r="K40" s="138">
        <f>'eigene Konditionen'!B$6</f>
        <v>-5.0000000000000001E-3</v>
      </c>
      <c r="L40" s="115">
        <f>'eigene Konditionen'!C$6</f>
        <v>0</v>
      </c>
      <c r="M40" s="119" t="s">
        <v>157</v>
      </c>
    </row>
    <row r="41" spans="1:13" s="119" customFormat="1">
      <c r="A41" s="110" t="s">
        <v>47</v>
      </c>
      <c r="B41" s="111">
        <v>559</v>
      </c>
      <c r="C41" s="112">
        <f t="shared" si="25"/>
        <v>469.74789915966386</v>
      </c>
      <c r="D41" s="111">
        <v>298</v>
      </c>
      <c r="E41" s="111">
        <f t="shared" si="26"/>
        <v>299.49</v>
      </c>
      <c r="F41" s="113">
        <f t="shared" si="27"/>
        <v>1.5684927682382177</v>
      </c>
      <c r="G41" s="113">
        <f t="shared" si="28"/>
        <v>170.25789915966385</v>
      </c>
      <c r="H41" s="113">
        <f t="shared" si="29"/>
        <v>170.25789915966385</v>
      </c>
      <c r="I41" s="114">
        <f t="shared" si="30"/>
        <v>0.36244525939177097</v>
      </c>
      <c r="J41" s="114">
        <f t="shared" si="31"/>
        <v>0.36244525939177097</v>
      </c>
      <c r="K41" s="138">
        <f>'eigene Konditionen'!B$6</f>
        <v>-5.0000000000000001E-3</v>
      </c>
      <c r="L41" s="115">
        <f>'eigene Konditionen'!C$6</f>
        <v>0</v>
      </c>
      <c r="M41" s="119" t="s">
        <v>157</v>
      </c>
    </row>
    <row r="42" spans="1:13" s="119" customFormat="1">
      <c r="A42" s="110" t="s">
        <v>48</v>
      </c>
      <c r="B42" s="111">
        <v>579</v>
      </c>
      <c r="C42" s="112">
        <f t="shared" si="25"/>
        <v>486.55462184873943</v>
      </c>
      <c r="D42" s="111">
        <v>307</v>
      </c>
      <c r="E42" s="111">
        <f t="shared" si="26"/>
        <v>308.53500000000003</v>
      </c>
      <c r="F42" s="113">
        <f t="shared" si="27"/>
        <v>1.5769835572908726</v>
      </c>
      <c r="G42" s="113">
        <f t="shared" si="28"/>
        <v>178.0196218487394</v>
      </c>
      <c r="H42" s="113">
        <f t="shared" si="29"/>
        <v>178.0196218487394</v>
      </c>
      <c r="I42" s="114">
        <f t="shared" si="30"/>
        <v>0.36587797927461124</v>
      </c>
      <c r="J42" s="114">
        <f t="shared" si="31"/>
        <v>0.36587797927461124</v>
      </c>
      <c r="K42" s="138">
        <f>'eigene Konditionen'!B$6</f>
        <v>-5.0000000000000001E-3</v>
      </c>
      <c r="L42" s="115">
        <f>'eigene Konditionen'!C$6</f>
        <v>0</v>
      </c>
      <c r="M42" s="119" t="s">
        <v>158</v>
      </c>
    </row>
    <row r="43" spans="1:13" s="119" customFormat="1">
      <c r="A43" s="110" t="s">
        <v>49</v>
      </c>
      <c r="B43" s="111">
        <v>609</v>
      </c>
      <c r="C43" s="112">
        <f t="shared" si="25"/>
        <v>511.76470588235293</v>
      </c>
      <c r="D43" s="111">
        <v>320</v>
      </c>
      <c r="E43" s="111">
        <f t="shared" si="26"/>
        <v>321.60000000000002</v>
      </c>
      <c r="F43" s="113">
        <f t="shared" si="27"/>
        <v>1.5913081650570675</v>
      </c>
      <c r="G43" s="113">
        <f t="shared" si="28"/>
        <v>190.16470588235291</v>
      </c>
      <c r="H43" s="113">
        <f t="shared" si="29"/>
        <v>190.16470588235291</v>
      </c>
      <c r="I43" s="114">
        <f t="shared" si="30"/>
        <v>0.37158620689655164</v>
      </c>
      <c r="J43" s="114">
        <f t="shared" si="31"/>
        <v>0.37158620689655164</v>
      </c>
      <c r="K43" s="138">
        <f>'eigene Konditionen'!B$6</f>
        <v>-5.0000000000000001E-3</v>
      </c>
      <c r="L43" s="115">
        <f>'eigene Konditionen'!C$6</f>
        <v>0</v>
      </c>
      <c r="M43" s="119" t="s">
        <v>148</v>
      </c>
    </row>
    <row r="44" spans="1:13" s="119" customFormat="1">
      <c r="A44" s="110" t="s">
        <v>50</v>
      </c>
      <c r="B44" s="111">
        <v>609</v>
      </c>
      <c r="C44" s="112">
        <f t="shared" si="25"/>
        <v>511.76470588235293</v>
      </c>
      <c r="D44" s="111">
        <v>320</v>
      </c>
      <c r="E44" s="111">
        <f t="shared" si="26"/>
        <v>321.60000000000002</v>
      </c>
      <c r="F44" s="113">
        <f t="shared" si="27"/>
        <v>1.5913081650570675</v>
      </c>
      <c r="G44" s="113">
        <f t="shared" si="28"/>
        <v>190.16470588235291</v>
      </c>
      <c r="H44" s="113">
        <f t="shared" si="29"/>
        <v>190.16470588235291</v>
      </c>
      <c r="I44" s="114">
        <f t="shared" si="30"/>
        <v>0.37158620689655164</v>
      </c>
      <c r="J44" s="114">
        <f t="shared" si="31"/>
        <v>0.37158620689655164</v>
      </c>
      <c r="K44" s="138">
        <f>'eigene Konditionen'!B$6</f>
        <v>-5.0000000000000001E-3</v>
      </c>
      <c r="L44" s="115">
        <f>'eigene Konditionen'!C$6</f>
        <v>0</v>
      </c>
      <c r="M44" s="119" t="s">
        <v>148</v>
      </c>
    </row>
    <row r="45" spans="1:13" s="119" customFormat="1">
      <c r="A45" s="110" t="s">
        <v>51</v>
      </c>
      <c r="B45" s="111">
        <v>629</v>
      </c>
      <c r="C45" s="112">
        <f t="shared" si="25"/>
        <v>528.57142857142856</v>
      </c>
      <c r="D45" s="111">
        <v>329</v>
      </c>
      <c r="E45" s="111">
        <f t="shared" si="26"/>
        <v>330.64499999999998</v>
      </c>
      <c r="F45" s="113">
        <f t="shared" si="27"/>
        <v>1.5986070515853215</v>
      </c>
      <c r="G45" s="113">
        <f t="shared" si="28"/>
        <v>197.92642857142857</v>
      </c>
      <c r="H45" s="113">
        <f t="shared" si="29"/>
        <v>197.92642857142857</v>
      </c>
      <c r="I45" s="114">
        <f t="shared" si="30"/>
        <v>0.37445540540540539</v>
      </c>
      <c r="J45" s="114">
        <f t="shared" si="31"/>
        <v>0.37445540540540539</v>
      </c>
      <c r="K45" s="138">
        <f>'eigene Konditionen'!B$6</f>
        <v>-5.0000000000000001E-3</v>
      </c>
      <c r="L45" s="115">
        <f>'eigene Konditionen'!C$6</f>
        <v>0</v>
      </c>
      <c r="M45" s="119" t="s">
        <v>149</v>
      </c>
    </row>
    <row r="46" spans="1:13" s="119" customFormat="1">
      <c r="A46" s="110" t="s">
        <v>152</v>
      </c>
      <c r="B46" s="111">
        <v>569</v>
      </c>
      <c r="C46" s="112">
        <f t="shared" si="25"/>
        <v>478.15126050420167</v>
      </c>
      <c r="D46" s="111">
        <v>282</v>
      </c>
      <c r="E46" s="111">
        <f t="shared" si="26"/>
        <v>283.41000000000003</v>
      </c>
      <c r="F46" s="113">
        <f t="shared" si="27"/>
        <v>1.6871361649349057</v>
      </c>
      <c r="G46" s="113">
        <f t="shared" si="28"/>
        <v>194.74126050420165</v>
      </c>
      <c r="H46" s="113">
        <f t="shared" si="29"/>
        <v>194.74126050420165</v>
      </c>
      <c r="I46" s="114">
        <f t="shared" si="30"/>
        <v>0.40727961335676621</v>
      </c>
      <c r="J46" s="114">
        <f t="shared" si="31"/>
        <v>0.40727961335676621</v>
      </c>
      <c r="K46" s="138">
        <f>'eigene Konditionen'!B$6</f>
        <v>-5.0000000000000001E-3</v>
      </c>
      <c r="L46" s="115">
        <f>'eigene Konditionen'!C$6</f>
        <v>0</v>
      </c>
      <c r="M46" s="119" t="s">
        <v>153</v>
      </c>
    </row>
    <row r="47" spans="1:13" s="119" customFormat="1">
      <c r="A47" s="110" t="s">
        <v>52</v>
      </c>
      <c r="B47" s="111">
        <v>589</v>
      </c>
      <c r="C47" s="112">
        <f t="shared" si="25"/>
        <v>494.9579831932773</v>
      </c>
      <c r="D47" s="111">
        <v>291</v>
      </c>
      <c r="E47" s="111">
        <f t="shared" si="26"/>
        <v>292.45499999999998</v>
      </c>
      <c r="F47" s="113">
        <f t="shared" si="27"/>
        <v>1.6924244180926205</v>
      </c>
      <c r="G47" s="113">
        <f t="shared" si="28"/>
        <v>202.50298319327732</v>
      </c>
      <c r="H47" s="113">
        <f t="shared" si="29"/>
        <v>202.50298319327732</v>
      </c>
      <c r="I47" s="114">
        <f t="shared" si="30"/>
        <v>0.40913166383701188</v>
      </c>
      <c r="J47" s="114">
        <f t="shared" si="31"/>
        <v>0.40913166383701188</v>
      </c>
      <c r="K47" s="138">
        <f>'eigene Konditionen'!B$6</f>
        <v>-5.0000000000000001E-3</v>
      </c>
      <c r="L47" s="115">
        <f>'eigene Konditionen'!C$6</f>
        <v>0</v>
      </c>
      <c r="M47" s="119" t="s">
        <v>154</v>
      </c>
    </row>
    <row r="48" spans="1:13" s="119" customFormat="1">
      <c r="A48" s="110" t="s">
        <v>53</v>
      </c>
      <c r="B48" s="111">
        <v>529</v>
      </c>
      <c r="C48" s="112">
        <f t="shared" si="25"/>
        <v>444.53781512605042</v>
      </c>
      <c r="D48" s="111">
        <v>282</v>
      </c>
      <c r="E48" s="111">
        <f t="shared" si="26"/>
        <v>283.41000000000003</v>
      </c>
      <c r="F48" s="113">
        <f t="shared" si="27"/>
        <v>1.5685325681029265</v>
      </c>
      <c r="G48" s="113">
        <f t="shared" si="28"/>
        <v>161.12781512605039</v>
      </c>
      <c r="H48" s="113">
        <f t="shared" si="29"/>
        <v>161.12781512605039</v>
      </c>
      <c r="I48" s="114">
        <f t="shared" si="30"/>
        <v>0.36246143667296782</v>
      </c>
      <c r="J48" s="114">
        <f t="shared" si="31"/>
        <v>0.36246143667296782</v>
      </c>
      <c r="K48" s="138">
        <f>'eigene Konditionen'!B$6</f>
        <v>-5.0000000000000001E-3</v>
      </c>
      <c r="L48" s="115">
        <f>'eigene Konditionen'!C$6</f>
        <v>0</v>
      </c>
      <c r="M48" s="119" t="s">
        <v>150</v>
      </c>
    </row>
    <row r="49" spans="1:19" s="119" customFormat="1">
      <c r="A49" s="110" t="s">
        <v>54</v>
      </c>
      <c r="B49" s="172">
        <v>529</v>
      </c>
      <c r="C49" s="112">
        <f t="shared" si="25"/>
        <v>444.53781512605042</v>
      </c>
      <c r="D49" s="111">
        <v>282</v>
      </c>
      <c r="E49" s="111">
        <f t="shared" si="26"/>
        <v>283.41000000000003</v>
      </c>
      <c r="F49" s="113">
        <f t="shared" si="27"/>
        <v>1.5685325681029265</v>
      </c>
      <c r="G49" s="113">
        <f t="shared" si="28"/>
        <v>161.12781512605039</v>
      </c>
      <c r="H49" s="113">
        <f t="shared" si="29"/>
        <v>161.12781512605039</v>
      </c>
      <c r="I49" s="114">
        <f t="shared" si="30"/>
        <v>0.36246143667296782</v>
      </c>
      <c r="J49" s="114">
        <f t="shared" si="31"/>
        <v>0.36246143667296782</v>
      </c>
      <c r="K49" s="138">
        <f>'eigene Konditionen'!B$6</f>
        <v>-5.0000000000000001E-3</v>
      </c>
      <c r="L49" s="115">
        <f>'eigene Konditionen'!C$6</f>
        <v>0</v>
      </c>
      <c r="M49" s="119" t="s">
        <v>150</v>
      </c>
    </row>
    <row r="50" spans="1:19" s="119" customFormat="1">
      <c r="A50" s="110" t="s">
        <v>55</v>
      </c>
      <c r="B50" s="171">
        <v>549</v>
      </c>
      <c r="C50" s="112">
        <f t="shared" si="25"/>
        <v>461.34453781512599</v>
      </c>
      <c r="D50" s="111">
        <v>291</v>
      </c>
      <c r="E50" s="111">
        <f t="shared" si="26"/>
        <v>292.45499999999998</v>
      </c>
      <c r="F50" s="113">
        <f t="shared" si="27"/>
        <v>1.5774889737399806</v>
      </c>
      <c r="G50" s="113">
        <f t="shared" si="28"/>
        <v>168.889537815126</v>
      </c>
      <c r="H50" s="113">
        <f t="shared" si="29"/>
        <v>168.889537815126</v>
      </c>
      <c r="I50" s="114">
        <f t="shared" si="30"/>
        <v>0.36608114754098353</v>
      </c>
      <c r="J50" s="114">
        <f t="shared" si="31"/>
        <v>0.36608114754098353</v>
      </c>
      <c r="K50" s="138">
        <f>'eigene Konditionen'!B$6</f>
        <v>-5.0000000000000001E-3</v>
      </c>
      <c r="L50" s="115">
        <f>'eigene Konditionen'!C$6</f>
        <v>0</v>
      </c>
      <c r="M50" s="119" t="s">
        <v>151</v>
      </c>
    </row>
    <row r="51" spans="1:19" s="119" customFormat="1">
      <c r="A51" s="110" t="s">
        <v>161</v>
      </c>
      <c r="B51" s="111">
        <v>749</v>
      </c>
      <c r="C51" s="112">
        <f t="shared" si="25"/>
        <v>629.41176470588232</v>
      </c>
      <c r="D51" s="111">
        <v>389.77</v>
      </c>
      <c r="E51" s="111">
        <f t="shared" si="26"/>
        <v>391.71884999999997</v>
      </c>
      <c r="F51" s="113">
        <f t="shared" si="27"/>
        <v>1.6067946812002598</v>
      </c>
      <c r="G51" s="113">
        <f t="shared" si="28"/>
        <v>237.69291470588234</v>
      </c>
      <c r="H51" s="113">
        <f t="shared" si="29"/>
        <v>237.69291470588234</v>
      </c>
      <c r="I51" s="114">
        <f t="shared" si="30"/>
        <v>0.37764294859813086</v>
      </c>
      <c r="J51" s="114">
        <f t="shared" si="31"/>
        <v>0.37764294859813086</v>
      </c>
      <c r="K51" s="138">
        <f>'eigene Konditionen'!B$6</f>
        <v>-5.0000000000000001E-3</v>
      </c>
      <c r="L51" s="115">
        <f>'eigene Konditionen'!C$6</f>
        <v>0</v>
      </c>
    </row>
    <row r="52" spans="1:19" s="119" customFormat="1">
      <c r="A52" s="110" t="s">
        <v>56</v>
      </c>
      <c r="B52" s="171">
        <v>769</v>
      </c>
      <c r="C52" s="112">
        <f t="shared" si="25"/>
        <v>646.21848739495795</v>
      </c>
      <c r="D52" s="111">
        <v>401.25</v>
      </c>
      <c r="E52" s="111">
        <f t="shared" si="26"/>
        <v>403.25625000000002</v>
      </c>
      <c r="F52" s="113">
        <f t="shared" si="27"/>
        <v>1.6025008599245714</v>
      </c>
      <c r="G52" s="113">
        <f t="shared" si="28"/>
        <v>242.96223739495792</v>
      </c>
      <c r="H52" s="113">
        <f t="shared" si="29"/>
        <v>242.96223739495792</v>
      </c>
      <c r="I52" s="114">
        <f t="shared" si="30"/>
        <v>0.37597537386215857</v>
      </c>
      <c r="J52" s="114">
        <f t="shared" si="31"/>
        <v>0.37597537386215857</v>
      </c>
      <c r="K52" s="138">
        <f>'eigene Konditionen'!B$6</f>
        <v>-5.0000000000000001E-3</v>
      </c>
      <c r="L52" s="115">
        <f>'eigene Konditionen'!C$6</f>
        <v>0</v>
      </c>
    </row>
    <row r="53" spans="1:19" s="119" customFormat="1">
      <c r="A53" s="110" t="s">
        <v>162</v>
      </c>
      <c r="B53" s="111">
        <v>829</v>
      </c>
      <c r="C53" s="112">
        <f t="shared" si="25"/>
        <v>696.63865546218494</v>
      </c>
      <c r="D53" s="111">
        <v>431.21</v>
      </c>
      <c r="E53" s="111">
        <f t="shared" si="26"/>
        <v>433.36604999999997</v>
      </c>
      <c r="F53" s="113">
        <f t="shared" si="27"/>
        <v>1.6075062997255669</v>
      </c>
      <c r="G53" s="113">
        <f t="shared" si="28"/>
        <v>263.27260546218497</v>
      </c>
      <c r="H53" s="113">
        <f t="shared" si="29"/>
        <v>263.27260546218497</v>
      </c>
      <c r="I53" s="114">
        <f t="shared" si="30"/>
        <v>0.37791845657418588</v>
      </c>
      <c r="J53" s="114">
        <f t="shared" si="31"/>
        <v>0.37791845657418588</v>
      </c>
      <c r="K53" s="138">
        <f>'eigene Konditionen'!B$6</f>
        <v>-5.0000000000000001E-3</v>
      </c>
      <c r="L53" s="115">
        <f>'eigene Konditionen'!C$6</f>
        <v>0</v>
      </c>
      <c r="P53" s="116"/>
      <c r="Q53" s="117"/>
      <c r="R53" s="118"/>
      <c r="S53" s="118"/>
    </row>
    <row r="54" spans="1:19" s="119" customFormat="1" ht="15.75" thickBot="1">
      <c r="A54" s="120" t="s">
        <v>57</v>
      </c>
      <c r="B54" s="122">
        <v>849</v>
      </c>
      <c r="C54" s="121">
        <f t="shared" si="25"/>
        <v>713.44537815126057</v>
      </c>
      <c r="D54" s="122">
        <v>441.47</v>
      </c>
      <c r="E54" s="122">
        <f t="shared" si="26"/>
        <v>443.67735000000005</v>
      </c>
      <c r="F54" s="123">
        <f t="shared" si="27"/>
        <v>1.6080274959973966</v>
      </c>
      <c r="G54" s="123">
        <f t="shared" si="28"/>
        <v>269.76802815126052</v>
      </c>
      <c r="H54" s="123">
        <f t="shared" si="29"/>
        <v>269.76802815126052</v>
      </c>
      <c r="I54" s="124">
        <f t="shared" si="30"/>
        <v>0.37812008657243817</v>
      </c>
      <c r="J54" s="124">
        <f t="shared" si="31"/>
        <v>0.37812008657243817</v>
      </c>
      <c r="K54" s="139">
        <f>'eigene Konditionen'!B$6</f>
        <v>-5.0000000000000001E-3</v>
      </c>
      <c r="L54" s="125">
        <f>'eigene Konditionen'!C$6</f>
        <v>0</v>
      </c>
      <c r="P54" s="116"/>
      <c r="Q54" s="117"/>
      <c r="R54" s="118"/>
      <c r="S54" s="118"/>
    </row>
    <row r="55" spans="1:19" s="119" customFormat="1">
      <c r="A55" s="136" t="s">
        <v>17</v>
      </c>
      <c r="B55" s="111"/>
      <c r="C55" s="112"/>
      <c r="D55" s="111"/>
      <c r="E55" s="111"/>
      <c r="F55" s="113"/>
      <c r="G55" s="113"/>
      <c r="H55" s="113"/>
      <c r="I55" s="114"/>
      <c r="J55" s="114"/>
      <c r="K55" s="140"/>
      <c r="L55" s="115"/>
      <c r="P55" s="116"/>
      <c r="Q55" s="117"/>
      <c r="R55" s="133"/>
      <c r="S55" s="133"/>
    </row>
    <row r="56" spans="1:19" s="119" customFormat="1">
      <c r="A56" s="110" t="s">
        <v>109</v>
      </c>
      <c r="B56" s="111">
        <v>279.89999999999998</v>
      </c>
      <c r="C56" s="112">
        <f t="shared" ref="C56:C66" si="38">B56/119*100</f>
        <v>235.21008403361341</v>
      </c>
      <c r="D56" s="111">
        <v>230</v>
      </c>
      <c r="E56" s="111">
        <f t="shared" ref="E56:E58" si="39">D56-K56*D56</f>
        <v>167.9</v>
      </c>
      <c r="F56" s="113">
        <f t="shared" ref="F56:F58" si="40">C56/E56</f>
        <v>1.4008938894199727</v>
      </c>
      <c r="G56" s="113">
        <f t="shared" ref="G56:G58" si="41">C56-E56</f>
        <v>67.310084033613407</v>
      </c>
      <c r="H56" s="113">
        <f t="shared" ref="H56:H58" si="42">C56-E56*(1-L56)</f>
        <v>72.347084033613413</v>
      </c>
      <c r="I56" s="114">
        <f t="shared" ref="I56:I58" si="43">G56/C56</f>
        <v>0.28617006073597701</v>
      </c>
      <c r="J56" s="114">
        <f t="shared" ref="J56:J58" si="44">H56/C56</f>
        <v>0.3075849589138977</v>
      </c>
      <c r="K56" s="115">
        <f>'eigene Konditionen'!B$7</f>
        <v>0.27</v>
      </c>
      <c r="L56" s="115">
        <f>'eigene Konditionen'!C$7</f>
        <v>0.03</v>
      </c>
      <c r="P56" s="116"/>
      <c r="Q56" s="117"/>
      <c r="R56" s="118"/>
      <c r="S56" s="118"/>
    </row>
    <row r="57" spans="1:19" s="119" customFormat="1">
      <c r="A57" s="110" t="s">
        <v>110</v>
      </c>
      <c r="B57" s="111">
        <v>309.89999999999998</v>
      </c>
      <c r="C57" s="112">
        <f t="shared" si="38"/>
        <v>260.42016806722688</v>
      </c>
      <c r="D57" s="111">
        <v>255.21</v>
      </c>
      <c r="E57" s="111">
        <f t="shared" si="39"/>
        <v>186.30330000000001</v>
      </c>
      <c r="F57" s="113">
        <f t="shared" si="40"/>
        <v>1.3978290672641165</v>
      </c>
      <c r="G57" s="113">
        <f t="shared" si="41"/>
        <v>74.116868067226875</v>
      </c>
      <c r="H57" s="113">
        <f t="shared" si="42"/>
        <v>79.705967067226879</v>
      </c>
      <c r="I57" s="114">
        <f t="shared" si="43"/>
        <v>0.28460494675701836</v>
      </c>
      <c r="J57" s="114">
        <f t="shared" si="44"/>
        <v>0.30606679835430783</v>
      </c>
      <c r="K57" s="115">
        <f>'eigene Konditionen'!B$7</f>
        <v>0.27</v>
      </c>
      <c r="L57" s="115">
        <f>'eigene Konditionen'!C$7</f>
        <v>0.03</v>
      </c>
      <c r="P57" s="116"/>
      <c r="Q57" s="117"/>
      <c r="R57" s="118"/>
      <c r="S57" s="118"/>
    </row>
    <row r="58" spans="1:19" s="119" customFormat="1">
      <c r="A58" s="110" t="s">
        <v>111</v>
      </c>
      <c r="B58" s="111">
        <v>309.89999999999998</v>
      </c>
      <c r="C58" s="112">
        <v>272.02</v>
      </c>
      <c r="D58" s="111">
        <v>255.21</v>
      </c>
      <c r="E58" s="111">
        <f t="shared" si="39"/>
        <v>186.30330000000001</v>
      </c>
      <c r="F58" s="113">
        <f t="shared" si="40"/>
        <v>1.4600922259562765</v>
      </c>
      <c r="G58" s="113">
        <f t="shared" si="41"/>
        <v>85.716699999999975</v>
      </c>
      <c r="H58" s="113">
        <f t="shared" si="42"/>
        <v>91.305798999999979</v>
      </c>
      <c r="I58" s="114">
        <f t="shared" si="43"/>
        <v>0.31511175648849343</v>
      </c>
      <c r="J58" s="114">
        <f t="shared" si="44"/>
        <v>0.33565840379383866</v>
      </c>
      <c r="K58" s="115">
        <f>'eigene Konditionen'!B$7</f>
        <v>0.27</v>
      </c>
      <c r="L58" s="115">
        <f>'eigene Konditionen'!C$7</f>
        <v>0.03</v>
      </c>
      <c r="P58" s="116"/>
      <c r="Q58" s="117"/>
      <c r="R58" s="118"/>
      <c r="S58" s="118"/>
    </row>
    <row r="59" spans="1:19" s="119" customFormat="1">
      <c r="A59" s="110" t="s">
        <v>174</v>
      </c>
      <c r="B59" s="111">
        <v>329.9</v>
      </c>
      <c r="C59" s="112">
        <v>272.02</v>
      </c>
      <c r="D59" s="111">
        <v>272.02</v>
      </c>
      <c r="E59" s="111">
        <f t="shared" ref="E59" si="45">D59-K59*D59</f>
        <v>198.57459999999998</v>
      </c>
      <c r="F59" s="113">
        <f t="shared" ref="F59" si="46">C59/E59</f>
        <v>1.3698630136986303</v>
      </c>
      <c r="G59" s="113">
        <f t="shared" ref="G59" si="47">C59-E59</f>
        <v>73.445400000000006</v>
      </c>
      <c r="H59" s="113">
        <f t="shared" ref="H59" si="48">C59-E59*(1-L59)</f>
        <v>79.402638000000024</v>
      </c>
      <c r="I59" s="114">
        <f t="shared" ref="I59" si="49">G59/C59</f>
        <v>0.27</v>
      </c>
      <c r="J59" s="114">
        <f t="shared" ref="J59" si="50">H59/C59</f>
        <v>0.2919000000000001</v>
      </c>
      <c r="K59" s="115">
        <f>'eigene Konditionen'!B$7</f>
        <v>0.27</v>
      </c>
      <c r="L59" s="115">
        <f>'eigene Konditionen'!C$7</f>
        <v>0.03</v>
      </c>
      <c r="P59" s="116"/>
      <c r="Q59" s="117"/>
      <c r="R59" s="118"/>
      <c r="S59" s="118"/>
    </row>
    <row r="60" spans="1:19" s="119" customFormat="1">
      <c r="A60" s="110" t="s">
        <v>108</v>
      </c>
      <c r="B60" s="111">
        <v>399.9</v>
      </c>
      <c r="C60" s="112">
        <f t="shared" si="38"/>
        <v>336.05042016806721</v>
      </c>
      <c r="D60" s="111">
        <v>330</v>
      </c>
      <c r="E60" s="111">
        <f t="shared" ref="E60:E63" si="51">D60-K60*D60</f>
        <v>240.89999999999998</v>
      </c>
      <c r="F60" s="113">
        <f t="shared" ref="F60:F63" si="52">C60/E60</f>
        <v>1.394978913109453</v>
      </c>
      <c r="G60" s="113">
        <f t="shared" ref="G60:G63" si="53">C60-E60</f>
        <v>95.150420168067228</v>
      </c>
      <c r="H60" s="113">
        <f t="shared" ref="H60:H63" si="54">C60-E60*(1-L60)</f>
        <v>102.37742016806723</v>
      </c>
      <c r="I60" s="114">
        <f t="shared" ref="I60:I63" si="55">G60/C60</f>
        <v>0.28314328582145537</v>
      </c>
      <c r="J60" s="114">
        <f t="shared" ref="J60:J63" si="56">H60/C60</f>
        <v>0.30464898724681172</v>
      </c>
      <c r="K60" s="115">
        <f>'eigene Konditionen'!B$7</f>
        <v>0.27</v>
      </c>
      <c r="L60" s="115">
        <f>'eigene Konditionen'!C$7</f>
        <v>0.03</v>
      </c>
      <c r="P60" s="116"/>
      <c r="Q60" s="117"/>
      <c r="R60" s="118"/>
      <c r="S60" s="118"/>
    </row>
    <row r="61" spans="1:19" s="119" customFormat="1">
      <c r="A61" s="110" t="s">
        <v>115</v>
      </c>
      <c r="B61" s="111">
        <v>429.9</v>
      </c>
      <c r="C61" s="112">
        <f t="shared" si="38"/>
        <v>361.26050420168065</v>
      </c>
      <c r="D61" s="111">
        <v>355.21</v>
      </c>
      <c r="E61" s="111">
        <f t="shared" si="51"/>
        <v>259.30329999999998</v>
      </c>
      <c r="F61" s="113">
        <f t="shared" si="52"/>
        <v>1.3931967090340951</v>
      </c>
      <c r="G61" s="113">
        <f t="shared" si="53"/>
        <v>101.95720420168067</v>
      </c>
      <c r="H61" s="113">
        <f t="shared" si="54"/>
        <v>109.73630320168067</v>
      </c>
      <c r="I61" s="114">
        <f t="shared" si="55"/>
        <v>0.28222626889974411</v>
      </c>
      <c r="J61" s="114">
        <f t="shared" si="56"/>
        <v>0.30375948083275184</v>
      </c>
      <c r="K61" s="115">
        <f>'eigene Konditionen'!B$7</f>
        <v>0.27</v>
      </c>
      <c r="L61" s="115">
        <f>'eigene Konditionen'!C$7</f>
        <v>0.03</v>
      </c>
      <c r="P61" s="116"/>
      <c r="Q61" s="117"/>
      <c r="R61" s="118"/>
      <c r="S61" s="118"/>
    </row>
    <row r="62" spans="1:19" s="119" customFormat="1">
      <c r="A62" s="110" t="s">
        <v>116</v>
      </c>
      <c r="B62" s="111">
        <v>429.9</v>
      </c>
      <c r="C62" s="112">
        <f t="shared" si="38"/>
        <v>361.26050420168065</v>
      </c>
      <c r="D62" s="111">
        <v>355.2</v>
      </c>
      <c r="E62" s="111">
        <f t="shared" si="51"/>
        <v>259.29599999999999</v>
      </c>
      <c r="F62" s="113">
        <f t="shared" si="52"/>
        <v>1.393235931914417</v>
      </c>
      <c r="G62" s="113">
        <f t="shared" si="53"/>
        <v>101.96450420168065</v>
      </c>
      <c r="H62" s="113">
        <f t="shared" si="54"/>
        <v>109.74338420168067</v>
      </c>
      <c r="I62" s="114">
        <f t="shared" si="55"/>
        <v>0.28224647592463359</v>
      </c>
      <c r="J62" s="114">
        <f t="shared" si="56"/>
        <v>0.30377908164689466</v>
      </c>
      <c r="K62" s="115">
        <f>'eigene Konditionen'!B$7</f>
        <v>0.27</v>
      </c>
      <c r="L62" s="115">
        <f>'eigene Konditionen'!C$7</f>
        <v>0.03</v>
      </c>
      <c r="P62" s="116"/>
      <c r="Q62" s="117"/>
      <c r="R62" s="118"/>
      <c r="S62" s="118"/>
    </row>
    <row r="63" spans="1:19" s="119" customFormat="1">
      <c r="A63" s="110" t="s">
        <v>117</v>
      </c>
      <c r="B63" s="111">
        <v>349.9</v>
      </c>
      <c r="C63" s="112">
        <f t="shared" si="38"/>
        <v>294.03361344537814</v>
      </c>
      <c r="D63" s="111">
        <v>270</v>
      </c>
      <c r="E63" s="111">
        <f t="shared" si="51"/>
        <v>197.1</v>
      </c>
      <c r="F63" s="113">
        <f t="shared" si="52"/>
        <v>1.4917991549740139</v>
      </c>
      <c r="G63" s="113">
        <f t="shared" si="53"/>
        <v>96.933613445378143</v>
      </c>
      <c r="H63" s="113">
        <f t="shared" si="54"/>
        <v>102.84661344537815</v>
      </c>
      <c r="I63" s="114">
        <f t="shared" si="55"/>
        <v>0.32966847670763072</v>
      </c>
      <c r="J63" s="114">
        <f t="shared" si="56"/>
        <v>0.34977842240640183</v>
      </c>
      <c r="K63" s="115">
        <f>'eigene Konditionen'!B$7</f>
        <v>0.27</v>
      </c>
      <c r="L63" s="115">
        <f>'eigene Konditionen'!C$7</f>
        <v>0.03</v>
      </c>
      <c r="P63" s="116"/>
      <c r="Q63" s="117"/>
      <c r="R63" s="118"/>
      <c r="S63" s="118"/>
    </row>
    <row r="64" spans="1:19" s="119" customFormat="1">
      <c r="A64" s="110" t="s">
        <v>138</v>
      </c>
      <c r="B64" s="171">
        <v>549.9</v>
      </c>
      <c r="C64" s="112">
        <f t="shared" si="38"/>
        <v>462.10084033613441</v>
      </c>
      <c r="D64" s="111">
        <v>460</v>
      </c>
      <c r="E64" s="111">
        <f t="shared" ref="E64:E66" si="57">D64-K64*D64</f>
        <v>335.8</v>
      </c>
      <c r="F64" s="113">
        <f t="shared" ref="F64" si="58">C64/E64</f>
        <v>1.376119238642449</v>
      </c>
      <c r="G64" s="113">
        <f t="shared" ref="G64" si="59">C64-E64</f>
        <v>126.3008403361344</v>
      </c>
      <c r="H64" s="113">
        <f t="shared" ref="H64" si="60">C64-E64*(1-L64)</f>
        <v>136.37484033613441</v>
      </c>
      <c r="I64" s="114">
        <f t="shared" ref="I64" si="61">G64/C64</f>
        <v>0.27331878523367875</v>
      </c>
      <c r="J64" s="114">
        <f t="shared" ref="J64" si="62">H64/C64</f>
        <v>0.29511922167666843</v>
      </c>
      <c r="K64" s="115">
        <f>'eigene Konditionen'!B$7</f>
        <v>0.27</v>
      </c>
      <c r="L64" s="115">
        <f>'eigene Konditionen'!C$7</f>
        <v>0.03</v>
      </c>
    </row>
    <row r="65" spans="1:13" s="119" customFormat="1">
      <c r="A65" s="110" t="s">
        <v>139</v>
      </c>
      <c r="B65" s="171">
        <v>579.9</v>
      </c>
      <c r="C65" s="112">
        <f t="shared" si="38"/>
        <v>487.31092436974785</v>
      </c>
      <c r="D65" s="111">
        <v>579.9</v>
      </c>
      <c r="E65" s="111">
        <f t="shared" si="57"/>
        <v>423.327</v>
      </c>
      <c r="F65" s="113">
        <f t="shared" ref="F65:F66" si="63">C65/E65</f>
        <v>1.1511453896627144</v>
      </c>
      <c r="G65" s="113">
        <f t="shared" ref="G65:G66" si="64">C65-E65</f>
        <v>63.983924369747854</v>
      </c>
      <c r="H65" s="113">
        <f t="shared" ref="H65:H66" si="65">C65-E65*(1-L65)</f>
        <v>76.683734369747867</v>
      </c>
      <c r="I65" s="114">
        <f t="shared" ref="I65:I66" si="66">G65/C65</f>
        <v>0.13129999999999992</v>
      </c>
      <c r="J65" s="114">
        <f t="shared" ref="J65:J66" si="67">H65/C65</f>
        <v>0.15736099999999995</v>
      </c>
      <c r="K65" s="115">
        <f>'eigene Konditionen'!B$7</f>
        <v>0.27</v>
      </c>
      <c r="L65" s="115">
        <f>'eigene Konditionen'!C$7</f>
        <v>0.03</v>
      </c>
    </row>
    <row r="66" spans="1:13" s="119" customFormat="1">
      <c r="A66" s="110" t="s">
        <v>140</v>
      </c>
      <c r="B66" s="171">
        <v>499.9</v>
      </c>
      <c r="C66" s="112">
        <f t="shared" si="38"/>
        <v>420.0840336134454</v>
      </c>
      <c r="D66" s="111">
        <v>370</v>
      </c>
      <c r="E66" s="111">
        <f t="shared" si="57"/>
        <v>270.10000000000002</v>
      </c>
      <c r="F66" s="113">
        <f t="shared" si="63"/>
        <v>1.5552907575470025</v>
      </c>
      <c r="G66" s="113">
        <f t="shared" si="64"/>
        <v>149.98403361344538</v>
      </c>
      <c r="H66" s="113">
        <f t="shared" si="65"/>
        <v>158.08703361344539</v>
      </c>
      <c r="I66" s="114">
        <f t="shared" si="66"/>
        <v>0.35703340668133626</v>
      </c>
      <c r="J66" s="114">
        <f t="shared" si="67"/>
        <v>0.37632240448089616</v>
      </c>
      <c r="K66" s="115">
        <f>'eigene Konditionen'!B$7</f>
        <v>0.27</v>
      </c>
      <c r="L66" s="115">
        <f>'eigene Konditionen'!C$7</f>
        <v>0.03</v>
      </c>
    </row>
    <row r="67" spans="1:13" s="119" customFormat="1">
      <c r="A67" s="134" t="s">
        <v>173</v>
      </c>
      <c r="B67" s="111"/>
      <c r="C67" s="112"/>
      <c r="D67" s="111"/>
      <c r="E67" s="111"/>
      <c r="F67" s="113"/>
      <c r="G67" s="113"/>
      <c r="H67" s="113"/>
      <c r="I67" s="114"/>
      <c r="J67" s="114"/>
      <c r="K67" s="140"/>
      <c r="L67" s="115"/>
    </row>
    <row r="68" spans="1:13" s="119" customFormat="1">
      <c r="A68" s="223" t="s">
        <v>112</v>
      </c>
      <c r="B68" s="226">
        <v>499.9</v>
      </c>
      <c r="C68" s="227">
        <f t="shared" ref="C68:C71" si="68">B68/119*100</f>
        <v>420.0840336134454</v>
      </c>
      <c r="D68" s="226">
        <v>420</v>
      </c>
      <c r="E68" s="111">
        <f t="shared" ref="E68:E71" si="69">D68-K68*D68</f>
        <v>306.60000000000002</v>
      </c>
      <c r="F68" s="113">
        <f t="shared" ref="F68:F71" si="70">C68/E68</f>
        <v>1.370137095934264</v>
      </c>
      <c r="G68" s="113">
        <f t="shared" ref="G68:G71" si="71">C68-E68</f>
        <v>113.48403361344538</v>
      </c>
      <c r="H68" s="113">
        <f t="shared" ref="H68:H71" si="72">C68-E68*(1-L68)</f>
        <v>122.68203361344541</v>
      </c>
      <c r="I68" s="114">
        <f t="shared" ref="I68:I71" si="73">G68/C68</f>
        <v>0.27014602920584113</v>
      </c>
      <c r="J68" s="114">
        <f t="shared" ref="J68:J71" si="74">H68/C68</f>
        <v>0.292041648329666</v>
      </c>
      <c r="K68" s="115">
        <f>'eigene Konditionen'!B$7</f>
        <v>0.27</v>
      </c>
      <c r="L68" s="115">
        <f>'eigene Konditionen'!C$7</f>
        <v>0.03</v>
      </c>
    </row>
    <row r="69" spans="1:13" s="119" customFormat="1">
      <c r="A69" s="110" t="s">
        <v>113</v>
      </c>
      <c r="B69" s="168">
        <v>529.9</v>
      </c>
      <c r="C69" s="169">
        <f t="shared" si="68"/>
        <v>445.29411764705884</v>
      </c>
      <c r="D69" s="168">
        <v>445.21</v>
      </c>
      <c r="E69" s="111">
        <f t="shared" si="69"/>
        <v>325.00329999999997</v>
      </c>
      <c r="F69" s="113">
        <f t="shared" si="70"/>
        <v>1.3701218346000146</v>
      </c>
      <c r="G69" s="113">
        <f t="shared" si="71"/>
        <v>120.29081764705887</v>
      </c>
      <c r="H69" s="113">
        <f t="shared" si="72"/>
        <v>130.04091664705891</v>
      </c>
      <c r="I69" s="114">
        <f t="shared" si="73"/>
        <v>0.27013789960369894</v>
      </c>
      <c r="J69" s="114">
        <f t="shared" si="74"/>
        <v>0.292033762615588</v>
      </c>
      <c r="K69" s="115">
        <f>'eigene Konditionen'!B$7</f>
        <v>0.27</v>
      </c>
      <c r="L69" s="115">
        <f>'eigene Konditionen'!C$7</f>
        <v>0.03</v>
      </c>
    </row>
    <row r="70" spans="1:13" s="119" customFormat="1">
      <c r="A70" s="228" t="s">
        <v>114</v>
      </c>
      <c r="B70" s="168">
        <v>529.9</v>
      </c>
      <c r="C70" s="169">
        <v>462.10084033613441</v>
      </c>
      <c r="D70" s="168">
        <v>445.21</v>
      </c>
      <c r="E70" s="168">
        <v>337.27459999999996</v>
      </c>
      <c r="F70" s="201">
        <v>1.370102700695915</v>
      </c>
      <c r="G70" s="201">
        <v>124.82624033613445</v>
      </c>
      <c r="H70" s="201">
        <v>134.94447833613447</v>
      </c>
      <c r="I70" s="202">
        <v>0.27012770685579196</v>
      </c>
      <c r="J70" s="202">
        <v>0.29202387565011828</v>
      </c>
      <c r="K70" s="170">
        <v>0.27</v>
      </c>
      <c r="L70" s="170">
        <v>0.03</v>
      </c>
    </row>
    <row r="71" spans="1:13" s="119" customFormat="1" ht="15.75" thickBot="1">
      <c r="A71" s="120" t="s">
        <v>175</v>
      </c>
      <c r="B71" s="122">
        <v>549.9</v>
      </c>
      <c r="C71" s="121">
        <f t="shared" si="68"/>
        <v>462.10084033613441</v>
      </c>
      <c r="D71" s="122">
        <v>462.02</v>
      </c>
      <c r="E71" s="122">
        <f t="shared" si="69"/>
        <v>337.27459999999996</v>
      </c>
      <c r="F71" s="123">
        <f t="shared" si="70"/>
        <v>1.370102700695915</v>
      </c>
      <c r="G71" s="123">
        <f t="shared" si="71"/>
        <v>124.82624033613445</v>
      </c>
      <c r="H71" s="123">
        <f t="shared" si="72"/>
        <v>134.94447833613447</v>
      </c>
      <c r="I71" s="124">
        <f t="shared" si="73"/>
        <v>0.27012770685579196</v>
      </c>
      <c r="J71" s="124">
        <f t="shared" si="74"/>
        <v>0.29202387565011828</v>
      </c>
      <c r="K71" s="125">
        <f>'eigene Konditionen'!B$7</f>
        <v>0.27</v>
      </c>
      <c r="L71" s="125">
        <f>'eigene Konditionen'!C$7</f>
        <v>0.03</v>
      </c>
    </row>
    <row r="72" spans="1:13" s="119" customFormat="1">
      <c r="A72" s="136" t="s">
        <v>58</v>
      </c>
      <c r="B72" s="127"/>
      <c r="C72" s="126"/>
      <c r="D72" s="127"/>
      <c r="E72" s="127"/>
      <c r="F72" s="128"/>
      <c r="G72" s="128"/>
      <c r="H72" s="128"/>
      <c r="I72" s="129"/>
      <c r="J72" s="129"/>
      <c r="K72" s="131"/>
      <c r="L72" s="131"/>
    </row>
    <row r="73" spans="1:13" s="119" customFormat="1">
      <c r="A73" s="110" t="s">
        <v>177</v>
      </c>
      <c r="B73" s="111">
        <v>249</v>
      </c>
      <c r="C73" s="112">
        <f>B73/119*100</f>
        <v>209.24369747899161</v>
      </c>
      <c r="D73" s="111">
        <v>95</v>
      </c>
      <c r="E73" s="111">
        <f>D73-K73*D73</f>
        <v>95</v>
      </c>
      <c r="F73" s="113">
        <f>C73/E73</f>
        <v>2.2025652366209645</v>
      </c>
      <c r="G73" s="113">
        <f>C73-E73</f>
        <v>114.24369747899161</v>
      </c>
      <c r="H73" s="113">
        <f>C73-E73*(1-L73)</f>
        <v>117.09369747899161</v>
      </c>
      <c r="I73" s="114">
        <f>G73/C73</f>
        <v>0.54598393574297188</v>
      </c>
      <c r="J73" s="114">
        <f>H73/C73</f>
        <v>0.55960441767068281</v>
      </c>
      <c r="K73" s="115">
        <f>'eigene Konditionen'!B$8</f>
        <v>0</v>
      </c>
      <c r="L73" s="115">
        <f>'eigene Konditionen'!C$8</f>
        <v>0.03</v>
      </c>
      <c r="M73" s="119" t="s">
        <v>59</v>
      </c>
    </row>
    <row r="74" spans="1:13" s="119" customFormat="1" ht="15.75" thickBot="1">
      <c r="A74" s="120" t="s">
        <v>178</v>
      </c>
      <c r="B74" s="122">
        <v>249</v>
      </c>
      <c r="C74" s="121">
        <f>B74/119*100</f>
        <v>209.24369747899161</v>
      </c>
      <c r="D74" s="122">
        <v>85</v>
      </c>
      <c r="E74" s="122">
        <f>D74-K74*D74</f>
        <v>85</v>
      </c>
      <c r="F74" s="123">
        <f>C74/E74</f>
        <v>2.4616905585763718</v>
      </c>
      <c r="G74" s="123">
        <f>C74-E74</f>
        <v>124.24369747899161</v>
      </c>
      <c r="H74" s="123">
        <f>C74-E74*(1-L74)</f>
        <v>126.7936974789916</v>
      </c>
      <c r="I74" s="124">
        <f>G74/C74</f>
        <v>0.59377510040160641</v>
      </c>
      <c r="J74" s="124">
        <f>H74/C74</f>
        <v>0.60596184738955827</v>
      </c>
      <c r="K74" s="125">
        <f>'eigene Konditionen'!B$8</f>
        <v>0</v>
      </c>
      <c r="L74" s="125">
        <f>'eigene Konditionen'!C$8</f>
        <v>0.03</v>
      </c>
    </row>
    <row r="75" spans="1:13" s="119" customFormat="1" ht="12.6" customHeight="1">
      <c r="A75" s="136" t="s">
        <v>21</v>
      </c>
      <c r="B75" s="172"/>
      <c r="C75" s="112"/>
      <c r="D75" s="111"/>
      <c r="E75" s="111"/>
      <c r="F75" s="113"/>
      <c r="G75" s="113"/>
      <c r="H75" s="113"/>
      <c r="I75" s="114"/>
      <c r="J75" s="114"/>
      <c r="K75" s="115"/>
      <c r="L75" s="115"/>
    </row>
    <row r="76" spans="1:13" s="119" customFormat="1">
      <c r="A76" s="110" t="s">
        <v>191</v>
      </c>
      <c r="B76" s="111">
        <v>349.95</v>
      </c>
      <c r="C76" s="112">
        <f>B76/119*100</f>
        <v>294.07563025210084</v>
      </c>
      <c r="D76" s="111">
        <v>219.5</v>
      </c>
      <c r="E76" s="111">
        <f>D76-K76*D76</f>
        <v>219.5</v>
      </c>
      <c r="F76" s="113">
        <f>C76/E76</f>
        <v>1.3397523018318944</v>
      </c>
      <c r="G76" s="113">
        <f>C76-E76</f>
        <v>74.575630252100837</v>
      </c>
      <c r="H76" s="113">
        <f>C76-E76*(1-L76)</f>
        <v>81.160630252100844</v>
      </c>
      <c r="I76" s="114">
        <f>G76/C76</f>
        <v>0.25359337048149733</v>
      </c>
      <c r="J76" s="114">
        <f>H76/C76</f>
        <v>0.27598556936705243</v>
      </c>
      <c r="K76" s="115">
        <f>'eigene Konditionen'!B$9</f>
        <v>0</v>
      </c>
      <c r="L76" s="115">
        <f>'eigene Konditionen'!C$9</f>
        <v>0.03</v>
      </c>
    </row>
    <row r="77" spans="1:13" s="119" customFormat="1">
      <c r="A77" s="110" t="s">
        <v>192</v>
      </c>
      <c r="B77" s="111">
        <v>399.95</v>
      </c>
      <c r="C77" s="112">
        <f>B77/119*100</f>
        <v>336.0924369747899</v>
      </c>
      <c r="D77" s="111">
        <v>250.9</v>
      </c>
      <c r="E77" s="111">
        <f>D77-K77*D77</f>
        <v>250.9</v>
      </c>
      <c r="F77" s="113">
        <f>C77/E77</f>
        <v>1.3395473773407329</v>
      </c>
      <c r="G77" s="113">
        <f>C77-E77</f>
        <v>85.192436974789899</v>
      </c>
      <c r="H77" s="113">
        <f>C77-E77*(1-L77)</f>
        <v>92.719436974789915</v>
      </c>
      <c r="I77" s="114">
        <f>G77/C77</f>
        <v>0.25347918489811222</v>
      </c>
      <c r="J77" s="114">
        <f>H77/C77</f>
        <v>0.27587480935116893</v>
      </c>
      <c r="K77" s="115">
        <f>'eigene Konditionen'!B$9</f>
        <v>0</v>
      </c>
      <c r="L77" s="115">
        <f>'eigene Konditionen'!C$9</f>
        <v>0.03</v>
      </c>
    </row>
    <row r="78" spans="1:13" s="119" customFormat="1">
      <c r="A78" s="110" t="s">
        <v>60</v>
      </c>
      <c r="B78" s="111">
        <v>249.95</v>
      </c>
      <c r="C78" s="112">
        <f>B78/119*100</f>
        <v>210.0420168067227</v>
      </c>
      <c r="D78" s="111">
        <v>180.1</v>
      </c>
      <c r="E78" s="111">
        <f>D78-K78*D78</f>
        <v>180.1</v>
      </c>
      <c r="F78" s="113">
        <f>C78/E78</f>
        <v>1.1662521754954065</v>
      </c>
      <c r="G78" s="113">
        <f>C78-E78</f>
        <v>29.942016806722705</v>
      </c>
      <c r="H78" s="113">
        <f>C78-E78*(1-L78)</f>
        <v>35.345016806722697</v>
      </c>
      <c r="I78" s="114">
        <f>G78/C78</f>
        <v>0.14255251050210049</v>
      </c>
      <c r="J78" s="114">
        <f>H78/C78</f>
        <v>0.16827593518703743</v>
      </c>
      <c r="K78" s="115">
        <f>'eigene Konditionen'!B$9</f>
        <v>0</v>
      </c>
      <c r="L78" s="115">
        <f>'eigene Konditionen'!C$9</f>
        <v>0.03</v>
      </c>
    </row>
    <row r="79" spans="1:13" s="119" customFormat="1" ht="15.75" thickBot="1">
      <c r="A79" s="120" t="s">
        <v>61</v>
      </c>
      <c r="B79" s="122">
        <v>439.95</v>
      </c>
      <c r="C79" s="121">
        <f>B79/119*100</f>
        <v>369.70588235294116</v>
      </c>
      <c r="D79" s="122">
        <v>297.60000000000002</v>
      </c>
      <c r="E79" s="122">
        <f>D79-K79*D79</f>
        <v>297.60000000000002</v>
      </c>
      <c r="F79" s="123">
        <f>C79/E79</f>
        <v>1.2422912713472485</v>
      </c>
      <c r="G79" s="123">
        <f>C79-E79</f>
        <v>72.105882352941137</v>
      </c>
      <c r="H79" s="123">
        <f>C79-E79*(1-L79)</f>
        <v>81.033882352941134</v>
      </c>
      <c r="I79" s="124">
        <f>G79/C79</f>
        <v>0.19503579952267294</v>
      </c>
      <c r="J79" s="124">
        <f>H79/C79</f>
        <v>0.21918472553699272</v>
      </c>
      <c r="K79" s="125">
        <f>'eigene Konditionen'!B$9</f>
        <v>0</v>
      </c>
      <c r="L79" s="125">
        <f>'eigene Konditionen'!C$9</f>
        <v>0.03</v>
      </c>
    </row>
    <row r="80" spans="1:13" s="119" customFormat="1">
      <c r="A80" s="136" t="s">
        <v>62</v>
      </c>
      <c r="B80" s="111"/>
      <c r="C80" s="112"/>
      <c r="D80" s="111"/>
      <c r="E80" s="111"/>
      <c r="F80" s="113"/>
      <c r="G80" s="113"/>
      <c r="H80" s="113"/>
      <c r="I80" s="114"/>
      <c r="J80" s="114"/>
      <c r="K80" s="115"/>
      <c r="L80" s="115"/>
    </row>
    <row r="81" spans="1:17" s="119" customFormat="1">
      <c r="A81" s="110" t="s">
        <v>63</v>
      </c>
      <c r="B81" s="111">
        <v>559.95000000000005</v>
      </c>
      <c r="C81" s="112">
        <f>B81/119*100</f>
        <v>470.54621848739498</v>
      </c>
      <c r="D81" s="111">
        <v>330.4</v>
      </c>
      <c r="E81" s="111">
        <f>D81-K81*D81</f>
        <v>330.4</v>
      </c>
      <c r="F81" s="113">
        <f>C81/E81</f>
        <v>1.4241713634606386</v>
      </c>
      <c r="G81" s="113">
        <f>C81-E81</f>
        <v>140.146218487395</v>
      </c>
      <c r="H81" s="113">
        <f>C81-E81*(1-L81)</f>
        <v>150.05821848739504</v>
      </c>
      <c r="I81" s="114">
        <f>G81/C81</f>
        <v>0.29783730690240207</v>
      </c>
      <c r="J81" s="114">
        <f>H81/C81</f>
        <v>0.31890218769533007</v>
      </c>
      <c r="K81" s="115">
        <f>'eigene Konditionen'!B$10</f>
        <v>0</v>
      </c>
      <c r="L81" s="115">
        <f>'eigene Konditionen'!C$10</f>
        <v>0.03</v>
      </c>
    </row>
    <row r="82" spans="1:17" s="119" customFormat="1" ht="15.75" thickBot="1">
      <c r="A82" s="120" t="s">
        <v>64</v>
      </c>
      <c r="B82" s="122">
        <v>589.95000000000005</v>
      </c>
      <c r="C82" s="121">
        <f>B82/119*100</f>
        <v>495.75630252100842</v>
      </c>
      <c r="D82" s="122">
        <v>348.1</v>
      </c>
      <c r="E82" s="122">
        <f>D82-K82*D82</f>
        <v>348.1</v>
      </c>
      <c r="F82" s="123">
        <f>C82/E82</f>
        <v>1.4241778297070049</v>
      </c>
      <c r="G82" s="123">
        <f>C82-E82</f>
        <v>147.6563025210084</v>
      </c>
      <c r="H82" s="123">
        <f>C82-E82*(1-L82)</f>
        <v>158.09930252100838</v>
      </c>
      <c r="I82" s="124">
        <f>G82/C82</f>
        <v>0.29784049495719972</v>
      </c>
      <c r="J82" s="124">
        <f>H82/C82</f>
        <v>0.31890528010848374</v>
      </c>
      <c r="K82" s="125">
        <f>'eigene Konditionen'!B$10</f>
        <v>0</v>
      </c>
      <c r="L82" s="125">
        <f>'eigene Konditionen'!C$10</f>
        <v>0.03</v>
      </c>
    </row>
    <row r="83" spans="1:17" s="119" customFormat="1">
      <c r="A83" s="167" t="s">
        <v>129</v>
      </c>
      <c r="B83" s="168"/>
      <c r="C83" s="169"/>
      <c r="D83" s="168"/>
      <c r="E83" s="168"/>
      <c r="F83" s="201"/>
      <c r="G83" s="201"/>
      <c r="H83" s="201"/>
      <c r="I83" s="202"/>
      <c r="J83" s="202"/>
      <c r="K83" s="170"/>
      <c r="L83" s="170"/>
    </row>
    <row r="84" spans="1:17" s="141" customFormat="1">
      <c r="A84" s="228" t="s">
        <v>130</v>
      </c>
      <c r="B84" s="168">
        <v>249</v>
      </c>
      <c r="C84" s="169">
        <f>B84/119*100</f>
        <v>209.24369747899161</v>
      </c>
      <c r="D84" s="168">
        <f>68.95+43.95</f>
        <v>112.9</v>
      </c>
      <c r="E84" s="111">
        <f t="shared" ref="E84" si="75">D84-K84*D84</f>
        <v>107.25500000000001</v>
      </c>
      <c r="F84" s="113">
        <f t="shared" ref="F84" si="76">C84/E84</f>
        <v>1.9508992352710044</v>
      </c>
      <c r="G84" s="113">
        <f t="shared" ref="G84" si="77">C84-E84</f>
        <v>101.9886974789916</v>
      </c>
      <c r="H84" s="113">
        <f t="shared" ref="H84" si="78">C84-E84*(1-L84)</f>
        <v>107.3514474789916</v>
      </c>
      <c r="I84" s="114">
        <f t="shared" ref="I84" si="79">G84/C84</f>
        <v>0.48741586345381521</v>
      </c>
      <c r="J84" s="114">
        <f t="shared" ref="J84" si="80">H84/C84</f>
        <v>0.51304507028112445</v>
      </c>
      <c r="K84" s="170">
        <f>'eigene Konditionen'!B$16</f>
        <v>0.05</v>
      </c>
      <c r="L84" s="170">
        <f>'eigene Konditionen'!C$16</f>
        <v>0.05</v>
      </c>
    </row>
    <row r="85" spans="1:17" s="141" customFormat="1">
      <c r="A85" s="228" t="s">
        <v>128</v>
      </c>
      <c r="B85" s="168">
        <v>114.95</v>
      </c>
      <c r="C85" s="169">
        <f>B85/119*100</f>
        <v>96.596638655462186</v>
      </c>
      <c r="D85" s="168">
        <v>71.900000000000006</v>
      </c>
      <c r="E85" s="111">
        <f t="shared" ref="E85:E86" si="81">D85-K85*D85</f>
        <v>68.305000000000007</v>
      </c>
      <c r="F85" s="113">
        <f t="shared" ref="F85:F86" si="82">C85/E85</f>
        <v>1.4141957200126225</v>
      </c>
      <c r="G85" s="113">
        <f t="shared" ref="G85:G86" si="83">C85-E85</f>
        <v>28.291638655462179</v>
      </c>
      <c r="H85" s="113">
        <f t="shared" ref="H85:H86" si="84">C85-E85*(1-L85)</f>
        <v>31.70688865546218</v>
      </c>
      <c r="I85" s="114">
        <f t="shared" ref="I85:I86" si="85">G85/C85</f>
        <v>0.29288429752066109</v>
      </c>
      <c r="J85" s="114">
        <f t="shared" ref="J85:J86" si="86">H85/C85</f>
        <v>0.32824008264462806</v>
      </c>
      <c r="K85" s="170">
        <f>'eigene Konditionen'!B$16</f>
        <v>0.05</v>
      </c>
      <c r="L85" s="170">
        <f>'eigene Konditionen'!C$16</f>
        <v>0.05</v>
      </c>
    </row>
    <row r="86" spans="1:17" s="141" customFormat="1" ht="15.75" thickBot="1">
      <c r="A86" s="120" t="s">
        <v>127</v>
      </c>
      <c r="B86" s="122">
        <v>269.95</v>
      </c>
      <c r="C86" s="121">
        <f>B86/119*100</f>
        <v>226.84873949579833</v>
      </c>
      <c r="D86" s="122">
        <v>168.7</v>
      </c>
      <c r="E86" s="122">
        <f t="shared" si="81"/>
        <v>160.26499999999999</v>
      </c>
      <c r="F86" s="123">
        <f t="shared" si="82"/>
        <v>1.4154602657835358</v>
      </c>
      <c r="G86" s="123">
        <f t="shared" si="83"/>
        <v>66.583739495798341</v>
      </c>
      <c r="H86" s="123">
        <f t="shared" si="84"/>
        <v>74.59698949579834</v>
      </c>
      <c r="I86" s="124">
        <f t="shared" si="85"/>
        <v>0.29351602148546035</v>
      </c>
      <c r="J86" s="124">
        <f t="shared" si="86"/>
        <v>0.32884022041118732</v>
      </c>
      <c r="K86" s="125">
        <f>'eigene Konditionen'!B$16</f>
        <v>0.05</v>
      </c>
      <c r="L86" s="125">
        <f>'eigene Konditionen'!C$16</f>
        <v>0.05</v>
      </c>
    </row>
    <row r="87" spans="1:17" s="141" customFormat="1">
      <c r="A87" s="103" t="s">
        <v>65</v>
      </c>
      <c r="B87" s="229"/>
      <c r="C87" s="227"/>
      <c r="D87" s="127"/>
      <c r="E87" s="127"/>
      <c r="F87" s="128"/>
      <c r="G87" s="128"/>
      <c r="H87" s="128"/>
      <c r="I87" s="129"/>
      <c r="J87" s="129"/>
      <c r="K87" s="230"/>
      <c r="L87" s="230"/>
    </row>
    <row r="88" spans="1:17" s="119" customFormat="1">
      <c r="A88" s="228" t="s">
        <v>123</v>
      </c>
      <c r="B88" s="168">
        <v>339.95</v>
      </c>
      <c r="C88" s="169">
        <f t="shared" ref="C88:C89" si="87">B88/119*100</f>
        <v>285.67226890756302</v>
      </c>
      <c r="D88" s="168">
        <v>200</v>
      </c>
      <c r="E88" s="111">
        <f t="shared" ref="E88:E89" si="88">D88-K88*D88</f>
        <v>190</v>
      </c>
      <c r="F88" s="113">
        <f t="shared" ref="F88:F89" si="89">C88/E88</f>
        <v>1.5035382574082263</v>
      </c>
      <c r="G88" s="113">
        <f t="shared" ref="G88:G89" si="90">C88-E88</f>
        <v>95.672268907563023</v>
      </c>
      <c r="H88" s="113">
        <f t="shared" ref="H88:H89" si="91">C88-E88*(1-L88)</f>
        <v>105.17226890756302</v>
      </c>
      <c r="I88" s="114">
        <f t="shared" ref="I88:I89" si="92">G88/C88</f>
        <v>0.33490219149874983</v>
      </c>
      <c r="J88" s="114">
        <f t="shared" ref="J88:J89" si="93">H88/C88</f>
        <v>0.3681570819238123</v>
      </c>
      <c r="K88" s="170">
        <f>'eigene Konditionen'!B$16</f>
        <v>0.05</v>
      </c>
      <c r="L88" s="170">
        <f>'eigene Konditionen'!C$16</f>
        <v>0.05</v>
      </c>
      <c r="P88" s="116"/>
      <c r="Q88" s="117"/>
    </row>
    <row r="89" spans="1:17" s="119" customFormat="1">
      <c r="A89" s="228" t="s">
        <v>124</v>
      </c>
      <c r="B89" s="168">
        <v>499.95</v>
      </c>
      <c r="C89" s="169">
        <f t="shared" si="87"/>
        <v>420.1260504201681</v>
      </c>
      <c r="D89" s="168">
        <v>294.10000000000002</v>
      </c>
      <c r="E89" s="111">
        <f t="shared" si="88"/>
        <v>279.39500000000004</v>
      </c>
      <c r="F89" s="113">
        <f t="shared" si="89"/>
        <v>1.5036992445110615</v>
      </c>
      <c r="G89" s="113">
        <f t="shared" si="90"/>
        <v>140.73105042016806</v>
      </c>
      <c r="H89" s="113">
        <f t="shared" si="91"/>
        <v>154.70080042016809</v>
      </c>
      <c r="I89" s="114">
        <f t="shared" si="92"/>
        <v>0.33497339733973391</v>
      </c>
      <c r="J89" s="114">
        <f t="shared" si="93"/>
        <v>0.36822472747274732</v>
      </c>
      <c r="K89" s="170">
        <f>'eigene Konditionen'!B$16</f>
        <v>0.05</v>
      </c>
      <c r="L89" s="170">
        <f>'eigene Konditionen'!C$16</f>
        <v>0.05</v>
      </c>
      <c r="P89" s="116"/>
      <c r="Q89" s="117"/>
    </row>
    <row r="90" spans="1:17" s="119" customFormat="1">
      <c r="A90" s="223" t="s">
        <v>66</v>
      </c>
      <c r="B90" s="127">
        <v>309.95</v>
      </c>
      <c r="C90" s="126">
        <f>B90/119*100</f>
        <v>260.46218487394958</v>
      </c>
      <c r="D90" s="127">
        <v>187.9</v>
      </c>
      <c r="E90" s="127">
        <f>D90-K90*D90</f>
        <v>178.505</v>
      </c>
      <c r="F90" s="128">
        <f>C90/E90</f>
        <v>1.4591310320380357</v>
      </c>
      <c r="G90" s="128">
        <f>C90-E90</f>
        <v>81.957184873949586</v>
      </c>
      <c r="H90" s="128">
        <f>C90-E90*(1-L90)</f>
        <v>90.882434873949592</v>
      </c>
      <c r="I90" s="129">
        <f>G90/C90</f>
        <v>0.31466059041780936</v>
      </c>
      <c r="J90" s="129">
        <f>H90/C90</f>
        <v>0.3489275608969189</v>
      </c>
      <c r="K90" s="131">
        <f>'eigene Konditionen'!B$11</f>
        <v>0.05</v>
      </c>
      <c r="L90" s="131">
        <f>'eigene Konditionen'!C$11</f>
        <v>0.05</v>
      </c>
      <c r="M90" s="142"/>
      <c r="P90" s="116"/>
      <c r="Q90" s="117"/>
    </row>
    <row r="91" spans="1:17" s="119" customFormat="1">
      <c r="A91" s="110" t="s">
        <v>67</v>
      </c>
      <c r="B91" s="111">
        <v>339.95</v>
      </c>
      <c r="C91" s="112">
        <f>B91/119*100</f>
        <v>285.67226890756302</v>
      </c>
      <c r="D91" s="111">
        <v>206</v>
      </c>
      <c r="E91" s="111">
        <f>D91-K91*D91</f>
        <v>195.7</v>
      </c>
      <c r="F91" s="113">
        <f>C91/E91</f>
        <v>1.4597458809788606</v>
      </c>
      <c r="G91" s="113">
        <f>C91-E91</f>
        <v>89.972268907563034</v>
      </c>
      <c r="H91" s="113">
        <f>C91-E91*(1-L91)</f>
        <v>99.757268907563031</v>
      </c>
      <c r="I91" s="114">
        <f>G91/C91</f>
        <v>0.31494925724371237</v>
      </c>
      <c r="J91" s="114">
        <f>H91/C91</f>
        <v>0.34920179438152671</v>
      </c>
      <c r="K91" s="115">
        <f>'eigene Konditionen'!B$11</f>
        <v>0.05</v>
      </c>
      <c r="L91" s="115">
        <f>'eigene Konditionen'!C$11</f>
        <v>0.05</v>
      </c>
      <c r="M91" s="142"/>
      <c r="P91" s="116"/>
      <c r="Q91" s="117"/>
    </row>
    <row r="92" spans="1:17" s="119" customFormat="1" ht="15.75" thickBot="1">
      <c r="A92" s="120" t="s">
        <v>125</v>
      </c>
      <c r="B92" s="122">
        <v>199.95</v>
      </c>
      <c r="C92" s="121">
        <f>B92/119*100</f>
        <v>168.0252100840336</v>
      </c>
      <c r="D92" s="122">
        <v>117.6</v>
      </c>
      <c r="E92" s="122">
        <f>D92-K92*D92</f>
        <v>111.72</v>
      </c>
      <c r="F92" s="123">
        <f>C92/E92</f>
        <v>1.5039850526676835</v>
      </c>
      <c r="G92" s="123">
        <f>C92-E92</f>
        <v>56.305210084033604</v>
      </c>
      <c r="H92" s="123">
        <f>C92-E92*(1-L92)</f>
        <v>61.891210084033602</v>
      </c>
      <c r="I92" s="124">
        <f>G92/C92</f>
        <v>0.33509977494373588</v>
      </c>
      <c r="J92" s="124">
        <f>H92/C92</f>
        <v>0.36834478619654909</v>
      </c>
      <c r="K92" s="125">
        <f>'eigene Konditionen'!B$11</f>
        <v>0.05</v>
      </c>
      <c r="L92" s="125">
        <f>'eigene Konditionen'!C$11</f>
        <v>0.05</v>
      </c>
      <c r="M92" s="142"/>
      <c r="P92" s="116"/>
      <c r="Q92" s="117"/>
    </row>
    <row r="93" spans="1:17" s="119" customFormat="1">
      <c r="A93" s="103" t="s">
        <v>68</v>
      </c>
      <c r="B93" s="127"/>
      <c r="C93" s="126"/>
      <c r="D93" s="127"/>
      <c r="E93" s="127"/>
      <c r="F93" s="128"/>
      <c r="G93" s="128"/>
      <c r="H93" s="128"/>
      <c r="I93" s="129"/>
      <c r="J93" s="129"/>
      <c r="K93" s="131"/>
      <c r="L93" s="131"/>
      <c r="P93" s="116"/>
      <c r="Q93" s="117"/>
    </row>
    <row r="94" spans="1:17" s="119" customFormat="1">
      <c r="A94" s="110" t="s">
        <v>69</v>
      </c>
      <c r="B94" s="111">
        <v>449</v>
      </c>
      <c r="C94" s="112">
        <f>B94/119*100</f>
        <v>377.31092436974791</v>
      </c>
      <c r="D94" s="213">
        <v>279.77999999999997</v>
      </c>
      <c r="E94" s="111">
        <f>D94-K94*D94</f>
        <v>279.77999999999997</v>
      </c>
      <c r="F94" s="113">
        <f>C94/E94</f>
        <v>1.348598628814597</v>
      </c>
      <c r="G94" s="113">
        <f>C94-E94</f>
        <v>97.530924369747936</v>
      </c>
      <c r="H94" s="113">
        <f>C94-E94*(1-L94)</f>
        <v>97.530924369747936</v>
      </c>
      <c r="I94" s="114">
        <f>G94/C94</f>
        <v>0.25848953229398675</v>
      </c>
      <c r="J94" s="114">
        <f>H94/C94</f>
        <v>0.25848953229398675</v>
      </c>
      <c r="K94" s="115">
        <f>'eigene Konditionen'!B$13</f>
        <v>0</v>
      </c>
      <c r="L94" s="115">
        <f>'eigene Konditionen'!C$13</f>
        <v>0</v>
      </c>
      <c r="P94" s="214"/>
      <c r="Q94" s="117"/>
    </row>
    <row r="95" spans="1:17" s="119" customFormat="1">
      <c r="A95" s="110" t="s">
        <v>70</v>
      </c>
      <c r="B95" s="111">
        <v>385</v>
      </c>
      <c r="C95" s="112">
        <f>B95/119*100</f>
        <v>323.52941176470591</v>
      </c>
      <c r="D95" s="137">
        <v>279.77999999999997</v>
      </c>
      <c r="E95" s="111">
        <f>D95-K95*D95</f>
        <v>279.77999999999997</v>
      </c>
      <c r="F95" s="113">
        <f>C95/E95</f>
        <v>1.1563707619011578</v>
      </c>
      <c r="G95" s="113">
        <f>C95-E95</f>
        <v>43.74941176470594</v>
      </c>
      <c r="H95" s="113">
        <f>C95-E95*(1-L95)</f>
        <v>43.74941176470594</v>
      </c>
      <c r="I95" s="114">
        <f>G95/C95</f>
        <v>0.1352254545454547</v>
      </c>
      <c r="J95" s="114">
        <f>H95/C95</f>
        <v>0.1352254545454547</v>
      </c>
      <c r="K95" s="115">
        <f>'eigene Konditionen'!B$13</f>
        <v>0</v>
      </c>
      <c r="L95" s="115">
        <f>'eigene Konditionen'!C$13</f>
        <v>0</v>
      </c>
      <c r="P95" s="214"/>
      <c r="Q95" s="117"/>
    </row>
    <row r="96" spans="1:17" s="119" customFormat="1">
      <c r="A96" s="110" t="s">
        <v>71</v>
      </c>
      <c r="B96" s="111">
        <v>469</v>
      </c>
      <c r="C96" s="112">
        <f>B96/119*100</f>
        <v>394.11764705882354</v>
      </c>
      <c r="D96" s="111">
        <v>228.72</v>
      </c>
      <c r="E96" s="111">
        <f>D96-K96*D96</f>
        <v>228.72</v>
      </c>
      <c r="F96" s="113">
        <f>C96/E96</f>
        <v>1.7231446618521491</v>
      </c>
      <c r="G96" s="113">
        <f>C96-E96</f>
        <v>165.39764705882354</v>
      </c>
      <c r="H96" s="113">
        <f>C96-E96*(1-L96)</f>
        <v>165.39764705882354</v>
      </c>
      <c r="I96" s="114">
        <f>G96/C96</f>
        <v>0.41966567164179108</v>
      </c>
      <c r="J96" s="114">
        <f>H96/C96</f>
        <v>0.41966567164179108</v>
      </c>
      <c r="K96" s="115">
        <f>'eigene Konditionen'!B$13</f>
        <v>0</v>
      </c>
      <c r="L96" s="115">
        <f>'eigene Konditionen'!C$13</f>
        <v>0</v>
      </c>
      <c r="P96" s="214"/>
      <c r="Q96" s="117"/>
    </row>
    <row r="97" spans="1:17" s="119" customFormat="1" ht="15.75" thickBot="1">
      <c r="A97" s="120" t="s">
        <v>72</v>
      </c>
      <c r="B97" s="122">
        <v>399</v>
      </c>
      <c r="C97" s="121">
        <f>B97/119*100</f>
        <v>335.29411764705884</v>
      </c>
      <c r="D97" s="122">
        <v>228.72</v>
      </c>
      <c r="E97" s="122">
        <f>D97-K97*D97</f>
        <v>228.72</v>
      </c>
      <c r="F97" s="123">
        <f>C97/E97</f>
        <v>1.4659588914264552</v>
      </c>
      <c r="G97" s="123">
        <f>C97-E97</f>
        <v>106.57411764705884</v>
      </c>
      <c r="H97" s="123">
        <f>C97-E97*(1-L97)</f>
        <v>106.57411764705884</v>
      </c>
      <c r="I97" s="124">
        <f>G97/C97</f>
        <v>0.31785263157894739</v>
      </c>
      <c r="J97" s="124">
        <f>H97/C97</f>
        <v>0.31785263157894739</v>
      </c>
      <c r="K97" s="125">
        <f>'eigene Konditionen'!B$13</f>
        <v>0</v>
      </c>
      <c r="L97" s="125">
        <f>'eigene Konditionen'!C$13</f>
        <v>0</v>
      </c>
      <c r="P97" s="214"/>
      <c r="Q97" s="117"/>
    </row>
    <row r="98" spans="1:17" s="119" customFormat="1">
      <c r="A98" s="136" t="s">
        <v>23</v>
      </c>
      <c r="B98" s="111"/>
      <c r="C98" s="112"/>
      <c r="D98" s="111"/>
      <c r="E98" s="111"/>
      <c r="F98" s="113"/>
      <c r="G98" s="113"/>
      <c r="H98" s="113"/>
      <c r="I98" s="114"/>
      <c r="J98" s="114"/>
      <c r="K98" s="115"/>
      <c r="L98" s="115"/>
    </row>
    <row r="99" spans="1:17" s="119" customFormat="1">
      <c r="A99" s="110" t="s">
        <v>186</v>
      </c>
      <c r="B99" s="111">
        <v>469.99</v>
      </c>
      <c r="C99" s="112">
        <f>B99/119*100</f>
        <v>394.94957983193279</v>
      </c>
      <c r="D99" s="111">
        <v>388.39</v>
      </c>
      <c r="E99" s="111">
        <f>D99-K99*D99</f>
        <v>266.04714999999999</v>
      </c>
      <c r="F99" s="113">
        <f>C99/E99</f>
        <v>1.4845097187920744</v>
      </c>
      <c r="G99" s="113">
        <f>C99-E99</f>
        <v>128.90242983193281</v>
      </c>
      <c r="H99" s="113">
        <f>C99-E99*(1-L99)</f>
        <v>128.90242983193281</v>
      </c>
      <c r="I99" s="114">
        <f>G99/C99</f>
        <v>0.32637692610481078</v>
      </c>
      <c r="J99" s="114">
        <f>H99/C99</f>
        <v>0.32637692610481078</v>
      </c>
      <c r="K99" s="138">
        <f>'eigene Konditionen'!B$14</f>
        <v>0.315</v>
      </c>
      <c r="L99" s="115">
        <f>'eigene Konditionen'!C$14</f>
        <v>0</v>
      </c>
    </row>
    <row r="100" spans="1:17" s="119" customFormat="1">
      <c r="A100" s="110" t="s">
        <v>73</v>
      </c>
      <c r="B100" s="111">
        <v>399.99</v>
      </c>
      <c r="C100" s="112">
        <f>B100/119*100</f>
        <v>336.12605042016804</v>
      </c>
      <c r="D100" s="111">
        <v>330.59</v>
      </c>
      <c r="E100" s="111">
        <f>D100-K100*D100</f>
        <v>226.45414999999997</v>
      </c>
      <c r="F100" s="113">
        <f>C100/E100</f>
        <v>1.4843006870051536</v>
      </c>
      <c r="G100" s="113">
        <f>C100-E100</f>
        <v>109.67190042016807</v>
      </c>
      <c r="H100" s="113">
        <f>C100-E100*(1-L100)</f>
        <v>109.67190042016807</v>
      </c>
      <c r="I100" s="114">
        <f>G100/C100</f>
        <v>0.32628206080152006</v>
      </c>
      <c r="J100" s="114">
        <f>H100/C100</f>
        <v>0.32628206080152006</v>
      </c>
      <c r="K100" s="138">
        <f>'eigene Konditionen'!B$14</f>
        <v>0.315</v>
      </c>
      <c r="L100" s="115">
        <f>'eigene Konditionen'!C$14</f>
        <v>0</v>
      </c>
    </row>
    <row r="101" spans="1:17" s="119" customFormat="1" ht="15.6" customHeight="1">
      <c r="A101" s="110" t="s">
        <v>74</v>
      </c>
      <c r="B101" s="111">
        <v>349.99</v>
      </c>
      <c r="C101" s="112">
        <f>B101/119*100</f>
        <v>294.10924369747897</v>
      </c>
      <c r="D101" s="111">
        <v>289.19</v>
      </c>
      <c r="E101" s="111">
        <f>D101-K101*D101</f>
        <v>198.09514999999999</v>
      </c>
      <c r="F101" s="113">
        <f>C101/E101</f>
        <v>1.4846867462301778</v>
      </c>
      <c r="G101" s="113">
        <f>C101-E101</f>
        <v>96.014093697478984</v>
      </c>
      <c r="H101" s="113">
        <f>C101-E101*(1-L101)</f>
        <v>96.014093697478984</v>
      </c>
      <c r="I101" s="114">
        <f>G101/C101</f>
        <v>0.32645724592131203</v>
      </c>
      <c r="J101" s="114">
        <f>H101/C101</f>
        <v>0.32645724592131203</v>
      </c>
      <c r="K101" s="138">
        <f>'eigene Konditionen'!B$14</f>
        <v>0.315</v>
      </c>
      <c r="L101" s="115">
        <f>'eigene Konditionen'!C$14</f>
        <v>0</v>
      </c>
    </row>
    <row r="102" spans="1:17" s="119" customFormat="1" ht="15.6" customHeight="1">
      <c r="A102" s="228" t="s">
        <v>143</v>
      </c>
      <c r="B102" s="168">
        <v>399.99</v>
      </c>
      <c r="C102" s="169">
        <f>B102/119*100</f>
        <v>336.12605042016804</v>
      </c>
      <c r="D102" s="168">
        <v>330.59</v>
      </c>
      <c r="E102" s="111">
        <f>D102-K102*D102</f>
        <v>226.45414999999997</v>
      </c>
      <c r="F102" s="113">
        <f>C102/E102</f>
        <v>1.4843006870051536</v>
      </c>
      <c r="G102" s="113">
        <f>C102-E102</f>
        <v>109.67190042016807</v>
      </c>
      <c r="H102" s="113">
        <f>C102-E102*(1-L102)</f>
        <v>109.67190042016807</v>
      </c>
      <c r="I102" s="114">
        <f>G102/C102</f>
        <v>0.32628206080152006</v>
      </c>
      <c r="J102" s="114">
        <f>H102/C102</f>
        <v>0.32628206080152006</v>
      </c>
      <c r="K102" s="138">
        <f>'eigene Konditionen'!B$14</f>
        <v>0.315</v>
      </c>
      <c r="L102" s="115">
        <f>'eigene Konditionen'!C$14</f>
        <v>0</v>
      </c>
    </row>
    <row r="103" spans="1:17" s="119" customFormat="1" ht="15.75" thickBot="1">
      <c r="A103" s="120" t="s">
        <v>187</v>
      </c>
      <c r="B103" s="122">
        <v>399.99</v>
      </c>
      <c r="C103" s="121">
        <f>B103/119*100</f>
        <v>336.12605042016804</v>
      </c>
      <c r="D103" s="122">
        <v>330.59</v>
      </c>
      <c r="E103" s="122">
        <f>D103-K103*D103</f>
        <v>226.45414999999997</v>
      </c>
      <c r="F103" s="123">
        <f>C103/E103</f>
        <v>1.4843006870051536</v>
      </c>
      <c r="G103" s="123">
        <f>C103-E103</f>
        <v>109.67190042016807</v>
      </c>
      <c r="H103" s="123">
        <f>C103-E103*(1-L103)</f>
        <v>109.67190042016807</v>
      </c>
      <c r="I103" s="124">
        <f>G103/C103</f>
        <v>0.32628206080152006</v>
      </c>
      <c r="J103" s="124">
        <f>H103/C103</f>
        <v>0.32628206080152006</v>
      </c>
      <c r="K103" s="139">
        <f>'eigene Konditionen'!B$14</f>
        <v>0.315</v>
      </c>
      <c r="L103" s="125">
        <f>'eigene Konditionen'!C$14</f>
        <v>0</v>
      </c>
    </row>
    <row r="104" spans="1:17" s="119" customFormat="1">
      <c r="A104" s="136" t="s">
        <v>75</v>
      </c>
      <c r="B104" s="111"/>
      <c r="C104" s="112"/>
      <c r="D104" s="111"/>
      <c r="E104" s="111"/>
      <c r="F104" s="113"/>
      <c r="G104" s="113"/>
      <c r="H104" s="113"/>
      <c r="I104" s="114"/>
      <c r="J104" s="114"/>
      <c r="K104" s="115"/>
      <c r="L104" s="115"/>
    </row>
    <row r="105" spans="1:17" s="119" customFormat="1">
      <c r="A105" s="110" t="s">
        <v>76</v>
      </c>
      <c r="B105" s="111">
        <v>456</v>
      </c>
      <c r="C105" s="112">
        <f>B105/119*100</f>
        <v>383.19327731092437</v>
      </c>
      <c r="D105" s="111">
        <v>287.39</v>
      </c>
      <c r="E105" s="111">
        <f>D105-K105*D105</f>
        <v>287.39</v>
      </c>
      <c r="F105" s="113">
        <f>C105/E105</f>
        <v>1.3333563356794753</v>
      </c>
      <c r="G105" s="113">
        <f>C105-E105</f>
        <v>95.803277310924386</v>
      </c>
      <c r="H105" s="113">
        <f>C105-E105*(1-L105)</f>
        <v>95.803277310924386</v>
      </c>
      <c r="I105" s="114">
        <f>G105/C105</f>
        <v>0.25001293859649126</v>
      </c>
      <c r="J105" s="114">
        <f>H105/C105</f>
        <v>0.25001293859649126</v>
      </c>
      <c r="K105" s="115">
        <f>'eigene Konditionen'!B$15</f>
        <v>0</v>
      </c>
      <c r="L105" s="115">
        <f>'eigene Konditionen'!C$15</f>
        <v>0</v>
      </c>
    </row>
    <row r="106" spans="1:17" s="119" customFormat="1" ht="15.75" thickBot="1">
      <c r="A106" s="120" t="s">
        <v>77</v>
      </c>
      <c r="B106" s="122">
        <v>432</v>
      </c>
      <c r="C106" s="121">
        <f>B106/119*100</f>
        <v>363.02521008403363</v>
      </c>
      <c r="D106" s="122">
        <v>272.27</v>
      </c>
      <c r="E106" s="122">
        <f>D106-K106*D106</f>
        <v>272.27</v>
      </c>
      <c r="F106" s="123">
        <f>C106/E106</f>
        <v>1.33332798356056</v>
      </c>
      <c r="G106" s="123">
        <f>C106-E106</f>
        <v>90.755210084033649</v>
      </c>
      <c r="H106" s="123">
        <f>C106-E106*(1-L106)</f>
        <v>90.755210084033649</v>
      </c>
      <c r="I106" s="124">
        <f>G106/C106</f>
        <v>0.24999699074074083</v>
      </c>
      <c r="J106" s="124">
        <f>H106/C106</f>
        <v>0.24999699074074083</v>
      </c>
      <c r="K106" s="125">
        <f>'eigene Konditionen'!B$15</f>
        <v>0</v>
      </c>
      <c r="L106" s="125">
        <f>'eigene Konditionen'!C$15</f>
        <v>0</v>
      </c>
    </row>
    <row r="107" spans="1:17" s="119" customFormat="1">
      <c r="A107" s="167" t="s">
        <v>78</v>
      </c>
      <c r="B107" s="168"/>
      <c r="C107" s="169"/>
      <c r="D107" s="168"/>
      <c r="E107" s="168"/>
      <c r="F107" s="201"/>
      <c r="G107" s="201"/>
      <c r="H107" s="201"/>
      <c r="I107" s="202"/>
      <c r="J107" s="202"/>
      <c r="K107" s="170"/>
      <c r="L107" s="170"/>
    </row>
    <row r="108" spans="1:17" s="119" customFormat="1">
      <c r="A108" s="110" t="s">
        <v>79</v>
      </c>
      <c r="B108" s="111">
        <v>499.95</v>
      </c>
      <c r="C108" s="112">
        <f>B108/119*100</f>
        <v>420.1260504201681</v>
      </c>
      <c r="D108" s="111">
        <v>294.95</v>
      </c>
      <c r="E108" s="111">
        <f>D108-K108*D108</f>
        <v>280.20249999999999</v>
      </c>
      <c r="F108" s="113">
        <f>C108/E108</f>
        <v>1.4993658172934508</v>
      </c>
      <c r="G108" s="113">
        <f>C108-E108</f>
        <v>139.92355042016811</v>
      </c>
      <c r="H108" s="113">
        <f>C108-E108*(1-L108)</f>
        <v>153.93367542016813</v>
      </c>
      <c r="I108" s="114">
        <f>G108/C108</f>
        <v>0.33305135513551365</v>
      </c>
      <c r="J108" s="114">
        <f>H108/C108</f>
        <v>0.36639878737873799</v>
      </c>
      <c r="K108" s="115">
        <f>'eigene Konditionen'!B$16</f>
        <v>0.05</v>
      </c>
      <c r="L108" s="115">
        <f>'eigene Konditionen'!C$16</f>
        <v>0.05</v>
      </c>
    </row>
    <row r="109" spans="1:17" s="119" customFormat="1">
      <c r="A109" s="110" t="s">
        <v>80</v>
      </c>
      <c r="B109" s="111">
        <v>379.95</v>
      </c>
      <c r="C109" s="112">
        <f t="shared" ref="C109:C111" si="94">B109/119*100</f>
        <v>319.28571428571428</v>
      </c>
      <c r="D109" s="111">
        <v>210.95</v>
      </c>
      <c r="E109" s="111">
        <f t="shared" ref="E109:E111" si="95">D109-K109*D109</f>
        <v>200.40249999999997</v>
      </c>
      <c r="F109" s="113">
        <f t="shared" ref="F109:F111" si="96">C109/E109</f>
        <v>1.5932222117274701</v>
      </c>
      <c r="G109" s="113">
        <f t="shared" ref="G109:G111" si="97">C109-E109</f>
        <v>118.8832142857143</v>
      </c>
      <c r="H109" s="113">
        <f t="shared" ref="H109:H111" si="98">C109-E109*(1-L109)</f>
        <v>128.90333928571431</v>
      </c>
      <c r="I109" s="114">
        <f t="shared" ref="I109:I111" si="99">G109/C109</f>
        <v>0.37234116331096201</v>
      </c>
      <c r="J109" s="114">
        <f>H109/C109</f>
        <v>0.40372410514541396</v>
      </c>
      <c r="K109" s="115">
        <f>'eigene Konditionen'!B$16</f>
        <v>0.05</v>
      </c>
      <c r="L109" s="115">
        <f>'eigene Konditionen'!C$16</f>
        <v>0.05</v>
      </c>
    </row>
    <row r="110" spans="1:17" s="119" customFormat="1">
      <c r="A110" s="110" t="s">
        <v>81</v>
      </c>
      <c r="B110" s="111">
        <v>429.95</v>
      </c>
      <c r="C110" s="112">
        <f t="shared" si="94"/>
        <v>361.30252100840335</v>
      </c>
      <c r="D110" s="111">
        <v>238.95</v>
      </c>
      <c r="E110" s="111">
        <f t="shared" si="95"/>
        <v>227.0025</v>
      </c>
      <c r="F110" s="113">
        <f t="shared" si="96"/>
        <v>1.5916235328174948</v>
      </c>
      <c r="G110" s="113">
        <f t="shared" si="97"/>
        <v>134.30002100840335</v>
      </c>
      <c r="H110" s="113">
        <f t="shared" si="98"/>
        <v>145.65014600840337</v>
      </c>
      <c r="I110" s="114">
        <f t="shared" si="99"/>
        <v>0.3717107221769973</v>
      </c>
      <c r="J110" s="114">
        <f t="shared" ref="J110:J111" si="100">H110/C110</f>
        <v>0.40312518606814751</v>
      </c>
      <c r="K110" s="115">
        <f>'eigene Konditionen'!B$16</f>
        <v>0.05</v>
      </c>
      <c r="L110" s="115">
        <f>'eigene Konditionen'!C$16</f>
        <v>0.05</v>
      </c>
    </row>
    <row r="111" spans="1:17" s="119" customFormat="1" ht="15.75" thickBot="1">
      <c r="A111" s="120" t="s">
        <v>82</v>
      </c>
      <c r="B111" s="122">
        <v>239.95</v>
      </c>
      <c r="C111" s="121">
        <f t="shared" si="94"/>
        <v>201.63865546218486</v>
      </c>
      <c r="D111" s="122">
        <v>133.94999999999999</v>
      </c>
      <c r="E111" s="122">
        <f t="shared" si="95"/>
        <v>127.25249999999998</v>
      </c>
      <c r="F111" s="113">
        <f t="shared" si="96"/>
        <v>1.5845555526389257</v>
      </c>
      <c r="G111" s="113">
        <f t="shared" si="97"/>
        <v>74.386155462184874</v>
      </c>
      <c r="H111" s="113">
        <f t="shared" si="98"/>
        <v>80.748780462184882</v>
      </c>
      <c r="I111" s="114">
        <f t="shared" si="99"/>
        <v>0.36890821004375912</v>
      </c>
      <c r="J111" s="114">
        <f t="shared" si="100"/>
        <v>0.40046279954157121</v>
      </c>
      <c r="K111" s="115">
        <f>'eigene Konditionen'!B$16</f>
        <v>0.05</v>
      </c>
      <c r="L111" s="115">
        <f>'eigene Konditionen'!C$16</f>
        <v>0.05</v>
      </c>
    </row>
    <row r="112" spans="1:17" s="119" customFormat="1">
      <c r="A112" s="216" t="s">
        <v>83</v>
      </c>
      <c r="B112" s="217">
        <v>539</v>
      </c>
      <c r="C112" s="218">
        <f>B112/119*100</f>
        <v>452.94117647058823</v>
      </c>
      <c r="D112" s="217">
        <v>327.9</v>
      </c>
      <c r="E112" s="217">
        <f>D112-K112*D112</f>
        <v>304.947</v>
      </c>
      <c r="F112" s="219">
        <f>C112/E112</f>
        <v>1.4853111408559134</v>
      </c>
      <c r="G112" s="219">
        <f>C112-E112</f>
        <v>147.99417647058823</v>
      </c>
      <c r="H112" s="219">
        <f>C112-E112*(1-L112)</f>
        <v>157.14258647058824</v>
      </c>
      <c r="I112" s="220">
        <f>G112/C112</f>
        <v>0.32674038961038959</v>
      </c>
      <c r="J112" s="220">
        <f>H112/C112</f>
        <v>0.34693817792207793</v>
      </c>
      <c r="K112" s="221">
        <f>'eigene Konditionen'!B$17</f>
        <v>7.0000000000000007E-2</v>
      </c>
      <c r="L112" s="221">
        <f>'eigene Konditionen'!C$17</f>
        <v>0.03</v>
      </c>
    </row>
    <row r="113" spans="1:12" s="119" customFormat="1">
      <c r="A113" s="143"/>
      <c r="B113" s="163"/>
      <c r="C113" s="95"/>
      <c r="D113" s="215"/>
      <c r="E113" s="144"/>
      <c r="F113" s="97"/>
      <c r="G113" s="97"/>
      <c r="H113" s="97"/>
      <c r="I113" s="145"/>
      <c r="J113" s="145"/>
      <c r="K113" s="146"/>
      <c r="L113" s="146"/>
    </row>
    <row r="114" spans="1:12" s="119" customFormat="1">
      <c r="A114" s="143"/>
      <c r="B114" s="163"/>
      <c r="C114" s="95"/>
      <c r="D114" s="95"/>
      <c r="E114" s="144"/>
      <c r="F114" s="147"/>
      <c r="G114" s="97"/>
      <c r="H114" s="97"/>
      <c r="I114" s="145"/>
      <c r="J114" s="145"/>
      <c r="K114" s="146"/>
      <c r="L114" s="146"/>
    </row>
    <row r="115" spans="1:12" s="119" customFormat="1">
      <c r="A115" s="143"/>
      <c r="B115" s="163"/>
      <c r="C115" s="95"/>
      <c r="D115" s="95"/>
      <c r="E115" s="144"/>
      <c r="F115" s="147"/>
      <c r="G115" s="97"/>
      <c r="H115" s="97"/>
      <c r="I115" s="145"/>
      <c r="J115" s="145"/>
      <c r="K115" s="146"/>
      <c r="L115" s="146"/>
    </row>
    <row r="116" spans="1:12" s="119" customFormat="1">
      <c r="A116" s="148"/>
      <c r="B116" s="135"/>
      <c r="C116" s="95"/>
      <c r="D116" s="95"/>
      <c r="E116" s="144"/>
      <c r="F116" s="147"/>
      <c r="G116" s="97"/>
      <c r="H116" s="97"/>
      <c r="I116" s="145"/>
      <c r="J116" s="145"/>
      <c r="K116" s="146"/>
      <c r="L116" s="146"/>
    </row>
    <row r="117" spans="1:12" s="119" customFormat="1">
      <c r="A117" s="148"/>
      <c r="B117" s="135"/>
      <c r="C117" s="95"/>
      <c r="D117" s="95"/>
      <c r="E117" s="144"/>
      <c r="F117" s="147"/>
      <c r="G117" s="97"/>
      <c r="H117" s="97"/>
      <c r="I117" s="145"/>
      <c r="J117" s="145"/>
      <c r="K117" s="146"/>
      <c r="L117" s="146"/>
    </row>
    <row r="118" spans="1:12" s="119" customFormat="1">
      <c r="A118" s="148"/>
      <c r="B118" s="135"/>
      <c r="C118" s="95"/>
      <c r="D118" s="95"/>
      <c r="E118" s="144"/>
      <c r="F118" s="147"/>
      <c r="G118" s="97"/>
      <c r="H118" s="97"/>
      <c r="I118" s="145"/>
      <c r="J118" s="145"/>
      <c r="K118" s="146"/>
      <c r="L118" s="146"/>
    </row>
    <row r="119" spans="1:12" s="119" customFormat="1">
      <c r="A119" s="148"/>
      <c r="B119" s="135"/>
      <c r="C119" s="95"/>
      <c r="D119" s="95"/>
      <c r="E119" s="144"/>
      <c r="F119" s="147"/>
      <c r="G119" s="97"/>
      <c r="H119" s="97"/>
      <c r="I119" s="145"/>
      <c r="J119" s="145"/>
      <c r="K119" s="146"/>
      <c r="L119" s="146"/>
    </row>
    <row r="120" spans="1:12" ht="15.75">
      <c r="A120" s="149"/>
      <c r="B120" s="164"/>
      <c r="C120" s="95"/>
      <c r="D120" s="95"/>
      <c r="E120" s="144"/>
      <c r="F120" s="150"/>
      <c r="G120" s="97"/>
      <c r="H120" s="97"/>
      <c r="I120" s="145"/>
      <c r="J120" s="145"/>
      <c r="K120" s="146"/>
      <c r="L120" s="146"/>
    </row>
    <row r="121" spans="1:12" ht="15.75">
      <c r="A121" s="149"/>
      <c r="B121" s="164"/>
      <c r="C121" s="95"/>
      <c r="D121" s="95"/>
      <c r="E121" s="144"/>
      <c r="F121" s="150"/>
      <c r="G121" s="97"/>
      <c r="H121" s="97"/>
      <c r="I121" s="145"/>
      <c r="J121" s="145"/>
      <c r="K121" s="146"/>
      <c r="L121" s="146"/>
    </row>
    <row r="122" spans="1:12" ht="15.75">
      <c r="A122" s="149"/>
      <c r="B122" s="164"/>
      <c r="C122" s="95"/>
      <c r="D122" s="95"/>
      <c r="E122" s="144"/>
      <c r="F122" s="150"/>
      <c r="G122" s="97"/>
      <c r="H122" s="97"/>
      <c r="I122" s="145"/>
      <c r="J122" s="145"/>
      <c r="K122" s="146"/>
      <c r="L122" s="146"/>
    </row>
    <row r="123" spans="1:12" ht="15.75">
      <c r="A123" s="149"/>
      <c r="B123" s="164"/>
      <c r="C123" s="95"/>
      <c r="D123" s="95"/>
      <c r="E123" s="144"/>
      <c r="F123" s="150"/>
      <c r="G123" s="97"/>
      <c r="H123" s="97"/>
      <c r="I123" s="145"/>
      <c r="J123" s="145"/>
      <c r="K123" s="146"/>
      <c r="L123" s="150"/>
    </row>
    <row r="124" spans="1:12" ht="15.75">
      <c r="A124" s="149"/>
      <c r="B124" s="164"/>
      <c r="C124" s="95"/>
      <c r="D124" s="95"/>
      <c r="E124" s="144"/>
      <c r="F124" s="150"/>
      <c r="G124" s="97"/>
      <c r="H124" s="97"/>
      <c r="I124" s="145"/>
      <c r="J124" s="145"/>
      <c r="K124" s="146"/>
      <c r="L124" s="150"/>
    </row>
    <row r="125" spans="1:12" ht="15.75">
      <c r="A125" s="149"/>
      <c r="B125" s="164"/>
      <c r="C125" s="95"/>
      <c r="D125" s="95"/>
      <c r="E125" s="144"/>
      <c r="F125" s="150"/>
      <c r="G125" s="97"/>
      <c r="H125" s="97"/>
      <c r="I125" s="145"/>
      <c r="J125" s="145"/>
      <c r="K125" s="146"/>
      <c r="L125" s="150"/>
    </row>
    <row r="126" spans="1:12" ht="15.75">
      <c r="A126" s="149"/>
      <c r="B126" s="164"/>
      <c r="C126" s="95"/>
      <c r="D126" s="95"/>
      <c r="E126" s="144"/>
      <c r="F126" s="150"/>
      <c r="G126" s="97"/>
      <c r="H126" s="97"/>
      <c r="I126" s="145"/>
      <c r="J126" s="145"/>
      <c r="K126" s="146"/>
      <c r="L126" s="150"/>
    </row>
    <row r="127" spans="1:12" ht="15.75">
      <c r="A127" s="149"/>
      <c r="B127" s="164"/>
      <c r="C127" s="95"/>
      <c r="D127" s="95"/>
      <c r="E127" s="144"/>
      <c r="F127" s="150"/>
      <c r="G127" s="97"/>
      <c r="H127" s="97"/>
      <c r="I127" s="145"/>
      <c r="J127" s="145"/>
      <c r="K127" s="146"/>
      <c r="L127" s="150"/>
    </row>
    <row r="128" spans="1:12" ht="15.75">
      <c r="A128" s="149"/>
      <c r="B128" s="164"/>
      <c r="C128" s="95"/>
      <c r="D128" s="95"/>
      <c r="E128" s="144"/>
      <c r="F128" s="150"/>
      <c r="G128" s="97"/>
      <c r="H128" s="97"/>
      <c r="I128" s="145"/>
      <c r="J128" s="145"/>
      <c r="K128" s="146"/>
      <c r="L128" s="150"/>
    </row>
    <row r="129" spans="1:12" ht="15.75">
      <c r="A129" s="149"/>
      <c r="B129" s="164"/>
      <c r="C129" s="95"/>
      <c r="D129" s="95"/>
      <c r="E129" s="144"/>
      <c r="F129" s="150"/>
      <c r="G129" s="97"/>
      <c r="H129" s="97"/>
      <c r="I129" s="145"/>
      <c r="J129" s="145"/>
      <c r="L129" s="150"/>
    </row>
    <row r="130" spans="1:12" ht="15.75">
      <c r="A130" s="149"/>
      <c r="B130" s="164"/>
      <c r="C130" s="95"/>
      <c r="D130" s="95"/>
      <c r="E130" s="144"/>
      <c r="F130" s="150"/>
      <c r="G130" s="97"/>
      <c r="H130" s="97"/>
      <c r="I130" s="145"/>
      <c r="J130" s="145"/>
      <c r="L130" s="150"/>
    </row>
    <row r="131" spans="1:12" ht="15.75">
      <c r="A131" s="149"/>
      <c r="B131" s="164"/>
      <c r="C131" s="95"/>
      <c r="D131" s="95"/>
      <c r="E131" s="144"/>
      <c r="F131" s="150"/>
      <c r="G131" s="97"/>
      <c r="H131" s="97"/>
      <c r="I131" s="145"/>
      <c r="J131" s="145"/>
      <c r="L131" s="150"/>
    </row>
    <row r="132" spans="1:12" ht="15.75">
      <c r="A132" s="149"/>
      <c r="B132" s="164"/>
      <c r="C132" s="95"/>
      <c r="D132" s="95"/>
      <c r="E132" s="144"/>
      <c r="F132" s="150"/>
      <c r="G132" s="97"/>
      <c r="H132" s="97"/>
      <c r="I132" s="145"/>
      <c r="J132" s="145"/>
      <c r="L132" s="150"/>
    </row>
    <row r="133" spans="1:12" ht="15.75">
      <c r="A133" s="149"/>
      <c r="B133" s="164"/>
      <c r="C133" s="95"/>
      <c r="D133" s="95"/>
      <c r="E133" s="144"/>
      <c r="F133" s="150"/>
      <c r="G133" s="97"/>
      <c r="H133" s="97"/>
      <c r="I133" s="145"/>
      <c r="J133" s="145"/>
      <c r="L133" s="150"/>
    </row>
    <row r="134" spans="1:12" ht="15.75">
      <c r="A134" s="149"/>
      <c r="B134" s="164"/>
      <c r="C134" s="95"/>
      <c r="D134" s="95"/>
      <c r="E134" s="144"/>
      <c r="F134" s="150"/>
      <c r="G134" s="97"/>
      <c r="H134" s="97"/>
      <c r="I134" s="145"/>
      <c r="J134" s="145"/>
      <c r="L134" s="150"/>
    </row>
    <row r="135" spans="1:12" ht="15.75">
      <c r="A135" s="149"/>
      <c r="B135" s="164"/>
      <c r="C135" s="95"/>
      <c r="D135" s="95"/>
      <c r="E135" s="144"/>
      <c r="F135" s="150"/>
      <c r="G135" s="97"/>
      <c r="H135" s="97"/>
      <c r="I135" s="145"/>
      <c r="J135" s="145"/>
      <c r="L135" s="150"/>
    </row>
    <row r="136" spans="1:12" ht="15.75">
      <c r="A136" s="149"/>
      <c r="B136" s="164"/>
      <c r="C136" s="95"/>
      <c r="D136" s="95"/>
      <c r="E136" s="144"/>
      <c r="F136" s="150"/>
      <c r="G136" s="97"/>
      <c r="H136" s="97"/>
      <c r="I136" s="145"/>
      <c r="J136" s="145"/>
      <c r="L136" s="150"/>
    </row>
    <row r="137" spans="1:12" ht="15.75">
      <c r="A137" s="149"/>
      <c r="B137" s="164"/>
      <c r="C137" s="95"/>
      <c r="D137" s="95"/>
      <c r="E137" s="144"/>
      <c r="F137" s="150"/>
      <c r="G137" s="97"/>
      <c r="H137" s="97"/>
      <c r="I137" s="145"/>
      <c r="J137" s="145"/>
      <c r="L137" s="150"/>
    </row>
    <row r="138" spans="1:12" ht="15.75">
      <c r="A138" s="149"/>
      <c r="B138" s="164"/>
      <c r="C138" s="95"/>
      <c r="D138" s="95"/>
      <c r="E138" s="144"/>
      <c r="F138" s="150"/>
      <c r="G138" s="97"/>
      <c r="H138" s="97"/>
      <c r="I138" s="145"/>
      <c r="J138" s="145"/>
      <c r="L138" s="150"/>
    </row>
    <row r="139" spans="1:12" ht="15.75">
      <c r="A139" s="149"/>
      <c r="B139" s="164"/>
      <c r="C139" s="95"/>
      <c r="D139" s="95"/>
      <c r="E139" s="144"/>
      <c r="F139" s="150"/>
      <c r="G139" s="97"/>
      <c r="H139" s="97"/>
      <c r="I139" s="145"/>
      <c r="J139" s="145"/>
      <c r="L139" s="150"/>
    </row>
    <row r="140" spans="1:12" ht="15.75">
      <c r="A140" s="149"/>
      <c r="B140" s="164"/>
      <c r="C140" s="95"/>
      <c r="D140" s="95"/>
      <c r="E140" s="144"/>
      <c r="F140" s="150"/>
      <c r="G140" s="150"/>
      <c r="H140" s="150"/>
      <c r="I140" s="150"/>
      <c r="J140" s="150"/>
      <c r="L140" s="150"/>
    </row>
    <row r="141" spans="1:12" ht="15.75">
      <c r="A141" s="149"/>
      <c r="B141" s="164"/>
      <c r="C141" s="95"/>
      <c r="D141" s="95"/>
      <c r="E141" s="144"/>
      <c r="F141" s="150"/>
      <c r="G141" s="150"/>
      <c r="H141" s="150"/>
      <c r="I141" s="150"/>
      <c r="J141" s="150"/>
      <c r="L141" s="150"/>
    </row>
    <row r="142" spans="1:12" ht="15.75">
      <c r="A142" s="149"/>
      <c r="B142" s="164"/>
      <c r="C142" s="95"/>
      <c r="D142" s="95"/>
      <c r="E142" s="144"/>
      <c r="F142" s="150"/>
      <c r="G142" s="150"/>
      <c r="H142" s="150"/>
      <c r="I142" s="150"/>
      <c r="J142" s="150"/>
      <c r="L142" s="150"/>
    </row>
    <row r="143" spans="1:12" ht="15.75">
      <c r="A143" s="149"/>
      <c r="B143" s="164"/>
      <c r="C143" s="95"/>
      <c r="D143" s="95"/>
      <c r="E143" s="144"/>
      <c r="F143" s="150"/>
      <c r="G143" s="150"/>
      <c r="H143" s="150"/>
      <c r="I143" s="150"/>
      <c r="J143" s="150"/>
      <c r="L143" s="150"/>
    </row>
    <row r="144" spans="1:12" ht="15.75">
      <c r="A144" s="149"/>
      <c r="B144" s="164"/>
      <c r="C144" s="95"/>
      <c r="D144" s="95"/>
      <c r="E144" s="144"/>
      <c r="F144" s="150"/>
      <c r="G144" s="150"/>
      <c r="H144" s="150"/>
      <c r="I144" s="150"/>
      <c r="J144" s="150"/>
      <c r="L144" s="150"/>
    </row>
    <row r="145" spans="1:12" ht="15.75">
      <c r="A145" s="149"/>
      <c r="B145" s="164"/>
      <c r="C145" s="95"/>
      <c r="D145" s="95"/>
      <c r="E145" s="144"/>
      <c r="F145" s="150"/>
      <c r="G145" s="150"/>
      <c r="H145" s="150"/>
      <c r="I145" s="150"/>
      <c r="J145" s="150"/>
      <c r="L145" s="150"/>
    </row>
    <row r="146" spans="1:12" ht="15.75">
      <c r="A146" s="149"/>
      <c r="B146" s="164"/>
      <c r="C146" s="95"/>
      <c r="D146" s="95"/>
      <c r="E146" s="144"/>
      <c r="F146" s="150"/>
      <c r="G146" s="150"/>
      <c r="H146" s="150"/>
      <c r="I146" s="150"/>
      <c r="J146" s="150"/>
      <c r="L146" s="150"/>
    </row>
    <row r="147" spans="1:12" ht="15.75">
      <c r="A147" s="149"/>
      <c r="B147" s="164"/>
      <c r="C147" s="95"/>
      <c r="D147" s="95"/>
      <c r="E147" s="144"/>
      <c r="F147" s="150"/>
      <c r="G147" s="150"/>
      <c r="H147" s="150"/>
      <c r="I147" s="150"/>
      <c r="J147" s="150"/>
      <c r="L147" s="150"/>
    </row>
    <row r="148" spans="1:12" ht="15.75">
      <c r="A148" s="149"/>
      <c r="B148" s="164"/>
      <c r="C148" s="95"/>
      <c r="D148" s="95"/>
      <c r="E148" s="144"/>
      <c r="F148" s="150"/>
      <c r="G148" s="150"/>
      <c r="H148" s="150"/>
      <c r="I148" s="150"/>
      <c r="J148" s="150"/>
      <c r="L148" s="150"/>
    </row>
    <row r="149" spans="1:12" ht="15.75">
      <c r="A149" s="149"/>
      <c r="B149" s="164"/>
      <c r="C149" s="95"/>
      <c r="D149" s="95"/>
      <c r="E149" s="144"/>
      <c r="F149" s="150"/>
      <c r="G149" s="150"/>
      <c r="H149" s="150"/>
      <c r="I149" s="150"/>
      <c r="J149" s="150"/>
      <c r="L149" s="150"/>
    </row>
    <row r="150" spans="1:12" ht="15.75">
      <c r="A150" s="149"/>
      <c r="B150" s="164"/>
      <c r="C150" s="95"/>
      <c r="D150" s="95"/>
      <c r="E150" s="144"/>
      <c r="F150" s="150"/>
      <c r="G150" s="150"/>
      <c r="H150" s="150"/>
      <c r="I150" s="150"/>
      <c r="J150" s="150"/>
      <c r="L150" s="150"/>
    </row>
    <row r="151" spans="1:12" ht="15.75">
      <c r="A151" s="149"/>
      <c r="B151" s="164"/>
      <c r="C151" s="95"/>
      <c r="D151" s="95"/>
      <c r="E151" s="144"/>
      <c r="F151" s="150"/>
      <c r="G151" s="150"/>
      <c r="H151" s="150"/>
      <c r="I151" s="150"/>
      <c r="J151" s="150"/>
      <c r="L151" s="150"/>
    </row>
    <row r="152" spans="1:12" ht="15.75">
      <c r="A152" s="149"/>
      <c r="B152" s="164"/>
      <c r="C152" s="95"/>
      <c r="D152" s="95"/>
      <c r="E152" s="144"/>
      <c r="F152" s="150"/>
      <c r="G152" s="150"/>
      <c r="H152" s="150"/>
      <c r="I152" s="150"/>
      <c r="J152" s="150"/>
      <c r="L152" s="150"/>
    </row>
    <row r="153" spans="1:12" ht="15.75">
      <c r="A153" s="149"/>
      <c r="B153" s="164"/>
      <c r="C153" s="95"/>
      <c r="D153" s="95"/>
      <c r="E153" s="144"/>
      <c r="F153" s="150"/>
      <c r="G153" s="150"/>
      <c r="H153" s="150"/>
      <c r="I153" s="150"/>
      <c r="J153" s="150"/>
      <c r="L153" s="150"/>
    </row>
    <row r="154" spans="1:12" ht="15.75">
      <c r="A154" s="149"/>
      <c r="B154" s="164"/>
      <c r="C154" s="95"/>
      <c r="D154" s="95"/>
      <c r="E154" s="144"/>
      <c r="F154" s="150"/>
      <c r="G154" s="150"/>
      <c r="H154" s="150"/>
      <c r="I154" s="150"/>
      <c r="J154" s="150"/>
      <c r="L154" s="150"/>
    </row>
    <row r="155" spans="1:12" ht="15.75">
      <c r="A155" s="149"/>
      <c r="B155" s="164"/>
      <c r="C155" s="95"/>
      <c r="D155" s="95"/>
      <c r="E155" s="144"/>
      <c r="F155" s="150"/>
      <c r="G155" s="150"/>
      <c r="H155" s="150"/>
      <c r="I155" s="150"/>
      <c r="J155" s="150"/>
      <c r="L155" s="150"/>
    </row>
    <row r="156" spans="1:12" ht="15.75">
      <c r="A156" s="149"/>
      <c r="B156" s="164"/>
      <c r="C156" s="95"/>
      <c r="D156" s="95"/>
      <c r="E156" s="144"/>
      <c r="F156" s="150"/>
      <c r="G156" s="150"/>
      <c r="H156" s="150"/>
      <c r="I156" s="150"/>
      <c r="J156" s="150"/>
      <c r="L156" s="150"/>
    </row>
    <row r="157" spans="1:12" ht="15.75">
      <c r="A157" s="149"/>
      <c r="B157" s="164"/>
      <c r="C157" s="95"/>
      <c r="D157" s="95"/>
      <c r="E157" s="144"/>
      <c r="F157" s="150"/>
      <c r="G157" s="150"/>
      <c r="H157" s="150"/>
      <c r="I157" s="150"/>
      <c r="J157" s="150"/>
      <c r="L157" s="150"/>
    </row>
    <row r="158" spans="1:12" ht="15.75">
      <c r="A158" s="149"/>
      <c r="B158" s="164"/>
      <c r="C158" s="95"/>
      <c r="D158" s="95"/>
      <c r="E158" s="144"/>
      <c r="F158" s="150"/>
      <c r="G158" s="150"/>
      <c r="H158" s="150"/>
      <c r="I158" s="150"/>
      <c r="J158" s="150"/>
      <c r="L158" s="150"/>
    </row>
    <row r="159" spans="1:12" ht="15.75">
      <c r="A159" s="149"/>
      <c r="B159" s="164"/>
      <c r="C159" s="95"/>
      <c r="D159" s="95"/>
      <c r="E159" s="144"/>
      <c r="F159" s="150"/>
      <c r="G159" s="150"/>
      <c r="H159" s="150"/>
      <c r="I159" s="150"/>
      <c r="J159" s="150"/>
      <c r="L159" s="150"/>
    </row>
    <row r="160" spans="1:12" ht="15.75">
      <c r="A160" s="149"/>
      <c r="B160" s="164"/>
      <c r="C160" s="95"/>
      <c r="D160" s="95"/>
      <c r="E160" s="144"/>
      <c r="F160" s="150"/>
      <c r="G160" s="150"/>
      <c r="H160" s="150"/>
      <c r="I160" s="150"/>
      <c r="J160" s="150"/>
      <c r="L160" s="150"/>
    </row>
    <row r="161" spans="1:12" ht="15.75">
      <c r="A161" s="149"/>
      <c r="B161" s="164"/>
      <c r="C161" s="95"/>
      <c r="D161" s="95"/>
      <c r="E161" s="144"/>
      <c r="F161" s="150"/>
      <c r="G161" s="150"/>
      <c r="H161" s="150"/>
      <c r="I161" s="150"/>
      <c r="J161" s="150"/>
      <c r="L161" s="150"/>
    </row>
    <row r="162" spans="1:12" ht="15.75">
      <c r="A162" s="149"/>
      <c r="B162" s="164"/>
      <c r="C162" s="95"/>
      <c r="D162" s="95"/>
      <c r="E162" s="144"/>
      <c r="F162" s="150"/>
      <c r="G162" s="150"/>
      <c r="H162" s="150"/>
      <c r="I162" s="150"/>
      <c r="J162" s="150"/>
      <c r="L162" s="150"/>
    </row>
    <row r="163" spans="1:12" ht="15.75">
      <c r="A163" s="149"/>
      <c r="B163" s="164"/>
      <c r="C163" s="95"/>
      <c r="D163" s="95"/>
      <c r="E163" s="144"/>
      <c r="F163" s="150"/>
      <c r="G163" s="150"/>
      <c r="H163" s="150"/>
      <c r="I163" s="150"/>
      <c r="J163" s="150"/>
      <c r="L163" s="150"/>
    </row>
    <row r="164" spans="1:12" ht="15.75">
      <c r="A164" s="149"/>
      <c r="B164" s="164"/>
      <c r="C164" s="95"/>
      <c r="D164" s="95"/>
      <c r="E164" s="144"/>
      <c r="F164" s="150"/>
      <c r="G164" s="150"/>
      <c r="H164" s="150"/>
      <c r="I164" s="150"/>
      <c r="J164" s="150"/>
      <c r="L164" s="150"/>
    </row>
    <row r="165" spans="1:12" ht="15.75">
      <c r="A165" s="149"/>
      <c r="B165" s="164"/>
      <c r="C165" s="95"/>
      <c r="D165" s="95"/>
      <c r="E165" s="144"/>
      <c r="F165" s="150"/>
      <c r="G165" s="150"/>
      <c r="H165" s="150"/>
      <c r="I165" s="150"/>
      <c r="J165" s="150"/>
      <c r="L165" s="150"/>
    </row>
    <row r="166" spans="1:12" ht="15.75">
      <c r="A166" s="149"/>
      <c r="B166" s="164"/>
      <c r="C166" s="95"/>
      <c r="D166" s="95"/>
      <c r="E166" s="144"/>
      <c r="F166" s="150"/>
      <c r="G166" s="150"/>
      <c r="H166" s="150"/>
      <c r="I166" s="150"/>
      <c r="J166" s="150"/>
      <c r="L166" s="150"/>
    </row>
    <row r="167" spans="1:12" ht="15.75">
      <c r="A167" s="149"/>
      <c r="B167" s="164"/>
      <c r="C167" s="95"/>
      <c r="D167" s="95"/>
      <c r="E167" s="144"/>
      <c r="F167" s="150"/>
      <c r="G167" s="150"/>
      <c r="H167" s="150"/>
      <c r="I167" s="150"/>
      <c r="J167" s="150"/>
      <c r="L167" s="150"/>
    </row>
    <row r="168" spans="1:12" ht="15.75">
      <c r="A168" s="149"/>
      <c r="B168" s="164"/>
      <c r="C168" s="95"/>
      <c r="E168" s="144"/>
      <c r="F168" s="150"/>
      <c r="G168" s="150"/>
      <c r="H168" s="150"/>
      <c r="I168" s="150"/>
      <c r="J168" s="150"/>
      <c r="L168" s="150"/>
    </row>
    <row r="169" spans="1:12" ht="15.75">
      <c r="A169" s="149"/>
      <c r="B169" s="164"/>
      <c r="C169" s="95"/>
      <c r="E169" s="144"/>
      <c r="F169" s="150"/>
      <c r="G169" s="150"/>
      <c r="H169" s="150"/>
      <c r="I169" s="150"/>
      <c r="J169" s="150"/>
      <c r="L169" s="150"/>
    </row>
    <row r="170" spans="1:12" ht="15.75">
      <c r="A170" s="149"/>
      <c r="B170" s="164"/>
      <c r="C170" s="95"/>
      <c r="E170" s="144"/>
      <c r="F170" s="150"/>
      <c r="G170" s="150"/>
      <c r="H170" s="150"/>
      <c r="I170" s="150"/>
      <c r="J170" s="150"/>
      <c r="L170" s="150"/>
    </row>
    <row r="171" spans="1:12" ht="15.75">
      <c r="A171" s="149"/>
      <c r="B171" s="164"/>
      <c r="C171" s="95"/>
      <c r="E171" s="144"/>
      <c r="F171" s="150"/>
      <c r="G171" s="150"/>
      <c r="H171" s="150"/>
      <c r="I171" s="150"/>
      <c r="J171" s="150"/>
      <c r="L171" s="150"/>
    </row>
    <row r="172" spans="1:12" ht="15.75">
      <c r="A172" s="149"/>
      <c r="B172" s="164"/>
      <c r="C172" s="95"/>
      <c r="E172" s="150"/>
      <c r="F172" s="150"/>
      <c r="G172" s="150"/>
      <c r="H172" s="150"/>
      <c r="I172" s="150"/>
      <c r="J172" s="150"/>
      <c r="L172" s="150"/>
    </row>
    <row r="173" spans="1:12" ht="15.75">
      <c r="A173" s="149"/>
      <c r="B173" s="164"/>
      <c r="C173" s="95"/>
      <c r="E173" s="150"/>
      <c r="F173" s="150"/>
      <c r="G173" s="150"/>
      <c r="H173" s="150"/>
      <c r="I173" s="150"/>
      <c r="J173" s="150"/>
      <c r="L173" s="150"/>
    </row>
    <row r="174" spans="1:12" ht="15.75">
      <c r="A174" s="149"/>
      <c r="B174" s="164"/>
      <c r="C174" s="95"/>
      <c r="E174" s="150"/>
      <c r="F174" s="150"/>
      <c r="G174" s="150"/>
      <c r="H174" s="150"/>
      <c r="I174" s="150"/>
      <c r="J174" s="150"/>
      <c r="L174" s="150"/>
    </row>
    <row r="175" spans="1:12" ht="15.75">
      <c r="A175" s="149"/>
      <c r="B175" s="164"/>
      <c r="C175" s="95"/>
      <c r="E175" s="150"/>
      <c r="F175" s="150"/>
      <c r="G175" s="150"/>
      <c r="H175" s="150"/>
      <c r="I175" s="150"/>
      <c r="J175" s="150"/>
      <c r="L175" s="150"/>
    </row>
    <row r="176" spans="1:12" ht="15.75">
      <c r="A176" s="149"/>
      <c r="B176" s="164"/>
      <c r="C176" s="95"/>
      <c r="E176" s="150"/>
      <c r="F176" s="150"/>
      <c r="G176" s="150"/>
      <c r="H176" s="150"/>
      <c r="I176" s="150"/>
      <c r="J176" s="150"/>
      <c r="L176" s="150"/>
    </row>
    <row r="177" spans="1:12" ht="15.75">
      <c r="A177" s="149"/>
      <c r="B177" s="164"/>
      <c r="C177" s="95"/>
      <c r="E177" s="150"/>
      <c r="F177" s="150"/>
      <c r="G177" s="150"/>
      <c r="H177" s="150"/>
      <c r="I177" s="150"/>
      <c r="J177" s="150"/>
      <c r="L177" s="150"/>
    </row>
    <row r="178" spans="1:12" ht="15.75">
      <c r="A178" s="149"/>
      <c r="B178" s="164"/>
      <c r="C178" s="149"/>
      <c r="E178" s="150"/>
      <c r="F178" s="150"/>
      <c r="G178" s="150"/>
      <c r="H178" s="150"/>
      <c r="I178" s="150"/>
      <c r="J178" s="150"/>
      <c r="L178" s="150"/>
    </row>
    <row r="179" spans="1:12" ht="15.75">
      <c r="A179" s="149"/>
      <c r="B179" s="164"/>
      <c r="C179" s="149"/>
      <c r="E179" s="150"/>
      <c r="F179" s="150"/>
      <c r="G179" s="150"/>
      <c r="H179" s="150"/>
      <c r="I179" s="150"/>
      <c r="J179" s="150"/>
      <c r="L179" s="150"/>
    </row>
    <row r="180" spans="1:12" ht="15.75">
      <c r="A180" s="149"/>
      <c r="B180" s="164"/>
      <c r="C180" s="149"/>
      <c r="E180" s="150"/>
      <c r="F180" s="150"/>
      <c r="G180" s="150"/>
      <c r="H180" s="150"/>
      <c r="I180" s="150"/>
      <c r="J180" s="150"/>
      <c r="L180" s="150"/>
    </row>
    <row r="181" spans="1:12" ht="15.75">
      <c r="A181" s="149"/>
      <c r="B181" s="164"/>
      <c r="C181" s="149"/>
      <c r="E181" s="150"/>
      <c r="F181" s="150"/>
      <c r="G181" s="150"/>
      <c r="H181" s="150"/>
      <c r="I181" s="150"/>
      <c r="J181" s="150"/>
      <c r="L181" s="150"/>
    </row>
    <row r="182" spans="1:12" ht="15.75">
      <c r="A182" s="149"/>
      <c r="B182" s="164"/>
      <c r="C182" s="149"/>
      <c r="E182" s="150"/>
      <c r="F182" s="150"/>
      <c r="G182" s="150"/>
      <c r="H182" s="150"/>
      <c r="I182" s="150"/>
      <c r="J182" s="150"/>
      <c r="L182" s="150"/>
    </row>
    <row r="183" spans="1:12" ht="15.75">
      <c r="A183" s="149"/>
      <c r="B183" s="164"/>
      <c r="C183" s="149"/>
      <c r="E183" s="150"/>
      <c r="F183" s="150"/>
      <c r="G183" s="150"/>
      <c r="H183" s="150"/>
      <c r="I183" s="150"/>
      <c r="J183" s="150"/>
      <c r="L183" s="150"/>
    </row>
    <row r="184" spans="1:12" ht="15.75">
      <c r="A184" s="149"/>
      <c r="B184" s="164"/>
      <c r="C184" s="149"/>
      <c r="E184" s="150"/>
      <c r="F184" s="150"/>
      <c r="G184" s="150"/>
      <c r="H184" s="150"/>
      <c r="I184" s="150"/>
      <c r="J184" s="150"/>
      <c r="L184" s="150"/>
    </row>
    <row r="185" spans="1:12" ht="15.75">
      <c r="A185" s="149"/>
      <c r="B185" s="164"/>
      <c r="C185" s="149"/>
      <c r="E185" s="150"/>
      <c r="F185" s="150"/>
      <c r="G185" s="150"/>
      <c r="H185" s="150"/>
      <c r="I185" s="150"/>
      <c r="J185" s="150"/>
      <c r="L185" s="150"/>
    </row>
    <row r="186" spans="1:12" ht="15.75">
      <c r="A186" s="149"/>
      <c r="B186" s="164"/>
      <c r="C186" s="149"/>
      <c r="E186" s="150"/>
      <c r="F186" s="150"/>
      <c r="G186" s="150"/>
      <c r="H186" s="150"/>
      <c r="I186" s="150"/>
      <c r="J186" s="150"/>
      <c r="L186" s="150"/>
    </row>
    <row r="187" spans="1:12" ht="15.75">
      <c r="A187" s="149"/>
      <c r="B187" s="164"/>
      <c r="C187" s="149"/>
      <c r="E187" s="150"/>
      <c r="F187" s="150"/>
      <c r="G187" s="150"/>
      <c r="H187" s="150"/>
      <c r="I187" s="150"/>
      <c r="J187" s="150"/>
      <c r="L187" s="150"/>
    </row>
    <row r="188" spans="1:12" ht="15.75">
      <c r="A188" s="149"/>
      <c r="B188" s="164"/>
      <c r="C188" s="149"/>
      <c r="E188" s="150"/>
      <c r="F188" s="150"/>
      <c r="G188" s="150"/>
      <c r="H188" s="150"/>
      <c r="I188" s="150"/>
      <c r="J188" s="150"/>
      <c r="L188" s="150"/>
    </row>
    <row r="189" spans="1:12" ht="15.75">
      <c r="A189" s="149"/>
      <c r="B189" s="164"/>
      <c r="C189" s="149"/>
      <c r="E189" s="150"/>
      <c r="F189" s="150"/>
      <c r="G189" s="150"/>
      <c r="H189" s="150"/>
      <c r="I189" s="150"/>
      <c r="J189" s="150"/>
      <c r="L189" s="150"/>
    </row>
    <row r="190" spans="1:12" ht="15.75">
      <c r="A190" s="149"/>
      <c r="B190" s="164"/>
      <c r="C190" s="149"/>
      <c r="E190" s="150"/>
      <c r="F190" s="150"/>
      <c r="G190" s="150"/>
      <c r="H190" s="150"/>
      <c r="I190" s="150"/>
      <c r="J190" s="150"/>
      <c r="L190" s="150"/>
    </row>
    <row r="191" spans="1:12" ht="15.75">
      <c r="A191" s="149"/>
      <c r="B191" s="164"/>
      <c r="C191" s="149"/>
      <c r="E191" s="150"/>
      <c r="F191" s="150"/>
      <c r="G191" s="150"/>
      <c r="H191" s="150"/>
      <c r="I191" s="150"/>
      <c r="J191" s="150"/>
      <c r="L191" s="150"/>
    </row>
    <row r="192" spans="1:12" ht="15.75">
      <c r="A192" s="149"/>
      <c r="B192" s="164"/>
      <c r="C192" s="149"/>
      <c r="E192" s="150"/>
      <c r="F192" s="150"/>
      <c r="G192" s="150"/>
      <c r="H192" s="150"/>
      <c r="I192" s="150"/>
      <c r="J192" s="150"/>
      <c r="L192" s="150"/>
    </row>
    <row r="193" spans="1:12" ht="15.75">
      <c r="A193" s="149"/>
      <c r="B193" s="164"/>
      <c r="C193" s="149"/>
      <c r="E193" s="150"/>
      <c r="F193" s="150"/>
      <c r="G193" s="150"/>
      <c r="H193" s="150"/>
      <c r="I193" s="150"/>
      <c r="J193" s="150"/>
      <c r="L193" s="150"/>
    </row>
    <row r="194" spans="1:12" ht="15.75">
      <c r="A194" s="149"/>
      <c r="B194" s="164"/>
      <c r="C194" s="149"/>
      <c r="E194" s="150"/>
      <c r="F194" s="150"/>
      <c r="G194" s="150"/>
      <c r="H194" s="150"/>
      <c r="I194" s="150"/>
      <c r="J194" s="150"/>
      <c r="L194" s="150"/>
    </row>
    <row r="195" spans="1:12" ht="15.75">
      <c r="A195" s="149"/>
      <c r="B195" s="164"/>
      <c r="C195" s="149"/>
      <c r="E195" s="150"/>
      <c r="F195" s="150"/>
      <c r="G195" s="150"/>
      <c r="H195" s="150"/>
      <c r="I195" s="150"/>
      <c r="J195" s="150"/>
      <c r="L195" s="150"/>
    </row>
    <row r="196" spans="1:12" ht="15.75">
      <c r="A196" s="149"/>
      <c r="B196" s="164"/>
      <c r="C196" s="149"/>
      <c r="E196" s="150"/>
      <c r="F196" s="150"/>
      <c r="G196" s="150"/>
      <c r="H196" s="150"/>
      <c r="I196" s="150"/>
      <c r="J196" s="150"/>
      <c r="L196" s="150"/>
    </row>
    <row r="197" spans="1:12" ht="15.75">
      <c r="A197" s="149"/>
      <c r="B197" s="164"/>
      <c r="C197" s="149"/>
      <c r="E197" s="150"/>
      <c r="F197" s="150"/>
      <c r="G197" s="150"/>
      <c r="H197" s="150"/>
      <c r="I197" s="150"/>
      <c r="J197" s="150"/>
      <c r="L197" s="150"/>
    </row>
    <row r="198" spans="1:12" ht="15.75">
      <c r="A198" s="149"/>
      <c r="B198" s="164"/>
      <c r="C198" s="149"/>
      <c r="E198" s="150"/>
      <c r="F198" s="150"/>
      <c r="G198" s="150"/>
      <c r="H198" s="150"/>
      <c r="I198" s="150"/>
      <c r="J198" s="150"/>
      <c r="L198" s="150"/>
    </row>
    <row r="199" spans="1:12" ht="15.75">
      <c r="A199" s="149"/>
      <c r="B199" s="164"/>
      <c r="C199" s="149"/>
      <c r="E199" s="150"/>
      <c r="F199" s="150"/>
      <c r="G199" s="150"/>
      <c r="H199" s="150"/>
      <c r="I199" s="150"/>
      <c r="J199" s="150"/>
      <c r="L199" s="150"/>
    </row>
    <row r="200" spans="1:12" ht="15.75">
      <c r="A200" s="149"/>
      <c r="B200" s="164"/>
      <c r="C200" s="149"/>
      <c r="E200" s="150"/>
      <c r="F200" s="150"/>
      <c r="G200" s="150"/>
      <c r="H200" s="150"/>
      <c r="I200" s="150"/>
      <c r="J200" s="150"/>
      <c r="L200" s="150"/>
    </row>
    <row r="201" spans="1:12" ht="15.75">
      <c r="A201" s="149"/>
      <c r="B201" s="164"/>
      <c r="C201" s="149"/>
      <c r="E201" s="150"/>
      <c r="F201" s="150"/>
      <c r="G201" s="150"/>
      <c r="H201" s="150"/>
      <c r="I201" s="150"/>
      <c r="J201" s="150"/>
      <c r="L201" s="150"/>
    </row>
    <row r="202" spans="1:12" ht="15.75">
      <c r="A202" s="149"/>
      <c r="B202" s="164"/>
      <c r="C202" s="149"/>
      <c r="E202" s="150"/>
      <c r="F202" s="150"/>
      <c r="G202" s="150"/>
      <c r="H202" s="150"/>
      <c r="I202" s="150"/>
      <c r="J202" s="150"/>
      <c r="L202" s="150"/>
    </row>
    <row r="203" spans="1:12" ht="15.75">
      <c r="A203" s="149"/>
      <c r="B203" s="164"/>
      <c r="C203" s="149"/>
      <c r="E203" s="150"/>
      <c r="F203" s="150"/>
      <c r="G203" s="150"/>
      <c r="H203" s="150"/>
      <c r="I203" s="150"/>
      <c r="J203" s="150"/>
      <c r="L203" s="150"/>
    </row>
    <row r="204" spans="1:12" ht="15.75">
      <c r="A204" s="149"/>
      <c r="B204" s="164"/>
      <c r="C204" s="149"/>
      <c r="E204" s="150"/>
      <c r="F204" s="150"/>
      <c r="G204" s="150"/>
      <c r="H204" s="150"/>
      <c r="I204" s="150"/>
      <c r="J204" s="150"/>
      <c r="L204" s="150"/>
    </row>
    <row r="205" spans="1:12" ht="15.75">
      <c r="A205" s="149"/>
      <c r="B205" s="164"/>
      <c r="C205" s="149"/>
      <c r="E205" s="150"/>
      <c r="F205" s="150"/>
      <c r="G205" s="150"/>
      <c r="H205" s="150"/>
      <c r="I205" s="150"/>
      <c r="J205" s="150"/>
      <c r="L205" s="150"/>
    </row>
    <row r="206" spans="1:12" ht="15.75">
      <c r="A206" s="149"/>
      <c r="B206" s="164"/>
      <c r="C206" s="149"/>
      <c r="E206" s="150"/>
      <c r="F206" s="150"/>
      <c r="G206" s="150"/>
      <c r="H206" s="150"/>
      <c r="I206" s="150"/>
      <c r="J206" s="150"/>
      <c r="L206" s="150"/>
    </row>
    <row r="207" spans="1:12" ht="15.75">
      <c r="A207" s="149"/>
      <c r="B207" s="164"/>
      <c r="C207" s="149"/>
      <c r="E207" s="150"/>
      <c r="F207" s="150"/>
      <c r="G207" s="150"/>
      <c r="H207" s="150"/>
      <c r="I207" s="150"/>
      <c r="J207" s="150"/>
      <c r="L207" s="150"/>
    </row>
    <row r="208" spans="1:12" ht="15.75">
      <c r="A208" s="149"/>
      <c r="B208" s="164"/>
      <c r="C208" s="149"/>
      <c r="E208" s="150"/>
      <c r="F208" s="150"/>
      <c r="G208" s="150"/>
      <c r="H208" s="150"/>
      <c r="I208" s="150"/>
      <c r="J208" s="150"/>
      <c r="L208" s="150"/>
    </row>
    <row r="209" spans="1:12" ht="15.75">
      <c r="A209" s="149"/>
      <c r="B209" s="164"/>
      <c r="C209" s="149"/>
      <c r="E209" s="150"/>
      <c r="F209" s="150"/>
      <c r="G209" s="150"/>
      <c r="H209" s="150"/>
      <c r="I209" s="150"/>
      <c r="J209" s="150"/>
      <c r="L209" s="150"/>
    </row>
    <row r="210" spans="1:12" ht="15.75">
      <c r="A210" s="149"/>
      <c r="B210" s="164"/>
      <c r="C210" s="149"/>
      <c r="E210" s="150"/>
      <c r="F210" s="150"/>
      <c r="G210" s="150"/>
      <c r="H210" s="150"/>
      <c r="I210" s="150"/>
      <c r="J210" s="150"/>
      <c r="L210" s="150"/>
    </row>
    <row r="211" spans="1:12" ht="15.75">
      <c r="A211" s="149"/>
      <c r="B211" s="164"/>
      <c r="C211" s="149"/>
      <c r="E211" s="150"/>
      <c r="F211" s="150"/>
      <c r="G211" s="150"/>
      <c r="H211" s="150"/>
      <c r="I211" s="150"/>
      <c r="J211" s="150"/>
      <c r="L211" s="150"/>
    </row>
    <row r="212" spans="1:12" ht="15.75">
      <c r="A212" s="149"/>
      <c r="B212" s="164"/>
      <c r="C212" s="149"/>
      <c r="E212" s="150"/>
      <c r="F212" s="150"/>
      <c r="G212" s="150"/>
      <c r="H212" s="150"/>
      <c r="I212" s="150"/>
      <c r="J212" s="150"/>
      <c r="L212" s="150"/>
    </row>
    <row r="213" spans="1:12" ht="15.75">
      <c r="A213" s="149"/>
      <c r="B213" s="164"/>
      <c r="C213" s="149"/>
      <c r="E213" s="150"/>
      <c r="F213" s="150"/>
      <c r="G213" s="150"/>
      <c r="H213" s="150"/>
      <c r="I213" s="150"/>
      <c r="J213" s="150"/>
      <c r="L213" s="150"/>
    </row>
    <row r="214" spans="1:12" ht="15.75">
      <c r="A214" s="149"/>
      <c r="B214" s="164"/>
      <c r="C214" s="149"/>
      <c r="E214" s="150"/>
      <c r="F214" s="150"/>
      <c r="G214" s="150"/>
      <c r="H214" s="150"/>
      <c r="I214" s="150"/>
      <c r="J214" s="150"/>
      <c r="L214" s="150"/>
    </row>
    <row r="215" spans="1:12" ht="15.75">
      <c r="A215" s="149"/>
      <c r="B215" s="164"/>
      <c r="C215" s="149"/>
      <c r="E215" s="150"/>
      <c r="F215" s="150"/>
      <c r="G215" s="150"/>
      <c r="H215" s="150"/>
      <c r="I215" s="150"/>
      <c r="J215" s="150"/>
      <c r="L215" s="150"/>
    </row>
    <row r="216" spans="1:12" ht="15.75">
      <c r="A216" s="149"/>
      <c r="B216" s="164"/>
      <c r="C216" s="149"/>
      <c r="E216" s="150"/>
      <c r="F216" s="150"/>
      <c r="G216" s="150"/>
      <c r="H216" s="150"/>
      <c r="I216" s="150"/>
      <c r="J216" s="150"/>
      <c r="L216" s="150"/>
    </row>
    <row r="217" spans="1:12" ht="15.75">
      <c r="A217" s="149"/>
      <c r="B217" s="164"/>
      <c r="C217" s="149"/>
      <c r="E217" s="150"/>
      <c r="F217" s="150"/>
      <c r="G217" s="150"/>
      <c r="H217" s="150"/>
      <c r="I217" s="150"/>
      <c r="J217" s="150"/>
      <c r="L217" s="150"/>
    </row>
    <row r="218" spans="1:12" ht="15.75">
      <c r="A218" s="149"/>
      <c r="B218" s="164"/>
      <c r="C218" s="149"/>
      <c r="E218" s="150"/>
      <c r="F218" s="150"/>
      <c r="G218" s="150"/>
      <c r="H218" s="150"/>
      <c r="I218" s="150"/>
      <c r="J218" s="150"/>
      <c r="L218" s="150"/>
    </row>
    <row r="219" spans="1:12" ht="15.75">
      <c r="A219" s="149"/>
      <c r="B219" s="164"/>
      <c r="C219" s="149"/>
      <c r="E219" s="150"/>
      <c r="F219" s="150"/>
      <c r="G219" s="150"/>
      <c r="H219" s="150"/>
      <c r="I219" s="150"/>
      <c r="J219" s="150"/>
      <c r="L219" s="150"/>
    </row>
    <row r="220" spans="1:12" ht="15.75">
      <c r="A220" s="149"/>
      <c r="B220" s="164"/>
      <c r="C220" s="149"/>
      <c r="E220" s="150"/>
      <c r="F220" s="150"/>
      <c r="G220" s="150"/>
      <c r="H220" s="150"/>
      <c r="I220" s="150"/>
      <c r="J220" s="150"/>
      <c r="L220" s="150"/>
    </row>
    <row r="221" spans="1:12" ht="15.75">
      <c r="A221" s="149"/>
      <c r="B221" s="164"/>
      <c r="C221" s="149"/>
      <c r="E221" s="150"/>
      <c r="F221" s="150"/>
      <c r="G221" s="150"/>
      <c r="H221" s="150"/>
      <c r="I221" s="150"/>
      <c r="J221" s="150"/>
      <c r="L221" s="150"/>
    </row>
    <row r="222" spans="1:12" ht="15.75">
      <c r="A222" s="149"/>
      <c r="B222" s="164"/>
      <c r="C222" s="149"/>
      <c r="E222" s="150"/>
      <c r="F222" s="150"/>
      <c r="G222" s="150"/>
      <c r="H222" s="150"/>
      <c r="I222" s="150"/>
      <c r="J222" s="150"/>
      <c r="L222" s="150"/>
    </row>
    <row r="223" spans="1:12" ht="15.75">
      <c r="A223" s="149"/>
      <c r="B223" s="164"/>
      <c r="C223" s="149"/>
      <c r="E223" s="150"/>
      <c r="F223" s="150"/>
      <c r="G223" s="150"/>
      <c r="H223" s="150"/>
      <c r="I223" s="150"/>
      <c r="J223" s="150"/>
      <c r="L223" s="150"/>
    </row>
    <row r="224" spans="1:12" ht="15.75">
      <c r="A224" s="149"/>
      <c r="B224" s="164"/>
      <c r="C224" s="149"/>
      <c r="E224" s="150"/>
      <c r="F224" s="150"/>
      <c r="G224" s="150"/>
      <c r="H224" s="150"/>
      <c r="I224" s="150"/>
      <c r="J224" s="150"/>
      <c r="L224" s="150"/>
    </row>
    <row r="225" spans="1:12" ht="15.75">
      <c r="A225" s="149"/>
      <c r="B225" s="164"/>
      <c r="C225" s="149"/>
      <c r="E225" s="150"/>
      <c r="F225" s="150"/>
      <c r="G225" s="150"/>
      <c r="H225" s="150"/>
      <c r="I225" s="150"/>
      <c r="J225" s="150"/>
      <c r="L225" s="150"/>
    </row>
    <row r="226" spans="1:12" ht="15.75">
      <c r="A226" s="149"/>
      <c r="B226" s="164"/>
      <c r="C226" s="149"/>
      <c r="E226" s="150"/>
      <c r="F226" s="150"/>
      <c r="G226" s="150"/>
      <c r="H226" s="150"/>
      <c r="I226" s="150"/>
      <c r="J226" s="150"/>
      <c r="L226" s="150"/>
    </row>
    <row r="227" spans="1:12" ht="15.75">
      <c r="A227" s="149"/>
      <c r="B227" s="164"/>
      <c r="C227" s="149"/>
      <c r="E227" s="150"/>
      <c r="F227" s="150"/>
      <c r="G227" s="150"/>
      <c r="H227" s="150"/>
      <c r="I227" s="150"/>
      <c r="J227" s="150"/>
      <c r="L227" s="150"/>
    </row>
    <row r="228" spans="1:12" ht="15.75">
      <c r="A228" s="149"/>
      <c r="B228" s="164"/>
      <c r="C228" s="149"/>
      <c r="E228" s="150"/>
      <c r="F228" s="150"/>
      <c r="G228" s="150"/>
      <c r="H228" s="150"/>
      <c r="I228" s="150"/>
      <c r="J228" s="150"/>
      <c r="L228" s="150"/>
    </row>
    <row r="229" spans="1:12" ht="15.75">
      <c r="A229" s="149"/>
      <c r="B229" s="164"/>
      <c r="C229" s="149"/>
      <c r="E229" s="150"/>
      <c r="F229" s="150"/>
      <c r="G229" s="150"/>
      <c r="H229" s="150"/>
      <c r="I229" s="150"/>
      <c r="J229" s="150"/>
      <c r="L229" s="150"/>
    </row>
    <row r="230" spans="1:12" ht="15.75">
      <c r="A230" s="149"/>
      <c r="B230" s="164"/>
      <c r="C230" s="149"/>
      <c r="E230" s="150"/>
      <c r="F230" s="150"/>
      <c r="G230" s="150"/>
      <c r="H230" s="150"/>
      <c r="I230" s="150"/>
      <c r="J230" s="150"/>
      <c r="L230" s="150"/>
    </row>
    <row r="231" spans="1:12" ht="15.75">
      <c r="A231" s="149"/>
      <c r="B231" s="164"/>
      <c r="C231" s="149"/>
      <c r="E231" s="150"/>
      <c r="F231" s="150"/>
      <c r="G231" s="150"/>
      <c r="H231" s="150"/>
      <c r="I231" s="150"/>
      <c r="J231" s="150"/>
      <c r="L231" s="150"/>
    </row>
    <row r="232" spans="1:12" ht="15.75">
      <c r="A232" s="149"/>
      <c r="B232" s="164"/>
      <c r="C232" s="149"/>
      <c r="E232" s="150"/>
      <c r="F232" s="150"/>
      <c r="G232" s="150"/>
      <c r="H232" s="150"/>
      <c r="I232" s="150"/>
      <c r="J232" s="150"/>
      <c r="L232" s="150"/>
    </row>
    <row r="233" spans="1:12" ht="15.75">
      <c r="A233" s="149"/>
      <c r="B233" s="164"/>
      <c r="C233" s="149"/>
      <c r="E233" s="150"/>
      <c r="F233" s="150"/>
      <c r="G233" s="150"/>
      <c r="H233" s="150"/>
      <c r="I233" s="150"/>
      <c r="J233" s="150"/>
      <c r="L233" s="150"/>
    </row>
    <row r="234" spans="1:12" ht="15.75">
      <c r="A234" s="149"/>
      <c r="B234" s="164"/>
      <c r="C234" s="149"/>
      <c r="E234" s="150"/>
      <c r="F234" s="150"/>
      <c r="G234" s="150"/>
      <c r="H234" s="150"/>
      <c r="I234" s="150"/>
      <c r="J234" s="150"/>
      <c r="L234" s="150"/>
    </row>
    <row r="235" spans="1:12" ht="15.75">
      <c r="A235" s="149"/>
      <c r="B235" s="164"/>
      <c r="C235" s="149"/>
      <c r="E235" s="150"/>
      <c r="F235" s="150"/>
      <c r="G235" s="150"/>
      <c r="H235" s="150"/>
      <c r="I235" s="150"/>
      <c r="J235" s="150"/>
      <c r="L235" s="150"/>
    </row>
    <row r="236" spans="1:12" ht="15.75">
      <c r="A236" s="149"/>
      <c r="B236" s="164"/>
      <c r="C236" s="149"/>
      <c r="E236" s="150"/>
      <c r="F236" s="150"/>
      <c r="G236" s="150"/>
      <c r="H236" s="150"/>
      <c r="I236" s="150"/>
      <c r="J236" s="150"/>
      <c r="L236" s="150"/>
    </row>
    <row r="237" spans="1:12" ht="15.75">
      <c r="A237" s="149"/>
      <c r="B237" s="164"/>
      <c r="C237" s="149"/>
      <c r="E237" s="150"/>
      <c r="F237" s="150"/>
      <c r="G237" s="150"/>
      <c r="H237" s="150"/>
      <c r="I237" s="150"/>
      <c r="J237" s="150"/>
      <c r="L237" s="150"/>
    </row>
    <row r="238" spans="1:12" ht="15.75">
      <c r="A238" s="149"/>
      <c r="B238" s="164"/>
      <c r="C238" s="149"/>
      <c r="E238" s="150"/>
      <c r="F238" s="150"/>
      <c r="G238" s="150"/>
      <c r="H238" s="150"/>
      <c r="I238" s="150"/>
      <c r="J238" s="150"/>
      <c r="L238" s="150"/>
    </row>
    <row r="239" spans="1:12" ht="15.75">
      <c r="A239" s="149"/>
      <c r="B239" s="164"/>
      <c r="C239" s="149"/>
      <c r="E239" s="150"/>
      <c r="F239" s="150"/>
      <c r="G239" s="150"/>
      <c r="H239" s="150"/>
      <c r="I239" s="150"/>
      <c r="J239" s="150"/>
      <c r="L239" s="150"/>
    </row>
    <row r="240" spans="1:12" ht="15.75">
      <c r="A240" s="149"/>
      <c r="B240" s="164"/>
      <c r="C240" s="149"/>
      <c r="E240" s="150"/>
      <c r="F240" s="150"/>
      <c r="G240" s="150"/>
      <c r="H240" s="150"/>
      <c r="I240" s="150"/>
      <c r="J240" s="150"/>
      <c r="L240" s="150"/>
    </row>
    <row r="241" spans="1:12" ht="15.75">
      <c r="A241" s="149"/>
      <c r="B241" s="164"/>
      <c r="C241" s="149"/>
      <c r="E241" s="150"/>
      <c r="F241" s="150"/>
      <c r="G241" s="150"/>
      <c r="H241" s="150"/>
      <c r="I241" s="150"/>
      <c r="J241" s="150"/>
      <c r="L241" s="150"/>
    </row>
    <row r="242" spans="1:12" ht="15.75">
      <c r="A242" s="149"/>
      <c r="B242" s="164"/>
      <c r="C242" s="149"/>
      <c r="E242" s="150"/>
      <c r="F242" s="150"/>
      <c r="G242" s="150"/>
      <c r="H242" s="150"/>
      <c r="I242" s="150"/>
      <c r="J242" s="150"/>
      <c r="L242" s="150"/>
    </row>
    <row r="243" spans="1:12" ht="15.75">
      <c r="A243" s="149"/>
      <c r="B243" s="164"/>
      <c r="C243" s="149"/>
      <c r="E243" s="150"/>
      <c r="F243" s="150"/>
      <c r="G243" s="150"/>
      <c r="H243" s="150"/>
      <c r="I243" s="150"/>
      <c r="J243" s="150"/>
      <c r="L243" s="150"/>
    </row>
    <row r="244" spans="1:12" ht="15.75">
      <c r="A244" s="149"/>
      <c r="B244" s="164"/>
      <c r="C244" s="149"/>
      <c r="E244" s="150"/>
      <c r="F244" s="150"/>
      <c r="G244" s="150"/>
      <c r="H244" s="150"/>
      <c r="I244" s="150"/>
      <c r="J244" s="150"/>
      <c r="L244" s="150"/>
    </row>
    <row r="245" spans="1:12" ht="15.75">
      <c r="A245" s="149"/>
      <c r="B245" s="164"/>
      <c r="C245" s="149"/>
      <c r="E245" s="150"/>
      <c r="F245" s="150"/>
      <c r="G245" s="150"/>
      <c r="H245" s="150"/>
      <c r="I245" s="150"/>
      <c r="J245" s="150"/>
      <c r="L245" s="150"/>
    </row>
    <row r="246" spans="1:12" ht="15.75">
      <c r="A246" s="149"/>
      <c r="B246" s="164"/>
      <c r="C246" s="149"/>
      <c r="E246" s="150"/>
      <c r="F246" s="150"/>
      <c r="G246" s="150"/>
      <c r="H246" s="150"/>
      <c r="I246" s="150"/>
      <c r="J246" s="150"/>
      <c r="L246" s="150"/>
    </row>
    <row r="247" spans="1:12" ht="15.75">
      <c r="A247" s="149"/>
      <c r="B247" s="164"/>
      <c r="C247" s="149"/>
      <c r="E247" s="150"/>
      <c r="F247" s="150"/>
      <c r="G247" s="150"/>
      <c r="H247" s="150"/>
      <c r="I247" s="150"/>
      <c r="J247" s="150"/>
      <c r="L247" s="150"/>
    </row>
    <row r="248" spans="1:12" ht="15.75">
      <c r="A248" s="149"/>
      <c r="B248" s="164"/>
      <c r="C248" s="149"/>
      <c r="E248" s="150"/>
      <c r="F248" s="150"/>
      <c r="G248" s="150"/>
      <c r="H248" s="150"/>
      <c r="I248" s="150"/>
      <c r="J248" s="150"/>
      <c r="L248" s="150"/>
    </row>
    <row r="249" spans="1:12" ht="15.75">
      <c r="A249" s="149"/>
      <c r="B249" s="164"/>
      <c r="C249" s="149"/>
      <c r="E249" s="150"/>
      <c r="F249" s="150"/>
      <c r="G249" s="150"/>
      <c r="H249" s="150"/>
      <c r="I249" s="150"/>
      <c r="J249" s="150"/>
      <c r="L249" s="150"/>
    </row>
    <row r="250" spans="1:12" ht="15.75">
      <c r="A250" s="149"/>
      <c r="B250" s="164"/>
      <c r="C250" s="149"/>
      <c r="E250" s="150"/>
      <c r="F250" s="150"/>
      <c r="G250" s="150"/>
      <c r="H250" s="150"/>
      <c r="I250" s="150"/>
      <c r="J250" s="150"/>
      <c r="L250" s="150"/>
    </row>
    <row r="251" spans="1:12" ht="15.75">
      <c r="A251" s="149"/>
      <c r="B251" s="164"/>
      <c r="C251" s="149"/>
      <c r="E251" s="150"/>
      <c r="F251" s="150"/>
      <c r="G251" s="150"/>
      <c r="H251" s="150"/>
      <c r="I251" s="150"/>
      <c r="J251" s="150"/>
      <c r="L251" s="150"/>
    </row>
    <row r="252" spans="1:12" ht="15.75">
      <c r="A252" s="149"/>
      <c r="B252" s="164"/>
      <c r="C252" s="149"/>
      <c r="E252" s="150"/>
      <c r="F252" s="150"/>
      <c r="G252" s="150"/>
      <c r="H252" s="150"/>
      <c r="I252" s="150"/>
      <c r="J252" s="150"/>
      <c r="L252" s="150"/>
    </row>
    <row r="253" spans="1:12" ht="15.75">
      <c r="A253" s="149"/>
      <c r="B253" s="164"/>
      <c r="C253" s="149"/>
      <c r="E253" s="150"/>
      <c r="F253" s="150"/>
      <c r="G253" s="150"/>
      <c r="H253" s="150"/>
      <c r="I253" s="150"/>
      <c r="J253" s="150"/>
      <c r="L253" s="150"/>
    </row>
    <row r="254" spans="1:12" ht="15.75">
      <c r="A254" s="149"/>
      <c r="B254" s="164"/>
      <c r="C254" s="149"/>
      <c r="E254" s="150"/>
      <c r="F254" s="150"/>
      <c r="G254" s="150"/>
      <c r="H254" s="150"/>
      <c r="I254" s="150"/>
      <c r="J254" s="150"/>
      <c r="L254" s="150"/>
    </row>
    <row r="255" spans="1:12" ht="15.75">
      <c r="A255" s="149"/>
      <c r="B255" s="164"/>
      <c r="C255" s="149"/>
      <c r="E255" s="150"/>
      <c r="F255" s="150"/>
      <c r="G255" s="150"/>
      <c r="H255" s="150"/>
      <c r="I255" s="150"/>
      <c r="J255" s="150"/>
      <c r="L255" s="150"/>
    </row>
    <row r="256" spans="1:12" ht="15.75">
      <c r="A256" s="149"/>
      <c r="B256" s="164"/>
      <c r="C256" s="149"/>
      <c r="E256" s="150"/>
      <c r="F256" s="150"/>
      <c r="G256" s="150"/>
      <c r="H256" s="150"/>
      <c r="I256" s="150"/>
      <c r="J256" s="150"/>
      <c r="L256" s="150"/>
    </row>
    <row r="257" spans="1:12" ht="15.75">
      <c r="A257" s="149"/>
      <c r="B257" s="164"/>
      <c r="C257" s="149"/>
      <c r="E257" s="150"/>
      <c r="F257" s="150"/>
      <c r="G257" s="150"/>
      <c r="H257" s="150"/>
      <c r="I257" s="150"/>
      <c r="J257" s="150"/>
      <c r="L257" s="150"/>
    </row>
    <row r="258" spans="1:12" ht="15.75">
      <c r="A258" s="149"/>
      <c r="B258" s="164"/>
      <c r="C258" s="149"/>
      <c r="E258" s="150"/>
      <c r="F258" s="150"/>
      <c r="G258" s="150"/>
      <c r="H258" s="150"/>
      <c r="I258" s="150"/>
      <c r="J258" s="150"/>
      <c r="L258" s="150"/>
    </row>
    <row r="259" spans="1:12" ht="15.75">
      <c r="A259" s="149"/>
      <c r="B259" s="164"/>
      <c r="C259" s="149"/>
      <c r="E259" s="150"/>
      <c r="F259" s="150"/>
      <c r="G259" s="150"/>
      <c r="H259" s="150"/>
      <c r="I259" s="150"/>
      <c r="J259" s="150"/>
      <c r="L259" s="150"/>
    </row>
    <row r="260" spans="1:12" ht="15.75">
      <c r="A260" s="149"/>
      <c r="B260" s="164"/>
      <c r="C260" s="149"/>
      <c r="E260" s="150"/>
      <c r="F260" s="150"/>
      <c r="G260" s="150"/>
      <c r="H260" s="150"/>
      <c r="I260" s="150"/>
      <c r="J260" s="150"/>
      <c r="L260" s="150"/>
    </row>
    <row r="261" spans="1:12" ht="15.75">
      <c r="A261" s="149"/>
      <c r="B261" s="164"/>
      <c r="C261" s="149"/>
      <c r="E261" s="150"/>
      <c r="F261" s="150"/>
      <c r="G261" s="150"/>
      <c r="H261" s="150"/>
      <c r="I261" s="150"/>
      <c r="J261" s="150"/>
      <c r="L261" s="150"/>
    </row>
    <row r="262" spans="1:12" ht="15.75">
      <c r="A262" s="149"/>
      <c r="B262" s="164"/>
      <c r="C262" s="149"/>
      <c r="E262" s="150"/>
      <c r="F262" s="150"/>
      <c r="G262" s="150"/>
      <c r="H262" s="150"/>
      <c r="I262" s="150"/>
      <c r="J262" s="150"/>
      <c r="L262" s="150"/>
    </row>
    <row r="263" spans="1:12" ht="15.75">
      <c r="A263" s="149"/>
      <c r="B263" s="164"/>
      <c r="C263" s="149"/>
      <c r="E263" s="150"/>
      <c r="F263" s="150"/>
      <c r="G263" s="150"/>
      <c r="H263" s="150"/>
      <c r="I263" s="150"/>
      <c r="J263" s="150"/>
      <c r="L263" s="150"/>
    </row>
    <row r="264" spans="1:12" ht="15.75">
      <c r="A264" s="149"/>
      <c r="B264" s="164"/>
      <c r="C264" s="149"/>
      <c r="E264" s="150"/>
      <c r="F264" s="150"/>
      <c r="G264" s="150"/>
      <c r="H264" s="150"/>
      <c r="I264" s="150"/>
      <c r="J264" s="150"/>
      <c r="L264" s="150"/>
    </row>
    <row r="265" spans="1:12" ht="15.75">
      <c r="A265" s="149"/>
      <c r="B265" s="164"/>
      <c r="C265" s="149"/>
      <c r="E265" s="150"/>
      <c r="F265" s="150"/>
      <c r="G265" s="150"/>
      <c r="H265" s="150"/>
      <c r="I265" s="150"/>
      <c r="J265" s="150"/>
      <c r="L265" s="150"/>
    </row>
    <row r="266" spans="1:12" ht="15.75">
      <c r="A266" s="149"/>
      <c r="B266" s="164"/>
      <c r="C266" s="149"/>
      <c r="E266" s="150"/>
      <c r="F266" s="150"/>
      <c r="G266" s="150"/>
      <c r="H266" s="150"/>
      <c r="I266" s="150"/>
      <c r="J266" s="150"/>
      <c r="L266" s="150"/>
    </row>
    <row r="267" spans="1:12" ht="15.75">
      <c r="A267" s="149"/>
      <c r="B267" s="164"/>
      <c r="C267" s="149"/>
      <c r="E267" s="150"/>
      <c r="F267" s="150"/>
      <c r="G267" s="150"/>
      <c r="H267" s="150"/>
      <c r="I267" s="150"/>
      <c r="J267" s="150"/>
      <c r="L267" s="150"/>
    </row>
    <row r="268" spans="1:12" ht="15.75">
      <c r="A268" s="149"/>
      <c r="B268" s="164"/>
      <c r="C268" s="149"/>
      <c r="E268" s="150"/>
      <c r="F268" s="150"/>
      <c r="G268" s="150"/>
      <c r="H268" s="150"/>
      <c r="I268" s="150"/>
      <c r="J268" s="150"/>
      <c r="L268" s="150"/>
    </row>
    <row r="269" spans="1:12" ht="15.75">
      <c r="A269" s="149"/>
      <c r="B269" s="164"/>
      <c r="C269" s="149"/>
      <c r="E269" s="150"/>
      <c r="F269" s="150"/>
      <c r="G269" s="150"/>
      <c r="H269" s="150"/>
      <c r="I269" s="150"/>
      <c r="J269" s="150"/>
      <c r="L269" s="150"/>
    </row>
    <row r="270" spans="1:12" ht="15.75">
      <c r="A270" s="149"/>
      <c r="B270" s="164"/>
      <c r="C270" s="149"/>
      <c r="E270" s="150"/>
      <c r="F270" s="150"/>
      <c r="G270" s="150"/>
      <c r="H270" s="150"/>
      <c r="I270" s="150"/>
      <c r="J270" s="150"/>
      <c r="L270" s="150"/>
    </row>
    <row r="271" spans="1:12" ht="15.75">
      <c r="A271" s="149"/>
      <c r="B271" s="164"/>
      <c r="C271" s="149"/>
      <c r="E271" s="150"/>
      <c r="F271" s="150"/>
      <c r="G271" s="150"/>
      <c r="H271" s="150"/>
      <c r="I271" s="150"/>
      <c r="J271" s="150"/>
      <c r="L271" s="150"/>
    </row>
    <row r="272" spans="1:12" ht="15.75">
      <c r="A272" s="149"/>
      <c r="B272" s="164"/>
      <c r="C272" s="149"/>
      <c r="E272" s="150"/>
      <c r="F272" s="150"/>
      <c r="G272" s="150"/>
      <c r="H272" s="150"/>
      <c r="I272" s="150"/>
      <c r="J272" s="150"/>
      <c r="L272" s="150"/>
    </row>
    <row r="273" spans="1:12" ht="15.75">
      <c r="A273" s="149"/>
      <c r="B273" s="164"/>
      <c r="C273" s="149"/>
      <c r="E273" s="150"/>
      <c r="F273" s="150"/>
      <c r="G273" s="150"/>
      <c r="H273" s="150"/>
      <c r="I273" s="150"/>
      <c r="J273" s="150"/>
      <c r="L273" s="150"/>
    </row>
    <row r="274" spans="1:12" ht="15.75">
      <c r="A274" s="149"/>
      <c r="B274" s="164"/>
      <c r="C274" s="149"/>
      <c r="E274" s="150"/>
      <c r="F274" s="150"/>
      <c r="G274" s="150"/>
      <c r="H274" s="150"/>
      <c r="I274" s="150"/>
      <c r="J274" s="150"/>
      <c r="L274" s="150"/>
    </row>
    <row r="275" spans="1:12" ht="15.75">
      <c r="A275" s="149"/>
      <c r="B275" s="164"/>
      <c r="C275" s="149"/>
      <c r="E275" s="150"/>
      <c r="F275" s="150"/>
      <c r="G275" s="150"/>
      <c r="H275" s="150"/>
      <c r="I275" s="150"/>
      <c r="J275" s="150"/>
      <c r="L275" s="150"/>
    </row>
    <row r="276" spans="1:12" ht="15.75">
      <c r="A276" s="149"/>
      <c r="B276" s="164"/>
      <c r="C276" s="149"/>
      <c r="E276" s="150"/>
      <c r="F276" s="150"/>
      <c r="G276" s="150"/>
      <c r="H276" s="150"/>
      <c r="I276" s="150"/>
      <c r="J276" s="150"/>
      <c r="L276" s="150"/>
    </row>
    <row r="277" spans="1:12" ht="15.75">
      <c r="A277" s="149"/>
      <c r="B277" s="164"/>
      <c r="C277" s="149"/>
      <c r="E277" s="150"/>
      <c r="F277" s="150"/>
      <c r="G277" s="150"/>
      <c r="H277" s="150"/>
      <c r="I277" s="150"/>
      <c r="J277" s="150"/>
      <c r="L277" s="150"/>
    </row>
    <row r="278" spans="1:12" ht="15.75">
      <c r="A278" s="149"/>
      <c r="B278" s="164"/>
      <c r="C278" s="149"/>
      <c r="E278" s="150"/>
      <c r="F278" s="150"/>
      <c r="G278" s="150"/>
      <c r="H278" s="150"/>
      <c r="I278" s="150"/>
      <c r="J278" s="150"/>
      <c r="L278" s="150"/>
    </row>
    <row r="279" spans="1:12" ht="15.75">
      <c r="A279" s="149"/>
      <c r="B279" s="164"/>
      <c r="C279" s="149"/>
      <c r="E279" s="150"/>
      <c r="F279" s="150"/>
      <c r="G279" s="150"/>
      <c r="H279" s="150"/>
      <c r="I279" s="150"/>
      <c r="J279" s="150"/>
      <c r="L279" s="150"/>
    </row>
    <row r="280" spans="1:12" ht="15.75">
      <c r="A280" s="149"/>
      <c r="B280" s="164"/>
      <c r="C280" s="149"/>
      <c r="E280" s="150"/>
      <c r="F280" s="150"/>
      <c r="G280" s="150"/>
      <c r="H280" s="150"/>
      <c r="I280" s="150"/>
      <c r="J280" s="150"/>
      <c r="L280" s="150"/>
    </row>
    <row r="281" spans="1:12" ht="15.75">
      <c r="A281" s="149"/>
      <c r="B281" s="164"/>
      <c r="C281" s="149"/>
      <c r="E281" s="150"/>
      <c r="F281" s="150"/>
      <c r="G281" s="150"/>
      <c r="H281" s="150"/>
      <c r="I281" s="150"/>
      <c r="J281" s="150"/>
      <c r="L281" s="150"/>
    </row>
    <row r="282" spans="1:12" ht="15.75">
      <c r="A282" s="149"/>
      <c r="B282" s="164"/>
      <c r="C282" s="149"/>
      <c r="E282" s="150"/>
      <c r="F282" s="150"/>
      <c r="G282" s="150"/>
      <c r="H282" s="150"/>
      <c r="I282" s="150"/>
      <c r="J282" s="150"/>
      <c r="L282" s="150"/>
    </row>
    <row r="283" spans="1:12" ht="15.75">
      <c r="A283" s="149"/>
      <c r="B283" s="164"/>
      <c r="C283" s="149"/>
      <c r="E283" s="150"/>
      <c r="F283" s="150"/>
      <c r="G283" s="150"/>
      <c r="H283" s="150"/>
      <c r="I283" s="150"/>
      <c r="J283" s="150"/>
      <c r="L283" s="150"/>
    </row>
    <row r="284" spans="1:12" ht="15.75">
      <c r="A284" s="149"/>
      <c r="B284" s="164"/>
      <c r="C284" s="149"/>
      <c r="E284" s="150"/>
      <c r="F284" s="150"/>
      <c r="G284" s="150"/>
      <c r="H284" s="150"/>
      <c r="I284" s="150"/>
      <c r="J284" s="150"/>
      <c r="L284" s="150"/>
    </row>
    <row r="285" spans="1:12" ht="15.75">
      <c r="A285" s="149"/>
      <c r="B285" s="164"/>
      <c r="C285" s="149"/>
      <c r="E285" s="150"/>
      <c r="F285" s="150"/>
      <c r="G285" s="150"/>
      <c r="H285" s="150"/>
      <c r="I285" s="150"/>
      <c r="J285" s="150"/>
      <c r="L285" s="150"/>
    </row>
    <row r="286" spans="1:12" ht="15.75">
      <c r="A286" s="149"/>
      <c r="B286" s="164"/>
      <c r="C286" s="149"/>
      <c r="E286" s="150"/>
      <c r="F286" s="150"/>
      <c r="G286" s="150"/>
      <c r="H286" s="150"/>
      <c r="I286" s="150"/>
      <c r="J286" s="150"/>
      <c r="L286" s="150"/>
    </row>
    <row r="287" spans="1:12" ht="15.75">
      <c r="A287" s="149"/>
      <c r="B287" s="164"/>
      <c r="C287" s="149"/>
      <c r="E287" s="150"/>
      <c r="F287" s="150"/>
      <c r="G287" s="150"/>
      <c r="H287" s="150"/>
      <c r="I287" s="150"/>
      <c r="J287" s="150"/>
      <c r="L287" s="150"/>
    </row>
    <row r="288" spans="1:12" ht="15.75">
      <c r="A288" s="149"/>
      <c r="B288" s="164"/>
      <c r="C288" s="149"/>
      <c r="E288" s="150"/>
      <c r="F288" s="150"/>
      <c r="G288" s="150"/>
      <c r="H288" s="150"/>
      <c r="I288" s="150"/>
      <c r="J288" s="150"/>
      <c r="L288" s="150"/>
    </row>
    <row r="289" spans="1:12" ht="15.75">
      <c r="A289" s="149"/>
      <c r="B289" s="164"/>
      <c r="C289" s="149"/>
      <c r="E289" s="150"/>
      <c r="F289" s="150"/>
      <c r="G289" s="150"/>
      <c r="H289" s="150"/>
      <c r="I289" s="150"/>
      <c r="J289" s="150"/>
      <c r="L289" s="150"/>
    </row>
    <row r="290" spans="1:12" ht="15.75">
      <c r="A290" s="149"/>
      <c r="B290" s="164"/>
      <c r="C290" s="149"/>
      <c r="E290" s="150"/>
      <c r="F290" s="150"/>
      <c r="G290" s="150"/>
      <c r="H290" s="150"/>
      <c r="I290" s="150"/>
      <c r="J290" s="150"/>
      <c r="L290" s="150"/>
    </row>
    <row r="291" spans="1:12" ht="15.75">
      <c r="A291" s="149"/>
      <c r="B291" s="164"/>
      <c r="C291" s="149"/>
      <c r="E291" s="150"/>
      <c r="F291" s="150"/>
      <c r="G291" s="150"/>
      <c r="H291" s="150"/>
      <c r="I291" s="150"/>
      <c r="J291" s="150"/>
      <c r="L291" s="150"/>
    </row>
    <row r="292" spans="1:12" ht="15.75">
      <c r="A292" s="149"/>
      <c r="B292" s="164"/>
      <c r="C292" s="149"/>
      <c r="E292" s="150"/>
      <c r="F292" s="150"/>
      <c r="G292" s="150"/>
      <c r="H292" s="150"/>
      <c r="I292" s="150"/>
      <c r="J292" s="150"/>
      <c r="L292" s="150"/>
    </row>
    <row r="293" spans="1:12" ht="15.75">
      <c r="A293" s="149"/>
      <c r="B293" s="164"/>
      <c r="C293" s="149"/>
      <c r="E293" s="150"/>
      <c r="F293" s="150"/>
      <c r="G293" s="150"/>
      <c r="H293" s="150"/>
      <c r="I293" s="150"/>
      <c r="J293" s="150"/>
      <c r="L293" s="150"/>
    </row>
    <row r="294" spans="1:12" ht="15.75">
      <c r="A294" s="149"/>
      <c r="B294" s="164"/>
      <c r="C294" s="149"/>
      <c r="E294" s="150"/>
      <c r="F294" s="150"/>
      <c r="G294" s="150"/>
      <c r="H294" s="150"/>
      <c r="I294" s="150"/>
      <c r="J294" s="150"/>
      <c r="L294" s="150"/>
    </row>
    <row r="295" spans="1:12" ht="15.75">
      <c r="A295" s="149"/>
      <c r="B295" s="164"/>
      <c r="C295" s="149"/>
      <c r="E295" s="150"/>
      <c r="F295" s="150"/>
      <c r="G295" s="150"/>
      <c r="H295" s="150"/>
      <c r="I295" s="150"/>
      <c r="J295" s="150"/>
      <c r="L295" s="150"/>
    </row>
    <row r="296" spans="1:12" ht="15.75">
      <c r="A296" s="149"/>
      <c r="B296" s="164"/>
      <c r="C296" s="149"/>
      <c r="E296" s="150"/>
      <c r="F296" s="150"/>
      <c r="G296" s="150"/>
      <c r="H296" s="150"/>
      <c r="I296" s="150"/>
      <c r="J296" s="150"/>
      <c r="L296" s="150"/>
    </row>
    <row r="297" spans="1:12" ht="15.75">
      <c r="A297" s="149"/>
      <c r="B297" s="164"/>
      <c r="C297" s="149"/>
      <c r="E297" s="150"/>
      <c r="F297" s="150"/>
      <c r="G297" s="150"/>
      <c r="H297" s="150"/>
      <c r="I297" s="150"/>
      <c r="J297" s="150"/>
      <c r="L297" s="150"/>
    </row>
    <row r="298" spans="1:12" ht="15.75">
      <c r="A298" s="149"/>
      <c r="B298" s="164"/>
      <c r="C298" s="149"/>
      <c r="E298" s="150"/>
      <c r="F298" s="150"/>
      <c r="G298" s="150"/>
      <c r="H298" s="150"/>
      <c r="I298" s="150"/>
      <c r="J298" s="150"/>
      <c r="L298" s="150"/>
    </row>
    <row r="299" spans="1:12" ht="15.75">
      <c r="A299" s="149"/>
      <c r="B299" s="164"/>
      <c r="C299" s="149"/>
      <c r="E299" s="150"/>
      <c r="F299" s="150"/>
      <c r="G299" s="150"/>
      <c r="H299" s="150"/>
      <c r="I299" s="150"/>
      <c r="J299" s="150"/>
      <c r="L299" s="150"/>
    </row>
    <row r="300" spans="1:12" ht="15.75">
      <c r="A300" s="149"/>
      <c r="B300" s="164"/>
      <c r="C300" s="149"/>
      <c r="E300" s="150"/>
      <c r="F300" s="150"/>
      <c r="G300" s="150"/>
      <c r="H300" s="150"/>
      <c r="I300" s="150"/>
      <c r="J300" s="150"/>
      <c r="L300" s="150"/>
    </row>
    <row r="301" spans="1:12" ht="15.75">
      <c r="A301" s="149"/>
      <c r="B301" s="164"/>
      <c r="C301" s="149"/>
      <c r="E301" s="150"/>
      <c r="F301" s="150"/>
      <c r="G301" s="150"/>
      <c r="H301" s="150"/>
      <c r="I301" s="150"/>
      <c r="J301" s="150"/>
      <c r="L301" s="150"/>
    </row>
    <row r="302" spans="1:12" ht="15.75">
      <c r="A302" s="149"/>
      <c r="B302" s="164"/>
      <c r="C302" s="149"/>
      <c r="E302" s="150"/>
      <c r="F302" s="150"/>
      <c r="G302" s="150"/>
      <c r="H302" s="150"/>
      <c r="I302" s="150"/>
      <c r="J302" s="150"/>
      <c r="L302" s="150"/>
    </row>
    <row r="303" spans="1:12" ht="15.75">
      <c r="A303" s="149"/>
      <c r="B303" s="164"/>
      <c r="C303" s="149"/>
      <c r="E303" s="150"/>
      <c r="F303" s="150"/>
      <c r="G303" s="150"/>
      <c r="H303" s="150"/>
      <c r="I303" s="150"/>
      <c r="J303" s="150"/>
      <c r="L303" s="150"/>
    </row>
    <row r="304" spans="1:12" ht="15.75">
      <c r="A304" s="149"/>
      <c r="B304" s="164"/>
      <c r="C304" s="149"/>
      <c r="E304" s="150"/>
      <c r="F304" s="150"/>
      <c r="G304" s="150"/>
      <c r="H304" s="150"/>
      <c r="I304" s="150"/>
      <c r="J304" s="150"/>
      <c r="L304" s="150"/>
    </row>
    <row r="305" spans="1:12" ht="15.75">
      <c r="A305" s="149"/>
      <c r="B305" s="164"/>
      <c r="C305" s="149"/>
      <c r="E305" s="150"/>
      <c r="F305" s="150"/>
      <c r="G305" s="150"/>
      <c r="H305" s="150"/>
      <c r="I305" s="150"/>
      <c r="J305" s="150"/>
      <c r="L305" s="150"/>
    </row>
    <row r="306" spans="1:12" ht="15.75">
      <c r="A306" s="149"/>
      <c r="B306" s="164"/>
      <c r="C306" s="149"/>
      <c r="E306" s="150"/>
      <c r="F306" s="150"/>
      <c r="G306" s="150"/>
      <c r="H306" s="150"/>
      <c r="I306" s="150"/>
      <c r="J306" s="150"/>
      <c r="L306" s="150"/>
    </row>
    <row r="307" spans="1:12" ht="15.75">
      <c r="A307" s="149"/>
      <c r="B307" s="164"/>
      <c r="C307" s="149"/>
      <c r="E307" s="150"/>
      <c r="F307" s="150"/>
      <c r="G307" s="150"/>
      <c r="H307" s="150"/>
      <c r="I307" s="150"/>
      <c r="J307" s="150"/>
      <c r="L307" s="150"/>
    </row>
    <row r="308" spans="1:12" ht="15.75">
      <c r="A308" s="149"/>
      <c r="B308" s="164"/>
      <c r="C308" s="149"/>
      <c r="E308" s="150"/>
      <c r="F308" s="150"/>
      <c r="G308" s="150"/>
      <c r="H308" s="150"/>
      <c r="I308" s="150"/>
      <c r="J308" s="150"/>
      <c r="L308" s="150"/>
    </row>
    <row r="309" spans="1:12" ht="15.75">
      <c r="A309" s="149"/>
      <c r="B309" s="164"/>
      <c r="C309" s="149"/>
      <c r="E309" s="150"/>
      <c r="F309" s="150"/>
      <c r="G309" s="150"/>
      <c r="H309" s="150"/>
      <c r="I309" s="150"/>
      <c r="J309" s="150"/>
      <c r="L309" s="150"/>
    </row>
    <row r="310" spans="1:12" ht="15.75">
      <c r="A310" s="149"/>
      <c r="B310" s="164"/>
      <c r="C310" s="149"/>
      <c r="E310" s="150"/>
      <c r="F310" s="150"/>
      <c r="G310" s="150"/>
      <c r="H310" s="150"/>
      <c r="I310" s="150"/>
      <c r="J310" s="150"/>
      <c r="L310" s="150"/>
    </row>
    <row r="311" spans="1:12" ht="15.75">
      <c r="A311" s="149"/>
      <c r="B311" s="164"/>
      <c r="C311" s="149"/>
      <c r="E311" s="150"/>
      <c r="F311" s="150"/>
      <c r="G311" s="150"/>
      <c r="H311" s="150"/>
      <c r="I311" s="150"/>
      <c r="J311" s="150"/>
      <c r="L311" s="150"/>
    </row>
    <row r="312" spans="1:12" ht="15.75">
      <c r="A312" s="149"/>
      <c r="B312" s="164"/>
      <c r="C312" s="149"/>
      <c r="E312" s="150"/>
      <c r="F312" s="150"/>
      <c r="G312" s="150"/>
      <c r="H312" s="150"/>
      <c r="I312" s="150"/>
      <c r="J312" s="150"/>
      <c r="L312" s="150"/>
    </row>
    <row r="313" spans="1:12" ht="15.75">
      <c r="A313" s="149"/>
      <c r="B313" s="164"/>
      <c r="C313" s="149"/>
      <c r="E313" s="150"/>
      <c r="F313" s="150"/>
      <c r="G313" s="150"/>
      <c r="H313" s="150"/>
      <c r="I313" s="150"/>
      <c r="J313" s="150"/>
      <c r="L313" s="150"/>
    </row>
    <row r="314" spans="1:12" ht="15.75">
      <c r="A314" s="149"/>
      <c r="B314" s="164"/>
      <c r="C314" s="149"/>
      <c r="E314" s="150"/>
      <c r="F314" s="150"/>
      <c r="G314" s="150"/>
      <c r="H314" s="150"/>
      <c r="I314" s="150"/>
      <c r="J314" s="150"/>
      <c r="L314" s="150"/>
    </row>
    <row r="315" spans="1:12" ht="15.75">
      <c r="A315" s="149"/>
      <c r="B315" s="164"/>
      <c r="C315" s="149"/>
      <c r="E315" s="150"/>
      <c r="F315" s="150"/>
      <c r="G315" s="150"/>
      <c r="H315" s="150"/>
      <c r="I315" s="150"/>
      <c r="J315" s="150"/>
      <c r="L315" s="150"/>
    </row>
    <row r="316" spans="1:12" ht="15.75">
      <c r="A316" s="149"/>
      <c r="B316" s="164"/>
      <c r="C316" s="149"/>
      <c r="E316" s="150"/>
      <c r="F316" s="150"/>
      <c r="G316" s="150"/>
      <c r="H316" s="150"/>
      <c r="I316" s="150"/>
      <c r="J316" s="150"/>
      <c r="L316" s="150"/>
    </row>
    <row r="317" spans="1:12" ht="15.75">
      <c r="A317" s="149"/>
      <c r="B317" s="164"/>
      <c r="C317" s="149"/>
      <c r="E317" s="150"/>
      <c r="F317" s="150"/>
      <c r="G317" s="150"/>
      <c r="H317" s="150"/>
      <c r="I317" s="150"/>
      <c r="J317" s="150"/>
      <c r="L317" s="150"/>
    </row>
    <row r="318" spans="1:12" ht="15.75">
      <c r="A318" s="149"/>
      <c r="B318" s="164"/>
      <c r="C318" s="149"/>
      <c r="E318" s="150"/>
      <c r="F318" s="150"/>
      <c r="G318" s="150"/>
      <c r="H318" s="150"/>
      <c r="I318" s="150"/>
      <c r="J318" s="150"/>
      <c r="L318" s="150"/>
    </row>
    <row r="319" spans="1:12" ht="15.75">
      <c r="A319" s="149"/>
      <c r="B319" s="164"/>
      <c r="C319" s="149"/>
      <c r="E319" s="150"/>
      <c r="F319" s="150"/>
      <c r="G319" s="150"/>
      <c r="H319" s="150"/>
      <c r="I319" s="150"/>
      <c r="J319" s="150"/>
      <c r="L319" s="150"/>
    </row>
    <row r="320" spans="1:12" ht="15.75">
      <c r="A320" s="149"/>
      <c r="B320" s="164"/>
      <c r="C320" s="149"/>
      <c r="E320" s="150"/>
      <c r="F320" s="150"/>
      <c r="G320" s="150"/>
      <c r="H320" s="150"/>
      <c r="I320" s="150"/>
      <c r="J320" s="150"/>
      <c r="L320" s="150"/>
    </row>
    <row r="321" spans="1:12" ht="15.75">
      <c r="A321" s="149"/>
      <c r="B321" s="164"/>
      <c r="C321" s="149"/>
      <c r="E321" s="150"/>
      <c r="F321" s="150"/>
      <c r="G321" s="150"/>
      <c r="H321" s="150"/>
      <c r="I321" s="150"/>
      <c r="J321" s="150"/>
      <c r="L321" s="150"/>
    </row>
    <row r="322" spans="1:12" ht="15.75">
      <c r="A322" s="149"/>
      <c r="B322" s="164"/>
      <c r="C322" s="149"/>
      <c r="E322" s="150"/>
      <c r="F322" s="150"/>
      <c r="G322" s="150"/>
      <c r="H322" s="150"/>
      <c r="I322" s="150"/>
      <c r="J322" s="150"/>
      <c r="L322" s="150"/>
    </row>
    <row r="323" spans="1:12" ht="15.75">
      <c r="A323" s="149"/>
      <c r="B323" s="164"/>
      <c r="C323" s="149"/>
      <c r="E323" s="150"/>
      <c r="F323" s="150"/>
      <c r="G323" s="150"/>
      <c r="H323" s="150"/>
      <c r="I323" s="150"/>
      <c r="J323" s="150"/>
      <c r="L323" s="150"/>
    </row>
    <row r="324" spans="1:12" ht="15.75">
      <c r="A324" s="149"/>
      <c r="B324" s="164"/>
      <c r="C324" s="149"/>
      <c r="E324" s="150"/>
      <c r="F324" s="150"/>
      <c r="G324" s="150"/>
      <c r="H324" s="150"/>
      <c r="I324" s="150"/>
      <c r="J324" s="150"/>
      <c r="L324" s="150"/>
    </row>
    <row r="325" spans="1:12" ht="15.75">
      <c r="A325" s="149"/>
      <c r="B325" s="164"/>
      <c r="C325" s="149"/>
      <c r="E325" s="150"/>
      <c r="F325" s="150"/>
      <c r="G325" s="150"/>
      <c r="H325" s="150"/>
      <c r="I325" s="150"/>
      <c r="J325" s="150"/>
      <c r="L325" s="150"/>
    </row>
    <row r="326" spans="1:12" ht="15.75">
      <c r="A326" s="149"/>
      <c r="B326" s="164"/>
      <c r="C326" s="149"/>
      <c r="E326" s="150"/>
      <c r="F326" s="150"/>
      <c r="G326" s="150"/>
      <c r="H326" s="150"/>
      <c r="I326" s="150"/>
      <c r="J326" s="150"/>
      <c r="L326" s="150"/>
    </row>
    <row r="327" spans="1:12" ht="15.75">
      <c r="A327" s="149"/>
      <c r="B327" s="164"/>
      <c r="C327" s="149"/>
      <c r="E327" s="150"/>
      <c r="F327" s="150"/>
      <c r="G327" s="150"/>
      <c r="H327" s="150"/>
      <c r="I327" s="150"/>
      <c r="J327" s="150"/>
      <c r="L327" s="150"/>
    </row>
    <row r="328" spans="1:12" ht="15.75">
      <c r="A328" s="149"/>
      <c r="B328" s="164"/>
      <c r="C328" s="149"/>
      <c r="E328" s="150"/>
      <c r="F328" s="150"/>
      <c r="G328" s="150"/>
      <c r="H328" s="150"/>
      <c r="I328" s="150"/>
      <c r="J328" s="150"/>
      <c r="L328" s="150"/>
    </row>
    <row r="329" spans="1:12" ht="15.75">
      <c r="A329" s="149"/>
      <c r="B329" s="164"/>
      <c r="C329" s="149"/>
      <c r="E329" s="150"/>
      <c r="F329" s="150"/>
      <c r="G329" s="150"/>
      <c r="H329" s="150"/>
      <c r="I329" s="150"/>
      <c r="J329" s="150"/>
      <c r="L329" s="150"/>
    </row>
    <row r="330" spans="1:12" ht="15.75">
      <c r="A330" s="149"/>
      <c r="B330" s="164"/>
      <c r="C330" s="149"/>
      <c r="E330" s="150"/>
      <c r="F330" s="150"/>
      <c r="G330" s="150"/>
      <c r="H330" s="150"/>
      <c r="I330" s="150"/>
      <c r="J330" s="150"/>
      <c r="L330" s="150"/>
    </row>
    <row r="331" spans="1:12" ht="15.75">
      <c r="A331" s="149"/>
      <c r="B331" s="164"/>
      <c r="C331" s="149"/>
      <c r="E331" s="150"/>
      <c r="F331" s="150"/>
      <c r="G331" s="150"/>
      <c r="H331" s="150"/>
      <c r="I331" s="150"/>
      <c r="J331" s="150"/>
      <c r="L331" s="150"/>
    </row>
    <row r="332" spans="1:12" ht="15.75">
      <c r="A332" s="149"/>
      <c r="B332" s="164"/>
      <c r="C332" s="149"/>
      <c r="E332" s="150"/>
      <c r="F332" s="150"/>
      <c r="G332" s="150"/>
      <c r="H332" s="150"/>
      <c r="I332" s="150"/>
      <c r="J332" s="150"/>
      <c r="L332" s="150"/>
    </row>
    <row r="333" spans="1:12" ht="15.75">
      <c r="A333" s="149"/>
      <c r="B333" s="164"/>
      <c r="C333" s="149"/>
      <c r="E333" s="150"/>
      <c r="F333" s="150"/>
      <c r="G333" s="150"/>
      <c r="H333" s="150"/>
      <c r="I333" s="150"/>
      <c r="J333" s="150"/>
      <c r="L333" s="150"/>
    </row>
    <row r="334" spans="1:12" ht="15.75">
      <c r="A334" s="149"/>
      <c r="B334" s="164"/>
      <c r="C334" s="149"/>
      <c r="E334" s="150"/>
      <c r="F334" s="150"/>
      <c r="G334" s="150"/>
      <c r="H334" s="150"/>
      <c r="I334" s="150"/>
      <c r="J334" s="150"/>
      <c r="L334" s="150"/>
    </row>
    <row r="335" spans="1:12" ht="15.75">
      <c r="A335" s="149"/>
      <c r="B335" s="164"/>
      <c r="C335" s="149"/>
      <c r="E335" s="150"/>
      <c r="F335" s="150"/>
      <c r="G335" s="150"/>
      <c r="H335" s="150"/>
      <c r="I335" s="150"/>
      <c r="J335" s="150"/>
      <c r="L335" s="150"/>
    </row>
    <row r="336" spans="1:12" ht="15.75">
      <c r="A336" s="149"/>
      <c r="B336" s="164"/>
      <c r="C336" s="149"/>
      <c r="E336" s="150"/>
      <c r="F336" s="150"/>
      <c r="G336" s="150"/>
      <c r="H336" s="150"/>
      <c r="I336" s="150"/>
      <c r="J336" s="150"/>
      <c r="L336" s="150"/>
    </row>
    <row r="337" spans="1:12" ht="15.75">
      <c r="A337" s="149"/>
      <c r="B337" s="164"/>
      <c r="C337" s="149"/>
      <c r="E337" s="150"/>
      <c r="F337" s="150"/>
      <c r="G337" s="150"/>
      <c r="H337" s="150"/>
      <c r="I337" s="150"/>
      <c r="J337" s="150"/>
      <c r="L337" s="150"/>
    </row>
    <row r="338" spans="1:12" ht="15.75">
      <c r="A338" s="149"/>
      <c r="B338" s="164"/>
      <c r="C338" s="149"/>
      <c r="E338" s="150"/>
      <c r="F338" s="150"/>
      <c r="G338" s="150"/>
      <c r="H338" s="150"/>
      <c r="I338" s="150"/>
      <c r="J338" s="150"/>
      <c r="L338" s="150"/>
    </row>
    <row r="339" spans="1:12" ht="15.75">
      <c r="A339" s="149"/>
      <c r="B339" s="164"/>
      <c r="C339" s="149"/>
      <c r="E339" s="150"/>
      <c r="F339" s="150"/>
      <c r="G339" s="150"/>
      <c r="H339" s="150"/>
      <c r="I339" s="150"/>
      <c r="J339" s="150"/>
      <c r="L339" s="150"/>
    </row>
    <row r="340" spans="1:12" ht="15.75">
      <c r="A340" s="149"/>
      <c r="B340" s="164"/>
      <c r="C340" s="149"/>
      <c r="E340" s="150"/>
      <c r="F340" s="150"/>
      <c r="G340" s="150"/>
      <c r="H340" s="150"/>
      <c r="I340" s="150"/>
      <c r="J340" s="150"/>
      <c r="L340" s="150"/>
    </row>
    <row r="341" spans="1:12" ht="15.75">
      <c r="A341" s="149"/>
      <c r="B341" s="164"/>
      <c r="C341" s="149"/>
      <c r="E341" s="150"/>
      <c r="F341" s="150"/>
      <c r="G341" s="150"/>
      <c r="H341" s="150"/>
      <c r="I341" s="150"/>
      <c r="J341" s="150"/>
      <c r="L341" s="150"/>
    </row>
    <row r="342" spans="1:12" ht="15.75">
      <c r="A342" s="149"/>
      <c r="B342" s="164"/>
      <c r="C342" s="149"/>
      <c r="E342" s="150"/>
      <c r="F342" s="150"/>
      <c r="G342" s="150"/>
      <c r="H342" s="150"/>
      <c r="I342" s="150"/>
      <c r="J342" s="150"/>
      <c r="L342" s="150"/>
    </row>
    <row r="343" spans="1:12" ht="15.75">
      <c r="A343" s="149"/>
      <c r="B343" s="164"/>
      <c r="C343" s="149"/>
      <c r="E343" s="150"/>
      <c r="F343" s="150"/>
      <c r="G343" s="150"/>
      <c r="H343" s="150"/>
      <c r="I343" s="150"/>
      <c r="J343" s="150"/>
      <c r="L343" s="150"/>
    </row>
    <row r="344" spans="1:12" ht="15.75">
      <c r="A344" s="149"/>
      <c r="B344" s="164"/>
      <c r="C344" s="149"/>
      <c r="E344" s="150"/>
      <c r="F344" s="150"/>
      <c r="G344" s="150"/>
      <c r="H344" s="150"/>
      <c r="I344" s="150"/>
      <c r="J344" s="150"/>
      <c r="L344" s="150"/>
    </row>
    <row r="345" spans="1:12" ht="15.75">
      <c r="A345" s="149"/>
      <c r="B345" s="164"/>
      <c r="C345" s="149"/>
      <c r="E345" s="150"/>
      <c r="F345" s="150"/>
      <c r="G345" s="150"/>
      <c r="H345" s="150"/>
      <c r="I345" s="150"/>
      <c r="J345" s="150"/>
      <c r="L345" s="150"/>
    </row>
    <row r="346" spans="1:12" ht="15.75">
      <c r="A346" s="149"/>
      <c r="B346" s="164"/>
      <c r="C346" s="149"/>
      <c r="E346" s="150"/>
      <c r="F346" s="150"/>
      <c r="G346" s="150"/>
      <c r="H346" s="150"/>
      <c r="I346" s="150"/>
      <c r="J346" s="150"/>
      <c r="L346" s="150"/>
    </row>
    <row r="347" spans="1:12" ht="15.75">
      <c r="A347" s="149"/>
      <c r="B347" s="164"/>
      <c r="C347" s="149"/>
      <c r="E347" s="150"/>
      <c r="F347" s="150"/>
      <c r="G347" s="150"/>
      <c r="H347" s="150"/>
      <c r="I347" s="150"/>
      <c r="J347" s="150"/>
      <c r="L347" s="150"/>
    </row>
    <row r="348" spans="1:12" ht="15.75">
      <c r="A348" s="149"/>
      <c r="B348" s="164"/>
      <c r="C348" s="149"/>
      <c r="E348" s="150"/>
      <c r="F348" s="150"/>
      <c r="G348" s="150"/>
      <c r="H348" s="150"/>
      <c r="I348" s="150"/>
      <c r="J348" s="150"/>
      <c r="L348" s="150"/>
    </row>
    <row r="349" spans="1:12" ht="15.75">
      <c r="A349" s="149"/>
      <c r="B349" s="164"/>
      <c r="C349" s="149"/>
      <c r="E349" s="150"/>
      <c r="F349" s="150"/>
      <c r="G349" s="150"/>
      <c r="H349" s="150"/>
      <c r="I349" s="150"/>
      <c r="J349" s="150"/>
      <c r="L349" s="150"/>
    </row>
    <row r="350" spans="1:12" ht="15.75">
      <c r="A350" s="149"/>
      <c r="B350" s="164"/>
      <c r="C350" s="149"/>
      <c r="E350" s="150"/>
      <c r="F350" s="150"/>
      <c r="G350" s="150"/>
      <c r="H350" s="150"/>
      <c r="I350" s="150"/>
      <c r="J350" s="150"/>
      <c r="L350" s="150"/>
    </row>
    <row r="351" spans="1:12" ht="15.75">
      <c r="A351" s="149"/>
      <c r="B351" s="164"/>
      <c r="C351" s="149"/>
      <c r="E351" s="150"/>
      <c r="F351" s="150"/>
      <c r="G351" s="150"/>
      <c r="H351" s="150"/>
      <c r="I351" s="150"/>
      <c r="J351" s="150"/>
      <c r="L351" s="150"/>
    </row>
    <row r="352" spans="1:12" ht="15.75">
      <c r="A352" s="149"/>
      <c r="B352" s="164"/>
      <c r="C352" s="149"/>
      <c r="E352" s="150"/>
      <c r="F352" s="150"/>
      <c r="G352" s="150"/>
      <c r="H352" s="150"/>
      <c r="I352" s="150"/>
      <c r="J352" s="150"/>
      <c r="L352" s="150"/>
    </row>
    <row r="353" spans="1:12" ht="15.75">
      <c r="A353" s="149"/>
      <c r="B353" s="164"/>
      <c r="C353" s="149"/>
      <c r="E353" s="150"/>
      <c r="F353" s="150"/>
      <c r="G353" s="150"/>
      <c r="H353" s="150"/>
      <c r="I353" s="150"/>
      <c r="J353" s="150"/>
      <c r="L353" s="150"/>
    </row>
    <row r="354" spans="1:12" ht="15.75">
      <c r="A354" s="149"/>
      <c r="B354" s="164"/>
      <c r="C354" s="149"/>
      <c r="E354" s="150"/>
      <c r="F354" s="150"/>
      <c r="G354" s="150"/>
      <c r="H354" s="150"/>
      <c r="I354" s="150"/>
      <c r="J354" s="150"/>
      <c r="L354" s="150"/>
    </row>
    <row r="355" spans="1:12" ht="15.75">
      <c r="A355" s="149"/>
      <c r="B355" s="164"/>
      <c r="C355" s="149"/>
      <c r="E355" s="150"/>
      <c r="F355" s="150"/>
      <c r="G355" s="150"/>
      <c r="H355" s="150"/>
      <c r="I355" s="150"/>
      <c r="J355" s="150"/>
      <c r="L355" s="150"/>
    </row>
    <row r="356" spans="1:12" ht="15.75">
      <c r="A356" s="149"/>
      <c r="B356" s="164"/>
      <c r="C356" s="149"/>
      <c r="E356" s="150"/>
      <c r="F356" s="150"/>
      <c r="G356" s="150"/>
      <c r="H356" s="150"/>
      <c r="I356" s="150"/>
      <c r="J356" s="150"/>
      <c r="L356" s="150"/>
    </row>
    <row r="357" spans="1:12" ht="15.75">
      <c r="A357" s="149"/>
      <c r="B357" s="164"/>
      <c r="C357" s="149"/>
      <c r="E357" s="150"/>
      <c r="F357" s="150"/>
      <c r="G357" s="150"/>
      <c r="H357" s="150"/>
      <c r="I357" s="150"/>
      <c r="J357" s="150"/>
      <c r="L357" s="150"/>
    </row>
    <row r="358" spans="1:12" ht="15.75">
      <c r="A358" s="149"/>
      <c r="B358" s="164"/>
      <c r="C358" s="149"/>
      <c r="E358" s="150"/>
      <c r="F358" s="150"/>
      <c r="G358" s="150"/>
      <c r="H358" s="150"/>
      <c r="I358" s="150"/>
      <c r="J358" s="150"/>
      <c r="L358" s="150"/>
    </row>
    <row r="359" spans="1:12" ht="15.75">
      <c r="A359" s="149"/>
      <c r="B359" s="164"/>
      <c r="C359" s="149"/>
      <c r="E359" s="150"/>
      <c r="F359" s="150"/>
      <c r="G359" s="150"/>
      <c r="H359" s="150"/>
      <c r="I359" s="150"/>
      <c r="J359" s="150"/>
      <c r="L359" s="150"/>
    </row>
    <row r="360" spans="1:12" ht="15.75">
      <c r="A360" s="149"/>
      <c r="B360" s="164"/>
      <c r="C360" s="149"/>
      <c r="E360" s="150"/>
      <c r="F360" s="150"/>
      <c r="G360" s="150"/>
      <c r="H360" s="150"/>
      <c r="I360" s="150"/>
      <c r="J360" s="150"/>
      <c r="L360" s="150"/>
    </row>
    <row r="361" spans="1:12" ht="15.75">
      <c r="A361" s="149"/>
      <c r="B361" s="164"/>
      <c r="C361" s="149"/>
      <c r="E361" s="150"/>
      <c r="F361" s="150"/>
      <c r="G361" s="150"/>
      <c r="H361" s="150"/>
      <c r="I361" s="150"/>
      <c r="J361" s="150"/>
      <c r="L361" s="150"/>
    </row>
    <row r="362" spans="1:12" ht="15.75">
      <c r="A362" s="149"/>
      <c r="B362" s="164"/>
      <c r="C362" s="149"/>
      <c r="E362" s="150"/>
      <c r="F362" s="150"/>
      <c r="G362" s="150"/>
      <c r="H362" s="150"/>
      <c r="I362" s="150"/>
      <c r="J362" s="150"/>
      <c r="L362" s="150"/>
    </row>
    <row r="363" spans="1:12" ht="15.75">
      <c r="A363" s="149"/>
      <c r="B363" s="164"/>
      <c r="C363" s="149"/>
      <c r="E363" s="150"/>
      <c r="F363" s="150"/>
      <c r="G363" s="150"/>
      <c r="H363" s="150"/>
      <c r="I363" s="150"/>
      <c r="J363" s="150"/>
      <c r="L363" s="150"/>
    </row>
    <row r="364" spans="1:12" ht="15.75">
      <c r="A364" s="149"/>
      <c r="B364" s="164"/>
      <c r="C364" s="149"/>
      <c r="E364" s="150"/>
      <c r="F364" s="150"/>
      <c r="G364" s="150"/>
      <c r="H364" s="150"/>
      <c r="I364" s="150"/>
      <c r="J364" s="150"/>
      <c r="L364" s="150"/>
    </row>
    <row r="365" spans="1:12" ht="15.75">
      <c r="A365" s="149"/>
      <c r="B365" s="164"/>
      <c r="C365" s="149"/>
      <c r="E365" s="150"/>
      <c r="F365" s="150"/>
      <c r="G365" s="150"/>
      <c r="H365" s="150"/>
      <c r="I365" s="150"/>
      <c r="J365" s="150"/>
      <c r="L365" s="150"/>
    </row>
    <row r="366" spans="1:12" ht="15.75">
      <c r="A366" s="149"/>
      <c r="B366" s="164"/>
      <c r="C366" s="149"/>
      <c r="E366" s="150"/>
      <c r="F366" s="150"/>
      <c r="G366" s="150"/>
      <c r="H366" s="150"/>
      <c r="I366" s="150"/>
      <c r="J366" s="150"/>
      <c r="L366" s="150"/>
    </row>
    <row r="367" spans="1:12" ht="15.75">
      <c r="A367" s="149"/>
      <c r="B367" s="164"/>
      <c r="C367" s="149"/>
      <c r="E367" s="150"/>
      <c r="F367" s="150"/>
      <c r="G367" s="150"/>
      <c r="H367" s="150"/>
      <c r="I367" s="150"/>
      <c r="J367" s="150"/>
      <c r="L367" s="150"/>
    </row>
    <row r="368" spans="1:12" ht="15.75">
      <c r="A368" s="149"/>
      <c r="B368" s="164"/>
      <c r="C368" s="149"/>
      <c r="E368" s="150"/>
      <c r="F368" s="150"/>
      <c r="G368" s="150"/>
      <c r="H368" s="150"/>
      <c r="I368" s="150"/>
      <c r="J368" s="150"/>
      <c r="L368" s="150"/>
    </row>
    <row r="369" spans="1:12" ht="15.75">
      <c r="A369" s="149"/>
      <c r="B369" s="164"/>
      <c r="C369" s="149"/>
      <c r="E369" s="150"/>
      <c r="F369" s="150"/>
      <c r="G369" s="150"/>
      <c r="H369" s="150"/>
      <c r="I369" s="150"/>
      <c r="J369" s="150"/>
      <c r="L369" s="150"/>
    </row>
    <row r="370" spans="1:12" ht="15.75">
      <c r="A370" s="149"/>
      <c r="B370" s="164"/>
      <c r="C370" s="149"/>
      <c r="E370" s="150"/>
      <c r="F370" s="150"/>
      <c r="G370" s="150"/>
      <c r="H370" s="150"/>
      <c r="I370" s="150"/>
      <c r="J370" s="150"/>
      <c r="L370" s="150"/>
    </row>
    <row r="371" spans="1:12" ht="15.75">
      <c r="A371" s="149"/>
      <c r="B371" s="164"/>
      <c r="C371" s="149"/>
      <c r="E371" s="150"/>
      <c r="F371" s="150"/>
      <c r="G371" s="150"/>
      <c r="H371" s="150"/>
      <c r="I371" s="150"/>
      <c r="J371" s="150"/>
      <c r="L371" s="150"/>
    </row>
    <row r="372" spans="1:12" ht="15.75">
      <c r="A372" s="149"/>
      <c r="B372" s="164"/>
      <c r="C372" s="149"/>
      <c r="E372" s="150"/>
      <c r="F372" s="150"/>
      <c r="G372" s="150"/>
      <c r="H372" s="150"/>
      <c r="I372" s="150"/>
      <c r="J372" s="150"/>
      <c r="L372" s="150"/>
    </row>
    <row r="373" spans="1:12" ht="15.75">
      <c r="A373" s="149"/>
      <c r="B373" s="164"/>
      <c r="C373" s="149"/>
      <c r="E373" s="150"/>
      <c r="F373" s="150"/>
      <c r="G373" s="150"/>
      <c r="H373" s="150"/>
      <c r="I373" s="150"/>
      <c r="J373" s="150"/>
      <c r="L373" s="150"/>
    </row>
    <row r="374" spans="1:12" ht="15.75">
      <c r="A374" s="149"/>
      <c r="B374" s="164"/>
      <c r="C374" s="149"/>
      <c r="E374" s="150"/>
      <c r="F374" s="150"/>
      <c r="G374" s="150"/>
      <c r="H374" s="150"/>
      <c r="I374" s="150"/>
      <c r="J374" s="150"/>
      <c r="L374" s="150"/>
    </row>
    <row r="375" spans="1:12" ht="15.75">
      <c r="A375" s="149"/>
      <c r="B375" s="164"/>
      <c r="C375" s="149"/>
      <c r="E375" s="150"/>
      <c r="F375" s="150"/>
      <c r="G375" s="150"/>
      <c r="H375" s="150"/>
      <c r="I375" s="150"/>
      <c r="J375" s="150"/>
      <c r="L375" s="150"/>
    </row>
    <row r="376" spans="1:12" ht="15.75">
      <c r="A376" s="149"/>
      <c r="B376" s="164"/>
      <c r="C376" s="149"/>
      <c r="E376" s="150"/>
      <c r="F376" s="150"/>
      <c r="G376" s="150"/>
      <c r="H376" s="150"/>
      <c r="I376" s="150"/>
      <c r="J376" s="150"/>
      <c r="L376" s="150"/>
    </row>
    <row r="377" spans="1:12" ht="15.75">
      <c r="A377" s="149"/>
      <c r="B377" s="164"/>
      <c r="C377" s="149"/>
      <c r="E377" s="150"/>
      <c r="F377" s="150"/>
      <c r="G377" s="150"/>
      <c r="H377" s="150"/>
      <c r="I377" s="150"/>
      <c r="J377" s="150"/>
      <c r="L377" s="150"/>
    </row>
    <row r="378" spans="1:12" ht="15.75">
      <c r="A378" s="149"/>
      <c r="B378" s="164"/>
      <c r="C378" s="149"/>
      <c r="E378" s="150"/>
      <c r="F378" s="150"/>
      <c r="G378" s="150"/>
      <c r="H378" s="150"/>
      <c r="I378" s="150"/>
      <c r="J378" s="150"/>
      <c r="L378" s="150"/>
    </row>
    <row r="379" spans="1:12" ht="15.75">
      <c r="A379" s="149"/>
      <c r="B379" s="164"/>
      <c r="C379" s="149"/>
      <c r="E379" s="150"/>
      <c r="F379" s="150"/>
      <c r="G379" s="150"/>
      <c r="H379" s="150"/>
      <c r="I379" s="150"/>
      <c r="J379" s="150"/>
      <c r="L379" s="150"/>
    </row>
    <row r="380" spans="1:12" ht="15.75">
      <c r="A380" s="149"/>
      <c r="B380" s="164"/>
      <c r="C380" s="149"/>
      <c r="E380" s="150"/>
      <c r="F380" s="150"/>
      <c r="G380" s="150"/>
      <c r="H380" s="150"/>
      <c r="I380" s="150"/>
      <c r="J380" s="150"/>
      <c r="L380" s="150"/>
    </row>
    <row r="381" spans="1:12" ht="15.75">
      <c r="A381" s="149"/>
      <c r="B381" s="164"/>
      <c r="C381" s="149"/>
      <c r="E381" s="150"/>
      <c r="F381" s="150"/>
      <c r="G381" s="150"/>
      <c r="H381" s="150"/>
      <c r="I381" s="150"/>
      <c r="J381" s="150"/>
      <c r="L381" s="150"/>
    </row>
    <row r="382" spans="1:12" ht="15.75">
      <c r="A382" s="149"/>
      <c r="B382" s="164"/>
      <c r="C382" s="149"/>
      <c r="E382" s="150"/>
      <c r="F382" s="150"/>
      <c r="G382" s="150"/>
      <c r="H382" s="150"/>
      <c r="I382" s="150"/>
      <c r="J382" s="150"/>
      <c r="L382" s="150"/>
    </row>
    <row r="383" spans="1:12" ht="15.75">
      <c r="A383" s="149"/>
      <c r="B383" s="164"/>
      <c r="C383" s="149"/>
      <c r="E383" s="150"/>
      <c r="F383" s="150"/>
      <c r="G383" s="150"/>
      <c r="H383" s="150"/>
      <c r="I383" s="150"/>
      <c r="J383" s="150"/>
      <c r="L383" s="150"/>
    </row>
    <row r="384" spans="1:12" ht="15.75">
      <c r="A384" s="149"/>
      <c r="B384" s="164"/>
      <c r="C384" s="149"/>
      <c r="E384" s="150"/>
      <c r="F384" s="150"/>
      <c r="G384" s="150"/>
      <c r="H384" s="150"/>
      <c r="I384" s="150"/>
      <c r="J384" s="150"/>
      <c r="L384" s="150"/>
    </row>
    <row r="385" spans="1:12" ht="15.75">
      <c r="A385" s="149"/>
      <c r="B385" s="164"/>
      <c r="C385" s="149"/>
      <c r="E385" s="150"/>
      <c r="F385" s="150"/>
      <c r="G385" s="150"/>
      <c r="H385" s="150"/>
      <c r="I385" s="150"/>
      <c r="J385" s="150"/>
      <c r="L385" s="150"/>
    </row>
    <row r="386" spans="1:12" ht="15.75">
      <c r="A386" s="149"/>
      <c r="B386" s="164"/>
      <c r="C386" s="149"/>
      <c r="E386" s="150"/>
      <c r="F386" s="150"/>
      <c r="G386" s="150"/>
      <c r="H386" s="150"/>
      <c r="I386" s="150"/>
      <c r="J386" s="150"/>
      <c r="L386" s="150"/>
    </row>
    <row r="387" spans="1:12" ht="15.75">
      <c r="A387" s="149"/>
      <c r="B387" s="164"/>
      <c r="C387" s="149"/>
      <c r="E387" s="150"/>
      <c r="F387" s="150"/>
      <c r="G387" s="150"/>
      <c r="H387" s="150"/>
      <c r="I387" s="150"/>
      <c r="J387" s="150"/>
      <c r="L387" s="150"/>
    </row>
    <row r="388" spans="1:12" ht="15.75">
      <c r="A388" s="149"/>
      <c r="B388" s="164"/>
      <c r="C388" s="149"/>
      <c r="E388" s="150"/>
      <c r="F388" s="150"/>
      <c r="G388" s="150"/>
      <c r="H388" s="150"/>
      <c r="I388" s="150"/>
      <c r="J388" s="150"/>
      <c r="L388" s="150"/>
    </row>
    <row r="389" spans="1:12" ht="15.75">
      <c r="A389" s="149"/>
      <c r="B389" s="164"/>
      <c r="C389" s="149"/>
      <c r="E389" s="150"/>
      <c r="F389" s="150"/>
      <c r="G389" s="150"/>
      <c r="H389" s="150"/>
      <c r="I389" s="150"/>
      <c r="J389" s="150"/>
      <c r="L389" s="150"/>
    </row>
    <row r="390" spans="1:12" ht="15.75">
      <c r="A390" s="149"/>
      <c r="B390" s="164"/>
      <c r="C390" s="149"/>
      <c r="E390" s="150"/>
      <c r="F390" s="150"/>
      <c r="G390" s="150"/>
      <c r="H390" s="150"/>
      <c r="I390" s="150"/>
      <c r="J390" s="150"/>
      <c r="L390" s="150"/>
    </row>
    <row r="391" spans="1:12" ht="15.75">
      <c r="A391" s="149"/>
      <c r="B391" s="164"/>
      <c r="C391" s="149"/>
      <c r="E391" s="150"/>
      <c r="F391" s="150"/>
      <c r="G391" s="150"/>
      <c r="H391" s="150"/>
      <c r="I391" s="150"/>
      <c r="J391" s="150"/>
      <c r="L391" s="150"/>
    </row>
    <row r="392" spans="1:12" ht="15.75">
      <c r="A392" s="149"/>
      <c r="B392" s="164"/>
      <c r="C392" s="149"/>
      <c r="E392" s="150"/>
      <c r="F392" s="150"/>
      <c r="G392" s="150"/>
      <c r="H392" s="150"/>
      <c r="I392" s="150"/>
      <c r="J392" s="150"/>
      <c r="L392" s="150"/>
    </row>
    <row r="393" spans="1:12" ht="15.75">
      <c r="A393" s="149"/>
      <c r="B393" s="164"/>
      <c r="C393" s="149"/>
      <c r="E393" s="150"/>
      <c r="F393" s="150"/>
      <c r="G393" s="150"/>
      <c r="H393" s="150"/>
      <c r="I393" s="150"/>
      <c r="J393" s="150"/>
      <c r="L393" s="150"/>
    </row>
    <row r="394" spans="1:12" ht="15.75">
      <c r="A394" s="149"/>
      <c r="B394" s="164"/>
      <c r="C394" s="149"/>
      <c r="E394" s="150"/>
      <c r="F394" s="150"/>
      <c r="G394" s="150"/>
      <c r="H394" s="150"/>
      <c r="I394" s="150"/>
      <c r="J394" s="150"/>
      <c r="L394" s="150"/>
    </row>
    <row r="395" spans="1:12" ht="15.75">
      <c r="A395" s="149"/>
      <c r="B395" s="164"/>
      <c r="C395" s="149"/>
      <c r="E395" s="150"/>
      <c r="F395" s="150"/>
      <c r="G395" s="150"/>
      <c r="H395" s="150"/>
      <c r="I395" s="150"/>
      <c r="J395" s="150"/>
      <c r="L395" s="150"/>
    </row>
    <row r="396" spans="1:12" ht="15.75">
      <c r="A396" s="149"/>
      <c r="B396" s="164"/>
      <c r="C396" s="149"/>
      <c r="E396" s="150"/>
      <c r="F396" s="150"/>
      <c r="G396" s="150"/>
      <c r="H396" s="150"/>
      <c r="I396" s="150"/>
      <c r="J396" s="150"/>
      <c r="L396" s="150"/>
    </row>
    <row r="397" spans="1:12" ht="15.75">
      <c r="A397" s="149"/>
      <c r="B397" s="164"/>
      <c r="C397" s="149"/>
      <c r="E397" s="150"/>
      <c r="F397" s="150"/>
      <c r="G397" s="150"/>
      <c r="H397" s="150"/>
      <c r="I397" s="150"/>
      <c r="J397" s="150"/>
      <c r="L397" s="150"/>
    </row>
    <row r="398" spans="1:12" ht="15.75">
      <c r="A398" s="149"/>
      <c r="B398" s="164"/>
      <c r="C398" s="149"/>
      <c r="E398" s="150"/>
      <c r="F398" s="150"/>
      <c r="G398" s="150"/>
      <c r="H398" s="150"/>
      <c r="I398" s="150"/>
      <c r="J398" s="150"/>
      <c r="L398" s="150"/>
    </row>
    <row r="399" spans="1:12" ht="15.75">
      <c r="A399" s="149"/>
      <c r="B399" s="164"/>
      <c r="C399" s="149"/>
      <c r="E399" s="150"/>
      <c r="F399" s="150"/>
      <c r="G399" s="150"/>
      <c r="H399" s="150"/>
      <c r="I399" s="150"/>
      <c r="J399" s="150"/>
      <c r="L399" s="150"/>
    </row>
    <row r="400" spans="1:12" ht="15.75">
      <c r="A400" s="149"/>
      <c r="B400" s="164"/>
      <c r="C400" s="149"/>
      <c r="E400" s="150"/>
      <c r="F400" s="150"/>
      <c r="G400" s="150"/>
      <c r="H400" s="150"/>
      <c r="I400" s="150"/>
      <c r="J400" s="150"/>
      <c r="L400" s="150"/>
    </row>
    <row r="401" spans="1:12" ht="15.75">
      <c r="A401" s="149"/>
      <c r="B401" s="164"/>
      <c r="C401" s="149"/>
      <c r="E401" s="150"/>
      <c r="F401" s="150"/>
      <c r="G401" s="150"/>
      <c r="H401" s="150"/>
      <c r="I401" s="150"/>
      <c r="J401" s="150"/>
      <c r="L401" s="150"/>
    </row>
    <row r="402" spans="1:12" ht="15.75">
      <c r="A402" s="149"/>
      <c r="B402" s="164"/>
      <c r="C402" s="149"/>
      <c r="E402" s="150"/>
      <c r="F402" s="150"/>
      <c r="G402" s="150"/>
      <c r="H402" s="150"/>
      <c r="I402" s="150"/>
      <c r="J402" s="150"/>
      <c r="L402" s="150"/>
    </row>
    <row r="403" spans="1:12" ht="15.75">
      <c r="A403" s="149"/>
      <c r="B403" s="164"/>
      <c r="C403" s="149"/>
      <c r="E403" s="150"/>
      <c r="F403" s="150"/>
      <c r="G403" s="150"/>
      <c r="H403" s="150"/>
      <c r="I403" s="150"/>
      <c r="J403" s="150"/>
      <c r="L403" s="150"/>
    </row>
    <row r="404" spans="1:12" ht="15.75">
      <c r="A404" s="149"/>
      <c r="B404" s="164"/>
      <c r="C404" s="149"/>
      <c r="E404" s="150"/>
      <c r="F404" s="150"/>
      <c r="G404" s="150"/>
      <c r="H404" s="150"/>
      <c r="I404" s="150"/>
      <c r="J404" s="150"/>
      <c r="L404" s="150"/>
    </row>
    <row r="405" spans="1:12" ht="15.75">
      <c r="A405" s="149"/>
      <c r="B405" s="164"/>
      <c r="C405" s="149"/>
      <c r="E405" s="150"/>
      <c r="F405" s="150"/>
      <c r="G405" s="150"/>
      <c r="H405" s="150"/>
      <c r="I405" s="150"/>
      <c r="J405" s="150"/>
      <c r="L405" s="150"/>
    </row>
    <row r="406" spans="1:12" ht="15.75">
      <c r="A406" s="149"/>
      <c r="B406" s="164"/>
      <c r="C406" s="149"/>
      <c r="E406" s="150"/>
      <c r="F406" s="150"/>
      <c r="G406" s="150"/>
      <c r="H406" s="150"/>
      <c r="I406" s="150"/>
      <c r="J406" s="150"/>
      <c r="L406" s="150"/>
    </row>
    <row r="407" spans="1:12" ht="15.75">
      <c r="A407" s="149"/>
      <c r="B407" s="164"/>
      <c r="C407" s="149"/>
      <c r="E407" s="150"/>
      <c r="F407" s="150"/>
      <c r="G407" s="150"/>
      <c r="H407" s="150"/>
      <c r="I407" s="150"/>
      <c r="J407" s="150"/>
      <c r="L407" s="150"/>
    </row>
    <row r="408" spans="1:12" ht="15.75">
      <c r="A408" s="149"/>
      <c r="B408" s="164"/>
      <c r="C408" s="149"/>
      <c r="E408" s="150"/>
      <c r="F408" s="150"/>
      <c r="G408" s="150"/>
      <c r="H408" s="150"/>
      <c r="I408" s="150"/>
      <c r="J408" s="150"/>
      <c r="L408" s="150"/>
    </row>
    <row r="409" spans="1:12" ht="15.75">
      <c r="A409" s="149"/>
      <c r="B409" s="164"/>
      <c r="C409" s="149"/>
      <c r="E409" s="150"/>
      <c r="F409" s="150"/>
      <c r="G409" s="150"/>
      <c r="H409" s="150"/>
      <c r="I409" s="150"/>
      <c r="J409" s="150"/>
      <c r="L409" s="150"/>
    </row>
    <row r="410" spans="1:12" ht="15.75">
      <c r="A410" s="149"/>
      <c r="B410" s="164"/>
      <c r="C410" s="149"/>
      <c r="E410" s="150"/>
      <c r="F410" s="150"/>
      <c r="G410" s="150"/>
      <c r="H410" s="150"/>
      <c r="I410" s="150"/>
      <c r="J410" s="150"/>
      <c r="L410" s="150"/>
    </row>
    <row r="411" spans="1:12" ht="15.75">
      <c r="A411" s="149"/>
      <c r="B411" s="164"/>
      <c r="C411" s="149"/>
      <c r="E411" s="150"/>
      <c r="F411" s="150"/>
      <c r="G411" s="150"/>
      <c r="H411" s="150"/>
      <c r="I411" s="150"/>
      <c r="J411" s="150"/>
      <c r="L411" s="150"/>
    </row>
    <row r="412" spans="1:12" ht="15.75">
      <c r="A412" s="149"/>
      <c r="B412" s="164"/>
      <c r="C412" s="149"/>
      <c r="E412" s="150"/>
      <c r="F412" s="150"/>
      <c r="G412" s="150"/>
      <c r="H412" s="150"/>
      <c r="I412" s="150"/>
      <c r="J412" s="150"/>
      <c r="L412" s="150"/>
    </row>
    <row r="413" spans="1:12" ht="15.75">
      <c r="A413" s="149"/>
      <c r="B413" s="164"/>
      <c r="C413" s="149"/>
      <c r="E413" s="150"/>
      <c r="F413" s="150"/>
      <c r="G413" s="150"/>
      <c r="H413" s="150"/>
      <c r="I413" s="150"/>
      <c r="J413" s="150"/>
      <c r="L413" s="150"/>
    </row>
    <row r="414" spans="1:12" ht="15.75">
      <c r="A414" s="149"/>
      <c r="B414" s="164"/>
      <c r="C414" s="149"/>
      <c r="E414" s="150"/>
      <c r="F414" s="150"/>
      <c r="G414" s="150"/>
      <c r="H414" s="150"/>
      <c r="I414" s="150"/>
      <c r="J414" s="150"/>
      <c r="L414" s="150"/>
    </row>
    <row r="415" spans="1:12" ht="15.75">
      <c r="A415" s="149"/>
      <c r="B415" s="164"/>
      <c r="C415" s="149"/>
      <c r="E415" s="150"/>
      <c r="F415" s="150"/>
      <c r="G415" s="150"/>
      <c r="H415" s="150"/>
      <c r="I415" s="150"/>
      <c r="J415" s="150"/>
      <c r="L415" s="150"/>
    </row>
    <row r="416" spans="1:12" ht="15.75">
      <c r="A416" s="149"/>
      <c r="B416" s="164"/>
      <c r="C416" s="149"/>
      <c r="E416" s="150"/>
      <c r="F416" s="150"/>
      <c r="G416" s="150"/>
      <c r="H416" s="150"/>
      <c r="I416" s="150"/>
      <c r="J416" s="150"/>
      <c r="L416" s="150"/>
    </row>
    <row r="417" spans="1:12" ht="15.75">
      <c r="A417" s="149"/>
      <c r="B417" s="164"/>
      <c r="C417" s="149"/>
      <c r="E417" s="150"/>
      <c r="F417" s="150"/>
      <c r="G417" s="150"/>
      <c r="H417" s="150"/>
      <c r="I417" s="150"/>
      <c r="J417" s="150"/>
      <c r="L417" s="150"/>
    </row>
    <row r="418" spans="1:12" ht="15.75">
      <c r="A418" s="149"/>
      <c r="B418" s="164"/>
      <c r="C418" s="149"/>
      <c r="E418" s="150"/>
      <c r="F418" s="150"/>
      <c r="G418" s="150"/>
      <c r="H418" s="150"/>
      <c r="I418" s="150"/>
      <c r="J418" s="150"/>
      <c r="L418" s="150"/>
    </row>
    <row r="419" spans="1:12" ht="15.75">
      <c r="A419" s="149"/>
      <c r="B419" s="164"/>
      <c r="C419" s="149"/>
      <c r="E419" s="150"/>
      <c r="F419" s="150"/>
      <c r="G419" s="150"/>
      <c r="H419" s="150"/>
      <c r="I419" s="150"/>
      <c r="J419" s="150"/>
      <c r="L419" s="150"/>
    </row>
    <row r="420" spans="1:12" ht="15.75">
      <c r="A420" s="149"/>
      <c r="B420" s="164"/>
      <c r="C420" s="149"/>
      <c r="E420" s="150"/>
      <c r="F420" s="150"/>
      <c r="G420" s="150"/>
      <c r="H420" s="150"/>
      <c r="I420" s="150"/>
      <c r="J420" s="150"/>
      <c r="L420" s="150"/>
    </row>
    <row r="421" spans="1:12" ht="15.75">
      <c r="A421" s="149"/>
      <c r="B421" s="164"/>
      <c r="C421" s="149"/>
      <c r="E421" s="150"/>
      <c r="F421" s="150"/>
      <c r="G421" s="150"/>
      <c r="H421" s="150"/>
      <c r="I421" s="150"/>
      <c r="J421" s="150"/>
      <c r="L421" s="150"/>
    </row>
    <row r="422" spans="1:12" ht="15.75">
      <c r="A422" s="149"/>
      <c r="B422" s="164"/>
      <c r="C422" s="149"/>
      <c r="E422" s="150"/>
      <c r="F422" s="150"/>
      <c r="G422" s="150"/>
      <c r="H422" s="150"/>
      <c r="I422" s="150"/>
      <c r="J422" s="150"/>
      <c r="L422" s="150"/>
    </row>
    <row r="423" spans="1:12" ht="15.75">
      <c r="A423" s="149"/>
      <c r="B423" s="164"/>
      <c r="C423" s="149"/>
      <c r="E423" s="150"/>
      <c r="F423" s="150"/>
      <c r="G423" s="150"/>
      <c r="H423" s="150"/>
      <c r="I423" s="150"/>
      <c r="J423" s="150"/>
      <c r="L423" s="150"/>
    </row>
    <row r="424" spans="1:12" ht="15.75">
      <c r="A424" s="149"/>
      <c r="B424" s="164"/>
      <c r="C424" s="149"/>
      <c r="E424" s="150"/>
      <c r="F424" s="150"/>
      <c r="G424" s="150"/>
      <c r="H424" s="150"/>
      <c r="I424" s="150"/>
      <c r="J424" s="150"/>
      <c r="L424" s="150"/>
    </row>
    <row r="425" spans="1:12" ht="15.75">
      <c r="A425" s="149"/>
      <c r="B425" s="164"/>
      <c r="C425" s="149"/>
      <c r="E425" s="150"/>
      <c r="F425" s="150"/>
      <c r="G425" s="150"/>
      <c r="H425" s="150"/>
      <c r="I425" s="150"/>
      <c r="J425" s="150"/>
      <c r="L425" s="150"/>
    </row>
    <row r="426" spans="1:12" ht="15.75">
      <c r="A426" s="149"/>
      <c r="B426" s="164"/>
      <c r="C426" s="149"/>
      <c r="E426" s="150"/>
      <c r="F426" s="150"/>
      <c r="G426" s="150"/>
      <c r="H426" s="150"/>
      <c r="I426" s="150"/>
      <c r="J426" s="150"/>
      <c r="L426" s="150"/>
    </row>
    <row r="427" spans="1:12" ht="15.75">
      <c r="A427" s="149"/>
      <c r="B427" s="164"/>
      <c r="C427" s="149"/>
      <c r="E427" s="150"/>
      <c r="F427" s="150"/>
      <c r="G427" s="150"/>
      <c r="H427" s="150"/>
      <c r="I427" s="150"/>
      <c r="J427" s="150"/>
      <c r="L427" s="150"/>
    </row>
    <row r="428" spans="1:12" ht="15.75">
      <c r="A428" s="149"/>
      <c r="B428" s="164"/>
      <c r="C428" s="149"/>
      <c r="E428" s="150"/>
      <c r="F428" s="150"/>
      <c r="G428" s="150"/>
      <c r="H428" s="150"/>
      <c r="I428" s="150"/>
      <c r="J428" s="150"/>
      <c r="L428" s="150"/>
    </row>
    <row r="429" spans="1:12" ht="15.75">
      <c r="A429" s="149"/>
      <c r="B429" s="164"/>
      <c r="C429" s="149"/>
      <c r="E429" s="150"/>
      <c r="F429" s="150"/>
      <c r="G429" s="150"/>
      <c r="H429" s="150"/>
      <c r="I429" s="150"/>
      <c r="J429" s="150"/>
      <c r="L429" s="150"/>
    </row>
    <row r="430" spans="1:12" ht="15.75">
      <c r="A430" s="149"/>
      <c r="B430" s="164"/>
      <c r="C430" s="149"/>
      <c r="E430" s="150"/>
      <c r="F430" s="150"/>
      <c r="G430" s="150"/>
      <c r="H430" s="150"/>
      <c r="I430" s="150"/>
      <c r="J430" s="150"/>
      <c r="L430" s="150"/>
    </row>
    <row r="431" spans="1:12" ht="15.75">
      <c r="A431" s="149"/>
      <c r="B431" s="164"/>
      <c r="C431" s="149"/>
      <c r="E431" s="150"/>
      <c r="F431" s="150"/>
      <c r="G431" s="150"/>
      <c r="H431" s="150"/>
      <c r="I431" s="150"/>
      <c r="J431" s="150"/>
      <c r="L431" s="150"/>
    </row>
    <row r="432" spans="1:12" ht="15.75">
      <c r="A432" s="149"/>
      <c r="B432" s="164"/>
      <c r="C432" s="149"/>
      <c r="E432" s="150"/>
      <c r="F432" s="150"/>
      <c r="G432" s="150"/>
      <c r="H432" s="150"/>
      <c r="I432" s="150"/>
      <c r="J432" s="150"/>
      <c r="L432" s="150"/>
    </row>
    <row r="433" spans="1:12" ht="15.75">
      <c r="A433" s="149"/>
      <c r="B433" s="164"/>
      <c r="C433" s="149"/>
      <c r="E433" s="150"/>
      <c r="F433" s="150"/>
      <c r="G433" s="150"/>
      <c r="H433" s="150"/>
      <c r="I433" s="150"/>
      <c r="J433" s="150"/>
      <c r="L433" s="150"/>
    </row>
    <row r="434" spans="1:12" ht="15.75">
      <c r="A434" s="149"/>
      <c r="B434" s="164"/>
      <c r="C434" s="149"/>
      <c r="E434" s="150"/>
      <c r="F434" s="150"/>
      <c r="G434" s="150"/>
      <c r="H434" s="150"/>
      <c r="I434" s="150"/>
      <c r="J434" s="150"/>
      <c r="L434" s="150"/>
    </row>
    <row r="435" spans="1:12" ht="15.75">
      <c r="A435" s="149"/>
      <c r="B435" s="164"/>
      <c r="C435" s="149"/>
      <c r="E435" s="150"/>
      <c r="F435" s="150"/>
      <c r="G435" s="150"/>
      <c r="H435" s="150"/>
      <c r="I435" s="150"/>
      <c r="J435" s="150"/>
      <c r="L435" s="150"/>
    </row>
    <row r="436" spans="1:12" ht="15.75">
      <c r="A436" s="149"/>
      <c r="B436" s="164"/>
      <c r="C436" s="149"/>
      <c r="E436" s="150"/>
      <c r="F436" s="150"/>
      <c r="G436" s="150"/>
      <c r="H436" s="150"/>
      <c r="I436" s="150"/>
      <c r="J436" s="150"/>
      <c r="L436" s="150"/>
    </row>
    <row r="437" spans="1:12" ht="15.75">
      <c r="A437" s="149"/>
      <c r="B437" s="164"/>
      <c r="C437" s="149"/>
      <c r="E437" s="150"/>
      <c r="F437" s="150"/>
      <c r="G437" s="150"/>
      <c r="H437" s="150"/>
      <c r="I437" s="150"/>
      <c r="J437" s="150"/>
      <c r="L437" s="150"/>
    </row>
    <row r="438" spans="1:12" ht="15.75">
      <c r="A438" s="149"/>
      <c r="B438" s="164"/>
      <c r="C438" s="149"/>
      <c r="E438" s="150"/>
      <c r="F438" s="150"/>
      <c r="G438" s="150"/>
      <c r="H438" s="150"/>
      <c r="I438" s="150"/>
      <c r="J438" s="150"/>
      <c r="L438" s="150"/>
    </row>
    <row r="439" spans="1:12" ht="15.75">
      <c r="A439" s="149"/>
      <c r="B439" s="164"/>
      <c r="C439" s="149"/>
      <c r="E439" s="150"/>
      <c r="F439" s="150"/>
      <c r="G439" s="150"/>
      <c r="H439" s="150"/>
      <c r="I439" s="150"/>
      <c r="J439" s="150"/>
      <c r="L439" s="150"/>
    </row>
    <row r="440" spans="1:12" ht="15.75">
      <c r="A440" s="149"/>
      <c r="B440" s="164"/>
      <c r="C440" s="149"/>
      <c r="E440" s="150"/>
      <c r="F440" s="150"/>
      <c r="G440" s="150"/>
      <c r="H440" s="150"/>
      <c r="I440" s="150"/>
      <c r="J440" s="150"/>
      <c r="L440" s="150"/>
    </row>
    <row r="441" spans="1:12" ht="15.75">
      <c r="A441" s="149"/>
      <c r="B441" s="164"/>
      <c r="C441" s="149"/>
      <c r="E441" s="150"/>
      <c r="F441" s="150"/>
      <c r="G441" s="150"/>
      <c r="H441" s="150"/>
      <c r="I441" s="150"/>
      <c r="J441" s="150"/>
      <c r="L441" s="150"/>
    </row>
    <row r="442" spans="1:12" ht="15.75">
      <c r="A442" s="149"/>
      <c r="B442" s="164"/>
      <c r="C442" s="149"/>
      <c r="E442" s="150"/>
      <c r="F442" s="150"/>
      <c r="G442" s="150"/>
      <c r="H442" s="150"/>
      <c r="I442" s="150"/>
      <c r="J442" s="150"/>
      <c r="L442" s="150"/>
    </row>
    <row r="443" spans="1:12" ht="15.75">
      <c r="A443" s="149"/>
      <c r="B443" s="164"/>
      <c r="C443" s="149"/>
      <c r="E443" s="150"/>
      <c r="F443" s="150"/>
      <c r="G443" s="150"/>
      <c r="H443" s="150"/>
      <c r="I443" s="150"/>
      <c r="J443" s="150"/>
      <c r="L443" s="150"/>
    </row>
    <row r="444" spans="1:12" ht="15.75">
      <c r="A444" s="149"/>
      <c r="B444" s="164"/>
      <c r="C444" s="149"/>
      <c r="E444" s="150"/>
      <c r="F444" s="150"/>
      <c r="G444" s="150"/>
      <c r="H444" s="150"/>
      <c r="I444" s="150"/>
      <c r="J444" s="150"/>
      <c r="L444" s="150"/>
    </row>
    <row r="445" spans="1:12" ht="15.75">
      <c r="A445" s="149"/>
      <c r="B445" s="164"/>
      <c r="C445" s="149"/>
      <c r="E445" s="150"/>
      <c r="F445" s="150"/>
      <c r="G445" s="150"/>
      <c r="H445" s="150"/>
      <c r="I445" s="150"/>
      <c r="J445" s="150"/>
      <c r="L445" s="150"/>
    </row>
    <row r="446" spans="1:12" ht="15.75">
      <c r="A446" s="149"/>
      <c r="B446" s="164"/>
      <c r="C446" s="149"/>
      <c r="E446" s="150"/>
      <c r="F446" s="150"/>
      <c r="G446" s="150"/>
      <c r="H446" s="150"/>
      <c r="I446" s="150"/>
      <c r="J446" s="150"/>
      <c r="L446" s="150"/>
    </row>
    <row r="447" spans="1:12" ht="15.75">
      <c r="A447" s="149"/>
      <c r="B447" s="164"/>
      <c r="C447" s="149"/>
      <c r="E447" s="150"/>
      <c r="F447" s="150"/>
      <c r="G447" s="150"/>
      <c r="H447" s="150"/>
      <c r="I447" s="150"/>
      <c r="J447" s="150"/>
      <c r="L447" s="150"/>
    </row>
    <row r="448" spans="1:12" ht="15.75">
      <c r="A448" s="149"/>
      <c r="B448" s="164"/>
      <c r="C448" s="149"/>
      <c r="E448" s="150"/>
      <c r="F448" s="150"/>
      <c r="G448" s="150"/>
      <c r="H448" s="150"/>
      <c r="I448" s="150"/>
      <c r="J448" s="150"/>
      <c r="L448" s="150"/>
    </row>
    <row r="449" spans="1:12" ht="15.75">
      <c r="A449" s="149"/>
      <c r="B449" s="164"/>
      <c r="C449" s="149"/>
      <c r="E449" s="150"/>
      <c r="F449" s="150"/>
      <c r="G449" s="150"/>
      <c r="H449" s="150"/>
      <c r="I449" s="150"/>
      <c r="J449" s="150"/>
      <c r="L449" s="150"/>
    </row>
    <row r="450" spans="1:12" ht="15.75">
      <c r="A450" s="149"/>
      <c r="B450" s="164"/>
      <c r="C450" s="149"/>
      <c r="E450" s="150"/>
      <c r="F450" s="150"/>
      <c r="G450" s="150"/>
      <c r="H450" s="150"/>
      <c r="I450" s="150"/>
      <c r="J450" s="150"/>
      <c r="L450" s="150"/>
    </row>
    <row r="451" spans="1:12" ht="15.75">
      <c r="A451" s="149"/>
      <c r="B451" s="164"/>
      <c r="C451" s="149"/>
      <c r="E451" s="150"/>
      <c r="F451" s="150"/>
      <c r="G451" s="150"/>
      <c r="H451" s="150"/>
      <c r="I451" s="150"/>
      <c r="J451" s="150"/>
      <c r="L451" s="150"/>
    </row>
    <row r="452" spans="1:12" ht="15.75">
      <c r="A452" s="149"/>
      <c r="B452" s="164"/>
      <c r="C452" s="149"/>
      <c r="E452" s="150"/>
      <c r="F452" s="150"/>
      <c r="G452" s="150"/>
      <c r="H452" s="150"/>
      <c r="I452" s="150"/>
      <c r="J452" s="150"/>
      <c r="L452" s="150"/>
    </row>
    <row r="453" spans="1:12" ht="15.75">
      <c r="A453" s="149"/>
      <c r="B453" s="164"/>
      <c r="C453" s="149"/>
      <c r="E453" s="150"/>
      <c r="F453" s="150"/>
      <c r="G453" s="150"/>
      <c r="H453" s="150"/>
      <c r="I453" s="150"/>
      <c r="J453" s="150"/>
      <c r="L453" s="150"/>
    </row>
    <row r="454" spans="1:12" ht="15.75">
      <c r="A454" s="149"/>
      <c r="B454" s="164"/>
      <c r="C454" s="149"/>
      <c r="E454" s="150"/>
      <c r="F454" s="150"/>
      <c r="G454" s="150"/>
      <c r="H454" s="150"/>
      <c r="I454" s="150"/>
      <c r="J454" s="150"/>
      <c r="L454" s="150"/>
    </row>
    <row r="455" spans="1:12" ht="15.75">
      <c r="A455" s="149"/>
      <c r="B455" s="164"/>
      <c r="C455" s="149"/>
      <c r="E455" s="150"/>
      <c r="F455" s="150"/>
      <c r="G455" s="150"/>
      <c r="H455" s="150"/>
      <c r="I455" s="150"/>
      <c r="J455" s="150"/>
      <c r="L455" s="150"/>
    </row>
    <row r="456" spans="1:12" ht="15.75">
      <c r="A456" s="149"/>
      <c r="B456" s="164"/>
      <c r="C456" s="149"/>
      <c r="E456" s="150"/>
      <c r="F456" s="150"/>
      <c r="G456" s="150"/>
      <c r="H456" s="150"/>
      <c r="I456" s="150"/>
      <c r="J456" s="150"/>
      <c r="L456" s="150"/>
    </row>
    <row r="457" spans="1:12" ht="15.75">
      <c r="A457" s="149"/>
      <c r="B457" s="164"/>
      <c r="C457" s="149"/>
      <c r="E457" s="150"/>
      <c r="F457" s="150"/>
      <c r="G457" s="150"/>
      <c r="H457" s="150"/>
      <c r="I457" s="150"/>
      <c r="J457" s="150"/>
      <c r="L457" s="150"/>
    </row>
    <row r="458" spans="1:12" ht="15.75">
      <c r="A458" s="149"/>
      <c r="B458" s="164"/>
      <c r="C458" s="149"/>
      <c r="E458" s="150"/>
      <c r="F458" s="150"/>
      <c r="G458" s="150"/>
      <c r="H458" s="150"/>
      <c r="I458" s="150"/>
      <c r="J458" s="150"/>
      <c r="L458" s="150"/>
    </row>
    <row r="459" spans="1:12" ht="15.75">
      <c r="A459" s="149"/>
      <c r="B459" s="164"/>
      <c r="C459" s="149"/>
      <c r="E459" s="150"/>
      <c r="F459" s="150"/>
      <c r="G459" s="150"/>
      <c r="H459" s="150"/>
      <c r="I459" s="150"/>
      <c r="J459" s="150"/>
      <c r="L459" s="150"/>
    </row>
    <row r="460" spans="1:12" ht="15.75">
      <c r="A460" s="149"/>
      <c r="B460" s="164"/>
      <c r="C460" s="149"/>
      <c r="E460" s="150"/>
      <c r="F460" s="150"/>
      <c r="G460" s="150"/>
      <c r="H460" s="150"/>
      <c r="I460" s="150"/>
      <c r="J460" s="150"/>
      <c r="L460" s="150"/>
    </row>
    <row r="461" spans="1:12" ht="15.75">
      <c r="A461" s="149"/>
      <c r="B461" s="164"/>
      <c r="C461" s="149"/>
      <c r="E461" s="150"/>
      <c r="F461" s="150"/>
      <c r="G461" s="150"/>
      <c r="H461" s="150"/>
      <c r="I461" s="150"/>
      <c r="J461" s="150"/>
      <c r="L461" s="150"/>
    </row>
    <row r="462" spans="1:12" ht="15.75">
      <c r="A462" s="149"/>
      <c r="B462" s="164"/>
      <c r="C462" s="149"/>
      <c r="E462" s="150"/>
      <c r="F462" s="150"/>
      <c r="G462" s="150"/>
      <c r="H462" s="150"/>
      <c r="I462" s="150"/>
      <c r="J462" s="150"/>
      <c r="L462" s="150"/>
    </row>
    <row r="463" spans="1:12" ht="15.75">
      <c r="A463" s="149"/>
      <c r="B463" s="164"/>
      <c r="C463" s="149"/>
      <c r="E463" s="150"/>
      <c r="F463" s="150"/>
      <c r="G463" s="150"/>
      <c r="H463" s="150"/>
      <c r="I463" s="150"/>
      <c r="J463" s="150"/>
      <c r="L463" s="150"/>
    </row>
    <row r="464" spans="1:12" ht="15.75">
      <c r="A464" s="149"/>
      <c r="B464" s="164"/>
      <c r="C464" s="149"/>
      <c r="E464" s="150"/>
      <c r="F464" s="150"/>
      <c r="G464" s="150"/>
      <c r="H464" s="150"/>
      <c r="I464" s="150"/>
      <c r="J464" s="150"/>
      <c r="L464" s="150"/>
    </row>
    <row r="465" spans="1:12" ht="15.75">
      <c r="A465" s="149"/>
      <c r="B465" s="164"/>
      <c r="C465" s="149"/>
      <c r="E465" s="150"/>
      <c r="F465" s="150"/>
      <c r="G465" s="150"/>
      <c r="H465" s="150"/>
      <c r="I465" s="150"/>
      <c r="J465" s="150"/>
      <c r="L465" s="150"/>
    </row>
    <row r="466" spans="1:12" ht="15.75">
      <c r="A466" s="149"/>
      <c r="B466" s="164"/>
      <c r="C466" s="149"/>
      <c r="E466" s="150"/>
      <c r="F466" s="150"/>
      <c r="G466" s="150"/>
      <c r="H466" s="150"/>
      <c r="I466" s="150"/>
      <c r="J466" s="150"/>
      <c r="L466" s="150"/>
    </row>
    <row r="467" spans="1:12" ht="15.75">
      <c r="A467" s="149"/>
      <c r="B467" s="164"/>
      <c r="C467" s="149"/>
      <c r="E467" s="150"/>
      <c r="F467" s="150"/>
      <c r="G467" s="150"/>
      <c r="H467" s="150"/>
      <c r="I467" s="150"/>
      <c r="J467" s="150"/>
      <c r="L467" s="150"/>
    </row>
    <row r="468" spans="1:12" ht="15.75">
      <c r="A468" s="149"/>
      <c r="B468" s="164"/>
      <c r="C468" s="149"/>
      <c r="E468" s="150"/>
      <c r="F468" s="150"/>
      <c r="G468" s="150"/>
      <c r="H468" s="150"/>
      <c r="I468" s="150"/>
      <c r="J468" s="150"/>
      <c r="L468" s="150"/>
    </row>
    <row r="469" spans="1:12" ht="15.75">
      <c r="A469" s="149"/>
      <c r="B469" s="164"/>
      <c r="C469" s="149"/>
      <c r="E469" s="150"/>
      <c r="F469" s="150"/>
      <c r="G469" s="150"/>
      <c r="H469" s="150"/>
      <c r="I469" s="150"/>
      <c r="J469" s="150"/>
      <c r="L469" s="150"/>
    </row>
    <row r="470" spans="1:12" ht="15.75">
      <c r="A470" s="149"/>
      <c r="B470" s="164"/>
      <c r="C470" s="149"/>
      <c r="E470" s="150"/>
      <c r="F470" s="150"/>
      <c r="G470" s="150"/>
      <c r="H470" s="150"/>
      <c r="I470" s="150"/>
      <c r="J470" s="150"/>
      <c r="L470" s="150"/>
    </row>
    <row r="471" spans="1:12" ht="15.75">
      <c r="A471" s="149"/>
      <c r="B471" s="164"/>
      <c r="C471" s="149"/>
      <c r="E471" s="150"/>
      <c r="F471" s="150"/>
      <c r="G471" s="150"/>
      <c r="H471" s="150"/>
      <c r="I471" s="150"/>
      <c r="J471" s="150"/>
      <c r="L471" s="150"/>
    </row>
    <row r="472" spans="1:12" ht="15.75">
      <c r="A472" s="149"/>
      <c r="B472" s="164"/>
      <c r="C472" s="149"/>
      <c r="E472" s="150"/>
      <c r="F472" s="150"/>
      <c r="G472" s="150"/>
      <c r="H472" s="150"/>
      <c r="I472" s="150"/>
      <c r="J472" s="150"/>
      <c r="L472" s="150"/>
    </row>
    <row r="473" spans="1:12" ht="15.75">
      <c r="A473" s="149"/>
      <c r="B473" s="164"/>
      <c r="C473" s="149"/>
      <c r="E473" s="150"/>
      <c r="F473" s="150"/>
      <c r="G473" s="150"/>
      <c r="H473" s="150"/>
      <c r="I473" s="150"/>
      <c r="J473" s="150"/>
      <c r="L473" s="150"/>
    </row>
    <row r="474" spans="1:12" ht="15.75">
      <c r="A474" s="149"/>
      <c r="B474" s="164"/>
      <c r="C474" s="149"/>
      <c r="E474" s="150"/>
      <c r="F474" s="150"/>
      <c r="G474" s="150"/>
      <c r="H474" s="150"/>
      <c r="I474" s="150"/>
      <c r="J474" s="150"/>
      <c r="L474" s="150"/>
    </row>
    <row r="475" spans="1:12" ht="15.75">
      <c r="A475" s="149"/>
      <c r="B475" s="164"/>
      <c r="C475" s="149"/>
      <c r="E475" s="150"/>
      <c r="F475" s="150"/>
      <c r="G475" s="150"/>
      <c r="H475" s="150"/>
      <c r="I475" s="150"/>
      <c r="J475" s="150"/>
      <c r="L475" s="150"/>
    </row>
    <row r="476" spans="1:12" ht="15.75">
      <c r="A476" s="149"/>
      <c r="B476" s="164"/>
      <c r="C476" s="149"/>
      <c r="E476" s="150"/>
      <c r="F476" s="150"/>
      <c r="G476" s="150"/>
      <c r="H476" s="150"/>
      <c r="I476" s="150"/>
      <c r="J476" s="150"/>
      <c r="L476" s="150"/>
    </row>
    <row r="477" spans="1:12" ht="15.75">
      <c r="A477" s="149"/>
      <c r="B477" s="164"/>
      <c r="C477" s="149"/>
      <c r="E477" s="150"/>
      <c r="F477" s="150"/>
      <c r="G477" s="150"/>
      <c r="H477" s="150"/>
      <c r="I477" s="150"/>
      <c r="J477" s="150"/>
      <c r="L477" s="150"/>
    </row>
    <row r="478" spans="1:12" ht="15.75">
      <c r="A478" s="149"/>
      <c r="B478" s="164"/>
      <c r="C478" s="149"/>
      <c r="E478" s="150"/>
      <c r="F478" s="150"/>
      <c r="G478" s="150"/>
      <c r="H478" s="150"/>
      <c r="I478" s="150"/>
      <c r="J478" s="150"/>
      <c r="L478" s="150"/>
    </row>
    <row r="479" spans="1:12" ht="15.75">
      <c r="A479" s="149"/>
      <c r="B479" s="164"/>
      <c r="C479" s="149"/>
      <c r="E479" s="150"/>
      <c r="F479" s="150"/>
      <c r="G479" s="150"/>
      <c r="H479" s="150"/>
      <c r="I479" s="150"/>
      <c r="J479" s="150"/>
      <c r="L479" s="150"/>
    </row>
    <row r="480" spans="1:12" ht="15.75">
      <c r="A480" s="149"/>
      <c r="B480" s="164"/>
      <c r="C480" s="149"/>
      <c r="E480" s="150"/>
      <c r="F480" s="150"/>
      <c r="G480" s="150"/>
      <c r="H480" s="150"/>
      <c r="I480" s="150"/>
      <c r="J480" s="150"/>
      <c r="L480" s="150"/>
    </row>
    <row r="481" spans="1:12" ht="15.75">
      <c r="A481" s="149"/>
      <c r="B481" s="164"/>
      <c r="C481" s="149"/>
      <c r="E481" s="150"/>
      <c r="F481" s="150"/>
      <c r="G481" s="150"/>
      <c r="H481" s="150"/>
      <c r="I481" s="150"/>
      <c r="J481" s="150"/>
      <c r="L481" s="150"/>
    </row>
    <row r="482" spans="1:12" ht="15.75">
      <c r="A482" s="149"/>
      <c r="B482" s="164"/>
      <c r="C482" s="149"/>
      <c r="E482" s="150"/>
      <c r="F482" s="150"/>
      <c r="G482" s="150"/>
      <c r="H482" s="150"/>
      <c r="I482" s="150"/>
      <c r="J482" s="150"/>
      <c r="L482" s="150"/>
    </row>
    <row r="483" spans="1:12" ht="15.75">
      <c r="A483" s="149"/>
      <c r="B483" s="164"/>
      <c r="C483" s="149"/>
      <c r="E483" s="150"/>
      <c r="F483" s="150"/>
      <c r="G483" s="150"/>
      <c r="H483" s="150"/>
      <c r="I483" s="150"/>
      <c r="J483" s="150"/>
      <c r="L483" s="150"/>
    </row>
    <row r="484" spans="1:12" ht="15.75">
      <c r="A484" s="149"/>
      <c r="B484" s="164"/>
      <c r="C484" s="149"/>
      <c r="E484" s="150"/>
      <c r="F484" s="150"/>
      <c r="G484" s="150"/>
      <c r="H484" s="150"/>
      <c r="I484" s="150"/>
      <c r="J484" s="150"/>
      <c r="L484" s="150"/>
    </row>
    <row r="485" spans="1:12" ht="15.75">
      <c r="A485" s="149"/>
      <c r="B485" s="164"/>
      <c r="C485" s="149"/>
      <c r="E485" s="150"/>
      <c r="F485" s="150"/>
      <c r="G485" s="150"/>
      <c r="H485" s="150"/>
      <c r="I485" s="150"/>
      <c r="J485" s="150"/>
      <c r="L485" s="150"/>
    </row>
    <row r="486" spans="1:12" ht="15.75">
      <c r="A486" s="149"/>
      <c r="B486" s="164"/>
      <c r="C486" s="149"/>
      <c r="E486" s="150"/>
      <c r="F486" s="150"/>
      <c r="G486" s="150"/>
      <c r="H486" s="150"/>
      <c r="I486" s="150"/>
      <c r="J486" s="150"/>
      <c r="L486" s="150"/>
    </row>
    <row r="487" spans="1:12" ht="15.75">
      <c r="A487" s="149"/>
      <c r="B487" s="164"/>
      <c r="C487" s="149"/>
      <c r="E487" s="150"/>
      <c r="F487" s="150"/>
      <c r="G487" s="150"/>
      <c r="H487" s="150"/>
      <c r="I487" s="150"/>
      <c r="J487" s="150"/>
      <c r="L487" s="150"/>
    </row>
    <row r="488" spans="1:12" ht="15.75">
      <c r="A488" s="149"/>
      <c r="B488" s="164"/>
      <c r="C488" s="149"/>
      <c r="E488" s="150"/>
      <c r="F488" s="150"/>
      <c r="G488" s="150"/>
      <c r="H488" s="150"/>
      <c r="I488" s="150"/>
      <c r="J488" s="150"/>
      <c r="L488" s="150"/>
    </row>
    <row r="489" spans="1:12" ht="15.75">
      <c r="A489" s="149"/>
      <c r="B489" s="164"/>
      <c r="C489" s="149"/>
      <c r="E489" s="150"/>
      <c r="F489" s="150"/>
      <c r="G489" s="150"/>
      <c r="H489" s="150"/>
      <c r="I489" s="150"/>
      <c r="J489" s="150"/>
      <c r="L489" s="150"/>
    </row>
    <row r="490" spans="1:12" ht="15.75">
      <c r="A490" s="149"/>
      <c r="B490" s="164"/>
      <c r="C490" s="149"/>
      <c r="E490" s="150"/>
      <c r="F490" s="150"/>
      <c r="G490" s="150"/>
      <c r="H490" s="150"/>
      <c r="I490" s="150"/>
      <c r="J490" s="150"/>
      <c r="L490" s="150"/>
    </row>
    <row r="491" spans="1:12" ht="15.75">
      <c r="A491" s="149"/>
      <c r="B491" s="164"/>
      <c r="C491" s="149"/>
      <c r="E491" s="150"/>
      <c r="F491" s="150"/>
      <c r="G491" s="150"/>
      <c r="H491" s="150"/>
      <c r="I491" s="150"/>
      <c r="J491" s="150"/>
      <c r="L491" s="150"/>
    </row>
    <row r="492" spans="1:12" ht="15.75">
      <c r="A492" s="149"/>
      <c r="B492" s="164"/>
      <c r="C492" s="149"/>
      <c r="E492" s="150"/>
      <c r="F492" s="150"/>
      <c r="G492" s="150"/>
      <c r="H492" s="150"/>
      <c r="I492" s="150"/>
      <c r="J492" s="150"/>
      <c r="L492" s="150"/>
    </row>
    <row r="493" spans="1:12" ht="15.75">
      <c r="A493" s="149"/>
      <c r="B493" s="164"/>
      <c r="C493" s="149"/>
      <c r="E493" s="150"/>
      <c r="F493" s="150"/>
      <c r="G493" s="150"/>
      <c r="H493" s="150"/>
      <c r="I493" s="150"/>
      <c r="J493" s="150"/>
      <c r="L493" s="150"/>
    </row>
    <row r="494" spans="1:12" ht="15.75">
      <c r="A494" s="149"/>
      <c r="B494" s="164"/>
      <c r="C494" s="149"/>
      <c r="E494" s="150"/>
      <c r="F494" s="150"/>
      <c r="G494" s="150"/>
      <c r="H494" s="150"/>
      <c r="I494" s="150"/>
      <c r="J494" s="150"/>
      <c r="L494" s="150"/>
    </row>
    <row r="495" spans="1:12" ht="15.75">
      <c r="A495" s="149"/>
      <c r="B495" s="164"/>
      <c r="C495" s="149"/>
      <c r="E495" s="150"/>
      <c r="F495" s="150"/>
      <c r="G495" s="150"/>
      <c r="H495" s="150"/>
      <c r="I495" s="150"/>
      <c r="J495" s="150"/>
      <c r="L495" s="150"/>
    </row>
    <row r="496" spans="1:12" ht="15.75">
      <c r="A496" s="149"/>
      <c r="B496" s="164"/>
      <c r="C496" s="149"/>
      <c r="E496" s="150"/>
      <c r="F496" s="150"/>
      <c r="G496" s="150"/>
      <c r="H496" s="150"/>
      <c r="I496" s="150"/>
      <c r="J496" s="150"/>
      <c r="L496" s="150"/>
    </row>
    <row r="497" spans="1:12" ht="15.75">
      <c r="A497" s="149"/>
      <c r="B497" s="164"/>
      <c r="C497" s="149"/>
      <c r="E497" s="150"/>
      <c r="F497" s="150"/>
      <c r="G497" s="150"/>
      <c r="H497" s="150"/>
      <c r="I497" s="150"/>
      <c r="J497" s="150"/>
      <c r="L497" s="150"/>
    </row>
    <row r="498" spans="1:12" ht="15.75">
      <c r="A498" s="149"/>
      <c r="B498" s="164"/>
      <c r="C498" s="149"/>
      <c r="E498" s="150"/>
      <c r="F498" s="150"/>
      <c r="G498" s="150"/>
      <c r="H498" s="150"/>
      <c r="I498" s="150"/>
      <c r="J498" s="150"/>
      <c r="L498" s="150"/>
    </row>
    <row r="499" spans="1:12" ht="15.75">
      <c r="A499" s="149"/>
      <c r="B499" s="164"/>
      <c r="C499" s="149"/>
      <c r="E499" s="150"/>
      <c r="F499" s="150"/>
      <c r="G499" s="150"/>
      <c r="H499" s="150"/>
      <c r="I499" s="150"/>
      <c r="J499" s="150"/>
      <c r="L499" s="150"/>
    </row>
    <row r="500" spans="1:12" ht="15.75">
      <c r="A500" s="149"/>
      <c r="B500" s="164"/>
      <c r="C500" s="149"/>
      <c r="E500" s="150"/>
      <c r="F500" s="150"/>
      <c r="G500" s="150"/>
      <c r="H500" s="150"/>
      <c r="I500" s="150"/>
      <c r="J500" s="150"/>
      <c r="L500" s="150"/>
    </row>
    <row r="501" spans="1:12" ht="15.75">
      <c r="A501" s="149"/>
      <c r="B501" s="164"/>
      <c r="C501" s="149"/>
      <c r="E501" s="150"/>
      <c r="F501" s="150"/>
      <c r="G501" s="150"/>
      <c r="H501" s="150"/>
      <c r="I501" s="150"/>
      <c r="J501" s="150"/>
      <c r="L501" s="150"/>
    </row>
    <row r="502" spans="1:12" ht="15.75">
      <c r="A502" s="149"/>
      <c r="B502" s="164"/>
      <c r="C502" s="149"/>
      <c r="E502" s="150"/>
      <c r="F502" s="150"/>
      <c r="G502" s="150"/>
      <c r="H502" s="150"/>
      <c r="I502" s="150"/>
      <c r="J502" s="150"/>
      <c r="L502" s="150"/>
    </row>
    <row r="503" spans="1:12" ht="15.75">
      <c r="A503" s="149"/>
      <c r="B503" s="164"/>
      <c r="C503" s="149"/>
      <c r="E503" s="150"/>
      <c r="F503" s="150"/>
      <c r="G503" s="150"/>
      <c r="H503" s="150"/>
      <c r="I503" s="150"/>
      <c r="J503" s="150"/>
      <c r="L503" s="150"/>
    </row>
    <row r="504" spans="1:12" ht="15.75">
      <c r="A504" s="149"/>
      <c r="B504" s="164"/>
      <c r="C504" s="149"/>
      <c r="E504" s="150"/>
      <c r="F504" s="150"/>
      <c r="G504" s="150"/>
      <c r="H504" s="150"/>
      <c r="I504" s="150"/>
      <c r="J504" s="150"/>
      <c r="L504" s="150"/>
    </row>
    <row r="505" spans="1:12" ht="15.75">
      <c r="A505" s="149"/>
      <c r="B505" s="164"/>
      <c r="C505" s="149"/>
      <c r="E505" s="150"/>
      <c r="F505" s="150"/>
      <c r="G505" s="150"/>
      <c r="H505" s="150"/>
      <c r="I505" s="150"/>
      <c r="J505" s="150"/>
      <c r="L505" s="150"/>
    </row>
    <row r="506" spans="1:12" ht="15.75">
      <c r="A506" s="149"/>
      <c r="B506" s="164"/>
      <c r="C506" s="149"/>
      <c r="E506" s="150"/>
      <c r="F506" s="150"/>
      <c r="G506" s="150"/>
      <c r="H506" s="150"/>
      <c r="I506" s="150"/>
      <c r="J506" s="150"/>
      <c r="L506" s="150"/>
    </row>
    <row r="507" spans="1:12" ht="15.75">
      <c r="A507" s="149"/>
      <c r="B507" s="164"/>
      <c r="C507" s="149"/>
      <c r="E507" s="150"/>
      <c r="F507" s="150"/>
      <c r="G507" s="150"/>
      <c r="H507" s="150"/>
      <c r="I507" s="150"/>
      <c r="J507" s="150"/>
      <c r="L507" s="150"/>
    </row>
    <row r="508" spans="1:12" ht="15.75">
      <c r="A508" s="149"/>
      <c r="B508" s="164"/>
      <c r="C508" s="149"/>
      <c r="E508" s="150"/>
      <c r="F508" s="150"/>
      <c r="G508" s="150"/>
      <c r="H508" s="150"/>
      <c r="I508" s="150"/>
      <c r="J508" s="150"/>
      <c r="L508" s="150"/>
    </row>
    <row r="509" spans="1:12" ht="15.75">
      <c r="A509" s="149"/>
      <c r="B509" s="164"/>
      <c r="C509" s="149"/>
      <c r="E509" s="150"/>
      <c r="F509" s="150"/>
      <c r="G509" s="150"/>
      <c r="H509" s="150"/>
      <c r="I509" s="150"/>
      <c r="J509" s="150"/>
      <c r="L509" s="150"/>
    </row>
    <row r="510" spans="1:12" ht="15.75">
      <c r="A510" s="149"/>
      <c r="B510" s="164"/>
      <c r="C510" s="149"/>
      <c r="E510" s="150"/>
      <c r="F510" s="150"/>
      <c r="G510" s="150"/>
      <c r="H510" s="150"/>
      <c r="I510" s="150"/>
      <c r="J510" s="150"/>
      <c r="L510" s="150"/>
    </row>
    <row r="511" spans="1:12" ht="15.75">
      <c r="A511" s="149"/>
      <c r="B511" s="164"/>
      <c r="C511" s="149"/>
      <c r="E511" s="150"/>
      <c r="F511" s="150"/>
      <c r="G511" s="150"/>
      <c r="H511" s="150"/>
      <c r="I511" s="150"/>
      <c r="J511" s="150"/>
      <c r="L511" s="150"/>
    </row>
    <row r="512" spans="1:12" ht="15.75">
      <c r="A512" s="149"/>
      <c r="B512" s="164"/>
      <c r="C512" s="149"/>
      <c r="E512" s="150"/>
      <c r="F512" s="150"/>
      <c r="G512" s="150"/>
      <c r="H512" s="150"/>
      <c r="I512" s="150"/>
      <c r="J512" s="150"/>
      <c r="L512" s="150"/>
    </row>
    <row r="513" spans="1:12" ht="15.75">
      <c r="A513" s="149"/>
      <c r="B513" s="164"/>
      <c r="C513" s="149"/>
      <c r="E513" s="150"/>
      <c r="F513" s="150"/>
      <c r="G513" s="150"/>
      <c r="H513" s="150"/>
      <c r="I513" s="150"/>
      <c r="J513" s="150"/>
      <c r="L513" s="150"/>
    </row>
    <row r="514" spans="1:12" ht="15.75">
      <c r="A514" s="149"/>
      <c r="B514" s="164"/>
      <c r="C514" s="149"/>
      <c r="E514" s="150"/>
      <c r="F514" s="150"/>
      <c r="G514" s="150"/>
      <c r="H514" s="150"/>
      <c r="I514" s="150"/>
      <c r="J514" s="150"/>
      <c r="L514" s="150"/>
    </row>
    <row r="515" spans="1:12" ht="15.75">
      <c r="A515" s="149"/>
      <c r="B515" s="164"/>
      <c r="C515" s="149"/>
      <c r="E515" s="150"/>
      <c r="F515" s="150"/>
      <c r="G515" s="150"/>
      <c r="H515" s="150"/>
      <c r="I515" s="150"/>
      <c r="J515" s="150"/>
      <c r="L515" s="150"/>
    </row>
    <row r="516" spans="1:12" ht="15.75">
      <c r="A516" s="149"/>
      <c r="B516" s="164"/>
      <c r="C516" s="149"/>
      <c r="E516" s="150"/>
      <c r="F516" s="150"/>
      <c r="G516" s="150"/>
      <c r="H516" s="150"/>
      <c r="I516" s="150"/>
      <c r="J516" s="150"/>
      <c r="L516" s="150"/>
    </row>
    <row r="517" spans="1:12" ht="15.75">
      <c r="A517" s="149"/>
      <c r="B517" s="164"/>
      <c r="C517" s="149"/>
      <c r="E517" s="150"/>
      <c r="F517" s="150"/>
      <c r="G517" s="150"/>
      <c r="H517" s="150"/>
      <c r="I517" s="150"/>
      <c r="J517" s="150"/>
      <c r="L517" s="150"/>
    </row>
    <row r="518" spans="1:12" ht="15.75">
      <c r="A518" s="149"/>
      <c r="B518" s="164"/>
      <c r="C518" s="149"/>
      <c r="E518" s="150"/>
      <c r="F518" s="150"/>
      <c r="G518" s="150"/>
      <c r="H518" s="150"/>
      <c r="I518" s="150"/>
      <c r="J518" s="150"/>
      <c r="L518" s="150"/>
    </row>
    <row r="519" spans="1:12" ht="15.75">
      <c r="A519" s="149"/>
      <c r="B519" s="164"/>
      <c r="C519" s="149"/>
      <c r="E519" s="150"/>
      <c r="F519" s="150"/>
      <c r="G519" s="150"/>
      <c r="H519" s="150"/>
      <c r="I519" s="150"/>
      <c r="J519" s="150"/>
      <c r="L519" s="150"/>
    </row>
    <row r="520" spans="1:12" ht="15.75">
      <c r="A520" s="149"/>
      <c r="B520" s="164"/>
      <c r="C520" s="149"/>
      <c r="E520" s="150"/>
      <c r="F520" s="150"/>
      <c r="G520" s="150"/>
      <c r="H520" s="150"/>
      <c r="I520" s="150"/>
      <c r="J520" s="150"/>
      <c r="L520" s="150"/>
    </row>
    <row r="521" spans="1:12" ht="15.75">
      <c r="A521" s="149"/>
      <c r="B521" s="164"/>
      <c r="C521" s="149"/>
      <c r="E521" s="150"/>
      <c r="F521" s="150"/>
      <c r="G521" s="150"/>
      <c r="H521" s="150"/>
      <c r="I521" s="150"/>
      <c r="J521" s="150"/>
      <c r="L521" s="150"/>
    </row>
    <row r="522" spans="1:12" ht="15.75">
      <c r="A522" s="149"/>
      <c r="B522" s="164"/>
      <c r="C522" s="149"/>
      <c r="E522" s="150"/>
      <c r="F522" s="150"/>
      <c r="G522" s="150"/>
      <c r="H522" s="150"/>
      <c r="I522" s="150"/>
      <c r="J522" s="150"/>
      <c r="L522" s="150"/>
    </row>
    <row r="523" spans="1:12" ht="15.75">
      <c r="A523" s="149"/>
      <c r="B523" s="164"/>
      <c r="C523" s="149"/>
      <c r="E523" s="150"/>
      <c r="F523" s="150"/>
      <c r="G523" s="150"/>
      <c r="H523" s="150"/>
      <c r="I523" s="150"/>
      <c r="J523" s="150"/>
      <c r="L523" s="150"/>
    </row>
    <row r="524" spans="1:12" ht="15.75">
      <c r="A524" s="149"/>
      <c r="B524" s="164"/>
      <c r="C524" s="149"/>
      <c r="E524" s="150"/>
      <c r="F524" s="150"/>
      <c r="G524" s="150"/>
      <c r="H524" s="150"/>
      <c r="I524" s="150"/>
      <c r="J524" s="150"/>
      <c r="L524" s="150"/>
    </row>
    <row r="525" spans="1:12" ht="15.75">
      <c r="A525" s="149"/>
      <c r="B525" s="164"/>
      <c r="C525" s="149"/>
      <c r="E525" s="150"/>
      <c r="F525" s="150"/>
      <c r="G525" s="150"/>
      <c r="H525" s="150"/>
      <c r="I525" s="150"/>
      <c r="J525" s="150"/>
      <c r="L525" s="150"/>
    </row>
    <row r="526" spans="1:12" ht="15.75">
      <c r="A526" s="149"/>
      <c r="B526" s="164"/>
      <c r="C526" s="149"/>
      <c r="E526" s="150"/>
      <c r="F526" s="150"/>
      <c r="G526" s="150"/>
      <c r="H526" s="150"/>
      <c r="I526" s="150"/>
      <c r="J526" s="150"/>
      <c r="L526" s="150"/>
    </row>
    <row r="527" spans="1:12" ht="15.75">
      <c r="A527" s="149"/>
      <c r="B527" s="164"/>
      <c r="C527" s="149"/>
      <c r="E527" s="150"/>
      <c r="F527" s="150"/>
      <c r="G527" s="150"/>
      <c r="H527" s="150"/>
      <c r="I527" s="150"/>
      <c r="J527" s="150"/>
      <c r="L527" s="150"/>
    </row>
    <row r="528" spans="1:12" ht="15.75">
      <c r="A528" s="149"/>
      <c r="B528" s="164"/>
      <c r="C528" s="149"/>
      <c r="E528" s="150"/>
      <c r="F528" s="150"/>
      <c r="G528" s="150"/>
      <c r="H528" s="150"/>
      <c r="I528" s="150"/>
      <c r="J528" s="150"/>
      <c r="L528" s="150"/>
    </row>
    <row r="529" spans="1:12" ht="15.75">
      <c r="A529" s="149"/>
      <c r="B529" s="164"/>
      <c r="C529" s="149"/>
      <c r="E529" s="150"/>
      <c r="F529" s="150"/>
      <c r="G529" s="150"/>
      <c r="H529" s="150"/>
      <c r="I529" s="150"/>
      <c r="J529" s="150"/>
      <c r="L529" s="150"/>
    </row>
    <row r="530" spans="1:12" ht="15.75">
      <c r="A530" s="149"/>
      <c r="B530" s="164"/>
      <c r="C530" s="149"/>
      <c r="E530" s="150"/>
      <c r="F530" s="150"/>
      <c r="G530" s="150"/>
      <c r="H530" s="150"/>
      <c r="I530" s="150"/>
      <c r="J530" s="150"/>
      <c r="L530" s="150"/>
    </row>
    <row r="531" spans="1:12" ht="15.75">
      <c r="A531" s="149"/>
      <c r="B531" s="164"/>
      <c r="C531" s="149"/>
      <c r="E531" s="150"/>
      <c r="F531" s="150"/>
      <c r="G531" s="150"/>
      <c r="H531" s="150"/>
      <c r="I531" s="150"/>
      <c r="J531" s="150"/>
      <c r="L531" s="150"/>
    </row>
    <row r="532" spans="1:12" ht="15.75">
      <c r="A532" s="149"/>
      <c r="B532" s="164"/>
      <c r="C532" s="149"/>
      <c r="E532" s="150"/>
      <c r="F532" s="150"/>
      <c r="G532" s="150"/>
      <c r="H532" s="150"/>
      <c r="I532" s="150"/>
      <c r="J532" s="150"/>
      <c r="L532" s="150"/>
    </row>
    <row r="533" spans="1:12" ht="15.75">
      <c r="A533" s="149"/>
      <c r="B533" s="164"/>
      <c r="C533" s="149"/>
      <c r="E533" s="150"/>
      <c r="F533" s="150"/>
      <c r="G533" s="150"/>
      <c r="H533" s="150"/>
      <c r="I533" s="150"/>
      <c r="J533" s="150"/>
      <c r="L533" s="150"/>
    </row>
    <row r="534" spans="1:12" ht="15.75">
      <c r="A534" s="149"/>
      <c r="B534" s="164"/>
      <c r="C534" s="149"/>
      <c r="E534" s="150"/>
      <c r="F534" s="150"/>
      <c r="G534" s="150"/>
      <c r="H534" s="150"/>
      <c r="I534" s="150"/>
      <c r="J534" s="150"/>
      <c r="L534" s="150"/>
    </row>
    <row r="535" spans="1:12" ht="15.75">
      <c r="A535" s="149"/>
      <c r="B535" s="164"/>
      <c r="C535" s="149"/>
      <c r="E535" s="150"/>
      <c r="F535" s="150"/>
      <c r="G535" s="150"/>
      <c r="H535" s="150"/>
      <c r="I535" s="150"/>
      <c r="J535" s="150"/>
      <c r="L535" s="150"/>
    </row>
    <row r="536" spans="1:12" ht="15.75">
      <c r="A536" s="149"/>
      <c r="B536" s="164"/>
      <c r="C536" s="149"/>
      <c r="E536" s="150"/>
      <c r="F536" s="150"/>
      <c r="G536" s="150"/>
      <c r="H536" s="150"/>
      <c r="I536" s="150"/>
      <c r="J536" s="150"/>
      <c r="L536" s="150"/>
    </row>
    <row r="537" spans="1:12" ht="15.75">
      <c r="A537" s="149"/>
      <c r="B537" s="164"/>
      <c r="C537" s="149"/>
      <c r="E537" s="150"/>
      <c r="F537" s="150"/>
      <c r="G537" s="150"/>
      <c r="H537" s="150"/>
      <c r="I537" s="150"/>
      <c r="J537" s="150"/>
      <c r="L537" s="150"/>
    </row>
    <row r="538" spans="1:12" ht="15.75">
      <c r="A538" s="149"/>
      <c r="B538" s="164"/>
      <c r="C538" s="149"/>
      <c r="E538" s="150"/>
      <c r="F538" s="150"/>
      <c r="G538" s="150"/>
      <c r="H538" s="150"/>
      <c r="I538" s="150"/>
      <c r="J538" s="150"/>
      <c r="L538" s="150"/>
    </row>
    <row r="539" spans="1:12" ht="15.75">
      <c r="A539" s="149"/>
      <c r="B539" s="164"/>
      <c r="C539" s="149"/>
      <c r="E539" s="150"/>
      <c r="F539" s="150"/>
      <c r="G539" s="150"/>
      <c r="H539" s="150"/>
      <c r="I539" s="150"/>
      <c r="J539" s="150"/>
      <c r="L539" s="150"/>
    </row>
    <row r="540" spans="1:12" ht="15.75">
      <c r="A540" s="149"/>
      <c r="B540" s="164"/>
      <c r="C540" s="149"/>
      <c r="E540" s="150"/>
      <c r="F540" s="150"/>
      <c r="G540" s="150"/>
      <c r="H540" s="150"/>
      <c r="I540" s="150"/>
      <c r="J540" s="150"/>
      <c r="L540" s="150"/>
    </row>
    <row r="541" spans="1:12" ht="15.75">
      <c r="A541" s="149"/>
      <c r="B541" s="164"/>
      <c r="C541" s="149"/>
      <c r="E541" s="150"/>
      <c r="F541" s="150"/>
      <c r="G541" s="150"/>
      <c r="H541" s="150"/>
      <c r="I541" s="150"/>
      <c r="J541" s="150"/>
      <c r="L541" s="150"/>
    </row>
    <row r="542" spans="1:12" ht="15.75">
      <c r="A542" s="149"/>
      <c r="B542" s="164"/>
      <c r="C542" s="149"/>
      <c r="E542" s="150"/>
      <c r="F542" s="150"/>
      <c r="G542" s="150"/>
      <c r="H542" s="150"/>
      <c r="I542" s="150"/>
      <c r="J542" s="150"/>
      <c r="L542" s="150"/>
    </row>
    <row r="543" spans="1:12" ht="15.75">
      <c r="A543" s="149"/>
      <c r="B543" s="164"/>
      <c r="C543" s="149"/>
      <c r="E543" s="150"/>
      <c r="F543" s="150"/>
      <c r="G543" s="150"/>
      <c r="H543" s="150"/>
      <c r="I543" s="150"/>
      <c r="J543" s="150"/>
      <c r="L543" s="150"/>
    </row>
    <row r="544" spans="1:12" ht="15.75">
      <c r="A544" s="149"/>
      <c r="B544" s="164"/>
      <c r="C544" s="149"/>
      <c r="E544" s="150"/>
      <c r="F544" s="150"/>
      <c r="G544" s="150"/>
      <c r="H544" s="150"/>
      <c r="I544" s="150"/>
      <c r="J544" s="150"/>
      <c r="L544" s="150"/>
    </row>
    <row r="545" spans="1:12" ht="15.75">
      <c r="A545" s="149"/>
      <c r="B545" s="164"/>
      <c r="C545" s="149"/>
      <c r="E545" s="150"/>
      <c r="F545" s="150"/>
      <c r="G545" s="150"/>
      <c r="H545" s="150"/>
      <c r="I545" s="150"/>
      <c r="J545" s="150"/>
      <c r="L545" s="150"/>
    </row>
    <row r="546" spans="1:12" ht="15.75">
      <c r="A546" s="149"/>
      <c r="B546" s="164"/>
      <c r="C546" s="149"/>
      <c r="E546" s="150"/>
      <c r="F546" s="150"/>
      <c r="G546" s="150"/>
      <c r="H546" s="150"/>
      <c r="I546" s="150"/>
      <c r="J546" s="150"/>
      <c r="L546" s="150"/>
    </row>
    <row r="547" spans="1:12" ht="15.75">
      <c r="A547" s="149"/>
      <c r="B547" s="164"/>
      <c r="C547" s="149"/>
      <c r="E547" s="150"/>
      <c r="F547" s="150"/>
      <c r="G547" s="150"/>
      <c r="H547" s="150"/>
      <c r="I547" s="150"/>
      <c r="J547" s="150"/>
      <c r="L547" s="150"/>
    </row>
    <row r="548" spans="1:12" ht="15.75">
      <c r="A548" s="149"/>
      <c r="B548" s="164"/>
      <c r="C548" s="149"/>
      <c r="E548" s="150"/>
      <c r="F548" s="150"/>
      <c r="G548" s="150"/>
      <c r="H548" s="150"/>
      <c r="I548" s="150"/>
      <c r="J548" s="150"/>
      <c r="L548" s="150"/>
    </row>
    <row r="549" spans="1:12" ht="15.75">
      <c r="A549" s="149"/>
      <c r="B549" s="164"/>
      <c r="C549" s="149"/>
      <c r="E549" s="150"/>
      <c r="F549" s="150"/>
      <c r="G549" s="150"/>
      <c r="H549" s="150"/>
      <c r="I549" s="150"/>
      <c r="J549" s="150"/>
      <c r="L549" s="150"/>
    </row>
    <row r="550" spans="1:12" ht="15.75">
      <c r="A550" s="149"/>
      <c r="B550" s="164"/>
      <c r="C550" s="149"/>
      <c r="E550" s="150"/>
      <c r="F550" s="150"/>
      <c r="G550" s="150"/>
      <c r="H550" s="150"/>
      <c r="I550" s="150"/>
      <c r="J550" s="150"/>
      <c r="L550" s="150"/>
    </row>
    <row r="551" spans="1:12" ht="15.75">
      <c r="A551" s="149"/>
      <c r="B551" s="164"/>
      <c r="C551" s="149"/>
      <c r="E551" s="150"/>
      <c r="F551" s="150"/>
      <c r="G551" s="150"/>
      <c r="H551" s="150"/>
      <c r="I551" s="150"/>
      <c r="J551" s="150"/>
      <c r="L551" s="150"/>
    </row>
    <row r="552" spans="1:12" ht="15.75">
      <c r="A552" s="149"/>
      <c r="B552" s="164"/>
      <c r="C552" s="149"/>
      <c r="E552" s="150"/>
      <c r="F552" s="150"/>
      <c r="G552" s="150"/>
      <c r="H552" s="150"/>
      <c r="I552" s="150"/>
      <c r="J552" s="150"/>
      <c r="L552" s="150"/>
    </row>
    <row r="553" spans="1:12" ht="15.75">
      <c r="A553" s="149"/>
      <c r="B553" s="164"/>
      <c r="C553" s="149"/>
      <c r="E553" s="150"/>
      <c r="F553" s="150"/>
      <c r="G553" s="150"/>
      <c r="H553" s="150"/>
      <c r="I553" s="150"/>
      <c r="J553" s="150"/>
      <c r="L553" s="150"/>
    </row>
    <row r="554" spans="1:12" ht="15.75">
      <c r="A554" s="149"/>
      <c r="B554" s="164"/>
      <c r="C554" s="149"/>
      <c r="E554" s="150"/>
      <c r="F554" s="150"/>
      <c r="G554" s="150"/>
      <c r="H554" s="150"/>
      <c r="I554" s="150"/>
      <c r="J554" s="150"/>
      <c r="L554" s="150"/>
    </row>
    <row r="555" spans="1:12" ht="15.75">
      <c r="A555" s="149"/>
      <c r="B555" s="164"/>
      <c r="C555" s="149"/>
      <c r="E555" s="150"/>
      <c r="F555" s="150"/>
      <c r="G555" s="150"/>
      <c r="H555" s="150"/>
      <c r="I555" s="150"/>
      <c r="J555" s="150"/>
      <c r="L555" s="150"/>
    </row>
    <row r="556" spans="1:12" ht="15.75">
      <c r="A556" s="149"/>
      <c r="B556" s="164"/>
      <c r="C556" s="149"/>
      <c r="E556" s="150"/>
      <c r="F556" s="150"/>
      <c r="G556" s="150"/>
      <c r="H556" s="150"/>
      <c r="I556" s="150"/>
      <c r="J556" s="150"/>
      <c r="L556" s="150"/>
    </row>
    <row r="557" spans="1:12" ht="15.75">
      <c r="A557" s="149"/>
      <c r="B557" s="164"/>
      <c r="C557" s="149"/>
      <c r="E557" s="150"/>
      <c r="F557" s="150"/>
      <c r="G557" s="150"/>
      <c r="H557" s="150"/>
      <c r="I557" s="150"/>
      <c r="J557" s="150"/>
      <c r="L557" s="150"/>
    </row>
    <row r="558" spans="1:12" ht="15.75">
      <c r="A558" s="149"/>
      <c r="B558" s="164"/>
      <c r="C558" s="149"/>
      <c r="E558" s="150"/>
      <c r="F558" s="150"/>
      <c r="G558" s="150"/>
      <c r="H558" s="150"/>
      <c r="I558" s="150"/>
      <c r="J558" s="150"/>
      <c r="L558" s="150"/>
    </row>
    <row r="559" spans="1:12" ht="15.75">
      <c r="A559" s="149"/>
      <c r="B559" s="164"/>
      <c r="C559" s="149"/>
      <c r="E559" s="150"/>
      <c r="F559" s="150"/>
      <c r="G559" s="150"/>
      <c r="H559" s="150"/>
      <c r="I559" s="150"/>
      <c r="J559" s="150"/>
      <c r="L559" s="150"/>
    </row>
    <row r="560" spans="1:12" ht="15.75">
      <c r="A560" s="149"/>
      <c r="B560" s="164"/>
      <c r="C560" s="149"/>
      <c r="E560" s="150"/>
      <c r="F560" s="150"/>
      <c r="G560" s="150"/>
      <c r="H560" s="150"/>
      <c r="I560" s="150"/>
      <c r="J560" s="150"/>
      <c r="L560" s="150"/>
    </row>
    <row r="561" spans="1:12" ht="15.75">
      <c r="A561" s="149"/>
      <c r="B561" s="164"/>
      <c r="C561" s="149"/>
      <c r="E561" s="150"/>
      <c r="F561" s="150"/>
      <c r="G561" s="150"/>
      <c r="H561" s="150"/>
      <c r="I561" s="150"/>
      <c r="J561" s="150"/>
      <c r="L561" s="150"/>
    </row>
    <row r="562" spans="1:12" ht="15.75">
      <c r="A562" s="149"/>
      <c r="B562" s="164"/>
      <c r="C562" s="149"/>
      <c r="E562" s="150"/>
      <c r="F562" s="150"/>
      <c r="G562" s="150"/>
      <c r="H562" s="150"/>
      <c r="I562" s="150"/>
      <c r="J562" s="150"/>
      <c r="L562" s="150"/>
    </row>
    <row r="563" spans="1:12" ht="15.75">
      <c r="A563" s="149"/>
      <c r="B563" s="164"/>
      <c r="C563" s="149"/>
      <c r="E563" s="150"/>
      <c r="F563" s="150"/>
      <c r="G563" s="150"/>
      <c r="H563" s="150"/>
      <c r="I563" s="150"/>
      <c r="J563" s="150"/>
      <c r="L563" s="150"/>
    </row>
    <row r="564" spans="1:12" ht="15.75">
      <c r="A564" s="149"/>
      <c r="B564" s="164"/>
      <c r="C564" s="149"/>
      <c r="E564" s="150"/>
      <c r="F564" s="150"/>
      <c r="G564" s="150"/>
      <c r="H564" s="150"/>
      <c r="I564" s="150"/>
      <c r="J564" s="150"/>
      <c r="L564" s="150"/>
    </row>
    <row r="565" spans="1:12" ht="15.75">
      <c r="A565" s="149"/>
      <c r="B565" s="164"/>
      <c r="C565" s="149"/>
      <c r="E565" s="150"/>
      <c r="F565" s="150"/>
      <c r="G565" s="150"/>
      <c r="H565" s="150"/>
      <c r="I565" s="150"/>
      <c r="J565" s="150"/>
      <c r="L565" s="150"/>
    </row>
    <row r="566" spans="1:12" ht="15.75">
      <c r="A566" s="149"/>
      <c r="B566" s="164"/>
      <c r="C566" s="149"/>
      <c r="E566" s="150"/>
      <c r="F566" s="150"/>
      <c r="G566" s="150"/>
      <c r="H566" s="150"/>
      <c r="I566" s="150"/>
      <c r="J566" s="150"/>
      <c r="L566" s="150"/>
    </row>
    <row r="567" spans="1:12" ht="15.75">
      <c r="A567" s="149"/>
      <c r="B567" s="164"/>
      <c r="C567" s="149"/>
      <c r="E567" s="150"/>
      <c r="F567" s="150"/>
      <c r="G567" s="150"/>
      <c r="H567" s="150"/>
      <c r="I567" s="150"/>
      <c r="J567" s="150"/>
      <c r="L567" s="150"/>
    </row>
    <row r="568" spans="1:12" ht="15.75">
      <c r="A568" s="149"/>
      <c r="B568" s="164"/>
      <c r="C568" s="149"/>
      <c r="E568" s="150"/>
      <c r="F568" s="150"/>
      <c r="G568" s="150"/>
      <c r="H568" s="150"/>
      <c r="I568" s="150"/>
      <c r="J568" s="150"/>
      <c r="L568" s="150"/>
    </row>
    <row r="569" spans="1:12" ht="15.75">
      <c r="A569" s="149"/>
      <c r="B569" s="164"/>
      <c r="C569" s="149"/>
      <c r="E569" s="150"/>
      <c r="F569" s="150"/>
      <c r="G569" s="150"/>
      <c r="H569" s="150"/>
      <c r="I569" s="150"/>
      <c r="J569" s="150"/>
      <c r="L569" s="150"/>
    </row>
    <row r="570" spans="1:12" ht="15.75">
      <c r="A570" s="149"/>
      <c r="B570" s="164"/>
      <c r="C570" s="149"/>
      <c r="E570" s="150"/>
      <c r="F570" s="150"/>
      <c r="G570" s="150"/>
      <c r="H570" s="150"/>
      <c r="I570" s="150"/>
      <c r="J570" s="150"/>
      <c r="L570" s="150"/>
    </row>
    <row r="571" spans="1:12" ht="15.75">
      <c r="A571" s="149"/>
      <c r="B571" s="164"/>
      <c r="C571" s="149"/>
      <c r="E571" s="150"/>
      <c r="F571" s="150"/>
      <c r="G571" s="150"/>
      <c r="H571" s="150"/>
      <c r="I571" s="150"/>
      <c r="J571" s="150"/>
      <c r="L571" s="150"/>
    </row>
    <row r="572" spans="1:12" ht="15.75">
      <c r="A572" s="149"/>
      <c r="B572" s="164"/>
      <c r="C572" s="149"/>
      <c r="E572" s="150"/>
      <c r="F572" s="150"/>
      <c r="G572" s="150"/>
      <c r="H572" s="150"/>
      <c r="I572" s="150"/>
      <c r="J572" s="150"/>
      <c r="L572" s="150"/>
    </row>
    <row r="573" spans="1:12" ht="15.75">
      <c r="A573" s="149"/>
      <c r="B573" s="164"/>
      <c r="C573" s="149"/>
      <c r="E573" s="150"/>
      <c r="F573" s="150"/>
      <c r="G573" s="150"/>
      <c r="H573" s="150"/>
      <c r="I573" s="150"/>
      <c r="J573" s="150"/>
      <c r="L573" s="150"/>
    </row>
    <row r="574" spans="1:12" ht="15.75">
      <c r="A574" s="149"/>
      <c r="B574" s="164"/>
      <c r="C574" s="149"/>
      <c r="E574" s="150"/>
      <c r="F574" s="150"/>
      <c r="G574" s="150"/>
      <c r="H574" s="150"/>
      <c r="I574" s="150"/>
      <c r="J574" s="150"/>
      <c r="L574" s="150"/>
    </row>
    <row r="575" spans="1:12" ht="15.75">
      <c r="A575" s="149"/>
      <c r="B575" s="164"/>
      <c r="C575" s="149"/>
      <c r="E575" s="150"/>
      <c r="F575" s="150"/>
      <c r="G575" s="150"/>
      <c r="H575" s="150"/>
      <c r="I575" s="150"/>
      <c r="J575" s="150"/>
      <c r="L575" s="150"/>
    </row>
    <row r="576" spans="1:12" ht="15.75">
      <c r="A576" s="149"/>
      <c r="B576" s="164"/>
      <c r="C576" s="149"/>
      <c r="E576" s="150"/>
      <c r="F576" s="150"/>
      <c r="G576" s="150"/>
      <c r="H576" s="150"/>
      <c r="I576" s="150"/>
      <c r="J576" s="150"/>
      <c r="L576" s="150"/>
    </row>
    <row r="577" spans="1:12" ht="15.75">
      <c r="A577" s="149"/>
      <c r="B577" s="164"/>
      <c r="C577" s="149"/>
      <c r="E577" s="150"/>
      <c r="F577" s="150"/>
      <c r="G577" s="150"/>
      <c r="H577" s="150"/>
      <c r="I577" s="150"/>
      <c r="J577" s="150"/>
      <c r="L577" s="150"/>
    </row>
    <row r="578" spans="1:12" ht="15.75">
      <c r="A578" s="149"/>
      <c r="B578" s="164"/>
      <c r="C578" s="149"/>
      <c r="E578" s="150"/>
      <c r="F578" s="150"/>
      <c r="G578" s="150"/>
      <c r="H578" s="150"/>
      <c r="I578" s="150"/>
      <c r="J578" s="150"/>
      <c r="L578" s="150"/>
    </row>
    <row r="579" spans="1:12" ht="15.75">
      <c r="A579" s="149"/>
      <c r="B579" s="164"/>
      <c r="C579" s="149"/>
      <c r="E579" s="150"/>
      <c r="F579" s="150"/>
      <c r="G579" s="150"/>
      <c r="H579" s="150"/>
      <c r="I579" s="150"/>
      <c r="J579" s="150"/>
      <c r="L579" s="150"/>
    </row>
    <row r="580" spans="1:12" ht="15.75">
      <c r="A580" s="149"/>
      <c r="B580" s="164"/>
      <c r="C580" s="149"/>
      <c r="E580" s="150"/>
      <c r="F580" s="150"/>
      <c r="G580" s="150"/>
      <c r="H580" s="150"/>
      <c r="I580" s="150"/>
      <c r="J580" s="150"/>
      <c r="L580" s="150"/>
    </row>
    <row r="581" spans="1:12" ht="15.75">
      <c r="A581" s="149"/>
      <c r="B581" s="164"/>
      <c r="C581" s="149"/>
      <c r="E581" s="150"/>
      <c r="F581" s="150"/>
      <c r="G581" s="150"/>
      <c r="H581" s="150"/>
      <c r="I581" s="150"/>
      <c r="J581" s="150"/>
      <c r="L581" s="150"/>
    </row>
    <row r="582" spans="1:12" ht="15.75">
      <c r="A582" s="149"/>
      <c r="B582" s="164"/>
      <c r="C582" s="149"/>
      <c r="E582" s="150"/>
      <c r="F582" s="150"/>
      <c r="G582" s="150"/>
      <c r="H582" s="150"/>
      <c r="I582" s="150"/>
      <c r="J582" s="150"/>
      <c r="L582" s="150"/>
    </row>
    <row r="583" spans="1:12" ht="15.75">
      <c r="A583" s="149"/>
      <c r="B583" s="164"/>
      <c r="C583" s="149"/>
      <c r="E583" s="150"/>
      <c r="F583" s="150"/>
      <c r="G583" s="150"/>
      <c r="H583" s="150"/>
      <c r="I583" s="150"/>
      <c r="J583" s="150"/>
      <c r="L583" s="150"/>
    </row>
    <row r="584" spans="1:12" ht="15.75">
      <c r="A584" s="149"/>
      <c r="B584" s="164"/>
      <c r="C584" s="149"/>
      <c r="E584" s="150"/>
      <c r="F584" s="150"/>
      <c r="G584" s="150"/>
      <c r="H584" s="150"/>
      <c r="I584" s="150"/>
      <c r="J584" s="150"/>
      <c r="L584" s="150"/>
    </row>
    <row r="585" spans="1:12" ht="15.75">
      <c r="A585" s="149"/>
      <c r="B585" s="164"/>
      <c r="C585" s="149"/>
      <c r="E585" s="150"/>
      <c r="F585" s="150"/>
      <c r="G585" s="150"/>
      <c r="H585" s="150"/>
      <c r="I585" s="150"/>
      <c r="J585" s="150"/>
      <c r="L585" s="150"/>
    </row>
    <row r="586" spans="1:12" ht="15.75">
      <c r="A586" s="149"/>
      <c r="B586" s="164"/>
      <c r="C586" s="149"/>
      <c r="E586" s="150"/>
      <c r="F586" s="150"/>
      <c r="G586" s="150"/>
      <c r="H586" s="150"/>
      <c r="I586" s="150"/>
      <c r="J586" s="150"/>
      <c r="L586" s="150"/>
    </row>
    <row r="587" spans="1:12" ht="15.75">
      <c r="A587" s="149"/>
      <c r="B587" s="164"/>
      <c r="C587" s="149"/>
      <c r="E587" s="150"/>
      <c r="F587" s="150"/>
      <c r="G587" s="150"/>
      <c r="H587" s="150"/>
      <c r="I587" s="150"/>
      <c r="J587" s="150"/>
      <c r="L587" s="150"/>
    </row>
    <row r="588" spans="1:12" ht="15.75">
      <c r="A588" s="149"/>
      <c r="B588" s="164"/>
      <c r="C588" s="149"/>
      <c r="E588" s="150"/>
      <c r="F588" s="150"/>
      <c r="G588" s="150"/>
      <c r="H588" s="150"/>
      <c r="I588" s="150"/>
      <c r="J588" s="150"/>
      <c r="L588" s="150"/>
    </row>
    <row r="589" spans="1:12" ht="15.75">
      <c r="A589" s="149"/>
      <c r="B589" s="164"/>
      <c r="C589" s="149"/>
      <c r="E589" s="150"/>
      <c r="F589" s="150"/>
      <c r="G589" s="150"/>
      <c r="H589" s="150"/>
      <c r="I589" s="150"/>
      <c r="J589" s="150"/>
      <c r="L589" s="150"/>
    </row>
    <row r="590" spans="1:12" ht="15.75">
      <c r="A590" s="149"/>
      <c r="B590" s="164"/>
      <c r="C590" s="149"/>
      <c r="E590" s="150"/>
      <c r="F590" s="150"/>
      <c r="G590" s="150"/>
      <c r="H590" s="150"/>
      <c r="I590" s="150"/>
      <c r="J590" s="150"/>
      <c r="L590" s="150"/>
    </row>
    <row r="591" spans="1:12" ht="15.75">
      <c r="A591" s="149"/>
      <c r="B591" s="164"/>
      <c r="C591" s="149"/>
      <c r="E591" s="150"/>
      <c r="F591" s="150"/>
      <c r="G591" s="150"/>
      <c r="H591" s="150"/>
      <c r="I591" s="150"/>
      <c r="J591" s="150"/>
      <c r="L591" s="150"/>
    </row>
    <row r="592" spans="1:12" ht="15.75">
      <c r="A592" s="149"/>
      <c r="B592" s="164"/>
      <c r="C592" s="149"/>
      <c r="E592" s="150"/>
      <c r="F592" s="150"/>
      <c r="G592" s="150"/>
      <c r="H592" s="150"/>
      <c r="I592" s="150"/>
      <c r="J592" s="150"/>
      <c r="L592" s="150"/>
    </row>
    <row r="593" spans="1:12" ht="15.75">
      <c r="A593" s="149"/>
      <c r="B593" s="164"/>
      <c r="C593" s="149"/>
      <c r="E593" s="150"/>
      <c r="F593" s="150"/>
      <c r="G593" s="150"/>
      <c r="H593" s="150"/>
      <c r="I593" s="150"/>
      <c r="J593" s="150"/>
      <c r="L593" s="150"/>
    </row>
    <row r="594" spans="1:12" ht="15.75">
      <c r="A594" s="149"/>
      <c r="B594" s="164"/>
      <c r="C594" s="149"/>
      <c r="E594" s="150"/>
      <c r="F594" s="150"/>
      <c r="G594" s="150"/>
      <c r="H594" s="150"/>
      <c r="I594" s="150"/>
      <c r="J594" s="150"/>
      <c r="L594" s="150"/>
    </row>
    <row r="595" spans="1:12" ht="15.75">
      <c r="A595" s="149"/>
      <c r="B595" s="164"/>
      <c r="C595" s="149"/>
      <c r="E595" s="150"/>
      <c r="F595" s="150"/>
      <c r="G595" s="150"/>
      <c r="H595" s="150"/>
      <c r="I595" s="150"/>
      <c r="J595" s="150"/>
      <c r="L595" s="150"/>
    </row>
    <row r="596" spans="1:12" ht="15.75">
      <c r="A596" s="149"/>
      <c r="B596" s="164"/>
      <c r="C596" s="149"/>
      <c r="E596" s="150"/>
      <c r="F596" s="150"/>
      <c r="G596" s="150"/>
      <c r="H596" s="150"/>
      <c r="I596" s="150"/>
      <c r="J596" s="150"/>
      <c r="L596" s="150"/>
    </row>
    <row r="597" spans="1:12" ht="15.75">
      <c r="A597" s="149"/>
      <c r="B597" s="164"/>
      <c r="C597" s="149"/>
      <c r="E597" s="150"/>
      <c r="F597" s="150"/>
      <c r="G597" s="150"/>
      <c r="H597" s="150"/>
      <c r="I597" s="150"/>
      <c r="J597" s="150"/>
      <c r="L597" s="150"/>
    </row>
    <row r="598" spans="1:12" ht="15.75">
      <c r="A598" s="149"/>
      <c r="B598" s="164"/>
      <c r="C598" s="149"/>
      <c r="E598" s="150"/>
      <c r="F598" s="150"/>
      <c r="G598" s="150"/>
      <c r="H598" s="150"/>
      <c r="I598" s="150"/>
      <c r="J598" s="150"/>
      <c r="L598" s="150"/>
    </row>
    <row r="599" spans="1:12" ht="15.75">
      <c r="A599" s="149"/>
      <c r="B599" s="164"/>
      <c r="C599" s="149"/>
      <c r="E599" s="150"/>
      <c r="F599" s="150"/>
      <c r="G599" s="150"/>
      <c r="H599" s="150"/>
      <c r="I599" s="150"/>
      <c r="J599" s="150"/>
      <c r="L599" s="150"/>
    </row>
    <row r="600" spans="1:12" ht="15.75">
      <c r="A600" s="149"/>
      <c r="B600" s="164"/>
      <c r="C600" s="149"/>
      <c r="E600" s="150"/>
      <c r="F600" s="150"/>
      <c r="G600" s="150"/>
      <c r="H600" s="150"/>
      <c r="I600" s="150"/>
      <c r="J600" s="150"/>
      <c r="L600" s="150"/>
    </row>
    <row r="601" spans="1:12" ht="15.75">
      <c r="A601" s="149"/>
      <c r="B601" s="164"/>
      <c r="C601" s="149"/>
      <c r="E601" s="150"/>
      <c r="F601" s="150"/>
      <c r="G601" s="150"/>
      <c r="H601" s="150"/>
      <c r="I601" s="150"/>
      <c r="J601" s="150"/>
      <c r="L601" s="150"/>
    </row>
    <row r="602" spans="1:12" ht="15.75">
      <c r="A602" s="149"/>
      <c r="B602" s="164"/>
      <c r="C602" s="149"/>
      <c r="E602" s="150"/>
      <c r="F602" s="150"/>
      <c r="G602" s="150"/>
      <c r="H602" s="150"/>
      <c r="I602" s="150"/>
      <c r="J602" s="150"/>
      <c r="L602" s="150"/>
    </row>
    <row r="603" spans="1:12" ht="15.75">
      <c r="A603" s="149"/>
      <c r="B603" s="164"/>
      <c r="C603" s="149"/>
      <c r="E603" s="150"/>
      <c r="F603" s="150"/>
      <c r="G603" s="150"/>
      <c r="H603" s="150"/>
      <c r="I603" s="150"/>
      <c r="J603" s="150"/>
      <c r="L603" s="150"/>
    </row>
    <row r="604" spans="1:12" ht="15.75">
      <c r="A604" s="149"/>
      <c r="B604" s="164"/>
      <c r="C604" s="149"/>
      <c r="E604" s="150"/>
      <c r="F604" s="150"/>
      <c r="G604" s="150"/>
      <c r="H604" s="150"/>
      <c r="I604" s="150"/>
      <c r="J604" s="150"/>
      <c r="L604" s="150"/>
    </row>
    <row r="605" spans="1:12" ht="15.75">
      <c r="A605" s="149"/>
      <c r="B605" s="164"/>
      <c r="C605" s="149"/>
      <c r="E605" s="150"/>
      <c r="F605" s="150"/>
      <c r="G605" s="150"/>
      <c r="H605" s="150"/>
      <c r="I605" s="150"/>
      <c r="J605" s="150"/>
      <c r="L605" s="150"/>
    </row>
    <row r="606" spans="1:12" ht="15.75">
      <c r="A606" s="149"/>
      <c r="B606" s="164"/>
      <c r="C606" s="149"/>
      <c r="E606" s="150"/>
      <c r="F606" s="150"/>
      <c r="G606" s="150"/>
      <c r="H606" s="150"/>
      <c r="I606" s="150"/>
      <c r="J606" s="150"/>
      <c r="L606" s="150"/>
    </row>
    <row r="607" spans="1:12" ht="15.75">
      <c r="A607" s="149"/>
      <c r="B607" s="164"/>
      <c r="C607" s="149"/>
      <c r="E607" s="150"/>
      <c r="F607" s="150"/>
      <c r="G607" s="150"/>
      <c r="H607" s="150"/>
      <c r="I607" s="150"/>
      <c r="J607" s="150"/>
      <c r="L607" s="150"/>
    </row>
    <row r="608" spans="1:12" ht="15.75">
      <c r="A608" s="149"/>
      <c r="B608" s="164"/>
      <c r="C608" s="149"/>
      <c r="E608" s="150"/>
      <c r="F608" s="150"/>
      <c r="G608" s="150"/>
      <c r="H608" s="150"/>
      <c r="I608" s="150"/>
      <c r="J608" s="150"/>
      <c r="L608" s="150"/>
    </row>
    <row r="609" spans="1:12" ht="15.75">
      <c r="A609" s="149"/>
      <c r="B609" s="164"/>
      <c r="C609" s="149"/>
      <c r="E609" s="150"/>
      <c r="F609" s="150"/>
      <c r="G609" s="150"/>
      <c r="H609" s="150"/>
      <c r="I609" s="150"/>
      <c r="J609" s="150"/>
      <c r="L609" s="150"/>
    </row>
    <row r="610" spans="1:12" ht="15.75">
      <c r="A610" s="149"/>
      <c r="B610" s="164"/>
      <c r="C610" s="149"/>
      <c r="E610" s="150"/>
      <c r="F610" s="150"/>
      <c r="G610" s="150"/>
      <c r="H610" s="150"/>
      <c r="I610" s="150"/>
      <c r="J610" s="150"/>
      <c r="L610" s="150"/>
    </row>
    <row r="611" spans="1:12" ht="15.75">
      <c r="A611" s="149"/>
      <c r="B611" s="164"/>
      <c r="C611" s="149"/>
      <c r="E611" s="150"/>
      <c r="F611" s="150"/>
      <c r="G611" s="150"/>
      <c r="H611" s="150"/>
      <c r="I611" s="150"/>
      <c r="J611" s="150"/>
      <c r="L611" s="150"/>
    </row>
    <row r="612" spans="1:12" ht="15.75">
      <c r="A612" s="149"/>
      <c r="B612" s="164"/>
      <c r="C612" s="149"/>
      <c r="E612" s="150"/>
      <c r="F612" s="150"/>
      <c r="G612" s="150"/>
      <c r="H612" s="150"/>
      <c r="I612" s="150"/>
      <c r="J612" s="150"/>
      <c r="L612" s="150"/>
    </row>
    <row r="613" spans="1:12" ht="15.75">
      <c r="A613" s="149"/>
      <c r="B613" s="164"/>
      <c r="C613" s="149"/>
      <c r="E613" s="150"/>
      <c r="F613" s="150"/>
      <c r="G613" s="150"/>
      <c r="H613" s="150"/>
      <c r="I613" s="150"/>
      <c r="J613" s="150"/>
      <c r="L613" s="150"/>
    </row>
    <row r="614" spans="1:12" ht="15.75">
      <c r="A614" s="149"/>
      <c r="B614" s="164"/>
      <c r="C614" s="149"/>
      <c r="E614" s="150"/>
      <c r="F614" s="150"/>
      <c r="G614" s="150"/>
      <c r="H614" s="150"/>
      <c r="I614" s="150"/>
      <c r="J614" s="150"/>
      <c r="L614" s="150"/>
    </row>
    <row r="615" spans="1:12" ht="15.75">
      <c r="A615" s="149"/>
      <c r="B615" s="164"/>
      <c r="C615" s="149"/>
      <c r="E615" s="150"/>
      <c r="F615" s="150"/>
      <c r="G615" s="150"/>
      <c r="H615" s="150"/>
      <c r="I615" s="150"/>
      <c r="J615" s="150"/>
      <c r="L615" s="150"/>
    </row>
    <row r="616" spans="1:12" ht="15.75">
      <c r="A616" s="149"/>
      <c r="B616" s="164"/>
      <c r="C616" s="149"/>
      <c r="E616" s="150"/>
      <c r="F616" s="150"/>
      <c r="G616" s="150"/>
      <c r="H616" s="150"/>
      <c r="I616" s="150"/>
      <c r="J616" s="150"/>
      <c r="L616" s="150"/>
    </row>
    <row r="617" spans="1:12" ht="15.75">
      <c r="A617" s="149"/>
      <c r="B617" s="164"/>
      <c r="C617" s="149"/>
      <c r="E617" s="150"/>
      <c r="F617" s="150"/>
      <c r="G617" s="150"/>
      <c r="H617" s="150"/>
      <c r="I617" s="150"/>
      <c r="J617" s="150"/>
      <c r="L617" s="150"/>
    </row>
    <row r="618" spans="1:12" ht="15.75">
      <c r="A618" s="149"/>
      <c r="B618" s="164"/>
      <c r="C618" s="149"/>
      <c r="E618" s="150"/>
      <c r="F618" s="150"/>
      <c r="G618" s="150"/>
      <c r="H618" s="150"/>
      <c r="I618" s="150"/>
      <c r="J618" s="150"/>
      <c r="L618" s="150"/>
    </row>
    <row r="619" spans="1:12" ht="15.75">
      <c r="A619" s="149"/>
      <c r="B619" s="164"/>
      <c r="C619" s="149"/>
      <c r="E619" s="150"/>
      <c r="F619" s="150"/>
      <c r="G619" s="150"/>
      <c r="H619" s="150"/>
      <c r="I619" s="150"/>
      <c r="J619" s="150"/>
      <c r="L619" s="150"/>
    </row>
    <row r="620" spans="1:12" ht="15.75">
      <c r="A620" s="149"/>
      <c r="B620" s="164"/>
      <c r="C620" s="149"/>
      <c r="E620" s="150"/>
      <c r="F620" s="150"/>
      <c r="G620" s="150"/>
      <c r="H620" s="150"/>
      <c r="I620" s="150"/>
      <c r="J620" s="150"/>
      <c r="L620" s="150"/>
    </row>
    <row r="621" spans="1:12" ht="15.75">
      <c r="A621" s="149"/>
      <c r="B621" s="164"/>
      <c r="C621" s="149"/>
      <c r="E621" s="150"/>
      <c r="F621" s="150"/>
      <c r="G621" s="150"/>
      <c r="H621" s="150"/>
      <c r="I621" s="150"/>
      <c r="J621" s="150"/>
      <c r="L621" s="150"/>
    </row>
    <row r="622" spans="1:12" ht="15.75">
      <c r="A622" s="149"/>
      <c r="B622" s="164"/>
      <c r="C622" s="149"/>
      <c r="E622" s="150"/>
      <c r="F622" s="150"/>
      <c r="G622" s="150"/>
      <c r="H622" s="150"/>
      <c r="I622" s="150"/>
      <c r="J622" s="150"/>
      <c r="L622" s="150"/>
    </row>
    <row r="623" spans="1:12" ht="15.75">
      <c r="A623" s="149"/>
      <c r="B623" s="164"/>
      <c r="C623" s="149"/>
      <c r="E623" s="150"/>
      <c r="F623" s="150"/>
      <c r="G623" s="150"/>
      <c r="H623" s="150"/>
      <c r="I623" s="150"/>
      <c r="J623" s="150"/>
      <c r="L623" s="150"/>
    </row>
    <row r="624" spans="1:12" ht="15.75">
      <c r="A624" s="149"/>
      <c r="B624" s="164"/>
      <c r="C624" s="149"/>
      <c r="E624" s="150"/>
      <c r="F624" s="150"/>
      <c r="G624" s="150"/>
      <c r="H624" s="150"/>
      <c r="I624" s="150"/>
      <c r="J624" s="150"/>
      <c r="L624" s="150"/>
    </row>
    <row r="625" spans="1:12" ht="15.75">
      <c r="A625" s="149"/>
      <c r="B625" s="164"/>
      <c r="C625" s="149"/>
      <c r="E625" s="150"/>
      <c r="F625" s="150"/>
      <c r="G625" s="150"/>
      <c r="H625" s="150"/>
      <c r="I625" s="150"/>
      <c r="J625" s="150"/>
      <c r="L625" s="150"/>
    </row>
    <row r="626" spans="1:12" ht="15.75">
      <c r="A626" s="149"/>
      <c r="B626" s="164"/>
      <c r="C626" s="149"/>
      <c r="E626" s="150"/>
      <c r="F626" s="150"/>
      <c r="G626" s="150"/>
      <c r="H626" s="150"/>
      <c r="I626" s="150"/>
      <c r="J626" s="150"/>
      <c r="L626" s="150"/>
    </row>
    <row r="627" spans="1:12" ht="15.75">
      <c r="A627" s="149"/>
      <c r="B627" s="164"/>
      <c r="C627" s="149"/>
      <c r="E627" s="150"/>
      <c r="F627" s="150"/>
      <c r="G627" s="150"/>
      <c r="H627" s="150"/>
      <c r="I627" s="150"/>
      <c r="J627" s="150"/>
      <c r="L627" s="150"/>
    </row>
    <row r="628" spans="1:12" ht="15.75">
      <c r="A628" s="149"/>
      <c r="B628" s="164"/>
      <c r="C628" s="149"/>
      <c r="E628" s="150"/>
      <c r="F628" s="150"/>
      <c r="G628" s="150"/>
      <c r="H628" s="150"/>
      <c r="I628" s="150"/>
      <c r="J628" s="150"/>
      <c r="L628" s="150"/>
    </row>
    <row r="629" spans="1:12" ht="15.75">
      <c r="A629" s="149"/>
      <c r="B629" s="164"/>
      <c r="C629" s="149"/>
      <c r="E629" s="150"/>
      <c r="F629" s="150"/>
      <c r="G629" s="150"/>
      <c r="H629" s="150"/>
      <c r="I629" s="150"/>
      <c r="J629" s="150"/>
      <c r="L629" s="150"/>
    </row>
    <row r="630" spans="1:12" ht="15.75">
      <c r="A630" s="149"/>
      <c r="B630" s="164"/>
      <c r="C630" s="149"/>
      <c r="E630" s="150"/>
      <c r="F630" s="150"/>
      <c r="G630" s="150"/>
      <c r="H630" s="150"/>
      <c r="I630" s="150"/>
      <c r="J630" s="150"/>
      <c r="L630" s="150"/>
    </row>
    <row r="631" spans="1:12" ht="15.75">
      <c r="A631" s="149"/>
      <c r="B631" s="164"/>
      <c r="C631" s="149"/>
      <c r="E631" s="150"/>
      <c r="F631" s="150"/>
      <c r="G631" s="150"/>
      <c r="H631" s="150"/>
      <c r="I631" s="150"/>
      <c r="J631" s="150"/>
      <c r="L631" s="150"/>
    </row>
    <row r="632" spans="1:12" ht="15.75">
      <c r="A632" s="149"/>
      <c r="B632" s="164"/>
      <c r="C632" s="149"/>
      <c r="E632" s="150"/>
      <c r="F632" s="150"/>
      <c r="G632" s="150"/>
      <c r="H632" s="150"/>
      <c r="I632" s="150"/>
      <c r="J632" s="150"/>
      <c r="L632" s="150"/>
    </row>
    <row r="633" spans="1:12" ht="15.75">
      <c r="A633" s="149"/>
      <c r="B633" s="164"/>
      <c r="C633" s="149"/>
      <c r="E633" s="150"/>
      <c r="F633" s="150"/>
      <c r="G633" s="150"/>
      <c r="H633" s="150"/>
      <c r="I633" s="150"/>
      <c r="J633" s="150"/>
      <c r="L633" s="150"/>
    </row>
    <row r="634" spans="1:12" ht="15.75">
      <c r="A634" s="149"/>
      <c r="B634" s="164"/>
      <c r="C634" s="149"/>
      <c r="E634" s="150"/>
      <c r="F634" s="150"/>
      <c r="G634" s="150"/>
      <c r="H634" s="150"/>
      <c r="I634" s="150"/>
      <c r="J634" s="150"/>
      <c r="L634" s="150"/>
    </row>
    <row r="635" spans="1:12" ht="15.75">
      <c r="A635" s="149"/>
      <c r="B635" s="164"/>
      <c r="C635" s="149"/>
      <c r="E635" s="150"/>
      <c r="F635" s="150"/>
      <c r="G635" s="150"/>
      <c r="H635" s="150"/>
      <c r="I635" s="150"/>
      <c r="J635" s="150"/>
      <c r="L635" s="150"/>
    </row>
    <row r="636" spans="1:12" ht="15.75">
      <c r="A636" s="149"/>
      <c r="B636" s="164"/>
      <c r="C636" s="149"/>
      <c r="E636" s="150"/>
      <c r="F636" s="150"/>
      <c r="G636" s="150"/>
      <c r="H636" s="150"/>
      <c r="I636" s="150"/>
      <c r="J636" s="150"/>
      <c r="L636" s="150"/>
    </row>
    <row r="637" spans="1:12" ht="15.75">
      <c r="A637" s="149"/>
      <c r="B637" s="164"/>
      <c r="C637" s="149"/>
      <c r="E637" s="150"/>
      <c r="F637" s="150"/>
      <c r="G637" s="150"/>
      <c r="H637" s="150"/>
      <c r="I637" s="150"/>
      <c r="J637" s="150"/>
      <c r="L637" s="150"/>
    </row>
    <row r="638" spans="1:12" ht="15.75">
      <c r="A638" s="149"/>
      <c r="B638" s="164"/>
      <c r="C638" s="149"/>
      <c r="E638" s="150"/>
      <c r="F638" s="150"/>
      <c r="G638" s="150"/>
      <c r="H638" s="150"/>
      <c r="I638" s="150"/>
      <c r="J638" s="150"/>
      <c r="L638" s="150"/>
    </row>
    <row r="639" spans="1:12" ht="15.75">
      <c r="A639" s="149"/>
      <c r="B639" s="164"/>
      <c r="C639" s="149"/>
      <c r="E639" s="150"/>
      <c r="F639" s="150"/>
      <c r="G639" s="150"/>
      <c r="H639" s="150"/>
      <c r="I639" s="150"/>
      <c r="J639" s="150"/>
      <c r="L639" s="150"/>
    </row>
    <row r="640" spans="1:12" ht="15.75">
      <c r="A640" s="149"/>
      <c r="B640" s="164"/>
      <c r="C640" s="149"/>
      <c r="E640" s="150"/>
      <c r="F640" s="150"/>
      <c r="G640" s="150"/>
      <c r="H640" s="150"/>
      <c r="I640" s="150"/>
      <c r="J640" s="150"/>
      <c r="L640" s="150"/>
    </row>
    <row r="641" spans="1:12" ht="15.75">
      <c r="A641" s="149"/>
      <c r="B641" s="164"/>
      <c r="C641" s="149"/>
      <c r="E641" s="150"/>
      <c r="F641" s="150"/>
      <c r="G641" s="150"/>
      <c r="H641" s="150"/>
      <c r="I641" s="150"/>
      <c r="J641" s="150"/>
      <c r="L641" s="150"/>
    </row>
    <row r="642" spans="1:12" ht="15.75">
      <c r="A642" s="149"/>
      <c r="B642" s="164"/>
      <c r="C642" s="149"/>
      <c r="E642" s="150"/>
      <c r="F642" s="150"/>
      <c r="G642" s="150"/>
      <c r="H642" s="150"/>
      <c r="I642" s="150"/>
      <c r="J642" s="150"/>
      <c r="L642" s="150"/>
    </row>
    <row r="643" spans="1:12" ht="15.75">
      <c r="A643" s="149"/>
      <c r="B643" s="164"/>
      <c r="C643" s="149"/>
      <c r="E643" s="150"/>
      <c r="F643" s="150"/>
      <c r="G643" s="150"/>
      <c r="H643" s="150"/>
      <c r="I643" s="150"/>
      <c r="J643" s="150"/>
      <c r="L643" s="150"/>
    </row>
    <row r="644" spans="1:12" ht="15.75">
      <c r="A644" s="149"/>
      <c r="B644" s="164"/>
      <c r="C644" s="149"/>
      <c r="E644" s="150"/>
      <c r="F644" s="150"/>
      <c r="G644" s="150"/>
      <c r="H644" s="150"/>
      <c r="I644" s="150"/>
      <c r="J644" s="150"/>
      <c r="L644" s="150"/>
    </row>
    <row r="645" spans="1:12" ht="15.75">
      <c r="A645" s="149"/>
      <c r="B645" s="164"/>
      <c r="C645" s="149"/>
      <c r="E645" s="150"/>
      <c r="F645" s="150"/>
      <c r="G645" s="150"/>
      <c r="H645" s="150"/>
      <c r="I645" s="150"/>
      <c r="J645" s="150"/>
      <c r="L645" s="150"/>
    </row>
    <row r="646" spans="1:12" ht="15.75">
      <c r="A646" s="149"/>
      <c r="B646" s="164"/>
      <c r="C646" s="149"/>
      <c r="E646" s="150"/>
      <c r="F646" s="150"/>
      <c r="G646" s="150"/>
      <c r="H646" s="150"/>
      <c r="I646" s="150"/>
      <c r="J646" s="150"/>
      <c r="L646" s="150"/>
    </row>
    <row r="647" spans="1:12" ht="15.75">
      <c r="A647" s="149"/>
      <c r="B647" s="164"/>
      <c r="C647" s="149"/>
      <c r="E647" s="150"/>
      <c r="F647" s="150"/>
      <c r="G647" s="150"/>
      <c r="H647" s="150"/>
      <c r="I647" s="150"/>
      <c r="J647" s="150"/>
      <c r="L647" s="150"/>
    </row>
    <row r="648" spans="1:12" ht="15.75">
      <c r="A648" s="149"/>
      <c r="B648" s="164"/>
      <c r="C648" s="149"/>
      <c r="E648" s="150"/>
      <c r="F648" s="150"/>
      <c r="G648" s="150"/>
      <c r="H648" s="150"/>
      <c r="I648" s="150"/>
      <c r="J648" s="150"/>
      <c r="L648" s="150"/>
    </row>
    <row r="649" spans="1:12" ht="15.75">
      <c r="A649" s="149"/>
      <c r="B649" s="164"/>
      <c r="C649" s="149"/>
      <c r="E649" s="150"/>
      <c r="F649" s="150"/>
      <c r="G649" s="150"/>
      <c r="H649" s="150"/>
      <c r="I649" s="150"/>
      <c r="J649" s="150"/>
      <c r="L649" s="150"/>
    </row>
    <row r="650" spans="1:12" ht="15.75">
      <c r="A650" s="149"/>
      <c r="B650" s="164"/>
      <c r="C650" s="149"/>
      <c r="E650" s="150"/>
      <c r="F650" s="150"/>
      <c r="G650" s="150"/>
      <c r="H650" s="150"/>
      <c r="I650" s="150"/>
      <c r="J650" s="150"/>
      <c r="L650" s="150"/>
    </row>
    <row r="651" spans="1:12" ht="15.75">
      <c r="A651" s="149"/>
      <c r="B651" s="164"/>
      <c r="C651" s="149"/>
      <c r="E651" s="150"/>
      <c r="F651" s="150"/>
      <c r="G651" s="150"/>
      <c r="H651" s="150"/>
      <c r="I651" s="150"/>
      <c r="J651" s="150"/>
      <c r="L651" s="150"/>
    </row>
    <row r="652" spans="1:12" ht="15.75">
      <c r="A652" s="149"/>
      <c r="B652" s="164"/>
      <c r="C652" s="149"/>
      <c r="E652" s="150"/>
      <c r="F652" s="150"/>
      <c r="G652" s="150"/>
      <c r="H652" s="150"/>
      <c r="I652" s="150"/>
      <c r="J652" s="150"/>
      <c r="L652" s="150"/>
    </row>
    <row r="653" spans="1:12" ht="15.75">
      <c r="A653" s="149"/>
      <c r="B653" s="164"/>
      <c r="C653" s="149"/>
      <c r="E653" s="150"/>
      <c r="F653" s="150"/>
      <c r="G653" s="150"/>
      <c r="H653" s="150"/>
      <c r="I653" s="150"/>
      <c r="J653" s="150"/>
      <c r="L653" s="150"/>
    </row>
    <row r="654" spans="1:12" ht="15.75">
      <c r="A654" s="149"/>
      <c r="B654" s="164"/>
      <c r="C654" s="149"/>
      <c r="E654" s="150"/>
      <c r="F654" s="150"/>
      <c r="G654" s="150"/>
      <c r="H654" s="150"/>
      <c r="I654" s="150"/>
      <c r="J654" s="150"/>
      <c r="L654" s="150"/>
    </row>
    <row r="655" spans="1:12" ht="15.75">
      <c r="A655" s="149"/>
      <c r="B655" s="164"/>
      <c r="C655" s="149"/>
      <c r="E655" s="150"/>
      <c r="F655" s="150"/>
      <c r="G655" s="150"/>
      <c r="H655" s="150"/>
      <c r="I655" s="150"/>
      <c r="J655" s="150"/>
      <c r="L655" s="150"/>
    </row>
    <row r="656" spans="1:12" ht="15.75">
      <c r="A656" s="149"/>
      <c r="B656" s="164"/>
      <c r="C656" s="149"/>
      <c r="E656" s="150"/>
      <c r="F656" s="150"/>
      <c r="G656" s="150"/>
      <c r="H656" s="150"/>
      <c r="I656" s="150"/>
      <c r="J656" s="150"/>
      <c r="L656" s="150"/>
    </row>
    <row r="657" spans="1:12" ht="15.75">
      <c r="A657" s="149"/>
      <c r="B657" s="164"/>
      <c r="C657" s="149"/>
      <c r="E657" s="150"/>
      <c r="F657" s="150"/>
      <c r="G657" s="150"/>
      <c r="H657" s="150"/>
      <c r="I657" s="150"/>
      <c r="J657" s="150"/>
      <c r="L657" s="150"/>
    </row>
    <row r="658" spans="1:12" ht="15.75">
      <c r="A658" s="149"/>
      <c r="B658" s="164"/>
      <c r="C658" s="149"/>
      <c r="E658" s="150"/>
      <c r="F658" s="150"/>
      <c r="G658" s="150"/>
      <c r="H658" s="150"/>
      <c r="I658" s="150"/>
      <c r="J658" s="150"/>
      <c r="L658" s="150"/>
    </row>
    <row r="659" spans="1:12" ht="15.75">
      <c r="A659" s="149"/>
      <c r="B659" s="164"/>
      <c r="C659" s="149"/>
      <c r="E659" s="150"/>
      <c r="F659" s="150"/>
      <c r="G659" s="150"/>
      <c r="H659" s="150"/>
      <c r="I659" s="150"/>
      <c r="J659" s="150"/>
      <c r="L659" s="150"/>
    </row>
    <row r="660" spans="1:12" ht="15.75">
      <c r="A660" s="149"/>
      <c r="B660" s="164"/>
      <c r="C660" s="149"/>
      <c r="E660" s="150"/>
      <c r="F660" s="150"/>
      <c r="G660" s="150"/>
      <c r="H660" s="150"/>
      <c r="I660" s="150"/>
      <c r="J660" s="150"/>
      <c r="L660" s="150"/>
    </row>
    <row r="661" spans="1:12" ht="15.75">
      <c r="A661" s="149"/>
      <c r="B661" s="164"/>
      <c r="C661" s="149"/>
      <c r="E661" s="150"/>
      <c r="F661" s="150"/>
      <c r="G661" s="150"/>
      <c r="H661" s="150"/>
      <c r="I661" s="150"/>
      <c r="J661" s="150"/>
      <c r="L661" s="150"/>
    </row>
    <row r="662" spans="1:12" ht="15.75">
      <c r="A662" s="149"/>
      <c r="B662" s="164"/>
      <c r="C662" s="149"/>
      <c r="E662" s="150"/>
      <c r="F662" s="150"/>
      <c r="G662" s="150"/>
      <c r="H662" s="150"/>
      <c r="I662" s="150"/>
      <c r="J662" s="150"/>
      <c r="L662" s="150"/>
    </row>
    <row r="663" spans="1:12" ht="15.75">
      <c r="A663" s="149"/>
      <c r="B663" s="164"/>
      <c r="C663" s="149"/>
      <c r="E663" s="150"/>
      <c r="F663" s="150"/>
      <c r="G663" s="150"/>
      <c r="H663" s="150"/>
      <c r="I663" s="150"/>
      <c r="J663" s="150"/>
      <c r="L663" s="150"/>
    </row>
    <row r="664" spans="1:12" ht="15.75">
      <c r="A664" s="149"/>
      <c r="B664" s="164"/>
      <c r="C664" s="149"/>
      <c r="E664" s="150"/>
      <c r="F664" s="150"/>
      <c r="G664" s="150"/>
      <c r="H664" s="150"/>
      <c r="I664" s="150"/>
      <c r="J664" s="150"/>
      <c r="L664" s="150"/>
    </row>
    <row r="665" spans="1:12" ht="15.75">
      <c r="A665" s="149"/>
      <c r="B665" s="164"/>
      <c r="C665" s="149"/>
      <c r="E665" s="150"/>
      <c r="F665" s="150"/>
      <c r="G665" s="150"/>
      <c r="H665" s="150"/>
      <c r="I665" s="150"/>
      <c r="J665" s="150"/>
      <c r="L665" s="150"/>
    </row>
    <row r="666" spans="1:12" ht="15.75">
      <c r="A666" s="149"/>
      <c r="B666" s="164"/>
      <c r="C666" s="149"/>
      <c r="E666" s="150"/>
      <c r="F666" s="150"/>
      <c r="G666" s="150"/>
      <c r="H666" s="150"/>
      <c r="I666" s="150"/>
      <c r="J666" s="150"/>
      <c r="L666" s="150"/>
    </row>
    <row r="667" spans="1:12" ht="15.75">
      <c r="A667" s="149"/>
      <c r="B667" s="164"/>
      <c r="C667" s="149"/>
      <c r="E667" s="150"/>
      <c r="F667" s="150"/>
      <c r="G667" s="150"/>
      <c r="H667" s="150"/>
      <c r="I667" s="150"/>
      <c r="J667" s="150"/>
      <c r="L667" s="150"/>
    </row>
    <row r="668" spans="1:12" ht="15.75">
      <c r="A668" s="149"/>
      <c r="B668" s="164"/>
      <c r="C668" s="149"/>
      <c r="E668" s="150"/>
      <c r="F668" s="150"/>
      <c r="G668" s="150"/>
      <c r="H668" s="150"/>
      <c r="I668" s="150"/>
      <c r="J668" s="150"/>
      <c r="L668" s="150"/>
    </row>
    <row r="669" spans="1:12" ht="15.75">
      <c r="A669" s="149"/>
      <c r="B669" s="164"/>
      <c r="C669" s="149"/>
      <c r="E669" s="150"/>
      <c r="F669" s="150"/>
      <c r="G669" s="150"/>
      <c r="H669" s="150"/>
      <c r="I669" s="150"/>
      <c r="J669" s="150"/>
      <c r="L669" s="150"/>
    </row>
    <row r="670" spans="1:12" ht="15.75">
      <c r="A670" s="149"/>
      <c r="B670" s="164"/>
      <c r="C670" s="149"/>
      <c r="E670" s="150"/>
      <c r="F670" s="150"/>
      <c r="G670" s="150"/>
      <c r="H670" s="150"/>
      <c r="I670" s="150"/>
      <c r="J670" s="150"/>
      <c r="L670" s="150"/>
    </row>
    <row r="671" spans="1:12" ht="15.75">
      <c r="A671" s="149"/>
      <c r="B671" s="164"/>
      <c r="C671" s="149"/>
      <c r="E671" s="150"/>
      <c r="F671" s="150"/>
      <c r="G671" s="150"/>
      <c r="H671" s="150"/>
      <c r="I671" s="150"/>
      <c r="J671" s="150"/>
      <c r="L671" s="150"/>
    </row>
    <row r="672" spans="1:12" ht="15.75">
      <c r="A672" s="149"/>
      <c r="B672" s="164"/>
      <c r="C672" s="149"/>
      <c r="E672" s="150"/>
      <c r="F672" s="150"/>
      <c r="G672" s="150"/>
      <c r="H672" s="150"/>
      <c r="I672" s="150"/>
      <c r="J672" s="150"/>
      <c r="L672" s="150"/>
    </row>
    <row r="673" spans="1:12" ht="15.75">
      <c r="A673" s="149"/>
      <c r="B673" s="164"/>
      <c r="C673" s="149"/>
      <c r="E673" s="150"/>
      <c r="F673" s="150"/>
      <c r="G673" s="150"/>
      <c r="H673" s="150"/>
      <c r="I673" s="150"/>
      <c r="J673" s="150"/>
      <c r="L673" s="150"/>
    </row>
    <row r="674" spans="1:12" ht="15.75">
      <c r="A674" s="149"/>
      <c r="B674" s="164"/>
      <c r="C674" s="149"/>
      <c r="E674" s="150"/>
      <c r="F674" s="150"/>
      <c r="G674" s="150"/>
      <c r="H674" s="150"/>
      <c r="I674" s="150"/>
      <c r="J674" s="150"/>
      <c r="L674" s="150"/>
    </row>
    <row r="675" spans="1:12" ht="15.75">
      <c r="A675" s="149"/>
      <c r="B675" s="164"/>
      <c r="C675" s="149"/>
      <c r="E675" s="150"/>
      <c r="F675" s="150"/>
      <c r="G675" s="150"/>
      <c r="H675" s="150"/>
      <c r="I675" s="150"/>
      <c r="J675" s="150"/>
      <c r="L675" s="150"/>
    </row>
    <row r="676" spans="1:12" ht="15.75">
      <c r="A676" s="149"/>
      <c r="B676" s="164"/>
      <c r="C676" s="149"/>
      <c r="E676" s="150"/>
      <c r="F676" s="150"/>
      <c r="G676" s="150"/>
      <c r="H676" s="150"/>
      <c r="I676" s="150"/>
      <c r="J676" s="150"/>
      <c r="L676" s="150"/>
    </row>
    <row r="677" spans="1:12" ht="15.75">
      <c r="A677" s="149"/>
      <c r="B677" s="164"/>
      <c r="C677" s="149"/>
      <c r="E677" s="150"/>
      <c r="F677" s="150"/>
      <c r="G677" s="150"/>
      <c r="H677" s="150"/>
      <c r="I677" s="150"/>
      <c r="J677" s="150"/>
      <c r="L677" s="150"/>
    </row>
    <row r="678" spans="1:12" ht="15.75">
      <c r="A678" s="149"/>
      <c r="B678" s="164"/>
      <c r="C678" s="149"/>
      <c r="E678" s="150"/>
      <c r="F678" s="150"/>
      <c r="G678" s="150"/>
      <c r="H678" s="150"/>
      <c r="I678" s="150"/>
      <c r="J678" s="150"/>
      <c r="L678" s="150"/>
    </row>
    <row r="679" spans="1:12" ht="15.75">
      <c r="A679" s="149"/>
      <c r="B679" s="164"/>
      <c r="C679" s="149"/>
      <c r="E679" s="150"/>
      <c r="F679" s="150"/>
      <c r="G679" s="150"/>
      <c r="H679" s="150"/>
      <c r="I679" s="150"/>
      <c r="J679" s="150"/>
      <c r="L679" s="150"/>
    </row>
    <row r="680" spans="1:12" ht="15.75">
      <c r="A680" s="149"/>
      <c r="B680" s="164"/>
      <c r="C680" s="149"/>
      <c r="E680" s="150"/>
      <c r="F680" s="150"/>
      <c r="G680" s="150"/>
      <c r="H680" s="150"/>
      <c r="I680" s="150"/>
      <c r="J680" s="150"/>
      <c r="L680" s="150"/>
    </row>
    <row r="681" spans="1:12" ht="15.75">
      <c r="A681" s="149"/>
      <c r="B681" s="164"/>
      <c r="C681" s="149"/>
      <c r="E681" s="150"/>
      <c r="F681" s="150"/>
      <c r="G681" s="150"/>
      <c r="H681" s="150"/>
      <c r="I681" s="150"/>
      <c r="J681" s="150"/>
      <c r="L681" s="150"/>
    </row>
    <row r="682" spans="1:12" ht="15.75">
      <c r="A682" s="149"/>
      <c r="B682" s="164"/>
      <c r="C682" s="149"/>
      <c r="E682" s="150"/>
      <c r="F682" s="150"/>
      <c r="G682" s="150"/>
      <c r="H682" s="150"/>
      <c r="I682" s="150"/>
      <c r="J682" s="150"/>
      <c r="L682" s="150"/>
    </row>
    <row r="683" spans="1:12" ht="15.75">
      <c r="A683" s="149"/>
      <c r="B683" s="164"/>
      <c r="C683" s="149"/>
      <c r="E683" s="150"/>
      <c r="F683" s="150"/>
      <c r="G683" s="150"/>
      <c r="H683" s="150"/>
      <c r="I683" s="150"/>
      <c r="J683" s="150"/>
      <c r="L683" s="150"/>
    </row>
    <row r="684" spans="1:12" ht="15.75">
      <c r="A684" s="149"/>
      <c r="B684" s="164"/>
      <c r="C684" s="149"/>
      <c r="E684" s="150"/>
      <c r="F684" s="150"/>
      <c r="G684" s="150"/>
      <c r="H684" s="150"/>
      <c r="I684" s="150"/>
      <c r="J684" s="150"/>
      <c r="L684" s="150"/>
    </row>
    <row r="685" spans="1:12" ht="15.75">
      <c r="A685" s="149"/>
      <c r="B685" s="164"/>
      <c r="C685" s="149"/>
      <c r="E685" s="150"/>
      <c r="F685" s="150"/>
      <c r="G685" s="150"/>
      <c r="H685" s="150"/>
      <c r="I685" s="150"/>
      <c r="J685" s="150"/>
      <c r="L685" s="150"/>
    </row>
    <row r="686" spans="1:12" ht="15.75">
      <c r="A686" s="149"/>
      <c r="B686" s="164"/>
      <c r="C686" s="149"/>
      <c r="E686" s="150"/>
      <c r="F686" s="150"/>
      <c r="G686" s="150"/>
      <c r="H686" s="150"/>
      <c r="I686" s="150"/>
      <c r="J686" s="150"/>
      <c r="L686" s="150"/>
    </row>
    <row r="687" spans="1:12" ht="15.75">
      <c r="A687" s="149"/>
      <c r="B687" s="164"/>
      <c r="C687" s="149"/>
      <c r="E687" s="150"/>
      <c r="F687" s="150"/>
      <c r="G687" s="150"/>
      <c r="H687" s="150"/>
      <c r="I687" s="150"/>
      <c r="J687" s="150"/>
      <c r="L687" s="150"/>
    </row>
    <row r="688" spans="1:12" ht="15.75">
      <c r="A688" s="149"/>
      <c r="B688" s="164"/>
      <c r="C688" s="149"/>
      <c r="E688" s="150"/>
      <c r="F688" s="150"/>
      <c r="G688" s="150"/>
      <c r="H688" s="150"/>
      <c r="I688" s="150"/>
      <c r="J688" s="150"/>
      <c r="L688" s="150"/>
    </row>
    <row r="689" spans="1:12" ht="15.75">
      <c r="A689" s="149"/>
      <c r="B689" s="164"/>
      <c r="C689" s="149"/>
      <c r="E689" s="150"/>
      <c r="F689" s="150"/>
      <c r="G689" s="150"/>
      <c r="H689" s="150"/>
      <c r="I689" s="150"/>
      <c r="J689" s="150"/>
      <c r="L689" s="150"/>
    </row>
    <row r="690" spans="1:12" ht="15.75">
      <c r="A690" s="149"/>
      <c r="B690" s="164"/>
      <c r="C690" s="149"/>
      <c r="E690" s="150"/>
      <c r="F690" s="150"/>
      <c r="G690" s="150"/>
      <c r="H690" s="150"/>
      <c r="I690" s="150"/>
      <c r="J690" s="150"/>
      <c r="L690" s="150"/>
    </row>
    <row r="691" spans="1:12" ht="15.75">
      <c r="A691" s="149"/>
      <c r="B691" s="164"/>
      <c r="C691" s="149"/>
      <c r="E691" s="150"/>
      <c r="F691" s="150"/>
      <c r="G691" s="150"/>
      <c r="H691" s="150"/>
      <c r="I691" s="150"/>
      <c r="J691" s="150"/>
      <c r="L691" s="150"/>
    </row>
    <row r="692" spans="1:12" ht="15.75">
      <c r="A692" s="149"/>
      <c r="B692" s="164"/>
      <c r="C692" s="149"/>
      <c r="E692" s="150"/>
      <c r="F692" s="150"/>
      <c r="G692" s="150"/>
      <c r="H692" s="150"/>
      <c r="I692" s="150"/>
      <c r="J692" s="150"/>
      <c r="L692" s="150"/>
    </row>
    <row r="693" spans="1:12" ht="15.75">
      <c r="A693" s="149"/>
      <c r="B693" s="164"/>
      <c r="C693" s="149"/>
      <c r="E693" s="150"/>
      <c r="F693" s="150"/>
      <c r="G693" s="150"/>
      <c r="H693" s="150"/>
      <c r="I693" s="150"/>
      <c r="J693" s="150"/>
      <c r="L693" s="150"/>
    </row>
    <row r="694" spans="1:12" ht="15.75">
      <c r="A694" s="149"/>
      <c r="B694" s="164"/>
      <c r="C694" s="149"/>
      <c r="E694" s="150"/>
      <c r="F694" s="150"/>
      <c r="G694" s="150"/>
      <c r="H694" s="150"/>
      <c r="I694" s="150"/>
      <c r="J694" s="150"/>
      <c r="L694" s="150"/>
    </row>
    <row r="695" spans="1:12" ht="15.75">
      <c r="A695" s="149"/>
      <c r="B695" s="164"/>
      <c r="C695" s="149"/>
      <c r="E695" s="150"/>
      <c r="F695" s="150"/>
      <c r="G695" s="150"/>
      <c r="H695" s="150"/>
      <c r="I695" s="150"/>
      <c r="J695" s="150"/>
      <c r="L695" s="150"/>
    </row>
    <row r="696" spans="1:12" ht="15.75">
      <c r="A696" s="149"/>
      <c r="B696" s="164"/>
      <c r="C696" s="149"/>
      <c r="E696" s="150"/>
      <c r="F696" s="150"/>
      <c r="G696" s="150"/>
      <c r="H696" s="150"/>
      <c r="I696" s="150"/>
      <c r="J696" s="150"/>
      <c r="L696" s="150"/>
    </row>
    <row r="697" spans="1:12" ht="15.75">
      <c r="A697" s="149"/>
      <c r="B697" s="164"/>
      <c r="C697" s="149"/>
      <c r="E697" s="150"/>
      <c r="F697" s="150"/>
      <c r="G697" s="150"/>
      <c r="H697" s="150"/>
      <c r="I697" s="150"/>
      <c r="J697" s="150"/>
      <c r="L697" s="150"/>
    </row>
    <row r="698" spans="1:12" ht="15.75">
      <c r="A698" s="149"/>
      <c r="B698" s="164"/>
      <c r="C698" s="149"/>
      <c r="E698" s="150"/>
      <c r="F698" s="150"/>
      <c r="G698" s="150"/>
      <c r="H698" s="150"/>
      <c r="I698" s="150"/>
      <c r="J698" s="150"/>
      <c r="L698" s="150"/>
    </row>
    <row r="699" spans="1:12" ht="15.75">
      <c r="A699" s="149"/>
      <c r="B699" s="164"/>
      <c r="C699" s="149"/>
      <c r="E699" s="150"/>
      <c r="F699" s="150"/>
      <c r="G699" s="150"/>
      <c r="H699" s="150"/>
      <c r="I699" s="150"/>
      <c r="J699" s="150"/>
      <c r="L699" s="150"/>
    </row>
    <row r="700" spans="1:12" ht="15.75">
      <c r="A700" s="149"/>
      <c r="B700" s="164"/>
      <c r="C700" s="149"/>
      <c r="E700" s="150"/>
      <c r="F700" s="150"/>
      <c r="G700" s="150"/>
      <c r="H700" s="150"/>
      <c r="I700" s="150"/>
      <c r="J700" s="150"/>
      <c r="L700" s="150"/>
    </row>
    <row r="701" spans="1:12" ht="15.75">
      <c r="A701" s="149"/>
      <c r="B701" s="164"/>
      <c r="C701" s="149"/>
      <c r="E701" s="150"/>
      <c r="F701" s="150"/>
      <c r="G701" s="150"/>
      <c r="H701" s="150"/>
      <c r="I701" s="150"/>
      <c r="J701" s="150"/>
      <c r="L701" s="150"/>
    </row>
    <row r="702" spans="1:12" ht="15.75">
      <c r="A702" s="149"/>
      <c r="B702" s="164"/>
      <c r="C702" s="149"/>
      <c r="E702" s="150"/>
      <c r="F702" s="150"/>
      <c r="G702" s="150"/>
      <c r="H702" s="150"/>
      <c r="I702" s="150"/>
      <c r="J702" s="150"/>
      <c r="L702" s="150"/>
    </row>
    <row r="703" spans="1:12" ht="15.75">
      <c r="A703" s="149"/>
      <c r="B703" s="164"/>
      <c r="C703" s="149"/>
      <c r="E703" s="150"/>
      <c r="F703" s="150"/>
      <c r="G703" s="150"/>
      <c r="H703" s="150"/>
      <c r="I703" s="150"/>
      <c r="J703" s="150"/>
      <c r="L703" s="150"/>
    </row>
    <row r="704" spans="1:12" ht="15.75">
      <c r="A704" s="149"/>
      <c r="B704" s="164"/>
      <c r="C704" s="149"/>
      <c r="E704" s="150"/>
      <c r="F704" s="150"/>
      <c r="G704" s="150"/>
      <c r="H704" s="150"/>
      <c r="I704" s="150"/>
      <c r="J704" s="150"/>
      <c r="L704" s="150"/>
    </row>
    <row r="705" spans="1:12" ht="15.75">
      <c r="A705" s="149"/>
      <c r="B705" s="164"/>
      <c r="C705" s="149"/>
      <c r="E705" s="150"/>
      <c r="F705" s="150"/>
      <c r="G705" s="150"/>
      <c r="H705" s="150"/>
      <c r="I705" s="150"/>
      <c r="J705" s="150"/>
      <c r="L705" s="150"/>
    </row>
    <row r="706" spans="1:12" ht="15.75">
      <c r="A706" s="149"/>
      <c r="B706" s="164"/>
      <c r="C706" s="149"/>
      <c r="E706" s="150"/>
      <c r="F706" s="150"/>
      <c r="G706" s="150"/>
      <c r="H706" s="150"/>
      <c r="I706" s="150"/>
      <c r="J706" s="150"/>
      <c r="L706" s="150"/>
    </row>
    <row r="707" spans="1:12" ht="15.75">
      <c r="A707" s="149"/>
      <c r="B707" s="164"/>
      <c r="C707" s="149"/>
      <c r="E707" s="150"/>
      <c r="F707" s="150"/>
      <c r="G707" s="150"/>
      <c r="H707" s="150"/>
      <c r="I707" s="150"/>
      <c r="J707" s="150"/>
      <c r="L707" s="150"/>
    </row>
    <row r="708" spans="1:12" ht="15.75">
      <c r="A708" s="149"/>
      <c r="B708" s="164"/>
      <c r="C708" s="149"/>
      <c r="E708" s="150"/>
      <c r="F708" s="150"/>
      <c r="G708" s="150"/>
      <c r="H708" s="150"/>
      <c r="I708" s="150"/>
      <c r="J708" s="150"/>
      <c r="L708" s="150"/>
    </row>
    <row r="709" spans="1:12" ht="15.75">
      <c r="A709" s="149"/>
      <c r="B709" s="164"/>
      <c r="C709" s="149"/>
      <c r="E709" s="150"/>
      <c r="F709" s="150"/>
      <c r="G709" s="150"/>
      <c r="H709" s="150"/>
      <c r="I709" s="150"/>
      <c r="J709" s="150"/>
      <c r="L709" s="150"/>
    </row>
    <row r="710" spans="1:12" ht="15.75">
      <c r="A710" s="149"/>
      <c r="B710" s="164"/>
      <c r="C710" s="149"/>
      <c r="E710" s="150"/>
      <c r="F710" s="150"/>
      <c r="G710" s="150"/>
      <c r="H710" s="150"/>
      <c r="I710" s="150"/>
      <c r="J710" s="150"/>
      <c r="L710" s="150"/>
    </row>
    <row r="711" spans="1:12" ht="15.75">
      <c r="A711" s="149"/>
      <c r="B711" s="164"/>
      <c r="C711" s="149"/>
      <c r="E711" s="150"/>
      <c r="F711" s="150"/>
      <c r="G711" s="150"/>
      <c r="H711" s="150"/>
      <c r="I711" s="150"/>
      <c r="J711" s="150"/>
      <c r="L711" s="150"/>
    </row>
    <row r="712" spans="1:12" ht="15.75">
      <c r="A712" s="149"/>
      <c r="B712" s="164"/>
      <c r="C712" s="149"/>
      <c r="E712" s="150"/>
      <c r="F712" s="150"/>
      <c r="G712" s="150"/>
      <c r="H712" s="150"/>
      <c r="I712" s="150"/>
      <c r="J712" s="150"/>
      <c r="L712" s="150"/>
    </row>
    <row r="713" spans="1:12" ht="15.75">
      <c r="A713" s="149"/>
      <c r="B713" s="164"/>
      <c r="C713" s="149"/>
      <c r="E713" s="150"/>
      <c r="F713" s="150"/>
      <c r="G713" s="150"/>
      <c r="H713" s="150"/>
      <c r="I713" s="150"/>
      <c r="J713" s="150"/>
      <c r="L713" s="150"/>
    </row>
    <row r="714" spans="1:12" ht="15.75">
      <c r="A714" s="149"/>
      <c r="B714" s="164"/>
      <c r="C714" s="149"/>
      <c r="E714" s="150"/>
      <c r="F714" s="150"/>
      <c r="G714" s="150"/>
      <c r="H714" s="150"/>
      <c r="I714" s="150"/>
      <c r="J714" s="150"/>
      <c r="L714" s="150"/>
    </row>
    <row r="715" spans="1:12" ht="15.75">
      <c r="A715" s="149"/>
      <c r="B715" s="164"/>
      <c r="C715" s="149"/>
      <c r="E715" s="150"/>
      <c r="F715" s="150"/>
      <c r="G715" s="150"/>
      <c r="H715" s="150"/>
      <c r="I715" s="150"/>
      <c r="J715" s="150"/>
      <c r="L715" s="150"/>
    </row>
    <row r="716" spans="1:12" ht="15.75">
      <c r="A716" s="149"/>
      <c r="B716" s="164"/>
      <c r="C716" s="149"/>
      <c r="E716" s="150"/>
      <c r="F716" s="150"/>
      <c r="G716" s="150"/>
      <c r="H716" s="150"/>
      <c r="I716" s="150"/>
      <c r="J716" s="150"/>
      <c r="L716" s="150"/>
    </row>
    <row r="717" spans="1:12" ht="15.75">
      <c r="A717" s="149"/>
      <c r="B717" s="164"/>
      <c r="C717" s="149"/>
      <c r="E717" s="150"/>
      <c r="F717" s="150"/>
      <c r="G717" s="150"/>
      <c r="H717" s="150"/>
      <c r="I717" s="150"/>
      <c r="J717" s="150"/>
      <c r="L717" s="150"/>
    </row>
    <row r="718" spans="1:12" ht="15.75">
      <c r="A718" s="149"/>
      <c r="B718" s="164"/>
      <c r="C718" s="149"/>
      <c r="E718" s="150"/>
      <c r="F718" s="150"/>
      <c r="G718" s="150"/>
      <c r="H718" s="150"/>
      <c r="I718" s="150"/>
      <c r="J718" s="150"/>
      <c r="L718" s="150"/>
    </row>
    <row r="719" spans="1:12" ht="15.75">
      <c r="A719" s="149"/>
      <c r="B719" s="164"/>
      <c r="C719" s="149"/>
      <c r="E719" s="150"/>
      <c r="F719" s="150"/>
      <c r="G719" s="150"/>
      <c r="H719" s="150"/>
      <c r="I719" s="150"/>
      <c r="J719" s="150"/>
      <c r="L719" s="150"/>
    </row>
    <row r="720" spans="1:12" ht="15.75">
      <c r="A720" s="149"/>
      <c r="B720" s="164"/>
      <c r="C720" s="149"/>
      <c r="E720" s="150"/>
      <c r="F720" s="150"/>
      <c r="G720" s="150"/>
      <c r="H720" s="150"/>
      <c r="I720" s="150"/>
      <c r="J720" s="150"/>
      <c r="L720" s="150"/>
    </row>
    <row r="721" spans="1:12" ht="15.75">
      <c r="A721" s="149"/>
      <c r="B721" s="164"/>
      <c r="C721" s="149"/>
      <c r="E721" s="150"/>
      <c r="F721" s="150"/>
      <c r="G721" s="150"/>
      <c r="H721" s="150"/>
      <c r="I721" s="150"/>
      <c r="J721" s="150"/>
      <c r="L721" s="150"/>
    </row>
    <row r="722" spans="1:12" ht="15.75">
      <c r="A722" s="149"/>
      <c r="B722" s="164"/>
      <c r="C722" s="149"/>
      <c r="E722" s="150"/>
      <c r="F722" s="150"/>
      <c r="G722" s="150"/>
      <c r="H722" s="150"/>
      <c r="I722" s="150"/>
      <c r="J722" s="150"/>
      <c r="L722" s="150"/>
    </row>
    <row r="723" spans="1:12" ht="15.75">
      <c r="A723" s="149"/>
      <c r="B723" s="164"/>
      <c r="C723" s="149"/>
      <c r="E723" s="150"/>
      <c r="F723" s="150"/>
      <c r="G723" s="150"/>
      <c r="H723" s="150"/>
      <c r="I723" s="150"/>
      <c r="J723" s="150"/>
      <c r="L723" s="150"/>
    </row>
    <row r="724" spans="1:12" ht="15.75">
      <c r="A724" s="149"/>
      <c r="B724" s="164"/>
      <c r="C724" s="149"/>
      <c r="E724" s="150"/>
      <c r="F724" s="150"/>
      <c r="G724" s="150"/>
      <c r="H724" s="150"/>
      <c r="I724" s="150"/>
      <c r="J724" s="150"/>
      <c r="L724" s="150"/>
    </row>
    <row r="725" spans="1:12" ht="15.75">
      <c r="A725" s="149"/>
      <c r="B725" s="164"/>
      <c r="C725" s="149"/>
      <c r="E725" s="150"/>
      <c r="F725" s="150"/>
      <c r="G725" s="150"/>
      <c r="H725" s="150"/>
      <c r="I725" s="150"/>
      <c r="J725" s="150"/>
      <c r="L725" s="150"/>
    </row>
    <row r="726" spans="1:12" ht="15.75">
      <c r="A726" s="149"/>
      <c r="B726" s="164"/>
      <c r="C726" s="149"/>
      <c r="E726" s="150"/>
      <c r="F726" s="150"/>
      <c r="G726" s="150"/>
      <c r="H726" s="150"/>
      <c r="I726" s="150"/>
      <c r="J726" s="150"/>
      <c r="L726" s="150"/>
    </row>
    <row r="727" spans="1:12" ht="15.75">
      <c r="A727" s="149"/>
      <c r="B727" s="164"/>
      <c r="C727" s="149"/>
      <c r="E727" s="150"/>
      <c r="F727" s="150"/>
      <c r="G727" s="150"/>
      <c r="H727" s="150"/>
      <c r="I727" s="150"/>
      <c r="J727" s="150"/>
      <c r="L727" s="150"/>
    </row>
    <row r="728" spans="1:12" ht="15.75">
      <c r="A728" s="149"/>
      <c r="B728" s="164"/>
      <c r="C728" s="149"/>
      <c r="E728" s="150"/>
      <c r="F728" s="150"/>
      <c r="G728" s="150"/>
      <c r="H728" s="150"/>
      <c r="I728" s="150"/>
      <c r="J728" s="150"/>
      <c r="L728" s="150"/>
    </row>
    <row r="729" spans="1:12" ht="15.75">
      <c r="A729" s="149"/>
      <c r="B729" s="164"/>
      <c r="C729" s="149"/>
      <c r="E729" s="150"/>
      <c r="F729" s="150"/>
      <c r="G729" s="150"/>
      <c r="H729" s="150"/>
      <c r="I729" s="150"/>
      <c r="J729" s="150"/>
      <c r="L729" s="150"/>
    </row>
    <row r="730" spans="1:12" ht="15.75">
      <c r="A730" s="149"/>
      <c r="B730" s="164"/>
      <c r="C730" s="149"/>
      <c r="E730" s="150"/>
      <c r="F730" s="150"/>
      <c r="G730" s="150"/>
      <c r="H730" s="150"/>
      <c r="I730" s="150"/>
      <c r="J730" s="150"/>
      <c r="L730" s="150"/>
    </row>
    <row r="731" spans="1:12" ht="15.75">
      <c r="A731" s="149"/>
      <c r="B731" s="164"/>
      <c r="C731" s="149"/>
      <c r="E731" s="150"/>
      <c r="F731" s="150"/>
      <c r="G731" s="150"/>
      <c r="H731" s="150"/>
      <c r="I731" s="150"/>
      <c r="J731" s="150"/>
      <c r="L731" s="150"/>
    </row>
    <row r="732" spans="1:12" ht="15.75">
      <c r="A732" s="149"/>
      <c r="B732" s="164"/>
      <c r="C732" s="149"/>
      <c r="E732" s="150"/>
      <c r="F732" s="150"/>
      <c r="G732" s="150"/>
      <c r="H732" s="150"/>
      <c r="I732" s="150"/>
      <c r="J732" s="150"/>
      <c r="L732" s="150"/>
    </row>
    <row r="733" spans="1:12" ht="15.75">
      <c r="A733" s="149"/>
      <c r="B733" s="164"/>
      <c r="C733" s="149"/>
      <c r="E733" s="150"/>
      <c r="F733" s="150"/>
      <c r="G733" s="150"/>
      <c r="H733" s="150"/>
      <c r="I733" s="150"/>
      <c r="J733" s="150"/>
      <c r="L733" s="150"/>
    </row>
    <row r="734" spans="1:12" ht="15.75">
      <c r="A734" s="149"/>
      <c r="B734" s="164"/>
      <c r="C734" s="149"/>
      <c r="E734" s="150"/>
      <c r="F734" s="150"/>
      <c r="G734" s="150"/>
      <c r="H734" s="150"/>
      <c r="I734" s="150"/>
      <c r="J734" s="150"/>
      <c r="L734" s="150"/>
    </row>
    <row r="735" spans="1:12" ht="15.75">
      <c r="A735" s="149"/>
      <c r="B735" s="164"/>
      <c r="C735" s="149"/>
      <c r="E735" s="150"/>
      <c r="F735" s="150"/>
      <c r="G735" s="150"/>
      <c r="H735" s="150"/>
      <c r="I735" s="150"/>
      <c r="J735" s="150"/>
      <c r="L735" s="150"/>
    </row>
    <row r="736" spans="1:12" ht="15.75">
      <c r="A736" s="149"/>
      <c r="B736" s="164"/>
      <c r="C736" s="149"/>
      <c r="E736" s="150"/>
      <c r="F736" s="150"/>
      <c r="G736" s="150"/>
      <c r="H736" s="150"/>
      <c r="I736" s="150"/>
      <c r="J736" s="150"/>
      <c r="L736" s="150"/>
    </row>
    <row r="737" spans="1:12" ht="15.75">
      <c r="A737" s="149"/>
      <c r="B737" s="164"/>
      <c r="C737" s="149"/>
      <c r="E737" s="150"/>
      <c r="F737" s="150"/>
      <c r="G737" s="150"/>
      <c r="H737" s="150"/>
      <c r="I737" s="150"/>
      <c r="J737" s="150"/>
      <c r="L737" s="150"/>
    </row>
    <row r="738" spans="1:12" ht="15.75">
      <c r="A738" s="149"/>
      <c r="B738" s="164"/>
      <c r="C738" s="149"/>
      <c r="E738" s="150"/>
      <c r="F738" s="150"/>
      <c r="G738" s="150"/>
      <c r="H738" s="150"/>
      <c r="I738" s="150"/>
      <c r="J738" s="150"/>
      <c r="L738" s="150"/>
    </row>
    <row r="739" spans="1:12" ht="15.75">
      <c r="A739" s="149"/>
      <c r="B739" s="164"/>
      <c r="C739" s="149"/>
      <c r="E739" s="150"/>
      <c r="F739" s="150"/>
      <c r="G739" s="150"/>
      <c r="H739" s="150"/>
      <c r="I739" s="150"/>
      <c r="J739" s="150"/>
      <c r="L739" s="150"/>
    </row>
    <row r="740" spans="1:12" ht="15.75">
      <c r="A740" s="149"/>
      <c r="B740" s="164"/>
      <c r="C740" s="149"/>
      <c r="E740" s="150"/>
      <c r="F740" s="150"/>
      <c r="G740" s="150"/>
      <c r="H740" s="150"/>
      <c r="I740" s="150"/>
      <c r="J740" s="150"/>
      <c r="L740" s="150"/>
    </row>
    <row r="741" spans="1:12" ht="15.75">
      <c r="A741" s="149"/>
      <c r="B741" s="164"/>
      <c r="C741" s="149"/>
      <c r="E741" s="150"/>
      <c r="F741" s="150"/>
      <c r="G741" s="150"/>
      <c r="H741" s="150"/>
      <c r="I741" s="150"/>
      <c r="J741" s="150"/>
      <c r="L741" s="150"/>
    </row>
    <row r="742" spans="1:12" ht="15.75">
      <c r="A742" s="149"/>
      <c r="B742" s="164"/>
      <c r="C742" s="149"/>
      <c r="E742" s="150"/>
      <c r="F742" s="150"/>
      <c r="G742" s="150"/>
      <c r="H742" s="150"/>
      <c r="I742" s="150"/>
      <c r="J742" s="150"/>
      <c r="L742" s="150"/>
    </row>
    <row r="743" spans="1:12" ht="15.75">
      <c r="A743" s="149"/>
      <c r="B743" s="164"/>
      <c r="C743" s="149"/>
      <c r="E743" s="150"/>
      <c r="F743" s="150"/>
      <c r="G743" s="150"/>
      <c r="H743" s="150"/>
      <c r="I743" s="150"/>
      <c r="J743" s="150"/>
      <c r="L743" s="150"/>
    </row>
    <row r="744" spans="1:12" ht="15.75">
      <c r="A744" s="149"/>
      <c r="B744" s="164"/>
      <c r="C744" s="149"/>
      <c r="E744" s="150"/>
      <c r="F744" s="150"/>
      <c r="G744" s="150"/>
      <c r="H744" s="150"/>
      <c r="I744" s="150"/>
      <c r="J744" s="150"/>
      <c r="L744" s="150"/>
    </row>
    <row r="745" spans="1:12" ht="15.75">
      <c r="A745" s="149"/>
      <c r="B745" s="164"/>
      <c r="C745" s="149"/>
      <c r="E745" s="150"/>
      <c r="F745" s="150"/>
      <c r="G745" s="150"/>
      <c r="H745" s="150"/>
      <c r="I745" s="150"/>
      <c r="J745" s="150"/>
      <c r="L745" s="150"/>
    </row>
    <row r="746" spans="1:12" ht="15.75">
      <c r="A746" s="149"/>
      <c r="B746" s="164"/>
      <c r="C746" s="149"/>
      <c r="E746" s="150"/>
      <c r="F746" s="150"/>
      <c r="G746" s="150"/>
      <c r="H746" s="150"/>
      <c r="I746" s="150"/>
      <c r="J746" s="150"/>
      <c r="L746" s="150"/>
    </row>
    <row r="747" spans="1:12" ht="15.75">
      <c r="A747" s="149"/>
      <c r="B747" s="164"/>
      <c r="C747" s="149"/>
      <c r="E747" s="150"/>
      <c r="F747" s="150"/>
      <c r="G747" s="150"/>
      <c r="H747" s="150"/>
      <c r="I747" s="150"/>
      <c r="J747" s="150"/>
      <c r="L747" s="150"/>
    </row>
    <row r="748" spans="1:12" ht="15.75">
      <c r="A748" s="149"/>
      <c r="B748" s="164"/>
      <c r="C748" s="149"/>
      <c r="E748" s="150"/>
      <c r="F748" s="150"/>
      <c r="G748" s="150"/>
      <c r="H748" s="150"/>
      <c r="I748" s="150"/>
      <c r="J748" s="150"/>
      <c r="L748" s="150"/>
    </row>
    <row r="749" spans="1:12" ht="15.75">
      <c r="A749" s="149"/>
      <c r="B749" s="164"/>
      <c r="C749" s="149"/>
      <c r="E749" s="150"/>
      <c r="F749" s="150"/>
      <c r="G749" s="150"/>
      <c r="H749" s="150"/>
      <c r="I749" s="150"/>
      <c r="J749" s="150"/>
      <c r="L749" s="150"/>
    </row>
    <row r="750" spans="1:12" ht="15.75">
      <c r="A750" s="149"/>
      <c r="B750" s="164"/>
      <c r="C750" s="149"/>
      <c r="E750" s="150"/>
      <c r="F750" s="150"/>
      <c r="G750" s="150"/>
      <c r="H750" s="150"/>
      <c r="I750" s="150"/>
      <c r="J750" s="150"/>
      <c r="L750" s="150"/>
    </row>
    <row r="751" spans="1:12" ht="15.75">
      <c r="A751" s="149"/>
      <c r="B751" s="164"/>
      <c r="C751" s="149"/>
      <c r="E751" s="150"/>
      <c r="F751" s="150"/>
      <c r="G751" s="150"/>
      <c r="H751" s="150"/>
      <c r="I751" s="150"/>
      <c r="J751" s="150"/>
      <c r="L751" s="150"/>
    </row>
    <row r="752" spans="1:12" ht="15.75">
      <c r="A752" s="149"/>
      <c r="B752" s="164"/>
      <c r="C752" s="149"/>
      <c r="E752" s="150"/>
      <c r="F752" s="150"/>
      <c r="G752" s="150"/>
      <c r="H752" s="150"/>
      <c r="I752" s="150"/>
      <c r="J752" s="150"/>
      <c r="L752" s="150"/>
    </row>
    <row r="753" spans="1:12" ht="15.75">
      <c r="A753" s="149"/>
      <c r="B753" s="164"/>
      <c r="C753" s="149"/>
      <c r="E753" s="150"/>
      <c r="F753" s="150"/>
      <c r="G753" s="150"/>
      <c r="H753" s="150"/>
      <c r="I753" s="150"/>
      <c r="J753" s="150"/>
      <c r="L753" s="150"/>
    </row>
    <row r="754" spans="1:12" ht="15.75">
      <c r="A754" s="149"/>
      <c r="B754" s="164"/>
      <c r="C754" s="149"/>
      <c r="E754" s="150"/>
      <c r="F754" s="150"/>
      <c r="G754" s="150"/>
      <c r="H754" s="150"/>
      <c r="I754" s="150"/>
      <c r="J754" s="150"/>
      <c r="L754" s="150"/>
    </row>
    <row r="755" spans="1:12" ht="15.75">
      <c r="A755" s="149"/>
      <c r="B755" s="164"/>
      <c r="C755" s="149"/>
      <c r="E755" s="150"/>
      <c r="F755" s="150"/>
      <c r="G755" s="150"/>
      <c r="H755" s="150"/>
      <c r="I755" s="150"/>
      <c r="J755" s="150"/>
      <c r="L755" s="150"/>
    </row>
    <row r="756" spans="1:12" ht="15.75">
      <c r="A756" s="149"/>
      <c r="B756" s="164"/>
      <c r="C756" s="149"/>
      <c r="E756" s="150"/>
      <c r="F756" s="150"/>
      <c r="G756" s="150"/>
      <c r="H756" s="150"/>
      <c r="I756" s="150"/>
      <c r="J756" s="150"/>
      <c r="L756" s="150"/>
    </row>
    <row r="757" spans="1:12" ht="15.75">
      <c r="A757" s="149"/>
      <c r="B757" s="164"/>
      <c r="C757" s="149"/>
      <c r="E757" s="150"/>
      <c r="F757" s="150"/>
      <c r="G757" s="150"/>
      <c r="H757" s="150"/>
      <c r="I757" s="150"/>
      <c r="J757" s="150"/>
      <c r="L757" s="150"/>
    </row>
    <row r="758" spans="1:12" ht="15.75">
      <c r="A758" s="149"/>
      <c r="B758" s="164"/>
      <c r="C758" s="149"/>
      <c r="E758" s="150"/>
      <c r="F758" s="150"/>
      <c r="G758" s="150"/>
      <c r="H758" s="150"/>
      <c r="I758" s="150"/>
      <c r="J758" s="150"/>
      <c r="L758" s="150"/>
    </row>
    <row r="759" spans="1:12" ht="15.75">
      <c r="A759" s="149"/>
      <c r="B759" s="164"/>
      <c r="C759" s="149"/>
      <c r="E759" s="150"/>
      <c r="F759" s="150"/>
      <c r="G759" s="150"/>
      <c r="H759" s="150"/>
      <c r="I759" s="150"/>
      <c r="J759" s="150"/>
      <c r="L759" s="150"/>
    </row>
    <row r="760" spans="1:12" ht="15.75">
      <c r="A760" s="149"/>
      <c r="B760" s="164"/>
      <c r="C760" s="149"/>
      <c r="E760" s="150"/>
      <c r="F760" s="150"/>
      <c r="G760" s="150"/>
      <c r="H760" s="150"/>
      <c r="I760" s="150"/>
      <c r="J760" s="150"/>
      <c r="L760" s="150"/>
    </row>
    <row r="761" spans="1:12" ht="15.75">
      <c r="A761" s="149"/>
      <c r="B761" s="164"/>
      <c r="C761" s="149"/>
      <c r="E761" s="150"/>
      <c r="F761" s="150"/>
      <c r="G761" s="150"/>
      <c r="H761" s="150"/>
      <c r="I761" s="150"/>
      <c r="J761" s="150"/>
      <c r="L761" s="150"/>
    </row>
    <row r="762" spans="1:12" ht="15.75">
      <c r="A762" s="149"/>
      <c r="B762" s="164"/>
      <c r="C762" s="149"/>
      <c r="E762" s="150"/>
      <c r="F762" s="150"/>
      <c r="G762" s="150"/>
      <c r="H762" s="150"/>
      <c r="I762" s="150"/>
      <c r="J762" s="150"/>
      <c r="L762" s="150"/>
    </row>
    <row r="763" spans="1:12" ht="15.75">
      <c r="A763" s="149"/>
      <c r="B763" s="164"/>
      <c r="C763" s="149"/>
      <c r="E763" s="150"/>
      <c r="F763" s="150"/>
      <c r="G763" s="150"/>
      <c r="H763" s="150"/>
      <c r="I763" s="150"/>
      <c r="J763" s="150"/>
      <c r="L763" s="150"/>
    </row>
    <row r="764" spans="1:12" ht="15.75">
      <c r="A764" s="149"/>
      <c r="B764" s="164"/>
      <c r="C764" s="149"/>
      <c r="E764" s="150"/>
      <c r="F764" s="150"/>
      <c r="G764" s="150"/>
      <c r="H764" s="150"/>
      <c r="I764" s="150"/>
      <c r="J764" s="150"/>
      <c r="L764" s="150"/>
    </row>
    <row r="765" spans="1:12" ht="15.75">
      <c r="A765" s="149"/>
      <c r="B765" s="164"/>
      <c r="C765" s="149"/>
      <c r="E765" s="150"/>
      <c r="F765" s="150"/>
      <c r="G765" s="150"/>
      <c r="H765" s="150"/>
      <c r="I765" s="150"/>
      <c r="J765" s="150"/>
      <c r="L765" s="150"/>
    </row>
    <row r="766" spans="1:12" ht="15.75">
      <c r="A766" s="149"/>
      <c r="B766" s="164"/>
      <c r="C766" s="149"/>
      <c r="E766" s="150"/>
      <c r="F766" s="150"/>
      <c r="G766" s="150"/>
      <c r="H766" s="150"/>
      <c r="I766" s="150"/>
      <c r="J766" s="150"/>
      <c r="L766" s="150"/>
    </row>
    <row r="767" spans="1:12" ht="15.75">
      <c r="A767" s="149"/>
      <c r="B767" s="164"/>
      <c r="C767" s="149"/>
      <c r="E767" s="150"/>
      <c r="F767" s="150"/>
      <c r="G767" s="150"/>
      <c r="H767" s="150"/>
      <c r="I767" s="150"/>
      <c r="J767" s="150"/>
      <c r="L767" s="150"/>
    </row>
    <row r="768" spans="1:12" ht="15.75">
      <c r="A768" s="149"/>
      <c r="B768" s="164"/>
      <c r="C768" s="149"/>
      <c r="E768" s="150"/>
      <c r="F768" s="150"/>
      <c r="G768" s="150"/>
      <c r="H768" s="150"/>
      <c r="I768" s="150"/>
      <c r="J768" s="150"/>
      <c r="L768" s="150"/>
    </row>
    <row r="769" spans="1:12" ht="15.75">
      <c r="A769" s="149"/>
      <c r="B769" s="164"/>
      <c r="C769" s="149"/>
      <c r="E769" s="150"/>
      <c r="F769" s="150"/>
      <c r="G769" s="150"/>
      <c r="H769" s="150"/>
      <c r="I769" s="150"/>
      <c r="J769" s="150"/>
      <c r="L769" s="150"/>
    </row>
    <row r="770" spans="1:12" ht="15.75">
      <c r="A770" s="149"/>
      <c r="B770" s="164"/>
      <c r="C770" s="149"/>
      <c r="E770" s="150"/>
      <c r="F770" s="150"/>
      <c r="G770" s="150"/>
      <c r="H770" s="150"/>
      <c r="I770" s="150"/>
      <c r="J770" s="150"/>
      <c r="L770" s="150"/>
    </row>
    <row r="771" spans="1:12" ht="15.75">
      <c r="A771" s="149"/>
      <c r="B771" s="164"/>
      <c r="C771" s="149"/>
      <c r="E771" s="150"/>
      <c r="F771" s="150"/>
      <c r="G771" s="150"/>
      <c r="H771" s="150"/>
      <c r="I771" s="150"/>
      <c r="J771" s="150"/>
      <c r="L771" s="150"/>
    </row>
    <row r="772" spans="1:12" ht="15.75">
      <c r="A772" s="149"/>
      <c r="B772" s="164"/>
      <c r="C772" s="149"/>
      <c r="E772" s="150"/>
      <c r="F772" s="150"/>
      <c r="G772" s="150"/>
      <c r="H772" s="150"/>
      <c r="I772" s="150"/>
      <c r="J772" s="150"/>
      <c r="L772" s="150"/>
    </row>
    <row r="773" spans="1:12" ht="15.75">
      <c r="A773" s="149"/>
      <c r="B773" s="164"/>
      <c r="C773" s="149"/>
      <c r="E773" s="150"/>
      <c r="F773" s="150"/>
      <c r="G773" s="150"/>
      <c r="H773" s="150"/>
      <c r="I773" s="150"/>
      <c r="J773" s="150"/>
      <c r="L773" s="150"/>
    </row>
    <row r="774" spans="1:12" ht="15.75">
      <c r="A774" s="149"/>
      <c r="B774" s="164"/>
      <c r="C774" s="149"/>
      <c r="E774" s="150"/>
      <c r="F774" s="150"/>
      <c r="G774" s="150"/>
      <c r="H774" s="150"/>
      <c r="I774" s="150"/>
      <c r="J774" s="150"/>
      <c r="L774" s="150"/>
    </row>
    <row r="775" spans="1:12" ht="15.75">
      <c r="A775" s="149"/>
      <c r="B775" s="164"/>
      <c r="C775" s="149"/>
      <c r="E775" s="150"/>
      <c r="F775" s="150"/>
      <c r="G775" s="150"/>
      <c r="H775" s="150"/>
      <c r="I775" s="150"/>
      <c r="J775" s="150"/>
      <c r="L775" s="150"/>
    </row>
    <row r="776" spans="1:12" ht="15.75">
      <c r="A776" s="149"/>
      <c r="B776" s="164"/>
      <c r="C776" s="149"/>
      <c r="E776" s="150"/>
      <c r="F776" s="150"/>
      <c r="G776" s="150"/>
      <c r="H776" s="150"/>
      <c r="I776" s="150"/>
      <c r="J776" s="150"/>
      <c r="L776" s="150"/>
    </row>
    <row r="777" spans="1:12" ht="15.75">
      <c r="A777" s="149"/>
      <c r="B777" s="164"/>
      <c r="C777" s="149"/>
      <c r="E777" s="150"/>
      <c r="F777" s="150"/>
      <c r="G777" s="150"/>
      <c r="H777" s="150"/>
      <c r="I777" s="150"/>
      <c r="J777" s="150"/>
      <c r="L777" s="150"/>
    </row>
    <row r="778" spans="1:12" ht="15.75">
      <c r="A778" s="149"/>
      <c r="B778" s="164"/>
      <c r="C778" s="149"/>
      <c r="E778" s="150"/>
      <c r="F778" s="150"/>
      <c r="G778" s="150"/>
      <c r="H778" s="150"/>
      <c r="I778" s="150"/>
      <c r="J778" s="150"/>
      <c r="L778" s="150"/>
    </row>
    <row r="779" spans="1:12" ht="15.75">
      <c r="A779" s="149"/>
      <c r="B779" s="164"/>
      <c r="C779" s="149"/>
      <c r="E779" s="150"/>
      <c r="F779" s="150"/>
      <c r="G779" s="150"/>
      <c r="H779" s="150"/>
      <c r="I779" s="150"/>
      <c r="J779" s="150"/>
      <c r="L779" s="150"/>
    </row>
    <row r="780" spans="1:12" ht="15.75">
      <c r="A780" s="149"/>
      <c r="B780" s="164"/>
      <c r="C780" s="149"/>
      <c r="E780" s="150"/>
      <c r="F780" s="150"/>
      <c r="G780" s="150"/>
      <c r="H780" s="150"/>
      <c r="I780" s="150"/>
      <c r="J780" s="150"/>
      <c r="L780" s="150"/>
    </row>
    <row r="781" spans="1:12" ht="15.75">
      <c r="A781" s="149"/>
      <c r="B781" s="164"/>
      <c r="C781" s="149"/>
      <c r="E781" s="150"/>
      <c r="F781" s="150"/>
      <c r="G781" s="150"/>
      <c r="H781" s="150"/>
      <c r="I781" s="150"/>
      <c r="J781" s="150"/>
      <c r="L781" s="150"/>
    </row>
    <row r="782" spans="1:12" ht="15.75">
      <c r="A782" s="149"/>
      <c r="B782" s="164"/>
      <c r="C782" s="149"/>
      <c r="E782" s="150"/>
      <c r="F782" s="150"/>
      <c r="G782" s="150"/>
      <c r="H782" s="150"/>
      <c r="I782" s="150"/>
      <c r="J782" s="150"/>
      <c r="L782" s="150"/>
    </row>
    <row r="783" spans="1:12" ht="15.75">
      <c r="A783" s="149"/>
      <c r="B783" s="164"/>
      <c r="C783" s="149"/>
      <c r="E783" s="150"/>
      <c r="F783" s="150"/>
      <c r="G783" s="150"/>
      <c r="H783" s="150"/>
      <c r="I783" s="150"/>
      <c r="J783" s="150"/>
      <c r="L783" s="150"/>
    </row>
    <row r="784" spans="1:12" ht="15.75">
      <c r="A784" s="149"/>
      <c r="B784" s="164"/>
      <c r="C784" s="149"/>
      <c r="E784" s="150"/>
      <c r="F784" s="150"/>
      <c r="G784" s="150"/>
      <c r="H784" s="150"/>
      <c r="I784" s="150"/>
      <c r="J784" s="150"/>
      <c r="L784" s="150"/>
    </row>
    <row r="785" spans="1:12" ht="15.75">
      <c r="A785" s="149"/>
      <c r="B785" s="164"/>
      <c r="C785" s="149"/>
      <c r="E785" s="150"/>
      <c r="F785" s="150"/>
      <c r="G785" s="150"/>
      <c r="H785" s="150"/>
      <c r="I785" s="150"/>
      <c r="J785" s="150"/>
      <c r="L785" s="150"/>
    </row>
    <row r="786" spans="1:12" ht="15.75">
      <c r="A786" s="149"/>
      <c r="B786" s="164"/>
      <c r="C786" s="149"/>
      <c r="E786" s="150"/>
      <c r="F786" s="150"/>
      <c r="G786" s="150"/>
      <c r="H786" s="150"/>
      <c r="I786" s="150"/>
      <c r="J786" s="150"/>
      <c r="L786" s="150"/>
    </row>
    <row r="787" spans="1:12" ht="15.75">
      <c r="A787" s="149"/>
      <c r="B787" s="164"/>
      <c r="C787" s="149"/>
      <c r="E787" s="150"/>
      <c r="F787" s="150"/>
      <c r="G787" s="150"/>
      <c r="H787" s="150"/>
      <c r="I787" s="150"/>
      <c r="J787" s="150"/>
      <c r="L787" s="150"/>
    </row>
    <row r="788" spans="1:12" ht="15.75">
      <c r="A788" s="149"/>
      <c r="B788" s="164"/>
      <c r="C788" s="149"/>
      <c r="E788" s="150"/>
      <c r="F788" s="150"/>
      <c r="G788" s="150"/>
      <c r="H788" s="150"/>
      <c r="I788" s="150"/>
      <c r="J788" s="150"/>
      <c r="L788" s="150"/>
    </row>
    <row r="789" spans="1:12" ht="15.75">
      <c r="A789" s="149"/>
      <c r="B789" s="164"/>
      <c r="C789" s="149"/>
      <c r="E789" s="150"/>
      <c r="F789" s="150"/>
      <c r="G789" s="150"/>
      <c r="H789" s="150"/>
      <c r="I789" s="150"/>
      <c r="J789" s="150"/>
      <c r="L789" s="150"/>
    </row>
    <row r="790" spans="1:12" ht="15.75">
      <c r="A790" s="149"/>
      <c r="B790" s="164"/>
      <c r="C790" s="149"/>
      <c r="E790" s="150"/>
      <c r="F790" s="150"/>
      <c r="G790" s="150"/>
      <c r="H790" s="150"/>
      <c r="I790" s="150"/>
      <c r="J790" s="150"/>
      <c r="L790" s="150"/>
    </row>
    <row r="791" spans="1:12" ht="15.75">
      <c r="A791" s="149"/>
      <c r="B791" s="164"/>
      <c r="C791" s="149"/>
      <c r="E791" s="150"/>
      <c r="F791" s="150"/>
      <c r="G791" s="150"/>
      <c r="H791" s="150"/>
      <c r="I791" s="150"/>
      <c r="J791" s="150"/>
      <c r="L791" s="150"/>
    </row>
    <row r="792" spans="1:12" ht="15.75">
      <c r="A792" s="149"/>
      <c r="B792" s="164"/>
      <c r="C792" s="149"/>
      <c r="E792" s="150"/>
      <c r="F792" s="150"/>
      <c r="G792" s="150"/>
      <c r="H792" s="150"/>
      <c r="I792" s="150"/>
      <c r="J792" s="150"/>
      <c r="L792" s="150"/>
    </row>
    <row r="793" spans="1:12" ht="15.75">
      <c r="A793" s="149"/>
      <c r="B793" s="164"/>
      <c r="C793" s="149"/>
      <c r="E793" s="150"/>
      <c r="F793" s="150"/>
      <c r="G793" s="150"/>
      <c r="H793" s="150"/>
      <c r="I793" s="150"/>
      <c r="J793" s="150"/>
      <c r="L793" s="150"/>
    </row>
    <row r="794" spans="1:12" ht="15.75">
      <c r="A794" s="149"/>
      <c r="B794" s="164"/>
      <c r="C794" s="149"/>
      <c r="E794" s="150"/>
      <c r="F794" s="150"/>
      <c r="G794" s="150"/>
      <c r="H794" s="150"/>
      <c r="I794" s="150"/>
      <c r="J794" s="150"/>
      <c r="L794" s="150"/>
    </row>
    <row r="795" spans="1:12" ht="15.75">
      <c r="A795" s="149"/>
      <c r="B795" s="164"/>
      <c r="C795" s="149"/>
      <c r="E795" s="150"/>
      <c r="F795" s="150"/>
      <c r="G795" s="150"/>
      <c r="H795" s="150"/>
      <c r="I795" s="150"/>
      <c r="J795" s="150"/>
      <c r="L795" s="150"/>
    </row>
    <row r="796" spans="1:12" ht="15.75">
      <c r="A796" s="149"/>
      <c r="B796" s="164"/>
      <c r="C796" s="149"/>
      <c r="E796" s="150"/>
      <c r="F796" s="150"/>
      <c r="G796" s="150"/>
      <c r="H796" s="150"/>
      <c r="I796" s="150"/>
      <c r="J796" s="150"/>
      <c r="L796" s="150"/>
    </row>
    <row r="797" spans="1:12" ht="15.75">
      <c r="A797" s="149"/>
      <c r="B797" s="164"/>
      <c r="C797" s="149"/>
      <c r="E797" s="150"/>
      <c r="F797" s="150"/>
      <c r="G797" s="150"/>
      <c r="H797" s="150"/>
      <c r="I797" s="150"/>
      <c r="J797" s="150"/>
      <c r="L797" s="150"/>
    </row>
    <row r="798" spans="1:12" ht="15.75">
      <c r="A798" s="149"/>
      <c r="B798" s="164"/>
      <c r="C798" s="149"/>
      <c r="E798" s="150"/>
      <c r="F798" s="150"/>
      <c r="G798" s="150"/>
      <c r="H798" s="150"/>
      <c r="I798" s="150"/>
      <c r="J798" s="150"/>
      <c r="L798" s="150"/>
    </row>
    <row r="799" spans="1:12" ht="15.75">
      <c r="A799" s="149"/>
      <c r="B799" s="164"/>
      <c r="C799" s="149"/>
      <c r="E799" s="150"/>
      <c r="F799" s="150"/>
      <c r="G799" s="150"/>
      <c r="H799" s="150"/>
      <c r="I799" s="150"/>
      <c r="J799" s="150"/>
      <c r="L799" s="150"/>
    </row>
    <row r="800" spans="1:12" ht="15.75">
      <c r="A800" s="149"/>
      <c r="B800" s="164"/>
      <c r="C800" s="149"/>
      <c r="E800" s="150"/>
      <c r="F800" s="150"/>
      <c r="G800" s="150"/>
      <c r="H800" s="150"/>
      <c r="I800" s="150"/>
      <c r="J800" s="150"/>
      <c r="L800" s="150"/>
    </row>
    <row r="801" spans="1:12" ht="15.75">
      <c r="A801" s="149"/>
      <c r="B801" s="164"/>
      <c r="C801" s="149"/>
      <c r="E801" s="150"/>
      <c r="F801" s="150"/>
      <c r="G801" s="150"/>
      <c r="H801" s="150"/>
      <c r="I801" s="150"/>
      <c r="J801" s="150"/>
      <c r="L801" s="150"/>
    </row>
    <row r="802" spans="1:12" ht="15.75">
      <c r="A802" s="149"/>
      <c r="B802" s="164"/>
      <c r="C802" s="149"/>
      <c r="E802" s="150"/>
      <c r="F802" s="150"/>
      <c r="G802" s="150"/>
      <c r="H802" s="150"/>
      <c r="I802" s="150"/>
      <c r="J802" s="150"/>
      <c r="L802" s="150"/>
    </row>
    <row r="803" spans="1:12" ht="15.75">
      <c r="A803" s="149"/>
      <c r="B803" s="164"/>
      <c r="C803" s="149"/>
      <c r="E803" s="150"/>
      <c r="F803" s="150"/>
      <c r="G803" s="150"/>
      <c r="H803" s="150"/>
      <c r="I803" s="150"/>
      <c r="J803" s="150"/>
      <c r="L803" s="150"/>
    </row>
    <row r="804" spans="1:12" ht="15.75">
      <c r="A804" s="149"/>
      <c r="B804" s="164"/>
      <c r="C804" s="149"/>
      <c r="E804" s="150"/>
      <c r="F804" s="150"/>
      <c r="G804" s="150"/>
      <c r="H804" s="150"/>
      <c r="I804" s="150"/>
      <c r="J804" s="150"/>
      <c r="L804" s="150"/>
    </row>
    <row r="805" spans="1:12" ht="15.75">
      <c r="A805" s="149"/>
      <c r="B805" s="164"/>
      <c r="C805" s="149"/>
      <c r="E805" s="150"/>
      <c r="F805" s="150"/>
      <c r="G805" s="150"/>
      <c r="H805" s="150"/>
      <c r="I805" s="150"/>
      <c r="J805" s="150"/>
      <c r="L805" s="150"/>
    </row>
    <row r="806" spans="1:12" ht="15.75">
      <c r="A806" s="149"/>
      <c r="B806" s="164"/>
      <c r="C806" s="149"/>
      <c r="E806" s="150"/>
      <c r="F806" s="150"/>
      <c r="G806" s="150"/>
      <c r="H806" s="150"/>
      <c r="I806" s="150"/>
      <c r="J806" s="150"/>
      <c r="L806" s="150"/>
    </row>
    <row r="807" spans="1:12" ht="15.75">
      <c r="A807" s="149"/>
      <c r="B807" s="164"/>
      <c r="C807" s="149"/>
      <c r="E807" s="150"/>
      <c r="F807" s="150"/>
      <c r="G807" s="150"/>
      <c r="H807" s="150"/>
      <c r="I807" s="150"/>
      <c r="J807" s="150"/>
      <c r="L807" s="150"/>
    </row>
    <row r="808" spans="1:12" ht="15.75">
      <c r="A808" s="149"/>
      <c r="B808" s="164"/>
      <c r="C808" s="149"/>
      <c r="E808" s="150"/>
      <c r="F808" s="150"/>
      <c r="G808" s="150"/>
      <c r="H808" s="150"/>
      <c r="I808" s="150"/>
      <c r="J808" s="150"/>
      <c r="L808" s="150"/>
    </row>
    <row r="809" spans="1:12" ht="15.75">
      <c r="A809" s="149"/>
      <c r="B809" s="164"/>
      <c r="C809" s="149"/>
      <c r="E809" s="150"/>
      <c r="F809" s="150"/>
      <c r="G809" s="150"/>
      <c r="H809" s="150"/>
      <c r="I809" s="150"/>
      <c r="J809" s="150"/>
      <c r="L809" s="150"/>
    </row>
    <row r="810" spans="1:12" ht="15.75">
      <c r="A810" s="149"/>
      <c r="B810" s="164"/>
      <c r="C810" s="149"/>
      <c r="E810" s="150"/>
      <c r="F810" s="150"/>
      <c r="G810" s="150"/>
      <c r="H810" s="150"/>
      <c r="I810" s="150"/>
      <c r="J810" s="150"/>
      <c r="L810" s="150"/>
    </row>
    <row r="811" spans="1:12" ht="15.75">
      <c r="A811" s="149"/>
      <c r="B811" s="164"/>
      <c r="C811" s="149"/>
      <c r="E811" s="150"/>
      <c r="F811" s="150"/>
      <c r="G811" s="150"/>
      <c r="H811" s="150"/>
      <c r="I811" s="150"/>
      <c r="J811" s="150"/>
      <c r="L811" s="150"/>
    </row>
    <row r="812" spans="1:12" ht="15.75">
      <c r="A812" s="149"/>
      <c r="B812" s="164"/>
      <c r="C812" s="149"/>
      <c r="E812" s="150"/>
      <c r="F812" s="150"/>
      <c r="G812" s="150"/>
      <c r="H812" s="150"/>
      <c r="I812" s="150"/>
      <c r="J812" s="150"/>
      <c r="L812" s="150"/>
    </row>
    <row r="813" spans="1:12" ht="15.75">
      <c r="A813" s="149"/>
      <c r="B813" s="164"/>
      <c r="C813" s="149"/>
      <c r="E813" s="150"/>
      <c r="F813" s="150"/>
      <c r="G813" s="150"/>
      <c r="H813" s="150"/>
      <c r="I813" s="150"/>
      <c r="J813" s="150"/>
      <c r="L813" s="150"/>
    </row>
    <row r="814" spans="1:12" ht="15.75">
      <c r="A814" s="149"/>
      <c r="B814" s="164"/>
      <c r="C814" s="149"/>
      <c r="E814" s="150"/>
      <c r="F814" s="150"/>
      <c r="G814" s="150"/>
      <c r="H814" s="150"/>
      <c r="I814" s="150"/>
      <c r="J814" s="150"/>
      <c r="L814" s="150"/>
    </row>
    <row r="815" spans="1:12" ht="15.75">
      <c r="A815" s="149"/>
      <c r="B815" s="164"/>
      <c r="C815" s="149"/>
      <c r="E815" s="150"/>
      <c r="F815" s="150"/>
      <c r="G815" s="150"/>
      <c r="H815" s="150"/>
      <c r="I815" s="150"/>
      <c r="J815" s="150"/>
      <c r="L815" s="150"/>
    </row>
    <row r="816" spans="1:12" ht="15.75">
      <c r="A816" s="149"/>
      <c r="B816" s="164"/>
      <c r="C816" s="149"/>
      <c r="E816" s="150"/>
      <c r="F816" s="150"/>
      <c r="G816" s="150"/>
      <c r="H816" s="150"/>
      <c r="I816" s="150"/>
      <c r="J816" s="150"/>
      <c r="L816" s="150"/>
    </row>
    <row r="817" spans="1:12" ht="15.75">
      <c r="A817" s="149"/>
      <c r="B817" s="164"/>
      <c r="C817" s="149"/>
      <c r="E817" s="150"/>
      <c r="F817" s="150"/>
      <c r="G817" s="150"/>
      <c r="H817" s="150"/>
      <c r="I817" s="150"/>
      <c r="J817" s="150"/>
      <c r="L817" s="150"/>
    </row>
    <row r="818" spans="1:12" ht="15.75">
      <c r="A818" s="149"/>
      <c r="B818" s="164"/>
      <c r="C818" s="149"/>
      <c r="E818" s="150"/>
      <c r="F818" s="150"/>
      <c r="G818" s="150"/>
      <c r="H818" s="150"/>
      <c r="I818" s="150"/>
      <c r="J818" s="150"/>
      <c r="L818" s="150"/>
    </row>
    <row r="819" spans="1:12" ht="15.75">
      <c r="A819" s="149"/>
      <c r="B819" s="164"/>
      <c r="C819" s="149"/>
      <c r="E819" s="150"/>
      <c r="F819" s="150"/>
      <c r="G819" s="150"/>
      <c r="H819" s="150"/>
      <c r="I819" s="150"/>
      <c r="J819" s="150"/>
      <c r="L819" s="150"/>
    </row>
    <row r="820" spans="1:12" ht="15.75">
      <c r="A820" s="149"/>
      <c r="B820" s="164"/>
      <c r="C820" s="149"/>
      <c r="E820" s="150"/>
      <c r="F820" s="150"/>
      <c r="G820" s="150"/>
      <c r="H820" s="150"/>
      <c r="I820" s="150"/>
      <c r="J820" s="150"/>
      <c r="L820" s="150"/>
    </row>
    <row r="821" spans="1:12" ht="15.75">
      <c r="A821" s="149"/>
      <c r="B821" s="164"/>
      <c r="C821" s="149"/>
      <c r="E821" s="150"/>
      <c r="F821" s="150"/>
      <c r="G821" s="150"/>
      <c r="H821" s="150"/>
      <c r="I821" s="150"/>
      <c r="J821" s="150"/>
      <c r="L821" s="150"/>
    </row>
    <row r="822" spans="1:12" ht="15.75">
      <c r="A822" s="149"/>
      <c r="B822" s="164"/>
      <c r="C822" s="149"/>
      <c r="E822" s="150"/>
      <c r="F822" s="150"/>
      <c r="G822" s="150"/>
      <c r="H822" s="150"/>
      <c r="I822" s="150"/>
      <c r="J822" s="150"/>
      <c r="L822" s="150"/>
    </row>
    <row r="823" spans="1:12" ht="15.75">
      <c r="A823" s="149"/>
      <c r="B823" s="164"/>
      <c r="C823" s="149"/>
      <c r="E823" s="150"/>
      <c r="F823" s="150"/>
      <c r="G823" s="150"/>
      <c r="H823" s="150"/>
      <c r="I823" s="150"/>
      <c r="J823" s="150"/>
      <c r="L823" s="150"/>
    </row>
    <row r="824" spans="1:12" ht="15.75">
      <c r="A824" s="149"/>
      <c r="B824" s="164"/>
      <c r="C824" s="149"/>
      <c r="E824" s="150"/>
      <c r="F824" s="150"/>
      <c r="G824" s="150"/>
      <c r="H824" s="150"/>
      <c r="I824" s="150"/>
      <c r="J824" s="150"/>
      <c r="L824" s="150"/>
    </row>
    <row r="825" spans="1:12" ht="15.75">
      <c r="A825" s="149"/>
      <c r="B825" s="164"/>
      <c r="C825" s="149"/>
      <c r="E825" s="150"/>
      <c r="F825" s="150"/>
      <c r="G825" s="150"/>
      <c r="H825" s="150"/>
      <c r="I825" s="150"/>
      <c r="J825" s="150"/>
      <c r="L825" s="150"/>
    </row>
    <row r="826" spans="1:12" ht="15.75">
      <c r="A826" s="149"/>
      <c r="B826" s="164"/>
      <c r="C826" s="149"/>
      <c r="E826" s="150"/>
      <c r="F826" s="150"/>
      <c r="G826" s="150"/>
      <c r="H826" s="150"/>
      <c r="I826" s="150"/>
      <c r="J826" s="150"/>
      <c r="L826" s="150"/>
    </row>
    <row r="827" spans="1:12" ht="15.75">
      <c r="A827" s="149"/>
      <c r="B827" s="164"/>
      <c r="C827" s="149"/>
      <c r="E827" s="150"/>
      <c r="F827" s="150"/>
      <c r="G827" s="150"/>
      <c r="H827" s="150"/>
      <c r="I827" s="150"/>
      <c r="J827" s="150"/>
      <c r="L827" s="150"/>
    </row>
    <row r="828" spans="1:12" ht="15.75">
      <c r="A828" s="149"/>
      <c r="B828" s="164"/>
      <c r="C828" s="149"/>
      <c r="E828" s="150"/>
      <c r="F828" s="150"/>
      <c r="G828" s="150"/>
      <c r="H828" s="150"/>
      <c r="I828" s="150"/>
      <c r="J828" s="150"/>
      <c r="L828" s="150"/>
    </row>
    <row r="829" spans="1:12" ht="15.75">
      <c r="A829" s="149"/>
      <c r="B829" s="164"/>
      <c r="C829" s="149"/>
      <c r="E829" s="150"/>
      <c r="F829" s="150"/>
      <c r="G829" s="150"/>
      <c r="H829" s="150"/>
      <c r="I829" s="150"/>
      <c r="J829" s="150"/>
      <c r="L829" s="150"/>
    </row>
    <row r="830" spans="1:12" ht="15.75">
      <c r="A830" s="149"/>
      <c r="B830" s="164"/>
      <c r="C830" s="149"/>
      <c r="E830" s="150"/>
      <c r="F830" s="150"/>
      <c r="G830" s="150"/>
      <c r="H830" s="150"/>
      <c r="I830" s="150"/>
      <c r="J830" s="150"/>
      <c r="L830" s="150"/>
    </row>
    <row r="831" spans="1:12" ht="15.75">
      <c r="A831" s="149"/>
      <c r="B831" s="164"/>
      <c r="C831" s="149"/>
      <c r="E831" s="150"/>
      <c r="F831" s="150"/>
      <c r="G831" s="150"/>
      <c r="H831" s="150"/>
      <c r="I831" s="150"/>
      <c r="J831" s="150"/>
      <c r="L831" s="150"/>
    </row>
    <row r="832" spans="1:12" ht="15.75">
      <c r="A832" s="149"/>
      <c r="B832" s="164"/>
      <c r="C832" s="149"/>
      <c r="E832" s="150"/>
      <c r="F832" s="150"/>
      <c r="G832" s="150"/>
      <c r="H832" s="150"/>
      <c r="I832" s="150"/>
      <c r="J832" s="150"/>
      <c r="L832" s="150"/>
    </row>
    <row r="833" spans="1:12" ht="15.75">
      <c r="A833" s="149"/>
      <c r="B833" s="164"/>
      <c r="C833" s="149"/>
      <c r="E833" s="150"/>
      <c r="F833" s="150"/>
      <c r="G833" s="150"/>
      <c r="H833" s="150"/>
      <c r="I833" s="150"/>
      <c r="J833" s="150"/>
      <c r="L833" s="150"/>
    </row>
    <row r="834" spans="1:12" ht="15.75">
      <c r="A834" s="149"/>
      <c r="B834" s="164"/>
      <c r="C834" s="149"/>
      <c r="E834" s="150"/>
      <c r="F834" s="150"/>
      <c r="G834" s="150"/>
      <c r="H834" s="150"/>
      <c r="I834" s="150"/>
      <c r="J834" s="150"/>
      <c r="L834" s="150"/>
    </row>
    <row r="835" spans="1:12" ht="15.75">
      <c r="A835" s="149"/>
      <c r="B835" s="164"/>
      <c r="C835" s="149"/>
      <c r="E835" s="150"/>
      <c r="F835" s="150"/>
      <c r="G835" s="150"/>
      <c r="H835" s="150"/>
      <c r="I835" s="150"/>
      <c r="J835" s="150"/>
      <c r="L835" s="150"/>
    </row>
    <row r="836" spans="1:12" ht="15.75">
      <c r="A836" s="149"/>
      <c r="B836" s="164"/>
      <c r="C836" s="149"/>
      <c r="E836" s="150"/>
      <c r="F836" s="150"/>
      <c r="G836" s="150"/>
      <c r="H836" s="150"/>
      <c r="I836" s="150"/>
      <c r="J836" s="150"/>
      <c r="L836" s="150"/>
    </row>
    <row r="837" spans="1:12" ht="15.75">
      <c r="A837" s="149"/>
      <c r="B837" s="164"/>
      <c r="C837" s="149"/>
      <c r="E837" s="150"/>
      <c r="F837" s="150"/>
      <c r="G837" s="150"/>
      <c r="H837" s="150"/>
      <c r="I837" s="150"/>
      <c r="J837" s="150"/>
      <c r="L837" s="150"/>
    </row>
    <row r="838" spans="1:12" ht="15.75">
      <c r="A838" s="149"/>
      <c r="B838" s="164"/>
      <c r="C838" s="149"/>
      <c r="E838" s="150"/>
      <c r="F838" s="150"/>
      <c r="G838" s="150"/>
      <c r="H838" s="150"/>
      <c r="I838" s="150"/>
      <c r="J838" s="150"/>
      <c r="L838" s="150"/>
    </row>
    <row r="839" spans="1:12" ht="15.75">
      <c r="A839" s="149"/>
      <c r="B839" s="164"/>
      <c r="C839" s="149"/>
      <c r="E839" s="150"/>
      <c r="F839" s="150"/>
      <c r="G839" s="150"/>
      <c r="H839" s="150"/>
      <c r="I839" s="150"/>
      <c r="J839" s="150"/>
      <c r="L839" s="150"/>
    </row>
    <row r="840" spans="1:12" ht="15.75">
      <c r="A840" s="149"/>
      <c r="B840" s="164"/>
      <c r="C840" s="149"/>
      <c r="E840" s="150"/>
      <c r="F840" s="150"/>
      <c r="G840" s="150"/>
      <c r="H840" s="150"/>
      <c r="I840" s="150"/>
      <c r="J840" s="150"/>
      <c r="L840" s="150"/>
    </row>
    <row r="841" spans="1:12" ht="15.75">
      <c r="A841" s="149"/>
      <c r="B841" s="164"/>
      <c r="C841" s="149"/>
      <c r="E841" s="150"/>
      <c r="F841" s="150"/>
      <c r="G841" s="150"/>
      <c r="H841" s="150"/>
      <c r="I841" s="150"/>
      <c r="J841" s="150"/>
      <c r="L841" s="150"/>
    </row>
    <row r="842" spans="1:12" ht="15.75">
      <c r="A842" s="149"/>
      <c r="B842" s="164"/>
      <c r="C842" s="149"/>
      <c r="E842" s="150"/>
      <c r="F842" s="150"/>
      <c r="G842" s="150"/>
      <c r="H842" s="150"/>
      <c r="I842" s="150"/>
      <c r="J842" s="150"/>
      <c r="L842" s="150"/>
    </row>
    <row r="843" spans="1:12" ht="15.75">
      <c r="A843" s="149"/>
      <c r="B843" s="164"/>
      <c r="C843" s="149"/>
      <c r="E843" s="150"/>
      <c r="F843" s="150"/>
      <c r="G843" s="150"/>
      <c r="H843" s="150"/>
      <c r="I843" s="150"/>
      <c r="J843" s="150"/>
      <c r="L843" s="150"/>
    </row>
    <row r="844" spans="1:12" ht="15.75">
      <c r="A844" s="149"/>
      <c r="B844" s="164"/>
      <c r="C844" s="149"/>
      <c r="E844" s="150"/>
      <c r="F844" s="150"/>
      <c r="G844" s="150"/>
      <c r="H844" s="150"/>
      <c r="I844" s="150"/>
      <c r="J844" s="150"/>
      <c r="L844" s="150"/>
    </row>
    <row r="845" spans="1:12" ht="15.75">
      <c r="A845" s="149"/>
      <c r="B845" s="164"/>
      <c r="C845" s="149"/>
      <c r="E845" s="150"/>
      <c r="F845" s="150"/>
      <c r="G845" s="150"/>
      <c r="H845" s="150"/>
      <c r="I845" s="150"/>
      <c r="J845" s="150"/>
      <c r="L845" s="150"/>
    </row>
    <row r="846" spans="1:12" ht="15.75">
      <c r="A846" s="149"/>
      <c r="B846" s="164"/>
      <c r="C846" s="149"/>
      <c r="E846" s="150"/>
      <c r="F846" s="150"/>
      <c r="G846" s="150"/>
      <c r="H846" s="150"/>
      <c r="I846" s="150"/>
      <c r="J846" s="150"/>
      <c r="L846" s="150"/>
    </row>
    <row r="847" spans="1:12" ht="15.75">
      <c r="A847" s="149"/>
      <c r="B847" s="164"/>
      <c r="C847" s="149"/>
      <c r="E847" s="150"/>
      <c r="F847" s="150"/>
      <c r="G847" s="150"/>
      <c r="H847" s="150"/>
      <c r="I847" s="150"/>
      <c r="J847" s="150"/>
      <c r="L847" s="150"/>
    </row>
    <row r="848" spans="1:12" ht="15.75">
      <c r="A848" s="149"/>
      <c r="B848" s="164"/>
      <c r="C848" s="149"/>
      <c r="E848" s="150"/>
      <c r="F848" s="150"/>
      <c r="G848" s="150"/>
      <c r="H848" s="150"/>
      <c r="I848" s="150"/>
      <c r="J848" s="150"/>
      <c r="L848" s="150"/>
    </row>
    <row r="849" spans="1:12" ht="15.75">
      <c r="A849" s="149"/>
      <c r="B849" s="164"/>
      <c r="C849" s="149"/>
      <c r="E849" s="150"/>
      <c r="F849" s="150"/>
      <c r="G849" s="150"/>
      <c r="H849" s="150"/>
      <c r="I849" s="150"/>
      <c r="J849" s="150"/>
      <c r="L849" s="150"/>
    </row>
    <row r="850" spans="1:12" ht="15.75">
      <c r="A850" s="149"/>
      <c r="B850" s="164"/>
      <c r="C850" s="149"/>
      <c r="E850" s="150"/>
      <c r="F850" s="150"/>
      <c r="G850" s="150"/>
      <c r="H850" s="150"/>
      <c r="I850" s="150"/>
      <c r="J850" s="150"/>
      <c r="L850" s="150"/>
    </row>
    <row r="851" spans="1:12" ht="15.75">
      <c r="A851" s="149"/>
      <c r="B851" s="164"/>
      <c r="C851" s="149"/>
      <c r="E851" s="150"/>
      <c r="F851" s="150"/>
      <c r="G851" s="150"/>
      <c r="H851" s="150"/>
      <c r="I851" s="150"/>
      <c r="J851" s="150"/>
      <c r="L851" s="150"/>
    </row>
    <row r="852" spans="1:12" ht="15.75">
      <c r="A852" s="149"/>
      <c r="B852" s="164"/>
      <c r="C852" s="149"/>
      <c r="E852" s="150"/>
      <c r="F852" s="150"/>
      <c r="G852" s="150"/>
      <c r="H852" s="150"/>
      <c r="I852" s="150"/>
      <c r="J852" s="150"/>
      <c r="L852" s="150"/>
    </row>
    <row r="853" spans="1:12" ht="15.75">
      <c r="A853" s="149"/>
      <c r="B853" s="164"/>
      <c r="C853" s="149"/>
      <c r="E853" s="150"/>
      <c r="F853" s="150"/>
      <c r="G853" s="150"/>
      <c r="H853" s="150"/>
      <c r="I853" s="150"/>
      <c r="J853" s="150"/>
      <c r="L853" s="150"/>
    </row>
    <row r="854" spans="1:12" ht="15.75">
      <c r="A854" s="149"/>
      <c r="B854" s="164"/>
      <c r="C854" s="149"/>
      <c r="E854" s="150"/>
      <c r="F854" s="150"/>
      <c r="G854" s="150"/>
      <c r="H854" s="150"/>
      <c r="I854" s="150"/>
      <c r="J854" s="150"/>
      <c r="L854" s="150"/>
    </row>
    <row r="855" spans="1:12" ht="15.75">
      <c r="A855" s="149"/>
      <c r="B855" s="164"/>
      <c r="C855" s="149"/>
      <c r="E855" s="150"/>
      <c r="F855" s="150"/>
      <c r="G855" s="150"/>
      <c r="H855" s="150"/>
      <c r="I855" s="150"/>
      <c r="J855" s="150"/>
      <c r="L855" s="150"/>
    </row>
    <row r="856" spans="1:12" ht="15.75">
      <c r="A856" s="149"/>
      <c r="B856" s="164"/>
      <c r="C856" s="149"/>
      <c r="E856" s="150"/>
      <c r="F856" s="150"/>
      <c r="G856" s="150"/>
      <c r="H856" s="150"/>
      <c r="I856" s="150"/>
      <c r="J856" s="150"/>
      <c r="L856" s="150"/>
    </row>
    <row r="857" spans="1:12" ht="15.75">
      <c r="A857" s="149"/>
      <c r="B857" s="164"/>
      <c r="C857" s="149"/>
      <c r="E857" s="150"/>
      <c r="F857" s="150"/>
      <c r="G857" s="150"/>
      <c r="H857" s="150"/>
      <c r="I857" s="150"/>
      <c r="J857" s="150"/>
      <c r="L857" s="150"/>
    </row>
    <row r="858" spans="1:12" ht="15.75">
      <c r="A858" s="149"/>
      <c r="B858" s="164"/>
      <c r="C858" s="149"/>
      <c r="E858" s="150"/>
      <c r="F858" s="150"/>
      <c r="G858" s="150"/>
      <c r="H858" s="150"/>
      <c r="I858" s="150"/>
      <c r="J858" s="150"/>
      <c r="L858" s="150"/>
    </row>
    <row r="859" spans="1:12" ht="15.75">
      <c r="A859" s="149"/>
      <c r="B859" s="164"/>
      <c r="C859" s="149"/>
      <c r="E859" s="150"/>
      <c r="F859" s="150"/>
      <c r="G859" s="150"/>
      <c r="H859" s="150"/>
      <c r="I859" s="150"/>
      <c r="J859" s="150"/>
      <c r="L859" s="150"/>
    </row>
    <row r="860" spans="1:12" ht="15.75">
      <c r="A860" s="149"/>
      <c r="B860" s="164"/>
      <c r="C860" s="149"/>
      <c r="E860" s="150"/>
      <c r="F860" s="150"/>
      <c r="G860" s="150"/>
      <c r="H860" s="150"/>
      <c r="I860" s="150"/>
      <c r="J860" s="150"/>
      <c r="L860" s="150"/>
    </row>
    <row r="861" spans="1:12" ht="15.75">
      <c r="A861" s="149"/>
      <c r="B861" s="164"/>
      <c r="C861" s="149"/>
      <c r="E861" s="150"/>
      <c r="F861" s="150"/>
      <c r="G861" s="150"/>
      <c r="H861" s="150"/>
      <c r="I861" s="150"/>
      <c r="J861" s="150"/>
      <c r="L861" s="150"/>
    </row>
    <row r="862" spans="1:12" ht="15.75">
      <c r="A862" s="149"/>
      <c r="B862" s="164"/>
      <c r="C862" s="149"/>
      <c r="E862" s="150"/>
      <c r="F862" s="150"/>
      <c r="G862" s="150"/>
      <c r="H862" s="150"/>
      <c r="I862" s="150"/>
      <c r="J862" s="150"/>
      <c r="L862" s="150"/>
    </row>
    <row r="863" spans="1:12" ht="15.75">
      <c r="A863" s="149"/>
      <c r="B863" s="164"/>
      <c r="C863" s="149"/>
      <c r="E863" s="150"/>
      <c r="F863" s="150"/>
      <c r="G863" s="150"/>
      <c r="H863" s="150"/>
      <c r="I863" s="150"/>
      <c r="J863" s="150"/>
      <c r="L863" s="150"/>
    </row>
    <row r="864" spans="1:12" ht="15.75">
      <c r="A864" s="149"/>
      <c r="B864" s="164"/>
      <c r="C864" s="149"/>
      <c r="E864" s="150"/>
      <c r="F864" s="150"/>
      <c r="G864" s="150"/>
      <c r="H864" s="150"/>
      <c r="I864" s="150"/>
      <c r="J864" s="150"/>
      <c r="L864" s="150"/>
    </row>
    <row r="865" spans="1:12" ht="15.75">
      <c r="A865" s="149"/>
      <c r="B865" s="164"/>
      <c r="C865" s="149"/>
      <c r="E865" s="150"/>
      <c r="F865" s="150"/>
      <c r="G865" s="150"/>
      <c r="H865" s="150"/>
      <c r="I865" s="150"/>
      <c r="J865" s="150"/>
      <c r="L865" s="150"/>
    </row>
    <row r="866" spans="1:12" ht="15.75">
      <c r="A866" s="149"/>
      <c r="B866" s="164"/>
      <c r="C866" s="149"/>
      <c r="E866" s="150"/>
      <c r="F866" s="150"/>
      <c r="G866" s="150"/>
      <c r="H866" s="150"/>
      <c r="I866" s="150"/>
      <c r="J866" s="150"/>
      <c r="L866" s="150"/>
    </row>
    <row r="867" spans="1:12" ht="15.75">
      <c r="A867" s="149"/>
      <c r="B867" s="164"/>
      <c r="C867" s="149"/>
      <c r="E867" s="150"/>
      <c r="F867" s="150"/>
      <c r="G867" s="150"/>
      <c r="H867" s="150"/>
      <c r="I867" s="150"/>
      <c r="J867" s="150"/>
      <c r="L867" s="150"/>
    </row>
    <row r="868" spans="1:12" ht="15.75">
      <c r="A868" s="149"/>
      <c r="B868" s="164"/>
      <c r="C868" s="149"/>
      <c r="E868" s="150"/>
      <c r="F868" s="150"/>
      <c r="G868" s="150"/>
      <c r="H868" s="150"/>
      <c r="I868" s="150"/>
      <c r="J868" s="150"/>
      <c r="L868" s="150"/>
    </row>
    <row r="869" spans="1:12" ht="15.75">
      <c r="A869" s="149"/>
      <c r="B869" s="164"/>
      <c r="C869" s="149"/>
      <c r="E869" s="150"/>
      <c r="F869" s="150"/>
      <c r="G869" s="150"/>
      <c r="H869" s="150"/>
      <c r="I869" s="150"/>
      <c r="J869" s="150"/>
      <c r="L869" s="150"/>
    </row>
    <row r="870" spans="1:12" ht="15.75">
      <c r="A870" s="149"/>
      <c r="B870" s="164"/>
      <c r="C870" s="149"/>
      <c r="E870" s="150"/>
      <c r="F870" s="150"/>
      <c r="G870" s="150"/>
      <c r="H870" s="150"/>
      <c r="I870" s="150"/>
      <c r="J870" s="150"/>
      <c r="L870" s="150"/>
    </row>
    <row r="871" spans="1:12" ht="15.75">
      <c r="A871" s="149"/>
      <c r="B871" s="164"/>
      <c r="C871" s="149"/>
      <c r="E871" s="150"/>
      <c r="F871" s="150"/>
      <c r="G871" s="150"/>
      <c r="H871" s="150"/>
      <c r="I871" s="150"/>
      <c r="J871" s="150"/>
      <c r="L871" s="150"/>
    </row>
    <row r="872" spans="1:12" ht="15.75">
      <c r="A872" s="149"/>
      <c r="B872" s="164"/>
      <c r="C872" s="149"/>
      <c r="E872" s="150"/>
      <c r="F872" s="150"/>
      <c r="G872" s="150"/>
      <c r="H872" s="150"/>
      <c r="I872" s="150"/>
      <c r="J872" s="150"/>
      <c r="L872" s="150"/>
    </row>
    <row r="873" spans="1:12" ht="15.75">
      <c r="A873" s="149"/>
      <c r="B873" s="164"/>
      <c r="C873" s="149"/>
      <c r="E873" s="150"/>
      <c r="F873" s="150"/>
      <c r="G873" s="150"/>
      <c r="H873" s="150"/>
      <c r="I873" s="150"/>
      <c r="J873" s="150"/>
      <c r="L873" s="150"/>
    </row>
    <row r="874" spans="1:12" ht="15.75">
      <c r="A874" s="149"/>
      <c r="B874" s="164"/>
      <c r="C874" s="149"/>
      <c r="E874" s="150"/>
      <c r="F874" s="150"/>
      <c r="G874" s="150"/>
      <c r="H874" s="150"/>
      <c r="I874" s="150"/>
      <c r="J874" s="150"/>
      <c r="L874" s="150"/>
    </row>
    <row r="875" spans="1:12" ht="15.75">
      <c r="A875" s="149"/>
      <c r="B875" s="164"/>
      <c r="C875" s="149"/>
      <c r="E875" s="150"/>
      <c r="F875" s="150"/>
      <c r="G875" s="150"/>
      <c r="H875" s="150"/>
      <c r="I875" s="150"/>
      <c r="J875" s="150"/>
      <c r="L875" s="150"/>
    </row>
    <row r="876" spans="1:12" ht="15.75">
      <c r="A876" s="149"/>
      <c r="B876" s="164"/>
      <c r="C876" s="149"/>
      <c r="E876" s="150"/>
      <c r="F876" s="150"/>
      <c r="G876" s="150"/>
      <c r="H876" s="150"/>
      <c r="I876" s="150"/>
      <c r="J876" s="150"/>
      <c r="L876" s="150"/>
    </row>
    <row r="877" spans="1:12" ht="15.75">
      <c r="A877" s="149"/>
      <c r="B877" s="164"/>
      <c r="C877" s="149"/>
      <c r="E877" s="150"/>
      <c r="F877" s="150"/>
      <c r="G877" s="150"/>
      <c r="H877" s="150"/>
      <c r="I877" s="150"/>
      <c r="J877" s="150"/>
      <c r="L877" s="150"/>
    </row>
    <row r="878" spans="1:12" ht="15.75">
      <c r="A878" s="149"/>
      <c r="B878" s="164"/>
      <c r="C878" s="149"/>
      <c r="E878" s="150"/>
      <c r="F878" s="150"/>
      <c r="G878" s="150"/>
      <c r="H878" s="150"/>
      <c r="I878" s="150"/>
      <c r="J878" s="150"/>
      <c r="L878" s="150"/>
    </row>
    <row r="879" spans="1:12" ht="15.75">
      <c r="A879" s="149"/>
      <c r="B879" s="164"/>
      <c r="C879" s="149"/>
      <c r="E879" s="150"/>
      <c r="F879" s="150"/>
      <c r="G879" s="150"/>
      <c r="H879" s="150"/>
      <c r="I879" s="150"/>
      <c r="J879" s="150"/>
      <c r="L879" s="150"/>
    </row>
    <row r="880" spans="1:12" ht="15.75">
      <c r="A880" s="149"/>
      <c r="B880" s="164"/>
      <c r="C880" s="149"/>
      <c r="E880" s="150"/>
      <c r="F880" s="150"/>
      <c r="G880" s="150"/>
      <c r="H880" s="150"/>
      <c r="I880" s="150"/>
      <c r="J880" s="150"/>
      <c r="L880" s="150"/>
    </row>
    <row r="881" spans="1:12" ht="15.75">
      <c r="A881" s="149"/>
      <c r="B881" s="164"/>
      <c r="C881" s="149"/>
      <c r="E881" s="150"/>
      <c r="F881" s="150"/>
      <c r="G881" s="150"/>
      <c r="H881" s="150"/>
      <c r="I881" s="150"/>
      <c r="J881" s="150"/>
      <c r="L881" s="150"/>
    </row>
    <row r="882" spans="1:12" ht="15.75">
      <c r="A882" s="149"/>
      <c r="B882" s="164"/>
      <c r="C882" s="149"/>
      <c r="E882" s="150"/>
      <c r="F882" s="150"/>
      <c r="G882" s="150"/>
      <c r="H882" s="150"/>
      <c r="I882" s="150"/>
      <c r="J882" s="150"/>
      <c r="L882" s="150"/>
    </row>
    <row r="883" spans="1:12" ht="15.75">
      <c r="A883" s="149"/>
      <c r="B883" s="164"/>
      <c r="C883" s="149"/>
      <c r="E883" s="150"/>
      <c r="F883" s="150"/>
      <c r="G883" s="150"/>
      <c r="H883" s="150"/>
      <c r="I883" s="150"/>
      <c r="J883" s="150"/>
      <c r="L883" s="150"/>
    </row>
    <row r="884" spans="1:12" ht="15.75">
      <c r="A884" s="149"/>
      <c r="B884" s="164"/>
      <c r="C884" s="149"/>
      <c r="E884" s="150"/>
      <c r="F884" s="150"/>
      <c r="G884" s="150"/>
      <c r="H884" s="150"/>
      <c r="I884" s="150"/>
      <c r="J884" s="150"/>
      <c r="L884" s="150"/>
    </row>
    <row r="885" spans="1:12" ht="15.75">
      <c r="A885" s="149"/>
      <c r="B885" s="164"/>
      <c r="C885" s="149"/>
      <c r="E885" s="150"/>
      <c r="F885" s="150"/>
      <c r="G885" s="150"/>
      <c r="H885" s="150"/>
      <c r="I885" s="150"/>
      <c r="J885" s="150"/>
      <c r="L885" s="150"/>
    </row>
    <row r="886" spans="1:12" ht="15.75">
      <c r="A886" s="149"/>
      <c r="B886" s="164"/>
      <c r="C886" s="149"/>
      <c r="E886" s="150"/>
      <c r="F886" s="150"/>
      <c r="G886" s="150"/>
      <c r="H886" s="150"/>
      <c r="I886" s="150"/>
      <c r="J886" s="150"/>
      <c r="L886" s="150"/>
    </row>
    <row r="887" spans="1:12" ht="15.75">
      <c r="A887" s="149"/>
      <c r="B887" s="164"/>
      <c r="C887" s="149"/>
      <c r="E887" s="150"/>
      <c r="F887" s="150"/>
      <c r="G887" s="150"/>
      <c r="H887" s="150"/>
      <c r="I887" s="150"/>
      <c r="J887" s="150"/>
      <c r="L887" s="150"/>
    </row>
    <row r="888" spans="1:12" ht="15.75">
      <c r="A888" s="149"/>
      <c r="B888" s="164"/>
      <c r="C888" s="149"/>
      <c r="E888" s="150"/>
      <c r="F888" s="150"/>
      <c r="G888" s="150"/>
      <c r="H888" s="150"/>
      <c r="I888" s="150"/>
      <c r="J888" s="150"/>
      <c r="L888" s="150"/>
    </row>
    <row r="889" spans="1:12" ht="15.75">
      <c r="A889" s="149"/>
      <c r="B889" s="164"/>
      <c r="C889" s="149"/>
      <c r="E889" s="150"/>
      <c r="F889" s="150"/>
      <c r="G889" s="150"/>
      <c r="H889" s="150"/>
      <c r="I889" s="150"/>
      <c r="J889" s="150"/>
      <c r="L889" s="150"/>
    </row>
    <row r="890" spans="1:12" ht="15.75">
      <c r="A890" s="149"/>
      <c r="B890" s="164"/>
      <c r="C890" s="149"/>
      <c r="E890" s="150"/>
      <c r="F890" s="150"/>
      <c r="G890" s="150"/>
      <c r="H890" s="150"/>
      <c r="I890" s="150"/>
      <c r="J890" s="150"/>
      <c r="L890" s="150"/>
    </row>
    <row r="891" spans="1:12" ht="15.75">
      <c r="A891" s="149"/>
      <c r="B891" s="164"/>
      <c r="C891" s="149"/>
      <c r="E891" s="150"/>
      <c r="F891" s="150"/>
      <c r="G891" s="150"/>
      <c r="H891" s="150"/>
      <c r="I891" s="150"/>
      <c r="J891" s="150"/>
      <c r="L891" s="150"/>
    </row>
    <row r="892" spans="1:12" ht="15.75">
      <c r="A892" s="149"/>
      <c r="B892" s="164"/>
      <c r="C892" s="149"/>
      <c r="E892" s="150"/>
      <c r="F892" s="150"/>
      <c r="G892" s="150"/>
      <c r="H892" s="150"/>
      <c r="I892" s="150"/>
      <c r="J892" s="150"/>
      <c r="L892" s="150"/>
    </row>
    <row r="893" spans="1:12" ht="15.75">
      <c r="A893" s="149"/>
      <c r="B893" s="164"/>
      <c r="C893" s="149"/>
      <c r="E893" s="150"/>
      <c r="F893" s="150"/>
      <c r="G893" s="150"/>
      <c r="H893" s="150"/>
      <c r="I893" s="150"/>
      <c r="J893" s="150"/>
      <c r="L893" s="150"/>
    </row>
    <row r="894" spans="1:12" ht="15.75">
      <c r="A894" s="149"/>
      <c r="B894" s="164"/>
      <c r="C894" s="149"/>
      <c r="E894" s="150"/>
      <c r="F894" s="150"/>
      <c r="G894" s="150"/>
      <c r="H894" s="150"/>
      <c r="I894" s="150"/>
      <c r="J894" s="150"/>
      <c r="L894" s="150"/>
    </row>
    <row r="895" spans="1:12" ht="15.75">
      <c r="A895" s="149"/>
      <c r="B895" s="164"/>
      <c r="C895" s="149"/>
      <c r="E895" s="150"/>
      <c r="F895" s="150"/>
      <c r="G895" s="150"/>
      <c r="H895" s="150"/>
      <c r="I895" s="150"/>
      <c r="J895" s="150"/>
      <c r="L895" s="150"/>
    </row>
    <row r="896" spans="1:12" ht="15.75">
      <c r="A896" s="149"/>
      <c r="B896" s="164"/>
      <c r="C896" s="149"/>
      <c r="E896" s="150"/>
      <c r="F896" s="150"/>
      <c r="G896" s="150"/>
      <c r="H896" s="150"/>
      <c r="I896" s="150"/>
      <c r="J896" s="150"/>
      <c r="L896" s="150"/>
    </row>
    <row r="897" spans="1:12" ht="15.75">
      <c r="A897" s="149"/>
      <c r="B897" s="164"/>
      <c r="C897" s="149"/>
      <c r="E897" s="150"/>
      <c r="F897" s="150"/>
      <c r="G897" s="150"/>
      <c r="H897" s="150"/>
      <c r="I897" s="150"/>
      <c r="J897" s="150"/>
      <c r="L897" s="150"/>
    </row>
    <row r="898" spans="1:12" ht="15.75">
      <c r="A898" s="149"/>
      <c r="B898" s="164"/>
      <c r="C898" s="149"/>
      <c r="E898" s="150"/>
      <c r="F898" s="150"/>
      <c r="G898" s="150"/>
      <c r="H898" s="150"/>
      <c r="I898" s="150"/>
      <c r="J898" s="150"/>
      <c r="L898" s="150"/>
    </row>
    <row r="899" spans="1:12" ht="15.75">
      <c r="A899" s="149"/>
      <c r="B899" s="164"/>
      <c r="C899" s="149"/>
      <c r="E899" s="150"/>
      <c r="F899" s="150"/>
      <c r="G899" s="150"/>
      <c r="H899" s="150"/>
      <c r="I899" s="150"/>
      <c r="J899" s="150"/>
      <c r="L899" s="150"/>
    </row>
    <row r="900" spans="1:12" ht="15.75">
      <c r="A900" s="149"/>
      <c r="B900" s="164"/>
      <c r="C900" s="149"/>
      <c r="E900" s="150"/>
      <c r="F900" s="150"/>
      <c r="G900" s="150"/>
      <c r="H900" s="150"/>
      <c r="I900" s="150"/>
      <c r="J900" s="150"/>
      <c r="L900" s="150"/>
    </row>
    <row r="901" spans="1:12" ht="15.75">
      <c r="A901" s="149"/>
      <c r="B901" s="164"/>
      <c r="C901" s="149"/>
      <c r="E901" s="150"/>
      <c r="F901" s="150"/>
      <c r="G901" s="150"/>
      <c r="H901" s="150"/>
      <c r="I901" s="150"/>
      <c r="J901" s="150"/>
      <c r="L901" s="150"/>
    </row>
    <row r="902" spans="1:12" ht="15.75">
      <c r="A902" s="149"/>
      <c r="B902" s="164"/>
      <c r="C902" s="149"/>
      <c r="E902" s="150"/>
      <c r="F902" s="150"/>
      <c r="G902" s="150"/>
      <c r="H902" s="150"/>
      <c r="I902" s="150"/>
      <c r="J902" s="150"/>
      <c r="L902" s="150"/>
    </row>
    <row r="903" spans="1:12" ht="15.75">
      <c r="A903" s="149"/>
      <c r="B903" s="164"/>
      <c r="C903" s="149"/>
      <c r="E903" s="150"/>
      <c r="F903" s="150"/>
      <c r="G903" s="150"/>
      <c r="H903" s="150"/>
      <c r="I903" s="150"/>
      <c r="J903" s="150"/>
      <c r="L903" s="150"/>
    </row>
    <row r="904" spans="1:12" ht="15.75">
      <c r="A904" s="149"/>
      <c r="B904" s="164"/>
      <c r="C904" s="149"/>
      <c r="E904" s="150"/>
      <c r="F904" s="150"/>
      <c r="G904" s="150"/>
      <c r="H904" s="150"/>
      <c r="I904" s="150"/>
      <c r="J904" s="150"/>
      <c r="L904" s="150"/>
    </row>
    <row r="905" spans="1:12" ht="15.75">
      <c r="A905" s="149"/>
      <c r="B905" s="164"/>
      <c r="C905" s="149"/>
      <c r="E905" s="150"/>
      <c r="F905" s="150"/>
      <c r="G905" s="150"/>
      <c r="H905" s="150"/>
      <c r="I905" s="150"/>
      <c r="J905" s="150"/>
      <c r="L905" s="150"/>
    </row>
    <row r="906" spans="1:12" ht="15.75">
      <c r="A906" s="149"/>
      <c r="B906" s="164"/>
      <c r="C906" s="149"/>
      <c r="E906" s="150"/>
      <c r="F906" s="150"/>
      <c r="G906" s="150"/>
      <c r="H906" s="150"/>
      <c r="I906" s="150"/>
      <c r="J906" s="150"/>
      <c r="L906" s="150"/>
    </row>
    <row r="907" spans="1:12" ht="15.75">
      <c r="A907" s="149"/>
      <c r="B907" s="164"/>
      <c r="C907" s="149"/>
      <c r="E907" s="150"/>
      <c r="F907" s="150"/>
      <c r="G907" s="150"/>
      <c r="H907" s="150"/>
      <c r="I907" s="150"/>
      <c r="J907" s="150"/>
      <c r="L907" s="150"/>
    </row>
    <row r="908" spans="1:12" ht="15.75">
      <c r="A908" s="149"/>
      <c r="B908" s="164"/>
      <c r="C908" s="149"/>
      <c r="E908" s="150"/>
      <c r="F908" s="150"/>
      <c r="G908" s="150"/>
      <c r="H908" s="150"/>
      <c r="I908" s="150"/>
      <c r="J908" s="150"/>
      <c r="L908" s="150"/>
    </row>
    <row r="909" spans="1:12" ht="15.75">
      <c r="A909" s="149"/>
      <c r="B909" s="164"/>
      <c r="C909" s="149"/>
      <c r="E909" s="150"/>
      <c r="F909" s="150"/>
      <c r="G909" s="150"/>
      <c r="H909" s="150"/>
      <c r="I909" s="150"/>
      <c r="J909" s="150"/>
      <c r="L909" s="150"/>
    </row>
    <row r="910" spans="1:12" ht="15.75">
      <c r="A910" s="149"/>
      <c r="B910" s="164"/>
      <c r="C910" s="149"/>
      <c r="E910" s="150"/>
      <c r="F910" s="150"/>
      <c r="G910" s="150"/>
      <c r="H910" s="150"/>
      <c r="I910" s="150"/>
      <c r="J910" s="150"/>
      <c r="L910" s="150"/>
    </row>
    <row r="911" spans="1:12" ht="15.75">
      <c r="A911" s="149"/>
      <c r="B911" s="164"/>
      <c r="C911" s="149"/>
      <c r="E911" s="150"/>
      <c r="F911" s="150"/>
      <c r="G911" s="150"/>
      <c r="H911" s="150"/>
      <c r="I911" s="150"/>
      <c r="J911" s="150"/>
      <c r="L911" s="150"/>
    </row>
    <row r="912" spans="1:12" ht="15.75">
      <c r="A912" s="149"/>
      <c r="B912" s="164"/>
      <c r="C912" s="149"/>
      <c r="E912" s="150"/>
      <c r="F912" s="150"/>
      <c r="G912" s="150"/>
      <c r="H912" s="150"/>
      <c r="I912" s="150"/>
      <c r="J912" s="150"/>
      <c r="L912" s="150"/>
    </row>
    <row r="913" spans="1:12" ht="15.75">
      <c r="A913" s="149"/>
      <c r="B913" s="164"/>
      <c r="C913" s="149"/>
      <c r="E913" s="150"/>
      <c r="F913" s="150"/>
      <c r="G913" s="150"/>
      <c r="H913" s="150"/>
      <c r="I913" s="150"/>
      <c r="J913" s="150"/>
      <c r="L913" s="150"/>
    </row>
    <row r="914" spans="1:12" ht="15.75">
      <c r="A914" s="149"/>
      <c r="B914" s="164"/>
      <c r="C914" s="149"/>
      <c r="E914" s="150"/>
      <c r="F914" s="150"/>
      <c r="G914" s="150"/>
      <c r="H914" s="150"/>
      <c r="I914" s="150"/>
      <c r="J914" s="150"/>
      <c r="L914" s="150"/>
    </row>
    <row r="915" spans="1:12" ht="15.75">
      <c r="A915" s="149"/>
      <c r="B915" s="164"/>
      <c r="C915" s="149"/>
      <c r="E915" s="150"/>
      <c r="F915" s="150"/>
      <c r="G915" s="150"/>
      <c r="H915" s="150"/>
      <c r="I915" s="150"/>
      <c r="J915" s="150"/>
      <c r="L915" s="150"/>
    </row>
    <row r="916" spans="1:12" ht="15.75">
      <c r="A916" s="149"/>
      <c r="B916" s="164"/>
      <c r="C916" s="149"/>
      <c r="E916" s="150"/>
      <c r="F916" s="150"/>
      <c r="G916" s="150"/>
      <c r="H916" s="150"/>
      <c r="I916" s="150"/>
      <c r="J916" s="150"/>
      <c r="L916" s="150"/>
    </row>
    <row r="917" spans="1:12" ht="15.75">
      <c r="A917" s="149"/>
      <c r="B917" s="164"/>
      <c r="C917" s="149"/>
      <c r="E917" s="150"/>
      <c r="F917" s="150"/>
      <c r="G917" s="150"/>
      <c r="H917" s="150"/>
      <c r="I917" s="150"/>
      <c r="J917" s="150"/>
      <c r="L917" s="150"/>
    </row>
    <row r="918" spans="1:12" ht="15.75">
      <c r="A918" s="149"/>
      <c r="B918" s="164"/>
      <c r="C918" s="149"/>
      <c r="E918" s="150"/>
      <c r="F918" s="150"/>
      <c r="G918" s="150"/>
      <c r="H918" s="150"/>
      <c r="I918" s="150"/>
      <c r="J918" s="150"/>
      <c r="L918" s="150"/>
    </row>
    <row r="919" spans="1:12" ht="15.75">
      <c r="A919" s="149"/>
      <c r="B919" s="164"/>
      <c r="C919" s="149"/>
      <c r="E919" s="150"/>
      <c r="F919" s="150"/>
      <c r="G919" s="150"/>
      <c r="H919" s="150"/>
      <c r="I919" s="150"/>
      <c r="J919" s="150"/>
      <c r="L919" s="150"/>
    </row>
    <row r="920" spans="1:12" ht="15.75">
      <c r="A920" s="149"/>
      <c r="B920" s="164"/>
      <c r="C920" s="149"/>
      <c r="E920" s="150"/>
      <c r="F920" s="150"/>
      <c r="G920" s="150"/>
      <c r="H920" s="150"/>
      <c r="I920" s="150"/>
      <c r="J920" s="150"/>
      <c r="L920" s="150"/>
    </row>
    <row r="921" spans="1:12" ht="15.75">
      <c r="A921" s="149"/>
      <c r="B921" s="164"/>
      <c r="C921" s="149"/>
      <c r="E921" s="150"/>
      <c r="F921" s="150"/>
      <c r="G921" s="150"/>
      <c r="H921" s="150"/>
      <c r="I921" s="150"/>
      <c r="J921" s="150"/>
      <c r="L921" s="150"/>
    </row>
    <row r="922" spans="1:12" ht="15.75">
      <c r="A922" s="149"/>
      <c r="B922" s="164"/>
      <c r="C922" s="149"/>
      <c r="E922" s="150"/>
      <c r="F922" s="150"/>
      <c r="G922" s="150"/>
      <c r="H922" s="150"/>
      <c r="I922" s="150"/>
      <c r="J922" s="150"/>
      <c r="L922" s="150"/>
    </row>
    <row r="923" spans="1:12" ht="15.75">
      <c r="A923" s="149"/>
      <c r="B923" s="164"/>
      <c r="C923" s="149"/>
      <c r="E923" s="150"/>
      <c r="F923" s="150"/>
      <c r="G923" s="150"/>
      <c r="H923" s="150"/>
      <c r="I923" s="150"/>
      <c r="J923" s="150"/>
      <c r="L923" s="150"/>
    </row>
    <row r="924" spans="1:12" ht="15.75">
      <c r="A924" s="149"/>
      <c r="B924" s="164"/>
      <c r="C924" s="149"/>
      <c r="E924" s="150"/>
      <c r="F924" s="150"/>
      <c r="G924" s="150"/>
      <c r="H924" s="150"/>
      <c r="I924" s="150"/>
      <c r="J924" s="150"/>
      <c r="L924" s="150"/>
    </row>
    <row r="925" spans="1:12" ht="15.75">
      <c r="A925" s="149"/>
      <c r="B925" s="164"/>
      <c r="C925" s="149"/>
      <c r="E925" s="150"/>
      <c r="F925" s="150"/>
      <c r="G925" s="150"/>
      <c r="H925" s="150"/>
      <c r="I925" s="150"/>
      <c r="J925" s="150"/>
      <c r="L925" s="150"/>
    </row>
    <row r="926" spans="1:12" ht="15.75">
      <c r="A926" s="149"/>
      <c r="B926" s="164"/>
      <c r="C926" s="149"/>
      <c r="E926" s="150"/>
      <c r="F926" s="150"/>
      <c r="G926" s="150"/>
      <c r="H926" s="150"/>
      <c r="I926" s="150"/>
      <c r="J926" s="150"/>
      <c r="L926" s="150"/>
    </row>
    <row r="927" spans="1:12" ht="15.75">
      <c r="A927" s="149"/>
      <c r="B927" s="164"/>
      <c r="C927" s="149"/>
      <c r="E927" s="150"/>
      <c r="F927" s="150"/>
      <c r="G927" s="150"/>
      <c r="H927" s="150"/>
      <c r="I927" s="150"/>
      <c r="J927" s="150"/>
      <c r="L927" s="150"/>
    </row>
    <row r="928" spans="1:12" ht="15.75">
      <c r="A928" s="149"/>
      <c r="B928" s="164"/>
      <c r="C928" s="149"/>
      <c r="E928" s="150"/>
      <c r="F928" s="150"/>
      <c r="G928" s="150"/>
      <c r="H928" s="150"/>
      <c r="I928" s="150"/>
      <c r="J928" s="150"/>
      <c r="L928" s="150"/>
    </row>
    <row r="929" spans="1:12" ht="15.75">
      <c r="A929" s="149"/>
      <c r="B929" s="164"/>
      <c r="C929" s="149"/>
      <c r="E929" s="150"/>
      <c r="F929" s="150"/>
      <c r="G929" s="150"/>
      <c r="H929" s="150"/>
      <c r="I929" s="150"/>
      <c r="J929" s="150"/>
      <c r="L929" s="150"/>
    </row>
    <row r="930" spans="1:12" ht="15.75">
      <c r="A930" s="149"/>
      <c r="B930" s="164"/>
      <c r="C930" s="149"/>
      <c r="E930" s="150"/>
      <c r="F930" s="150"/>
      <c r="G930" s="150"/>
      <c r="H930" s="150"/>
      <c r="I930" s="150"/>
      <c r="J930" s="150"/>
      <c r="L930" s="150"/>
    </row>
    <row r="931" spans="1:12" ht="15.75">
      <c r="A931" s="149"/>
      <c r="B931" s="164"/>
      <c r="C931" s="149"/>
      <c r="E931" s="150"/>
      <c r="F931" s="150"/>
      <c r="G931" s="150"/>
      <c r="H931" s="150"/>
      <c r="I931" s="150"/>
      <c r="J931" s="150"/>
      <c r="L931" s="150"/>
    </row>
    <row r="932" spans="1:12" ht="15.75">
      <c r="A932" s="149"/>
      <c r="B932" s="164"/>
      <c r="C932" s="149"/>
      <c r="E932" s="150"/>
      <c r="F932" s="150"/>
      <c r="G932" s="150"/>
      <c r="H932" s="150"/>
      <c r="I932" s="150"/>
      <c r="J932" s="150"/>
      <c r="L932" s="150"/>
    </row>
    <row r="933" spans="1:12" ht="15.75">
      <c r="A933" s="149"/>
      <c r="B933" s="164"/>
      <c r="C933" s="149"/>
      <c r="E933" s="150"/>
      <c r="F933" s="150"/>
      <c r="G933" s="150"/>
      <c r="H933" s="150"/>
      <c r="I933" s="150"/>
      <c r="J933" s="150"/>
      <c r="L933" s="150"/>
    </row>
    <row r="934" spans="1:12" ht="15.75">
      <c r="A934" s="149"/>
      <c r="B934" s="164"/>
      <c r="C934" s="149"/>
      <c r="E934" s="150"/>
      <c r="F934" s="150"/>
      <c r="G934" s="150"/>
      <c r="H934" s="150"/>
      <c r="I934" s="150"/>
      <c r="J934" s="150"/>
      <c r="L934" s="150"/>
    </row>
    <row r="935" spans="1:12" ht="15.75">
      <c r="A935" s="149"/>
      <c r="B935" s="164"/>
      <c r="C935" s="149"/>
      <c r="E935" s="150"/>
      <c r="F935" s="150"/>
      <c r="G935" s="150"/>
      <c r="H935" s="150"/>
      <c r="I935" s="150"/>
      <c r="J935" s="150"/>
      <c r="L935" s="150"/>
    </row>
    <row r="936" spans="1:12" ht="15.75">
      <c r="A936" s="149"/>
      <c r="B936" s="164"/>
      <c r="C936" s="149"/>
      <c r="E936" s="150"/>
      <c r="F936" s="150"/>
      <c r="G936" s="150"/>
      <c r="H936" s="150"/>
      <c r="I936" s="150"/>
      <c r="J936" s="150"/>
      <c r="L936" s="150"/>
    </row>
    <row r="937" spans="1:12" ht="15.75">
      <c r="A937" s="149"/>
      <c r="B937" s="164"/>
      <c r="C937" s="149"/>
      <c r="E937" s="150"/>
      <c r="F937" s="150"/>
      <c r="G937" s="150"/>
      <c r="H937" s="150"/>
      <c r="I937" s="150"/>
      <c r="J937" s="150"/>
      <c r="L937" s="150"/>
    </row>
    <row r="938" spans="1:12" ht="15.75">
      <c r="A938" s="149"/>
      <c r="B938" s="164"/>
      <c r="C938" s="149"/>
      <c r="E938" s="150"/>
      <c r="F938" s="150"/>
      <c r="G938" s="150"/>
      <c r="H938" s="150"/>
      <c r="I938" s="150"/>
      <c r="J938" s="150"/>
      <c r="L938" s="150"/>
    </row>
    <row r="939" spans="1:12" ht="15.75">
      <c r="A939" s="149"/>
      <c r="B939" s="164"/>
      <c r="C939" s="149"/>
      <c r="E939" s="150"/>
      <c r="F939" s="150"/>
      <c r="G939" s="150"/>
      <c r="H939" s="150"/>
      <c r="I939" s="150"/>
      <c r="J939" s="150"/>
      <c r="L939" s="150"/>
    </row>
    <row r="940" spans="1:12" ht="15.75">
      <c r="A940" s="149"/>
      <c r="B940" s="164"/>
      <c r="C940" s="149"/>
      <c r="E940" s="150"/>
      <c r="F940" s="150"/>
      <c r="G940" s="150"/>
      <c r="H940" s="150"/>
      <c r="I940" s="150"/>
      <c r="J940" s="150"/>
      <c r="L940" s="150"/>
    </row>
    <row r="941" spans="1:12" ht="15.75">
      <c r="A941" s="149"/>
      <c r="B941" s="164"/>
      <c r="C941" s="149"/>
      <c r="E941" s="150"/>
      <c r="F941" s="150"/>
      <c r="G941" s="150"/>
      <c r="H941" s="150"/>
      <c r="I941" s="150"/>
      <c r="J941" s="150"/>
      <c r="L941" s="150"/>
    </row>
    <row r="942" spans="1:12" ht="15.75">
      <c r="A942" s="149"/>
      <c r="B942" s="164"/>
      <c r="C942" s="149"/>
      <c r="E942" s="150"/>
      <c r="F942" s="150"/>
      <c r="G942" s="150"/>
      <c r="H942" s="150"/>
      <c r="I942" s="150"/>
      <c r="J942" s="150"/>
      <c r="L942" s="150"/>
    </row>
    <row r="943" spans="1:12" ht="15.75">
      <c r="A943" s="149"/>
      <c r="B943" s="164"/>
      <c r="C943" s="149"/>
      <c r="E943" s="150"/>
      <c r="F943" s="150"/>
      <c r="G943" s="150"/>
      <c r="H943" s="150"/>
      <c r="I943" s="150"/>
      <c r="J943" s="150"/>
      <c r="L943" s="150"/>
    </row>
    <row r="944" spans="1:12" ht="15.75">
      <c r="A944" s="149"/>
      <c r="B944" s="164"/>
      <c r="C944" s="149"/>
      <c r="E944" s="150"/>
      <c r="F944" s="150"/>
      <c r="G944" s="150"/>
      <c r="H944" s="150"/>
      <c r="I944" s="150"/>
      <c r="J944" s="150"/>
      <c r="L944" s="150"/>
    </row>
    <row r="945" spans="1:12" ht="15.75">
      <c r="A945" s="149"/>
      <c r="B945" s="164"/>
      <c r="C945" s="149"/>
      <c r="E945" s="150"/>
      <c r="F945" s="150"/>
      <c r="G945" s="150"/>
      <c r="H945" s="150"/>
      <c r="I945" s="150"/>
      <c r="J945" s="150"/>
      <c r="L945" s="150"/>
    </row>
    <row r="946" spans="1:12" ht="15.75">
      <c r="A946" s="149"/>
      <c r="B946" s="164"/>
      <c r="C946" s="149"/>
      <c r="E946" s="150"/>
      <c r="F946" s="150"/>
      <c r="G946" s="150"/>
      <c r="H946" s="150"/>
      <c r="I946" s="150"/>
      <c r="J946" s="150"/>
      <c r="L946" s="150"/>
    </row>
    <row r="947" spans="1:12" ht="15.75">
      <c r="A947" s="149"/>
      <c r="B947" s="164"/>
      <c r="C947" s="149"/>
      <c r="E947" s="150"/>
      <c r="F947" s="150"/>
      <c r="G947" s="150"/>
      <c r="H947" s="150"/>
      <c r="I947" s="150"/>
      <c r="J947" s="150"/>
      <c r="L947" s="150"/>
    </row>
  </sheetData>
  <mergeCells count="1">
    <mergeCell ref="A1:L1"/>
  </mergeCells>
  <phoneticPr fontId="20" type="noConversion"/>
  <conditionalFormatting sqref="G1:G1048576">
    <cfRule type="cellIs" dxfId="7" priority="1" operator="between">
      <formula>1</formula>
      <formula>50</formula>
    </cfRule>
  </conditionalFormatting>
  <conditionalFormatting sqref="G5:G112">
    <cfRule type="top10" dxfId="6" priority="792" rank="2"/>
  </conditionalFormatting>
  <conditionalFormatting sqref="I6:I112">
    <cfRule type="top10" dxfId="5" priority="794" rank="2"/>
  </conditionalFormatting>
  <pageMargins left="0.39370078740157483" right="0.39370078740157483" top="0.74803149606299213" bottom="0.74803149606299213" header="0" footer="0.31496062992125984"/>
  <pageSetup paperSize="9" fitToHeight="0" orientation="landscape" r:id="rId1"/>
  <headerFooter scaleWithDoc="0">
    <oddFooter>&amp;CMargenliste 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87B8-B2EC-4E33-B719-FD3F4FAC9A68}">
  <sheetPr codeName="Tabelle3"/>
  <dimension ref="A1:P921"/>
  <sheetViews>
    <sheetView showGridLines="0" view="pageBreakPreview" zoomScale="120" zoomScaleNormal="120" zoomScaleSheetLayoutView="120" zoomScalePageLayoutView="75" workbookViewId="0">
      <pane ySplit="3" topLeftCell="A15" activePane="bottomLeft" state="frozen"/>
      <selection sqref="A1:C1"/>
      <selection pane="bottomLeft" activeCell="B34" sqref="B34"/>
    </sheetView>
  </sheetViews>
  <sheetFormatPr baseColWidth="10" defaultColWidth="14.42578125" defaultRowHeight="15"/>
  <cols>
    <col min="1" max="1" width="27.28515625" style="5" customWidth="1"/>
    <col min="2" max="2" width="10.140625" style="162" customWidth="1"/>
    <col min="3" max="3" width="10.140625" style="5" customWidth="1"/>
    <col min="4" max="5" width="10.140625" style="6" customWidth="1"/>
    <col min="6" max="6" width="10.140625" style="24" customWidth="1"/>
    <col min="7" max="10" width="10.140625" style="6" customWidth="1"/>
    <col min="11" max="11" width="10.140625" style="41" customWidth="1"/>
    <col min="12" max="12" width="10.140625" style="45" customWidth="1"/>
    <col min="13" max="28" width="11.42578125" style="1" customWidth="1"/>
    <col min="29" max="16384" width="14.42578125" style="1"/>
  </cols>
  <sheetData>
    <row r="1" spans="1:16" ht="23.45" customHeight="1">
      <c r="A1" s="236" t="s">
        <v>200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8"/>
      <c r="N1" s="35"/>
      <c r="O1" s="35"/>
      <c r="P1" s="35"/>
    </row>
    <row r="2" spans="1:16" s="8" customFormat="1" ht="23.25">
      <c r="A2" s="9" t="s">
        <v>84</v>
      </c>
      <c r="B2" s="7"/>
      <c r="C2" s="7"/>
      <c r="D2" s="14"/>
      <c r="E2" s="7"/>
      <c r="F2" s="7"/>
      <c r="G2" s="7"/>
      <c r="H2" s="33"/>
      <c r="I2" s="32"/>
      <c r="J2" s="32"/>
      <c r="L2" s="47"/>
      <c r="N2" s="35"/>
      <c r="O2" s="36"/>
      <c r="P2" s="36"/>
    </row>
    <row r="3" spans="1:16" ht="45">
      <c r="A3" s="10" t="s">
        <v>1</v>
      </c>
      <c r="B3" s="158" t="s">
        <v>2</v>
      </c>
      <c r="C3" s="11" t="s">
        <v>3</v>
      </c>
      <c r="D3" s="13" t="s">
        <v>4</v>
      </c>
      <c r="E3" s="12" t="s">
        <v>5</v>
      </c>
      <c r="F3" s="158" t="s">
        <v>6</v>
      </c>
      <c r="G3" s="12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48" t="s">
        <v>85</v>
      </c>
      <c r="O3" s="36"/>
      <c r="P3" s="36"/>
    </row>
    <row r="4" spans="1:16">
      <c r="A4" s="26"/>
      <c r="B4" s="174"/>
      <c r="C4" s="22"/>
      <c r="D4" s="23"/>
      <c r="E4" s="23"/>
      <c r="F4" s="38"/>
      <c r="G4" s="23"/>
      <c r="H4" s="23"/>
      <c r="I4" s="24"/>
      <c r="J4" s="25"/>
      <c r="K4" s="25"/>
      <c r="L4" s="71"/>
      <c r="O4" s="36"/>
      <c r="P4" s="36"/>
    </row>
    <row r="5" spans="1:16" ht="15.75">
      <c r="A5" s="27" t="s">
        <v>13</v>
      </c>
      <c r="B5" s="175"/>
      <c r="C5" s="16"/>
      <c r="D5" s="17"/>
      <c r="E5" s="17"/>
      <c r="F5" s="39"/>
      <c r="G5" s="17"/>
      <c r="H5" s="17"/>
      <c r="I5" s="18"/>
      <c r="J5" s="19"/>
      <c r="K5" s="42"/>
      <c r="L5" s="43"/>
      <c r="M5" s="222"/>
      <c r="N5" s="35"/>
      <c r="O5" s="46"/>
      <c r="P5" s="36"/>
    </row>
    <row r="6" spans="1:16" s="2" customFormat="1" ht="15.75" thickBot="1">
      <c r="A6" s="30" t="s">
        <v>86</v>
      </c>
      <c r="B6" s="21">
        <v>319</v>
      </c>
      <c r="C6" s="55">
        <f>B6/119*100</f>
        <v>268.06722689075627</v>
      </c>
      <c r="D6" s="73">
        <v>200</v>
      </c>
      <c r="E6" s="21">
        <f t="shared" ref="E6:E16" si="0">D6-D6*K6</f>
        <v>160</v>
      </c>
      <c r="F6" s="74">
        <f>C6/E6</f>
        <v>1.6754201680672267</v>
      </c>
      <c r="G6" s="56">
        <f>C6-E6</f>
        <v>108.06722689075627</v>
      </c>
      <c r="H6" s="56">
        <f>C6-E6*(1-L6)</f>
        <v>108.06722689075627</v>
      </c>
      <c r="I6" s="57">
        <f>G6/C6</f>
        <v>0.40313479623824444</v>
      </c>
      <c r="J6" s="57">
        <f>H6/C6</f>
        <v>0.40313479623824444</v>
      </c>
      <c r="K6" s="58">
        <f>'eigene Konditionen'!B$3</f>
        <v>0.2</v>
      </c>
      <c r="L6" s="58">
        <f>'eigene Konditionen'!C$3</f>
        <v>0</v>
      </c>
      <c r="M6" s="222"/>
      <c r="N6" s="35"/>
      <c r="O6" s="36"/>
      <c r="P6" s="36"/>
    </row>
    <row r="7" spans="1:16">
      <c r="A7" s="69" t="s">
        <v>87</v>
      </c>
      <c r="B7" s="75"/>
      <c r="C7" s="76"/>
      <c r="D7" s="77"/>
      <c r="E7" s="77"/>
      <c r="F7" s="78"/>
      <c r="G7" s="77"/>
      <c r="H7" s="77"/>
      <c r="I7" s="77"/>
      <c r="J7" s="77"/>
      <c r="K7" s="75"/>
      <c r="L7" s="75"/>
      <c r="N7" s="35"/>
      <c r="O7" s="36"/>
      <c r="P7" s="36"/>
    </row>
    <row r="8" spans="1:16">
      <c r="A8" s="166" t="s">
        <v>88</v>
      </c>
      <c r="B8" s="50">
        <v>239.95</v>
      </c>
      <c r="C8" s="51">
        <f t="shared" ref="C8" si="1">B8/119*100</f>
        <v>201.63865546218486</v>
      </c>
      <c r="D8" s="50">
        <v>120</v>
      </c>
      <c r="E8" s="20">
        <f t="shared" ref="E8" si="2">D8-D8*K8</f>
        <v>120</v>
      </c>
      <c r="F8" s="79">
        <f t="shared" ref="F8" si="3">C8/E8</f>
        <v>1.6803221288515404</v>
      </c>
      <c r="G8" s="60">
        <f t="shared" ref="G8" si="4">C8-E8</f>
        <v>81.638655462184857</v>
      </c>
      <c r="H8" s="60">
        <f t="shared" ref="H8" si="5">C8-E8*(1-L8)</f>
        <v>85.238655462184866</v>
      </c>
      <c r="I8" s="61">
        <f t="shared" ref="I8" si="6">G8/C8</f>
        <v>0.40487601583663257</v>
      </c>
      <c r="J8" s="61">
        <f t="shared" ref="J8" si="7">H8/C8</f>
        <v>0.42272973536153363</v>
      </c>
      <c r="K8" s="62">
        <f>'eigene Konditionen'!B$4</f>
        <v>0</v>
      </c>
      <c r="L8" s="62">
        <f>'eigene Konditionen'!C$4</f>
        <v>0.03</v>
      </c>
      <c r="N8" s="35"/>
      <c r="O8" s="36"/>
      <c r="P8" s="36"/>
    </row>
    <row r="9" spans="1:16">
      <c r="A9" s="166" t="s">
        <v>89</v>
      </c>
      <c r="B9" s="50">
        <v>239.95</v>
      </c>
      <c r="C9" s="51">
        <f t="shared" ref="C9:C11" si="8">B9/119*100</f>
        <v>201.63865546218486</v>
      </c>
      <c r="D9" s="50">
        <v>120</v>
      </c>
      <c r="E9" s="20">
        <f t="shared" ref="E9" si="9">D9-D9*K9</f>
        <v>120</v>
      </c>
      <c r="F9" s="79">
        <f t="shared" ref="F9" si="10">C9/E9</f>
        <v>1.6803221288515404</v>
      </c>
      <c r="G9" s="60">
        <f t="shared" ref="G9" si="11">C9-E9</f>
        <v>81.638655462184857</v>
      </c>
      <c r="H9" s="60">
        <f t="shared" ref="H9" si="12">C9-E9*(1-L9)</f>
        <v>85.238655462184866</v>
      </c>
      <c r="I9" s="61">
        <f t="shared" ref="I9" si="13">G9/C9</f>
        <v>0.40487601583663257</v>
      </c>
      <c r="J9" s="61">
        <f t="shared" ref="J9" si="14">H9/C9</f>
        <v>0.42272973536153363</v>
      </c>
      <c r="K9" s="62">
        <f>'eigene Konditionen'!B$4</f>
        <v>0</v>
      </c>
      <c r="L9" s="62">
        <f>'eigene Konditionen'!C$4</f>
        <v>0.03</v>
      </c>
      <c r="N9" s="35"/>
      <c r="O9" s="36"/>
      <c r="P9" s="36"/>
    </row>
    <row r="10" spans="1:16">
      <c r="A10" s="166" t="s">
        <v>90</v>
      </c>
      <c r="B10" s="50">
        <v>149.94999999999999</v>
      </c>
      <c r="C10" s="51">
        <f t="shared" si="8"/>
        <v>126.00840336134453</v>
      </c>
      <c r="D10" s="50">
        <v>78.5</v>
      </c>
      <c r="E10" s="20">
        <f t="shared" ref="E10:E13" si="15">D10-D10*K10</f>
        <v>78.5</v>
      </c>
      <c r="F10" s="79">
        <f t="shared" ref="F10:F13" si="16">C10/E10</f>
        <v>1.6052025905903762</v>
      </c>
      <c r="G10" s="60">
        <f t="shared" ref="G10" si="17">C10-E10</f>
        <v>47.508403361344534</v>
      </c>
      <c r="H10" s="60">
        <f t="shared" ref="H10:H11" si="18">C10-E10*(1-L10)</f>
        <v>49.863403361344538</v>
      </c>
      <c r="I10" s="61">
        <f t="shared" ref="I10:I11" si="19">G10/C10</f>
        <v>0.37702567522507502</v>
      </c>
      <c r="J10" s="61">
        <f t="shared" ref="J10:J11" si="20">H10/C10</f>
        <v>0.39571490496832279</v>
      </c>
      <c r="K10" s="62">
        <f>'eigene Konditionen'!B$4</f>
        <v>0</v>
      </c>
      <c r="L10" s="62">
        <f>'eigene Konditionen'!C$4</f>
        <v>0.03</v>
      </c>
      <c r="M10" s="178" t="s">
        <v>91</v>
      </c>
      <c r="N10" s="35"/>
      <c r="O10" s="36"/>
      <c r="P10" s="36"/>
    </row>
    <row r="11" spans="1:16">
      <c r="A11" s="166" t="s">
        <v>92</v>
      </c>
      <c r="B11" s="50">
        <v>139.94999999999999</v>
      </c>
      <c r="C11" s="51">
        <f t="shared" si="8"/>
        <v>117.60504201680671</v>
      </c>
      <c r="D11" s="50">
        <v>71</v>
      </c>
      <c r="E11" s="20">
        <f t="shared" si="15"/>
        <v>71</v>
      </c>
      <c r="F11" s="79">
        <f t="shared" si="16"/>
        <v>1.6564090424902354</v>
      </c>
      <c r="G11" s="60">
        <f>C11-E11</f>
        <v>46.605042016806706</v>
      </c>
      <c r="H11" s="60">
        <f t="shared" si="18"/>
        <v>48.735042016806702</v>
      </c>
      <c r="I11" s="61">
        <f t="shared" si="19"/>
        <v>0.39628438728117177</v>
      </c>
      <c r="J11" s="61">
        <f t="shared" si="20"/>
        <v>0.41439585566273657</v>
      </c>
      <c r="K11" s="62">
        <f>'eigene Konditionen'!B$4</f>
        <v>0</v>
      </c>
      <c r="L11" s="62">
        <f>'eigene Konditionen'!C$4</f>
        <v>0.03</v>
      </c>
      <c r="M11" s="178" t="s">
        <v>91</v>
      </c>
      <c r="N11" s="35"/>
      <c r="O11" s="36"/>
      <c r="P11" s="36"/>
    </row>
    <row r="12" spans="1:16">
      <c r="A12" s="29" t="s">
        <v>93</v>
      </c>
      <c r="B12" s="20">
        <v>229.95</v>
      </c>
      <c r="C12" s="51">
        <f>B12/119*100</f>
        <v>193.23529411764704</v>
      </c>
      <c r="D12" s="20">
        <v>112.5</v>
      </c>
      <c r="E12" s="20">
        <f>D12-D12*K12</f>
        <v>112.5</v>
      </c>
      <c r="F12" s="79">
        <f>C12/E12</f>
        <v>1.7176470588235293</v>
      </c>
      <c r="G12" s="52">
        <f>C12-E12</f>
        <v>80.735294117647044</v>
      </c>
      <c r="H12" s="52">
        <f>C12-E12*(1-L12)</f>
        <v>84.110294117647044</v>
      </c>
      <c r="I12" s="53">
        <f>G12/C12</f>
        <v>0.41780821917808214</v>
      </c>
      <c r="J12" s="53">
        <f>H12/C12</f>
        <v>0.4352739726027397</v>
      </c>
      <c r="K12" s="54">
        <f>'eigene Konditionen'!B$4</f>
        <v>0</v>
      </c>
      <c r="L12" s="54">
        <f>'eigene Konditionen'!C$4</f>
        <v>0.03</v>
      </c>
      <c r="M12" s="178" t="s">
        <v>91</v>
      </c>
      <c r="N12" s="35"/>
      <c r="O12" s="36"/>
      <c r="P12" s="36"/>
    </row>
    <row r="13" spans="1:16" ht="15.75" thickBot="1">
      <c r="A13" s="30" t="s">
        <v>94</v>
      </c>
      <c r="B13" s="21">
        <v>219.95</v>
      </c>
      <c r="C13" s="55">
        <f>B13/119*100</f>
        <v>184.83193277310923</v>
      </c>
      <c r="D13" s="21">
        <v>105</v>
      </c>
      <c r="E13" s="21">
        <f t="shared" si="15"/>
        <v>105</v>
      </c>
      <c r="F13" s="74">
        <f t="shared" si="16"/>
        <v>1.7603041216486592</v>
      </c>
      <c r="G13" s="56">
        <f>C13-E13</f>
        <v>79.83193277310923</v>
      </c>
      <c r="H13" s="56">
        <f>C13-E13*(1-L13)</f>
        <v>82.981932773109236</v>
      </c>
      <c r="I13" s="57">
        <f>G13/C13</f>
        <v>0.43191634462377809</v>
      </c>
      <c r="J13" s="57">
        <f>H13/C13</f>
        <v>0.44895885428506477</v>
      </c>
      <c r="K13" s="58">
        <f>'eigene Konditionen'!B$4</f>
        <v>0</v>
      </c>
      <c r="L13" s="58">
        <f>'eigene Konditionen'!C$4</f>
        <v>0.03</v>
      </c>
      <c r="M13" s="178" t="s">
        <v>91</v>
      </c>
      <c r="N13" s="35"/>
      <c r="O13" s="37"/>
      <c r="P13" s="37"/>
    </row>
    <row r="14" spans="1:16" s="2" customFormat="1">
      <c r="A14" s="27" t="s">
        <v>15</v>
      </c>
      <c r="B14" s="50"/>
      <c r="C14" s="59"/>
      <c r="D14" s="50"/>
      <c r="E14" s="50"/>
      <c r="F14" s="80"/>
      <c r="G14" s="60"/>
      <c r="H14" s="60"/>
      <c r="I14" s="61"/>
      <c r="J14" s="61"/>
      <c r="K14" s="64"/>
      <c r="L14" s="64"/>
      <c r="M14" s="2" t="s">
        <v>95</v>
      </c>
      <c r="N14" s="35"/>
      <c r="O14" s="36"/>
      <c r="P14" s="36"/>
    </row>
    <row r="15" spans="1:16" s="2" customFormat="1">
      <c r="A15" s="29" t="s">
        <v>167</v>
      </c>
      <c r="B15" s="20">
        <v>329</v>
      </c>
      <c r="C15" s="51">
        <f t="shared" ref="C15:C33" si="21">B15/119*100</f>
        <v>276.47058823529409</v>
      </c>
      <c r="D15" s="20">
        <v>193</v>
      </c>
      <c r="E15" s="20">
        <f t="shared" si="0"/>
        <v>193.965</v>
      </c>
      <c r="F15" s="79">
        <f t="shared" ref="F15:F33" si="22">C15/E15</f>
        <v>1.4253632780929244</v>
      </c>
      <c r="G15" s="52">
        <f t="shared" ref="G15:G33" si="23">C15-E15</f>
        <v>82.505588235294084</v>
      </c>
      <c r="H15" s="52">
        <f t="shared" ref="H15:H33" si="24">C15-E15*(1-L15)</f>
        <v>82.505588235294084</v>
      </c>
      <c r="I15" s="53">
        <f t="shared" ref="I15:I33" si="25">G15/C15</f>
        <v>0.29842446808510631</v>
      </c>
      <c r="J15" s="53">
        <f t="shared" ref="J15:J33" si="26">H15/C15</f>
        <v>0.29842446808510631</v>
      </c>
      <c r="K15" s="67">
        <f>'eigene Konditionen'!B$6</f>
        <v>-5.0000000000000001E-3</v>
      </c>
      <c r="L15" s="65">
        <f>'eigene Konditionen'!C$6</f>
        <v>0</v>
      </c>
      <c r="N15" s="35"/>
      <c r="O15" s="36"/>
      <c r="P15" s="36"/>
    </row>
    <row r="16" spans="1:16" s="2" customFormat="1">
      <c r="A16" s="29" t="s">
        <v>96</v>
      </c>
      <c r="B16" s="20">
        <v>349</v>
      </c>
      <c r="C16" s="51">
        <f t="shared" si="21"/>
        <v>293.27731092436971</v>
      </c>
      <c r="D16" s="20">
        <v>201</v>
      </c>
      <c r="E16" s="20">
        <f t="shared" si="0"/>
        <v>202.005</v>
      </c>
      <c r="F16" s="79">
        <f t="shared" si="22"/>
        <v>1.4518319394290722</v>
      </c>
      <c r="G16" s="52">
        <f t="shared" si="23"/>
        <v>91.272310924369719</v>
      </c>
      <c r="H16" s="52">
        <f t="shared" si="24"/>
        <v>91.272310924369719</v>
      </c>
      <c r="I16" s="53">
        <f t="shared" si="25"/>
        <v>0.31121504297994262</v>
      </c>
      <c r="J16" s="53">
        <f t="shared" si="26"/>
        <v>0.31121504297994262</v>
      </c>
      <c r="K16" s="67">
        <f>'eigene Konditionen'!B$6</f>
        <v>-5.0000000000000001E-3</v>
      </c>
      <c r="L16" s="65">
        <f>'eigene Konditionen'!C$6</f>
        <v>0</v>
      </c>
      <c r="N16" s="35"/>
      <c r="O16" s="36"/>
      <c r="P16" s="36"/>
    </row>
    <row r="17" spans="1:16" s="2" customFormat="1">
      <c r="A17" s="31" t="s">
        <v>17</v>
      </c>
      <c r="B17" s="20"/>
      <c r="C17" s="51"/>
      <c r="D17" s="20"/>
      <c r="E17" s="20"/>
      <c r="F17" s="79"/>
      <c r="G17" s="52"/>
      <c r="H17" s="52"/>
      <c r="I17" s="53"/>
      <c r="J17" s="53"/>
      <c r="K17" s="65"/>
      <c r="L17" s="65"/>
      <c r="N17" s="35"/>
      <c r="O17" s="36"/>
      <c r="P17" s="36"/>
    </row>
    <row r="18" spans="1:16" s="2" customFormat="1">
      <c r="A18" s="29" t="s">
        <v>97</v>
      </c>
      <c r="B18" s="20">
        <v>229.9</v>
      </c>
      <c r="C18" s="51">
        <f t="shared" si="21"/>
        <v>193.19327731092437</v>
      </c>
      <c r="D18" s="20">
        <v>190</v>
      </c>
      <c r="E18" s="20">
        <f t="shared" ref="E18:E20" si="27">D18-D18*K18</f>
        <v>138.69999999999999</v>
      </c>
      <c r="F18" s="79">
        <f t="shared" si="22"/>
        <v>1.3928859214918845</v>
      </c>
      <c r="G18" s="52">
        <f t="shared" si="23"/>
        <v>54.493277310924384</v>
      </c>
      <c r="H18" s="52">
        <f t="shared" si="24"/>
        <v>58.654277310924385</v>
      </c>
      <c r="I18" s="53">
        <f t="shared" si="25"/>
        <v>0.28206611570247941</v>
      </c>
      <c r="J18" s="53">
        <f t="shared" si="26"/>
        <v>0.30360413223140503</v>
      </c>
      <c r="K18" s="65">
        <f>'eigene Konditionen'!B$7</f>
        <v>0.27</v>
      </c>
      <c r="L18" s="65">
        <f>'eigene Konditionen'!C$7</f>
        <v>0.03</v>
      </c>
      <c r="N18" s="35"/>
      <c r="O18"/>
      <c r="P18" s="35"/>
    </row>
    <row r="19" spans="1:16" s="2" customFormat="1">
      <c r="A19" s="29" t="s">
        <v>98</v>
      </c>
      <c r="B19" s="20">
        <v>259.89999999999998</v>
      </c>
      <c r="C19" s="51">
        <f t="shared" si="21"/>
        <v>218.40336134453779</v>
      </c>
      <c r="D19" s="20">
        <v>215.21</v>
      </c>
      <c r="E19" s="20">
        <f t="shared" si="27"/>
        <v>157.10329999999999</v>
      </c>
      <c r="F19" s="79">
        <f t="shared" si="22"/>
        <v>1.3901895208091606</v>
      </c>
      <c r="G19" s="52">
        <f t="shared" si="23"/>
        <v>61.300061344537795</v>
      </c>
      <c r="H19" s="52">
        <f t="shared" si="24"/>
        <v>66.013160344537795</v>
      </c>
      <c r="I19" s="53">
        <f t="shared" si="25"/>
        <v>0.28067361677568292</v>
      </c>
      <c r="J19" s="53">
        <f t="shared" si="26"/>
        <v>0.30225340827241243</v>
      </c>
      <c r="K19" s="65">
        <f>'eigene Konditionen'!B$7</f>
        <v>0.27</v>
      </c>
      <c r="L19" s="65">
        <f>'eigene Konditionen'!C$7</f>
        <v>0.03</v>
      </c>
    </row>
    <row r="20" spans="1:16" s="2" customFormat="1">
      <c r="A20" s="29" t="s">
        <v>99</v>
      </c>
      <c r="B20" s="20">
        <v>209.9</v>
      </c>
      <c r="C20" s="51">
        <f t="shared" si="21"/>
        <v>176.38655462184875</v>
      </c>
      <c r="D20" s="20">
        <v>175</v>
      </c>
      <c r="E20" s="20">
        <f t="shared" si="27"/>
        <v>127.75</v>
      </c>
      <c r="F20" s="79">
        <f t="shared" si="22"/>
        <v>1.3807166702297358</v>
      </c>
      <c r="G20" s="52">
        <f t="shared" si="23"/>
        <v>48.636554621848745</v>
      </c>
      <c r="H20" s="52">
        <f t="shared" si="24"/>
        <v>52.469054621848755</v>
      </c>
      <c r="I20" s="53">
        <f t="shared" si="25"/>
        <v>0.27573844687946641</v>
      </c>
      <c r="J20" s="53">
        <f t="shared" si="26"/>
        <v>0.29746629347308251</v>
      </c>
      <c r="K20" s="65">
        <f>'eigene Konditionen'!B$7</f>
        <v>0.27</v>
      </c>
      <c r="L20" s="65">
        <f>'eigene Konditionen'!C$7</f>
        <v>0.03</v>
      </c>
    </row>
    <row r="21" spans="1:16" s="2" customFormat="1">
      <c r="A21" s="31" t="s">
        <v>21</v>
      </c>
      <c r="B21" s="20"/>
      <c r="C21" s="51"/>
      <c r="D21" s="20"/>
      <c r="E21" s="20"/>
      <c r="F21" s="79"/>
      <c r="G21" s="52"/>
      <c r="H21" s="52"/>
      <c r="I21" s="53"/>
      <c r="J21" s="53"/>
      <c r="K21" s="65"/>
      <c r="L21" s="65"/>
    </row>
    <row r="22" spans="1:16" s="2" customFormat="1">
      <c r="A22" s="29" t="s">
        <v>193</v>
      </c>
      <c r="B22" s="20">
        <v>219.95</v>
      </c>
      <c r="C22" s="51">
        <f t="shared" si="21"/>
        <v>184.83193277310923</v>
      </c>
      <c r="D22" s="20">
        <v>141.80000000000001</v>
      </c>
      <c r="E22" s="20">
        <f>D22-D22*K22</f>
        <v>141.80000000000001</v>
      </c>
      <c r="F22" s="79">
        <f t="shared" si="22"/>
        <v>1.3034692015028859</v>
      </c>
      <c r="G22" s="52">
        <f t="shared" si="23"/>
        <v>43.031932773109219</v>
      </c>
      <c r="H22" s="52">
        <f t="shared" si="24"/>
        <v>47.285932773109209</v>
      </c>
      <c r="I22" s="53">
        <f t="shared" si="25"/>
        <v>0.23281654921573072</v>
      </c>
      <c r="J22" s="53">
        <f t="shared" si="26"/>
        <v>0.25583205273925874</v>
      </c>
      <c r="K22" s="65">
        <f>'eigene Konditionen'!B$9</f>
        <v>0</v>
      </c>
      <c r="L22" s="65">
        <f>'eigene Konditionen'!C$9</f>
        <v>0.03</v>
      </c>
    </row>
    <row r="23" spans="1:16" s="2" customFormat="1">
      <c r="A23" s="29" t="s">
        <v>194</v>
      </c>
      <c r="B23" s="20">
        <v>249.95</v>
      </c>
      <c r="C23" s="51">
        <f t="shared" si="21"/>
        <v>210.0420168067227</v>
      </c>
      <c r="D23" s="20">
        <v>160.6</v>
      </c>
      <c r="E23" s="20">
        <f>D23-D23*K23</f>
        <v>160.6</v>
      </c>
      <c r="F23" s="79">
        <f t="shared" si="22"/>
        <v>1.3078581370281612</v>
      </c>
      <c r="G23" s="52">
        <f t="shared" si="23"/>
        <v>49.442016806722705</v>
      </c>
      <c r="H23" s="52">
        <f t="shared" si="24"/>
        <v>54.260016806722717</v>
      </c>
      <c r="I23" s="53">
        <f t="shared" si="25"/>
        <v>0.2353910782156432</v>
      </c>
      <c r="J23" s="53">
        <f t="shared" si="26"/>
        <v>0.25832934586917394</v>
      </c>
      <c r="K23" s="65">
        <f>'eigene Konditionen'!B$9</f>
        <v>0</v>
      </c>
      <c r="L23" s="65">
        <f>'eigene Konditionen'!C$9</f>
        <v>0.03</v>
      </c>
    </row>
    <row r="24" spans="1:16" s="2" customFormat="1">
      <c r="A24" s="29" t="s">
        <v>195</v>
      </c>
      <c r="B24" s="20">
        <v>179.95</v>
      </c>
      <c r="C24" s="51">
        <f t="shared" si="21"/>
        <v>151.21848739495798</v>
      </c>
      <c r="D24" s="20">
        <v>128.4</v>
      </c>
      <c r="E24" s="20">
        <f>D24-D24*K24</f>
        <v>128.4</v>
      </c>
      <c r="F24" s="79">
        <f t="shared" si="22"/>
        <v>1.1777140762847194</v>
      </c>
      <c r="G24" s="52">
        <f t="shared" si="23"/>
        <v>22.81848739495797</v>
      </c>
      <c r="H24" s="52">
        <f t="shared" si="24"/>
        <v>26.670487394957973</v>
      </c>
      <c r="I24" s="53">
        <f t="shared" si="25"/>
        <v>0.15089747151986654</v>
      </c>
      <c r="J24" s="53">
        <f t="shared" si="26"/>
        <v>0.17637054737427058</v>
      </c>
      <c r="K24" s="65">
        <f>'eigene Konditionen'!B$9</f>
        <v>0</v>
      </c>
      <c r="L24" s="65">
        <f>'eigene Konditionen'!C$9</f>
        <v>0.03</v>
      </c>
    </row>
    <row r="25" spans="1:16" s="2" customFormat="1">
      <c r="A25" s="235" t="s">
        <v>196</v>
      </c>
      <c r="B25" s="154">
        <v>199.95</v>
      </c>
      <c r="C25" s="155">
        <f t="shared" si="21"/>
        <v>168.0252100840336</v>
      </c>
      <c r="D25" s="154">
        <v>138.4</v>
      </c>
      <c r="E25" s="20">
        <f>D25-D25*K25</f>
        <v>138.4</v>
      </c>
      <c r="F25" s="79">
        <f t="shared" ref="F25" si="28">C25/E25</f>
        <v>1.2140549861563121</v>
      </c>
      <c r="G25" s="52">
        <f t="shared" ref="G25" si="29">C25-E25</f>
        <v>29.625210084033597</v>
      </c>
      <c r="H25" s="52">
        <f t="shared" ref="H25" si="30">C25-E25*(1-L25)</f>
        <v>33.777210084033612</v>
      </c>
      <c r="I25" s="53">
        <f t="shared" ref="I25" si="31">G25/C25</f>
        <v>0.17631407851962982</v>
      </c>
      <c r="J25" s="53">
        <f t="shared" ref="J25" si="32">H25/C25</f>
        <v>0.20102465616404103</v>
      </c>
      <c r="K25" s="65">
        <f>'eigene Konditionen'!B$9</f>
        <v>0</v>
      </c>
      <c r="L25" s="65">
        <f>'eigene Konditionen'!C$9</f>
        <v>0.03</v>
      </c>
    </row>
    <row r="26" spans="1:16" ht="15.75" thickBot="1">
      <c r="A26" s="30" t="s">
        <v>197</v>
      </c>
      <c r="B26" s="21">
        <v>229.95</v>
      </c>
      <c r="C26" s="55">
        <f t="shared" si="21"/>
        <v>193.23529411764704</v>
      </c>
      <c r="D26" s="21">
        <v>159.19999999999999</v>
      </c>
      <c r="E26" s="21">
        <f>D26-D26*K26</f>
        <v>159.19999999999999</v>
      </c>
      <c r="F26" s="74">
        <f t="shared" si="22"/>
        <v>1.2137895359148685</v>
      </c>
      <c r="G26" s="56">
        <f t="shared" si="23"/>
        <v>34.035294117647055</v>
      </c>
      <c r="H26" s="56">
        <f t="shared" si="24"/>
        <v>38.811294117647066</v>
      </c>
      <c r="I26" s="57">
        <f t="shared" si="25"/>
        <v>0.17613394216133943</v>
      </c>
      <c r="J26" s="57">
        <f t="shared" si="26"/>
        <v>0.20084992389649928</v>
      </c>
      <c r="K26" s="58">
        <f>'eigene Konditionen'!B$9</f>
        <v>0</v>
      </c>
      <c r="L26" s="58">
        <f>'eigene Konditionen'!C$9</f>
        <v>0.03</v>
      </c>
      <c r="N26" s="35"/>
      <c r="O26" s="37"/>
      <c r="P26" s="37"/>
    </row>
    <row r="27" spans="1:16" s="2" customFormat="1">
      <c r="A27" s="31" t="s">
        <v>65</v>
      </c>
      <c r="B27" s="20"/>
      <c r="C27" s="51"/>
      <c r="D27" s="20"/>
      <c r="E27" s="20"/>
      <c r="F27" s="79"/>
      <c r="G27" s="52"/>
      <c r="H27" s="52"/>
      <c r="I27" s="53"/>
      <c r="J27" s="53"/>
      <c r="K27" s="53"/>
      <c r="L27" s="53"/>
    </row>
    <row r="28" spans="1:16" s="2" customFormat="1">
      <c r="A28" s="29" t="s">
        <v>100</v>
      </c>
      <c r="B28" s="20">
        <v>189.95</v>
      </c>
      <c r="C28" s="51">
        <f t="shared" si="21"/>
        <v>159.62184873949579</v>
      </c>
      <c r="D28" s="20">
        <v>111.8</v>
      </c>
      <c r="E28" s="20">
        <f>D28-D28*K28</f>
        <v>106.21</v>
      </c>
      <c r="F28" s="79">
        <f t="shared" si="22"/>
        <v>1.5028890757884925</v>
      </c>
      <c r="G28" s="52">
        <f t="shared" si="23"/>
        <v>53.411848739495795</v>
      </c>
      <c r="H28" s="52">
        <f t="shared" si="24"/>
        <v>58.7223487394958</v>
      </c>
      <c r="I28" s="53">
        <f t="shared" si="25"/>
        <v>0.33461489865754146</v>
      </c>
      <c r="J28" s="53">
        <f t="shared" si="26"/>
        <v>0.36788415372466443</v>
      </c>
      <c r="K28" s="53">
        <f>'eigene Konditionen'!B$11</f>
        <v>0.05</v>
      </c>
      <c r="L28" s="53">
        <f>'eigene Konditionen'!C$11</f>
        <v>0.05</v>
      </c>
    </row>
    <row r="29" spans="1:16" ht="15.75" thickBot="1">
      <c r="A29" s="30" t="s">
        <v>101</v>
      </c>
      <c r="B29" s="21">
        <v>129.94999999999999</v>
      </c>
      <c r="C29" s="55">
        <f t="shared" si="21"/>
        <v>109.20168067226889</v>
      </c>
      <c r="D29" s="21">
        <v>78.8</v>
      </c>
      <c r="E29" s="21">
        <f>D29-D29*K29</f>
        <v>74.86</v>
      </c>
      <c r="F29" s="74">
        <f t="shared" si="22"/>
        <v>1.4587454003776235</v>
      </c>
      <c r="G29" s="56">
        <f t="shared" si="23"/>
        <v>34.341680672268893</v>
      </c>
      <c r="H29" s="56">
        <f t="shared" si="24"/>
        <v>38.084680672268902</v>
      </c>
      <c r="I29" s="57">
        <f t="shared" si="25"/>
        <v>0.3144794151596767</v>
      </c>
      <c r="J29" s="57">
        <f t="shared" si="26"/>
        <v>0.34875544440169298</v>
      </c>
      <c r="K29" s="58">
        <f>'eigene Konditionen'!B$11</f>
        <v>0.05</v>
      </c>
      <c r="L29" s="58">
        <f>'eigene Konditionen'!C$11</f>
        <v>0.05</v>
      </c>
      <c r="N29" s="35"/>
      <c r="O29" s="37"/>
      <c r="P29" s="37"/>
    </row>
    <row r="30" spans="1:16" ht="15.75" thickBot="1">
      <c r="A30" s="30" t="s">
        <v>102</v>
      </c>
      <c r="B30" s="21">
        <v>279</v>
      </c>
      <c r="C30" s="55">
        <f t="shared" si="21"/>
        <v>234.45378151260505</v>
      </c>
      <c r="D30" s="21">
        <v>175</v>
      </c>
      <c r="E30" s="21">
        <f>D30-D30*K30</f>
        <v>175</v>
      </c>
      <c r="F30" s="74">
        <f t="shared" si="22"/>
        <v>1.3397358943577431</v>
      </c>
      <c r="G30" s="56">
        <f t="shared" si="23"/>
        <v>59.453781512605048</v>
      </c>
      <c r="H30" s="56">
        <f t="shared" si="24"/>
        <v>59.453781512605048</v>
      </c>
      <c r="I30" s="57">
        <f t="shared" si="25"/>
        <v>0.25358422939068104</v>
      </c>
      <c r="J30" s="57">
        <f t="shared" si="26"/>
        <v>0.25358422939068104</v>
      </c>
      <c r="K30" s="58">
        <f>'eigene Konditionen'!B$12</f>
        <v>0</v>
      </c>
      <c r="L30" s="58">
        <f>'eigene Konditionen'!C$12</f>
        <v>0</v>
      </c>
      <c r="N30" s="35"/>
      <c r="O30" s="37"/>
      <c r="P30" s="37"/>
    </row>
    <row r="31" spans="1:16" ht="15.75" thickBot="1">
      <c r="A31" s="30" t="s">
        <v>103</v>
      </c>
      <c r="B31" s="21">
        <v>249.95</v>
      </c>
      <c r="C31" s="55">
        <f t="shared" si="21"/>
        <v>210.0420168067227</v>
      </c>
      <c r="D31" s="21">
        <v>151.94999999999999</v>
      </c>
      <c r="E31" s="21">
        <f>D31-D31*K31</f>
        <v>144.35249999999999</v>
      </c>
      <c r="F31" s="74">
        <f t="shared" si="22"/>
        <v>1.4550632431493926</v>
      </c>
      <c r="G31" s="56">
        <f t="shared" si="23"/>
        <v>65.689516806722708</v>
      </c>
      <c r="H31" s="56">
        <f t="shared" si="24"/>
        <v>72.907141806722706</v>
      </c>
      <c r="I31" s="57">
        <f t="shared" si="25"/>
        <v>0.31274464892978604</v>
      </c>
      <c r="J31" s="57">
        <f t="shared" si="26"/>
        <v>0.34710741648329674</v>
      </c>
      <c r="K31" s="58">
        <f>'eigene Konditionen'!B$16</f>
        <v>0.05</v>
      </c>
      <c r="L31" s="58">
        <f>'eigene Konditionen'!C$16</f>
        <v>0.05</v>
      </c>
      <c r="N31" s="35"/>
      <c r="O31" s="37"/>
      <c r="P31" s="37"/>
    </row>
    <row r="32" spans="1:16" s="2" customFormat="1">
      <c r="A32" s="166" t="s">
        <v>122</v>
      </c>
      <c r="B32" s="50">
        <v>269</v>
      </c>
      <c r="C32" s="59">
        <f>B32/119*100</f>
        <v>226.05042016806723</v>
      </c>
      <c r="D32" s="59">
        <v>159.9</v>
      </c>
      <c r="E32" s="50">
        <f>D32-K32*D32</f>
        <v>148.70699999999999</v>
      </c>
      <c r="F32" s="60">
        <f>C32/E32</f>
        <v>1.5201061158389804</v>
      </c>
      <c r="G32" s="60">
        <f>C32-E32</f>
        <v>77.34342016806724</v>
      </c>
      <c r="H32" s="60">
        <f>C32-E32*(1-L32)</f>
        <v>81.804630168067234</v>
      </c>
      <c r="I32" s="61">
        <f>G32/C32</f>
        <v>0.3421511895910781</v>
      </c>
      <c r="J32" s="61">
        <f>H32/C32</f>
        <v>0.36188665390334573</v>
      </c>
      <c r="K32" s="64">
        <f>'eigene Konditionen'!B$17</f>
        <v>7.0000000000000007E-2</v>
      </c>
      <c r="L32" s="62">
        <f>'eigene Konditionen'!C$17</f>
        <v>0.03</v>
      </c>
    </row>
    <row r="33" spans="1:13" s="2" customFormat="1">
      <c r="A33" s="31" t="s">
        <v>104</v>
      </c>
      <c r="B33" s="20">
        <v>299</v>
      </c>
      <c r="C33" s="51">
        <f t="shared" si="21"/>
        <v>251.26050420168067</v>
      </c>
      <c r="D33" s="20">
        <v>150</v>
      </c>
      <c r="E33" s="20">
        <f>D33-D33*K33</f>
        <v>150</v>
      </c>
      <c r="F33" s="79">
        <f t="shared" si="22"/>
        <v>1.6750700280112045</v>
      </c>
      <c r="G33" s="52">
        <f t="shared" si="23"/>
        <v>101.26050420168067</v>
      </c>
      <c r="H33" s="52">
        <f t="shared" si="24"/>
        <v>101.26050420168067</v>
      </c>
      <c r="I33" s="53">
        <f t="shared" si="25"/>
        <v>0.40301003344481606</v>
      </c>
      <c r="J33" s="53">
        <f t="shared" si="26"/>
        <v>0.40301003344481606</v>
      </c>
      <c r="K33" s="53">
        <f>'eigene Konditionen'!B$18</f>
        <v>0</v>
      </c>
      <c r="L33" s="53">
        <f>'eigene Konditionen'!C$18</f>
        <v>0</v>
      </c>
      <c r="M33" s="160"/>
    </row>
    <row r="34" spans="1:13" s="2" customFormat="1">
      <c r="A34" s="179"/>
      <c r="B34" s="180"/>
      <c r="C34" s="22"/>
      <c r="D34" s="181"/>
      <c r="E34" s="181"/>
      <c r="F34" s="38"/>
      <c r="G34" s="23"/>
      <c r="H34" s="23"/>
      <c r="I34" s="203"/>
      <c r="J34" s="182"/>
      <c r="K34" s="204"/>
      <c r="L34" s="205"/>
    </row>
    <row r="35" spans="1:13" s="2" customFormat="1">
      <c r="A35" s="179"/>
      <c r="B35" s="185"/>
      <c r="C35" s="22"/>
      <c r="D35" s="181"/>
      <c r="E35" s="181"/>
      <c r="F35" s="38"/>
      <c r="G35" s="23"/>
      <c r="H35" s="23"/>
      <c r="I35" s="203"/>
      <c r="J35" s="182"/>
      <c r="K35" s="204"/>
      <c r="L35" s="205"/>
    </row>
    <row r="36" spans="1:13" s="2" customFormat="1">
      <c r="A36" s="179"/>
      <c r="B36" s="185"/>
      <c r="C36" s="22"/>
      <c r="D36" s="181"/>
      <c r="E36" s="181"/>
      <c r="F36" s="38"/>
      <c r="G36" s="23"/>
      <c r="H36" s="23"/>
      <c r="I36" s="182"/>
      <c r="J36" s="182"/>
      <c r="K36" s="204"/>
      <c r="L36" s="205"/>
    </row>
    <row r="37" spans="1:13" s="2" customFormat="1">
      <c r="A37" s="179"/>
      <c r="B37" s="180"/>
      <c r="C37" s="22"/>
      <c r="D37" s="181"/>
      <c r="E37" s="181"/>
      <c r="F37" s="38"/>
      <c r="G37" s="23"/>
      <c r="H37" s="23"/>
      <c r="I37" s="182"/>
      <c r="J37" s="182"/>
      <c r="K37" s="204"/>
      <c r="L37" s="205"/>
    </row>
    <row r="38" spans="1:13" s="2" customFormat="1">
      <c r="A38" s="179"/>
      <c r="B38" s="185"/>
      <c r="C38" s="22"/>
      <c r="D38" s="181"/>
      <c r="E38" s="181"/>
      <c r="F38" s="38"/>
      <c r="G38" s="23"/>
      <c r="H38" s="23"/>
      <c r="I38" s="182"/>
      <c r="J38" s="182"/>
      <c r="K38" s="204"/>
      <c r="L38" s="205"/>
    </row>
    <row r="39" spans="1:13" s="2" customFormat="1">
      <c r="A39" s="179"/>
      <c r="B39" s="186"/>
      <c r="C39" s="22"/>
      <c r="D39" s="181"/>
      <c r="E39" s="181"/>
      <c r="F39" s="38"/>
      <c r="G39" s="23"/>
      <c r="H39" s="23"/>
      <c r="I39" s="182"/>
      <c r="J39" s="182"/>
      <c r="K39" s="204"/>
      <c r="L39" s="205"/>
    </row>
    <row r="40" spans="1:13" s="2" customFormat="1">
      <c r="A40" s="179"/>
      <c r="B40" s="180"/>
      <c r="C40" s="22"/>
      <c r="D40" s="181"/>
      <c r="E40" s="181"/>
      <c r="F40" s="38"/>
      <c r="G40" s="23"/>
      <c r="H40" s="23"/>
      <c r="I40" s="182"/>
      <c r="J40" s="182"/>
      <c r="K40" s="204"/>
      <c r="L40" s="205"/>
    </row>
    <row r="41" spans="1:13" s="2" customFormat="1">
      <c r="A41" s="187"/>
      <c r="B41" s="185"/>
      <c r="C41" s="22"/>
      <c r="D41" s="181"/>
      <c r="E41" s="181"/>
      <c r="F41" s="38"/>
      <c r="G41" s="23"/>
      <c r="H41" s="23"/>
      <c r="I41" s="182"/>
      <c r="J41" s="182"/>
      <c r="K41" s="204"/>
      <c r="L41" s="205"/>
    </row>
    <row r="42" spans="1:13" s="2" customFormat="1">
      <c r="A42" s="179"/>
      <c r="B42" s="185"/>
      <c r="C42" s="22"/>
      <c r="D42" s="181"/>
      <c r="E42" s="181"/>
      <c r="F42" s="38"/>
      <c r="G42" s="23"/>
      <c r="H42" s="23"/>
      <c r="I42" s="182"/>
      <c r="J42" s="182"/>
      <c r="K42" s="206"/>
      <c r="L42" s="205"/>
    </row>
    <row r="43" spans="1:13" s="2" customFormat="1">
      <c r="A43" s="179"/>
      <c r="B43" s="186"/>
      <c r="C43" s="22"/>
      <c r="D43" s="181"/>
      <c r="E43" s="181"/>
      <c r="F43" s="38"/>
      <c r="G43" s="23"/>
      <c r="H43" s="23"/>
      <c r="I43" s="182"/>
      <c r="J43" s="182"/>
      <c r="K43" s="206"/>
      <c r="L43" s="205"/>
    </row>
    <row r="44" spans="1:13" s="2" customFormat="1">
      <c r="A44" s="179"/>
      <c r="B44" s="185"/>
      <c r="C44" s="22"/>
      <c r="D44" s="181"/>
      <c r="E44" s="181"/>
      <c r="F44" s="38"/>
      <c r="G44" s="23"/>
      <c r="H44" s="23"/>
      <c r="I44" s="182"/>
      <c r="J44" s="182"/>
      <c r="K44" s="206"/>
      <c r="L44" s="205"/>
    </row>
    <row r="45" spans="1:13" s="2" customFormat="1">
      <c r="A45" s="179"/>
      <c r="B45" s="180"/>
      <c r="C45" s="22"/>
      <c r="D45" s="181"/>
      <c r="E45" s="181"/>
      <c r="F45" s="38"/>
      <c r="G45" s="23"/>
      <c r="H45" s="23"/>
      <c r="I45" s="182"/>
      <c r="J45" s="182"/>
      <c r="K45" s="206"/>
      <c r="L45" s="205"/>
    </row>
    <row r="46" spans="1:13" s="2" customFormat="1">
      <c r="A46" s="179"/>
      <c r="B46" s="180"/>
      <c r="C46" s="22"/>
      <c r="D46" s="181"/>
      <c r="E46" s="181"/>
      <c r="F46" s="38"/>
      <c r="G46" s="23"/>
      <c r="H46" s="23"/>
      <c r="I46" s="182"/>
      <c r="J46" s="182"/>
      <c r="K46" s="206"/>
      <c r="L46" s="205"/>
    </row>
    <row r="47" spans="1:13" s="2" customFormat="1">
      <c r="A47" s="179"/>
      <c r="B47" s="186"/>
      <c r="C47" s="22"/>
      <c r="D47" s="181"/>
      <c r="E47" s="181"/>
      <c r="F47" s="38"/>
      <c r="G47" s="23"/>
      <c r="H47" s="23"/>
      <c r="I47" s="182"/>
      <c r="J47" s="182"/>
      <c r="K47" s="206"/>
      <c r="L47" s="205"/>
    </row>
    <row r="48" spans="1:13" s="2" customFormat="1">
      <c r="A48" s="179"/>
      <c r="B48" s="185"/>
      <c r="C48" s="22"/>
      <c r="D48" s="181"/>
      <c r="E48" s="181"/>
      <c r="F48" s="38"/>
      <c r="G48" s="23"/>
      <c r="H48" s="23"/>
      <c r="I48" s="182"/>
      <c r="J48" s="182"/>
      <c r="K48" s="206"/>
      <c r="L48" s="205"/>
    </row>
    <row r="49" spans="1:12" s="2" customFormat="1">
      <c r="A49" s="179"/>
      <c r="B49" s="185"/>
      <c r="C49" s="22"/>
      <c r="D49" s="181"/>
      <c r="E49" s="181"/>
      <c r="F49" s="38"/>
      <c r="G49" s="23"/>
      <c r="H49" s="23"/>
      <c r="I49" s="182"/>
      <c r="J49" s="182"/>
      <c r="K49" s="206"/>
      <c r="L49" s="205"/>
    </row>
    <row r="50" spans="1:12" s="2" customFormat="1">
      <c r="A50" s="179"/>
      <c r="B50" s="185"/>
      <c r="C50" s="22"/>
      <c r="D50" s="181"/>
      <c r="E50" s="181"/>
      <c r="F50" s="38"/>
      <c r="G50" s="23"/>
      <c r="H50" s="23"/>
      <c r="I50" s="182"/>
      <c r="J50" s="182"/>
      <c r="K50" s="206"/>
      <c r="L50" s="205"/>
    </row>
    <row r="51" spans="1:12" s="2" customFormat="1">
      <c r="A51" s="179"/>
      <c r="B51" s="180"/>
      <c r="C51" s="22"/>
      <c r="D51" s="181"/>
      <c r="E51" s="181"/>
      <c r="F51" s="38"/>
      <c r="G51" s="23"/>
      <c r="H51" s="23"/>
      <c r="I51" s="182"/>
      <c r="J51" s="182"/>
      <c r="K51" s="206"/>
      <c r="L51" s="205"/>
    </row>
    <row r="52" spans="1:12" s="2" customFormat="1">
      <c r="A52" s="188"/>
      <c r="B52" s="185"/>
      <c r="C52" s="22"/>
      <c r="D52" s="181"/>
      <c r="E52" s="181"/>
      <c r="F52" s="38"/>
      <c r="G52" s="23"/>
      <c r="H52" s="23"/>
      <c r="I52" s="182"/>
      <c r="J52" s="182"/>
      <c r="K52" s="204"/>
      <c r="L52" s="205"/>
    </row>
    <row r="53" spans="1:12" s="2" customFormat="1">
      <c r="A53" s="179"/>
      <c r="B53" s="185"/>
      <c r="C53" s="22"/>
      <c r="D53" s="181"/>
      <c r="E53" s="181"/>
      <c r="F53" s="38"/>
      <c r="G53" s="23"/>
      <c r="H53" s="23"/>
      <c r="I53" s="182"/>
      <c r="J53" s="182"/>
      <c r="K53" s="206"/>
      <c r="L53" s="205"/>
    </row>
    <row r="54" spans="1:12" s="2" customFormat="1">
      <c r="A54" s="179"/>
      <c r="B54" s="186"/>
      <c r="C54" s="22"/>
      <c r="D54" s="181"/>
      <c r="E54" s="181"/>
      <c r="F54" s="38"/>
      <c r="G54" s="23"/>
      <c r="H54" s="23"/>
      <c r="I54" s="182"/>
      <c r="J54" s="182"/>
      <c r="K54" s="206"/>
      <c r="L54" s="205"/>
    </row>
    <row r="55" spans="1:12" s="2" customFormat="1">
      <c r="A55" s="179"/>
      <c r="B55" s="185"/>
      <c r="C55" s="22"/>
      <c r="D55" s="181"/>
      <c r="E55" s="181"/>
      <c r="F55" s="38"/>
      <c r="G55" s="23"/>
      <c r="H55" s="23"/>
      <c r="I55" s="182"/>
      <c r="J55" s="182"/>
      <c r="K55" s="206"/>
      <c r="L55" s="205"/>
    </row>
    <row r="56" spans="1:12" s="2" customFormat="1">
      <c r="A56" s="187"/>
      <c r="B56" s="185"/>
      <c r="C56" s="22"/>
      <c r="D56" s="181"/>
      <c r="E56" s="181"/>
      <c r="F56" s="38"/>
      <c r="G56" s="23"/>
      <c r="H56" s="23"/>
      <c r="I56" s="182"/>
      <c r="J56" s="182"/>
      <c r="K56" s="206"/>
      <c r="L56" s="205"/>
    </row>
    <row r="57" spans="1:12" s="2" customFormat="1">
      <c r="A57" s="179"/>
      <c r="B57" s="185"/>
      <c r="C57" s="22"/>
      <c r="D57" s="181"/>
      <c r="E57" s="181"/>
      <c r="F57" s="38"/>
      <c r="G57" s="23"/>
      <c r="H57" s="23"/>
      <c r="I57" s="182"/>
      <c r="J57" s="182"/>
      <c r="K57" s="206"/>
      <c r="L57" s="205"/>
    </row>
    <row r="58" spans="1:12" s="2" customFormat="1">
      <c r="A58" s="179"/>
      <c r="B58" s="180"/>
      <c r="C58" s="22"/>
      <c r="D58" s="181"/>
      <c r="E58" s="181"/>
      <c r="F58" s="38"/>
      <c r="G58" s="23"/>
      <c r="H58" s="23"/>
      <c r="I58" s="182"/>
      <c r="J58" s="182"/>
      <c r="K58" s="204"/>
      <c r="L58" s="205"/>
    </row>
    <row r="59" spans="1:12" s="2" customFormat="1" ht="12.6" customHeight="1">
      <c r="A59" s="187"/>
      <c r="B59" s="189"/>
      <c r="C59" s="22"/>
      <c r="D59" s="181"/>
      <c r="E59" s="181"/>
      <c r="F59" s="38"/>
      <c r="G59" s="23"/>
      <c r="H59" s="23"/>
      <c r="I59" s="182"/>
      <c r="J59" s="182"/>
      <c r="K59" s="206"/>
      <c r="L59" s="205"/>
    </row>
    <row r="60" spans="1:12" s="2" customFormat="1">
      <c r="A60" s="179"/>
      <c r="B60" s="186"/>
      <c r="C60" s="22"/>
      <c r="D60" s="181"/>
      <c r="E60" s="181"/>
      <c r="F60" s="38"/>
      <c r="G60" s="23"/>
      <c r="H60" s="23"/>
      <c r="I60" s="182"/>
      <c r="J60" s="182"/>
      <c r="K60" s="206"/>
      <c r="L60" s="205"/>
    </row>
    <row r="61" spans="1:12" s="2" customFormat="1">
      <c r="A61" s="179"/>
      <c r="B61" s="185"/>
      <c r="C61" s="22"/>
      <c r="D61" s="181"/>
      <c r="E61" s="181"/>
      <c r="F61" s="38"/>
      <c r="G61" s="23"/>
      <c r="H61" s="23"/>
      <c r="I61" s="182"/>
      <c r="J61" s="182"/>
      <c r="K61" s="206"/>
      <c r="L61" s="205"/>
    </row>
    <row r="62" spans="1:12" s="2" customFormat="1">
      <c r="A62" s="179"/>
      <c r="B62" s="185"/>
      <c r="C62" s="22"/>
      <c r="D62" s="181"/>
      <c r="E62" s="181"/>
      <c r="F62" s="38"/>
      <c r="G62" s="23"/>
      <c r="H62" s="23"/>
      <c r="I62" s="182"/>
      <c r="J62" s="182"/>
      <c r="K62" s="206"/>
      <c r="L62" s="205"/>
    </row>
    <row r="63" spans="1:12" s="2" customFormat="1">
      <c r="A63" s="179"/>
      <c r="B63" s="180"/>
      <c r="C63" s="22"/>
      <c r="D63" s="181"/>
      <c r="E63" s="181"/>
      <c r="F63" s="38"/>
      <c r="G63" s="23"/>
      <c r="H63" s="23"/>
      <c r="I63" s="182"/>
      <c r="J63" s="182"/>
      <c r="K63" s="206"/>
      <c r="L63" s="205"/>
    </row>
    <row r="64" spans="1:12" s="2" customFormat="1">
      <c r="A64" s="187"/>
      <c r="B64" s="185"/>
      <c r="C64" s="22"/>
      <c r="D64" s="181"/>
      <c r="E64" s="181"/>
      <c r="F64" s="38"/>
      <c r="G64" s="23"/>
      <c r="H64" s="23"/>
      <c r="I64" s="182"/>
      <c r="J64" s="182"/>
      <c r="K64" s="206"/>
      <c r="L64" s="205"/>
    </row>
    <row r="65" spans="1:12" s="2" customFormat="1">
      <c r="A65" s="179"/>
      <c r="B65" s="186"/>
      <c r="C65" s="22"/>
      <c r="D65" s="181"/>
      <c r="E65" s="181"/>
      <c r="F65" s="38"/>
      <c r="G65" s="23"/>
      <c r="H65" s="23"/>
      <c r="I65" s="182"/>
      <c r="J65" s="182"/>
      <c r="K65" s="206"/>
      <c r="L65" s="205"/>
    </row>
    <row r="66" spans="1:12" s="2" customFormat="1">
      <c r="A66" s="179"/>
      <c r="B66" s="180"/>
      <c r="C66" s="22"/>
      <c r="D66" s="181"/>
      <c r="E66" s="181"/>
      <c r="F66" s="38"/>
      <c r="G66" s="23"/>
      <c r="H66" s="23"/>
      <c r="I66" s="182"/>
      <c r="J66" s="182"/>
      <c r="K66" s="206"/>
      <c r="L66" s="205"/>
    </row>
    <row r="67" spans="1:12" s="15" customFormat="1">
      <c r="A67" s="187"/>
      <c r="B67" s="190"/>
      <c r="C67" s="191"/>
      <c r="D67" s="192"/>
      <c r="E67" s="192"/>
      <c r="F67" s="207"/>
      <c r="G67" s="193"/>
      <c r="H67" s="193"/>
      <c r="I67" s="194"/>
      <c r="J67" s="194"/>
      <c r="K67" s="208"/>
      <c r="L67" s="209"/>
    </row>
    <row r="68" spans="1:12" s="2" customFormat="1">
      <c r="A68" s="179"/>
      <c r="B68" s="185"/>
      <c r="C68" s="22"/>
      <c r="D68" s="181"/>
      <c r="E68" s="181"/>
      <c r="F68" s="38"/>
      <c r="G68" s="23"/>
      <c r="H68" s="23"/>
      <c r="I68" s="182"/>
      <c r="J68" s="182"/>
      <c r="K68" s="206"/>
      <c r="L68" s="205"/>
    </row>
    <row r="69" spans="1:12" s="2" customFormat="1">
      <c r="A69" s="179"/>
      <c r="B69" s="185"/>
      <c r="C69" s="22"/>
      <c r="D69" s="181"/>
      <c r="E69" s="181"/>
      <c r="F69" s="38"/>
      <c r="G69" s="23"/>
      <c r="H69" s="23"/>
      <c r="I69" s="182"/>
      <c r="J69" s="182"/>
      <c r="K69" s="206"/>
      <c r="L69" s="205"/>
    </row>
    <row r="70" spans="1:12" s="2" customFormat="1">
      <c r="A70" s="179"/>
      <c r="B70" s="180"/>
      <c r="C70" s="22"/>
      <c r="D70" s="181"/>
      <c r="E70" s="181"/>
      <c r="F70" s="38"/>
      <c r="G70" s="23"/>
      <c r="H70" s="23"/>
      <c r="I70" s="182"/>
      <c r="J70" s="182"/>
      <c r="K70" s="206"/>
      <c r="L70" s="205"/>
    </row>
    <row r="71" spans="1:12" s="2" customFormat="1">
      <c r="A71" s="187"/>
      <c r="B71" s="186"/>
      <c r="C71" s="22"/>
      <c r="D71" s="181"/>
      <c r="E71" s="181"/>
      <c r="F71" s="38"/>
      <c r="G71" s="23"/>
      <c r="H71" s="23"/>
      <c r="I71" s="182"/>
      <c r="J71" s="182"/>
      <c r="K71" s="206"/>
      <c r="L71" s="205"/>
    </row>
    <row r="72" spans="1:12" s="2" customFormat="1">
      <c r="A72" s="179"/>
      <c r="B72" s="185"/>
      <c r="C72" s="22"/>
      <c r="D72" s="181"/>
      <c r="E72" s="181"/>
      <c r="F72" s="38"/>
      <c r="G72" s="23"/>
      <c r="H72" s="23"/>
      <c r="I72" s="182"/>
      <c r="J72" s="182"/>
      <c r="K72" s="206"/>
      <c r="L72" s="205"/>
    </row>
    <row r="73" spans="1:12" s="2" customFormat="1">
      <c r="A73" s="179"/>
      <c r="B73" s="186"/>
      <c r="C73" s="22"/>
      <c r="D73" s="181"/>
      <c r="E73" s="181"/>
      <c r="F73" s="38"/>
      <c r="G73" s="23"/>
      <c r="H73" s="23"/>
      <c r="I73" s="182"/>
      <c r="J73" s="182"/>
      <c r="K73" s="206"/>
      <c r="L73" s="205"/>
    </row>
    <row r="74" spans="1:12" s="2" customFormat="1">
      <c r="A74" s="179"/>
      <c r="B74" s="185"/>
      <c r="C74" s="22"/>
      <c r="D74" s="181"/>
      <c r="E74" s="181"/>
      <c r="F74" s="38"/>
      <c r="G74" s="23"/>
      <c r="H74" s="23"/>
      <c r="I74" s="182"/>
      <c r="J74" s="182"/>
      <c r="K74" s="206"/>
      <c r="L74" s="205"/>
    </row>
    <row r="75" spans="1:12" s="2" customFormat="1">
      <c r="A75" s="179"/>
      <c r="B75" s="180"/>
      <c r="C75" s="22"/>
      <c r="D75" s="181"/>
      <c r="E75" s="181"/>
      <c r="F75" s="38"/>
      <c r="G75" s="23"/>
      <c r="H75" s="23"/>
      <c r="I75" s="182"/>
      <c r="J75" s="182"/>
      <c r="K75" s="204"/>
      <c r="L75" s="205"/>
    </row>
    <row r="76" spans="1:12" s="2" customFormat="1">
      <c r="A76" s="187"/>
      <c r="B76" s="185"/>
      <c r="C76" s="22"/>
      <c r="D76" s="181"/>
      <c r="E76" s="181"/>
      <c r="F76" s="38"/>
      <c r="G76" s="23"/>
      <c r="H76" s="23"/>
      <c r="I76" s="182"/>
      <c r="J76" s="182"/>
      <c r="K76" s="206"/>
      <c r="L76" s="205"/>
    </row>
    <row r="77" spans="1:12" s="2" customFormat="1">
      <c r="A77" s="179"/>
      <c r="B77" s="185"/>
      <c r="C77" s="22"/>
      <c r="D77" s="181"/>
      <c r="E77" s="181"/>
      <c r="F77" s="38"/>
      <c r="G77" s="23"/>
      <c r="H77" s="23"/>
      <c r="I77" s="182"/>
      <c r="J77" s="182"/>
      <c r="K77" s="206"/>
      <c r="L77" s="205"/>
    </row>
    <row r="78" spans="1:12" s="2" customFormat="1" ht="15.6" customHeight="1">
      <c r="A78" s="179"/>
      <c r="B78" s="185"/>
      <c r="C78" s="22"/>
      <c r="D78" s="181"/>
      <c r="E78" s="181"/>
      <c r="F78" s="38"/>
      <c r="G78" s="23"/>
      <c r="H78" s="23"/>
      <c r="I78" s="182"/>
      <c r="J78" s="182"/>
      <c r="K78" s="206"/>
      <c r="L78" s="205"/>
    </row>
    <row r="79" spans="1:12" s="2" customFormat="1">
      <c r="A79" s="179"/>
      <c r="B79" s="180"/>
      <c r="C79" s="22"/>
      <c r="D79" s="181"/>
      <c r="E79" s="181"/>
      <c r="F79" s="38"/>
      <c r="G79" s="23"/>
      <c r="H79" s="23"/>
      <c r="I79" s="182"/>
      <c r="J79" s="182"/>
      <c r="K79" s="206"/>
      <c r="L79" s="205"/>
    </row>
    <row r="80" spans="1:12" s="2" customFormat="1">
      <c r="A80" s="187"/>
      <c r="B80" s="185"/>
      <c r="C80" s="22"/>
      <c r="D80" s="181"/>
      <c r="E80" s="181"/>
      <c r="F80" s="38"/>
      <c r="G80" s="23"/>
      <c r="H80" s="23"/>
      <c r="I80" s="182"/>
      <c r="J80" s="182"/>
      <c r="K80" s="206"/>
      <c r="L80" s="205"/>
    </row>
    <row r="81" spans="1:12" s="2" customFormat="1">
      <c r="A81" s="179"/>
      <c r="B81" s="185"/>
      <c r="C81" s="22"/>
      <c r="D81" s="181"/>
      <c r="E81" s="181"/>
      <c r="F81" s="38"/>
      <c r="G81" s="23"/>
      <c r="H81" s="23"/>
      <c r="I81" s="182"/>
      <c r="J81" s="182"/>
      <c r="K81" s="206"/>
      <c r="L81" s="205"/>
    </row>
    <row r="82" spans="1:12" s="2" customFormat="1">
      <c r="A82" s="179"/>
      <c r="B82" s="180"/>
      <c r="C82" s="22"/>
      <c r="D82" s="181"/>
      <c r="E82" s="181"/>
      <c r="F82" s="38"/>
      <c r="G82" s="23"/>
      <c r="H82" s="23"/>
      <c r="I82" s="182"/>
      <c r="J82" s="182"/>
      <c r="K82" s="204"/>
      <c r="L82" s="205"/>
    </row>
    <row r="83" spans="1:12" s="2" customFormat="1">
      <c r="A83" s="187"/>
      <c r="B83" s="185"/>
      <c r="C83" s="22"/>
      <c r="D83" s="181"/>
      <c r="E83" s="181"/>
      <c r="F83" s="38"/>
      <c r="G83" s="23"/>
      <c r="H83" s="23"/>
      <c r="I83" s="182"/>
      <c r="J83" s="182"/>
      <c r="K83" s="206"/>
      <c r="L83" s="205"/>
    </row>
    <row r="84" spans="1:12" s="2" customFormat="1">
      <c r="A84" s="179"/>
      <c r="B84" s="180"/>
      <c r="C84" s="22"/>
      <c r="D84" s="181"/>
      <c r="E84" s="181"/>
      <c r="F84" s="38"/>
      <c r="G84" s="23"/>
      <c r="H84" s="23"/>
      <c r="I84" s="182"/>
      <c r="J84" s="182"/>
      <c r="K84" s="206"/>
      <c r="L84" s="205"/>
    </row>
    <row r="85" spans="1:12" s="2" customFormat="1">
      <c r="A85" s="187"/>
      <c r="B85" s="185"/>
      <c r="C85" s="22"/>
      <c r="D85" s="181"/>
      <c r="E85" s="181"/>
      <c r="F85" s="38"/>
      <c r="G85" s="23"/>
      <c r="H85" s="23"/>
      <c r="I85" s="182"/>
      <c r="J85" s="182"/>
      <c r="K85" s="206"/>
      <c r="L85" s="205"/>
    </row>
    <row r="86" spans="1:12" s="2" customFormat="1">
      <c r="A86" s="179"/>
      <c r="B86" s="185"/>
      <c r="C86" s="22"/>
      <c r="D86" s="181"/>
      <c r="E86" s="181"/>
      <c r="F86" s="38"/>
      <c r="G86" s="23"/>
      <c r="H86" s="23"/>
      <c r="I86" s="182"/>
      <c r="J86" s="182"/>
      <c r="K86" s="206"/>
      <c r="L86" s="205"/>
    </row>
    <row r="87" spans="1:12" s="2" customFormat="1">
      <c r="A87" s="196"/>
      <c r="B87" s="197"/>
      <c r="C87" s="22"/>
      <c r="D87" s="181"/>
      <c r="E87" s="181"/>
      <c r="F87" s="38"/>
      <c r="G87" s="23"/>
      <c r="H87" s="23"/>
      <c r="I87" s="182"/>
      <c r="J87" s="182"/>
      <c r="K87" s="206"/>
      <c r="L87" s="205"/>
    </row>
    <row r="88" spans="1:12" s="2" customFormat="1">
      <c r="A88" s="196"/>
      <c r="B88" s="197"/>
      <c r="C88" s="22"/>
      <c r="D88" s="181"/>
      <c r="E88" s="181"/>
      <c r="F88" s="210"/>
      <c r="G88" s="23"/>
      <c r="H88" s="23"/>
      <c r="I88" s="182"/>
      <c r="J88" s="182"/>
      <c r="K88" s="206"/>
      <c r="L88" s="211"/>
    </row>
    <row r="89" spans="1:12" s="2" customFormat="1">
      <c r="A89" s="196"/>
      <c r="B89" s="197"/>
      <c r="C89" s="22"/>
      <c r="D89" s="181"/>
      <c r="E89" s="181"/>
      <c r="F89" s="210"/>
      <c r="G89" s="23"/>
      <c r="H89" s="23"/>
      <c r="I89" s="182"/>
      <c r="J89" s="182"/>
      <c r="K89" s="206"/>
      <c r="L89" s="211"/>
    </row>
    <row r="90" spans="1:12" s="2" customFormat="1">
      <c r="A90" s="199"/>
      <c r="B90" s="200"/>
      <c r="C90" s="22"/>
      <c r="D90" s="181"/>
      <c r="E90" s="181"/>
      <c r="F90" s="210"/>
      <c r="G90" s="23"/>
      <c r="H90" s="23"/>
      <c r="I90" s="182"/>
      <c r="J90" s="182"/>
      <c r="K90" s="206"/>
      <c r="L90" s="211"/>
    </row>
    <row r="91" spans="1:12" s="2" customFormat="1">
      <c r="A91" s="199"/>
      <c r="B91" s="200"/>
      <c r="C91" s="22"/>
      <c r="D91" s="181"/>
      <c r="E91" s="181"/>
      <c r="F91" s="210"/>
      <c r="G91" s="23"/>
      <c r="H91" s="23"/>
      <c r="I91" s="182"/>
      <c r="J91" s="182"/>
      <c r="K91" s="206"/>
      <c r="L91" s="211"/>
    </row>
    <row r="92" spans="1:12" s="2" customFormat="1">
      <c r="A92" s="199"/>
      <c r="B92" s="200"/>
      <c r="C92" s="22"/>
      <c r="D92" s="181"/>
      <c r="E92" s="181"/>
      <c r="F92" s="210"/>
      <c r="G92" s="23"/>
      <c r="H92" s="23"/>
      <c r="I92" s="182"/>
      <c r="J92" s="182"/>
      <c r="K92" s="206"/>
      <c r="L92" s="211"/>
    </row>
    <row r="93" spans="1:12" s="2" customFormat="1">
      <c r="A93" s="199"/>
      <c r="B93" s="200"/>
      <c r="C93" s="22"/>
      <c r="D93" s="181"/>
      <c r="E93" s="181"/>
      <c r="F93" s="210"/>
      <c r="G93" s="23"/>
      <c r="H93" s="23"/>
      <c r="I93" s="182"/>
      <c r="J93" s="182"/>
      <c r="K93" s="206"/>
      <c r="L93" s="211"/>
    </row>
    <row r="94" spans="1:12" ht="15.75">
      <c r="A94" s="3"/>
      <c r="B94" s="161"/>
      <c r="C94" s="22"/>
      <c r="D94" s="181"/>
      <c r="E94" s="181"/>
      <c r="F94" s="40"/>
      <c r="G94" s="23"/>
      <c r="H94" s="23"/>
      <c r="I94" s="182"/>
      <c r="J94" s="182"/>
      <c r="K94" s="206"/>
      <c r="L94" s="44"/>
    </row>
    <row r="95" spans="1:12" ht="15.75">
      <c r="A95" s="3"/>
      <c r="B95" s="161"/>
      <c r="C95" s="22"/>
      <c r="D95" s="181"/>
      <c r="E95" s="181"/>
      <c r="F95" s="40"/>
      <c r="G95" s="23"/>
      <c r="H95" s="23"/>
      <c r="I95" s="182"/>
      <c r="J95" s="182"/>
      <c r="K95" s="212"/>
      <c r="L95" s="44"/>
    </row>
    <row r="96" spans="1:12" ht="15.75">
      <c r="A96" s="3"/>
      <c r="B96" s="161"/>
      <c r="C96" s="22"/>
      <c r="D96" s="181"/>
      <c r="E96" s="181"/>
      <c r="F96" s="40"/>
      <c r="G96" s="23"/>
      <c r="H96" s="23"/>
      <c r="I96" s="182"/>
      <c r="J96" s="182"/>
      <c r="K96" s="212"/>
      <c r="L96" s="44"/>
    </row>
    <row r="97" spans="1:12" ht="15.75">
      <c r="A97" s="3"/>
      <c r="B97" s="161"/>
      <c r="C97" s="22"/>
      <c r="D97" s="181"/>
      <c r="E97" s="181"/>
      <c r="F97" s="40"/>
      <c r="G97" s="23"/>
      <c r="H97" s="23"/>
      <c r="I97" s="182"/>
      <c r="J97" s="182"/>
      <c r="K97" s="212"/>
      <c r="L97" s="44"/>
    </row>
    <row r="98" spans="1:12" ht="15.75">
      <c r="A98" s="3"/>
      <c r="B98" s="161"/>
      <c r="C98" s="22"/>
      <c r="D98" s="181"/>
      <c r="E98" s="181"/>
      <c r="F98" s="40"/>
      <c r="G98" s="23"/>
      <c r="H98" s="23"/>
      <c r="I98" s="182"/>
      <c r="J98" s="182"/>
      <c r="K98" s="212"/>
      <c r="L98" s="44"/>
    </row>
    <row r="99" spans="1:12" ht="15.75">
      <c r="A99" s="3"/>
      <c r="B99" s="161"/>
      <c r="C99" s="22"/>
      <c r="D99" s="181"/>
      <c r="E99" s="181"/>
      <c r="F99" s="40"/>
      <c r="G99" s="23"/>
      <c r="H99" s="23"/>
      <c r="I99" s="182"/>
      <c r="J99" s="182"/>
      <c r="K99" s="212"/>
      <c r="L99" s="44"/>
    </row>
    <row r="100" spans="1:12" ht="15.75">
      <c r="A100" s="3"/>
      <c r="B100" s="161"/>
      <c r="C100" s="22"/>
      <c r="D100" s="181"/>
      <c r="E100" s="181"/>
      <c r="F100" s="40"/>
      <c r="G100" s="23"/>
      <c r="H100" s="23"/>
      <c r="I100" s="182"/>
      <c r="J100" s="182"/>
      <c r="K100" s="212"/>
      <c r="L100" s="44"/>
    </row>
    <row r="101" spans="1:12" ht="15.75">
      <c r="A101" s="3"/>
      <c r="B101" s="161"/>
      <c r="C101" s="22"/>
      <c r="D101" s="181"/>
      <c r="E101" s="181"/>
      <c r="F101" s="40"/>
      <c r="G101" s="23"/>
      <c r="H101" s="23"/>
      <c r="I101" s="182"/>
      <c r="J101" s="182"/>
      <c r="K101" s="212"/>
      <c r="L101" s="44"/>
    </row>
    <row r="102" spans="1:12" ht="15.75">
      <c r="A102" s="3"/>
      <c r="B102" s="161"/>
      <c r="C102" s="22"/>
      <c r="D102" s="181"/>
      <c r="E102" s="181"/>
      <c r="F102" s="40"/>
      <c r="G102" s="23"/>
      <c r="H102" s="23"/>
      <c r="I102" s="182"/>
      <c r="J102" s="182"/>
      <c r="K102" s="212"/>
      <c r="L102" s="44"/>
    </row>
    <row r="103" spans="1:12" ht="15.75">
      <c r="A103" s="3"/>
      <c r="B103" s="161"/>
      <c r="C103" s="22"/>
      <c r="D103" s="181"/>
      <c r="E103" s="181"/>
      <c r="F103" s="40"/>
      <c r="G103" s="23"/>
      <c r="H103" s="23"/>
      <c r="I103" s="182"/>
      <c r="J103" s="182"/>
      <c r="L103" s="44"/>
    </row>
    <row r="104" spans="1:12" ht="15.75">
      <c r="A104" s="3"/>
      <c r="B104" s="161"/>
      <c r="C104" s="22"/>
      <c r="D104" s="181"/>
      <c r="E104" s="181"/>
      <c r="F104" s="40"/>
      <c r="G104" s="23"/>
      <c r="H104" s="23"/>
      <c r="I104" s="182"/>
      <c r="J104" s="182"/>
      <c r="L104" s="44"/>
    </row>
    <row r="105" spans="1:12" ht="15.75">
      <c r="A105" s="3"/>
      <c r="B105" s="161"/>
      <c r="C105" s="22"/>
      <c r="D105" s="181"/>
      <c r="E105" s="181"/>
      <c r="F105" s="40"/>
      <c r="G105" s="23"/>
      <c r="H105" s="23"/>
      <c r="I105" s="182"/>
      <c r="J105" s="182"/>
      <c r="L105" s="44"/>
    </row>
    <row r="106" spans="1:12" ht="15.75">
      <c r="A106" s="3"/>
      <c r="B106" s="161"/>
      <c r="C106" s="22"/>
      <c r="D106" s="181"/>
      <c r="E106" s="181"/>
      <c r="F106" s="40"/>
      <c r="G106" s="23"/>
      <c r="H106" s="23"/>
      <c r="I106" s="182"/>
      <c r="J106" s="182"/>
      <c r="L106" s="44"/>
    </row>
    <row r="107" spans="1:12" ht="15.75">
      <c r="A107" s="3"/>
      <c r="B107" s="161"/>
      <c r="C107" s="22"/>
      <c r="D107" s="181"/>
      <c r="E107" s="181"/>
      <c r="F107" s="40"/>
      <c r="G107" s="23"/>
      <c r="H107" s="23"/>
      <c r="I107" s="182"/>
      <c r="J107" s="182"/>
      <c r="L107" s="44"/>
    </row>
    <row r="108" spans="1:12" ht="15.75">
      <c r="A108" s="3"/>
      <c r="B108" s="161"/>
      <c r="C108" s="22"/>
      <c r="D108" s="181"/>
      <c r="E108" s="181"/>
      <c r="F108" s="40"/>
      <c r="G108" s="23"/>
      <c r="H108" s="23"/>
      <c r="I108" s="182"/>
      <c r="J108" s="182"/>
      <c r="L108" s="44"/>
    </row>
    <row r="109" spans="1:12" ht="15.75">
      <c r="A109" s="3"/>
      <c r="B109" s="161"/>
      <c r="C109" s="22"/>
      <c r="D109" s="181"/>
      <c r="E109" s="181"/>
      <c r="F109" s="40"/>
      <c r="G109" s="23"/>
      <c r="H109" s="23"/>
      <c r="I109" s="182"/>
      <c r="J109" s="182"/>
      <c r="L109" s="44"/>
    </row>
    <row r="110" spans="1:12" ht="15.75">
      <c r="A110" s="3"/>
      <c r="B110" s="161"/>
      <c r="C110" s="22"/>
      <c r="D110" s="181"/>
      <c r="E110" s="181"/>
      <c r="F110" s="40"/>
      <c r="G110" s="23"/>
      <c r="H110" s="23"/>
      <c r="I110" s="182"/>
      <c r="J110" s="182"/>
      <c r="L110" s="44"/>
    </row>
    <row r="111" spans="1:12" ht="15.75">
      <c r="A111" s="3"/>
      <c r="B111" s="161"/>
      <c r="C111" s="22"/>
      <c r="D111" s="181"/>
      <c r="E111" s="181"/>
      <c r="F111" s="40"/>
      <c r="G111" s="23"/>
      <c r="H111" s="23"/>
      <c r="I111" s="182"/>
      <c r="J111" s="182"/>
      <c r="L111" s="44"/>
    </row>
    <row r="112" spans="1:12" ht="15.75">
      <c r="A112" s="3"/>
      <c r="B112" s="161"/>
      <c r="C112" s="22"/>
      <c r="D112" s="181"/>
      <c r="E112" s="181"/>
      <c r="F112" s="40"/>
      <c r="G112" s="23"/>
      <c r="H112" s="23"/>
      <c r="I112" s="182"/>
      <c r="J112" s="182"/>
      <c r="L112" s="44"/>
    </row>
    <row r="113" spans="1:12" ht="15.75">
      <c r="A113" s="3"/>
      <c r="B113" s="161"/>
      <c r="C113" s="22"/>
      <c r="D113" s="181"/>
      <c r="E113" s="181"/>
      <c r="F113" s="40"/>
      <c r="G113" s="23"/>
      <c r="H113" s="23"/>
      <c r="I113" s="182"/>
      <c r="J113" s="182"/>
      <c r="L113" s="44"/>
    </row>
    <row r="114" spans="1:12" ht="15.75">
      <c r="A114" s="3"/>
      <c r="B114" s="161"/>
      <c r="C114" s="22"/>
      <c r="D114" s="181"/>
      <c r="E114" s="181"/>
      <c r="F114" s="40"/>
      <c r="G114" s="4"/>
      <c r="H114" s="4"/>
      <c r="I114" s="4"/>
      <c r="J114" s="4"/>
      <c r="L114" s="44"/>
    </row>
    <row r="115" spans="1:12" ht="15.75">
      <c r="A115" s="3"/>
      <c r="B115" s="161"/>
      <c r="C115" s="22"/>
      <c r="D115" s="181"/>
      <c r="E115" s="181"/>
      <c r="F115" s="40"/>
      <c r="G115" s="4"/>
      <c r="H115" s="4"/>
      <c r="I115" s="4"/>
      <c r="J115" s="4"/>
      <c r="L115" s="44"/>
    </row>
    <row r="116" spans="1:12" ht="15.75">
      <c r="A116" s="3"/>
      <c r="B116" s="161"/>
      <c r="C116" s="22"/>
      <c r="D116" s="181"/>
      <c r="E116" s="181"/>
      <c r="F116" s="40"/>
      <c r="G116" s="4"/>
      <c r="H116" s="4"/>
      <c r="I116" s="4"/>
      <c r="J116" s="4"/>
      <c r="L116" s="44"/>
    </row>
    <row r="117" spans="1:12" ht="15.75">
      <c r="A117" s="3"/>
      <c r="B117" s="161"/>
      <c r="C117" s="22"/>
      <c r="D117" s="181"/>
      <c r="E117" s="181"/>
      <c r="F117" s="40"/>
      <c r="G117" s="4"/>
      <c r="H117" s="4"/>
      <c r="I117" s="4"/>
      <c r="J117" s="4"/>
      <c r="L117" s="44"/>
    </row>
    <row r="118" spans="1:12" ht="15.75">
      <c r="A118" s="3"/>
      <c r="B118" s="161"/>
      <c r="C118" s="22"/>
      <c r="D118" s="181"/>
      <c r="E118" s="181"/>
      <c r="F118" s="40"/>
      <c r="G118" s="4"/>
      <c r="H118" s="4"/>
      <c r="I118" s="4"/>
      <c r="J118" s="4"/>
      <c r="L118" s="44"/>
    </row>
    <row r="119" spans="1:12" ht="15.75">
      <c r="A119" s="3"/>
      <c r="B119" s="161"/>
      <c r="C119" s="22"/>
      <c r="D119" s="181"/>
      <c r="E119" s="181"/>
      <c r="F119" s="40"/>
      <c r="G119" s="4"/>
      <c r="H119" s="4"/>
      <c r="I119" s="4"/>
      <c r="J119" s="4"/>
      <c r="L119" s="44"/>
    </row>
    <row r="120" spans="1:12" ht="15.75">
      <c r="A120" s="3"/>
      <c r="B120" s="161"/>
      <c r="C120" s="22"/>
      <c r="D120" s="181"/>
      <c r="E120" s="181"/>
      <c r="F120" s="40"/>
      <c r="G120" s="4"/>
      <c r="H120" s="4"/>
      <c r="I120" s="4"/>
      <c r="J120" s="4"/>
      <c r="L120" s="44"/>
    </row>
    <row r="121" spans="1:12" ht="15.75">
      <c r="A121" s="3"/>
      <c r="B121" s="161"/>
      <c r="C121" s="22"/>
      <c r="D121" s="181"/>
      <c r="E121" s="181"/>
      <c r="F121" s="40"/>
      <c r="G121" s="4"/>
      <c r="H121" s="4"/>
      <c r="I121" s="4"/>
      <c r="J121" s="4"/>
      <c r="L121" s="44"/>
    </row>
    <row r="122" spans="1:12" ht="15.75">
      <c r="A122" s="3"/>
      <c r="B122" s="161"/>
      <c r="C122" s="22"/>
      <c r="D122" s="181"/>
      <c r="E122" s="181"/>
      <c r="F122" s="40"/>
      <c r="G122" s="4"/>
      <c r="H122" s="4"/>
      <c r="I122" s="4"/>
      <c r="J122" s="4"/>
      <c r="L122" s="44"/>
    </row>
    <row r="123" spans="1:12" ht="15.75">
      <c r="A123" s="3"/>
      <c r="B123" s="161"/>
      <c r="C123" s="22"/>
      <c r="D123" s="181"/>
      <c r="E123" s="181"/>
      <c r="F123" s="40"/>
      <c r="G123" s="4"/>
      <c r="H123" s="4"/>
      <c r="I123" s="4"/>
      <c r="J123" s="4"/>
      <c r="L123" s="44"/>
    </row>
    <row r="124" spans="1:12" ht="15.75">
      <c r="A124" s="3"/>
      <c r="B124" s="161"/>
      <c r="C124" s="22"/>
      <c r="D124" s="181"/>
      <c r="E124" s="181"/>
      <c r="F124" s="40"/>
      <c r="G124" s="4"/>
      <c r="H124" s="4"/>
      <c r="I124" s="4"/>
      <c r="J124" s="4"/>
      <c r="L124" s="44"/>
    </row>
    <row r="125" spans="1:12" ht="15.75">
      <c r="A125" s="3"/>
      <c r="B125" s="161"/>
      <c r="C125" s="22"/>
      <c r="D125" s="181"/>
      <c r="E125" s="181"/>
      <c r="F125" s="40"/>
      <c r="G125" s="4"/>
      <c r="H125" s="4"/>
      <c r="I125" s="4"/>
      <c r="J125" s="4"/>
      <c r="L125" s="44"/>
    </row>
    <row r="126" spans="1:12" ht="15.75">
      <c r="A126" s="3"/>
      <c r="B126" s="161"/>
      <c r="C126" s="22"/>
      <c r="D126" s="181"/>
      <c r="E126" s="181"/>
      <c r="F126" s="40"/>
      <c r="G126" s="4"/>
      <c r="H126" s="4"/>
      <c r="I126" s="4"/>
      <c r="J126" s="4"/>
      <c r="L126" s="44"/>
    </row>
    <row r="127" spans="1:12" ht="15.75">
      <c r="A127" s="3"/>
      <c r="B127" s="161"/>
      <c r="C127" s="22"/>
      <c r="D127" s="181"/>
      <c r="E127" s="181"/>
      <c r="F127" s="40"/>
      <c r="G127" s="4"/>
      <c r="H127" s="4"/>
      <c r="I127" s="4"/>
      <c r="J127" s="4"/>
      <c r="L127" s="44"/>
    </row>
    <row r="128" spans="1:12" ht="15.75">
      <c r="A128" s="3"/>
      <c r="B128" s="161"/>
      <c r="C128" s="22"/>
      <c r="D128" s="181"/>
      <c r="E128" s="181"/>
      <c r="F128" s="40"/>
      <c r="G128" s="4"/>
      <c r="H128" s="4"/>
      <c r="I128" s="4"/>
      <c r="J128" s="4"/>
      <c r="L128" s="44"/>
    </row>
    <row r="129" spans="1:12" ht="15.75">
      <c r="A129" s="3"/>
      <c r="B129" s="161"/>
      <c r="C129" s="22"/>
      <c r="D129" s="181"/>
      <c r="E129" s="181"/>
      <c r="F129" s="40"/>
      <c r="G129" s="4"/>
      <c r="H129" s="4"/>
      <c r="I129" s="4"/>
      <c r="J129" s="4"/>
      <c r="L129" s="44"/>
    </row>
    <row r="130" spans="1:12" ht="15.75">
      <c r="A130" s="3"/>
      <c r="B130" s="161"/>
      <c r="C130" s="22"/>
      <c r="D130" s="181"/>
      <c r="E130" s="181"/>
      <c r="F130" s="40"/>
      <c r="G130" s="4"/>
      <c r="H130" s="4"/>
      <c r="I130" s="4"/>
      <c r="J130" s="4"/>
      <c r="L130" s="44"/>
    </row>
    <row r="131" spans="1:12" ht="15.75">
      <c r="A131" s="3"/>
      <c r="B131" s="161"/>
      <c r="C131" s="22"/>
      <c r="D131" s="181"/>
      <c r="E131" s="181"/>
      <c r="F131" s="40"/>
      <c r="G131" s="4"/>
      <c r="H131" s="4"/>
      <c r="I131" s="4"/>
      <c r="J131" s="4"/>
      <c r="L131" s="44"/>
    </row>
    <row r="132" spans="1:12" ht="15.75">
      <c r="A132" s="3"/>
      <c r="B132" s="161"/>
      <c r="C132" s="22"/>
      <c r="D132" s="181"/>
      <c r="E132" s="181"/>
      <c r="F132" s="40"/>
      <c r="G132" s="4"/>
      <c r="H132" s="4"/>
      <c r="I132" s="4"/>
      <c r="J132" s="4"/>
      <c r="L132" s="44"/>
    </row>
    <row r="133" spans="1:12" ht="15.75">
      <c r="A133" s="3"/>
      <c r="B133" s="161"/>
      <c r="C133" s="22"/>
      <c r="D133" s="181"/>
      <c r="E133" s="181"/>
      <c r="F133" s="40"/>
      <c r="G133" s="4"/>
      <c r="H133" s="4"/>
      <c r="I133" s="4"/>
      <c r="J133" s="4"/>
      <c r="L133" s="44"/>
    </row>
    <row r="134" spans="1:12" ht="15.75">
      <c r="A134" s="3"/>
      <c r="B134" s="161"/>
      <c r="C134" s="22"/>
      <c r="D134" s="181"/>
      <c r="E134" s="181"/>
      <c r="F134" s="40"/>
      <c r="G134" s="4"/>
      <c r="H134" s="4"/>
      <c r="I134" s="4"/>
      <c r="J134" s="4"/>
      <c r="L134" s="44"/>
    </row>
    <row r="135" spans="1:12" ht="15.75">
      <c r="A135" s="3"/>
      <c r="B135" s="161"/>
      <c r="C135" s="22"/>
      <c r="D135" s="181"/>
      <c r="E135" s="181"/>
      <c r="F135" s="40"/>
      <c r="G135" s="4"/>
      <c r="H135" s="4"/>
      <c r="I135" s="4"/>
      <c r="J135" s="4"/>
      <c r="L135" s="44"/>
    </row>
    <row r="136" spans="1:12" ht="15.75">
      <c r="A136" s="3"/>
      <c r="B136" s="161"/>
      <c r="C136" s="22"/>
      <c r="D136" s="181"/>
      <c r="E136" s="181"/>
      <c r="F136" s="40"/>
      <c r="G136" s="4"/>
      <c r="H136" s="4"/>
      <c r="I136" s="4"/>
      <c r="J136" s="4"/>
      <c r="L136" s="44"/>
    </row>
    <row r="137" spans="1:12" ht="15.75">
      <c r="A137" s="3"/>
      <c r="B137" s="161"/>
      <c r="C137" s="22"/>
      <c r="D137" s="181"/>
      <c r="E137" s="181"/>
      <c r="F137" s="40"/>
      <c r="G137" s="4"/>
      <c r="H137" s="4"/>
      <c r="I137" s="4"/>
      <c r="J137" s="4"/>
      <c r="L137" s="44"/>
    </row>
    <row r="138" spans="1:12" ht="15.75">
      <c r="A138" s="3"/>
      <c r="B138" s="161"/>
      <c r="C138" s="22"/>
      <c r="D138" s="181"/>
      <c r="E138" s="181"/>
      <c r="F138" s="40"/>
      <c r="G138" s="4"/>
      <c r="H138" s="4"/>
      <c r="I138" s="4"/>
      <c r="J138" s="4"/>
      <c r="L138" s="44"/>
    </row>
    <row r="139" spans="1:12" ht="15.75">
      <c r="A139" s="3"/>
      <c r="B139" s="161"/>
      <c r="C139" s="22"/>
      <c r="D139" s="181"/>
      <c r="E139" s="181"/>
      <c r="F139" s="40"/>
      <c r="G139" s="4"/>
      <c r="H139" s="4"/>
      <c r="I139" s="4"/>
      <c r="J139" s="4"/>
      <c r="L139" s="44"/>
    </row>
    <row r="140" spans="1:12" ht="15.75">
      <c r="A140" s="3"/>
      <c r="B140" s="161"/>
      <c r="C140" s="22"/>
      <c r="D140" s="181"/>
      <c r="E140" s="181"/>
      <c r="F140" s="40"/>
      <c r="G140" s="4"/>
      <c r="H140" s="4"/>
      <c r="I140" s="4"/>
      <c r="J140" s="4"/>
      <c r="L140" s="44"/>
    </row>
    <row r="141" spans="1:12" ht="15.75">
      <c r="A141" s="3"/>
      <c r="B141" s="161"/>
      <c r="C141" s="22"/>
      <c r="D141" s="181"/>
      <c r="E141" s="181"/>
      <c r="F141" s="40"/>
      <c r="G141" s="4"/>
      <c r="H141" s="4"/>
      <c r="I141" s="4"/>
      <c r="J141" s="4"/>
      <c r="L141" s="44"/>
    </row>
    <row r="142" spans="1:12" ht="15.75">
      <c r="A142" s="3"/>
      <c r="B142" s="161"/>
      <c r="C142" s="22"/>
      <c r="D142" s="181"/>
      <c r="E142" s="181"/>
      <c r="F142" s="40"/>
      <c r="G142" s="4"/>
      <c r="H142" s="4"/>
      <c r="I142" s="4"/>
      <c r="J142" s="4"/>
      <c r="L142" s="44"/>
    </row>
    <row r="143" spans="1:12" ht="15.75">
      <c r="A143" s="3"/>
      <c r="B143" s="161"/>
      <c r="C143" s="22"/>
      <c r="D143" s="181"/>
      <c r="E143" s="181"/>
      <c r="F143" s="40"/>
      <c r="G143" s="4"/>
      <c r="H143" s="4"/>
      <c r="I143" s="4"/>
      <c r="J143" s="4"/>
      <c r="L143" s="44"/>
    </row>
    <row r="144" spans="1:12" ht="15.75">
      <c r="A144" s="3"/>
      <c r="B144" s="161"/>
      <c r="C144" s="22"/>
      <c r="D144" s="181"/>
      <c r="E144" s="181"/>
      <c r="F144" s="40"/>
      <c r="G144" s="4"/>
      <c r="H144" s="4"/>
      <c r="I144" s="4"/>
      <c r="J144" s="4"/>
      <c r="L144" s="44"/>
    </row>
    <row r="145" spans="1:12" ht="15.75">
      <c r="A145" s="3"/>
      <c r="B145" s="161"/>
      <c r="C145" s="22"/>
      <c r="D145" s="181"/>
      <c r="E145" s="181"/>
      <c r="F145" s="40"/>
      <c r="G145" s="4"/>
      <c r="H145" s="4"/>
      <c r="I145" s="4"/>
      <c r="J145" s="4"/>
      <c r="L145" s="44"/>
    </row>
    <row r="146" spans="1:12" ht="15.75">
      <c r="A146" s="3"/>
      <c r="B146" s="161"/>
      <c r="C146" s="22"/>
      <c r="D146" s="4"/>
      <c r="E146" s="4"/>
      <c r="F146" s="40"/>
      <c r="G146" s="4"/>
      <c r="H146" s="4"/>
      <c r="I146" s="4"/>
      <c r="J146" s="4"/>
      <c r="L146" s="44"/>
    </row>
    <row r="147" spans="1:12" ht="15.75">
      <c r="A147" s="3"/>
      <c r="B147" s="161"/>
      <c r="C147" s="22"/>
      <c r="D147" s="4"/>
      <c r="E147" s="4"/>
      <c r="F147" s="40"/>
      <c r="G147" s="4"/>
      <c r="H147" s="4"/>
      <c r="I147" s="4"/>
      <c r="J147" s="4"/>
      <c r="L147" s="44"/>
    </row>
    <row r="148" spans="1:12" ht="15.75">
      <c r="A148" s="3"/>
      <c r="B148" s="161"/>
      <c r="C148" s="22"/>
      <c r="D148" s="4"/>
      <c r="E148" s="4"/>
      <c r="F148" s="40"/>
      <c r="G148" s="4"/>
      <c r="H148" s="4"/>
      <c r="I148" s="4"/>
      <c r="J148" s="4"/>
      <c r="L148" s="44"/>
    </row>
    <row r="149" spans="1:12" ht="15.75">
      <c r="A149" s="3"/>
      <c r="B149" s="161"/>
      <c r="C149" s="22"/>
      <c r="D149" s="4"/>
      <c r="E149" s="4"/>
      <c r="F149" s="40"/>
      <c r="G149" s="4"/>
      <c r="H149" s="4"/>
      <c r="I149" s="4"/>
      <c r="J149" s="4"/>
      <c r="L149" s="44"/>
    </row>
    <row r="150" spans="1:12" ht="15.75">
      <c r="A150" s="3"/>
      <c r="B150" s="161"/>
      <c r="C150" s="22"/>
      <c r="D150" s="4"/>
      <c r="E150" s="4"/>
      <c r="F150" s="40"/>
      <c r="G150" s="4"/>
      <c r="H150" s="4"/>
      <c r="I150" s="4"/>
      <c r="J150" s="4"/>
      <c r="L150" s="44"/>
    </row>
    <row r="151" spans="1:12" ht="15.75">
      <c r="A151" s="3"/>
      <c r="B151" s="161"/>
      <c r="C151" s="22"/>
      <c r="D151" s="4"/>
      <c r="E151" s="4"/>
      <c r="F151" s="40"/>
      <c r="G151" s="4"/>
      <c r="H151" s="4"/>
      <c r="I151" s="4"/>
      <c r="J151" s="4"/>
      <c r="L151" s="44"/>
    </row>
    <row r="152" spans="1:12" ht="15.75">
      <c r="A152" s="3"/>
      <c r="B152" s="161"/>
      <c r="C152" s="3"/>
      <c r="D152" s="4"/>
      <c r="E152" s="4"/>
      <c r="F152" s="40"/>
      <c r="G152" s="4"/>
      <c r="H152" s="4"/>
      <c r="I152" s="4"/>
      <c r="J152" s="4"/>
      <c r="L152" s="44"/>
    </row>
    <row r="153" spans="1:12" ht="15.75">
      <c r="A153" s="3"/>
      <c r="B153" s="161"/>
      <c r="C153" s="3"/>
      <c r="D153" s="4"/>
      <c r="E153" s="4"/>
      <c r="F153" s="40"/>
      <c r="G153" s="4"/>
      <c r="H153" s="4"/>
      <c r="I153" s="4"/>
      <c r="J153" s="4"/>
      <c r="L153" s="44"/>
    </row>
    <row r="154" spans="1:12" ht="15.75">
      <c r="A154" s="3"/>
      <c r="B154" s="161"/>
      <c r="C154" s="3"/>
      <c r="D154" s="4"/>
      <c r="E154" s="4"/>
      <c r="F154" s="40"/>
      <c r="G154" s="4"/>
      <c r="H154" s="4"/>
      <c r="I154" s="4"/>
      <c r="J154" s="4"/>
      <c r="L154" s="44"/>
    </row>
    <row r="155" spans="1:12" ht="15.75">
      <c r="A155" s="3"/>
      <c r="B155" s="161"/>
      <c r="C155" s="3"/>
      <c r="D155" s="4"/>
      <c r="E155" s="4"/>
      <c r="F155" s="40"/>
      <c r="G155" s="4"/>
      <c r="H155" s="4"/>
      <c r="I155" s="4"/>
      <c r="J155" s="4"/>
      <c r="L155" s="44"/>
    </row>
    <row r="156" spans="1:12" ht="15.75">
      <c r="A156" s="3"/>
      <c r="B156" s="161"/>
      <c r="C156" s="3"/>
      <c r="D156" s="4"/>
      <c r="E156" s="4"/>
      <c r="F156" s="40"/>
      <c r="G156" s="4"/>
      <c r="H156" s="4"/>
      <c r="I156" s="4"/>
      <c r="J156" s="4"/>
      <c r="L156" s="44"/>
    </row>
    <row r="157" spans="1:12" ht="15.75">
      <c r="A157" s="3"/>
      <c r="B157" s="161"/>
      <c r="C157" s="3"/>
      <c r="D157" s="4"/>
      <c r="E157" s="4"/>
      <c r="F157" s="40"/>
      <c r="G157" s="4"/>
      <c r="H157" s="4"/>
      <c r="I157" s="4"/>
      <c r="J157" s="4"/>
      <c r="L157" s="44"/>
    </row>
    <row r="158" spans="1:12" ht="15.75">
      <c r="A158" s="3"/>
      <c r="B158" s="161"/>
      <c r="C158" s="3"/>
      <c r="D158" s="4"/>
      <c r="E158" s="4"/>
      <c r="F158" s="40"/>
      <c r="G158" s="4"/>
      <c r="H158" s="4"/>
      <c r="I158" s="4"/>
      <c r="J158" s="4"/>
      <c r="L158" s="44"/>
    </row>
    <row r="159" spans="1:12" ht="15.75">
      <c r="A159" s="3"/>
      <c r="B159" s="161"/>
      <c r="C159" s="3"/>
      <c r="D159" s="4"/>
      <c r="E159" s="4"/>
      <c r="F159" s="40"/>
      <c r="G159" s="4"/>
      <c r="H159" s="4"/>
      <c r="I159" s="4"/>
      <c r="J159" s="4"/>
      <c r="L159" s="44"/>
    </row>
    <row r="160" spans="1:12" ht="15.75">
      <c r="A160" s="3"/>
      <c r="B160" s="161"/>
      <c r="C160" s="3"/>
      <c r="D160" s="4"/>
      <c r="E160" s="4"/>
      <c r="F160" s="40"/>
      <c r="G160" s="4"/>
      <c r="H160" s="4"/>
      <c r="I160" s="4"/>
      <c r="J160" s="4"/>
      <c r="L160" s="44"/>
    </row>
    <row r="161" spans="1:12" ht="15.75">
      <c r="A161" s="3"/>
      <c r="B161" s="161"/>
      <c r="C161" s="3"/>
      <c r="D161" s="4"/>
      <c r="E161" s="4"/>
      <c r="F161" s="40"/>
      <c r="G161" s="4"/>
      <c r="H161" s="4"/>
      <c r="I161" s="4"/>
      <c r="J161" s="4"/>
      <c r="L161" s="44"/>
    </row>
    <row r="162" spans="1:12" ht="15.75">
      <c r="A162" s="3"/>
      <c r="B162" s="161"/>
      <c r="C162" s="3"/>
      <c r="D162" s="4"/>
      <c r="E162" s="4"/>
      <c r="F162" s="40"/>
      <c r="G162" s="4"/>
      <c r="H162" s="4"/>
      <c r="I162" s="4"/>
      <c r="J162" s="4"/>
      <c r="L162" s="44"/>
    </row>
    <row r="163" spans="1:12" ht="15.75">
      <c r="A163" s="3"/>
      <c r="B163" s="161"/>
      <c r="C163" s="3"/>
      <c r="D163" s="4"/>
      <c r="E163" s="4"/>
      <c r="F163" s="40"/>
      <c r="G163" s="4"/>
      <c r="H163" s="4"/>
      <c r="I163" s="4"/>
      <c r="J163" s="4"/>
      <c r="L163" s="44"/>
    </row>
    <row r="164" spans="1:12" ht="15.75">
      <c r="A164" s="3"/>
      <c r="B164" s="161"/>
      <c r="C164" s="3"/>
      <c r="D164" s="4"/>
      <c r="E164" s="4"/>
      <c r="F164" s="40"/>
      <c r="G164" s="4"/>
      <c r="H164" s="4"/>
      <c r="I164" s="4"/>
      <c r="J164" s="4"/>
      <c r="L164" s="44"/>
    </row>
    <row r="165" spans="1:12" ht="15.75">
      <c r="A165" s="3"/>
      <c r="B165" s="161"/>
      <c r="C165" s="3"/>
      <c r="D165" s="4"/>
      <c r="E165" s="4"/>
      <c r="F165" s="40"/>
      <c r="G165" s="4"/>
      <c r="H165" s="4"/>
      <c r="I165" s="4"/>
      <c r="J165" s="4"/>
      <c r="L165" s="44"/>
    </row>
    <row r="166" spans="1:12" ht="15.75">
      <c r="A166" s="3"/>
      <c r="B166" s="161"/>
      <c r="C166" s="3"/>
      <c r="D166" s="4"/>
      <c r="E166" s="4"/>
      <c r="F166" s="40"/>
      <c r="G166" s="4"/>
      <c r="H166" s="4"/>
      <c r="I166" s="4"/>
      <c r="J166" s="4"/>
      <c r="L166" s="44"/>
    </row>
    <row r="167" spans="1:12" ht="15.75">
      <c r="A167" s="3"/>
      <c r="B167" s="161"/>
      <c r="C167" s="3"/>
      <c r="D167" s="4"/>
      <c r="E167" s="4"/>
      <c r="F167" s="40"/>
      <c r="G167" s="4"/>
      <c r="H167" s="4"/>
      <c r="I167" s="4"/>
      <c r="J167" s="4"/>
      <c r="L167" s="44"/>
    </row>
    <row r="168" spans="1:12" ht="15.75">
      <c r="A168" s="3"/>
      <c r="B168" s="161"/>
      <c r="C168" s="3"/>
      <c r="D168" s="4"/>
      <c r="E168" s="4"/>
      <c r="F168" s="40"/>
      <c r="G168" s="4"/>
      <c r="H168" s="4"/>
      <c r="I168" s="4"/>
      <c r="J168" s="4"/>
      <c r="L168" s="44"/>
    </row>
    <row r="169" spans="1:12" ht="15.75">
      <c r="A169" s="3"/>
      <c r="B169" s="161"/>
      <c r="C169" s="3"/>
      <c r="D169" s="4"/>
      <c r="E169" s="4"/>
      <c r="F169" s="40"/>
      <c r="G169" s="4"/>
      <c r="H169" s="4"/>
      <c r="I169" s="4"/>
      <c r="J169" s="4"/>
      <c r="L169" s="44"/>
    </row>
    <row r="170" spans="1:12" ht="15.75">
      <c r="A170" s="3"/>
      <c r="B170" s="161"/>
      <c r="C170" s="3"/>
      <c r="D170" s="4"/>
      <c r="E170" s="4"/>
      <c r="F170" s="40"/>
      <c r="G170" s="4"/>
      <c r="H170" s="4"/>
      <c r="I170" s="4"/>
      <c r="J170" s="4"/>
      <c r="L170" s="44"/>
    </row>
    <row r="171" spans="1:12" ht="15.75">
      <c r="A171" s="3"/>
      <c r="B171" s="161"/>
      <c r="C171" s="3"/>
      <c r="D171" s="4"/>
      <c r="E171" s="4"/>
      <c r="F171" s="40"/>
      <c r="G171" s="4"/>
      <c r="H171" s="4"/>
      <c r="I171" s="4"/>
      <c r="J171" s="4"/>
      <c r="L171" s="44"/>
    </row>
    <row r="172" spans="1:12" ht="15.75">
      <c r="A172" s="3"/>
      <c r="B172" s="161"/>
      <c r="C172" s="3"/>
      <c r="D172" s="4"/>
      <c r="E172" s="4"/>
      <c r="F172" s="40"/>
      <c r="G172" s="4"/>
      <c r="H172" s="4"/>
      <c r="I172" s="4"/>
      <c r="J172" s="4"/>
      <c r="L172" s="44"/>
    </row>
    <row r="173" spans="1:12" ht="15.75">
      <c r="A173" s="3"/>
      <c r="B173" s="161"/>
      <c r="C173" s="3"/>
      <c r="D173" s="4"/>
      <c r="E173" s="4"/>
      <c r="F173" s="40"/>
      <c r="G173" s="4"/>
      <c r="H173" s="4"/>
      <c r="I173" s="4"/>
      <c r="J173" s="4"/>
      <c r="L173" s="44"/>
    </row>
    <row r="174" spans="1:12" ht="15.75">
      <c r="A174" s="3"/>
      <c r="B174" s="161"/>
      <c r="C174" s="3"/>
      <c r="D174" s="4"/>
      <c r="E174" s="4"/>
      <c r="F174" s="40"/>
      <c r="G174" s="4"/>
      <c r="H174" s="4"/>
      <c r="I174" s="4"/>
      <c r="J174" s="4"/>
      <c r="L174" s="44"/>
    </row>
    <row r="175" spans="1:12" ht="15.75">
      <c r="A175" s="3"/>
      <c r="B175" s="161"/>
      <c r="C175" s="3"/>
      <c r="D175" s="4"/>
      <c r="E175" s="4"/>
      <c r="F175" s="40"/>
      <c r="G175" s="4"/>
      <c r="H175" s="4"/>
      <c r="I175" s="4"/>
      <c r="J175" s="4"/>
      <c r="L175" s="44"/>
    </row>
    <row r="176" spans="1:12" ht="15.75">
      <c r="A176" s="3"/>
      <c r="B176" s="161"/>
      <c r="C176" s="3"/>
      <c r="D176" s="4"/>
      <c r="E176" s="4"/>
      <c r="F176" s="40"/>
      <c r="G176" s="4"/>
      <c r="H176" s="4"/>
      <c r="I176" s="4"/>
      <c r="J176" s="4"/>
      <c r="L176" s="44"/>
    </row>
    <row r="177" spans="1:12" ht="15.75">
      <c r="A177" s="3"/>
      <c r="B177" s="161"/>
      <c r="C177" s="3"/>
      <c r="D177" s="4"/>
      <c r="E177" s="4"/>
      <c r="F177" s="40"/>
      <c r="G177" s="4"/>
      <c r="H177" s="4"/>
      <c r="I177" s="4"/>
      <c r="J177" s="4"/>
      <c r="L177" s="44"/>
    </row>
    <row r="178" spans="1:12" ht="15.75">
      <c r="A178" s="3"/>
      <c r="B178" s="161"/>
      <c r="C178" s="3"/>
      <c r="D178" s="4"/>
      <c r="E178" s="4"/>
      <c r="F178" s="40"/>
      <c r="G178" s="4"/>
      <c r="H178" s="4"/>
      <c r="I178" s="4"/>
      <c r="J178" s="4"/>
      <c r="L178" s="44"/>
    </row>
    <row r="179" spans="1:12" ht="15.75">
      <c r="A179" s="3"/>
      <c r="B179" s="161"/>
      <c r="C179" s="3"/>
      <c r="D179" s="4"/>
      <c r="E179" s="4"/>
      <c r="F179" s="40"/>
      <c r="G179" s="4"/>
      <c r="H179" s="4"/>
      <c r="I179" s="4"/>
      <c r="J179" s="4"/>
      <c r="L179" s="44"/>
    </row>
    <row r="180" spans="1:12" ht="15.75">
      <c r="A180" s="3"/>
      <c r="B180" s="161"/>
      <c r="C180" s="3"/>
      <c r="D180" s="4"/>
      <c r="E180" s="4"/>
      <c r="F180" s="40"/>
      <c r="G180" s="4"/>
      <c r="H180" s="4"/>
      <c r="I180" s="4"/>
      <c r="J180" s="4"/>
      <c r="L180" s="44"/>
    </row>
    <row r="181" spans="1:12" ht="15.75">
      <c r="A181" s="3"/>
      <c r="B181" s="161"/>
      <c r="C181" s="3"/>
      <c r="D181" s="4"/>
      <c r="E181" s="4"/>
      <c r="F181" s="40"/>
      <c r="G181" s="4"/>
      <c r="H181" s="4"/>
      <c r="I181" s="4"/>
      <c r="J181" s="4"/>
      <c r="L181" s="44"/>
    </row>
    <row r="182" spans="1:12" ht="15.75">
      <c r="A182" s="3"/>
      <c r="B182" s="161"/>
      <c r="C182" s="3"/>
      <c r="D182" s="4"/>
      <c r="E182" s="4"/>
      <c r="F182" s="40"/>
      <c r="G182" s="4"/>
      <c r="H182" s="4"/>
      <c r="I182" s="4"/>
      <c r="J182" s="4"/>
      <c r="L182" s="44"/>
    </row>
    <row r="183" spans="1:12" ht="15.75">
      <c r="A183" s="3"/>
      <c r="B183" s="161"/>
      <c r="C183" s="3"/>
      <c r="D183" s="4"/>
      <c r="E183" s="4"/>
      <c r="F183" s="40"/>
      <c r="G183" s="4"/>
      <c r="H183" s="4"/>
      <c r="I183" s="4"/>
      <c r="J183" s="4"/>
      <c r="L183" s="44"/>
    </row>
    <row r="184" spans="1:12" ht="15.75">
      <c r="A184" s="3"/>
      <c r="B184" s="161"/>
      <c r="C184" s="3"/>
      <c r="D184" s="4"/>
      <c r="E184" s="4"/>
      <c r="F184" s="40"/>
      <c r="G184" s="4"/>
      <c r="H184" s="4"/>
      <c r="I184" s="4"/>
      <c r="J184" s="4"/>
      <c r="L184" s="44"/>
    </row>
    <row r="185" spans="1:12" ht="15.75">
      <c r="A185" s="3"/>
      <c r="B185" s="161"/>
      <c r="C185" s="3"/>
      <c r="D185" s="4"/>
      <c r="E185" s="4"/>
      <c r="F185" s="40"/>
      <c r="G185" s="4"/>
      <c r="H185" s="4"/>
      <c r="I185" s="4"/>
      <c r="J185" s="4"/>
      <c r="L185" s="44"/>
    </row>
    <row r="186" spans="1:12" ht="15.75">
      <c r="A186" s="3"/>
      <c r="B186" s="161"/>
      <c r="C186" s="3"/>
      <c r="D186" s="4"/>
      <c r="E186" s="4"/>
      <c r="F186" s="40"/>
      <c r="G186" s="4"/>
      <c r="H186" s="4"/>
      <c r="I186" s="4"/>
      <c r="J186" s="4"/>
      <c r="L186" s="44"/>
    </row>
    <row r="187" spans="1:12" ht="15.75">
      <c r="A187" s="3"/>
      <c r="B187" s="161"/>
      <c r="C187" s="3"/>
      <c r="D187" s="4"/>
      <c r="E187" s="4"/>
      <c r="F187" s="40"/>
      <c r="G187" s="4"/>
      <c r="H187" s="4"/>
      <c r="I187" s="4"/>
      <c r="J187" s="4"/>
      <c r="L187" s="44"/>
    </row>
    <row r="188" spans="1:12" ht="15.75">
      <c r="A188" s="3"/>
      <c r="B188" s="161"/>
      <c r="C188" s="3"/>
      <c r="D188" s="4"/>
      <c r="E188" s="4"/>
      <c r="F188" s="40"/>
      <c r="G188" s="4"/>
      <c r="H188" s="4"/>
      <c r="I188" s="4"/>
      <c r="J188" s="4"/>
      <c r="L188" s="44"/>
    </row>
    <row r="189" spans="1:12" ht="15.75">
      <c r="A189" s="3"/>
      <c r="B189" s="161"/>
      <c r="C189" s="3"/>
      <c r="D189" s="4"/>
      <c r="E189" s="4"/>
      <c r="F189" s="40"/>
      <c r="G189" s="4"/>
      <c r="H189" s="4"/>
      <c r="I189" s="4"/>
      <c r="J189" s="4"/>
      <c r="L189" s="44"/>
    </row>
    <row r="190" spans="1:12" ht="15.75">
      <c r="A190" s="3"/>
      <c r="B190" s="161"/>
      <c r="C190" s="3"/>
      <c r="D190" s="4"/>
      <c r="E190" s="4"/>
      <c r="F190" s="40"/>
      <c r="G190" s="4"/>
      <c r="H190" s="4"/>
      <c r="I190" s="4"/>
      <c r="J190" s="4"/>
      <c r="L190" s="44"/>
    </row>
    <row r="191" spans="1:12" ht="15.75">
      <c r="A191" s="3"/>
      <c r="B191" s="161"/>
      <c r="C191" s="3"/>
      <c r="D191" s="4"/>
      <c r="E191" s="4"/>
      <c r="F191" s="40"/>
      <c r="G191" s="4"/>
      <c r="H191" s="4"/>
      <c r="I191" s="4"/>
      <c r="J191" s="4"/>
      <c r="L191" s="44"/>
    </row>
    <row r="192" spans="1:12" ht="15.75">
      <c r="A192" s="3"/>
      <c r="B192" s="161"/>
      <c r="C192" s="3"/>
      <c r="D192" s="4"/>
      <c r="E192" s="4"/>
      <c r="F192" s="40"/>
      <c r="G192" s="4"/>
      <c r="H192" s="4"/>
      <c r="I192" s="4"/>
      <c r="J192" s="4"/>
      <c r="L192" s="44"/>
    </row>
    <row r="193" spans="1:12" ht="15.75">
      <c r="A193" s="3"/>
      <c r="B193" s="161"/>
      <c r="C193" s="3"/>
      <c r="D193" s="4"/>
      <c r="E193" s="4"/>
      <c r="F193" s="40"/>
      <c r="G193" s="4"/>
      <c r="H193" s="4"/>
      <c r="I193" s="4"/>
      <c r="J193" s="4"/>
      <c r="L193" s="44"/>
    </row>
    <row r="194" spans="1:12" ht="15.75">
      <c r="A194" s="3"/>
      <c r="B194" s="161"/>
      <c r="C194" s="3"/>
      <c r="D194" s="4"/>
      <c r="E194" s="4"/>
      <c r="F194" s="40"/>
      <c r="G194" s="4"/>
      <c r="H194" s="4"/>
      <c r="I194" s="4"/>
      <c r="J194" s="4"/>
      <c r="L194" s="44"/>
    </row>
    <row r="195" spans="1:12" ht="15.75">
      <c r="A195" s="3"/>
      <c r="B195" s="161"/>
      <c r="C195" s="3"/>
      <c r="D195" s="4"/>
      <c r="E195" s="4"/>
      <c r="F195" s="40"/>
      <c r="G195" s="4"/>
      <c r="H195" s="4"/>
      <c r="I195" s="4"/>
      <c r="J195" s="4"/>
      <c r="L195" s="44"/>
    </row>
    <row r="196" spans="1:12" ht="15.75">
      <c r="A196" s="3"/>
      <c r="B196" s="161"/>
      <c r="C196" s="3"/>
      <c r="D196" s="4"/>
      <c r="E196" s="4"/>
      <c r="F196" s="40"/>
      <c r="G196" s="4"/>
      <c r="H196" s="4"/>
      <c r="I196" s="4"/>
      <c r="J196" s="4"/>
      <c r="L196" s="44"/>
    </row>
    <row r="197" spans="1:12" ht="15.75">
      <c r="A197" s="3"/>
      <c r="B197" s="161"/>
      <c r="C197" s="3"/>
      <c r="D197" s="4"/>
      <c r="E197" s="4"/>
      <c r="F197" s="40"/>
      <c r="G197" s="4"/>
      <c r="H197" s="4"/>
      <c r="I197" s="4"/>
      <c r="J197" s="4"/>
      <c r="L197" s="44"/>
    </row>
    <row r="198" spans="1:12" ht="15.75">
      <c r="A198" s="3"/>
      <c r="B198" s="161"/>
      <c r="C198" s="3"/>
      <c r="D198" s="4"/>
      <c r="E198" s="4"/>
      <c r="F198" s="40"/>
      <c r="G198" s="4"/>
      <c r="H198" s="4"/>
      <c r="I198" s="4"/>
      <c r="J198" s="4"/>
      <c r="L198" s="44"/>
    </row>
    <row r="199" spans="1:12" ht="15.75">
      <c r="A199" s="3"/>
      <c r="B199" s="161"/>
      <c r="C199" s="3"/>
      <c r="D199" s="4"/>
      <c r="E199" s="4"/>
      <c r="F199" s="40"/>
      <c r="G199" s="4"/>
      <c r="H199" s="4"/>
      <c r="I199" s="4"/>
      <c r="J199" s="4"/>
      <c r="L199" s="44"/>
    </row>
    <row r="200" spans="1:12" ht="15.75">
      <c r="A200" s="3"/>
      <c r="B200" s="161"/>
      <c r="C200" s="3"/>
      <c r="D200" s="4"/>
      <c r="E200" s="4"/>
      <c r="F200" s="40"/>
      <c r="G200" s="4"/>
      <c r="H200" s="4"/>
      <c r="I200" s="4"/>
      <c r="J200" s="4"/>
      <c r="L200" s="44"/>
    </row>
    <row r="201" spans="1:12" ht="15.75">
      <c r="A201" s="3"/>
      <c r="B201" s="161"/>
      <c r="C201" s="3"/>
      <c r="D201" s="4"/>
      <c r="E201" s="4"/>
      <c r="F201" s="40"/>
      <c r="G201" s="4"/>
      <c r="H201" s="4"/>
      <c r="I201" s="4"/>
      <c r="J201" s="4"/>
      <c r="L201" s="44"/>
    </row>
    <row r="202" spans="1:12" ht="15.75">
      <c r="A202" s="3"/>
      <c r="B202" s="161"/>
      <c r="C202" s="3"/>
      <c r="D202" s="4"/>
      <c r="E202" s="4"/>
      <c r="F202" s="40"/>
      <c r="G202" s="4"/>
      <c r="H202" s="4"/>
      <c r="I202" s="4"/>
      <c r="J202" s="4"/>
      <c r="L202" s="44"/>
    </row>
    <row r="203" spans="1:12" ht="15.75">
      <c r="A203" s="3"/>
      <c r="B203" s="161"/>
      <c r="C203" s="3"/>
      <c r="D203" s="4"/>
      <c r="E203" s="4"/>
      <c r="F203" s="40"/>
      <c r="G203" s="4"/>
      <c r="H203" s="4"/>
      <c r="I203" s="4"/>
      <c r="J203" s="4"/>
      <c r="L203" s="44"/>
    </row>
    <row r="204" spans="1:12" ht="15.75">
      <c r="A204" s="3"/>
      <c r="B204" s="161"/>
      <c r="C204" s="3"/>
      <c r="D204" s="4"/>
      <c r="E204" s="4"/>
      <c r="F204" s="40"/>
      <c r="G204" s="4"/>
      <c r="H204" s="4"/>
      <c r="I204" s="4"/>
      <c r="J204" s="4"/>
      <c r="L204" s="44"/>
    </row>
    <row r="205" spans="1:12" ht="15.75">
      <c r="A205" s="3"/>
      <c r="B205" s="161"/>
      <c r="C205" s="3"/>
      <c r="D205" s="4"/>
      <c r="E205" s="4"/>
      <c r="F205" s="40"/>
      <c r="G205" s="4"/>
      <c r="H205" s="4"/>
      <c r="I205" s="4"/>
      <c r="J205" s="4"/>
      <c r="L205" s="44"/>
    </row>
    <row r="206" spans="1:12" ht="15.75">
      <c r="A206" s="3"/>
      <c r="B206" s="161"/>
      <c r="C206" s="3"/>
      <c r="D206" s="4"/>
      <c r="E206" s="4"/>
      <c r="F206" s="40"/>
      <c r="G206" s="4"/>
      <c r="H206" s="4"/>
      <c r="I206" s="4"/>
      <c r="J206" s="4"/>
      <c r="L206" s="44"/>
    </row>
    <row r="207" spans="1:12" ht="15.75">
      <c r="A207" s="3"/>
      <c r="B207" s="161"/>
      <c r="C207" s="3"/>
      <c r="D207" s="4"/>
      <c r="E207" s="4"/>
      <c r="F207" s="40"/>
      <c r="G207" s="4"/>
      <c r="H207" s="4"/>
      <c r="I207" s="4"/>
      <c r="J207" s="4"/>
      <c r="L207" s="44"/>
    </row>
    <row r="208" spans="1:12" ht="15.75">
      <c r="A208" s="3"/>
      <c r="B208" s="161"/>
      <c r="C208" s="3"/>
      <c r="D208" s="4"/>
      <c r="E208" s="4"/>
      <c r="F208" s="40"/>
      <c r="G208" s="4"/>
      <c r="H208" s="4"/>
      <c r="I208" s="4"/>
      <c r="J208" s="4"/>
      <c r="L208" s="44"/>
    </row>
    <row r="209" spans="1:12" ht="15.75">
      <c r="A209" s="3"/>
      <c r="B209" s="161"/>
      <c r="C209" s="3"/>
      <c r="D209" s="4"/>
      <c r="E209" s="4"/>
      <c r="F209" s="40"/>
      <c r="G209" s="4"/>
      <c r="H209" s="4"/>
      <c r="I209" s="4"/>
      <c r="J209" s="4"/>
      <c r="L209" s="44"/>
    </row>
    <row r="210" spans="1:12" ht="15.75">
      <c r="A210" s="3"/>
      <c r="B210" s="161"/>
      <c r="C210" s="3"/>
      <c r="D210" s="4"/>
      <c r="E210" s="4"/>
      <c r="F210" s="40"/>
      <c r="G210" s="4"/>
      <c r="H210" s="4"/>
      <c r="I210" s="4"/>
      <c r="J210" s="4"/>
      <c r="L210" s="44"/>
    </row>
    <row r="211" spans="1:12" ht="15.75">
      <c r="A211" s="3"/>
      <c r="B211" s="161"/>
      <c r="C211" s="3"/>
      <c r="D211" s="4"/>
      <c r="E211" s="4"/>
      <c r="F211" s="40"/>
      <c r="G211" s="4"/>
      <c r="H211" s="4"/>
      <c r="I211" s="4"/>
      <c r="J211" s="4"/>
      <c r="L211" s="44"/>
    </row>
    <row r="212" spans="1:12" ht="15.75">
      <c r="A212" s="3"/>
      <c r="B212" s="161"/>
      <c r="C212" s="3"/>
      <c r="D212" s="4"/>
      <c r="E212" s="4"/>
      <c r="F212" s="40"/>
      <c r="G212" s="4"/>
      <c r="H212" s="4"/>
      <c r="I212" s="4"/>
      <c r="J212" s="4"/>
      <c r="L212" s="44"/>
    </row>
    <row r="213" spans="1:12" ht="15.75">
      <c r="A213" s="3"/>
      <c r="B213" s="161"/>
      <c r="C213" s="3"/>
      <c r="D213" s="4"/>
      <c r="E213" s="4"/>
      <c r="F213" s="40"/>
      <c r="G213" s="4"/>
      <c r="H213" s="4"/>
      <c r="I213" s="4"/>
      <c r="J213" s="4"/>
      <c r="L213" s="44"/>
    </row>
    <row r="214" spans="1:12" ht="15.75">
      <c r="A214" s="3"/>
      <c r="B214" s="161"/>
      <c r="C214" s="3"/>
      <c r="D214" s="4"/>
      <c r="E214" s="4"/>
      <c r="F214" s="40"/>
      <c r="G214" s="4"/>
      <c r="H214" s="4"/>
      <c r="I214" s="4"/>
      <c r="J214" s="4"/>
      <c r="L214" s="44"/>
    </row>
    <row r="215" spans="1:12" ht="15.75">
      <c r="A215" s="3"/>
      <c r="B215" s="161"/>
      <c r="C215" s="3"/>
      <c r="D215" s="4"/>
      <c r="E215" s="4"/>
      <c r="F215" s="40"/>
      <c r="G215" s="4"/>
      <c r="H215" s="4"/>
      <c r="I215" s="4"/>
      <c r="J215" s="4"/>
      <c r="L215" s="44"/>
    </row>
    <row r="216" spans="1:12" ht="15.75">
      <c r="A216" s="3"/>
      <c r="B216" s="161"/>
      <c r="C216" s="3"/>
      <c r="D216" s="4"/>
      <c r="E216" s="4"/>
      <c r="F216" s="40"/>
      <c r="G216" s="4"/>
      <c r="H216" s="4"/>
      <c r="I216" s="4"/>
      <c r="J216" s="4"/>
      <c r="L216" s="44"/>
    </row>
    <row r="217" spans="1:12" ht="15.75">
      <c r="A217" s="3"/>
      <c r="B217" s="161"/>
      <c r="C217" s="3"/>
      <c r="D217" s="4"/>
      <c r="E217" s="4"/>
      <c r="F217" s="40"/>
      <c r="G217" s="4"/>
      <c r="H217" s="4"/>
      <c r="I217" s="4"/>
      <c r="J217" s="4"/>
      <c r="L217" s="44"/>
    </row>
    <row r="218" spans="1:12" ht="15.75">
      <c r="A218" s="3"/>
      <c r="B218" s="161"/>
      <c r="C218" s="3"/>
      <c r="D218" s="4"/>
      <c r="E218" s="4"/>
      <c r="F218" s="40"/>
      <c r="G218" s="4"/>
      <c r="H218" s="4"/>
      <c r="I218" s="4"/>
      <c r="J218" s="4"/>
      <c r="L218" s="44"/>
    </row>
    <row r="219" spans="1:12" ht="15.75">
      <c r="A219" s="3"/>
      <c r="B219" s="161"/>
      <c r="C219" s="3"/>
      <c r="D219" s="4"/>
      <c r="E219" s="4"/>
      <c r="F219" s="40"/>
      <c r="G219" s="4"/>
      <c r="H219" s="4"/>
      <c r="I219" s="4"/>
      <c r="J219" s="4"/>
      <c r="L219" s="44"/>
    </row>
    <row r="220" spans="1:12" ht="15.75">
      <c r="A220" s="3"/>
      <c r="B220" s="161"/>
      <c r="C220" s="3"/>
      <c r="D220" s="4"/>
      <c r="E220" s="4"/>
      <c r="F220" s="40"/>
      <c r="G220" s="4"/>
      <c r="H220" s="4"/>
      <c r="I220" s="4"/>
      <c r="J220" s="4"/>
      <c r="L220" s="44"/>
    </row>
    <row r="221" spans="1:12" ht="15.75">
      <c r="A221" s="3"/>
      <c r="B221" s="161"/>
      <c r="C221" s="3"/>
      <c r="D221" s="4"/>
      <c r="E221" s="4"/>
      <c r="F221" s="40"/>
      <c r="G221" s="4"/>
      <c r="H221" s="4"/>
      <c r="I221" s="4"/>
      <c r="J221" s="4"/>
      <c r="L221" s="44"/>
    </row>
    <row r="222" spans="1:12" ht="15.75">
      <c r="A222" s="3"/>
      <c r="B222" s="161"/>
      <c r="C222" s="3"/>
      <c r="D222" s="4"/>
      <c r="E222" s="4"/>
      <c r="F222" s="40"/>
      <c r="G222" s="4"/>
      <c r="H222" s="4"/>
      <c r="I222" s="4"/>
      <c r="J222" s="4"/>
      <c r="L222" s="44"/>
    </row>
    <row r="223" spans="1:12" ht="15.75">
      <c r="A223" s="3"/>
      <c r="B223" s="161"/>
      <c r="C223" s="3"/>
      <c r="D223" s="4"/>
      <c r="E223" s="4"/>
      <c r="F223" s="40"/>
      <c r="G223" s="4"/>
      <c r="H223" s="4"/>
      <c r="I223" s="4"/>
      <c r="J223" s="4"/>
      <c r="L223" s="44"/>
    </row>
    <row r="224" spans="1:12" ht="15.75">
      <c r="A224" s="3"/>
      <c r="B224" s="161"/>
      <c r="C224" s="3"/>
      <c r="D224" s="4"/>
      <c r="E224" s="4"/>
      <c r="F224" s="40"/>
      <c r="G224" s="4"/>
      <c r="H224" s="4"/>
      <c r="I224" s="4"/>
      <c r="J224" s="4"/>
      <c r="L224" s="44"/>
    </row>
    <row r="225" spans="1:12" ht="15.75">
      <c r="A225" s="3"/>
      <c r="B225" s="161"/>
      <c r="C225" s="3"/>
      <c r="D225" s="4"/>
      <c r="E225" s="4"/>
      <c r="F225" s="40"/>
      <c r="G225" s="4"/>
      <c r="H225" s="4"/>
      <c r="I225" s="4"/>
      <c r="J225" s="4"/>
      <c r="L225" s="44"/>
    </row>
    <row r="226" spans="1:12" ht="15.75">
      <c r="A226" s="3"/>
      <c r="B226" s="161"/>
      <c r="C226" s="3"/>
      <c r="D226" s="4"/>
      <c r="E226" s="4"/>
      <c r="F226" s="40"/>
      <c r="G226" s="4"/>
      <c r="H226" s="4"/>
      <c r="I226" s="4"/>
      <c r="J226" s="4"/>
      <c r="L226" s="44"/>
    </row>
    <row r="227" spans="1:12" ht="15.75">
      <c r="A227" s="3"/>
      <c r="B227" s="161"/>
      <c r="C227" s="3"/>
      <c r="D227" s="4"/>
      <c r="E227" s="4"/>
      <c r="F227" s="40"/>
      <c r="G227" s="4"/>
      <c r="H227" s="4"/>
      <c r="I227" s="4"/>
      <c r="J227" s="4"/>
      <c r="L227" s="44"/>
    </row>
    <row r="228" spans="1:12" ht="15.75">
      <c r="A228" s="3"/>
      <c r="B228" s="161"/>
      <c r="C228" s="3"/>
      <c r="D228" s="4"/>
      <c r="E228" s="4"/>
      <c r="F228" s="40"/>
      <c r="G228" s="4"/>
      <c r="H228" s="4"/>
      <c r="I228" s="4"/>
      <c r="J228" s="4"/>
      <c r="L228" s="44"/>
    </row>
    <row r="229" spans="1:12" ht="15.75">
      <c r="A229" s="3"/>
      <c r="B229" s="161"/>
      <c r="C229" s="3"/>
      <c r="D229" s="4"/>
      <c r="E229" s="4"/>
      <c r="F229" s="40"/>
      <c r="G229" s="4"/>
      <c r="H229" s="4"/>
      <c r="I229" s="4"/>
      <c r="J229" s="4"/>
      <c r="L229" s="44"/>
    </row>
    <row r="230" spans="1:12" ht="15.75">
      <c r="A230" s="3"/>
      <c r="B230" s="161"/>
      <c r="C230" s="3"/>
      <c r="D230" s="4"/>
      <c r="E230" s="4"/>
      <c r="F230" s="40"/>
      <c r="G230" s="4"/>
      <c r="H230" s="4"/>
      <c r="I230" s="4"/>
      <c r="J230" s="4"/>
      <c r="L230" s="44"/>
    </row>
    <row r="231" spans="1:12" ht="15.75">
      <c r="A231" s="3"/>
      <c r="B231" s="161"/>
      <c r="C231" s="3"/>
      <c r="D231" s="4"/>
      <c r="E231" s="4"/>
      <c r="F231" s="40"/>
      <c r="G231" s="4"/>
      <c r="H231" s="4"/>
      <c r="I231" s="4"/>
      <c r="J231" s="4"/>
      <c r="L231" s="44"/>
    </row>
    <row r="232" spans="1:12" ht="15.75">
      <c r="A232" s="3"/>
      <c r="B232" s="161"/>
      <c r="C232" s="3"/>
      <c r="D232" s="4"/>
      <c r="E232" s="4"/>
      <c r="F232" s="40"/>
      <c r="G232" s="4"/>
      <c r="H232" s="4"/>
      <c r="I232" s="4"/>
      <c r="J232" s="4"/>
      <c r="L232" s="44"/>
    </row>
    <row r="233" spans="1:12" ht="15.75">
      <c r="A233" s="3"/>
      <c r="B233" s="161"/>
      <c r="C233" s="3"/>
      <c r="D233" s="4"/>
      <c r="E233" s="4"/>
      <c r="F233" s="40"/>
      <c r="G233" s="4"/>
      <c r="H233" s="4"/>
      <c r="I233" s="4"/>
      <c r="J233" s="4"/>
      <c r="L233" s="44"/>
    </row>
    <row r="234" spans="1:12" ht="15.75">
      <c r="A234" s="3"/>
      <c r="B234" s="161"/>
      <c r="C234" s="3"/>
      <c r="D234" s="4"/>
      <c r="E234" s="4"/>
      <c r="F234" s="40"/>
      <c r="G234" s="4"/>
      <c r="H234" s="4"/>
      <c r="I234" s="4"/>
      <c r="J234" s="4"/>
      <c r="L234" s="44"/>
    </row>
    <row r="235" spans="1:12" ht="15.75">
      <c r="A235" s="3"/>
      <c r="B235" s="161"/>
      <c r="C235" s="3"/>
      <c r="D235" s="4"/>
      <c r="E235" s="4"/>
      <c r="F235" s="40"/>
      <c r="G235" s="4"/>
      <c r="H235" s="4"/>
      <c r="I235" s="4"/>
      <c r="J235" s="4"/>
      <c r="L235" s="44"/>
    </row>
    <row r="236" spans="1:12" ht="15.75">
      <c r="A236" s="3"/>
      <c r="B236" s="161"/>
      <c r="C236" s="3"/>
      <c r="D236" s="4"/>
      <c r="E236" s="4"/>
      <c r="F236" s="40"/>
      <c r="G236" s="4"/>
      <c r="H236" s="4"/>
      <c r="I236" s="4"/>
      <c r="J236" s="4"/>
      <c r="L236" s="44"/>
    </row>
    <row r="237" spans="1:12" ht="15.75">
      <c r="A237" s="3"/>
      <c r="B237" s="161"/>
      <c r="C237" s="3"/>
      <c r="D237" s="4"/>
      <c r="E237" s="4"/>
      <c r="F237" s="40"/>
      <c r="G237" s="4"/>
      <c r="H237" s="4"/>
      <c r="I237" s="4"/>
      <c r="J237" s="4"/>
      <c r="L237" s="44"/>
    </row>
    <row r="238" spans="1:12" ht="15.75">
      <c r="A238" s="3"/>
      <c r="B238" s="161"/>
      <c r="C238" s="3"/>
      <c r="D238" s="4"/>
      <c r="E238" s="4"/>
      <c r="F238" s="40"/>
      <c r="G238" s="4"/>
      <c r="H238" s="4"/>
      <c r="I238" s="4"/>
      <c r="J238" s="4"/>
      <c r="L238" s="44"/>
    </row>
    <row r="239" spans="1:12" ht="15.75">
      <c r="A239" s="3"/>
      <c r="B239" s="161"/>
      <c r="C239" s="3"/>
      <c r="D239" s="4"/>
      <c r="E239" s="4"/>
      <c r="F239" s="40"/>
      <c r="G239" s="4"/>
      <c r="H239" s="4"/>
      <c r="I239" s="4"/>
      <c r="J239" s="4"/>
      <c r="L239" s="44"/>
    </row>
    <row r="240" spans="1:12" ht="15.75">
      <c r="A240" s="3"/>
      <c r="B240" s="161"/>
      <c r="C240" s="3"/>
      <c r="D240" s="4"/>
      <c r="E240" s="4"/>
      <c r="F240" s="40"/>
      <c r="G240" s="4"/>
      <c r="H240" s="4"/>
      <c r="I240" s="4"/>
      <c r="J240" s="4"/>
      <c r="L240" s="44"/>
    </row>
    <row r="241" spans="1:12" ht="15.75">
      <c r="A241" s="3"/>
      <c r="B241" s="161"/>
      <c r="C241" s="3"/>
      <c r="D241" s="4"/>
      <c r="E241" s="4"/>
      <c r="F241" s="40"/>
      <c r="G241" s="4"/>
      <c r="H241" s="4"/>
      <c r="I241" s="4"/>
      <c r="J241" s="4"/>
      <c r="L241" s="44"/>
    </row>
    <row r="242" spans="1:12" ht="15.75">
      <c r="A242" s="3"/>
      <c r="B242" s="161"/>
      <c r="C242" s="3"/>
      <c r="D242" s="4"/>
      <c r="E242" s="4"/>
      <c r="F242" s="40"/>
      <c r="G242" s="4"/>
      <c r="H242" s="4"/>
      <c r="I242" s="4"/>
      <c r="J242" s="4"/>
      <c r="L242" s="44"/>
    </row>
    <row r="243" spans="1:12" ht="15.75">
      <c r="A243" s="3"/>
      <c r="B243" s="161"/>
      <c r="C243" s="3"/>
      <c r="D243" s="4"/>
      <c r="E243" s="4"/>
      <c r="F243" s="40"/>
      <c r="G243" s="4"/>
      <c r="H243" s="4"/>
      <c r="I243" s="4"/>
      <c r="J243" s="4"/>
      <c r="L243" s="44"/>
    </row>
    <row r="244" spans="1:12" ht="15.75">
      <c r="A244" s="3"/>
      <c r="B244" s="161"/>
      <c r="C244" s="3"/>
      <c r="D244" s="4"/>
      <c r="E244" s="4"/>
      <c r="F244" s="40"/>
      <c r="G244" s="4"/>
      <c r="H244" s="4"/>
      <c r="I244" s="4"/>
      <c r="J244" s="4"/>
      <c r="L244" s="44"/>
    </row>
    <row r="245" spans="1:12" ht="15.75">
      <c r="A245" s="3"/>
      <c r="B245" s="161"/>
      <c r="C245" s="3"/>
      <c r="D245" s="4"/>
      <c r="E245" s="4"/>
      <c r="F245" s="40"/>
      <c r="G245" s="4"/>
      <c r="H245" s="4"/>
      <c r="I245" s="4"/>
      <c r="J245" s="4"/>
      <c r="L245" s="44"/>
    </row>
    <row r="246" spans="1:12" ht="15.75">
      <c r="A246" s="3"/>
      <c r="B246" s="161"/>
      <c r="C246" s="3"/>
      <c r="D246" s="4"/>
      <c r="E246" s="4"/>
      <c r="F246" s="40"/>
      <c r="G246" s="4"/>
      <c r="H246" s="4"/>
      <c r="I246" s="4"/>
      <c r="J246" s="4"/>
      <c r="L246" s="44"/>
    </row>
    <row r="247" spans="1:12" ht="15.75">
      <c r="A247" s="3"/>
      <c r="B247" s="161"/>
      <c r="C247" s="3"/>
      <c r="D247" s="4"/>
      <c r="E247" s="4"/>
      <c r="F247" s="40"/>
      <c r="G247" s="4"/>
      <c r="H247" s="4"/>
      <c r="I247" s="4"/>
      <c r="J247" s="4"/>
      <c r="L247" s="44"/>
    </row>
    <row r="248" spans="1:12" ht="15.75">
      <c r="A248" s="3"/>
      <c r="B248" s="161"/>
      <c r="C248" s="3"/>
      <c r="D248" s="4"/>
      <c r="E248" s="4"/>
      <c r="F248" s="40"/>
      <c r="G248" s="4"/>
      <c r="H248" s="4"/>
      <c r="I248" s="4"/>
      <c r="J248" s="4"/>
      <c r="L248" s="44"/>
    </row>
    <row r="249" spans="1:12" ht="15.75">
      <c r="A249" s="3"/>
      <c r="B249" s="161"/>
      <c r="C249" s="3"/>
      <c r="D249" s="4"/>
      <c r="E249" s="4"/>
      <c r="F249" s="40"/>
      <c r="G249" s="4"/>
      <c r="H249" s="4"/>
      <c r="I249" s="4"/>
      <c r="J249" s="4"/>
      <c r="L249" s="44"/>
    </row>
    <row r="250" spans="1:12" ht="15.75">
      <c r="A250" s="3"/>
      <c r="B250" s="161"/>
      <c r="C250" s="3"/>
      <c r="D250" s="4"/>
      <c r="E250" s="4"/>
      <c r="F250" s="40"/>
      <c r="G250" s="4"/>
      <c r="H250" s="4"/>
      <c r="I250" s="4"/>
      <c r="J250" s="4"/>
      <c r="L250" s="44"/>
    </row>
    <row r="251" spans="1:12" ht="15.75">
      <c r="A251" s="3"/>
      <c r="B251" s="161"/>
      <c r="C251" s="3"/>
      <c r="D251" s="4"/>
      <c r="E251" s="4"/>
      <c r="F251" s="40"/>
      <c r="G251" s="4"/>
      <c r="H251" s="4"/>
      <c r="I251" s="4"/>
      <c r="J251" s="4"/>
      <c r="L251" s="44"/>
    </row>
    <row r="252" spans="1:12" ht="15.75">
      <c r="A252" s="3"/>
      <c r="B252" s="161"/>
      <c r="C252" s="3"/>
      <c r="D252" s="4"/>
      <c r="E252" s="4"/>
      <c r="F252" s="40"/>
      <c r="G252" s="4"/>
      <c r="H252" s="4"/>
      <c r="I252" s="4"/>
      <c r="J252" s="4"/>
      <c r="L252" s="44"/>
    </row>
    <row r="253" spans="1:12" ht="15.75">
      <c r="A253" s="3"/>
      <c r="B253" s="161"/>
      <c r="C253" s="3"/>
      <c r="D253" s="4"/>
      <c r="E253" s="4"/>
      <c r="F253" s="40"/>
      <c r="G253" s="4"/>
      <c r="H253" s="4"/>
      <c r="I253" s="4"/>
      <c r="J253" s="4"/>
      <c r="L253" s="44"/>
    </row>
    <row r="254" spans="1:12" ht="15.75">
      <c r="A254" s="3"/>
      <c r="B254" s="161"/>
      <c r="C254" s="3"/>
      <c r="D254" s="4"/>
      <c r="E254" s="4"/>
      <c r="F254" s="40"/>
      <c r="G254" s="4"/>
      <c r="H254" s="4"/>
      <c r="I254" s="4"/>
      <c r="J254" s="4"/>
      <c r="L254" s="44"/>
    </row>
    <row r="255" spans="1:12" ht="15.75">
      <c r="A255" s="3"/>
      <c r="B255" s="161"/>
      <c r="C255" s="3"/>
      <c r="D255" s="4"/>
      <c r="E255" s="4"/>
      <c r="F255" s="40"/>
      <c r="G255" s="4"/>
      <c r="H255" s="4"/>
      <c r="I255" s="4"/>
      <c r="J255" s="4"/>
      <c r="L255" s="44"/>
    </row>
    <row r="256" spans="1:12" ht="15.75">
      <c r="A256" s="3"/>
      <c r="B256" s="161"/>
      <c r="C256" s="3"/>
      <c r="D256" s="4"/>
      <c r="E256" s="4"/>
      <c r="F256" s="40"/>
      <c r="G256" s="4"/>
      <c r="H256" s="4"/>
      <c r="I256" s="4"/>
      <c r="J256" s="4"/>
      <c r="L256" s="44"/>
    </row>
    <row r="257" spans="1:12" ht="15.75">
      <c r="A257" s="3"/>
      <c r="B257" s="161"/>
      <c r="C257" s="3"/>
      <c r="D257" s="4"/>
      <c r="E257" s="4"/>
      <c r="F257" s="40"/>
      <c r="G257" s="4"/>
      <c r="H257" s="4"/>
      <c r="I257" s="4"/>
      <c r="J257" s="4"/>
      <c r="L257" s="44"/>
    </row>
    <row r="258" spans="1:12" ht="15.75">
      <c r="A258" s="3"/>
      <c r="B258" s="161"/>
      <c r="C258" s="3"/>
      <c r="D258" s="4"/>
      <c r="E258" s="4"/>
      <c r="F258" s="40"/>
      <c r="G258" s="4"/>
      <c r="H258" s="4"/>
      <c r="I258" s="4"/>
      <c r="J258" s="4"/>
      <c r="L258" s="44"/>
    </row>
    <row r="259" spans="1:12" ht="15.75">
      <c r="A259" s="3"/>
      <c r="B259" s="161"/>
      <c r="C259" s="3"/>
      <c r="D259" s="4"/>
      <c r="E259" s="4"/>
      <c r="F259" s="40"/>
      <c r="G259" s="4"/>
      <c r="H259" s="4"/>
      <c r="I259" s="4"/>
      <c r="J259" s="4"/>
      <c r="L259" s="44"/>
    </row>
    <row r="260" spans="1:12" ht="15.75">
      <c r="A260" s="3"/>
      <c r="B260" s="161"/>
      <c r="C260" s="3"/>
      <c r="D260" s="4"/>
      <c r="E260" s="4"/>
      <c r="F260" s="40"/>
      <c r="G260" s="4"/>
      <c r="H260" s="4"/>
      <c r="I260" s="4"/>
      <c r="J260" s="4"/>
      <c r="L260" s="44"/>
    </row>
    <row r="261" spans="1:12" ht="15.75">
      <c r="A261" s="3"/>
      <c r="B261" s="161"/>
      <c r="C261" s="3"/>
      <c r="D261" s="4"/>
      <c r="E261" s="4"/>
      <c r="F261" s="40"/>
      <c r="G261" s="4"/>
      <c r="H261" s="4"/>
      <c r="I261" s="4"/>
      <c r="J261" s="4"/>
      <c r="L261" s="44"/>
    </row>
    <row r="262" spans="1:12" ht="15.75">
      <c r="A262" s="3"/>
      <c r="B262" s="161"/>
      <c r="C262" s="3"/>
      <c r="D262" s="4"/>
      <c r="E262" s="4"/>
      <c r="F262" s="40"/>
      <c r="G262" s="4"/>
      <c r="H262" s="4"/>
      <c r="I262" s="4"/>
      <c r="J262" s="4"/>
      <c r="L262" s="44"/>
    </row>
    <row r="263" spans="1:12" ht="15.75">
      <c r="A263" s="3"/>
      <c r="B263" s="161"/>
      <c r="C263" s="3"/>
      <c r="D263" s="4"/>
      <c r="E263" s="4"/>
      <c r="F263" s="40"/>
      <c r="G263" s="4"/>
      <c r="H263" s="4"/>
      <c r="I263" s="4"/>
      <c r="J263" s="4"/>
      <c r="L263" s="44"/>
    </row>
    <row r="264" spans="1:12" ht="15.75">
      <c r="A264" s="3"/>
      <c r="B264" s="161"/>
      <c r="C264" s="3"/>
      <c r="D264" s="4"/>
      <c r="E264" s="4"/>
      <c r="F264" s="40"/>
      <c r="G264" s="4"/>
      <c r="H264" s="4"/>
      <c r="I264" s="4"/>
      <c r="J264" s="4"/>
      <c r="L264" s="44"/>
    </row>
    <row r="265" spans="1:12" ht="15.75">
      <c r="A265" s="3"/>
      <c r="B265" s="161"/>
      <c r="C265" s="3"/>
      <c r="D265" s="4"/>
      <c r="E265" s="4"/>
      <c r="F265" s="40"/>
      <c r="G265" s="4"/>
      <c r="H265" s="4"/>
      <c r="I265" s="4"/>
      <c r="J265" s="4"/>
      <c r="L265" s="44"/>
    </row>
    <row r="266" spans="1:12" ht="15.75">
      <c r="A266" s="3"/>
      <c r="B266" s="161"/>
      <c r="C266" s="3"/>
      <c r="D266" s="4"/>
      <c r="E266" s="4"/>
      <c r="F266" s="40"/>
      <c r="G266" s="4"/>
      <c r="H266" s="4"/>
      <c r="I266" s="4"/>
      <c r="J266" s="4"/>
      <c r="L266" s="44"/>
    </row>
    <row r="267" spans="1:12" ht="15.75">
      <c r="A267" s="3"/>
      <c r="B267" s="161"/>
      <c r="C267" s="3"/>
      <c r="D267" s="4"/>
      <c r="E267" s="4"/>
      <c r="F267" s="40"/>
      <c r="G267" s="4"/>
      <c r="H267" s="4"/>
      <c r="I267" s="4"/>
      <c r="J267" s="4"/>
      <c r="L267" s="44"/>
    </row>
    <row r="268" spans="1:12" ht="15.75">
      <c r="A268" s="3"/>
      <c r="B268" s="161"/>
      <c r="C268" s="3"/>
      <c r="D268" s="4"/>
      <c r="E268" s="4"/>
      <c r="F268" s="40"/>
      <c r="G268" s="4"/>
      <c r="H268" s="4"/>
      <c r="I268" s="4"/>
      <c r="J268" s="4"/>
      <c r="L268" s="44"/>
    </row>
    <row r="269" spans="1:12" ht="15.75">
      <c r="A269" s="3"/>
      <c r="B269" s="161"/>
      <c r="C269" s="3"/>
      <c r="D269" s="4"/>
      <c r="E269" s="4"/>
      <c r="F269" s="40"/>
      <c r="G269" s="4"/>
      <c r="H269" s="4"/>
      <c r="I269" s="4"/>
      <c r="J269" s="4"/>
      <c r="L269" s="44"/>
    </row>
    <row r="270" spans="1:12" ht="15.75">
      <c r="A270" s="3"/>
      <c r="B270" s="161"/>
      <c r="C270" s="3"/>
      <c r="D270" s="4"/>
      <c r="E270" s="4"/>
      <c r="F270" s="40"/>
      <c r="G270" s="4"/>
      <c r="H270" s="4"/>
      <c r="I270" s="4"/>
      <c r="J270" s="4"/>
      <c r="L270" s="44"/>
    </row>
    <row r="271" spans="1:12" ht="15.75">
      <c r="A271" s="3"/>
      <c r="B271" s="161"/>
      <c r="C271" s="3"/>
      <c r="D271" s="4"/>
      <c r="E271" s="4"/>
      <c r="F271" s="40"/>
      <c r="G271" s="4"/>
      <c r="H271" s="4"/>
      <c r="I271" s="4"/>
      <c r="J271" s="4"/>
      <c r="L271" s="44"/>
    </row>
    <row r="272" spans="1:12" ht="15.75">
      <c r="A272" s="3"/>
      <c r="B272" s="161"/>
      <c r="C272" s="3"/>
      <c r="D272" s="4"/>
      <c r="E272" s="4"/>
      <c r="F272" s="40"/>
      <c r="G272" s="4"/>
      <c r="H272" s="4"/>
      <c r="I272" s="4"/>
      <c r="J272" s="4"/>
      <c r="L272" s="44"/>
    </row>
    <row r="273" spans="1:12" ht="15.75">
      <c r="A273" s="3"/>
      <c r="B273" s="161"/>
      <c r="C273" s="3"/>
      <c r="D273" s="4"/>
      <c r="E273" s="4"/>
      <c r="F273" s="40"/>
      <c r="G273" s="4"/>
      <c r="H273" s="4"/>
      <c r="I273" s="4"/>
      <c r="J273" s="4"/>
      <c r="L273" s="44"/>
    </row>
    <row r="274" spans="1:12" ht="15.75">
      <c r="A274" s="3"/>
      <c r="B274" s="161"/>
      <c r="C274" s="3"/>
      <c r="D274" s="4"/>
      <c r="E274" s="4"/>
      <c r="F274" s="40"/>
      <c r="G274" s="4"/>
      <c r="H274" s="4"/>
      <c r="I274" s="4"/>
      <c r="J274" s="4"/>
      <c r="L274" s="44"/>
    </row>
    <row r="275" spans="1:12" ht="15.75">
      <c r="A275" s="3"/>
      <c r="B275" s="161"/>
      <c r="C275" s="3"/>
      <c r="D275" s="4"/>
      <c r="E275" s="4"/>
      <c r="F275" s="40"/>
      <c r="G275" s="4"/>
      <c r="H275" s="4"/>
      <c r="I275" s="4"/>
      <c r="J275" s="4"/>
      <c r="L275" s="44"/>
    </row>
    <row r="276" spans="1:12" ht="15.75">
      <c r="A276" s="3"/>
      <c r="B276" s="161"/>
      <c r="C276" s="3"/>
      <c r="D276" s="4"/>
      <c r="E276" s="4"/>
      <c r="F276" s="40"/>
      <c r="G276" s="4"/>
      <c r="H276" s="4"/>
      <c r="I276" s="4"/>
      <c r="J276" s="4"/>
      <c r="L276" s="44"/>
    </row>
    <row r="277" spans="1:12" ht="15.75">
      <c r="A277" s="3"/>
      <c r="B277" s="161"/>
      <c r="C277" s="3"/>
      <c r="D277" s="4"/>
      <c r="E277" s="4"/>
      <c r="F277" s="40"/>
      <c r="G277" s="4"/>
      <c r="H277" s="4"/>
      <c r="I277" s="4"/>
      <c r="J277" s="4"/>
      <c r="L277" s="44"/>
    </row>
    <row r="278" spans="1:12" ht="15.75">
      <c r="A278" s="3"/>
      <c r="B278" s="161"/>
      <c r="C278" s="3"/>
      <c r="D278" s="4"/>
      <c r="E278" s="4"/>
      <c r="F278" s="40"/>
      <c r="G278" s="4"/>
      <c r="H278" s="4"/>
      <c r="I278" s="4"/>
      <c r="J278" s="4"/>
      <c r="L278" s="44"/>
    </row>
    <row r="279" spans="1:12" ht="15.75">
      <c r="A279" s="3"/>
      <c r="B279" s="161"/>
      <c r="C279" s="3"/>
      <c r="D279" s="4"/>
      <c r="E279" s="4"/>
      <c r="F279" s="40"/>
      <c r="G279" s="4"/>
      <c r="H279" s="4"/>
      <c r="I279" s="4"/>
      <c r="J279" s="4"/>
      <c r="L279" s="44"/>
    </row>
    <row r="280" spans="1:12" ht="15.75">
      <c r="A280" s="3"/>
      <c r="B280" s="161"/>
      <c r="C280" s="3"/>
      <c r="D280" s="4"/>
      <c r="E280" s="4"/>
      <c r="F280" s="40"/>
      <c r="G280" s="4"/>
      <c r="H280" s="4"/>
      <c r="I280" s="4"/>
      <c r="J280" s="4"/>
      <c r="L280" s="44"/>
    </row>
    <row r="281" spans="1:12" ht="15.75">
      <c r="A281" s="3"/>
      <c r="B281" s="161"/>
      <c r="C281" s="3"/>
      <c r="D281" s="4"/>
      <c r="E281" s="4"/>
      <c r="F281" s="40"/>
      <c r="G281" s="4"/>
      <c r="H281" s="4"/>
      <c r="I281" s="4"/>
      <c r="J281" s="4"/>
      <c r="L281" s="44"/>
    </row>
    <row r="282" spans="1:12" ht="15.75">
      <c r="A282" s="3"/>
      <c r="B282" s="161"/>
      <c r="C282" s="3"/>
      <c r="D282" s="4"/>
      <c r="E282" s="4"/>
      <c r="F282" s="40"/>
      <c r="G282" s="4"/>
      <c r="H282" s="4"/>
      <c r="I282" s="4"/>
      <c r="J282" s="4"/>
      <c r="L282" s="44"/>
    </row>
    <row r="283" spans="1:12" ht="15.75">
      <c r="A283" s="3"/>
      <c r="B283" s="161"/>
      <c r="C283" s="3"/>
      <c r="D283" s="4"/>
      <c r="E283" s="4"/>
      <c r="F283" s="40"/>
      <c r="G283" s="4"/>
      <c r="H283" s="4"/>
      <c r="I283" s="4"/>
      <c r="J283" s="4"/>
      <c r="L283" s="44"/>
    </row>
    <row r="284" spans="1:12" ht="15.75">
      <c r="A284" s="3"/>
      <c r="B284" s="161"/>
      <c r="C284" s="3"/>
      <c r="D284" s="4"/>
      <c r="E284" s="4"/>
      <c r="F284" s="40"/>
      <c r="G284" s="4"/>
      <c r="H284" s="4"/>
      <c r="I284" s="4"/>
      <c r="J284" s="4"/>
      <c r="L284" s="44"/>
    </row>
    <row r="285" spans="1:12" ht="15.75">
      <c r="A285" s="3"/>
      <c r="B285" s="161"/>
      <c r="C285" s="3"/>
      <c r="D285" s="4"/>
      <c r="E285" s="4"/>
      <c r="F285" s="40"/>
      <c r="G285" s="4"/>
      <c r="H285" s="4"/>
      <c r="I285" s="4"/>
      <c r="J285" s="4"/>
      <c r="L285" s="44"/>
    </row>
    <row r="286" spans="1:12" ht="15.75">
      <c r="A286" s="3"/>
      <c r="B286" s="161"/>
      <c r="C286" s="3"/>
      <c r="D286" s="4"/>
      <c r="E286" s="4"/>
      <c r="F286" s="40"/>
      <c r="G286" s="4"/>
      <c r="H286" s="4"/>
      <c r="I286" s="4"/>
      <c r="J286" s="4"/>
      <c r="L286" s="44"/>
    </row>
    <row r="287" spans="1:12" ht="15.75">
      <c r="A287" s="3"/>
      <c r="B287" s="161"/>
      <c r="C287" s="3"/>
      <c r="D287" s="4"/>
      <c r="E287" s="4"/>
      <c r="F287" s="40"/>
      <c r="G287" s="4"/>
      <c r="H287" s="4"/>
      <c r="I287" s="4"/>
      <c r="J287" s="4"/>
      <c r="L287" s="44"/>
    </row>
    <row r="288" spans="1:12" ht="15.75">
      <c r="A288" s="3"/>
      <c r="B288" s="161"/>
      <c r="C288" s="3"/>
      <c r="D288" s="4"/>
      <c r="E288" s="4"/>
      <c r="F288" s="40"/>
      <c r="G288" s="4"/>
      <c r="H288" s="4"/>
      <c r="I288" s="4"/>
      <c r="J288" s="4"/>
      <c r="L288" s="44"/>
    </row>
    <row r="289" spans="1:12" ht="15.75">
      <c r="A289" s="3"/>
      <c r="B289" s="161"/>
      <c r="C289" s="3"/>
      <c r="D289" s="4"/>
      <c r="E289" s="4"/>
      <c r="F289" s="40"/>
      <c r="G289" s="4"/>
      <c r="H289" s="4"/>
      <c r="I289" s="4"/>
      <c r="J289" s="4"/>
      <c r="L289" s="44"/>
    </row>
    <row r="290" spans="1:12" ht="15.75">
      <c r="A290" s="3"/>
      <c r="B290" s="161"/>
      <c r="C290" s="3"/>
      <c r="D290" s="4"/>
      <c r="E290" s="4"/>
      <c r="F290" s="40"/>
      <c r="G290" s="4"/>
      <c r="H290" s="4"/>
      <c r="I290" s="4"/>
      <c r="J290" s="4"/>
      <c r="L290" s="44"/>
    </row>
    <row r="291" spans="1:12" ht="15.75">
      <c r="A291" s="3"/>
      <c r="B291" s="161"/>
      <c r="C291" s="3"/>
      <c r="D291" s="4"/>
      <c r="E291" s="4"/>
      <c r="F291" s="40"/>
      <c r="G291" s="4"/>
      <c r="H291" s="4"/>
      <c r="I291" s="4"/>
      <c r="J291" s="4"/>
      <c r="L291" s="44"/>
    </row>
    <row r="292" spans="1:12" ht="15.75">
      <c r="A292" s="3"/>
      <c r="B292" s="161"/>
      <c r="C292" s="3"/>
      <c r="D292" s="4"/>
      <c r="E292" s="4"/>
      <c r="F292" s="40"/>
      <c r="G292" s="4"/>
      <c r="H292" s="4"/>
      <c r="I292" s="4"/>
      <c r="J292" s="4"/>
      <c r="L292" s="44"/>
    </row>
    <row r="293" spans="1:12" ht="15.75">
      <c r="A293" s="3"/>
      <c r="B293" s="161"/>
      <c r="C293" s="3"/>
      <c r="D293" s="4"/>
      <c r="E293" s="4"/>
      <c r="F293" s="40"/>
      <c r="G293" s="4"/>
      <c r="H293" s="4"/>
      <c r="I293" s="4"/>
      <c r="J293" s="4"/>
      <c r="L293" s="44"/>
    </row>
    <row r="294" spans="1:12" ht="15.75">
      <c r="A294" s="3"/>
      <c r="B294" s="161"/>
      <c r="C294" s="3"/>
      <c r="D294" s="4"/>
      <c r="E294" s="4"/>
      <c r="F294" s="40"/>
      <c r="G294" s="4"/>
      <c r="H294" s="4"/>
      <c r="I294" s="4"/>
      <c r="J294" s="4"/>
      <c r="L294" s="44"/>
    </row>
    <row r="295" spans="1:12" ht="15.75">
      <c r="A295" s="3"/>
      <c r="B295" s="161"/>
      <c r="C295" s="3"/>
      <c r="D295" s="4"/>
      <c r="E295" s="4"/>
      <c r="F295" s="40"/>
      <c r="G295" s="4"/>
      <c r="H295" s="4"/>
      <c r="I295" s="4"/>
      <c r="J295" s="4"/>
      <c r="L295" s="44"/>
    </row>
    <row r="296" spans="1:12" ht="15.75">
      <c r="A296" s="3"/>
      <c r="B296" s="161"/>
      <c r="C296" s="3"/>
      <c r="D296" s="4"/>
      <c r="E296" s="4"/>
      <c r="F296" s="40"/>
      <c r="G296" s="4"/>
      <c r="H296" s="4"/>
      <c r="I296" s="4"/>
      <c r="J296" s="4"/>
      <c r="L296" s="44"/>
    </row>
    <row r="297" spans="1:12" ht="15.75">
      <c r="A297" s="3"/>
      <c r="B297" s="161"/>
      <c r="C297" s="3"/>
      <c r="D297" s="4"/>
      <c r="E297" s="4"/>
      <c r="F297" s="40"/>
      <c r="G297" s="4"/>
      <c r="H297" s="4"/>
      <c r="I297" s="4"/>
      <c r="J297" s="4"/>
      <c r="L297" s="44"/>
    </row>
    <row r="298" spans="1:12" ht="15.75">
      <c r="A298" s="3"/>
      <c r="B298" s="161"/>
      <c r="C298" s="3"/>
      <c r="D298" s="4"/>
      <c r="E298" s="4"/>
      <c r="F298" s="40"/>
      <c r="G298" s="4"/>
      <c r="H298" s="4"/>
      <c r="I298" s="4"/>
      <c r="J298" s="4"/>
      <c r="L298" s="44"/>
    </row>
    <row r="299" spans="1:12" ht="15.75">
      <c r="A299" s="3"/>
      <c r="B299" s="161"/>
      <c r="C299" s="3"/>
      <c r="D299" s="4"/>
      <c r="E299" s="4"/>
      <c r="F299" s="40"/>
      <c r="G299" s="4"/>
      <c r="H299" s="4"/>
      <c r="I299" s="4"/>
      <c r="J299" s="4"/>
      <c r="L299" s="44"/>
    </row>
    <row r="300" spans="1:12" ht="15.75">
      <c r="A300" s="3"/>
      <c r="B300" s="161"/>
      <c r="C300" s="3"/>
      <c r="D300" s="4"/>
      <c r="E300" s="4"/>
      <c r="F300" s="40"/>
      <c r="G300" s="4"/>
      <c r="H300" s="4"/>
      <c r="I300" s="4"/>
      <c r="J300" s="4"/>
      <c r="L300" s="44"/>
    </row>
    <row r="301" spans="1:12" ht="15.75">
      <c r="A301" s="3"/>
      <c r="B301" s="161"/>
      <c r="C301" s="3"/>
      <c r="D301" s="4"/>
      <c r="E301" s="4"/>
      <c r="F301" s="40"/>
      <c r="G301" s="4"/>
      <c r="H301" s="4"/>
      <c r="I301" s="4"/>
      <c r="J301" s="4"/>
      <c r="L301" s="44"/>
    </row>
    <row r="302" spans="1:12" ht="15.75">
      <c r="A302" s="3"/>
      <c r="B302" s="161"/>
      <c r="C302" s="3"/>
      <c r="D302" s="4"/>
      <c r="E302" s="4"/>
      <c r="F302" s="40"/>
      <c r="G302" s="4"/>
      <c r="H302" s="4"/>
      <c r="I302" s="4"/>
      <c r="J302" s="4"/>
      <c r="L302" s="44"/>
    </row>
    <row r="303" spans="1:12" ht="15.75">
      <c r="A303" s="3"/>
      <c r="B303" s="161"/>
      <c r="C303" s="3"/>
      <c r="D303" s="4"/>
      <c r="E303" s="4"/>
      <c r="F303" s="40"/>
      <c r="G303" s="4"/>
      <c r="H303" s="4"/>
      <c r="I303" s="4"/>
      <c r="J303" s="4"/>
      <c r="L303" s="44"/>
    </row>
    <row r="304" spans="1:12" ht="15.75">
      <c r="A304" s="3"/>
      <c r="B304" s="161"/>
      <c r="C304" s="3"/>
      <c r="D304" s="4"/>
      <c r="E304" s="4"/>
      <c r="F304" s="40"/>
      <c r="G304" s="4"/>
      <c r="H304" s="4"/>
      <c r="I304" s="4"/>
      <c r="J304" s="4"/>
      <c r="L304" s="44"/>
    </row>
    <row r="305" spans="1:12" ht="15.75">
      <c r="A305" s="3"/>
      <c r="B305" s="161"/>
      <c r="C305" s="3"/>
      <c r="D305" s="4"/>
      <c r="E305" s="4"/>
      <c r="F305" s="40"/>
      <c r="G305" s="4"/>
      <c r="H305" s="4"/>
      <c r="I305" s="4"/>
      <c r="J305" s="4"/>
      <c r="L305" s="44"/>
    </row>
    <row r="306" spans="1:12" ht="15.75">
      <c r="A306" s="3"/>
      <c r="B306" s="161"/>
      <c r="C306" s="3"/>
      <c r="D306" s="4"/>
      <c r="E306" s="4"/>
      <c r="F306" s="40"/>
      <c r="G306" s="4"/>
      <c r="H306" s="4"/>
      <c r="I306" s="4"/>
      <c r="J306" s="4"/>
      <c r="L306" s="44"/>
    </row>
    <row r="307" spans="1:12" ht="15.75">
      <c r="A307" s="3"/>
      <c r="B307" s="161"/>
      <c r="C307" s="3"/>
      <c r="D307" s="4"/>
      <c r="E307" s="4"/>
      <c r="F307" s="40"/>
      <c r="G307" s="4"/>
      <c r="H307" s="4"/>
      <c r="I307" s="4"/>
      <c r="J307" s="4"/>
      <c r="L307" s="44"/>
    </row>
    <row r="308" spans="1:12" ht="15.75">
      <c r="A308" s="3"/>
      <c r="B308" s="161"/>
      <c r="C308" s="3"/>
      <c r="D308" s="4"/>
      <c r="E308" s="4"/>
      <c r="F308" s="40"/>
      <c r="G308" s="4"/>
      <c r="H308" s="4"/>
      <c r="I308" s="4"/>
      <c r="J308" s="4"/>
      <c r="L308" s="44"/>
    </row>
    <row r="309" spans="1:12" ht="15.75">
      <c r="A309" s="3"/>
      <c r="B309" s="161"/>
      <c r="C309" s="3"/>
      <c r="D309" s="4"/>
      <c r="E309" s="4"/>
      <c r="F309" s="40"/>
      <c r="G309" s="4"/>
      <c r="H309" s="4"/>
      <c r="I309" s="4"/>
      <c r="J309" s="4"/>
      <c r="L309" s="44"/>
    </row>
    <row r="310" spans="1:12" ht="15.75">
      <c r="A310" s="3"/>
      <c r="B310" s="161"/>
      <c r="C310" s="3"/>
      <c r="D310" s="4"/>
      <c r="E310" s="4"/>
      <c r="F310" s="40"/>
      <c r="G310" s="4"/>
      <c r="H310" s="4"/>
      <c r="I310" s="4"/>
      <c r="J310" s="4"/>
      <c r="L310" s="44"/>
    </row>
    <row r="311" spans="1:12" ht="15.75">
      <c r="A311" s="3"/>
      <c r="B311" s="161"/>
      <c r="C311" s="3"/>
      <c r="D311" s="4"/>
      <c r="E311" s="4"/>
      <c r="F311" s="40"/>
      <c r="G311" s="4"/>
      <c r="H311" s="4"/>
      <c r="I311" s="4"/>
      <c r="J311" s="4"/>
      <c r="L311" s="44"/>
    </row>
    <row r="312" spans="1:12" ht="15.75">
      <c r="A312" s="3"/>
      <c r="B312" s="161"/>
      <c r="C312" s="3"/>
      <c r="D312" s="4"/>
      <c r="E312" s="4"/>
      <c r="F312" s="40"/>
      <c r="G312" s="4"/>
      <c r="H312" s="4"/>
      <c r="I312" s="4"/>
      <c r="J312" s="4"/>
      <c r="L312" s="44"/>
    </row>
    <row r="313" spans="1:12" ht="15.75">
      <c r="A313" s="3"/>
      <c r="B313" s="161"/>
      <c r="C313" s="3"/>
      <c r="D313" s="4"/>
      <c r="E313" s="4"/>
      <c r="F313" s="40"/>
      <c r="G313" s="4"/>
      <c r="H313" s="4"/>
      <c r="I313" s="4"/>
      <c r="J313" s="4"/>
      <c r="L313" s="44"/>
    </row>
    <row r="314" spans="1:12" ht="15.75">
      <c r="A314" s="3"/>
      <c r="B314" s="161"/>
      <c r="C314" s="3"/>
      <c r="D314" s="4"/>
      <c r="E314" s="4"/>
      <c r="F314" s="40"/>
      <c r="G314" s="4"/>
      <c r="H314" s="4"/>
      <c r="I314" s="4"/>
      <c r="J314" s="4"/>
      <c r="L314" s="44"/>
    </row>
    <row r="315" spans="1:12" ht="15.75">
      <c r="A315" s="3"/>
      <c r="B315" s="161"/>
      <c r="C315" s="3"/>
      <c r="D315" s="4"/>
      <c r="E315" s="4"/>
      <c r="F315" s="40"/>
      <c r="G315" s="4"/>
      <c r="H315" s="4"/>
      <c r="I315" s="4"/>
      <c r="J315" s="4"/>
      <c r="L315" s="44"/>
    </row>
    <row r="316" spans="1:12" ht="15.75">
      <c r="A316" s="3"/>
      <c r="B316" s="161"/>
      <c r="C316" s="3"/>
      <c r="D316" s="4"/>
      <c r="E316" s="4"/>
      <c r="F316" s="40"/>
      <c r="G316" s="4"/>
      <c r="H316" s="4"/>
      <c r="I316" s="4"/>
      <c r="J316" s="4"/>
      <c r="L316" s="44"/>
    </row>
    <row r="317" spans="1:12" ht="15.75">
      <c r="A317" s="3"/>
      <c r="B317" s="161"/>
      <c r="C317" s="3"/>
      <c r="D317" s="4"/>
      <c r="E317" s="4"/>
      <c r="F317" s="40"/>
      <c r="G317" s="4"/>
      <c r="H317" s="4"/>
      <c r="I317" s="4"/>
      <c r="J317" s="4"/>
      <c r="L317" s="44"/>
    </row>
    <row r="318" spans="1:12" ht="15.75">
      <c r="A318" s="3"/>
      <c r="B318" s="161"/>
      <c r="C318" s="3"/>
      <c r="D318" s="4"/>
      <c r="E318" s="4"/>
      <c r="F318" s="40"/>
      <c r="G318" s="4"/>
      <c r="H318" s="4"/>
      <c r="I318" s="4"/>
      <c r="J318" s="4"/>
      <c r="L318" s="44"/>
    </row>
    <row r="319" spans="1:12" ht="15.75">
      <c r="A319" s="3"/>
      <c r="B319" s="161"/>
      <c r="C319" s="3"/>
      <c r="D319" s="4"/>
      <c r="E319" s="4"/>
      <c r="F319" s="40"/>
      <c r="G319" s="4"/>
      <c r="H319" s="4"/>
      <c r="I319" s="4"/>
      <c r="J319" s="4"/>
      <c r="L319" s="44"/>
    </row>
    <row r="320" spans="1:12" ht="15.75">
      <c r="A320" s="3"/>
      <c r="B320" s="161"/>
      <c r="C320" s="3"/>
      <c r="D320" s="4"/>
      <c r="E320" s="4"/>
      <c r="F320" s="40"/>
      <c r="G320" s="4"/>
      <c r="H320" s="4"/>
      <c r="I320" s="4"/>
      <c r="J320" s="4"/>
      <c r="L320" s="44"/>
    </row>
    <row r="321" spans="1:12" ht="15.75">
      <c r="A321" s="3"/>
      <c r="B321" s="161"/>
      <c r="C321" s="3"/>
      <c r="D321" s="4"/>
      <c r="E321" s="4"/>
      <c r="F321" s="40"/>
      <c r="G321" s="4"/>
      <c r="H321" s="4"/>
      <c r="I321" s="4"/>
      <c r="J321" s="4"/>
      <c r="L321" s="44"/>
    </row>
    <row r="322" spans="1:12" ht="15.75">
      <c r="A322" s="3"/>
      <c r="B322" s="161"/>
      <c r="C322" s="3"/>
      <c r="D322" s="4"/>
      <c r="E322" s="4"/>
      <c r="F322" s="40"/>
      <c r="G322" s="4"/>
      <c r="H322" s="4"/>
      <c r="I322" s="4"/>
      <c r="J322" s="4"/>
      <c r="L322" s="44"/>
    </row>
    <row r="323" spans="1:12" ht="15.75">
      <c r="A323" s="3"/>
      <c r="B323" s="161"/>
      <c r="C323" s="3"/>
      <c r="D323" s="4"/>
      <c r="E323" s="4"/>
      <c r="F323" s="40"/>
      <c r="G323" s="4"/>
      <c r="H323" s="4"/>
      <c r="I323" s="4"/>
      <c r="J323" s="4"/>
      <c r="L323" s="44"/>
    </row>
    <row r="324" spans="1:12" ht="15.75">
      <c r="A324" s="3"/>
      <c r="B324" s="161"/>
      <c r="C324" s="3"/>
      <c r="D324" s="4"/>
      <c r="E324" s="4"/>
      <c r="F324" s="40"/>
      <c r="G324" s="4"/>
      <c r="H324" s="4"/>
      <c r="I324" s="4"/>
      <c r="J324" s="4"/>
      <c r="L324" s="44"/>
    </row>
    <row r="325" spans="1:12" ht="15.75">
      <c r="A325" s="3"/>
      <c r="B325" s="161"/>
      <c r="C325" s="3"/>
      <c r="D325" s="4"/>
      <c r="E325" s="4"/>
      <c r="F325" s="40"/>
      <c r="G325" s="4"/>
      <c r="H325" s="4"/>
      <c r="I325" s="4"/>
      <c r="J325" s="4"/>
      <c r="L325" s="44"/>
    </row>
    <row r="326" spans="1:12" ht="15.75">
      <c r="A326" s="3"/>
      <c r="B326" s="161"/>
      <c r="C326" s="3"/>
      <c r="D326" s="4"/>
      <c r="E326" s="4"/>
      <c r="F326" s="40"/>
      <c r="G326" s="4"/>
      <c r="H326" s="4"/>
      <c r="I326" s="4"/>
      <c r="J326" s="4"/>
      <c r="L326" s="44"/>
    </row>
    <row r="327" spans="1:12" ht="15.75">
      <c r="A327" s="3"/>
      <c r="B327" s="161"/>
      <c r="C327" s="3"/>
      <c r="D327" s="4"/>
      <c r="E327" s="4"/>
      <c r="F327" s="40"/>
      <c r="G327" s="4"/>
      <c r="H327" s="4"/>
      <c r="I327" s="4"/>
      <c r="J327" s="4"/>
      <c r="L327" s="44"/>
    </row>
    <row r="328" spans="1:12" ht="15.75">
      <c r="A328" s="3"/>
      <c r="B328" s="161"/>
      <c r="C328" s="3"/>
      <c r="D328" s="4"/>
      <c r="E328" s="4"/>
      <c r="F328" s="40"/>
      <c r="G328" s="4"/>
      <c r="H328" s="4"/>
      <c r="I328" s="4"/>
      <c r="J328" s="4"/>
      <c r="L328" s="44"/>
    </row>
    <row r="329" spans="1:12" ht="15.75">
      <c r="A329" s="3"/>
      <c r="B329" s="161"/>
      <c r="C329" s="3"/>
      <c r="D329" s="4"/>
      <c r="E329" s="4"/>
      <c r="F329" s="40"/>
      <c r="G329" s="4"/>
      <c r="H329" s="4"/>
      <c r="I329" s="4"/>
      <c r="J329" s="4"/>
      <c r="L329" s="44"/>
    </row>
    <row r="330" spans="1:12" ht="15.75">
      <c r="A330" s="3"/>
      <c r="B330" s="161"/>
      <c r="C330" s="3"/>
      <c r="D330" s="4"/>
      <c r="E330" s="4"/>
      <c r="F330" s="40"/>
      <c r="G330" s="4"/>
      <c r="H330" s="4"/>
      <c r="I330" s="4"/>
      <c r="J330" s="4"/>
      <c r="L330" s="44"/>
    </row>
    <row r="331" spans="1:12" ht="15.75">
      <c r="A331" s="3"/>
      <c r="B331" s="161"/>
      <c r="C331" s="3"/>
      <c r="D331" s="4"/>
      <c r="E331" s="4"/>
      <c r="F331" s="40"/>
      <c r="G331" s="4"/>
      <c r="H331" s="4"/>
      <c r="I331" s="4"/>
      <c r="J331" s="4"/>
      <c r="L331" s="44"/>
    </row>
    <row r="332" spans="1:12" ht="15.75">
      <c r="A332" s="3"/>
      <c r="B332" s="161"/>
      <c r="C332" s="3"/>
      <c r="D332" s="4"/>
      <c r="E332" s="4"/>
      <c r="F332" s="40"/>
      <c r="G332" s="4"/>
      <c r="H332" s="4"/>
      <c r="I332" s="4"/>
      <c r="J332" s="4"/>
      <c r="L332" s="44"/>
    </row>
    <row r="333" spans="1:12" ht="15.75">
      <c r="A333" s="3"/>
      <c r="B333" s="161"/>
      <c r="C333" s="3"/>
      <c r="D333" s="4"/>
      <c r="E333" s="4"/>
      <c r="F333" s="40"/>
      <c r="G333" s="4"/>
      <c r="H333" s="4"/>
      <c r="I333" s="4"/>
      <c r="J333" s="4"/>
      <c r="L333" s="44"/>
    </row>
    <row r="334" spans="1:12" ht="15.75">
      <c r="A334" s="3"/>
      <c r="B334" s="161"/>
      <c r="C334" s="3"/>
      <c r="D334" s="4"/>
      <c r="E334" s="4"/>
      <c r="F334" s="40"/>
      <c r="G334" s="4"/>
      <c r="H334" s="4"/>
      <c r="I334" s="4"/>
      <c r="J334" s="4"/>
      <c r="L334" s="44"/>
    </row>
    <row r="335" spans="1:12" ht="15.75">
      <c r="A335" s="3"/>
      <c r="B335" s="161"/>
      <c r="C335" s="3"/>
      <c r="D335" s="4"/>
      <c r="E335" s="4"/>
      <c r="F335" s="40"/>
      <c r="G335" s="4"/>
      <c r="H335" s="4"/>
      <c r="I335" s="4"/>
      <c r="J335" s="4"/>
      <c r="L335" s="44"/>
    </row>
    <row r="336" spans="1:12" ht="15.75">
      <c r="A336" s="3"/>
      <c r="B336" s="161"/>
      <c r="C336" s="3"/>
      <c r="D336" s="4"/>
      <c r="E336" s="4"/>
      <c r="F336" s="40"/>
      <c r="G336" s="4"/>
      <c r="H336" s="4"/>
      <c r="I336" s="4"/>
      <c r="J336" s="4"/>
      <c r="L336" s="44"/>
    </row>
    <row r="337" spans="1:12" ht="15.75">
      <c r="A337" s="3"/>
      <c r="B337" s="161"/>
      <c r="C337" s="3"/>
      <c r="D337" s="4"/>
      <c r="E337" s="4"/>
      <c r="F337" s="40"/>
      <c r="G337" s="4"/>
      <c r="H337" s="4"/>
      <c r="I337" s="4"/>
      <c r="J337" s="4"/>
      <c r="L337" s="44"/>
    </row>
    <row r="338" spans="1:12" ht="15.75">
      <c r="A338" s="3"/>
      <c r="B338" s="161"/>
      <c r="C338" s="3"/>
      <c r="D338" s="4"/>
      <c r="E338" s="4"/>
      <c r="F338" s="40"/>
      <c r="G338" s="4"/>
      <c r="H338" s="4"/>
      <c r="I338" s="4"/>
      <c r="J338" s="4"/>
      <c r="L338" s="44"/>
    </row>
    <row r="339" spans="1:12" ht="15.75">
      <c r="A339" s="3"/>
      <c r="B339" s="161"/>
      <c r="C339" s="3"/>
      <c r="D339" s="4"/>
      <c r="E339" s="4"/>
      <c r="F339" s="40"/>
      <c r="G339" s="4"/>
      <c r="H339" s="4"/>
      <c r="I339" s="4"/>
      <c r="J339" s="4"/>
      <c r="L339" s="44"/>
    </row>
    <row r="340" spans="1:12" ht="15.75">
      <c r="A340" s="3"/>
      <c r="B340" s="161"/>
      <c r="C340" s="3"/>
      <c r="D340" s="4"/>
      <c r="E340" s="4"/>
      <c r="F340" s="40"/>
      <c r="G340" s="4"/>
      <c r="H340" s="4"/>
      <c r="I340" s="4"/>
      <c r="J340" s="4"/>
      <c r="L340" s="44"/>
    </row>
    <row r="341" spans="1:12" ht="15.75">
      <c r="A341" s="3"/>
      <c r="B341" s="161"/>
      <c r="C341" s="3"/>
      <c r="D341" s="4"/>
      <c r="E341" s="4"/>
      <c r="F341" s="40"/>
      <c r="G341" s="4"/>
      <c r="H341" s="4"/>
      <c r="I341" s="4"/>
      <c r="J341" s="4"/>
      <c r="L341" s="44"/>
    </row>
    <row r="342" spans="1:12" ht="15.75">
      <c r="A342" s="3"/>
      <c r="B342" s="161"/>
      <c r="C342" s="3"/>
      <c r="D342" s="4"/>
      <c r="E342" s="4"/>
      <c r="F342" s="40"/>
      <c r="G342" s="4"/>
      <c r="H342" s="4"/>
      <c r="I342" s="4"/>
      <c r="J342" s="4"/>
      <c r="L342" s="44"/>
    </row>
    <row r="343" spans="1:12" ht="15.75">
      <c r="A343" s="3"/>
      <c r="B343" s="161"/>
      <c r="C343" s="3"/>
      <c r="D343" s="4"/>
      <c r="E343" s="4"/>
      <c r="F343" s="40"/>
      <c r="G343" s="4"/>
      <c r="H343" s="4"/>
      <c r="I343" s="4"/>
      <c r="J343" s="4"/>
      <c r="L343" s="44"/>
    </row>
    <row r="344" spans="1:12" ht="15.75">
      <c r="A344" s="3"/>
      <c r="B344" s="161"/>
      <c r="C344" s="3"/>
      <c r="D344" s="4"/>
      <c r="E344" s="4"/>
      <c r="F344" s="40"/>
      <c r="G344" s="4"/>
      <c r="H344" s="4"/>
      <c r="I344" s="4"/>
      <c r="J344" s="4"/>
      <c r="L344" s="44"/>
    </row>
    <row r="345" spans="1:12" ht="15.75">
      <c r="A345" s="3"/>
      <c r="B345" s="161"/>
      <c r="C345" s="3"/>
      <c r="D345" s="4"/>
      <c r="E345" s="4"/>
      <c r="F345" s="40"/>
      <c r="G345" s="4"/>
      <c r="H345" s="4"/>
      <c r="I345" s="4"/>
      <c r="J345" s="4"/>
      <c r="L345" s="44"/>
    </row>
    <row r="346" spans="1:12" ht="15.75">
      <c r="A346" s="3"/>
      <c r="B346" s="161"/>
      <c r="C346" s="3"/>
      <c r="D346" s="4"/>
      <c r="E346" s="4"/>
      <c r="F346" s="40"/>
      <c r="G346" s="4"/>
      <c r="H346" s="4"/>
      <c r="I346" s="4"/>
      <c r="J346" s="4"/>
      <c r="L346" s="44"/>
    </row>
    <row r="347" spans="1:12" ht="15.75">
      <c r="A347" s="3"/>
      <c r="B347" s="161"/>
      <c r="C347" s="3"/>
      <c r="D347" s="4"/>
      <c r="E347" s="4"/>
      <c r="F347" s="40"/>
      <c r="G347" s="4"/>
      <c r="H347" s="4"/>
      <c r="I347" s="4"/>
      <c r="J347" s="4"/>
      <c r="L347" s="44"/>
    </row>
    <row r="348" spans="1:12" ht="15.75">
      <c r="A348" s="3"/>
      <c r="B348" s="161"/>
      <c r="C348" s="3"/>
      <c r="D348" s="4"/>
      <c r="E348" s="4"/>
      <c r="F348" s="40"/>
      <c r="G348" s="4"/>
      <c r="H348" s="4"/>
      <c r="I348" s="4"/>
      <c r="J348" s="4"/>
      <c r="L348" s="44"/>
    </row>
    <row r="349" spans="1:12" ht="15.75">
      <c r="A349" s="3"/>
      <c r="B349" s="161"/>
      <c r="C349" s="3"/>
      <c r="D349" s="4"/>
      <c r="E349" s="4"/>
      <c r="F349" s="40"/>
      <c r="G349" s="4"/>
      <c r="H349" s="4"/>
      <c r="I349" s="4"/>
      <c r="J349" s="4"/>
      <c r="L349" s="44"/>
    </row>
    <row r="350" spans="1:12" ht="15.75">
      <c r="A350" s="3"/>
      <c r="B350" s="161"/>
      <c r="C350" s="3"/>
      <c r="D350" s="4"/>
      <c r="E350" s="4"/>
      <c r="F350" s="40"/>
      <c r="G350" s="4"/>
      <c r="H350" s="4"/>
      <c r="I350" s="4"/>
      <c r="J350" s="4"/>
      <c r="L350" s="44"/>
    </row>
    <row r="351" spans="1:12" ht="15.75">
      <c r="A351" s="3"/>
      <c r="B351" s="161"/>
      <c r="C351" s="3"/>
      <c r="D351" s="4"/>
      <c r="E351" s="4"/>
      <c r="F351" s="40"/>
      <c r="G351" s="4"/>
      <c r="H351" s="4"/>
      <c r="I351" s="4"/>
      <c r="J351" s="4"/>
      <c r="L351" s="44"/>
    </row>
    <row r="352" spans="1:12" ht="15.75">
      <c r="A352" s="3"/>
      <c r="B352" s="161"/>
      <c r="C352" s="3"/>
      <c r="D352" s="4"/>
      <c r="E352" s="4"/>
      <c r="F352" s="40"/>
      <c r="G352" s="4"/>
      <c r="H352" s="4"/>
      <c r="I352" s="4"/>
      <c r="J352" s="4"/>
      <c r="L352" s="44"/>
    </row>
    <row r="353" spans="1:12" ht="15.75">
      <c r="A353" s="3"/>
      <c r="B353" s="161"/>
      <c r="C353" s="3"/>
      <c r="D353" s="4"/>
      <c r="E353" s="4"/>
      <c r="F353" s="40"/>
      <c r="G353" s="4"/>
      <c r="H353" s="4"/>
      <c r="I353" s="4"/>
      <c r="J353" s="4"/>
      <c r="L353" s="44"/>
    </row>
    <row r="354" spans="1:12" ht="15.75">
      <c r="A354" s="3"/>
      <c r="B354" s="161"/>
      <c r="C354" s="3"/>
      <c r="D354" s="4"/>
      <c r="E354" s="4"/>
      <c r="F354" s="40"/>
      <c r="G354" s="4"/>
      <c r="H354" s="4"/>
      <c r="I354" s="4"/>
      <c r="J354" s="4"/>
      <c r="L354" s="44"/>
    </row>
    <row r="355" spans="1:12" ht="15.75">
      <c r="A355" s="3"/>
      <c r="B355" s="161"/>
      <c r="C355" s="3"/>
      <c r="D355" s="4"/>
      <c r="E355" s="4"/>
      <c r="F355" s="40"/>
      <c r="G355" s="4"/>
      <c r="H355" s="4"/>
      <c r="I355" s="4"/>
      <c r="J355" s="4"/>
      <c r="L355" s="44"/>
    </row>
    <row r="356" spans="1:12" ht="15.75">
      <c r="A356" s="3"/>
      <c r="B356" s="161"/>
      <c r="C356" s="3"/>
      <c r="D356" s="4"/>
      <c r="E356" s="4"/>
      <c r="F356" s="40"/>
      <c r="G356" s="4"/>
      <c r="H356" s="4"/>
      <c r="I356" s="4"/>
      <c r="J356" s="4"/>
      <c r="L356" s="44"/>
    </row>
    <row r="357" spans="1:12" ht="15.75">
      <c r="A357" s="3"/>
      <c r="B357" s="161"/>
      <c r="C357" s="3"/>
      <c r="D357" s="4"/>
      <c r="E357" s="4"/>
      <c r="F357" s="40"/>
      <c r="G357" s="4"/>
      <c r="H357" s="4"/>
      <c r="I357" s="4"/>
      <c r="J357" s="4"/>
      <c r="L357" s="44"/>
    </row>
    <row r="358" spans="1:12" ht="15.75">
      <c r="A358" s="3"/>
      <c r="B358" s="161"/>
      <c r="C358" s="3"/>
      <c r="D358" s="4"/>
      <c r="E358" s="4"/>
      <c r="F358" s="40"/>
      <c r="G358" s="4"/>
      <c r="H358" s="4"/>
      <c r="I358" s="4"/>
      <c r="J358" s="4"/>
      <c r="L358" s="44"/>
    </row>
    <row r="359" spans="1:12" ht="15.75">
      <c r="A359" s="3"/>
      <c r="B359" s="161"/>
      <c r="C359" s="3"/>
      <c r="D359" s="4"/>
      <c r="E359" s="4"/>
      <c r="F359" s="40"/>
      <c r="G359" s="4"/>
      <c r="H359" s="4"/>
      <c r="I359" s="4"/>
      <c r="J359" s="4"/>
      <c r="L359" s="44"/>
    </row>
    <row r="360" spans="1:12" ht="15.75">
      <c r="A360" s="3"/>
      <c r="B360" s="161"/>
      <c r="C360" s="3"/>
      <c r="D360" s="4"/>
      <c r="E360" s="4"/>
      <c r="F360" s="40"/>
      <c r="G360" s="4"/>
      <c r="H360" s="4"/>
      <c r="I360" s="4"/>
      <c r="J360" s="4"/>
      <c r="L360" s="44"/>
    </row>
    <row r="361" spans="1:12" ht="15.75">
      <c r="A361" s="3"/>
      <c r="B361" s="161"/>
      <c r="C361" s="3"/>
      <c r="D361" s="4"/>
      <c r="E361" s="4"/>
      <c r="F361" s="40"/>
      <c r="G361" s="4"/>
      <c r="H361" s="4"/>
      <c r="I361" s="4"/>
      <c r="J361" s="4"/>
      <c r="L361" s="44"/>
    </row>
    <row r="362" spans="1:12" ht="15.75">
      <c r="A362" s="3"/>
      <c r="B362" s="161"/>
      <c r="C362" s="3"/>
      <c r="D362" s="4"/>
      <c r="E362" s="4"/>
      <c r="F362" s="40"/>
      <c r="G362" s="4"/>
      <c r="H362" s="4"/>
      <c r="I362" s="4"/>
      <c r="J362" s="4"/>
      <c r="L362" s="44"/>
    </row>
    <row r="363" spans="1:12" ht="15.75">
      <c r="A363" s="3"/>
      <c r="B363" s="161"/>
      <c r="C363" s="3"/>
      <c r="D363" s="4"/>
      <c r="E363" s="4"/>
      <c r="F363" s="40"/>
      <c r="G363" s="4"/>
      <c r="H363" s="4"/>
      <c r="I363" s="4"/>
      <c r="J363" s="4"/>
      <c r="L363" s="44"/>
    </row>
    <row r="364" spans="1:12" ht="15.75">
      <c r="A364" s="3"/>
      <c r="B364" s="161"/>
      <c r="C364" s="3"/>
      <c r="D364" s="4"/>
      <c r="E364" s="4"/>
      <c r="F364" s="40"/>
      <c r="G364" s="4"/>
      <c r="H364" s="4"/>
      <c r="I364" s="4"/>
      <c r="J364" s="4"/>
      <c r="L364" s="44"/>
    </row>
    <row r="365" spans="1:12" ht="15.75">
      <c r="A365" s="3"/>
      <c r="B365" s="161"/>
      <c r="C365" s="3"/>
      <c r="D365" s="4"/>
      <c r="E365" s="4"/>
      <c r="F365" s="40"/>
      <c r="G365" s="4"/>
      <c r="H365" s="4"/>
      <c r="I365" s="4"/>
      <c r="J365" s="4"/>
      <c r="L365" s="44"/>
    </row>
    <row r="366" spans="1:12" ht="15.75">
      <c r="A366" s="3"/>
      <c r="B366" s="161"/>
      <c r="C366" s="3"/>
      <c r="D366" s="4"/>
      <c r="E366" s="4"/>
      <c r="F366" s="40"/>
      <c r="G366" s="4"/>
      <c r="H366" s="4"/>
      <c r="I366" s="4"/>
      <c r="J366" s="4"/>
      <c r="L366" s="44"/>
    </row>
    <row r="367" spans="1:12" ht="15.75">
      <c r="A367" s="3"/>
      <c r="B367" s="161"/>
      <c r="C367" s="3"/>
      <c r="D367" s="4"/>
      <c r="E367" s="4"/>
      <c r="F367" s="40"/>
      <c r="G367" s="4"/>
      <c r="H367" s="4"/>
      <c r="I367" s="4"/>
      <c r="J367" s="4"/>
      <c r="L367" s="44"/>
    </row>
    <row r="368" spans="1:12" ht="15.75">
      <c r="A368" s="3"/>
      <c r="B368" s="161"/>
      <c r="C368" s="3"/>
      <c r="D368" s="4"/>
      <c r="E368" s="4"/>
      <c r="F368" s="40"/>
      <c r="G368" s="4"/>
      <c r="H368" s="4"/>
      <c r="I368" s="4"/>
      <c r="J368" s="4"/>
      <c r="L368" s="44"/>
    </row>
    <row r="369" spans="1:12" ht="15.75">
      <c r="A369" s="3"/>
      <c r="B369" s="161"/>
      <c r="C369" s="3"/>
      <c r="D369" s="4"/>
      <c r="E369" s="4"/>
      <c r="F369" s="40"/>
      <c r="G369" s="4"/>
      <c r="H369" s="4"/>
      <c r="I369" s="4"/>
      <c r="J369" s="4"/>
      <c r="L369" s="44"/>
    </row>
    <row r="370" spans="1:12" ht="15.75">
      <c r="A370" s="3"/>
      <c r="B370" s="161"/>
      <c r="C370" s="3"/>
      <c r="D370" s="4"/>
      <c r="E370" s="4"/>
      <c r="F370" s="40"/>
      <c r="G370" s="4"/>
      <c r="H370" s="4"/>
      <c r="I370" s="4"/>
      <c r="J370" s="4"/>
      <c r="L370" s="44"/>
    </row>
    <row r="371" spans="1:12" ht="15.75">
      <c r="A371" s="3"/>
      <c r="B371" s="161"/>
      <c r="C371" s="3"/>
      <c r="D371" s="4"/>
      <c r="E371" s="4"/>
      <c r="F371" s="40"/>
      <c r="G371" s="4"/>
      <c r="H371" s="4"/>
      <c r="I371" s="4"/>
      <c r="J371" s="4"/>
      <c r="L371" s="44"/>
    </row>
    <row r="372" spans="1:12" ht="15.75">
      <c r="A372" s="3"/>
      <c r="B372" s="161"/>
      <c r="C372" s="3"/>
      <c r="D372" s="4"/>
      <c r="E372" s="4"/>
      <c r="F372" s="40"/>
      <c r="G372" s="4"/>
      <c r="H372" s="4"/>
      <c r="I372" s="4"/>
      <c r="J372" s="4"/>
      <c r="L372" s="44"/>
    </row>
    <row r="373" spans="1:12" ht="15.75">
      <c r="A373" s="3"/>
      <c r="B373" s="161"/>
      <c r="C373" s="3"/>
      <c r="D373" s="4"/>
      <c r="E373" s="4"/>
      <c r="F373" s="40"/>
      <c r="G373" s="4"/>
      <c r="H373" s="4"/>
      <c r="I373" s="4"/>
      <c r="J373" s="4"/>
      <c r="L373" s="44"/>
    </row>
    <row r="374" spans="1:12" ht="15.75">
      <c r="A374" s="3"/>
      <c r="B374" s="161"/>
      <c r="C374" s="3"/>
      <c r="D374" s="4"/>
      <c r="E374" s="4"/>
      <c r="F374" s="40"/>
      <c r="G374" s="4"/>
      <c r="H374" s="4"/>
      <c r="I374" s="4"/>
      <c r="J374" s="4"/>
      <c r="L374" s="44"/>
    </row>
    <row r="375" spans="1:12" ht="15.75">
      <c r="A375" s="3"/>
      <c r="B375" s="161"/>
      <c r="C375" s="3"/>
      <c r="D375" s="4"/>
      <c r="E375" s="4"/>
      <c r="F375" s="40"/>
      <c r="G375" s="4"/>
      <c r="H375" s="4"/>
      <c r="I375" s="4"/>
      <c r="J375" s="4"/>
      <c r="L375" s="44"/>
    </row>
    <row r="376" spans="1:12" ht="15.75">
      <c r="A376" s="3"/>
      <c r="B376" s="161"/>
      <c r="C376" s="3"/>
      <c r="D376" s="4"/>
      <c r="E376" s="4"/>
      <c r="F376" s="40"/>
      <c r="G376" s="4"/>
      <c r="H376" s="4"/>
      <c r="I376" s="4"/>
      <c r="J376" s="4"/>
      <c r="L376" s="44"/>
    </row>
    <row r="377" spans="1:12" ht="15.75">
      <c r="A377" s="3"/>
      <c r="B377" s="161"/>
      <c r="C377" s="3"/>
      <c r="D377" s="4"/>
      <c r="E377" s="4"/>
      <c r="F377" s="40"/>
      <c r="G377" s="4"/>
      <c r="H377" s="4"/>
      <c r="I377" s="4"/>
      <c r="J377" s="4"/>
      <c r="L377" s="44"/>
    </row>
    <row r="378" spans="1:12" ht="15.75">
      <c r="A378" s="3"/>
      <c r="B378" s="161"/>
      <c r="C378" s="3"/>
      <c r="D378" s="4"/>
      <c r="E378" s="4"/>
      <c r="F378" s="40"/>
      <c r="G378" s="4"/>
      <c r="H378" s="4"/>
      <c r="I378" s="4"/>
      <c r="J378" s="4"/>
      <c r="L378" s="44"/>
    </row>
    <row r="379" spans="1:12" ht="15.75">
      <c r="A379" s="3"/>
      <c r="B379" s="161"/>
      <c r="C379" s="3"/>
      <c r="D379" s="4"/>
      <c r="E379" s="4"/>
      <c r="F379" s="40"/>
      <c r="G379" s="4"/>
      <c r="H379" s="4"/>
      <c r="I379" s="4"/>
      <c r="J379" s="4"/>
      <c r="L379" s="44"/>
    </row>
    <row r="380" spans="1:12" ht="15.75">
      <c r="A380" s="3"/>
      <c r="B380" s="161"/>
      <c r="C380" s="3"/>
      <c r="D380" s="4"/>
      <c r="E380" s="4"/>
      <c r="F380" s="40"/>
      <c r="G380" s="4"/>
      <c r="H380" s="4"/>
      <c r="I380" s="4"/>
      <c r="J380" s="4"/>
      <c r="L380" s="44"/>
    </row>
    <row r="381" spans="1:12" ht="15.75">
      <c r="A381" s="3"/>
      <c r="B381" s="161"/>
      <c r="C381" s="3"/>
      <c r="D381" s="4"/>
      <c r="E381" s="4"/>
      <c r="F381" s="40"/>
      <c r="G381" s="4"/>
      <c r="H381" s="4"/>
      <c r="I381" s="4"/>
      <c r="J381" s="4"/>
      <c r="L381" s="44"/>
    </row>
    <row r="382" spans="1:12" ht="15.75">
      <c r="A382" s="3"/>
      <c r="B382" s="161"/>
      <c r="C382" s="3"/>
      <c r="D382" s="4"/>
      <c r="E382" s="4"/>
      <c r="F382" s="40"/>
      <c r="G382" s="4"/>
      <c r="H382" s="4"/>
      <c r="I382" s="4"/>
      <c r="J382" s="4"/>
      <c r="L382" s="44"/>
    </row>
    <row r="383" spans="1:12" ht="15.75">
      <c r="A383" s="3"/>
      <c r="B383" s="161"/>
      <c r="C383" s="3"/>
      <c r="D383" s="4"/>
      <c r="E383" s="4"/>
      <c r="F383" s="40"/>
      <c r="G383" s="4"/>
      <c r="H383" s="4"/>
      <c r="I383" s="4"/>
      <c r="J383" s="4"/>
      <c r="L383" s="44"/>
    </row>
    <row r="384" spans="1:12" ht="15.75">
      <c r="A384" s="3"/>
      <c r="B384" s="161"/>
      <c r="C384" s="3"/>
      <c r="D384" s="4"/>
      <c r="E384" s="4"/>
      <c r="F384" s="40"/>
      <c r="G384" s="4"/>
      <c r="H384" s="4"/>
      <c r="I384" s="4"/>
      <c r="J384" s="4"/>
      <c r="L384" s="44"/>
    </row>
    <row r="385" spans="1:12" ht="15.75">
      <c r="A385" s="3"/>
      <c r="B385" s="161"/>
      <c r="C385" s="3"/>
      <c r="D385" s="4"/>
      <c r="E385" s="4"/>
      <c r="F385" s="40"/>
      <c r="G385" s="4"/>
      <c r="H385" s="4"/>
      <c r="I385" s="4"/>
      <c r="J385" s="4"/>
      <c r="L385" s="44"/>
    </row>
    <row r="386" spans="1:12" ht="15.75">
      <c r="A386" s="3"/>
      <c r="B386" s="161"/>
      <c r="C386" s="3"/>
      <c r="D386" s="4"/>
      <c r="E386" s="4"/>
      <c r="F386" s="40"/>
      <c r="G386" s="4"/>
      <c r="H386" s="4"/>
      <c r="I386" s="4"/>
      <c r="J386" s="4"/>
      <c r="L386" s="44"/>
    </row>
    <row r="387" spans="1:12" ht="15.75">
      <c r="A387" s="3"/>
      <c r="B387" s="161"/>
      <c r="C387" s="3"/>
      <c r="D387" s="4"/>
      <c r="E387" s="4"/>
      <c r="F387" s="40"/>
      <c r="G387" s="4"/>
      <c r="H387" s="4"/>
      <c r="I387" s="4"/>
      <c r="J387" s="4"/>
      <c r="L387" s="44"/>
    </row>
    <row r="388" spans="1:12" ht="15.75">
      <c r="A388" s="3"/>
      <c r="B388" s="161"/>
      <c r="C388" s="3"/>
      <c r="D388" s="4"/>
      <c r="E388" s="4"/>
      <c r="F388" s="40"/>
      <c r="G388" s="4"/>
      <c r="H388" s="4"/>
      <c r="I388" s="4"/>
      <c r="J388" s="4"/>
      <c r="L388" s="44"/>
    </row>
    <row r="389" spans="1:12" ht="15.75">
      <c r="A389" s="3"/>
      <c r="B389" s="161"/>
      <c r="C389" s="3"/>
      <c r="D389" s="4"/>
      <c r="E389" s="4"/>
      <c r="F389" s="40"/>
      <c r="G389" s="4"/>
      <c r="H389" s="4"/>
      <c r="I389" s="4"/>
      <c r="J389" s="4"/>
      <c r="L389" s="44"/>
    </row>
    <row r="390" spans="1:12" ht="15.75">
      <c r="A390" s="3"/>
      <c r="B390" s="161"/>
      <c r="C390" s="3"/>
      <c r="D390" s="4"/>
      <c r="E390" s="4"/>
      <c r="F390" s="40"/>
      <c r="G390" s="4"/>
      <c r="H390" s="4"/>
      <c r="I390" s="4"/>
      <c r="J390" s="4"/>
      <c r="L390" s="44"/>
    </row>
    <row r="391" spans="1:12" ht="15.75">
      <c r="A391" s="3"/>
      <c r="B391" s="161"/>
      <c r="C391" s="3"/>
      <c r="D391" s="4"/>
      <c r="E391" s="4"/>
      <c r="F391" s="40"/>
      <c r="G391" s="4"/>
      <c r="H391" s="4"/>
      <c r="I391" s="4"/>
      <c r="J391" s="4"/>
      <c r="L391" s="44"/>
    </row>
    <row r="392" spans="1:12" ht="15.75">
      <c r="A392" s="3"/>
      <c r="B392" s="161"/>
      <c r="C392" s="3"/>
      <c r="D392" s="4"/>
      <c r="E392" s="4"/>
      <c r="F392" s="40"/>
      <c r="G392" s="4"/>
      <c r="H392" s="4"/>
      <c r="I392" s="4"/>
      <c r="J392" s="4"/>
      <c r="L392" s="44"/>
    </row>
    <row r="393" spans="1:12" ht="15.75">
      <c r="A393" s="3"/>
      <c r="B393" s="161"/>
      <c r="C393" s="3"/>
      <c r="D393" s="4"/>
      <c r="E393" s="4"/>
      <c r="F393" s="40"/>
      <c r="G393" s="4"/>
      <c r="H393" s="4"/>
      <c r="I393" s="4"/>
      <c r="J393" s="4"/>
      <c r="L393" s="44"/>
    </row>
    <row r="394" spans="1:12" ht="15.75">
      <c r="A394" s="3"/>
      <c r="B394" s="161"/>
      <c r="C394" s="3"/>
      <c r="D394" s="4"/>
      <c r="E394" s="4"/>
      <c r="F394" s="40"/>
      <c r="G394" s="4"/>
      <c r="H394" s="4"/>
      <c r="I394" s="4"/>
      <c r="J394" s="4"/>
      <c r="L394" s="44"/>
    </row>
    <row r="395" spans="1:12" ht="15.75">
      <c r="A395" s="3"/>
      <c r="B395" s="161"/>
      <c r="C395" s="3"/>
      <c r="D395" s="4"/>
      <c r="E395" s="4"/>
      <c r="F395" s="40"/>
      <c r="G395" s="4"/>
      <c r="H395" s="4"/>
      <c r="I395" s="4"/>
      <c r="J395" s="4"/>
      <c r="L395" s="44"/>
    </row>
    <row r="396" spans="1:12" ht="15.75">
      <c r="A396" s="3"/>
      <c r="B396" s="161"/>
      <c r="C396" s="3"/>
      <c r="D396" s="4"/>
      <c r="E396" s="4"/>
      <c r="F396" s="40"/>
      <c r="G396" s="4"/>
      <c r="H396" s="4"/>
      <c r="I396" s="4"/>
      <c r="J396" s="4"/>
      <c r="L396" s="44"/>
    </row>
    <row r="397" spans="1:12" ht="15.75">
      <c r="A397" s="3"/>
      <c r="B397" s="161"/>
      <c r="C397" s="3"/>
      <c r="D397" s="4"/>
      <c r="E397" s="4"/>
      <c r="F397" s="40"/>
      <c r="G397" s="4"/>
      <c r="H397" s="4"/>
      <c r="I397" s="4"/>
      <c r="J397" s="4"/>
      <c r="L397" s="44"/>
    </row>
    <row r="398" spans="1:12" ht="15.75">
      <c r="A398" s="3"/>
      <c r="B398" s="161"/>
      <c r="C398" s="3"/>
      <c r="D398" s="4"/>
      <c r="E398" s="4"/>
      <c r="F398" s="40"/>
      <c r="G398" s="4"/>
      <c r="H398" s="4"/>
      <c r="I398" s="4"/>
      <c r="J398" s="4"/>
      <c r="L398" s="44"/>
    </row>
    <row r="399" spans="1:12" ht="15.75">
      <c r="A399" s="3"/>
      <c r="B399" s="161"/>
      <c r="C399" s="3"/>
      <c r="D399" s="4"/>
      <c r="E399" s="4"/>
      <c r="F399" s="40"/>
      <c r="G399" s="4"/>
      <c r="H399" s="4"/>
      <c r="I399" s="4"/>
      <c r="J399" s="4"/>
      <c r="L399" s="44"/>
    </row>
    <row r="400" spans="1:12" ht="15.75">
      <c r="A400" s="3"/>
      <c r="B400" s="161"/>
      <c r="C400" s="3"/>
      <c r="D400" s="4"/>
      <c r="E400" s="4"/>
      <c r="F400" s="40"/>
      <c r="G400" s="4"/>
      <c r="H400" s="4"/>
      <c r="I400" s="4"/>
      <c r="J400" s="4"/>
      <c r="L400" s="44"/>
    </row>
    <row r="401" spans="1:12" ht="15.75">
      <c r="A401" s="3"/>
      <c r="B401" s="161"/>
      <c r="C401" s="3"/>
      <c r="D401" s="4"/>
      <c r="E401" s="4"/>
      <c r="F401" s="40"/>
      <c r="G401" s="4"/>
      <c r="H401" s="4"/>
      <c r="I401" s="4"/>
      <c r="J401" s="4"/>
      <c r="L401" s="44"/>
    </row>
    <row r="402" spans="1:12" ht="15.75">
      <c r="A402" s="3"/>
      <c r="B402" s="161"/>
      <c r="C402" s="3"/>
      <c r="D402" s="4"/>
      <c r="E402" s="4"/>
      <c r="F402" s="40"/>
      <c r="G402" s="4"/>
      <c r="H402" s="4"/>
      <c r="I402" s="4"/>
      <c r="J402" s="4"/>
      <c r="L402" s="44"/>
    </row>
    <row r="403" spans="1:12" ht="15.75">
      <c r="A403" s="3"/>
      <c r="B403" s="161"/>
      <c r="C403" s="3"/>
      <c r="D403" s="4"/>
      <c r="E403" s="4"/>
      <c r="F403" s="40"/>
      <c r="G403" s="4"/>
      <c r="H403" s="4"/>
      <c r="I403" s="4"/>
      <c r="J403" s="4"/>
      <c r="L403" s="44"/>
    </row>
    <row r="404" spans="1:12" ht="15.75">
      <c r="A404" s="3"/>
      <c r="B404" s="161"/>
      <c r="C404" s="3"/>
      <c r="D404" s="4"/>
      <c r="E404" s="4"/>
      <c r="F404" s="40"/>
      <c r="G404" s="4"/>
      <c r="H404" s="4"/>
      <c r="I404" s="4"/>
      <c r="J404" s="4"/>
      <c r="L404" s="44"/>
    </row>
    <row r="405" spans="1:12" ht="15.75">
      <c r="A405" s="3"/>
      <c r="B405" s="161"/>
      <c r="C405" s="3"/>
      <c r="D405" s="4"/>
      <c r="E405" s="4"/>
      <c r="F405" s="40"/>
      <c r="G405" s="4"/>
      <c r="H405" s="4"/>
      <c r="I405" s="4"/>
      <c r="J405" s="4"/>
      <c r="L405" s="44"/>
    </row>
    <row r="406" spans="1:12" ht="15.75">
      <c r="A406" s="3"/>
      <c r="B406" s="161"/>
      <c r="C406" s="3"/>
      <c r="D406" s="4"/>
      <c r="E406" s="4"/>
      <c r="F406" s="40"/>
      <c r="G406" s="4"/>
      <c r="H406" s="4"/>
      <c r="I406" s="4"/>
      <c r="J406" s="4"/>
      <c r="L406" s="44"/>
    </row>
    <row r="407" spans="1:12" ht="15.75">
      <c r="A407" s="3"/>
      <c r="B407" s="161"/>
      <c r="C407" s="3"/>
      <c r="D407" s="4"/>
      <c r="E407" s="4"/>
      <c r="F407" s="40"/>
      <c r="G407" s="4"/>
      <c r="H407" s="4"/>
      <c r="I407" s="4"/>
      <c r="J407" s="4"/>
      <c r="L407" s="44"/>
    </row>
    <row r="408" spans="1:12" ht="15.75">
      <c r="A408" s="3"/>
      <c r="B408" s="161"/>
      <c r="C408" s="3"/>
      <c r="D408" s="4"/>
      <c r="E408" s="4"/>
      <c r="F408" s="40"/>
      <c r="G408" s="4"/>
      <c r="H408" s="4"/>
      <c r="I408" s="4"/>
      <c r="J408" s="4"/>
      <c r="L408" s="44"/>
    </row>
    <row r="409" spans="1:12" ht="15.75">
      <c r="A409" s="3"/>
      <c r="B409" s="161"/>
      <c r="C409" s="3"/>
      <c r="D409" s="4"/>
      <c r="E409" s="4"/>
      <c r="F409" s="40"/>
      <c r="G409" s="4"/>
      <c r="H409" s="4"/>
      <c r="I409" s="4"/>
      <c r="J409" s="4"/>
      <c r="L409" s="44"/>
    </row>
    <row r="410" spans="1:12" ht="15.75">
      <c r="A410" s="3"/>
      <c r="B410" s="161"/>
      <c r="C410" s="3"/>
      <c r="D410" s="4"/>
      <c r="E410" s="4"/>
      <c r="F410" s="40"/>
      <c r="G410" s="4"/>
      <c r="H410" s="4"/>
      <c r="I410" s="4"/>
      <c r="J410" s="4"/>
      <c r="L410" s="44"/>
    </row>
    <row r="411" spans="1:12" ht="15.75">
      <c r="A411" s="3"/>
      <c r="B411" s="161"/>
      <c r="C411" s="3"/>
      <c r="D411" s="4"/>
      <c r="E411" s="4"/>
      <c r="F411" s="40"/>
      <c r="G411" s="4"/>
      <c r="H411" s="4"/>
      <c r="I411" s="4"/>
      <c r="J411" s="4"/>
      <c r="L411" s="44"/>
    </row>
    <row r="412" spans="1:12" ht="15.75">
      <c r="A412" s="3"/>
      <c r="B412" s="161"/>
      <c r="C412" s="3"/>
      <c r="D412" s="4"/>
      <c r="E412" s="4"/>
      <c r="F412" s="40"/>
      <c r="G412" s="4"/>
      <c r="H412" s="4"/>
      <c r="I412" s="4"/>
      <c r="J412" s="4"/>
      <c r="L412" s="44"/>
    </row>
    <row r="413" spans="1:12" ht="15.75">
      <c r="A413" s="3"/>
      <c r="B413" s="161"/>
      <c r="C413" s="3"/>
      <c r="D413" s="4"/>
      <c r="E413" s="4"/>
      <c r="F413" s="40"/>
      <c r="G413" s="4"/>
      <c r="H413" s="4"/>
      <c r="I413" s="4"/>
      <c r="J413" s="4"/>
      <c r="L413" s="44"/>
    </row>
    <row r="414" spans="1:12" ht="15.75">
      <c r="A414" s="3"/>
      <c r="B414" s="161"/>
      <c r="C414" s="3"/>
      <c r="D414" s="4"/>
      <c r="E414" s="4"/>
      <c r="F414" s="40"/>
      <c r="G414" s="4"/>
      <c r="H414" s="4"/>
      <c r="I414" s="4"/>
      <c r="J414" s="4"/>
      <c r="L414" s="44"/>
    </row>
    <row r="415" spans="1:12" ht="15.75">
      <c r="A415" s="3"/>
      <c r="B415" s="161"/>
      <c r="C415" s="3"/>
      <c r="D415" s="4"/>
      <c r="E415" s="4"/>
      <c r="F415" s="40"/>
      <c r="G415" s="4"/>
      <c r="H415" s="4"/>
      <c r="I415" s="4"/>
      <c r="J415" s="4"/>
      <c r="L415" s="44"/>
    </row>
    <row r="416" spans="1:12" ht="15.75">
      <c r="A416" s="3"/>
      <c r="B416" s="161"/>
      <c r="C416" s="3"/>
      <c r="D416" s="4"/>
      <c r="E416" s="4"/>
      <c r="F416" s="40"/>
      <c r="G416" s="4"/>
      <c r="H416" s="4"/>
      <c r="I416" s="4"/>
      <c r="J416" s="4"/>
      <c r="L416" s="44"/>
    </row>
    <row r="417" spans="1:12" ht="15.75">
      <c r="A417" s="3"/>
      <c r="B417" s="161"/>
      <c r="C417" s="3"/>
      <c r="D417" s="4"/>
      <c r="E417" s="4"/>
      <c r="F417" s="40"/>
      <c r="G417" s="4"/>
      <c r="H417" s="4"/>
      <c r="I417" s="4"/>
      <c r="J417" s="4"/>
      <c r="L417" s="44"/>
    </row>
    <row r="418" spans="1:12" ht="15.75">
      <c r="A418" s="3"/>
      <c r="B418" s="161"/>
      <c r="C418" s="3"/>
      <c r="D418" s="4"/>
      <c r="E418" s="4"/>
      <c r="F418" s="40"/>
      <c r="G418" s="4"/>
      <c r="H418" s="4"/>
      <c r="I418" s="4"/>
      <c r="J418" s="4"/>
      <c r="L418" s="44"/>
    </row>
    <row r="419" spans="1:12" ht="15.75">
      <c r="A419" s="3"/>
      <c r="B419" s="161"/>
      <c r="C419" s="3"/>
      <c r="D419" s="4"/>
      <c r="E419" s="4"/>
      <c r="F419" s="40"/>
      <c r="G419" s="4"/>
      <c r="H419" s="4"/>
      <c r="I419" s="4"/>
      <c r="J419" s="4"/>
      <c r="L419" s="44"/>
    </row>
    <row r="420" spans="1:12" ht="15.75">
      <c r="A420" s="3"/>
      <c r="B420" s="161"/>
      <c r="C420" s="3"/>
      <c r="D420" s="4"/>
      <c r="E420" s="4"/>
      <c r="F420" s="40"/>
      <c r="G420" s="4"/>
      <c r="H420" s="4"/>
      <c r="I420" s="4"/>
      <c r="J420" s="4"/>
      <c r="L420" s="44"/>
    </row>
    <row r="421" spans="1:12" ht="15.75">
      <c r="A421" s="3"/>
      <c r="B421" s="161"/>
      <c r="C421" s="3"/>
      <c r="D421" s="4"/>
      <c r="E421" s="4"/>
      <c r="F421" s="40"/>
      <c r="G421" s="4"/>
      <c r="H421" s="4"/>
      <c r="I421" s="4"/>
      <c r="J421" s="4"/>
      <c r="L421" s="44"/>
    </row>
    <row r="422" spans="1:12" ht="15.75">
      <c r="A422" s="3"/>
      <c r="B422" s="161"/>
      <c r="C422" s="3"/>
      <c r="D422" s="4"/>
      <c r="E422" s="4"/>
      <c r="F422" s="40"/>
      <c r="G422" s="4"/>
      <c r="H422" s="4"/>
      <c r="I422" s="4"/>
      <c r="J422" s="4"/>
      <c r="L422" s="44"/>
    </row>
    <row r="423" spans="1:12" ht="15.75">
      <c r="A423" s="3"/>
      <c r="B423" s="161"/>
      <c r="C423" s="3"/>
      <c r="D423" s="4"/>
      <c r="E423" s="4"/>
      <c r="F423" s="40"/>
      <c r="G423" s="4"/>
      <c r="H423" s="4"/>
      <c r="I423" s="4"/>
      <c r="J423" s="4"/>
      <c r="L423" s="44"/>
    </row>
    <row r="424" spans="1:12" ht="15.75">
      <c r="A424" s="3"/>
      <c r="B424" s="161"/>
      <c r="C424" s="3"/>
      <c r="D424" s="4"/>
      <c r="E424" s="4"/>
      <c r="F424" s="40"/>
      <c r="G424" s="4"/>
      <c r="H424" s="4"/>
      <c r="I424" s="4"/>
      <c r="J424" s="4"/>
      <c r="L424" s="44"/>
    </row>
    <row r="425" spans="1:12" ht="15.75">
      <c r="A425" s="3"/>
      <c r="B425" s="161"/>
      <c r="C425" s="3"/>
      <c r="D425" s="4"/>
      <c r="E425" s="4"/>
      <c r="F425" s="40"/>
      <c r="G425" s="4"/>
      <c r="H425" s="4"/>
      <c r="I425" s="4"/>
      <c r="J425" s="4"/>
      <c r="L425" s="44"/>
    </row>
    <row r="426" spans="1:12" ht="15.75">
      <c r="A426" s="3"/>
      <c r="B426" s="161"/>
      <c r="C426" s="3"/>
      <c r="D426" s="4"/>
      <c r="E426" s="4"/>
      <c r="F426" s="40"/>
      <c r="G426" s="4"/>
      <c r="H426" s="4"/>
      <c r="I426" s="4"/>
      <c r="J426" s="4"/>
      <c r="L426" s="44"/>
    </row>
    <row r="427" spans="1:12" ht="15.75">
      <c r="A427" s="3"/>
      <c r="B427" s="161"/>
      <c r="C427" s="3"/>
      <c r="D427" s="4"/>
      <c r="E427" s="4"/>
      <c r="F427" s="40"/>
      <c r="G427" s="4"/>
      <c r="H427" s="4"/>
      <c r="I427" s="4"/>
      <c r="J427" s="4"/>
      <c r="L427" s="44"/>
    </row>
    <row r="428" spans="1:12" ht="15.75">
      <c r="A428" s="3"/>
      <c r="B428" s="161"/>
      <c r="C428" s="3"/>
      <c r="D428" s="4"/>
      <c r="E428" s="4"/>
      <c r="F428" s="40"/>
      <c r="G428" s="4"/>
      <c r="H428" s="4"/>
      <c r="I428" s="4"/>
      <c r="J428" s="4"/>
      <c r="L428" s="44"/>
    </row>
    <row r="429" spans="1:12" ht="15.75">
      <c r="A429" s="3"/>
      <c r="B429" s="161"/>
      <c r="C429" s="3"/>
      <c r="D429" s="4"/>
      <c r="E429" s="4"/>
      <c r="F429" s="40"/>
      <c r="G429" s="4"/>
      <c r="H429" s="4"/>
      <c r="I429" s="4"/>
      <c r="J429" s="4"/>
      <c r="L429" s="44"/>
    </row>
    <row r="430" spans="1:12" ht="15.75">
      <c r="A430" s="3"/>
      <c r="B430" s="161"/>
      <c r="C430" s="3"/>
      <c r="D430" s="4"/>
      <c r="E430" s="4"/>
      <c r="F430" s="40"/>
      <c r="G430" s="4"/>
      <c r="H430" s="4"/>
      <c r="I430" s="4"/>
      <c r="J430" s="4"/>
      <c r="L430" s="44"/>
    </row>
    <row r="431" spans="1:12" ht="15.75">
      <c r="A431" s="3"/>
      <c r="B431" s="161"/>
      <c r="C431" s="3"/>
      <c r="D431" s="4"/>
      <c r="E431" s="4"/>
      <c r="F431" s="40"/>
      <c r="G431" s="4"/>
      <c r="H431" s="4"/>
      <c r="I431" s="4"/>
      <c r="J431" s="4"/>
      <c r="L431" s="44"/>
    </row>
    <row r="432" spans="1:12" ht="15.75">
      <c r="A432" s="3"/>
      <c r="B432" s="161"/>
      <c r="C432" s="3"/>
      <c r="D432" s="4"/>
      <c r="E432" s="4"/>
      <c r="F432" s="40"/>
      <c r="G432" s="4"/>
      <c r="H432" s="4"/>
      <c r="I432" s="4"/>
      <c r="J432" s="4"/>
      <c r="L432" s="44"/>
    </row>
    <row r="433" spans="1:12" ht="15.75">
      <c r="A433" s="3"/>
      <c r="B433" s="161"/>
      <c r="C433" s="3"/>
      <c r="D433" s="4"/>
      <c r="E433" s="4"/>
      <c r="F433" s="40"/>
      <c r="G433" s="4"/>
      <c r="H433" s="4"/>
      <c r="I433" s="4"/>
      <c r="J433" s="4"/>
      <c r="L433" s="44"/>
    </row>
    <row r="434" spans="1:12" ht="15.75">
      <c r="A434" s="3"/>
      <c r="B434" s="161"/>
      <c r="C434" s="3"/>
      <c r="D434" s="4"/>
      <c r="E434" s="4"/>
      <c r="F434" s="40"/>
      <c r="G434" s="4"/>
      <c r="H434" s="4"/>
      <c r="I434" s="4"/>
      <c r="J434" s="4"/>
      <c r="L434" s="44"/>
    </row>
    <row r="435" spans="1:12" ht="15.75">
      <c r="A435" s="3"/>
      <c r="B435" s="161"/>
      <c r="C435" s="3"/>
      <c r="D435" s="4"/>
      <c r="E435" s="4"/>
      <c r="F435" s="40"/>
      <c r="G435" s="4"/>
      <c r="H435" s="4"/>
      <c r="I435" s="4"/>
      <c r="J435" s="4"/>
      <c r="L435" s="44"/>
    </row>
    <row r="436" spans="1:12" ht="15.75">
      <c r="A436" s="3"/>
      <c r="B436" s="161"/>
      <c r="C436" s="3"/>
      <c r="D436" s="4"/>
      <c r="E436" s="4"/>
      <c r="F436" s="40"/>
      <c r="G436" s="4"/>
      <c r="H436" s="4"/>
      <c r="I436" s="4"/>
      <c r="J436" s="4"/>
      <c r="L436" s="44"/>
    </row>
    <row r="437" spans="1:12" ht="15.75">
      <c r="A437" s="3"/>
      <c r="B437" s="161"/>
      <c r="C437" s="3"/>
      <c r="D437" s="4"/>
      <c r="E437" s="4"/>
      <c r="F437" s="40"/>
      <c r="G437" s="4"/>
      <c r="H437" s="4"/>
      <c r="I437" s="4"/>
      <c r="J437" s="4"/>
      <c r="L437" s="44"/>
    </row>
    <row r="438" spans="1:12" ht="15.75">
      <c r="A438" s="3"/>
      <c r="B438" s="161"/>
      <c r="C438" s="3"/>
      <c r="D438" s="4"/>
      <c r="E438" s="4"/>
      <c r="F438" s="40"/>
      <c r="G438" s="4"/>
      <c r="H438" s="4"/>
      <c r="I438" s="4"/>
      <c r="J438" s="4"/>
      <c r="L438" s="44"/>
    </row>
    <row r="439" spans="1:12" ht="15.75">
      <c r="A439" s="3"/>
      <c r="B439" s="161"/>
      <c r="C439" s="3"/>
      <c r="D439" s="4"/>
      <c r="E439" s="4"/>
      <c r="F439" s="40"/>
      <c r="G439" s="4"/>
      <c r="H439" s="4"/>
      <c r="I439" s="4"/>
      <c r="J439" s="4"/>
      <c r="L439" s="44"/>
    </row>
    <row r="440" spans="1:12" ht="15.75">
      <c r="A440" s="3"/>
      <c r="B440" s="161"/>
      <c r="C440" s="3"/>
      <c r="D440" s="4"/>
      <c r="E440" s="4"/>
      <c r="F440" s="40"/>
      <c r="G440" s="4"/>
      <c r="H440" s="4"/>
      <c r="I440" s="4"/>
      <c r="J440" s="4"/>
      <c r="L440" s="44"/>
    </row>
    <row r="441" spans="1:12" ht="15.75">
      <c r="A441" s="3"/>
      <c r="B441" s="161"/>
      <c r="C441" s="3"/>
      <c r="D441" s="4"/>
      <c r="E441" s="4"/>
      <c r="F441" s="40"/>
      <c r="G441" s="4"/>
      <c r="H441" s="4"/>
      <c r="I441" s="4"/>
      <c r="J441" s="4"/>
      <c r="L441" s="44"/>
    </row>
    <row r="442" spans="1:12" ht="15.75">
      <c r="A442" s="3"/>
      <c r="B442" s="161"/>
      <c r="C442" s="3"/>
      <c r="D442" s="4"/>
      <c r="E442" s="4"/>
      <c r="F442" s="40"/>
      <c r="G442" s="4"/>
      <c r="H442" s="4"/>
      <c r="I442" s="4"/>
      <c r="J442" s="4"/>
      <c r="L442" s="44"/>
    </row>
    <row r="443" spans="1:12" ht="15.75">
      <c r="A443" s="3"/>
      <c r="B443" s="161"/>
      <c r="C443" s="3"/>
      <c r="D443" s="4"/>
      <c r="E443" s="4"/>
      <c r="F443" s="40"/>
      <c r="G443" s="4"/>
      <c r="H443" s="4"/>
      <c r="I443" s="4"/>
      <c r="J443" s="4"/>
      <c r="L443" s="44"/>
    </row>
    <row r="444" spans="1:12" ht="15.75">
      <c r="A444" s="3"/>
      <c r="B444" s="161"/>
      <c r="C444" s="3"/>
      <c r="D444" s="4"/>
      <c r="E444" s="4"/>
      <c r="F444" s="40"/>
      <c r="G444" s="4"/>
      <c r="H444" s="4"/>
      <c r="I444" s="4"/>
      <c r="J444" s="4"/>
      <c r="L444" s="44"/>
    </row>
    <row r="445" spans="1:12" ht="15.75">
      <c r="A445" s="3"/>
      <c r="B445" s="161"/>
      <c r="C445" s="3"/>
      <c r="D445" s="4"/>
      <c r="E445" s="4"/>
      <c r="F445" s="40"/>
      <c r="G445" s="4"/>
      <c r="H445" s="4"/>
      <c r="I445" s="4"/>
      <c r="J445" s="4"/>
      <c r="L445" s="44"/>
    </row>
    <row r="446" spans="1:12" ht="15.75">
      <c r="A446" s="3"/>
      <c r="B446" s="161"/>
      <c r="C446" s="3"/>
      <c r="D446" s="4"/>
      <c r="E446" s="4"/>
      <c r="F446" s="40"/>
      <c r="G446" s="4"/>
      <c r="H446" s="4"/>
      <c r="I446" s="4"/>
      <c r="J446" s="4"/>
      <c r="L446" s="44"/>
    </row>
    <row r="447" spans="1:12" ht="15.75">
      <c r="A447" s="3"/>
      <c r="B447" s="161"/>
      <c r="C447" s="3"/>
      <c r="D447" s="4"/>
      <c r="E447" s="4"/>
      <c r="F447" s="40"/>
      <c r="G447" s="4"/>
      <c r="H447" s="4"/>
      <c r="I447" s="4"/>
      <c r="J447" s="4"/>
      <c r="L447" s="44"/>
    </row>
    <row r="448" spans="1:12" ht="15.75">
      <c r="A448" s="3"/>
      <c r="B448" s="161"/>
      <c r="C448" s="3"/>
      <c r="D448" s="4"/>
      <c r="E448" s="4"/>
      <c r="F448" s="40"/>
      <c r="G448" s="4"/>
      <c r="H448" s="4"/>
      <c r="I448" s="4"/>
      <c r="J448" s="4"/>
      <c r="L448" s="44"/>
    </row>
    <row r="449" spans="1:12" ht="15.75">
      <c r="A449" s="3"/>
      <c r="B449" s="161"/>
      <c r="C449" s="3"/>
      <c r="D449" s="4"/>
      <c r="E449" s="4"/>
      <c r="F449" s="40"/>
      <c r="G449" s="4"/>
      <c r="H449" s="4"/>
      <c r="I449" s="4"/>
      <c r="J449" s="4"/>
      <c r="L449" s="44"/>
    </row>
    <row r="450" spans="1:12" ht="15.75">
      <c r="A450" s="3"/>
      <c r="B450" s="161"/>
      <c r="C450" s="3"/>
      <c r="D450" s="4"/>
      <c r="E450" s="4"/>
      <c r="F450" s="40"/>
      <c r="G450" s="4"/>
      <c r="H450" s="4"/>
      <c r="I450" s="4"/>
      <c r="J450" s="4"/>
      <c r="L450" s="44"/>
    </row>
    <row r="451" spans="1:12" ht="15.75">
      <c r="A451" s="3"/>
      <c r="B451" s="161"/>
      <c r="C451" s="3"/>
      <c r="D451" s="4"/>
      <c r="E451" s="4"/>
      <c r="F451" s="40"/>
      <c r="G451" s="4"/>
      <c r="H451" s="4"/>
      <c r="I451" s="4"/>
      <c r="J451" s="4"/>
      <c r="L451" s="44"/>
    </row>
    <row r="452" spans="1:12" ht="15.75">
      <c r="A452" s="3"/>
      <c r="B452" s="161"/>
      <c r="C452" s="3"/>
      <c r="D452" s="4"/>
      <c r="E452" s="4"/>
      <c r="F452" s="40"/>
      <c r="G452" s="4"/>
      <c r="H452" s="4"/>
      <c r="I452" s="4"/>
      <c r="J452" s="4"/>
      <c r="L452" s="44"/>
    </row>
    <row r="453" spans="1:12" ht="15.75">
      <c r="A453" s="3"/>
      <c r="B453" s="161"/>
      <c r="C453" s="3"/>
      <c r="D453" s="4"/>
      <c r="E453" s="4"/>
      <c r="F453" s="40"/>
      <c r="G453" s="4"/>
      <c r="H453" s="4"/>
      <c r="I453" s="4"/>
      <c r="J453" s="4"/>
      <c r="L453" s="44"/>
    </row>
    <row r="454" spans="1:12" ht="15.75">
      <c r="A454" s="3"/>
      <c r="B454" s="161"/>
      <c r="C454" s="3"/>
      <c r="D454" s="4"/>
      <c r="E454" s="4"/>
      <c r="F454" s="40"/>
      <c r="G454" s="4"/>
      <c r="H454" s="4"/>
      <c r="I454" s="4"/>
      <c r="J454" s="4"/>
      <c r="L454" s="44"/>
    </row>
    <row r="455" spans="1:12" ht="15.75">
      <c r="A455" s="3"/>
      <c r="B455" s="161"/>
      <c r="C455" s="3"/>
      <c r="D455" s="4"/>
      <c r="E455" s="4"/>
      <c r="F455" s="40"/>
      <c r="G455" s="4"/>
      <c r="H455" s="4"/>
      <c r="I455" s="4"/>
      <c r="J455" s="4"/>
      <c r="L455" s="44"/>
    </row>
    <row r="456" spans="1:12" ht="15.75">
      <c r="A456" s="3"/>
      <c r="B456" s="161"/>
      <c r="C456" s="3"/>
      <c r="D456" s="4"/>
      <c r="E456" s="4"/>
      <c r="F456" s="40"/>
      <c r="G456" s="4"/>
      <c r="H456" s="4"/>
      <c r="I456" s="4"/>
      <c r="J456" s="4"/>
      <c r="L456" s="44"/>
    </row>
    <row r="457" spans="1:12" ht="15.75">
      <c r="A457" s="3"/>
      <c r="B457" s="161"/>
      <c r="C457" s="3"/>
      <c r="D457" s="4"/>
      <c r="E457" s="4"/>
      <c r="F457" s="40"/>
      <c r="G457" s="4"/>
      <c r="H457" s="4"/>
      <c r="I457" s="4"/>
      <c r="J457" s="4"/>
      <c r="L457" s="44"/>
    </row>
    <row r="458" spans="1:12" ht="15.75">
      <c r="A458" s="3"/>
      <c r="B458" s="161"/>
      <c r="C458" s="3"/>
      <c r="D458" s="4"/>
      <c r="E458" s="4"/>
      <c r="F458" s="40"/>
      <c r="G458" s="4"/>
      <c r="H458" s="4"/>
      <c r="I458" s="4"/>
      <c r="J458" s="4"/>
      <c r="L458" s="44"/>
    </row>
    <row r="459" spans="1:12" ht="15.75">
      <c r="A459" s="3"/>
      <c r="B459" s="161"/>
      <c r="C459" s="3"/>
      <c r="D459" s="4"/>
      <c r="E459" s="4"/>
      <c r="F459" s="40"/>
      <c r="G459" s="4"/>
      <c r="H459" s="4"/>
      <c r="I459" s="4"/>
      <c r="J459" s="4"/>
      <c r="L459" s="44"/>
    </row>
    <row r="460" spans="1:12" ht="15.75">
      <c r="A460" s="3"/>
      <c r="B460" s="161"/>
      <c r="C460" s="3"/>
      <c r="D460" s="4"/>
      <c r="E460" s="4"/>
      <c r="F460" s="40"/>
      <c r="G460" s="4"/>
      <c r="H460" s="4"/>
      <c r="I460" s="4"/>
      <c r="J460" s="4"/>
      <c r="L460" s="44"/>
    </row>
    <row r="461" spans="1:12" ht="15.75">
      <c r="A461" s="3"/>
      <c r="B461" s="161"/>
      <c r="C461" s="3"/>
      <c r="D461" s="4"/>
      <c r="E461" s="4"/>
      <c r="F461" s="40"/>
      <c r="G461" s="4"/>
      <c r="H461" s="4"/>
      <c r="I461" s="4"/>
      <c r="J461" s="4"/>
      <c r="L461" s="44"/>
    </row>
    <row r="462" spans="1:12" ht="15.75">
      <c r="A462" s="3"/>
      <c r="B462" s="161"/>
      <c r="C462" s="3"/>
      <c r="D462" s="4"/>
      <c r="E462" s="4"/>
      <c r="F462" s="40"/>
      <c r="G462" s="4"/>
      <c r="H462" s="4"/>
      <c r="I462" s="4"/>
      <c r="J462" s="4"/>
      <c r="L462" s="44"/>
    </row>
    <row r="463" spans="1:12" ht="15.75">
      <c r="A463" s="3"/>
      <c r="B463" s="161"/>
      <c r="C463" s="3"/>
      <c r="D463" s="4"/>
      <c r="E463" s="4"/>
      <c r="F463" s="40"/>
      <c r="G463" s="4"/>
      <c r="H463" s="4"/>
      <c r="I463" s="4"/>
      <c r="J463" s="4"/>
      <c r="L463" s="44"/>
    </row>
    <row r="464" spans="1:12" ht="15.75">
      <c r="A464" s="3"/>
      <c r="B464" s="161"/>
      <c r="C464" s="3"/>
      <c r="D464" s="4"/>
      <c r="E464" s="4"/>
      <c r="F464" s="40"/>
      <c r="G464" s="4"/>
      <c r="H464" s="4"/>
      <c r="I464" s="4"/>
      <c r="J464" s="4"/>
      <c r="L464" s="44"/>
    </row>
    <row r="465" spans="1:12" ht="15.75">
      <c r="A465" s="3"/>
      <c r="B465" s="161"/>
      <c r="C465" s="3"/>
      <c r="D465" s="4"/>
      <c r="E465" s="4"/>
      <c r="F465" s="40"/>
      <c r="G465" s="4"/>
      <c r="H465" s="4"/>
      <c r="I465" s="4"/>
      <c r="J465" s="4"/>
      <c r="L465" s="44"/>
    </row>
    <row r="466" spans="1:12" ht="15.75">
      <c r="A466" s="3"/>
      <c r="B466" s="161"/>
      <c r="C466" s="3"/>
      <c r="D466" s="4"/>
      <c r="E466" s="4"/>
      <c r="F466" s="40"/>
      <c r="G466" s="4"/>
      <c r="H466" s="4"/>
      <c r="I466" s="4"/>
      <c r="J466" s="4"/>
      <c r="L466" s="44"/>
    </row>
    <row r="467" spans="1:12" ht="15.75">
      <c r="A467" s="3"/>
      <c r="B467" s="161"/>
      <c r="C467" s="3"/>
      <c r="D467" s="4"/>
      <c r="E467" s="4"/>
      <c r="F467" s="40"/>
      <c r="G467" s="4"/>
      <c r="H467" s="4"/>
      <c r="I467" s="4"/>
      <c r="J467" s="4"/>
      <c r="L467" s="44"/>
    </row>
    <row r="468" spans="1:12" ht="15.75">
      <c r="A468" s="3"/>
      <c r="B468" s="161"/>
      <c r="C468" s="3"/>
      <c r="D468" s="4"/>
      <c r="E468" s="4"/>
      <c r="F468" s="40"/>
      <c r="G468" s="4"/>
      <c r="H468" s="4"/>
      <c r="I468" s="4"/>
      <c r="J468" s="4"/>
      <c r="L468" s="44"/>
    </row>
    <row r="469" spans="1:12" ht="15.75">
      <c r="A469" s="3"/>
      <c r="B469" s="161"/>
      <c r="C469" s="3"/>
      <c r="D469" s="4"/>
      <c r="E469" s="4"/>
      <c r="F469" s="40"/>
      <c r="G469" s="4"/>
      <c r="H469" s="4"/>
      <c r="I469" s="4"/>
      <c r="J469" s="4"/>
      <c r="L469" s="44"/>
    </row>
    <row r="470" spans="1:12" ht="15.75">
      <c r="A470" s="3"/>
      <c r="B470" s="161"/>
      <c r="C470" s="3"/>
      <c r="D470" s="4"/>
      <c r="E470" s="4"/>
      <c r="F470" s="40"/>
      <c r="G470" s="4"/>
      <c r="H470" s="4"/>
      <c r="I470" s="4"/>
      <c r="J470" s="4"/>
      <c r="L470" s="44"/>
    </row>
    <row r="471" spans="1:12" ht="15.75">
      <c r="A471" s="3"/>
      <c r="B471" s="161"/>
      <c r="C471" s="3"/>
      <c r="D471" s="4"/>
      <c r="E471" s="4"/>
      <c r="F471" s="40"/>
      <c r="G471" s="4"/>
      <c r="H471" s="4"/>
      <c r="I471" s="4"/>
      <c r="J471" s="4"/>
      <c r="L471" s="44"/>
    </row>
    <row r="472" spans="1:12" ht="15.75">
      <c r="A472" s="3"/>
      <c r="B472" s="161"/>
      <c r="C472" s="3"/>
      <c r="D472" s="4"/>
      <c r="E472" s="4"/>
      <c r="F472" s="40"/>
      <c r="G472" s="4"/>
      <c r="H472" s="4"/>
      <c r="I472" s="4"/>
      <c r="J472" s="4"/>
      <c r="L472" s="44"/>
    </row>
    <row r="473" spans="1:12" ht="15.75">
      <c r="A473" s="3"/>
      <c r="B473" s="161"/>
      <c r="C473" s="3"/>
      <c r="D473" s="4"/>
      <c r="E473" s="4"/>
      <c r="F473" s="40"/>
      <c r="G473" s="4"/>
      <c r="H473" s="4"/>
      <c r="I473" s="4"/>
      <c r="J473" s="4"/>
      <c r="L473" s="44"/>
    </row>
    <row r="474" spans="1:12" ht="15.75">
      <c r="A474" s="3"/>
      <c r="B474" s="161"/>
      <c r="C474" s="3"/>
      <c r="D474" s="4"/>
      <c r="E474" s="4"/>
      <c r="F474" s="40"/>
      <c r="G474" s="4"/>
      <c r="H474" s="4"/>
      <c r="I474" s="4"/>
      <c r="J474" s="4"/>
      <c r="L474" s="44"/>
    </row>
    <row r="475" spans="1:12" ht="15.75">
      <c r="A475" s="3"/>
      <c r="B475" s="161"/>
      <c r="C475" s="3"/>
      <c r="D475" s="4"/>
      <c r="E475" s="4"/>
      <c r="F475" s="40"/>
      <c r="G475" s="4"/>
      <c r="H475" s="4"/>
      <c r="I475" s="4"/>
      <c r="J475" s="4"/>
      <c r="L475" s="44"/>
    </row>
    <row r="476" spans="1:12" ht="15.75">
      <c r="A476" s="3"/>
      <c r="B476" s="161"/>
      <c r="C476" s="3"/>
      <c r="D476" s="4"/>
      <c r="E476" s="4"/>
      <c r="F476" s="40"/>
      <c r="G476" s="4"/>
      <c r="H476" s="4"/>
      <c r="I476" s="4"/>
      <c r="J476" s="4"/>
      <c r="L476" s="44"/>
    </row>
    <row r="477" spans="1:12" ht="15.75">
      <c r="A477" s="3"/>
      <c r="B477" s="161"/>
      <c r="C477" s="3"/>
      <c r="D477" s="4"/>
      <c r="E477" s="4"/>
      <c r="F477" s="40"/>
      <c r="G477" s="4"/>
      <c r="H477" s="4"/>
      <c r="I477" s="4"/>
      <c r="J477" s="4"/>
      <c r="L477" s="44"/>
    </row>
    <row r="478" spans="1:12" ht="15.75">
      <c r="A478" s="3"/>
      <c r="B478" s="161"/>
      <c r="C478" s="3"/>
      <c r="D478" s="4"/>
      <c r="E478" s="4"/>
      <c r="F478" s="40"/>
      <c r="G478" s="4"/>
      <c r="H478" s="4"/>
      <c r="I478" s="4"/>
      <c r="J478" s="4"/>
      <c r="L478" s="44"/>
    </row>
    <row r="479" spans="1:12" ht="15.75">
      <c r="A479" s="3"/>
      <c r="B479" s="161"/>
      <c r="C479" s="3"/>
      <c r="D479" s="4"/>
      <c r="E479" s="4"/>
      <c r="F479" s="40"/>
      <c r="G479" s="4"/>
      <c r="H479" s="4"/>
      <c r="I479" s="4"/>
      <c r="J479" s="4"/>
      <c r="L479" s="44"/>
    </row>
    <row r="480" spans="1:12" ht="15.75">
      <c r="A480" s="3"/>
      <c r="B480" s="161"/>
      <c r="C480" s="3"/>
      <c r="D480" s="4"/>
      <c r="E480" s="4"/>
      <c r="F480" s="40"/>
      <c r="G480" s="4"/>
      <c r="H480" s="4"/>
      <c r="I480" s="4"/>
      <c r="J480" s="4"/>
      <c r="L480" s="44"/>
    </row>
    <row r="481" spans="1:12" ht="15.75">
      <c r="A481" s="3"/>
      <c r="B481" s="161"/>
      <c r="C481" s="3"/>
      <c r="D481" s="4"/>
      <c r="E481" s="4"/>
      <c r="F481" s="40"/>
      <c r="G481" s="4"/>
      <c r="H481" s="4"/>
      <c r="I481" s="4"/>
      <c r="J481" s="4"/>
      <c r="L481" s="44"/>
    </row>
    <row r="482" spans="1:12" ht="15.75">
      <c r="A482" s="3"/>
      <c r="B482" s="161"/>
      <c r="C482" s="3"/>
      <c r="D482" s="4"/>
      <c r="E482" s="4"/>
      <c r="F482" s="40"/>
      <c r="G482" s="4"/>
      <c r="H482" s="4"/>
      <c r="I482" s="4"/>
      <c r="J482" s="4"/>
      <c r="L482" s="44"/>
    </row>
    <row r="483" spans="1:12" ht="15.75">
      <c r="A483" s="3"/>
      <c r="B483" s="161"/>
      <c r="C483" s="3"/>
      <c r="D483" s="4"/>
      <c r="E483" s="4"/>
      <c r="F483" s="40"/>
      <c r="G483" s="4"/>
      <c r="H483" s="4"/>
      <c r="I483" s="4"/>
      <c r="J483" s="4"/>
      <c r="L483" s="44"/>
    </row>
    <row r="484" spans="1:12" ht="15.75">
      <c r="A484" s="3"/>
      <c r="B484" s="161"/>
      <c r="C484" s="3"/>
      <c r="D484" s="4"/>
      <c r="E484" s="4"/>
      <c r="F484" s="40"/>
      <c r="G484" s="4"/>
      <c r="H484" s="4"/>
      <c r="I484" s="4"/>
      <c r="J484" s="4"/>
      <c r="L484" s="44"/>
    </row>
    <row r="485" spans="1:12" ht="15.75">
      <c r="A485" s="3"/>
      <c r="B485" s="161"/>
      <c r="C485" s="3"/>
      <c r="D485" s="4"/>
      <c r="E485" s="4"/>
      <c r="F485" s="40"/>
      <c r="G485" s="4"/>
      <c r="H485" s="4"/>
      <c r="I485" s="4"/>
      <c r="J485" s="4"/>
      <c r="L485" s="44"/>
    </row>
    <row r="486" spans="1:12" ht="15.75">
      <c r="A486" s="3"/>
      <c r="B486" s="161"/>
      <c r="C486" s="3"/>
      <c r="D486" s="4"/>
      <c r="E486" s="4"/>
      <c r="F486" s="40"/>
      <c r="G486" s="4"/>
      <c r="H486" s="4"/>
      <c r="I486" s="4"/>
      <c r="J486" s="4"/>
      <c r="L486" s="44"/>
    </row>
    <row r="487" spans="1:12" ht="15.75">
      <c r="A487" s="3"/>
      <c r="B487" s="161"/>
      <c r="C487" s="3"/>
      <c r="D487" s="4"/>
      <c r="E487" s="4"/>
      <c r="F487" s="40"/>
      <c r="G487" s="4"/>
      <c r="H487" s="4"/>
      <c r="I487" s="4"/>
      <c r="J487" s="4"/>
      <c r="L487" s="44"/>
    </row>
    <row r="488" spans="1:12" ht="15.75">
      <c r="A488" s="3"/>
      <c r="B488" s="161"/>
      <c r="C488" s="3"/>
      <c r="D488" s="4"/>
      <c r="E488" s="4"/>
      <c r="F488" s="40"/>
      <c r="G488" s="4"/>
      <c r="H488" s="4"/>
      <c r="I488" s="4"/>
      <c r="J488" s="4"/>
      <c r="L488" s="44"/>
    </row>
    <row r="489" spans="1:12" ht="15.75">
      <c r="A489" s="3"/>
      <c r="B489" s="161"/>
      <c r="C489" s="3"/>
      <c r="D489" s="4"/>
      <c r="E489" s="4"/>
      <c r="F489" s="40"/>
      <c r="G489" s="4"/>
      <c r="H489" s="4"/>
      <c r="I489" s="4"/>
      <c r="J489" s="4"/>
      <c r="L489" s="44"/>
    </row>
    <row r="490" spans="1:12" ht="15.75">
      <c r="A490" s="3"/>
      <c r="B490" s="161"/>
      <c r="C490" s="3"/>
      <c r="D490" s="4"/>
      <c r="E490" s="4"/>
      <c r="F490" s="40"/>
      <c r="G490" s="4"/>
      <c r="H490" s="4"/>
      <c r="I490" s="4"/>
      <c r="J490" s="4"/>
      <c r="L490" s="44"/>
    </row>
    <row r="491" spans="1:12" ht="15.75">
      <c r="A491" s="3"/>
      <c r="B491" s="161"/>
      <c r="C491" s="3"/>
      <c r="D491" s="4"/>
      <c r="E491" s="4"/>
      <c r="F491" s="40"/>
      <c r="G491" s="4"/>
      <c r="H491" s="4"/>
      <c r="I491" s="4"/>
      <c r="J491" s="4"/>
      <c r="L491" s="44"/>
    </row>
    <row r="492" spans="1:12" ht="15.75">
      <c r="A492" s="3"/>
      <c r="B492" s="161"/>
      <c r="C492" s="3"/>
      <c r="D492" s="4"/>
      <c r="E492" s="4"/>
      <c r="F492" s="40"/>
      <c r="G492" s="4"/>
      <c r="H492" s="4"/>
      <c r="I492" s="4"/>
      <c r="J492" s="4"/>
      <c r="L492" s="44"/>
    </row>
    <row r="493" spans="1:12" ht="15.75">
      <c r="A493" s="3"/>
      <c r="B493" s="161"/>
      <c r="C493" s="3"/>
      <c r="D493" s="4"/>
      <c r="E493" s="4"/>
      <c r="F493" s="40"/>
      <c r="G493" s="4"/>
      <c r="H493" s="4"/>
      <c r="I493" s="4"/>
      <c r="J493" s="4"/>
      <c r="L493" s="44"/>
    </row>
    <row r="494" spans="1:12" ht="15.75">
      <c r="A494" s="3"/>
      <c r="B494" s="161"/>
      <c r="C494" s="3"/>
      <c r="D494" s="4"/>
      <c r="E494" s="4"/>
      <c r="F494" s="40"/>
      <c r="G494" s="4"/>
      <c r="H494" s="4"/>
      <c r="I494" s="4"/>
      <c r="J494" s="4"/>
      <c r="L494" s="44"/>
    </row>
    <row r="495" spans="1:12" ht="15.75">
      <c r="A495" s="3"/>
      <c r="B495" s="161"/>
      <c r="C495" s="3"/>
      <c r="D495" s="4"/>
      <c r="E495" s="4"/>
      <c r="F495" s="40"/>
      <c r="G495" s="4"/>
      <c r="H495" s="4"/>
      <c r="I495" s="4"/>
      <c r="J495" s="4"/>
      <c r="L495" s="44"/>
    </row>
    <row r="496" spans="1:12" ht="15.75">
      <c r="A496" s="3"/>
      <c r="B496" s="161"/>
      <c r="C496" s="3"/>
      <c r="D496" s="4"/>
      <c r="E496" s="4"/>
      <c r="F496" s="40"/>
      <c r="G496" s="4"/>
      <c r="H496" s="4"/>
      <c r="I496" s="4"/>
      <c r="J496" s="4"/>
      <c r="L496" s="44"/>
    </row>
    <row r="497" spans="1:12" ht="15.75">
      <c r="A497" s="3"/>
      <c r="B497" s="161"/>
      <c r="C497" s="3"/>
      <c r="D497" s="4"/>
      <c r="E497" s="4"/>
      <c r="F497" s="40"/>
      <c r="G497" s="4"/>
      <c r="H497" s="4"/>
      <c r="I497" s="4"/>
      <c r="J497" s="4"/>
      <c r="L497" s="44"/>
    </row>
    <row r="498" spans="1:12" ht="15.75">
      <c r="A498" s="3"/>
      <c r="B498" s="161"/>
      <c r="C498" s="3"/>
      <c r="D498" s="4"/>
      <c r="E498" s="4"/>
      <c r="F498" s="40"/>
      <c r="G498" s="4"/>
      <c r="H498" s="4"/>
      <c r="I498" s="4"/>
      <c r="J498" s="4"/>
      <c r="L498" s="44"/>
    </row>
    <row r="499" spans="1:12" ht="15.75">
      <c r="A499" s="3"/>
      <c r="B499" s="161"/>
      <c r="C499" s="3"/>
      <c r="D499" s="4"/>
      <c r="E499" s="4"/>
      <c r="F499" s="40"/>
      <c r="G499" s="4"/>
      <c r="H499" s="4"/>
      <c r="I499" s="4"/>
      <c r="J499" s="4"/>
      <c r="L499" s="44"/>
    </row>
    <row r="500" spans="1:12" ht="15.75">
      <c r="A500" s="3"/>
      <c r="B500" s="161"/>
      <c r="C500" s="3"/>
      <c r="D500" s="4"/>
      <c r="E500" s="4"/>
      <c r="F500" s="40"/>
      <c r="G500" s="4"/>
      <c r="H500" s="4"/>
      <c r="I500" s="4"/>
      <c r="J500" s="4"/>
      <c r="L500" s="44"/>
    </row>
    <row r="501" spans="1:12" ht="15.75">
      <c r="A501" s="3"/>
      <c r="B501" s="161"/>
      <c r="C501" s="3"/>
      <c r="D501" s="4"/>
      <c r="E501" s="4"/>
      <c r="F501" s="40"/>
      <c r="G501" s="4"/>
      <c r="H501" s="4"/>
      <c r="I501" s="4"/>
      <c r="J501" s="4"/>
      <c r="L501" s="44"/>
    </row>
    <row r="502" spans="1:12" ht="15.75">
      <c r="A502" s="3"/>
      <c r="B502" s="161"/>
      <c r="C502" s="3"/>
      <c r="D502" s="4"/>
      <c r="E502" s="4"/>
      <c r="F502" s="40"/>
      <c r="G502" s="4"/>
      <c r="H502" s="4"/>
      <c r="I502" s="4"/>
      <c r="J502" s="4"/>
      <c r="L502" s="44"/>
    </row>
    <row r="503" spans="1:12" ht="15.75">
      <c r="A503" s="3"/>
      <c r="B503" s="161"/>
      <c r="C503" s="3"/>
      <c r="D503" s="4"/>
      <c r="E503" s="4"/>
      <c r="F503" s="40"/>
      <c r="G503" s="4"/>
      <c r="H503" s="4"/>
      <c r="I503" s="4"/>
      <c r="J503" s="4"/>
      <c r="L503" s="44"/>
    </row>
    <row r="504" spans="1:12" ht="15.75">
      <c r="A504" s="3"/>
      <c r="B504" s="161"/>
      <c r="C504" s="3"/>
      <c r="D504" s="4"/>
      <c r="E504" s="4"/>
      <c r="F504" s="40"/>
      <c r="G504" s="4"/>
      <c r="H504" s="4"/>
      <c r="I504" s="4"/>
      <c r="J504" s="4"/>
      <c r="L504" s="44"/>
    </row>
    <row r="505" spans="1:12" ht="15.75">
      <c r="A505" s="3"/>
      <c r="B505" s="161"/>
      <c r="C505" s="3"/>
      <c r="D505" s="4"/>
      <c r="E505" s="4"/>
      <c r="F505" s="40"/>
      <c r="G505" s="4"/>
      <c r="H505" s="4"/>
      <c r="I505" s="4"/>
      <c r="J505" s="4"/>
      <c r="L505" s="44"/>
    </row>
    <row r="506" spans="1:12" ht="15.75">
      <c r="A506" s="3"/>
      <c r="B506" s="161"/>
      <c r="C506" s="3"/>
      <c r="D506" s="4"/>
      <c r="E506" s="4"/>
      <c r="F506" s="40"/>
      <c r="G506" s="4"/>
      <c r="H506" s="4"/>
      <c r="I506" s="4"/>
      <c r="J506" s="4"/>
      <c r="L506" s="44"/>
    </row>
    <row r="507" spans="1:12" ht="15.75">
      <c r="A507" s="3"/>
      <c r="B507" s="161"/>
      <c r="C507" s="3"/>
      <c r="D507" s="4"/>
      <c r="E507" s="4"/>
      <c r="F507" s="40"/>
      <c r="G507" s="4"/>
      <c r="H507" s="4"/>
      <c r="I507" s="4"/>
      <c r="J507" s="4"/>
      <c r="L507" s="44"/>
    </row>
    <row r="508" spans="1:12" ht="15.75">
      <c r="A508" s="3"/>
      <c r="B508" s="161"/>
      <c r="C508" s="3"/>
      <c r="D508" s="4"/>
      <c r="E508" s="4"/>
      <c r="F508" s="40"/>
      <c r="G508" s="4"/>
      <c r="H508" s="4"/>
      <c r="I508" s="4"/>
      <c r="J508" s="4"/>
      <c r="L508" s="44"/>
    </row>
    <row r="509" spans="1:12" ht="15.75">
      <c r="A509" s="3"/>
      <c r="B509" s="161"/>
      <c r="C509" s="3"/>
      <c r="D509" s="4"/>
      <c r="E509" s="4"/>
      <c r="F509" s="40"/>
      <c r="G509" s="4"/>
      <c r="H509" s="4"/>
      <c r="I509" s="4"/>
      <c r="J509" s="4"/>
      <c r="L509" s="44"/>
    </row>
    <row r="510" spans="1:12" ht="15.75">
      <c r="A510" s="3"/>
      <c r="B510" s="161"/>
      <c r="C510" s="3"/>
      <c r="D510" s="4"/>
      <c r="E510" s="4"/>
      <c r="F510" s="40"/>
      <c r="G510" s="4"/>
      <c r="H510" s="4"/>
      <c r="I510" s="4"/>
      <c r="J510" s="4"/>
      <c r="L510" s="44"/>
    </row>
    <row r="511" spans="1:12" ht="15.75">
      <c r="A511" s="3"/>
      <c r="B511" s="161"/>
      <c r="C511" s="3"/>
      <c r="D511" s="4"/>
      <c r="E511" s="4"/>
      <c r="F511" s="40"/>
      <c r="G511" s="4"/>
      <c r="H511" s="4"/>
      <c r="I511" s="4"/>
      <c r="J511" s="4"/>
      <c r="L511" s="44"/>
    </row>
    <row r="512" spans="1:12" ht="15.75">
      <c r="A512" s="3"/>
      <c r="B512" s="161"/>
      <c r="C512" s="3"/>
      <c r="D512" s="4"/>
      <c r="E512" s="4"/>
      <c r="F512" s="40"/>
      <c r="G512" s="4"/>
      <c r="H512" s="4"/>
      <c r="I512" s="4"/>
      <c r="J512" s="4"/>
      <c r="L512" s="44"/>
    </row>
    <row r="513" spans="1:12" ht="15.75">
      <c r="A513" s="3"/>
      <c r="B513" s="161"/>
      <c r="C513" s="3"/>
      <c r="D513" s="4"/>
      <c r="E513" s="4"/>
      <c r="F513" s="40"/>
      <c r="G513" s="4"/>
      <c r="H513" s="4"/>
      <c r="I513" s="4"/>
      <c r="J513" s="4"/>
      <c r="L513" s="44"/>
    </row>
    <row r="514" spans="1:12" ht="15.75">
      <c r="A514" s="3"/>
      <c r="B514" s="161"/>
      <c r="C514" s="3"/>
      <c r="D514" s="4"/>
      <c r="E514" s="4"/>
      <c r="F514" s="40"/>
      <c r="G514" s="4"/>
      <c r="H514" s="4"/>
      <c r="I514" s="4"/>
      <c r="J514" s="4"/>
      <c r="L514" s="44"/>
    </row>
    <row r="515" spans="1:12" ht="15.75">
      <c r="A515" s="3"/>
      <c r="B515" s="161"/>
      <c r="C515" s="3"/>
      <c r="D515" s="4"/>
      <c r="E515" s="4"/>
      <c r="F515" s="40"/>
      <c r="G515" s="4"/>
      <c r="H515" s="4"/>
      <c r="I515" s="4"/>
      <c r="J515" s="4"/>
      <c r="L515" s="44"/>
    </row>
    <row r="516" spans="1:12" ht="15.75">
      <c r="A516" s="3"/>
      <c r="B516" s="161"/>
      <c r="C516" s="3"/>
      <c r="D516" s="4"/>
      <c r="E516" s="4"/>
      <c r="F516" s="40"/>
      <c r="G516" s="4"/>
      <c r="H516" s="4"/>
      <c r="I516" s="4"/>
      <c r="J516" s="4"/>
      <c r="L516" s="44"/>
    </row>
    <row r="517" spans="1:12" ht="15.75">
      <c r="A517" s="3"/>
      <c r="B517" s="161"/>
      <c r="C517" s="3"/>
      <c r="D517" s="4"/>
      <c r="E517" s="4"/>
      <c r="F517" s="40"/>
      <c r="G517" s="4"/>
      <c r="H517" s="4"/>
      <c r="I517" s="4"/>
      <c r="J517" s="4"/>
      <c r="L517" s="44"/>
    </row>
    <row r="518" spans="1:12" ht="15.75">
      <c r="A518" s="3"/>
      <c r="B518" s="161"/>
      <c r="C518" s="3"/>
      <c r="D518" s="4"/>
      <c r="E518" s="4"/>
      <c r="F518" s="40"/>
      <c r="G518" s="4"/>
      <c r="H518" s="4"/>
      <c r="I518" s="4"/>
      <c r="J518" s="4"/>
      <c r="L518" s="44"/>
    </row>
    <row r="519" spans="1:12" ht="15.75">
      <c r="A519" s="3"/>
      <c r="B519" s="161"/>
      <c r="C519" s="3"/>
      <c r="D519" s="4"/>
      <c r="E519" s="4"/>
      <c r="F519" s="40"/>
      <c r="G519" s="4"/>
      <c r="H519" s="4"/>
      <c r="I519" s="4"/>
      <c r="J519" s="4"/>
      <c r="L519" s="44"/>
    </row>
    <row r="520" spans="1:12" ht="15.75">
      <c r="A520" s="3"/>
      <c r="B520" s="161"/>
      <c r="C520" s="3"/>
      <c r="D520" s="4"/>
      <c r="E520" s="4"/>
      <c r="F520" s="40"/>
      <c r="G520" s="4"/>
      <c r="H520" s="4"/>
      <c r="I520" s="4"/>
      <c r="J520" s="4"/>
      <c r="L520" s="44"/>
    </row>
    <row r="521" spans="1:12" ht="15.75">
      <c r="A521" s="3"/>
      <c r="B521" s="161"/>
      <c r="C521" s="3"/>
      <c r="D521" s="4"/>
      <c r="E521" s="4"/>
      <c r="F521" s="40"/>
      <c r="G521" s="4"/>
      <c r="H521" s="4"/>
      <c r="I521" s="4"/>
      <c r="J521" s="4"/>
      <c r="L521" s="44"/>
    </row>
    <row r="522" spans="1:12" ht="15.75">
      <c r="A522" s="3"/>
      <c r="B522" s="161"/>
      <c r="C522" s="3"/>
      <c r="D522" s="4"/>
      <c r="E522" s="4"/>
      <c r="F522" s="40"/>
      <c r="G522" s="4"/>
      <c r="H522" s="4"/>
      <c r="I522" s="4"/>
      <c r="J522" s="4"/>
      <c r="L522" s="44"/>
    </row>
    <row r="523" spans="1:12" ht="15.75">
      <c r="A523" s="3"/>
      <c r="B523" s="161"/>
      <c r="C523" s="3"/>
      <c r="D523" s="4"/>
      <c r="E523" s="4"/>
      <c r="F523" s="40"/>
      <c r="G523" s="4"/>
      <c r="H523" s="4"/>
      <c r="I523" s="4"/>
      <c r="J523" s="4"/>
      <c r="L523" s="44"/>
    </row>
    <row r="524" spans="1:12" ht="15.75">
      <c r="A524" s="3"/>
      <c r="B524" s="161"/>
      <c r="C524" s="3"/>
      <c r="D524" s="4"/>
      <c r="E524" s="4"/>
      <c r="F524" s="40"/>
      <c r="G524" s="4"/>
      <c r="H524" s="4"/>
      <c r="I524" s="4"/>
      <c r="J524" s="4"/>
      <c r="L524" s="44"/>
    </row>
    <row r="525" spans="1:12" ht="15.75">
      <c r="A525" s="3"/>
      <c r="B525" s="161"/>
      <c r="C525" s="3"/>
      <c r="D525" s="4"/>
      <c r="E525" s="4"/>
      <c r="F525" s="40"/>
      <c r="G525" s="4"/>
      <c r="H525" s="4"/>
      <c r="I525" s="4"/>
      <c r="J525" s="4"/>
      <c r="L525" s="44"/>
    </row>
    <row r="526" spans="1:12" ht="15.75">
      <c r="A526" s="3"/>
      <c r="B526" s="161"/>
      <c r="C526" s="3"/>
      <c r="D526" s="4"/>
      <c r="E526" s="4"/>
      <c r="F526" s="40"/>
      <c r="G526" s="4"/>
      <c r="H526" s="4"/>
      <c r="I526" s="4"/>
      <c r="J526" s="4"/>
      <c r="L526" s="44"/>
    </row>
    <row r="527" spans="1:12" ht="15.75">
      <c r="A527" s="3"/>
      <c r="B527" s="161"/>
      <c r="C527" s="3"/>
      <c r="D527" s="4"/>
      <c r="E527" s="4"/>
      <c r="F527" s="40"/>
      <c r="G527" s="4"/>
      <c r="H527" s="4"/>
      <c r="I527" s="4"/>
      <c r="J527" s="4"/>
      <c r="L527" s="44"/>
    </row>
    <row r="528" spans="1:12" ht="15.75">
      <c r="A528" s="3"/>
      <c r="B528" s="161"/>
      <c r="C528" s="3"/>
      <c r="D528" s="4"/>
      <c r="E528" s="4"/>
      <c r="F528" s="40"/>
      <c r="G528" s="4"/>
      <c r="H528" s="4"/>
      <c r="I528" s="4"/>
      <c r="J528" s="4"/>
      <c r="L528" s="44"/>
    </row>
    <row r="529" spans="1:12" ht="15.75">
      <c r="A529" s="3"/>
      <c r="B529" s="161"/>
      <c r="C529" s="3"/>
      <c r="D529" s="4"/>
      <c r="E529" s="4"/>
      <c r="F529" s="40"/>
      <c r="G529" s="4"/>
      <c r="H529" s="4"/>
      <c r="I529" s="4"/>
      <c r="J529" s="4"/>
      <c r="L529" s="44"/>
    </row>
    <row r="530" spans="1:12" ht="15.75">
      <c r="A530" s="3"/>
      <c r="B530" s="161"/>
      <c r="C530" s="3"/>
      <c r="D530" s="4"/>
      <c r="E530" s="4"/>
      <c r="F530" s="40"/>
      <c r="G530" s="4"/>
      <c r="H530" s="4"/>
      <c r="I530" s="4"/>
      <c r="J530" s="4"/>
      <c r="L530" s="44"/>
    </row>
    <row r="531" spans="1:12" ht="15.75">
      <c r="A531" s="3"/>
      <c r="B531" s="161"/>
      <c r="C531" s="3"/>
      <c r="D531" s="4"/>
      <c r="E531" s="4"/>
      <c r="F531" s="40"/>
      <c r="G531" s="4"/>
      <c r="H531" s="4"/>
      <c r="I531" s="4"/>
      <c r="J531" s="4"/>
      <c r="L531" s="44"/>
    </row>
    <row r="532" spans="1:12" ht="15.75">
      <c r="A532" s="3"/>
      <c r="B532" s="161"/>
      <c r="C532" s="3"/>
      <c r="D532" s="4"/>
      <c r="E532" s="4"/>
      <c r="F532" s="40"/>
      <c r="G532" s="4"/>
      <c r="H532" s="4"/>
      <c r="I532" s="4"/>
      <c r="J532" s="4"/>
      <c r="L532" s="44"/>
    </row>
    <row r="533" spans="1:12" ht="15.75">
      <c r="A533" s="3"/>
      <c r="B533" s="161"/>
      <c r="C533" s="3"/>
      <c r="D533" s="4"/>
      <c r="E533" s="4"/>
      <c r="F533" s="40"/>
      <c r="G533" s="4"/>
      <c r="H533" s="4"/>
      <c r="I533" s="4"/>
      <c r="J533" s="4"/>
      <c r="L533" s="44"/>
    </row>
    <row r="534" spans="1:12" ht="15.75">
      <c r="A534" s="3"/>
      <c r="B534" s="161"/>
      <c r="C534" s="3"/>
      <c r="D534" s="4"/>
      <c r="E534" s="4"/>
      <c r="F534" s="40"/>
      <c r="G534" s="4"/>
      <c r="H534" s="4"/>
      <c r="I534" s="4"/>
      <c r="J534" s="4"/>
      <c r="L534" s="44"/>
    </row>
    <row r="535" spans="1:12" ht="15.75">
      <c r="A535" s="3"/>
      <c r="B535" s="161"/>
      <c r="C535" s="3"/>
      <c r="D535" s="4"/>
      <c r="E535" s="4"/>
      <c r="F535" s="40"/>
      <c r="G535" s="4"/>
      <c r="H535" s="4"/>
      <c r="I535" s="4"/>
      <c r="J535" s="4"/>
      <c r="L535" s="44"/>
    </row>
    <row r="536" spans="1:12" ht="15.75">
      <c r="A536" s="3"/>
      <c r="B536" s="161"/>
      <c r="C536" s="3"/>
      <c r="D536" s="4"/>
      <c r="E536" s="4"/>
      <c r="F536" s="40"/>
      <c r="G536" s="4"/>
      <c r="H536" s="4"/>
      <c r="I536" s="4"/>
      <c r="J536" s="4"/>
      <c r="L536" s="44"/>
    </row>
    <row r="537" spans="1:12" ht="15.75">
      <c r="A537" s="3"/>
      <c r="B537" s="161"/>
      <c r="C537" s="3"/>
      <c r="D537" s="4"/>
      <c r="E537" s="4"/>
      <c r="F537" s="40"/>
      <c r="G537" s="4"/>
      <c r="H537" s="4"/>
      <c r="I537" s="4"/>
      <c r="J537" s="4"/>
      <c r="L537" s="44"/>
    </row>
    <row r="538" spans="1:12" ht="15.75">
      <c r="A538" s="3"/>
      <c r="B538" s="161"/>
      <c r="C538" s="3"/>
      <c r="D538" s="4"/>
      <c r="E538" s="4"/>
      <c r="F538" s="40"/>
      <c r="G538" s="4"/>
      <c r="H538" s="4"/>
      <c r="I538" s="4"/>
      <c r="J538" s="4"/>
      <c r="L538" s="44"/>
    </row>
    <row r="539" spans="1:12" ht="15.75">
      <c r="A539" s="3"/>
      <c r="B539" s="161"/>
      <c r="C539" s="3"/>
      <c r="D539" s="4"/>
      <c r="E539" s="4"/>
      <c r="F539" s="40"/>
      <c r="G539" s="4"/>
      <c r="H539" s="4"/>
      <c r="I539" s="4"/>
      <c r="J539" s="4"/>
      <c r="L539" s="44"/>
    </row>
    <row r="540" spans="1:12" ht="15.75">
      <c r="A540" s="3"/>
      <c r="B540" s="161"/>
      <c r="C540" s="3"/>
      <c r="D540" s="4"/>
      <c r="E540" s="4"/>
      <c r="F540" s="40"/>
      <c r="G540" s="4"/>
      <c r="H540" s="4"/>
      <c r="I540" s="4"/>
      <c r="J540" s="4"/>
      <c r="L540" s="44"/>
    </row>
    <row r="541" spans="1:12" ht="15.75">
      <c r="A541" s="3"/>
      <c r="B541" s="161"/>
      <c r="C541" s="3"/>
      <c r="D541" s="4"/>
      <c r="E541" s="4"/>
      <c r="F541" s="40"/>
      <c r="G541" s="4"/>
      <c r="H541" s="4"/>
      <c r="I541" s="4"/>
      <c r="J541" s="4"/>
      <c r="L541" s="44"/>
    </row>
    <row r="542" spans="1:12" ht="15.75">
      <c r="A542" s="3"/>
      <c r="B542" s="161"/>
      <c r="C542" s="3"/>
      <c r="D542" s="4"/>
      <c r="E542" s="4"/>
      <c r="F542" s="40"/>
      <c r="G542" s="4"/>
      <c r="H542" s="4"/>
      <c r="I542" s="4"/>
      <c r="J542" s="4"/>
      <c r="L542" s="44"/>
    </row>
    <row r="543" spans="1:12" ht="15.75">
      <c r="A543" s="3"/>
      <c r="B543" s="161"/>
      <c r="C543" s="3"/>
      <c r="D543" s="4"/>
      <c r="E543" s="4"/>
      <c r="F543" s="40"/>
      <c r="G543" s="4"/>
      <c r="H543" s="4"/>
      <c r="I543" s="4"/>
      <c r="J543" s="4"/>
      <c r="L543" s="44"/>
    </row>
    <row r="544" spans="1:12" ht="15.75">
      <c r="A544" s="3"/>
      <c r="B544" s="161"/>
      <c r="C544" s="3"/>
      <c r="D544" s="4"/>
      <c r="E544" s="4"/>
      <c r="F544" s="40"/>
      <c r="G544" s="4"/>
      <c r="H544" s="4"/>
      <c r="I544" s="4"/>
      <c r="J544" s="4"/>
      <c r="L544" s="44"/>
    </row>
    <row r="545" spans="1:12" ht="15.75">
      <c r="A545" s="3"/>
      <c r="B545" s="161"/>
      <c r="C545" s="3"/>
      <c r="D545" s="4"/>
      <c r="E545" s="4"/>
      <c r="F545" s="40"/>
      <c r="G545" s="4"/>
      <c r="H545" s="4"/>
      <c r="I545" s="4"/>
      <c r="J545" s="4"/>
      <c r="L545" s="44"/>
    </row>
    <row r="546" spans="1:12" ht="15.75">
      <c r="A546" s="3"/>
      <c r="B546" s="161"/>
      <c r="C546" s="3"/>
      <c r="D546" s="4"/>
      <c r="E546" s="4"/>
      <c r="F546" s="40"/>
      <c r="G546" s="4"/>
      <c r="H546" s="4"/>
      <c r="I546" s="4"/>
      <c r="J546" s="4"/>
      <c r="L546" s="44"/>
    </row>
    <row r="547" spans="1:12" ht="15.75">
      <c r="A547" s="3"/>
      <c r="B547" s="161"/>
      <c r="C547" s="3"/>
      <c r="D547" s="4"/>
      <c r="E547" s="4"/>
      <c r="F547" s="40"/>
      <c r="G547" s="4"/>
      <c r="H547" s="4"/>
      <c r="I547" s="4"/>
      <c r="J547" s="4"/>
      <c r="L547" s="44"/>
    </row>
    <row r="548" spans="1:12" ht="15.75">
      <c r="A548" s="3"/>
      <c r="B548" s="161"/>
      <c r="C548" s="3"/>
      <c r="D548" s="4"/>
      <c r="E548" s="4"/>
      <c r="F548" s="40"/>
      <c r="G548" s="4"/>
      <c r="H548" s="4"/>
      <c r="I548" s="4"/>
      <c r="J548" s="4"/>
      <c r="L548" s="44"/>
    </row>
    <row r="549" spans="1:12" ht="15.75">
      <c r="A549" s="3"/>
      <c r="B549" s="161"/>
      <c r="C549" s="3"/>
      <c r="D549" s="4"/>
      <c r="E549" s="4"/>
      <c r="F549" s="40"/>
      <c r="G549" s="4"/>
      <c r="H549" s="4"/>
      <c r="I549" s="4"/>
      <c r="J549" s="4"/>
      <c r="L549" s="44"/>
    </row>
    <row r="550" spans="1:12" ht="15.75">
      <c r="A550" s="3"/>
      <c r="B550" s="161"/>
      <c r="C550" s="3"/>
      <c r="D550" s="4"/>
      <c r="E550" s="4"/>
      <c r="F550" s="40"/>
      <c r="G550" s="4"/>
      <c r="H550" s="4"/>
      <c r="I550" s="4"/>
      <c r="J550" s="4"/>
      <c r="L550" s="44"/>
    </row>
    <row r="551" spans="1:12" ht="15.75">
      <c r="A551" s="3"/>
      <c r="B551" s="161"/>
      <c r="C551" s="3"/>
      <c r="D551" s="4"/>
      <c r="E551" s="4"/>
      <c r="F551" s="40"/>
      <c r="G551" s="4"/>
      <c r="H551" s="4"/>
      <c r="I551" s="4"/>
      <c r="J551" s="4"/>
      <c r="L551" s="44"/>
    </row>
    <row r="552" spans="1:12" ht="15.75">
      <c r="A552" s="3"/>
      <c r="B552" s="161"/>
      <c r="C552" s="3"/>
      <c r="D552" s="4"/>
      <c r="E552" s="4"/>
      <c r="F552" s="40"/>
      <c r="G552" s="4"/>
      <c r="H552" s="4"/>
      <c r="I552" s="4"/>
      <c r="J552" s="4"/>
      <c r="L552" s="44"/>
    </row>
    <row r="553" spans="1:12" ht="15.75">
      <c r="A553" s="3"/>
      <c r="B553" s="161"/>
      <c r="C553" s="3"/>
      <c r="D553" s="4"/>
      <c r="E553" s="4"/>
      <c r="F553" s="40"/>
      <c r="G553" s="4"/>
      <c r="H553" s="4"/>
      <c r="I553" s="4"/>
      <c r="J553" s="4"/>
      <c r="L553" s="44"/>
    </row>
    <row r="554" spans="1:12" ht="15.75">
      <c r="A554" s="3"/>
      <c r="B554" s="161"/>
      <c r="C554" s="3"/>
      <c r="D554" s="4"/>
      <c r="E554" s="4"/>
      <c r="F554" s="40"/>
      <c r="G554" s="4"/>
      <c r="H554" s="4"/>
      <c r="I554" s="4"/>
      <c r="J554" s="4"/>
      <c r="L554" s="44"/>
    </row>
    <row r="555" spans="1:12" ht="15.75">
      <c r="A555" s="3"/>
      <c r="B555" s="161"/>
      <c r="C555" s="3"/>
      <c r="D555" s="4"/>
      <c r="E555" s="4"/>
      <c r="F555" s="40"/>
      <c r="G555" s="4"/>
      <c r="H555" s="4"/>
      <c r="I555" s="4"/>
      <c r="J555" s="4"/>
      <c r="L555" s="44"/>
    </row>
    <row r="556" spans="1:12" ht="15.75">
      <c r="A556" s="3"/>
      <c r="B556" s="161"/>
      <c r="C556" s="3"/>
      <c r="D556" s="4"/>
      <c r="E556" s="4"/>
      <c r="F556" s="40"/>
      <c r="G556" s="4"/>
      <c r="H556" s="4"/>
      <c r="I556" s="4"/>
      <c r="J556" s="4"/>
      <c r="L556" s="44"/>
    </row>
    <row r="557" spans="1:12" ht="15.75">
      <c r="A557" s="3"/>
      <c r="B557" s="161"/>
      <c r="C557" s="3"/>
      <c r="D557" s="4"/>
      <c r="E557" s="4"/>
      <c r="F557" s="40"/>
      <c r="G557" s="4"/>
      <c r="H557" s="4"/>
      <c r="I557" s="4"/>
      <c r="J557" s="4"/>
      <c r="L557" s="44"/>
    </row>
    <row r="558" spans="1:12" ht="15.75">
      <c r="A558" s="3"/>
      <c r="B558" s="161"/>
      <c r="C558" s="3"/>
      <c r="D558" s="4"/>
      <c r="E558" s="4"/>
      <c r="F558" s="40"/>
      <c r="G558" s="4"/>
      <c r="H558" s="4"/>
      <c r="I558" s="4"/>
      <c r="J558" s="4"/>
      <c r="L558" s="44"/>
    </row>
    <row r="559" spans="1:12" ht="15.75">
      <c r="A559" s="3"/>
      <c r="B559" s="161"/>
      <c r="C559" s="3"/>
      <c r="D559" s="4"/>
      <c r="E559" s="4"/>
      <c r="F559" s="40"/>
      <c r="G559" s="4"/>
      <c r="H559" s="4"/>
      <c r="I559" s="4"/>
      <c r="J559" s="4"/>
      <c r="L559" s="44"/>
    </row>
    <row r="560" spans="1:12" ht="15.75">
      <c r="A560" s="3"/>
      <c r="B560" s="161"/>
      <c r="C560" s="3"/>
      <c r="D560" s="4"/>
      <c r="E560" s="4"/>
      <c r="F560" s="40"/>
      <c r="G560" s="4"/>
      <c r="H560" s="4"/>
      <c r="I560" s="4"/>
      <c r="J560" s="4"/>
      <c r="L560" s="44"/>
    </row>
    <row r="561" spans="1:12" ht="15.75">
      <c r="A561" s="3"/>
      <c r="B561" s="161"/>
      <c r="C561" s="3"/>
      <c r="D561" s="4"/>
      <c r="E561" s="4"/>
      <c r="F561" s="40"/>
      <c r="G561" s="4"/>
      <c r="H561" s="4"/>
      <c r="I561" s="4"/>
      <c r="J561" s="4"/>
      <c r="L561" s="44"/>
    </row>
    <row r="562" spans="1:12" ht="15.75">
      <c r="A562" s="3"/>
      <c r="B562" s="161"/>
      <c r="C562" s="3"/>
      <c r="D562" s="4"/>
      <c r="E562" s="4"/>
      <c r="F562" s="40"/>
      <c r="G562" s="4"/>
      <c r="H562" s="4"/>
      <c r="I562" s="4"/>
      <c r="J562" s="4"/>
      <c r="L562" s="44"/>
    </row>
    <row r="563" spans="1:12" ht="15.75">
      <c r="A563" s="3"/>
      <c r="B563" s="161"/>
      <c r="C563" s="3"/>
      <c r="D563" s="4"/>
      <c r="E563" s="4"/>
      <c r="F563" s="40"/>
      <c r="G563" s="4"/>
      <c r="H563" s="4"/>
      <c r="I563" s="4"/>
      <c r="J563" s="4"/>
      <c r="L563" s="44"/>
    </row>
    <row r="564" spans="1:12" ht="15.75">
      <c r="A564" s="3"/>
      <c r="B564" s="161"/>
      <c r="C564" s="3"/>
      <c r="D564" s="4"/>
      <c r="E564" s="4"/>
      <c r="F564" s="40"/>
      <c r="G564" s="4"/>
      <c r="H564" s="4"/>
      <c r="I564" s="4"/>
      <c r="J564" s="4"/>
      <c r="L564" s="44"/>
    </row>
    <row r="565" spans="1:12" ht="15.75">
      <c r="A565" s="3"/>
      <c r="B565" s="161"/>
      <c r="C565" s="3"/>
      <c r="D565" s="4"/>
      <c r="E565" s="4"/>
      <c r="F565" s="40"/>
      <c r="G565" s="4"/>
      <c r="H565" s="4"/>
      <c r="I565" s="4"/>
      <c r="J565" s="4"/>
      <c r="L565" s="44"/>
    </row>
    <row r="566" spans="1:12" ht="15.75">
      <c r="A566" s="3"/>
      <c r="B566" s="161"/>
      <c r="C566" s="3"/>
      <c r="D566" s="4"/>
      <c r="E566" s="4"/>
      <c r="F566" s="40"/>
      <c r="G566" s="4"/>
      <c r="H566" s="4"/>
      <c r="I566" s="4"/>
      <c r="J566" s="4"/>
      <c r="L566" s="44"/>
    </row>
    <row r="567" spans="1:12" ht="15.75">
      <c r="A567" s="3"/>
      <c r="B567" s="161"/>
      <c r="C567" s="3"/>
      <c r="D567" s="4"/>
      <c r="E567" s="4"/>
      <c r="F567" s="40"/>
      <c r="G567" s="4"/>
      <c r="H567" s="4"/>
      <c r="I567" s="4"/>
      <c r="J567" s="4"/>
      <c r="L567" s="44"/>
    </row>
    <row r="568" spans="1:12" ht="15.75">
      <c r="A568" s="3"/>
      <c r="B568" s="161"/>
      <c r="C568" s="3"/>
      <c r="D568" s="4"/>
      <c r="E568" s="4"/>
      <c r="F568" s="40"/>
      <c r="G568" s="4"/>
      <c r="H568" s="4"/>
      <c r="I568" s="4"/>
      <c r="J568" s="4"/>
      <c r="L568" s="44"/>
    </row>
    <row r="569" spans="1:12" ht="15.75">
      <c r="A569" s="3"/>
      <c r="B569" s="161"/>
      <c r="C569" s="3"/>
      <c r="D569" s="4"/>
      <c r="E569" s="4"/>
      <c r="F569" s="40"/>
      <c r="G569" s="4"/>
      <c r="H569" s="4"/>
      <c r="I569" s="4"/>
      <c r="J569" s="4"/>
      <c r="L569" s="44"/>
    </row>
    <row r="570" spans="1:12" ht="15.75">
      <c r="A570" s="3"/>
      <c r="B570" s="161"/>
      <c r="C570" s="3"/>
      <c r="D570" s="4"/>
      <c r="E570" s="4"/>
      <c r="F570" s="40"/>
      <c r="G570" s="4"/>
      <c r="H570" s="4"/>
      <c r="I570" s="4"/>
      <c r="J570" s="4"/>
      <c r="L570" s="44"/>
    </row>
    <row r="571" spans="1:12" ht="15.75">
      <c r="A571" s="3"/>
      <c r="B571" s="161"/>
      <c r="C571" s="3"/>
      <c r="D571" s="4"/>
      <c r="E571" s="4"/>
      <c r="F571" s="40"/>
      <c r="G571" s="4"/>
      <c r="H571" s="4"/>
      <c r="I571" s="4"/>
      <c r="J571" s="4"/>
      <c r="L571" s="44"/>
    </row>
    <row r="572" spans="1:12" ht="15.75">
      <c r="A572" s="3"/>
      <c r="B572" s="161"/>
      <c r="C572" s="3"/>
      <c r="D572" s="4"/>
      <c r="E572" s="4"/>
      <c r="F572" s="40"/>
      <c r="G572" s="4"/>
      <c r="H572" s="4"/>
      <c r="I572" s="4"/>
      <c r="J572" s="4"/>
      <c r="L572" s="44"/>
    </row>
    <row r="573" spans="1:12" ht="15.75">
      <c r="A573" s="3"/>
      <c r="B573" s="161"/>
      <c r="C573" s="3"/>
      <c r="D573" s="4"/>
      <c r="E573" s="4"/>
      <c r="F573" s="40"/>
      <c r="G573" s="4"/>
      <c r="H573" s="4"/>
      <c r="I573" s="4"/>
      <c r="J573" s="4"/>
      <c r="L573" s="44"/>
    </row>
    <row r="574" spans="1:12" ht="15.75">
      <c r="A574" s="3"/>
      <c r="B574" s="161"/>
      <c r="C574" s="3"/>
      <c r="D574" s="4"/>
      <c r="E574" s="4"/>
      <c r="F574" s="40"/>
      <c r="G574" s="4"/>
      <c r="H574" s="4"/>
      <c r="I574" s="4"/>
      <c r="J574" s="4"/>
      <c r="L574" s="44"/>
    </row>
    <row r="575" spans="1:12" ht="15.75">
      <c r="A575" s="3"/>
      <c r="B575" s="161"/>
      <c r="C575" s="3"/>
      <c r="D575" s="4"/>
      <c r="E575" s="4"/>
      <c r="F575" s="40"/>
      <c r="G575" s="4"/>
      <c r="H575" s="4"/>
      <c r="I575" s="4"/>
      <c r="J575" s="4"/>
      <c r="L575" s="44"/>
    </row>
    <row r="576" spans="1:12" ht="15.75">
      <c r="A576" s="3"/>
      <c r="B576" s="161"/>
      <c r="C576" s="3"/>
      <c r="D576" s="4"/>
      <c r="E576" s="4"/>
      <c r="F576" s="40"/>
      <c r="G576" s="4"/>
      <c r="H576" s="4"/>
      <c r="I576" s="4"/>
      <c r="J576" s="4"/>
      <c r="L576" s="44"/>
    </row>
    <row r="577" spans="1:12" ht="15.75">
      <c r="A577" s="3"/>
      <c r="B577" s="161"/>
      <c r="C577" s="3"/>
      <c r="D577" s="4"/>
      <c r="E577" s="4"/>
      <c r="F577" s="40"/>
      <c r="G577" s="4"/>
      <c r="H577" s="4"/>
      <c r="I577" s="4"/>
      <c r="J577" s="4"/>
      <c r="L577" s="44"/>
    </row>
    <row r="578" spans="1:12" ht="15.75">
      <c r="A578" s="3"/>
      <c r="B578" s="161"/>
      <c r="C578" s="3"/>
      <c r="D578" s="4"/>
      <c r="E578" s="4"/>
      <c r="F578" s="40"/>
      <c r="G578" s="4"/>
      <c r="H578" s="4"/>
      <c r="I578" s="4"/>
      <c r="J578" s="4"/>
      <c r="L578" s="44"/>
    </row>
    <row r="579" spans="1:12" ht="15.75">
      <c r="A579" s="3"/>
      <c r="B579" s="161"/>
      <c r="C579" s="3"/>
      <c r="D579" s="4"/>
      <c r="E579" s="4"/>
      <c r="F579" s="40"/>
      <c r="G579" s="4"/>
      <c r="H579" s="4"/>
      <c r="I579" s="4"/>
      <c r="J579" s="4"/>
      <c r="L579" s="44"/>
    </row>
    <row r="580" spans="1:12" ht="15.75">
      <c r="A580" s="3"/>
      <c r="B580" s="161"/>
      <c r="C580" s="3"/>
      <c r="D580" s="4"/>
      <c r="E580" s="4"/>
      <c r="F580" s="40"/>
      <c r="G580" s="4"/>
      <c r="H580" s="4"/>
      <c r="I580" s="4"/>
      <c r="J580" s="4"/>
      <c r="L580" s="44"/>
    </row>
    <row r="581" spans="1:12" ht="15.75">
      <c r="A581" s="3"/>
      <c r="B581" s="161"/>
      <c r="C581" s="3"/>
      <c r="D581" s="4"/>
      <c r="E581" s="4"/>
      <c r="F581" s="40"/>
      <c r="G581" s="4"/>
      <c r="H581" s="4"/>
      <c r="I581" s="4"/>
      <c r="J581" s="4"/>
      <c r="L581" s="44"/>
    </row>
    <row r="582" spans="1:12" ht="15.75">
      <c r="A582" s="3"/>
      <c r="B582" s="161"/>
      <c r="C582" s="3"/>
      <c r="D582" s="4"/>
      <c r="E582" s="4"/>
      <c r="F582" s="40"/>
      <c r="G582" s="4"/>
      <c r="H582" s="4"/>
      <c r="I582" s="4"/>
      <c r="J582" s="4"/>
      <c r="L582" s="44"/>
    </row>
    <row r="583" spans="1:12" ht="15.75">
      <c r="A583" s="3"/>
      <c r="B583" s="161"/>
      <c r="C583" s="3"/>
      <c r="D583" s="4"/>
      <c r="E583" s="4"/>
      <c r="F583" s="40"/>
      <c r="G583" s="4"/>
      <c r="H583" s="4"/>
      <c r="I583" s="4"/>
      <c r="J583" s="4"/>
      <c r="L583" s="44"/>
    </row>
    <row r="584" spans="1:12" ht="15.75">
      <c r="A584" s="3"/>
      <c r="B584" s="161"/>
      <c r="C584" s="3"/>
      <c r="D584" s="4"/>
      <c r="E584" s="4"/>
      <c r="F584" s="40"/>
      <c r="G584" s="4"/>
      <c r="H584" s="4"/>
      <c r="I584" s="4"/>
      <c r="J584" s="4"/>
      <c r="L584" s="44"/>
    </row>
    <row r="585" spans="1:12" ht="15.75">
      <c r="A585" s="3"/>
      <c r="B585" s="161"/>
      <c r="C585" s="3"/>
      <c r="D585" s="4"/>
      <c r="E585" s="4"/>
      <c r="F585" s="40"/>
      <c r="G585" s="4"/>
      <c r="H585" s="4"/>
      <c r="I585" s="4"/>
      <c r="J585" s="4"/>
      <c r="L585" s="44"/>
    </row>
    <row r="586" spans="1:12" ht="15.75">
      <c r="A586" s="3"/>
      <c r="B586" s="161"/>
      <c r="C586" s="3"/>
      <c r="D586" s="4"/>
      <c r="E586" s="4"/>
      <c r="F586" s="40"/>
      <c r="G586" s="4"/>
      <c r="H586" s="4"/>
      <c r="I586" s="4"/>
      <c r="J586" s="4"/>
      <c r="L586" s="44"/>
    </row>
    <row r="587" spans="1:12" ht="15.75">
      <c r="A587" s="3"/>
      <c r="B587" s="161"/>
      <c r="C587" s="3"/>
      <c r="D587" s="4"/>
      <c r="E587" s="4"/>
      <c r="F587" s="40"/>
      <c r="G587" s="4"/>
      <c r="H587" s="4"/>
      <c r="I587" s="4"/>
      <c r="J587" s="4"/>
      <c r="L587" s="44"/>
    </row>
    <row r="588" spans="1:12" ht="15.75">
      <c r="A588" s="3"/>
      <c r="B588" s="161"/>
      <c r="C588" s="3"/>
      <c r="D588" s="4"/>
      <c r="E588" s="4"/>
      <c r="F588" s="40"/>
      <c r="G588" s="4"/>
      <c r="H588" s="4"/>
      <c r="I588" s="4"/>
      <c r="J588" s="4"/>
      <c r="L588" s="44"/>
    </row>
    <row r="589" spans="1:12" ht="15.75">
      <c r="A589" s="3"/>
      <c r="B589" s="161"/>
      <c r="C589" s="3"/>
      <c r="D589" s="4"/>
      <c r="E589" s="4"/>
      <c r="F589" s="40"/>
      <c r="G589" s="4"/>
      <c r="H589" s="4"/>
      <c r="I589" s="4"/>
      <c r="J589" s="4"/>
      <c r="L589" s="44"/>
    </row>
    <row r="590" spans="1:12" ht="15.75">
      <c r="A590" s="3"/>
      <c r="B590" s="161"/>
      <c r="C590" s="3"/>
      <c r="D590" s="4"/>
      <c r="E590" s="4"/>
      <c r="F590" s="40"/>
      <c r="G590" s="4"/>
      <c r="H590" s="4"/>
      <c r="I590" s="4"/>
      <c r="J590" s="4"/>
      <c r="L590" s="44"/>
    </row>
    <row r="591" spans="1:12" ht="15.75">
      <c r="A591" s="3"/>
      <c r="B591" s="161"/>
      <c r="C591" s="3"/>
      <c r="D591" s="4"/>
      <c r="E591" s="4"/>
      <c r="F591" s="40"/>
      <c r="G591" s="4"/>
      <c r="H591" s="4"/>
      <c r="I591" s="4"/>
      <c r="J591" s="4"/>
      <c r="L591" s="44"/>
    </row>
    <row r="592" spans="1:12" ht="15.75">
      <c r="A592" s="3"/>
      <c r="B592" s="161"/>
      <c r="C592" s="3"/>
      <c r="D592" s="4"/>
      <c r="E592" s="4"/>
      <c r="F592" s="40"/>
      <c r="G592" s="4"/>
      <c r="H592" s="4"/>
      <c r="I592" s="4"/>
      <c r="J592" s="4"/>
      <c r="L592" s="44"/>
    </row>
    <row r="593" spans="1:12" ht="15.75">
      <c r="A593" s="3"/>
      <c r="B593" s="161"/>
      <c r="C593" s="3"/>
      <c r="D593" s="4"/>
      <c r="E593" s="4"/>
      <c r="F593" s="40"/>
      <c r="G593" s="4"/>
      <c r="H593" s="4"/>
      <c r="I593" s="4"/>
      <c r="J593" s="4"/>
      <c r="L593" s="44"/>
    </row>
    <row r="594" spans="1:12" ht="15.75">
      <c r="A594" s="3"/>
      <c r="B594" s="161"/>
      <c r="C594" s="3"/>
      <c r="D594" s="4"/>
      <c r="E594" s="4"/>
      <c r="F594" s="40"/>
      <c r="G594" s="4"/>
      <c r="H594" s="4"/>
      <c r="I594" s="4"/>
      <c r="J594" s="4"/>
      <c r="L594" s="44"/>
    </row>
    <row r="595" spans="1:12" ht="15.75">
      <c r="A595" s="3"/>
      <c r="B595" s="161"/>
      <c r="C595" s="3"/>
      <c r="D595" s="4"/>
      <c r="E595" s="4"/>
      <c r="F595" s="40"/>
      <c r="G595" s="4"/>
      <c r="H595" s="4"/>
      <c r="I595" s="4"/>
      <c r="J595" s="4"/>
      <c r="L595" s="44"/>
    </row>
    <row r="596" spans="1:12" ht="15.75">
      <c r="A596" s="3"/>
      <c r="B596" s="161"/>
      <c r="C596" s="3"/>
      <c r="D596" s="4"/>
      <c r="E596" s="4"/>
      <c r="F596" s="40"/>
      <c r="G596" s="4"/>
      <c r="H596" s="4"/>
      <c r="I596" s="4"/>
      <c r="J596" s="4"/>
      <c r="L596" s="44"/>
    </row>
    <row r="597" spans="1:12" ht="15.75">
      <c r="A597" s="3"/>
      <c r="B597" s="161"/>
      <c r="C597" s="3"/>
      <c r="D597" s="4"/>
      <c r="E597" s="4"/>
      <c r="F597" s="40"/>
      <c r="G597" s="4"/>
      <c r="H597" s="4"/>
      <c r="I597" s="4"/>
      <c r="J597" s="4"/>
      <c r="L597" s="44"/>
    </row>
    <row r="598" spans="1:12" ht="15.75">
      <c r="A598" s="3"/>
      <c r="B598" s="161"/>
      <c r="C598" s="3"/>
      <c r="D598" s="4"/>
      <c r="E598" s="4"/>
      <c r="F598" s="40"/>
      <c r="G598" s="4"/>
      <c r="H598" s="4"/>
      <c r="I598" s="4"/>
      <c r="J598" s="4"/>
      <c r="L598" s="44"/>
    </row>
    <row r="599" spans="1:12" ht="15.75">
      <c r="A599" s="3"/>
      <c r="B599" s="161"/>
      <c r="C599" s="3"/>
      <c r="D599" s="4"/>
      <c r="E599" s="4"/>
      <c r="F599" s="40"/>
      <c r="G599" s="4"/>
      <c r="H599" s="4"/>
      <c r="I599" s="4"/>
      <c r="J599" s="4"/>
      <c r="L599" s="44"/>
    </row>
    <row r="600" spans="1:12" ht="15.75">
      <c r="A600" s="3"/>
      <c r="B600" s="161"/>
      <c r="C600" s="3"/>
      <c r="D600" s="4"/>
      <c r="E600" s="4"/>
      <c r="F600" s="40"/>
      <c r="G600" s="4"/>
      <c r="H600" s="4"/>
      <c r="I600" s="4"/>
      <c r="J600" s="4"/>
      <c r="L600" s="44"/>
    </row>
    <row r="601" spans="1:12" ht="15.75">
      <c r="A601" s="3"/>
      <c r="B601" s="161"/>
      <c r="C601" s="3"/>
      <c r="D601" s="4"/>
      <c r="E601" s="4"/>
      <c r="F601" s="40"/>
      <c r="G601" s="4"/>
      <c r="H601" s="4"/>
      <c r="I601" s="4"/>
      <c r="J601" s="4"/>
      <c r="L601" s="44"/>
    </row>
    <row r="602" spans="1:12" ht="15.75">
      <c r="A602" s="3"/>
      <c r="B602" s="161"/>
      <c r="C602" s="3"/>
      <c r="D602" s="4"/>
      <c r="E602" s="4"/>
      <c r="F602" s="40"/>
      <c r="G602" s="4"/>
      <c r="H602" s="4"/>
      <c r="I602" s="4"/>
      <c r="J602" s="4"/>
      <c r="L602" s="44"/>
    </row>
    <row r="603" spans="1:12" ht="15.75">
      <c r="A603" s="3"/>
      <c r="B603" s="161"/>
      <c r="C603" s="3"/>
      <c r="D603" s="4"/>
      <c r="E603" s="4"/>
      <c r="F603" s="40"/>
      <c r="G603" s="4"/>
      <c r="H603" s="4"/>
      <c r="I603" s="4"/>
      <c r="J603" s="4"/>
      <c r="L603" s="44"/>
    </row>
    <row r="604" spans="1:12" ht="15.75">
      <c r="A604" s="3"/>
      <c r="B604" s="161"/>
      <c r="C604" s="3"/>
      <c r="D604" s="4"/>
      <c r="E604" s="4"/>
      <c r="F604" s="40"/>
      <c r="G604" s="4"/>
      <c r="H604" s="4"/>
      <c r="I604" s="4"/>
      <c r="J604" s="4"/>
      <c r="L604" s="44"/>
    </row>
    <row r="605" spans="1:12" ht="15.75">
      <c r="A605" s="3"/>
      <c r="B605" s="161"/>
      <c r="C605" s="3"/>
      <c r="D605" s="4"/>
      <c r="E605" s="4"/>
      <c r="F605" s="40"/>
      <c r="G605" s="4"/>
      <c r="H605" s="4"/>
      <c r="I605" s="4"/>
      <c r="J605" s="4"/>
      <c r="L605" s="44"/>
    </row>
    <row r="606" spans="1:12" ht="15.75">
      <c r="A606" s="3"/>
      <c r="B606" s="161"/>
      <c r="C606" s="3"/>
      <c r="D606" s="4"/>
      <c r="E606" s="4"/>
      <c r="F606" s="40"/>
      <c r="G606" s="4"/>
      <c r="H606" s="4"/>
      <c r="I606" s="4"/>
      <c r="J606" s="4"/>
      <c r="L606" s="44"/>
    </row>
    <row r="607" spans="1:12" ht="15.75">
      <c r="A607" s="3"/>
      <c r="B607" s="161"/>
      <c r="C607" s="3"/>
      <c r="D607" s="4"/>
      <c r="E607" s="4"/>
      <c r="F607" s="40"/>
      <c r="G607" s="4"/>
      <c r="H607" s="4"/>
      <c r="I607" s="4"/>
      <c r="J607" s="4"/>
      <c r="L607" s="44"/>
    </row>
    <row r="608" spans="1:12" ht="15.75">
      <c r="A608" s="3"/>
      <c r="B608" s="161"/>
      <c r="C608" s="3"/>
      <c r="D608" s="4"/>
      <c r="E608" s="4"/>
      <c r="F608" s="40"/>
      <c r="G608" s="4"/>
      <c r="H608" s="4"/>
      <c r="I608" s="4"/>
      <c r="J608" s="4"/>
      <c r="L608" s="44"/>
    </row>
    <row r="609" spans="1:12" ht="15.75">
      <c r="A609" s="3"/>
      <c r="B609" s="161"/>
      <c r="C609" s="3"/>
      <c r="D609" s="4"/>
      <c r="E609" s="4"/>
      <c r="F609" s="40"/>
      <c r="G609" s="4"/>
      <c r="H609" s="4"/>
      <c r="I609" s="4"/>
      <c r="J609" s="4"/>
      <c r="L609" s="44"/>
    </row>
    <row r="610" spans="1:12" ht="15.75">
      <c r="A610" s="3"/>
      <c r="B610" s="161"/>
      <c r="C610" s="3"/>
      <c r="D610" s="4"/>
      <c r="E610" s="4"/>
      <c r="F610" s="40"/>
      <c r="G610" s="4"/>
      <c r="H610" s="4"/>
      <c r="I610" s="4"/>
      <c r="J610" s="4"/>
      <c r="L610" s="44"/>
    </row>
    <row r="611" spans="1:12" ht="15.75">
      <c r="A611" s="3"/>
      <c r="B611" s="161"/>
      <c r="C611" s="3"/>
      <c r="D611" s="4"/>
      <c r="E611" s="4"/>
      <c r="F611" s="40"/>
      <c r="G611" s="4"/>
      <c r="H611" s="4"/>
      <c r="I611" s="4"/>
      <c r="J611" s="4"/>
      <c r="L611" s="44"/>
    </row>
    <row r="612" spans="1:12" ht="15.75">
      <c r="A612" s="3"/>
      <c r="B612" s="161"/>
      <c r="C612" s="3"/>
      <c r="D612" s="4"/>
      <c r="E612" s="4"/>
      <c r="F612" s="40"/>
      <c r="G612" s="4"/>
      <c r="H612" s="4"/>
      <c r="I612" s="4"/>
      <c r="J612" s="4"/>
      <c r="L612" s="44"/>
    </row>
    <row r="613" spans="1:12" ht="15.75">
      <c r="A613" s="3"/>
      <c r="B613" s="161"/>
      <c r="C613" s="3"/>
      <c r="D613" s="4"/>
      <c r="E613" s="4"/>
      <c r="F613" s="40"/>
      <c r="G613" s="4"/>
      <c r="H613" s="4"/>
      <c r="I613" s="4"/>
      <c r="J613" s="4"/>
      <c r="L613" s="44"/>
    </row>
    <row r="614" spans="1:12" ht="15.75">
      <c r="A614" s="3"/>
      <c r="B614" s="161"/>
      <c r="C614" s="3"/>
      <c r="D614" s="4"/>
      <c r="E614" s="4"/>
      <c r="F614" s="40"/>
      <c r="G614" s="4"/>
      <c r="H614" s="4"/>
      <c r="I614" s="4"/>
      <c r="J614" s="4"/>
      <c r="L614" s="44"/>
    </row>
    <row r="615" spans="1:12" ht="15.75">
      <c r="A615" s="3"/>
      <c r="B615" s="161"/>
      <c r="C615" s="3"/>
      <c r="D615" s="4"/>
      <c r="E615" s="4"/>
      <c r="F615" s="40"/>
      <c r="G615" s="4"/>
      <c r="H615" s="4"/>
      <c r="I615" s="4"/>
      <c r="J615" s="4"/>
      <c r="L615" s="44"/>
    </row>
    <row r="616" spans="1:12" ht="15.75">
      <c r="A616" s="3"/>
      <c r="B616" s="161"/>
      <c r="C616" s="3"/>
      <c r="D616" s="4"/>
      <c r="E616" s="4"/>
      <c r="F616" s="40"/>
      <c r="G616" s="4"/>
      <c r="H616" s="4"/>
      <c r="I616" s="4"/>
      <c r="J616" s="4"/>
      <c r="L616" s="44"/>
    </row>
    <row r="617" spans="1:12" ht="15.75">
      <c r="A617" s="3"/>
      <c r="B617" s="161"/>
      <c r="C617" s="3"/>
      <c r="D617" s="4"/>
      <c r="E617" s="4"/>
      <c r="F617" s="40"/>
      <c r="G617" s="4"/>
      <c r="H617" s="4"/>
      <c r="I617" s="4"/>
      <c r="J617" s="4"/>
      <c r="L617" s="44"/>
    </row>
    <row r="618" spans="1:12" ht="15.75">
      <c r="A618" s="3"/>
      <c r="B618" s="161"/>
      <c r="C618" s="3"/>
      <c r="D618" s="4"/>
      <c r="E618" s="4"/>
      <c r="F618" s="40"/>
      <c r="G618" s="4"/>
      <c r="H618" s="4"/>
      <c r="I618" s="4"/>
      <c r="J618" s="4"/>
      <c r="L618" s="44"/>
    </row>
    <row r="619" spans="1:12" ht="15.75">
      <c r="A619" s="3"/>
      <c r="B619" s="161"/>
      <c r="C619" s="3"/>
      <c r="D619" s="4"/>
      <c r="E619" s="4"/>
      <c r="F619" s="40"/>
      <c r="G619" s="4"/>
      <c r="H619" s="4"/>
      <c r="I619" s="4"/>
      <c r="J619" s="4"/>
      <c r="L619" s="44"/>
    </row>
    <row r="620" spans="1:12" ht="15.75">
      <c r="A620" s="3"/>
      <c r="B620" s="161"/>
      <c r="C620" s="3"/>
      <c r="D620" s="4"/>
      <c r="E620" s="4"/>
      <c r="F620" s="40"/>
      <c r="G620" s="4"/>
      <c r="H620" s="4"/>
      <c r="I620" s="4"/>
      <c r="J620" s="4"/>
      <c r="L620" s="44"/>
    </row>
    <row r="621" spans="1:12" ht="15.75">
      <c r="A621" s="3"/>
      <c r="B621" s="161"/>
      <c r="C621" s="3"/>
      <c r="D621" s="4"/>
      <c r="E621" s="4"/>
      <c r="F621" s="40"/>
      <c r="G621" s="4"/>
      <c r="H621" s="4"/>
      <c r="I621" s="4"/>
      <c r="J621" s="4"/>
      <c r="L621" s="44"/>
    </row>
    <row r="622" spans="1:12" ht="15.75">
      <c r="A622" s="3"/>
      <c r="B622" s="161"/>
      <c r="C622" s="3"/>
      <c r="D622" s="4"/>
      <c r="E622" s="4"/>
      <c r="F622" s="40"/>
      <c r="G622" s="4"/>
      <c r="H622" s="4"/>
      <c r="I622" s="4"/>
      <c r="J622" s="4"/>
      <c r="L622" s="44"/>
    </row>
    <row r="623" spans="1:12" ht="15.75">
      <c r="A623" s="3"/>
      <c r="B623" s="161"/>
      <c r="C623" s="3"/>
      <c r="D623" s="4"/>
      <c r="E623" s="4"/>
      <c r="F623" s="40"/>
      <c r="G623" s="4"/>
      <c r="H623" s="4"/>
      <c r="I623" s="4"/>
      <c r="J623" s="4"/>
      <c r="L623" s="44"/>
    </row>
    <row r="624" spans="1:12" ht="15.75">
      <c r="A624" s="3"/>
      <c r="B624" s="161"/>
      <c r="C624" s="3"/>
      <c r="D624" s="4"/>
      <c r="E624" s="4"/>
      <c r="F624" s="40"/>
      <c r="G624" s="4"/>
      <c r="H624" s="4"/>
      <c r="I624" s="4"/>
      <c r="J624" s="4"/>
      <c r="L624" s="44"/>
    </row>
    <row r="625" spans="1:12" ht="15.75">
      <c r="A625" s="3"/>
      <c r="B625" s="161"/>
      <c r="C625" s="3"/>
      <c r="D625" s="4"/>
      <c r="E625" s="4"/>
      <c r="F625" s="40"/>
      <c r="G625" s="4"/>
      <c r="H625" s="4"/>
      <c r="I625" s="4"/>
      <c r="J625" s="4"/>
      <c r="L625" s="44"/>
    </row>
    <row r="626" spans="1:12" ht="15.75">
      <c r="A626" s="3"/>
      <c r="B626" s="161"/>
      <c r="C626" s="3"/>
      <c r="D626" s="4"/>
      <c r="E626" s="4"/>
      <c r="F626" s="40"/>
      <c r="G626" s="4"/>
      <c r="H626" s="4"/>
      <c r="I626" s="4"/>
      <c r="J626" s="4"/>
      <c r="L626" s="44"/>
    </row>
    <row r="627" spans="1:12" ht="15.75">
      <c r="A627" s="3"/>
      <c r="B627" s="161"/>
      <c r="C627" s="3"/>
      <c r="D627" s="4"/>
      <c r="E627" s="4"/>
      <c r="F627" s="40"/>
      <c r="G627" s="4"/>
      <c r="H627" s="4"/>
      <c r="I627" s="4"/>
      <c r="J627" s="4"/>
      <c r="L627" s="44"/>
    </row>
    <row r="628" spans="1:12" ht="15.75">
      <c r="A628" s="3"/>
      <c r="B628" s="161"/>
      <c r="C628" s="3"/>
      <c r="D628" s="4"/>
      <c r="E628" s="4"/>
      <c r="F628" s="40"/>
      <c r="G628" s="4"/>
      <c r="H628" s="4"/>
      <c r="I628" s="4"/>
      <c r="J628" s="4"/>
      <c r="L628" s="44"/>
    </row>
    <row r="629" spans="1:12" ht="15.75">
      <c r="A629" s="3"/>
      <c r="B629" s="161"/>
      <c r="C629" s="3"/>
      <c r="D629" s="4"/>
      <c r="E629" s="4"/>
      <c r="F629" s="40"/>
      <c r="G629" s="4"/>
      <c r="H629" s="4"/>
      <c r="I629" s="4"/>
      <c r="J629" s="4"/>
      <c r="L629" s="44"/>
    </row>
    <row r="630" spans="1:12" ht="15.75">
      <c r="A630" s="3"/>
      <c r="B630" s="161"/>
      <c r="C630" s="3"/>
      <c r="D630" s="4"/>
      <c r="E630" s="4"/>
      <c r="F630" s="40"/>
      <c r="G630" s="4"/>
      <c r="H630" s="4"/>
      <c r="I630" s="4"/>
      <c r="J630" s="4"/>
      <c r="L630" s="44"/>
    </row>
    <row r="631" spans="1:12" ht="15.75">
      <c r="A631" s="3"/>
      <c r="B631" s="161"/>
      <c r="C631" s="3"/>
      <c r="D631" s="4"/>
      <c r="E631" s="4"/>
      <c r="F631" s="40"/>
      <c r="G631" s="4"/>
      <c r="H631" s="4"/>
      <c r="I631" s="4"/>
      <c r="J631" s="4"/>
      <c r="L631" s="44"/>
    </row>
    <row r="632" spans="1:12" ht="15.75">
      <c r="A632" s="3"/>
      <c r="B632" s="161"/>
      <c r="C632" s="3"/>
      <c r="D632" s="4"/>
      <c r="E632" s="4"/>
      <c r="F632" s="40"/>
      <c r="G632" s="4"/>
      <c r="H632" s="4"/>
      <c r="I632" s="4"/>
      <c r="J632" s="4"/>
      <c r="L632" s="44"/>
    </row>
    <row r="633" spans="1:12" ht="15.75">
      <c r="A633" s="3"/>
      <c r="B633" s="161"/>
      <c r="C633" s="3"/>
      <c r="D633" s="4"/>
      <c r="E633" s="4"/>
      <c r="F633" s="40"/>
      <c r="G633" s="4"/>
      <c r="H633" s="4"/>
      <c r="I633" s="4"/>
      <c r="J633" s="4"/>
      <c r="L633" s="44"/>
    </row>
    <row r="634" spans="1:12" ht="15.75">
      <c r="A634" s="3"/>
      <c r="B634" s="161"/>
      <c r="C634" s="3"/>
      <c r="D634" s="4"/>
      <c r="E634" s="4"/>
      <c r="F634" s="40"/>
      <c r="G634" s="4"/>
      <c r="H634" s="4"/>
      <c r="I634" s="4"/>
      <c r="J634" s="4"/>
      <c r="L634" s="44"/>
    </row>
    <row r="635" spans="1:12" ht="15.75">
      <c r="A635" s="3"/>
      <c r="B635" s="161"/>
      <c r="C635" s="3"/>
      <c r="D635" s="4"/>
      <c r="E635" s="4"/>
      <c r="F635" s="40"/>
      <c r="G635" s="4"/>
      <c r="H635" s="4"/>
      <c r="I635" s="4"/>
      <c r="J635" s="4"/>
      <c r="L635" s="44"/>
    </row>
    <row r="636" spans="1:12" ht="15.75">
      <c r="A636" s="3"/>
      <c r="B636" s="161"/>
      <c r="C636" s="3"/>
      <c r="D636" s="4"/>
      <c r="E636" s="4"/>
      <c r="F636" s="40"/>
      <c r="G636" s="4"/>
      <c r="H636" s="4"/>
      <c r="I636" s="4"/>
      <c r="J636" s="4"/>
      <c r="L636" s="44"/>
    </row>
    <row r="637" spans="1:12" ht="15.75">
      <c r="A637" s="3"/>
      <c r="B637" s="161"/>
      <c r="C637" s="3"/>
      <c r="D637" s="4"/>
      <c r="E637" s="4"/>
      <c r="F637" s="40"/>
      <c r="G637" s="4"/>
      <c r="H637" s="4"/>
      <c r="I637" s="4"/>
      <c r="J637" s="4"/>
      <c r="L637" s="44"/>
    </row>
    <row r="638" spans="1:12" ht="15.75">
      <c r="A638" s="3"/>
      <c r="B638" s="161"/>
      <c r="C638" s="3"/>
      <c r="D638" s="4"/>
      <c r="E638" s="4"/>
      <c r="F638" s="40"/>
      <c r="G638" s="4"/>
      <c r="H638" s="4"/>
      <c r="I638" s="4"/>
      <c r="J638" s="4"/>
      <c r="L638" s="44"/>
    </row>
    <row r="639" spans="1:12" ht="15.75">
      <c r="A639" s="3"/>
      <c r="B639" s="161"/>
      <c r="C639" s="3"/>
      <c r="D639" s="4"/>
      <c r="E639" s="4"/>
      <c r="F639" s="40"/>
      <c r="G639" s="4"/>
      <c r="H639" s="4"/>
      <c r="I639" s="4"/>
      <c r="J639" s="4"/>
      <c r="L639" s="44"/>
    </row>
    <row r="640" spans="1:12" ht="15.75">
      <c r="A640" s="3"/>
      <c r="B640" s="161"/>
      <c r="C640" s="3"/>
      <c r="D640" s="4"/>
      <c r="E640" s="4"/>
      <c r="F640" s="40"/>
      <c r="G640" s="4"/>
      <c r="H640" s="4"/>
      <c r="I640" s="4"/>
      <c r="J640" s="4"/>
      <c r="L640" s="44"/>
    </row>
    <row r="641" spans="1:12" ht="15.75">
      <c r="A641" s="3"/>
      <c r="B641" s="161"/>
      <c r="C641" s="3"/>
      <c r="D641" s="4"/>
      <c r="E641" s="4"/>
      <c r="F641" s="40"/>
      <c r="G641" s="4"/>
      <c r="H641" s="4"/>
      <c r="I641" s="4"/>
      <c r="J641" s="4"/>
      <c r="L641" s="44"/>
    </row>
    <row r="642" spans="1:12" ht="15.75">
      <c r="A642" s="3"/>
      <c r="B642" s="161"/>
      <c r="C642" s="3"/>
      <c r="D642" s="4"/>
      <c r="E642" s="4"/>
      <c r="F642" s="40"/>
      <c r="G642" s="4"/>
      <c r="H642" s="4"/>
      <c r="I642" s="4"/>
      <c r="J642" s="4"/>
      <c r="L642" s="44"/>
    </row>
    <row r="643" spans="1:12" ht="15.75">
      <c r="A643" s="3"/>
      <c r="B643" s="161"/>
      <c r="C643" s="3"/>
      <c r="D643" s="4"/>
      <c r="E643" s="4"/>
      <c r="F643" s="40"/>
      <c r="G643" s="4"/>
      <c r="H643" s="4"/>
      <c r="I643" s="4"/>
      <c r="J643" s="4"/>
      <c r="L643" s="44"/>
    </row>
    <row r="644" spans="1:12" ht="15.75">
      <c r="A644" s="3"/>
      <c r="B644" s="161"/>
      <c r="C644" s="3"/>
      <c r="D644" s="4"/>
      <c r="E644" s="4"/>
      <c r="F644" s="40"/>
      <c r="G644" s="4"/>
      <c r="H644" s="4"/>
      <c r="I644" s="4"/>
      <c r="J644" s="4"/>
      <c r="L644" s="44"/>
    </row>
    <row r="645" spans="1:12" ht="15.75">
      <c r="A645" s="3"/>
      <c r="B645" s="161"/>
      <c r="C645" s="3"/>
      <c r="D645" s="4"/>
      <c r="E645" s="4"/>
      <c r="F645" s="40"/>
      <c r="G645" s="4"/>
      <c r="H645" s="4"/>
      <c r="I645" s="4"/>
      <c r="J645" s="4"/>
      <c r="L645" s="44"/>
    </row>
    <row r="646" spans="1:12" ht="15.75">
      <c r="A646" s="3"/>
      <c r="B646" s="161"/>
      <c r="C646" s="3"/>
      <c r="D646" s="4"/>
      <c r="E646" s="4"/>
      <c r="F646" s="40"/>
      <c r="G646" s="4"/>
      <c r="H646" s="4"/>
      <c r="I646" s="4"/>
      <c r="J646" s="4"/>
      <c r="L646" s="44"/>
    </row>
    <row r="647" spans="1:12" ht="15.75">
      <c r="A647" s="3"/>
      <c r="B647" s="161"/>
      <c r="C647" s="3"/>
      <c r="D647" s="4"/>
      <c r="E647" s="4"/>
      <c r="F647" s="40"/>
      <c r="G647" s="4"/>
      <c r="H647" s="4"/>
      <c r="I647" s="4"/>
      <c r="J647" s="4"/>
      <c r="L647" s="44"/>
    </row>
    <row r="648" spans="1:12" ht="15.75">
      <c r="A648" s="3"/>
      <c r="B648" s="161"/>
      <c r="C648" s="3"/>
      <c r="D648" s="4"/>
      <c r="E648" s="4"/>
      <c r="F648" s="40"/>
      <c r="G648" s="4"/>
      <c r="H648" s="4"/>
      <c r="I648" s="4"/>
      <c r="J648" s="4"/>
      <c r="L648" s="44"/>
    </row>
    <row r="649" spans="1:12" ht="15.75">
      <c r="A649" s="3"/>
      <c r="B649" s="161"/>
      <c r="C649" s="3"/>
      <c r="D649" s="4"/>
      <c r="E649" s="4"/>
      <c r="F649" s="40"/>
      <c r="G649" s="4"/>
      <c r="H649" s="4"/>
      <c r="I649" s="4"/>
      <c r="J649" s="4"/>
      <c r="L649" s="44"/>
    </row>
    <row r="650" spans="1:12" ht="15.75">
      <c r="A650" s="3"/>
      <c r="B650" s="161"/>
      <c r="C650" s="3"/>
      <c r="D650" s="4"/>
      <c r="E650" s="4"/>
      <c r="F650" s="40"/>
      <c r="G650" s="4"/>
      <c r="H650" s="4"/>
      <c r="I650" s="4"/>
      <c r="J650" s="4"/>
      <c r="L650" s="44"/>
    </row>
    <row r="651" spans="1:12" ht="15.75">
      <c r="A651" s="3"/>
      <c r="B651" s="161"/>
      <c r="C651" s="3"/>
      <c r="D651" s="4"/>
      <c r="E651" s="4"/>
      <c r="F651" s="40"/>
      <c r="G651" s="4"/>
      <c r="H651" s="4"/>
      <c r="I651" s="4"/>
      <c r="J651" s="4"/>
      <c r="L651" s="44"/>
    </row>
    <row r="652" spans="1:12" ht="15.75">
      <c r="A652" s="3"/>
      <c r="B652" s="161"/>
      <c r="C652" s="3"/>
      <c r="D652" s="4"/>
      <c r="E652" s="4"/>
      <c r="F652" s="40"/>
      <c r="G652" s="4"/>
      <c r="H652" s="4"/>
      <c r="I652" s="4"/>
      <c r="J652" s="4"/>
      <c r="L652" s="44"/>
    </row>
    <row r="653" spans="1:12" ht="15.75">
      <c r="A653" s="3"/>
      <c r="B653" s="161"/>
      <c r="C653" s="3"/>
      <c r="D653" s="4"/>
      <c r="E653" s="4"/>
      <c r="F653" s="40"/>
      <c r="G653" s="4"/>
      <c r="H653" s="4"/>
      <c r="I653" s="4"/>
      <c r="J653" s="4"/>
      <c r="L653" s="44"/>
    </row>
    <row r="654" spans="1:12" ht="15.75">
      <c r="A654" s="3"/>
      <c r="B654" s="161"/>
      <c r="C654" s="3"/>
      <c r="D654" s="4"/>
      <c r="E654" s="4"/>
      <c r="F654" s="40"/>
      <c r="G654" s="4"/>
      <c r="H654" s="4"/>
      <c r="I654" s="4"/>
      <c r="J654" s="4"/>
      <c r="L654" s="44"/>
    </row>
    <row r="655" spans="1:12" ht="15.75">
      <c r="A655" s="3"/>
      <c r="B655" s="161"/>
      <c r="C655" s="3"/>
      <c r="D655" s="4"/>
      <c r="E655" s="4"/>
      <c r="F655" s="40"/>
      <c r="G655" s="4"/>
      <c r="H655" s="4"/>
      <c r="I655" s="4"/>
      <c r="J655" s="4"/>
      <c r="L655" s="44"/>
    </row>
    <row r="656" spans="1:12" ht="15.75">
      <c r="A656" s="3"/>
      <c r="B656" s="161"/>
      <c r="C656" s="3"/>
      <c r="D656" s="4"/>
      <c r="E656" s="4"/>
      <c r="F656" s="40"/>
      <c r="G656" s="4"/>
      <c r="H656" s="4"/>
      <c r="I656" s="4"/>
      <c r="J656" s="4"/>
      <c r="L656" s="44"/>
    </row>
    <row r="657" spans="1:12" ht="15.75">
      <c r="A657" s="3"/>
      <c r="B657" s="161"/>
      <c r="C657" s="3"/>
      <c r="D657" s="4"/>
      <c r="E657" s="4"/>
      <c r="F657" s="40"/>
      <c r="G657" s="4"/>
      <c r="H657" s="4"/>
      <c r="I657" s="4"/>
      <c r="J657" s="4"/>
      <c r="L657" s="44"/>
    </row>
    <row r="658" spans="1:12" ht="15.75">
      <c r="A658" s="3"/>
      <c r="B658" s="161"/>
      <c r="C658" s="3"/>
      <c r="D658" s="4"/>
      <c r="E658" s="4"/>
      <c r="F658" s="40"/>
      <c r="G658" s="4"/>
      <c r="H658" s="4"/>
      <c r="I658" s="4"/>
      <c r="J658" s="4"/>
      <c r="L658" s="44"/>
    </row>
    <row r="659" spans="1:12" ht="15.75">
      <c r="A659" s="3"/>
      <c r="B659" s="161"/>
      <c r="C659" s="3"/>
      <c r="D659" s="4"/>
      <c r="E659" s="4"/>
      <c r="F659" s="40"/>
      <c r="G659" s="4"/>
      <c r="H659" s="4"/>
      <c r="I659" s="4"/>
      <c r="J659" s="4"/>
      <c r="L659" s="44"/>
    </row>
    <row r="660" spans="1:12" ht="15.75">
      <c r="A660" s="3"/>
      <c r="B660" s="161"/>
      <c r="C660" s="3"/>
      <c r="D660" s="4"/>
      <c r="E660" s="4"/>
      <c r="F660" s="40"/>
      <c r="G660" s="4"/>
      <c r="H660" s="4"/>
      <c r="I660" s="4"/>
      <c r="J660" s="4"/>
      <c r="L660" s="44"/>
    </row>
    <row r="661" spans="1:12" ht="15.75">
      <c r="A661" s="3"/>
      <c r="B661" s="161"/>
      <c r="C661" s="3"/>
      <c r="D661" s="4"/>
      <c r="E661" s="4"/>
      <c r="F661" s="40"/>
      <c r="G661" s="4"/>
      <c r="H661" s="4"/>
      <c r="I661" s="4"/>
      <c r="J661" s="4"/>
      <c r="L661" s="44"/>
    </row>
    <row r="662" spans="1:12" ht="15.75">
      <c r="A662" s="3"/>
      <c r="B662" s="161"/>
      <c r="C662" s="3"/>
      <c r="D662" s="4"/>
      <c r="E662" s="4"/>
      <c r="F662" s="40"/>
      <c r="G662" s="4"/>
      <c r="H662" s="4"/>
      <c r="I662" s="4"/>
      <c r="J662" s="4"/>
      <c r="L662" s="44"/>
    </row>
    <row r="663" spans="1:12" ht="15.75">
      <c r="A663" s="3"/>
      <c r="B663" s="161"/>
      <c r="C663" s="3"/>
      <c r="D663" s="4"/>
      <c r="E663" s="4"/>
      <c r="F663" s="40"/>
      <c r="G663" s="4"/>
      <c r="H663" s="4"/>
      <c r="I663" s="4"/>
      <c r="J663" s="4"/>
      <c r="L663" s="44"/>
    </row>
    <row r="664" spans="1:12" ht="15.75">
      <c r="A664" s="3"/>
      <c r="B664" s="161"/>
      <c r="C664" s="3"/>
      <c r="D664" s="4"/>
      <c r="E664" s="4"/>
      <c r="F664" s="40"/>
      <c r="G664" s="4"/>
      <c r="H664" s="4"/>
      <c r="I664" s="4"/>
      <c r="J664" s="4"/>
      <c r="L664" s="44"/>
    </row>
    <row r="665" spans="1:12" ht="15.75">
      <c r="A665" s="3"/>
      <c r="B665" s="161"/>
      <c r="C665" s="3"/>
      <c r="D665" s="4"/>
      <c r="E665" s="4"/>
      <c r="F665" s="40"/>
      <c r="G665" s="4"/>
      <c r="H665" s="4"/>
      <c r="I665" s="4"/>
      <c r="J665" s="4"/>
      <c r="L665" s="44"/>
    </row>
    <row r="666" spans="1:12" ht="15.75">
      <c r="A666" s="3"/>
      <c r="B666" s="161"/>
      <c r="C666" s="3"/>
      <c r="D666" s="4"/>
      <c r="E666" s="4"/>
      <c r="F666" s="40"/>
      <c r="G666" s="4"/>
      <c r="H666" s="4"/>
      <c r="I666" s="4"/>
      <c r="J666" s="4"/>
      <c r="L666" s="44"/>
    </row>
    <row r="667" spans="1:12" ht="15.75">
      <c r="A667" s="3"/>
      <c r="B667" s="161"/>
      <c r="C667" s="3"/>
      <c r="D667" s="4"/>
      <c r="E667" s="4"/>
      <c r="F667" s="40"/>
      <c r="G667" s="4"/>
      <c r="H667" s="4"/>
      <c r="I667" s="4"/>
      <c r="J667" s="4"/>
      <c r="L667" s="44"/>
    </row>
    <row r="668" spans="1:12" ht="15.75">
      <c r="A668" s="3"/>
      <c r="B668" s="161"/>
      <c r="C668" s="3"/>
      <c r="D668" s="4"/>
      <c r="E668" s="4"/>
      <c r="F668" s="40"/>
      <c r="G668" s="4"/>
      <c r="H668" s="4"/>
      <c r="I668" s="4"/>
      <c r="J668" s="4"/>
      <c r="L668" s="44"/>
    </row>
    <row r="669" spans="1:12" ht="15.75">
      <c r="A669" s="3"/>
      <c r="B669" s="161"/>
      <c r="C669" s="3"/>
      <c r="D669" s="4"/>
      <c r="E669" s="4"/>
      <c r="F669" s="40"/>
      <c r="G669" s="4"/>
      <c r="H669" s="4"/>
      <c r="I669" s="4"/>
      <c r="J669" s="4"/>
      <c r="L669" s="44"/>
    </row>
    <row r="670" spans="1:12" ht="15.75">
      <c r="A670" s="3"/>
      <c r="B670" s="161"/>
      <c r="C670" s="3"/>
      <c r="D670" s="4"/>
      <c r="E670" s="4"/>
      <c r="F670" s="40"/>
      <c r="G670" s="4"/>
      <c r="H670" s="4"/>
      <c r="I670" s="4"/>
      <c r="J670" s="4"/>
      <c r="L670" s="44"/>
    </row>
    <row r="671" spans="1:12" ht="15.75">
      <c r="A671" s="3"/>
      <c r="B671" s="161"/>
      <c r="C671" s="3"/>
      <c r="D671" s="4"/>
      <c r="E671" s="4"/>
      <c r="F671" s="40"/>
      <c r="G671" s="4"/>
      <c r="H671" s="4"/>
      <c r="I671" s="4"/>
      <c r="J671" s="4"/>
      <c r="L671" s="44"/>
    </row>
    <row r="672" spans="1:12" ht="15.75">
      <c r="A672" s="3"/>
      <c r="B672" s="161"/>
      <c r="C672" s="3"/>
      <c r="D672" s="4"/>
      <c r="E672" s="4"/>
      <c r="F672" s="40"/>
      <c r="G672" s="4"/>
      <c r="H672" s="4"/>
      <c r="I672" s="4"/>
      <c r="J672" s="4"/>
      <c r="L672" s="44"/>
    </row>
    <row r="673" spans="1:12" ht="15.75">
      <c r="A673" s="3"/>
      <c r="B673" s="161"/>
      <c r="C673" s="3"/>
      <c r="D673" s="4"/>
      <c r="E673" s="4"/>
      <c r="F673" s="40"/>
      <c r="G673" s="4"/>
      <c r="H673" s="4"/>
      <c r="I673" s="4"/>
      <c r="J673" s="4"/>
      <c r="L673" s="44"/>
    </row>
    <row r="674" spans="1:12" ht="15.75">
      <c r="A674" s="3"/>
      <c r="B674" s="161"/>
      <c r="C674" s="3"/>
      <c r="D674" s="4"/>
      <c r="E674" s="4"/>
      <c r="F674" s="40"/>
      <c r="G674" s="4"/>
      <c r="H674" s="4"/>
      <c r="I674" s="4"/>
      <c r="J674" s="4"/>
      <c r="L674" s="44"/>
    </row>
    <row r="675" spans="1:12" ht="15.75">
      <c r="A675" s="3"/>
      <c r="B675" s="161"/>
      <c r="C675" s="3"/>
      <c r="D675" s="4"/>
      <c r="E675" s="4"/>
      <c r="F675" s="40"/>
      <c r="G675" s="4"/>
      <c r="H675" s="4"/>
      <c r="I675" s="4"/>
      <c r="J675" s="4"/>
      <c r="L675" s="44"/>
    </row>
    <row r="676" spans="1:12" ht="15.75">
      <c r="A676" s="3"/>
      <c r="B676" s="161"/>
      <c r="C676" s="3"/>
      <c r="D676" s="4"/>
      <c r="E676" s="4"/>
      <c r="F676" s="40"/>
      <c r="G676" s="4"/>
      <c r="H676" s="4"/>
      <c r="I676" s="4"/>
      <c r="J676" s="4"/>
      <c r="L676" s="44"/>
    </row>
    <row r="677" spans="1:12" ht="15.75">
      <c r="A677" s="3"/>
      <c r="B677" s="161"/>
      <c r="C677" s="3"/>
      <c r="D677" s="4"/>
      <c r="E677" s="4"/>
      <c r="F677" s="40"/>
      <c r="G677" s="4"/>
      <c r="H677" s="4"/>
      <c r="I677" s="4"/>
      <c r="J677" s="4"/>
      <c r="L677" s="44"/>
    </row>
    <row r="678" spans="1:12" ht="15.75">
      <c r="A678" s="3"/>
      <c r="B678" s="161"/>
      <c r="C678" s="3"/>
      <c r="D678" s="4"/>
      <c r="E678" s="4"/>
      <c r="F678" s="40"/>
      <c r="G678" s="4"/>
      <c r="H678" s="4"/>
      <c r="I678" s="4"/>
      <c r="J678" s="4"/>
      <c r="L678" s="44"/>
    </row>
    <row r="679" spans="1:12" ht="15.75">
      <c r="A679" s="3"/>
      <c r="B679" s="161"/>
      <c r="C679" s="3"/>
      <c r="D679" s="4"/>
      <c r="E679" s="4"/>
      <c r="F679" s="40"/>
      <c r="G679" s="4"/>
      <c r="H679" s="4"/>
      <c r="I679" s="4"/>
      <c r="J679" s="4"/>
      <c r="L679" s="44"/>
    </row>
    <row r="680" spans="1:12" ht="15.75">
      <c r="A680" s="3"/>
      <c r="B680" s="161"/>
      <c r="C680" s="3"/>
      <c r="D680" s="4"/>
      <c r="E680" s="4"/>
      <c r="F680" s="40"/>
      <c r="G680" s="4"/>
      <c r="H680" s="4"/>
      <c r="I680" s="4"/>
      <c r="J680" s="4"/>
      <c r="L680" s="44"/>
    </row>
    <row r="681" spans="1:12" ht="15.75">
      <c r="A681" s="3"/>
      <c r="B681" s="161"/>
      <c r="C681" s="3"/>
      <c r="D681" s="4"/>
      <c r="E681" s="4"/>
      <c r="F681" s="40"/>
      <c r="G681" s="4"/>
      <c r="H681" s="4"/>
      <c r="I681" s="4"/>
      <c r="J681" s="4"/>
      <c r="L681" s="44"/>
    </row>
    <row r="682" spans="1:12" ht="15.75">
      <c r="A682" s="3"/>
      <c r="B682" s="161"/>
      <c r="C682" s="3"/>
      <c r="D682" s="4"/>
      <c r="E682" s="4"/>
      <c r="F682" s="40"/>
      <c r="G682" s="4"/>
      <c r="H682" s="4"/>
      <c r="I682" s="4"/>
      <c r="J682" s="4"/>
      <c r="L682" s="44"/>
    </row>
    <row r="683" spans="1:12" ht="15.75">
      <c r="A683" s="3"/>
      <c r="B683" s="161"/>
      <c r="C683" s="3"/>
      <c r="D683" s="4"/>
      <c r="E683" s="4"/>
      <c r="F683" s="40"/>
      <c r="G683" s="4"/>
      <c r="H683" s="4"/>
      <c r="I683" s="4"/>
      <c r="J683" s="4"/>
      <c r="L683" s="44"/>
    </row>
    <row r="684" spans="1:12" ht="15.75">
      <c r="A684" s="3"/>
      <c r="B684" s="161"/>
      <c r="C684" s="3"/>
      <c r="D684" s="4"/>
      <c r="E684" s="4"/>
      <c r="F684" s="40"/>
      <c r="G684" s="4"/>
      <c r="H684" s="4"/>
      <c r="I684" s="4"/>
      <c r="J684" s="4"/>
      <c r="L684" s="44"/>
    </row>
    <row r="685" spans="1:12" ht="15.75">
      <c r="A685" s="3"/>
      <c r="B685" s="161"/>
      <c r="C685" s="3"/>
      <c r="D685" s="4"/>
      <c r="E685" s="4"/>
      <c r="F685" s="40"/>
      <c r="G685" s="4"/>
      <c r="H685" s="4"/>
      <c r="I685" s="4"/>
      <c r="J685" s="4"/>
      <c r="L685" s="44"/>
    </row>
    <row r="686" spans="1:12" ht="15.75">
      <c r="A686" s="3"/>
      <c r="B686" s="161"/>
      <c r="C686" s="3"/>
      <c r="D686" s="4"/>
      <c r="E686" s="4"/>
      <c r="F686" s="40"/>
      <c r="G686" s="4"/>
      <c r="H686" s="4"/>
      <c r="I686" s="4"/>
      <c r="J686" s="4"/>
      <c r="L686" s="44"/>
    </row>
    <row r="687" spans="1:12" ht="15.75">
      <c r="A687" s="3"/>
      <c r="B687" s="161"/>
      <c r="C687" s="3"/>
      <c r="D687" s="4"/>
      <c r="E687" s="4"/>
      <c r="F687" s="40"/>
      <c r="G687" s="4"/>
      <c r="H687" s="4"/>
      <c r="I687" s="4"/>
      <c r="J687" s="4"/>
      <c r="L687" s="44"/>
    </row>
    <row r="688" spans="1:12" ht="15.75">
      <c r="A688" s="3"/>
      <c r="B688" s="161"/>
      <c r="C688" s="3"/>
      <c r="D688" s="4"/>
      <c r="E688" s="4"/>
      <c r="F688" s="40"/>
      <c r="G688" s="4"/>
      <c r="H688" s="4"/>
      <c r="I688" s="4"/>
      <c r="J688" s="4"/>
      <c r="L688" s="44"/>
    </row>
    <row r="689" spans="1:12" ht="15.75">
      <c r="A689" s="3"/>
      <c r="B689" s="161"/>
      <c r="C689" s="3"/>
      <c r="D689" s="4"/>
      <c r="E689" s="4"/>
      <c r="F689" s="40"/>
      <c r="G689" s="4"/>
      <c r="H689" s="4"/>
      <c r="I689" s="4"/>
      <c r="J689" s="4"/>
      <c r="L689" s="44"/>
    </row>
    <row r="690" spans="1:12" ht="15.75">
      <c r="A690" s="3"/>
      <c r="B690" s="161"/>
      <c r="C690" s="3"/>
      <c r="D690" s="4"/>
      <c r="E690" s="4"/>
      <c r="F690" s="40"/>
      <c r="G690" s="4"/>
      <c r="H690" s="4"/>
      <c r="I690" s="4"/>
      <c r="J690" s="4"/>
      <c r="L690" s="44"/>
    </row>
    <row r="691" spans="1:12" ht="15.75">
      <c r="A691" s="3"/>
      <c r="B691" s="161"/>
      <c r="C691" s="3"/>
      <c r="D691" s="4"/>
      <c r="E691" s="4"/>
      <c r="F691" s="40"/>
      <c r="G691" s="4"/>
      <c r="H691" s="4"/>
      <c r="I691" s="4"/>
      <c r="J691" s="4"/>
      <c r="L691" s="44"/>
    </row>
    <row r="692" spans="1:12" ht="15.75">
      <c r="A692" s="3"/>
      <c r="B692" s="161"/>
      <c r="C692" s="3"/>
      <c r="D692" s="4"/>
      <c r="E692" s="4"/>
      <c r="F692" s="40"/>
      <c r="G692" s="4"/>
      <c r="H692" s="4"/>
      <c r="I692" s="4"/>
      <c r="J692" s="4"/>
      <c r="L692" s="44"/>
    </row>
    <row r="693" spans="1:12" ht="15.75">
      <c r="A693" s="3"/>
      <c r="B693" s="161"/>
      <c r="C693" s="3"/>
      <c r="D693" s="4"/>
      <c r="E693" s="4"/>
      <c r="F693" s="40"/>
      <c r="G693" s="4"/>
      <c r="H693" s="4"/>
      <c r="I693" s="4"/>
      <c r="J693" s="4"/>
      <c r="L693" s="44"/>
    </row>
    <row r="694" spans="1:12" ht="15.75">
      <c r="A694" s="3"/>
      <c r="B694" s="161"/>
      <c r="C694" s="3"/>
      <c r="D694" s="4"/>
      <c r="E694" s="4"/>
      <c r="F694" s="40"/>
      <c r="G694" s="4"/>
      <c r="H694" s="4"/>
      <c r="I694" s="4"/>
      <c r="J694" s="4"/>
      <c r="L694" s="44"/>
    </row>
    <row r="695" spans="1:12" ht="15.75">
      <c r="A695" s="3"/>
      <c r="B695" s="161"/>
      <c r="C695" s="3"/>
      <c r="D695" s="4"/>
      <c r="E695" s="4"/>
      <c r="F695" s="40"/>
      <c r="G695" s="4"/>
      <c r="H695" s="4"/>
      <c r="I695" s="4"/>
      <c r="J695" s="4"/>
      <c r="L695" s="44"/>
    </row>
    <row r="696" spans="1:12" ht="15.75">
      <c r="A696" s="3"/>
      <c r="B696" s="161"/>
      <c r="C696" s="3"/>
      <c r="D696" s="4"/>
      <c r="E696" s="4"/>
      <c r="F696" s="40"/>
      <c r="G696" s="4"/>
      <c r="H696" s="4"/>
      <c r="I696" s="4"/>
      <c r="J696" s="4"/>
      <c r="L696" s="44"/>
    </row>
    <row r="697" spans="1:12" ht="15.75">
      <c r="A697" s="3"/>
      <c r="B697" s="161"/>
      <c r="C697" s="3"/>
      <c r="D697" s="4"/>
      <c r="E697" s="4"/>
      <c r="F697" s="40"/>
      <c r="G697" s="4"/>
      <c r="H697" s="4"/>
      <c r="I697" s="4"/>
      <c r="J697" s="4"/>
      <c r="L697" s="44"/>
    </row>
    <row r="698" spans="1:12" ht="15.75">
      <c r="A698" s="3"/>
      <c r="B698" s="161"/>
      <c r="C698" s="3"/>
      <c r="D698" s="4"/>
      <c r="E698" s="4"/>
      <c r="F698" s="40"/>
      <c r="G698" s="4"/>
      <c r="H698" s="4"/>
      <c r="I698" s="4"/>
      <c r="J698" s="4"/>
      <c r="L698" s="44"/>
    </row>
    <row r="699" spans="1:12" ht="15.75">
      <c r="A699" s="3"/>
      <c r="B699" s="161"/>
      <c r="C699" s="3"/>
      <c r="D699" s="4"/>
      <c r="E699" s="4"/>
      <c r="F699" s="40"/>
      <c r="G699" s="4"/>
      <c r="H699" s="4"/>
      <c r="I699" s="4"/>
      <c r="J699" s="4"/>
      <c r="L699" s="44"/>
    </row>
    <row r="700" spans="1:12" ht="15.75">
      <c r="A700" s="3"/>
      <c r="B700" s="161"/>
      <c r="C700" s="3"/>
      <c r="D700" s="4"/>
      <c r="E700" s="4"/>
      <c r="F700" s="40"/>
      <c r="G700" s="4"/>
      <c r="H700" s="4"/>
      <c r="I700" s="4"/>
      <c r="J700" s="4"/>
      <c r="L700" s="44"/>
    </row>
    <row r="701" spans="1:12" ht="15.75">
      <c r="A701" s="3"/>
      <c r="B701" s="161"/>
      <c r="C701" s="3"/>
      <c r="D701" s="4"/>
      <c r="E701" s="4"/>
      <c r="F701" s="40"/>
      <c r="G701" s="4"/>
      <c r="H701" s="4"/>
      <c r="I701" s="4"/>
      <c r="J701" s="4"/>
      <c r="L701" s="44"/>
    </row>
    <row r="702" spans="1:12" ht="15.75">
      <c r="A702" s="3"/>
      <c r="B702" s="161"/>
      <c r="C702" s="3"/>
      <c r="D702" s="4"/>
      <c r="E702" s="4"/>
      <c r="F702" s="40"/>
      <c r="G702" s="4"/>
      <c r="H702" s="4"/>
      <c r="I702" s="4"/>
      <c r="J702" s="4"/>
      <c r="L702" s="44"/>
    </row>
    <row r="703" spans="1:12" ht="15.75">
      <c r="A703" s="3"/>
      <c r="B703" s="161"/>
      <c r="C703" s="3"/>
      <c r="D703" s="4"/>
      <c r="E703" s="4"/>
      <c r="F703" s="40"/>
      <c r="G703" s="4"/>
      <c r="H703" s="4"/>
      <c r="I703" s="4"/>
      <c r="J703" s="4"/>
      <c r="L703" s="44"/>
    </row>
    <row r="704" spans="1:12" ht="15.75">
      <c r="A704" s="3"/>
      <c r="B704" s="161"/>
      <c r="C704" s="3"/>
      <c r="D704" s="4"/>
      <c r="E704" s="4"/>
      <c r="F704" s="40"/>
      <c r="G704" s="4"/>
      <c r="H704" s="4"/>
      <c r="I704" s="4"/>
      <c r="J704" s="4"/>
      <c r="L704" s="44"/>
    </row>
    <row r="705" spans="1:12" ht="15.75">
      <c r="A705" s="3"/>
      <c r="B705" s="161"/>
      <c r="C705" s="3"/>
      <c r="D705" s="4"/>
      <c r="E705" s="4"/>
      <c r="F705" s="40"/>
      <c r="G705" s="4"/>
      <c r="H705" s="4"/>
      <c r="I705" s="4"/>
      <c r="J705" s="4"/>
      <c r="L705" s="44"/>
    </row>
    <row r="706" spans="1:12" ht="15.75">
      <c r="A706" s="3"/>
      <c r="B706" s="161"/>
      <c r="C706" s="3"/>
      <c r="D706" s="4"/>
      <c r="E706" s="4"/>
      <c r="F706" s="40"/>
      <c r="G706" s="4"/>
      <c r="H706" s="4"/>
      <c r="I706" s="4"/>
      <c r="J706" s="4"/>
      <c r="L706" s="44"/>
    </row>
    <row r="707" spans="1:12" ht="15.75">
      <c r="A707" s="3"/>
      <c r="B707" s="161"/>
      <c r="C707" s="3"/>
      <c r="D707" s="4"/>
      <c r="E707" s="4"/>
      <c r="F707" s="40"/>
      <c r="G707" s="4"/>
      <c r="H707" s="4"/>
      <c r="I707" s="4"/>
      <c r="J707" s="4"/>
      <c r="L707" s="44"/>
    </row>
    <row r="708" spans="1:12" ht="15.75">
      <c r="A708" s="3"/>
      <c r="B708" s="161"/>
      <c r="C708" s="3"/>
      <c r="D708" s="4"/>
      <c r="E708" s="4"/>
      <c r="F708" s="40"/>
      <c r="G708" s="4"/>
      <c r="H708" s="4"/>
      <c r="I708" s="4"/>
      <c r="J708" s="4"/>
      <c r="L708" s="44"/>
    </row>
    <row r="709" spans="1:12" ht="15.75">
      <c r="A709" s="3"/>
      <c r="B709" s="161"/>
      <c r="C709" s="3"/>
      <c r="D709" s="4"/>
      <c r="E709" s="4"/>
      <c r="F709" s="40"/>
      <c r="G709" s="4"/>
      <c r="H709" s="4"/>
      <c r="I709" s="4"/>
      <c r="J709" s="4"/>
      <c r="L709" s="44"/>
    </row>
    <row r="710" spans="1:12" ht="15.75">
      <c r="A710" s="3"/>
      <c r="B710" s="161"/>
      <c r="C710" s="3"/>
      <c r="D710" s="4"/>
      <c r="E710" s="4"/>
      <c r="F710" s="40"/>
      <c r="G710" s="4"/>
      <c r="H710" s="4"/>
      <c r="I710" s="4"/>
      <c r="J710" s="4"/>
      <c r="L710" s="44"/>
    </row>
    <row r="711" spans="1:12" ht="15.75">
      <c r="A711" s="3"/>
      <c r="B711" s="161"/>
      <c r="C711" s="3"/>
      <c r="D711" s="4"/>
      <c r="E711" s="4"/>
      <c r="F711" s="40"/>
      <c r="G711" s="4"/>
      <c r="H711" s="4"/>
      <c r="I711" s="4"/>
      <c r="J711" s="4"/>
      <c r="L711" s="44"/>
    </row>
    <row r="712" spans="1:12" ht="15.75">
      <c r="A712" s="3"/>
      <c r="B712" s="161"/>
      <c r="C712" s="3"/>
      <c r="D712" s="4"/>
      <c r="E712" s="4"/>
      <c r="F712" s="40"/>
      <c r="G712" s="4"/>
      <c r="H712" s="4"/>
      <c r="I712" s="4"/>
      <c r="J712" s="4"/>
      <c r="L712" s="44"/>
    </row>
    <row r="713" spans="1:12" ht="15.75">
      <c r="A713" s="3"/>
      <c r="B713" s="161"/>
      <c r="C713" s="3"/>
      <c r="D713" s="4"/>
      <c r="E713" s="4"/>
      <c r="F713" s="40"/>
      <c r="G713" s="4"/>
      <c r="H713" s="4"/>
      <c r="I713" s="4"/>
      <c r="J713" s="4"/>
      <c r="L713" s="44"/>
    </row>
    <row r="714" spans="1:12" ht="15.75">
      <c r="A714" s="3"/>
      <c r="B714" s="161"/>
      <c r="C714" s="3"/>
      <c r="D714" s="4"/>
      <c r="E714" s="4"/>
      <c r="F714" s="40"/>
      <c r="G714" s="4"/>
      <c r="H714" s="4"/>
      <c r="I714" s="4"/>
      <c r="J714" s="4"/>
      <c r="L714" s="44"/>
    </row>
    <row r="715" spans="1:12" ht="15.75">
      <c r="A715" s="3"/>
      <c r="B715" s="161"/>
      <c r="C715" s="3"/>
      <c r="D715" s="4"/>
      <c r="E715" s="4"/>
      <c r="F715" s="40"/>
      <c r="G715" s="4"/>
      <c r="H715" s="4"/>
      <c r="I715" s="4"/>
      <c r="J715" s="4"/>
      <c r="L715" s="44"/>
    </row>
    <row r="716" spans="1:12" ht="15.75">
      <c r="A716" s="3"/>
      <c r="B716" s="161"/>
      <c r="C716" s="3"/>
      <c r="D716" s="4"/>
      <c r="E716" s="4"/>
      <c r="F716" s="40"/>
      <c r="G716" s="4"/>
      <c r="H716" s="4"/>
      <c r="I716" s="4"/>
      <c r="J716" s="4"/>
      <c r="L716" s="44"/>
    </row>
    <row r="717" spans="1:12" ht="15.75">
      <c r="A717" s="3"/>
      <c r="B717" s="161"/>
      <c r="C717" s="3"/>
      <c r="D717" s="4"/>
      <c r="E717" s="4"/>
      <c r="F717" s="40"/>
      <c r="G717" s="4"/>
      <c r="H717" s="4"/>
      <c r="I717" s="4"/>
      <c r="J717" s="4"/>
      <c r="L717" s="44"/>
    </row>
    <row r="718" spans="1:12" ht="15.75">
      <c r="A718" s="3"/>
      <c r="B718" s="161"/>
      <c r="C718" s="3"/>
      <c r="D718" s="4"/>
      <c r="E718" s="4"/>
      <c r="F718" s="40"/>
      <c r="G718" s="4"/>
      <c r="H718" s="4"/>
      <c r="I718" s="4"/>
      <c r="J718" s="4"/>
      <c r="L718" s="44"/>
    </row>
    <row r="719" spans="1:12" ht="15.75">
      <c r="A719" s="3"/>
      <c r="B719" s="161"/>
      <c r="C719" s="3"/>
      <c r="D719" s="4"/>
      <c r="E719" s="4"/>
      <c r="F719" s="40"/>
      <c r="G719" s="4"/>
      <c r="H719" s="4"/>
      <c r="I719" s="4"/>
      <c r="J719" s="4"/>
      <c r="L719" s="44"/>
    </row>
    <row r="720" spans="1:12" ht="15.75">
      <c r="A720" s="3"/>
      <c r="B720" s="161"/>
      <c r="C720" s="3"/>
      <c r="D720" s="4"/>
      <c r="E720" s="4"/>
      <c r="F720" s="40"/>
      <c r="G720" s="4"/>
      <c r="H720" s="4"/>
      <c r="I720" s="4"/>
      <c r="J720" s="4"/>
      <c r="L720" s="44"/>
    </row>
    <row r="721" spans="1:12" ht="15.75">
      <c r="A721" s="3"/>
      <c r="B721" s="161"/>
      <c r="C721" s="3"/>
      <c r="D721" s="4"/>
      <c r="E721" s="4"/>
      <c r="F721" s="40"/>
      <c r="G721" s="4"/>
      <c r="H721" s="4"/>
      <c r="I721" s="4"/>
      <c r="J721" s="4"/>
      <c r="L721" s="44"/>
    </row>
    <row r="722" spans="1:12" ht="15.75">
      <c r="A722" s="3"/>
      <c r="B722" s="161"/>
      <c r="C722" s="3"/>
      <c r="D722" s="4"/>
      <c r="E722" s="4"/>
      <c r="F722" s="40"/>
      <c r="G722" s="4"/>
      <c r="H722" s="4"/>
      <c r="I722" s="4"/>
      <c r="J722" s="4"/>
      <c r="L722" s="44"/>
    </row>
    <row r="723" spans="1:12" ht="15.75">
      <c r="A723" s="3"/>
      <c r="B723" s="161"/>
      <c r="C723" s="3"/>
      <c r="D723" s="4"/>
      <c r="E723" s="4"/>
      <c r="F723" s="40"/>
      <c r="G723" s="4"/>
      <c r="H723" s="4"/>
      <c r="I723" s="4"/>
      <c r="J723" s="4"/>
      <c r="L723" s="44"/>
    </row>
    <row r="724" spans="1:12" ht="15.75">
      <c r="A724" s="3"/>
      <c r="B724" s="161"/>
      <c r="C724" s="3"/>
      <c r="D724" s="4"/>
      <c r="E724" s="4"/>
      <c r="F724" s="40"/>
      <c r="G724" s="4"/>
      <c r="H724" s="4"/>
      <c r="I724" s="4"/>
      <c r="J724" s="4"/>
      <c r="L724" s="44"/>
    </row>
    <row r="725" spans="1:12" ht="15.75">
      <c r="A725" s="3"/>
      <c r="B725" s="161"/>
      <c r="C725" s="3"/>
      <c r="D725" s="4"/>
      <c r="E725" s="4"/>
      <c r="F725" s="40"/>
      <c r="G725" s="4"/>
      <c r="H725" s="4"/>
      <c r="I725" s="4"/>
      <c r="J725" s="4"/>
      <c r="L725" s="44"/>
    </row>
    <row r="726" spans="1:12" ht="15.75">
      <c r="A726" s="3"/>
      <c r="B726" s="161"/>
      <c r="C726" s="3"/>
      <c r="D726" s="4"/>
      <c r="E726" s="4"/>
      <c r="F726" s="40"/>
      <c r="G726" s="4"/>
      <c r="H726" s="4"/>
      <c r="I726" s="4"/>
      <c r="J726" s="4"/>
      <c r="L726" s="44"/>
    </row>
    <row r="727" spans="1:12" ht="15.75">
      <c r="A727" s="3"/>
      <c r="B727" s="161"/>
      <c r="C727" s="3"/>
      <c r="D727" s="4"/>
      <c r="E727" s="4"/>
      <c r="F727" s="40"/>
      <c r="G727" s="4"/>
      <c r="H727" s="4"/>
      <c r="I727" s="4"/>
      <c r="J727" s="4"/>
      <c r="L727" s="44"/>
    </row>
    <row r="728" spans="1:12" ht="15.75">
      <c r="A728" s="3"/>
      <c r="B728" s="161"/>
      <c r="C728" s="3"/>
      <c r="D728" s="4"/>
      <c r="E728" s="4"/>
      <c r="F728" s="40"/>
      <c r="G728" s="4"/>
      <c r="H728" s="4"/>
      <c r="I728" s="4"/>
      <c r="J728" s="4"/>
      <c r="L728" s="44"/>
    </row>
    <row r="729" spans="1:12" ht="15.75">
      <c r="A729" s="3"/>
      <c r="B729" s="161"/>
      <c r="C729" s="3"/>
      <c r="D729" s="4"/>
      <c r="E729" s="4"/>
      <c r="F729" s="40"/>
      <c r="G729" s="4"/>
      <c r="H729" s="4"/>
      <c r="I729" s="4"/>
      <c r="J729" s="4"/>
      <c r="L729" s="44"/>
    </row>
    <row r="730" spans="1:12" ht="15.75">
      <c r="A730" s="3"/>
      <c r="B730" s="161"/>
      <c r="C730" s="3"/>
      <c r="D730" s="4"/>
      <c r="E730" s="4"/>
      <c r="F730" s="40"/>
      <c r="G730" s="4"/>
      <c r="H730" s="4"/>
      <c r="I730" s="4"/>
      <c r="J730" s="4"/>
      <c r="L730" s="44"/>
    </row>
    <row r="731" spans="1:12" ht="15.75">
      <c r="A731" s="3"/>
      <c r="B731" s="161"/>
      <c r="C731" s="3"/>
      <c r="D731" s="4"/>
      <c r="E731" s="4"/>
      <c r="F731" s="40"/>
      <c r="G731" s="4"/>
      <c r="H731" s="4"/>
      <c r="I731" s="4"/>
      <c r="J731" s="4"/>
      <c r="L731" s="44"/>
    </row>
    <row r="732" spans="1:12" ht="15.75">
      <c r="A732" s="3"/>
      <c r="B732" s="161"/>
      <c r="C732" s="3"/>
      <c r="D732" s="4"/>
      <c r="E732" s="4"/>
      <c r="F732" s="40"/>
      <c r="G732" s="4"/>
      <c r="H732" s="4"/>
      <c r="I732" s="4"/>
      <c r="J732" s="4"/>
      <c r="L732" s="44"/>
    </row>
    <row r="733" spans="1:12" ht="15.75">
      <c r="A733" s="3"/>
      <c r="B733" s="161"/>
      <c r="C733" s="3"/>
      <c r="D733" s="4"/>
      <c r="E733" s="4"/>
      <c r="F733" s="40"/>
      <c r="G733" s="4"/>
      <c r="H733" s="4"/>
      <c r="I733" s="4"/>
      <c r="J733" s="4"/>
      <c r="L733" s="44"/>
    </row>
    <row r="734" spans="1:12" ht="15.75">
      <c r="A734" s="3"/>
      <c r="B734" s="161"/>
      <c r="C734" s="3"/>
      <c r="D734" s="4"/>
      <c r="E734" s="4"/>
      <c r="F734" s="40"/>
      <c r="G734" s="4"/>
      <c r="H734" s="4"/>
      <c r="I734" s="4"/>
      <c r="J734" s="4"/>
      <c r="L734" s="44"/>
    </row>
    <row r="735" spans="1:12" ht="15.75">
      <c r="A735" s="3"/>
      <c r="B735" s="161"/>
      <c r="C735" s="3"/>
      <c r="D735" s="4"/>
      <c r="E735" s="4"/>
      <c r="F735" s="40"/>
      <c r="G735" s="4"/>
      <c r="H735" s="4"/>
      <c r="I735" s="4"/>
      <c r="J735" s="4"/>
      <c r="L735" s="44"/>
    </row>
    <row r="736" spans="1:12" ht="15.75">
      <c r="A736" s="3"/>
      <c r="B736" s="161"/>
      <c r="C736" s="3"/>
      <c r="D736" s="4"/>
      <c r="E736" s="4"/>
      <c r="F736" s="40"/>
      <c r="G736" s="4"/>
      <c r="H736" s="4"/>
      <c r="I736" s="4"/>
      <c r="J736" s="4"/>
      <c r="L736" s="44"/>
    </row>
    <row r="737" spans="1:12" ht="15.75">
      <c r="A737" s="3"/>
      <c r="B737" s="161"/>
      <c r="C737" s="3"/>
      <c r="D737" s="4"/>
      <c r="E737" s="4"/>
      <c r="F737" s="40"/>
      <c r="G737" s="4"/>
      <c r="H737" s="4"/>
      <c r="I737" s="4"/>
      <c r="J737" s="4"/>
      <c r="L737" s="44"/>
    </row>
    <row r="738" spans="1:12" ht="15.75">
      <c r="A738" s="3"/>
      <c r="B738" s="161"/>
      <c r="C738" s="3"/>
      <c r="D738" s="4"/>
      <c r="E738" s="4"/>
      <c r="F738" s="40"/>
      <c r="G738" s="4"/>
      <c r="H738" s="4"/>
      <c r="I738" s="4"/>
      <c r="J738" s="4"/>
      <c r="L738" s="44"/>
    </row>
    <row r="739" spans="1:12" ht="15.75">
      <c r="A739" s="3"/>
      <c r="B739" s="161"/>
      <c r="C739" s="3"/>
      <c r="D739" s="4"/>
      <c r="E739" s="4"/>
      <c r="F739" s="40"/>
      <c r="G739" s="4"/>
      <c r="H739" s="4"/>
      <c r="I739" s="4"/>
      <c r="J739" s="4"/>
      <c r="L739" s="44"/>
    </row>
    <row r="740" spans="1:12" ht="15.75">
      <c r="A740" s="3"/>
      <c r="B740" s="161"/>
      <c r="C740" s="3"/>
      <c r="D740" s="4"/>
      <c r="E740" s="4"/>
      <c r="F740" s="40"/>
      <c r="G740" s="4"/>
      <c r="H740" s="4"/>
      <c r="I740" s="4"/>
      <c r="J740" s="4"/>
      <c r="L740" s="44"/>
    </row>
    <row r="741" spans="1:12" ht="15.75">
      <c r="A741" s="3"/>
      <c r="B741" s="161"/>
      <c r="C741" s="3"/>
      <c r="D741" s="4"/>
      <c r="E741" s="4"/>
      <c r="F741" s="40"/>
      <c r="G741" s="4"/>
      <c r="H741" s="4"/>
      <c r="I741" s="4"/>
      <c r="J741" s="4"/>
      <c r="L741" s="44"/>
    </row>
    <row r="742" spans="1:12" ht="15.75">
      <c r="A742" s="3"/>
      <c r="B742" s="161"/>
      <c r="C742" s="3"/>
      <c r="D742" s="4"/>
      <c r="E742" s="4"/>
      <c r="F742" s="40"/>
      <c r="G742" s="4"/>
      <c r="H742" s="4"/>
      <c r="I742" s="4"/>
      <c r="J742" s="4"/>
      <c r="L742" s="44"/>
    </row>
    <row r="743" spans="1:12" ht="15.75">
      <c r="A743" s="3"/>
      <c r="B743" s="161"/>
      <c r="C743" s="3"/>
      <c r="D743" s="4"/>
      <c r="E743" s="4"/>
      <c r="F743" s="40"/>
      <c r="G743" s="4"/>
      <c r="H743" s="4"/>
      <c r="I743" s="4"/>
      <c r="J743" s="4"/>
      <c r="L743" s="44"/>
    </row>
    <row r="744" spans="1:12" ht="15.75">
      <c r="A744" s="3"/>
      <c r="B744" s="161"/>
      <c r="C744" s="3"/>
      <c r="D744" s="4"/>
      <c r="E744" s="4"/>
      <c r="F744" s="40"/>
      <c r="G744" s="4"/>
      <c r="H744" s="4"/>
      <c r="I744" s="4"/>
      <c r="J744" s="4"/>
      <c r="L744" s="44"/>
    </row>
    <row r="745" spans="1:12" ht="15.75">
      <c r="A745" s="3"/>
      <c r="B745" s="161"/>
      <c r="C745" s="3"/>
      <c r="D745" s="4"/>
      <c r="E745" s="4"/>
      <c r="F745" s="40"/>
      <c r="G745" s="4"/>
      <c r="H745" s="4"/>
      <c r="I745" s="4"/>
      <c r="J745" s="4"/>
      <c r="L745" s="44"/>
    </row>
    <row r="746" spans="1:12" ht="15.75">
      <c r="A746" s="3"/>
      <c r="B746" s="161"/>
      <c r="C746" s="3"/>
      <c r="D746" s="4"/>
      <c r="E746" s="4"/>
      <c r="F746" s="40"/>
      <c r="G746" s="4"/>
      <c r="H746" s="4"/>
      <c r="I746" s="4"/>
      <c r="J746" s="4"/>
      <c r="L746" s="44"/>
    </row>
    <row r="747" spans="1:12" ht="15.75">
      <c r="A747" s="3"/>
      <c r="B747" s="161"/>
      <c r="C747" s="3"/>
      <c r="D747" s="4"/>
      <c r="E747" s="4"/>
      <c r="F747" s="40"/>
      <c r="G747" s="4"/>
      <c r="H747" s="4"/>
      <c r="I747" s="4"/>
      <c r="J747" s="4"/>
      <c r="L747" s="44"/>
    </row>
    <row r="748" spans="1:12" ht="15.75">
      <c r="A748" s="3"/>
      <c r="B748" s="161"/>
      <c r="C748" s="3"/>
      <c r="D748" s="4"/>
      <c r="E748" s="4"/>
      <c r="F748" s="40"/>
      <c r="G748" s="4"/>
      <c r="H748" s="4"/>
      <c r="I748" s="4"/>
      <c r="J748" s="4"/>
      <c r="L748" s="44"/>
    </row>
    <row r="749" spans="1:12" ht="15.75">
      <c r="A749" s="3"/>
      <c r="B749" s="161"/>
      <c r="C749" s="3"/>
      <c r="D749" s="4"/>
      <c r="E749" s="4"/>
      <c r="F749" s="40"/>
      <c r="G749" s="4"/>
      <c r="H749" s="4"/>
      <c r="I749" s="4"/>
      <c r="J749" s="4"/>
      <c r="L749" s="44"/>
    </row>
    <row r="750" spans="1:12" ht="15.75">
      <c r="A750" s="3"/>
      <c r="B750" s="161"/>
      <c r="C750" s="3"/>
      <c r="D750" s="4"/>
      <c r="E750" s="4"/>
      <c r="F750" s="40"/>
      <c r="G750" s="4"/>
      <c r="H750" s="4"/>
      <c r="I750" s="4"/>
      <c r="J750" s="4"/>
      <c r="L750" s="44"/>
    </row>
    <row r="751" spans="1:12" ht="15.75">
      <c r="A751" s="3"/>
      <c r="B751" s="161"/>
      <c r="C751" s="3"/>
      <c r="D751" s="4"/>
      <c r="E751" s="4"/>
      <c r="F751" s="40"/>
      <c r="G751" s="4"/>
      <c r="H751" s="4"/>
      <c r="I751" s="4"/>
      <c r="J751" s="4"/>
      <c r="L751" s="44"/>
    </row>
    <row r="752" spans="1:12" ht="15.75">
      <c r="A752" s="3"/>
      <c r="B752" s="161"/>
      <c r="C752" s="3"/>
      <c r="D752" s="4"/>
      <c r="E752" s="4"/>
      <c r="F752" s="40"/>
      <c r="G752" s="4"/>
      <c r="H752" s="4"/>
      <c r="I752" s="4"/>
      <c r="J752" s="4"/>
      <c r="L752" s="44"/>
    </row>
    <row r="753" spans="1:12" ht="15.75">
      <c r="A753" s="3"/>
      <c r="B753" s="161"/>
      <c r="C753" s="3"/>
      <c r="D753" s="4"/>
      <c r="E753" s="4"/>
      <c r="F753" s="40"/>
      <c r="G753" s="4"/>
      <c r="H753" s="4"/>
      <c r="I753" s="4"/>
      <c r="J753" s="4"/>
      <c r="L753" s="44"/>
    </row>
    <row r="754" spans="1:12" ht="15.75">
      <c r="A754" s="3"/>
      <c r="B754" s="161"/>
      <c r="C754" s="3"/>
      <c r="D754" s="4"/>
      <c r="E754" s="4"/>
      <c r="F754" s="40"/>
      <c r="G754" s="4"/>
      <c r="H754" s="4"/>
      <c r="I754" s="4"/>
      <c r="J754" s="4"/>
      <c r="L754" s="44"/>
    </row>
    <row r="755" spans="1:12" ht="15.75">
      <c r="A755" s="3"/>
      <c r="B755" s="161"/>
      <c r="C755" s="3"/>
      <c r="D755" s="4"/>
      <c r="E755" s="4"/>
      <c r="F755" s="40"/>
      <c r="G755" s="4"/>
      <c r="H755" s="4"/>
      <c r="I755" s="4"/>
      <c r="J755" s="4"/>
      <c r="L755" s="44"/>
    </row>
    <row r="756" spans="1:12" ht="15.75">
      <c r="A756" s="3"/>
      <c r="B756" s="161"/>
      <c r="C756" s="3"/>
      <c r="D756" s="4"/>
      <c r="E756" s="4"/>
      <c r="F756" s="40"/>
      <c r="G756" s="4"/>
      <c r="H756" s="4"/>
      <c r="I756" s="4"/>
      <c r="J756" s="4"/>
      <c r="L756" s="44"/>
    </row>
    <row r="757" spans="1:12" ht="15.75">
      <c r="A757" s="3"/>
      <c r="B757" s="161"/>
      <c r="C757" s="3"/>
      <c r="D757" s="4"/>
      <c r="E757" s="4"/>
      <c r="F757" s="40"/>
      <c r="G757" s="4"/>
      <c r="H757" s="4"/>
      <c r="I757" s="4"/>
      <c r="J757" s="4"/>
      <c r="L757" s="44"/>
    </row>
    <row r="758" spans="1:12" ht="15.75">
      <c r="A758" s="3"/>
      <c r="B758" s="161"/>
      <c r="C758" s="3"/>
      <c r="D758" s="4"/>
      <c r="E758" s="4"/>
      <c r="F758" s="40"/>
      <c r="G758" s="4"/>
      <c r="H758" s="4"/>
      <c r="I758" s="4"/>
      <c r="J758" s="4"/>
      <c r="L758" s="44"/>
    </row>
    <row r="759" spans="1:12" ht="15.75">
      <c r="A759" s="3"/>
      <c r="B759" s="161"/>
      <c r="C759" s="3"/>
      <c r="D759" s="4"/>
      <c r="E759" s="4"/>
      <c r="F759" s="40"/>
      <c r="G759" s="4"/>
      <c r="H759" s="4"/>
      <c r="I759" s="4"/>
      <c r="J759" s="4"/>
      <c r="L759" s="44"/>
    </row>
    <row r="760" spans="1:12" ht="15.75">
      <c r="A760" s="3"/>
      <c r="B760" s="161"/>
      <c r="C760" s="3"/>
      <c r="D760" s="4"/>
      <c r="E760" s="4"/>
      <c r="F760" s="40"/>
      <c r="G760" s="4"/>
      <c r="H760" s="4"/>
      <c r="I760" s="4"/>
      <c r="J760" s="4"/>
      <c r="L760" s="44"/>
    </row>
    <row r="761" spans="1:12" ht="15.75">
      <c r="A761" s="3"/>
      <c r="B761" s="161"/>
      <c r="C761" s="3"/>
      <c r="D761" s="4"/>
      <c r="E761" s="4"/>
      <c r="F761" s="40"/>
      <c r="G761" s="4"/>
      <c r="H761" s="4"/>
      <c r="I761" s="4"/>
      <c r="J761" s="4"/>
      <c r="L761" s="44"/>
    </row>
    <row r="762" spans="1:12" ht="15.75">
      <c r="A762" s="3"/>
      <c r="B762" s="161"/>
      <c r="C762" s="3"/>
      <c r="D762" s="4"/>
      <c r="E762" s="4"/>
      <c r="F762" s="40"/>
      <c r="G762" s="4"/>
      <c r="H762" s="4"/>
      <c r="I762" s="4"/>
      <c r="J762" s="4"/>
      <c r="L762" s="44"/>
    </row>
    <row r="763" spans="1:12" ht="15.75">
      <c r="A763" s="3"/>
      <c r="B763" s="161"/>
      <c r="C763" s="3"/>
      <c r="D763" s="4"/>
      <c r="E763" s="4"/>
      <c r="F763" s="40"/>
      <c r="G763" s="4"/>
      <c r="H763" s="4"/>
      <c r="I763" s="4"/>
      <c r="J763" s="4"/>
      <c r="L763" s="44"/>
    </row>
    <row r="764" spans="1:12" ht="15.75">
      <c r="A764" s="3"/>
      <c r="B764" s="161"/>
      <c r="C764" s="3"/>
      <c r="D764" s="4"/>
      <c r="E764" s="4"/>
      <c r="F764" s="40"/>
      <c r="G764" s="4"/>
      <c r="H764" s="4"/>
      <c r="I764" s="4"/>
      <c r="J764" s="4"/>
      <c r="L764" s="44"/>
    </row>
    <row r="765" spans="1:12" ht="15.75">
      <c r="A765" s="3"/>
      <c r="B765" s="161"/>
      <c r="C765" s="3"/>
      <c r="D765" s="4"/>
      <c r="E765" s="4"/>
      <c r="F765" s="40"/>
      <c r="G765" s="4"/>
      <c r="H765" s="4"/>
      <c r="I765" s="4"/>
      <c r="J765" s="4"/>
      <c r="L765" s="44"/>
    </row>
    <row r="766" spans="1:12" ht="15.75">
      <c r="A766" s="3"/>
      <c r="B766" s="161"/>
      <c r="C766" s="3"/>
      <c r="D766" s="4"/>
      <c r="E766" s="4"/>
      <c r="F766" s="40"/>
      <c r="G766" s="4"/>
      <c r="H766" s="4"/>
      <c r="I766" s="4"/>
      <c r="J766" s="4"/>
      <c r="L766" s="44"/>
    </row>
    <row r="767" spans="1:12" ht="15.75">
      <c r="A767" s="3"/>
      <c r="B767" s="161"/>
      <c r="C767" s="3"/>
      <c r="D767" s="4"/>
      <c r="E767" s="4"/>
      <c r="F767" s="40"/>
      <c r="G767" s="4"/>
      <c r="H767" s="4"/>
      <c r="I767" s="4"/>
      <c r="J767" s="4"/>
      <c r="L767" s="44"/>
    </row>
    <row r="768" spans="1:12" ht="15.75">
      <c r="A768" s="3"/>
      <c r="B768" s="161"/>
      <c r="C768" s="3"/>
      <c r="D768" s="4"/>
      <c r="E768" s="4"/>
      <c r="F768" s="40"/>
      <c r="G768" s="4"/>
      <c r="H768" s="4"/>
      <c r="I768" s="4"/>
      <c r="J768" s="4"/>
      <c r="L768" s="44"/>
    </row>
    <row r="769" spans="1:12" ht="15.75">
      <c r="A769" s="3"/>
      <c r="B769" s="161"/>
      <c r="C769" s="3"/>
      <c r="D769" s="4"/>
      <c r="E769" s="4"/>
      <c r="F769" s="40"/>
      <c r="G769" s="4"/>
      <c r="H769" s="4"/>
      <c r="I769" s="4"/>
      <c r="J769" s="4"/>
      <c r="L769" s="44"/>
    </row>
    <row r="770" spans="1:12" ht="15.75">
      <c r="A770" s="3"/>
      <c r="B770" s="161"/>
      <c r="C770" s="3"/>
      <c r="D770" s="4"/>
      <c r="E770" s="4"/>
      <c r="F770" s="40"/>
      <c r="G770" s="4"/>
      <c r="H770" s="4"/>
      <c r="I770" s="4"/>
      <c r="J770" s="4"/>
      <c r="L770" s="44"/>
    </row>
    <row r="771" spans="1:12" ht="15.75">
      <c r="A771" s="3"/>
      <c r="B771" s="161"/>
      <c r="C771" s="3"/>
      <c r="D771" s="4"/>
      <c r="E771" s="4"/>
      <c r="F771" s="40"/>
      <c r="G771" s="4"/>
      <c r="H771" s="4"/>
      <c r="I771" s="4"/>
      <c r="J771" s="4"/>
      <c r="L771" s="44"/>
    </row>
    <row r="772" spans="1:12" ht="15.75">
      <c r="A772" s="3"/>
      <c r="B772" s="161"/>
      <c r="C772" s="3"/>
      <c r="D772" s="4"/>
      <c r="E772" s="4"/>
      <c r="F772" s="40"/>
      <c r="G772" s="4"/>
      <c r="H772" s="4"/>
      <c r="I772" s="4"/>
      <c r="J772" s="4"/>
      <c r="L772" s="44"/>
    </row>
    <row r="773" spans="1:12" ht="15.75">
      <c r="A773" s="3"/>
      <c r="B773" s="161"/>
      <c r="C773" s="3"/>
      <c r="D773" s="4"/>
      <c r="E773" s="4"/>
      <c r="F773" s="40"/>
      <c r="G773" s="4"/>
      <c r="H773" s="4"/>
      <c r="I773" s="4"/>
      <c r="J773" s="4"/>
      <c r="L773" s="44"/>
    </row>
    <row r="774" spans="1:12" ht="15.75">
      <c r="A774" s="3"/>
      <c r="B774" s="161"/>
      <c r="C774" s="3"/>
      <c r="D774" s="4"/>
      <c r="E774" s="4"/>
      <c r="F774" s="40"/>
      <c r="G774" s="4"/>
      <c r="H774" s="4"/>
      <c r="I774" s="4"/>
      <c r="J774" s="4"/>
      <c r="L774" s="44"/>
    </row>
    <row r="775" spans="1:12" ht="15.75">
      <c r="A775" s="3"/>
      <c r="B775" s="161"/>
      <c r="C775" s="3"/>
      <c r="D775" s="4"/>
      <c r="E775" s="4"/>
      <c r="F775" s="40"/>
      <c r="G775" s="4"/>
      <c r="H775" s="4"/>
      <c r="I775" s="4"/>
      <c r="J775" s="4"/>
      <c r="L775" s="44"/>
    </row>
    <row r="776" spans="1:12" ht="15.75">
      <c r="A776" s="3"/>
      <c r="B776" s="161"/>
      <c r="C776" s="3"/>
      <c r="D776" s="4"/>
      <c r="E776" s="4"/>
      <c r="F776" s="40"/>
      <c r="G776" s="4"/>
      <c r="H776" s="4"/>
      <c r="I776" s="4"/>
      <c r="J776" s="4"/>
      <c r="L776" s="44"/>
    </row>
    <row r="777" spans="1:12" ht="15.75">
      <c r="A777" s="3"/>
      <c r="B777" s="161"/>
      <c r="C777" s="3"/>
      <c r="D777" s="4"/>
      <c r="E777" s="4"/>
      <c r="F777" s="40"/>
      <c r="G777" s="4"/>
      <c r="H777" s="4"/>
      <c r="I777" s="4"/>
      <c r="J777" s="4"/>
      <c r="L777" s="44"/>
    </row>
    <row r="778" spans="1:12" ht="15.75">
      <c r="A778" s="3"/>
      <c r="B778" s="161"/>
      <c r="C778" s="3"/>
      <c r="D778" s="4"/>
      <c r="E778" s="4"/>
      <c r="F778" s="40"/>
      <c r="G778" s="4"/>
      <c r="H778" s="4"/>
      <c r="I778" s="4"/>
      <c r="J778" s="4"/>
      <c r="L778" s="44"/>
    </row>
    <row r="779" spans="1:12" ht="15.75">
      <c r="A779" s="3"/>
      <c r="B779" s="161"/>
      <c r="C779" s="3"/>
      <c r="D779" s="4"/>
      <c r="E779" s="4"/>
      <c r="F779" s="40"/>
      <c r="G779" s="4"/>
      <c r="H779" s="4"/>
      <c r="I779" s="4"/>
      <c r="J779" s="4"/>
      <c r="L779" s="44"/>
    </row>
    <row r="780" spans="1:12" ht="15.75">
      <c r="A780" s="3"/>
      <c r="B780" s="161"/>
      <c r="C780" s="3"/>
      <c r="D780" s="4"/>
      <c r="E780" s="4"/>
      <c r="F780" s="40"/>
      <c r="G780" s="4"/>
      <c r="H780" s="4"/>
      <c r="I780" s="4"/>
      <c r="J780" s="4"/>
      <c r="L780" s="44"/>
    </row>
    <row r="781" spans="1:12" ht="15.75">
      <c r="A781" s="3"/>
      <c r="B781" s="161"/>
      <c r="C781" s="3"/>
      <c r="D781" s="4"/>
      <c r="E781" s="4"/>
      <c r="F781" s="40"/>
      <c r="G781" s="4"/>
      <c r="H781" s="4"/>
      <c r="I781" s="4"/>
      <c r="J781" s="4"/>
      <c r="L781" s="44"/>
    </row>
    <row r="782" spans="1:12" ht="15.75">
      <c r="A782" s="3"/>
      <c r="B782" s="161"/>
      <c r="C782" s="3"/>
      <c r="D782" s="4"/>
      <c r="E782" s="4"/>
      <c r="F782" s="40"/>
      <c r="G782" s="4"/>
      <c r="H782" s="4"/>
      <c r="I782" s="4"/>
      <c r="J782" s="4"/>
      <c r="L782" s="44"/>
    </row>
    <row r="783" spans="1:12" ht="15.75">
      <c r="A783" s="3"/>
      <c r="B783" s="161"/>
      <c r="C783" s="3"/>
      <c r="D783" s="4"/>
      <c r="E783" s="4"/>
      <c r="F783" s="40"/>
      <c r="G783" s="4"/>
      <c r="H783" s="4"/>
      <c r="I783" s="4"/>
      <c r="J783" s="4"/>
      <c r="L783" s="44"/>
    </row>
    <row r="784" spans="1:12" ht="15.75">
      <c r="A784" s="3"/>
      <c r="B784" s="161"/>
      <c r="C784" s="3"/>
      <c r="D784" s="4"/>
      <c r="E784" s="4"/>
      <c r="F784" s="40"/>
      <c r="G784" s="4"/>
      <c r="H784" s="4"/>
      <c r="I784" s="4"/>
      <c r="J784" s="4"/>
      <c r="L784" s="44"/>
    </row>
    <row r="785" spans="1:12" ht="15.75">
      <c r="A785" s="3"/>
      <c r="B785" s="161"/>
      <c r="C785" s="3"/>
      <c r="D785" s="4"/>
      <c r="E785" s="4"/>
      <c r="F785" s="40"/>
      <c r="G785" s="4"/>
      <c r="H785" s="4"/>
      <c r="I785" s="4"/>
      <c r="J785" s="4"/>
      <c r="L785" s="44"/>
    </row>
    <row r="786" spans="1:12" ht="15.75">
      <c r="A786" s="3"/>
      <c r="B786" s="161"/>
      <c r="C786" s="3"/>
      <c r="D786" s="4"/>
      <c r="E786" s="4"/>
      <c r="F786" s="40"/>
      <c r="G786" s="4"/>
      <c r="H786" s="4"/>
      <c r="I786" s="4"/>
      <c r="J786" s="4"/>
      <c r="L786" s="44"/>
    </row>
    <row r="787" spans="1:12" ht="15.75">
      <c r="A787" s="3"/>
      <c r="B787" s="161"/>
      <c r="C787" s="3"/>
      <c r="D787" s="4"/>
      <c r="E787" s="4"/>
      <c r="F787" s="40"/>
      <c r="G787" s="4"/>
      <c r="H787" s="4"/>
      <c r="I787" s="4"/>
      <c r="J787" s="4"/>
      <c r="L787" s="44"/>
    </row>
    <row r="788" spans="1:12" ht="15.75">
      <c r="A788" s="3"/>
      <c r="B788" s="161"/>
      <c r="C788" s="3"/>
      <c r="D788" s="4"/>
      <c r="E788" s="4"/>
      <c r="F788" s="40"/>
      <c r="G788" s="4"/>
      <c r="H788" s="4"/>
      <c r="I788" s="4"/>
      <c r="J788" s="4"/>
      <c r="L788" s="44"/>
    </row>
    <row r="789" spans="1:12" ht="15.75">
      <c r="A789" s="3"/>
      <c r="B789" s="161"/>
      <c r="C789" s="3"/>
      <c r="D789" s="4"/>
      <c r="E789" s="4"/>
      <c r="F789" s="40"/>
      <c r="G789" s="4"/>
      <c r="H789" s="4"/>
      <c r="I789" s="4"/>
      <c r="J789" s="4"/>
      <c r="L789" s="44"/>
    </row>
    <row r="790" spans="1:12" ht="15.75">
      <c r="A790" s="3"/>
      <c r="B790" s="161"/>
      <c r="C790" s="3"/>
      <c r="D790" s="4"/>
      <c r="E790" s="4"/>
      <c r="F790" s="40"/>
      <c r="G790" s="4"/>
      <c r="H790" s="4"/>
      <c r="I790" s="4"/>
      <c r="J790" s="4"/>
      <c r="L790" s="44"/>
    </row>
    <row r="791" spans="1:12" ht="15.75">
      <c r="A791" s="3"/>
      <c r="B791" s="161"/>
      <c r="C791" s="3"/>
      <c r="D791" s="4"/>
      <c r="E791" s="4"/>
      <c r="F791" s="40"/>
      <c r="G791" s="4"/>
      <c r="H791" s="4"/>
      <c r="I791" s="4"/>
      <c r="J791" s="4"/>
      <c r="L791" s="44"/>
    </row>
    <row r="792" spans="1:12" ht="15.75">
      <c r="A792" s="3"/>
      <c r="B792" s="161"/>
      <c r="C792" s="3"/>
      <c r="D792" s="4"/>
      <c r="E792" s="4"/>
      <c r="F792" s="40"/>
      <c r="G792" s="4"/>
      <c r="H792" s="4"/>
      <c r="I792" s="4"/>
      <c r="J792" s="4"/>
      <c r="L792" s="44"/>
    </row>
    <row r="793" spans="1:12" ht="15.75">
      <c r="A793" s="3"/>
      <c r="B793" s="161"/>
      <c r="C793" s="3"/>
      <c r="D793" s="4"/>
      <c r="E793" s="4"/>
      <c r="F793" s="40"/>
      <c r="G793" s="4"/>
      <c r="H793" s="4"/>
      <c r="I793" s="4"/>
      <c r="J793" s="4"/>
      <c r="L793" s="44"/>
    </row>
    <row r="794" spans="1:12" ht="15.75">
      <c r="A794" s="3"/>
      <c r="B794" s="161"/>
      <c r="C794" s="3"/>
      <c r="D794" s="4"/>
      <c r="E794" s="4"/>
      <c r="F794" s="40"/>
      <c r="G794" s="4"/>
      <c r="H794" s="4"/>
      <c r="I794" s="4"/>
      <c r="J794" s="4"/>
      <c r="L794" s="44"/>
    </row>
    <row r="795" spans="1:12" ht="15.75">
      <c r="A795" s="3"/>
      <c r="B795" s="161"/>
      <c r="C795" s="3"/>
      <c r="D795" s="4"/>
      <c r="E795" s="4"/>
      <c r="F795" s="40"/>
      <c r="G795" s="4"/>
      <c r="H795" s="4"/>
      <c r="I795" s="4"/>
      <c r="J795" s="4"/>
      <c r="L795" s="44"/>
    </row>
    <row r="796" spans="1:12" ht="15.75">
      <c r="A796" s="3"/>
      <c r="B796" s="161"/>
      <c r="C796" s="3"/>
      <c r="D796" s="4"/>
      <c r="E796" s="4"/>
      <c r="F796" s="40"/>
      <c r="G796" s="4"/>
      <c r="H796" s="4"/>
      <c r="I796" s="4"/>
      <c r="J796" s="4"/>
      <c r="L796" s="44"/>
    </row>
    <row r="797" spans="1:12" ht="15.75">
      <c r="A797" s="3"/>
      <c r="B797" s="161"/>
      <c r="C797" s="3"/>
      <c r="D797" s="4"/>
      <c r="E797" s="4"/>
      <c r="F797" s="40"/>
      <c r="G797" s="4"/>
      <c r="H797" s="4"/>
      <c r="I797" s="4"/>
      <c r="J797" s="4"/>
      <c r="L797" s="44"/>
    </row>
    <row r="798" spans="1:12" ht="15.75">
      <c r="A798" s="3"/>
      <c r="B798" s="161"/>
      <c r="C798" s="3"/>
      <c r="D798" s="4"/>
      <c r="E798" s="4"/>
      <c r="F798" s="40"/>
      <c r="G798" s="4"/>
      <c r="H798" s="4"/>
      <c r="I798" s="4"/>
      <c r="J798" s="4"/>
      <c r="L798" s="44"/>
    </row>
    <row r="799" spans="1:12" ht="15.75">
      <c r="A799" s="3"/>
      <c r="B799" s="161"/>
      <c r="C799" s="3"/>
      <c r="D799" s="4"/>
      <c r="E799" s="4"/>
      <c r="F799" s="40"/>
      <c r="G799" s="4"/>
      <c r="H799" s="4"/>
      <c r="I799" s="4"/>
      <c r="J799" s="4"/>
      <c r="L799" s="44"/>
    </row>
    <row r="800" spans="1:12" ht="15.75">
      <c r="A800" s="3"/>
      <c r="B800" s="161"/>
      <c r="C800" s="3"/>
      <c r="D800" s="4"/>
      <c r="E800" s="4"/>
      <c r="F800" s="40"/>
      <c r="G800" s="4"/>
      <c r="H800" s="4"/>
      <c r="I800" s="4"/>
      <c r="J800" s="4"/>
      <c r="L800" s="44"/>
    </row>
    <row r="801" spans="1:12" ht="15.75">
      <c r="A801" s="3"/>
      <c r="B801" s="161"/>
      <c r="C801" s="3"/>
      <c r="D801" s="4"/>
      <c r="E801" s="4"/>
      <c r="F801" s="40"/>
      <c r="G801" s="4"/>
      <c r="H801" s="4"/>
      <c r="I801" s="4"/>
      <c r="J801" s="4"/>
      <c r="L801" s="44"/>
    </row>
    <row r="802" spans="1:12" ht="15.75">
      <c r="A802" s="3"/>
      <c r="B802" s="161"/>
      <c r="C802" s="3"/>
      <c r="D802" s="4"/>
      <c r="E802" s="4"/>
      <c r="F802" s="40"/>
      <c r="G802" s="4"/>
      <c r="H802" s="4"/>
      <c r="I802" s="4"/>
      <c r="J802" s="4"/>
      <c r="L802" s="44"/>
    </row>
    <row r="803" spans="1:12" ht="15.75">
      <c r="A803" s="3"/>
      <c r="B803" s="161"/>
      <c r="C803" s="3"/>
      <c r="D803" s="4"/>
      <c r="E803" s="4"/>
      <c r="F803" s="40"/>
      <c r="G803" s="4"/>
      <c r="H803" s="4"/>
      <c r="I803" s="4"/>
      <c r="J803" s="4"/>
      <c r="L803" s="44"/>
    </row>
    <row r="804" spans="1:12" ht="15.75">
      <c r="A804" s="3"/>
      <c r="B804" s="161"/>
      <c r="C804" s="3"/>
      <c r="D804" s="4"/>
      <c r="E804" s="4"/>
      <c r="F804" s="40"/>
      <c r="G804" s="4"/>
      <c r="H804" s="4"/>
      <c r="I804" s="4"/>
      <c r="J804" s="4"/>
      <c r="L804" s="44"/>
    </row>
    <row r="805" spans="1:12" ht="15.75">
      <c r="A805" s="3"/>
      <c r="B805" s="161"/>
      <c r="C805" s="3"/>
      <c r="D805" s="4"/>
      <c r="E805" s="4"/>
      <c r="F805" s="40"/>
      <c r="G805" s="4"/>
      <c r="H805" s="4"/>
      <c r="I805" s="4"/>
      <c r="J805" s="4"/>
      <c r="L805" s="44"/>
    </row>
    <row r="806" spans="1:12" ht="15.75">
      <c r="A806" s="3"/>
      <c r="B806" s="161"/>
      <c r="C806" s="3"/>
      <c r="D806" s="4"/>
      <c r="E806" s="4"/>
      <c r="F806" s="40"/>
      <c r="G806" s="4"/>
      <c r="H806" s="4"/>
      <c r="I806" s="4"/>
      <c r="J806" s="4"/>
      <c r="L806" s="44"/>
    </row>
    <row r="807" spans="1:12" ht="15.75">
      <c r="A807" s="3"/>
      <c r="B807" s="161"/>
      <c r="C807" s="3"/>
      <c r="D807" s="4"/>
      <c r="E807" s="4"/>
      <c r="F807" s="40"/>
      <c r="G807" s="4"/>
      <c r="H807" s="4"/>
      <c r="I807" s="4"/>
      <c r="J807" s="4"/>
      <c r="L807" s="44"/>
    </row>
    <row r="808" spans="1:12" ht="15.75">
      <c r="A808" s="3"/>
      <c r="B808" s="161"/>
      <c r="C808" s="3"/>
      <c r="D808" s="4"/>
      <c r="E808" s="4"/>
      <c r="F808" s="40"/>
      <c r="G808" s="4"/>
      <c r="H808" s="4"/>
      <c r="I808" s="4"/>
      <c r="J808" s="4"/>
      <c r="L808" s="44"/>
    </row>
    <row r="809" spans="1:12" ht="15.75">
      <c r="A809" s="3"/>
      <c r="B809" s="161"/>
      <c r="C809" s="3"/>
      <c r="D809" s="4"/>
      <c r="E809" s="4"/>
      <c r="F809" s="40"/>
      <c r="G809" s="4"/>
      <c r="H809" s="4"/>
      <c r="I809" s="4"/>
      <c r="J809" s="4"/>
      <c r="L809" s="44"/>
    </row>
    <row r="810" spans="1:12" ht="15.75">
      <c r="A810" s="3"/>
      <c r="B810" s="161"/>
      <c r="C810" s="3"/>
      <c r="D810" s="4"/>
      <c r="E810" s="4"/>
      <c r="F810" s="40"/>
      <c r="G810" s="4"/>
      <c r="H810" s="4"/>
      <c r="I810" s="4"/>
      <c r="J810" s="4"/>
      <c r="L810" s="44"/>
    </row>
    <row r="811" spans="1:12" ht="15.75">
      <c r="A811" s="3"/>
      <c r="B811" s="161"/>
      <c r="C811" s="3"/>
      <c r="D811" s="4"/>
      <c r="E811" s="4"/>
      <c r="F811" s="40"/>
      <c r="G811" s="4"/>
      <c r="H811" s="4"/>
      <c r="I811" s="4"/>
      <c r="J811" s="4"/>
      <c r="L811" s="44"/>
    </row>
    <row r="812" spans="1:12" ht="15.75">
      <c r="A812" s="3"/>
      <c r="B812" s="161"/>
      <c r="C812" s="3"/>
      <c r="D812" s="4"/>
      <c r="E812" s="4"/>
      <c r="F812" s="40"/>
      <c r="G812" s="4"/>
      <c r="H812" s="4"/>
      <c r="I812" s="4"/>
      <c r="J812" s="4"/>
      <c r="L812" s="44"/>
    </row>
    <row r="813" spans="1:12" ht="15.75">
      <c r="A813" s="3"/>
      <c r="B813" s="161"/>
      <c r="C813" s="3"/>
      <c r="D813" s="4"/>
      <c r="E813" s="4"/>
      <c r="F813" s="40"/>
      <c r="G813" s="4"/>
      <c r="H813" s="4"/>
      <c r="I813" s="4"/>
      <c r="J813" s="4"/>
      <c r="L813" s="44"/>
    </row>
    <row r="814" spans="1:12" ht="15.75">
      <c r="A814" s="3"/>
      <c r="B814" s="161"/>
      <c r="C814" s="3"/>
      <c r="D814" s="4"/>
      <c r="E814" s="4"/>
      <c r="F814" s="40"/>
      <c r="G814" s="4"/>
      <c r="H814" s="4"/>
      <c r="I814" s="4"/>
      <c r="J814" s="4"/>
      <c r="L814" s="44"/>
    </row>
    <row r="815" spans="1:12" ht="15.75">
      <c r="A815" s="3"/>
      <c r="B815" s="161"/>
      <c r="C815" s="3"/>
      <c r="D815" s="4"/>
      <c r="E815" s="4"/>
      <c r="F815" s="40"/>
      <c r="G815" s="4"/>
      <c r="H815" s="4"/>
      <c r="I815" s="4"/>
      <c r="J815" s="4"/>
      <c r="L815" s="44"/>
    </row>
    <row r="816" spans="1:12" ht="15.75">
      <c r="A816" s="3"/>
      <c r="B816" s="161"/>
      <c r="C816" s="3"/>
      <c r="D816" s="4"/>
      <c r="E816" s="4"/>
      <c r="F816" s="40"/>
      <c r="G816" s="4"/>
      <c r="H816" s="4"/>
      <c r="I816" s="4"/>
      <c r="J816" s="4"/>
      <c r="L816" s="44"/>
    </row>
    <row r="817" spans="1:12" ht="15.75">
      <c r="A817" s="3"/>
      <c r="B817" s="161"/>
      <c r="C817" s="3"/>
      <c r="D817" s="4"/>
      <c r="E817" s="4"/>
      <c r="F817" s="40"/>
      <c r="G817" s="4"/>
      <c r="H817" s="4"/>
      <c r="I817" s="4"/>
      <c r="J817" s="4"/>
      <c r="L817" s="44"/>
    </row>
    <row r="818" spans="1:12" ht="15.75">
      <c r="A818" s="3"/>
      <c r="B818" s="161"/>
      <c r="C818" s="3"/>
      <c r="D818" s="4"/>
      <c r="E818" s="4"/>
      <c r="F818" s="40"/>
      <c r="G818" s="4"/>
      <c r="H818" s="4"/>
      <c r="I818" s="4"/>
      <c r="J818" s="4"/>
      <c r="L818" s="44"/>
    </row>
    <row r="819" spans="1:12" ht="15.75">
      <c r="A819" s="3"/>
      <c r="B819" s="161"/>
      <c r="C819" s="3"/>
      <c r="D819" s="4"/>
      <c r="E819" s="4"/>
      <c r="F819" s="40"/>
      <c r="G819" s="4"/>
      <c r="H819" s="4"/>
      <c r="I819" s="4"/>
      <c r="J819" s="4"/>
      <c r="L819" s="44"/>
    </row>
    <row r="820" spans="1:12" ht="15.75">
      <c r="A820" s="3"/>
      <c r="B820" s="161"/>
      <c r="C820" s="3"/>
      <c r="D820" s="4"/>
      <c r="E820" s="4"/>
      <c r="F820" s="40"/>
      <c r="G820" s="4"/>
      <c r="H820" s="4"/>
      <c r="I820" s="4"/>
      <c r="J820" s="4"/>
      <c r="L820" s="44"/>
    </row>
    <row r="821" spans="1:12" ht="15.75">
      <c r="A821" s="3"/>
      <c r="B821" s="161"/>
      <c r="C821" s="3"/>
      <c r="D821" s="4"/>
      <c r="E821" s="4"/>
      <c r="F821" s="40"/>
      <c r="G821" s="4"/>
      <c r="H821" s="4"/>
      <c r="I821" s="4"/>
      <c r="J821" s="4"/>
      <c r="L821" s="44"/>
    </row>
    <row r="822" spans="1:12" ht="15.75">
      <c r="A822" s="3"/>
      <c r="B822" s="161"/>
      <c r="C822" s="3"/>
      <c r="D822" s="4"/>
      <c r="E822" s="4"/>
      <c r="F822" s="40"/>
      <c r="G822" s="4"/>
      <c r="H822" s="4"/>
      <c r="I822" s="4"/>
      <c r="J822" s="4"/>
      <c r="L822" s="44"/>
    </row>
    <row r="823" spans="1:12" ht="15.75">
      <c r="A823" s="3"/>
      <c r="B823" s="161"/>
      <c r="C823" s="3"/>
      <c r="D823" s="4"/>
      <c r="E823" s="4"/>
      <c r="F823" s="40"/>
      <c r="G823" s="4"/>
      <c r="H823" s="4"/>
      <c r="I823" s="4"/>
      <c r="J823" s="4"/>
      <c r="L823" s="44"/>
    </row>
    <row r="824" spans="1:12" ht="15.75">
      <c r="A824" s="3"/>
      <c r="B824" s="161"/>
      <c r="C824" s="3"/>
      <c r="D824" s="4"/>
      <c r="E824" s="4"/>
      <c r="F824" s="40"/>
      <c r="G824" s="4"/>
      <c r="H824" s="4"/>
      <c r="I824" s="4"/>
      <c r="J824" s="4"/>
      <c r="L824" s="44"/>
    </row>
    <row r="825" spans="1:12" ht="15.75">
      <c r="A825" s="3"/>
      <c r="B825" s="161"/>
      <c r="C825" s="3"/>
      <c r="D825" s="4"/>
      <c r="E825" s="4"/>
      <c r="F825" s="40"/>
      <c r="G825" s="4"/>
      <c r="H825" s="4"/>
      <c r="I825" s="4"/>
      <c r="J825" s="4"/>
      <c r="L825" s="44"/>
    </row>
    <row r="826" spans="1:12" ht="15.75">
      <c r="A826" s="3"/>
      <c r="B826" s="161"/>
      <c r="C826" s="3"/>
      <c r="D826" s="4"/>
      <c r="E826" s="4"/>
      <c r="F826" s="40"/>
      <c r="G826" s="4"/>
      <c r="H826" s="4"/>
      <c r="I826" s="4"/>
      <c r="J826" s="4"/>
      <c r="L826" s="44"/>
    </row>
    <row r="827" spans="1:12" ht="15.75">
      <c r="A827" s="3"/>
      <c r="B827" s="161"/>
      <c r="C827" s="3"/>
      <c r="D827" s="4"/>
      <c r="E827" s="4"/>
      <c r="F827" s="40"/>
      <c r="G827" s="4"/>
      <c r="H827" s="4"/>
      <c r="I827" s="4"/>
      <c r="J827" s="4"/>
      <c r="L827" s="44"/>
    </row>
    <row r="828" spans="1:12" ht="15.75">
      <c r="A828" s="3"/>
      <c r="B828" s="161"/>
      <c r="C828" s="3"/>
      <c r="D828" s="4"/>
      <c r="E828" s="4"/>
      <c r="F828" s="40"/>
      <c r="G828" s="4"/>
      <c r="H828" s="4"/>
      <c r="I828" s="4"/>
      <c r="J828" s="4"/>
      <c r="L828" s="44"/>
    </row>
    <row r="829" spans="1:12" ht="15.75">
      <c r="A829" s="3"/>
      <c r="B829" s="161"/>
      <c r="C829" s="3"/>
      <c r="D829" s="4"/>
      <c r="E829" s="4"/>
      <c r="F829" s="40"/>
      <c r="G829" s="4"/>
      <c r="H829" s="4"/>
      <c r="I829" s="4"/>
      <c r="J829" s="4"/>
      <c r="L829" s="44"/>
    </row>
    <row r="830" spans="1:12" ht="15.75">
      <c r="A830" s="3"/>
      <c r="B830" s="161"/>
      <c r="C830" s="3"/>
      <c r="D830" s="4"/>
      <c r="E830" s="4"/>
      <c r="F830" s="40"/>
      <c r="G830" s="4"/>
      <c r="H830" s="4"/>
      <c r="I830" s="4"/>
      <c r="J830" s="4"/>
      <c r="L830" s="44"/>
    </row>
    <row r="831" spans="1:12" ht="15.75">
      <c r="A831" s="3"/>
      <c r="B831" s="161"/>
      <c r="C831" s="3"/>
      <c r="D831" s="4"/>
      <c r="E831" s="4"/>
      <c r="F831" s="40"/>
      <c r="G831" s="4"/>
      <c r="H831" s="4"/>
      <c r="I831" s="4"/>
      <c r="J831" s="4"/>
      <c r="L831" s="44"/>
    </row>
    <row r="832" spans="1:12" ht="15.75">
      <c r="A832" s="3"/>
      <c r="B832" s="161"/>
      <c r="C832" s="3"/>
      <c r="D832" s="4"/>
      <c r="E832" s="4"/>
      <c r="F832" s="40"/>
      <c r="G832" s="4"/>
      <c r="H832" s="4"/>
      <c r="I832" s="4"/>
      <c r="J832" s="4"/>
      <c r="L832" s="44"/>
    </row>
    <row r="833" spans="1:12" ht="15.75">
      <c r="A833" s="3"/>
      <c r="B833" s="161"/>
      <c r="C833" s="3"/>
      <c r="D833" s="4"/>
      <c r="E833" s="4"/>
      <c r="F833" s="40"/>
      <c r="G833" s="4"/>
      <c r="H833" s="4"/>
      <c r="I833" s="4"/>
      <c r="J833" s="4"/>
      <c r="L833" s="44"/>
    </row>
    <row r="834" spans="1:12" ht="15.75">
      <c r="A834" s="3"/>
      <c r="B834" s="161"/>
      <c r="C834" s="3"/>
      <c r="D834" s="4"/>
      <c r="E834" s="4"/>
      <c r="F834" s="40"/>
      <c r="G834" s="4"/>
      <c r="H834" s="4"/>
      <c r="I834" s="4"/>
      <c r="J834" s="4"/>
      <c r="L834" s="44"/>
    </row>
    <row r="835" spans="1:12" ht="15.75">
      <c r="A835" s="3"/>
      <c r="B835" s="161"/>
      <c r="C835" s="3"/>
      <c r="D835" s="4"/>
      <c r="E835" s="4"/>
      <c r="F835" s="40"/>
      <c r="G835" s="4"/>
      <c r="H835" s="4"/>
      <c r="I835" s="4"/>
      <c r="J835" s="4"/>
      <c r="L835" s="44"/>
    </row>
    <row r="836" spans="1:12" ht="15.75">
      <c r="A836" s="3"/>
      <c r="B836" s="161"/>
      <c r="C836" s="3"/>
      <c r="D836" s="4"/>
      <c r="E836" s="4"/>
      <c r="F836" s="40"/>
      <c r="G836" s="4"/>
      <c r="H836" s="4"/>
      <c r="I836" s="4"/>
      <c r="J836" s="4"/>
      <c r="L836" s="44"/>
    </row>
    <row r="837" spans="1:12" ht="15.75">
      <c r="A837" s="3"/>
      <c r="B837" s="161"/>
      <c r="C837" s="3"/>
      <c r="D837" s="4"/>
      <c r="E837" s="4"/>
      <c r="F837" s="40"/>
      <c r="G837" s="4"/>
      <c r="H837" s="4"/>
      <c r="I837" s="4"/>
      <c r="J837" s="4"/>
      <c r="L837" s="44"/>
    </row>
    <row r="838" spans="1:12" ht="15.75">
      <c r="A838" s="3"/>
      <c r="B838" s="161"/>
      <c r="C838" s="3"/>
      <c r="D838" s="4"/>
      <c r="E838" s="4"/>
      <c r="F838" s="40"/>
      <c r="G838" s="4"/>
      <c r="H838" s="4"/>
      <c r="I838" s="4"/>
      <c r="J838" s="4"/>
      <c r="L838" s="44"/>
    </row>
    <row r="839" spans="1:12" ht="15.75">
      <c r="A839" s="3"/>
      <c r="B839" s="161"/>
      <c r="C839" s="3"/>
      <c r="D839" s="4"/>
      <c r="E839" s="4"/>
      <c r="F839" s="40"/>
      <c r="G839" s="4"/>
      <c r="H839" s="4"/>
      <c r="I839" s="4"/>
      <c r="J839" s="4"/>
      <c r="L839" s="44"/>
    </row>
    <row r="840" spans="1:12" ht="15.75">
      <c r="A840" s="3"/>
      <c r="B840" s="161"/>
      <c r="C840" s="3"/>
      <c r="D840" s="4"/>
      <c r="E840" s="4"/>
      <c r="F840" s="40"/>
      <c r="G840" s="4"/>
      <c r="H840" s="4"/>
      <c r="I840" s="4"/>
      <c r="J840" s="4"/>
      <c r="L840" s="44"/>
    </row>
    <row r="841" spans="1:12" ht="15.75">
      <c r="A841" s="3"/>
      <c r="B841" s="161"/>
      <c r="C841" s="3"/>
      <c r="D841" s="4"/>
      <c r="E841" s="4"/>
      <c r="F841" s="40"/>
      <c r="G841" s="4"/>
      <c r="H841" s="4"/>
      <c r="I841" s="4"/>
      <c r="J841" s="4"/>
      <c r="L841" s="44"/>
    </row>
    <row r="842" spans="1:12" ht="15.75">
      <c r="A842" s="3"/>
      <c r="B842" s="161"/>
      <c r="C842" s="3"/>
      <c r="D842" s="4"/>
      <c r="E842" s="4"/>
      <c r="F842" s="40"/>
      <c r="G842" s="4"/>
      <c r="H842" s="4"/>
      <c r="I842" s="4"/>
      <c r="J842" s="4"/>
      <c r="L842" s="44"/>
    </row>
    <row r="843" spans="1:12" ht="15.75">
      <c r="A843" s="3"/>
      <c r="B843" s="161"/>
      <c r="C843" s="3"/>
      <c r="D843" s="4"/>
      <c r="E843" s="4"/>
      <c r="F843" s="40"/>
      <c r="G843" s="4"/>
      <c r="H843" s="4"/>
      <c r="I843" s="4"/>
      <c r="J843" s="4"/>
      <c r="L843" s="44"/>
    </row>
    <row r="844" spans="1:12" ht="15.75">
      <c r="A844" s="3"/>
      <c r="B844" s="161"/>
      <c r="C844" s="3"/>
      <c r="D844" s="4"/>
      <c r="E844" s="4"/>
      <c r="F844" s="40"/>
      <c r="G844" s="4"/>
      <c r="H844" s="4"/>
      <c r="I844" s="4"/>
      <c r="J844" s="4"/>
      <c r="L844" s="44"/>
    </row>
    <row r="845" spans="1:12" ht="15.75">
      <c r="A845" s="3"/>
      <c r="B845" s="161"/>
      <c r="C845" s="3"/>
      <c r="D845" s="4"/>
      <c r="E845" s="4"/>
      <c r="F845" s="40"/>
      <c r="G845" s="4"/>
      <c r="H845" s="4"/>
      <c r="I845" s="4"/>
      <c r="J845" s="4"/>
      <c r="L845" s="44"/>
    </row>
    <row r="846" spans="1:12" ht="15.75">
      <c r="A846" s="3"/>
      <c r="B846" s="161"/>
      <c r="C846" s="3"/>
      <c r="D846" s="4"/>
      <c r="E846" s="4"/>
      <c r="F846" s="40"/>
      <c r="G846" s="4"/>
      <c r="H846" s="4"/>
      <c r="I846" s="4"/>
      <c r="J846" s="4"/>
      <c r="L846" s="44"/>
    </row>
    <row r="847" spans="1:12" ht="15.75">
      <c r="A847" s="3"/>
      <c r="B847" s="161"/>
      <c r="C847" s="3"/>
      <c r="D847" s="4"/>
      <c r="E847" s="4"/>
      <c r="F847" s="40"/>
      <c r="G847" s="4"/>
      <c r="H847" s="4"/>
      <c r="I847" s="4"/>
      <c r="J847" s="4"/>
      <c r="L847" s="44"/>
    </row>
    <row r="848" spans="1:12" ht="15.75">
      <c r="A848" s="3"/>
      <c r="B848" s="161"/>
      <c r="C848" s="3"/>
      <c r="D848" s="4"/>
      <c r="E848" s="4"/>
      <c r="F848" s="40"/>
      <c r="G848" s="4"/>
      <c r="H848" s="4"/>
      <c r="I848" s="4"/>
      <c r="J848" s="4"/>
      <c r="L848" s="44"/>
    </row>
    <row r="849" spans="1:12" ht="15.75">
      <c r="A849" s="3"/>
      <c r="B849" s="161"/>
      <c r="C849" s="3"/>
      <c r="D849" s="4"/>
      <c r="E849" s="4"/>
      <c r="F849" s="40"/>
      <c r="G849" s="4"/>
      <c r="H849" s="4"/>
      <c r="I849" s="4"/>
      <c r="J849" s="4"/>
      <c r="L849" s="44"/>
    </row>
    <row r="850" spans="1:12" ht="15.75">
      <c r="A850" s="3"/>
      <c r="B850" s="161"/>
      <c r="C850" s="3"/>
      <c r="D850" s="4"/>
      <c r="E850" s="4"/>
      <c r="F850" s="40"/>
      <c r="G850" s="4"/>
      <c r="H850" s="4"/>
      <c r="I850" s="4"/>
      <c r="J850" s="4"/>
      <c r="L850" s="44"/>
    </row>
    <row r="851" spans="1:12" ht="15.75">
      <c r="A851" s="3"/>
      <c r="B851" s="161"/>
      <c r="C851" s="3"/>
      <c r="D851" s="4"/>
      <c r="E851" s="4"/>
      <c r="F851" s="40"/>
      <c r="G851" s="4"/>
      <c r="H851" s="4"/>
      <c r="I851" s="4"/>
      <c r="J851" s="4"/>
      <c r="L851" s="44"/>
    </row>
    <row r="852" spans="1:12" ht="15.75">
      <c r="A852" s="3"/>
      <c r="B852" s="161"/>
      <c r="C852" s="3"/>
      <c r="D852" s="4"/>
      <c r="E852" s="4"/>
      <c r="F852" s="40"/>
      <c r="G852" s="4"/>
      <c r="H852" s="4"/>
      <c r="I852" s="4"/>
      <c r="J852" s="4"/>
      <c r="L852" s="44"/>
    </row>
    <row r="853" spans="1:12" ht="15.75">
      <c r="A853" s="3"/>
      <c r="B853" s="161"/>
      <c r="C853" s="3"/>
      <c r="D853" s="4"/>
      <c r="E853" s="4"/>
      <c r="F853" s="40"/>
      <c r="G853" s="4"/>
      <c r="H853" s="4"/>
      <c r="I853" s="4"/>
      <c r="J853" s="4"/>
      <c r="L853" s="44"/>
    </row>
    <row r="854" spans="1:12" ht="15.75">
      <c r="A854" s="3"/>
      <c r="B854" s="161"/>
      <c r="C854" s="3"/>
      <c r="D854" s="4"/>
      <c r="E854" s="4"/>
      <c r="F854" s="40"/>
      <c r="G854" s="4"/>
      <c r="H854" s="4"/>
      <c r="I854" s="4"/>
      <c r="J854" s="4"/>
      <c r="L854" s="44"/>
    </row>
    <row r="855" spans="1:12" ht="15.75">
      <c r="A855" s="3"/>
      <c r="B855" s="161"/>
      <c r="C855" s="3"/>
      <c r="D855" s="4"/>
      <c r="E855" s="4"/>
      <c r="F855" s="40"/>
      <c r="G855" s="4"/>
      <c r="H855" s="4"/>
      <c r="I855" s="4"/>
      <c r="J855" s="4"/>
      <c r="L855" s="44"/>
    </row>
    <row r="856" spans="1:12" ht="15.75">
      <c r="A856" s="3"/>
      <c r="B856" s="161"/>
      <c r="C856" s="3"/>
      <c r="D856" s="4"/>
      <c r="E856" s="4"/>
      <c r="F856" s="40"/>
      <c r="G856" s="4"/>
      <c r="H856" s="4"/>
      <c r="I856" s="4"/>
      <c r="J856" s="4"/>
      <c r="L856" s="44"/>
    </row>
    <row r="857" spans="1:12" ht="15.75">
      <c r="A857" s="3"/>
      <c r="B857" s="161"/>
      <c r="C857" s="3"/>
      <c r="D857" s="4"/>
      <c r="E857" s="4"/>
      <c r="F857" s="40"/>
      <c r="G857" s="4"/>
      <c r="H857" s="4"/>
      <c r="I857" s="4"/>
      <c r="J857" s="4"/>
      <c r="L857" s="44"/>
    </row>
    <row r="858" spans="1:12" ht="15.75">
      <c r="A858" s="3"/>
      <c r="B858" s="161"/>
      <c r="C858" s="3"/>
      <c r="D858" s="4"/>
      <c r="E858" s="4"/>
      <c r="F858" s="40"/>
      <c r="G858" s="4"/>
      <c r="H858" s="4"/>
      <c r="I858" s="4"/>
      <c r="J858" s="4"/>
      <c r="L858" s="44"/>
    </row>
    <row r="859" spans="1:12" ht="15.75">
      <c r="A859" s="3"/>
      <c r="B859" s="161"/>
      <c r="C859" s="3"/>
      <c r="D859" s="4"/>
      <c r="E859" s="4"/>
      <c r="F859" s="40"/>
      <c r="G859" s="4"/>
      <c r="H859" s="4"/>
      <c r="I859" s="4"/>
      <c r="J859" s="4"/>
      <c r="L859" s="44"/>
    </row>
    <row r="860" spans="1:12" ht="15.75">
      <c r="A860" s="3"/>
      <c r="B860" s="161"/>
      <c r="C860" s="3"/>
      <c r="D860" s="4"/>
      <c r="E860" s="4"/>
      <c r="F860" s="40"/>
      <c r="G860" s="4"/>
      <c r="H860" s="4"/>
      <c r="I860" s="4"/>
      <c r="J860" s="4"/>
      <c r="L860" s="44"/>
    </row>
    <row r="861" spans="1:12" ht="15.75">
      <c r="A861" s="3"/>
      <c r="B861" s="161"/>
      <c r="C861" s="3"/>
      <c r="D861" s="4"/>
      <c r="E861" s="4"/>
      <c r="F861" s="40"/>
      <c r="G861" s="4"/>
      <c r="H861" s="4"/>
      <c r="I861" s="4"/>
      <c r="J861" s="4"/>
      <c r="L861" s="44"/>
    </row>
    <row r="862" spans="1:12" ht="15.75">
      <c r="A862" s="3"/>
      <c r="B862" s="161"/>
      <c r="C862" s="3"/>
      <c r="D862" s="4"/>
      <c r="E862" s="4"/>
      <c r="F862" s="40"/>
      <c r="G862" s="4"/>
      <c r="H862" s="4"/>
      <c r="I862" s="4"/>
      <c r="J862" s="4"/>
      <c r="L862" s="44"/>
    </row>
    <row r="863" spans="1:12" ht="15.75">
      <c r="A863" s="3"/>
      <c r="B863" s="161"/>
      <c r="C863" s="3"/>
      <c r="D863" s="4"/>
      <c r="E863" s="4"/>
      <c r="F863" s="40"/>
      <c r="G863" s="4"/>
      <c r="H863" s="4"/>
      <c r="I863" s="4"/>
      <c r="J863" s="4"/>
      <c r="L863" s="44"/>
    </row>
    <row r="864" spans="1:12" ht="15.75">
      <c r="A864" s="3"/>
      <c r="B864" s="161"/>
      <c r="C864" s="3"/>
      <c r="D864" s="4"/>
      <c r="E864" s="4"/>
      <c r="F864" s="40"/>
      <c r="G864" s="4"/>
      <c r="H864" s="4"/>
      <c r="I864" s="4"/>
      <c r="J864" s="4"/>
      <c r="L864" s="44"/>
    </row>
    <row r="865" spans="1:12" ht="15.75">
      <c r="A865" s="3"/>
      <c r="B865" s="161"/>
      <c r="C865" s="3"/>
      <c r="D865" s="4"/>
      <c r="E865" s="4"/>
      <c r="F865" s="40"/>
      <c r="G865" s="4"/>
      <c r="H865" s="4"/>
      <c r="I865" s="4"/>
      <c r="J865" s="4"/>
      <c r="L865" s="44"/>
    </row>
    <row r="866" spans="1:12" ht="15.75">
      <c r="A866" s="3"/>
      <c r="B866" s="161"/>
      <c r="C866" s="3"/>
      <c r="D866" s="4"/>
      <c r="E866" s="4"/>
      <c r="F866" s="40"/>
      <c r="G866" s="4"/>
      <c r="H866" s="4"/>
      <c r="I866" s="4"/>
      <c r="J866" s="4"/>
      <c r="L866" s="44"/>
    </row>
    <row r="867" spans="1:12" ht="15.75">
      <c r="A867" s="3"/>
      <c r="B867" s="161"/>
      <c r="C867" s="3"/>
      <c r="D867" s="4"/>
      <c r="E867" s="4"/>
      <c r="F867" s="40"/>
      <c r="G867" s="4"/>
      <c r="H867" s="4"/>
      <c r="I867" s="4"/>
      <c r="J867" s="4"/>
      <c r="L867" s="44"/>
    </row>
    <row r="868" spans="1:12" ht="15.75">
      <c r="A868" s="3"/>
      <c r="B868" s="161"/>
      <c r="C868" s="3"/>
      <c r="D868" s="4"/>
      <c r="E868" s="4"/>
      <c r="F868" s="40"/>
      <c r="G868" s="4"/>
      <c r="H868" s="4"/>
      <c r="I868" s="4"/>
      <c r="J868" s="4"/>
      <c r="L868" s="44"/>
    </row>
    <row r="869" spans="1:12" ht="15.75">
      <c r="A869" s="3"/>
      <c r="B869" s="161"/>
      <c r="C869" s="3"/>
      <c r="D869" s="4"/>
      <c r="E869" s="4"/>
      <c r="F869" s="40"/>
      <c r="G869" s="4"/>
      <c r="H869" s="4"/>
      <c r="I869" s="4"/>
      <c r="J869" s="4"/>
      <c r="L869" s="44"/>
    </row>
    <row r="870" spans="1:12" ht="15.75">
      <c r="A870" s="3"/>
      <c r="B870" s="161"/>
      <c r="C870" s="3"/>
      <c r="D870" s="4"/>
      <c r="E870" s="4"/>
      <c r="F870" s="40"/>
      <c r="G870" s="4"/>
      <c r="H870" s="4"/>
      <c r="I870" s="4"/>
      <c r="J870" s="4"/>
      <c r="L870" s="44"/>
    </row>
    <row r="871" spans="1:12" ht="15.75">
      <c r="A871" s="3"/>
      <c r="B871" s="161"/>
      <c r="C871" s="3"/>
      <c r="D871" s="4"/>
      <c r="E871" s="4"/>
      <c r="F871" s="40"/>
      <c r="G871" s="4"/>
      <c r="H871" s="4"/>
      <c r="I871" s="4"/>
      <c r="J871" s="4"/>
      <c r="L871" s="44"/>
    </row>
    <row r="872" spans="1:12" ht="15.75">
      <c r="A872" s="3"/>
      <c r="B872" s="161"/>
      <c r="C872" s="3"/>
      <c r="D872" s="4"/>
      <c r="E872" s="4"/>
      <c r="F872" s="40"/>
      <c r="G872" s="4"/>
      <c r="H872" s="4"/>
      <c r="I872" s="4"/>
      <c r="J872" s="4"/>
      <c r="L872" s="44"/>
    </row>
    <row r="873" spans="1:12" ht="15.75">
      <c r="A873" s="3"/>
      <c r="B873" s="161"/>
      <c r="C873" s="3"/>
      <c r="D873" s="4"/>
      <c r="E873" s="4"/>
      <c r="F873" s="40"/>
      <c r="G873" s="4"/>
      <c r="H873" s="4"/>
      <c r="I873" s="4"/>
      <c r="J873" s="4"/>
      <c r="L873" s="44"/>
    </row>
    <row r="874" spans="1:12" ht="15.75">
      <c r="A874" s="3"/>
      <c r="B874" s="161"/>
      <c r="C874" s="3"/>
      <c r="D874" s="4"/>
      <c r="E874" s="4"/>
      <c r="F874" s="40"/>
      <c r="G874" s="4"/>
      <c r="H874" s="4"/>
      <c r="I874" s="4"/>
      <c r="J874" s="4"/>
      <c r="L874" s="44"/>
    </row>
    <row r="875" spans="1:12" ht="15.75">
      <c r="A875" s="3"/>
      <c r="B875" s="161"/>
      <c r="C875" s="3"/>
      <c r="D875" s="4"/>
      <c r="E875" s="4"/>
      <c r="F875" s="40"/>
      <c r="G875" s="4"/>
      <c r="H875" s="4"/>
      <c r="I875" s="4"/>
      <c r="J875" s="4"/>
      <c r="L875" s="44"/>
    </row>
    <row r="876" spans="1:12" ht="15.75">
      <c r="A876" s="3"/>
      <c r="B876" s="161"/>
      <c r="C876" s="3"/>
      <c r="D876" s="4"/>
      <c r="E876" s="4"/>
      <c r="F876" s="40"/>
      <c r="G876" s="4"/>
      <c r="H876" s="4"/>
      <c r="I876" s="4"/>
      <c r="J876" s="4"/>
      <c r="L876" s="44"/>
    </row>
    <row r="877" spans="1:12" ht="15.75">
      <c r="A877" s="3"/>
      <c r="B877" s="161"/>
      <c r="C877" s="3"/>
      <c r="D877" s="4"/>
      <c r="E877" s="4"/>
      <c r="F877" s="40"/>
      <c r="G877" s="4"/>
      <c r="H877" s="4"/>
      <c r="I877" s="4"/>
      <c r="J877" s="4"/>
      <c r="L877" s="44"/>
    </row>
    <row r="878" spans="1:12" ht="15.75">
      <c r="A878" s="3"/>
      <c r="B878" s="161"/>
      <c r="C878" s="3"/>
      <c r="D878" s="4"/>
      <c r="E878" s="4"/>
      <c r="F878" s="40"/>
      <c r="G878" s="4"/>
      <c r="H878" s="4"/>
      <c r="I878" s="4"/>
      <c r="J878" s="4"/>
      <c r="L878" s="44"/>
    </row>
    <row r="879" spans="1:12" ht="15.75">
      <c r="A879" s="3"/>
      <c r="B879" s="161"/>
      <c r="C879" s="3"/>
      <c r="D879" s="4"/>
      <c r="E879" s="4"/>
      <c r="F879" s="40"/>
      <c r="G879" s="4"/>
      <c r="H879" s="4"/>
      <c r="I879" s="4"/>
      <c r="J879" s="4"/>
      <c r="L879" s="44"/>
    </row>
    <row r="880" spans="1:12" ht="15.75">
      <c r="A880" s="3"/>
      <c r="B880" s="161"/>
      <c r="C880" s="3"/>
      <c r="D880" s="4"/>
      <c r="E880" s="4"/>
      <c r="F880" s="40"/>
      <c r="G880" s="4"/>
      <c r="H880" s="4"/>
      <c r="I880" s="4"/>
      <c r="J880" s="4"/>
      <c r="L880" s="44"/>
    </row>
    <row r="881" spans="1:12" ht="15.75">
      <c r="A881" s="3"/>
      <c r="B881" s="161"/>
      <c r="C881" s="3"/>
      <c r="D881" s="4"/>
      <c r="E881" s="4"/>
      <c r="F881" s="40"/>
      <c r="G881" s="4"/>
      <c r="H881" s="4"/>
      <c r="I881" s="4"/>
      <c r="J881" s="4"/>
      <c r="L881" s="44"/>
    </row>
    <row r="882" spans="1:12" ht="15.75">
      <c r="A882" s="3"/>
      <c r="B882" s="161"/>
      <c r="C882" s="3"/>
      <c r="D882" s="4"/>
      <c r="E882" s="4"/>
      <c r="F882" s="40"/>
      <c r="G882" s="4"/>
      <c r="H882" s="4"/>
      <c r="I882" s="4"/>
      <c r="J882" s="4"/>
      <c r="L882" s="44"/>
    </row>
    <row r="883" spans="1:12" ht="15.75">
      <c r="A883" s="3"/>
      <c r="B883" s="161"/>
      <c r="C883" s="3"/>
      <c r="D883" s="4"/>
      <c r="E883" s="4"/>
      <c r="F883" s="40"/>
      <c r="G883" s="4"/>
      <c r="H883" s="4"/>
      <c r="I883" s="4"/>
      <c r="J883" s="4"/>
      <c r="L883" s="44"/>
    </row>
    <row r="884" spans="1:12" ht="15.75">
      <c r="A884" s="3"/>
      <c r="B884" s="161"/>
      <c r="C884" s="3"/>
      <c r="D884" s="4"/>
      <c r="E884" s="4"/>
      <c r="F884" s="40"/>
      <c r="G884" s="4"/>
      <c r="H884" s="4"/>
      <c r="I884" s="4"/>
      <c r="J884" s="4"/>
      <c r="L884" s="44"/>
    </row>
    <row r="885" spans="1:12" ht="15.75">
      <c r="A885" s="3"/>
      <c r="B885" s="161"/>
      <c r="C885" s="3"/>
      <c r="D885" s="4"/>
      <c r="E885" s="4"/>
      <c r="F885" s="40"/>
      <c r="G885" s="4"/>
      <c r="H885" s="4"/>
      <c r="I885" s="4"/>
      <c r="J885" s="4"/>
      <c r="L885" s="44"/>
    </row>
    <row r="886" spans="1:12" ht="15.75">
      <c r="A886" s="3"/>
      <c r="B886" s="161"/>
      <c r="C886" s="3"/>
      <c r="D886" s="4"/>
      <c r="E886" s="4"/>
      <c r="F886" s="40"/>
      <c r="G886" s="4"/>
      <c r="H886" s="4"/>
      <c r="I886" s="4"/>
      <c r="J886" s="4"/>
      <c r="L886" s="44"/>
    </row>
    <row r="887" spans="1:12" ht="15.75">
      <c r="A887" s="3"/>
      <c r="B887" s="161"/>
      <c r="C887" s="3"/>
      <c r="D887" s="4"/>
      <c r="E887" s="4"/>
      <c r="F887" s="40"/>
      <c r="G887" s="4"/>
      <c r="H887" s="4"/>
      <c r="I887" s="4"/>
      <c r="J887" s="4"/>
      <c r="L887" s="44"/>
    </row>
    <row r="888" spans="1:12" ht="15.75">
      <c r="A888" s="3"/>
      <c r="B888" s="161"/>
      <c r="C888" s="3"/>
      <c r="D888" s="4"/>
      <c r="E888" s="4"/>
      <c r="F888" s="40"/>
      <c r="G888" s="4"/>
      <c r="H888" s="4"/>
      <c r="I888" s="4"/>
      <c r="J888" s="4"/>
      <c r="L888" s="44"/>
    </row>
    <row r="889" spans="1:12" ht="15.75">
      <c r="A889" s="3"/>
      <c r="B889" s="161"/>
      <c r="C889" s="3"/>
      <c r="D889" s="4"/>
      <c r="E889" s="4"/>
      <c r="F889" s="40"/>
      <c r="G889" s="4"/>
      <c r="H889" s="4"/>
      <c r="I889" s="4"/>
      <c r="J889" s="4"/>
      <c r="L889" s="44"/>
    </row>
    <row r="890" spans="1:12" ht="15.75">
      <c r="A890" s="3"/>
      <c r="B890" s="161"/>
      <c r="C890" s="3"/>
      <c r="D890" s="4"/>
      <c r="E890" s="4"/>
      <c r="F890" s="40"/>
      <c r="G890" s="4"/>
      <c r="H890" s="4"/>
      <c r="I890" s="4"/>
      <c r="J890" s="4"/>
      <c r="L890" s="44"/>
    </row>
    <row r="891" spans="1:12" ht="15.75">
      <c r="A891" s="3"/>
      <c r="B891" s="161"/>
      <c r="C891" s="3"/>
      <c r="D891" s="4"/>
      <c r="E891" s="4"/>
      <c r="F891" s="40"/>
      <c r="G891" s="4"/>
      <c r="H891" s="4"/>
      <c r="I891" s="4"/>
      <c r="J891" s="4"/>
      <c r="L891" s="44"/>
    </row>
    <row r="892" spans="1:12" ht="15.75">
      <c r="A892" s="3"/>
      <c r="B892" s="161"/>
      <c r="C892" s="3"/>
      <c r="D892" s="4"/>
      <c r="E892" s="4"/>
      <c r="F892" s="40"/>
      <c r="G892" s="4"/>
      <c r="H892" s="4"/>
      <c r="I892" s="4"/>
      <c r="J892" s="4"/>
      <c r="L892" s="44"/>
    </row>
    <row r="893" spans="1:12" ht="15.75">
      <c r="A893" s="3"/>
      <c r="B893" s="161"/>
      <c r="C893" s="3"/>
      <c r="D893" s="4"/>
      <c r="E893" s="4"/>
      <c r="F893" s="40"/>
      <c r="G893" s="4"/>
      <c r="H893" s="4"/>
      <c r="I893" s="4"/>
      <c r="J893" s="4"/>
      <c r="L893" s="44"/>
    </row>
    <row r="894" spans="1:12" ht="15.75">
      <c r="A894" s="3"/>
      <c r="B894" s="161"/>
      <c r="C894" s="3"/>
      <c r="D894" s="4"/>
      <c r="E894" s="4"/>
      <c r="F894" s="40"/>
      <c r="G894" s="4"/>
      <c r="H894" s="4"/>
      <c r="I894" s="4"/>
      <c r="J894" s="4"/>
      <c r="L894" s="44"/>
    </row>
    <row r="895" spans="1:12" ht="15.75">
      <c r="A895" s="3"/>
      <c r="B895" s="161"/>
      <c r="C895" s="3"/>
      <c r="D895" s="4"/>
      <c r="E895" s="4"/>
      <c r="F895" s="40"/>
      <c r="G895" s="4"/>
      <c r="H895" s="4"/>
      <c r="I895" s="4"/>
      <c r="J895" s="4"/>
      <c r="L895" s="44"/>
    </row>
    <row r="896" spans="1:12" ht="15.75">
      <c r="A896" s="3"/>
      <c r="B896" s="161"/>
      <c r="C896" s="3"/>
      <c r="D896" s="4"/>
      <c r="E896" s="4"/>
      <c r="F896" s="40"/>
      <c r="G896" s="4"/>
      <c r="H896" s="4"/>
      <c r="I896" s="4"/>
      <c r="J896" s="4"/>
      <c r="L896" s="44"/>
    </row>
    <row r="897" spans="1:12" ht="15.75">
      <c r="A897" s="3"/>
      <c r="B897" s="161"/>
      <c r="C897" s="3"/>
      <c r="D897" s="4"/>
      <c r="E897" s="4"/>
      <c r="F897" s="40"/>
      <c r="G897" s="4"/>
      <c r="H897" s="4"/>
      <c r="I897" s="4"/>
      <c r="J897" s="4"/>
      <c r="L897" s="44"/>
    </row>
    <row r="898" spans="1:12" ht="15.75">
      <c r="A898" s="3"/>
      <c r="B898" s="161"/>
      <c r="C898" s="3"/>
      <c r="D898" s="4"/>
      <c r="E898" s="4"/>
      <c r="F898" s="40"/>
      <c r="G898" s="4"/>
      <c r="H898" s="4"/>
      <c r="I898" s="4"/>
      <c r="J898" s="4"/>
      <c r="L898" s="44"/>
    </row>
    <row r="899" spans="1:12" ht="15.75">
      <c r="A899" s="3"/>
      <c r="B899" s="161"/>
      <c r="C899" s="3"/>
      <c r="D899" s="4"/>
      <c r="E899" s="4"/>
      <c r="F899" s="40"/>
      <c r="G899" s="4"/>
      <c r="H899" s="4"/>
      <c r="I899" s="4"/>
      <c r="J899" s="4"/>
      <c r="L899" s="44"/>
    </row>
    <row r="900" spans="1:12" ht="15.75">
      <c r="A900" s="3"/>
      <c r="B900" s="161"/>
      <c r="C900" s="3"/>
      <c r="D900" s="4"/>
      <c r="E900" s="4"/>
      <c r="F900" s="40"/>
      <c r="G900" s="4"/>
      <c r="H900" s="4"/>
      <c r="I900" s="4"/>
      <c r="J900" s="4"/>
      <c r="L900" s="44"/>
    </row>
    <row r="901" spans="1:12" ht="15.75">
      <c r="A901" s="3"/>
      <c r="B901" s="161"/>
      <c r="C901" s="3"/>
      <c r="D901" s="4"/>
      <c r="E901" s="4"/>
      <c r="F901" s="40"/>
      <c r="G901" s="4"/>
      <c r="H901" s="4"/>
      <c r="I901" s="4"/>
      <c r="J901" s="4"/>
      <c r="L901" s="44"/>
    </row>
    <row r="902" spans="1:12" ht="15.75">
      <c r="A902" s="3"/>
      <c r="B902" s="161"/>
      <c r="C902" s="3"/>
      <c r="D902" s="4"/>
      <c r="E902" s="4"/>
      <c r="F902" s="40"/>
      <c r="G902" s="4"/>
      <c r="H902" s="4"/>
      <c r="I902" s="4"/>
      <c r="J902" s="4"/>
      <c r="L902" s="44"/>
    </row>
    <row r="903" spans="1:12" ht="15.75">
      <c r="A903" s="3"/>
      <c r="B903" s="161"/>
      <c r="C903" s="3"/>
      <c r="D903" s="4"/>
      <c r="E903" s="4"/>
      <c r="F903" s="40"/>
      <c r="G903" s="4"/>
      <c r="H903" s="4"/>
      <c r="I903" s="4"/>
      <c r="J903" s="4"/>
      <c r="L903" s="44"/>
    </row>
    <row r="904" spans="1:12" ht="15.75">
      <c r="A904" s="3"/>
      <c r="B904" s="161"/>
      <c r="C904" s="3"/>
      <c r="D904" s="4"/>
      <c r="E904" s="4"/>
      <c r="F904" s="40"/>
      <c r="G904" s="4"/>
      <c r="H904" s="4"/>
      <c r="I904" s="4"/>
      <c r="J904" s="4"/>
      <c r="L904" s="44"/>
    </row>
    <row r="905" spans="1:12" ht="15.75">
      <c r="A905" s="3"/>
      <c r="B905" s="161"/>
      <c r="C905" s="3"/>
      <c r="D905" s="4"/>
      <c r="E905" s="4"/>
      <c r="F905" s="40"/>
      <c r="G905" s="4"/>
      <c r="H905" s="4"/>
      <c r="I905" s="4"/>
      <c r="J905" s="4"/>
      <c r="L905" s="44"/>
    </row>
    <row r="906" spans="1:12" ht="15.75">
      <c r="A906" s="3"/>
      <c r="B906" s="161"/>
      <c r="C906" s="3"/>
      <c r="D906" s="4"/>
      <c r="E906" s="4"/>
      <c r="F906" s="40"/>
      <c r="G906" s="4"/>
      <c r="H906" s="4"/>
      <c r="I906" s="4"/>
      <c r="J906" s="4"/>
      <c r="L906" s="44"/>
    </row>
    <row r="907" spans="1:12" ht="15.75">
      <c r="A907" s="3"/>
      <c r="B907" s="161"/>
      <c r="C907" s="3"/>
      <c r="D907" s="4"/>
      <c r="E907" s="4"/>
      <c r="F907" s="40"/>
      <c r="G907" s="4"/>
      <c r="H907" s="4"/>
      <c r="I907" s="4"/>
      <c r="J907" s="4"/>
      <c r="L907" s="44"/>
    </row>
    <row r="908" spans="1:12" ht="15.75">
      <c r="A908" s="3"/>
      <c r="B908" s="161"/>
      <c r="C908" s="3"/>
      <c r="D908" s="4"/>
      <c r="E908" s="4"/>
      <c r="F908" s="40"/>
      <c r="G908" s="4"/>
      <c r="H908" s="4"/>
      <c r="I908" s="4"/>
      <c r="J908" s="4"/>
      <c r="L908" s="44"/>
    </row>
    <row r="909" spans="1:12" ht="15.75">
      <c r="A909" s="3"/>
      <c r="B909" s="161"/>
      <c r="C909" s="3"/>
      <c r="D909" s="4"/>
      <c r="E909" s="4"/>
      <c r="F909" s="40"/>
      <c r="G909" s="4"/>
      <c r="H909" s="4"/>
      <c r="I909" s="4"/>
      <c r="J909" s="4"/>
      <c r="L909" s="44"/>
    </row>
    <row r="910" spans="1:12" ht="15.75">
      <c r="A910" s="3"/>
      <c r="B910" s="161"/>
      <c r="C910" s="3"/>
      <c r="D910" s="4"/>
      <c r="E910" s="4"/>
      <c r="F910" s="40"/>
      <c r="G910" s="4"/>
      <c r="H910" s="4"/>
      <c r="I910" s="4"/>
      <c r="J910" s="4"/>
      <c r="L910" s="44"/>
    </row>
    <row r="911" spans="1:12" ht="15.75">
      <c r="A911" s="3"/>
      <c r="B911" s="161"/>
      <c r="C911" s="3"/>
      <c r="D911" s="4"/>
      <c r="E911" s="4"/>
      <c r="F911" s="40"/>
      <c r="G911" s="4"/>
      <c r="H911" s="4"/>
      <c r="I911" s="4"/>
      <c r="J911" s="4"/>
      <c r="L911" s="44"/>
    </row>
    <row r="912" spans="1:12" ht="15.75">
      <c r="A912" s="3"/>
      <c r="B912" s="161"/>
      <c r="C912" s="3"/>
      <c r="D912" s="4"/>
      <c r="E912" s="4"/>
      <c r="F912" s="40"/>
      <c r="G912" s="4"/>
      <c r="H912" s="4"/>
      <c r="I912" s="4"/>
      <c r="J912" s="4"/>
      <c r="L912" s="44"/>
    </row>
    <row r="913" spans="1:12" ht="15.75">
      <c r="A913" s="3"/>
      <c r="B913" s="161"/>
      <c r="C913" s="3"/>
      <c r="D913" s="4"/>
      <c r="E913" s="4"/>
      <c r="F913" s="40"/>
      <c r="G913" s="4"/>
      <c r="H913" s="4"/>
      <c r="I913" s="4"/>
      <c r="J913" s="4"/>
      <c r="L913" s="44"/>
    </row>
    <row r="914" spans="1:12" ht="15.75">
      <c r="A914" s="3"/>
      <c r="B914" s="161"/>
      <c r="C914" s="3"/>
      <c r="D914" s="4"/>
      <c r="E914" s="4"/>
      <c r="F914" s="40"/>
      <c r="G914" s="4"/>
      <c r="H914" s="4"/>
      <c r="I914" s="4"/>
      <c r="J914" s="4"/>
      <c r="L914" s="44"/>
    </row>
    <row r="915" spans="1:12" ht="15.75">
      <c r="A915" s="3"/>
      <c r="B915" s="161"/>
      <c r="C915" s="3"/>
      <c r="D915" s="4"/>
      <c r="E915" s="4"/>
      <c r="F915" s="40"/>
      <c r="G915" s="4"/>
      <c r="H915" s="4"/>
      <c r="I915" s="4"/>
      <c r="J915" s="4"/>
      <c r="L915" s="44"/>
    </row>
    <row r="916" spans="1:12" ht="15.75">
      <c r="A916" s="3"/>
      <c r="B916" s="161"/>
      <c r="C916" s="3"/>
      <c r="D916" s="4"/>
      <c r="E916" s="4"/>
      <c r="F916" s="40"/>
      <c r="G916" s="4"/>
      <c r="H916" s="4"/>
      <c r="I916" s="4"/>
      <c r="J916" s="4"/>
      <c r="L916" s="44"/>
    </row>
    <row r="917" spans="1:12" ht="15.75">
      <c r="A917" s="3"/>
      <c r="B917" s="161"/>
      <c r="C917" s="3"/>
      <c r="D917" s="4"/>
      <c r="E917" s="4"/>
      <c r="F917" s="40"/>
      <c r="G917" s="4"/>
      <c r="H917" s="4"/>
      <c r="I917" s="4"/>
      <c r="J917" s="4"/>
      <c r="L917" s="44"/>
    </row>
    <row r="918" spans="1:12" ht="15.75">
      <c r="A918" s="3"/>
      <c r="B918" s="161"/>
      <c r="C918" s="3"/>
      <c r="D918" s="4"/>
      <c r="E918" s="4"/>
      <c r="F918" s="40"/>
      <c r="G918" s="4"/>
      <c r="H918" s="4"/>
      <c r="I918" s="4"/>
      <c r="J918" s="4"/>
      <c r="L918" s="44"/>
    </row>
    <row r="919" spans="1:12" ht="15.75">
      <c r="A919" s="3"/>
      <c r="B919" s="161"/>
      <c r="C919" s="3"/>
      <c r="D919" s="4"/>
      <c r="E919" s="4"/>
      <c r="F919" s="40"/>
      <c r="G919" s="4"/>
      <c r="H919" s="4"/>
      <c r="I919" s="4"/>
      <c r="J919" s="4"/>
      <c r="L919" s="44"/>
    </row>
    <row r="920" spans="1:12" ht="15.75">
      <c r="A920" s="3"/>
      <c r="B920" s="161"/>
      <c r="C920" s="3"/>
      <c r="D920" s="4"/>
      <c r="E920" s="4"/>
      <c r="F920" s="40"/>
      <c r="G920" s="4"/>
      <c r="H920" s="4"/>
      <c r="I920" s="4"/>
      <c r="J920" s="4"/>
      <c r="L920" s="44"/>
    </row>
    <row r="921" spans="1:12" ht="15.75">
      <c r="A921" s="3"/>
      <c r="B921" s="161"/>
      <c r="C921" s="3"/>
      <c r="D921" s="4"/>
      <c r="E921" s="4"/>
      <c r="F921" s="40"/>
      <c r="G921" s="4"/>
      <c r="H921" s="4"/>
      <c r="I921" s="4"/>
      <c r="J921" s="4"/>
      <c r="L921" s="44"/>
    </row>
  </sheetData>
  <autoFilter ref="G1:G921" xr:uid="{402F87B8-B2EC-4E33-B719-FD3F4FAC9A68}"/>
  <mergeCells count="1">
    <mergeCell ref="A1:L1"/>
  </mergeCells>
  <conditionalFormatting sqref="G6:G33">
    <cfRule type="cellIs" dxfId="4" priority="2" operator="between">
      <formula>1</formula>
      <formula>50</formula>
    </cfRule>
  </conditionalFormatting>
  <conditionalFormatting sqref="G32">
    <cfRule type="top10" dxfId="3" priority="1" rank="2"/>
  </conditionalFormatting>
  <conditionalFormatting sqref="G33 G6:G31">
    <cfRule type="top10" dxfId="2" priority="590" rank="2"/>
  </conditionalFormatting>
  <conditionalFormatting sqref="I32">
    <cfRule type="top10" dxfId="1" priority="3" rank="2"/>
  </conditionalFormatting>
  <conditionalFormatting sqref="I33:I405 I6 I8:I31">
    <cfRule type="top10" dxfId="0" priority="587" rank="2"/>
  </conditionalFormatting>
  <pageMargins left="0.39370078740157483" right="0.39370078740157483" top="0.74803149606299213" bottom="0.74803149606299213" header="0" footer="0.31496062992125984"/>
  <pageSetup paperSize="9" fitToHeight="0" orientation="landscape" r:id="rId1"/>
  <headerFooter scaleWithDoc="0">
    <oddFooter>&amp;CMargenliste Seite &amp;P von &amp;N</oddFooter>
  </headerFooter>
  <rowBreaks count="1" manualBreakCount="1">
    <brk id="20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0512-1006-499B-9C5F-DC5C88F9D941}">
  <sheetPr codeName="Tabelle4"/>
  <dimension ref="A1:D18"/>
  <sheetViews>
    <sheetView zoomScaleNormal="100" workbookViewId="0">
      <selection activeCell="A2" sqref="A2"/>
    </sheetView>
  </sheetViews>
  <sheetFormatPr baseColWidth="10" defaultColWidth="11.42578125" defaultRowHeight="15"/>
  <cols>
    <col min="1" max="1" width="16.85546875" customWidth="1"/>
    <col min="2" max="2" width="17" bestFit="1" customWidth="1"/>
    <col min="4" max="4" width="15.42578125" bestFit="1" customWidth="1"/>
  </cols>
  <sheetData>
    <row r="1" spans="1:4" s="8" customFormat="1" ht="23.25">
      <c r="A1" s="242" t="s">
        <v>199</v>
      </c>
      <c r="B1" s="243"/>
      <c r="C1" s="243"/>
      <c r="D1" s="243"/>
    </row>
    <row r="2" spans="1:4" ht="30">
      <c r="A2" s="72"/>
      <c r="B2" s="13" t="s">
        <v>11</v>
      </c>
      <c r="C2" s="48" t="s">
        <v>12</v>
      </c>
    </row>
    <row r="3" spans="1:4">
      <c r="A3" s="35" t="s">
        <v>13</v>
      </c>
      <c r="B3" s="224">
        <v>0.2</v>
      </c>
      <c r="C3" s="224">
        <v>0</v>
      </c>
    </row>
    <row r="4" spans="1:4">
      <c r="A4" s="35" t="s">
        <v>31</v>
      </c>
      <c r="B4" s="224">
        <v>0</v>
      </c>
      <c r="C4" s="224">
        <v>0.03</v>
      </c>
    </row>
    <row r="5" spans="1:4">
      <c r="A5" s="35" t="s">
        <v>36</v>
      </c>
      <c r="B5" s="224">
        <v>0</v>
      </c>
      <c r="C5" s="224">
        <v>0.02</v>
      </c>
      <c r="D5" t="s">
        <v>198</v>
      </c>
    </row>
    <row r="6" spans="1:4">
      <c r="A6" s="35" t="s">
        <v>15</v>
      </c>
      <c r="B6" s="225">
        <v>-5.0000000000000001E-3</v>
      </c>
      <c r="C6" s="224">
        <v>0</v>
      </c>
    </row>
    <row r="7" spans="1:4">
      <c r="A7" s="35" t="s">
        <v>17</v>
      </c>
      <c r="B7" s="224">
        <v>0.27</v>
      </c>
      <c r="C7" s="224">
        <v>0.03</v>
      </c>
    </row>
    <row r="8" spans="1:4">
      <c r="A8" s="35" t="s">
        <v>58</v>
      </c>
      <c r="B8" s="224">
        <v>0</v>
      </c>
      <c r="C8" s="224">
        <v>0.03</v>
      </c>
    </row>
    <row r="9" spans="1:4">
      <c r="A9" s="35" t="s">
        <v>21</v>
      </c>
      <c r="B9" s="224">
        <v>0</v>
      </c>
      <c r="C9" s="224">
        <v>0.03</v>
      </c>
    </row>
    <row r="10" spans="1:4">
      <c r="A10" s="35" t="s">
        <v>62</v>
      </c>
      <c r="B10" s="224">
        <v>0</v>
      </c>
      <c r="C10" s="224">
        <v>0.03</v>
      </c>
    </row>
    <row r="11" spans="1:4">
      <c r="A11" s="35" t="s">
        <v>65</v>
      </c>
      <c r="B11" s="224">
        <v>0.05</v>
      </c>
      <c r="C11" s="224">
        <v>0.05</v>
      </c>
    </row>
    <row r="12" spans="1:4">
      <c r="A12" s="35" t="s">
        <v>105</v>
      </c>
      <c r="B12" s="224">
        <v>0</v>
      </c>
      <c r="C12" s="224">
        <v>0</v>
      </c>
    </row>
    <row r="13" spans="1:4">
      <c r="A13" s="35" t="s">
        <v>68</v>
      </c>
      <c r="B13" s="224">
        <v>0</v>
      </c>
      <c r="C13" s="224">
        <v>0</v>
      </c>
    </row>
    <row r="14" spans="1:4">
      <c r="A14" s="35" t="s">
        <v>23</v>
      </c>
      <c r="B14" s="225">
        <v>0.315</v>
      </c>
      <c r="C14" s="224">
        <v>0</v>
      </c>
    </row>
    <row r="15" spans="1:4">
      <c r="A15" s="35" t="s">
        <v>75</v>
      </c>
      <c r="B15" s="224">
        <v>0</v>
      </c>
      <c r="C15" s="224">
        <v>0</v>
      </c>
    </row>
    <row r="16" spans="1:4">
      <c r="A16" s="35" t="s">
        <v>78</v>
      </c>
      <c r="B16" s="224">
        <v>0.05</v>
      </c>
      <c r="C16" s="224">
        <v>0.05</v>
      </c>
    </row>
    <row r="17" spans="1:3">
      <c r="A17" s="35" t="s">
        <v>106</v>
      </c>
      <c r="B17" s="224">
        <v>7.0000000000000007E-2</v>
      </c>
      <c r="C17" s="224">
        <v>0.03</v>
      </c>
    </row>
    <row r="18" spans="1:3">
      <c r="A18" s="35" t="s">
        <v>107</v>
      </c>
      <c r="B18" s="224">
        <v>0</v>
      </c>
      <c r="C18" s="224">
        <v>0</v>
      </c>
    </row>
  </sheetData>
  <mergeCells count="1">
    <mergeCell ref="A1:D1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59472E-11F1-4405-ACDB-8E9164E836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7</vt:i4>
      </vt:variant>
    </vt:vector>
  </HeadingPairs>
  <TitlesOfParts>
    <vt:vector size="11" baseType="lpstr">
      <vt:lpstr>Babyschalen</vt:lpstr>
      <vt:lpstr>Reboarder</vt:lpstr>
      <vt:lpstr>Folgesitze</vt:lpstr>
      <vt:lpstr>eigene Konditionen</vt:lpstr>
      <vt:lpstr>Babyschalen!Druckbereich</vt:lpstr>
      <vt:lpstr>'eigene Konditionen'!Druckbereich</vt:lpstr>
      <vt:lpstr>Folgesitze!Druckbereich</vt:lpstr>
      <vt:lpstr>Reboarder!Druckbereich</vt:lpstr>
      <vt:lpstr>Babyschalen!Drucktitel</vt:lpstr>
      <vt:lpstr>Folgesitze!Drucktitel</vt:lpstr>
      <vt:lpstr>Reboarder!Drucktitel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Kerstin Wirsing</dc:creator>
  <cp:keywords/>
  <dc:description/>
  <cp:lastModifiedBy>Sandra Müller-Leschner</cp:lastModifiedBy>
  <cp:revision/>
  <cp:lastPrinted>2023-09-04T08:06:09Z</cp:lastPrinted>
  <dcterms:created xsi:type="dcterms:W3CDTF">2019-09-23T13:36:07Z</dcterms:created>
  <dcterms:modified xsi:type="dcterms:W3CDTF">2024-06-09T10:41:12Z</dcterms:modified>
  <cp:category/>
  <cp:contentStatus/>
</cp:coreProperties>
</file>