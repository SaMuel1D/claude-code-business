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25"/>
  <workbookPr defaultThemeVersion="166925"/>
  <mc:AlternateContent xmlns:mc="http://schemas.openxmlformats.org/markup-compatibility/2006">
    <mc:Choice Requires="x15">
      <x15ac:absPath xmlns:x15ac="http://schemas.microsoft.com/office/spreadsheetml/2010/11/ac" url="https://axkids.sharepoint.com/sites/AxkidPartnerContentLibrary/Delade dokument/Axkid Partner Content And Educational Library/"/>
    </mc:Choice>
  </mc:AlternateContent>
  <xr:revisionPtr revIDLastSave="2274" documentId="13_ncr:1_{05DB0795-CADD-4045-A517-E63717C7C936}" xr6:coauthVersionLast="47" xr6:coauthVersionMax="47" xr10:uidLastSave="{DAC5230C-C466-4C86-856E-2024D76D40C8}"/>
  <bookViews>
    <workbookView xWindow="-110" yWindow="-110" windowWidth="19420" windowHeight="10420" xr2:uid="{58F8383D-4B10-4DA5-9557-7CE68BE59EA1}"/>
  </bookViews>
  <sheets>
    <sheet name="Axkid Template" sheetId="2" r:id="rId1"/>
    <sheet name="RRP data" sheetId="4" r:id="rId2"/>
    <sheet name="Axkid Template - SE" sheetId="1" state="hidden" r:id="rId3"/>
  </sheets>
  <definedNames>
    <definedName name="_xlnm._FilterDatabase" localSheetId="0" hidden="1">'Axkid Template'!$A$2:$AA$146</definedName>
    <definedName name="COLOR">#REF!</definedName>
    <definedName name="Siz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32" i="2" l="1"/>
  <c r="Z133" i="2"/>
  <c r="Z134" i="2"/>
  <c r="Z135" i="2"/>
  <c r="Z136" i="2"/>
  <c r="Z137" i="2"/>
  <c r="J132" i="2"/>
  <c r="J133" i="2"/>
  <c r="J134" i="2"/>
  <c r="J135" i="2"/>
  <c r="J136" i="2"/>
  <c r="J137" i="2"/>
  <c r="Z145" i="2"/>
  <c r="Z146" i="2"/>
  <c r="Z143" i="2"/>
  <c r="B174" i="4"/>
  <c r="B175" i="4"/>
  <c r="K146" i="2"/>
  <c r="K145" i="2"/>
  <c r="J146" i="2"/>
  <c r="J145" i="2"/>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2" i="4"/>
  <c r="K116" i="2"/>
  <c r="K114" i="2"/>
  <c r="K144" i="2"/>
  <c r="K143" i="2"/>
  <c r="K142" i="2"/>
  <c r="K141" i="2"/>
  <c r="K140" i="2"/>
  <c r="K139" i="2"/>
  <c r="K138" i="2"/>
  <c r="K130" i="2"/>
  <c r="K129" i="2"/>
  <c r="K128" i="2"/>
  <c r="K127" i="2"/>
  <c r="K126" i="2"/>
  <c r="K125" i="2"/>
  <c r="K124" i="2"/>
  <c r="K123" i="2"/>
  <c r="K122" i="2"/>
  <c r="K121" i="2"/>
  <c r="K120" i="2"/>
  <c r="K119" i="2"/>
  <c r="K118" i="2"/>
  <c r="K117" i="2"/>
  <c r="K115" i="2"/>
  <c r="J144" i="2"/>
  <c r="Z144" i="2"/>
  <c r="J126"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7" i="2"/>
  <c r="J128" i="2"/>
  <c r="J129" i="2"/>
  <c r="J130" i="2"/>
  <c r="J131" i="2"/>
  <c r="J138" i="2"/>
  <c r="J139" i="2"/>
  <c r="J140" i="2"/>
  <c r="J141" i="2"/>
  <c r="J142" i="2"/>
  <c r="J14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3" i="2"/>
  <c r="Z127" i="2"/>
  <c r="Z130" i="2"/>
  <c r="Z142" i="2"/>
  <c r="Z141" i="2"/>
  <c r="Z140" i="2"/>
  <c r="Z120" i="2"/>
  <c r="Z119" i="2"/>
  <c r="Z118" i="2"/>
  <c r="Z116" i="2"/>
  <c r="Z115" i="2"/>
  <c r="Z114" i="2"/>
  <c r="Z117" i="2"/>
  <c r="Z125" i="2"/>
  <c r="Z121" i="2"/>
  <c r="Z122" i="2"/>
  <c r="Z123" i="2"/>
  <c r="Z139" i="2"/>
  <c r="Z138" i="2"/>
  <c r="Z131" i="2"/>
  <c r="Z129" i="2"/>
  <c r="Z128" i="2"/>
  <c r="Z126" i="2"/>
  <c r="Z124" i="2"/>
  <c r="Z106" i="2"/>
  <c r="Z107" i="2"/>
  <c r="Z108" i="2"/>
  <c r="Z109" i="2"/>
  <c r="Z110" i="2"/>
  <c r="Z111" i="2"/>
  <c r="Z112" i="2"/>
  <c r="Z113" i="2"/>
  <c r="Z4" i="2" l="1"/>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3" i="2"/>
  <c r="J19" i="1"/>
  <c r="K19" i="1" s="1"/>
  <c r="J18" i="1"/>
  <c r="K18" i="1" s="1"/>
  <c r="J17" i="1"/>
  <c r="K17" i="1" s="1"/>
  <c r="J16" i="1"/>
  <c r="K16" i="1"/>
  <c r="J15" i="1"/>
  <c r="K15" i="1"/>
  <c r="J14" i="1"/>
  <c r="K14" i="1" s="1"/>
  <c r="J13" i="1"/>
  <c r="K13" i="1" s="1"/>
  <c r="J12" i="1"/>
  <c r="K12" i="1" s="1"/>
  <c r="J49" i="1"/>
  <c r="K49" i="1" s="1"/>
  <c r="J50" i="1"/>
  <c r="K50" i="1" s="1"/>
  <c r="J51" i="1"/>
  <c r="K51" i="1" s="1"/>
  <c r="J52" i="1"/>
  <c r="K52" i="1"/>
  <c r="J53" i="1"/>
  <c r="K53" i="1"/>
  <c r="J54" i="1"/>
  <c r="K54" i="1" s="1"/>
  <c r="J55" i="1"/>
  <c r="K55" i="1" s="1"/>
  <c r="J56" i="1"/>
  <c r="K56" i="1" s="1"/>
  <c r="J3" i="2"/>
  <c r="J3" i="1"/>
  <c r="K3" i="1" s="1"/>
  <c r="J4" i="1"/>
  <c r="K4" i="1" s="1"/>
  <c r="J5" i="1"/>
  <c r="K5" i="1" s="1"/>
  <c r="J6" i="1"/>
  <c r="K6" i="1"/>
  <c r="J7" i="1"/>
  <c r="K7" i="1"/>
  <c r="J8" i="1"/>
  <c r="K8" i="1"/>
  <c r="J9" i="1"/>
  <c r="K9" i="1" s="1"/>
  <c r="J10" i="1"/>
  <c r="K10" i="1" s="1"/>
  <c r="J11" i="1"/>
  <c r="K11" i="1" s="1"/>
  <c r="J20" i="1"/>
  <c r="K20" i="1"/>
  <c r="J21" i="1"/>
  <c r="K21" i="1"/>
  <c r="J38" i="1"/>
  <c r="K38" i="1"/>
  <c r="J39" i="1"/>
  <c r="K39" i="1" s="1"/>
  <c r="J40" i="1"/>
  <c r="K40" i="1" s="1"/>
  <c r="J41" i="1"/>
  <c r="K41" i="1" s="1"/>
  <c r="J42" i="1"/>
  <c r="K42" i="1"/>
  <c r="J43" i="1"/>
  <c r="K43" i="1"/>
  <c r="J44" i="1"/>
  <c r="K44" i="1"/>
  <c r="J45" i="1"/>
  <c r="K45" i="1" s="1"/>
  <c r="J46" i="1"/>
  <c r="K46" i="1" s="1"/>
  <c r="J47" i="1"/>
  <c r="K47" i="1" s="1"/>
  <c r="J48" i="1"/>
  <c r="K48" i="1"/>
  <c r="J57" i="1"/>
  <c r="K57" i="1"/>
  <c r="J58" i="1"/>
  <c r="K58" i="1"/>
  <c r="J59" i="1"/>
  <c r="K59" i="1" s="1"/>
  <c r="J60" i="1"/>
  <c r="K60" i="1" s="1"/>
  <c r="J61" i="1"/>
  <c r="K61" i="1" s="1"/>
  <c r="J62" i="1"/>
  <c r="K62" i="1"/>
  <c r="J63" i="1"/>
  <c r="K63" i="1"/>
  <c r="J64" i="1"/>
  <c r="K64" i="1"/>
  <c r="J65" i="1"/>
  <c r="K65" i="1" s="1"/>
  <c r="J66" i="1"/>
  <c r="K66" i="1" s="1"/>
  <c r="J67" i="1"/>
  <c r="K67" i="1" s="1"/>
  <c r="J68" i="1"/>
  <c r="K68" i="1"/>
  <c r="J69" i="1"/>
  <c r="K69" i="1"/>
  <c r="J70" i="1"/>
  <c r="K70" i="1"/>
  <c r="J71" i="1"/>
  <c r="K71" i="1" s="1"/>
  <c r="J72" i="1"/>
  <c r="K72" i="1" s="1"/>
  <c r="J73" i="1"/>
  <c r="K73" i="1" s="1"/>
  <c r="J74" i="1"/>
  <c r="K74" i="1"/>
  <c r="J75" i="1"/>
  <c r="K75" i="1"/>
  <c r="J76" i="1"/>
  <c r="K76" i="1"/>
  <c r="J77" i="1"/>
  <c r="K77" i="1" s="1"/>
  <c r="J78" i="1"/>
  <c r="K78" i="1" s="1"/>
  <c r="J79" i="1"/>
  <c r="K79" i="1" s="1"/>
  <c r="J80" i="1"/>
  <c r="K80" i="1"/>
  <c r="J81" i="1"/>
  <c r="K81" i="1"/>
  <c r="J82" i="1"/>
  <c r="K82" i="1"/>
  <c r="J83" i="1"/>
  <c r="K83" i="1" s="1"/>
  <c r="J84" i="1"/>
  <c r="K84" i="1" s="1"/>
  <c r="J86" i="1"/>
  <c r="K86" i="1" s="1"/>
  <c r="J87" i="1"/>
  <c r="K87" i="1"/>
  <c r="J88" i="1"/>
  <c r="K88" i="1"/>
  <c r="J89" i="1"/>
  <c r="K89" i="1"/>
  <c r="J90" i="1"/>
  <c r="K90" i="1" s="1"/>
  <c r="J91" i="1"/>
  <c r="K91" i="1" s="1"/>
  <c r="J92" i="1"/>
  <c r="K92" i="1" s="1"/>
  <c r="J93" i="1"/>
  <c r="K93" i="1"/>
  <c r="J94" i="1"/>
  <c r="K94" i="1"/>
  <c r="J95" i="1"/>
  <c r="K95" i="1"/>
</calcChain>
</file>

<file path=xl/sharedStrings.xml><?xml version="1.0" encoding="utf-8"?>
<sst xmlns="http://schemas.openxmlformats.org/spreadsheetml/2006/main" count="2122" uniqueCount="450">
  <si>
    <t>Axkid Product Template</t>
  </si>
  <si>
    <t>Change RRP currency --&gt;</t>
  </si>
  <si>
    <t>EUR</t>
  </si>
  <si>
    <t>Product size</t>
  </si>
  <si>
    <t>Box size</t>
  </si>
  <si>
    <t>Article Number</t>
  </si>
  <si>
    <t>Article Name</t>
  </si>
  <si>
    <t>Color</t>
  </si>
  <si>
    <t>EAN code</t>
  </si>
  <si>
    <t>Status</t>
  </si>
  <si>
    <t>Category</t>
  </si>
  <si>
    <t>Approval description</t>
  </si>
  <si>
    <t>Recommended age</t>
  </si>
  <si>
    <t>Range limit</t>
  </si>
  <si>
    <t>Currency</t>
  </si>
  <si>
    <t>Recommended Retail Price</t>
  </si>
  <si>
    <t>Full container qty</t>
  </si>
  <si>
    <t>Master box quantity</t>
  </si>
  <si>
    <t>Sales qty</t>
  </si>
  <si>
    <t>Qty per pallet</t>
  </si>
  <si>
    <t>Country of origin</t>
  </si>
  <si>
    <t>HS code</t>
  </si>
  <si>
    <t>Width in CM</t>
  </si>
  <si>
    <t>Height in cm</t>
  </si>
  <si>
    <t>Depth in cm</t>
  </si>
  <si>
    <t>Net weight kg</t>
  </si>
  <si>
    <t>Lenght in cm</t>
  </si>
  <si>
    <t>Width in cm2</t>
  </si>
  <si>
    <t>Height in cm2</t>
  </si>
  <si>
    <t>Gross weight kg</t>
  </si>
  <si>
    <t>Volume m3</t>
  </si>
  <si>
    <t>Washing instruction</t>
  </si>
  <si>
    <t>Product images &amp; movies</t>
  </si>
  <si>
    <t>Product manual</t>
  </si>
  <si>
    <t>Axkid Babyfix Grey</t>
  </si>
  <si>
    <t>Grey</t>
  </si>
  <si>
    <t>Active</t>
  </si>
  <si>
    <t>Infant carrier</t>
  </si>
  <si>
    <t>ECE R44</t>
  </si>
  <si>
    <t>0-1 years</t>
  </si>
  <si>
    <t>0-13kg</t>
  </si>
  <si>
    <t>CN</t>
  </si>
  <si>
    <t>30°</t>
  </si>
  <si>
    <t>Axkid Babyfix Black</t>
  </si>
  <si>
    <t>Black</t>
  </si>
  <si>
    <t>Axkid Babyfix Base Black</t>
  </si>
  <si>
    <t>Base</t>
  </si>
  <si>
    <t>n/a</t>
  </si>
  <si>
    <t>Axkid Minikid 3 Tar</t>
  </si>
  <si>
    <t>Tar Black</t>
  </si>
  <si>
    <t>Rear-facing car seat</t>
  </si>
  <si>
    <t>UN R129</t>
  </si>
  <si>
    <t>0-7 years</t>
  </si>
  <si>
    <t>36kg</t>
  </si>
  <si>
    <t>Axkid Minikid 3 Granite</t>
  </si>
  <si>
    <t>Granite Grey</t>
  </si>
  <si>
    <t>61-125cm (max 36kg)</t>
  </si>
  <si>
    <t>Axkid Minikid 3 Shellfish</t>
  </si>
  <si>
    <t>Shellfish Red</t>
  </si>
  <si>
    <t>Axkid Minikid 3 Sea</t>
  </si>
  <si>
    <t>Sea Blue</t>
  </si>
  <si>
    <t>Axkid Minikid 3 Moss</t>
  </si>
  <si>
    <t>Moss Green</t>
  </si>
  <si>
    <t>Axkid Minikid 3 Premium Shell Black</t>
  </si>
  <si>
    <t xml:space="preserve">Shell black </t>
  </si>
  <si>
    <t>Axkid Minikid 3 Premium Granite Melange</t>
  </si>
  <si>
    <t>Granite Grey Melange</t>
  </si>
  <si>
    <t>Axkid Minikid 2 (2022/23) Tar</t>
  </si>
  <si>
    <t>0-25kg</t>
  </si>
  <si>
    <t>Axkid Minikid 2 (2022/23) Granite</t>
  </si>
  <si>
    <t>Axkid Minikid 2 (2022/23) Shellfish</t>
  </si>
  <si>
    <t>Axkid Minikid 2 (2022/23) Sea</t>
  </si>
  <si>
    <t>Axkid Minikid 2 (2022/23) Moss</t>
  </si>
  <si>
    <t>Axkid Minikid 2 (2022/23) Premium Shell Black</t>
  </si>
  <si>
    <t>Axkid Minikid 2 (2022/23) Premium Granite Melange</t>
  </si>
  <si>
    <t>Axkid Minikid 2 Solid Tar</t>
  </si>
  <si>
    <t>Tar</t>
  </si>
  <si>
    <t>Discontinued</t>
  </si>
  <si>
    <t>Axkid Minikid 2 Solid Granite</t>
  </si>
  <si>
    <t>Granite</t>
  </si>
  <si>
    <t>Axkid Minikid 2 Solid Shellfish</t>
  </si>
  <si>
    <t>Shellfish</t>
  </si>
  <si>
    <t>Axkid Minikid 2 Solid Sea</t>
  </si>
  <si>
    <t>Sea</t>
  </si>
  <si>
    <t>Axkid Minikid 2 Solid Moss</t>
  </si>
  <si>
    <t>Moss</t>
  </si>
  <si>
    <t>Axkid Minikid 2 Premium Shell black</t>
  </si>
  <si>
    <t>Axkid Minikid 2 Premium Granite Melange</t>
  </si>
  <si>
    <t>Granite Melange</t>
  </si>
  <si>
    <t xml:space="preserve">Axkid Minikid 2 Premium Sky Grey </t>
  </si>
  <si>
    <t>Sky Grey</t>
  </si>
  <si>
    <t>Axkid Move (2022/23) Granite</t>
  </si>
  <si>
    <t>6 months - 6 years</t>
  </si>
  <si>
    <t>9-25kg</t>
  </si>
  <si>
    <t>Axkid Move (2022/23) Tar</t>
  </si>
  <si>
    <t>Axkid Move Grey</t>
  </si>
  <si>
    <t>Axkid Move Black</t>
  </si>
  <si>
    <t>Axkid Modukid Infant Tar</t>
  </si>
  <si>
    <t>40-75cm</t>
  </si>
  <si>
    <t>Axkid Modukid Infant Granite</t>
  </si>
  <si>
    <t>Axkid Modukid Infant Shellfish</t>
  </si>
  <si>
    <t>Axkid Modukid Infant Sea</t>
  </si>
  <si>
    <t>Axkid Modukid Infant Moss</t>
  </si>
  <si>
    <t>Axkid Modukid Infant Premium Shell black</t>
  </si>
  <si>
    <t>Shell black </t>
  </si>
  <si>
    <t>Axkid Modukid Infant Premium Granite Melange</t>
  </si>
  <si>
    <t>Axkid Modukid Infant Premium Sky Grey</t>
  </si>
  <si>
    <t>Axkid Modukid Seat Tar</t>
  </si>
  <si>
    <t>6 months - 4 years</t>
  </si>
  <si>
    <t>61-105cm (max 18kg)</t>
  </si>
  <si>
    <t>Axkid Modukid Seat Granite</t>
  </si>
  <si>
    <t>Axkid Modukid Seat Shellfish</t>
  </si>
  <si>
    <t>Axkid Modukid Seat Sea</t>
  </si>
  <si>
    <t>Axkid Modukid Seat Moss</t>
  </si>
  <si>
    <t>Axkid Modukid Seat Premium Shell black</t>
  </si>
  <si>
    <t>Axkid Modukid Seat Premium Granite Melange</t>
  </si>
  <si>
    <t>k</t>
  </si>
  <si>
    <t>Axkid Modukid Seat Premium Sky Grey</t>
  </si>
  <si>
    <t>Axkid Modukid Base</t>
  </si>
  <si>
    <t>Axkid ONE 2 Tar</t>
  </si>
  <si>
    <t>6 months - 7 years</t>
  </si>
  <si>
    <t>61-125cm (max 23kg)</t>
  </si>
  <si>
    <t>Axkid ONE 2 Granite Melange</t>
  </si>
  <si>
    <t>Axkid ONE 2 Brick Melange</t>
  </si>
  <si>
    <t>Brick Beige Melange</t>
  </si>
  <si>
    <t>Axkid ONE 2 Tile Melange</t>
  </si>
  <si>
    <t>Tile Red Melange</t>
  </si>
  <si>
    <t>Axkid ONE+ 2 Tar</t>
  </si>
  <si>
    <t>40-125cm (max 23kg)</t>
  </si>
  <si>
    <t>Axkid ONE+ 2 Granite Melange</t>
  </si>
  <si>
    <t>Axkid ONE+ 2 Brick Melange</t>
  </si>
  <si>
    <t>Axkid ONE+ 2 Tile Melange</t>
  </si>
  <si>
    <t>Axkid ONE Tar</t>
  </si>
  <si>
    <t>Axkid ONE Granite Melange</t>
  </si>
  <si>
    <t>Axkid ONE Brick Melange</t>
  </si>
  <si>
    <t>Brick Melange</t>
  </si>
  <si>
    <t>Axkid ONE Tile Melange</t>
  </si>
  <si>
    <t>Tile Melange</t>
  </si>
  <si>
    <t>Axkid ONE + Tar</t>
  </si>
  <si>
    <t>0 - 7 years</t>
  </si>
  <si>
    <t>Axkid ONE + Granite Melange</t>
  </si>
  <si>
    <t>Axkid ONE + Brick Melange</t>
  </si>
  <si>
    <t>Axkid ONE + Tile Melange</t>
  </si>
  <si>
    <t>Axkid Rekid Red</t>
  </si>
  <si>
    <t>Red</t>
  </si>
  <si>
    <t>Axkid Rekid Grey</t>
  </si>
  <si>
    <t>Axkid Rekid Black</t>
  </si>
  <si>
    <t>Axkid Rekid Petrol</t>
  </si>
  <si>
    <t>Petrol</t>
  </si>
  <si>
    <t>Axkid Bigkid 2 Premium Grey</t>
  </si>
  <si>
    <t>Booster seat</t>
  </si>
  <si>
    <t>4-12 years</t>
  </si>
  <si>
    <t>15-36kg</t>
  </si>
  <si>
    <t>Axkid Bigkid 2 Premium Black</t>
  </si>
  <si>
    <t>Axkid Bigkid Grey</t>
  </si>
  <si>
    <t>Axkid Bigkid Black</t>
  </si>
  <si>
    <t>Axkid Bigkid 2 Tar</t>
  </si>
  <si>
    <t>Axkid Bigkid 2 Granite</t>
  </si>
  <si>
    <t>Axkid Bigkid 2 Premium Shell Black</t>
  </si>
  <si>
    <t>Shell Black</t>
  </si>
  <si>
    <t>Axkid Bigkid 2 Premium Granite Melange</t>
  </si>
  <si>
    <t>Axkid Dallas Black</t>
  </si>
  <si>
    <t>Axkid Grow Pillow Black</t>
  </si>
  <si>
    <t>Booster cushion</t>
  </si>
  <si>
    <t>Axkid Grow Pillow Grey</t>
  </si>
  <si>
    <t>Axkid Mate Tar</t>
  </si>
  <si>
    <t>Axkid Mate Granite</t>
  </si>
  <si>
    <t>Axkid Seat protection</t>
  </si>
  <si>
    <t>Accessory</t>
  </si>
  <si>
    <t>EN1888</t>
  </si>
  <si>
    <t>-</t>
  </si>
  <si>
    <t>Not washable</t>
  </si>
  <si>
    <t>Axkid Tether strap</t>
  </si>
  <si>
    <t>Axkid Baby on board sign</t>
  </si>
  <si>
    <t>Yellow</t>
  </si>
  <si>
    <t>Axkid Attachment loops</t>
  </si>
  <si>
    <t>Axkid Baby cushion</t>
  </si>
  <si>
    <t>Axkid Adapter babyfix</t>
  </si>
  <si>
    <t>Axkid Summer cover 
Minikid, rekid &amp; Modukid seat</t>
  </si>
  <si>
    <t>White</t>
  </si>
  <si>
    <t>Axkid Summer cover Dallas/Grow</t>
  </si>
  <si>
    <t>Axkid Angle adjusting wedge</t>
  </si>
  <si>
    <t>Axkid Baby mirror</t>
  </si>
  <si>
    <t>Axkid Seat protection Premium</t>
  </si>
  <si>
    <t>Axkid Sunshades for window self attaching</t>
  </si>
  <si>
    <t>Axkid iPad holder</t>
  </si>
  <si>
    <t>Axkid Backseat organizer</t>
  </si>
  <si>
    <t>Axkid Tether straps for Move</t>
  </si>
  <si>
    <t>Axkid Swedish safety kit</t>
  </si>
  <si>
    <t>Axkid Sun cover (seat sunshade)</t>
  </si>
  <si>
    <t>Axkid Support leg adapter</t>
  </si>
  <si>
    <t>Axkid Connect</t>
  </si>
  <si>
    <t>Axkid Bamboo Summer cover Minikid 2</t>
  </si>
  <si>
    <t>Axkid Bamboo Summer cover ONE</t>
  </si>
  <si>
    <t>Axkid Bamboo Summer cover Bigkid</t>
  </si>
  <si>
    <t>Axkid Cooling Pads by AeroMoov group 1/2</t>
  </si>
  <si>
    <t>TR</t>
  </si>
  <si>
    <t>40°</t>
  </si>
  <si>
    <t>Axkid Cooling Pads by AeroMoov group 2/3</t>
  </si>
  <si>
    <t xml:space="preserve">Axkid x Geggamoja Car Seat Cover Minikid 2/Move </t>
  </si>
  <si>
    <t>Wildlife</t>
  </si>
  <si>
    <t>Dreamer</t>
  </si>
  <si>
    <t xml:space="preserve">Axkid x Geggamoja Car Seat Cover Minikid 3 </t>
  </si>
  <si>
    <t>Axkid x Geggamoja Car Seat Cover ONE</t>
  </si>
  <si>
    <t>Axkid x Geggamoja Sunshades for Window</t>
  </si>
  <si>
    <t>Axkid Envirobaby Tar</t>
  </si>
  <si>
    <t>Upcoming</t>
  </si>
  <si>
    <t>Axkid Envirobaby Granite</t>
  </si>
  <si>
    <t>Axkid Envirobaby Forest</t>
  </si>
  <si>
    <t>Forest Green</t>
  </si>
  <si>
    <t>Axkid Envirobase</t>
  </si>
  <si>
    <t>Axkid Envirokid Tar</t>
  </si>
  <si>
    <t>Axkid Envirokid Granite</t>
  </si>
  <si>
    <t>Axkid Envirokid Forest</t>
  </si>
  <si>
    <t>Axkid Spinkid Solid Tar</t>
  </si>
  <si>
    <t>40-105cm (max18kg)</t>
  </si>
  <si>
    <t>Axkid Spinkid Granite Melange</t>
  </si>
  <si>
    <t>Axkid Spinkid Brick Melange</t>
  </si>
  <si>
    <t>Axkid Spinkid Tile Melange</t>
  </si>
  <si>
    <t>Axkid Nextkid Shell Black</t>
  </si>
  <si>
    <t>100-150 cm or 15-36kg</t>
  </si>
  <si>
    <t>Axkid Nextkid Granite Melange</t>
  </si>
  <si>
    <t>Axkid Nextkid Cloud Grey</t>
  </si>
  <si>
    <t>Cloud Grey</t>
  </si>
  <si>
    <t>Axkid Baby Cushion Premium</t>
  </si>
  <si>
    <t>Axkid Lower tether anchorages 120mm</t>
  </si>
  <si>
    <t>SS-ISO 13216</t>
  </si>
  <si>
    <t>Axkid Lower tether anchorages 160mm</t>
  </si>
  <si>
    <t>Axkid Grand Tour Black</t>
  </si>
  <si>
    <t>Urban Safety</t>
  </si>
  <si>
    <t>EN15918:2011+A2:2017 EN1888-1:2018    EK2/AK2.3 14-01.1:2015 EN71-3:2019+A1:2021</t>
  </si>
  <si>
    <t>6 mån-4years</t>
  </si>
  <si>
    <t>45 kg + 111cm</t>
  </si>
  <si>
    <t>Do not wash in the washing machine. Clean your pack and components in a bathtub or large sink using mild detergent and warm water. Hang to dry outdoors or in a well-ventilated area out of direct sunlight.</t>
  </si>
  <si>
    <t>Grand Tour Jogging Wheel</t>
  </si>
  <si>
    <t>Grand Tour Rain Cover</t>
  </si>
  <si>
    <t>Transparent</t>
  </si>
  <si>
    <t>Grand Tour Storage Cover</t>
  </si>
  <si>
    <t>Grand Tour Cup Holder</t>
  </si>
  <si>
    <t>Grand Tour Baby Insert</t>
  </si>
  <si>
    <t>Bike Adapter (GT)</t>
  </si>
  <si>
    <t>Axkid Tour Tar</t>
  </si>
  <si>
    <t>EN 13209-1:2022</t>
  </si>
  <si>
    <t>max 18 kg</t>
  </si>
  <si>
    <t>Axkid Tour Sea</t>
  </si>
  <si>
    <t>EN 13209-1:2023</t>
  </si>
  <si>
    <t>Axkid Minikid 4 Tar</t>
  </si>
  <si>
    <t>Axkid Minikid 4 Granite Melange</t>
  </si>
  <si>
    <t>Axkid Minikid 4 Brick Melange</t>
  </si>
  <si>
    <t>Axkid Minikid 4 Tile Melange</t>
  </si>
  <si>
    <t>Axkid Cup Holder Nextkid</t>
  </si>
  <si>
    <t>Axkid Movekid Tar</t>
  </si>
  <si>
    <t>Axkid Movekid Granite</t>
  </si>
  <si>
    <t>Item number</t>
  </si>
  <si>
    <t>Name</t>
  </si>
  <si>
    <t>SEK/NOK</t>
  </si>
  <si>
    <t>DKK</t>
  </si>
  <si>
    <t>SEK / NOK</t>
  </si>
  <si>
    <t>Axkid Template</t>
  </si>
  <si>
    <t>Produkt storlek</t>
  </si>
  <si>
    <t>Kartongstorlek</t>
  </si>
  <si>
    <t>Artikel Namn</t>
  </si>
  <si>
    <t>Artikel Nummer</t>
  </si>
  <si>
    <t>Färg</t>
  </si>
  <si>
    <t>EAN kod</t>
  </si>
  <si>
    <t>Modell</t>
  </si>
  <si>
    <t>Modell beskrivning</t>
  </si>
  <si>
    <t>Rekommenderad ålder</t>
  </si>
  <si>
    <t>Grupp</t>
  </si>
  <si>
    <t>Maxvikt</t>
  </si>
  <si>
    <t>Valuta</t>
  </si>
  <si>
    <t>Rek Pris</t>
  </si>
  <si>
    <t>Inköpskvantitet</t>
  </si>
  <si>
    <t>Försäljningskvantitet</t>
  </si>
  <si>
    <t>Beskrivning</t>
  </si>
  <si>
    <t>Ursprungsland</t>
  </si>
  <si>
    <t>Intrastat nummer</t>
  </si>
  <si>
    <t>Bredd i CM</t>
  </si>
  <si>
    <t>Höjd i CM</t>
  </si>
  <si>
    <t>Djup i CM</t>
  </si>
  <si>
    <t>Längd i CM</t>
  </si>
  <si>
    <t>Brutto vikt</t>
  </si>
  <si>
    <t>Netto vikt</t>
  </si>
  <si>
    <t>Tvättbar</t>
  </si>
  <si>
    <t>Egenskaper</t>
  </si>
  <si>
    <t>Axkid Babyfix Grå</t>
  </si>
  <si>
    <t>Grå</t>
  </si>
  <si>
    <t>0-13KG</t>
  </si>
  <si>
    <t>Babyskydd ECE R44</t>
  </si>
  <si>
    <t>13kg</t>
  </si>
  <si>
    <t>Babyskyddet Axkid Babyfix ger maximal säkerhet och trygghet för det nyfödda barnet under de första månaderna i livet. Att det också är ett av marknadens lättaste babyskydd med en vikt på 3,5 kg gör inte saken sämre. Nackkudden tillsammans med de mjuka axelmuddarna gör resan bekväm för ditt barn. En extra urtagbar babydyna levereras med babyskyddet, för de allra minsta.
Axkid Babyfix är godkänd 0–13 kg enligt ECE R44/04. Vi rekommenderar alltid att börja med babyskyddet eftersom det är bäst anpassat för de allra minsta. När ditt barn växt ur babyskyddet är det dags att byta till en bakåtvänd bilbarnstol.
Axkid Babyfix installerar du smidigast med Axkid Babyfix Bas. Basen installerar du antingen med bilens trepunktsbälte eller med ISOFIX. Med ett enkelt klick tar du babyskyddet i eller ur bilen och ditt barn kan tryggt sova vidare i Axkid Babyfix. Väljer du att installera Axkid Babyfix utan bas använder du dig av bilens trepunktsbälte.
När babyskyddet inte är installerat i bilen kan det användas som gungstol, matstol eller babysitter tack vare att handtaget kan justeras i fem olika lägen. Solskyddet har en extra utvikningsbar skärm för att skydda ditt barn från solens starka strålar.</t>
  </si>
  <si>
    <t>Best Budget Choice - Bäst-i-test.se</t>
  </si>
  <si>
    <t>Axkid Babyfix Svart</t>
  </si>
  <si>
    <t>Svart</t>
  </si>
  <si>
    <t>Axkid Babyfix Bas Svart</t>
  </si>
  <si>
    <t>ISOFIX BAS</t>
  </si>
  <si>
    <t>Bas till Babyskydd ECE R44</t>
  </si>
  <si>
    <t>Axkid Minikid Röd</t>
  </si>
  <si>
    <t>Röd</t>
  </si>
  <si>
    <t>0-25KG</t>
  </si>
  <si>
    <t>Bilbarnstol ECE R44</t>
  </si>
  <si>
    <t>25kg</t>
  </si>
  <si>
    <t>Den bakåtvända bilbarnstolen, Axkid Minikid 2018, är framtagen för att ge bästa möjliga säkerhet och komfort för både små och stora barn, och möjliggör bakåtvänt åkande så länge som möjligt.
Nya Axkid Minikid levereras med det innovativa sidokrocksskyddet – ASIP (Axkid Side Impact Protection) som är framtaget tillsammans med ett erkänt krockinstitiut i Tyskland, och ger bästa möjliga skydd för barnet vid eventuell krock från sidan. ASIP ska användas på den sidan av bilbarnstolen som är ut mot bildörren, vid användning i mitten behöver inte ASIP användas.
Stödbenet på bilbarnstolen Axkid Minikid har utvecklats och förbättrats, och kommer nu att kunna sträckas ut med enbart en knapp, som enklare går att komma åt.
Klädseln har förbättrats och momentet att trä av och på klädseln har förenklats, så att möjligheten att tvätta klädseln blir smidigare. Nackstödet är tjockare och mer ombonat, för optimal komfort för barnet när de sover. Den unika funktionen med nackstödet och internselen, som justeras automatiskt efter barnets längd och storlek när du drar åt bältet, finns kvar med en tydligare nackstödsbroms.
De självåtdragande underförankringsbanden gör installationen smidig, då bilbarnstolen vickas på plats. De fem främre lutningslägena möjliggör optimal lutning för just ditt barn, beroende på ålder och längd. Skulle det behövas ännu mer lutning är vår lutningskil ett bra komplement.
Axkid Minikid är godkänd 0–25 kg (cirka 125 cm, 6 år) och har fått utmärkta omdömen av flera oberoende testinstitut. Den är Plusgodkänd upp till 25 kg, fått utmärkelsen ”Bra Val 2015” av Folksam, ”Bästa prisvärde” av Bäst-i-Test.se och är Rollover-godkänd av VCA.
Axkid Minikid levereras alltid med en svart babydyna, för att ge bättre support för de allra minsta barnen. Axkid Minikid, 0–25 kg, ersätter inte babyskyddet. Vi rekommenderar alltid att börja med babyskyddet eftersom det är bäst anpassat för de allra minsta. När ditt barn växt ur babyskyddet är Axkid Minikid ett bra val för ditt barn att åka bakåtvänt i länge.</t>
  </si>
  <si>
    <t>Plus approved up to 25kg , Good Chocie 2015 by Folksam, Best cost Value - Bäst-i-test.se, Rullover approved, REACH tested</t>
  </si>
  <si>
    <t>Axkid Minikid Grå</t>
  </si>
  <si>
    <t>Axkid Minikid Svart</t>
  </si>
  <si>
    <t>Axkid Minikid Grön</t>
  </si>
  <si>
    <t>Grön</t>
  </si>
  <si>
    <t>Axkid Minikid Petrol</t>
  </si>
  <si>
    <t>Axkid Minikid Rosa</t>
  </si>
  <si>
    <t>Rosa</t>
  </si>
  <si>
    <t>Axkid Minikid 2 Tar</t>
  </si>
  <si>
    <t>Axkid Minikid 2 Granite</t>
  </si>
  <si>
    <t>Axkid Minikid 2 Shellfish</t>
  </si>
  <si>
    <t>Axkid Minikid 2 Sea</t>
  </si>
  <si>
    <t>Axkid Minikid 2 Moss</t>
  </si>
  <si>
    <t>Axkid Minikid 2 Shell black</t>
  </si>
  <si>
    <t>Axkid Minikid 2 Granite Melange</t>
  </si>
  <si>
    <t xml:space="preserve">Axkid Minikid 2 Sky Grey </t>
  </si>
  <si>
    <t>Axkid Move Grå</t>
  </si>
  <si>
    <t>9-25KG</t>
  </si>
  <si>
    <t>Den bakåtvända bilbarnstolen Axkid Move är för dig som söker en prisvärd och säker lösning. Du kan låta ditt barn åka bakåtvänt länge, och du installerar den lätt med bilens trepunktsbälte. Axkid Move tar mycket liten plats i bilen, så du kan installera den i både små och stora bilar.
Axkid Move levereras med det innovativa sidokrocksskyddet – ASIP (Axkid Side Impact Protection) som är framtaget tillsammans med ett erkänt krockinstitiut i Tyskland, och ger bästa möjliga skydd för barnet vid eventuell krock från sidan. ASIP ska användas på den sidan av bilbarnstolen som är ut mot bildörren, vid användning i mitten behöver inte ASIP användas.
Stödbenet på Axkid Move sträcks ut med enbart en knapp på sidan av stödbenet, som enkelt går att komma åt. 
Lutningen på bilbarnstolen kan du ställa i två olika lägen med hjälp av det främre justerbara stödbenet och nackstödet har tre fasta lägen, allt för att ditt barn ska sitta tryggt och bekvämt. Skulle det behövas ännu mer lutning är vår lutningskil ett bra komplement.
Axkid Move är godkänd 9–25 kg och har fått utmärkta omdömen av flera oberoende testinstitut.  Den är Plusgodkänd upp till 25 kg, fått utmärkelsen ”Bra Val” av Folksam 2017 och är Rollover-godkänd av VCA.</t>
  </si>
  <si>
    <t>Plus approved up to 25kg , Good Chocie 2017 by Folksam, Rullover approved, REACH tested</t>
  </si>
  <si>
    <t>Axkid Move Svart</t>
  </si>
  <si>
    <t>Axkid Modukid Infant Solid Tar</t>
  </si>
  <si>
    <t>Axkid Modukid Infant Solid Granite</t>
  </si>
  <si>
    <t>Axkid Modukid Infant Solid Shellfish</t>
  </si>
  <si>
    <t>Axkid Modukid Infant Solid Sea</t>
  </si>
  <si>
    <t>Axkid Modukid Infant Solid Moss</t>
  </si>
  <si>
    <t>Axkid Modukid Seat Solid Tar</t>
  </si>
  <si>
    <t>Axkid Modukid Seat Solid Granite</t>
  </si>
  <si>
    <t>Axkid Modukid Seat Solid Shellfish</t>
  </si>
  <si>
    <t>Axkid Modukid Seat Solid Sea</t>
  </si>
  <si>
    <t>Axkid Modukid Seat Solid Moss</t>
  </si>
  <si>
    <t>Axkid Modukid Infant Röd</t>
  </si>
  <si>
    <t>I-SIZE</t>
  </si>
  <si>
    <t>Babyskydd I-SIZE/UN R129</t>
  </si>
  <si>
    <t>0-1 år</t>
  </si>
  <si>
    <t>40-75cm (13kg)</t>
  </si>
  <si>
    <t>Anpassat för nyfödda barn, 40–75
cm och upp till 13 kg. Ett av de
lättaste i-Size babyskydden på
marknaden. Tack vare den snabba
och enkla 2-stegs-installationen får
du mer tid till saker som betyder
något. Kompatibel med Axkid Life
och 90% av alla andra vagnar på
marknaden.</t>
  </si>
  <si>
    <t>Axkid Modukid Infant Grå</t>
  </si>
  <si>
    <t>Axkid Modukid Infant Svart</t>
  </si>
  <si>
    <t>Axkid Modukid Infant petrol</t>
  </si>
  <si>
    <t>Axkid Modukid Infant Rosa</t>
  </si>
  <si>
    <t>Axkid Modukid Base Svart</t>
  </si>
  <si>
    <t>Bas till Babyskydd I-SIZE/UN R129</t>
  </si>
  <si>
    <t>Se babyskydd eller bilbarnstol</t>
  </si>
  <si>
    <t>Basen är en del av vårt bilstolssystem
som består av en bas och
två bilbarnstolar. Det går snabb och
enkelt att installera basen med både
Axkid Modukid Infant och Axkid
Modukid Seat. Bilstolssystemet
passar i både små och stora bilar
och du kan själv välja mellan en
kompakt installation eller extra
benutrymme för när ditt barn växer.</t>
  </si>
  <si>
    <t>Axkid Modukid Röd</t>
  </si>
  <si>
    <t>Bilbarnstol I-SIZE/UN R129</t>
  </si>
  <si>
    <t>0-4 år</t>
  </si>
  <si>
    <t>61-105cm (18kg)</t>
  </si>
  <si>
    <t>Anpassat för barn upp till 4 års
ålder, 61–105 cm upp till 18 kg.
Världens enda i-Size bilstol som
anpassas automatiskt efter
barnets längd och storlek. Smidig
och snabb 2-stegs-installation
med ett Sleep-Well-System. Välj
mellan en kompakt installation
för mer utrymme i bilen eller extra
benutrymme, vilket möjliggör att
ditt barn kan åka bakåtvänt längre.</t>
  </si>
  <si>
    <t>Axkid Modukid Grey</t>
  </si>
  <si>
    <t>Axkid Modukid Svart</t>
  </si>
  <si>
    <t>Axkid Modukid Petrol</t>
  </si>
  <si>
    <t>Axkid Modukid Rosa</t>
  </si>
  <si>
    <t>Axkid One Tar</t>
  </si>
  <si>
    <t>Car seat I-SIZE/UN R129</t>
  </si>
  <si>
    <t>Axkid One Granite Melange</t>
  </si>
  <si>
    <t>Axkid One Brick Melange</t>
  </si>
  <si>
    <t>Axkid One Tile Melange</t>
  </si>
  <si>
    <t>Axkid One + Tar</t>
  </si>
  <si>
    <t>Axkid One + Granite Melange</t>
  </si>
  <si>
    <t>Axkid One + Brick Melange</t>
  </si>
  <si>
    <t>Axkid One + Tile Melange</t>
  </si>
  <si>
    <t>Axkid Rekid Röd</t>
  </si>
  <si>
    <t>9-18KG</t>
  </si>
  <si>
    <t>18kg</t>
  </si>
  <si>
    <t>Bakåtvända bilbarnstolen Axkid Rekid kan installeras med ISOFIX upp till 18 kg, eller bilens trepunktsbälte upp till 25 kg. Precis som för Axkid Minikid är detta en bilbarnstol för dig som vill låta ditt barn resa med maximal säkerhet.
Axkid Rekid har många säkerhetsfunktioner som du behöver: ett enkelt justerbart nackstöd med integrerad internsele, som du med ett enkelt handgrepp drar åt så det anpassas till ditt barns längd och storlek. Stolen har dessutom tre lutningslägen för att ditt barn ska sitta så bekvämt som möjligt samt extra långt stödben, vilket möjliggör installation i både små och stora bilar.
Axkid Rekid är godkänd enligt ECE R44/04 upp till 25 kg, cirka 125 cm, 6 år och har fått goda omdömen av diverse oberoende testinstitut; Axkid Rekid är Plusgodkänd upp till 18 kg och har fått utmärkelsen ”Bra Val” av Folksam 2015.</t>
  </si>
  <si>
    <t>Plus approved up to 18kg , Good pick 2015 by Folksam, REACH tested</t>
  </si>
  <si>
    <t>Axkid Rekid Grå</t>
  </si>
  <si>
    <t>Axkid Rekid Svart</t>
  </si>
  <si>
    <t>Axkid Bigkid ISOFIX Grå</t>
  </si>
  <si>
    <t>15-36KG</t>
  </si>
  <si>
    <t>Bältesstol ECE R44</t>
  </si>
  <si>
    <t>Axkid Bigkid är en framåtvänd bilbarnstol godkänd för barn mellan 15 och 36 kg, och som inte längre har möjlighet att åka i en  bakåktvänd bilbarnstol. Axkid Bigkid kan installeras med hjälp av bilens trepunktsbälte eller med ISOFIX-armarna vilket garanterar en stabil och säker bilfärd för barnet.</t>
  </si>
  <si>
    <t>Axkid Bigkid ISOFIX Svart</t>
  </si>
  <si>
    <t>Axkid Bigkid Grå</t>
  </si>
  <si>
    <t>Axkid Bigkid är en framåtvänd bilbarnstol godkänd för barn mellan 15 och 36 kg, och som inte längre har möjlighet att åka i en  bakåktvänd bilbarnstol. Axkid Bigkid kan installeras med hjälp av bilens trepunktsbälte vilket garanterar en stabil och säker bilfärd för barnet.</t>
  </si>
  <si>
    <t>Axkid Bigkid Svart</t>
  </si>
  <si>
    <t>Axkid Dallas Svart</t>
  </si>
  <si>
    <t>När barnen börjar bli stora och den bakåtvända bilbarnstolen inte längre räcker till, hur mycket vi än vill, är det dags för en framåtvänd bältesstol. Axkid Dallas är en framåtvänd bältesstol som ser till att äldre barn mellan 15 och 36 kg sitter säkert och stabilt i bilen. Nackstödet kan justeras för att anpassa barnets längd.
Sittdynan och ryggen har extra tjock fyllning för att ge barnet optimal komfort och åkupplevelse. Tack vare den smidiga designen så tar sig barnet lätt i och ur bältesstolen själv.</t>
  </si>
  <si>
    <t>Axkid Mate Svart</t>
  </si>
  <si>
    <t>När barnen börjar bli stora och bältesstolen inte längre räcker till, är det dags för den avslutande bälteskudden. Axkid Grow Pillow är en enkel och flexibel lösning för ditt lite större barn. Du flyttar den lätt och smidigt, hemma eller med på resan. Bälteskudden gör att bilens trepunktsbälte får rätt placering på ditt barns kropp vilket är avgörande för säkerheten. Bälteskudden Axkid Grow Pillow är godkänd 15-36 kg enligt ECE R44/04.</t>
  </si>
  <si>
    <t>Axkid Mate Röd</t>
  </si>
  <si>
    <t>Axkid Sparkskydd</t>
  </si>
  <si>
    <t>TILLBEHÖR TILL BILBARNSTOL</t>
  </si>
  <si>
    <t xml:space="preserve">Axkids sparkskydd är till för att skydda bilens klädsel mot slitage och smuts. Tack vare vår unika design passar Axkids sparkskydd både till stolar med och utan ISOFIX. Sparkskyddet kan monteras både i fram- och i baksäte. På sparkskyddet finns två fack för att förvara saker i.
</t>
  </si>
  <si>
    <t>Ej tvättbar</t>
  </si>
  <si>
    <t>Axkid Förankringsband</t>
  </si>
  <si>
    <t xml:space="preserve">Förlängningsband för bakåtvänd montering där fästöglor saknas eller där extra längd behövs. Levereras två stycken i varje förpackning.
</t>
  </si>
  <si>
    <t>Axkid Baby on board skylt</t>
  </si>
  <si>
    <t>Gul</t>
  </si>
  <si>
    <t xml:space="preserve">Med denna skylt visar du dina medtrafikanter att du har barn i bilen. Skylten monterar du enkelt med sugpropp på insidan av bakrutan.
</t>
  </si>
  <si>
    <t>0.017</t>
  </si>
  <si>
    <t>Axkid Förankringsöglor</t>
  </si>
  <si>
    <t xml:space="preserve">Axkids förankringsöglor är framtagna för att underlätta monteringen av bilbarnstolen i din bil. Levereras två stycken i varje förpackning.
</t>
  </si>
  <si>
    <t>Axkid Babydyna</t>
  </si>
  <si>
    <t xml:space="preserve">Mjuk dyna som ger de mindre barnen bättre stöd. Dynan lyfter upp barnet så att bältesbanan förbättras och gör att ditt barn sitter bättre och stadigare. Kompatibel med alla bakåtvända bilbarnstolar från Axkid.
</t>
  </si>
  <si>
    <t xml:space="preserve">Adapter för Axkid Babyfix som ger dig möjligheten att montera babyskyddet på alla vagnar som är anpassade för Maxi-Cosi. Perfekt lösning vid kortare turer eller när du helt enkelt inte vill väcka ditt sovande barn. Adapter Babyfix levereras två stycken i varje förpackning.
</t>
  </si>
  <si>
    <t>Axkid Sommarklädsel 
Minikid, rekid &amp; Modukid</t>
  </si>
  <si>
    <t>Vit</t>
  </si>
  <si>
    <t xml:space="preserve">Klädsel för att slippa att bilbarnstolen blir för varm på sommaren. Kompatibelt med alla bakåtvända bilbarnstolar från Axkid.
</t>
  </si>
  <si>
    <t>Axkid Sommarklädsel Dallas/Grow</t>
  </si>
  <si>
    <t xml:space="preserve">Klädsel för att slippa att stolen blir för varm på sommaren. Kompatibelt med alla framåtvända bältesstolar från Axkid.
</t>
  </si>
  <si>
    <t>Axkid Lutningskil</t>
  </si>
  <si>
    <t xml:space="preserve">Lutningskil som hjälper till att fylla ut tomrummet mellan bilbarnstolen och bilens säte för att ge bättre lutning på bilbarnstolen. Observera att bilbarnstolen inte bör luta mer än 32 grader. Kompatibel med alla bakåtvända bilbarnstolar från Axkid.
</t>
  </si>
  <si>
    <t>Axkid Baby spegel</t>
  </si>
  <si>
    <t xml:space="preserve">Spegel som gör att du som förälder kan se ditt barn sittandes i sin bakåtvända bilbarnstol, under pågående färd. Monteras i baksätet på bilsätets nackstöd.
</t>
  </si>
  <si>
    <t>Axkid Sparkskydd Premium</t>
  </si>
  <si>
    <t xml:space="preserve">Ett tjockare, mer vadderat sparkskydd för att skydda sätena mot smuts och slitage. Med två förvaringsfack och hållare för iPad eller annan surfplatta. Fungerar både för bilbarnstolar med eller utan ISOFIX. Kan användas i både fram- och baksäte. Kompatibelt med alla bakåtvända bilbarnstolar från Axkid.
</t>
  </si>
  <si>
    <t>Axkid Solskydd Fönster 2-pack</t>
  </si>
  <si>
    <t xml:space="preserve">Axkids solskydd för fönster passar perfekt för att skugga ditt barn under bilfärden när solen lyser. De är självhäftande solskydd, med Axkid logga, som fästs på insidan av sidorutan. Levereras två stycken i varje förpackning. Hopfällbar.
</t>
  </si>
  <si>
    <t>Axkid iPad-hållare</t>
  </si>
  <si>
    <t xml:space="preserve">Hållare för iPad eller annan surfplatta. Monteras på baksidan av nackstödet på förar- eller passagerarsätet.
</t>
  </si>
  <si>
    <t>Axkid Sparkskydd framåtvänt</t>
  </si>
  <si>
    <t xml:space="preserve">Sparkskydd för framåtvända bältesstolar med flera smarta förvaringsfack och hållare för iPad eller annan surfplatta. Monteras på baksidan av förar- eller passagerarsätet.
</t>
  </si>
  <si>
    <t>Axkid Förankringsband för Move/Wolmax</t>
  </si>
  <si>
    <t>Förankringsband för Axkid Move. Levereras två stycken i varje förpackning.</t>
  </si>
  <si>
    <t>Axkid Solskydd</t>
  </si>
  <si>
    <t>Solskyddet är skapat och utformat för att skugga ditt barn under färd och minska uppvärmning av stolen, då bilen står i solen. Kompatibelt med alla bakåtvända bilbarnstolar från Axkid.</t>
  </si>
  <si>
    <t>Axkid Stödbensadapter</t>
  </si>
  <si>
    <t>Denna förlängningsadapter förlänger Axkid Minikid och Moves stödben om du har en stor bil eller van, och om stödbenet inte når ner golvet i fordonet.</t>
  </si>
  <si>
    <t>Axkid Life Grå</t>
  </si>
  <si>
    <t>VAGN 4 HJUL</t>
  </si>
  <si>
    <t>EN 1888</t>
  </si>
  <si>
    <t>22kg</t>
  </si>
  <si>
    <t>Axkid Life tar mobilitet till en ny nivå. Lätt att använda och lätt att fälla ihop. Du kan till och med ta med den som handbagage när du flyger. Trygg och säker, lätt och smidig för dig och ditt barn. En barnvagn för dig som vill fortsätta att resa och upptäcka världen med ditt barn.
Axkid Life blir liten och smidig hopfälld, enbart 56 x 45 x 25 cm, vilket uppfyller kravet för handbagage hos en del flygbolag*. Väger endast 6,5 kg och är utrustad med axelrem för att enkelt kunna bära. Axkid Life levereras alltid med en svart reseväska med handtag samt en bygel som enkelt går att klicka av och på.
Steglösa rygglägen, som även går att fälla till fullt liggläge (vagnen är utrustad med huvudskydd som skyddar barnet vid fullt liggläge) och en 5-punktssele gör resan för barnet både säker och komfortabel. Bra fjädring på alla 4 hjul som är punkteringsfria och utrustade med en fotbroms som enkelt manövreras och som låser båda bakhjul.
Sulkyn kommer i svart och grått, och klädseln går att ta av för att rengöra och kan tvättas i 30° maskintvätt eller torkas av med vatten och såpa. Handtagsbågen samt bygeln är trendig och modern i svart läderette material.
Köp till Axkid Life liggdel och vagnen kan användas även för de allra minsta, från 0–6 månader, för att maximera användningen. Liggdelen finns i svart och grått och är smidig att ta av och på sulkyn. Andra tillbehör som är kompatibla med Axkid Life är regnskydd, myggnät, adapter för babyskydd samt skötväska.
Möjlighet att använda babyskyddet direkt på sulkyn finns med tillbehöret Axkid Life adapter, som är kompatibla med babyskydd som har Maxi-Cosi infästning.
*Måtten för Axkid Life kontrolleras mot det flygbolag du ska resa med, för att se om de accepterar Axkid Life som handbagage. Här finns de flesta flygbolagens övergripande policy gällande kabinbagage. Rekommenderad maxstorlek för kabinbagage från IATA (International Air Transport Association) är 56 x 45 x 25 cm.</t>
  </si>
  <si>
    <t>Axkid Life Svart</t>
  </si>
  <si>
    <t>Axkid Life liggdel Grå</t>
  </si>
  <si>
    <t>LIGGDEL TILL VAGN</t>
  </si>
  <si>
    <t>0-6mån</t>
  </si>
  <si>
    <t>Axkid Life liggdel kommer i två färger, svart och grått, och gör det möjligt att använda Axkid Life även från nyfödd upp till ca 6 månader. Stor och rymlig liggdel med ett innermått på 76 cm inklusive justerbar sufflett, löstagbart liggdelslock, madrass samt praktiska bärhandtag.
Inuti liggdelen finns det fästen för sele (sele ingår ej) och liggdelen har kuddar i plast undertill för att liggdelen ska kunna ställas ner på marken, oavsett väder och vind.
Hela klädseln är avtagbar och kan tvättas i 30° maskintvätt.
Hårdlift
Rymligt innermått
Vikt: 3kg
Yttermått: L: 85cm, B: 35cm, H (sufflett uppfälld): 50cm, H (sufflett hopfälld): 25cm
Innermått: L: 75cm, B: 30cm, H: 20cm</t>
  </si>
  <si>
    <t>Axkid Life liggdel Svart</t>
  </si>
  <si>
    <t>Axkid Regnskydd</t>
  </si>
  <si>
    <t>TRANSP</t>
  </si>
  <si>
    <t>TILLBEHÖR TILL VAGN</t>
  </si>
  <si>
    <t>Transparent regnskydd som passar sulkyn Axkid Life.</t>
  </si>
  <si>
    <t>Axkid Regnskydd för liggdel</t>
  </si>
  <si>
    <t>Transparent regnskydd som passar liggdelen för Axkid Life.</t>
  </si>
  <si>
    <t>Axkid Adapter för babyskydd</t>
  </si>
  <si>
    <t>Adapter som möjliggör montering av babyskydd på Axkid Life. Levereras två stycken, svarta. Kompatibla med babyskydd som har Maxi-Cosi infästning.</t>
  </si>
  <si>
    <t>Axkid Myggnät</t>
  </si>
  <si>
    <t>Myggnät i svart som passar sulkyn Axkid Life.</t>
  </si>
  <si>
    <t>Axkid Myggnät för liggdel</t>
  </si>
  <si>
    <t>Myggnät i svart som passar liggdelen för Axkid Life.</t>
  </si>
  <si>
    <t>Axkid Skötväska Svart</t>
  </si>
  <si>
    <t>7350057582664 </t>
  </si>
  <si>
    <t>Svart skötväska som enkelt går att fästa med tryckknappar på barnvagnens handtagsbåge.
Flera smarta fack för att enkelt kunna organisera inuti väskan.
En svart vadderad skötbädd inkluderad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</si>
</sst>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m3&quot;"/>
  </numFmts>
  <fonts count="16">
    <font>
      <sz val="11"/>
      <color theme="1"/>
      <name val="Calibri"/>
      <family val="2"/>
      <scheme val="minor"/>
    </font>
    <font>
      <sz val="11"/>
      <color theme="1"/>
      <name val="Calibri"/>
      <family val="2"/>
      <scheme val="minor"/>
    </font>
    <font>
      <sz val="11"/>
      <color rgb="FF002060"/>
      <name val="Neue Haas Grotesk Text Pro"/>
      <family val="2"/>
    </font>
    <font>
      <sz val="12"/>
      <color theme="1"/>
      <name val="Calibri"/>
      <family val="2"/>
      <scheme val="minor"/>
    </font>
    <font>
      <sz val="11"/>
      <color indexed="8"/>
      <name val="Calibri"/>
      <family val="2"/>
    </font>
    <font>
      <b/>
      <sz val="11"/>
      <color rgb="FF002060"/>
      <name val="Neue Haas Grotesk Text Pro"/>
      <family val="2"/>
    </font>
    <font>
      <sz val="18"/>
      <color rgb="FFE3E7ED"/>
      <name val="Neue Haas Grotesk Text Pro"/>
      <family val="2"/>
    </font>
    <font>
      <sz val="11"/>
      <color rgb="FFE3E7ED"/>
      <name val="Neue Haas Grotesk Text Pro"/>
      <family val="2"/>
    </font>
    <font>
      <sz val="11"/>
      <color rgb="FF222C61"/>
      <name val="Neue Haas Grotesk Text Pro"/>
      <family val="2"/>
    </font>
    <font>
      <b/>
      <sz val="11"/>
      <color rgb="FF222C61"/>
      <name val="Neue Haas Grotesk Text Pro"/>
      <family val="2"/>
    </font>
    <font>
      <sz val="11"/>
      <color rgb="FFFF0000"/>
      <name val="Neue Haas Grotesk Text Pro"/>
      <family val="2"/>
    </font>
    <font>
      <sz val="11"/>
      <color rgb="FFFFFFFF"/>
      <name val="Neue Haas Grotesk Text Pro"/>
      <family val="2"/>
    </font>
    <font>
      <sz val="8"/>
      <name val="Calibri"/>
      <family val="2"/>
      <scheme val="minor"/>
    </font>
    <font>
      <b/>
      <sz val="18"/>
      <color rgb="FFE3E7ED"/>
      <name val="Neue Haas Grotesk Text Pro"/>
      <family val="2"/>
    </font>
    <font>
      <i/>
      <sz val="11"/>
      <color rgb="FF002060"/>
      <name val="Neue Haas Grotesk Text Pro"/>
      <family val="2"/>
    </font>
    <font>
      <sz val="11"/>
      <name val="Neue Haas Grotesk Text Pro"/>
      <family val="2"/>
    </font>
  </fonts>
  <fills count="9">
    <fill>
      <patternFill patternType="none"/>
    </fill>
    <fill>
      <patternFill patternType="gray125"/>
    </fill>
    <fill>
      <patternFill patternType="solid">
        <fgColor rgb="FF222C61"/>
        <bgColor indexed="64"/>
      </patternFill>
    </fill>
    <fill>
      <patternFill patternType="solid">
        <fgColor theme="7" tint="0.59999389629810485"/>
        <bgColor indexed="64"/>
      </patternFill>
    </fill>
    <fill>
      <patternFill patternType="solid">
        <fgColor rgb="FFFFEE54"/>
        <bgColor indexed="64"/>
      </patternFill>
    </fill>
    <fill>
      <patternFill patternType="solid">
        <fgColor rgb="FF00B0F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s>
  <borders count="4">
    <border>
      <left/>
      <right/>
      <top/>
      <bottom/>
      <diagonal/>
    </border>
    <border>
      <left/>
      <right/>
      <top/>
      <bottom style="medium">
        <color indexed="64"/>
      </bottom>
      <diagonal/>
    </border>
    <border>
      <left style="medium">
        <color indexed="64"/>
      </left>
      <right/>
      <top/>
      <bottom/>
      <diagonal/>
    </border>
    <border>
      <left/>
      <right style="thin">
        <color rgb="FF000000"/>
      </right>
      <top/>
      <bottom/>
      <diagonal/>
    </border>
  </borders>
  <cellStyleXfs count="4">
    <xf numFmtId="0" fontId="0" fillId="0" borderId="0"/>
    <xf numFmtId="0" fontId="1" fillId="0" borderId="0"/>
    <xf numFmtId="0" fontId="3" fillId="0" borderId="0"/>
    <xf numFmtId="0" fontId="4" fillId="0" borderId="0"/>
  </cellStyleXfs>
  <cellXfs count="76">
    <xf numFmtId="0" fontId="0" fillId="0" borderId="0" xfId="0"/>
    <xf numFmtId="0" fontId="2" fillId="0" borderId="0" xfId="0" applyFont="1"/>
    <xf numFmtId="0" fontId="5" fillId="0" borderId="0" xfId="0" applyFont="1"/>
    <xf numFmtId="1" fontId="2" fillId="0" borderId="0" xfId="0" applyNumberFormat="1" applyFont="1"/>
    <xf numFmtId="0" fontId="2" fillId="2" borderId="0" xfId="0" applyFont="1" applyFill="1"/>
    <xf numFmtId="1" fontId="2" fillId="2" borderId="0" xfId="0" applyNumberFormat="1" applyFont="1" applyFill="1"/>
    <xf numFmtId="0" fontId="2" fillId="2" borderId="0" xfId="0" applyFont="1" applyFill="1" applyAlignment="1">
      <alignment horizontal="center"/>
    </xf>
    <xf numFmtId="1" fontId="2" fillId="0" borderId="0" xfId="0" applyNumberFormat="1" applyFont="1" applyAlignment="1">
      <alignment horizontal="center"/>
    </xf>
    <xf numFmtId="0" fontId="2" fillId="0" borderId="0" xfId="0" applyFont="1" applyAlignment="1">
      <alignment horizontal="center"/>
    </xf>
    <xf numFmtId="0" fontId="5" fillId="0" borderId="1" xfId="0" applyFont="1" applyBorder="1"/>
    <xf numFmtId="0" fontId="5" fillId="0" borderId="1" xfId="0" applyFont="1" applyBorder="1" applyAlignment="1">
      <alignment horizontal="center"/>
    </xf>
    <xf numFmtId="1" fontId="5" fillId="0" borderId="1" xfId="0" applyNumberFormat="1" applyFont="1" applyBorder="1"/>
    <xf numFmtId="0" fontId="2" fillId="0" borderId="0" xfId="0" applyFont="1" applyAlignment="1">
      <alignment horizontal="right"/>
    </xf>
    <xf numFmtId="0" fontId="2" fillId="0" borderId="0" xfId="0" applyFont="1" applyAlignment="1">
      <alignment horizontal="right" wrapText="1"/>
    </xf>
    <xf numFmtId="0" fontId="2" fillId="2" borderId="0" xfId="0" applyFont="1" applyFill="1" applyAlignment="1">
      <alignment horizontal="right"/>
    </xf>
    <xf numFmtId="0" fontId="5" fillId="0" borderId="1" xfId="0" applyFont="1" applyBorder="1" applyAlignment="1">
      <alignment horizontal="left"/>
    </xf>
    <xf numFmtId="0" fontId="8" fillId="0" borderId="0" xfId="0" applyFont="1"/>
    <xf numFmtId="0" fontId="9" fillId="4" borderId="0" xfId="0" applyFont="1" applyFill="1"/>
    <xf numFmtId="0" fontId="8" fillId="0" borderId="2" xfId="0" applyFont="1" applyBorder="1"/>
    <xf numFmtId="0" fontId="2" fillId="0" borderId="2" xfId="0" applyFont="1" applyBorder="1"/>
    <xf numFmtId="0" fontId="2" fillId="0" borderId="0" xfId="0" applyFont="1" applyAlignment="1">
      <alignment horizontal="left"/>
    </xf>
    <xf numFmtId="0" fontId="2" fillId="0" borderId="2" xfId="0" applyFont="1" applyBorder="1" applyAlignment="1">
      <alignment horizontal="right"/>
    </xf>
    <xf numFmtId="0" fontId="2" fillId="0" borderId="0" xfId="0" applyFont="1" applyAlignment="1">
      <alignment wrapText="1"/>
    </xf>
    <xf numFmtId="0" fontId="2" fillId="3" borderId="0" xfId="0" applyFont="1" applyFill="1"/>
    <xf numFmtId="1" fontId="2" fillId="0" borderId="0" xfId="0" applyNumberFormat="1" applyFont="1" applyAlignment="1">
      <alignment wrapText="1"/>
    </xf>
    <xf numFmtId="0" fontId="9" fillId="0" borderId="0" xfId="0" applyFont="1"/>
    <xf numFmtId="0" fontId="5" fillId="5" borderId="0" xfId="0" applyFont="1" applyFill="1" applyAlignment="1">
      <alignment horizontal="center" vertical="center" wrapText="1"/>
    </xf>
    <xf numFmtId="0" fontId="8" fillId="0" borderId="0" xfId="0" applyFont="1" applyAlignment="1">
      <alignment horizontal="center"/>
    </xf>
    <xf numFmtId="0" fontId="2" fillId="0" borderId="0" xfId="0" applyFont="1" applyAlignment="1">
      <alignment horizontal="center" vertical="center"/>
    </xf>
    <xf numFmtId="0" fontId="2" fillId="2" borderId="0" xfId="0" applyFont="1" applyFill="1" applyAlignment="1">
      <alignment horizontal="center" vertical="center"/>
    </xf>
    <xf numFmtId="0" fontId="5" fillId="5" borderId="0" xfId="0" applyFont="1" applyFill="1" applyAlignment="1">
      <alignment horizontal="left" vertical="center" wrapText="1"/>
    </xf>
    <xf numFmtId="0" fontId="5" fillId="6" borderId="0" xfId="0" applyFont="1" applyFill="1" applyAlignment="1">
      <alignment horizontal="left" vertical="center" wrapText="1"/>
    </xf>
    <xf numFmtId="0" fontId="5" fillId="6" borderId="0" xfId="0" applyFont="1" applyFill="1" applyAlignment="1">
      <alignment horizontal="center" vertical="center" wrapText="1"/>
    </xf>
    <xf numFmtId="0" fontId="5" fillId="0" borderId="0" xfId="0" applyFont="1" applyAlignment="1">
      <alignment horizontal="left" vertical="center" wrapText="1"/>
    </xf>
    <xf numFmtId="0" fontId="2" fillId="0" borderId="0" xfId="0" applyFont="1" applyAlignment="1">
      <alignment vertical="center"/>
    </xf>
    <xf numFmtId="0" fontId="9"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0" fontId="9" fillId="7" borderId="0" xfId="0" applyFont="1" applyFill="1" applyAlignment="1">
      <alignment horizontal="center" vertical="center"/>
    </xf>
    <xf numFmtId="49" fontId="11" fillId="2" borderId="0" xfId="0" applyNumberFormat="1" applyFont="1" applyFill="1" applyAlignment="1">
      <alignment horizontal="center" vertical="center"/>
    </xf>
    <xf numFmtId="0" fontId="15" fillId="0" borderId="0" xfId="0" applyFont="1" applyAlignment="1">
      <alignment horizontal="left"/>
    </xf>
    <xf numFmtId="0" fontId="15" fillId="0" borderId="0" xfId="0" applyFont="1"/>
    <xf numFmtId="0" fontId="15" fillId="0" borderId="0" xfId="0" applyFont="1" applyAlignment="1">
      <alignment horizontal="center"/>
    </xf>
    <xf numFmtId="0" fontId="2" fillId="0" borderId="0" xfId="0" applyFont="1" applyAlignment="1">
      <alignment horizontal="left" vertical="center"/>
    </xf>
    <xf numFmtId="0" fontId="10" fillId="0" borderId="0" xfId="0" applyFont="1" applyAlignment="1">
      <alignment horizontal="left"/>
    </xf>
    <xf numFmtId="0" fontId="10" fillId="0" borderId="0" xfId="0" applyFont="1"/>
    <xf numFmtId="0" fontId="10" fillId="0" borderId="0" xfId="0" applyFont="1" applyAlignment="1">
      <alignment horizontal="center"/>
    </xf>
    <xf numFmtId="1" fontId="10" fillId="0" borderId="0" xfId="0" applyNumberFormat="1" applyFont="1" applyAlignment="1">
      <alignment horizontal="center"/>
    </xf>
    <xf numFmtId="0" fontId="2" fillId="0" borderId="0" xfId="0" applyFont="1" applyAlignment="1">
      <alignment horizontal="center" wrapText="1"/>
    </xf>
    <xf numFmtId="0" fontId="2" fillId="8" borderId="0" xfId="0" applyFont="1" applyFill="1" applyAlignment="1">
      <alignment horizontal="center"/>
    </xf>
    <xf numFmtId="0" fontId="2" fillId="0" borderId="0" xfId="0" applyFont="1" applyAlignment="1">
      <alignment horizontal="left" wrapText="1"/>
    </xf>
    <xf numFmtId="1" fontId="2" fillId="0" borderId="0" xfId="0" applyNumberFormat="1" applyFont="1" applyAlignment="1">
      <alignment horizontal="center" wrapText="1"/>
    </xf>
    <xf numFmtId="1" fontId="14" fillId="0" borderId="0" xfId="0" applyNumberFormat="1" applyFont="1" applyAlignment="1">
      <alignment horizontal="center" wrapText="1"/>
    </xf>
    <xf numFmtId="2" fontId="2" fillId="0" borderId="0" xfId="0" applyNumberFormat="1" applyFont="1" applyAlignment="1">
      <alignment horizontal="center"/>
    </xf>
    <xf numFmtId="0" fontId="5" fillId="5" borderId="3" xfId="0" applyFont="1" applyFill="1" applyBorder="1" applyAlignment="1">
      <alignment horizontal="center" vertical="center" wrapText="1"/>
    </xf>
    <xf numFmtId="0" fontId="2" fillId="0" borderId="3" xfId="0" applyFont="1" applyBorder="1" applyAlignment="1">
      <alignment horizontal="center"/>
    </xf>
    <xf numFmtId="0" fontId="10" fillId="0" borderId="3" xfId="0" applyFont="1" applyBorder="1" applyAlignment="1">
      <alignment horizontal="center"/>
    </xf>
    <xf numFmtId="0" fontId="2" fillId="0" borderId="3" xfId="0" applyFont="1" applyBorder="1" applyAlignment="1">
      <alignment horizontal="center" wrapText="1"/>
    </xf>
    <xf numFmtId="0" fontId="2" fillId="0" borderId="3" xfId="0" applyFont="1" applyBorder="1" applyAlignment="1">
      <alignment horizontal="center" vertical="center"/>
    </xf>
    <xf numFmtId="164" fontId="5" fillId="5" borderId="3" xfId="0" applyNumberFormat="1" applyFont="1" applyFill="1" applyBorder="1" applyAlignment="1">
      <alignment horizontal="center" vertical="center" wrapText="1"/>
    </xf>
    <xf numFmtId="164" fontId="8" fillId="0" borderId="3" xfId="0" applyNumberFormat="1" applyFont="1" applyBorder="1" applyAlignment="1">
      <alignment horizontal="center"/>
    </xf>
    <xf numFmtId="164" fontId="10" fillId="0" borderId="3" xfId="0" applyNumberFormat="1" applyFont="1" applyBorder="1" applyAlignment="1">
      <alignment horizontal="center"/>
    </xf>
    <xf numFmtId="164" fontId="2" fillId="0" borderId="3" xfId="0" applyNumberFormat="1" applyFont="1" applyBorder="1" applyAlignment="1">
      <alignment horizontal="center"/>
    </xf>
    <xf numFmtId="164" fontId="2" fillId="0" borderId="3" xfId="0" applyNumberFormat="1" applyFont="1" applyBorder="1" applyAlignment="1">
      <alignment horizontal="center" wrapText="1"/>
    </xf>
    <xf numFmtId="164" fontId="2" fillId="0" borderId="3" xfId="0" applyNumberFormat="1" applyFont="1" applyBorder="1" applyAlignment="1">
      <alignment horizontal="center" vertical="center"/>
    </xf>
    <xf numFmtId="1" fontId="2" fillId="2" borderId="3" xfId="0" applyNumberFormat="1" applyFont="1" applyFill="1" applyBorder="1" applyAlignment="1">
      <alignment horizontal="center" vertical="center"/>
    </xf>
    <xf numFmtId="1" fontId="5" fillId="5" borderId="3" xfId="0" applyNumberFormat="1" applyFont="1" applyFill="1" applyBorder="1" applyAlignment="1">
      <alignment horizontal="center" vertical="center" wrapText="1"/>
    </xf>
    <xf numFmtId="1" fontId="2" fillId="0" borderId="3" xfId="0" applyNumberFormat="1" applyFont="1" applyBorder="1" applyAlignment="1">
      <alignment horizontal="center"/>
    </xf>
    <xf numFmtId="1" fontId="10" fillId="0" borderId="3" xfId="0" applyNumberFormat="1" applyFont="1" applyBorder="1" applyAlignment="1">
      <alignment horizontal="center"/>
    </xf>
    <xf numFmtId="1" fontId="2" fillId="0" borderId="3" xfId="0" applyNumberFormat="1" applyFont="1" applyBorder="1" applyAlignment="1">
      <alignment horizontal="center" wrapText="1"/>
    </xf>
    <xf numFmtId="1" fontId="2" fillId="0" borderId="3" xfId="0" applyNumberFormat="1" applyFont="1" applyBorder="1" applyAlignment="1">
      <alignment horizontal="center" vertical="center"/>
    </xf>
    <xf numFmtId="0" fontId="9" fillId="4" borderId="0" xfId="0" applyFont="1" applyFill="1" applyAlignment="1">
      <alignment horizontal="center" vertical="center"/>
    </xf>
    <xf numFmtId="0" fontId="13" fillId="2" borderId="0" xfId="0" applyFont="1" applyFill="1" applyAlignment="1">
      <alignment horizontal="center" vertical="center"/>
    </xf>
    <xf numFmtId="0" fontId="6" fillId="2" borderId="0" xfId="0" applyFont="1" applyFill="1" applyAlignment="1">
      <alignment horizontal="center"/>
    </xf>
    <xf numFmtId="0" fontId="8" fillId="4" borderId="0" xfId="0" applyFont="1" applyFill="1" applyAlignment="1">
      <alignment horizontal="center"/>
    </xf>
    <xf numFmtId="0" fontId="7" fillId="2" borderId="0" xfId="0" applyFont="1" applyFill="1" applyAlignment="1">
      <alignment horizontal="center"/>
    </xf>
  </cellXfs>
  <cellStyles count="4">
    <cellStyle name="Normal" xfId="0" builtinId="0"/>
    <cellStyle name="Normal 11" xfId="2" xr:uid="{4E18D02B-7C39-465C-A578-B098785D2C65}"/>
    <cellStyle name="Normal 2" xfId="3" xr:uid="{8D1D17EA-09EE-4969-9173-D1F4B3E6642C}"/>
    <cellStyle name="Normal 2 2" xfId="1" xr:uid="{0F25ABB4-B4D3-490E-82C3-0C4F4B3FA8BF}"/>
  </cellStyles>
  <dxfs count="41">
    <dxf>
      <font>
        <b val="0"/>
        <i val="0"/>
        <strike val="0"/>
        <condense val="0"/>
        <extend val="0"/>
        <outline val="0"/>
        <shadow val="0"/>
        <u val="none"/>
        <vertAlign val="baseline"/>
        <sz val="11"/>
        <color rgb="FF222C61"/>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222C61"/>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222C61"/>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222C61"/>
        <name val="Neue Haas Grotesk Text Pro"/>
        <family val="2"/>
        <scheme val="none"/>
      </font>
    </dxf>
    <dxf>
      <font>
        <b val="0"/>
        <i val="0"/>
        <strike val="0"/>
        <condense val="0"/>
        <extend val="0"/>
        <outline val="0"/>
        <shadow val="0"/>
        <u val="none"/>
        <vertAlign val="baseline"/>
        <sz val="11"/>
        <color rgb="FF002060"/>
        <name val="Neue Haas Grotesk Text Pro"/>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222C61"/>
        <name val="Neue Haas Grotesk Text Pro"/>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222C61"/>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64" formatCode="0.00\ &quot;m3&quot;"/>
      <alignment horizontal="center" vertical="bottom" textRotation="0" wrapText="0" indent="0" justifyLastLine="0" shrinkToFit="0" readingOrder="0"/>
      <border>
        <right style="thin">
          <color rgb="FF000000"/>
        </right>
      </border>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border>
        <right style="thin">
          <color rgb="FF000000"/>
        </right>
      </border>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border>
        <right style="thin">
          <color rgb="FF000000"/>
        </right>
      </border>
    </dxf>
    <dxf>
      <font>
        <b val="0"/>
        <i val="0"/>
        <strike val="0"/>
        <condense val="0"/>
        <extend val="0"/>
        <outline val="0"/>
        <shadow val="0"/>
        <u val="none"/>
        <vertAlign val="baseline"/>
        <sz val="11"/>
        <color rgb="FF002060"/>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numFmt numFmtId="1" formatCode="0"/>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vertical="bottom" textRotation="0" indent="0" justifyLastLine="0" shrinkToFit="0" readingOrder="0"/>
    </dxf>
    <dxf>
      <font>
        <b val="0"/>
        <i val="0"/>
        <strike val="0"/>
        <condense val="0"/>
        <extend val="0"/>
        <outline val="0"/>
        <shadow val="0"/>
        <u val="none"/>
        <vertAlign val="baseline"/>
        <sz val="11"/>
        <color rgb="FF002060"/>
        <name val="Neue Haas Grotesk Text Pro"/>
        <family val="2"/>
        <scheme val="none"/>
      </font>
      <alignment vertical="bottom" textRotation="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2060"/>
        <name val="Neue Haas Grotesk Text Pro"/>
        <family val="2"/>
        <scheme val="none"/>
      </font>
      <alignment vertical="bottom" textRotation="0" indent="0" justifyLastLine="0" shrinkToFit="0" readingOrder="0"/>
    </dxf>
    <dxf>
      <font>
        <b/>
        <i val="0"/>
        <strike val="0"/>
        <condense val="0"/>
        <extend val="0"/>
        <outline val="0"/>
        <shadow val="0"/>
        <u val="none"/>
        <vertAlign val="baseline"/>
        <sz val="11"/>
        <color rgb="FF002060"/>
        <name val="Neue Haas Grotesk Text Pro"/>
        <family val="2"/>
        <scheme val="none"/>
      </font>
      <fill>
        <patternFill patternType="solid">
          <fgColor indexed="64"/>
          <bgColor rgb="FF00B0F0"/>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222C61"/>
      <color rgb="FFFFEE54"/>
      <color rgb="FFE3E7ED"/>
      <color rgb="FF22FF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3</xdr:col>
      <xdr:colOff>123825</xdr:colOff>
      <xdr:row>2</xdr:row>
      <xdr:rowOff>0</xdr:rowOff>
    </xdr:from>
    <xdr:ext cx="184731" cy="264560"/>
    <xdr:sp macro="" textlink="">
      <xdr:nvSpPr>
        <xdr:cNvPr id="2" name="TekstSylinder 1">
          <a:extLst>
            <a:ext uri="{FF2B5EF4-FFF2-40B4-BE49-F238E27FC236}">
              <a16:creationId xmlns:a16="http://schemas.microsoft.com/office/drawing/2014/main" id="{DBC84BFD-31B2-4C28-BCC2-D431B299A04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 name="TekstSylinder 1">
          <a:extLst>
            <a:ext uri="{FF2B5EF4-FFF2-40B4-BE49-F238E27FC236}">
              <a16:creationId xmlns:a16="http://schemas.microsoft.com/office/drawing/2014/main" id="{6C92C169-AD28-43F7-8D1D-2625D375619D}"/>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 name="TekstSylinder 1">
          <a:extLst>
            <a:ext uri="{FF2B5EF4-FFF2-40B4-BE49-F238E27FC236}">
              <a16:creationId xmlns:a16="http://schemas.microsoft.com/office/drawing/2014/main" id="{916C59E0-515A-4F2B-9C5D-FE5A2724E5F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 name="TekstSylinder 1">
          <a:extLst>
            <a:ext uri="{FF2B5EF4-FFF2-40B4-BE49-F238E27FC236}">
              <a16:creationId xmlns:a16="http://schemas.microsoft.com/office/drawing/2014/main" id="{7CAAAEC5-9CB8-425A-A1F0-22385D1224BA}"/>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 name="TekstSylinder 1">
          <a:extLst>
            <a:ext uri="{FF2B5EF4-FFF2-40B4-BE49-F238E27FC236}">
              <a16:creationId xmlns:a16="http://schemas.microsoft.com/office/drawing/2014/main" id="{A766BA21-F0A9-4FBD-8207-2256AE7FD2D0}"/>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 name="TekstSylinder 1">
          <a:extLst>
            <a:ext uri="{FF2B5EF4-FFF2-40B4-BE49-F238E27FC236}">
              <a16:creationId xmlns:a16="http://schemas.microsoft.com/office/drawing/2014/main" id="{D4FE53FB-A98D-46C5-8339-BD7E972320AC}"/>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 name="TekstSylinder 1">
          <a:extLst>
            <a:ext uri="{FF2B5EF4-FFF2-40B4-BE49-F238E27FC236}">
              <a16:creationId xmlns:a16="http://schemas.microsoft.com/office/drawing/2014/main" id="{3C4C0D6C-30B8-4AD5-AEB7-52FE4164A299}"/>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 name="TekstSylinder 1">
          <a:extLst>
            <a:ext uri="{FF2B5EF4-FFF2-40B4-BE49-F238E27FC236}">
              <a16:creationId xmlns:a16="http://schemas.microsoft.com/office/drawing/2014/main" id="{0CB3373F-0F41-4D43-BCF8-710B66B14544}"/>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 name="TekstSylinder 1">
          <a:extLst>
            <a:ext uri="{FF2B5EF4-FFF2-40B4-BE49-F238E27FC236}">
              <a16:creationId xmlns:a16="http://schemas.microsoft.com/office/drawing/2014/main" id="{EBD961EC-D36B-4045-858E-E84483DE424B}"/>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1" name="TekstSylinder 1">
          <a:extLst>
            <a:ext uri="{FF2B5EF4-FFF2-40B4-BE49-F238E27FC236}">
              <a16:creationId xmlns:a16="http://schemas.microsoft.com/office/drawing/2014/main" id="{F0AC6B81-EA12-48CC-BC94-EBB078011AB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2" name="TekstSylinder 1">
          <a:extLst>
            <a:ext uri="{FF2B5EF4-FFF2-40B4-BE49-F238E27FC236}">
              <a16:creationId xmlns:a16="http://schemas.microsoft.com/office/drawing/2014/main" id="{A3553417-A0C0-465F-A90B-F45752FCB5B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3" name="TekstSylinder 1">
          <a:extLst>
            <a:ext uri="{FF2B5EF4-FFF2-40B4-BE49-F238E27FC236}">
              <a16:creationId xmlns:a16="http://schemas.microsoft.com/office/drawing/2014/main" id="{78F9ADC2-35E5-46A6-9CA4-E9EC7DEA78DF}"/>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4" name="TekstSylinder 1">
          <a:extLst>
            <a:ext uri="{FF2B5EF4-FFF2-40B4-BE49-F238E27FC236}">
              <a16:creationId xmlns:a16="http://schemas.microsoft.com/office/drawing/2014/main" id="{77481C44-72D7-404C-93A6-D236685ADD2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5" name="TekstSylinder 1">
          <a:extLst>
            <a:ext uri="{FF2B5EF4-FFF2-40B4-BE49-F238E27FC236}">
              <a16:creationId xmlns:a16="http://schemas.microsoft.com/office/drawing/2014/main" id="{970B1173-3CFC-45CA-9A7D-E6EB5F67D82D}"/>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6" name="TekstSylinder 1">
          <a:extLst>
            <a:ext uri="{FF2B5EF4-FFF2-40B4-BE49-F238E27FC236}">
              <a16:creationId xmlns:a16="http://schemas.microsoft.com/office/drawing/2014/main" id="{13E5DF79-7DFA-49CC-85C4-CC808B59B118}"/>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7" name="TekstSylinder 1">
          <a:extLst>
            <a:ext uri="{FF2B5EF4-FFF2-40B4-BE49-F238E27FC236}">
              <a16:creationId xmlns:a16="http://schemas.microsoft.com/office/drawing/2014/main" id="{8715B956-15DE-4845-8EF4-82D4FB2E822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8" name="TekstSylinder 1">
          <a:extLst>
            <a:ext uri="{FF2B5EF4-FFF2-40B4-BE49-F238E27FC236}">
              <a16:creationId xmlns:a16="http://schemas.microsoft.com/office/drawing/2014/main" id="{11F9F622-CD65-4E96-A6BA-E26F7452BA9D}"/>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9" name="TekstSylinder 1">
          <a:extLst>
            <a:ext uri="{FF2B5EF4-FFF2-40B4-BE49-F238E27FC236}">
              <a16:creationId xmlns:a16="http://schemas.microsoft.com/office/drawing/2014/main" id="{3CCC08D7-E26F-4A06-8D23-E1238D4F9CA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0" name="TekstSylinder 1">
          <a:extLst>
            <a:ext uri="{FF2B5EF4-FFF2-40B4-BE49-F238E27FC236}">
              <a16:creationId xmlns:a16="http://schemas.microsoft.com/office/drawing/2014/main" id="{8CEA31A2-1651-483A-83BD-2F76E2B03C18}"/>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1" name="TekstSylinder 1">
          <a:extLst>
            <a:ext uri="{FF2B5EF4-FFF2-40B4-BE49-F238E27FC236}">
              <a16:creationId xmlns:a16="http://schemas.microsoft.com/office/drawing/2014/main" id="{F1B6DCB0-A3B5-4731-BF9F-85E2AA8CA468}"/>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2" name="TekstSylinder 1">
          <a:extLst>
            <a:ext uri="{FF2B5EF4-FFF2-40B4-BE49-F238E27FC236}">
              <a16:creationId xmlns:a16="http://schemas.microsoft.com/office/drawing/2014/main" id="{E4D4F395-0B15-4BF0-A2AB-C0492360106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3" name="TekstSylinder 1">
          <a:extLst>
            <a:ext uri="{FF2B5EF4-FFF2-40B4-BE49-F238E27FC236}">
              <a16:creationId xmlns:a16="http://schemas.microsoft.com/office/drawing/2014/main" id="{C7182F4C-836D-4606-8DD4-84CD0167449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4" name="TekstSylinder 1">
          <a:extLst>
            <a:ext uri="{FF2B5EF4-FFF2-40B4-BE49-F238E27FC236}">
              <a16:creationId xmlns:a16="http://schemas.microsoft.com/office/drawing/2014/main" id="{6D66CCC5-984D-43C4-B1B2-DDE3E4CCF54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5" name="TekstSylinder 1">
          <a:extLst>
            <a:ext uri="{FF2B5EF4-FFF2-40B4-BE49-F238E27FC236}">
              <a16:creationId xmlns:a16="http://schemas.microsoft.com/office/drawing/2014/main" id="{04E7E72F-07D3-4801-A5B8-83B4E6DAF47A}"/>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6" name="TekstSylinder 1">
          <a:extLst>
            <a:ext uri="{FF2B5EF4-FFF2-40B4-BE49-F238E27FC236}">
              <a16:creationId xmlns:a16="http://schemas.microsoft.com/office/drawing/2014/main" id="{456F04CF-2058-4A70-9B67-23C233CB6C4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7" name="TekstSylinder 1">
          <a:extLst>
            <a:ext uri="{FF2B5EF4-FFF2-40B4-BE49-F238E27FC236}">
              <a16:creationId xmlns:a16="http://schemas.microsoft.com/office/drawing/2014/main" id="{952D0A86-923F-40A7-8040-C72335D1945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8" name="TekstSylinder 1">
          <a:extLst>
            <a:ext uri="{FF2B5EF4-FFF2-40B4-BE49-F238E27FC236}">
              <a16:creationId xmlns:a16="http://schemas.microsoft.com/office/drawing/2014/main" id="{84A1816E-B389-4FDE-8DC9-D1F93283682A}"/>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9" name="TekstSylinder 1">
          <a:extLst>
            <a:ext uri="{FF2B5EF4-FFF2-40B4-BE49-F238E27FC236}">
              <a16:creationId xmlns:a16="http://schemas.microsoft.com/office/drawing/2014/main" id="{0AFC919A-CDCA-4D55-B090-D77B2C16D15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0" name="TekstSylinder 1">
          <a:extLst>
            <a:ext uri="{FF2B5EF4-FFF2-40B4-BE49-F238E27FC236}">
              <a16:creationId xmlns:a16="http://schemas.microsoft.com/office/drawing/2014/main" id="{FBB0154A-59E3-428C-9CB0-02028EE82AF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1" name="TekstSylinder 1">
          <a:extLst>
            <a:ext uri="{FF2B5EF4-FFF2-40B4-BE49-F238E27FC236}">
              <a16:creationId xmlns:a16="http://schemas.microsoft.com/office/drawing/2014/main" id="{5EA10CA0-A8C0-4B5F-B8E0-5E863B6EE4EF}"/>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2" name="TekstSylinder 1">
          <a:extLst>
            <a:ext uri="{FF2B5EF4-FFF2-40B4-BE49-F238E27FC236}">
              <a16:creationId xmlns:a16="http://schemas.microsoft.com/office/drawing/2014/main" id="{C40B8F87-0969-46EE-8859-30A9E284DCE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3" name="TekstSylinder 1">
          <a:extLst>
            <a:ext uri="{FF2B5EF4-FFF2-40B4-BE49-F238E27FC236}">
              <a16:creationId xmlns:a16="http://schemas.microsoft.com/office/drawing/2014/main" id="{A5A54343-3974-43A0-8775-7FA2BE1F5D4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4" name="TekstSylinder 1">
          <a:extLst>
            <a:ext uri="{FF2B5EF4-FFF2-40B4-BE49-F238E27FC236}">
              <a16:creationId xmlns:a16="http://schemas.microsoft.com/office/drawing/2014/main" id="{A7882672-50F7-44FB-B3FE-DF8CE6DC78C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5" name="TekstSylinder 1">
          <a:extLst>
            <a:ext uri="{FF2B5EF4-FFF2-40B4-BE49-F238E27FC236}">
              <a16:creationId xmlns:a16="http://schemas.microsoft.com/office/drawing/2014/main" id="{0A5E24A7-3C11-4549-A479-CF63D7D24E9C}"/>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6" name="TekstSylinder 1">
          <a:extLst>
            <a:ext uri="{FF2B5EF4-FFF2-40B4-BE49-F238E27FC236}">
              <a16:creationId xmlns:a16="http://schemas.microsoft.com/office/drawing/2014/main" id="{F8B1B967-3940-454C-B0F8-5624CDAE6EC4}"/>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7" name="TekstSylinder 1">
          <a:extLst>
            <a:ext uri="{FF2B5EF4-FFF2-40B4-BE49-F238E27FC236}">
              <a16:creationId xmlns:a16="http://schemas.microsoft.com/office/drawing/2014/main" id="{FE87EF50-938E-4EDB-A760-381EAA15F0E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8" name="TekstSylinder 1">
          <a:extLst>
            <a:ext uri="{FF2B5EF4-FFF2-40B4-BE49-F238E27FC236}">
              <a16:creationId xmlns:a16="http://schemas.microsoft.com/office/drawing/2014/main" id="{A3421023-902B-48E3-A5F5-B2111D4B728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9" name="TekstSylinder 1">
          <a:extLst>
            <a:ext uri="{FF2B5EF4-FFF2-40B4-BE49-F238E27FC236}">
              <a16:creationId xmlns:a16="http://schemas.microsoft.com/office/drawing/2014/main" id="{327F91FB-89BB-4C84-A65F-852480366E5B}"/>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0" name="TekstSylinder 1">
          <a:extLst>
            <a:ext uri="{FF2B5EF4-FFF2-40B4-BE49-F238E27FC236}">
              <a16:creationId xmlns:a16="http://schemas.microsoft.com/office/drawing/2014/main" id="{67396165-6A9C-4598-8E6B-D8787C56916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1" name="TekstSylinder 1">
          <a:extLst>
            <a:ext uri="{FF2B5EF4-FFF2-40B4-BE49-F238E27FC236}">
              <a16:creationId xmlns:a16="http://schemas.microsoft.com/office/drawing/2014/main" id="{C8047636-613A-4AEE-A372-E2ADB0D85ED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2" name="TekstSylinder 1">
          <a:extLst>
            <a:ext uri="{FF2B5EF4-FFF2-40B4-BE49-F238E27FC236}">
              <a16:creationId xmlns:a16="http://schemas.microsoft.com/office/drawing/2014/main" id="{15110338-8682-408A-B8EA-CA3472CAECB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3" name="TekstSylinder 1">
          <a:extLst>
            <a:ext uri="{FF2B5EF4-FFF2-40B4-BE49-F238E27FC236}">
              <a16:creationId xmlns:a16="http://schemas.microsoft.com/office/drawing/2014/main" id="{915DC442-1E01-4C33-8F96-44226512D290}"/>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4" name="TekstSylinder 1">
          <a:extLst>
            <a:ext uri="{FF2B5EF4-FFF2-40B4-BE49-F238E27FC236}">
              <a16:creationId xmlns:a16="http://schemas.microsoft.com/office/drawing/2014/main" id="{1E9C1F0A-173A-40FC-AAA1-5B2F0297010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5" name="TekstSylinder 1">
          <a:extLst>
            <a:ext uri="{FF2B5EF4-FFF2-40B4-BE49-F238E27FC236}">
              <a16:creationId xmlns:a16="http://schemas.microsoft.com/office/drawing/2014/main" id="{8C42024E-D681-4CBB-BE9D-ECA693527DA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6" name="TekstSylinder 1">
          <a:extLst>
            <a:ext uri="{FF2B5EF4-FFF2-40B4-BE49-F238E27FC236}">
              <a16:creationId xmlns:a16="http://schemas.microsoft.com/office/drawing/2014/main" id="{AD273BBC-D86B-40AA-91CE-E4984C0F0BC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7" name="TekstSylinder 1">
          <a:extLst>
            <a:ext uri="{FF2B5EF4-FFF2-40B4-BE49-F238E27FC236}">
              <a16:creationId xmlns:a16="http://schemas.microsoft.com/office/drawing/2014/main" id="{EE02F6FD-6518-4E02-BBA9-FF9AC3FF420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8" name="TekstSylinder 1">
          <a:extLst>
            <a:ext uri="{FF2B5EF4-FFF2-40B4-BE49-F238E27FC236}">
              <a16:creationId xmlns:a16="http://schemas.microsoft.com/office/drawing/2014/main" id="{37CE3535-4996-4B70-8938-83E4F43DCE8D}"/>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9" name="TekstSylinder 1">
          <a:extLst>
            <a:ext uri="{FF2B5EF4-FFF2-40B4-BE49-F238E27FC236}">
              <a16:creationId xmlns:a16="http://schemas.microsoft.com/office/drawing/2014/main" id="{3E506940-6385-49BF-9A77-14CBFB0D1AAA}"/>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0" name="TekstSylinder 1">
          <a:extLst>
            <a:ext uri="{FF2B5EF4-FFF2-40B4-BE49-F238E27FC236}">
              <a16:creationId xmlns:a16="http://schemas.microsoft.com/office/drawing/2014/main" id="{FFA6896B-04BB-4D3E-A0D2-6CF171E802E5}"/>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1" name="TekstSylinder 1">
          <a:extLst>
            <a:ext uri="{FF2B5EF4-FFF2-40B4-BE49-F238E27FC236}">
              <a16:creationId xmlns:a16="http://schemas.microsoft.com/office/drawing/2014/main" id="{BDC52586-12AA-449A-9FDA-8E20562856D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2" name="TekstSylinder 1">
          <a:extLst>
            <a:ext uri="{FF2B5EF4-FFF2-40B4-BE49-F238E27FC236}">
              <a16:creationId xmlns:a16="http://schemas.microsoft.com/office/drawing/2014/main" id="{C595FABB-8DCC-4567-874B-281F2963533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3" name="TekstSylinder 1">
          <a:extLst>
            <a:ext uri="{FF2B5EF4-FFF2-40B4-BE49-F238E27FC236}">
              <a16:creationId xmlns:a16="http://schemas.microsoft.com/office/drawing/2014/main" id="{05C6637F-51BE-4604-BE40-88DB2E12BF2F}"/>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4" name="TekstSylinder 1">
          <a:extLst>
            <a:ext uri="{FF2B5EF4-FFF2-40B4-BE49-F238E27FC236}">
              <a16:creationId xmlns:a16="http://schemas.microsoft.com/office/drawing/2014/main" id="{EB51BD35-2EE1-4A25-9AEE-97403D48E2D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5" name="TekstSylinder 1">
          <a:extLst>
            <a:ext uri="{FF2B5EF4-FFF2-40B4-BE49-F238E27FC236}">
              <a16:creationId xmlns:a16="http://schemas.microsoft.com/office/drawing/2014/main" id="{2927209D-1428-4A08-A5C3-800150686515}"/>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6" name="TekstSylinder 1">
          <a:extLst>
            <a:ext uri="{FF2B5EF4-FFF2-40B4-BE49-F238E27FC236}">
              <a16:creationId xmlns:a16="http://schemas.microsoft.com/office/drawing/2014/main" id="{8EC221E3-B047-492C-BCC3-6BDDE5AF34AF}"/>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7" name="TekstSylinder 1">
          <a:extLst>
            <a:ext uri="{FF2B5EF4-FFF2-40B4-BE49-F238E27FC236}">
              <a16:creationId xmlns:a16="http://schemas.microsoft.com/office/drawing/2014/main" id="{4F2F9278-AAFE-40A7-95C7-C067DCEEBEF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8" name="TekstSylinder 1">
          <a:extLst>
            <a:ext uri="{FF2B5EF4-FFF2-40B4-BE49-F238E27FC236}">
              <a16:creationId xmlns:a16="http://schemas.microsoft.com/office/drawing/2014/main" id="{127FFF25-4784-4A82-A240-EF9E669D404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9" name="TekstSylinder 1">
          <a:extLst>
            <a:ext uri="{FF2B5EF4-FFF2-40B4-BE49-F238E27FC236}">
              <a16:creationId xmlns:a16="http://schemas.microsoft.com/office/drawing/2014/main" id="{CC0617CE-3E4A-4D51-88B2-AED59C13199C}"/>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0" name="TekstSylinder 1">
          <a:extLst>
            <a:ext uri="{FF2B5EF4-FFF2-40B4-BE49-F238E27FC236}">
              <a16:creationId xmlns:a16="http://schemas.microsoft.com/office/drawing/2014/main" id="{6A09BFA9-28B1-4995-BD2F-2DB2AEF5C7F9}"/>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1" name="TekstSylinder 1">
          <a:extLst>
            <a:ext uri="{FF2B5EF4-FFF2-40B4-BE49-F238E27FC236}">
              <a16:creationId xmlns:a16="http://schemas.microsoft.com/office/drawing/2014/main" id="{844835EE-B5FE-4EA9-B766-BB1B87C51F0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2" name="TekstSylinder 1">
          <a:extLst>
            <a:ext uri="{FF2B5EF4-FFF2-40B4-BE49-F238E27FC236}">
              <a16:creationId xmlns:a16="http://schemas.microsoft.com/office/drawing/2014/main" id="{F0F372B3-93EC-44E4-928B-5975D3632DD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3" name="TekstSylinder 1">
          <a:extLst>
            <a:ext uri="{FF2B5EF4-FFF2-40B4-BE49-F238E27FC236}">
              <a16:creationId xmlns:a16="http://schemas.microsoft.com/office/drawing/2014/main" id="{39C304FA-8EEE-4607-9845-EA2B1A53C37C}"/>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4" name="TekstSylinder 1">
          <a:extLst>
            <a:ext uri="{FF2B5EF4-FFF2-40B4-BE49-F238E27FC236}">
              <a16:creationId xmlns:a16="http://schemas.microsoft.com/office/drawing/2014/main" id="{CC6803CE-4FE6-4D19-8110-A9F19726DAC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5" name="TekstSylinder 1">
          <a:extLst>
            <a:ext uri="{FF2B5EF4-FFF2-40B4-BE49-F238E27FC236}">
              <a16:creationId xmlns:a16="http://schemas.microsoft.com/office/drawing/2014/main" id="{9CF65B05-D4BE-472E-B649-657570F03709}"/>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6" name="TekstSylinder 1">
          <a:extLst>
            <a:ext uri="{FF2B5EF4-FFF2-40B4-BE49-F238E27FC236}">
              <a16:creationId xmlns:a16="http://schemas.microsoft.com/office/drawing/2014/main" id="{BB74F02E-3DAC-4EFB-944E-DC3733C9B12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7" name="TekstSylinder 1">
          <a:extLst>
            <a:ext uri="{FF2B5EF4-FFF2-40B4-BE49-F238E27FC236}">
              <a16:creationId xmlns:a16="http://schemas.microsoft.com/office/drawing/2014/main" id="{D6AACF0F-1633-4956-BA46-C9AFF5D15350}"/>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8" name="TekstSylinder 1">
          <a:extLst>
            <a:ext uri="{FF2B5EF4-FFF2-40B4-BE49-F238E27FC236}">
              <a16:creationId xmlns:a16="http://schemas.microsoft.com/office/drawing/2014/main" id="{A87F27CA-C3DC-4937-8E05-55BE5942E1D9}"/>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9" name="TekstSylinder 1">
          <a:extLst>
            <a:ext uri="{FF2B5EF4-FFF2-40B4-BE49-F238E27FC236}">
              <a16:creationId xmlns:a16="http://schemas.microsoft.com/office/drawing/2014/main" id="{0A43D78E-A145-4470-9FE7-48B9332000AF}"/>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0" name="TekstSylinder 1">
          <a:extLst>
            <a:ext uri="{FF2B5EF4-FFF2-40B4-BE49-F238E27FC236}">
              <a16:creationId xmlns:a16="http://schemas.microsoft.com/office/drawing/2014/main" id="{F7988CA7-8048-44BB-A103-2960F7F8B824}"/>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1" name="TekstSylinder 1">
          <a:extLst>
            <a:ext uri="{FF2B5EF4-FFF2-40B4-BE49-F238E27FC236}">
              <a16:creationId xmlns:a16="http://schemas.microsoft.com/office/drawing/2014/main" id="{DEE150B2-E90B-4217-ACFC-20891AE89C79}"/>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2" name="TekstSylinder 1">
          <a:extLst>
            <a:ext uri="{FF2B5EF4-FFF2-40B4-BE49-F238E27FC236}">
              <a16:creationId xmlns:a16="http://schemas.microsoft.com/office/drawing/2014/main" id="{B2326339-B679-47F2-83A4-6868D9426AE0}"/>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3" name="TekstSylinder 1">
          <a:extLst>
            <a:ext uri="{FF2B5EF4-FFF2-40B4-BE49-F238E27FC236}">
              <a16:creationId xmlns:a16="http://schemas.microsoft.com/office/drawing/2014/main" id="{F89F97A9-F580-4D14-9B77-CD3BFD0051EA}"/>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4" name="TekstSylinder 1">
          <a:extLst>
            <a:ext uri="{FF2B5EF4-FFF2-40B4-BE49-F238E27FC236}">
              <a16:creationId xmlns:a16="http://schemas.microsoft.com/office/drawing/2014/main" id="{51D1A0B4-CAE5-4219-917F-1C074167728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5" name="TekstSylinder 1">
          <a:extLst>
            <a:ext uri="{FF2B5EF4-FFF2-40B4-BE49-F238E27FC236}">
              <a16:creationId xmlns:a16="http://schemas.microsoft.com/office/drawing/2014/main" id="{A601BB65-A22F-4182-A83B-79B30FCB447B}"/>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6" name="TekstSylinder 1">
          <a:extLst>
            <a:ext uri="{FF2B5EF4-FFF2-40B4-BE49-F238E27FC236}">
              <a16:creationId xmlns:a16="http://schemas.microsoft.com/office/drawing/2014/main" id="{AC083BC3-6AB5-4D4E-89B9-9FFDD5927DB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7" name="TekstSylinder 1">
          <a:extLst>
            <a:ext uri="{FF2B5EF4-FFF2-40B4-BE49-F238E27FC236}">
              <a16:creationId xmlns:a16="http://schemas.microsoft.com/office/drawing/2014/main" id="{E7217ABC-A1E0-49EB-B6EF-F7AFC021DD1D}"/>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8" name="TekstSylinder 1">
          <a:extLst>
            <a:ext uri="{FF2B5EF4-FFF2-40B4-BE49-F238E27FC236}">
              <a16:creationId xmlns:a16="http://schemas.microsoft.com/office/drawing/2014/main" id="{1A84DB97-09D2-49D4-AD91-9E9B12FA6FA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9" name="TekstSylinder 1">
          <a:extLst>
            <a:ext uri="{FF2B5EF4-FFF2-40B4-BE49-F238E27FC236}">
              <a16:creationId xmlns:a16="http://schemas.microsoft.com/office/drawing/2014/main" id="{C9810FE5-4A28-44C6-9B0D-5256BCEAD68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0" name="TekstSylinder 1">
          <a:extLst>
            <a:ext uri="{FF2B5EF4-FFF2-40B4-BE49-F238E27FC236}">
              <a16:creationId xmlns:a16="http://schemas.microsoft.com/office/drawing/2014/main" id="{AB801EB8-CC24-4CE3-BF67-E22151ABE744}"/>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1" name="TekstSylinder 1">
          <a:extLst>
            <a:ext uri="{FF2B5EF4-FFF2-40B4-BE49-F238E27FC236}">
              <a16:creationId xmlns:a16="http://schemas.microsoft.com/office/drawing/2014/main" id="{910E7151-59CB-4A39-8AC8-3FF5DC63202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2" name="TekstSylinder 1">
          <a:extLst>
            <a:ext uri="{FF2B5EF4-FFF2-40B4-BE49-F238E27FC236}">
              <a16:creationId xmlns:a16="http://schemas.microsoft.com/office/drawing/2014/main" id="{DA9F545C-6FC0-4881-8CDA-478B6CB1BF0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3" name="TekstSylinder 1">
          <a:extLst>
            <a:ext uri="{FF2B5EF4-FFF2-40B4-BE49-F238E27FC236}">
              <a16:creationId xmlns:a16="http://schemas.microsoft.com/office/drawing/2014/main" id="{EC045E79-9712-491A-A1D3-C987A5C6BDC0}"/>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4" name="TekstSylinder 1">
          <a:extLst>
            <a:ext uri="{FF2B5EF4-FFF2-40B4-BE49-F238E27FC236}">
              <a16:creationId xmlns:a16="http://schemas.microsoft.com/office/drawing/2014/main" id="{40C53C07-A13D-4F5B-8093-699C3485541F}"/>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5" name="TekstSylinder 1">
          <a:extLst>
            <a:ext uri="{FF2B5EF4-FFF2-40B4-BE49-F238E27FC236}">
              <a16:creationId xmlns:a16="http://schemas.microsoft.com/office/drawing/2014/main" id="{7C4DFEA4-4827-4C89-992B-BC9C81D953C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6" name="TekstSylinder 1">
          <a:extLst>
            <a:ext uri="{FF2B5EF4-FFF2-40B4-BE49-F238E27FC236}">
              <a16:creationId xmlns:a16="http://schemas.microsoft.com/office/drawing/2014/main" id="{0217A314-3845-406F-8D94-10839CFDC15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7" name="TekstSylinder 1">
          <a:extLst>
            <a:ext uri="{FF2B5EF4-FFF2-40B4-BE49-F238E27FC236}">
              <a16:creationId xmlns:a16="http://schemas.microsoft.com/office/drawing/2014/main" id="{C617127B-10C5-48E5-BA96-490B1873295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8" name="TekstSylinder 1">
          <a:extLst>
            <a:ext uri="{FF2B5EF4-FFF2-40B4-BE49-F238E27FC236}">
              <a16:creationId xmlns:a16="http://schemas.microsoft.com/office/drawing/2014/main" id="{3C2F8447-B0B0-4CBA-8C96-F550F8A3F89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9" name="TekstSylinder 1">
          <a:extLst>
            <a:ext uri="{FF2B5EF4-FFF2-40B4-BE49-F238E27FC236}">
              <a16:creationId xmlns:a16="http://schemas.microsoft.com/office/drawing/2014/main" id="{5DA56226-F246-4F45-B033-520CA0E74A00}"/>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0" name="TekstSylinder 1">
          <a:extLst>
            <a:ext uri="{FF2B5EF4-FFF2-40B4-BE49-F238E27FC236}">
              <a16:creationId xmlns:a16="http://schemas.microsoft.com/office/drawing/2014/main" id="{65EFE53C-6A6A-4661-A2A1-309868CE87A5}"/>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1" name="TekstSylinder 1">
          <a:extLst>
            <a:ext uri="{FF2B5EF4-FFF2-40B4-BE49-F238E27FC236}">
              <a16:creationId xmlns:a16="http://schemas.microsoft.com/office/drawing/2014/main" id="{C30471A0-A752-40E5-8E55-199B782DE3A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2" name="TekstSylinder 1">
          <a:extLst>
            <a:ext uri="{FF2B5EF4-FFF2-40B4-BE49-F238E27FC236}">
              <a16:creationId xmlns:a16="http://schemas.microsoft.com/office/drawing/2014/main" id="{78D9132F-D864-4AFE-AF60-DD615B1E777C}"/>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3" name="TekstSylinder 1">
          <a:extLst>
            <a:ext uri="{FF2B5EF4-FFF2-40B4-BE49-F238E27FC236}">
              <a16:creationId xmlns:a16="http://schemas.microsoft.com/office/drawing/2014/main" id="{E0B30766-8509-4BEA-A957-23B51752A646}"/>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4" name="TekstSylinder 1">
          <a:extLst>
            <a:ext uri="{FF2B5EF4-FFF2-40B4-BE49-F238E27FC236}">
              <a16:creationId xmlns:a16="http://schemas.microsoft.com/office/drawing/2014/main" id="{B9A33EFC-37F0-4199-A1D8-8C33B3FA710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5" name="TekstSylinder 1">
          <a:extLst>
            <a:ext uri="{FF2B5EF4-FFF2-40B4-BE49-F238E27FC236}">
              <a16:creationId xmlns:a16="http://schemas.microsoft.com/office/drawing/2014/main" id="{39A5241E-85AD-4F78-BD3C-92A95A08134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6" name="TekstSylinder 1">
          <a:extLst>
            <a:ext uri="{FF2B5EF4-FFF2-40B4-BE49-F238E27FC236}">
              <a16:creationId xmlns:a16="http://schemas.microsoft.com/office/drawing/2014/main" id="{E96268D3-1C55-42FA-8D0A-B4216B2E1C15}"/>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7" name="TekstSylinder 1">
          <a:extLst>
            <a:ext uri="{FF2B5EF4-FFF2-40B4-BE49-F238E27FC236}">
              <a16:creationId xmlns:a16="http://schemas.microsoft.com/office/drawing/2014/main" id="{1D8506F8-4C48-4F7E-826A-E40B9881AC3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8" name="TekstSylinder 1">
          <a:extLst>
            <a:ext uri="{FF2B5EF4-FFF2-40B4-BE49-F238E27FC236}">
              <a16:creationId xmlns:a16="http://schemas.microsoft.com/office/drawing/2014/main" id="{16FC0780-1702-4299-AD65-7F6DC8EF5C02}"/>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9" name="TekstSylinder 1">
          <a:extLst>
            <a:ext uri="{FF2B5EF4-FFF2-40B4-BE49-F238E27FC236}">
              <a16:creationId xmlns:a16="http://schemas.microsoft.com/office/drawing/2014/main" id="{8B8A49C3-0155-4C72-B1AE-AFB8CAA36147}"/>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0" name="TekstSylinder 1">
          <a:extLst>
            <a:ext uri="{FF2B5EF4-FFF2-40B4-BE49-F238E27FC236}">
              <a16:creationId xmlns:a16="http://schemas.microsoft.com/office/drawing/2014/main" id="{0ADC3A02-2F82-492E-91FC-EF315923A25D}"/>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1" name="TekstSylinder 1">
          <a:extLst>
            <a:ext uri="{FF2B5EF4-FFF2-40B4-BE49-F238E27FC236}">
              <a16:creationId xmlns:a16="http://schemas.microsoft.com/office/drawing/2014/main" id="{B66229BC-2FB0-4B96-9844-4E64A0260341}"/>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2" name="TekstSylinder 1">
          <a:extLst>
            <a:ext uri="{FF2B5EF4-FFF2-40B4-BE49-F238E27FC236}">
              <a16:creationId xmlns:a16="http://schemas.microsoft.com/office/drawing/2014/main" id="{BF588357-7FC4-4024-84DF-A222A14615D3}"/>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3" name="TekstSylinder 1">
          <a:extLst>
            <a:ext uri="{FF2B5EF4-FFF2-40B4-BE49-F238E27FC236}">
              <a16:creationId xmlns:a16="http://schemas.microsoft.com/office/drawing/2014/main" id="{DD1D7D5D-4D21-4B51-B401-C8B0B2C3163E}"/>
            </a:ext>
          </a:extLst>
        </xdr:cNvPr>
        <xdr:cNvSpPr txBox="1"/>
      </xdr:nvSpPr>
      <xdr:spPr>
        <a:xfrm>
          <a:off x="5229225" y="48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04" name="TekstSylinder 117">
          <a:extLst>
            <a:ext uri="{FF2B5EF4-FFF2-40B4-BE49-F238E27FC236}">
              <a16:creationId xmlns:a16="http://schemas.microsoft.com/office/drawing/2014/main" id="{E95116BD-47AA-4251-AB61-CF784601507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05" name="TekstSylinder 1">
          <a:extLst>
            <a:ext uri="{FF2B5EF4-FFF2-40B4-BE49-F238E27FC236}">
              <a16:creationId xmlns:a16="http://schemas.microsoft.com/office/drawing/2014/main" id="{57BC389F-6288-484D-8D18-3C3A282A5E7E}"/>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06" name="TekstSylinder 1">
          <a:extLst>
            <a:ext uri="{FF2B5EF4-FFF2-40B4-BE49-F238E27FC236}">
              <a16:creationId xmlns:a16="http://schemas.microsoft.com/office/drawing/2014/main" id="{CA9E11A1-44E0-49B2-B3C7-6C5316903FC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07" name="TekstSylinder 1">
          <a:extLst>
            <a:ext uri="{FF2B5EF4-FFF2-40B4-BE49-F238E27FC236}">
              <a16:creationId xmlns:a16="http://schemas.microsoft.com/office/drawing/2014/main" id="{CCA5B03D-AAE5-4810-8D60-8D1C19F8B88E}"/>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08" name="TekstSylinder 1">
          <a:extLst>
            <a:ext uri="{FF2B5EF4-FFF2-40B4-BE49-F238E27FC236}">
              <a16:creationId xmlns:a16="http://schemas.microsoft.com/office/drawing/2014/main" id="{EB055611-E0C5-45FD-987A-9FD0A6DAE2F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09" name="TekstSylinder 1">
          <a:extLst>
            <a:ext uri="{FF2B5EF4-FFF2-40B4-BE49-F238E27FC236}">
              <a16:creationId xmlns:a16="http://schemas.microsoft.com/office/drawing/2014/main" id="{B755DB81-C4AD-4654-91BC-B5CA3F3E6D8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0" name="TekstSylinder 1">
          <a:extLst>
            <a:ext uri="{FF2B5EF4-FFF2-40B4-BE49-F238E27FC236}">
              <a16:creationId xmlns:a16="http://schemas.microsoft.com/office/drawing/2014/main" id="{ABFB3078-7AC0-4B17-AAA4-3E4B638AB25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1" name="TekstSylinder 1">
          <a:extLst>
            <a:ext uri="{FF2B5EF4-FFF2-40B4-BE49-F238E27FC236}">
              <a16:creationId xmlns:a16="http://schemas.microsoft.com/office/drawing/2014/main" id="{DF905BBC-7467-4FE6-9C94-A56DF437EC04}"/>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2" name="TekstSylinder 1">
          <a:extLst>
            <a:ext uri="{FF2B5EF4-FFF2-40B4-BE49-F238E27FC236}">
              <a16:creationId xmlns:a16="http://schemas.microsoft.com/office/drawing/2014/main" id="{90714396-ED5C-4F3C-A9BB-960ACFF3CF37}"/>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3" name="TekstSylinder 1">
          <a:extLst>
            <a:ext uri="{FF2B5EF4-FFF2-40B4-BE49-F238E27FC236}">
              <a16:creationId xmlns:a16="http://schemas.microsoft.com/office/drawing/2014/main" id="{76D52DCE-5AC1-4246-8702-587020DCF1A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4" name="TekstSylinder 1">
          <a:extLst>
            <a:ext uri="{FF2B5EF4-FFF2-40B4-BE49-F238E27FC236}">
              <a16:creationId xmlns:a16="http://schemas.microsoft.com/office/drawing/2014/main" id="{9832CE42-1676-4458-BF3B-A9AD877DB0F1}"/>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5" name="TekstSylinder 1">
          <a:extLst>
            <a:ext uri="{FF2B5EF4-FFF2-40B4-BE49-F238E27FC236}">
              <a16:creationId xmlns:a16="http://schemas.microsoft.com/office/drawing/2014/main" id="{715824B3-B559-4A33-9E5C-0849DD3EABA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6" name="TekstSylinder 1">
          <a:extLst>
            <a:ext uri="{FF2B5EF4-FFF2-40B4-BE49-F238E27FC236}">
              <a16:creationId xmlns:a16="http://schemas.microsoft.com/office/drawing/2014/main" id="{656CF790-CB14-4E83-950A-6A175E8056F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7" name="TekstSylinder 1">
          <a:extLst>
            <a:ext uri="{FF2B5EF4-FFF2-40B4-BE49-F238E27FC236}">
              <a16:creationId xmlns:a16="http://schemas.microsoft.com/office/drawing/2014/main" id="{294FE3AC-D5E3-4CEA-BA2E-2CC0A2A687A2}"/>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8" name="TekstSylinder 1">
          <a:extLst>
            <a:ext uri="{FF2B5EF4-FFF2-40B4-BE49-F238E27FC236}">
              <a16:creationId xmlns:a16="http://schemas.microsoft.com/office/drawing/2014/main" id="{0D9AE11D-B80E-402C-A091-2E23ABD6751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19" name="TekstSylinder 1">
          <a:extLst>
            <a:ext uri="{FF2B5EF4-FFF2-40B4-BE49-F238E27FC236}">
              <a16:creationId xmlns:a16="http://schemas.microsoft.com/office/drawing/2014/main" id="{ED77273D-662C-4301-89FB-DE042A309097}"/>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0" name="TekstSylinder 1">
          <a:extLst>
            <a:ext uri="{FF2B5EF4-FFF2-40B4-BE49-F238E27FC236}">
              <a16:creationId xmlns:a16="http://schemas.microsoft.com/office/drawing/2014/main" id="{DCDFB79E-8086-4BCE-8FFB-02FFFC5AD861}"/>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1" name="TekstSylinder 1">
          <a:extLst>
            <a:ext uri="{FF2B5EF4-FFF2-40B4-BE49-F238E27FC236}">
              <a16:creationId xmlns:a16="http://schemas.microsoft.com/office/drawing/2014/main" id="{8F85BC08-3A99-4791-B7FE-CBDC2A14E47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2" name="TekstSylinder 1">
          <a:extLst>
            <a:ext uri="{FF2B5EF4-FFF2-40B4-BE49-F238E27FC236}">
              <a16:creationId xmlns:a16="http://schemas.microsoft.com/office/drawing/2014/main" id="{131650C5-7407-4403-8EB7-E93DFEB2703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3" name="TekstSylinder 1">
          <a:extLst>
            <a:ext uri="{FF2B5EF4-FFF2-40B4-BE49-F238E27FC236}">
              <a16:creationId xmlns:a16="http://schemas.microsoft.com/office/drawing/2014/main" id="{18FD3706-1AC0-44B1-A293-43D5D4D3AAF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4" name="TekstSylinder 1">
          <a:extLst>
            <a:ext uri="{FF2B5EF4-FFF2-40B4-BE49-F238E27FC236}">
              <a16:creationId xmlns:a16="http://schemas.microsoft.com/office/drawing/2014/main" id="{3879D24B-AEF8-466F-A372-BC32519F532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5" name="TekstSylinder 1">
          <a:extLst>
            <a:ext uri="{FF2B5EF4-FFF2-40B4-BE49-F238E27FC236}">
              <a16:creationId xmlns:a16="http://schemas.microsoft.com/office/drawing/2014/main" id="{812D65AE-CDEF-41B3-86F7-1650AD39381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6" name="TekstSylinder 1">
          <a:extLst>
            <a:ext uri="{FF2B5EF4-FFF2-40B4-BE49-F238E27FC236}">
              <a16:creationId xmlns:a16="http://schemas.microsoft.com/office/drawing/2014/main" id="{D5F0BA1B-8D7D-4F48-BB8E-2FD446D2BFCE}"/>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7" name="TekstSylinder 1">
          <a:extLst>
            <a:ext uri="{FF2B5EF4-FFF2-40B4-BE49-F238E27FC236}">
              <a16:creationId xmlns:a16="http://schemas.microsoft.com/office/drawing/2014/main" id="{ACFC04F6-D06B-4260-A8AE-694757B7E517}"/>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8" name="TekstSylinder 1">
          <a:extLst>
            <a:ext uri="{FF2B5EF4-FFF2-40B4-BE49-F238E27FC236}">
              <a16:creationId xmlns:a16="http://schemas.microsoft.com/office/drawing/2014/main" id="{739190B4-035A-4F4E-8B58-19014FE9E2C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29" name="TekstSylinder 1">
          <a:extLst>
            <a:ext uri="{FF2B5EF4-FFF2-40B4-BE49-F238E27FC236}">
              <a16:creationId xmlns:a16="http://schemas.microsoft.com/office/drawing/2014/main" id="{98252D74-4319-454B-9C10-7E393EA49D2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0" name="TekstSylinder 1">
          <a:extLst>
            <a:ext uri="{FF2B5EF4-FFF2-40B4-BE49-F238E27FC236}">
              <a16:creationId xmlns:a16="http://schemas.microsoft.com/office/drawing/2014/main" id="{4569F03D-846A-440D-BEBF-747A67952B60}"/>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1" name="TekstSylinder 1">
          <a:extLst>
            <a:ext uri="{FF2B5EF4-FFF2-40B4-BE49-F238E27FC236}">
              <a16:creationId xmlns:a16="http://schemas.microsoft.com/office/drawing/2014/main" id="{5CC53192-DD84-46C8-86F3-AA9DAF2868A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2" name="TekstSylinder 1">
          <a:extLst>
            <a:ext uri="{FF2B5EF4-FFF2-40B4-BE49-F238E27FC236}">
              <a16:creationId xmlns:a16="http://schemas.microsoft.com/office/drawing/2014/main" id="{A3163F94-9EA5-437A-B1EA-2AD4DB2FE6D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3" name="TekstSylinder 1">
          <a:extLst>
            <a:ext uri="{FF2B5EF4-FFF2-40B4-BE49-F238E27FC236}">
              <a16:creationId xmlns:a16="http://schemas.microsoft.com/office/drawing/2014/main" id="{0D89631F-6597-4085-8FA6-507F81789D0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4" name="TekstSylinder 1">
          <a:extLst>
            <a:ext uri="{FF2B5EF4-FFF2-40B4-BE49-F238E27FC236}">
              <a16:creationId xmlns:a16="http://schemas.microsoft.com/office/drawing/2014/main" id="{EB0343DB-01E3-4BB8-ABD7-517D52C4F36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5" name="TekstSylinder 1">
          <a:extLst>
            <a:ext uri="{FF2B5EF4-FFF2-40B4-BE49-F238E27FC236}">
              <a16:creationId xmlns:a16="http://schemas.microsoft.com/office/drawing/2014/main" id="{9C805C9E-3A6F-46F6-BE5F-CDDC565359C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6" name="TekstSylinder 1">
          <a:extLst>
            <a:ext uri="{FF2B5EF4-FFF2-40B4-BE49-F238E27FC236}">
              <a16:creationId xmlns:a16="http://schemas.microsoft.com/office/drawing/2014/main" id="{90CDC761-E61C-488E-A254-868490CD4D9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7" name="TekstSylinder 1">
          <a:extLst>
            <a:ext uri="{FF2B5EF4-FFF2-40B4-BE49-F238E27FC236}">
              <a16:creationId xmlns:a16="http://schemas.microsoft.com/office/drawing/2014/main" id="{7043635C-0AF0-4F2B-9C35-17445C4849A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8" name="TekstSylinder 1">
          <a:extLst>
            <a:ext uri="{FF2B5EF4-FFF2-40B4-BE49-F238E27FC236}">
              <a16:creationId xmlns:a16="http://schemas.microsoft.com/office/drawing/2014/main" id="{E202829E-861A-433A-9597-F3DA38107DB5}"/>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39" name="TekstSylinder 1">
          <a:extLst>
            <a:ext uri="{FF2B5EF4-FFF2-40B4-BE49-F238E27FC236}">
              <a16:creationId xmlns:a16="http://schemas.microsoft.com/office/drawing/2014/main" id="{6A600926-F478-44EE-A489-3E1B2F339024}"/>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0" name="TekstSylinder 1">
          <a:extLst>
            <a:ext uri="{FF2B5EF4-FFF2-40B4-BE49-F238E27FC236}">
              <a16:creationId xmlns:a16="http://schemas.microsoft.com/office/drawing/2014/main" id="{CD0E0D2C-3D0D-4C08-AD45-87D5A57D172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1" name="TekstSylinder 1">
          <a:extLst>
            <a:ext uri="{FF2B5EF4-FFF2-40B4-BE49-F238E27FC236}">
              <a16:creationId xmlns:a16="http://schemas.microsoft.com/office/drawing/2014/main" id="{08DD7221-0305-4C9D-B1D7-2DC3BAB569B2}"/>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2" name="TekstSylinder 1">
          <a:extLst>
            <a:ext uri="{FF2B5EF4-FFF2-40B4-BE49-F238E27FC236}">
              <a16:creationId xmlns:a16="http://schemas.microsoft.com/office/drawing/2014/main" id="{D8E3C7AA-4BF2-485A-87C4-5A605437286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3" name="TekstSylinder 1">
          <a:extLst>
            <a:ext uri="{FF2B5EF4-FFF2-40B4-BE49-F238E27FC236}">
              <a16:creationId xmlns:a16="http://schemas.microsoft.com/office/drawing/2014/main" id="{8DD24870-A744-4626-8A3D-270D3551E5E0}"/>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4" name="TekstSylinder 1">
          <a:extLst>
            <a:ext uri="{FF2B5EF4-FFF2-40B4-BE49-F238E27FC236}">
              <a16:creationId xmlns:a16="http://schemas.microsoft.com/office/drawing/2014/main" id="{0726FE8A-DC3A-4C06-AEEE-4F73F13D165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5" name="TekstSylinder 1">
          <a:extLst>
            <a:ext uri="{FF2B5EF4-FFF2-40B4-BE49-F238E27FC236}">
              <a16:creationId xmlns:a16="http://schemas.microsoft.com/office/drawing/2014/main" id="{FE7F4640-E673-4F21-A0ED-302835BF231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6" name="TekstSylinder 1">
          <a:extLst>
            <a:ext uri="{FF2B5EF4-FFF2-40B4-BE49-F238E27FC236}">
              <a16:creationId xmlns:a16="http://schemas.microsoft.com/office/drawing/2014/main" id="{E084C6FC-9A67-4C2C-9B6B-AA6E4CFD9D1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7" name="TekstSylinder 1">
          <a:extLst>
            <a:ext uri="{FF2B5EF4-FFF2-40B4-BE49-F238E27FC236}">
              <a16:creationId xmlns:a16="http://schemas.microsoft.com/office/drawing/2014/main" id="{F474B65F-74F7-4599-AA4A-C133A6877F1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8" name="TekstSylinder 1">
          <a:extLst>
            <a:ext uri="{FF2B5EF4-FFF2-40B4-BE49-F238E27FC236}">
              <a16:creationId xmlns:a16="http://schemas.microsoft.com/office/drawing/2014/main" id="{53FCBC83-1859-4B3A-B15F-969C5940F7D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49" name="TekstSylinder 1">
          <a:extLst>
            <a:ext uri="{FF2B5EF4-FFF2-40B4-BE49-F238E27FC236}">
              <a16:creationId xmlns:a16="http://schemas.microsoft.com/office/drawing/2014/main" id="{E7700288-C46F-4988-9A36-FAA693929A92}"/>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0" name="TekstSylinder 1">
          <a:extLst>
            <a:ext uri="{FF2B5EF4-FFF2-40B4-BE49-F238E27FC236}">
              <a16:creationId xmlns:a16="http://schemas.microsoft.com/office/drawing/2014/main" id="{FC8FA8CA-DAF1-4FA2-8DC5-D4173B5536F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1" name="TekstSylinder 1">
          <a:extLst>
            <a:ext uri="{FF2B5EF4-FFF2-40B4-BE49-F238E27FC236}">
              <a16:creationId xmlns:a16="http://schemas.microsoft.com/office/drawing/2014/main" id="{AE1049F2-B712-4F25-811B-FFEC96DC340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2" name="TekstSylinder 1">
          <a:extLst>
            <a:ext uri="{FF2B5EF4-FFF2-40B4-BE49-F238E27FC236}">
              <a16:creationId xmlns:a16="http://schemas.microsoft.com/office/drawing/2014/main" id="{52D842DE-487B-4CC2-8C87-D2B63E2935F3}"/>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3" name="TekstSylinder 1">
          <a:extLst>
            <a:ext uri="{FF2B5EF4-FFF2-40B4-BE49-F238E27FC236}">
              <a16:creationId xmlns:a16="http://schemas.microsoft.com/office/drawing/2014/main" id="{A48196A5-A5F3-4FDB-B505-E648F28AAD1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4" name="TekstSylinder 1">
          <a:extLst>
            <a:ext uri="{FF2B5EF4-FFF2-40B4-BE49-F238E27FC236}">
              <a16:creationId xmlns:a16="http://schemas.microsoft.com/office/drawing/2014/main" id="{5069316F-4FD0-448C-ABD3-7DC7F521742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5" name="TekstSylinder 1">
          <a:extLst>
            <a:ext uri="{FF2B5EF4-FFF2-40B4-BE49-F238E27FC236}">
              <a16:creationId xmlns:a16="http://schemas.microsoft.com/office/drawing/2014/main" id="{8ABE961A-04B8-42EE-9DC9-F4206633B3E3}"/>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6" name="TekstSylinder 1">
          <a:extLst>
            <a:ext uri="{FF2B5EF4-FFF2-40B4-BE49-F238E27FC236}">
              <a16:creationId xmlns:a16="http://schemas.microsoft.com/office/drawing/2014/main" id="{5EAE52C1-D198-43B7-A387-76D15DBDB78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7" name="TekstSylinder 1">
          <a:extLst>
            <a:ext uri="{FF2B5EF4-FFF2-40B4-BE49-F238E27FC236}">
              <a16:creationId xmlns:a16="http://schemas.microsoft.com/office/drawing/2014/main" id="{6ABB81E3-6EFC-43E3-864C-8CEC96D5DDE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8" name="TekstSylinder 1">
          <a:extLst>
            <a:ext uri="{FF2B5EF4-FFF2-40B4-BE49-F238E27FC236}">
              <a16:creationId xmlns:a16="http://schemas.microsoft.com/office/drawing/2014/main" id="{FCE0C4DB-0F2D-4B6B-9D8E-A1B5ADCEBD3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59" name="TekstSylinder 1">
          <a:extLst>
            <a:ext uri="{FF2B5EF4-FFF2-40B4-BE49-F238E27FC236}">
              <a16:creationId xmlns:a16="http://schemas.microsoft.com/office/drawing/2014/main" id="{70A92327-F684-4D1E-9137-DAB1367FB65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0" name="TekstSylinder 1">
          <a:extLst>
            <a:ext uri="{FF2B5EF4-FFF2-40B4-BE49-F238E27FC236}">
              <a16:creationId xmlns:a16="http://schemas.microsoft.com/office/drawing/2014/main" id="{F0466F8E-9BB2-4D3D-9E4F-D80669D4522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1" name="TekstSylinder 1">
          <a:extLst>
            <a:ext uri="{FF2B5EF4-FFF2-40B4-BE49-F238E27FC236}">
              <a16:creationId xmlns:a16="http://schemas.microsoft.com/office/drawing/2014/main" id="{34E30C39-AF4C-4FC8-8ADE-E962CC6468E1}"/>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2" name="TekstSylinder 1">
          <a:extLst>
            <a:ext uri="{FF2B5EF4-FFF2-40B4-BE49-F238E27FC236}">
              <a16:creationId xmlns:a16="http://schemas.microsoft.com/office/drawing/2014/main" id="{62DA5281-684E-4694-BB13-83AE4971B060}"/>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3" name="TekstSylinder 1">
          <a:extLst>
            <a:ext uri="{FF2B5EF4-FFF2-40B4-BE49-F238E27FC236}">
              <a16:creationId xmlns:a16="http://schemas.microsoft.com/office/drawing/2014/main" id="{274F5A47-18FF-4778-A168-CAA4F740E82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4" name="TekstSylinder 1">
          <a:extLst>
            <a:ext uri="{FF2B5EF4-FFF2-40B4-BE49-F238E27FC236}">
              <a16:creationId xmlns:a16="http://schemas.microsoft.com/office/drawing/2014/main" id="{BE7B012E-D2C7-4226-8AA0-A360B02C920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5" name="TekstSylinder 1">
          <a:extLst>
            <a:ext uri="{FF2B5EF4-FFF2-40B4-BE49-F238E27FC236}">
              <a16:creationId xmlns:a16="http://schemas.microsoft.com/office/drawing/2014/main" id="{DD4809F5-E11E-43A3-A3AB-EE39A2E73682}"/>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6" name="TekstSylinder 1">
          <a:extLst>
            <a:ext uri="{FF2B5EF4-FFF2-40B4-BE49-F238E27FC236}">
              <a16:creationId xmlns:a16="http://schemas.microsoft.com/office/drawing/2014/main" id="{0C374F4D-3432-4CCA-BB5F-F1FA92FD7DE0}"/>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7" name="TekstSylinder 1">
          <a:extLst>
            <a:ext uri="{FF2B5EF4-FFF2-40B4-BE49-F238E27FC236}">
              <a16:creationId xmlns:a16="http://schemas.microsoft.com/office/drawing/2014/main" id="{09147178-EE13-4294-A5BD-C59A9BF0D291}"/>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8" name="TekstSylinder 1">
          <a:extLst>
            <a:ext uri="{FF2B5EF4-FFF2-40B4-BE49-F238E27FC236}">
              <a16:creationId xmlns:a16="http://schemas.microsoft.com/office/drawing/2014/main" id="{9F280E0B-855C-44BE-B552-BCECC3DFCDF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69" name="TekstSylinder 1">
          <a:extLst>
            <a:ext uri="{FF2B5EF4-FFF2-40B4-BE49-F238E27FC236}">
              <a16:creationId xmlns:a16="http://schemas.microsoft.com/office/drawing/2014/main" id="{37EA617A-465A-433D-882B-26ED59491B6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0" name="TekstSylinder 1">
          <a:extLst>
            <a:ext uri="{FF2B5EF4-FFF2-40B4-BE49-F238E27FC236}">
              <a16:creationId xmlns:a16="http://schemas.microsoft.com/office/drawing/2014/main" id="{49B2C4E3-5451-4434-B9FF-D84494EDE8F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1" name="TekstSylinder 1">
          <a:extLst>
            <a:ext uri="{FF2B5EF4-FFF2-40B4-BE49-F238E27FC236}">
              <a16:creationId xmlns:a16="http://schemas.microsoft.com/office/drawing/2014/main" id="{AA5FAEF4-1565-42C4-9A55-A8E77D44CEB7}"/>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2" name="TekstSylinder 1">
          <a:extLst>
            <a:ext uri="{FF2B5EF4-FFF2-40B4-BE49-F238E27FC236}">
              <a16:creationId xmlns:a16="http://schemas.microsoft.com/office/drawing/2014/main" id="{23E4EE55-57D8-4088-9299-A7F9783E04F0}"/>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3" name="TekstSylinder 1">
          <a:extLst>
            <a:ext uri="{FF2B5EF4-FFF2-40B4-BE49-F238E27FC236}">
              <a16:creationId xmlns:a16="http://schemas.microsoft.com/office/drawing/2014/main" id="{1F3C27F3-2F82-44D9-98B3-63C7269D61A4}"/>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4" name="TekstSylinder 1">
          <a:extLst>
            <a:ext uri="{FF2B5EF4-FFF2-40B4-BE49-F238E27FC236}">
              <a16:creationId xmlns:a16="http://schemas.microsoft.com/office/drawing/2014/main" id="{08A5C9D5-CB35-4BA3-87F6-22C2CCD4514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5" name="TekstSylinder 1">
          <a:extLst>
            <a:ext uri="{FF2B5EF4-FFF2-40B4-BE49-F238E27FC236}">
              <a16:creationId xmlns:a16="http://schemas.microsoft.com/office/drawing/2014/main" id="{F3C31667-8512-41A3-8812-45B2B82852E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6" name="TekstSylinder 1">
          <a:extLst>
            <a:ext uri="{FF2B5EF4-FFF2-40B4-BE49-F238E27FC236}">
              <a16:creationId xmlns:a16="http://schemas.microsoft.com/office/drawing/2014/main" id="{6FF624AE-FDB8-4C11-82A6-2A00BCEB65BD}"/>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7" name="TekstSylinder 1">
          <a:extLst>
            <a:ext uri="{FF2B5EF4-FFF2-40B4-BE49-F238E27FC236}">
              <a16:creationId xmlns:a16="http://schemas.microsoft.com/office/drawing/2014/main" id="{2471A7E4-67C4-4727-8A18-2D4C933E56A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8" name="TekstSylinder 1">
          <a:extLst>
            <a:ext uri="{FF2B5EF4-FFF2-40B4-BE49-F238E27FC236}">
              <a16:creationId xmlns:a16="http://schemas.microsoft.com/office/drawing/2014/main" id="{4843EBBC-EFCD-4168-B73A-66BCE7A0C48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79" name="TekstSylinder 1">
          <a:extLst>
            <a:ext uri="{FF2B5EF4-FFF2-40B4-BE49-F238E27FC236}">
              <a16:creationId xmlns:a16="http://schemas.microsoft.com/office/drawing/2014/main" id="{A1C7AF6C-842B-4F8F-8D74-48839C8B186E}"/>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0" name="TekstSylinder 1">
          <a:extLst>
            <a:ext uri="{FF2B5EF4-FFF2-40B4-BE49-F238E27FC236}">
              <a16:creationId xmlns:a16="http://schemas.microsoft.com/office/drawing/2014/main" id="{68F6F564-1C16-4EB0-B20B-7BCF480EA0F9}"/>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1" name="TekstSylinder 1">
          <a:extLst>
            <a:ext uri="{FF2B5EF4-FFF2-40B4-BE49-F238E27FC236}">
              <a16:creationId xmlns:a16="http://schemas.microsoft.com/office/drawing/2014/main" id="{545062C9-269A-4279-80C0-EA5807FBC8A1}"/>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2" name="TekstSylinder 1">
          <a:extLst>
            <a:ext uri="{FF2B5EF4-FFF2-40B4-BE49-F238E27FC236}">
              <a16:creationId xmlns:a16="http://schemas.microsoft.com/office/drawing/2014/main" id="{77E3A269-340C-470A-A77B-AD244C1F53A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3" name="TekstSylinder 1">
          <a:extLst>
            <a:ext uri="{FF2B5EF4-FFF2-40B4-BE49-F238E27FC236}">
              <a16:creationId xmlns:a16="http://schemas.microsoft.com/office/drawing/2014/main" id="{2E79C97F-36DB-465E-A1EE-C0D102E06106}"/>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4" name="TekstSylinder 1">
          <a:extLst>
            <a:ext uri="{FF2B5EF4-FFF2-40B4-BE49-F238E27FC236}">
              <a16:creationId xmlns:a16="http://schemas.microsoft.com/office/drawing/2014/main" id="{050E32EA-FDB4-4C25-996C-E5C488FF0F75}"/>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5" name="TekstSylinder 1">
          <a:extLst>
            <a:ext uri="{FF2B5EF4-FFF2-40B4-BE49-F238E27FC236}">
              <a16:creationId xmlns:a16="http://schemas.microsoft.com/office/drawing/2014/main" id="{3A485560-09DC-4BA7-B7C1-0649B7BD8CD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6" name="TekstSylinder 1">
          <a:extLst>
            <a:ext uri="{FF2B5EF4-FFF2-40B4-BE49-F238E27FC236}">
              <a16:creationId xmlns:a16="http://schemas.microsoft.com/office/drawing/2014/main" id="{49E3D0F3-05F3-49AE-B176-6E8FBDA3FBC3}"/>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7" name="TekstSylinder 1">
          <a:extLst>
            <a:ext uri="{FF2B5EF4-FFF2-40B4-BE49-F238E27FC236}">
              <a16:creationId xmlns:a16="http://schemas.microsoft.com/office/drawing/2014/main" id="{5A5A6ECE-93DB-46F6-9D53-5EEB7E8C497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8" name="TekstSylinder 1">
          <a:extLst>
            <a:ext uri="{FF2B5EF4-FFF2-40B4-BE49-F238E27FC236}">
              <a16:creationId xmlns:a16="http://schemas.microsoft.com/office/drawing/2014/main" id="{01AF0DAF-D71B-4BE1-ABB8-906C4A2C4F62}"/>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89" name="TekstSylinder 1">
          <a:extLst>
            <a:ext uri="{FF2B5EF4-FFF2-40B4-BE49-F238E27FC236}">
              <a16:creationId xmlns:a16="http://schemas.microsoft.com/office/drawing/2014/main" id="{E7DEFD0F-CC24-48DB-861E-1E51972439B3}"/>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0" name="TekstSylinder 1">
          <a:extLst>
            <a:ext uri="{FF2B5EF4-FFF2-40B4-BE49-F238E27FC236}">
              <a16:creationId xmlns:a16="http://schemas.microsoft.com/office/drawing/2014/main" id="{2D9CAE3E-12AC-4CF0-958E-35D32D6F460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1" name="TekstSylinder 1">
          <a:extLst>
            <a:ext uri="{FF2B5EF4-FFF2-40B4-BE49-F238E27FC236}">
              <a16:creationId xmlns:a16="http://schemas.microsoft.com/office/drawing/2014/main" id="{7F28362A-5890-45F4-87AC-B0EAE4971361}"/>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2" name="TekstSylinder 1">
          <a:extLst>
            <a:ext uri="{FF2B5EF4-FFF2-40B4-BE49-F238E27FC236}">
              <a16:creationId xmlns:a16="http://schemas.microsoft.com/office/drawing/2014/main" id="{F1958C43-A1C9-4493-8FA2-99DAC4F8E505}"/>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3" name="TekstSylinder 1">
          <a:extLst>
            <a:ext uri="{FF2B5EF4-FFF2-40B4-BE49-F238E27FC236}">
              <a16:creationId xmlns:a16="http://schemas.microsoft.com/office/drawing/2014/main" id="{FF3B322B-3FF7-450E-87A9-BC99F2C8C5B0}"/>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4" name="TekstSylinder 1">
          <a:extLst>
            <a:ext uri="{FF2B5EF4-FFF2-40B4-BE49-F238E27FC236}">
              <a16:creationId xmlns:a16="http://schemas.microsoft.com/office/drawing/2014/main" id="{69A2A39D-FD04-41E3-8E11-935145EEAE0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5" name="TekstSylinder 1">
          <a:extLst>
            <a:ext uri="{FF2B5EF4-FFF2-40B4-BE49-F238E27FC236}">
              <a16:creationId xmlns:a16="http://schemas.microsoft.com/office/drawing/2014/main" id="{07EA8E8A-6996-4491-A55E-9723E9143192}"/>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6" name="TekstSylinder 1">
          <a:extLst>
            <a:ext uri="{FF2B5EF4-FFF2-40B4-BE49-F238E27FC236}">
              <a16:creationId xmlns:a16="http://schemas.microsoft.com/office/drawing/2014/main" id="{7932443A-F575-4158-ADD9-182026827DFF}"/>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7" name="TekstSylinder 1">
          <a:extLst>
            <a:ext uri="{FF2B5EF4-FFF2-40B4-BE49-F238E27FC236}">
              <a16:creationId xmlns:a16="http://schemas.microsoft.com/office/drawing/2014/main" id="{B04D8C2A-FB7F-4AB3-A629-DB827AD8D13A}"/>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8" name="TekstSylinder 1">
          <a:extLst>
            <a:ext uri="{FF2B5EF4-FFF2-40B4-BE49-F238E27FC236}">
              <a16:creationId xmlns:a16="http://schemas.microsoft.com/office/drawing/2014/main" id="{2F5DB883-72CB-4EAD-BEA6-D8E2C727BF58}"/>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199" name="TekstSylinder 1">
          <a:extLst>
            <a:ext uri="{FF2B5EF4-FFF2-40B4-BE49-F238E27FC236}">
              <a16:creationId xmlns:a16="http://schemas.microsoft.com/office/drawing/2014/main" id="{CAD45A54-FD91-45CC-AA0F-36B76EEC880B}"/>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200" name="TekstSylinder 1">
          <a:extLst>
            <a:ext uri="{FF2B5EF4-FFF2-40B4-BE49-F238E27FC236}">
              <a16:creationId xmlns:a16="http://schemas.microsoft.com/office/drawing/2014/main" id="{C1D53AF0-0D4A-4D35-99CE-667D9CF03779}"/>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201" name="TekstSylinder 1">
          <a:extLst>
            <a:ext uri="{FF2B5EF4-FFF2-40B4-BE49-F238E27FC236}">
              <a16:creationId xmlns:a16="http://schemas.microsoft.com/office/drawing/2014/main" id="{B5CB5129-FAD0-4B73-8FE7-7182C93D3C4E}"/>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202" name="TekstSylinder 1">
          <a:extLst>
            <a:ext uri="{FF2B5EF4-FFF2-40B4-BE49-F238E27FC236}">
              <a16:creationId xmlns:a16="http://schemas.microsoft.com/office/drawing/2014/main" id="{76C7FE7F-B2A9-400E-A2BB-12E854D7F683}"/>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203" name="TekstSylinder 1">
          <a:extLst>
            <a:ext uri="{FF2B5EF4-FFF2-40B4-BE49-F238E27FC236}">
              <a16:creationId xmlns:a16="http://schemas.microsoft.com/office/drawing/2014/main" id="{13A4933F-3109-4954-A058-BE9FD2D3F34E}"/>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204" name="TekstSylinder 1">
          <a:extLst>
            <a:ext uri="{FF2B5EF4-FFF2-40B4-BE49-F238E27FC236}">
              <a16:creationId xmlns:a16="http://schemas.microsoft.com/office/drawing/2014/main" id="{B87E2940-F14B-4A33-A52D-0653B3B5E807}"/>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76</xdr:row>
      <xdr:rowOff>0</xdr:rowOff>
    </xdr:from>
    <xdr:ext cx="184731" cy="264560"/>
    <xdr:sp macro="" textlink="">
      <xdr:nvSpPr>
        <xdr:cNvPr id="205" name="TekstSylinder 1">
          <a:extLst>
            <a:ext uri="{FF2B5EF4-FFF2-40B4-BE49-F238E27FC236}">
              <a16:creationId xmlns:a16="http://schemas.microsoft.com/office/drawing/2014/main" id="{C0107536-3C97-432C-80ED-102285454CEC}"/>
            </a:ext>
          </a:extLst>
        </xdr:cNvPr>
        <xdr:cNvSpPr txBox="1"/>
      </xdr:nvSpPr>
      <xdr:spPr>
        <a:xfrm>
          <a:off x="5229225" y="6200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06" name="TekstSylinder 1">
          <a:extLst>
            <a:ext uri="{FF2B5EF4-FFF2-40B4-BE49-F238E27FC236}">
              <a16:creationId xmlns:a16="http://schemas.microsoft.com/office/drawing/2014/main" id="{62F8537F-29CB-4C5C-AECB-3F97C299F38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07" name="TekstSylinder 1">
          <a:extLst>
            <a:ext uri="{FF2B5EF4-FFF2-40B4-BE49-F238E27FC236}">
              <a16:creationId xmlns:a16="http://schemas.microsoft.com/office/drawing/2014/main" id="{424AFD5A-B25B-4D8D-B3D8-263994B33CF0}"/>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08" name="TekstSylinder 1">
          <a:extLst>
            <a:ext uri="{FF2B5EF4-FFF2-40B4-BE49-F238E27FC236}">
              <a16:creationId xmlns:a16="http://schemas.microsoft.com/office/drawing/2014/main" id="{6EB48B95-3AD3-4752-AAE2-FE937B1D552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09" name="TekstSylinder 1">
          <a:extLst>
            <a:ext uri="{FF2B5EF4-FFF2-40B4-BE49-F238E27FC236}">
              <a16:creationId xmlns:a16="http://schemas.microsoft.com/office/drawing/2014/main" id="{C0E35FCD-F33B-4833-91B1-F2E002104CC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0" name="TekstSylinder 1">
          <a:extLst>
            <a:ext uri="{FF2B5EF4-FFF2-40B4-BE49-F238E27FC236}">
              <a16:creationId xmlns:a16="http://schemas.microsoft.com/office/drawing/2014/main" id="{AB75DEDE-CB34-4A7C-9FDA-EAF4FF55D3C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1" name="TekstSylinder 1">
          <a:extLst>
            <a:ext uri="{FF2B5EF4-FFF2-40B4-BE49-F238E27FC236}">
              <a16:creationId xmlns:a16="http://schemas.microsoft.com/office/drawing/2014/main" id="{E5BF0D7B-7066-427A-B65E-3C4CEF45A41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2" name="TekstSylinder 1">
          <a:extLst>
            <a:ext uri="{FF2B5EF4-FFF2-40B4-BE49-F238E27FC236}">
              <a16:creationId xmlns:a16="http://schemas.microsoft.com/office/drawing/2014/main" id="{072A5EE2-E3CC-4642-BAAE-730AED520A0E}"/>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3" name="TekstSylinder 1">
          <a:extLst>
            <a:ext uri="{FF2B5EF4-FFF2-40B4-BE49-F238E27FC236}">
              <a16:creationId xmlns:a16="http://schemas.microsoft.com/office/drawing/2014/main" id="{52A1D277-491B-448D-A666-DD1469FD76D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4" name="TekstSylinder 1">
          <a:extLst>
            <a:ext uri="{FF2B5EF4-FFF2-40B4-BE49-F238E27FC236}">
              <a16:creationId xmlns:a16="http://schemas.microsoft.com/office/drawing/2014/main" id="{61E4CA52-2C35-48CC-864F-AA3B780ABAB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5" name="TekstSylinder 1">
          <a:extLst>
            <a:ext uri="{FF2B5EF4-FFF2-40B4-BE49-F238E27FC236}">
              <a16:creationId xmlns:a16="http://schemas.microsoft.com/office/drawing/2014/main" id="{85C61A08-EF7A-42FD-8B65-AD73E17171D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6" name="TekstSylinder 1">
          <a:extLst>
            <a:ext uri="{FF2B5EF4-FFF2-40B4-BE49-F238E27FC236}">
              <a16:creationId xmlns:a16="http://schemas.microsoft.com/office/drawing/2014/main" id="{B176CCAA-E652-41C6-B678-1DC9E6D50A0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7" name="TekstSylinder 1">
          <a:extLst>
            <a:ext uri="{FF2B5EF4-FFF2-40B4-BE49-F238E27FC236}">
              <a16:creationId xmlns:a16="http://schemas.microsoft.com/office/drawing/2014/main" id="{1DF73C67-B386-4E5D-A6ED-2BED946CFC6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8" name="TekstSylinder 1">
          <a:extLst>
            <a:ext uri="{FF2B5EF4-FFF2-40B4-BE49-F238E27FC236}">
              <a16:creationId xmlns:a16="http://schemas.microsoft.com/office/drawing/2014/main" id="{0667DBFA-6BC0-4D04-9434-D4F7AB56102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19" name="TekstSylinder 1">
          <a:extLst>
            <a:ext uri="{FF2B5EF4-FFF2-40B4-BE49-F238E27FC236}">
              <a16:creationId xmlns:a16="http://schemas.microsoft.com/office/drawing/2014/main" id="{58F654BC-203F-4924-AD6F-002BF613232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0" name="TekstSylinder 1">
          <a:extLst>
            <a:ext uri="{FF2B5EF4-FFF2-40B4-BE49-F238E27FC236}">
              <a16:creationId xmlns:a16="http://schemas.microsoft.com/office/drawing/2014/main" id="{F5178465-AE0F-413F-885E-5DCD9404A8C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1" name="TekstSylinder 1">
          <a:extLst>
            <a:ext uri="{FF2B5EF4-FFF2-40B4-BE49-F238E27FC236}">
              <a16:creationId xmlns:a16="http://schemas.microsoft.com/office/drawing/2014/main" id="{3231306A-1F7E-4E10-91CC-80355C56F65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2" name="TekstSylinder 1">
          <a:extLst>
            <a:ext uri="{FF2B5EF4-FFF2-40B4-BE49-F238E27FC236}">
              <a16:creationId xmlns:a16="http://schemas.microsoft.com/office/drawing/2014/main" id="{E322DCC9-58DD-4F92-AE4C-9A9280A7477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3" name="TekstSylinder 1">
          <a:extLst>
            <a:ext uri="{FF2B5EF4-FFF2-40B4-BE49-F238E27FC236}">
              <a16:creationId xmlns:a16="http://schemas.microsoft.com/office/drawing/2014/main" id="{45AB12F9-2AB6-4964-B6DC-7BD63D4B248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4" name="TekstSylinder 1">
          <a:extLst>
            <a:ext uri="{FF2B5EF4-FFF2-40B4-BE49-F238E27FC236}">
              <a16:creationId xmlns:a16="http://schemas.microsoft.com/office/drawing/2014/main" id="{4052CA67-50C3-44C3-BE57-05C27F1856E3}"/>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5" name="TekstSylinder 1">
          <a:extLst>
            <a:ext uri="{FF2B5EF4-FFF2-40B4-BE49-F238E27FC236}">
              <a16:creationId xmlns:a16="http://schemas.microsoft.com/office/drawing/2014/main" id="{848303F9-70A6-4997-85F6-6E0499C1085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6" name="TekstSylinder 1">
          <a:extLst>
            <a:ext uri="{FF2B5EF4-FFF2-40B4-BE49-F238E27FC236}">
              <a16:creationId xmlns:a16="http://schemas.microsoft.com/office/drawing/2014/main" id="{2E03932F-D0B1-4FC2-8C31-4546F3CFEB6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7" name="TekstSylinder 1">
          <a:extLst>
            <a:ext uri="{FF2B5EF4-FFF2-40B4-BE49-F238E27FC236}">
              <a16:creationId xmlns:a16="http://schemas.microsoft.com/office/drawing/2014/main" id="{7CE94275-AC85-49EC-AF26-E57A293A1AA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8" name="TekstSylinder 1">
          <a:extLst>
            <a:ext uri="{FF2B5EF4-FFF2-40B4-BE49-F238E27FC236}">
              <a16:creationId xmlns:a16="http://schemas.microsoft.com/office/drawing/2014/main" id="{0F43E1C5-05AD-4D2D-B098-AC27F6DE098D}"/>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29" name="TekstSylinder 1">
          <a:extLst>
            <a:ext uri="{FF2B5EF4-FFF2-40B4-BE49-F238E27FC236}">
              <a16:creationId xmlns:a16="http://schemas.microsoft.com/office/drawing/2014/main" id="{72E1673E-7A8C-4FB0-9516-5A57D4A1DC5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0" name="TekstSylinder 1">
          <a:extLst>
            <a:ext uri="{FF2B5EF4-FFF2-40B4-BE49-F238E27FC236}">
              <a16:creationId xmlns:a16="http://schemas.microsoft.com/office/drawing/2014/main" id="{D0B3E43F-80B9-42E3-B416-2736D391E0C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1" name="TekstSylinder 1">
          <a:extLst>
            <a:ext uri="{FF2B5EF4-FFF2-40B4-BE49-F238E27FC236}">
              <a16:creationId xmlns:a16="http://schemas.microsoft.com/office/drawing/2014/main" id="{9DD4A0F4-0804-4EFA-A3ED-54E99BD5C8E9}"/>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2" name="TekstSylinder 1">
          <a:extLst>
            <a:ext uri="{FF2B5EF4-FFF2-40B4-BE49-F238E27FC236}">
              <a16:creationId xmlns:a16="http://schemas.microsoft.com/office/drawing/2014/main" id="{7C6EA31A-DA96-42CD-9868-7D16B5769B10}"/>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3" name="TekstSylinder 1">
          <a:extLst>
            <a:ext uri="{FF2B5EF4-FFF2-40B4-BE49-F238E27FC236}">
              <a16:creationId xmlns:a16="http://schemas.microsoft.com/office/drawing/2014/main" id="{542EAFAA-9045-445A-A903-DF0F1D8F39D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4" name="TekstSylinder 1">
          <a:extLst>
            <a:ext uri="{FF2B5EF4-FFF2-40B4-BE49-F238E27FC236}">
              <a16:creationId xmlns:a16="http://schemas.microsoft.com/office/drawing/2014/main" id="{6A342EA2-7284-4A7A-8B0A-C7F911CBB120}"/>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5" name="TekstSylinder 1">
          <a:extLst>
            <a:ext uri="{FF2B5EF4-FFF2-40B4-BE49-F238E27FC236}">
              <a16:creationId xmlns:a16="http://schemas.microsoft.com/office/drawing/2014/main" id="{5FA7BF69-F76E-4370-BA31-1E1822ECBB7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6" name="TekstSylinder 1">
          <a:extLst>
            <a:ext uri="{FF2B5EF4-FFF2-40B4-BE49-F238E27FC236}">
              <a16:creationId xmlns:a16="http://schemas.microsoft.com/office/drawing/2014/main" id="{CC0DA4CA-A58A-4CD1-BB57-C634D90FB61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7" name="TekstSylinder 1">
          <a:extLst>
            <a:ext uri="{FF2B5EF4-FFF2-40B4-BE49-F238E27FC236}">
              <a16:creationId xmlns:a16="http://schemas.microsoft.com/office/drawing/2014/main" id="{AAD2765A-1CB0-4826-A3A9-B56659B642E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8" name="TekstSylinder 1">
          <a:extLst>
            <a:ext uri="{FF2B5EF4-FFF2-40B4-BE49-F238E27FC236}">
              <a16:creationId xmlns:a16="http://schemas.microsoft.com/office/drawing/2014/main" id="{BD753F55-94CA-4831-8E0F-4C35E22AA6ED}"/>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39" name="TekstSylinder 1">
          <a:extLst>
            <a:ext uri="{FF2B5EF4-FFF2-40B4-BE49-F238E27FC236}">
              <a16:creationId xmlns:a16="http://schemas.microsoft.com/office/drawing/2014/main" id="{EC8FF758-FB94-4494-97DF-14285859A03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0" name="TekstSylinder 1">
          <a:extLst>
            <a:ext uri="{FF2B5EF4-FFF2-40B4-BE49-F238E27FC236}">
              <a16:creationId xmlns:a16="http://schemas.microsoft.com/office/drawing/2014/main" id="{4D88A03F-38C7-488F-A398-3F49F7ACC1BD}"/>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1" name="TekstSylinder 1">
          <a:extLst>
            <a:ext uri="{FF2B5EF4-FFF2-40B4-BE49-F238E27FC236}">
              <a16:creationId xmlns:a16="http://schemas.microsoft.com/office/drawing/2014/main" id="{2C0E4974-31F9-4E47-BF28-CD4DD7B5D82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2" name="TekstSylinder 1">
          <a:extLst>
            <a:ext uri="{FF2B5EF4-FFF2-40B4-BE49-F238E27FC236}">
              <a16:creationId xmlns:a16="http://schemas.microsoft.com/office/drawing/2014/main" id="{7095D252-B688-499C-9FBC-3C40A53B84F0}"/>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3" name="TekstSylinder 1">
          <a:extLst>
            <a:ext uri="{FF2B5EF4-FFF2-40B4-BE49-F238E27FC236}">
              <a16:creationId xmlns:a16="http://schemas.microsoft.com/office/drawing/2014/main" id="{0687A174-0534-4ABA-9B0A-BC09D0D691C9}"/>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4" name="TekstSylinder 1">
          <a:extLst>
            <a:ext uri="{FF2B5EF4-FFF2-40B4-BE49-F238E27FC236}">
              <a16:creationId xmlns:a16="http://schemas.microsoft.com/office/drawing/2014/main" id="{7611A777-DB0B-4510-99C0-DA0F79025AE2}"/>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5" name="TekstSylinder 1">
          <a:extLst>
            <a:ext uri="{FF2B5EF4-FFF2-40B4-BE49-F238E27FC236}">
              <a16:creationId xmlns:a16="http://schemas.microsoft.com/office/drawing/2014/main" id="{8D62EBBC-F782-4BED-803D-49F53935589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6" name="TekstSylinder 1">
          <a:extLst>
            <a:ext uri="{FF2B5EF4-FFF2-40B4-BE49-F238E27FC236}">
              <a16:creationId xmlns:a16="http://schemas.microsoft.com/office/drawing/2014/main" id="{6C14FEBC-D214-4B31-AF53-5836C3FFBEF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7" name="TekstSylinder 1">
          <a:extLst>
            <a:ext uri="{FF2B5EF4-FFF2-40B4-BE49-F238E27FC236}">
              <a16:creationId xmlns:a16="http://schemas.microsoft.com/office/drawing/2014/main" id="{380735B5-E712-4962-96F9-4A6E5AD937E9}"/>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8" name="TekstSylinder 1">
          <a:extLst>
            <a:ext uri="{FF2B5EF4-FFF2-40B4-BE49-F238E27FC236}">
              <a16:creationId xmlns:a16="http://schemas.microsoft.com/office/drawing/2014/main" id="{A03A8E0B-D040-4E36-A5DF-8D0E8E80EA8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49" name="TekstSylinder 1">
          <a:extLst>
            <a:ext uri="{FF2B5EF4-FFF2-40B4-BE49-F238E27FC236}">
              <a16:creationId xmlns:a16="http://schemas.microsoft.com/office/drawing/2014/main" id="{5B12793C-3174-408F-A475-721CA6CCAC26}"/>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0" name="TekstSylinder 1">
          <a:extLst>
            <a:ext uri="{FF2B5EF4-FFF2-40B4-BE49-F238E27FC236}">
              <a16:creationId xmlns:a16="http://schemas.microsoft.com/office/drawing/2014/main" id="{56037BE9-C6E7-46B4-8679-0DB8CE9AF09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1" name="TekstSylinder 1">
          <a:extLst>
            <a:ext uri="{FF2B5EF4-FFF2-40B4-BE49-F238E27FC236}">
              <a16:creationId xmlns:a16="http://schemas.microsoft.com/office/drawing/2014/main" id="{40E0B15B-7ACC-4077-A8BE-7B625BBAA3C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2" name="TekstSylinder 1">
          <a:extLst>
            <a:ext uri="{FF2B5EF4-FFF2-40B4-BE49-F238E27FC236}">
              <a16:creationId xmlns:a16="http://schemas.microsoft.com/office/drawing/2014/main" id="{3B479E26-4655-46C8-B06A-43F75803718D}"/>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3" name="TekstSylinder 1">
          <a:extLst>
            <a:ext uri="{FF2B5EF4-FFF2-40B4-BE49-F238E27FC236}">
              <a16:creationId xmlns:a16="http://schemas.microsoft.com/office/drawing/2014/main" id="{0296AAEF-F558-464D-9A8D-6DF1CC576FA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4" name="TekstSylinder 1">
          <a:extLst>
            <a:ext uri="{FF2B5EF4-FFF2-40B4-BE49-F238E27FC236}">
              <a16:creationId xmlns:a16="http://schemas.microsoft.com/office/drawing/2014/main" id="{395110D5-8B5E-42BA-BE7D-AF8743A7372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5" name="TekstSylinder 1">
          <a:extLst>
            <a:ext uri="{FF2B5EF4-FFF2-40B4-BE49-F238E27FC236}">
              <a16:creationId xmlns:a16="http://schemas.microsoft.com/office/drawing/2014/main" id="{7F535E4E-2084-486D-A05E-5D1576E4F2B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6" name="TekstSylinder 1">
          <a:extLst>
            <a:ext uri="{FF2B5EF4-FFF2-40B4-BE49-F238E27FC236}">
              <a16:creationId xmlns:a16="http://schemas.microsoft.com/office/drawing/2014/main" id="{1DCD1F34-8A3A-495E-B429-C4EA822750D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7" name="TekstSylinder 1">
          <a:extLst>
            <a:ext uri="{FF2B5EF4-FFF2-40B4-BE49-F238E27FC236}">
              <a16:creationId xmlns:a16="http://schemas.microsoft.com/office/drawing/2014/main" id="{33B8C448-A783-4CB0-B426-373C269A23D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8" name="TekstSylinder 1">
          <a:extLst>
            <a:ext uri="{FF2B5EF4-FFF2-40B4-BE49-F238E27FC236}">
              <a16:creationId xmlns:a16="http://schemas.microsoft.com/office/drawing/2014/main" id="{CD8F5E24-346A-4989-8BEA-C67A695CA89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59" name="TekstSylinder 1">
          <a:extLst>
            <a:ext uri="{FF2B5EF4-FFF2-40B4-BE49-F238E27FC236}">
              <a16:creationId xmlns:a16="http://schemas.microsoft.com/office/drawing/2014/main" id="{971804BD-7E2B-4E7C-9D0E-99FDF5CBEBB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0" name="TekstSylinder 1">
          <a:extLst>
            <a:ext uri="{FF2B5EF4-FFF2-40B4-BE49-F238E27FC236}">
              <a16:creationId xmlns:a16="http://schemas.microsoft.com/office/drawing/2014/main" id="{26D301CA-A19B-4436-B8D9-2E48C9E4916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1" name="TekstSylinder 1">
          <a:extLst>
            <a:ext uri="{FF2B5EF4-FFF2-40B4-BE49-F238E27FC236}">
              <a16:creationId xmlns:a16="http://schemas.microsoft.com/office/drawing/2014/main" id="{EDAB5DF8-2F86-41D9-8588-18B10145054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2" name="TekstSylinder 1">
          <a:extLst>
            <a:ext uri="{FF2B5EF4-FFF2-40B4-BE49-F238E27FC236}">
              <a16:creationId xmlns:a16="http://schemas.microsoft.com/office/drawing/2014/main" id="{8E5F00F4-8D6D-429A-8A9D-DB65C18225E9}"/>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3" name="TekstSylinder 1">
          <a:extLst>
            <a:ext uri="{FF2B5EF4-FFF2-40B4-BE49-F238E27FC236}">
              <a16:creationId xmlns:a16="http://schemas.microsoft.com/office/drawing/2014/main" id="{D688DB47-2958-401E-8017-E3D23E884B49}"/>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4" name="TekstSylinder 1">
          <a:extLst>
            <a:ext uri="{FF2B5EF4-FFF2-40B4-BE49-F238E27FC236}">
              <a16:creationId xmlns:a16="http://schemas.microsoft.com/office/drawing/2014/main" id="{AFF26889-D105-408F-BB99-EB0C7327F3A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5" name="TekstSylinder 1">
          <a:extLst>
            <a:ext uri="{FF2B5EF4-FFF2-40B4-BE49-F238E27FC236}">
              <a16:creationId xmlns:a16="http://schemas.microsoft.com/office/drawing/2014/main" id="{2989A27E-5708-402F-943B-DA59DF2647FE}"/>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6" name="TekstSylinder 1">
          <a:extLst>
            <a:ext uri="{FF2B5EF4-FFF2-40B4-BE49-F238E27FC236}">
              <a16:creationId xmlns:a16="http://schemas.microsoft.com/office/drawing/2014/main" id="{26A62927-8EEC-4E41-9166-854B8D8F8FFA}"/>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7" name="TekstSylinder 1">
          <a:extLst>
            <a:ext uri="{FF2B5EF4-FFF2-40B4-BE49-F238E27FC236}">
              <a16:creationId xmlns:a16="http://schemas.microsoft.com/office/drawing/2014/main" id="{1AA721B8-CA6B-408F-8C6B-13B26C149FD2}"/>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8" name="TekstSylinder 1">
          <a:extLst>
            <a:ext uri="{FF2B5EF4-FFF2-40B4-BE49-F238E27FC236}">
              <a16:creationId xmlns:a16="http://schemas.microsoft.com/office/drawing/2014/main" id="{8DD45ACC-CEC1-4011-9A93-7062C2225C4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69" name="TekstSylinder 1">
          <a:extLst>
            <a:ext uri="{FF2B5EF4-FFF2-40B4-BE49-F238E27FC236}">
              <a16:creationId xmlns:a16="http://schemas.microsoft.com/office/drawing/2014/main" id="{45F31D56-BA18-43F7-A82E-B1C4BB24882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0" name="TekstSylinder 1">
          <a:extLst>
            <a:ext uri="{FF2B5EF4-FFF2-40B4-BE49-F238E27FC236}">
              <a16:creationId xmlns:a16="http://schemas.microsoft.com/office/drawing/2014/main" id="{05632FB1-9CC9-4D39-8598-5485B9B3054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1" name="TekstSylinder 1">
          <a:extLst>
            <a:ext uri="{FF2B5EF4-FFF2-40B4-BE49-F238E27FC236}">
              <a16:creationId xmlns:a16="http://schemas.microsoft.com/office/drawing/2014/main" id="{F0CE79C6-621A-4EA6-A5EE-6D27F6CC51F0}"/>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2" name="TekstSylinder 1">
          <a:extLst>
            <a:ext uri="{FF2B5EF4-FFF2-40B4-BE49-F238E27FC236}">
              <a16:creationId xmlns:a16="http://schemas.microsoft.com/office/drawing/2014/main" id="{469DC76E-72AD-4623-B3F0-11A7258ACB7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3" name="TekstSylinder 1">
          <a:extLst>
            <a:ext uri="{FF2B5EF4-FFF2-40B4-BE49-F238E27FC236}">
              <a16:creationId xmlns:a16="http://schemas.microsoft.com/office/drawing/2014/main" id="{EDAD7CD3-24FF-42A1-9580-6376EDD2064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4" name="TekstSylinder 1">
          <a:extLst>
            <a:ext uri="{FF2B5EF4-FFF2-40B4-BE49-F238E27FC236}">
              <a16:creationId xmlns:a16="http://schemas.microsoft.com/office/drawing/2014/main" id="{787FBD1D-8AFB-46E1-B900-009DA058234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5" name="TekstSylinder 1">
          <a:extLst>
            <a:ext uri="{FF2B5EF4-FFF2-40B4-BE49-F238E27FC236}">
              <a16:creationId xmlns:a16="http://schemas.microsoft.com/office/drawing/2014/main" id="{FF71A840-F728-497B-8141-389C397DDA2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6" name="TekstSylinder 1">
          <a:extLst>
            <a:ext uri="{FF2B5EF4-FFF2-40B4-BE49-F238E27FC236}">
              <a16:creationId xmlns:a16="http://schemas.microsoft.com/office/drawing/2014/main" id="{764FFC24-DF4D-4E7D-B4E9-567D2CBA07D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7" name="TekstSylinder 1">
          <a:extLst>
            <a:ext uri="{FF2B5EF4-FFF2-40B4-BE49-F238E27FC236}">
              <a16:creationId xmlns:a16="http://schemas.microsoft.com/office/drawing/2014/main" id="{BEF7AFE4-13A8-4E27-B3EC-73C5F596B78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8" name="TekstSylinder 1">
          <a:extLst>
            <a:ext uri="{FF2B5EF4-FFF2-40B4-BE49-F238E27FC236}">
              <a16:creationId xmlns:a16="http://schemas.microsoft.com/office/drawing/2014/main" id="{8B239E83-FBAC-4687-82E6-6525AF1C960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79" name="TekstSylinder 1">
          <a:extLst>
            <a:ext uri="{FF2B5EF4-FFF2-40B4-BE49-F238E27FC236}">
              <a16:creationId xmlns:a16="http://schemas.microsoft.com/office/drawing/2014/main" id="{E99B0FFE-3218-4136-8B4B-59560AE16C2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0" name="TekstSylinder 1">
          <a:extLst>
            <a:ext uri="{FF2B5EF4-FFF2-40B4-BE49-F238E27FC236}">
              <a16:creationId xmlns:a16="http://schemas.microsoft.com/office/drawing/2014/main" id="{0D0490D1-32DC-44E8-9118-4AB94D7D912C}"/>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1" name="TekstSylinder 1">
          <a:extLst>
            <a:ext uri="{FF2B5EF4-FFF2-40B4-BE49-F238E27FC236}">
              <a16:creationId xmlns:a16="http://schemas.microsoft.com/office/drawing/2014/main" id="{538E8E6A-FB6A-48B1-B050-EB448147BEE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2" name="TekstSylinder 1">
          <a:extLst>
            <a:ext uri="{FF2B5EF4-FFF2-40B4-BE49-F238E27FC236}">
              <a16:creationId xmlns:a16="http://schemas.microsoft.com/office/drawing/2014/main" id="{DED1F5B6-13B7-4E63-A598-9CA5C02FF859}"/>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3" name="TekstSylinder 1">
          <a:extLst>
            <a:ext uri="{FF2B5EF4-FFF2-40B4-BE49-F238E27FC236}">
              <a16:creationId xmlns:a16="http://schemas.microsoft.com/office/drawing/2014/main" id="{CA9FC0C8-742F-4E16-8DAB-BA4C4AECA60E}"/>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4" name="TekstSylinder 1">
          <a:extLst>
            <a:ext uri="{FF2B5EF4-FFF2-40B4-BE49-F238E27FC236}">
              <a16:creationId xmlns:a16="http://schemas.microsoft.com/office/drawing/2014/main" id="{46FD13DD-9CE1-4ACE-A4E5-B31CCDC4901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5" name="TekstSylinder 1">
          <a:extLst>
            <a:ext uri="{FF2B5EF4-FFF2-40B4-BE49-F238E27FC236}">
              <a16:creationId xmlns:a16="http://schemas.microsoft.com/office/drawing/2014/main" id="{142453F9-A5C1-4737-9A6C-557FB99E6A96}"/>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6" name="TekstSylinder 1">
          <a:extLst>
            <a:ext uri="{FF2B5EF4-FFF2-40B4-BE49-F238E27FC236}">
              <a16:creationId xmlns:a16="http://schemas.microsoft.com/office/drawing/2014/main" id="{08F0BF37-6176-4F53-9031-753C47FD175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7" name="TekstSylinder 1">
          <a:extLst>
            <a:ext uri="{FF2B5EF4-FFF2-40B4-BE49-F238E27FC236}">
              <a16:creationId xmlns:a16="http://schemas.microsoft.com/office/drawing/2014/main" id="{6624C91A-54B4-4844-8B6B-834CE454B71D}"/>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8" name="TekstSylinder 1">
          <a:extLst>
            <a:ext uri="{FF2B5EF4-FFF2-40B4-BE49-F238E27FC236}">
              <a16:creationId xmlns:a16="http://schemas.microsoft.com/office/drawing/2014/main" id="{243F9E01-C962-4359-AEAB-4BAC839C4676}"/>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89" name="TekstSylinder 1">
          <a:extLst>
            <a:ext uri="{FF2B5EF4-FFF2-40B4-BE49-F238E27FC236}">
              <a16:creationId xmlns:a16="http://schemas.microsoft.com/office/drawing/2014/main" id="{5D2EA9A4-A93E-45B6-A545-51F68F50032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0" name="TekstSylinder 1">
          <a:extLst>
            <a:ext uri="{FF2B5EF4-FFF2-40B4-BE49-F238E27FC236}">
              <a16:creationId xmlns:a16="http://schemas.microsoft.com/office/drawing/2014/main" id="{4F1F8331-FEFA-4296-83AE-B3493EE54EF1}"/>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1" name="TekstSylinder 1">
          <a:extLst>
            <a:ext uri="{FF2B5EF4-FFF2-40B4-BE49-F238E27FC236}">
              <a16:creationId xmlns:a16="http://schemas.microsoft.com/office/drawing/2014/main" id="{0EF4332D-B19A-4BD2-9A87-A07F153CAF4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2" name="TekstSylinder 1">
          <a:extLst>
            <a:ext uri="{FF2B5EF4-FFF2-40B4-BE49-F238E27FC236}">
              <a16:creationId xmlns:a16="http://schemas.microsoft.com/office/drawing/2014/main" id="{682003AE-FDDF-428E-8CE7-A0E1D3FD298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3" name="TekstSylinder 1">
          <a:extLst>
            <a:ext uri="{FF2B5EF4-FFF2-40B4-BE49-F238E27FC236}">
              <a16:creationId xmlns:a16="http://schemas.microsoft.com/office/drawing/2014/main" id="{2EF39779-CBBB-4304-8737-2A0A163A3630}"/>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4" name="TekstSylinder 1">
          <a:extLst>
            <a:ext uri="{FF2B5EF4-FFF2-40B4-BE49-F238E27FC236}">
              <a16:creationId xmlns:a16="http://schemas.microsoft.com/office/drawing/2014/main" id="{51917609-0F0A-4FB1-B7D3-22FC92FE2858}"/>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5" name="TekstSylinder 1">
          <a:extLst>
            <a:ext uri="{FF2B5EF4-FFF2-40B4-BE49-F238E27FC236}">
              <a16:creationId xmlns:a16="http://schemas.microsoft.com/office/drawing/2014/main" id="{5EF1BEC8-6BE0-4AF2-B21F-27101BB6126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6" name="TekstSylinder 1">
          <a:extLst>
            <a:ext uri="{FF2B5EF4-FFF2-40B4-BE49-F238E27FC236}">
              <a16:creationId xmlns:a16="http://schemas.microsoft.com/office/drawing/2014/main" id="{A29B5673-C788-4943-9E51-6111FFA8240F}"/>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7" name="TekstSylinder 1">
          <a:extLst>
            <a:ext uri="{FF2B5EF4-FFF2-40B4-BE49-F238E27FC236}">
              <a16:creationId xmlns:a16="http://schemas.microsoft.com/office/drawing/2014/main" id="{210D1901-6F5A-41B5-96FC-7744A783799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8" name="TekstSylinder 1">
          <a:extLst>
            <a:ext uri="{FF2B5EF4-FFF2-40B4-BE49-F238E27FC236}">
              <a16:creationId xmlns:a16="http://schemas.microsoft.com/office/drawing/2014/main" id="{1AAC4665-18B6-4CAA-84D1-063202A874AE}"/>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299" name="TekstSylinder 1">
          <a:extLst>
            <a:ext uri="{FF2B5EF4-FFF2-40B4-BE49-F238E27FC236}">
              <a16:creationId xmlns:a16="http://schemas.microsoft.com/office/drawing/2014/main" id="{0221275A-6141-45F1-AD72-041A0159E40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0" name="TekstSylinder 1">
          <a:extLst>
            <a:ext uri="{FF2B5EF4-FFF2-40B4-BE49-F238E27FC236}">
              <a16:creationId xmlns:a16="http://schemas.microsoft.com/office/drawing/2014/main" id="{10804125-6991-451A-BF04-298B45D08BE6}"/>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1" name="TekstSylinder 1">
          <a:extLst>
            <a:ext uri="{FF2B5EF4-FFF2-40B4-BE49-F238E27FC236}">
              <a16:creationId xmlns:a16="http://schemas.microsoft.com/office/drawing/2014/main" id="{84994FE5-28A4-491C-BFAB-F13AA854541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2" name="TekstSylinder 1">
          <a:extLst>
            <a:ext uri="{FF2B5EF4-FFF2-40B4-BE49-F238E27FC236}">
              <a16:creationId xmlns:a16="http://schemas.microsoft.com/office/drawing/2014/main" id="{0E47B1C0-3C45-41D7-B869-DB5BC0246AC2}"/>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3" name="TekstSylinder 1">
          <a:extLst>
            <a:ext uri="{FF2B5EF4-FFF2-40B4-BE49-F238E27FC236}">
              <a16:creationId xmlns:a16="http://schemas.microsoft.com/office/drawing/2014/main" id="{3C8B8AC9-7CDC-4B2A-AE3E-F5A1127AF7E7}"/>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4" name="TekstSylinder 1">
          <a:extLst>
            <a:ext uri="{FF2B5EF4-FFF2-40B4-BE49-F238E27FC236}">
              <a16:creationId xmlns:a16="http://schemas.microsoft.com/office/drawing/2014/main" id="{0FC1FCCC-F9A0-4569-BA77-9DE4E914229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5" name="TekstSylinder 1">
          <a:extLst>
            <a:ext uri="{FF2B5EF4-FFF2-40B4-BE49-F238E27FC236}">
              <a16:creationId xmlns:a16="http://schemas.microsoft.com/office/drawing/2014/main" id="{0597F89A-1EAC-45D3-A1D0-AE909688B534}"/>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6" name="TekstSylinder 1">
          <a:extLst>
            <a:ext uri="{FF2B5EF4-FFF2-40B4-BE49-F238E27FC236}">
              <a16:creationId xmlns:a16="http://schemas.microsoft.com/office/drawing/2014/main" id="{8E055FBF-C192-40BD-8D65-424D8DB8F125}"/>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31</xdr:row>
      <xdr:rowOff>0</xdr:rowOff>
    </xdr:from>
    <xdr:ext cx="184731" cy="264560"/>
    <xdr:sp macro="" textlink="">
      <xdr:nvSpPr>
        <xdr:cNvPr id="307" name="TekstSylinder 1">
          <a:extLst>
            <a:ext uri="{FF2B5EF4-FFF2-40B4-BE49-F238E27FC236}">
              <a16:creationId xmlns:a16="http://schemas.microsoft.com/office/drawing/2014/main" id="{51082184-B40A-4814-84F4-2924AA6034EB}"/>
            </a:ext>
          </a:extLst>
        </xdr:cNvPr>
        <xdr:cNvSpPr txBox="1"/>
      </xdr:nvSpPr>
      <xdr:spPr>
        <a:xfrm>
          <a:off x="5886450" y="504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08" name="TekstSylinder 117">
          <a:extLst>
            <a:ext uri="{FF2B5EF4-FFF2-40B4-BE49-F238E27FC236}">
              <a16:creationId xmlns:a16="http://schemas.microsoft.com/office/drawing/2014/main" id="{14AEF0A8-B8BC-4054-9447-B6B53097F29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09" name="TekstSylinder 1">
          <a:extLst>
            <a:ext uri="{FF2B5EF4-FFF2-40B4-BE49-F238E27FC236}">
              <a16:creationId xmlns:a16="http://schemas.microsoft.com/office/drawing/2014/main" id="{21EAD210-5A56-48B2-8B2D-38CDE823834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0" name="TekstSylinder 1">
          <a:extLst>
            <a:ext uri="{FF2B5EF4-FFF2-40B4-BE49-F238E27FC236}">
              <a16:creationId xmlns:a16="http://schemas.microsoft.com/office/drawing/2014/main" id="{92059E2E-D371-4C00-9AF8-C4AECAD7748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1" name="TekstSylinder 1">
          <a:extLst>
            <a:ext uri="{FF2B5EF4-FFF2-40B4-BE49-F238E27FC236}">
              <a16:creationId xmlns:a16="http://schemas.microsoft.com/office/drawing/2014/main" id="{1D37B406-4CD3-4810-91BD-C70F16CAB42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2" name="TekstSylinder 1">
          <a:extLst>
            <a:ext uri="{FF2B5EF4-FFF2-40B4-BE49-F238E27FC236}">
              <a16:creationId xmlns:a16="http://schemas.microsoft.com/office/drawing/2014/main" id="{8872AC1D-418F-43F9-8C86-FFC5E2249EF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3" name="TekstSylinder 1">
          <a:extLst>
            <a:ext uri="{FF2B5EF4-FFF2-40B4-BE49-F238E27FC236}">
              <a16:creationId xmlns:a16="http://schemas.microsoft.com/office/drawing/2014/main" id="{4B807044-B293-4488-A57B-E64B71989DE6}"/>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4" name="TekstSylinder 1">
          <a:extLst>
            <a:ext uri="{FF2B5EF4-FFF2-40B4-BE49-F238E27FC236}">
              <a16:creationId xmlns:a16="http://schemas.microsoft.com/office/drawing/2014/main" id="{02833B76-6579-41C3-AD5C-D2F1FE7D822F}"/>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5" name="TekstSylinder 1">
          <a:extLst>
            <a:ext uri="{FF2B5EF4-FFF2-40B4-BE49-F238E27FC236}">
              <a16:creationId xmlns:a16="http://schemas.microsoft.com/office/drawing/2014/main" id="{6471A00C-0537-4729-A91A-FE2EF473181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6" name="TekstSylinder 1">
          <a:extLst>
            <a:ext uri="{FF2B5EF4-FFF2-40B4-BE49-F238E27FC236}">
              <a16:creationId xmlns:a16="http://schemas.microsoft.com/office/drawing/2014/main" id="{655FA93B-11A4-43E4-9024-0E68CE79B6A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7" name="TekstSylinder 1">
          <a:extLst>
            <a:ext uri="{FF2B5EF4-FFF2-40B4-BE49-F238E27FC236}">
              <a16:creationId xmlns:a16="http://schemas.microsoft.com/office/drawing/2014/main" id="{274FC817-33B5-419E-92E2-C3A208D4499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8" name="TekstSylinder 1">
          <a:extLst>
            <a:ext uri="{FF2B5EF4-FFF2-40B4-BE49-F238E27FC236}">
              <a16:creationId xmlns:a16="http://schemas.microsoft.com/office/drawing/2014/main" id="{BA0858E2-06CF-481E-8092-4708DA9902D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19" name="TekstSylinder 1">
          <a:extLst>
            <a:ext uri="{FF2B5EF4-FFF2-40B4-BE49-F238E27FC236}">
              <a16:creationId xmlns:a16="http://schemas.microsoft.com/office/drawing/2014/main" id="{32B77E2B-FE89-47F5-9D5A-AA625A8E209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0" name="TekstSylinder 1">
          <a:extLst>
            <a:ext uri="{FF2B5EF4-FFF2-40B4-BE49-F238E27FC236}">
              <a16:creationId xmlns:a16="http://schemas.microsoft.com/office/drawing/2014/main" id="{9C0B5093-E4E8-44A2-8DA0-BD254E14DEB0}"/>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1" name="TekstSylinder 1">
          <a:extLst>
            <a:ext uri="{FF2B5EF4-FFF2-40B4-BE49-F238E27FC236}">
              <a16:creationId xmlns:a16="http://schemas.microsoft.com/office/drawing/2014/main" id="{AC3ECA77-8579-467E-ABD0-DED9EE777CF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2" name="TekstSylinder 1">
          <a:extLst>
            <a:ext uri="{FF2B5EF4-FFF2-40B4-BE49-F238E27FC236}">
              <a16:creationId xmlns:a16="http://schemas.microsoft.com/office/drawing/2014/main" id="{01F6BECB-65A2-4C02-B17F-A246DDB353B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3" name="TekstSylinder 1">
          <a:extLst>
            <a:ext uri="{FF2B5EF4-FFF2-40B4-BE49-F238E27FC236}">
              <a16:creationId xmlns:a16="http://schemas.microsoft.com/office/drawing/2014/main" id="{DFE25627-DAD3-41ED-8E3D-8385F418F5D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4" name="TekstSylinder 1">
          <a:extLst>
            <a:ext uri="{FF2B5EF4-FFF2-40B4-BE49-F238E27FC236}">
              <a16:creationId xmlns:a16="http://schemas.microsoft.com/office/drawing/2014/main" id="{4915C4F5-9933-44AE-8F0D-B17E5D2FB3B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5" name="TekstSylinder 1">
          <a:extLst>
            <a:ext uri="{FF2B5EF4-FFF2-40B4-BE49-F238E27FC236}">
              <a16:creationId xmlns:a16="http://schemas.microsoft.com/office/drawing/2014/main" id="{844EEF21-79D4-49A2-9DEE-7E457E27FCA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6" name="TekstSylinder 1">
          <a:extLst>
            <a:ext uri="{FF2B5EF4-FFF2-40B4-BE49-F238E27FC236}">
              <a16:creationId xmlns:a16="http://schemas.microsoft.com/office/drawing/2014/main" id="{C72124DF-1072-4C3E-BD04-05FFC55CAD4C}"/>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7" name="TekstSylinder 1">
          <a:extLst>
            <a:ext uri="{FF2B5EF4-FFF2-40B4-BE49-F238E27FC236}">
              <a16:creationId xmlns:a16="http://schemas.microsoft.com/office/drawing/2014/main" id="{95A537AD-1EBB-4370-8C12-DF0FDDACA68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8" name="TekstSylinder 1">
          <a:extLst>
            <a:ext uri="{FF2B5EF4-FFF2-40B4-BE49-F238E27FC236}">
              <a16:creationId xmlns:a16="http://schemas.microsoft.com/office/drawing/2014/main" id="{D6027A2E-616F-4ECD-9399-3C4BED634F0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29" name="TekstSylinder 1">
          <a:extLst>
            <a:ext uri="{FF2B5EF4-FFF2-40B4-BE49-F238E27FC236}">
              <a16:creationId xmlns:a16="http://schemas.microsoft.com/office/drawing/2014/main" id="{D8EDEA3C-3557-47D5-9E95-1F79CB1F617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0" name="TekstSylinder 1">
          <a:extLst>
            <a:ext uri="{FF2B5EF4-FFF2-40B4-BE49-F238E27FC236}">
              <a16:creationId xmlns:a16="http://schemas.microsoft.com/office/drawing/2014/main" id="{D9BAC0D5-91DC-45E8-93D3-8B6485A3B0D6}"/>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1" name="TekstSylinder 1">
          <a:extLst>
            <a:ext uri="{FF2B5EF4-FFF2-40B4-BE49-F238E27FC236}">
              <a16:creationId xmlns:a16="http://schemas.microsoft.com/office/drawing/2014/main" id="{C6BA0E46-D1AD-47FE-95FE-A697F2E3157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2" name="TekstSylinder 1">
          <a:extLst>
            <a:ext uri="{FF2B5EF4-FFF2-40B4-BE49-F238E27FC236}">
              <a16:creationId xmlns:a16="http://schemas.microsoft.com/office/drawing/2014/main" id="{496CB321-484E-4724-BE3B-372B098F009C}"/>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3" name="TekstSylinder 1">
          <a:extLst>
            <a:ext uri="{FF2B5EF4-FFF2-40B4-BE49-F238E27FC236}">
              <a16:creationId xmlns:a16="http://schemas.microsoft.com/office/drawing/2014/main" id="{58992442-7AEA-45D1-A9B9-63A92883BBB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4" name="TekstSylinder 1">
          <a:extLst>
            <a:ext uri="{FF2B5EF4-FFF2-40B4-BE49-F238E27FC236}">
              <a16:creationId xmlns:a16="http://schemas.microsoft.com/office/drawing/2014/main" id="{D9B0BA8D-7264-40F0-A86A-11E5276F21A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5" name="TekstSylinder 1">
          <a:extLst>
            <a:ext uri="{FF2B5EF4-FFF2-40B4-BE49-F238E27FC236}">
              <a16:creationId xmlns:a16="http://schemas.microsoft.com/office/drawing/2014/main" id="{E6512DF1-171D-4026-8AB7-22AE491BD07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6" name="TekstSylinder 1">
          <a:extLst>
            <a:ext uri="{FF2B5EF4-FFF2-40B4-BE49-F238E27FC236}">
              <a16:creationId xmlns:a16="http://schemas.microsoft.com/office/drawing/2014/main" id="{345000FE-6556-4656-94F8-2EB4A2A5094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7" name="TekstSylinder 1">
          <a:extLst>
            <a:ext uri="{FF2B5EF4-FFF2-40B4-BE49-F238E27FC236}">
              <a16:creationId xmlns:a16="http://schemas.microsoft.com/office/drawing/2014/main" id="{A8EBFFA5-78B8-4901-810F-43A5C83EBF6F}"/>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8" name="TekstSylinder 1">
          <a:extLst>
            <a:ext uri="{FF2B5EF4-FFF2-40B4-BE49-F238E27FC236}">
              <a16:creationId xmlns:a16="http://schemas.microsoft.com/office/drawing/2014/main" id="{EFD7708F-2DEA-4735-87A4-9082C2909CD6}"/>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39" name="TekstSylinder 1">
          <a:extLst>
            <a:ext uri="{FF2B5EF4-FFF2-40B4-BE49-F238E27FC236}">
              <a16:creationId xmlns:a16="http://schemas.microsoft.com/office/drawing/2014/main" id="{293C568F-99AA-4B52-AE08-3A395B822D3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0" name="TekstSylinder 1">
          <a:extLst>
            <a:ext uri="{FF2B5EF4-FFF2-40B4-BE49-F238E27FC236}">
              <a16:creationId xmlns:a16="http://schemas.microsoft.com/office/drawing/2014/main" id="{46BF1B84-13B6-431C-90C6-B5CF29F1A921}"/>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1" name="TekstSylinder 1">
          <a:extLst>
            <a:ext uri="{FF2B5EF4-FFF2-40B4-BE49-F238E27FC236}">
              <a16:creationId xmlns:a16="http://schemas.microsoft.com/office/drawing/2014/main" id="{3E1231E2-2988-4849-9B54-7233C56FBB4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2" name="TekstSylinder 1">
          <a:extLst>
            <a:ext uri="{FF2B5EF4-FFF2-40B4-BE49-F238E27FC236}">
              <a16:creationId xmlns:a16="http://schemas.microsoft.com/office/drawing/2014/main" id="{779803A0-C833-474B-947E-3B9CD090D58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3" name="TekstSylinder 1">
          <a:extLst>
            <a:ext uri="{FF2B5EF4-FFF2-40B4-BE49-F238E27FC236}">
              <a16:creationId xmlns:a16="http://schemas.microsoft.com/office/drawing/2014/main" id="{99DEC4A2-C29C-411D-98F0-586037F018D9}"/>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4" name="TekstSylinder 1">
          <a:extLst>
            <a:ext uri="{FF2B5EF4-FFF2-40B4-BE49-F238E27FC236}">
              <a16:creationId xmlns:a16="http://schemas.microsoft.com/office/drawing/2014/main" id="{65C0B063-62E8-4998-B4B4-3C15589B999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5" name="TekstSylinder 1">
          <a:extLst>
            <a:ext uri="{FF2B5EF4-FFF2-40B4-BE49-F238E27FC236}">
              <a16:creationId xmlns:a16="http://schemas.microsoft.com/office/drawing/2014/main" id="{052F7A74-8AC6-42EA-ACE7-54CC6EBAA1F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6" name="TekstSylinder 1">
          <a:extLst>
            <a:ext uri="{FF2B5EF4-FFF2-40B4-BE49-F238E27FC236}">
              <a16:creationId xmlns:a16="http://schemas.microsoft.com/office/drawing/2014/main" id="{5B790120-E6AD-4EC9-8C28-E7249851841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7" name="TekstSylinder 1">
          <a:extLst>
            <a:ext uri="{FF2B5EF4-FFF2-40B4-BE49-F238E27FC236}">
              <a16:creationId xmlns:a16="http://schemas.microsoft.com/office/drawing/2014/main" id="{CB61E41A-D325-4BA1-99DA-00C3CC0C30C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8" name="TekstSylinder 1">
          <a:extLst>
            <a:ext uri="{FF2B5EF4-FFF2-40B4-BE49-F238E27FC236}">
              <a16:creationId xmlns:a16="http://schemas.microsoft.com/office/drawing/2014/main" id="{F8201177-6EA8-458F-B8B3-73DE36384D7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49" name="TekstSylinder 1">
          <a:extLst>
            <a:ext uri="{FF2B5EF4-FFF2-40B4-BE49-F238E27FC236}">
              <a16:creationId xmlns:a16="http://schemas.microsoft.com/office/drawing/2014/main" id="{539974FF-A4CD-4E9B-AA8B-8C6A24C65E8F}"/>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0" name="TekstSylinder 1">
          <a:extLst>
            <a:ext uri="{FF2B5EF4-FFF2-40B4-BE49-F238E27FC236}">
              <a16:creationId xmlns:a16="http://schemas.microsoft.com/office/drawing/2014/main" id="{B5BFE709-D9AE-4178-8D5E-F7D2EE6240C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1" name="TekstSylinder 1">
          <a:extLst>
            <a:ext uri="{FF2B5EF4-FFF2-40B4-BE49-F238E27FC236}">
              <a16:creationId xmlns:a16="http://schemas.microsoft.com/office/drawing/2014/main" id="{3FA9EEE2-8185-491C-AC6D-BBC5368A712C}"/>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2" name="TekstSylinder 1">
          <a:extLst>
            <a:ext uri="{FF2B5EF4-FFF2-40B4-BE49-F238E27FC236}">
              <a16:creationId xmlns:a16="http://schemas.microsoft.com/office/drawing/2014/main" id="{12553D28-A5F5-4A50-A5D9-E935A20A6D3F}"/>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3" name="TekstSylinder 1">
          <a:extLst>
            <a:ext uri="{FF2B5EF4-FFF2-40B4-BE49-F238E27FC236}">
              <a16:creationId xmlns:a16="http://schemas.microsoft.com/office/drawing/2014/main" id="{CF29C3A0-46A1-4935-9FB8-C483AC49587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4" name="TekstSylinder 1">
          <a:extLst>
            <a:ext uri="{FF2B5EF4-FFF2-40B4-BE49-F238E27FC236}">
              <a16:creationId xmlns:a16="http://schemas.microsoft.com/office/drawing/2014/main" id="{671C119D-40B5-470C-B388-9B7AE207D6BF}"/>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5" name="TekstSylinder 1">
          <a:extLst>
            <a:ext uri="{FF2B5EF4-FFF2-40B4-BE49-F238E27FC236}">
              <a16:creationId xmlns:a16="http://schemas.microsoft.com/office/drawing/2014/main" id="{AFEA0E9A-C87F-4BC0-B9EC-78ABC364C4F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6" name="TekstSylinder 1">
          <a:extLst>
            <a:ext uri="{FF2B5EF4-FFF2-40B4-BE49-F238E27FC236}">
              <a16:creationId xmlns:a16="http://schemas.microsoft.com/office/drawing/2014/main" id="{2672AFAC-BB2D-4DD9-8085-5F9EA790380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7" name="TekstSylinder 1">
          <a:extLst>
            <a:ext uri="{FF2B5EF4-FFF2-40B4-BE49-F238E27FC236}">
              <a16:creationId xmlns:a16="http://schemas.microsoft.com/office/drawing/2014/main" id="{77B87F93-F135-442C-9E99-4BB54D2101A6}"/>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8" name="TekstSylinder 1">
          <a:extLst>
            <a:ext uri="{FF2B5EF4-FFF2-40B4-BE49-F238E27FC236}">
              <a16:creationId xmlns:a16="http://schemas.microsoft.com/office/drawing/2014/main" id="{AFC89CF6-300C-4FAF-8985-42A450CB55E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59" name="TekstSylinder 1">
          <a:extLst>
            <a:ext uri="{FF2B5EF4-FFF2-40B4-BE49-F238E27FC236}">
              <a16:creationId xmlns:a16="http://schemas.microsoft.com/office/drawing/2014/main" id="{0FA1EA65-7196-409A-993E-BF4377B3EFA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0" name="TekstSylinder 1">
          <a:extLst>
            <a:ext uri="{FF2B5EF4-FFF2-40B4-BE49-F238E27FC236}">
              <a16:creationId xmlns:a16="http://schemas.microsoft.com/office/drawing/2014/main" id="{76A0F03A-0490-4E3D-957A-EBFBA5492F2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1" name="TekstSylinder 1">
          <a:extLst>
            <a:ext uri="{FF2B5EF4-FFF2-40B4-BE49-F238E27FC236}">
              <a16:creationId xmlns:a16="http://schemas.microsoft.com/office/drawing/2014/main" id="{D4014497-ECED-4D45-A866-7281F9FC300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2" name="TekstSylinder 1">
          <a:extLst>
            <a:ext uri="{FF2B5EF4-FFF2-40B4-BE49-F238E27FC236}">
              <a16:creationId xmlns:a16="http://schemas.microsoft.com/office/drawing/2014/main" id="{FC9CDAE0-D0DB-44AE-8A3A-F34EC6D1D3F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3" name="TekstSylinder 1">
          <a:extLst>
            <a:ext uri="{FF2B5EF4-FFF2-40B4-BE49-F238E27FC236}">
              <a16:creationId xmlns:a16="http://schemas.microsoft.com/office/drawing/2014/main" id="{6640DEDC-C3B0-4947-BA04-6E4767EF29EE}"/>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4" name="TekstSylinder 1">
          <a:extLst>
            <a:ext uri="{FF2B5EF4-FFF2-40B4-BE49-F238E27FC236}">
              <a16:creationId xmlns:a16="http://schemas.microsoft.com/office/drawing/2014/main" id="{3FE020A3-EB3A-46E3-94A7-E620727D9F0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5" name="TekstSylinder 1">
          <a:extLst>
            <a:ext uri="{FF2B5EF4-FFF2-40B4-BE49-F238E27FC236}">
              <a16:creationId xmlns:a16="http://schemas.microsoft.com/office/drawing/2014/main" id="{90BD03BC-B269-4EDD-930D-50C8042DCEF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6" name="TekstSylinder 1">
          <a:extLst>
            <a:ext uri="{FF2B5EF4-FFF2-40B4-BE49-F238E27FC236}">
              <a16:creationId xmlns:a16="http://schemas.microsoft.com/office/drawing/2014/main" id="{F7C1BF14-6532-40B4-9D99-9D65F75DB010}"/>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7" name="TekstSylinder 1">
          <a:extLst>
            <a:ext uri="{FF2B5EF4-FFF2-40B4-BE49-F238E27FC236}">
              <a16:creationId xmlns:a16="http://schemas.microsoft.com/office/drawing/2014/main" id="{64EEB28F-FF1D-4A39-AEB9-6E547B2E881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8" name="TekstSylinder 1">
          <a:extLst>
            <a:ext uri="{FF2B5EF4-FFF2-40B4-BE49-F238E27FC236}">
              <a16:creationId xmlns:a16="http://schemas.microsoft.com/office/drawing/2014/main" id="{2D6246AC-4A39-4D0C-88D6-30F6B3C0F89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69" name="TekstSylinder 1">
          <a:extLst>
            <a:ext uri="{FF2B5EF4-FFF2-40B4-BE49-F238E27FC236}">
              <a16:creationId xmlns:a16="http://schemas.microsoft.com/office/drawing/2014/main" id="{208E1C23-A350-4DD8-BEDB-235B864E5686}"/>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0" name="TekstSylinder 1">
          <a:extLst>
            <a:ext uri="{FF2B5EF4-FFF2-40B4-BE49-F238E27FC236}">
              <a16:creationId xmlns:a16="http://schemas.microsoft.com/office/drawing/2014/main" id="{623DD581-E9BB-454F-8E6E-DC650D503AF2}"/>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1" name="TekstSylinder 1">
          <a:extLst>
            <a:ext uri="{FF2B5EF4-FFF2-40B4-BE49-F238E27FC236}">
              <a16:creationId xmlns:a16="http://schemas.microsoft.com/office/drawing/2014/main" id="{9BA4EB9A-1253-4FC6-A1AC-0E913EDD1232}"/>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2" name="TekstSylinder 1">
          <a:extLst>
            <a:ext uri="{FF2B5EF4-FFF2-40B4-BE49-F238E27FC236}">
              <a16:creationId xmlns:a16="http://schemas.microsoft.com/office/drawing/2014/main" id="{C76AF359-1D52-4B96-B02C-03AACDBE071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3" name="TekstSylinder 1">
          <a:extLst>
            <a:ext uri="{FF2B5EF4-FFF2-40B4-BE49-F238E27FC236}">
              <a16:creationId xmlns:a16="http://schemas.microsoft.com/office/drawing/2014/main" id="{A6F514EA-5BE4-4FCE-B116-17DD0BD4AD3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4" name="TekstSylinder 1">
          <a:extLst>
            <a:ext uri="{FF2B5EF4-FFF2-40B4-BE49-F238E27FC236}">
              <a16:creationId xmlns:a16="http://schemas.microsoft.com/office/drawing/2014/main" id="{562184CF-C8A0-4A17-A39F-6BE954F3E249}"/>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5" name="TekstSylinder 1">
          <a:extLst>
            <a:ext uri="{FF2B5EF4-FFF2-40B4-BE49-F238E27FC236}">
              <a16:creationId xmlns:a16="http://schemas.microsoft.com/office/drawing/2014/main" id="{B478C22D-1E17-4C39-8F9F-1B0D49C2373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6" name="TekstSylinder 1">
          <a:extLst>
            <a:ext uri="{FF2B5EF4-FFF2-40B4-BE49-F238E27FC236}">
              <a16:creationId xmlns:a16="http://schemas.microsoft.com/office/drawing/2014/main" id="{E0BC0980-D97B-4569-9DC8-D1C1003B6050}"/>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7" name="TekstSylinder 1">
          <a:extLst>
            <a:ext uri="{FF2B5EF4-FFF2-40B4-BE49-F238E27FC236}">
              <a16:creationId xmlns:a16="http://schemas.microsoft.com/office/drawing/2014/main" id="{0C4E17CB-DCAF-4739-9FFB-84338D3C6F6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8" name="TekstSylinder 1">
          <a:extLst>
            <a:ext uri="{FF2B5EF4-FFF2-40B4-BE49-F238E27FC236}">
              <a16:creationId xmlns:a16="http://schemas.microsoft.com/office/drawing/2014/main" id="{DE767C43-0193-4E04-9602-6E3A0DDD992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79" name="TekstSylinder 1">
          <a:extLst>
            <a:ext uri="{FF2B5EF4-FFF2-40B4-BE49-F238E27FC236}">
              <a16:creationId xmlns:a16="http://schemas.microsoft.com/office/drawing/2014/main" id="{4E9220F7-7D71-4D83-B36A-B90C976A43A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0" name="TekstSylinder 1">
          <a:extLst>
            <a:ext uri="{FF2B5EF4-FFF2-40B4-BE49-F238E27FC236}">
              <a16:creationId xmlns:a16="http://schemas.microsoft.com/office/drawing/2014/main" id="{4454D86C-0166-46CB-B04D-3EF17097DA7F}"/>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1" name="TekstSylinder 1">
          <a:extLst>
            <a:ext uri="{FF2B5EF4-FFF2-40B4-BE49-F238E27FC236}">
              <a16:creationId xmlns:a16="http://schemas.microsoft.com/office/drawing/2014/main" id="{F789B721-3556-43B8-AE1F-7B1903195C51}"/>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2" name="TekstSylinder 1">
          <a:extLst>
            <a:ext uri="{FF2B5EF4-FFF2-40B4-BE49-F238E27FC236}">
              <a16:creationId xmlns:a16="http://schemas.microsoft.com/office/drawing/2014/main" id="{6870CEE5-CB64-40C3-8899-24D05B3312F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3" name="TekstSylinder 1">
          <a:extLst>
            <a:ext uri="{FF2B5EF4-FFF2-40B4-BE49-F238E27FC236}">
              <a16:creationId xmlns:a16="http://schemas.microsoft.com/office/drawing/2014/main" id="{5C51EDDB-6922-426A-9CFA-4A58C22FFC2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4" name="TekstSylinder 1">
          <a:extLst>
            <a:ext uri="{FF2B5EF4-FFF2-40B4-BE49-F238E27FC236}">
              <a16:creationId xmlns:a16="http://schemas.microsoft.com/office/drawing/2014/main" id="{AF92A7F0-0B05-4397-BF97-9215DE7A188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5" name="TekstSylinder 1">
          <a:extLst>
            <a:ext uri="{FF2B5EF4-FFF2-40B4-BE49-F238E27FC236}">
              <a16:creationId xmlns:a16="http://schemas.microsoft.com/office/drawing/2014/main" id="{9DEF844E-FC33-40F2-8C41-AD22FD0836E0}"/>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6" name="TekstSylinder 1">
          <a:extLst>
            <a:ext uri="{FF2B5EF4-FFF2-40B4-BE49-F238E27FC236}">
              <a16:creationId xmlns:a16="http://schemas.microsoft.com/office/drawing/2014/main" id="{2A10CBFE-A2A6-4AEE-B231-53B1466B5AF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7" name="TekstSylinder 1">
          <a:extLst>
            <a:ext uri="{FF2B5EF4-FFF2-40B4-BE49-F238E27FC236}">
              <a16:creationId xmlns:a16="http://schemas.microsoft.com/office/drawing/2014/main" id="{0AE1E599-0C7D-4E4E-B77D-EC57D08E7209}"/>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8" name="TekstSylinder 1">
          <a:extLst>
            <a:ext uri="{FF2B5EF4-FFF2-40B4-BE49-F238E27FC236}">
              <a16:creationId xmlns:a16="http://schemas.microsoft.com/office/drawing/2014/main" id="{EE22CF74-A2F6-4278-B55F-8BA0FB45A06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89" name="TekstSylinder 1">
          <a:extLst>
            <a:ext uri="{FF2B5EF4-FFF2-40B4-BE49-F238E27FC236}">
              <a16:creationId xmlns:a16="http://schemas.microsoft.com/office/drawing/2014/main" id="{CC7F934D-46E8-4AA3-9B56-9C6BA2467084}"/>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0" name="TekstSylinder 1">
          <a:extLst>
            <a:ext uri="{FF2B5EF4-FFF2-40B4-BE49-F238E27FC236}">
              <a16:creationId xmlns:a16="http://schemas.microsoft.com/office/drawing/2014/main" id="{D86C6356-FEE8-4792-AD0D-2F868BA2885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1" name="TekstSylinder 1">
          <a:extLst>
            <a:ext uri="{FF2B5EF4-FFF2-40B4-BE49-F238E27FC236}">
              <a16:creationId xmlns:a16="http://schemas.microsoft.com/office/drawing/2014/main" id="{14FCE4EE-F9AD-4E3B-9D6F-10F84C95D07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2" name="TekstSylinder 1">
          <a:extLst>
            <a:ext uri="{FF2B5EF4-FFF2-40B4-BE49-F238E27FC236}">
              <a16:creationId xmlns:a16="http://schemas.microsoft.com/office/drawing/2014/main" id="{D65E57ED-9BDA-42F5-B0CE-7BC8E7D84706}"/>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3" name="TekstSylinder 1">
          <a:extLst>
            <a:ext uri="{FF2B5EF4-FFF2-40B4-BE49-F238E27FC236}">
              <a16:creationId xmlns:a16="http://schemas.microsoft.com/office/drawing/2014/main" id="{193CA02A-A9B0-40C4-96E7-9968189C47B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4" name="TekstSylinder 1">
          <a:extLst>
            <a:ext uri="{FF2B5EF4-FFF2-40B4-BE49-F238E27FC236}">
              <a16:creationId xmlns:a16="http://schemas.microsoft.com/office/drawing/2014/main" id="{ADCA595A-4409-418A-AB25-82A5E234915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5" name="TekstSylinder 1">
          <a:extLst>
            <a:ext uri="{FF2B5EF4-FFF2-40B4-BE49-F238E27FC236}">
              <a16:creationId xmlns:a16="http://schemas.microsoft.com/office/drawing/2014/main" id="{24B83ADC-A67E-41CC-AD96-34D82AFC142E}"/>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6" name="TekstSylinder 1">
          <a:extLst>
            <a:ext uri="{FF2B5EF4-FFF2-40B4-BE49-F238E27FC236}">
              <a16:creationId xmlns:a16="http://schemas.microsoft.com/office/drawing/2014/main" id="{35F632FF-B47C-4F9A-93E0-03F86CDD3F8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7" name="TekstSylinder 1">
          <a:extLst>
            <a:ext uri="{FF2B5EF4-FFF2-40B4-BE49-F238E27FC236}">
              <a16:creationId xmlns:a16="http://schemas.microsoft.com/office/drawing/2014/main" id="{5A5B7CFD-EFF2-498F-8BD2-E015BAFF387D}"/>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8" name="TekstSylinder 1">
          <a:extLst>
            <a:ext uri="{FF2B5EF4-FFF2-40B4-BE49-F238E27FC236}">
              <a16:creationId xmlns:a16="http://schemas.microsoft.com/office/drawing/2014/main" id="{9A22013B-C4F7-4D4C-AD7E-B9CD9A134F1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399" name="TekstSylinder 1">
          <a:extLst>
            <a:ext uri="{FF2B5EF4-FFF2-40B4-BE49-F238E27FC236}">
              <a16:creationId xmlns:a16="http://schemas.microsoft.com/office/drawing/2014/main" id="{6B198C3C-2C74-4FA1-AEEC-1E4D2837D799}"/>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0" name="TekstSylinder 1">
          <a:extLst>
            <a:ext uri="{FF2B5EF4-FFF2-40B4-BE49-F238E27FC236}">
              <a16:creationId xmlns:a16="http://schemas.microsoft.com/office/drawing/2014/main" id="{DADE9371-4854-4B78-9F0A-559A5AF19D31}"/>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1" name="TekstSylinder 1">
          <a:extLst>
            <a:ext uri="{FF2B5EF4-FFF2-40B4-BE49-F238E27FC236}">
              <a16:creationId xmlns:a16="http://schemas.microsoft.com/office/drawing/2014/main" id="{36E4016C-3866-4B32-A1D7-2EC7BFC4B18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2" name="TekstSylinder 1">
          <a:extLst>
            <a:ext uri="{FF2B5EF4-FFF2-40B4-BE49-F238E27FC236}">
              <a16:creationId xmlns:a16="http://schemas.microsoft.com/office/drawing/2014/main" id="{16C06A9C-AB3D-410C-8549-AE83286D807B}"/>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3" name="TekstSylinder 1">
          <a:extLst>
            <a:ext uri="{FF2B5EF4-FFF2-40B4-BE49-F238E27FC236}">
              <a16:creationId xmlns:a16="http://schemas.microsoft.com/office/drawing/2014/main" id="{C16DE773-EEC7-4126-B8FB-910082922118}"/>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4" name="TekstSylinder 1">
          <a:extLst>
            <a:ext uri="{FF2B5EF4-FFF2-40B4-BE49-F238E27FC236}">
              <a16:creationId xmlns:a16="http://schemas.microsoft.com/office/drawing/2014/main" id="{09769D21-B1C4-4D26-91AF-0586C4C164A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5" name="TekstSylinder 1">
          <a:extLst>
            <a:ext uri="{FF2B5EF4-FFF2-40B4-BE49-F238E27FC236}">
              <a16:creationId xmlns:a16="http://schemas.microsoft.com/office/drawing/2014/main" id="{FFC77605-28F2-4048-B65B-E685A2FD037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6" name="TekstSylinder 1">
          <a:extLst>
            <a:ext uri="{FF2B5EF4-FFF2-40B4-BE49-F238E27FC236}">
              <a16:creationId xmlns:a16="http://schemas.microsoft.com/office/drawing/2014/main" id="{9D9D6404-EE43-400A-AFFD-6F0DC41C92E7}"/>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7" name="TekstSylinder 1">
          <a:extLst>
            <a:ext uri="{FF2B5EF4-FFF2-40B4-BE49-F238E27FC236}">
              <a16:creationId xmlns:a16="http://schemas.microsoft.com/office/drawing/2014/main" id="{02E8B409-FBE5-49EB-B77F-110B5A1ADA0A}"/>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8" name="TekstSylinder 1">
          <a:extLst>
            <a:ext uri="{FF2B5EF4-FFF2-40B4-BE49-F238E27FC236}">
              <a16:creationId xmlns:a16="http://schemas.microsoft.com/office/drawing/2014/main" id="{63E784CC-C39E-4A8F-84F0-5C0363800C03}"/>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09" name="TekstSylinder 1">
          <a:extLst>
            <a:ext uri="{FF2B5EF4-FFF2-40B4-BE49-F238E27FC236}">
              <a16:creationId xmlns:a16="http://schemas.microsoft.com/office/drawing/2014/main" id="{4AD50B49-CBBB-4592-B199-0927248AB365}"/>
            </a:ext>
          </a:extLst>
        </xdr:cNvPr>
        <xdr:cNvSpPr txBox="1"/>
      </xdr:nvSpPr>
      <xdr:spPr>
        <a:xfrm>
          <a:off x="5886450" y="393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0" name="TekstSylinder 117">
          <a:extLst>
            <a:ext uri="{FF2B5EF4-FFF2-40B4-BE49-F238E27FC236}">
              <a16:creationId xmlns:a16="http://schemas.microsoft.com/office/drawing/2014/main" id="{03B3ECFF-A5EF-422D-B96F-E53898F51A9C}"/>
            </a:ext>
            <a:ext uri="{147F2762-F138-4A5C-976F-8EAC2B608ADB}">
              <a16:predDERef xmlns:a16="http://schemas.microsoft.com/office/drawing/2014/main" pred="{4AD50B49-CBBB-4592-B199-0927248AB365}"/>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1" name="TekstSylinder 1">
          <a:extLst>
            <a:ext uri="{FF2B5EF4-FFF2-40B4-BE49-F238E27FC236}">
              <a16:creationId xmlns:a16="http://schemas.microsoft.com/office/drawing/2014/main" id="{20D388C2-B609-42E5-B9CC-B6320A136A4B}"/>
            </a:ext>
            <a:ext uri="{147F2762-F138-4A5C-976F-8EAC2B608ADB}">
              <a16:predDERef xmlns:a16="http://schemas.microsoft.com/office/drawing/2014/main" pred="{03B3ECFF-A5EF-422D-B96F-E53898F51A9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2" name="TekstSylinder 1">
          <a:extLst>
            <a:ext uri="{FF2B5EF4-FFF2-40B4-BE49-F238E27FC236}">
              <a16:creationId xmlns:a16="http://schemas.microsoft.com/office/drawing/2014/main" id="{B762B847-FDD6-44DE-B67D-058CA2849C6B}"/>
            </a:ext>
            <a:ext uri="{147F2762-F138-4A5C-976F-8EAC2B608ADB}">
              <a16:predDERef xmlns:a16="http://schemas.microsoft.com/office/drawing/2014/main" pred="{20D388C2-B609-42E5-B9CC-B6320A136A4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3" name="TekstSylinder 1">
          <a:extLst>
            <a:ext uri="{FF2B5EF4-FFF2-40B4-BE49-F238E27FC236}">
              <a16:creationId xmlns:a16="http://schemas.microsoft.com/office/drawing/2014/main" id="{9A047AA2-1457-4F35-AD36-367467A79A01}"/>
            </a:ext>
            <a:ext uri="{147F2762-F138-4A5C-976F-8EAC2B608ADB}">
              <a16:predDERef xmlns:a16="http://schemas.microsoft.com/office/drawing/2014/main" pred="{B762B847-FDD6-44DE-B67D-058CA2849C6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4" name="TekstSylinder 1">
          <a:extLst>
            <a:ext uri="{FF2B5EF4-FFF2-40B4-BE49-F238E27FC236}">
              <a16:creationId xmlns:a16="http://schemas.microsoft.com/office/drawing/2014/main" id="{A7E3F32E-3F5B-4135-898C-924A46E42D18}"/>
            </a:ext>
            <a:ext uri="{147F2762-F138-4A5C-976F-8EAC2B608ADB}">
              <a16:predDERef xmlns:a16="http://schemas.microsoft.com/office/drawing/2014/main" pred="{9A047AA2-1457-4F35-AD36-367467A79A0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5" name="TekstSylinder 1">
          <a:extLst>
            <a:ext uri="{FF2B5EF4-FFF2-40B4-BE49-F238E27FC236}">
              <a16:creationId xmlns:a16="http://schemas.microsoft.com/office/drawing/2014/main" id="{BC3E8338-B9B4-4475-8007-23B74B2F6BF2}"/>
            </a:ext>
            <a:ext uri="{147F2762-F138-4A5C-976F-8EAC2B608ADB}">
              <a16:predDERef xmlns:a16="http://schemas.microsoft.com/office/drawing/2014/main" pred="{A7E3F32E-3F5B-4135-898C-924A46E42D1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6" name="TekstSylinder 1">
          <a:extLst>
            <a:ext uri="{FF2B5EF4-FFF2-40B4-BE49-F238E27FC236}">
              <a16:creationId xmlns:a16="http://schemas.microsoft.com/office/drawing/2014/main" id="{6E3FB7F9-CC5E-4AF2-B22E-1CE293351EEF}"/>
            </a:ext>
            <a:ext uri="{147F2762-F138-4A5C-976F-8EAC2B608ADB}">
              <a16:predDERef xmlns:a16="http://schemas.microsoft.com/office/drawing/2014/main" pred="{BC3E8338-B9B4-4475-8007-23B74B2F6BF2}"/>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7" name="TekstSylinder 1">
          <a:extLst>
            <a:ext uri="{FF2B5EF4-FFF2-40B4-BE49-F238E27FC236}">
              <a16:creationId xmlns:a16="http://schemas.microsoft.com/office/drawing/2014/main" id="{1A092FCE-FF2D-468C-9E5C-869965DF299B}"/>
            </a:ext>
            <a:ext uri="{147F2762-F138-4A5C-976F-8EAC2B608ADB}">
              <a16:predDERef xmlns:a16="http://schemas.microsoft.com/office/drawing/2014/main" pred="{6E3FB7F9-CC5E-4AF2-B22E-1CE293351EEF}"/>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8" name="TekstSylinder 1">
          <a:extLst>
            <a:ext uri="{FF2B5EF4-FFF2-40B4-BE49-F238E27FC236}">
              <a16:creationId xmlns:a16="http://schemas.microsoft.com/office/drawing/2014/main" id="{904C5DC0-C14F-42A5-802D-E72AFD7EFB69}"/>
            </a:ext>
            <a:ext uri="{147F2762-F138-4A5C-976F-8EAC2B608ADB}">
              <a16:predDERef xmlns:a16="http://schemas.microsoft.com/office/drawing/2014/main" pred="{1A092FCE-FF2D-468C-9E5C-869965DF299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19" name="TekstSylinder 1">
          <a:extLst>
            <a:ext uri="{FF2B5EF4-FFF2-40B4-BE49-F238E27FC236}">
              <a16:creationId xmlns:a16="http://schemas.microsoft.com/office/drawing/2014/main" id="{100C1552-E0D8-4973-AAD8-469D6B68545B}"/>
            </a:ext>
            <a:ext uri="{147F2762-F138-4A5C-976F-8EAC2B608ADB}">
              <a16:predDERef xmlns:a16="http://schemas.microsoft.com/office/drawing/2014/main" pred="{904C5DC0-C14F-42A5-802D-E72AFD7EFB6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0" name="TekstSylinder 1">
          <a:extLst>
            <a:ext uri="{FF2B5EF4-FFF2-40B4-BE49-F238E27FC236}">
              <a16:creationId xmlns:a16="http://schemas.microsoft.com/office/drawing/2014/main" id="{86506F78-B945-48A0-9080-D7924134AC63}"/>
            </a:ext>
            <a:ext uri="{147F2762-F138-4A5C-976F-8EAC2B608ADB}">
              <a16:predDERef xmlns:a16="http://schemas.microsoft.com/office/drawing/2014/main" pred="{100C1552-E0D8-4973-AAD8-469D6B68545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1" name="TekstSylinder 1">
          <a:extLst>
            <a:ext uri="{FF2B5EF4-FFF2-40B4-BE49-F238E27FC236}">
              <a16:creationId xmlns:a16="http://schemas.microsoft.com/office/drawing/2014/main" id="{C008A3F5-24D6-41FE-B934-96816BEE2D5B}"/>
            </a:ext>
            <a:ext uri="{147F2762-F138-4A5C-976F-8EAC2B608ADB}">
              <a16:predDERef xmlns:a16="http://schemas.microsoft.com/office/drawing/2014/main" pred="{86506F78-B945-48A0-9080-D7924134AC6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2" name="TekstSylinder 1">
          <a:extLst>
            <a:ext uri="{FF2B5EF4-FFF2-40B4-BE49-F238E27FC236}">
              <a16:creationId xmlns:a16="http://schemas.microsoft.com/office/drawing/2014/main" id="{47DCDEDD-A4EB-4DF3-9D55-4CD5F2D12FB7}"/>
            </a:ext>
            <a:ext uri="{147F2762-F138-4A5C-976F-8EAC2B608ADB}">
              <a16:predDERef xmlns:a16="http://schemas.microsoft.com/office/drawing/2014/main" pred="{C008A3F5-24D6-41FE-B934-96816BEE2D5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3" name="TekstSylinder 1">
          <a:extLst>
            <a:ext uri="{FF2B5EF4-FFF2-40B4-BE49-F238E27FC236}">
              <a16:creationId xmlns:a16="http://schemas.microsoft.com/office/drawing/2014/main" id="{6DE10051-992C-46A7-82DA-A4FA76EB5791}"/>
            </a:ext>
            <a:ext uri="{147F2762-F138-4A5C-976F-8EAC2B608ADB}">
              <a16:predDERef xmlns:a16="http://schemas.microsoft.com/office/drawing/2014/main" pred="{47DCDEDD-A4EB-4DF3-9D55-4CD5F2D12FB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4" name="TekstSylinder 1">
          <a:extLst>
            <a:ext uri="{FF2B5EF4-FFF2-40B4-BE49-F238E27FC236}">
              <a16:creationId xmlns:a16="http://schemas.microsoft.com/office/drawing/2014/main" id="{14074C41-AA52-4F25-9F6F-576796A475D8}"/>
            </a:ext>
            <a:ext uri="{147F2762-F138-4A5C-976F-8EAC2B608ADB}">
              <a16:predDERef xmlns:a16="http://schemas.microsoft.com/office/drawing/2014/main" pred="{6DE10051-992C-46A7-82DA-A4FA76EB579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5" name="TekstSylinder 1">
          <a:extLst>
            <a:ext uri="{FF2B5EF4-FFF2-40B4-BE49-F238E27FC236}">
              <a16:creationId xmlns:a16="http://schemas.microsoft.com/office/drawing/2014/main" id="{AAD7415D-4223-4650-9EE2-E228477F3111}"/>
            </a:ext>
            <a:ext uri="{147F2762-F138-4A5C-976F-8EAC2B608ADB}">
              <a16:predDERef xmlns:a16="http://schemas.microsoft.com/office/drawing/2014/main" pred="{14074C41-AA52-4F25-9F6F-576796A475D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6" name="TekstSylinder 1">
          <a:extLst>
            <a:ext uri="{FF2B5EF4-FFF2-40B4-BE49-F238E27FC236}">
              <a16:creationId xmlns:a16="http://schemas.microsoft.com/office/drawing/2014/main" id="{7DE5BE37-6A72-477B-82CE-8802E1FACAC7}"/>
            </a:ext>
            <a:ext uri="{147F2762-F138-4A5C-976F-8EAC2B608ADB}">
              <a16:predDERef xmlns:a16="http://schemas.microsoft.com/office/drawing/2014/main" pred="{AAD7415D-4223-4650-9EE2-E228477F311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7" name="TekstSylinder 1">
          <a:extLst>
            <a:ext uri="{FF2B5EF4-FFF2-40B4-BE49-F238E27FC236}">
              <a16:creationId xmlns:a16="http://schemas.microsoft.com/office/drawing/2014/main" id="{D9F0B2AA-980A-411F-89FF-3067CDF10E31}"/>
            </a:ext>
            <a:ext uri="{147F2762-F138-4A5C-976F-8EAC2B608ADB}">
              <a16:predDERef xmlns:a16="http://schemas.microsoft.com/office/drawing/2014/main" pred="{7DE5BE37-6A72-477B-82CE-8802E1FACAC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8" name="TekstSylinder 1">
          <a:extLst>
            <a:ext uri="{FF2B5EF4-FFF2-40B4-BE49-F238E27FC236}">
              <a16:creationId xmlns:a16="http://schemas.microsoft.com/office/drawing/2014/main" id="{AB1225FB-F429-49DA-977D-FC5679844150}"/>
            </a:ext>
            <a:ext uri="{147F2762-F138-4A5C-976F-8EAC2B608ADB}">
              <a16:predDERef xmlns:a16="http://schemas.microsoft.com/office/drawing/2014/main" pred="{D9F0B2AA-980A-411F-89FF-3067CDF10E3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29" name="TekstSylinder 1">
          <a:extLst>
            <a:ext uri="{FF2B5EF4-FFF2-40B4-BE49-F238E27FC236}">
              <a16:creationId xmlns:a16="http://schemas.microsoft.com/office/drawing/2014/main" id="{2D03B909-BBCB-439F-9DE2-32A73846D4F9}"/>
            </a:ext>
            <a:ext uri="{147F2762-F138-4A5C-976F-8EAC2B608ADB}">
              <a16:predDERef xmlns:a16="http://schemas.microsoft.com/office/drawing/2014/main" pred="{AB1225FB-F429-49DA-977D-FC567984415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0" name="TekstSylinder 1">
          <a:extLst>
            <a:ext uri="{FF2B5EF4-FFF2-40B4-BE49-F238E27FC236}">
              <a16:creationId xmlns:a16="http://schemas.microsoft.com/office/drawing/2014/main" id="{569BC74C-B695-4D4D-9360-D1BCC39C759F}"/>
            </a:ext>
            <a:ext uri="{147F2762-F138-4A5C-976F-8EAC2B608ADB}">
              <a16:predDERef xmlns:a16="http://schemas.microsoft.com/office/drawing/2014/main" pred="{2D03B909-BBCB-439F-9DE2-32A73846D4F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1" name="TekstSylinder 1">
          <a:extLst>
            <a:ext uri="{FF2B5EF4-FFF2-40B4-BE49-F238E27FC236}">
              <a16:creationId xmlns:a16="http://schemas.microsoft.com/office/drawing/2014/main" id="{5B0D3CB6-0FEE-4047-AD30-5D95B2DA783B}"/>
            </a:ext>
            <a:ext uri="{147F2762-F138-4A5C-976F-8EAC2B608ADB}">
              <a16:predDERef xmlns:a16="http://schemas.microsoft.com/office/drawing/2014/main" pred="{569BC74C-B695-4D4D-9360-D1BCC39C759F}"/>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2" name="TekstSylinder 1">
          <a:extLst>
            <a:ext uri="{FF2B5EF4-FFF2-40B4-BE49-F238E27FC236}">
              <a16:creationId xmlns:a16="http://schemas.microsoft.com/office/drawing/2014/main" id="{62583C23-F48F-4F32-98BC-8A118D12A376}"/>
            </a:ext>
            <a:ext uri="{147F2762-F138-4A5C-976F-8EAC2B608ADB}">
              <a16:predDERef xmlns:a16="http://schemas.microsoft.com/office/drawing/2014/main" pred="{5B0D3CB6-0FEE-4047-AD30-5D95B2DA783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3" name="TekstSylinder 1">
          <a:extLst>
            <a:ext uri="{FF2B5EF4-FFF2-40B4-BE49-F238E27FC236}">
              <a16:creationId xmlns:a16="http://schemas.microsoft.com/office/drawing/2014/main" id="{0F61965D-9435-47E3-8BF4-83A18AD0697D}"/>
            </a:ext>
            <a:ext uri="{147F2762-F138-4A5C-976F-8EAC2B608ADB}">
              <a16:predDERef xmlns:a16="http://schemas.microsoft.com/office/drawing/2014/main" pred="{62583C23-F48F-4F32-98BC-8A118D12A376}"/>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4" name="TekstSylinder 1">
          <a:extLst>
            <a:ext uri="{FF2B5EF4-FFF2-40B4-BE49-F238E27FC236}">
              <a16:creationId xmlns:a16="http://schemas.microsoft.com/office/drawing/2014/main" id="{C6EBB09F-6C5B-4187-9C7F-9F33D2E96782}"/>
            </a:ext>
            <a:ext uri="{147F2762-F138-4A5C-976F-8EAC2B608ADB}">
              <a16:predDERef xmlns:a16="http://schemas.microsoft.com/office/drawing/2014/main" pred="{0F61965D-9435-47E3-8BF4-83A18AD0697D}"/>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5" name="TekstSylinder 1">
          <a:extLst>
            <a:ext uri="{FF2B5EF4-FFF2-40B4-BE49-F238E27FC236}">
              <a16:creationId xmlns:a16="http://schemas.microsoft.com/office/drawing/2014/main" id="{85CCCBA8-35DB-47FA-8BA4-4A434B939434}"/>
            </a:ext>
            <a:ext uri="{147F2762-F138-4A5C-976F-8EAC2B608ADB}">
              <a16:predDERef xmlns:a16="http://schemas.microsoft.com/office/drawing/2014/main" pred="{C6EBB09F-6C5B-4187-9C7F-9F33D2E96782}"/>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6" name="TekstSylinder 1">
          <a:extLst>
            <a:ext uri="{FF2B5EF4-FFF2-40B4-BE49-F238E27FC236}">
              <a16:creationId xmlns:a16="http://schemas.microsoft.com/office/drawing/2014/main" id="{37E2ACE0-CEB9-4F91-A3EA-474B2A736FEE}"/>
            </a:ext>
            <a:ext uri="{147F2762-F138-4A5C-976F-8EAC2B608ADB}">
              <a16:predDERef xmlns:a16="http://schemas.microsoft.com/office/drawing/2014/main" pred="{85CCCBA8-35DB-47FA-8BA4-4A434B939434}"/>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7" name="TekstSylinder 1">
          <a:extLst>
            <a:ext uri="{FF2B5EF4-FFF2-40B4-BE49-F238E27FC236}">
              <a16:creationId xmlns:a16="http://schemas.microsoft.com/office/drawing/2014/main" id="{1FC15686-A1FD-49B8-B28B-4D4B490358AB}"/>
            </a:ext>
            <a:ext uri="{147F2762-F138-4A5C-976F-8EAC2B608ADB}">
              <a16:predDERef xmlns:a16="http://schemas.microsoft.com/office/drawing/2014/main" pred="{37E2ACE0-CEB9-4F91-A3EA-474B2A736FEE}"/>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8" name="TekstSylinder 1">
          <a:extLst>
            <a:ext uri="{FF2B5EF4-FFF2-40B4-BE49-F238E27FC236}">
              <a16:creationId xmlns:a16="http://schemas.microsoft.com/office/drawing/2014/main" id="{B7300375-38EA-44C3-9983-F638082750BF}"/>
            </a:ext>
            <a:ext uri="{147F2762-F138-4A5C-976F-8EAC2B608ADB}">
              <a16:predDERef xmlns:a16="http://schemas.microsoft.com/office/drawing/2014/main" pred="{1FC15686-A1FD-49B8-B28B-4D4B490358A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39" name="TekstSylinder 1">
          <a:extLst>
            <a:ext uri="{FF2B5EF4-FFF2-40B4-BE49-F238E27FC236}">
              <a16:creationId xmlns:a16="http://schemas.microsoft.com/office/drawing/2014/main" id="{3FB03E94-1FB7-4094-8873-D08901621347}"/>
            </a:ext>
            <a:ext uri="{147F2762-F138-4A5C-976F-8EAC2B608ADB}">
              <a16:predDERef xmlns:a16="http://schemas.microsoft.com/office/drawing/2014/main" pred="{B7300375-38EA-44C3-9983-F638082750BF}"/>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0" name="TekstSylinder 1">
          <a:extLst>
            <a:ext uri="{FF2B5EF4-FFF2-40B4-BE49-F238E27FC236}">
              <a16:creationId xmlns:a16="http://schemas.microsoft.com/office/drawing/2014/main" id="{B6D66143-F26A-454A-8394-7A54ABF5CA48}"/>
            </a:ext>
            <a:ext uri="{147F2762-F138-4A5C-976F-8EAC2B608ADB}">
              <a16:predDERef xmlns:a16="http://schemas.microsoft.com/office/drawing/2014/main" pred="{3FB03E94-1FB7-4094-8873-D0890162134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1" name="TekstSylinder 1">
          <a:extLst>
            <a:ext uri="{FF2B5EF4-FFF2-40B4-BE49-F238E27FC236}">
              <a16:creationId xmlns:a16="http://schemas.microsoft.com/office/drawing/2014/main" id="{704974E7-6BB9-4448-82D0-B9AB9AA426D5}"/>
            </a:ext>
            <a:ext uri="{147F2762-F138-4A5C-976F-8EAC2B608ADB}">
              <a16:predDERef xmlns:a16="http://schemas.microsoft.com/office/drawing/2014/main" pred="{B6D66143-F26A-454A-8394-7A54ABF5CA4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2" name="TekstSylinder 1">
          <a:extLst>
            <a:ext uri="{FF2B5EF4-FFF2-40B4-BE49-F238E27FC236}">
              <a16:creationId xmlns:a16="http://schemas.microsoft.com/office/drawing/2014/main" id="{4FFCA48E-2741-4C15-AABC-A40C970497F2}"/>
            </a:ext>
            <a:ext uri="{147F2762-F138-4A5C-976F-8EAC2B608ADB}">
              <a16:predDERef xmlns:a16="http://schemas.microsoft.com/office/drawing/2014/main" pred="{704974E7-6BB9-4448-82D0-B9AB9AA426D5}"/>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3" name="TekstSylinder 1">
          <a:extLst>
            <a:ext uri="{FF2B5EF4-FFF2-40B4-BE49-F238E27FC236}">
              <a16:creationId xmlns:a16="http://schemas.microsoft.com/office/drawing/2014/main" id="{08DACEC7-52D0-45E1-984A-7DE74E12C474}"/>
            </a:ext>
            <a:ext uri="{147F2762-F138-4A5C-976F-8EAC2B608ADB}">
              <a16:predDERef xmlns:a16="http://schemas.microsoft.com/office/drawing/2014/main" pred="{4FFCA48E-2741-4C15-AABC-A40C970497F2}"/>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4" name="TekstSylinder 1">
          <a:extLst>
            <a:ext uri="{FF2B5EF4-FFF2-40B4-BE49-F238E27FC236}">
              <a16:creationId xmlns:a16="http://schemas.microsoft.com/office/drawing/2014/main" id="{040584F8-3A4A-4426-8189-2013C61A10C8}"/>
            </a:ext>
            <a:ext uri="{147F2762-F138-4A5C-976F-8EAC2B608ADB}">
              <a16:predDERef xmlns:a16="http://schemas.microsoft.com/office/drawing/2014/main" pred="{08DACEC7-52D0-45E1-984A-7DE74E12C474}"/>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5" name="TekstSylinder 1">
          <a:extLst>
            <a:ext uri="{FF2B5EF4-FFF2-40B4-BE49-F238E27FC236}">
              <a16:creationId xmlns:a16="http://schemas.microsoft.com/office/drawing/2014/main" id="{3CAF37B8-9D31-41A8-B751-4B48640201DD}"/>
            </a:ext>
            <a:ext uri="{147F2762-F138-4A5C-976F-8EAC2B608ADB}">
              <a16:predDERef xmlns:a16="http://schemas.microsoft.com/office/drawing/2014/main" pred="{040584F8-3A4A-4426-8189-2013C61A10C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6" name="TekstSylinder 1">
          <a:extLst>
            <a:ext uri="{FF2B5EF4-FFF2-40B4-BE49-F238E27FC236}">
              <a16:creationId xmlns:a16="http://schemas.microsoft.com/office/drawing/2014/main" id="{7BFA073E-6281-4BB4-B143-B5A90BB23069}"/>
            </a:ext>
            <a:ext uri="{147F2762-F138-4A5C-976F-8EAC2B608ADB}">
              <a16:predDERef xmlns:a16="http://schemas.microsoft.com/office/drawing/2014/main" pred="{3CAF37B8-9D31-41A8-B751-4B48640201DD}"/>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7" name="TekstSylinder 1">
          <a:extLst>
            <a:ext uri="{FF2B5EF4-FFF2-40B4-BE49-F238E27FC236}">
              <a16:creationId xmlns:a16="http://schemas.microsoft.com/office/drawing/2014/main" id="{BF20B23C-3FC5-47D7-A7AB-2F3F4D86805C}"/>
            </a:ext>
            <a:ext uri="{147F2762-F138-4A5C-976F-8EAC2B608ADB}">
              <a16:predDERef xmlns:a16="http://schemas.microsoft.com/office/drawing/2014/main" pred="{7BFA073E-6281-4BB4-B143-B5A90BB2306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8" name="TekstSylinder 1">
          <a:extLst>
            <a:ext uri="{FF2B5EF4-FFF2-40B4-BE49-F238E27FC236}">
              <a16:creationId xmlns:a16="http://schemas.microsoft.com/office/drawing/2014/main" id="{92543506-9622-44E2-97E0-7FBD3AD009AC}"/>
            </a:ext>
            <a:ext uri="{147F2762-F138-4A5C-976F-8EAC2B608ADB}">
              <a16:predDERef xmlns:a16="http://schemas.microsoft.com/office/drawing/2014/main" pred="{BF20B23C-3FC5-47D7-A7AB-2F3F4D86805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49" name="TekstSylinder 1">
          <a:extLst>
            <a:ext uri="{FF2B5EF4-FFF2-40B4-BE49-F238E27FC236}">
              <a16:creationId xmlns:a16="http://schemas.microsoft.com/office/drawing/2014/main" id="{373B2D33-9B19-453D-93C8-5762A919872E}"/>
            </a:ext>
            <a:ext uri="{147F2762-F138-4A5C-976F-8EAC2B608ADB}">
              <a16:predDERef xmlns:a16="http://schemas.microsoft.com/office/drawing/2014/main" pred="{92543506-9622-44E2-97E0-7FBD3AD009A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0" name="TekstSylinder 1">
          <a:extLst>
            <a:ext uri="{FF2B5EF4-FFF2-40B4-BE49-F238E27FC236}">
              <a16:creationId xmlns:a16="http://schemas.microsoft.com/office/drawing/2014/main" id="{83B1B575-1FAE-4ED7-9B71-57A923766BC9}"/>
            </a:ext>
            <a:ext uri="{147F2762-F138-4A5C-976F-8EAC2B608ADB}">
              <a16:predDERef xmlns:a16="http://schemas.microsoft.com/office/drawing/2014/main" pred="{373B2D33-9B19-453D-93C8-5762A919872E}"/>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1" name="TekstSylinder 1">
          <a:extLst>
            <a:ext uri="{FF2B5EF4-FFF2-40B4-BE49-F238E27FC236}">
              <a16:creationId xmlns:a16="http://schemas.microsoft.com/office/drawing/2014/main" id="{D5B742D1-9209-462D-B0DA-BCF4E06C77E4}"/>
            </a:ext>
            <a:ext uri="{147F2762-F138-4A5C-976F-8EAC2B608ADB}">
              <a16:predDERef xmlns:a16="http://schemas.microsoft.com/office/drawing/2014/main" pred="{83B1B575-1FAE-4ED7-9B71-57A923766BC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2" name="TekstSylinder 1">
          <a:extLst>
            <a:ext uri="{FF2B5EF4-FFF2-40B4-BE49-F238E27FC236}">
              <a16:creationId xmlns:a16="http://schemas.microsoft.com/office/drawing/2014/main" id="{7D381D08-F0DD-4E1E-A4F5-E840FA35C07D}"/>
            </a:ext>
            <a:ext uri="{147F2762-F138-4A5C-976F-8EAC2B608ADB}">
              <a16:predDERef xmlns:a16="http://schemas.microsoft.com/office/drawing/2014/main" pred="{D5B742D1-9209-462D-B0DA-BCF4E06C77E4}"/>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3" name="TekstSylinder 1">
          <a:extLst>
            <a:ext uri="{FF2B5EF4-FFF2-40B4-BE49-F238E27FC236}">
              <a16:creationId xmlns:a16="http://schemas.microsoft.com/office/drawing/2014/main" id="{E9D679F1-7718-400B-8809-C5B3BADC1A59}"/>
            </a:ext>
            <a:ext uri="{147F2762-F138-4A5C-976F-8EAC2B608ADB}">
              <a16:predDERef xmlns:a16="http://schemas.microsoft.com/office/drawing/2014/main" pred="{7D381D08-F0DD-4E1E-A4F5-E840FA35C07D}"/>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4" name="TekstSylinder 1">
          <a:extLst>
            <a:ext uri="{FF2B5EF4-FFF2-40B4-BE49-F238E27FC236}">
              <a16:creationId xmlns:a16="http://schemas.microsoft.com/office/drawing/2014/main" id="{6D306411-EA37-4042-A43D-49A2EEE283DE}"/>
            </a:ext>
            <a:ext uri="{147F2762-F138-4A5C-976F-8EAC2B608ADB}">
              <a16:predDERef xmlns:a16="http://schemas.microsoft.com/office/drawing/2014/main" pred="{E9D679F1-7718-400B-8809-C5B3BADC1A5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5" name="TekstSylinder 1">
          <a:extLst>
            <a:ext uri="{FF2B5EF4-FFF2-40B4-BE49-F238E27FC236}">
              <a16:creationId xmlns:a16="http://schemas.microsoft.com/office/drawing/2014/main" id="{6F389128-6CAE-445C-A279-BD3011820CB7}"/>
            </a:ext>
            <a:ext uri="{147F2762-F138-4A5C-976F-8EAC2B608ADB}">
              <a16:predDERef xmlns:a16="http://schemas.microsoft.com/office/drawing/2014/main" pred="{6D306411-EA37-4042-A43D-49A2EEE283DE}"/>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6" name="TekstSylinder 1">
          <a:extLst>
            <a:ext uri="{FF2B5EF4-FFF2-40B4-BE49-F238E27FC236}">
              <a16:creationId xmlns:a16="http://schemas.microsoft.com/office/drawing/2014/main" id="{7B4DE855-D8CE-4050-B0E3-2CFB2121A391}"/>
            </a:ext>
            <a:ext uri="{147F2762-F138-4A5C-976F-8EAC2B608ADB}">
              <a16:predDERef xmlns:a16="http://schemas.microsoft.com/office/drawing/2014/main" pred="{6F389128-6CAE-445C-A279-BD3011820CB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7" name="TekstSylinder 1">
          <a:extLst>
            <a:ext uri="{FF2B5EF4-FFF2-40B4-BE49-F238E27FC236}">
              <a16:creationId xmlns:a16="http://schemas.microsoft.com/office/drawing/2014/main" id="{BCF91F3B-A08F-44D9-8F06-8249543E9534}"/>
            </a:ext>
            <a:ext uri="{147F2762-F138-4A5C-976F-8EAC2B608ADB}">
              <a16:predDERef xmlns:a16="http://schemas.microsoft.com/office/drawing/2014/main" pred="{7B4DE855-D8CE-4050-B0E3-2CFB2121A39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8" name="TekstSylinder 1">
          <a:extLst>
            <a:ext uri="{FF2B5EF4-FFF2-40B4-BE49-F238E27FC236}">
              <a16:creationId xmlns:a16="http://schemas.microsoft.com/office/drawing/2014/main" id="{50F64D4E-9610-4DD5-9EF1-AFCC736C119F}"/>
            </a:ext>
            <a:ext uri="{147F2762-F138-4A5C-976F-8EAC2B608ADB}">
              <a16:predDERef xmlns:a16="http://schemas.microsoft.com/office/drawing/2014/main" pred="{BCF91F3B-A08F-44D9-8F06-8249543E9534}"/>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59" name="TekstSylinder 1">
          <a:extLst>
            <a:ext uri="{FF2B5EF4-FFF2-40B4-BE49-F238E27FC236}">
              <a16:creationId xmlns:a16="http://schemas.microsoft.com/office/drawing/2014/main" id="{EC525C11-6A7E-4C7F-A608-21C8FE5275F6}"/>
            </a:ext>
            <a:ext uri="{147F2762-F138-4A5C-976F-8EAC2B608ADB}">
              <a16:predDERef xmlns:a16="http://schemas.microsoft.com/office/drawing/2014/main" pred="{50F64D4E-9610-4DD5-9EF1-AFCC736C119F}"/>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0" name="TekstSylinder 1">
          <a:extLst>
            <a:ext uri="{FF2B5EF4-FFF2-40B4-BE49-F238E27FC236}">
              <a16:creationId xmlns:a16="http://schemas.microsoft.com/office/drawing/2014/main" id="{9867E7BE-1C48-4DB1-9BED-E96CC223A3E5}"/>
            </a:ext>
            <a:ext uri="{147F2762-F138-4A5C-976F-8EAC2B608ADB}">
              <a16:predDERef xmlns:a16="http://schemas.microsoft.com/office/drawing/2014/main" pred="{EC525C11-6A7E-4C7F-A608-21C8FE5275F6}"/>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1" name="TekstSylinder 1">
          <a:extLst>
            <a:ext uri="{FF2B5EF4-FFF2-40B4-BE49-F238E27FC236}">
              <a16:creationId xmlns:a16="http://schemas.microsoft.com/office/drawing/2014/main" id="{F2248B1C-15CA-4E74-B3C2-F808C352AF00}"/>
            </a:ext>
            <a:ext uri="{147F2762-F138-4A5C-976F-8EAC2B608ADB}">
              <a16:predDERef xmlns:a16="http://schemas.microsoft.com/office/drawing/2014/main" pred="{9867E7BE-1C48-4DB1-9BED-E96CC223A3E5}"/>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2" name="TekstSylinder 1">
          <a:extLst>
            <a:ext uri="{FF2B5EF4-FFF2-40B4-BE49-F238E27FC236}">
              <a16:creationId xmlns:a16="http://schemas.microsoft.com/office/drawing/2014/main" id="{2DE38F9B-769E-4997-9B9B-130706E3D3B7}"/>
            </a:ext>
            <a:ext uri="{147F2762-F138-4A5C-976F-8EAC2B608ADB}">
              <a16:predDERef xmlns:a16="http://schemas.microsoft.com/office/drawing/2014/main" pred="{F2248B1C-15CA-4E74-B3C2-F808C352AF0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3" name="TekstSylinder 1">
          <a:extLst>
            <a:ext uri="{FF2B5EF4-FFF2-40B4-BE49-F238E27FC236}">
              <a16:creationId xmlns:a16="http://schemas.microsoft.com/office/drawing/2014/main" id="{DEAE7EDA-EFEA-46DF-92C6-84FFD5458AEC}"/>
            </a:ext>
            <a:ext uri="{147F2762-F138-4A5C-976F-8EAC2B608ADB}">
              <a16:predDERef xmlns:a16="http://schemas.microsoft.com/office/drawing/2014/main" pred="{2DE38F9B-769E-4997-9B9B-130706E3D3B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4" name="TekstSylinder 1">
          <a:extLst>
            <a:ext uri="{FF2B5EF4-FFF2-40B4-BE49-F238E27FC236}">
              <a16:creationId xmlns:a16="http://schemas.microsoft.com/office/drawing/2014/main" id="{B0824BF4-FC4F-4020-8CC6-57F1609B2150}"/>
            </a:ext>
            <a:ext uri="{147F2762-F138-4A5C-976F-8EAC2B608ADB}">
              <a16:predDERef xmlns:a16="http://schemas.microsoft.com/office/drawing/2014/main" pred="{DEAE7EDA-EFEA-46DF-92C6-84FFD5458AE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5" name="TekstSylinder 1">
          <a:extLst>
            <a:ext uri="{FF2B5EF4-FFF2-40B4-BE49-F238E27FC236}">
              <a16:creationId xmlns:a16="http://schemas.microsoft.com/office/drawing/2014/main" id="{CCA4A3C4-C7A1-4762-B401-11FD54D23B4F}"/>
            </a:ext>
            <a:ext uri="{147F2762-F138-4A5C-976F-8EAC2B608ADB}">
              <a16:predDERef xmlns:a16="http://schemas.microsoft.com/office/drawing/2014/main" pred="{B0824BF4-FC4F-4020-8CC6-57F1609B215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6" name="TekstSylinder 1">
          <a:extLst>
            <a:ext uri="{FF2B5EF4-FFF2-40B4-BE49-F238E27FC236}">
              <a16:creationId xmlns:a16="http://schemas.microsoft.com/office/drawing/2014/main" id="{85AFD665-B90F-4735-B3A7-5A2D9CF94BE8}"/>
            </a:ext>
            <a:ext uri="{147F2762-F138-4A5C-976F-8EAC2B608ADB}">
              <a16:predDERef xmlns:a16="http://schemas.microsoft.com/office/drawing/2014/main" pred="{CCA4A3C4-C7A1-4762-B401-11FD54D23B4F}"/>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7" name="TekstSylinder 1">
          <a:extLst>
            <a:ext uri="{FF2B5EF4-FFF2-40B4-BE49-F238E27FC236}">
              <a16:creationId xmlns:a16="http://schemas.microsoft.com/office/drawing/2014/main" id="{54DF4D9E-7011-4C41-8B27-098E9A8C58CD}"/>
            </a:ext>
            <a:ext uri="{147F2762-F138-4A5C-976F-8EAC2B608ADB}">
              <a16:predDERef xmlns:a16="http://schemas.microsoft.com/office/drawing/2014/main" pred="{85AFD665-B90F-4735-B3A7-5A2D9CF94BE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8" name="TekstSylinder 1">
          <a:extLst>
            <a:ext uri="{FF2B5EF4-FFF2-40B4-BE49-F238E27FC236}">
              <a16:creationId xmlns:a16="http://schemas.microsoft.com/office/drawing/2014/main" id="{CCE992B1-146D-46ED-88EF-D9C90043A2B8}"/>
            </a:ext>
            <a:ext uri="{147F2762-F138-4A5C-976F-8EAC2B608ADB}">
              <a16:predDERef xmlns:a16="http://schemas.microsoft.com/office/drawing/2014/main" pred="{54DF4D9E-7011-4C41-8B27-098E9A8C58CD}"/>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69" name="TekstSylinder 1">
          <a:extLst>
            <a:ext uri="{FF2B5EF4-FFF2-40B4-BE49-F238E27FC236}">
              <a16:creationId xmlns:a16="http://schemas.microsoft.com/office/drawing/2014/main" id="{9713B6CA-2C5E-43CB-AB36-07BD22F11DD9}"/>
            </a:ext>
            <a:ext uri="{147F2762-F138-4A5C-976F-8EAC2B608ADB}">
              <a16:predDERef xmlns:a16="http://schemas.microsoft.com/office/drawing/2014/main" pred="{CCE992B1-146D-46ED-88EF-D9C90043A2B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0" name="TekstSylinder 1">
          <a:extLst>
            <a:ext uri="{FF2B5EF4-FFF2-40B4-BE49-F238E27FC236}">
              <a16:creationId xmlns:a16="http://schemas.microsoft.com/office/drawing/2014/main" id="{490F6186-A768-4214-A72B-4D7C080E3826}"/>
            </a:ext>
            <a:ext uri="{147F2762-F138-4A5C-976F-8EAC2B608ADB}">
              <a16:predDERef xmlns:a16="http://schemas.microsoft.com/office/drawing/2014/main" pred="{9713B6CA-2C5E-43CB-AB36-07BD22F11DD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1" name="TekstSylinder 1">
          <a:extLst>
            <a:ext uri="{FF2B5EF4-FFF2-40B4-BE49-F238E27FC236}">
              <a16:creationId xmlns:a16="http://schemas.microsoft.com/office/drawing/2014/main" id="{47604E6D-0384-41C4-86FE-2BEEAA8B790E}"/>
            </a:ext>
            <a:ext uri="{147F2762-F138-4A5C-976F-8EAC2B608ADB}">
              <a16:predDERef xmlns:a16="http://schemas.microsoft.com/office/drawing/2014/main" pred="{490F6186-A768-4214-A72B-4D7C080E3826}"/>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2" name="TekstSylinder 1">
          <a:extLst>
            <a:ext uri="{FF2B5EF4-FFF2-40B4-BE49-F238E27FC236}">
              <a16:creationId xmlns:a16="http://schemas.microsoft.com/office/drawing/2014/main" id="{6B8FAC9C-C86F-4053-B607-9C8D465161F0}"/>
            </a:ext>
            <a:ext uri="{147F2762-F138-4A5C-976F-8EAC2B608ADB}">
              <a16:predDERef xmlns:a16="http://schemas.microsoft.com/office/drawing/2014/main" pred="{47604E6D-0384-41C4-86FE-2BEEAA8B790E}"/>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3" name="TekstSylinder 1">
          <a:extLst>
            <a:ext uri="{FF2B5EF4-FFF2-40B4-BE49-F238E27FC236}">
              <a16:creationId xmlns:a16="http://schemas.microsoft.com/office/drawing/2014/main" id="{CD6645D7-E161-4675-BC50-284A290BCE9C}"/>
            </a:ext>
            <a:ext uri="{147F2762-F138-4A5C-976F-8EAC2B608ADB}">
              <a16:predDERef xmlns:a16="http://schemas.microsoft.com/office/drawing/2014/main" pred="{6B8FAC9C-C86F-4053-B607-9C8D465161F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4" name="TekstSylinder 1">
          <a:extLst>
            <a:ext uri="{FF2B5EF4-FFF2-40B4-BE49-F238E27FC236}">
              <a16:creationId xmlns:a16="http://schemas.microsoft.com/office/drawing/2014/main" id="{FEAB31B8-1E30-446B-8BE6-D0AE95F765FC}"/>
            </a:ext>
            <a:ext uri="{147F2762-F138-4A5C-976F-8EAC2B608ADB}">
              <a16:predDERef xmlns:a16="http://schemas.microsoft.com/office/drawing/2014/main" pred="{CD6645D7-E161-4675-BC50-284A290BCE9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5" name="TekstSylinder 1">
          <a:extLst>
            <a:ext uri="{FF2B5EF4-FFF2-40B4-BE49-F238E27FC236}">
              <a16:creationId xmlns:a16="http://schemas.microsoft.com/office/drawing/2014/main" id="{56ED2F8E-6F78-4518-B64A-462F7FFE7E67}"/>
            </a:ext>
            <a:ext uri="{147F2762-F138-4A5C-976F-8EAC2B608ADB}">
              <a16:predDERef xmlns:a16="http://schemas.microsoft.com/office/drawing/2014/main" pred="{FEAB31B8-1E30-446B-8BE6-D0AE95F765F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6" name="TekstSylinder 1">
          <a:extLst>
            <a:ext uri="{FF2B5EF4-FFF2-40B4-BE49-F238E27FC236}">
              <a16:creationId xmlns:a16="http://schemas.microsoft.com/office/drawing/2014/main" id="{7417A345-28FB-4B1A-8FD8-8B0F824618BB}"/>
            </a:ext>
            <a:ext uri="{147F2762-F138-4A5C-976F-8EAC2B608ADB}">
              <a16:predDERef xmlns:a16="http://schemas.microsoft.com/office/drawing/2014/main" pred="{56ED2F8E-6F78-4518-B64A-462F7FFE7E6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7" name="TekstSylinder 1">
          <a:extLst>
            <a:ext uri="{FF2B5EF4-FFF2-40B4-BE49-F238E27FC236}">
              <a16:creationId xmlns:a16="http://schemas.microsoft.com/office/drawing/2014/main" id="{6F644DDE-C4E7-4CE9-827B-84B32E6E8457}"/>
            </a:ext>
            <a:ext uri="{147F2762-F138-4A5C-976F-8EAC2B608ADB}">
              <a16:predDERef xmlns:a16="http://schemas.microsoft.com/office/drawing/2014/main" pred="{7417A345-28FB-4B1A-8FD8-8B0F824618B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8" name="TekstSylinder 1">
          <a:extLst>
            <a:ext uri="{FF2B5EF4-FFF2-40B4-BE49-F238E27FC236}">
              <a16:creationId xmlns:a16="http://schemas.microsoft.com/office/drawing/2014/main" id="{39844EF4-34BC-4082-927A-CB23194E2763}"/>
            </a:ext>
            <a:ext uri="{147F2762-F138-4A5C-976F-8EAC2B608ADB}">
              <a16:predDERef xmlns:a16="http://schemas.microsoft.com/office/drawing/2014/main" pred="{6F644DDE-C4E7-4CE9-827B-84B32E6E845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79" name="TekstSylinder 1">
          <a:extLst>
            <a:ext uri="{FF2B5EF4-FFF2-40B4-BE49-F238E27FC236}">
              <a16:creationId xmlns:a16="http://schemas.microsoft.com/office/drawing/2014/main" id="{AF7B8BA5-16DA-4571-959E-16FAE250DC90}"/>
            </a:ext>
            <a:ext uri="{147F2762-F138-4A5C-976F-8EAC2B608ADB}">
              <a16:predDERef xmlns:a16="http://schemas.microsoft.com/office/drawing/2014/main" pred="{39844EF4-34BC-4082-927A-CB23194E276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0" name="TekstSylinder 1">
          <a:extLst>
            <a:ext uri="{FF2B5EF4-FFF2-40B4-BE49-F238E27FC236}">
              <a16:creationId xmlns:a16="http://schemas.microsoft.com/office/drawing/2014/main" id="{2F1F79A4-EB95-4CEC-9592-360BD387D885}"/>
            </a:ext>
            <a:ext uri="{147F2762-F138-4A5C-976F-8EAC2B608ADB}">
              <a16:predDERef xmlns:a16="http://schemas.microsoft.com/office/drawing/2014/main" pred="{AF7B8BA5-16DA-4571-959E-16FAE250DC9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1" name="TekstSylinder 1">
          <a:extLst>
            <a:ext uri="{FF2B5EF4-FFF2-40B4-BE49-F238E27FC236}">
              <a16:creationId xmlns:a16="http://schemas.microsoft.com/office/drawing/2014/main" id="{430F3F97-6C2E-43B6-BA09-8659D2D7B315}"/>
            </a:ext>
            <a:ext uri="{147F2762-F138-4A5C-976F-8EAC2B608ADB}">
              <a16:predDERef xmlns:a16="http://schemas.microsoft.com/office/drawing/2014/main" pred="{2F1F79A4-EB95-4CEC-9592-360BD387D885}"/>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2" name="TekstSylinder 1">
          <a:extLst>
            <a:ext uri="{FF2B5EF4-FFF2-40B4-BE49-F238E27FC236}">
              <a16:creationId xmlns:a16="http://schemas.microsoft.com/office/drawing/2014/main" id="{F2355E05-FE9D-41FD-8612-B9792F0E3ABB}"/>
            </a:ext>
            <a:ext uri="{147F2762-F138-4A5C-976F-8EAC2B608ADB}">
              <a16:predDERef xmlns:a16="http://schemas.microsoft.com/office/drawing/2014/main" pred="{430F3F97-6C2E-43B6-BA09-8659D2D7B315}"/>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3" name="TekstSylinder 1">
          <a:extLst>
            <a:ext uri="{FF2B5EF4-FFF2-40B4-BE49-F238E27FC236}">
              <a16:creationId xmlns:a16="http://schemas.microsoft.com/office/drawing/2014/main" id="{9324EC65-E9DA-48E1-90A1-8FA95BC8B20A}"/>
            </a:ext>
            <a:ext uri="{147F2762-F138-4A5C-976F-8EAC2B608ADB}">
              <a16:predDERef xmlns:a16="http://schemas.microsoft.com/office/drawing/2014/main" pred="{F2355E05-FE9D-41FD-8612-B9792F0E3AB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4" name="TekstSylinder 1">
          <a:extLst>
            <a:ext uri="{FF2B5EF4-FFF2-40B4-BE49-F238E27FC236}">
              <a16:creationId xmlns:a16="http://schemas.microsoft.com/office/drawing/2014/main" id="{FEF5F927-86B1-42F4-ACAD-9D4DB1D75DEB}"/>
            </a:ext>
            <a:ext uri="{147F2762-F138-4A5C-976F-8EAC2B608ADB}">
              <a16:predDERef xmlns:a16="http://schemas.microsoft.com/office/drawing/2014/main" pred="{9324EC65-E9DA-48E1-90A1-8FA95BC8B20A}"/>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5" name="TekstSylinder 1">
          <a:extLst>
            <a:ext uri="{FF2B5EF4-FFF2-40B4-BE49-F238E27FC236}">
              <a16:creationId xmlns:a16="http://schemas.microsoft.com/office/drawing/2014/main" id="{C0619467-99B5-45AB-91CB-AD927D2A3CF0}"/>
            </a:ext>
            <a:ext uri="{147F2762-F138-4A5C-976F-8EAC2B608ADB}">
              <a16:predDERef xmlns:a16="http://schemas.microsoft.com/office/drawing/2014/main" pred="{FEF5F927-86B1-42F4-ACAD-9D4DB1D75DE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6" name="TekstSylinder 1">
          <a:extLst>
            <a:ext uri="{FF2B5EF4-FFF2-40B4-BE49-F238E27FC236}">
              <a16:creationId xmlns:a16="http://schemas.microsoft.com/office/drawing/2014/main" id="{89E200BD-B654-4A5C-AC53-4CE2F1B7DA03}"/>
            </a:ext>
            <a:ext uri="{147F2762-F138-4A5C-976F-8EAC2B608ADB}">
              <a16:predDERef xmlns:a16="http://schemas.microsoft.com/office/drawing/2014/main" pred="{C0619467-99B5-45AB-91CB-AD927D2A3CF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7" name="TekstSylinder 1">
          <a:extLst>
            <a:ext uri="{FF2B5EF4-FFF2-40B4-BE49-F238E27FC236}">
              <a16:creationId xmlns:a16="http://schemas.microsoft.com/office/drawing/2014/main" id="{94006BE5-3244-4EE0-A2E1-224BF3D4B671}"/>
            </a:ext>
            <a:ext uri="{147F2762-F138-4A5C-976F-8EAC2B608ADB}">
              <a16:predDERef xmlns:a16="http://schemas.microsoft.com/office/drawing/2014/main" pred="{89E200BD-B654-4A5C-AC53-4CE2F1B7DA0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8" name="TekstSylinder 1">
          <a:extLst>
            <a:ext uri="{FF2B5EF4-FFF2-40B4-BE49-F238E27FC236}">
              <a16:creationId xmlns:a16="http://schemas.microsoft.com/office/drawing/2014/main" id="{16296461-E971-431D-92B3-EBD7350B4131}"/>
            </a:ext>
            <a:ext uri="{147F2762-F138-4A5C-976F-8EAC2B608ADB}">
              <a16:predDERef xmlns:a16="http://schemas.microsoft.com/office/drawing/2014/main" pred="{94006BE5-3244-4EE0-A2E1-224BF3D4B67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89" name="TekstSylinder 1">
          <a:extLst>
            <a:ext uri="{FF2B5EF4-FFF2-40B4-BE49-F238E27FC236}">
              <a16:creationId xmlns:a16="http://schemas.microsoft.com/office/drawing/2014/main" id="{028005B0-196A-4C25-8B85-EAD85CB4FEF3}"/>
            </a:ext>
            <a:ext uri="{147F2762-F138-4A5C-976F-8EAC2B608ADB}">
              <a16:predDERef xmlns:a16="http://schemas.microsoft.com/office/drawing/2014/main" pred="{16296461-E971-431D-92B3-EBD7350B4131}"/>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0" name="TekstSylinder 1">
          <a:extLst>
            <a:ext uri="{FF2B5EF4-FFF2-40B4-BE49-F238E27FC236}">
              <a16:creationId xmlns:a16="http://schemas.microsoft.com/office/drawing/2014/main" id="{08A24386-CF80-470A-9C1F-1514E732284A}"/>
            </a:ext>
            <a:ext uri="{147F2762-F138-4A5C-976F-8EAC2B608ADB}">
              <a16:predDERef xmlns:a16="http://schemas.microsoft.com/office/drawing/2014/main" pred="{028005B0-196A-4C25-8B85-EAD85CB4FEF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1" name="TekstSylinder 1">
          <a:extLst>
            <a:ext uri="{FF2B5EF4-FFF2-40B4-BE49-F238E27FC236}">
              <a16:creationId xmlns:a16="http://schemas.microsoft.com/office/drawing/2014/main" id="{85901E2A-2BBA-4F51-ABE3-CF7F99ADB8F8}"/>
            </a:ext>
            <a:ext uri="{147F2762-F138-4A5C-976F-8EAC2B608ADB}">
              <a16:predDERef xmlns:a16="http://schemas.microsoft.com/office/drawing/2014/main" pred="{08A24386-CF80-470A-9C1F-1514E732284A}"/>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2" name="TekstSylinder 1">
          <a:extLst>
            <a:ext uri="{FF2B5EF4-FFF2-40B4-BE49-F238E27FC236}">
              <a16:creationId xmlns:a16="http://schemas.microsoft.com/office/drawing/2014/main" id="{C9D61064-FEF7-40C6-AD8A-D317933A20C8}"/>
            </a:ext>
            <a:ext uri="{147F2762-F138-4A5C-976F-8EAC2B608ADB}">
              <a16:predDERef xmlns:a16="http://schemas.microsoft.com/office/drawing/2014/main" pred="{85901E2A-2BBA-4F51-ABE3-CF7F99ADB8F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3" name="TekstSylinder 1">
          <a:extLst>
            <a:ext uri="{FF2B5EF4-FFF2-40B4-BE49-F238E27FC236}">
              <a16:creationId xmlns:a16="http://schemas.microsoft.com/office/drawing/2014/main" id="{14FBA148-EE00-4263-A244-3CE44F1CB148}"/>
            </a:ext>
            <a:ext uri="{147F2762-F138-4A5C-976F-8EAC2B608ADB}">
              <a16:predDERef xmlns:a16="http://schemas.microsoft.com/office/drawing/2014/main" pred="{C9D61064-FEF7-40C6-AD8A-D317933A20C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4" name="TekstSylinder 1">
          <a:extLst>
            <a:ext uri="{FF2B5EF4-FFF2-40B4-BE49-F238E27FC236}">
              <a16:creationId xmlns:a16="http://schemas.microsoft.com/office/drawing/2014/main" id="{6E84FC81-CC11-43BE-81C6-A3FE9CCF6748}"/>
            </a:ext>
            <a:ext uri="{147F2762-F138-4A5C-976F-8EAC2B608ADB}">
              <a16:predDERef xmlns:a16="http://schemas.microsoft.com/office/drawing/2014/main" pred="{14FBA148-EE00-4263-A244-3CE44F1CB14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5" name="TekstSylinder 1">
          <a:extLst>
            <a:ext uri="{FF2B5EF4-FFF2-40B4-BE49-F238E27FC236}">
              <a16:creationId xmlns:a16="http://schemas.microsoft.com/office/drawing/2014/main" id="{D2FEF73C-F31C-4FF4-9853-EB67670FD285}"/>
            </a:ext>
            <a:ext uri="{147F2762-F138-4A5C-976F-8EAC2B608ADB}">
              <a16:predDERef xmlns:a16="http://schemas.microsoft.com/office/drawing/2014/main" pred="{6E84FC81-CC11-43BE-81C6-A3FE9CCF674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6" name="TekstSylinder 1">
          <a:extLst>
            <a:ext uri="{FF2B5EF4-FFF2-40B4-BE49-F238E27FC236}">
              <a16:creationId xmlns:a16="http://schemas.microsoft.com/office/drawing/2014/main" id="{E7C8826C-68FF-45A3-8953-D48327BC4EF4}"/>
            </a:ext>
            <a:ext uri="{147F2762-F138-4A5C-976F-8EAC2B608ADB}">
              <a16:predDERef xmlns:a16="http://schemas.microsoft.com/office/drawing/2014/main" pred="{D2FEF73C-F31C-4FF4-9853-EB67670FD285}"/>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7" name="TekstSylinder 1">
          <a:extLst>
            <a:ext uri="{FF2B5EF4-FFF2-40B4-BE49-F238E27FC236}">
              <a16:creationId xmlns:a16="http://schemas.microsoft.com/office/drawing/2014/main" id="{6C956737-584E-438A-BBF0-3CD2750D7B29}"/>
            </a:ext>
            <a:ext uri="{147F2762-F138-4A5C-976F-8EAC2B608ADB}">
              <a16:predDERef xmlns:a16="http://schemas.microsoft.com/office/drawing/2014/main" pred="{E7C8826C-68FF-45A3-8953-D48327BC4EF4}"/>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8" name="TekstSylinder 1">
          <a:extLst>
            <a:ext uri="{FF2B5EF4-FFF2-40B4-BE49-F238E27FC236}">
              <a16:creationId xmlns:a16="http://schemas.microsoft.com/office/drawing/2014/main" id="{2702A94A-7A15-41EE-B213-BE1989E42593}"/>
            </a:ext>
            <a:ext uri="{147F2762-F138-4A5C-976F-8EAC2B608ADB}">
              <a16:predDERef xmlns:a16="http://schemas.microsoft.com/office/drawing/2014/main" pred="{6C956737-584E-438A-BBF0-3CD2750D7B29}"/>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499" name="TekstSylinder 1">
          <a:extLst>
            <a:ext uri="{FF2B5EF4-FFF2-40B4-BE49-F238E27FC236}">
              <a16:creationId xmlns:a16="http://schemas.microsoft.com/office/drawing/2014/main" id="{C2A3C015-D0EE-4625-B098-0EEBE92C7A50}"/>
            </a:ext>
            <a:ext uri="{147F2762-F138-4A5C-976F-8EAC2B608ADB}">
              <a16:predDERef xmlns:a16="http://schemas.microsoft.com/office/drawing/2014/main" pred="{2702A94A-7A15-41EE-B213-BE1989E4259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0" name="TekstSylinder 1">
          <a:extLst>
            <a:ext uri="{FF2B5EF4-FFF2-40B4-BE49-F238E27FC236}">
              <a16:creationId xmlns:a16="http://schemas.microsoft.com/office/drawing/2014/main" id="{654725F0-1855-4096-8F6D-B77D63E35B08}"/>
            </a:ext>
            <a:ext uri="{147F2762-F138-4A5C-976F-8EAC2B608ADB}">
              <a16:predDERef xmlns:a16="http://schemas.microsoft.com/office/drawing/2014/main" pred="{C2A3C015-D0EE-4625-B098-0EEBE92C7A50}"/>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1" name="TekstSylinder 1">
          <a:extLst>
            <a:ext uri="{FF2B5EF4-FFF2-40B4-BE49-F238E27FC236}">
              <a16:creationId xmlns:a16="http://schemas.microsoft.com/office/drawing/2014/main" id="{D64292DD-A6B6-40B7-828B-4F780A8BF577}"/>
            </a:ext>
            <a:ext uri="{147F2762-F138-4A5C-976F-8EAC2B608ADB}">
              <a16:predDERef xmlns:a16="http://schemas.microsoft.com/office/drawing/2014/main" pred="{654725F0-1855-4096-8F6D-B77D63E35B08}"/>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2" name="TekstSylinder 1">
          <a:extLst>
            <a:ext uri="{FF2B5EF4-FFF2-40B4-BE49-F238E27FC236}">
              <a16:creationId xmlns:a16="http://schemas.microsoft.com/office/drawing/2014/main" id="{7AEED489-037E-4C3E-A9BE-61920B5228F3}"/>
            </a:ext>
            <a:ext uri="{147F2762-F138-4A5C-976F-8EAC2B608ADB}">
              <a16:predDERef xmlns:a16="http://schemas.microsoft.com/office/drawing/2014/main" pred="{D64292DD-A6B6-40B7-828B-4F780A8BF57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3" name="TekstSylinder 1">
          <a:extLst>
            <a:ext uri="{FF2B5EF4-FFF2-40B4-BE49-F238E27FC236}">
              <a16:creationId xmlns:a16="http://schemas.microsoft.com/office/drawing/2014/main" id="{9CFA48DF-2442-41A4-91BC-5E3E928128D7}"/>
            </a:ext>
            <a:ext uri="{147F2762-F138-4A5C-976F-8EAC2B608ADB}">
              <a16:predDERef xmlns:a16="http://schemas.microsoft.com/office/drawing/2014/main" pred="{7AEED489-037E-4C3E-A9BE-61920B5228F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4" name="TekstSylinder 1">
          <a:extLst>
            <a:ext uri="{FF2B5EF4-FFF2-40B4-BE49-F238E27FC236}">
              <a16:creationId xmlns:a16="http://schemas.microsoft.com/office/drawing/2014/main" id="{526736DE-14CC-4DD4-8A16-0AB3508DC40B}"/>
            </a:ext>
            <a:ext uri="{147F2762-F138-4A5C-976F-8EAC2B608ADB}">
              <a16:predDERef xmlns:a16="http://schemas.microsoft.com/office/drawing/2014/main" pred="{9CFA48DF-2442-41A4-91BC-5E3E928128D7}"/>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5" name="TekstSylinder 1">
          <a:extLst>
            <a:ext uri="{FF2B5EF4-FFF2-40B4-BE49-F238E27FC236}">
              <a16:creationId xmlns:a16="http://schemas.microsoft.com/office/drawing/2014/main" id="{C25913D9-D419-4720-B3E4-96283A95ECFB}"/>
            </a:ext>
            <a:ext uri="{147F2762-F138-4A5C-976F-8EAC2B608ADB}">
              <a16:predDERef xmlns:a16="http://schemas.microsoft.com/office/drawing/2014/main" pred="{526736DE-14CC-4DD4-8A16-0AB3508DC40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6" name="TekstSylinder 1">
          <a:extLst>
            <a:ext uri="{FF2B5EF4-FFF2-40B4-BE49-F238E27FC236}">
              <a16:creationId xmlns:a16="http://schemas.microsoft.com/office/drawing/2014/main" id="{CCCB41F0-103C-4E12-BA86-B8D719D27E1B}"/>
            </a:ext>
            <a:ext uri="{147F2762-F138-4A5C-976F-8EAC2B608ADB}">
              <a16:predDERef xmlns:a16="http://schemas.microsoft.com/office/drawing/2014/main" pred="{C25913D9-D419-4720-B3E4-96283A95ECF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7" name="TekstSylinder 1">
          <a:extLst>
            <a:ext uri="{FF2B5EF4-FFF2-40B4-BE49-F238E27FC236}">
              <a16:creationId xmlns:a16="http://schemas.microsoft.com/office/drawing/2014/main" id="{3AF7AC60-5BFD-412F-BC23-A2BA5AF393C3}"/>
            </a:ext>
            <a:ext uri="{147F2762-F138-4A5C-976F-8EAC2B608ADB}">
              <a16:predDERef xmlns:a16="http://schemas.microsoft.com/office/drawing/2014/main" pred="{CCCB41F0-103C-4E12-BA86-B8D719D27E1B}"/>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8" name="TekstSylinder 1">
          <a:extLst>
            <a:ext uri="{FF2B5EF4-FFF2-40B4-BE49-F238E27FC236}">
              <a16:creationId xmlns:a16="http://schemas.microsoft.com/office/drawing/2014/main" id="{9D029943-8101-481A-BCCF-57EB067D6C63}"/>
            </a:ext>
            <a:ext uri="{147F2762-F138-4A5C-976F-8EAC2B608ADB}">
              <a16:predDERef xmlns:a16="http://schemas.microsoft.com/office/drawing/2014/main" pred="{3AF7AC60-5BFD-412F-BC23-A2BA5AF393C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09" name="TekstSylinder 1">
          <a:extLst>
            <a:ext uri="{FF2B5EF4-FFF2-40B4-BE49-F238E27FC236}">
              <a16:creationId xmlns:a16="http://schemas.microsoft.com/office/drawing/2014/main" id="{A74A84EE-3A29-4561-8C26-3FD781372B54}"/>
            </a:ext>
            <a:ext uri="{147F2762-F138-4A5C-976F-8EAC2B608ADB}">
              <a16:predDERef xmlns:a16="http://schemas.microsoft.com/office/drawing/2014/main" pred="{9D029943-8101-481A-BCCF-57EB067D6C63}"/>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10" name="TekstSylinder 1">
          <a:extLst>
            <a:ext uri="{FF2B5EF4-FFF2-40B4-BE49-F238E27FC236}">
              <a16:creationId xmlns:a16="http://schemas.microsoft.com/office/drawing/2014/main" id="{6EAD6F28-AF6F-4372-9113-F34B7480B01C}"/>
            </a:ext>
            <a:ext uri="{147F2762-F138-4A5C-976F-8EAC2B608ADB}">
              <a16:predDERef xmlns:a16="http://schemas.microsoft.com/office/drawing/2014/main" pred="{A74A84EE-3A29-4561-8C26-3FD781372B54}"/>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77</xdr:row>
      <xdr:rowOff>0</xdr:rowOff>
    </xdr:from>
    <xdr:ext cx="184731" cy="264560"/>
    <xdr:sp macro="" textlink="">
      <xdr:nvSpPr>
        <xdr:cNvPr id="511" name="TekstSylinder 1">
          <a:extLst>
            <a:ext uri="{FF2B5EF4-FFF2-40B4-BE49-F238E27FC236}">
              <a16:creationId xmlns:a16="http://schemas.microsoft.com/office/drawing/2014/main" id="{F755C008-0104-4163-B57B-E5F2ED464F20}"/>
            </a:ext>
            <a:ext uri="{147F2762-F138-4A5C-976F-8EAC2B608ADB}">
              <a16:predDERef xmlns:a16="http://schemas.microsoft.com/office/drawing/2014/main" pred="{6EAD6F28-AF6F-4372-9113-F34B7480B01C}"/>
            </a:ext>
          </a:extLst>
        </xdr:cNvPr>
        <xdr:cNvSpPr txBox="1"/>
      </xdr:nvSpPr>
      <xdr:spPr>
        <a:xfrm>
          <a:off x="5886450" y="804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2" name="TekstSylinder 117">
          <a:extLst>
            <a:ext uri="{FF2B5EF4-FFF2-40B4-BE49-F238E27FC236}">
              <a16:creationId xmlns:a16="http://schemas.microsoft.com/office/drawing/2014/main" id="{BFE4C86A-48CF-4C7E-BDF1-8276352AE154}"/>
            </a:ext>
            <a:ext uri="{147F2762-F138-4A5C-976F-8EAC2B608ADB}">
              <a16:predDERef xmlns:a16="http://schemas.microsoft.com/office/drawing/2014/main" pred="{F755C008-0104-4163-B57B-E5F2ED464F2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3" name="TekstSylinder 1">
          <a:extLst>
            <a:ext uri="{FF2B5EF4-FFF2-40B4-BE49-F238E27FC236}">
              <a16:creationId xmlns:a16="http://schemas.microsoft.com/office/drawing/2014/main" id="{001EBE6B-4147-4829-8591-7867E9B8083B}"/>
            </a:ext>
            <a:ext uri="{147F2762-F138-4A5C-976F-8EAC2B608ADB}">
              <a16:predDERef xmlns:a16="http://schemas.microsoft.com/office/drawing/2014/main" pred="{BFE4C86A-48CF-4C7E-BDF1-8276352AE154}"/>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4" name="TekstSylinder 1">
          <a:extLst>
            <a:ext uri="{FF2B5EF4-FFF2-40B4-BE49-F238E27FC236}">
              <a16:creationId xmlns:a16="http://schemas.microsoft.com/office/drawing/2014/main" id="{C2E91D6C-76D9-4F49-AF93-BC8318305012}"/>
            </a:ext>
            <a:ext uri="{147F2762-F138-4A5C-976F-8EAC2B608ADB}">
              <a16:predDERef xmlns:a16="http://schemas.microsoft.com/office/drawing/2014/main" pred="{001EBE6B-4147-4829-8591-7867E9B8083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5" name="TekstSylinder 1">
          <a:extLst>
            <a:ext uri="{FF2B5EF4-FFF2-40B4-BE49-F238E27FC236}">
              <a16:creationId xmlns:a16="http://schemas.microsoft.com/office/drawing/2014/main" id="{5499AE5A-54C1-42F4-B56E-9B65FCE12DD3}"/>
            </a:ext>
            <a:ext uri="{147F2762-F138-4A5C-976F-8EAC2B608ADB}">
              <a16:predDERef xmlns:a16="http://schemas.microsoft.com/office/drawing/2014/main" pred="{C2E91D6C-76D9-4F49-AF93-BC831830501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6" name="TekstSylinder 1">
          <a:extLst>
            <a:ext uri="{FF2B5EF4-FFF2-40B4-BE49-F238E27FC236}">
              <a16:creationId xmlns:a16="http://schemas.microsoft.com/office/drawing/2014/main" id="{E227C83A-C0C4-4317-A2A1-296DEBB7BF8C}"/>
            </a:ext>
            <a:ext uri="{147F2762-F138-4A5C-976F-8EAC2B608ADB}">
              <a16:predDERef xmlns:a16="http://schemas.microsoft.com/office/drawing/2014/main" pred="{5499AE5A-54C1-42F4-B56E-9B65FCE12DD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7" name="TekstSylinder 1">
          <a:extLst>
            <a:ext uri="{FF2B5EF4-FFF2-40B4-BE49-F238E27FC236}">
              <a16:creationId xmlns:a16="http://schemas.microsoft.com/office/drawing/2014/main" id="{54200D67-4460-450D-A76C-7E0F74017865}"/>
            </a:ext>
            <a:ext uri="{147F2762-F138-4A5C-976F-8EAC2B608ADB}">
              <a16:predDERef xmlns:a16="http://schemas.microsoft.com/office/drawing/2014/main" pred="{E227C83A-C0C4-4317-A2A1-296DEBB7BF8C}"/>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8" name="TekstSylinder 1">
          <a:extLst>
            <a:ext uri="{FF2B5EF4-FFF2-40B4-BE49-F238E27FC236}">
              <a16:creationId xmlns:a16="http://schemas.microsoft.com/office/drawing/2014/main" id="{DE980181-F8D6-48C8-861B-35F263BBD6AA}"/>
            </a:ext>
            <a:ext uri="{147F2762-F138-4A5C-976F-8EAC2B608ADB}">
              <a16:predDERef xmlns:a16="http://schemas.microsoft.com/office/drawing/2014/main" pred="{54200D67-4460-450D-A76C-7E0F7401786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19" name="TekstSylinder 1">
          <a:extLst>
            <a:ext uri="{FF2B5EF4-FFF2-40B4-BE49-F238E27FC236}">
              <a16:creationId xmlns:a16="http://schemas.microsoft.com/office/drawing/2014/main" id="{FBD3CFF3-DD1A-47FC-AAF7-26AEFA771DB1}"/>
            </a:ext>
            <a:ext uri="{147F2762-F138-4A5C-976F-8EAC2B608ADB}">
              <a16:predDERef xmlns:a16="http://schemas.microsoft.com/office/drawing/2014/main" pred="{DE980181-F8D6-48C8-861B-35F263BBD6A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0" name="TekstSylinder 1">
          <a:extLst>
            <a:ext uri="{FF2B5EF4-FFF2-40B4-BE49-F238E27FC236}">
              <a16:creationId xmlns:a16="http://schemas.microsoft.com/office/drawing/2014/main" id="{14349641-7094-42F9-AF1C-A3CBE0787B90}"/>
            </a:ext>
            <a:ext uri="{147F2762-F138-4A5C-976F-8EAC2B608ADB}">
              <a16:predDERef xmlns:a16="http://schemas.microsoft.com/office/drawing/2014/main" pred="{FBD3CFF3-DD1A-47FC-AAF7-26AEFA771DB1}"/>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1" name="TekstSylinder 1">
          <a:extLst>
            <a:ext uri="{FF2B5EF4-FFF2-40B4-BE49-F238E27FC236}">
              <a16:creationId xmlns:a16="http://schemas.microsoft.com/office/drawing/2014/main" id="{9F3012B8-DC6C-4DD2-93C3-F5920116DD22}"/>
            </a:ext>
            <a:ext uri="{147F2762-F138-4A5C-976F-8EAC2B608ADB}">
              <a16:predDERef xmlns:a16="http://schemas.microsoft.com/office/drawing/2014/main" pred="{14349641-7094-42F9-AF1C-A3CBE0787B9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2" name="TekstSylinder 1">
          <a:extLst>
            <a:ext uri="{FF2B5EF4-FFF2-40B4-BE49-F238E27FC236}">
              <a16:creationId xmlns:a16="http://schemas.microsoft.com/office/drawing/2014/main" id="{259AA543-C471-46BC-9146-B12A141903C4}"/>
            </a:ext>
            <a:ext uri="{147F2762-F138-4A5C-976F-8EAC2B608ADB}">
              <a16:predDERef xmlns:a16="http://schemas.microsoft.com/office/drawing/2014/main" pred="{9F3012B8-DC6C-4DD2-93C3-F5920116DD2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3" name="TekstSylinder 1">
          <a:extLst>
            <a:ext uri="{FF2B5EF4-FFF2-40B4-BE49-F238E27FC236}">
              <a16:creationId xmlns:a16="http://schemas.microsoft.com/office/drawing/2014/main" id="{1F3097B5-B3A4-4F54-BD47-76D5FF794EB6}"/>
            </a:ext>
            <a:ext uri="{147F2762-F138-4A5C-976F-8EAC2B608ADB}">
              <a16:predDERef xmlns:a16="http://schemas.microsoft.com/office/drawing/2014/main" pred="{259AA543-C471-46BC-9146-B12A141903C4}"/>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4" name="TekstSylinder 1">
          <a:extLst>
            <a:ext uri="{FF2B5EF4-FFF2-40B4-BE49-F238E27FC236}">
              <a16:creationId xmlns:a16="http://schemas.microsoft.com/office/drawing/2014/main" id="{0AB13135-8399-4A78-A46D-16B7B08EEF9E}"/>
            </a:ext>
            <a:ext uri="{147F2762-F138-4A5C-976F-8EAC2B608ADB}">
              <a16:predDERef xmlns:a16="http://schemas.microsoft.com/office/drawing/2014/main" pred="{1F3097B5-B3A4-4F54-BD47-76D5FF794EB6}"/>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5" name="TekstSylinder 1">
          <a:extLst>
            <a:ext uri="{FF2B5EF4-FFF2-40B4-BE49-F238E27FC236}">
              <a16:creationId xmlns:a16="http://schemas.microsoft.com/office/drawing/2014/main" id="{CCC99D00-3617-44A4-9E96-176E08C922DD}"/>
            </a:ext>
            <a:ext uri="{147F2762-F138-4A5C-976F-8EAC2B608ADB}">
              <a16:predDERef xmlns:a16="http://schemas.microsoft.com/office/drawing/2014/main" pred="{0AB13135-8399-4A78-A46D-16B7B08EEF9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6" name="TekstSylinder 1">
          <a:extLst>
            <a:ext uri="{FF2B5EF4-FFF2-40B4-BE49-F238E27FC236}">
              <a16:creationId xmlns:a16="http://schemas.microsoft.com/office/drawing/2014/main" id="{51B9A696-31F7-4882-B1D4-6D39CA6B2C47}"/>
            </a:ext>
            <a:ext uri="{147F2762-F138-4A5C-976F-8EAC2B608ADB}">
              <a16:predDERef xmlns:a16="http://schemas.microsoft.com/office/drawing/2014/main" pred="{CCC99D00-3617-44A4-9E96-176E08C922DD}"/>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7" name="TekstSylinder 1">
          <a:extLst>
            <a:ext uri="{FF2B5EF4-FFF2-40B4-BE49-F238E27FC236}">
              <a16:creationId xmlns:a16="http://schemas.microsoft.com/office/drawing/2014/main" id="{6EE97CB9-3C2E-402A-9AD0-CD868699B10A}"/>
            </a:ext>
            <a:ext uri="{147F2762-F138-4A5C-976F-8EAC2B608ADB}">
              <a16:predDERef xmlns:a16="http://schemas.microsoft.com/office/drawing/2014/main" pred="{51B9A696-31F7-4882-B1D4-6D39CA6B2C47}"/>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8" name="TekstSylinder 1">
          <a:extLst>
            <a:ext uri="{FF2B5EF4-FFF2-40B4-BE49-F238E27FC236}">
              <a16:creationId xmlns:a16="http://schemas.microsoft.com/office/drawing/2014/main" id="{A31521C2-2AB3-4E56-82C0-A2383281FE23}"/>
            </a:ext>
            <a:ext uri="{147F2762-F138-4A5C-976F-8EAC2B608ADB}">
              <a16:predDERef xmlns:a16="http://schemas.microsoft.com/office/drawing/2014/main" pred="{6EE97CB9-3C2E-402A-9AD0-CD868699B10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29" name="TekstSylinder 1">
          <a:extLst>
            <a:ext uri="{FF2B5EF4-FFF2-40B4-BE49-F238E27FC236}">
              <a16:creationId xmlns:a16="http://schemas.microsoft.com/office/drawing/2014/main" id="{63214A9C-96F0-4360-8790-89E9D38EA167}"/>
            </a:ext>
            <a:ext uri="{147F2762-F138-4A5C-976F-8EAC2B608ADB}">
              <a16:predDERef xmlns:a16="http://schemas.microsoft.com/office/drawing/2014/main" pred="{A31521C2-2AB3-4E56-82C0-A2383281FE2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0" name="TekstSylinder 1">
          <a:extLst>
            <a:ext uri="{FF2B5EF4-FFF2-40B4-BE49-F238E27FC236}">
              <a16:creationId xmlns:a16="http://schemas.microsoft.com/office/drawing/2014/main" id="{B9DE5D56-9B64-4A30-8FE2-09B58160D0BE}"/>
            </a:ext>
            <a:ext uri="{147F2762-F138-4A5C-976F-8EAC2B608ADB}">
              <a16:predDERef xmlns:a16="http://schemas.microsoft.com/office/drawing/2014/main" pred="{63214A9C-96F0-4360-8790-89E9D38EA167}"/>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1" name="TekstSylinder 1">
          <a:extLst>
            <a:ext uri="{FF2B5EF4-FFF2-40B4-BE49-F238E27FC236}">
              <a16:creationId xmlns:a16="http://schemas.microsoft.com/office/drawing/2014/main" id="{CC1B8F2F-C1A4-4E6D-98F9-E51C3EBD9841}"/>
            </a:ext>
            <a:ext uri="{147F2762-F138-4A5C-976F-8EAC2B608ADB}">
              <a16:predDERef xmlns:a16="http://schemas.microsoft.com/office/drawing/2014/main" pred="{B9DE5D56-9B64-4A30-8FE2-09B58160D0B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2" name="TekstSylinder 1">
          <a:extLst>
            <a:ext uri="{FF2B5EF4-FFF2-40B4-BE49-F238E27FC236}">
              <a16:creationId xmlns:a16="http://schemas.microsoft.com/office/drawing/2014/main" id="{63E5F44D-CEB7-4CBA-80F9-108B48E240D5}"/>
            </a:ext>
            <a:ext uri="{147F2762-F138-4A5C-976F-8EAC2B608ADB}">
              <a16:predDERef xmlns:a16="http://schemas.microsoft.com/office/drawing/2014/main" pred="{CC1B8F2F-C1A4-4E6D-98F9-E51C3EBD9841}"/>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3" name="TekstSylinder 1">
          <a:extLst>
            <a:ext uri="{FF2B5EF4-FFF2-40B4-BE49-F238E27FC236}">
              <a16:creationId xmlns:a16="http://schemas.microsoft.com/office/drawing/2014/main" id="{2D733771-F88D-4A6E-B334-832FCCF9CF15}"/>
            </a:ext>
            <a:ext uri="{147F2762-F138-4A5C-976F-8EAC2B608ADB}">
              <a16:predDERef xmlns:a16="http://schemas.microsoft.com/office/drawing/2014/main" pred="{63E5F44D-CEB7-4CBA-80F9-108B48E240D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4" name="TekstSylinder 1">
          <a:extLst>
            <a:ext uri="{FF2B5EF4-FFF2-40B4-BE49-F238E27FC236}">
              <a16:creationId xmlns:a16="http://schemas.microsoft.com/office/drawing/2014/main" id="{0B722AA1-DEDC-41A8-B24C-96CF8E0370F0}"/>
            </a:ext>
            <a:ext uri="{147F2762-F138-4A5C-976F-8EAC2B608ADB}">
              <a16:predDERef xmlns:a16="http://schemas.microsoft.com/office/drawing/2014/main" pred="{2D733771-F88D-4A6E-B334-832FCCF9CF1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5" name="TekstSylinder 1">
          <a:extLst>
            <a:ext uri="{FF2B5EF4-FFF2-40B4-BE49-F238E27FC236}">
              <a16:creationId xmlns:a16="http://schemas.microsoft.com/office/drawing/2014/main" id="{C99797AB-F0B6-4BE3-A8D3-D9D8F107FB2B}"/>
            </a:ext>
            <a:ext uri="{147F2762-F138-4A5C-976F-8EAC2B608ADB}">
              <a16:predDERef xmlns:a16="http://schemas.microsoft.com/office/drawing/2014/main" pred="{0B722AA1-DEDC-41A8-B24C-96CF8E0370F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6" name="TekstSylinder 1">
          <a:extLst>
            <a:ext uri="{FF2B5EF4-FFF2-40B4-BE49-F238E27FC236}">
              <a16:creationId xmlns:a16="http://schemas.microsoft.com/office/drawing/2014/main" id="{171C225F-BA54-4DA8-B796-94B581DDA883}"/>
            </a:ext>
            <a:ext uri="{147F2762-F138-4A5C-976F-8EAC2B608ADB}">
              <a16:predDERef xmlns:a16="http://schemas.microsoft.com/office/drawing/2014/main" pred="{C99797AB-F0B6-4BE3-A8D3-D9D8F107FB2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7" name="TekstSylinder 1">
          <a:extLst>
            <a:ext uri="{FF2B5EF4-FFF2-40B4-BE49-F238E27FC236}">
              <a16:creationId xmlns:a16="http://schemas.microsoft.com/office/drawing/2014/main" id="{0EC675B0-F22D-4E72-A934-A46637C46B74}"/>
            </a:ext>
            <a:ext uri="{147F2762-F138-4A5C-976F-8EAC2B608ADB}">
              <a16:predDERef xmlns:a16="http://schemas.microsoft.com/office/drawing/2014/main" pred="{171C225F-BA54-4DA8-B796-94B581DDA88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8" name="TekstSylinder 1">
          <a:extLst>
            <a:ext uri="{FF2B5EF4-FFF2-40B4-BE49-F238E27FC236}">
              <a16:creationId xmlns:a16="http://schemas.microsoft.com/office/drawing/2014/main" id="{0F1E161E-B7E7-4B34-A903-B914733E240F}"/>
            </a:ext>
            <a:ext uri="{147F2762-F138-4A5C-976F-8EAC2B608ADB}">
              <a16:predDERef xmlns:a16="http://schemas.microsoft.com/office/drawing/2014/main" pred="{0EC675B0-F22D-4E72-A934-A46637C46B74}"/>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39" name="TekstSylinder 1">
          <a:extLst>
            <a:ext uri="{FF2B5EF4-FFF2-40B4-BE49-F238E27FC236}">
              <a16:creationId xmlns:a16="http://schemas.microsoft.com/office/drawing/2014/main" id="{10175EED-D64B-4E72-BED0-7CBC6B3D427B}"/>
            </a:ext>
            <a:ext uri="{147F2762-F138-4A5C-976F-8EAC2B608ADB}">
              <a16:predDERef xmlns:a16="http://schemas.microsoft.com/office/drawing/2014/main" pred="{0F1E161E-B7E7-4B34-A903-B914733E240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0" name="TekstSylinder 1">
          <a:extLst>
            <a:ext uri="{FF2B5EF4-FFF2-40B4-BE49-F238E27FC236}">
              <a16:creationId xmlns:a16="http://schemas.microsoft.com/office/drawing/2014/main" id="{AB4743CD-E9DF-458E-9969-5F18647F4717}"/>
            </a:ext>
            <a:ext uri="{147F2762-F138-4A5C-976F-8EAC2B608ADB}">
              <a16:predDERef xmlns:a16="http://schemas.microsoft.com/office/drawing/2014/main" pred="{10175EED-D64B-4E72-BED0-7CBC6B3D427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1" name="TekstSylinder 1">
          <a:extLst>
            <a:ext uri="{FF2B5EF4-FFF2-40B4-BE49-F238E27FC236}">
              <a16:creationId xmlns:a16="http://schemas.microsoft.com/office/drawing/2014/main" id="{4EF40170-B5B8-4D50-999E-2C25346781B5}"/>
            </a:ext>
            <a:ext uri="{147F2762-F138-4A5C-976F-8EAC2B608ADB}">
              <a16:predDERef xmlns:a16="http://schemas.microsoft.com/office/drawing/2014/main" pred="{AB4743CD-E9DF-458E-9969-5F18647F4717}"/>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2" name="TekstSylinder 1">
          <a:extLst>
            <a:ext uri="{FF2B5EF4-FFF2-40B4-BE49-F238E27FC236}">
              <a16:creationId xmlns:a16="http://schemas.microsoft.com/office/drawing/2014/main" id="{8D19A8D3-38BF-435A-8D14-DCA215184AE2}"/>
            </a:ext>
            <a:ext uri="{147F2762-F138-4A5C-976F-8EAC2B608ADB}">
              <a16:predDERef xmlns:a16="http://schemas.microsoft.com/office/drawing/2014/main" pred="{4EF40170-B5B8-4D50-999E-2C25346781B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3" name="TekstSylinder 1">
          <a:extLst>
            <a:ext uri="{FF2B5EF4-FFF2-40B4-BE49-F238E27FC236}">
              <a16:creationId xmlns:a16="http://schemas.microsoft.com/office/drawing/2014/main" id="{73A2BEC4-3762-4610-B96D-0EDE3310B27A}"/>
            </a:ext>
            <a:ext uri="{147F2762-F138-4A5C-976F-8EAC2B608ADB}">
              <a16:predDERef xmlns:a16="http://schemas.microsoft.com/office/drawing/2014/main" pred="{8D19A8D3-38BF-435A-8D14-DCA215184AE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4" name="TekstSylinder 1">
          <a:extLst>
            <a:ext uri="{FF2B5EF4-FFF2-40B4-BE49-F238E27FC236}">
              <a16:creationId xmlns:a16="http://schemas.microsoft.com/office/drawing/2014/main" id="{A7A25783-428E-4D3A-97A1-C28A97C0F223}"/>
            </a:ext>
            <a:ext uri="{147F2762-F138-4A5C-976F-8EAC2B608ADB}">
              <a16:predDERef xmlns:a16="http://schemas.microsoft.com/office/drawing/2014/main" pred="{73A2BEC4-3762-4610-B96D-0EDE3310B27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5" name="TekstSylinder 1">
          <a:extLst>
            <a:ext uri="{FF2B5EF4-FFF2-40B4-BE49-F238E27FC236}">
              <a16:creationId xmlns:a16="http://schemas.microsoft.com/office/drawing/2014/main" id="{D0E1D851-90C2-45A8-ADD0-B7D2CB42BF2F}"/>
            </a:ext>
            <a:ext uri="{147F2762-F138-4A5C-976F-8EAC2B608ADB}">
              <a16:predDERef xmlns:a16="http://schemas.microsoft.com/office/drawing/2014/main" pred="{A7A25783-428E-4D3A-97A1-C28A97C0F22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6" name="TekstSylinder 1">
          <a:extLst>
            <a:ext uri="{FF2B5EF4-FFF2-40B4-BE49-F238E27FC236}">
              <a16:creationId xmlns:a16="http://schemas.microsoft.com/office/drawing/2014/main" id="{70742147-469A-48E6-89E8-9A558145CC74}"/>
            </a:ext>
            <a:ext uri="{147F2762-F138-4A5C-976F-8EAC2B608ADB}">
              <a16:predDERef xmlns:a16="http://schemas.microsoft.com/office/drawing/2014/main" pred="{D0E1D851-90C2-45A8-ADD0-B7D2CB42BF2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7" name="TekstSylinder 1">
          <a:extLst>
            <a:ext uri="{FF2B5EF4-FFF2-40B4-BE49-F238E27FC236}">
              <a16:creationId xmlns:a16="http://schemas.microsoft.com/office/drawing/2014/main" id="{F8D48E86-EE2E-4332-99DA-E77FC81AA88B}"/>
            </a:ext>
            <a:ext uri="{147F2762-F138-4A5C-976F-8EAC2B608ADB}">
              <a16:predDERef xmlns:a16="http://schemas.microsoft.com/office/drawing/2014/main" pred="{70742147-469A-48E6-89E8-9A558145CC74}"/>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8" name="TekstSylinder 1">
          <a:extLst>
            <a:ext uri="{FF2B5EF4-FFF2-40B4-BE49-F238E27FC236}">
              <a16:creationId xmlns:a16="http://schemas.microsoft.com/office/drawing/2014/main" id="{EF07A1CD-03AF-47BD-ABA5-4DEDCB9CEE6E}"/>
            </a:ext>
            <a:ext uri="{147F2762-F138-4A5C-976F-8EAC2B608ADB}">
              <a16:predDERef xmlns:a16="http://schemas.microsoft.com/office/drawing/2014/main" pred="{F8D48E86-EE2E-4332-99DA-E77FC81AA88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49" name="TekstSylinder 1">
          <a:extLst>
            <a:ext uri="{FF2B5EF4-FFF2-40B4-BE49-F238E27FC236}">
              <a16:creationId xmlns:a16="http://schemas.microsoft.com/office/drawing/2014/main" id="{6144C330-4A36-428C-B84A-5FAE85A652BC}"/>
            </a:ext>
            <a:ext uri="{147F2762-F138-4A5C-976F-8EAC2B608ADB}">
              <a16:predDERef xmlns:a16="http://schemas.microsoft.com/office/drawing/2014/main" pred="{EF07A1CD-03AF-47BD-ABA5-4DEDCB9CEE6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0" name="TekstSylinder 1">
          <a:extLst>
            <a:ext uri="{FF2B5EF4-FFF2-40B4-BE49-F238E27FC236}">
              <a16:creationId xmlns:a16="http://schemas.microsoft.com/office/drawing/2014/main" id="{40AE78F5-29AE-417A-8F3A-10568CA0DEEC}"/>
            </a:ext>
            <a:ext uri="{147F2762-F138-4A5C-976F-8EAC2B608ADB}">
              <a16:predDERef xmlns:a16="http://schemas.microsoft.com/office/drawing/2014/main" pred="{6144C330-4A36-428C-B84A-5FAE85A652BC}"/>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1" name="TekstSylinder 1">
          <a:extLst>
            <a:ext uri="{FF2B5EF4-FFF2-40B4-BE49-F238E27FC236}">
              <a16:creationId xmlns:a16="http://schemas.microsoft.com/office/drawing/2014/main" id="{9BA920AC-EF52-43EC-A33F-E3DE30CDCB45}"/>
            </a:ext>
            <a:ext uri="{147F2762-F138-4A5C-976F-8EAC2B608ADB}">
              <a16:predDERef xmlns:a16="http://schemas.microsoft.com/office/drawing/2014/main" pred="{40AE78F5-29AE-417A-8F3A-10568CA0DEEC}"/>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2" name="TekstSylinder 1">
          <a:extLst>
            <a:ext uri="{FF2B5EF4-FFF2-40B4-BE49-F238E27FC236}">
              <a16:creationId xmlns:a16="http://schemas.microsoft.com/office/drawing/2014/main" id="{5EE0775F-1E07-44D4-91C1-A545CF432032}"/>
            </a:ext>
            <a:ext uri="{147F2762-F138-4A5C-976F-8EAC2B608ADB}">
              <a16:predDERef xmlns:a16="http://schemas.microsoft.com/office/drawing/2014/main" pred="{9BA920AC-EF52-43EC-A33F-E3DE30CDCB4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3" name="TekstSylinder 1">
          <a:extLst>
            <a:ext uri="{FF2B5EF4-FFF2-40B4-BE49-F238E27FC236}">
              <a16:creationId xmlns:a16="http://schemas.microsoft.com/office/drawing/2014/main" id="{9EA6A193-5E66-48BD-BE51-5216DF2773C4}"/>
            </a:ext>
            <a:ext uri="{147F2762-F138-4A5C-976F-8EAC2B608ADB}">
              <a16:predDERef xmlns:a16="http://schemas.microsoft.com/office/drawing/2014/main" pred="{5EE0775F-1E07-44D4-91C1-A545CF43203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4" name="TekstSylinder 1">
          <a:extLst>
            <a:ext uri="{FF2B5EF4-FFF2-40B4-BE49-F238E27FC236}">
              <a16:creationId xmlns:a16="http://schemas.microsoft.com/office/drawing/2014/main" id="{F6698A12-D656-4741-A770-4D334A4212CF}"/>
            </a:ext>
            <a:ext uri="{147F2762-F138-4A5C-976F-8EAC2B608ADB}">
              <a16:predDERef xmlns:a16="http://schemas.microsoft.com/office/drawing/2014/main" pred="{9EA6A193-5E66-48BD-BE51-5216DF2773C4}"/>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5" name="TekstSylinder 1">
          <a:extLst>
            <a:ext uri="{FF2B5EF4-FFF2-40B4-BE49-F238E27FC236}">
              <a16:creationId xmlns:a16="http://schemas.microsoft.com/office/drawing/2014/main" id="{AA4F9020-1193-44B2-8C96-8984594E7EE0}"/>
            </a:ext>
            <a:ext uri="{147F2762-F138-4A5C-976F-8EAC2B608ADB}">
              <a16:predDERef xmlns:a16="http://schemas.microsoft.com/office/drawing/2014/main" pred="{F6698A12-D656-4741-A770-4D334A4212C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6" name="TekstSylinder 1">
          <a:extLst>
            <a:ext uri="{FF2B5EF4-FFF2-40B4-BE49-F238E27FC236}">
              <a16:creationId xmlns:a16="http://schemas.microsoft.com/office/drawing/2014/main" id="{40FBC1CF-8C63-4F29-86CD-9806A73ADCB7}"/>
            </a:ext>
            <a:ext uri="{147F2762-F138-4A5C-976F-8EAC2B608ADB}">
              <a16:predDERef xmlns:a16="http://schemas.microsoft.com/office/drawing/2014/main" pred="{AA4F9020-1193-44B2-8C96-8984594E7EE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7" name="TekstSylinder 1">
          <a:extLst>
            <a:ext uri="{FF2B5EF4-FFF2-40B4-BE49-F238E27FC236}">
              <a16:creationId xmlns:a16="http://schemas.microsoft.com/office/drawing/2014/main" id="{AB067A22-58C9-449C-A13F-A78A7283C96C}"/>
            </a:ext>
            <a:ext uri="{147F2762-F138-4A5C-976F-8EAC2B608ADB}">
              <a16:predDERef xmlns:a16="http://schemas.microsoft.com/office/drawing/2014/main" pred="{40FBC1CF-8C63-4F29-86CD-9806A73ADCB7}"/>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8" name="TekstSylinder 1">
          <a:extLst>
            <a:ext uri="{FF2B5EF4-FFF2-40B4-BE49-F238E27FC236}">
              <a16:creationId xmlns:a16="http://schemas.microsoft.com/office/drawing/2014/main" id="{23E3AF1E-AA86-46EA-883A-FB5385C81BA5}"/>
            </a:ext>
            <a:ext uri="{147F2762-F138-4A5C-976F-8EAC2B608ADB}">
              <a16:predDERef xmlns:a16="http://schemas.microsoft.com/office/drawing/2014/main" pred="{AB067A22-58C9-449C-A13F-A78A7283C96C}"/>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59" name="TekstSylinder 1">
          <a:extLst>
            <a:ext uri="{FF2B5EF4-FFF2-40B4-BE49-F238E27FC236}">
              <a16:creationId xmlns:a16="http://schemas.microsoft.com/office/drawing/2014/main" id="{9A15840B-0612-41D5-A087-FF3859CB6966}"/>
            </a:ext>
            <a:ext uri="{147F2762-F138-4A5C-976F-8EAC2B608ADB}">
              <a16:predDERef xmlns:a16="http://schemas.microsoft.com/office/drawing/2014/main" pred="{23E3AF1E-AA86-46EA-883A-FB5385C81BA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0" name="TekstSylinder 1">
          <a:extLst>
            <a:ext uri="{FF2B5EF4-FFF2-40B4-BE49-F238E27FC236}">
              <a16:creationId xmlns:a16="http://schemas.microsoft.com/office/drawing/2014/main" id="{0F6CA14B-0D83-4FD0-83DA-3BAF20D79522}"/>
            </a:ext>
            <a:ext uri="{147F2762-F138-4A5C-976F-8EAC2B608ADB}">
              <a16:predDERef xmlns:a16="http://schemas.microsoft.com/office/drawing/2014/main" pred="{9A15840B-0612-41D5-A087-FF3859CB6966}"/>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1" name="TekstSylinder 1">
          <a:extLst>
            <a:ext uri="{FF2B5EF4-FFF2-40B4-BE49-F238E27FC236}">
              <a16:creationId xmlns:a16="http://schemas.microsoft.com/office/drawing/2014/main" id="{4A854A8D-453D-416F-B139-45776F7B3AF9}"/>
            </a:ext>
            <a:ext uri="{147F2762-F138-4A5C-976F-8EAC2B608ADB}">
              <a16:predDERef xmlns:a16="http://schemas.microsoft.com/office/drawing/2014/main" pred="{0F6CA14B-0D83-4FD0-83DA-3BAF20D7952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2" name="TekstSylinder 1">
          <a:extLst>
            <a:ext uri="{FF2B5EF4-FFF2-40B4-BE49-F238E27FC236}">
              <a16:creationId xmlns:a16="http://schemas.microsoft.com/office/drawing/2014/main" id="{9DF532F7-AA61-461F-94A2-D9D7B81E1805}"/>
            </a:ext>
            <a:ext uri="{147F2762-F138-4A5C-976F-8EAC2B608ADB}">
              <a16:predDERef xmlns:a16="http://schemas.microsoft.com/office/drawing/2014/main" pred="{4A854A8D-453D-416F-B139-45776F7B3AF9}"/>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3" name="TekstSylinder 1">
          <a:extLst>
            <a:ext uri="{FF2B5EF4-FFF2-40B4-BE49-F238E27FC236}">
              <a16:creationId xmlns:a16="http://schemas.microsoft.com/office/drawing/2014/main" id="{A52A31EA-7DD3-47EF-B80A-AFE7BBD2DE9A}"/>
            </a:ext>
            <a:ext uri="{147F2762-F138-4A5C-976F-8EAC2B608ADB}">
              <a16:predDERef xmlns:a16="http://schemas.microsoft.com/office/drawing/2014/main" pred="{9DF532F7-AA61-461F-94A2-D9D7B81E1805}"/>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4" name="TekstSylinder 1">
          <a:extLst>
            <a:ext uri="{FF2B5EF4-FFF2-40B4-BE49-F238E27FC236}">
              <a16:creationId xmlns:a16="http://schemas.microsoft.com/office/drawing/2014/main" id="{F52D100C-293C-40FF-B800-D391245593C2}"/>
            </a:ext>
            <a:ext uri="{147F2762-F138-4A5C-976F-8EAC2B608ADB}">
              <a16:predDERef xmlns:a16="http://schemas.microsoft.com/office/drawing/2014/main" pred="{A52A31EA-7DD3-47EF-B80A-AFE7BBD2DE9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5" name="TekstSylinder 1">
          <a:extLst>
            <a:ext uri="{FF2B5EF4-FFF2-40B4-BE49-F238E27FC236}">
              <a16:creationId xmlns:a16="http://schemas.microsoft.com/office/drawing/2014/main" id="{0A48BE87-6C00-4AA5-BCB8-74C19CA4A8E9}"/>
            </a:ext>
            <a:ext uri="{147F2762-F138-4A5C-976F-8EAC2B608ADB}">
              <a16:predDERef xmlns:a16="http://schemas.microsoft.com/office/drawing/2014/main" pred="{F52D100C-293C-40FF-B800-D391245593C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6" name="TekstSylinder 1">
          <a:extLst>
            <a:ext uri="{FF2B5EF4-FFF2-40B4-BE49-F238E27FC236}">
              <a16:creationId xmlns:a16="http://schemas.microsoft.com/office/drawing/2014/main" id="{053F1FC4-2CBD-4960-993C-B17B3AB123D2}"/>
            </a:ext>
            <a:ext uri="{147F2762-F138-4A5C-976F-8EAC2B608ADB}">
              <a16:predDERef xmlns:a16="http://schemas.microsoft.com/office/drawing/2014/main" pred="{0A48BE87-6C00-4AA5-BCB8-74C19CA4A8E9}"/>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7" name="TekstSylinder 1">
          <a:extLst>
            <a:ext uri="{FF2B5EF4-FFF2-40B4-BE49-F238E27FC236}">
              <a16:creationId xmlns:a16="http://schemas.microsoft.com/office/drawing/2014/main" id="{D48534F6-57A0-4447-AFEB-34C2F4475C6E}"/>
            </a:ext>
            <a:ext uri="{147F2762-F138-4A5C-976F-8EAC2B608ADB}">
              <a16:predDERef xmlns:a16="http://schemas.microsoft.com/office/drawing/2014/main" pred="{053F1FC4-2CBD-4960-993C-B17B3AB123D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8" name="TekstSylinder 1">
          <a:extLst>
            <a:ext uri="{FF2B5EF4-FFF2-40B4-BE49-F238E27FC236}">
              <a16:creationId xmlns:a16="http://schemas.microsoft.com/office/drawing/2014/main" id="{64AD6949-3743-4090-9C38-D115DD800FAD}"/>
            </a:ext>
            <a:ext uri="{147F2762-F138-4A5C-976F-8EAC2B608ADB}">
              <a16:predDERef xmlns:a16="http://schemas.microsoft.com/office/drawing/2014/main" pred="{D48534F6-57A0-4447-AFEB-34C2F4475C6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69" name="TekstSylinder 1">
          <a:extLst>
            <a:ext uri="{FF2B5EF4-FFF2-40B4-BE49-F238E27FC236}">
              <a16:creationId xmlns:a16="http://schemas.microsoft.com/office/drawing/2014/main" id="{F730B932-19A3-4B08-8EBE-66ED07ED36FD}"/>
            </a:ext>
            <a:ext uri="{147F2762-F138-4A5C-976F-8EAC2B608ADB}">
              <a16:predDERef xmlns:a16="http://schemas.microsoft.com/office/drawing/2014/main" pred="{64AD6949-3743-4090-9C38-D115DD800FAD}"/>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0" name="TekstSylinder 1">
          <a:extLst>
            <a:ext uri="{FF2B5EF4-FFF2-40B4-BE49-F238E27FC236}">
              <a16:creationId xmlns:a16="http://schemas.microsoft.com/office/drawing/2014/main" id="{B37E0647-020F-4034-BF0D-C2F09E18508A}"/>
            </a:ext>
            <a:ext uri="{147F2762-F138-4A5C-976F-8EAC2B608ADB}">
              <a16:predDERef xmlns:a16="http://schemas.microsoft.com/office/drawing/2014/main" pred="{F730B932-19A3-4B08-8EBE-66ED07ED36FD}"/>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1" name="TekstSylinder 1">
          <a:extLst>
            <a:ext uri="{FF2B5EF4-FFF2-40B4-BE49-F238E27FC236}">
              <a16:creationId xmlns:a16="http://schemas.microsoft.com/office/drawing/2014/main" id="{62D72605-B4FC-456A-B26B-A0955F18E1C9}"/>
            </a:ext>
            <a:ext uri="{147F2762-F138-4A5C-976F-8EAC2B608ADB}">
              <a16:predDERef xmlns:a16="http://schemas.microsoft.com/office/drawing/2014/main" pred="{B37E0647-020F-4034-BF0D-C2F09E18508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2" name="TekstSylinder 1">
          <a:extLst>
            <a:ext uri="{FF2B5EF4-FFF2-40B4-BE49-F238E27FC236}">
              <a16:creationId xmlns:a16="http://schemas.microsoft.com/office/drawing/2014/main" id="{3C9FB160-E8E5-4A17-B713-F3B413CB18FF}"/>
            </a:ext>
            <a:ext uri="{147F2762-F138-4A5C-976F-8EAC2B608ADB}">
              <a16:predDERef xmlns:a16="http://schemas.microsoft.com/office/drawing/2014/main" pred="{62D72605-B4FC-456A-B26B-A0955F18E1C9}"/>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3" name="TekstSylinder 1">
          <a:extLst>
            <a:ext uri="{FF2B5EF4-FFF2-40B4-BE49-F238E27FC236}">
              <a16:creationId xmlns:a16="http://schemas.microsoft.com/office/drawing/2014/main" id="{E10E2FC2-FFA0-4231-A7B5-97E6F0F2A2DA}"/>
            </a:ext>
            <a:ext uri="{147F2762-F138-4A5C-976F-8EAC2B608ADB}">
              <a16:predDERef xmlns:a16="http://schemas.microsoft.com/office/drawing/2014/main" pred="{3C9FB160-E8E5-4A17-B713-F3B413CB18F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4" name="TekstSylinder 1">
          <a:extLst>
            <a:ext uri="{FF2B5EF4-FFF2-40B4-BE49-F238E27FC236}">
              <a16:creationId xmlns:a16="http://schemas.microsoft.com/office/drawing/2014/main" id="{720E407F-CCF8-495E-BF72-7FF9C5E087B8}"/>
            </a:ext>
            <a:ext uri="{147F2762-F138-4A5C-976F-8EAC2B608ADB}">
              <a16:predDERef xmlns:a16="http://schemas.microsoft.com/office/drawing/2014/main" pred="{E10E2FC2-FFA0-4231-A7B5-97E6F0F2A2D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5" name="TekstSylinder 1">
          <a:extLst>
            <a:ext uri="{FF2B5EF4-FFF2-40B4-BE49-F238E27FC236}">
              <a16:creationId xmlns:a16="http://schemas.microsoft.com/office/drawing/2014/main" id="{08457F89-4144-4637-BB1F-55F00356BC0B}"/>
            </a:ext>
            <a:ext uri="{147F2762-F138-4A5C-976F-8EAC2B608ADB}">
              <a16:predDERef xmlns:a16="http://schemas.microsoft.com/office/drawing/2014/main" pred="{720E407F-CCF8-495E-BF72-7FF9C5E087B8}"/>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6" name="TekstSylinder 1">
          <a:extLst>
            <a:ext uri="{FF2B5EF4-FFF2-40B4-BE49-F238E27FC236}">
              <a16:creationId xmlns:a16="http://schemas.microsoft.com/office/drawing/2014/main" id="{935AD156-70E0-46C1-8C53-801620A9C533}"/>
            </a:ext>
            <a:ext uri="{147F2762-F138-4A5C-976F-8EAC2B608ADB}">
              <a16:predDERef xmlns:a16="http://schemas.microsoft.com/office/drawing/2014/main" pred="{08457F89-4144-4637-BB1F-55F00356BC0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7" name="TekstSylinder 1">
          <a:extLst>
            <a:ext uri="{FF2B5EF4-FFF2-40B4-BE49-F238E27FC236}">
              <a16:creationId xmlns:a16="http://schemas.microsoft.com/office/drawing/2014/main" id="{A77BD2C0-8AAC-43B3-BBE6-32C10281725E}"/>
            </a:ext>
            <a:ext uri="{147F2762-F138-4A5C-976F-8EAC2B608ADB}">
              <a16:predDERef xmlns:a16="http://schemas.microsoft.com/office/drawing/2014/main" pred="{935AD156-70E0-46C1-8C53-801620A9C53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8" name="TekstSylinder 1">
          <a:extLst>
            <a:ext uri="{FF2B5EF4-FFF2-40B4-BE49-F238E27FC236}">
              <a16:creationId xmlns:a16="http://schemas.microsoft.com/office/drawing/2014/main" id="{6F5B1DD4-DC77-490D-8A24-E52C13B6ED6F}"/>
            </a:ext>
            <a:ext uri="{147F2762-F138-4A5C-976F-8EAC2B608ADB}">
              <a16:predDERef xmlns:a16="http://schemas.microsoft.com/office/drawing/2014/main" pred="{A77BD2C0-8AAC-43B3-BBE6-32C10281725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79" name="TekstSylinder 1">
          <a:extLst>
            <a:ext uri="{FF2B5EF4-FFF2-40B4-BE49-F238E27FC236}">
              <a16:creationId xmlns:a16="http://schemas.microsoft.com/office/drawing/2014/main" id="{830590B8-6277-4078-BC71-7B79129685CE}"/>
            </a:ext>
            <a:ext uri="{147F2762-F138-4A5C-976F-8EAC2B608ADB}">
              <a16:predDERef xmlns:a16="http://schemas.microsoft.com/office/drawing/2014/main" pred="{6F5B1DD4-DC77-490D-8A24-E52C13B6ED6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0" name="TekstSylinder 1">
          <a:extLst>
            <a:ext uri="{FF2B5EF4-FFF2-40B4-BE49-F238E27FC236}">
              <a16:creationId xmlns:a16="http://schemas.microsoft.com/office/drawing/2014/main" id="{08114D2D-31C0-48C6-A3FE-C5022B212246}"/>
            </a:ext>
            <a:ext uri="{147F2762-F138-4A5C-976F-8EAC2B608ADB}">
              <a16:predDERef xmlns:a16="http://schemas.microsoft.com/office/drawing/2014/main" pred="{830590B8-6277-4078-BC71-7B79129685C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1" name="TekstSylinder 1">
          <a:extLst>
            <a:ext uri="{FF2B5EF4-FFF2-40B4-BE49-F238E27FC236}">
              <a16:creationId xmlns:a16="http://schemas.microsoft.com/office/drawing/2014/main" id="{B05650EC-5702-4B98-99EB-DF5BF787BC10}"/>
            </a:ext>
            <a:ext uri="{147F2762-F138-4A5C-976F-8EAC2B608ADB}">
              <a16:predDERef xmlns:a16="http://schemas.microsoft.com/office/drawing/2014/main" pred="{08114D2D-31C0-48C6-A3FE-C5022B212246}"/>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2" name="TekstSylinder 1">
          <a:extLst>
            <a:ext uri="{FF2B5EF4-FFF2-40B4-BE49-F238E27FC236}">
              <a16:creationId xmlns:a16="http://schemas.microsoft.com/office/drawing/2014/main" id="{C9064B8B-DEA3-48C0-B68F-577FDF04DDE9}"/>
            </a:ext>
            <a:ext uri="{147F2762-F138-4A5C-976F-8EAC2B608ADB}">
              <a16:predDERef xmlns:a16="http://schemas.microsoft.com/office/drawing/2014/main" pred="{B05650EC-5702-4B98-99EB-DF5BF787BC1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3" name="TekstSylinder 1">
          <a:extLst>
            <a:ext uri="{FF2B5EF4-FFF2-40B4-BE49-F238E27FC236}">
              <a16:creationId xmlns:a16="http://schemas.microsoft.com/office/drawing/2014/main" id="{3A7CE9A8-88D0-4A38-BA70-58AC1D48B412}"/>
            </a:ext>
            <a:ext uri="{147F2762-F138-4A5C-976F-8EAC2B608ADB}">
              <a16:predDERef xmlns:a16="http://schemas.microsoft.com/office/drawing/2014/main" pred="{C9064B8B-DEA3-48C0-B68F-577FDF04DDE9}"/>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4" name="TekstSylinder 1">
          <a:extLst>
            <a:ext uri="{FF2B5EF4-FFF2-40B4-BE49-F238E27FC236}">
              <a16:creationId xmlns:a16="http://schemas.microsoft.com/office/drawing/2014/main" id="{31EF4EB0-AD01-426F-8893-7891478766CC}"/>
            </a:ext>
            <a:ext uri="{147F2762-F138-4A5C-976F-8EAC2B608ADB}">
              <a16:predDERef xmlns:a16="http://schemas.microsoft.com/office/drawing/2014/main" pred="{3A7CE9A8-88D0-4A38-BA70-58AC1D48B41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5" name="TekstSylinder 1">
          <a:extLst>
            <a:ext uri="{FF2B5EF4-FFF2-40B4-BE49-F238E27FC236}">
              <a16:creationId xmlns:a16="http://schemas.microsoft.com/office/drawing/2014/main" id="{2A0A50CE-4F64-4773-A1E3-6EF1D7314FEF}"/>
            </a:ext>
            <a:ext uri="{147F2762-F138-4A5C-976F-8EAC2B608ADB}">
              <a16:predDERef xmlns:a16="http://schemas.microsoft.com/office/drawing/2014/main" pred="{31EF4EB0-AD01-426F-8893-7891478766CC}"/>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6" name="TekstSylinder 1">
          <a:extLst>
            <a:ext uri="{FF2B5EF4-FFF2-40B4-BE49-F238E27FC236}">
              <a16:creationId xmlns:a16="http://schemas.microsoft.com/office/drawing/2014/main" id="{42C705F2-EE90-4775-9DDC-7BC557F58D1B}"/>
            </a:ext>
            <a:ext uri="{147F2762-F138-4A5C-976F-8EAC2B608ADB}">
              <a16:predDERef xmlns:a16="http://schemas.microsoft.com/office/drawing/2014/main" pred="{2A0A50CE-4F64-4773-A1E3-6EF1D7314FE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7" name="TekstSylinder 1">
          <a:extLst>
            <a:ext uri="{FF2B5EF4-FFF2-40B4-BE49-F238E27FC236}">
              <a16:creationId xmlns:a16="http://schemas.microsoft.com/office/drawing/2014/main" id="{11E8CF29-D285-4C43-B28F-54722369C863}"/>
            </a:ext>
            <a:ext uri="{147F2762-F138-4A5C-976F-8EAC2B608ADB}">
              <a16:predDERef xmlns:a16="http://schemas.microsoft.com/office/drawing/2014/main" pred="{42C705F2-EE90-4775-9DDC-7BC557F58D1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8" name="TekstSylinder 1">
          <a:extLst>
            <a:ext uri="{FF2B5EF4-FFF2-40B4-BE49-F238E27FC236}">
              <a16:creationId xmlns:a16="http://schemas.microsoft.com/office/drawing/2014/main" id="{17596D8F-65B8-4A43-AE75-0A7A41D86891}"/>
            </a:ext>
            <a:ext uri="{147F2762-F138-4A5C-976F-8EAC2B608ADB}">
              <a16:predDERef xmlns:a16="http://schemas.microsoft.com/office/drawing/2014/main" pred="{11E8CF29-D285-4C43-B28F-54722369C86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89" name="TekstSylinder 1">
          <a:extLst>
            <a:ext uri="{FF2B5EF4-FFF2-40B4-BE49-F238E27FC236}">
              <a16:creationId xmlns:a16="http://schemas.microsoft.com/office/drawing/2014/main" id="{43F03EF2-EDBE-46F4-BBC0-B421F9896944}"/>
            </a:ext>
            <a:ext uri="{147F2762-F138-4A5C-976F-8EAC2B608ADB}">
              <a16:predDERef xmlns:a16="http://schemas.microsoft.com/office/drawing/2014/main" pred="{17596D8F-65B8-4A43-AE75-0A7A41D86891}"/>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0" name="TekstSylinder 1">
          <a:extLst>
            <a:ext uri="{FF2B5EF4-FFF2-40B4-BE49-F238E27FC236}">
              <a16:creationId xmlns:a16="http://schemas.microsoft.com/office/drawing/2014/main" id="{72C31213-28F2-4BF9-890B-94FE5A696C1D}"/>
            </a:ext>
            <a:ext uri="{147F2762-F138-4A5C-976F-8EAC2B608ADB}">
              <a16:predDERef xmlns:a16="http://schemas.microsoft.com/office/drawing/2014/main" pred="{43F03EF2-EDBE-46F4-BBC0-B421F9896944}"/>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1" name="TekstSylinder 1">
          <a:extLst>
            <a:ext uri="{FF2B5EF4-FFF2-40B4-BE49-F238E27FC236}">
              <a16:creationId xmlns:a16="http://schemas.microsoft.com/office/drawing/2014/main" id="{0953CB5E-1AA2-4705-BF3A-20B320DFD913}"/>
            </a:ext>
            <a:ext uri="{147F2762-F138-4A5C-976F-8EAC2B608ADB}">
              <a16:predDERef xmlns:a16="http://schemas.microsoft.com/office/drawing/2014/main" pred="{72C31213-28F2-4BF9-890B-94FE5A696C1D}"/>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2" name="TekstSylinder 1">
          <a:extLst>
            <a:ext uri="{FF2B5EF4-FFF2-40B4-BE49-F238E27FC236}">
              <a16:creationId xmlns:a16="http://schemas.microsoft.com/office/drawing/2014/main" id="{48F5CD14-481E-4F69-B29C-CBACC192A42E}"/>
            </a:ext>
            <a:ext uri="{147F2762-F138-4A5C-976F-8EAC2B608ADB}">
              <a16:predDERef xmlns:a16="http://schemas.microsoft.com/office/drawing/2014/main" pred="{0953CB5E-1AA2-4705-BF3A-20B320DFD913}"/>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3" name="TekstSylinder 1">
          <a:extLst>
            <a:ext uri="{FF2B5EF4-FFF2-40B4-BE49-F238E27FC236}">
              <a16:creationId xmlns:a16="http://schemas.microsoft.com/office/drawing/2014/main" id="{C8B38BD9-61F3-43E9-A490-0D5343114BE8}"/>
            </a:ext>
            <a:ext uri="{147F2762-F138-4A5C-976F-8EAC2B608ADB}">
              <a16:predDERef xmlns:a16="http://schemas.microsoft.com/office/drawing/2014/main" pred="{48F5CD14-481E-4F69-B29C-CBACC192A42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4" name="TekstSylinder 1">
          <a:extLst>
            <a:ext uri="{FF2B5EF4-FFF2-40B4-BE49-F238E27FC236}">
              <a16:creationId xmlns:a16="http://schemas.microsoft.com/office/drawing/2014/main" id="{27059EC3-CDE2-43B7-9489-F0ABFF4104D2}"/>
            </a:ext>
            <a:ext uri="{147F2762-F138-4A5C-976F-8EAC2B608ADB}">
              <a16:predDERef xmlns:a16="http://schemas.microsoft.com/office/drawing/2014/main" pred="{C8B38BD9-61F3-43E9-A490-0D5343114BE8}"/>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5" name="TekstSylinder 1">
          <a:extLst>
            <a:ext uri="{FF2B5EF4-FFF2-40B4-BE49-F238E27FC236}">
              <a16:creationId xmlns:a16="http://schemas.microsoft.com/office/drawing/2014/main" id="{BD9BF6EE-1AD7-4EA5-9E87-DB23B82A3209}"/>
            </a:ext>
            <a:ext uri="{147F2762-F138-4A5C-976F-8EAC2B608ADB}">
              <a16:predDERef xmlns:a16="http://schemas.microsoft.com/office/drawing/2014/main" pred="{27059EC3-CDE2-43B7-9489-F0ABFF4104D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6" name="TekstSylinder 1">
          <a:extLst>
            <a:ext uri="{FF2B5EF4-FFF2-40B4-BE49-F238E27FC236}">
              <a16:creationId xmlns:a16="http://schemas.microsoft.com/office/drawing/2014/main" id="{9D02B201-AC99-4086-A1BF-7CDAFE499A3C}"/>
            </a:ext>
            <a:ext uri="{147F2762-F138-4A5C-976F-8EAC2B608ADB}">
              <a16:predDERef xmlns:a16="http://schemas.microsoft.com/office/drawing/2014/main" pred="{BD9BF6EE-1AD7-4EA5-9E87-DB23B82A3209}"/>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7" name="TekstSylinder 1">
          <a:extLst>
            <a:ext uri="{FF2B5EF4-FFF2-40B4-BE49-F238E27FC236}">
              <a16:creationId xmlns:a16="http://schemas.microsoft.com/office/drawing/2014/main" id="{10D4764C-F79C-4785-A4FA-A5929A38EE80}"/>
            </a:ext>
            <a:ext uri="{147F2762-F138-4A5C-976F-8EAC2B608ADB}">
              <a16:predDERef xmlns:a16="http://schemas.microsoft.com/office/drawing/2014/main" pred="{9D02B201-AC99-4086-A1BF-7CDAFE499A3C}"/>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8" name="TekstSylinder 1">
          <a:extLst>
            <a:ext uri="{FF2B5EF4-FFF2-40B4-BE49-F238E27FC236}">
              <a16:creationId xmlns:a16="http://schemas.microsoft.com/office/drawing/2014/main" id="{076261FF-39F0-47AE-8F2B-00F7624B2E77}"/>
            </a:ext>
            <a:ext uri="{147F2762-F138-4A5C-976F-8EAC2B608ADB}">
              <a16:predDERef xmlns:a16="http://schemas.microsoft.com/office/drawing/2014/main" pred="{10D4764C-F79C-4785-A4FA-A5929A38EE8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599" name="TekstSylinder 1">
          <a:extLst>
            <a:ext uri="{FF2B5EF4-FFF2-40B4-BE49-F238E27FC236}">
              <a16:creationId xmlns:a16="http://schemas.microsoft.com/office/drawing/2014/main" id="{D5FF2C86-EE45-41F3-9343-3EA76E098EA2}"/>
            </a:ext>
            <a:ext uri="{147F2762-F138-4A5C-976F-8EAC2B608ADB}">
              <a16:predDERef xmlns:a16="http://schemas.microsoft.com/office/drawing/2014/main" pred="{076261FF-39F0-47AE-8F2B-00F7624B2E77}"/>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0" name="TekstSylinder 1">
          <a:extLst>
            <a:ext uri="{FF2B5EF4-FFF2-40B4-BE49-F238E27FC236}">
              <a16:creationId xmlns:a16="http://schemas.microsoft.com/office/drawing/2014/main" id="{C63A6C51-C099-46B2-AE29-4346F06FA26D}"/>
            </a:ext>
            <a:ext uri="{147F2762-F138-4A5C-976F-8EAC2B608ADB}">
              <a16:predDERef xmlns:a16="http://schemas.microsoft.com/office/drawing/2014/main" pred="{D5FF2C86-EE45-41F3-9343-3EA76E098EA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1" name="TekstSylinder 1">
          <a:extLst>
            <a:ext uri="{FF2B5EF4-FFF2-40B4-BE49-F238E27FC236}">
              <a16:creationId xmlns:a16="http://schemas.microsoft.com/office/drawing/2014/main" id="{87EAEB17-C5E3-4A2A-86BF-807A9486DE5F}"/>
            </a:ext>
            <a:ext uri="{147F2762-F138-4A5C-976F-8EAC2B608ADB}">
              <a16:predDERef xmlns:a16="http://schemas.microsoft.com/office/drawing/2014/main" pred="{C63A6C51-C099-46B2-AE29-4346F06FA26D}"/>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2" name="TekstSylinder 1">
          <a:extLst>
            <a:ext uri="{FF2B5EF4-FFF2-40B4-BE49-F238E27FC236}">
              <a16:creationId xmlns:a16="http://schemas.microsoft.com/office/drawing/2014/main" id="{4093238E-B3A3-48B4-B0D8-15BC5E5CFA5D}"/>
            </a:ext>
            <a:ext uri="{147F2762-F138-4A5C-976F-8EAC2B608ADB}">
              <a16:predDERef xmlns:a16="http://schemas.microsoft.com/office/drawing/2014/main" pred="{87EAEB17-C5E3-4A2A-86BF-807A9486DE5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3" name="TekstSylinder 1">
          <a:extLst>
            <a:ext uri="{FF2B5EF4-FFF2-40B4-BE49-F238E27FC236}">
              <a16:creationId xmlns:a16="http://schemas.microsoft.com/office/drawing/2014/main" id="{EDCB75B7-D23E-40B1-86E4-BFCE0FF05BEE}"/>
            </a:ext>
            <a:ext uri="{147F2762-F138-4A5C-976F-8EAC2B608ADB}">
              <a16:predDERef xmlns:a16="http://schemas.microsoft.com/office/drawing/2014/main" pred="{4093238E-B3A3-48B4-B0D8-15BC5E5CFA5D}"/>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4" name="TekstSylinder 1">
          <a:extLst>
            <a:ext uri="{FF2B5EF4-FFF2-40B4-BE49-F238E27FC236}">
              <a16:creationId xmlns:a16="http://schemas.microsoft.com/office/drawing/2014/main" id="{C4575059-4729-4518-8A6E-E8B6EC37AA02}"/>
            </a:ext>
            <a:ext uri="{147F2762-F138-4A5C-976F-8EAC2B608ADB}">
              <a16:predDERef xmlns:a16="http://schemas.microsoft.com/office/drawing/2014/main" pred="{EDCB75B7-D23E-40B1-86E4-BFCE0FF05BE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5" name="TekstSylinder 1">
          <a:extLst>
            <a:ext uri="{FF2B5EF4-FFF2-40B4-BE49-F238E27FC236}">
              <a16:creationId xmlns:a16="http://schemas.microsoft.com/office/drawing/2014/main" id="{17C1C1E0-7C9A-452B-91C1-600790768C3E}"/>
            </a:ext>
            <a:ext uri="{147F2762-F138-4A5C-976F-8EAC2B608ADB}">
              <a16:predDERef xmlns:a16="http://schemas.microsoft.com/office/drawing/2014/main" pred="{C4575059-4729-4518-8A6E-E8B6EC37AA02}"/>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6" name="TekstSylinder 1">
          <a:extLst>
            <a:ext uri="{FF2B5EF4-FFF2-40B4-BE49-F238E27FC236}">
              <a16:creationId xmlns:a16="http://schemas.microsoft.com/office/drawing/2014/main" id="{80097772-2F0C-4B28-A5A0-AE4110803CD6}"/>
            </a:ext>
            <a:ext uri="{147F2762-F138-4A5C-976F-8EAC2B608ADB}">
              <a16:predDERef xmlns:a16="http://schemas.microsoft.com/office/drawing/2014/main" pred="{17C1C1E0-7C9A-452B-91C1-600790768C3E}"/>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7" name="TekstSylinder 1">
          <a:extLst>
            <a:ext uri="{FF2B5EF4-FFF2-40B4-BE49-F238E27FC236}">
              <a16:creationId xmlns:a16="http://schemas.microsoft.com/office/drawing/2014/main" id="{F09A9B74-37F0-40B0-B31E-20678797655A}"/>
            </a:ext>
            <a:ext uri="{147F2762-F138-4A5C-976F-8EAC2B608ADB}">
              <a16:predDERef xmlns:a16="http://schemas.microsoft.com/office/drawing/2014/main" pred="{80097772-2F0C-4B28-A5A0-AE4110803CD6}"/>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8" name="TekstSylinder 1">
          <a:extLst>
            <a:ext uri="{FF2B5EF4-FFF2-40B4-BE49-F238E27FC236}">
              <a16:creationId xmlns:a16="http://schemas.microsoft.com/office/drawing/2014/main" id="{DAE7F1C0-1C37-4C33-81D8-7A37730E6806}"/>
            </a:ext>
            <a:ext uri="{147F2762-F138-4A5C-976F-8EAC2B608ADB}">
              <a16:predDERef xmlns:a16="http://schemas.microsoft.com/office/drawing/2014/main" pred="{F09A9B74-37F0-40B0-B31E-20678797655A}"/>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09" name="TekstSylinder 1">
          <a:extLst>
            <a:ext uri="{FF2B5EF4-FFF2-40B4-BE49-F238E27FC236}">
              <a16:creationId xmlns:a16="http://schemas.microsoft.com/office/drawing/2014/main" id="{68310292-07D7-4903-9FB2-9CD1A9FB053F}"/>
            </a:ext>
            <a:ext uri="{147F2762-F138-4A5C-976F-8EAC2B608ADB}">
              <a16:predDERef xmlns:a16="http://schemas.microsoft.com/office/drawing/2014/main" pred="{DAE7F1C0-1C37-4C33-81D8-7A37730E6806}"/>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0" name="TekstSylinder 1">
          <a:extLst>
            <a:ext uri="{FF2B5EF4-FFF2-40B4-BE49-F238E27FC236}">
              <a16:creationId xmlns:a16="http://schemas.microsoft.com/office/drawing/2014/main" id="{1FF10DFC-89F4-47A4-B9F0-0F8E0C362810}"/>
            </a:ext>
            <a:ext uri="{147F2762-F138-4A5C-976F-8EAC2B608ADB}">
              <a16:predDERef xmlns:a16="http://schemas.microsoft.com/office/drawing/2014/main" pred="{68310292-07D7-4903-9FB2-9CD1A9FB053F}"/>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1" name="TekstSylinder 1">
          <a:extLst>
            <a:ext uri="{FF2B5EF4-FFF2-40B4-BE49-F238E27FC236}">
              <a16:creationId xmlns:a16="http://schemas.microsoft.com/office/drawing/2014/main" id="{412F7EA9-FB02-49B6-8348-30336569BA4B}"/>
            </a:ext>
            <a:ext uri="{147F2762-F138-4A5C-976F-8EAC2B608ADB}">
              <a16:predDERef xmlns:a16="http://schemas.microsoft.com/office/drawing/2014/main" pred="{1FF10DFC-89F4-47A4-B9F0-0F8E0C362810}"/>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2" name="TekstSylinder 1">
          <a:extLst>
            <a:ext uri="{FF2B5EF4-FFF2-40B4-BE49-F238E27FC236}">
              <a16:creationId xmlns:a16="http://schemas.microsoft.com/office/drawing/2014/main" id="{827C4F80-2E56-4687-BB3D-BB21F25AEA91}"/>
            </a:ext>
            <a:ext uri="{147F2762-F138-4A5C-976F-8EAC2B608ADB}">
              <a16:predDERef xmlns:a16="http://schemas.microsoft.com/office/drawing/2014/main" pred="{412F7EA9-FB02-49B6-8348-30336569BA4B}"/>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3" name="TekstSylinder 1">
          <a:extLst>
            <a:ext uri="{FF2B5EF4-FFF2-40B4-BE49-F238E27FC236}">
              <a16:creationId xmlns:a16="http://schemas.microsoft.com/office/drawing/2014/main" id="{4766A23D-863B-4F9D-8922-0B503C2B09E7}"/>
            </a:ext>
            <a:ext uri="{147F2762-F138-4A5C-976F-8EAC2B608ADB}">
              <a16:predDERef xmlns:a16="http://schemas.microsoft.com/office/drawing/2014/main" pred="{827C4F80-2E56-4687-BB3D-BB21F25AEA91}"/>
            </a:ext>
          </a:extLst>
        </xdr:cNvPr>
        <xdr:cNvSpPr txBox="1"/>
      </xdr:nvSpPr>
      <xdr:spPr>
        <a:xfrm>
          <a:off x="5886450"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4" name="TekstSylinder 117">
          <a:extLst>
            <a:ext uri="{FF2B5EF4-FFF2-40B4-BE49-F238E27FC236}">
              <a16:creationId xmlns:a16="http://schemas.microsoft.com/office/drawing/2014/main" id="{EC827A30-7F44-4B61-95B8-460B9408F7F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5" name="TekstSylinder 1">
          <a:extLst>
            <a:ext uri="{FF2B5EF4-FFF2-40B4-BE49-F238E27FC236}">
              <a16:creationId xmlns:a16="http://schemas.microsoft.com/office/drawing/2014/main" id="{9E1BD820-EC83-4398-9BF9-3689F464292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6" name="TekstSylinder 1">
          <a:extLst>
            <a:ext uri="{FF2B5EF4-FFF2-40B4-BE49-F238E27FC236}">
              <a16:creationId xmlns:a16="http://schemas.microsoft.com/office/drawing/2014/main" id="{4AAC9937-DEEC-4366-977E-50748450696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7" name="TekstSylinder 1">
          <a:extLst>
            <a:ext uri="{FF2B5EF4-FFF2-40B4-BE49-F238E27FC236}">
              <a16:creationId xmlns:a16="http://schemas.microsoft.com/office/drawing/2014/main" id="{5F419C16-ABD4-468B-94FA-45A2F582C4EE}"/>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8" name="TekstSylinder 1">
          <a:extLst>
            <a:ext uri="{FF2B5EF4-FFF2-40B4-BE49-F238E27FC236}">
              <a16:creationId xmlns:a16="http://schemas.microsoft.com/office/drawing/2014/main" id="{EE9C224F-3645-4E09-8990-D0584D24B0C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19" name="TekstSylinder 1">
          <a:extLst>
            <a:ext uri="{FF2B5EF4-FFF2-40B4-BE49-F238E27FC236}">
              <a16:creationId xmlns:a16="http://schemas.microsoft.com/office/drawing/2014/main" id="{D9A2A572-E4F7-459E-8EA4-C9FB0B050330}"/>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0" name="TekstSylinder 1">
          <a:extLst>
            <a:ext uri="{FF2B5EF4-FFF2-40B4-BE49-F238E27FC236}">
              <a16:creationId xmlns:a16="http://schemas.microsoft.com/office/drawing/2014/main" id="{D9BC5D47-3EE6-4471-9488-793C92285952}"/>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1" name="TekstSylinder 1">
          <a:extLst>
            <a:ext uri="{FF2B5EF4-FFF2-40B4-BE49-F238E27FC236}">
              <a16:creationId xmlns:a16="http://schemas.microsoft.com/office/drawing/2014/main" id="{595A7908-F955-4C9C-A08A-EA45EF39AC3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2" name="TekstSylinder 1">
          <a:extLst>
            <a:ext uri="{FF2B5EF4-FFF2-40B4-BE49-F238E27FC236}">
              <a16:creationId xmlns:a16="http://schemas.microsoft.com/office/drawing/2014/main" id="{1EE71EA6-913D-4B93-9574-14C4256B3EF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3" name="TekstSylinder 1">
          <a:extLst>
            <a:ext uri="{FF2B5EF4-FFF2-40B4-BE49-F238E27FC236}">
              <a16:creationId xmlns:a16="http://schemas.microsoft.com/office/drawing/2014/main" id="{FABF5AD8-0761-4F18-8E19-78CD6A5E216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4" name="TekstSylinder 1">
          <a:extLst>
            <a:ext uri="{FF2B5EF4-FFF2-40B4-BE49-F238E27FC236}">
              <a16:creationId xmlns:a16="http://schemas.microsoft.com/office/drawing/2014/main" id="{EBD0F5D7-99E5-462B-927E-C900789BC8C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5" name="TekstSylinder 1">
          <a:extLst>
            <a:ext uri="{FF2B5EF4-FFF2-40B4-BE49-F238E27FC236}">
              <a16:creationId xmlns:a16="http://schemas.microsoft.com/office/drawing/2014/main" id="{B19F3570-D516-4DF6-80EA-AE14C6FF2E9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6" name="TekstSylinder 1">
          <a:extLst>
            <a:ext uri="{FF2B5EF4-FFF2-40B4-BE49-F238E27FC236}">
              <a16:creationId xmlns:a16="http://schemas.microsoft.com/office/drawing/2014/main" id="{3EADB74E-E2EC-4B97-ADE7-7394375B384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7" name="TekstSylinder 1">
          <a:extLst>
            <a:ext uri="{FF2B5EF4-FFF2-40B4-BE49-F238E27FC236}">
              <a16:creationId xmlns:a16="http://schemas.microsoft.com/office/drawing/2014/main" id="{0D1154B0-5C50-4FBA-8197-59DA4478F7F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8" name="TekstSylinder 1">
          <a:extLst>
            <a:ext uri="{FF2B5EF4-FFF2-40B4-BE49-F238E27FC236}">
              <a16:creationId xmlns:a16="http://schemas.microsoft.com/office/drawing/2014/main" id="{FED448F0-39B4-4972-99B3-713ED256D97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29" name="TekstSylinder 1">
          <a:extLst>
            <a:ext uri="{FF2B5EF4-FFF2-40B4-BE49-F238E27FC236}">
              <a16:creationId xmlns:a16="http://schemas.microsoft.com/office/drawing/2014/main" id="{00A9AF1C-625F-467D-A934-38BF172285D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0" name="TekstSylinder 1">
          <a:extLst>
            <a:ext uri="{FF2B5EF4-FFF2-40B4-BE49-F238E27FC236}">
              <a16:creationId xmlns:a16="http://schemas.microsoft.com/office/drawing/2014/main" id="{778B0BA5-18A1-42D6-A238-CA3C48E4DE6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1" name="TekstSylinder 1">
          <a:extLst>
            <a:ext uri="{FF2B5EF4-FFF2-40B4-BE49-F238E27FC236}">
              <a16:creationId xmlns:a16="http://schemas.microsoft.com/office/drawing/2014/main" id="{AD436C86-D259-48D1-9F74-EB5E83E4C74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2" name="TekstSylinder 1">
          <a:extLst>
            <a:ext uri="{FF2B5EF4-FFF2-40B4-BE49-F238E27FC236}">
              <a16:creationId xmlns:a16="http://schemas.microsoft.com/office/drawing/2014/main" id="{7E724BB7-37EA-4F11-9579-EE4949DF2537}"/>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3" name="TekstSylinder 1">
          <a:extLst>
            <a:ext uri="{FF2B5EF4-FFF2-40B4-BE49-F238E27FC236}">
              <a16:creationId xmlns:a16="http://schemas.microsoft.com/office/drawing/2014/main" id="{E7432D0F-EA9C-40F4-BC1F-49A3113E329A}"/>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4" name="TekstSylinder 1">
          <a:extLst>
            <a:ext uri="{FF2B5EF4-FFF2-40B4-BE49-F238E27FC236}">
              <a16:creationId xmlns:a16="http://schemas.microsoft.com/office/drawing/2014/main" id="{39B0D413-E096-4AA4-9FE4-E8BB43C74CC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5" name="TekstSylinder 1">
          <a:extLst>
            <a:ext uri="{FF2B5EF4-FFF2-40B4-BE49-F238E27FC236}">
              <a16:creationId xmlns:a16="http://schemas.microsoft.com/office/drawing/2014/main" id="{743E44F8-36AC-467B-BBB3-B91EA6275CC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6" name="TekstSylinder 1">
          <a:extLst>
            <a:ext uri="{FF2B5EF4-FFF2-40B4-BE49-F238E27FC236}">
              <a16:creationId xmlns:a16="http://schemas.microsoft.com/office/drawing/2014/main" id="{E3D7B886-611C-4859-B3FF-8087E4AAA5A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7" name="TekstSylinder 1">
          <a:extLst>
            <a:ext uri="{FF2B5EF4-FFF2-40B4-BE49-F238E27FC236}">
              <a16:creationId xmlns:a16="http://schemas.microsoft.com/office/drawing/2014/main" id="{EF216DEC-AAD4-47E2-8B68-D5964EC3DD0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8" name="TekstSylinder 1">
          <a:extLst>
            <a:ext uri="{FF2B5EF4-FFF2-40B4-BE49-F238E27FC236}">
              <a16:creationId xmlns:a16="http://schemas.microsoft.com/office/drawing/2014/main" id="{3DC88D38-7645-4739-ABA7-C0AB32DC27CF}"/>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39" name="TekstSylinder 1">
          <a:extLst>
            <a:ext uri="{FF2B5EF4-FFF2-40B4-BE49-F238E27FC236}">
              <a16:creationId xmlns:a16="http://schemas.microsoft.com/office/drawing/2014/main" id="{25EB60FA-6134-45A0-BD13-FF27C34D54E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0" name="TekstSylinder 1">
          <a:extLst>
            <a:ext uri="{FF2B5EF4-FFF2-40B4-BE49-F238E27FC236}">
              <a16:creationId xmlns:a16="http://schemas.microsoft.com/office/drawing/2014/main" id="{CF4B8391-2FC8-41D3-9005-1E3B1942194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1" name="TekstSylinder 1">
          <a:extLst>
            <a:ext uri="{FF2B5EF4-FFF2-40B4-BE49-F238E27FC236}">
              <a16:creationId xmlns:a16="http://schemas.microsoft.com/office/drawing/2014/main" id="{67C19A1D-2905-4F79-9AA3-C36931C9A770}"/>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2" name="TekstSylinder 1">
          <a:extLst>
            <a:ext uri="{FF2B5EF4-FFF2-40B4-BE49-F238E27FC236}">
              <a16:creationId xmlns:a16="http://schemas.microsoft.com/office/drawing/2014/main" id="{D95CF2D9-B0BB-4BDC-926D-1CECD07AF72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3" name="TekstSylinder 1">
          <a:extLst>
            <a:ext uri="{FF2B5EF4-FFF2-40B4-BE49-F238E27FC236}">
              <a16:creationId xmlns:a16="http://schemas.microsoft.com/office/drawing/2014/main" id="{8D3501C3-4574-400F-B302-D82AD80F595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4" name="TekstSylinder 1">
          <a:extLst>
            <a:ext uri="{FF2B5EF4-FFF2-40B4-BE49-F238E27FC236}">
              <a16:creationId xmlns:a16="http://schemas.microsoft.com/office/drawing/2014/main" id="{C49FCCAD-A36D-4BDE-9C69-B316AEA06FD1}"/>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5" name="TekstSylinder 1">
          <a:extLst>
            <a:ext uri="{FF2B5EF4-FFF2-40B4-BE49-F238E27FC236}">
              <a16:creationId xmlns:a16="http://schemas.microsoft.com/office/drawing/2014/main" id="{F55A94FB-C88F-4664-AC9C-273C347C2C5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6" name="TekstSylinder 1">
          <a:extLst>
            <a:ext uri="{FF2B5EF4-FFF2-40B4-BE49-F238E27FC236}">
              <a16:creationId xmlns:a16="http://schemas.microsoft.com/office/drawing/2014/main" id="{5C64BC54-4905-4193-B613-620974052A4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7" name="TekstSylinder 1">
          <a:extLst>
            <a:ext uri="{FF2B5EF4-FFF2-40B4-BE49-F238E27FC236}">
              <a16:creationId xmlns:a16="http://schemas.microsoft.com/office/drawing/2014/main" id="{C273204E-1853-4E8E-98AB-C9C56E23833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8" name="TekstSylinder 1">
          <a:extLst>
            <a:ext uri="{FF2B5EF4-FFF2-40B4-BE49-F238E27FC236}">
              <a16:creationId xmlns:a16="http://schemas.microsoft.com/office/drawing/2014/main" id="{13D8F8E8-D1FE-47A6-9B31-6F518F07A59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49" name="TekstSylinder 1">
          <a:extLst>
            <a:ext uri="{FF2B5EF4-FFF2-40B4-BE49-F238E27FC236}">
              <a16:creationId xmlns:a16="http://schemas.microsoft.com/office/drawing/2014/main" id="{FB177462-4D81-4D10-A0D1-4BC8EFB2157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0" name="TekstSylinder 1">
          <a:extLst>
            <a:ext uri="{FF2B5EF4-FFF2-40B4-BE49-F238E27FC236}">
              <a16:creationId xmlns:a16="http://schemas.microsoft.com/office/drawing/2014/main" id="{A952B7B7-16B7-4271-9F6E-E1D1C0453821}"/>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1" name="TekstSylinder 1">
          <a:extLst>
            <a:ext uri="{FF2B5EF4-FFF2-40B4-BE49-F238E27FC236}">
              <a16:creationId xmlns:a16="http://schemas.microsoft.com/office/drawing/2014/main" id="{4442CEA7-ADA7-4B79-99E9-00457D76781A}"/>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2" name="TekstSylinder 1">
          <a:extLst>
            <a:ext uri="{FF2B5EF4-FFF2-40B4-BE49-F238E27FC236}">
              <a16:creationId xmlns:a16="http://schemas.microsoft.com/office/drawing/2014/main" id="{8C2B1B11-C20B-43D1-9E38-6739FCF6CB0A}"/>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3" name="TekstSylinder 1">
          <a:extLst>
            <a:ext uri="{FF2B5EF4-FFF2-40B4-BE49-F238E27FC236}">
              <a16:creationId xmlns:a16="http://schemas.microsoft.com/office/drawing/2014/main" id="{666151CB-88B5-4D26-8A78-6C772DABC75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4" name="TekstSylinder 1">
          <a:extLst>
            <a:ext uri="{FF2B5EF4-FFF2-40B4-BE49-F238E27FC236}">
              <a16:creationId xmlns:a16="http://schemas.microsoft.com/office/drawing/2014/main" id="{13F15A26-657B-450B-8955-88D8968E10E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5" name="TekstSylinder 1">
          <a:extLst>
            <a:ext uri="{FF2B5EF4-FFF2-40B4-BE49-F238E27FC236}">
              <a16:creationId xmlns:a16="http://schemas.microsoft.com/office/drawing/2014/main" id="{B1A25203-BABB-4D29-9171-8D1E61A9300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6" name="TekstSylinder 1">
          <a:extLst>
            <a:ext uri="{FF2B5EF4-FFF2-40B4-BE49-F238E27FC236}">
              <a16:creationId xmlns:a16="http://schemas.microsoft.com/office/drawing/2014/main" id="{28DAF3EC-C80E-4166-87A2-C9574CCEB37E}"/>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7" name="TekstSylinder 1">
          <a:extLst>
            <a:ext uri="{FF2B5EF4-FFF2-40B4-BE49-F238E27FC236}">
              <a16:creationId xmlns:a16="http://schemas.microsoft.com/office/drawing/2014/main" id="{B823430C-91A0-43A6-9131-4215E7FEAF4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8" name="TekstSylinder 1">
          <a:extLst>
            <a:ext uri="{FF2B5EF4-FFF2-40B4-BE49-F238E27FC236}">
              <a16:creationId xmlns:a16="http://schemas.microsoft.com/office/drawing/2014/main" id="{7C00C829-A55F-44C5-8663-3EE9CF2B425A}"/>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59" name="TekstSylinder 1">
          <a:extLst>
            <a:ext uri="{FF2B5EF4-FFF2-40B4-BE49-F238E27FC236}">
              <a16:creationId xmlns:a16="http://schemas.microsoft.com/office/drawing/2014/main" id="{D39A6D2D-94C2-4F52-8081-F0D71F7D5EE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0" name="TekstSylinder 1">
          <a:extLst>
            <a:ext uri="{FF2B5EF4-FFF2-40B4-BE49-F238E27FC236}">
              <a16:creationId xmlns:a16="http://schemas.microsoft.com/office/drawing/2014/main" id="{83E4084F-CE3B-4C60-A6B3-90206DA2589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1" name="TekstSylinder 1">
          <a:extLst>
            <a:ext uri="{FF2B5EF4-FFF2-40B4-BE49-F238E27FC236}">
              <a16:creationId xmlns:a16="http://schemas.microsoft.com/office/drawing/2014/main" id="{2017F399-F9D2-49A7-B4B3-0F4FE968D37A}"/>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2" name="TekstSylinder 1">
          <a:extLst>
            <a:ext uri="{FF2B5EF4-FFF2-40B4-BE49-F238E27FC236}">
              <a16:creationId xmlns:a16="http://schemas.microsoft.com/office/drawing/2014/main" id="{C21DF966-5FB8-49AC-8C97-3D0A9E441532}"/>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3" name="TekstSylinder 1">
          <a:extLst>
            <a:ext uri="{FF2B5EF4-FFF2-40B4-BE49-F238E27FC236}">
              <a16:creationId xmlns:a16="http://schemas.microsoft.com/office/drawing/2014/main" id="{4CC1628A-AE4B-4637-92B6-4A23830C6BB1}"/>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4" name="TekstSylinder 1">
          <a:extLst>
            <a:ext uri="{FF2B5EF4-FFF2-40B4-BE49-F238E27FC236}">
              <a16:creationId xmlns:a16="http://schemas.microsoft.com/office/drawing/2014/main" id="{49B0FEA6-5884-43ED-8361-06585C3BDF5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5" name="TekstSylinder 1">
          <a:extLst>
            <a:ext uri="{FF2B5EF4-FFF2-40B4-BE49-F238E27FC236}">
              <a16:creationId xmlns:a16="http://schemas.microsoft.com/office/drawing/2014/main" id="{AA82042D-DA63-4C0B-801E-92DED9B2FBE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6" name="TekstSylinder 1">
          <a:extLst>
            <a:ext uri="{FF2B5EF4-FFF2-40B4-BE49-F238E27FC236}">
              <a16:creationId xmlns:a16="http://schemas.microsoft.com/office/drawing/2014/main" id="{9A88D1C4-6AFC-4CF0-9386-03D1842683D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7" name="TekstSylinder 1">
          <a:extLst>
            <a:ext uri="{FF2B5EF4-FFF2-40B4-BE49-F238E27FC236}">
              <a16:creationId xmlns:a16="http://schemas.microsoft.com/office/drawing/2014/main" id="{38F0F099-8B3C-45A8-8C08-FB280B34C45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8" name="TekstSylinder 1">
          <a:extLst>
            <a:ext uri="{FF2B5EF4-FFF2-40B4-BE49-F238E27FC236}">
              <a16:creationId xmlns:a16="http://schemas.microsoft.com/office/drawing/2014/main" id="{83E3CA7D-21BA-4191-B5B1-51F5D5A96B4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69" name="TekstSylinder 1">
          <a:extLst>
            <a:ext uri="{FF2B5EF4-FFF2-40B4-BE49-F238E27FC236}">
              <a16:creationId xmlns:a16="http://schemas.microsoft.com/office/drawing/2014/main" id="{FF1B3E44-E7F4-4E1C-8182-FAD0A400591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0" name="TekstSylinder 1">
          <a:extLst>
            <a:ext uri="{FF2B5EF4-FFF2-40B4-BE49-F238E27FC236}">
              <a16:creationId xmlns:a16="http://schemas.microsoft.com/office/drawing/2014/main" id="{9D56F235-A2AE-4CC0-B75A-E6AA2C35211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1" name="TekstSylinder 1">
          <a:extLst>
            <a:ext uri="{FF2B5EF4-FFF2-40B4-BE49-F238E27FC236}">
              <a16:creationId xmlns:a16="http://schemas.microsoft.com/office/drawing/2014/main" id="{078EC5E6-580B-4119-8A0D-4FDE0DE8A8A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2" name="TekstSylinder 1">
          <a:extLst>
            <a:ext uri="{FF2B5EF4-FFF2-40B4-BE49-F238E27FC236}">
              <a16:creationId xmlns:a16="http://schemas.microsoft.com/office/drawing/2014/main" id="{5C068D1F-B53B-4998-99C6-8BC3492F01A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3" name="TekstSylinder 1">
          <a:extLst>
            <a:ext uri="{FF2B5EF4-FFF2-40B4-BE49-F238E27FC236}">
              <a16:creationId xmlns:a16="http://schemas.microsoft.com/office/drawing/2014/main" id="{380C4127-13D2-4686-B350-0EE0A2213AC5}"/>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4" name="TekstSylinder 1">
          <a:extLst>
            <a:ext uri="{FF2B5EF4-FFF2-40B4-BE49-F238E27FC236}">
              <a16:creationId xmlns:a16="http://schemas.microsoft.com/office/drawing/2014/main" id="{BC7DC6C0-755A-4EC6-96D9-AC710873CF4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5" name="TekstSylinder 1">
          <a:extLst>
            <a:ext uri="{FF2B5EF4-FFF2-40B4-BE49-F238E27FC236}">
              <a16:creationId xmlns:a16="http://schemas.microsoft.com/office/drawing/2014/main" id="{D4165F82-C628-4D43-9BC4-AFAC5AF4A8A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6" name="TekstSylinder 1">
          <a:extLst>
            <a:ext uri="{FF2B5EF4-FFF2-40B4-BE49-F238E27FC236}">
              <a16:creationId xmlns:a16="http://schemas.microsoft.com/office/drawing/2014/main" id="{0F0665D3-86D0-49F8-92B9-93220C73472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7" name="TekstSylinder 1">
          <a:extLst>
            <a:ext uri="{FF2B5EF4-FFF2-40B4-BE49-F238E27FC236}">
              <a16:creationId xmlns:a16="http://schemas.microsoft.com/office/drawing/2014/main" id="{BF1E1A34-2E7C-47B5-B441-8A063D2104B3}"/>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8" name="TekstSylinder 1">
          <a:extLst>
            <a:ext uri="{FF2B5EF4-FFF2-40B4-BE49-F238E27FC236}">
              <a16:creationId xmlns:a16="http://schemas.microsoft.com/office/drawing/2014/main" id="{A1C169F3-C202-46D8-91CE-AEB10D2C0F6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79" name="TekstSylinder 1">
          <a:extLst>
            <a:ext uri="{FF2B5EF4-FFF2-40B4-BE49-F238E27FC236}">
              <a16:creationId xmlns:a16="http://schemas.microsoft.com/office/drawing/2014/main" id="{9CCAEC55-D3A6-4351-B636-B7469513174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0" name="TekstSylinder 1">
          <a:extLst>
            <a:ext uri="{FF2B5EF4-FFF2-40B4-BE49-F238E27FC236}">
              <a16:creationId xmlns:a16="http://schemas.microsoft.com/office/drawing/2014/main" id="{90D5C788-09A1-40E9-97DD-147FBE1AFBE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1" name="TekstSylinder 1">
          <a:extLst>
            <a:ext uri="{FF2B5EF4-FFF2-40B4-BE49-F238E27FC236}">
              <a16:creationId xmlns:a16="http://schemas.microsoft.com/office/drawing/2014/main" id="{D3686DD1-8FB3-4380-AA80-42EFABC9F37E}"/>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2" name="TekstSylinder 1">
          <a:extLst>
            <a:ext uri="{FF2B5EF4-FFF2-40B4-BE49-F238E27FC236}">
              <a16:creationId xmlns:a16="http://schemas.microsoft.com/office/drawing/2014/main" id="{F629A9DC-4782-4B2A-8FF0-65DC40E2959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3" name="TekstSylinder 1">
          <a:extLst>
            <a:ext uri="{FF2B5EF4-FFF2-40B4-BE49-F238E27FC236}">
              <a16:creationId xmlns:a16="http://schemas.microsoft.com/office/drawing/2014/main" id="{C090DC7E-48BD-468E-B71C-74778F573A45}"/>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4" name="TekstSylinder 1">
          <a:extLst>
            <a:ext uri="{FF2B5EF4-FFF2-40B4-BE49-F238E27FC236}">
              <a16:creationId xmlns:a16="http://schemas.microsoft.com/office/drawing/2014/main" id="{D771EF8C-4B6D-45ED-A930-F97A4DAF9C1D}"/>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5" name="TekstSylinder 1">
          <a:extLst>
            <a:ext uri="{FF2B5EF4-FFF2-40B4-BE49-F238E27FC236}">
              <a16:creationId xmlns:a16="http://schemas.microsoft.com/office/drawing/2014/main" id="{8ED7B9A6-25B2-451E-89F8-1D2E3564A364}"/>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6" name="TekstSylinder 1">
          <a:extLst>
            <a:ext uri="{FF2B5EF4-FFF2-40B4-BE49-F238E27FC236}">
              <a16:creationId xmlns:a16="http://schemas.microsoft.com/office/drawing/2014/main" id="{406F13C5-540A-4B85-8797-90B779076C0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7" name="TekstSylinder 1">
          <a:extLst>
            <a:ext uri="{FF2B5EF4-FFF2-40B4-BE49-F238E27FC236}">
              <a16:creationId xmlns:a16="http://schemas.microsoft.com/office/drawing/2014/main" id="{059A4125-2617-4390-B1BC-577CC5DE291E}"/>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8" name="TekstSylinder 1">
          <a:extLst>
            <a:ext uri="{FF2B5EF4-FFF2-40B4-BE49-F238E27FC236}">
              <a16:creationId xmlns:a16="http://schemas.microsoft.com/office/drawing/2014/main" id="{35163258-DA20-4861-B978-302B17F22242}"/>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89" name="TekstSylinder 1">
          <a:extLst>
            <a:ext uri="{FF2B5EF4-FFF2-40B4-BE49-F238E27FC236}">
              <a16:creationId xmlns:a16="http://schemas.microsoft.com/office/drawing/2014/main" id="{A64F4807-8C1C-4348-84C2-B07DC7DAD94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0" name="TekstSylinder 1">
          <a:extLst>
            <a:ext uri="{FF2B5EF4-FFF2-40B4-BE49-F238E27FC236}">
              <a16:creationId xmlns:a16="http://schemas.microsoft.com/office/drawing/2014/main" id="{8C6EC4B4-17FF-416A-97EA-40FC445E5DD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1" name="TekstSylinder 1">
          <a:extLst>
            <a:ext uri="{FF2B5EF4-FFF2-40B4-BE49-F238E27FC236}">
              <a16:creationId xmlns:a16="http://schemas.microsoft.com/office/drawing/2014/main" id="{AD116787-C9D9-43B3-B828-0CE8184C714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2" name="TekstSylinder 1">
          <a:extLst>
            <a:ext uri="{FF2B5EF4-FFF2-40B4-BE49-F238E27FC236}">
              <a16:creationId xmlns:a16="http://schemas.microsoft.com/office/drawing/2014/main" id="{6283AC5D-7FAB-4C18-8B1C-7162804CCC16}"/>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3" name="TekstSylinder 1">
          <a:extLst>
            <a:ext uri="{FF2B5EF4-FFF2-40B4-BE49-F238E27FC236}">
              <a16:creationId xmlns:a16="http://schemas.microsoft.com/office/drawing/2014/main" id="{02E34272-B6B7-4C41-B0DE-418317AC863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4" name="TekstSylinder 1">
          <a:extLst>
            <a:ext uri="{FF2B5EF4-FFF2-40B4-BE49-F238E27FC236}">
              <a16:creationId xmlns:a16="http://schemas.microsoft.com/office/drawing/2014/main" id="{CEB51023-1A19-4F41-A6C2-2235438BDF8F}"/>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5" name="TekstSylinder 1">
          <a:extLst>
            <a:ext uri="{FF2B5EF4-FFF2-40B4-BE49-F238E27FC236}">
              <a16:creationId xmlns:a16="http://schemas.microsoft.com/office/drawing/2014/main" id="{BB50CA63-AF91-4416-A512-AD95140F69C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6" name="TekstSylinder 1">
          <a:extLst>
            <a:ext uri="{FF2B5EF4-FFF2-40B4-BE49-F238E27FC236}">
              <a16:creationId xmlns:a16="http://schemas.microsoft.com/office/drawing/2014/main" id="{909878F1-3F6B-4C26-A7CE-11308AFB2BEE}"/>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7" name="TekstSylinder 1">
          <a:extLst>
            <a:ext uri="{FF2B5EF4-FFF2-40B4-BE49-F238E27FC236}">
              <a16:creationId xmlns:a16="http://schemas.microsoft.com/office/drawing/2014/main" id="{CC724C67-3E3E-43DE-86FC-C5919CBDCAD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8" name="TekstSylinder 1">
          <a:extLst>
            <a:ext uri="{FF2B5EF4-FFF2-40B4-BE49-F238E27FC236}">
              <a16:creationId xmlns:a16="http://schemas.microsoft.com/office/drawing/2014/main" id="{558D7D9D-F267-45ED-92AB-7BA85FEE86B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699" name="TekstSylinder 1">
          <a:extLst>
            <a:ext uri="{FF2B5EF4-FFF2-40B4-BE49-F238E27FC236}">
              <a16:creationId xmlns:a16="http://schemas.microsoft.com/office/drawing/2014/main" id="{F8F3A0FE-19BF-4D68-A7D0-DEB7A3372FFC}"/>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0" name="TekstSylinder 1">
          <a:extLst>
            <a:ext uri="{FF2B5EF4-FFF2-40B4-BE49-F238E27FC236}">
              <a16:creationId xmlns:a16="http://schemas.microsoft.com/office/drawing/2014/main" id="{CCD492D9-70BA-4D87-B41C-47AB7948F534}"/>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1" name="TekstSylinder 1">
          <a:extLst>
            <a:ext uri="{FF2B5EF4-FFF2-40B4-BE49-F238E27FC236}">
              <a16:creationId xmlns:a16="http://schemas.microsoft.com/office/drawing/2014/main" id="{CD8C23E4-1950-455E-BC4B-C387C0B4FFD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2" name="TekstSylinder 1">
          <a:extLst>
            <a:ext uri="{FF2B5EF4-FFF2-40B4-BE49-F238E27FC236}">
              <a16:creationId xmlns:a16="http://schemas.microsoft.com/office/drawing/2014/main" id="{75D598BB-4A13-45DB-AFC6-06EEF3E12AB5}"/>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3" name="TekstSylinder 1">
          <a:extLst>
            <a:ext uri="{FF2B5EF4-FFF2-40B4-BE49-F238E27FC236}">
              <a16:creationId xmlns:a16="http://schemas.microsoft.com/office/drawing/2014/main" id="{3787C538-F0DB-4608-9A0B-EDAFA857531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4" name="TekstSylinder 1">
          <a:extLst>
            <a:ext uri="{FF2B5EF4-FFF2-40B4-BE49-F238E27FC236}">
              <a16:creationId xmlns:a16="http://schemas.microsoft.com/office/drawing/2014/main" id="{BA92845E-1BE7-4532-84A8-470626D8A051}"/>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5" name="TekstSylinder 1">
          <a:extLst>
            <a:ext uri="{FF2B5EF4-FFF2-40B4-BE49-F238E27FC236}">
              <a16:creationId xmlns:a16="http://schemas.microsoft.com/office/drawing/2014/main" id="{91DDF952-CBFB-4C97-BFE9-7EAF12469B5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6" name="TekstSylinder 1">
          <a:extLst>
            <a:ext uri="{FF2B5EF4-FFF2-40B4-BE49-F238E27FC236}">
              <a16:creationId xmlns:a16="http://schemas.microsoft.com/office/drawing/2014/main" id="{CEAF844B-3145-478B-81B1-D92CFC5E981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7" name="TekstSylinder 1">
          <a:extLst>
            <a:ext uri="{FF2B5EF4-FFF2-40B4-BE49-F238E27FC236}">
              <a16:creationId xmlns:a16="http://schemas.microsoft.com/office/drawing/2014/main" id="{DBDB5768-E7A6-4BCA-B189-FCC3B1E64530}"/>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8" name="TekstSylinder 1">
          <a:extLst>
            <a:ext uri="{FF2B5EF4-FFF2-40B4-BE49-F238E27FC236}">
              <a16:creationId xmlns:a16="http://schemas.microsoft.com/office/drawing/2014/main" id="{58F7D0FC-ED26-4A1B-9255-5B18CF9806F9}"/>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09" name="TekstSylinder 1">
          <a:extLst>
            <a:ext uri="{FF2B5EF4-FFF2-40B4-BE49-F238E27FC236}">
              <a16:creationId xmlns:a16="http://schemas.microsoft.com/office/drawing/2014/main" id="{B515F7D6-3AB8-4B28-B088-1E232C76612E}"/>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10" name="TekstSylinder 1">
          <a:extLst>
            <a:ext uri="{FF2B5EF4-FFF2-40B4-BE49-F238E27FC236}">
              <a16:creationId xmlns:a16="http://schemas.microsoft.com/office/drawing/2014/main" id="{3DE7A4D7-5792-4128-BD49-6AB0B0AC98C5}"/>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11" name="TekstSylinder 1">
          <a:extLst>
            <a:ext uri="{FF2B5EF4-FFF2-40B4-BE49-F238E27FC236}">
              <a16:creationId xmlns:a16="http://schemas.microsoft.com/office/drawing/2014/main" id="{6DCEA541-FC6A-49BA-A7F1-708DD79B44CB}"/>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12" name="TekstSylinder 1">
          <a:extLst>
            <a:ext uri="{FF2B5EF4-FFF2-40B4-BE49-F238E27FC236}">
              <a16:creationId xmlns:a16="http://schemas.microsoft.com/office/drawing/2014/main" id="{980691D9-43DC-4B19-B7BD-748F853F4A34}"/>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13" name="TekstSylinder 1">
          <a:extLst>
            <a:ext uri="{FF2B5EF4-FFF2-40B4-BE49-F238E27FC236}">
              <a16:creationId xmlns:a16="http://schemas.microsoft.com/office/drawing/2014/main" id="{D272802B-0CDE-435C-9A6B-DB204E0F00F7}"/>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14" name="TekstSylinder 1">
          <a:extLst>
            <a:ext uri="{FF2B5EF4-FFF2-40B4-BE49-F238E27FC236}">
              <a16:creationId xmlns:a16="http://schemas.microsoft.com/office/drawing/2014/main" id="{95ED6267-4411-4265-84E5-8565063BFEB1}"/>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78</xdr:row>
      <xdr:rowOff>0</xdr:rowOff>
    </xdr:from>
    <xdr:ext cx="184731" cy="264560"/>
    <xdr:sp macro="" textlink="">
      <xdr:nvSpPr>
        <xdr:cNvPr id="715" name="TekstSylinder 1">
          <a:extLst>
            <a:ext uri="{FF2B5EF4-FFF2-40B4-BE49-F238E27FC236}">
              <a16:creationId xmlns:a16="http://schemas.microsoft.com/office/drawing/2014/main" id="{1B276322-D5EF-48B2-9E2F-6AC8C0E01938}"/>
            </a:ext>
          </a:extLst>
        </xdr:cNvPr>
        <xdr:cNvSpPr txBox="1"/>
      </xdr:nvSpPr>
      <xdr:spPr>
        <a:xfrm>
          <a:off x="5898356" y="8893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16" name="TekstSylinder 117">
          <a:extLst>
            <a:ext uri="{FF2B5EF4-FFF2-40B4-BE49-F238E27FC236}">
              <a16:creationId xmlns:a16="http://schemas.microsoft.com/office/drawing/2014/main" id="{1BF96850-1E85-45B4-9B7F-5D47F7DA265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17" name="TekstSylinder 1">
          <a:extLst>
            <a:ext uri="{FF2B5EF4-FFF2-40B4-BE49-F238E27FC236}">
              <a16:creationId xmlns:a16="http://schemas.microsoft.com/office/drawing/2014/main" id="{71F7F0A4-7ECB-4C7F-8D51-4770FC04B03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18" name="TekstSylinder 1">
          <a:extLst>
            <a:ext uri="{FF2B5EF4-FFF2-40B4-BE49-F238E27FC236}">
              <a16:creationId xmlns:a16="http://schemas.microsoft.com/office/drawing/2014/main" id="{DB704630-EF7B-4F70-A03F-5FF1FC17943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19" name="TekstSylinder 1">
          <a:extLst>
            <a:ext uri="{FF2B5EF4-FFF2-40B4-BE49-F238E27FC236}">
              <a16:creationId xmlns:a16="http://schemas.microsoft.com/office/drawing/2014/main" id="{609C5842-2148-41BD-9A29-6E2DA5A814F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0" name="TekstSylinder 1">
          <a:extLst>
            <a:ext uri="{FF2B5EF4-FFF2-40B4-BE49-F238E27FC236}">
              <a16:creationId xmlns:a16="http://schemas.microsoft.com/office/drawing/2014/main" id="{67DB7CF5-21E3-43FE-872C-C8F68B41C28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1" name="TekstSylinder 1">
          <a:extLst>
            <a:ext uri="{FF2B5EF4-FFF2-40B4-BE49-F238E27FC236}">
              <a16:creationId xmlns:a16="http://schemas.microsoft.com/office/drawing/2014/main" id="{436E27B9-72B9-43E5-A2DD-155373AA8D0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2" name="TekstSylinder 1">
          <a:extLst>
            <a:ext uri="{FF2B5EF4-FFF2-40B4-BE49-F238E27FC236}">
              <a16:creationId xmlns:a16="http://schemas.microsoft.com/office/drawing/2014/main" id="{ADF7B279-CA8B-45D7-A332-AB8400F9005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3" name="TekstSylinder 1">
          <a:extLst>
            <a:ext uri="{FF2B5EF4-FFF2-40B4-BE49-F238E27FC236}">
              <a16:creationId xmlns:a16="http://schemas.microsoft.com/office/drawing/2014/main" id="{D63015CF-FEC2-4F3A-B226-932DDA33D58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4" name="TekstSylinder 1">
          <a:extLst>
            <a:ext uri="{FF2B5EF4-FFF2-40B4-BE49-F238E27FC236}">
              <a16:creationId xmlns:a16="http://schemas.microsoft.com/office/drawing/2014/main" id="{2DA97925-4646-4FB2-B458-6DBA8D52B47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5" name="TekstSylinder 1">
          <a:extLst>
            <a:ext uri="{FF2B5EF4-FFF2-40B4-BE49-F238E27FC236}">
              <a16:creationId xmlns:a16="http://schemas.microsoft.com/office/drawing/2014/main" id="{EFD53262-DA21-4896-931B-26F8E471C7C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6" name="TekstSylinder 1">
          <a:extLst>
            <a:ext uri="{FF2B5EF4-FFF2-40B4-BE49-F238E27FC236}">
              <a16:creationId xmlns:a16="http://schemas.microsoft.com/office/drawing/2014/main" id="{15F15DC6-2595-4830-A168-BEA5985C7E5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7" name="TekstSylinder 1">
          <a:extLst>
            <a:ext uri="{FF2B5EF4-FFF2-40B4-BE49-F238E27FC236}">
              <a16:creationId xmlns:a16="http://schemas.microsoft.com/office/drawing/2014/main" id="{5065C684-2CB8-48CC-B200-6B7BE4BB516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8" name="TekstSylinder 1">
          <a:extLst>
            <a:ext uri="{FF2B5EF4-FFF2-40B4-BE49-F238E27FC236}">
              <a16:creationId xmlns:a16="http://schemas.microsoft.com/office/drawing/2014/main" id="{A2DC95A6-FB3A-4960-9FA6-FB5700A7C95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29" name="TekstSylinder 1">
          <a:extLst>
            <a:ext uri="{FF2B5EF4-FFF2-40B4-BE49-F238E27FC236}">
              <a16:creationId xmlns:a16="http://schemas.microsoft.com/office/drawing/2014/main" id="{41D85869-6EE3-44C0-8530-A502C71D98A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0" name="TekstSylinder 1">
          <a:extLst>
            <a:ext uri="{FF2B5EF4-FFF2-40B4-BE49-F238E27FC236}">
              <a16:creationId xmlns:a16="http://schemas.microsoft.com/office/drawing/2014/main" id="{2DC6252C-FAC5-4071-8E74-2BB26072877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1" name="TekstSylinder 1">
          <a:extLst>
            <a:ext uri="{FF2B5EF4-FFF2-40B4-BE49-F238E27FC236}">
              <a16:creationId xmlns:a16="http://schemas.microsoft.com/office/drawing/2014/main" id="{8DD813C6-D3C3-4D42-9F47-506BBD99041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2" name="TekstSylinder 1">
          <a:extLst>
            <a:ext uri="{FF2B5EF4-FFF2-40B4-BE49-F238E27FC236}">
              <a16:creationId xmlns:a16="http://schemas.microsoft.com/office/drawing/2014/main" id="{7BB8BF6E-B2BB-400F-A9BD-E4DF0F65193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3" name="TekstSylinder 1">
          <a:extLst>
            <a:ext uri="{FF2B5EF4-FFF2-40B4-BE49-F238E27FC236}">
              <a16:creationId xmlns:a16="http://schemas.microsoft.com/office/drawing/2014/main" id="{AEDEA0F8-289C-4CE3-A6CC-8BD9F03684C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4" name="TekstSylinder 1">
          <a:extLst>
            <a:ext uri="{FF2B5EF4-FFF2-40B4-BE49-F238E27FC236}">
              <a16:creationId xmlns:a16="http://schemas.microsoft.com/office/drawing/2014/main" id="{80D7712C-ADE5-4E3B-B2A0-1AED58E6910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5" name="TekstSylinder 1">
          <a:extLst>
            <a:ext uri="{FF2B5EF4-FFF2-40B4-BE49-F238E27FC236}">
              <a16:creationId xmlns:a16="http://schemas.microsoft.com/office/drawing/2014/main" id="{2B204CE1-0F65-4E9F-B062-BD21B9E0E61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6" name="TekstSylinder 1">
          <a:extLst>
            <a:ext uri="{FF2B5EF4-FFF2-40B4-BE49-F238E27FC236}">
              <a16:creationId xmlns:a16="http://schemas.microsoft.com/office/drawing/2014/main" id="{6CCFB6EF-908A-425F-A5BE-F7EF89083E3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7" name="TekstSylinder 1">
          <a:extLst>
            <a:ext uri="{FF2B5EF4-FFF2-40B4-BE49-F238E27FC236}">
              <a16:creationId xmlns:a16="http://schemas.microsoft.com/office/drawing/2014/main" id="{6E88A9D0-57DE-4C75-9702-A70170B12A4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8" name="TekstSylinder 1">
          <a:extLst>
            <a:ext uri="{FF2B5EF4-FFF2-40B4-BE49-F238E27FC236}">
              <a16:creationId xmlns:a16="http://schemas.microsoft.com/office/drawing/2014/main" id="{0F2EE0CA-07C5-4A59-8E47-6142D83A4C7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39" name="TekstSylinder 1">
          <a:extLst>
            <a:ext uri="{FF2B5EF4-FFF2-40B4-BE49-F238E27FC236}">
              <a16:creationId xmlns:a16="http://schemas.microsoft.com/office/drawing/2014/main" id="{37E11DD8-B33B-4CC6-9567-E28A26A05AE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0" name="TekstSylinder 1">
          <a:extLst>
            <a:ext uri="{FF2B5EF4-FFF2-40B4-BE49-F238E27FC236}">
              <a16:creationId xmlns:a16="http://schemas.microsoft.com/office/drawing/2014/main" id="{EF1025D2-34B2-40C9-A4CE-7ED3D069C06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1" name="TekstSylinder 1">
          <a:extLst>
            <a:ext uri="{FF2B5EF4-FFF2-40B4-BE49-F238E27FC236}">
              <a16:creationId xmlns:a16="http://schemas.microsoft.com/office/drawing/2014/main" id="{CA7C2222-BE44-42E4-9A2B-B48C320C08C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2" name="TekstSylinder 1">
          <a:extLst>
            <a:ext uri="{FF2B5EF4-FFF2-40B4-BE49-F238E27FC236}">
              <a16:creationId xmlns:a16="http://schemas.microsoft.com/office/drawing/2014/main" id="{861E4D74-3D95-4EA6-B84A-126C7DDD732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3" name="TekstSylinder 1">
          <a:extLst>
            <a:ext uri="{FF2B5EF4-FFF2-40B4-BE49-F238E27FC236}">
              <a16:creationId xmlns:a16="http://schemas.microsoft.com/office/drawing/2014/main" id="{6E486688-A7EF-4DCC-A659-17274CBAF7E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4" name="TekstSylinder 1">
          <a:extLst>
            <a:ext uri="{FF2B5EF4-FFF2-40B4-BE49-F238E27FC236}">
              <a16:creationId xmlns:a16="http://schemas.microsoft.com/office/drawing/2014/main" id="{C497D849-E84B-477E-A35D-E798BF703BF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5" name="TekstSylinder 1">
          <a:extLst>
            <a:ext uri="{FF2B5EF4-FFF2-40B4-BE49-F238E27FC236}">
              <a16:creationId xmlns:a16="http://schemas.microsoft.com/office/drawing/2014/main" id="{F5CC98E5-930E-441B-A71C-A493D7D18C1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6" name="TekstSylinder 1">
          <a:extLst>
            <a:ext uri="{FF2B5EF4-FFF2-40B4-BE49-F238E27FC236}">
              <a16:creationId xmlns:a16="http://schemas.microsoft.com/office/drawing/2014/main" id="{41B85FEF-33FE-4FBB-A2EB-8A2A66985BC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7" name="TekstSylinder 1">
          <a:extLst>
            <a:ext uri="{FF2B5EF4-FFF2-40B4-BE49-F238E27FC236}">
              <a16:creationId xmlns:a16="http://schemas.microsoft.com/office/drawing/2014/main" id="{4469A3C2-0464-4A5D-A12D-69B29FC7CAC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8" name="TekstSylinder 1">
          <a:extLst>
            <a:ext uri="{FF2B5EF4-FFF2-40B4-BE49-F238E27FC236}">
              <a16:creationId xmlns:a16="http://schemas.microsoft.com/office/drawing/2014/main" id="{CD685D98-7195-4D21-83E4-3308C8049E1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49" name="TekstSylinder 1">
          <a:extLst>
            <a:ext uri="{FF2B5EF4-FFF2-40B4-BE49-F238E27FC236}">
              <a16:creationId xmlns:a16="http://schemas.microsoft.com/office/drawing/2014/main" id="{3D656D84-589A-4E14-A096-BB0AB3D5E8E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0" name="TekstSylinder 1">
          <a:extLst>
            <a:ext uri="{FF2B5EF4-FFF2-40B4-BE49-F238E27FC236}">
              <a16:creationId xmlns:a16="http://schemas.microsoft.com/office/drawing/2014/main" id="{0832C2F6-B49C-4BAA-B0CE-E7A3A8967D2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1" name="TekstSylinder 1">
          <a:extLst>
            <a:ext uri="{FF2B5EF4-FFF2-40B4-BE49-F238E27FC236}">
              <a16:creationId xmlns:a16="http://schemas.microsoft.com/office/drawing/2014/main" id="{A3E1F8C3-F7D5-4AE5-BED3-2826C96DAD3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2" name="TekstSylinder 1">
          <a:extLst>
            <a:ext uri="{FF2B5EF4-FFF2-40B4-BE49-F238E27FC236}">
              <a16:creationId xmlns:a16="http://schemas.microsoft.com/office/drawing/2014/main" id="{9EA7C415-1723-4A6C-AE75-A0F0077E75E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3" name="TekstSylinder 1">
          <a:extLst>
            <a:ext uri="{FF2B5EF4-FFF2-40B4-BE49-F238E27FC236}">
              <a16:creationId xmlns:a16="http://schemas.microsoft.com/office/drawing/2014/main" id="{9E5729B8-583A-4069-98A5-57131CEE055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4" name="TekstSylinder 1">
          <a:extLst>
            <a:ext uri="{FF2B5EF4-FFF2-40B4-BE49-F238E27FC236}">
              <a16:creationId xmlns:a16="http://schemas.microsoft.com/office/drawing/2014/main" id="{76089C0E-14A8-414D-9A0B-3C6B7214544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5" name="TekstSylinder 1">
          <a:extLst>
            <a:ext uri="{FF2B5EF4-FFF2-40B4-BE49-F238E27FC236}">
              <a16:creationId xmlns:a16="http://schemas.microsoft.com/office/drawing/2014/main" id="{46D3E9D3-EE9E-4219-80C5-663EC4C0B3C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6" name="TekstSylinder 1">
          <a:extLst>
            <a:ext uri="{FF2B5EF4-FFF2-40B4-BE49-F238E27FC236}">
              <a16:creationId xmlns:a16="http://schemas.microsoft.com/office/drawing/2014/main" id="{C5F7B6BD-35F4-47D8-9D09-CB74570CCF5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7" name="TekstSylinder 1">
          <a:extLst>
            <a:ext uri="{FF2B5EF4-FFF2-40B4-BE49-F238E27FC236}">
              <a16:creationId xmlns:a16="http://schemas.microsoft.com/office/drawing/2014/main" id="{C5A9A124-D5C6-40D1-864C-14B357986F6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8" name="TekstSylinder 1">
          <a:extLst>
            <a:ext uri="{FF2B5EF4-FFF2-40B4-BE49-F238E27FC236}">
              <a16:creationId xmlns:a16="http://schemas.microsoft.com/office/drawing/2014/main" id="{80BF1DA2-E938-401C-A101-16AF51B122F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59" name="TekstSylinder 1">
          <a:extLst>
            <a:ext uri="{FF2B5EF4-FFF2-40B4-BE49-F238E27FC236}">
              <a16:creationId xmlns:a16="http://schemas.microsoft.com/office/drawing/2014/main" id="{DBF34329-6C09-4F91-836B-875BFE712EF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0" name="TekstSylinder 1">
          <a:extLst>
            <a:ext uri="{FF2B5EF4-FFF2-40B4-BE49-F238E27FC236}">
              <a16:creationId xmlns:a16="http://schemas.microsoft.com/office/drawing/2014/main" id="{FF32EAA4-41F0-4D1A-AEB2-61727389895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1" name="TekstSylinder 1">
          <a:extLst>
            <a:ext uri="{FF2B5EF4-FFF2-40B4-BE49-F238E27FC236}">
              <a16:creationId xmlns:a16="http://schemas.microsoft.com/office/drawing/2014/main" id="{DE12B967-6968-406C-AD8A-C00D3F88768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2" name="TekstSylinder 1">
          <a:extLst>
            <a:ext uri="{FF2B5EF4-FFF2-40B4-BE49-F238E27FC236}">
              <a16:creationId xmlns:a16="http://schemas.microsoft.com/office/drawing/2014/main" id="{969A2E24-AB50-4EE4-BF7C-C04EE2FE319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3" name="TekstSylinder 1">
          <a:extLst>
            <a:ext uri="{FF2B5EF4-FFF2-40B4-BE49-F238E27FC236}">
              <a16:creationId xmlns:a16="http://schemas.microsoft.com/office/drawing/2014/main" id="{E6013E11-4A84-4FB2-B89D-2A44547D867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4" name="TekstSylinder 1">
          <a:extLst>
            <a:ext uri="{FF2B5EF4-FFF2-40B4-BE49-F238E27FC236}">
              <a16:creationId xmlns:a16="http://schemas.microsoft.com/office/drawing/2014/main" id="{E08446E1-4145-4051-AB52-6AA7368E31D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5" name="TekstSylinder 1">
          <a:extLst>
            <a:ext uri="{FF2B5EF4-FFF2-40B4-BE49-F238E27FC236}">
              <a16:creationId xmlns:a16="http://schemas.microsoft.com/office/drawing/2014/main" id="{079DC198-161C-45A2-991A-EA74153A381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6" name="TekstSylinder 1">
          <a:extLst>
            <a:ext uri="{FF2B5EF4-FFF2-40B4-BE49-F238E27FC236}">
              <a16:creationId xmlns:a16="http://schemas.microsoft.com/office/drawing/2014/main" id="{942EA4DA-AF7C-44D1-8E4E-1362780DD84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7" name="TekstSylinder 1">
          <a:extLst>
            <a:ext uri="{FF2B5EF4-FFF2-40B4-BE49-F238E27FC236}">
              <a16:creationId xmlns:a16="http://schemas.microsoft.com/office/drawing/2014/main" id="{E7CF4E12-B19C-4F17-A664-751130B222F6}"/>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8" name="TekstSylinder 1">
          <a:extLst>
            <a:ext uri="{FF2B5EF4-FFF2-40B4-BE49-F238E27FC236}">
              <a16:creationId xmlns:a16="http://schemas.microsoft.com/office/drawing/2014/main" id="{592AAA54-44D2-4A56-AA29-21396623CBA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69" name="TekstSylinder 1">
          <a:extLst>
            <a:ext uri="{FF2B5EF4-FFF2-40B4-BE49-F238E27FC236}">
              <a16:creationId xmlns:a16="http://schemas.microsoft.com/office/drawing/2014/main" id="{185FE4B5-DEE7-4A0B-81E2-8C045F18EBC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0" name="TekstSylinder 1">
          <a:extLst>
            <a:ext uri="{FF2B5EF4-FFF2-40B4-BE49-F238E27FC236}">
              <a16:creationId xmlns:a16="http://schemas.microsoft.com/office/drawing/2014/main" id="{A9CFA080-9DF0-4F11-BFF6-A6997F94326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1" name="TekstSylinder 1">
          <a:extLst>
            <a:ext uri="{FF2B5EF4-FFF2-40B4-BE49-F238E27FC236}">
              <a16:creationId xmlns:a16="http://schemas.microsoft.com/office/drawing/2014/main" id="{EF051EA5-AA31-40EC-97C5-6B89438AC52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2" name="TekstSylinder 1">
          <a:extLst>
            <a:ext uri="{FF2B5EF4-FFF2-40B4-BE49-F238E27FC236}">
              <a16:creationId xmlns:a16="http://schemas.microsoft.com/office/drawing/2014/main" id="{FE42BEC7-B43E-494C-87E1-F39AFB70CA2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3" name="TekstSylinder 1">
          <a:extLst>
            <a:ext uri="{FF2B5EF4-FFF2-40B4-BE49-F238E27FC236}">
              <a16:creationId xmlns:a16="http://schemas.microsoft.com/office/drawing/2014/main" id="{444F7D62-E77E-4147-97BF-B798453BA5A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4" name="TekstSylinder 1">
          <a:extLst>
            <a:ext uri="{FF2B5EF4-FFF2-40B4-BE49-F238E27FC236}">
              <a16:creationId xmlns:a16="http://schemas.microsoft.com/office/drawing/2014/main" id="{C81DCE63-CD47-4358-B96D-F0502421BAD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5" name="TekstSylinder 1">
          <a:extLst>
            <a:ext uri="{FF2B5EF4-FFF2-40B4-BE49-F238E27FC236}">
              <a16:creationId xmlns:a16="http://schemas.microsoft.com/office/drawing/2014/main" id="{F0870CA2-3D5D-41FC-A830-55E3F995B33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6" name="TekstSylinder 1">
          <a:extLst>
            <a:ext uri="{FF2B5EF4-FFF2-40B4-BE49-F238E27FC236}">
              <a16:creationId xmlns:a16="http://schemas.microsoft.com/office/drawing/2014/main" id="{A0238F61-A421-445E-BB21-A4734AF4110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7" name="TekstSylinder 1">
          <a:extLst>
            <a:ext uri="{FF2B5EF4-FFF2-40B4-BE49-F238E27FC236}">
              <a16:creationId xmlns:a16="http://schemas.microsoft.com/office/drawing/2014/main" id="{80B40422-7FC7-4465-8E17-E96207107D46}"/>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8" name="TekstSylinder 1">
          <a:extLst>
            <a:ext uri="{FF2B5EF4-FFF2-40B4-BE49-F238E27FC236}">
              <a16:creationId xmlns:a16="http://schemas.microsoft.com/office/drawing/2014/main" id="{661D2C3C-3460-4462-B81D-E5D4F2648AF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79" name="TekstSylinder 1">
          <a:extLst>
            <a:ext uri="{FF2B5EF4-FFF2-40B4-BE49-F238E27FC236}">
              <a16:creationId xmlns:a16="http://schemas.microsoft.com/office/drawing/2014/main" id="{F2CFDC10-D307-40EE-B25C-FBD12A10D91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0" name="TekstSylinder 1">
          <a:extLst>
            <a:ext uri="{FF2B5EF4-FFF2-40B4-BE49-F238E27FC236}">
              <a16:creationId xmlns:a16="http://schemas.microsoft.com/office/drawing/2014/main" id="{27193E33-4264-42E3-9C14-C993F347FB6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1" name="TekstSylinder 1">
          <a:extLst>
            <a:ext uri="{FF2B5EF4-FFF2-40B4-BE49-F238E27FC236}">
              <a16:creationId xmlns:a16="http://schemas.microsoft.com/office/drawing/2014/main" id="{7B2A5CBF-20F1-4B1B-B297-5926A18CA1F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2" name="TekstSylinder 1">
          <a:extLst>
            <a:ext uri="{FF2B5EF4-FFF2-40B4-BE49-F238E27FC236}">
              <a16:creationId xmlns:a16="http://schemas.microsoft.com/office/drawing/2014/main" id="{14371ECC-8607-4FA6-838F-1C37B064BF8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3" name="TekstSylinder 1">
          <a:extLst>
            <a:ext uri="{FF2B5EF4-FFF2-40B4-BE49-F238E27FC236}">
              <a16:creationId xmlns:a16="http://schemas.microsoft.com/office/drawing/2014/main" id="{FACC3D89-4DB9-4F7E-B8F9-C6D3EB806FC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4" name="TekstSylinder 1">
          <a:extLst>
            <a:ext uri="{FF2B5EF4-FFF2-40B4-BE49-F238E27FC236}">
              <a16:creationId xmlns:a16="http://schemas.microsoft.com/office/drawing/2014/main" id="{7B0B9DDF-8181-46D7-9CF7-91E1382AEAA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5" name="TekstSylinder 1">
          <a:extLst>
            <a:ext uri="{FF2B5EF4-FFF2-40B4-BE49-F238E27FC236}">
              <a16:creationId xmlns:a16="http://schemas.microsoft.com/office/drawing/2014/main" id="{C3D06827-1FAD-4E3E-85DB-86BF513AF65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6" name="TekstSylinder 1">
          <a:extLst>
            <a:ext uri="{FF2B5EF4-FFF2-40B4-BE49-F238E27FC236}">
              <a16:creationId xmlns:a16="http://schemas.microsoft.com/office/drawing/2014/main" id="{4C1E0FC6-921A-4D73-9C55-5A17D4EA857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7" name="TekstSylinder 1">
          <a:extLst>
            <a:ext uri="{FF2B5EF4-FFF2-40B4-BE49-F238E27FC236}">
              <a16:creationId xmlns:a16="http://schemas.microsoft.com/office/drawing/2014/main" id="{6D44694F-816A-4FC2-9271-FF98F149BFF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8" name="TekstSylinder 1">
          <a:extLst>
            <a:ext uri="{FF2B5EF4-FFF2-40B4-BE49-F238E27FC236}">
              <a16:creationId xmlns:a16="http://schemas.microsoft.com/office/drawing/2014/main" id="{F74A65B5-0029-4435-AD5F-587198E1D8D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89" name="TekstSylinder 1">
          <a:extLst>
            <a:ext uri="{FF2B5EF4-FFF2-40B4-BE49-F238E27FC236}">
              <a16:creationId xmlns:a16="http://schemas.microsoft.com/office/drawing/2014/main" id="{063CF649-1A8F-42E3-B985-E4E237AD412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0" name="TekstSylinder 1">
          <a:extLst>
            <a:ext uri="{FF2B5EF4-FFF2-40B4-BE49-F238E27FC236}">
              <a16:creationId xmlns:a16="http://schemas.microsoft.com/office/drawing/2014/main" id="{E5EA439F-5299-4025-BDC2-1B45CDA00F5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1" name="TekstSylinder 1">
          <a:extLst>
            <a:ext uri="{FF2B5EF4-FFF2-40B4-BE49-F238E27FC236}">
              <a16:creationId xmlns:a16="http://schemas.microsoft.com/office/drawing/2014/main" id="{53F20EAA-A558-4045-904D-4E6C3C5AC35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2" name="TekstSylinder 1">
          <a:extLst>
            <a:ext uri="{FF2B5EF4-FFF2-40B4-BE49-F238E27FC236}">
              <a16:creationId xmlns:a16="http://schemas.microsoft.com/office/drawing/2014/main" id="{201A7ABB-F0CB-4F09-B008-08B2FB38F70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3" name="TekstSylinder 1">
          <a:extLst>
            <a:ext uri="{FF2B5EF4-FFF2-40B4-BE49-F238E27FC236}">
              <a16:creationId xmlns:a16="http://schemas.microsoft.com/office/drawing/2014/main" id="{8FD978E7-DF58-40F6-97FB-823DEDDBA95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4" name="TekstSylinder 1">
          <a:extLst>
            <a:ext uri="{FF2B5EF4-FFF2-40B4-BE49-F238E27FC236}">
              <a16:creationId xmlns:a16="http://schemas.microsoft.com/office/drawing/2014/main" id="{4A632BCE-101B-4ADE-81FB-8D442684F01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5" name="TekstSylinder 1">
          <a:extLst>
            <a:ext uri="{FF2B5EF4-FFF2-40B4-BE49-F238E27FC236}">
              <a16:creationId xmlns:a16="http://schemas.microsoft.com/office/drawing/2014/main" id="{5B89B550-8896-440F-AEDC-1E5E09133E1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6" name="TekstSylinder 1">
          <a:extLst>
            <a:ext uri="{FF2B5EF4-FFF2-40B4-BE49-F238E27FC236}">
              <a16:creationId xmlns:a16="http://schemas.microsoft.com/office/drawing/2014/main" id="{4A3F65C5-C561-4500-AA8F-DEBC1C5F67A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7" name="TekstSylinder 1">
          <a:extLst>
            <a:ext uri="{FF2B5EF4-FFF2-40B4-BE49-F238E27FC236}">
              <a16:creationId xmlns:a16="http://schemas.microsoft.com/office/drawing/2014/main" id="{72B2EC7F-AE7A-41E7-965F-C09F36DE24A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8" name="TekstSylinder 1">
          <a:extLst>
            <a:ext uri="{FF2B5EF4-FFF2-40B4-BE49-F238E27FC236}">
              <a16:creationId xmlns:a16="http://schemas.microsoft.com/office/drawing/2014/main" id="{FCD3C918-7B17-4471-8619-458885454726}"/>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799" name="TekstSylinder 1">
          <a:extLst>
            <a:ext uri="{FF2B5EF4-FFF2-40B4-BE49-F238E27FC236}">
              <a16:creationId xmlns:a16="http://schemas.microsoft.com/office/drawing/2014/main" id="{D80D38B9-BD2A-4604-B146-E17FBC348EE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0" name="TekstSylinder 1">
          <a:extLst>
            <a:ext uri="{FF2B5EF4-FFF2-40B4-BE49-F238E27FC236}">
              <a16:creationId xmlns:a16="http://schemas.microsoft.com/office/drawing/2014/main" id="{8CCB0883-DF7D-4274-BEAA-313B28C1340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1" name="TekstSylinder 1">
          <a:extLst>
            <a:ext uri="{FF2B5EF4-FFF2-40B4-BE49-F238E27FC236}">
              <a16:creationId xmlns:a16="http://schemas.microsoft.com/office/drawing/2014/main" id="{D8B791AC-3990-4B33-9C67-DCC67D35AF5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2" name="TekstSylinder 1">
          <a:extLst>
            <a:ext uri="{FF2B5EF4-FFF2-40B4-BE49-F238E27FC236}">
              <a16:creationId xmlns:a16="http://schemas.microsoft.com/office/drawing/2014/main" id="{485BC323-265C-466C-9B08-8A4B4B03F7C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3" name="TekstSylinder 1">
          <a:extLst>
            <a:ext uri="{FF2B5EF4-FFF2-40B4-BE49-F238E27FC236}">
              <a16:creationId xmlns:a16="http://schemas.microsoft.com/office/drawing/2014/main" id="{0A35B28F-40B2-40AA-A3C2-62B7B6B771F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4" name="TekstSylinder 1">
          <a:extLst>
            <a:ext uri="{FF2B5EF4-FFF2-40B4-BE49-F238E27FC236}">
              <a16:creationId xmlns:a16="http://schemas.microsoft.com/office/drawing/2014/main" id="{51C3783E-73EC-4976-A745-E8A3E979F57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5" name="TekstSylinder 1">
          <a:extLst>
            <a:ext uri="{FF2B5EF4-FFF2-40B4-BE49-F238E27FC236}">
              <a16:creationId xmlns:a16="http://schemas.microsoft.com/office/drawing/2014/main" id="{82DC68F1-0106-4379-8EEE-1DC505FC931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6" name="TekstSylinder 1">
          <a:extLst>
            <a:ext uri="{FF2B5EF4-FFF2-40B4-BE49-F238E27FC236}">
              <a16:creationId xmlns:a16="http://schemas.microsoft.com/office/drawing/2014/main" id="{491849E5-C30D-4831-B820-2FD20A4B6D7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7" name="TekstSylinder 1">
          <a:extLst>
            <a:ext uri="{FF2B5EF4-FFF2-40B4-BE49-F238E27FC236}">
              <a16:creationId xmlns:a16="http://schemas.microsoft.com/office/drawing/2014/main" id="{207003E9-66A9-4889-8AE7-1ED903BAC2C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8" name="TekstSylinder 1">
          <a:extLst>
            <a:ext uri="{FF2B5EF4-FFF2-40B4-BE49-F238E27FC236}">
              <a16:creationId xmlns:a16="http://schemas.microsoft.com/office/drawing/2014/main" id="{10DC3296-1CB3-44B8-AD84-8D3490D8BCB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09" name="TekstSylinder 1">
          <a:extLst>
            <a:ext uri="{FF2B5EF4-FFF2-40B4-BE49-F238E27FC236}">
              <a16:creationId xmlns:a16="http://schemas.microsoft.com/office/drawing/2014/main" id="{3801B5AF-A4FB-42B4-AF26-22D11BCAFF0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0" name="TekstSylinder 1">
          <a:extLst>
            <a:ext uri="{FF2B5EF4-FFF2-40B4-BE49-F238E27FC236}">
              <a16:creationId xmlns:a16="http://schemas.microsoft.com/office/drawing/2014/main" id="{C9B3EBDB-65FD-4392-B2E8-9AC8F229F70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1" name="TekstSylinder 1">
          <a:extLst>
            <a:ext uri="{FF2B5EF4-FFF2-40B4-BE49-F238E27FC236}">
              <a16:creationId xmlns:a16="http://schemas.microsoft.com/office/drawing/2014/main" id="{DA053C12-2B38-4CEC-9B9F-693C705FF5E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2" name="TekstSylinder 1">
          <a:extLst>
            <a:ext uri="{FF2B5EF4-FFF2-40B4-BE49-F238E27FC236}">
              <a16:creationId xmlns:a16="http://schemas.microsoft.com/office/drawing/2014/main" id="{18DD4AB9-7091-41C3-B426-80D8A1C55ED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3" name="TekstSylinder 1">
          <a:extLst>
            <a:ext uri="{FF2B5EF4-FFF2-40B4-BE49-F238E27FC236}">
              <a16:creationId xmlns:a16="http://schemas.microsoft.com/office/drawing/2014/main" id="{10D7E680-924E-4DBB-BFC1-2024F1F4621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4" name="TekstSylinder 1">
          <a:extLst>
            <a:ext uri="{FF2B5EF4-FFF2-40B4-BE49-F238E27FC236}">
              <a16:creationId xmlns:a16="http://schemas.microsoft.com/office/drawing/2014/main" id="{27A1F505-D5BF-4B32-A1AF-B8B44867824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5" name="TekstSylinder 1">
          <a:extLst>
            <a:ext uri="{FF2B5EF4-FFF2-40B4-BE49-F238E27FC236}">
              <a16:creationId xmlns:a16="http://schemas.microsoft.com/office/drawing/2014/main" id="{58CDD8E2-7DDB-42BD-98CC-EED30F59BE8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6" name="TekstSylinder 1">
          <a:extLst>
            <a:ext uri="{FF2B5EF4-FFF2-40B4-BE49-F238E27FC236}">
              <a16:creationId xmlns:a16="http://schemas.microsoft.com/office/drawing/2014/main" id="{AAAE9873-90FA-4AE8-A4A5-EAEEB425E7B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7" name="TekstSylinder 1">
          <a:extLst>
            <a:ext uri="{FF2B5EF4-FFF2-40B4-BE49-F238E27FC236}">
              <a16:creationId xmlns:a16="http://schemas.microsoft.com/office/drawing/2014/main" id="{C6511FB7-2776-4101-99A7-03CBEB38F06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8" name="TekstSylinder 117">
          <a:extLst>
            <a:ext uri="{FF2B5EF4-FFF2-40B4-BE49-F238E27FC236}">
              <a16:creationId xmlns:a16="http://schemas.microsoft.com/office/drawing/2014/main" id="{9993C9ED-3DCB-49B5-B5B5-52D12EB2D2AD}"/>
            </a:ext>
            <a:ext uri="{147F2762-F138-4A5C-976F-8EAC2B608ADB}">
              <a16:predDERef xmlns:a16="http://schemas.microsoft.com/office/drawing/2014/main" pred="{4AD50B49-CBBB-4592-B199-0927248AB36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19" name="TekstSylinder 1">
          <a:extLst>
            <a:ext uri="{FF2B5EF4-FFF2-40B4-BE49-F238E27FC236}">
              <a16:creationId xmlns:a16="http://schemas.microsoft.com/office/drawing/2014/main" id="{65436149-738E-432B-9356-52D870BD01BF}"/>
            </a:ext>
            <a:ext uri="{147F2762-F138-4A5C-976F-8EAC2B608ADB}">
              <a16:predDERef xmlns:a16="http://schemas.microsoft.com/office/drawing/2014/main" pred="{03B3ECFF-A5EF-422D-B96F-E53898F51A9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0" name="TekstSylinder 1">
          <a:extLst>
            <a:ext uri="{FF2B5EF4-FFF2-40B4-BE49-F238E27FC236}">
              <a16:creationId xmlns:a16="http://schemas.microsoft.com/office/drawing/2014/main" id="{4146E92D-CA41-45B5-8D8E-230B656BCEE0}"/>
            </a:ext>
            <a:ext uri="{147F2762-F138-4A5C-976F-8EAC2B608ADB}">
              <a16:predDERef xmlns:a16="http://schemas.microsoft.com/office/drawing/2014/main" pred="{20D388C2-B609-42E5-B9CC-B6320A136A4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1" name="TekstSylinder 1">
          <a:extLst>
            <a:ext uri="{FF2B5EF4-FFF2-40B4-BE49-F238E27FC236}">
              <a16:creationId xmlns:a16="http://schemas.microsoft.com/office/drawing/2014/main" id="{048308C5-95D5-4CBF-BA9A-DCB49806FF8B}"/>
            </a:ext>
            <a:ext uri="{147F2762-F138-4A5C-976F-8EAC2B608ADB}">
              <a16:predDERef xmlns:a16="http://schemas.microsoft.com/office/drawing/2014/main" pred="{B762B847-FDD6-44DE-B67D-058CA2849C6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2" name="TekstSylinder 1">
          <a:extLst>
            <a:ext uri="{FF2B5EF4-FFF2-40B4-BE49-F238E27FC236}">
              <a16:creationId xmlns:a16="http://schemas.microsoft.com/office/drawing/2014/main" id="{37C9EDEF-4BF1-4411-99CB-E87CE109B145}"/>
            </a:ext>
            <a:ext uri="{147F2762-F138-4A5C-976F-8EAC2B608ADB}">
              <a16:predDERef xmlns:a16="http://schemas.microsoft.com/office/drawing/2014/main" pred="{9A047AA2-1457-4F35-AD36-367467A79A0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3" name="TekstSylinder 1">
          <a:extLst>
            <a:ext uri="{FF2B5EF4-FFF2-40B4-BE49-F238E27FC236}">
              <a16:creationId xmlns:a16="http://schemas.microsoft.com/office/drawing/2014/main" id="{DB7FFB3C-59D1-451E-AE79-9AA9B431C9FF}"/>
            </a:ext>
            <a:ext uri="{147F2762-F138-4A5C-976F-8EAC2B608ADB}">
              <a16:predDERef xmlns:a16="http://schemas.microsoft.com/office/drawing/2014/main" pred="{A7E3F32E-3F5B-4135-898C-924A46E42D1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4" name="TekstSylinder 1">
          <a:extLst>
            <a:ext uri="{FF2B5EF4-FFF2-40B4-BE49-F238E27FC236}">
              <a16:creationId xmlns:a16="http://schemas.microsoft.com/office/drawing/2014/main" id="{558F7774-EA11-4EFE-91D2-AFC25D8CEC1F}"/>
            </a:ext>
            <a:ext uri="{147F2762-F138-4A5C-976F-8EAC2B608ADB}">
              <a16:predDERef xmlns:a16="http://schemas.microsoft.com/office/drawing/2014/main" pred="{BC3E8338-B9B4-4475-8007-23B74B2F6BF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5" name="TekstSylinder 1">
          <a:extLst>
            <a:ext uri="{FF2B5EF4-FFF2-40B4-BE49-F238E27FC236}">
              <a16:creationId xmlns:a16="http://schemas.microsoft.com/office/drawing/2014/main" id="{14591C05-E3F5-423C-BA35-501060432928}"/>
            </a:ext>
            <a:ext uri="{147F2762-F138-4A5C-976F-8EAC2B608ADB}">
              <a16:predDERef xmlns:a16="http://schemas.microsoft.com/office/drawing/2014/main" pred="{6E3FB7F9-CC5E-4AF2-B22E-1CE293351EE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6" name="TekstSylinder 1">
          <a:extLst>
            <a:ext uri="{FF2B5EF4-FFF2-40B4-BE49-F238E27FC236}">
              <a16:creationId xmlns:a16="http://schemas.microsoft.com/office/drawing/2014/main" id="{AD64F272-9ED9-44CF-8589-C47B8173A7CE}"/>
            </a:ext>
            <a:ext uri="{147F2762-F138-4A5C-976F-8EAC2B608ADB}">
              <a16:predDERef xmlns:a16="http://schemas.microsoft.com/office/drawing/2014/main" pred="{1A092FCE-FF2D-468C-9E5C-869965DF299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7" name="TekstSylinder 1">
          <a:extLst>
            <a:ext uri="{FF2B5EF4-FFF2-40B4-BE49-F238E27FC236}">
              <a16:creationId xmlns:a16="http://schemas.microsoft.com/office/drawing/2014/main" id="{D8C19514-1FFA-45AA-904E-2586AA5FFE46}"/>
            </a:ext>
            <a:ext uri="{147F2762-F138-4A5C-976F-8EAC2B608ADB}">
              <a16:predDERef xmlns:a16="http://schemas.microsoft.com/office/drawing/2014/main" pred="{904C5DC0-C14F-42A5-802D-E72AFD7EFB6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8" name="TekstSylinder 1">
          <a:extLst>
            <a:ext uri="{FF2B5EF4-FFF2-40B4-BE49-F238E27FC236}">
              <a16:creationId xmlns:a16="http://schemas.microsoft.com/office/drawing/2014/main" id="{64C340A4-82FC-431B-BE2B-B46969823E3F}"/>
            </a:ext>
            <a:ext uri="{147F2762-F138-4A5C-976F-8EAC2B608ADB}">
              <a16:predDERef xmlns:a16="http://schemas.microsoft.com/office/drawing/2014/main" pred="{100C1552-E0D8-4973-AAD8-469D6B68545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29" name="TekstSylinder 1">
          <a:extLst>
            <a:ext uri="{FF2B5EF4-FFF2-40B4-BE49-F238E27FC236}">
              <a16:creationId xmlns:a16="http://schemas.microsoft.com/office/drawing/2014/main" id="{97931573-7601-455F-BFE9-0C7458453EF4}"/>
            </a:ext>
            <a:ext uri="{147F2762-F138-4A5C-976F-8EAC2B608ADB}">
              <a16:predDERef xmlns:a16="http://schemas.microsoft.com/office/drawing/2014/main" pred="{86506F78-B945-48A0-9080-D7924134AC6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0" name="TekstSylinder 1">
          <a:extLst>
            <a:ext uri="{FF2B5EF4-FFF2-40B4-BE49-F238E27FC236}">
              <a16:creationId xmlns:a16="http://schemas.microsoft.com/office/drawing/2014/main" id="{3CB09F27-54F0-464F-B576-88CCD2402CC5}"/>
            </a:ext>
            <a:ext uri="{147F2762-F138-4A5C-976F-8EAC2B608ADB}">
              <a16:predDERef xmlns:a16="http://schemas.microsoft.com/office/drawing/2014/main" pred="{C008A3F5-24D6-41FE-B934-96816BEE2D5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1" name="TekstSylinder 1">
          <a:extLst>
            <a:ext uri="{FF2B5EF4-FFF2-40B4-BE49-F238E27FC236}">
              <a16:creationId xmlns:a16="http://schemas.microsoft.com/office/drawing/2014/main" id="{33409BB5-CBD2-4CAF-B9AD-7A4BC60FF145}"/>
            </a:ext>
            <a:ext uri="{147F2762-F138-4A5C-976F-8EAC2B608ADB}">
              <a16:predDERef xmlns:a16="http://schemas.microsoft.com/office/drawing/2014/main" pred="{47DCDEDD-A4EB-4DF3-9D55-4CD5F2D12FB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2" name="TekstSylinder 1">
          <a:extLst>
            <a:ext uri="{FF2B5EF4-FFF2-40B4-BE49-F238E27FC236}">
              <a16:creationId xmlns:a16="http://schemas.microsoft.com/office/drawing/2014/main" id="{8C2C8E0E-19C8-4C9F-AAD1-5A07F95490CE}"/>
            </a:ext>
            <a:ext uri="{147F2762-F138-4A5C-976F-8EAC2B608ADB}">
              <a16:predDERef xmlns:a16="http://schemas.microsoft.com/office/drawing/2014/main" pred="{6DE10051-992C-46A7-82DA-A4FA76EB579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3" name="TekstSylinder 1">
          <a:extLst>
            <a:ext uri="{FF2B5EF4-FFF2-40B4-BE49-F238E27FC236}">
              <a16:creationId xmlns:a16="http://schemas.microsoft.com/office/drawing/2014/main" id="{45486C8C-8B10-4BF1-AAEB-6F44ABBF778B}"/>
            </a:ext>
            <a:ext uri="{147F2762-F138-4A5C-976F-8EAC2B608ADB}">
              <a16:predDERef xmlns:a16="http://schemas.microsoft.com/office/drawing/2014/main" pred="{14074C41-AA52-4F25-9F6F-576796A475D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4" name="TekstSylinder 1">
          <a:extLst>
            <a:ext uri="{FF2B5EF4-FFF2-40B4-BE49-F238E27FC236}">
              <a16:creationId xmlns:a16="http://schemas.microsoft.com/office/drawing/2014/main" id="{4B1CA825-41A6-4914-A5B5-92A6722E4AE5}"/>
            </a:ext>
            <a:ext uri="{147F2762-F138-4A5C-976F-8EAC2B608ADB}">
              <a16:predDERef xmlns:a16="http://schemas.microsoft.com/office/drawing/2014/main" pred="{AAD7415D-4223-4650-9EE2-E228477F311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5" name="TekstSylinder 1">
          <a:extLst>
            <a:ext uri="{FF2B5EF4-FFF2-40B4-BE49-F238E27FC236}">
              <a16:creationId xmlns:a16="http://schemas.microsoft.com/office/drawing/2014/main" id="{DF0D72D1-E9D1-4258-91F4-4DF703B93EC4}"/>
            </a:ext>
            <a:ext uri="{147F2762-F138-4A5C-976F-8EAC2B608ADB}">
              <a16:predDERef xmlns:a16="http://schemas.microsoft.com/office/drawing/2014/main" pred="{7DE5BE37-6A72-477B-82CE-8802E1FACAC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6" name="TekstSylinder 1">
          <a:extLst>
            <a:ext uri="{FF2B5EF4-FFF2-40B4-BE49-F238E27FC236}">
              <a16:creationId xmlns:a16="http://schemas.microsoft.com/office/drawing/2014/main" id="{B9FF9A00-3E22-4214-B65C-5B9B96AD0927}"/>
            </a:ext>
            <a:ext uri="{147F2762-F138-4A5C-976F-8EAC2B608ADB}">
              <a16:predDERef xmlns:a16="http://schemas.microsoft.com/office/drawing/2014/main" pred="{D9F0B2AA-980A-411F-89FF-3067CDF10E3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7" name="TekstSylinder 1">
          <a:extLst>
            <a:ext uri="{FF2B5EF4-FFF2-40B4-BE49-F238E27FC236}">
              <a16:creationId xmlns:a16="http://schemas.microsoft.com/office/drawing/2014/main" id="{07D38442-FABD-46B0-9B10-992A1CACFC26}"/>
            </a:ext>
            <a:ext uri="{147F2762-F138-4A5C-976F-8EAC2B608ADB}">
              <a16:predDERef xmlns:a16="http://schemas.microsoft.com/office/drawing/2014/main" pred="{AB1225FB-F429-49DA-977D-FC567984415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8" name="TekstSylinder 1">
          <a:extLst>
            <a:ext uri="{FF2B5EF4-FFF2-40B4-BE49-F238E27FC236}">
              <a16:creationId xmlns:a16="http://schemas.microsoft.com/office/drawing/2014/main" id="{BC9FED8C-8B13-49C4-85AB-326931DD688F}"/>
            </a:ext>
            <a:ext uri="{147F2762-F138-4A5C-976F-8EAC2B608ADB}">
              <a16:predDERef xmlns:a16="http://schemas.microsoft.com/office/drawing/2014/main" pred="{2D03B909-BBCB-439F-9DE2-32A73846D4F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39" name="TekstSylinder 1">
          <a:extLst>
            <a:ext uri="{FF2B5EF4-FFF2-40B4-BE49-F238E27FC236}">
              <a16:creationId xmlns:a16="http://schemas.microsoft.com/office/drawing/2014/main" id="{0BE9B01B-0875-4044-9E85-D6FB3E915A33}"/>
            </a:ext>
            <a:ext uri="{147F2762-F138-4A5C-976F-8EAC2B608ADB}">
              <a16:predDERef xmlns:a16="http://schemas.microsoft.com/office/drawing/2014/main" pred="{569BC74C-B695-4D4D-9360-D1BCC39C759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0" name="TekstSylinder 1">
          <a:extLst>
            <a:ext uri="{FF2B5EF4-FFF2-40B4-BE49-F238E27FC236}">
              <a16:creationId xmlns:a16="http://schemas.microsoft.com/office/drawing/2014/main" id="{72C04E2B-56B2-487A-8ACE-BC51B0DF0FBA}"/>
            </a:ext>
            <a:ext uri="{147F2762-F138-4A5C-976F-8EAC2B608ADB}">
              <a16:predDERef xmlns:a16="http://schemas.microsoft.com/office/drawing/2014/main" pred="{5B0D3CB6-0FEE-4047-AD30-5D95B2DA783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1" name="TekstSylinder 1">
          <a:extLst>
            <a:ext uri="{FF2B5EF4-FFF2-40B4-BE49-F238E27FC236}">
              <a16:creationId xmlns:a16="http://schemas.microsoft.com/office/drawing/2014/main" id="{68A4D994-484B-410B-9435-CD6ECE91EFD1}"/>
            </a:ext>
            <a:ext uri="{147F2762-F138-4A5C-976F-8EAC2B608ADB}">
              <a16:predDERef xmlns:a16="http://schemas.microsoft.com/office/drawing/2014/main" pred="{62583C23-F48F-4F32-98BC-8A118D12A376}"/>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2" name="TekstSylinder 1">
          <a:extLst>
            <a:ext uri="{FF2B5EF4-FFF2-40B4-BE49-F238E27FC236}">
              <a16:creationId xmlns:a16="http://schemas.microsoft.com/office/drawing/2014/main" id="{590A9BE8-4CFB-4E35-8624-D13FAAB248A7}"/>
            </a:ext>
            <a:ext uri="{147F2762-F138-4A5C-976F-8EAC2B608ADB}">
              <a16:predDERef xmlns:a16="http://schemas.microsoft.com/office/drawing/2014/main" pred="{0F61965D-9435-47E3-8BF4-83A18AD0697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3" name="TekstSylinder 1">
          <a:extLst>
            <a:ext uri="{FF2B5EF4-FFF2-40B4-BE49-F238E27FC236}">
              <a16:creationId xmlns:a16="http://schemas.microsoft.com/office/drawing/2014/main" id="{1A518C22-8FE0-4997-A261-C626ECDF759F}"/>
            </a:ext>
            <a:ext uri="{147F2762-F138-4A5C-976F-8EAC2B608ADB}">
              <a16:predDERef xmlns:a16="http://schemas.microsoft.com/office/drawing/2014/main" pred="{C6EBB09F-6C5B-4187-9C7F-9F33D2E9678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4" name="TekstSylinder 1">
          <a:extLst>
            <a:ext uri="{FF2B5EF4-FFF2-40B4-BE49-F238E27FC236}">
              <a16:creationId xmlns:a16="http://schemas.microsoft.com/office/drawing/2014/main" id="{4FD2A4BB-6C3C-48EC-80B1-0CF4103548B6}"/>
            </a:ext>
            <a:ext uri="{147F2762-F138-4A5C-976F-8EAC2B608ADB}">
              <a16:predDERef xmlns:a16="http://schemas.microsoft.com/office/drawing/2014/main" pred="{85CCCBA8-35DB-47FA-8BA4-4A434B93943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5" name="TekstSylinder 1">
          <a:extLst>
            <a:ext uri="{FF2B5EF4-FFF2-40B4-BE49-F238E27FC236}">
              <a16:creationId xmlns:a16="http://schemas.microsoft.com/office/drawing/2014/main" id="{E0280AFB-7869-47DF-9AE3-EA54EDB25A28}"/>
            </a:ext>
            <a:ext uri="{147F2762-F138-4A5C-976F-8EAC2B608ADB}">
              <a16:predDERef xmlns:a16="http://schemas.microsoft.com/office/drawing/2014/main" pred="{37E2ACE0-CEB9-4F91-A3EA-474B2A736FE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6" name="TekstSylinder 1">
          <a:extLst>
            <a:ext uri="{FF2B5EF4-FFF2-40B4-BE49-F238E27FC236}">
              <a16:creationId xmlns:a16="http://schemas.microsoft.com/office/drawing/2014/main" id="{18AF1591-2FB8-45B9-970D-32BC0A6B2809}"/>
            </a:ext>
            <a:ext uri="{147F2762-F138-4A5C-976F-8EAC2B608ADB}">
              <a16:predDERef xmlns:a16="http://schemas.microsoft.com/office/drawing/2014/main" pred="{1FC15686-A1FD-49B8-B28B-4D4B490358A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7" name="TekstSylinder 1">
          <a:extLst>
            <a:ext uri="{FF2B5EF4-FFF2-40B4-BE49-F238E27FC236}">
              <a16:creationId xmlns:a16="http://schemas.microsoft.com/office/drawing/2014/main" id="{5AF9295E-A858-465C-85A4-E0DB8E810EE1}"/>
            </a:ext>
            <a:ext uri="{147F2762-F138-4A5C-976F-8EAC2B608ADB}">
              <a16:predDERef xmlns:a16="http://schemas.microsoft.com/office/drawing/2014/main" pred="{B7300375-38EA-44C3-9983-F638082750B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8" name="TekstSylinder 1">
          <a:extLst>
            <a:ext uri="{FF2B5EF4-FFF2-40B4-BE49-F238E27FC236}">
              <a16:creationId xmlns:a16="http://schemas.microsoft.com/office/drawing/2014/main" id="{9094E42B-775B-4D9F-8736-7B9452EE82EF}"/>
            </a:ext>
            <a:ext uri="{147F2762-F138-4A5C-976F-8EAC2B608ADB}">
              <a16:predDERef xmlns:a16="http://schemas.microsoft.com/office/drawing/2014/main" pred="{3FB03E94-1FB7-4094-8873-D0890162134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49" name="TekstSylinder 1">
          <a:extLst>
            <a:ext uri="{FF2B5EF4-FFF2-40B4-BE49-F238E27FC236}">
              <a16:creationId xmlns:a16="http://schemas.microsoft.com/office/drawing/2014/main" id="{9F3070C6-ECA4-452D-9773-B488F39A5887}"/>
            </a:ext>
            <a:ext uri="{147F2762-F138-4A5C-976F-8EAC2B608ADB}">
              <a16:predDERef xmlns:a16="http://schemas.microsoft.com/office/drawing/2014/main" pred="{B6D66143-F26A-454A-8394-7A54ABF5CA4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0" name="TekstSylinder 1">
          <a:extLst>
            <a:ext uri="{FF2B5EF4-FFF2-40B4-BE49-F238E27FC236}">
              <a16:creationId xmlns:a16="http://schemas.microsoft.com/office/drawing/2014/main" id="{0E4ECFD1-BEC9-42C7-B5AA-901821F2AC4F}"/>
            </a:ext>
            <a:ext uri="{147F2762-F138-4A5C-976F-8EAC2B608ADB}">
              <a16:predDERef xmlns:a16="http://schemas.microsoft.com/office/drawing/2014/main" pred="{704974E7-6BB9-4448-82D0-B9AB9AA426D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1" name="TekstSylinder 1">
          <a:extLst>
            <a:ext uri="{FF2B5EF4-FFF2-40B4-BE49-F238E27FC236}">
              <a16:creationId xmlns:a16="http://schemas.microsoft.com/office/drawing/2014/main" id="{31E47AC9-ADD4-4DF3-B53B-42AFC7FD9237}"/>
            </a:ext>
            <a:ext uri="{147F2762-F138-4A5C-976F-8EAC2B608ADB}">
              <a16:predDERef xmlns:a16="http://schemas.microsoft.com/office/drawing/2014/main" pred="{4FFCA48E-2741-4C15-AABC-A40C970497F2}"/>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2" name="TekstSylinder 1">
          <a:extLst>
            <a:ext uri="{FF2B5EF4-FFF2-40B4-BE49-F238E27FC236}">
              <a16:creationId xmlns:a16="http://schemas.microsoft.com/office/drawing/2014/main" id="{D01D136D-7A6C-43C3-9732-0E42B10AC7AB}"/>
            </a:ext>
            <a:ext uri="{147F2762-F138-4A5C-976F-8EAC2B608ADB}">
              <a16:predDERef xmlns:a16="http://schemas.microsoft.com/office/drawing/2014/main" pred="{08DACEC7-52D0-45E1-984A-7DE74E12C47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3" name="TekstSylinder 1">
          <a:extLst>
            <a:ext uri="{FF2B5EF4-FFF2-40B4-BE49-F238E27FC236}">
              <a16:creationId xmlns:a16="http://schemas.microsoft.com/office/drawing/2014/main" id="{03E46F16-7380-4D87-A2A6-828412DFADDA}"/>
            </a:ext>
            <a:ext uri="{147F2762-F138-4A5C-976F-8EAC2B608ADB}">
              <a16:predDERef xmlns:a16="http://schemas.microsoft.com/office/drawing/2014/main" pred="{040584F8-3A4A-4426-8189-2013C61A10C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4" name="TekstSylinder 1">
          <a:extLst>
            <a:ext uri="{FF2B5EF4-FFF2-40B4-BE49-F238E27FC236}">
              <a16:creationId xmlns:a16="http://schemas.microsoft.com/office/drawing/2014/main" id="{B79B5408-33A2-49D0-A8C8-47F584DEA971}"/>
            </a:ext>
            <a:ext uri="{147F2762-F138-4A5C-976F-8EAC2B608ADB}">
              <a16:predDERef xmlns:a16="http://schemas.microsoft.com/office/drawing/2014/main" pred="{3CAF37B8-9D31-41A8-B751-4B48640201D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5" name="TekstSylinder 1">
          <a:extLst>
            <a:ext uri="{FF2B5EF4-FFF2-40B4-BE49-F238E27FC236}">
              <a16:creationId xmlns:a16="http://schemas.microsoft.com/office/drawing/2014/main" id="{EDECDEDF-D5C6-4877-81B6-E4B456B061E8}"/>
            </a:ext>
            <a:ext uri="{147F2762-F138-4A5C-976F-8EAC2B608ADB}">
              <a16:predDERef xmlns:a16="http://schemas.microsoft.com/office/drawing/2014/main" pred="{7BFA073E-6281-4BB4-B143-B5A90BB2306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6" name="TekstSylinder 1">
          <a:extLst>
            <a:ext uri="{FF2B5EF4-FFF2-40B4-BE49-F238E27FC236}">
              <a16:creationId xmlns:a16="http://schemas.microsoft.com/office/drawing/2014/main" id="{BB84AAA7-D354-4C3D-91E6-4A3473B54EE8}"/>
            </a:ext>
            <a:ext uri="{147F2762-F138-4A5C-976F-8EAC2B608ADB}">
              <a16:predDERef xmlns:a16="http://schemas.microsoft.com/office/drawing/2014/main" pred="{BF20B23C-3FC5-47D7-A7AB-2F3F4D86805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7" name="TekstSylinder 1">
          <a:extLst>
            <a:ext uri="{FF2B5EF4-FFF2-40B4-BE49-F238E27FC236}">
              <a16:creationId xmlns:a16="http://schemas.microsoft.com/office/drawing/2014/main" id="{38E1E26C-B3D0-434D-BF28-126952D0D952}"/>
            </a:ext>
            <a:ext uri="{147F2762-F138-4A5C-976F-8EAC2B608ADB}">
              <a16:predDERef xmlns:a16="http://schemas.microsoft.com/office/drawing/2014/main" pred="{92543506-9622-44E2-97E0-7FBD3AD009A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8" name="TekstSylinder 1">
          <a:extLst>
            <a:ext uri="{FF2B5EF4-FFF2-40B4-BE49-F238E27FC236}">
              <a16:creationId xmlns:a16="http://schemas.microsoft.com/office/drawing/2014/main" id="{DDC3EED6-FDA4-43D9-9CC6-1BB62D98EB24}"/>
            </a:ext>
            <a:ext uri="{147F2762-F138-4A5C-976F-8EAC2B608ADB}">
              <a16:predDERef xmlns:a16="http://schemas.microsoft.com/office/drawing/2014/main" pred="{373B2D33-9B19-453D-93C8-5762A919872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59" name="TekstSylinder 1">
          <a:extLst>
            <a:ext uri="{FF2B5EF4-FFF2-40B4-BE49-F238E27FC236}">
              <a16:creationId xmlns:a16="http://schemas.microsoft.com/office/drawing/2014/main" id="{A7809AFC-BC31-420D-84EC-C0ABE311822E}"/>
            </a:ext>
            <a:ext uri="{147F2762-F138-4A5C-976F-8EAC2B608ADB}">
              <a16:predDERef xmlns:a16="http://schemas.microsoft.com/office/drawing/2014/main" pred="{83B1B575-1FAE-4ED7-9B71-57A923766BC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0" name="TekstSylinder 1">
          <a:extLst>
            <a:ext uri="{FF2B5EF4-FFF2-40B4-BE49-F238E27FC236}">
              <a16:creationId xmlns:a16="http://schemas.microsoft.com/office/drawing/2014/main" id="{28B36204-78C2-4A95-9BAD-571997C9D61A}"/>
            </a:ext>
            <a:ext uri="{147F2762-F138-4A5C-976F-8EAC2B608ADB}">
              <a16:predDERef xmlns:a16="http://schemas.microsoft.com/office/drawing/2014/main" pred="{D5B742D1-9209-462D-B0DA-BCF4E06C77E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1" name="TekstSylinder 1">
          <a:extLst>
            <a:ext uri="{FF2B5EF4-FFF2-40B4-BE49-F238E27FC236}">
              <a16:creationId xmlns:a16="http://schemas.microsoft.com/office/drawing/2014/main" id="{9DEB4EDB-36E9-44F9-9ADC-D7A88CBAF66A}"/>
            </a:ext>
            <a:ext uri="{147F2762-F138-4A5C-976F-8EAC2B608ADB}">
              <a16:predDERef xmlns:a16="http://schemas.microsoft.com/office/drawing/2014/main" pred="{7D381D08-F0DD-4E1E-A4F5-E840FA35C07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2" name="TekstSylinder 1">
          <a:extLst>
            <a:ext uri="{FF2B5EF4-FFF2-40B4-BE49-F238E27FC236}">
              <a16:creationId xmlns:a16="http://schemas.microsoft.com/office/drawing/2014/main" id="{F2DE397C-355F-45BC-A588-81C6D2B64BAF}"/>
            </a:ext>
            <a:ext uri="{147F2762-F138-4A5C-976F-8EAC2B608ADB}">
              <a16:predDERef xmlns:a16="http://schemas.microsoft.com/office/drawing/2014/main" pred="{E9D679F1-7718-400B-8809-C5B3BADC1A5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3" name="TekstSylinder 1">
          <a:extLst>
            <a:ext uri="{FF2B5EF4-FFF2-40B4-BE49-F238E27FC236}">
              <a16:creationId xmlns:a16="http://schemas.microsoft.com/office/drawing/2014/main" id="{E983FD76-9569-4CFF-8F5B-071F70AED3D6}"/>
            </a:ext>
            <a:ext uri="{147F2762-F138-4A5C-976F-8EAC2B608ADB}">
              <a16:predDERef xmlns:a16="http://schemas.microsoft.com/office/drawing/2014/main" pred="{6D306411-EA37-4042-A43D-49A2EEE283D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4" name="TekstSylinder 1">
          <a:extLst>
            <a:ext uri="{FF2B5EF4-FFF2-40B4-BE49-F238E27FC236}">
              <a16:creationId xmlns:a16="http://schemas.microsoft.com/office/drawing/2014/main" id="{9DF04D50-070E-4DDE-A1A1-D1F3C2F4EE18}"/>
            </a:ext>
            <a:ext uri="{147F2762-F138-4A5C-976F-8EAC2B608ADB}">
              <a16:predDERef xmlns:a16="http://schemas.microsoft.com/office/drawing/2014/main" pred="{6F389128-6CAE-445C-A279-BD3011820CB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5" name="TekstSylinder 1">
          <a:extLst>
            <a:ext uri="{FF2B5EF4-FFF2-40B4-BE49-F238E27FC236}">
              <a16:creationId xmlns:a16="http://schemas.microsoft.com/office/drawing/2014/main" id="{69618501-139D-4944-A6FF-1DDD5F82F2F0}"/>
            </a:ext>
            <a:ext uri="{147F2762-F138-4A5C-976F-8EAC2B608ADB}">
              <a16:predDERef xmlns:a16="http://schemas.microsoft.com/office/drawing/2014/main" pred="{7B4DE855-D8CE-4050-B0E3-2CFB2121A39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6" name="TekstSylinder 1">
          <a:extLst>
            <a:ext uri="{FF2B5EF4-FFF2-40B4-BE49-F238E27FC236}">
              <a16:creationId xmlns:a16="http://schemas.microsoft.com/office/drawing/2014/main" id="{832032C2-CD64-49F1-898D-22EAA187410F}"/>
            </a:ext>
            <a:ext uri="{147F2762-F138-4A5C-976F-8EAC2B608ADB}">
              <a16:predDERef xmlns:a16="http://schemas.microsoft.com/office/drawing/2014/main" pred="{BCF91F3B-A08F-44D9-8F06-8249543E953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7" name="TekstSylinder 1">
          <a:extLst>
            <a:ext uri="{FF2B5EF4-FFF2-40B4-BE49-F238E27FC236}">
              <a16:creationId xmlns:a16="http://schemas.microsoft.com/office/drawing/2014/main" id="{14971261-1881-443F-A734-D8AAA1B94B7D}"/>
            </a:ext>
            <a:ext uri="{147F2762-F138-4A5C-976F-8EAC2B608ADB}">
              <a16:predDERef xmlns:a16="http://schemas.microsoft.com/office/drawing/2014/main" pred="{50F64D4E-9610-4DD5-9EF1-AFCC736C119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8" name="TekstSylinder 1">
          <a:extLst>
            <a:ext uri="{FF2B5EF4-FFF2-40B4-BE49-F238E27FC236}">
              <a16:creationId xmlns:a16="http://schemas.microsoft.com/office/drawing/2014/main" id="{26503E3C-D5C3-498F-BCF8-C8CD15C9F2F2}"/>
            </a:ext>
            <a:ext uri="{147F2762-F138-4A5C-976F-8EAC2B608ADB}">
              <a16:predDERef xmlns:a16="http://schemas.microsoft.com/office/drawing/2014/main" pred="{EC525C11-6A7E-4C7F-A608-21C8FE5275F6}"/>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69" name="TekstSylinder 1">
          <a:extLst>
            <a:ext uri="{FF2B5EF4-FFF2-40B4-BE49-F238E27FC236}">
              <a16:creationId xmlns:a16="http://schemas.microsoft.com/office/drawing/2014/main" id="{BA11A76D-4275-441C-A9D5-4AD0ECEC7542}"/>
            </a:ext>
            <a:ext uri="{147F2762-F138-4A5C-976F-8EAC2B608ADB}">
              <a16:predDERef xmlns:a16="http://schemas.microsoft.com/office/drawing/2014/main" pred="{9867E7BE-1C48-4DB1-9BED-E96CC223A3E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0" name="TekstSylinder 1">
          <a:extLst>
            <a:ext uri="{FF2B5EF4-FFF2-40B4-BE49-F238E27FC236}">
              <a16:creationId xmlns:a16="http://schemas.microsoft.com/office/drawing/2014/main" id="{5989FEBA-4964-4C46-80F2-75A51A93C58D}"/>
            </a:ext>
            <a:ext uri="{147F2762-F138-4A5C-976F-8EAC2B608ADB}">
              <a16:predDERef xmlns:a16="http://schemas.microsoft.com/office/drawing/2014/main" pred="{F2248B1C-15CA-4E74-B3C2-F808C352AF0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1" name="TekstSylinder 1">
          <a:extLst>
            <a:ext uri="{FF2B5EF4-FFF2-40B4-BE49-F238E27FC236}">
              <a16:creationId xmlns:a16="http://schemas.microsoft.com/office/drawing/2014/main" id="{2BB8663A-B3B0-4C76-89C2-13508C394066}"/>
            </a:ext>
            <a:ext uri="{147F2762-F138-4A5C-976F-8EAC2B608ADB}">
              <a16:predDERef xmlns:a16="http://schemas.microsoft.com/office/drawing/2014/main" pred="{2DE38F9B-769E-4997-9B9B-130706E3D3B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2" name="TekstSylinder 1">
          <a:extLst>
            <a:ext uri="{FF2B5EF4-FFF2-40B4-BE49-F238E27FC236}">
              <a16:creationId xmlns:a16="http://schemas.microsoft.com/office/drawing/2014/main" id="{473C9CDD-7C55-4EC3-A7EA-68CAC146AEDD}"/>
            </a:ext>
            <a:ext uri="{147F2762-F138-4A5C-976F-8EAC2B608ADB}">
              <a16:predDERef xmlns:a16="http://schemas.microsoft.com/office/drawing/2014/main" pred="{DEAE7EDA-EFEA-46DF-92C6-84FFD5458AE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3" name="TekstSylinder 1">
          <a:extLst>
            <a:ext uri="{FF2B5EF4-FFF2-40B4-BE49-F238E27FC236}">
              <a16:creationId xmlns:a16="http://schemas.microsoft.com/office/drawing/2014/main" id="{A8AF8EBC-CDE6-4DB4-A0FC-10EA5B14C4BB}"/>
            </a:ext>
            <a:ext uri="{147F2762-F138-4A5C-976F-8EAC2B608ADB}">
              <a16:predDERef xmlns:a16="http://schemas.microsoft.com/office/drawing/2014/main" pred="{B0824BF4-FC4F-4020-8CC6-57F1609B215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4" name="TekstSylinder 1">
          <a:extLst>
            <a:ext uri="{FF2B5EF4-FFF2-40B4-BE49-F238E27FC236}">
              <a16:creationId xmlns:a16="http://schemas.microsoft.com/office/drawing/2014/main" id="{F4BB1172-7AD8-4EDF-8E9E-7B67C53B4270}"/>
            </a:ext>
            <a:ext uri="{147F2762-F138-4A5C-976F-8EAC2B608ADB}">
              <a16:predDERef xmlns:a16="http://schemas.microsoft.com/office/drawing/2014/main" pred="{CCA4A3C4-C7A1-4762-B401-11FD54D23B4F}"/>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5" name="TekstSylinder 1">
          <a:extLst>
            <a:ext uri="{FF2B5EF4-FFF2-40B4-BE49-F238E27FC236}">
              <a16:creationId xmlns:a16="http://schemas.microsoft.com/office/drawing/2014/main" id="{80AB071C-291B-44B0-B3B5-B6659A94AF09}"/>
            </a:ext>
            <a:ext uri="{147F2762-F138-4A5C-976F-8EAC2B608ADB}">
              <a16:predDERef xmlns:a16="http://schemas.microsoft.com/office/drawing/2014/main" pred="{85AFD665-B90F-4735-B3A7-5A2D9CF94BE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6" name="TekstSylinder 1">
          <a:extLst>
            <a:ext uri="{FF2B5EF4-FFF2-40B4-BE49-F238E27FC236}">
              <a16:creationId xmlns:a16="http://schemas.microsoft.com/office/drawing/2014/main" id="{EC9E847A-26A6-470E-BEEB-83033CF77117}"/>
            </a:ext>
            <a:ext uri="{147F2762-F138-4A5C-976F-8EAC2B608ADB}">
              <a16:predDERef xmlns:a16="http://schemas.microsoft.com/office/drawing/2014/main" pred="{54DF4D9E-7011-4C41-8B27-098E9A8C58CD}"/>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7" name="TekstSylinder 1">
          <a:extLst>
            <a:ext uri="{FF2B5EF4-FFF2-40B4-BE49-F238E27FC236}">
              <a16:creationId xmlns:a16="http://schemas.microsoft.com/office/drawing/2014/main" id="{13735A29-87F0-46E9-8993-642ACEB8219B}"/>
            </a:ext>
            <a:ext uri="{147F2762-F138-4A5C-976F-8EAC2B608ADB}">
              <a16:predDERef xmlns:a16="http://schemas.microsoft.com/office/drawing/2014/main" pred="{CCE992B1-146D-46ED-88EF-D9C90043A2B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8" name="TekstSylinder 1">
          <a:extLst>
            <a:ext uri="{FF2B5EF4-FFF2-40B4-BE49-F238E27FC236}">
              <a16:creationId xmlns:a16="http://schemas.microsoft.com/office/drawing/2014/main" id="{B85FD89A-E677-4D12-9734-DFF4D87C7DDE}"/>
            </a:ext>
            <a:ext uri="{147F2762-F138-4A5C-976F-8EAC2B608ADB}">
              <a16:predDERef xmlns:a16="http://schemas.microsoft.com/office/drawing/2014/main" pred="{9713B6CA-2C5E-43CB-AB36-07BD22F11DD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79" name="TekstSylinder 1">
          <a:extLst>
            <a:ext uri="{FF2B5EF4-FFF2-40B4-BE49-F238E27FC236}">
              <a16:creationId xmlns:a16="http://schemas.microsoft.com/office/drawing/2014/main" id="{0334A2C3-32C8-4DCB-8FB6-5B8043778508}"/>
            </a:ext>
            <a:ext uri="{147F2762-F138-4A5C-976F-8EAC2B608ADB}">
              <a16:predDERef xmlns:a16="http://schemas.microsoft.com/office/drawing/2014/main" pred="{490F6186-A768-4214-A72B-4D7C080E3826}"/>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0" name="TekstSylinder 1">
          <a:extLst>
            <a:ext uri="{FF2B5EF4-FFF2-40B4-BE49-F238E27FC236}">
              <a16:creationId xmlns:a16="http://schemas.microsoft.com/office/drawing/2014/main" id="{6A632EA6-0E64-4DEB-80E0-1855643981F8}"/>
            </a:ext>
            <a:ext uri="{147F2762-F138-4A5C-976F-8EAC2B608ADB}">
              <a16:predDERef xmlns:a16="http://schemas.microsoft.com/office/drawing/2014/main" pred="{47604E6D-0384-41C4-86FE-2BEEAA8B790E}"/>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1" name="TekstSylinder 1">
          <a:extLst>
            <a:ext uri="{FF2B5EF4-FFF2-40B4-BE49-F238E27FC236}">
              <a16:creationId xmlns:a16="http://schemas.microsoft.com/office/drawing/2014/main" id="{B94C107D-ECF1-4602-86E4-F9F936A8A4CC}"/>
            </a:ext>
            <a:ext uri="{147F2762-F138-4A5C-976F-8EAC2B608ADB}">
              <a16:predDERef xmlns:a16="http://schemas.microsoft.com/office/drawing/2014/main" pred="{6B8FAC9C-C86F-4053-B607-9C8D465161F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2" name="TekstSylinder 1">
          <a:extLst>
            <a:ext uri="{FF2B5EF4-FFF2-40B4-BE49-F238E27FC236}">
              <a16:creationId xmlns:a16="http://schemas.microsoft.com/office/drawing/2014/main" id="{07A69F17-0A65-48D1-9F20-C3A699774632}"/>
            </a:ext>
            <a:ext uri="{147F2762-F138-4A5C-976F-8EAC2B608ADB}">
              <a16:predDERef xmlns:a16="http://schemas.microsoft.com/office/drawing/2014/main" pred="{CD6645D7-E161-4675-BC50-284A290BCE9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3" name="TekstSylinder 1">
          <a:extLst>
            <a:ext uri="{FF2B5EF4-FFF2-40B4-BE49-F238E27FC236}">
              <a16:creationId xmlns:a16="http://schemas.microsoft.com/office/drawing/2014/main" id="{72DEF714-AA2B-4F86-AE24-8A7C14E4D436}"/>
            </a:ext>
            <a:ext uri="{147F2762-F138-4A5C-976F-8EAC2B608ADB}">
              <a16:predDERef xmlns:a16="http://schemas.microsoft.com/office/drawing/2014/main" pred="{FEAB31B8-1E30-446B-8BE6-D0AE95F765F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4" name="TekstSylinder 1">
          <a:extLst>
            <a:ext uri="{FF2B5EF4-FFF2-40B4-BE49-F238E27FC236}">
              <a16:creationId xmlns:a16="http://schemas.microsoft.com/office/drawing/2014/main" id="{E5637A57-2BF6-41E2-8EFC-3703A1FF7D30}"/>
            </a:ext>
            <a:ext uri="{147F2762-F138-4A5C-976F-8EAC2B608ADB}">
              <a16:predDERef xmlns:a16="http://schemas.microsoft.com/office/drawing/2014/main" pred="{56ED2F8E-6F78-4518-B64A-462F7FFE7E6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5" name="TekstSylinder 1">
          <a:extLst>
            <a:ext uri="{FF2B5EF4-FFF2-40B4-BE49-F238E27FC236}">
              <a16:creationId xmlns:a16="http://schemas.microsoft.com/office/drawing/2014/main" id="{2E868BA7-4376-4F1D-9A72-AF4169FCC67B}"/>
            </a:ext>
            <a:ext uri="{147F2762-F138-4A5C-976F-8EAC2B608ADB}">
              <a16:predDERef xmlns:a16="http://schemas.microsoft.com/office/drawing/2014/main" pred="{7417A345-28FB-4B1A-8FD8-8B0F824618B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6" name="TekstSylinder 1">
          <a:extLst>
            <a:ext uri="{FF2B5EF4-FFF2-40B4-BE49-F238E27FC236}">
              <a16:creationId xmlns:a16="http://schemas.microsoft.com/office/drawing/2014/main" id="{B98A152B-B329-4FA7-A0BB-0AD563A19A5A}"/>
            </a:ext>
            <a:ext uri="{147F2762-F138-4A5C-976F-8EAC2B608ADB}">
              <a16:predDERef xmlns:a16="http://schemas.microsoft.com/office/drawing/2014/main" pred="{6F644DDE-C4E7-4CE9-827B-84B32E6E845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7" name="TekstSylinder 1">
          <a:extLst>
            <a:ext uri="{FF2B5EF4-FFF2-40B4-BE49-F238E27FC236}">
              <a16:creationId xmlns:a16="http://schemas.microsoft.com/office/drawing/2014/main" id="{B6B06E31-68ED-4DBC-90B1-9439F20AC1A5}"/>
            </a:ext>
            <a:ext uri="{147F2762-F138-4A5C-976F-8EAC2B608ADB}">
              <a16:predDERef xmlns:a16="http://schemas.microsoft.com/office/drawing/2014/main" pred="{39844EF4-34BC-4082-927A-CB23194E276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8" name="TekstSylinder 1">
          <a:extLst>
            <a:ext uri="{FF2B5EF4-FFF2-40B4-BE49-F238E27FC236}">
              <a16:creationId xmlns:a16="http://schemas.microsoft.com/office/drawing/2014/main" id="{6F849077-F010-442C-AB3C-3929491194E2}"/>
            </a:ext>
            <a:ext uri="{147F2762-F138-4A5C-976F-8EAC2B608ADB}">
              <a16:predDERef xmlns:a16="http://schemas.microsoft.com/office/drawing/2014/main" pred="{AF7B8BA5-16DA-4571-959E-16FAE250DC9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89" name="TekstSylinder 1">
          <a:extLst>
            <a:ext uri="{FF2B5EF4-FFF2-40B4-BE49-F238E27FC236}">
              <a16:creationId xmlns:a16="http://schemas.microsoft.com/office/drawing/2014/main" id="{2F187940-35F1-4720-BF6F-DBCAF1B70CFB}"/>
            </a:ext>
            <a:ext uri="{147F2762-F138-4A5C-976F-8EAC2B608ADB}">
              <a16:predDERef xmlns:a16="http://schemas.microsoft.com/office/drawing/2014/main" pred="{2F1F79A4-EB95-4CEC-9592-360BD387D88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0" name="TekstSylinder 1">
          <a:extLst>
            <a:ext uri="{FF2B5EF4-FFF2-40B4-BE49-F238E27FC236}">
              <a16:creationId xmlns:a16="http://schemas.microsoft.com/office/drawing/2014/main" id="{3DE568E4-AC98-448B-AA2A-14D6BBD8A325}"/>
            </a:ext>
            <a:ext uri="{147F2762-F138-4A5C-976F-8EAC2B608ADB}">
              <a16:predDERef xmlns:a16="http://schemas.microsoft.com/office/drawing/2014/main" pred="{430F3F97-6C2E-43B6-BA09-8659D2D7B31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1" name="TekstSylinder 1">
          <a:extLst>
            <a:ext uri="{FF2B5EF4-FFF2-40B4-BE49-F238E27FC236}">
              <a16:creationId xmlns:a16="http://schemas.microsoft.com/office/drawing/2014/main" id="{6B8ECD97-4D23-4075-B334-71EFA44CE782}"/>
            </a:ext>
            <a:ext uri="{147F2762-F138-4A5C-976F-8EAC2B608ADB}">
              <a16:predDERef xmlns:a16="http://schemas.microsoft.com/office/drawing/2014/main" pred="{F2355E05-FE9D-41FD-8612-B9792F0E3AB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2" name="TekstSylinder 1">
          <a:extLst>
            <a:ext uri="{FF2B5EF4-FFF2-40B4-BE49-F238E27FC236}">
              <a16:creationId xmlns:a16="http://schemas.microsoft.com/office/drawing/2014/main" id="{6EDD6053-E307-4635-AEB2-C975D5F71718}"/>
            </a:ext>
            <a:ext uri="{147F2762-F138-4A5C-976F-8EAC2B608ADB}">
              <a16:predDERef xmlns:a16="http://schemas.microsoft.com/office/drawing/2014/main" pred="{9324EC65-E9DA-48E1-90A1-8FA95BC8B20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3" name="TekstSylinder 1">
          <a:extLst>
            <a:ext uri="{FF2B5EF4-FFF2-40B4-BE49-F238E27FC236}">
              <a16:creationId xmlns:a16="http://schemas.microsoft.com/office/drawing/2014/main" id="{B1D2C3FD-2DC4-4003-9C83-87234B6DB5B6}"/>
            </a:ext>
            <a:ext uri="{147F2762-F138-4A5C-976F-8EAC2B608ADB}">
              <a16:predDERef xmlns:a16="http://schemas.microsoft.com/office/drawing/2014/main" pred="{FEF5F927-86B1-42F4-ACAD-9D4DB1D75DE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4" name="TekstSylinder 1">
          <a:extLst>
            <a:ext uri="{FF2B5EF4-FFF2-40B4-BE49-F238E27FC236}">
              <a16:creationId xmlns:a16="http://schemas.microsoft.com/office/drawing/2014/main" id="{A71328B7-501C-46C4-A262-AF3F08DA4826}"/>
            </a:ext>
            <a:ext uri="{147F2762-F138-4A5C-976F-8EAC2B608ADB}">
              <a16:predDERef xmlns:a16="http://schemas.microsoft.com/office/drawing/2014/main" pred="{C0619467-99B5-45AB-91CB-AD927D2A3CF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5" name="TekstSylinder 1">
          <a:extLst>
            <a:ext uri="{FF2B5EF4-FFF2-40B4-BE49-F238E27FC236}">
              <a16:creationId xmlns:a16="http://schemas.microsoft.com/office/drawing/2014/main" id="{55428E66-6DCF-462B-B016-457BD5966A2F}"/>
            </a:ext>
            <a:ext uri="{147F2762-F138-4A5C-976F-8EAC2B608ADB}">
              <a16:predDERef xmlns:a16="http://schemas.microsoft.com/office/drawing/2014/main" pred="{89E200BD-B654-4A5C-AC53-4CE2F1B7DA0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6" name="TekstSylinder 1">
          <a:extLst>
            <a:ext uri="{FF2B5EF4-FFF2-40B4-BE49-F238E27FC236}">
              <a16:creationId xmlns:a16="http://schemas.microsoft.com/office/drawing/2014/main" id="{272D3F1C-4B69-449E-96FC-825023FB4C2B}"/>
            </a:ext>
            <a:ext uri="{147F2762-F138-4A5C-976F-8EAC2B608ADB}">
              <a16:predDERef xmlns:a16="http://schemas.microsoft.com/office/drawing/2014/main" pred="{94006BE5-3244-4EE0-A2E1-224BF3D4B67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7" name="TekstSylinder 1">
          <a:extLst>
            <a:ext uri="{FF2B5EF4-FFF2-40B4-BE49-F238E27FC236}">
              <a16:creationId xmlns:a16="http://schemas.microsoft.com/office/drawing/2014/main" id="{06CACA67-2FFA-4105-B6D9-5ECEE678874A}"/>
            </a:ext>
            <a:ext uri="{147F2762-F138-4A5C-976F-8EAC2B608ADB}">
              <a16:predDERef xmlns:a16="http://schemas.microsoft.com/office/drawing/2014/main" pred="{16296461-E971-431D-92B3-EBD7350B4131}"/>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8" name="TekstSylinder 1">
          <a:extLst>
            <a:ext uri="{FF2B5EF4-FFF2-40B4-BE49-F238E27FC236}">
              <a16:creationId xmlns:a16="http://schemas.microsoft.com/office/drawing/2014/main" id="{9D233158-9C0A-4758-AD48-4D418EA0378E}"/>
            </a:ext>
            <a:ext uri="{147F2762-F138-4A5C-976F-8EAC2B608ADB}">
              <a16:predDERef xmlns:a16="http://schemas.microsoft.com/office/drawing/2014/main" pred="{028005B0-196A-4C25-8B85-EAD85CB4FEF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899" name="TekstSylinder 1">
          <a:extLst>
            <a:ext uri="{FF2B5EF4-FFF2-40B4-BE49-F238E27FC236}">
              <a16:creationId xmlns:a16="http://schemas.microsoft.com/office/drawing/2014/main" id="{4457CA72-87BE-43A7-B031-3222518B9051}"/>
            </a:ext>
            <a:ext uri="{147F2762-F138-4A5C-976F-8EAC2B608ADB}">
              <a16:predDERef xmlns:a16="http://schemas.microsoft.com/office/drawing/2014/main" pred="{08A24386-CF80-470A-9C1F-1514E732284A}"/>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0" name="TekstSylinder 1">
          <a:extLst>
            <a:ext uri="{FF2B5EF4-FFF2-40B4-BE49-F238E27FC236}">
              <a16:creationId xmlns:a16="http://schemas.microsoft.com/office/drawing/2014/main" id="{0D4CC019-E2D6-4A91-8702-73E553345F18}"/>
            </a:ext>
            <a:ext uri="{147F2762-F138-4A5C-976F-8EAC2B608ADB}">
              <a16:predDERef xmlns:a16="http://schemas.microsoft.com/office/drawing/2014/main" pred="{85901E2A-2BBA-4F51-ABE3-CF7F99ADB8F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1" name="TekstSylinder 1">
          <a:extLst>
            <a:ext uri="{FF2B5EF4-FFF2-40B4-BE49-F238E27FC236}">
              <a16:creationId xmlns:a16="http://schemas.microsoft.com/office/drawing/2014/main" id="{8401A6A3-A809-4D0C-B3F0-DE2BDA10B95E}"/>
            </a:ext>
            <a:ext uri="{147F2762-F138-4A5C-976F-8EAC2B608ADB}">
              <a16:predDERef xmlns:a16="http://schemas.microsoft.com/office/drawing/2014/main" pred="{C9D61064-FEF7-40C6-AD8A-D317933A20C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2" name="TekstSylinder 1">
          <a:extLst>
            <a:ext uri="{FF2B5EF4-FFF2-40B4-BE49-F238E27FC236}">
              <a16:creationId xmlns:a16="http://schemas.microsoft.com/office/drawing/2014/main" id="{8E853DB3-D248-4F13-826C-41B79AFB76EF}"/>
            </a:ext>
            <a:ext uri="{147F2762-F138-4A5C-976F-8EAC2B608ADB}">
              <a16:predDERef xmlns:a16="http://schemas.microsoft.com/office/drawing/2014/main" pred="{14FBA148-EE00-4263-A244-3CE44F1CB14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3" name="TekstSylinder 1">
          <a:extLst>
            <a:ext uri="{FF2B5EF4-FFF2-40B4-BE49-F238E27FC236}">
              <a16:creationId xmlns:a16="http://schemas.microsoft.com/office/drawing/2014/main" id="{D1A9AB81-650D-4546-A6DB-FEB5A98CB968}"/>
            </a:ext>
            <a:ext uri="{147F2762-F138-4A5C-976F-8EAC2B608ADB}">
              <a16:predDERef xmlns:a16="http://schemas.microsoft.com/office/drawing/2014/main" pred="{6E84FC81-CC11-43BE-81C6-A3FE9CCF674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4" name="TekstSylinder 1">
          <a:extLst>
            <a:ext uri="{FF2B5EF4-FFF2-40B4-BE49-F238E27FC236}">
              <a16:creationId xmlns:a16="http://schemas.microsoft.com/office/drawing/2014/main" id="{7C8033E1-E2D7-4836-AF6B-E616CC113D23}"/>
            </a:ext>
            <a:ext uri="{147F2762-F138-4A5C-976F-8EAC2B608ADB}">
              <a16:predDERef xmlns:a16="http://schemas.microsoft.com/office/drawing/2014/main" pred="{D2FEF73C-F31C-4FF4-9853-EB67670FD285}"/>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5" name="TekstSylinder 1">
          <a:extLst>
            <a:ext uri="{FF2B5EF4-FFF2-40B4-BE49-F238E27FC236}">
              <a16:creationId xmlns:a16="http://schemas.microsoft.com/office/drawing/2014/main" id="{93159374-9F33-45AE-90DC-B7FD764A4476}"/>
            </a:ext>
            <a:ext uri="{147F2762-F138-4A5C-976F-8EAC2B608ADB}">
              <a16:predDERef xmlns:a16="http://schemas.microsoft.com/office/drawing/2014/main" pred="{E7C8826C-68FF-45A3-8953-D48327BC4EF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6" name="TekstSylinder 1">
          <a:extLst>
            <a:ext uri="{FF2B5EF4-FFF2-40B4-BE49-F238E27FC236}">
              <a16:creationId xmlns:a16="http://schemas.microsoft.com/office/drawing/2014/main" id="{BE3A6C6C-779B-464D-A583-E801D2C91B39}"/>
            </a:ext>
            <a:ext uri="{147F2762-F138-4A5C-976F-8EAC2B608ADB}">
              <a16:predDERef xmlns:a16="http://schemas.microsoft.com/office/drawing/2014/main" pred="{6C956737-584E-438A-BBF0-3CD2750D7B29}"/>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7" name="TekstSylinder 1">
          <a:extLst>
            <a:ext uri="{FF2B5EF4-FFF2-40B4-BE49-F238E27FC236}">
              <a16:creationId xmlns:a16="http://schemas.microsoft.com/office/drawing/2014/main" id="{E9EBB24B-676A-456C-9E11-161672A4760F}"/>
            </a:ext>
            <a:ext uri="{147F2762-F138-4A5C-976F-8EAC2B608ADB}">
              <a16:predDERef xmlns:a16="http://schemas.microsoft.com/office/drawing/2014/main" pred="{2702A94A-7A15-41EE-B213-BE1989E4259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8" name="TekstSylinder 1">
          <a:extLst>
            <a:ext uri="{FF2B5EF4-FFF2-40B4-BE49-F238E27FC236}">
              <a16:creationId xmlns:a16="http://schemas.microsoft.com/office/drawing/2014/main" id="{5F5DB5A4-D05B-4608-8817-08323D452889}"/>
            </a:ext>
            <a:ext uri="{147F2762-F138-4A5C-976F-8EAC2B608ADB}">
              <a16:predDERef xmlns:a16="http://schemas.microsoft.com/office/drawing/2014/main" pred="{C2A3C015-D0EE-4625-B098-0EEBE92C7A50}"/>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09" name="TekstSylinder 1">
          <a:extLst>
            <a:ext uri="{FF2B5EF4-FFF2-40B4-BE49-F238E27FC236}">
              <a16:creationId xmlns:a16="http://schemas.microsoft.com/office/drawing/2014/main" id="{B044283B-7376-4BDF-A551-6828213BE251}"/>
            </a:ext>
            <a:ext uri="{147F2762-F138-4A5C-976F-8EAC2B608ADB}">
              <a16:predDERef xmlns:a16="http://schemas.microsoft.com/office/drawing/2014/main" pred="{654725F0-1855-4096-8F6D-B77D63E35B08}"/>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0" name="TekstSylinder 1">
          <a:extLst>
            <a:ext uri="{FF2B5EF4-FFF2-40B4-BE49-F238E27FC236}">
              <a16:creationId xmlns:a16="http://schemas.microsoft.com/office/drawing/2014/main" id="{DE7FD8B0-0E6E-4BA6-981F-C0B15AF373DA}"/>
            </a:ext>
            <a:ext uri="{147F2762-F138-4A5C-976F-8EAC2B608ADB}">
              <a16:predDERef xmlns:a16="http://schemas.microsoft.com/office/drawing/2014/main" pred="{D64292DD-A6B6-40B7-828B-4F780A8BF57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1" name="TekstSylinder 1">
          <a:extLst>
            <a:ext uri="{FF2B5EF4-FFF2-40B4-BE49-F238E27FC236}">
              <a16:creationId xmlns:a16="http://schemas.microsoft.com/office/drawing/2014/main" id="{C1CED4CE-D2B9-4AFD-9B3B-175932959F74}"/>
            </a:ext>
            <a:ext uri="{147F2762-F138-4A5C-976F-8EAC2B608ADB}">
              <a16:predDERef xmlns:a16="http://schemas.microsoft.com/office/drawing/2014/main" pred="{7AEED489-037E-4C3E-A9BE-61920B5228F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2" name="TekstSylinder 1">
          <a:extLst>
            <a:ext uri="{FF2B5EF4-FFF2-40B4-BE49-F238E27FC236}">
              <a16:creationId xmlns:a16="http://schemas.microsoft.com/office/drawing/2014/main" id="{B9EDDB11-8924-4C6A-87BB-1D85F689F2C3}"/>
            </a:ext>
            <a:ext uri="{147F2762-F138-4A5C-976F-8EAC2B608ADB}">
              <a16:predDERef xmlns:a16="http://schemas.microsoft.com/office/drawing/2014/main" pred="{9CFA48DF-2442-41A4-91BC-5E3E928128D7}"/>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3" name="TekstSylinder 1">
          <a:extLst>
            <a:ext uri="{FF2B5EF4-FFF2-40B4-BE49-F238E27FC236}">
              <a16:creationId xmlns:a16="http://schemas.microsoft.com/office/drawing/2014/main" id="{D03AC5E7-26A8-4E74-9346-5A7A9F4DDD53}"/>
            </a:ext>
            <a:ext uri="{147F2762-F138-4A5C-976F-8EAC2B608ADB}">
              <a16:predDERef xmlns:a16="http://schemas.microsoft.com/office/drawing/2014/main" pred="{526736DE-14CC-4DD4-8A16-0AB3508DC40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4" name="TekstSylinder 1">
          <a:extLst>
            <a:ext uri="{FF2B5EF4-FFF2-40B4-BE49-F238E27FC236}">
              <a16:creationId xmlns:a16="http://schemas.microsoft.com/office/drawing/2014/main" id="{315AB1B0-4AD0-49C6-BF2D-C123A018748A}"/>
            </a:ext>
            <a:ext uri="{147F2762-F138-4A5C-976F-8EAC2B608ADB}">
              <a16:predDERef xmlns:a16="http://schemas.microsoft.com/office/drawing/2014/main" pred="{C25913D9-D419-4720-B3E4-96283A95ECF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5" name="TekstSylinder 1">
          <a:extLst>
            <a:ext uri="{FF2B5EF4-FFF2-40B4-BE49-F238E27FC236}">
              <a16:creationId xmlns:a16="http://schemas.microsoft.com/office/drawing/2014/main" id="{7A0FCB8D-2372-488A-9CA2-AC61846D3F6C}"/>
            </a:ext>
            <a:ext uri="{147F2762-F138-4A5C-976F-8EAC2B608ADB}">
              <a16:predDERef xmlns:a16="http://schemas.microsoft.com/office/drawing/2014/main" pred="{CCCB41F0-103C-4E12-BA86-B8D719D27E1B}"/>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6" name="TekstSylinder 1">
          <a:extLst>
            <a:ext uri="{FF2B5EF4-FFF2-40B4-BE49-F238E27FC236}">
              <a16:creationId xmlns:a16="http://schemas.microsoft.com/office/drawing/2014/main" id="{20FDCDCE-EFAA-4D3E-8E08-F433A053D3E8}"/>
            </a:ext>
            <a:ext uri="{147F2762-F138-4A5C-976F-8EAC2B608ADB}">
              <a16:predDERef xmlns:a16="http://schemas.microsoft.com/office/drawing/2014/main" pred="{3AF7AC60-5BFD-412F-BC23-A2BA5AF393C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7" name="TekstSylinder 1">
          <a:extLst>
            <a:ext uri="{FF2B5EF4-FFF2-40B4-BE49-F238E27FC236}">
              <a16:creationId xmlns:a16="http://schemas.microsoft.com/office/drawing/2014/main" id="{D9A6A1B9-96C7-4113-82C3-36D48B9686F2}"/>
            </a:ext>
            <a:ext uri="{147F2762-F138-4A5C-976F-8EAC2B608ADB}">
              <a16:predDERef xmlns:a16="http://schemas.microsoft.com/office/drawing/2014/main" pred="{9D029943-8101-481A-BCCF-57EB067D6C63}"/>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8" name="TekstSylinder 1">
          <a:extLst>
            <a:ext uri="{FF2B5EF4-FFF2-40B4-BE49-F238E27FC236}">
              <a16:creationId xmlns:a16="http://schemas.microsoft.com/office/drawing/2014/main" id="{C4AF0E82-6B2B-4592-B288-DA1994AC04B5}"/>
            </a:ext>
            <a:ext uri="{147F2762-F138-4A5C-976F-8EAC2B608ADB}">
              <a16:predDERef xmlns:a16="http://schemas.microsoft.com/office/drawing/2014/main" pred="{A74A84EE-3A29-4561-8C26-3FD781372B54}"/>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79</xdr:row>
      <xdr:rowOff>0</xdr:rowOff>
    </xdr:from>
    <xdr:ext cx="184731" cy="264560"/>
    <xdr:sp macro="" textlink="">
      <xdr:nvSpPr>
        <xdr:cNvPr id="919" name="TekstSylinder 1">
          <a:extLst>
            <a:ext uri="{FF2B5EF4-FFF2-40B4-BE49-F238E27FC236}">
              <a16:creationId xmlns:a16="http://schemas.microsoft.com/office/drawing/2014/main" id="{0A9F3209-D988-47C2-BCDF-C73FCF61E098}"/>
            </a:ext>
            <a:ext uri="{147F2762-F138-4A5C-976F-8EAC2B608ADB}">
              <a16:predDERef xmlns:a16="http://schemas.microsoft.com/office/drawing/2014/main" pred="{6EAD6F28-AF6F-4372-9113-F34B7480B01C}"/>
            </a:ext>
          </a:extLst>
        </xdr:cNvPr>
        <xdr:cNvSpPr txBox="1"/>
      </xdr:nvSpPr>
      <xdr:spPr>
        <a:xfrm>
          <a:off x="5898356" y="9084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0" name="TekstSylinder 117">
          <a:extLst>
            <a:ext uri="{FF2B5EF4-FFF2-40B4-BE49-F238E27FC236}">
              <a16:creationId xmlns:a16="http://schemas.microsoft.com/office/drawing/2014/main" id="{97365142-E705-439D-897E-5DDCBE935A4F}"/>
            </a:ext>
            <a:ext uri="{147F2762-F138-4A5C-976F-8EAC2B608ADB}">
              <a16:predDERef xmlns:a16="http://schemas.microsoft.com/office/drawing/2014/main" pred="{F755C008-0104-4163-B57B-E5F2ED464F2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1" name="TekstSylinder 1">
          <a:extLst>
            <a:ext uri="{FF2B5EF4-FFF2-40B4-BE49-F238E27FC236}">
              <a16:creationId xmlns:a16="http://schemas.microsoft.com/office/drawing/2014/main" id="{C3D8AC8B-41B3-42C5-A19C-137E6D18F6C5}"/>
            </a:ext>
            <a:ext uri="{147F2762-F138-4A5C-976F-8EAC2B608ADB}">
              <a16:predDERef xmlns:a16="http://schemas.microsoft.com/office/drawing/2014/main" pred="{BFE4C86A-48CF-4C7E-BDF1-8276352AE154}"/>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2" name="TekstSylinder 1">
          <a:extLst>
            <a:ext uri="{FF2B5EF4-FFF2-40B4-BE49-F238E27FC236}">
              <a16:creationId xmlns:a16="http://schemas.microsoft.com/office/drawing/2014/main" id="{3C925FEF-578D-48F5-AFD5-31A8EB1C019B}"/>
            </a:ext>
            <a:ext uri="{147F2762-F138-4A5C-976F-8EAC2B608ADB}">
              <a16:predDERef xmlns:a16="http://schemas.microsoft.com/office/drawing/2014/main" pred="{001EBE6B-4147-4829-8591-7867E9B8083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3" name="TekstSylinder 1">
          <a:extLst>
            <a:ext uri="{FF2B5EF4-FFF2-40B4-BE49-F238E27FC236}">
              <a16:creationId xmlns:a16="http://schemas.microsoft.com/office/drawing/2014/main" id="{C63B3D57-8286-47AE-9A46-8944AEE9DC88}"/>
            </a:ext>
            <a:ext uri="{147F2762-F138-4A5C-976F-8EAC2B608ADB}">
              <a16:predDERef xmlns:a16="http://schemas.microsoft.com/office/drawing/2014/main" pred="{C2E91D6C-76D9-4F49-AF93-BC831830501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4" name="TekstSylinder 1">
          <a:extLst>
            <a:ext uri="{FF2B5EF4-FFF2-40B4-BE49-F238E27FC236}">
              <a16:creationId xmlns:a16="http://schemas.microsoft.com/office/drawing/2014/main" id="{9B0DE9A7-4B39-4102-A2C3-4DC4222DFCF0}"/>
            </a:ext>
            <a:ext uri="{147F2762-F138-4A5C-976F-8EAC2B608ADB}">
              <a16:predDERef xmlns:a16="http://schemas.microsoft.com/office/drawing/2014/main" pred="{5499AE5A-54C1-42F4-B56E-9B65FCE12DD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5" name="TekstSylinder 1">
          <a:extLst>
            <a:ext uri="{FF2B5EF4-FFF2-40B4-BE49-F238E27FC236}">
              <a16:creationId xmlns:a16="http://schemas.microsoft.com/office/drawing/2014/main" id="{121CE14A-F859-4DF6-9E2A-1217226A3070}"/>
            </a:ext>
            <a:ext uri="{147F2762-F138-4A5C-976F-8EAC2B608ADB}">
              <a16:predDERef xmlns:a16="http://schemas.microsoft.com/office/drawing/2014/main" pred="{E227C83A-C0C4-4317-A2A1-296DEBB7BF8C}"/>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6" name="TekstSylinder 1">
          <a:extLst>
            <a:ext uri="{FF2B5EF4-FFF2-40B4-BE49-F238E27FC236}">
              <a16:creationId xmlns:a16="http://schemas.microsoft.com/office/drawing/2014/main" id="{615FD1E3-9B77-4404-BF5A-27A4E0A1158F}"/>
            </a:ext>
            <a:ext uri="{147F2762-F138-4A5C-976F-8EAC2B608ADB}">
              <a16:predDERef xmlns:a16="http://schemas.microsoft.com/office/drawing/2014/main" pred="{54200D67-4460-450D-A76C-7E0F7401786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7" name="TekstSylinder 1">
          <a:extLst>
            <a:ext uri="{FF2B5EF4-FFF2-40B4-BE49-F238E27FC236}">
              <a16:creationId xmlns:a16="http://schemas.microsoft.com/office/drawing/2014/main" id="{32820180-8E81-4402-8521-408C90FDD646}"/>
            </a:ext>
            <a:ext uri="{147F2762-F138-4A5C-976F-8EAC2B608ADB}">
              <a16:predDERef xmlns:a16="http://schemas.microsoft.com/office/drawing/2014/main" pred="{DE980181-F8D6-48C8-861B-35F263BBD6A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8" name="TekstSylinder 1">
          <a:extLst>
            <a:ext uri="{FF2B5EF4-FFF2-40B4-BE49-F238E27FC236}">
              <a16:creationId xmlns:a16="http://schemas.microsoft.com/office/drawing/2014/main" id="{67B69ED4-088D-4A1F-B78A-7050B78E0E45}"/>
            </a:ext>
            <a:ext uri="{147F2762-F138-4A5C-976F-8EAC2B608ADB}">
              <a16:predDERef xmlns:a16="http://schemas.microsoft.com/office/drawing/2014/main" pred="{FBD3CFF3-DD1A-47FC-AAF7-26AEFA771DB1}"/>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29" name="TekstSylinder 1">
          <a:extLst>
            <a:ext uri="{FF2B5EF4-FFF2-40B4-BE49-F238E27FC236}">
              <a16:creationId xmlns:a16="http://schemas.microsoft.com/office/drawing/2014/main" id="{917488AD-F5C1-4417-BAEA-2F0FA54DE9F8}"/>
            </a:ext>
            <a:ext uri="{147F2762-F138-4A5C-976F-8EAC2B608ADB}">
              <a16:predDERef xmlns:a16="http://schemas.microsoft.com/office/drawing/2014/main" pred="{14349641-7094-42F9-AF1C-A3CBE0787B9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0" name="TekstSylinder 1">
          <a:extLst>
            <a:ext uri="{FF2B5EF4-FFF2-40B4-BE49-F238E27FC236}">
              <a16:creationId xmlns:a16="http://schemas.microsoft.com/office/drawing/2014/main" id="{EED9FCA2-C70F-4F24-BFB2-556655278E0F}"/>
            </a:ext>
            <a:ext uri="{147F2762-F138-4A5C-976F-8EAC2B608ADB}">
              <a16:predDERef xmlns:a16="http://schemas.microsoft.com/office/drawing/2014/main" pred="{9F3012B8-DC6C-4DD2-93C3-F5920116DD2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1" name="TekstSylinder 1">
          <a:extLst>
            <a:ext uri="{FF2B5EF4-FFF2-40B4-BE49-F238E27FC236}">
              <a16:creationId xmlns:a16="http://schemas.microsoft.com/office/drawing/2014/main" id="{8AB301D0-F2AE-4E98-B212-695CAB7072D0}"/>
            </a:ext>
            <a:ext uri="{147F2762-F138-4A5C-976F-8EAC2B608ADB}">
              <a16:predDERef xmlns:a16="http://schemas.microsoft.com/office/drawing/2014/main" pred="{259AA543-C471-46BC-9146-B12A141903C4}"/>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2" name="TekstSylinder 1">
          <a:extLst>
            <a:ext uri="{FF2B5EF4-FFF2-40B4-BE49-F238E27FC236}">
              <a16:creationId xmlns:a16="http://schemas.microsoft.com/office/drawing/2014/main" id="{D11718F6-31F3-4EEB-A6F2-7596168FCC21}"/>
            </a:ext>
            <a:ext uri="{147F2762-F138-4A5C-976F-8EAC2B608ADB}">
              <a16:predDERef xmlns:a16="http://schemas.microsoft.com/office/drawing/2014/main" pred="{1F3097B5-B3A4-4F54-BD47-76D5FF794EB6}"/>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3" name="TekstSylinder 1">
          <a:extLst>
            <a:ext uri="{FF2B5EF4-FFF2-40B4-BE49-F238E27FC236}">
              <a16:creationId xmlns:a16="http://schemas.microsoft.com/office/drawing/2014/main" id="{CD87CC68-E5B9-41A5-864F-3B2B5FFB2113}"/>
            </a:ext>
            <a:ext uri="{147F2762-F138-4A5C-976F-8EAC2B608ADB}">
              <a16:predDERef xmlns:a16="http://schemas.microsoft.com/office/drawing/2014/main" pred="{0AB13135-8399-4A78-A46D-16B7B08EEF9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4" name="TekstSylinder 1">
          <a:extLst>
            <a:ext uri="{FF2B5EF4-FFF2-40B4-BE49-F238E27FC236}">
              <a16:creationId xmlns:a16="http://schemas.microsoft.com/office/drawing/2014/main" id="{6D4608CF-A327-40F4-A466-3825FFA8F88A}"/>
            </a:ext>
            <a:ext uri="{147F2762-F138-4A5C-976F-8EAC2B608ADB}">
              <a16:predDERef xmlns:a16="http://schemas.microsoft.com/office/drawing/2014/main" pred="{CCC99D00-3617-44A4-9E96-176E08C922DD}"/>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5" name="TekstSylinder 1">
          <a:extLst>
            <a:ext uri="{FF2B5EF4-FFF2-40B4-BE49-F238E27FC236}">
              <a16:creationId xmlns:a16="http://schemas.microsoft.com/office/drawing/2014/main" id="{D4179DCA-71F7-42AA-B9B7-355675BEE8BB}"/>
            </a:ext>
            <a:ext uri="{147F2762-F138-4A5C-976F-8EAC2B608ADB}">
              <a16:predDERef xmlns:a16="http://schemas.microsoft.com/office/drawing/2014/main" pred="{51B9A696-31F7-4882-B1D4-6D39CA6B2C47}"/>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6" name="TekstSylinder 1">
          <a:extLst>
            <a:ext uri="{FF2B5EF4-FFF2-40B4-BE49-F238E27FC236}">
              <a16:creationId xmlns:a16="http://schemas.microsoft.com/office/drawing/2014/main" id="{1EC58346-774C-4619-9B9D-BF16A26F0772}"/>
            </a:ext>
            <a:ext uri="{147F2762-F138-4A5C-976F-8EAC2B608ADB}">
              <a16:predDERef xmlns:a16="http://schemas.microsoft.com/office/drawing/2014/main" pred="{6EE97CB9-3C2E-402A-9AD0-CD868699B10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7" name="TekstSylinder 1">
          <a:extLst>
            <a:ext uri="{FF2B5EF4-FFF2-40B4-BE49-F238E27FC236}">
              <a16:creationId xmlns:a16="http://schemas.microsoft.com/office/drawing/2014/main" id="{D396FC6C-BC9C-4BE6-B49B-208D4B8F1FC7}"/>
            </a:ext>
            <a:ext uri="{147F2762-F138-4A5C-976F-8EAC2B608ADB}">
              <a16:predDERef xmlns:a16="http://schemas.microsoft.com/office/drawing/2014/main" pred="{A31521C2-2AB3-4E56-82C0-A2383281FE2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8" name="TekstSylinder 1">
          <a:extLst>
            <a:ext uri="{FF2B5EF4-FFF2-40B4-BE49-F238E27FC236}">
              <a16:creationId xmlns:a16="http://schemas.microsoft.com/office/drawing/2014/main" id="{C7D03387-DCA7-44A2-9A7E-5FECB09AE9C6}"/>
            </a:ext>
            <a:ext uri="{147F2762-F138-4A5C-976F-8EAC2B608ADB}">
              <a16:predDERef xmlns:a16="http://schemas.microsoft.com/office/drawing/2014/main" pred="{63214A9C-96F0-4360-8790-89E9D38EA167}"/>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39" name="TekstSylinder 1">
          <a:extLst>
            <a:ext uri="{FF2B5EF4-FFF2-40B4-BE49-F238E27FC236}">
              <a16:creationId xmlns:a16="http://schemas.microsoft.com/office/drawing/2014/main" id="{2D2F35EC-006C-4FCA-A376-AC00AA9265DD}"/>
            </a:ext>
            <a:ext uri="{147F2762-F138-4A5C-976F-8EAC2B608ADB}">
              <a16:predDERef xmlns:a16="http://schemas.microsoft.com/office/drawing/2014/main" pred="{B9DE5D56-9B64-4A30-8FE2-09B58160D0B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0" name="TekstSylinder 1">
          <a:extLst>
            <a:ext uri="{FF2B5EF4-FFF2-40B4-BE49-F238E27FC236}">
              <a16:creationId xmlns:a16="http://schemas.microsoft.com/office/drawing/2014/main" id="{987F3EF4-F4FA-4639-87E8-3862E7712D57}"/>
            </a:ext>
            <a:ext uri="{147F2762-F138-4A5C-976F-8EAC2B608ADB}">
              <a16:predDERef xmlns:a16="http://schemas.microsoft.com/office/drawing/2014/main" pred="{CC1B8F2F-C1A4-4E6D-98F9-E51C3EBD9841}"/>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1" name="TekstSylinder 1">
          <a:extLst>
            <a:ext uri="{FF2B5EF4-FFF2-40B4-BE49-F238E27FC236}">
              <a16:creationId xmlns:a16="http://schemas.microsoft.com/office/drawing/2014/main" id="{7A7056A5-C80B-48CF-9650-6CBB092CCA36}"/>
            </a:ext>
            <a:ext uri="{147F2762-F138-4A5C-976F-8EAC2B608ADB}">
              <a16:predDERef xmlns:a16="http://schemas.microsoft.com/office/drawing/2014/main" pred="{63E5F44D-CEB7-4CBA-80F9-108B48E240D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2" name="TekstSylinder 1">
          <a:extLst>
            <a:ext uri="{FF2B5EF4-FFF2-40B4-BE49-F238E27FC236}">
              <a16:creationId xmlns:a16="http://schemas.microsoft.com/office/drawing/2014/main" id="{352B49DD-90F8-4A65-9495-FF1C4EA2D8D3}"/>
            </a:ext>
            <a:ext uri="{147F2762-F138-4A5C-976F-8EAC2B608ADB}">
              <a16:predDERef xmlns:a16="http://schemas.microsoft.com/office/drawing/2014/main" pred="{2D733771-F88D-4A6E-B334-832FCCF9CF1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3" name="TekstSylinder 1">
          <a:extLst>
            <a:ext uri="{FF2B5EF4-FFF2-40B4-BE49-F238E27FC236}">
              <a16:creationId xmlns:a16="http://schemas.microsoft.com/office/drawing/2014/main" id="{056A7678-A007-482F-8CDD-243D1B340471}"/>
            </a:ext>
            <a:ext uri="{147F2762-F138-4A5C-976F-8EAC2B608ADB}">
              <a16:predDERef xmlns:a16="http://schemas.microsoft.com/office/drawing/2014/main" pred="{0B722AA1-DEDC-41A8-B24C-96CF8E0370F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4" name="TekstSylinder 1">
          <a:extLst>
            <a:ext uri="{FF2B5EF4-FFF2-40B4-BE49-F238E27FC236}">
              <a16:creationId xmlns:a16="http://schemas.microsoft.com/office/drawing/2014/main" id="{AFDF2EC3-0AEC-4728-A7F1-190A48C96B20}"/>
            </a:ext>
            <a:ext uri="{147F2762-F138-4A5C-976F-8EAC2B608ADB}">
              <a16:predDERef xmlns:a16="http://schemas.microsoft.com/office/drawing/2014/main" pred="{C99797AB-F0B6-4BE3-A8D3-D9D8F107FB2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5" name="TekstSylinder 1">
          <a:extLst>
            <a:ext uri="{FF2B5EF4-FFF2-40B4-BE49-F238E27FC236}">
              <a16:creationId xmlns:a16="http://schemas.microsoft.com/office/drawing/2014/main" id="{24DB53AD-0815-4579-9EB6-34161F4C3FB1}"/>
            </a:ext>
            <a:ext uri="{147F2762-F138-4A5C-976F-8EAC2B608ADB}">
              <a16:predDERef xmlns:a16="http://schemas.microsoft.com/office/drawing/2014/main" pred="{171C225F-BA54-4DA8-B796-94B581DDA88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6" name="TekstSylinder 1">
          <a:extLst>
            <a:ext uri="{FF2B5EF4-FFF2-40B4-BE49-F238E27FC236}">
              <a16:creationId xmlns:a16="http://schemas.microsoft.com/office/drawing/2014/main" id="{48AF36C4-1CB2-4647-A9E9-80D96E2A03A6}"/>
            </a:ext>
            <a:ext uri="{147F2762-F138-4A5C-976F-8EAC2B608ADB}">
              <a16:predDERef xmlns:a16="http://schemas.microsoft.com/office/drawing/2014/main" pred="{0EC675B0-F22D-4E72-A934-A46637C46B74}"/>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7" name="TekstSylinder 1">
          <a:extLst>
            <a:ext uri="{FF2B5EF4-FFF2-40B4-BE49-F238E27FC236}">
              <a16:creationId xmlns:a16="http://schemas.microsoft.com/office/drawing/2014/main" id="{784B2208-1DC8-4393-BB6C-F6F73EBE1C07}"/>
            </a:ext>
            <a:ext uri="{147F2762-F138-4A5C-976F-8EAC2B608ADB}">
              <a16:predDERef xmlns:a16="http://schemas.microsoft.com/office/drawing/2014/main" pred="{0F1E161E-B7E7-4B34-A903-B914733E240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8" name="TekstSylinder 1">
          <a:extLst>
            <a:ext uri="{FF2B5EF4-FFF2-40B4-BE49-F238E27FC236}">
              <a16:creationId xmlns:a16="http://schemas.microsoft.com/office/drawing/2014/main" id="{9BC8CCC3-2AED-431D-B8CE-09C40A9BBDCE}"/>
            </a:ext>
            <a:ext uri="{147F2762-F138-4A5C-976F-8EAC2B608ADB}">
              <a16:predDERef xmlns:a16="http://schemas.microsoft.com/office/drawing/2014/main" pred="{10175EED-D64B-4E72-BED0-7CBC6B3D427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49" name="TekstSylinder 1">
          <a:extLst>
            <a:ext uri="{FF2B5EF4-FFF2-40B4-BE49-F238E27FC236}">
              <a16:creationId xmlns:a16="http://schemas.microsoft.com/office/drawing/2014/main" id="{662D06A1-9DE9-482D-A191-EFE09F48490F}"/>
            </a:ext>
            <a:ext uri="{147F2762-F138-4A5C-976F-8EAC2B608ADB}">
              <a16:predDERef xmlns:a16="http://schemas.microsoft.com/office/drawing/2014/main" pred="{AB4743CD-E9DF-458E-9969-5F18647F4717}"/>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0" name="TekstSylinder 1">
          <a:extLst>
            <a:ext uri="{FF2B5EF4-FFF2-40B4-BE49-F238E27FC236}">
              <a16:creationId xmlns:a16="http://schemas.microsoft.com/office/drawing/2014/main" id="{38401751-E296-4612-8C40-03919AD53016}"/>
            </a:ext>
            <a:ext uri="{147F2762-F138-4A5C-976F-8EAC2B608ADB}">
              <a16:predDERef xmlns:a16="http://schemas.microsoft.com/office/drawing/2014/main" pred="{4EF40170-B5B8-4D50-999E-2C25346781B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1" name="TekstSylinder 1">
          <a:extLst>
            <a:ext uri="{FF2B5EF4-FFF2-40B4-BE49-F238E27FC236}">
              <a16:creationId xmlns:a16="http://schemas.microsoft.com/office/drawing/2014/main" id="{44A608CB-4E8D-47FA-A550-CC3CAC9F9996}"/>
            </a:ext>
            <a:ext uri="{147F2762-F138-4A5C-976F-8EAC2B608ADB}">
              <a16:predDERef xmlns:a16="http://schemas.microsoft.com/office/drawing/2014/main" pred="{8D19A8D3-38BF-435A-8D14-DCA215184AE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2" name="TekstSylinder 1">
          <a:extLst>
            <a:ext uri="{FF2B5EF4-FFF2-40B4-BE49-F238E27FC236}">
              <a16:creationId xmlns:a16="http://schemas.microsoft.com/office/drawing/2014/main" id="{477F1452-C915-44EE-A8E3-0EFC2831DF29}"/>
            </a:ext>
            <a:ext uri="{147F2762-F138-4A5C-976F-8EAC2B608ADB}">
              <a16:predDERef xmlns:a16="http://schemas.microsoft.com/office/drawing/2014/main" pred="{73A2BEC4-3762-4610-B96D-0EDE3310B27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3" name="TekstSylinder 1">
          <a:extLst>
            <a:ext uri="{FF2B5EF4-FFF2-40B4-BE49-F238E27FC236}">
              <a16:creationId xmlns:a16="http://schemas.microsoft.com/office/drawing/2014/main" id="{907E9CB1-AE3B-4CD6-892B-DD929B7BE879}"/>
            </a:ext>
            <a:ext uri="{147F2762-F138-4A5C-976F-8EAC2B608ADB}">
              <a16:predDERef xmlns:a16="http://schemas.microsoft.com/office/drawing/2014/main" pred="{A7A25783-428E-4D3A-97A1-C28A97C0F22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4" name="TekstSylinder 1">
          <a:extLst>
            <a:ext uri="{FF2B5EF4-FFF2-40B4-BE49-F238E27FC236}">
              <a16:creationId xmlns:a16="http://schemas.microsoft.com/office/drawing/2014/main" id="{AB9AF5C5-47C7-4369-87F0-16ACE4FDC5DD}"/>
            </a:ext>
            <a:ext uri="{147F2762-F138-4A5C-976F-8EAC2B608ADB}">
              <a16:predDERef xmlns:a16="http://schemas.microsoft.com/office/drawing/2014/main" pred="{D0E1D851-90C2-45A8-ADD0-B7D2CB42BF2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5" name="TekstSylinder 1">
          <a:extLst>
            <a:ext uri="{FF2B5EF4-FFF2-40B4-BE49-F238E27FC236}">
              <a16:creationId xmlns:a16="http://schemas.microsoft.com/office/drawing/2014/main" id="{AA89BC91-9BAE-4B1F-B37C-45C03D78C25D}"/>
            </a:ext>
            <a:ext uri="{147F2762-F138-4A5C-976F-8EAC2B608ADB}">
              <a16:predDERef xmlns:a16="http://schemas.microsoft.com/office/drawing/2014/main" pred="{70742147-469A-48E6-89E8-9A558145CC74}"/>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6" name="TekstSylinder 1">
          <a:extLst>
            <a:ext uri="{FF2B5EF4-FFF2-40B4-BE49-F238E27FC236}">
              <a16:creationId xmlns:a16="http://schemas.microsoft.com/office/drawing/2014/main" id="{0A46F8E8-D7F1-4769-9886-8E324D81B268}"/>
            </a:ext>
            <a:ext uri="{147F2762-F138-4A5C-976F-8EAC2B608ADB}">
              <a16:predDERef xmlns:a16="http://schemas.microsoft.com/office/drawing/2014/main" pred="{F8D48E86-EE2E-4332-99DA-E77FC81AA88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7" name="TekstSylinder 1">
          <a:extLst>
            <a:ext uri="{FF2B5EF4-FFF2-40B4-BE49-F238E27FC236}">
              <a16:creationId xmlns:a16="http://schemas.microsoft.com/office/drawing/2014/main" id="{19CEE8F0-7AB3-4891-8875-B3065FCCCF68}"/>
            </a:ext>
            <a:ext uri="{147F2762-F138-4A5C-976F-8EAC2B608ADB}">
              <a16:predDERef xmlns:a16="http://schemas.microsoft.com/office/drawing/2014/main" pred="{EF07A1CD-03AF-47BD-ABA5-4DEDCB9CEE6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8" name="TekstSylinder 1">
          <a:extLst>
            <a:ext uri="{FF2B5EF4-FFF2-40B4-BE49-F238E27FC236}">
              <a16:creationId xmlns:a16="http://schemas.microsoft.com/office/drawing/2014/main" id="{6C843B9A-2E5A-49D2-956C-94D878765640}"/>
            </a:ext>
            <a:ext uri="{147F2762-F138-4A5C-976F-8EAC2B608ADB}">
              <a16:predDERef xmlns:a16="http://schemas.microsoft.com/office/drawing/2014/main" pred="{6144C330-4A36-428C-B84A-5FAE85A652BC}"/>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59" name="TekstSylinder 1">
          <a:extLst>
            <a:ext uri="{FF2B5EF4-FFF2-40B4-BE49-F238E27FC236}">
              <a16:creationId xmlns:a16="http://schemas.microsoft.com/office/drawing/2014/main" id="{96C2C284-CCFB-4779-87B8-DBD7D3C830BB}"/>
            </a:ext>
            <a:ext uri="{147F2762-F138-4A5C-976F-8EAC2B608ADB}">
              <a16:predDERef xmlns:a16="http://schemas.microsoft.com/office/drawing/2014/main" pred="{40AE78F5-29AE-417A-8F3A-10568CA0DEEC}"/>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0" name="TekstSylinder 1">
          <a:extLst>
            <a:ext uri="{FF2B5EF4-FFF2-40B4-BE49-F238E27FC236}">
              <a16:creationId xmlns:a16="http://schemas.microsoft.com/office/drawing/2014/main" id="{64B7C551-1118-4668-BF97-A089DFD9C6EF}"/>
            </a:ext>
            <a:ext uri="{147F2762-F138-4A5C-976F-8EAC2B608ADB}">
              <a16:predDERef xmlns:a16="http://schemas.microsoft.com/office/drawing/2014/main" pred="{9BA920AC-EF52-43EC-A33F-E3DE30CDCB4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1" name="TekstSylinder 1">
          <a:extLst>
            <a:ext uri="{FF2B5EF4-FFF2-40B4-BE49-F238E27FC236}">
              <a16:creationId xmlns:a16="http://schemas.microsoft.com/office/drawing/2014/main" id="{E7DEC924-9900-4FFA-82D1-AEFE82EE1C13}"/>
            </a:ext>
            <a:ext uri="{147F2762-F138-4A5C-976F-8EAC2B608ADB}">
              <a16:predDERef xmlns:a16="http://schemas.microsoft.com/office/drawing/2014/main" pred="{5EE0775F-1E07-44D4-91C1-A545CF43203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2" name="TekstSylinder 1">
          <a:extLst>
            <a:ext uri="{FF2B5EF4-FFF2-40B4-BE49-F238E27FC236}">
              <a16:creationId xmlns:a16="http://schemas.microsoft.com/office/drawing/2014/main" id="{15FE3246-AA0B-4E28-8072-B33856C728CF}"/>
            </a:ext>
            <a:ext uri="{147F2762-F138-4A5C-976F-8EAC2B608ADB}">
              <a16:predDERef xmlns:a16="http://schemas.microsoft.com/office/drawing/2014/main" pred="{9EA6A193-5E66-48BD-BE51-5216DF2773C4}"/>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3" name="TekstSylinder 1">
          <a:extLst>
            <a:ext uri="{FF2B5EF4-FFF2-40B4-BE49-F238E27FC236}">
              <a16:creationId xmlns:a16="http://schemas.microsoft.com/office/drawing/2014/main" id="{9D1D9FD6-E618-4E49-90D0-EF9419E569A2}"/>
            </a:ext>
            <a:ext uri="{147F2762-F138-4A5C-976F-8EAC2B608ADB}">
              <a16:predDERef xmlns:a16="http://schemas.microsoft.com/office/drawing/2014/main" pred="{F6698A12-D656-4741-A770-4D334A4212C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4" name="TekstSylinder 1">
          <a:extLst>
            <a:ext uri="{FF2B5EF4-FFF2-40B4-BE49-F238E27FC236}">
              <a16:creationId xmlns:a16="http://schemas.microsoft.com/office/drawing/2014/main" id="{C1A86F0E-8C5D-42C4-B72E-5E6A51F83EE4}"/>
            </a:ext>
            <a:ext uri="{147F2762-F138-4A5C-976F-8EAC2B608ADB}">
              <a16:predDERef xmlns:a16="http://schemas.microsoft.com/office/drawing/2014/main" pred="{AA4F9020-1193-44B2-8C96-8984594E7EE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5" name="TekstSylinder 1">
          <a:extLst>
            <a:ext uri="{FF2B5EF4-FFF2-40B4-BE49-F238E27FC236}">
              <a16:creationId xmlns:a16="http://schemas.microsoft.com/office/drawing/2014/main" id="{AC60DCFE-BA20-40F6-8902-A5407D6D8520}"/>
            </a:ext>
            <a:ext uri="{147F2762-F138-4A5C-976F-8EAC2B608ADB}">
              <a16:predDERef xmlns:a16="http://schemas.microsoft.com/office/drawing/2014/main" pred="{40FBC1CF-8C63-4F29-86CD-9806A73ADCB7}"/>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6" name="TekstSylinder 1">
          <a:extLst>
            <a:ext uri="{FF2B5EF4-FFF2-40B4-BE49-F238E27FC236}">
              <a16:creationId xmlns:a16="http://schemas.microsoft.com/office/drawing/2014/main" id="{B741258E-A72C-4D19-AE12-69BB2A5816E0}"/>
            </a:ext>
            <a:ext uri="{147F2762-F138-4A5C-976F-8EAC2B608ADB}">
              <a16:predDERef xmlns:a16="http://schemas.microsoft.com/office/drawing/2014/main" pred="{AB067A22-58C9-449C-A13F-A78A7283C96C}"/>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7" name="TekstSylinder 1">
          <a:extLst>
            <a:ext uri="{FF2B5EF4-FFF2-40B4-BE49-F238E27FC236}">
              <a16:creationId xmlns:a16="http://schemas.microsoft.com/office/drawing/2014/main" id="{43704807-E963-43A5-89F5-67010938970C}"/>
            </a:ext>
            <a:ext uri="{147F2762-F138-4A5C-976F-8EAC2B608ADB}">
              <a16:predDERef xmlns:a16="http://schemas.microsoft.com/office/drawing/2014/main" pred="{23E3AF1E-AA86-46EA-883A-FB5385C81BA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8" name="TekstSylinder 1">
          <a:extLst>
            <a:ext uri="{FF2B5EF4-FFF2-40B4-BE49-F238E27FC236}">
              <a16:creationId xmlns:a16="http://schemas.microsoft.com/office/drawing/2014/main" id="{3EA1D75A-3B02-47F2-A33C-FF8E2560CE2E}"/>
            </a:ext>
            <a:ext uri="{147F2762-F138-4A5C-976F-8EAC2B608ADB}">
              <a16:predDERef xmlns:a16="http://schemas.microsoft.com/office/drawing/2014/main" pred="{9A15840B-0612-41D5-A087-FF3859CB6966}"/>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69" name="TekstSylinder 1">
          <a:extLst>
            <a:ext uri="{FF2B5EF4-FFF2-40B4-BE49-F238E27FC236}">
              <a16:creationId xmlns:a16="http://schemas.microsoft.com/office/drawing/2014/main" id="{E01BFA90-D5B5-431D-A388-A3CA3B3BE387}"/>
            </a:ext>
            <a:ext uri="{147F2762-F138-4A5C-976F-8EAC2B608ADB}">
              <a16:predDERef xmlns:a16="http://schemas.microsoft.com/office/drawing/2014/main" pred="{0F6CA14B-0D83-4FD0-83DA-3BAF20D7952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0" name="TekstSylinder 1">
          <a:extLst>
            <a:ext uri="{FF2B5EF4-FFF2-40B4-BE49-F238E27FC236}">
              <a16:creationId xmlns:a16="http://schemas.microsoft.com/office/drawing/2014/main" id="{86DD3C48-49DC-47F0-87E3-7032117ACC9C}"/>
            </a:ext>
            <a:ext uri="{147F2762-F138-4A5C-976F-8EAC2B608ADB}">
              <a16:predDERef xmlns:a16="http://schemas.microsoft.com/office/drawing/2014/main" pred="{4A854A8D-453D-416F-B139-45776F7B3AF9}"/>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1" name="TekstSylinder 1">
          <a:extLst>
            <a:ext uri="{FF2B5EF4-FFF2-40B4-BE49-F238E27FC236}">
              <a16:creationId xmlns:a16="http://schemas.microsoft.com/office/drawing/2014/main" id="{424D6F02-415F-44FE-B621-1DD63B13804D}"/>
            </a:ext>
            <a:ext uri="{147F2762-F138-4A5C-976F-8EAC2B608ADB}">
              <a16:predDERef xmlns:a16="http://schemas.microsoft.com/office/drawing/2014/main" pred="{9DF532F7-AA61-461F-94A2-D9D7B81E1805}"/>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2" name="TekstSylinder 1">
          <a:extLst>
            <a:ext uri="{FF2B5EF4-FFF2-40B4-BE49-F238E27FC236}">
              <a16:creationId xmlns:a16="http://schemas.microsoft.com/office/drawing/2014/main" id="{592163D7-2D98-45D1-8BF8-06F6F80032E1}"/>
            </a:ext>
            <a:ext uri="{147F2762-F138-4A5C-976F-8EAC2B608ADB}">
              <a16:predDERef xmlns:a16="http://schemas.microsoft.com/office/drawing/2014/main" pred="{A52A31EA-7DD3-47EF-B80A-AFE7BBD2DE9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3" name="TekstSylinder 1">
          <a:extLst>
            <a:ext uri="{FF2B5EF4-FFF2-40B4-BE49-F238E27FC236}">
              <a16:creationId xmlns:a16="http://schemas.microsoft.com/office/drawing/2014/main" id="{365EABA5-600C-4DF8-A3BE-2A57CF85071B}"/>
            </a:ext>
            <a:ext uri="{147F2762-F138-4A5C-976F-8EAC2B608ADB}">
              <a16:predDERef xmlns:a16="http://schemas.microsoft.com/office/drawing/2014/main" pred="{F52D100C-293C-40FF-B800-D391245593C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4" name="TekstSylinder 1">
          <a:extLst>
            <a:ext uri="{FF2B5EF4-FFF2-40B4-BE49-F238E27FC236}">
              <a16:creationId xmlns:a16="http://schemas.microsoft.com/office/drawing/2014/main" id="{5CB70BF5-5A43-4025-9966-E29481FB3E7C}"/>
            </a:ext>
            <a:ext uri="{147F2762-F138-4A5C-976F-8EAC2B608ADB}">
              <a16:predDERef xmlns:a16="http://schemas.microsoft.com/office/drawing/2014/main" pred="{0A48BE87-6C00-4AA5-BCB8-74C19CA4A8E9}"/>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5" name="TekstSylinder 1">
          <a:extLst>
            <a:ext uri="{FF2B5EF4-FFF2-40B4-BE49-F238E27FC236}">
              <a16:creationId xmlns:a16="http://schemas.microsoft.com/office/drawing/2014/main" id="{E2FBCA11-FD62-4BDE-9086-085FC7C595E5}"/>
            </a:ext>
            <a:ext uri="{147F2762-F138-4A5C-976F-8EAC2B608ADB}">
              <a16:predDERef xmlns:a16="http://schemas.microsoft.com/office/drawing/2014/main" pred="{053F1FC4-2CBD-4960-993C-B17B3AB123D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6" name="TekstSylinder 1">
          <a:extLst>
            <a:ext uri="{FF2B5EF4-FFF2-40B4-BE49-F238E27FC236}">
              <a16:creationId xmlns:a16="http://schemas.microsoft.com/office/drawing/2014/main" id="{1339B3E5-37F4-4F00-AACE-5C83A283C4A7}"/>
            </a:ext>
            <a:ext uri="{147F2762-F138-4A5C-976F-8EAC2B608ADB}">
              <a16:predDERef xmlns:a16="http://schemas.microsoft.com/office/drawing/2014/main" pred="{D48534F6-57A0-4447-AFEB-34C2F4475C6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7" name="TekstSylinder 1">
          <a:extLst>
            <a:ext uri="{FF2B5EF4-FFF2-40B4-BE49-F238E27FC236}">
              <a16:creationId xmlns:a16="http://schemas.microsoft.com/office/drawing/2014/main" id="{6F43C29D-50C9-4F1D-AB05-B47B0ABF130F}"/>
            </a:ext>
            <a:ext uri="{147F2762-F138-4A5C-976F-8EAC2B608ADB}">
              <a16:predDERef xmlns:a16="http://schemas.microsoft.com/office/drawing/2014/main" pred="{64AD6949-3743-4090-9C38-D115DD800FAD}"/>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8" name="TekstSylinder 1">
          <a:extLst>
            <a:ext uri="{FF2B5EF4-FFF2-40B4-BE49-F238E27FC236}">
              <a16:creationId xmlns:a16="http://schemas.microsoft.com/office/drawing/2014/main" id="{A6CACC6B-2225-4834-8AF0-F1D3916C5EDB}"/>
            </a:ext>
            <a:ext uri="{147F2762-F138-4A5C-976F-8EAC2B608ADB}">
              <a16:predDERef xmlns:a16="http://schemas.microsoft.com/office/drawing/2014/main" pred="{F730B932-19A3-4B08-8EBE-66ED07ED36FD}"/>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79" name="TekstSylinder 1">
          <a:extLst>
            <a:ext uri="{FF2B5EF4-FFF2-40B4-BE49-F238E27FC236}">
              <a16:creationId xmlns:a16="http://schemas.microsoft.com/office/drawing/2014/main" id="{963D0AE0-1B42-40FA-9572-26552ACD8AAD}"/>
            </a:ext>
            <a:ext uri="{147F2762-F138-4A5C-976F-8EAC2B608ADB}">
              <a16:predDERef xmlns:a16="http://schemas.microsoft.com/office/drawing/2014/main" pred="{B37E0647-020F-4034-BF0D-C2F09E18508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0" name="TekstSylinder 1">
          <a:extLst>
            <a:ext uri="{FF2B5EF4-FFF2-40B4-BE49-F238E27FC236}">
              <a16:creationId xmlns:a16="http://schemas.microsoft.com/office/drawing/2014/main" id="{6A26D3E2-1B41-4CFE-8317-FFCE7AC534DE}"/>
            </a:ext>
            <a:ext uri="{147F2762-F138-4A5C-976F-8EAC2B608ADB}">
              <a16:predDERef xmlns:a16="http://schemas.microsoft.com/office/drawing/2014/main" pred="{62D72605-B4FC-456A-B26B-A0955F18E1C9}"/>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1" name="TekstSylinder 1">
          <a:extLst>
            <a:ext uri="{FF2B5EF4-FFF2-40B4-BE49-F238E27FC236}">
              <a16:creationId xmlns:a16="http://schemas.microsoft.com/office/drawing/2014/main" id="{544994D1-0497-40FA-A49A-A1AD244E98F7}"/>
            </a:ext>
            <a:ext uri="{147F2762-F138-4A5C-976F-8EAC2B608ADB}">
              <a16:predDERef xmlns:a16="http://schemas.microsoft.com/office/drawing/2014/main" pred="{3C9FB160-E8E5-4A17-B713-F3B413CB18F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2" name="TekstSylinder 1">
          <a:extLst>
            <a:ext uri="{FF2B5EF4-FFF2-40B4-BE49-F238E27FC236}">
              <a16:creationId xmlns:a16="http://schemas.microsoft.com/office/drawing/2014/main" id="{0700DD24-1094-4F66-8BDA-AEC5E354D60E}"/>
            </a:ext>
            <a:ext uri="{147F2762-F138-4A5C-976F-8EAC2B608ADB}">
              <a16:predDERef xmlns:a16="http://schemas.microsoft.com/office/drawing/2014/main" pred="{E10E2FC2-FFA0-4231-A7B5-97E6F0F2A2D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3" name="TekstSylinder 1">
          <a:extLst>
            <a:ext uri="{FF2B5EF4-FFF2-40B4-BE49-F238E27FC236}">
              <a16:creationId xmlns:a16="http://schemas.microsoft.com/office/drawing/2014/main" id="{CBB87E56-ECB6-4018-8B19-1B9B8A6CEA70}"/>
            </a:ext>
            <a:ext uri="{147F2762-F138-4A5C-976F-8EAC2B608ADB}">
              <a16:predDERef xmlns:a16="http://schemas.microsoft.com/office/drawing/2014/main" pred="{720E407F-CCF8-495E-BF72-7FF9C5E087B8}"/>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4" name="TekstSylinder 1">
          <a:extLst>
            <a:ext uri="{FF2B5EF4-FFF2-40B4-BE49-F238E27FC236}">
              <a16:creationId xmlns:a16="http://schemas.microsoft.com/office/drawing/2014/main" id="{0CD52787-B233-4210-9A6B-6B0A355F595B}"/>
            </a:ext>
            <a:ext uri="{147F2762-F138-4A5C-976F-8EAC2B608ADB}">
              <a16:predDERef xmlns:a16="http://schemas.microsoft.com/office/drawing/2014/main" pred="{08457F89-4144-4637-BB1F-55F00356BC0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5" name="TekstSylinder 1">
          <a:extLst>
            <a:ext uri="{FF2B5EF4-FFF2-40B4-BE49-F238E27FC236}">
              <a16:creationId xmlns:a16="http://schemas.microsoft.com/office/drawing/2014/main" id="{B4D73EED-7132-48A6-ABE8-90878AA8B203}"/>
            </a:ext>
            <a:ext uri="{147F2762-F138-4A5C-976F-8EAC2B608ADB}">
              <a16:predDERef xmlns:a16="http://schemas.microsoft.com/office/drawing/2014/main" pred="{935AD156-70E0-46C1-8C53-801620A9C53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6" name="TekstSylinder 1">
          <a:extLst>
            <a:ext uri="{FF2B5EF4-FFF2-40B4-BE49-F238E27FC236}">
              <a16:creationId xmlns:a16="http://schemas.microsoft.com/office/drawing/2014/main" id="{9F92E400-18DA-4480-93FF-3314B740B553}"/>
            </a:ext>
            <a:ext uri="{147F2762-F138-4A5C-976F-8EAC2B608ADB}">
              <a16:predDERef xmlns:a16="http://schemas.microsoft.com/office/drawing/2014/main" pred="{A77BD2C0-8AAC-43B3-BBE6-32C10281725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7" name="TekstSylinder 1">
          <a:extLst>
            <a:ext uri="{FF2B5EF4-FFF2-40B4-BE49-F238E27FC236}">
              <a16:creationId xmlns:a16="http://schemas.microsoft.com/office/drawing/2014/main" id="{4A1697E5-0F84-4188-B622-C65A484303E8}"/>
            </a:ext>
            <a:ext uri="{147F2762-F138-4A5C-976F-8EAC2B608ADB}">
              <a16:predDERef xmlns:a16="http://schemas.microsoft.com/office/drawing/2014/main" pred="{6F5B1DD4-DC77-490D-8A24-E52C13B6ED6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8" name="TekstSylinder 1">
          <a:extLst>
            <a:ext uri="{FF2B5EF4-FFF2-40B4-BE49-F238E27FC236}">
              <a16:creationId xmlns:a16="http://schemas.microsoft.com/office/drawing/2014/main" id="{AC21121A-1B19-4419-8EFD-A8C024DD937A}"/>
            </a:ext>
            <a:ext uri="{147F2762-F138-4A5C-976F-8EAC2B608ADB}">
              <a16:predDERef xmlns:a16="http://schemas.microsoft.com/office/drawing/2014/main" pred="{830590B8-6277-4078-BC71-7B79129685C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89" name="TekstSylinder 1">
          <a:extLst>
            <a:ext uri="{FF2B5EF4-FFF2-40B4-BE49-F238E27FC236}">
              <a16:creationId xmlns:a16="http://schemas.microsoft.com/office/drawing/2014/main" id="{1FE533F6-AE3F-49B8-8F1E-A69E60B61162}"/>
            </a:ext>
            <a:ext uri="{147F2762-F138-4A5C-976F-8EAC2B608ADB}">
              <a16:predDERef xmlns:a16="http://schemas.microsoft.com/office/drawing/2014/main" pred="{08114D2D-31C0-48C6-A3FE-C5022B212246}"/>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0" name="TekstSylinder 1">
          <a:extLst>
            <a:ext uri="{FF2B5EF4-FFF2-40B4-BE49-F238E27FC236}">
              <a16:creationId xmlns:a16="http://schemas.microsoft.com/office/drawing/2014/main" id="{AD7ED879-C96D-42AA-814A-D9E7882A590A}"/>
            </a:ext>
            <a:ext uri="{147F2762-F138-4A5C-976F-8EAC2B608ADB}">
              <a16:predDERef xmlns:a16="http://schemas.microsoft.com/office/drawing/2014/main" pred="{B05650EC-5702-4B98-99EB-DF5BF787BC1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1" name="TekstSylinder 1">
          <a:extLst>
            <a:ext uri="{FF2B5EF4-FFF2-40B4-BE49-F238E27FC236}">
              <a16:creationId xmlns:a16="http://schemas.microsoft.com/office/drawing/2014/main" id="{35A5C1C3-50EE-4E63-AF1F-CB5A5D88323F}"/>
            </a:ext>
            <a:ext uri="{147F2762-F138-4A5C-976F-8EAC2B608ADB}">
              <a16:predDERef xmlns:a16="http://schemas.microsoft.com/office/drawing/2014/main" pred="{C9064B8B-DEA3-48C0-B68F-577FDF04DDE9}"/>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2" name="TekstSylinder 1">
          <a:extLst>
            <a:ext uri="{FF2B5EF4-FFF2-40B4-BE49-F238E27FC236}">
              <a16:creationId xmlns:a16="http://schemas.microsoft.com/office/drawing/2014/main" id="{8724363B-0014-43E9-8951-31D98D055011}"/>
            </a:ext>
            <a:ext uri="{147F2762-F138-4A5C-976F-8EAC2B608ADB}">
              <a16:predDERef xmlns:a16="http://schemas.microsoft.com/office/drawing/2014/main" pred="{3A7CE9A8-88D0-4A38-BA70-58AC1D48B41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3" name="TekstSylinder 1">
          <a:extLst>
            <a:ext uri="{FF2B5EF4-FFF2-40B4-BE49-F238E27FC236}">
              <a16:creationId xmlns:a16="http://schemas.microsoft.com/office/drawing/2014/main" id="{7E527DE1-FDC9-4E3F-83A8-0E7EF0821E60}"/>
            </a:ext>
            <a:ext uri="{147F2762-F138-4A5C-976F-8EAC2B608ADB}">
              <a16:predDERef xmlns:a16="http://schemas.microsoft.com/office/drawing/2014/main" pred="{31EF4EB0-AD01-426F-8893-7891478766CC}"/>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4" name="TekstSylinder 1">
          <a:extLst>
            <a:ext uri="{FF2B5EF4-FFF2-40B4-BE49-F238E27FC236}">
              <a16:creationId xmlns:a16="http://schemas.microsoft.com/office/drawing/2014/main" id="{1412BFC8-4494-4932-83A9-06FC6D930291}"/>
            </a:ext>
            <a:ext uri="{147F2762-F138-4A5C-976F-8EAC2B608ADB}">
              <a16:predDERef xmlns:a16="http://schemas.microsoft.com/office/drawing/2014/main" pred="{2A0A50CE-4F64-4773-A1E3-6EF1D7314FE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5" name="TekstSylinder 1">
          <a:extLst>
            <a:ext uri="{FF2B5EF4-FFF2-40B4-BE49-F238E27FC236}">
              <a16:creationId xmlns:a16="http://schemas.microsoft.com/office/drawing/2014/main" id="{2F119036-94D9-4C37-9B1A-B6DF02E04BC9}"/>
            </a:ext>
            <a:ext uri="{147F2762-F138-4A5C-976F-8EAC2B608ADB}">
              <a16:predDERef xmlns:a16="http://schemas.microsoft.com/office/drawing/2014/main" pred="{42C705F2-EE90-4775-9DDC-7BC557F58D1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6" name="TekstSylinder 1">
          <a:extLst>
            <a:ext uri="{FF2B5EF4-FFF2-40B4-BE49-F238E27FC236}">
              <a16:creationId xmlns:a16="http://schemas.microsoft.com/office/drawing/2014/main" id="{E429DC97-4FCF-4919-AF0E-5F1CB21600C0}"/>
            </a:ext>
            <a:ext uri="{147F2762-F138-4A5C-976F-8EAC2B608ADB}">
              <a16:predDERef xmlns:a16="http://schemas.microsoft.com/office/drawing/2014/main" pred="{11E8CF29-D285-4C43-B28F-54722369C86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7" name="TekstSylinder 1">
          <a:extLst>
            <a:ext uri="{FF2B5EF4-FFF2-40B4-BE49-F238E27FC236}">
              <a16:creationId xmlns:a16="http://schemas.microsoft.com/office/drawing/2014/main" id="{C71F2F5A-9A79-46DE-A72D-695625AF09DC}"/>
            </a:ext>
            <a:ext uri="{147F2762-F138-4A5C-976F-8EAC2B608ADB}">
              <a16:predDERef xmlns:a16="http://schemas.microsoft.com/office/drawing/2014/main" pred="{17596D8F-65B8-4A43-AE75-0A7A41D86891}"/>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8" name="TekstSylinder 1">
          <a:extLst>
            <a:ext uri="{FF2B5EF4-FFF2-40B4-BE49-F238E27FC236}">
              <a16:creationId xmlns:a16="http://schemas.microsoft.com/office/drawing/2014/main" id="{CA4BD440-3CA9-4499-BC83-94D2D65BB359}"/>
            </a:ext>
            <a:ext uri="{147F2762-F138-4A5C-976F-8EAC2B608ADB}">
              <a16:predDERef xmlns:a16="http://schemas.microsoft.com/office/drawing/2014/main" pred="{43F03EF2-EDBE-46F4-BBC0-B421F9896944}"/>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999" name="TekstSylinder 1">
          <a:extLst>
            <a:ext uri="{FF2B5EF4-FFF2-40B4-BE49-F238E27FC236}">
              <a16:creationId xmlns:a16="http://schemas.microsoft.com/office/drawing/2014/main" id="{4A8E3AC2-62DF-4AF6-99F4-B3A5015F8B95}"/>
            </a:ext>
            <a:ext uri="{147F2762-F138-4A5C-976F-8EAC2B608ADB}">
              <a16:predDERef xmlns:a16="http://schemas.microsoft.com/office/drawing/2014/main" pred="{72C31213-28F2-4BF9-890B-94FE5A696C1D}"/>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0" name="TekstSylinder 1">
          <a:extLst>
            <a:ext uri="{FF2B5EF4-FFF2-40B4-BE49-F238E27FC236}">
              <a16:creationId xmlns:a16="http://schemas.microsoft.com/office/drawing/2014/main" id="{7FC6197C-081D-4102-BFB1-EBE53332995C}"/>
            </a:ext>
            <a:ext uri="{147F2762-F138-4A5C-976F-8EAC2B608ADB}">
              <a16:predDERef xmlns:a16="http://schemas.microsoft.com/office/drawing/2014/main" pred="{0953CB5E-1AA2-4705-BF3A-20B320DFD913}"/>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1" name="TekstSylinder 1">
          <a:extLst>
            <a:ext uri="{FF2B5EF4-FFF2-40B4-BE49-F238E27FC236}">
              <a16:creationId xmlns:a16="http://schemas.microsoft.com/office/drawing/2014/main" id="{F8146699-393A-4288-8C11-CADC79917380}"/>
            </a:ext>
            <a:ext uri="{147F2762-F138-4A5C-976F-8EAC2B608ADB}">
              <a16:predDERef xmlns:a16="http://schemas.microsoft.com/office/drawing/2014/main" pred="{48F5CD14-481E-4F69-B29C-CBACC192A42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2" name="TekstSylinder 1">
          <a:extLst>
            <a:ext uri="{FF2B5EF4-FFF2-40B4-BE49-F238E27FC236}">
              <a16:creationId xmlns:a16="http://schemas.microsoft.com/office/drawing/2014/main" id="{BF42B92A-FBBF-47EF-91EA-EF5AC41297C5}"/>
            </a:ext>
            <a:ext uri="{147F2762-F138-4A5C-976F-8EAC2B608ADB}">
              <a16:predDERef xmlns:a16="http://schemas.microsoft.com/office/drawing/2014/main" pred="{C8B38BD9-61F3-43E9-A490-0D5343114BE8}"/>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3" name="TekstSylinder 1">
          <a:extLst>
            <a:ext uri="{FF2B5EF4-FFF2-40B4-BE49-F238E27FC236}">
              <a16:creationId xmlns:a16="http://schemas.microsoft.com/office/drawing/2014/main" id="{5EF351F7-7F5B-498D-81F7-F1FB007A2720}"/>
            </a:ext>
            <a:ext uri="{147F2762-F138-4A5C-976F-8EAC2B608ADB}">
              <a16:predDERef xmlns:a16="http://schemas.microsoft.com/office/drawing/2014/main" pred="{27059EC3-CDE2-43B7-9489-F0ABFF4104D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4" name="TekstSylinder 1">
          <a:extLst>
            <a:ext uri="{FF2B5EF4-FFF2-40B4-BE49-F238E27FC236}">
              <a16:creationId xmlns:a16="http://schemas.microsoft.com/office/drawing/2014/main" id="{1FA7B23F-EB2B-4436-B42B-AFF53BCD2368}"/>
            </a:ext>
            <a:ext uri="{147F2762-F138-4A5C-976F-8EAC2B608ADB}">
              <a16:predDERef xmlns:a16="http://schemas.microsoft.com/office/drawing/2014/main" pred="{BD9BF6EE-1AD7-4EA5-9E87-DB23B82A3209}"/>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5" name="TekstSylinder 1">
          <a:extLst>
            <a:ext uri="{FF2B5EF4-FFF2-40B4-BE49-F238E27FC236}">
              <a16:creationId xmlns:a16="http://schemas.microsoft.com/office/drawing/2014/main" id="{22582E61-B0AE-406A-9C58-D50AF4B27A68}"/>
            </a:ext>
            <a:ext uri="{147F2762-F138-4A5C-976F-8EAC2B608ADB}">
              <a16:predDERef xmlns:a16="http://schemas.microsoft.com/office/drawing/2014/main" pred="{9D02B201-AC99-4086-A1BF-7CDAFE499A3C}"/>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6" name="TekstSylinder 1">
          <a:extLst>
            <a:ext uri="{FF2B5EF4-FFF2-40B4-BE49-F238E27FC236}">
              <a16:creationId xmlns:a16="http://schemas.microsoft.com/office/drawing/2014/main" id="{63100EC6-1C90-4F79-9690-F8492F718CEF}"/>
            </a:ext>
            <a:ext uri="{147F2762-F138-4A5C-976F-8EAC2B608ADB}">
              <a16:predDERef xmlns:a16="http://schemas.microsoft.com/office/drawing/2014/main" pred="{10D4764C-F79C-4785-A4FA-A5929A38EE8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7" name="TekstSylinder 1">
          <a:extLst>
            <a:ext uri="{FF2B5EF4-FFF2-40B4-BE49-F238E27FC236}">
              <a16:creationId xmlns:a16="http://schemas.microsoft.com/office/drawing/2014/main" id="{66DA8758-031B-4A47-BC16-323506E0C1A4}"/>
            </a:ext>
            <a:ext uri="{147F2762-F138-4A5C-976F-8EAC2B608ADB}">
              <a16:predDERef xmlns:a16="http://schemas.microsoft.com/office/drawing/2014/main" pred="{076261FF-39F0-47AE-8F2B-00F7624B2E77}"/>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8" name="TekstSylinder 1">
          <a:extLst>
            <a:ext uri="{FF2B5EF4-FFF2-40B4-BE49-F238E27FC236}">
              <a16:creationId xmlns:a16="http://schemas.microsoft.com/office/drawing/2014/main" id="{D6E11840-121A-4A13-99CB-747FACA774A1}"/>
            </a:ext>
            <a:ext uri="{147F2762-F138-4A5C-976F-8EAC2B608ADB}">
              <a16:predDERef xmlns:a16="http://schemas.microsoft.com/office/drawing/2014/main" pred="{D5FF2C86-EE45-41F3-9343-3EA76E098EA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09" name="TekstSylinder 1">
          <a:extLst>
            <a:ext uri="{FF2B5EF4-FFF2-40B4-BE49-F238E27FC236}">
              <a16:creationId xmlns:a16="http://schemas.microsoft.com/office/drawing/2014/main" id="{7F9B5917-4485-49AF-B5E7-8EA8F95FB251}"/>
            </a:ext>
            <a:ext uri="{147F2762-F138-4A5C-976F-8EAC2B608ADB}">
              <a16:predDERef xmlns:a16="http://schemas.microsoft.com/office/drawing/2014/main" pred="{C63A6C51-C099-46B2-AE29-4346F06FA26D}"/>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0" name="TekstSylinder 1">
          <a:extLst>
            <a:ext uri="{FF2B5EF4-FFF2-40B4-BE49-F238E27FC236}">
              <a16:creationId xmlns:a16="http://schemas.microsoft.com/office/drawing/2014/main" id="{9FFCBB65-9A18-45D0-8D33-DD1D5ECBD15E}"/>
            </a:ext>
            <a:ext uri="{147F2762-F138-4A5C-976F-8EAC2B608ADB}">
              <a16:predDERef xmlns:a16="http://schemas.microsoft.com/office/drawing/2014/main" pred="{87EAEB17-C5E3-4A2A-86BF-807A9486DE5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1" name="TekstSylinder 1">
          <a:extLst>
            <a:ext uri="{FF2B5EF4-FFF2-40B4-BE49-F238E27FC236}">
              <a16:creationId xmlns:a16="http://schemas.microsoft.com/office/drawing/2014/main" id="{6B1DDB8C-E496-4574-B3D3-03EC5ECD5C19}"/>
            </a:ext>
            <a:ext uri="{147F2762-F138-4A5C-976F-8EAC2B608ADB}">
              <a16:predDERef xmlns:a16="http://schemas.microsoft.com/office/drawing/2014/main" pred="{4093238E-B3A3-48B4-B0D8-15BC5E5CFA5D}"/>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2" name="TekstSylinder 1">
          <a:extLst>
            <a:ext uri="{FF2B5EF4-FFF2-40B4-BE49-F238E27FC236}">
              <a16:creationId xmlns:a16="http://schemas.microsoft.com/office/drawing/2014/main" id="{838915F3-E5D0-44EB-9C94-A755E5000981}"/>
            </a:ext>
            <a:ext uri="{147F2762-F138-4A5C-976F-8EAC2B608ADB}">
              <a16:predDERef xmlns:a16="http://schemas.microsoft.com/office/drawing/2014/main" pred="{EDCB75B7-D23E-40B1-86E4-BFCE0FF05BE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3" name="TekstSylinder 1">
          <a:extLst>
            <a:ext uri="{FF2B5EF4-FFF2-40B4-BE49-F238E27FC236}">
              <a16:creationId xmlns:a16="http://schemas.microsoft.com/office/drawing/2014/main" id="{B4A1A692-B842-422F-8467-018DA04F0514}"/>
            </a:ext>
            <a:ext uri="{147F2762-F138-4A5C-976F-8EAC2B608ADB}">
              <a16:predDERef xmlns:a16="http://schemas.microsoft.com/office/drawing/2014/main" pred="{C4575059-4729-4518-8A6E-E8B6EC37AA02}"/>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4" name="TekstSylinder 1">
          <a:extLst>
            <a:ext uri="{FF2B5EF4-FFF2-40B4-BE49-F238E27FC236}">
              <a16:creationId xmlns:a16="http://schemas.microsoft.com/office/drawing/2014/main" id="{63C1E6F3-7132-4F69-8C36-E5F33A681D8F}"/>
            </a:ext>
            <a:ext uri="{147F2762-F138-4A5C-976F-8EAC2B608ADB}">
              <a16:predDERef xmlns:a16="http://schemas.microsoft.com/office/drawing/2014/main" pred="{17C1C1E0-7C9A-452B-91C1-600790768C3E}"/>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5" name="TekstSylinder 1">
          <a:extLst>
            <a:ext uri="{FF2B5EF4-FFF2-40B4-BE49-F238E27FC236}">
              <a16:creationId xmlns:a16="http://schemas.microsoft.com/office/drawing/2014/main" id="{46DA5A52-22B9-4F7D-B1C6-150B678FC9C1}"/>
            </a:ext>
            <a:ext uri="{147F2762-F138-4A5C-976F-8EAC2B608ADB}">
              <a16:predDERef xmlns:a16="http://schemas.microsoft.com/office/drawing/2014/main" pred="{80097772-2F0C-4B28-A5A0-AE4110803CD6}"/>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6" name="TekstSylinder 1">
          <a:extLst>
            <a:ext uri="{FF2B5EF4-FFF2-40B4-BE49-F238E27FC236}">
              <a16:creationId xmlns:a16="http://schemas.microsoft.com/office/drawing/2014/main" id="{0C095E53-15CB-4F8C-B916-7CFAD6DD1B01}"/>
            </a:ext>
            <a:ext uri="{147F2762-F138-4A5C-976F-8EAC2B608ADB}">
              <a16:predDERef xmlns:a16="http://schemas.microsoft.com/office/drawing/2014/main" pred="{F09A9B74-37F0-40B0-B31E-20678797655A}"/>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7" name="TekstSylinder 1">
          <a:extLst>
            <a:ext uri="{FF2B5EF4-FFF2-40B4-BE49-F238E27FC236}">
              <a16:creationId xmlns:a16="http://schemas.microsoft.com/office/drawing/2014/main" id="{6FF55B1A-C603-41B3-BC3F-3828541A3B27}"/>
            </a:ext>
            <a:ext uri="{147F2762-F138-4A5C-976F-8EAC2B608ADB}">
              <a16:predDERef xmlns:a16="http://schemas.microsoft.com/office/drawing/2014/main" pred="{DAE7F1C0-1C37-4C33-81D8-7A37730E6806}"/>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8" name="TekstSylinder 1">
          <a:extLst>
            <a:ext uri="{FF2B5EF4-FFF2-40B4-BE49-F238E27FC236}">
              <a16:creationId xmlns:a16="http://schemas.microsoft.com/office/drawing/2014/main" id="{E36AE04D-1E98-4D88-841E-921FD0555722}"/>
            </a:ext>
            <a:ext uri="{147F2762-F138-4A5C-976F-8EAC2B608ADB}">
              <a16:predDERef xmlns:a16="http://schemas.microsoft.com/office/drawing/2014/main" pred="{68310292-07D7-4903-9FB2-9CD1A9FB053F}"/>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19" name="TekstSylinder 1">
          <a:extLst>
            <a:ext uri="{FF2B5EF4-FFF2-40B4-BE49-F238E27FC236}">
              <a16:creationId xmlns:a16="http://schemas.microsoft.com/office/drawing/2014/main" id="{D1D58918-4BBE-4D0C-A639-1DD5EE75B872}"/>
            </a:ext>
            <a:ext uri="{147F2762-F138-4A5C-976F-8EAC2B608ADB}">
              <a16:predDERef xmlns:a16="http://schemas.microsoft.com/office/drawing/2014/main" pred="{1FF10DFC-89F4-47A4-B9F0-0F8E0C362810}"/>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20" name="TekstSylinder 1">
          <a:extLst>
            <a:ext uri="{FF2B5EF4-FFF2-40B4-BE49-F238E27FC236}">
              <a16:creationId xmlns:a16="http://schemas.microsoft.com/office/drawing/2014/main" id="{E7935AD8-39E9-45C4-AC39-94069943073B}"/>
            </a:ext>
            <a:ext uri="{147F2762-F138-4A5C-976F-8EAC2B608ADB}">
              <a16:predDERef xmlns:a16="http://schemas.microsoft.com/office/drawing/2014/main" pred="{412F7EA9-FB02-49B6-8348-30336569BA4B}"/>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80</xdr:row>
      <xdr:rowOff>0</xdr:rowOff>
    </xdr:from>
    <xdr:ext cx="184731" cy="264560"/>
    <xdr:sp macro="" textlink="">
      <xdr:nvSpPr>
        <xdr:cNvPr id="1021" name="TekstSylinder 1">
          <a:extLst>
            <a:ext uri="{FF2B5EF4-FFF2-40B4-BE49-F238E27FC236}">
              <a16:creationId xmlns:a16="http://schemas.microsoft.com/office/drawing/2014/main" id="{1302CA65-2B33-4C30-A317-84FE36279FBC}"/>
            </a:ext>
            <a:ext uri="{147F2762-F138-4A5C-976F-8EAC2B608ADB}">
              <a16:predDERef xmlns:a16="http://schemas.microsoft.com/office/drawing/2014/main" pred="{827C4F80-2E56-4687-BB3D-BB21F25AEA91}"/>
            </a:ext>
          </a:extLst>
        </xdr:cNvPr>
        <xdr:cNvSpPr txBox="1"/>
      </xdr:nvSpPr>
      <xdr:spPr>
        <a:xfrm>
          <a:off x="5898356" y="9274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123825</xdr:colOff>
      <xdr:row>2</xdr:row>
      <xdr:rowOff>0</xdr:rowOff>
    </xdr:from>
    <xdr:ext cx="184731" cy="264560"/>
    <xdr:sp macro="" textlink="">
      <xdr:nvSpPr>
        <xdr:cNvPr id="2" name="TekstSylinder 1">
          <a:extLst>
            <a:ext uri="{FF2B5EF4-FFF2-40B4-BE49-F238E27FC236}">
              <a16:creationId xmlns:a16="http://schemas.microsoft.com/office/drawing/2014/main" id="{C0E082D9-D9BB-4A44-8A36-8562145D26C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 name="TekstSylinder 1">
          <a:extLst>
            <a:ext uri="{FF2B5EF4-FFF2-40B4-BE49-F238E27FC236}">
              <a16:creationId xmlns:a16="http://schemas.microsoft.com/office/drawing/2014/main" id="{81EBB6A8-1102-4B5D-B56B-9C608D1F5DE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 name="TekstSylinder 1">
          <a:extLst>
            <a:ext uri="{FF2B5EF4-FFF2-40B4-BE49-F238E27FC236}">
              <a16:creationId xmlns:a16="http://schemas.microsoft.com/office/drawing/2014/main" id="{15730BB7-A9FB-4DAF-9AFB-3768D14C461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 name="TekstSylinder 1">
          <a:extLst>
            <a:ext uri="{FF2B5EF4-FFF2-40B4-BE49-F238E27FC236}">
              <a16:creationId xmlns:a16="http://schemas.microsoft.com/office/drawing/2014/main" id="{04A90266-7EE5-4B38-9E4D-F5ED87D13C0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 name="TekstSylinder 1">
          <a:extLst>
            <a:ext uri="{FF2B5EF4-FFF2-40B4-BE49-F238E27FC236}">
              <a16:creationId xmlns:a16="http://schemas.microsoft.com/office/drawing/2014/main" id="{2E4FA3C1-E863-4EF8-9FD1-1195F234CAB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 name="TekstSylinder 1">
          <a:extLst>
            <a:ext uri="{FF2B5EF4-FFF2-40B4-BE49-F238E27FC236}">
              <a16:creationId xmlns:a16="http://schemas.microsoft.com/office/drawing/2014/main" id="{52285FB1-24F8-4815-9EEE-869A0CADDC0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 name="TekstSylinder 1">
          <a:extLst>
            <a:ext uri="{FF2B5EF4-FFF2-40B4-BE49-F238E27FC236}">
              <a16:creationId xmlns:a16="http://schemas.microsoft.com/office/drawing/2014/main" id="{4093B52D-98D2-4499-9A0C-272E955A725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 name="TekstSylinder 1">
          <a:extLst>
            <a:ext uri="{FF2B5EF4-FFF2-40B4-BE49-F238E27FC236}">
              <a16:creationId xmlns:a16="http://schemas.microsoft.com/office/drawing/2014/main" id="{5C0330B6-2E3C-4103-AD19-E1A0BCB6F876}"/>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 name="TekstSylinder 1">
          <a:extLst>
            <a:ext uri="{FF2B5EF4-FFF2-40B4-BE49-F238E27FC236}">
              <a16:creationId xmlns:a16="http://schemas.microsoft.com/office/drawing/2014/main" id="{8EFE63AB-5271-4967-A317-D518985E295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1" name="TekstSylinder 1">
          <a:extLst>
            <a:ext uri="{FF2B5EF4-FFF2-40B4-BE49-F238E27FC236}">
              <a16:creationId xmlns:a16="http://schemas.microsoft.com/office/drawing/2014/main" id="{F3DFE15C-8A11-46F3-BAF4-EB3ADA49990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2" name="TekstSylinder 1">
          <a:extLst>
            <a:ext uri="{FF2B5EF4-FFF2-40B4-BE49-F238E27FC236}">
              <a16:creationId xmlns:a16="http://schemas.microsoft.com/office/drawing/2014/main" id="{AB4BDB0C-3407-481A-8486-5B7DEF83C2AD}"/>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3" name="TekstSylinder 1">
          <a:extLst>
            <a:ext uri="{FF2B5EF4-FFF2-40B4-BE49-F238E27FC236}">
              <a16:creationId xmlns:a16="http://schemas.microsoft.com/office/drawing/2014/main" id="{68CD2B7B-4603-4D6B-A509-818A30B613D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4" name="TekstSylinder 1">
          <a:extLst>
            <a:ext uri="{FF2B5EF4-FFF2-40B4-BE49-F238E27FC236}">
              <a16:creationId xmlns:a16="http://schemas.microsoft.com/office/drawing/2014/main" id="{1CAA85AB-3E2B-41CC-A482-D790E1D8F563}"/>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5" name="TekstSylinder 1">
          <a:extLst>
            <a:ext uri="{FF2B5EF4-FFF2-40B4-BE49-F238E27FC236}">
              <a16:creationId xmlns:a16="http://schemas.microsoft.com/office/drawing/2014/main" id="{305CFEEA-92A4-44BC-AF65-38B2B2724CA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6" name="TekstSylinder 1">
          <a:extLst>
            <a:ext uri="{FF2B5EF4-FFF2-40B4-BE49-F238E27FC236}">
              <a16:creationId xmlns:a16="http://schemas.microsoft.com/office/drawing/2014/main" id="{80E31140-66EB-4C19-9146-976155E5965F}"/>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7" name="TekstSylinder 1">
          <a:extLst>
            <a:ext uri="{FF2B5EF4-FFF2-40B4-BE49-F238E27FC236}">
              <a16:creationId xmlns:a16="http://schemas.microsoft.com/office/drawing/2014/main" id="{F0BA0E22-9CFF-4442-97A5-57FCE282BB0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8" name="TekstSylinder 1">
          <a:extLst>
            <a:ext uri="{FF2B5EF4-FFF2-40B4-BE49-F238E27FC236}">
              <a16:creationId xmlns:a16="http://schemas.microsoft.com/office/drawing/2014/main" id="{A01BA968-2564-4968-9AEC-9364E54C45B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9" name="TekstSylinder 1">
          <a:extLst>
            <a:ext uri="{FF2B5EF4-FFF2-40B4-BE49-F238E27FC236}">
              <a16:creationId xmlns:a16="http://schemas.microsoft.com/office/drawing/2014/main" id="{68D80D1F-F6B1-4CB6-AA1E-8AAA3F018F8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0" name="TekstSylinder 1">
          <a:extLst>
            <a:ext uri="{FF2B5EF4-FFF2-40B4-BE49-F238E27FC236}">
              <a16:creationId xmlns:a16="http://schemas.microsoft.com/office/drawing/2014/main" id="{77BA00B0-F2E8-4E39-9A81-599F83432135}"/>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1" name="TekstSylinder 1">
          <a:extLst>
            <a:ext uri="{FF2B5EF4-FFF2-40B4-BE49-F238E27FC236}">
              <a16:creationId xmlns:a16="http://schemas.microsoft.com/office/drawing/2014/main" id="{15F2FC8F-477A-4CF7-ABF3-CF8F03E14646}"/>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2" name="TekstSylinder 1">
          <a:extLst>
            <a:ext uri="{FF2B5EF4-FFF2-40B4-BE49-F238E27FC236}">
              <a16:creationId xmlns:a16="http://schemas.microsoft.com/office/drawing/2014/main" id="{DD799E46-1F8E-4A63-B62B-C34AD8ED65D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3" name="TekstSylinder 1">
          <a:extLst>
            <a:ext uri="{FF2B5EF4-FFF2-40B4-BE49-F238E27FC236}">
              <a16:creationId xmlns:a16="http://schemas.microsoft.com/office/drawing/2014/main" id="{64C819C1-37D1-40FC-9363-F029C30A9270}"/>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4" name="TekstSylinder 1">
          <a:extLst>
            <a:ext uri="{FF2B5EF4-FFF2-40B4-BE49-F238E27FC236}">
              <a16:creationId xmlns:a16="http://schemas.microsoft.com/office/drawing/2014/main" id="{CD35A4A8-ECC2-47AB-A7B6-D6EB46F90115}"/>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5" name="TekstSylinder 1">
          <a:extLst>
            <a:ext uri="{FF2B5EF4-FFF2-40B4-BE49-F238E27FC236}">
              <a16:creationId xmlns:a16="http://schemas.microsoft.com/office/drawing/2014/main" id="{E45C388C-8BD1-4067-8EEF-C033016A82C4}"/>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6" name="TekstSylinder 1">
          <a:extLst>
            <a:ext uri="{FF2B5EF4-FFF2-40B4-BE49-F238E27FC236}">
              <a16:creationId xmlns:a16="http://schemas.microsoft.com/office/drawing/2014/main" id="{54D0FA3E-4DE0-46ED-B7D3-E435B4F6E76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7" name="TekstSylinder 1">
          <a:extLst>
            <a:ext uri="{FF2B5EF4-FFF2-40B4-BE49-F238E27FC236}">
              <a16:creationId xmlns:a16="http://schemas.microsoft.com/office/drawing/2014/main" id="{AB7E756C-BA5D-4218-ABAD-678A4B1AB88B}"/>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8" name="TekstSylinder 1">
          <a:extLst>
            <a:ext uri="{FF2B5EF4-FFF2-40B4-BE49-F238E27FC236}">
              <a16:creationId xmlns:a16="http://schemas.microsoft.com/office/drawing/2014/main" id="{865F29E5-D15E-4DEB-805B-624CC634F09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29" name="TekstSylinder 1">
          <a:extLst>
            <a:ext uri="{FF2B5EF4-FFF2-40B4-BE49-F238E27FC236}">
              <a16:creationId xmlns:a16="http://schemas.microsoft.com/office/drawing/2014/main" id="{2F291AF4-C040-4B60-9533-F48AF9830CF4}"/>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0" name="TekstSylinder 1">
          <a:extLst>
            <a:ext uri="{FF2B5EF4-FFF2-40B4-BE49-F238E27FC236}">
              <a16:creationId xmlns:a16="http://schemas.microsoft.com/office/drawing/2014/main" id="{B9863BEE-B99A-43F8-A24C-32BDDF65CC3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1" name="TekstSylinder 1">
          <a:extLst>
            <a:ext uri="{FF2B5EF4-FFF2-40B4-BE49-F238E27FC236}">
              <a16:creationId xmlns:a16="http://schemas.microsoft.com/office/drawing/2014/main" id="{BCA7470E-A3E8-46B2-A375-1A69990AD3ED}"/>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2" name="TekstSylinder 1">
          <a:extLst>
            <a:ext uri="{FF2B5EF4-FFF2-40B4-BE49-F238E27FC236}">
              <a16:creationId xmlns:a16="http://schemas.microsoft.com/office/drawing/2014/main" id="{600F6B47-49AC-410F-BF93-A8DBECB0F16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3" name="TekstSylinder 1">
          <a:extLst>
            <a:ext uri="{FF2B5EF4-FFF2-40B4-BE49-F238E27FC236}">
              <a16:creationId xmlns:a16="http://schemas.microsoft.com/office/drawing/2014/main" id="{B5573E55-31D8-4C12-9819-E73F9F2BB5A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4" name="TekstSylinder 1">
          <a:extLst>
            <a:ext uri="{FF2B5EF4-FFF2-40B4-BE49-F238E27FC236}">
              <a16:creationId xmlns:a16="http://schemas.microsoft.com/office/drawing/2014/main" id="{7697010E-4DBF-434E-952B-D9839FC0414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5" name="TekstSylinder 1">
          <a:extLst>
            <a:ext uri="{FF2B5EF4-FFF2-40B4-BE49-F238E27FC236}">
              <a16:creationId xmlns:a16="http://schemas.microsoft.com/office/drawing/2014/main" id="{0B0A7F22-C617-4B90-A174-1B940597DC36}"/>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6" name="TekstSylinder 1">
          <a:extLst>
            <a:ext uri="{FF2B5EF4-FFF2-40B4-BE49-F238E27FC236}">
              <a16:creationId xmlns:a16="http://schemas.microsoft.com/office/drawing/2014/main" id="{B1FC6D7A-C9F7-4BF3-B2BD-CBCC5321AAA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7" name="TekstSylinder 1">
          <a:extLst>
            <a:ext uri="{FF2B5EF4-FFF2-40B4-BE49-F238E27FC236}">
              <a16:creationId xmlns:a16="http://schemas.microsoft.com/office/drawing/2014/main" id="{82444C9A-8479-469E-9A45-A2AC9D129C0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8" name="TekstSylinder 1">
          <a:extLst>
            <a:ext uri="{FF2B5EF4-FFF2-40B4-BE49-F238E27FC236}">
              <a16:creationId xmlns:a16="http://schemas.microsoft.com/office/drawing/2014/main" id="{0E2469DE-E985-4EA6-B12D-4D3F0F046AB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39" name="TekstSylinder 1">
          <a:extLst>
            <a:ext uri="{FF2B5EF4-FFF2-40B4-BE49-F238E27FC236}">
              <a16:creationId xmlns:a16="http://schemas.microsoft.com/office/drawing/2014/main" id="{1EA03428-280B-4F55-A3D7-37C22B6E5D7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0" name="TekstSylinder 1">
          <a:extLst>
            <a:ext uri="{FF2B5EF4-FFF2-40B4-BE49-F238E27FC236}">
              <a16:creationId xmlns:a16="http://schemas.microsoft.com/office/drawing/2014/main" id="{76655FAF-05FE-47C4-BA5B-CD13D4226B2B}"/>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1" name="TekstSylinder 1">
          <a:extLst>
            <a:ext uri="{FF2B5EF4-FFF2-40B4-BE49-F238E27FC236}">
              <a16:creationId xmlns:a16="http://schemas.microsoft.com/office/drawing/2014/main" id="{72058433-1485-4559-B554-D22804E80B1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2" name="TekstSylinder 1">
          <a:extLst>
            <a:ext uri="{FF2B5EF4-FFF2-40B4-BE49-F238E27FC236}">
              <a16:creationId xmlns:a16="http://schemas.microsoft.com/office/drawing/2014/main" id="{165650A9-9297-4C39-B5DA-428C4B97282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3" name="TekstSylinder 1">
          <a:extLst>
            <a:ext uri="{FF2B5EF4-FFF2-40B4-BE49-F238E27FC236}">
              <a16:creationId xmlns:a16="http://schemas.microsoft.com/office/drawing/2014/main" id="{47452DB2-6D07-4D49-98BF-98659DD8DB23}"/>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4" name="TekstSylinder 1">
          <a:extLst>
            <a:ext uri="{FF2B5EF4-FFF2-40B4-BE49-F238E27FC236}">
              <a16:creationId xmlns:a16="http://schemas.microsoft.com/office/drawing/2014/main" id="{6EB01C4A-5B31-463B-8D20-850D89110A5F}"/>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5" name="TekstSylinder 1">
          <a:extLst>
            <a:ext uri="{FF2B5EF4-FFF2-40B4-BE49-F238E27FC236}">
              <a16:creationId xmlns:a16="http://schemas.microsoft.com/office/drawing/2014/main" id="{491371CD-A308-4E57-8067-3236E6ED60D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6" name="TekstSylinder 1">
          <a:extLst>
            <a:ext uri="{FF2B5EF4-FFF2-40B4-BE49-F238E27FC236}">
              <a16:creationId xmlns:a16="http://schemas.microsoft.com/office/drawing/2014/main" id="{118B6D13-9AB0-4CBD-AFEB-D4213165E0D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7" name="TekstSylinder 1">
          <a:extLst>
            <a:ext uri="{FF2B5EF4-FFF2-40B4-BE49-F238E27FC236}">
              <a16:creationId xmlns:a16="http://schemas.microsoft.com/office/drawing/2014/main" id="{5BAB0656-110D-4F7C-AF6D-C284A77DDF8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8" name="TekstSylinder 1">
          <a:extLst>
            <a:ext uri="{FF2B5EF4-FFF2-40B4-BE49-F238E27FC236}">
              <a16:creationId xmlns:a16="http://schemas.microsoft.com/office/drawing/2014/main" id="{EAE7CD8D-2133-42C3-A23D-E4ED6916BBA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49" name="TekstSylinder 1">
          <a:extLst>
            <a:ext uri="{FF2B5EF4-FFF2-40B4-BE49-F238E27FC236}">
              <a16:creationId xmlns:a16="http://schemas.microsoft.com/office/drawing/2014/main" id="{7CD105B8-0748-42DA-8AEF-36443252DF9D}"/>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0" name="TekstSylinder 1">
          <a:extLst>
            <a:ext uri="{FF2B5EF4-FFF2-40B4-BE49-F238E27FC236}">
              <a16:creationId xmlns:a16="http://schemas.microsoft.com/office/drawing/2014/main" id="{52D28228-D2A0-4B87-91E1-FFFAA4F1A88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1" name="TekstSylinder 1">
          <a:extLst>
            <a:ext uri="{FF2B5EF4-FFF2-40B4-BE49-F238E27FC236}">
              <a16:creationId xmlns:a16="http://schemas.microsoft.com/office/drawing/2014/main" id="{CA674304-4599-46DF-ADDD-66299CCB14CF}"/>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2" name="TekstSylinder 1">
          <a:extLst>
            <a:ext uri="{FF2B5EF4-FFF2-40B4-BE49-F238E27FC236}">
              <a16:creationId xmlns:a16="http://schemas.microsoft.com/office/drawing/2014/main" id="{30495E26-8964-4458-9B24-19985658FD3B}"/>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3" name="TekstSylinder 1">
          <a:extLst>
            <a:ext uri="{FF2B5EF4-FFF2-40B4-BE49-F238E27FC236}">
              <a16:creationId xmlns:a16="http://schemas.microsoft.com/office/drawing/2014/main" id="{9C7B0414-269A-4A19-B942-2A430761AC0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4" name="TekstSylinder 1">
          <a:extLst>
            <a:ext uri="{FF2B5EF4-FFF2-40B4-BE49-F238E27FC236}">
              <a16:creationId xmlns:a16="http://schemas.microsoft.com/office/drawing/2014/main" id="{FF18CAD7-E213-4EEC-8DEB-9EDD89904876}"/>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5" name="TekstSylinder 1">
          <a:extLst>
            <a:ext uri="{FF2B5EF4-FFF2-40B4-BE49-F238E27FC236}">
              <a16:creationId xmlns:a16="http://schemas.microsoft.com/office/drawing/2014/main" id="{6862FDD7-5CB0-4086-B5AC-2CC53B1788DD}"/>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6" name="TekstSylinder 1">
          <a:extLst>
            <a:ext uri="{FF2B5EF4-FFF2-40B4-BE49-F238E27FC236}">
              <a16:creationId xmlns:a16="http://schemas.microsoft.com/office/drawing/2014/main" id="{68477794-6BA4-44F5-B8EF-3C5CFBEA49C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7" name="TekstSylinder 1">
          <a:extLst>
            <a:ext uri="{FF2B5EF4-FFF2-40B4-BE49-F238E27FC236}">
              <a16:creationId xmlns:a16="http://schemas.microsoft.com/office/drawing/2014/main" id="{5D8014A3-E049-4E40-BCFD-FB47994072B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8" name="TekstSylinder 1">
          <a:extLst>
            <a:ext uri="{FF2B5EF4-FFF2-40B4-BE49-F238E27FC236}">
              <a16:creationId xmlns:a16="http://schemas.microsoft.com/office/drawing/2014/main" id="{859F69D0-49B5-4B0D-8716-39BA6016D7C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59" name="TekstSylinder 1">
          <a:extLst>
            <a:ext uri="{FF2B5EF4-FFF2-40B4-BE49-F238E27FC236}">
              <a16:creationId xmlns:a16="http://schemas.microsoft.com/office/drawing/2014/main" id="{A5CFEE6D-32A9-4B55-995A-AC9B6930BB0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0" name="TekstSylinder 1">
          <a:extLst>
            <a:ext uri="{FF2B5EF4-FFF2-40B4-BE49-F238E27FC236}">
              <a16:creationId xmlns:a16="http://schemas.microsoft.com/office/drawing/2014/main" id="{CB2A6575-E9AC-4AD3-8FD9-93E6FFC4C67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1" name="TekstSylinder 1">
          <a:extLst>
            <a:ext uri="{FF2B5EF4-FFF2-40B4-BE49-F238E27FC236}">
              <a16:creationId xmlns:a16="http://schemas.microsoft.com/office/drawing/2014/main" id="{CDBCBD81-4CA2-4FA1-9505-4D191F76E68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2" name="TekstSylinder 1">
          <a:extLst>
            <a:ext uri="{FF2B5EF4-FFF2-40B4-BE49-F238E27FC236}">
              <a16:creationId xmlns:a16="http://schemas.microsoft.com/office/drawing/2014/main" id="{58E9D194-7A29-4BE5-92F6-3A43CAD33A74}"/>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3" name="TekstSylinder 1">
          <a:extLst>
            <a:ext uri="{FF2B5EF4-FFF2-40B4-BE49-F238E27FC236}">
              <a16:creationId xmlns:a16="http://schemas.microsoft.com/office/drawing/2014/main" id="{E1017365-04F9-4B71-89C5-D8D5D562790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4" name="TekstSylinder 1">
          <a:extLst>
            <a:ext uri="{FF2B5EF4-FFF2-40B4-BE49-F238E27FC236}">
              <a16:creationId xmlns:a16="http://schemas.microsoft.com/office/drawing/2014/main" id="{61E92F37-C638-4E20-8019-8463D03254FF}"/>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5" name="TekstSylinder 1">
          <a:extLst>
            <a:ext uri="{FF2B5EF4-FFF2-40B4-BE49-F238E27FC236}">
              <a16:creationId xmlns:a16="http://schemas.microsoft.com/office/drawing/2014/main" id="{552F8DA7-202B-4E9D-BF44-43CDFF6E2A75}"/>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6" name="TekstSylinder 1">
          <a:extLst>
            <a:ext uri="{FF2B5EF4-FFF2-40B4-BE49-F238E27FC236}">
              <a16:creationId xmlns:a16="http://schemas.microsoft.com/office/drawing/2014/main" id="{23811F9A-8774-4DAB-BD33-739E8A078DD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7" name="TekstSylinder 1">
          <a:extLst>
            <a:ext uri="{FF2B5EF4-FFF2-40B4-BE49-F238E27FC236}">
              <a16:creationId xmlns:a16="http://schemas.microsoft.com/office/drawing/2014/main" id="{9C143ECA-1822-4C4D-AF31-ED077668236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8" name="TekstSylinder 1">
          <a:extLst>
            <a:ext uri="{FF2B5EF4-FFF2-40B4-BE49-F238E27FC236}">
              <a16:creationId xmlns:a16="http://schemas.microsoft.com/office/drawing/2014/main" id="{B67030DD-FDF0-4599-882D-83B042A98BFF}"/>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69" name="TekstSylinder 1">
          <a:extLst>
            <a:ext uri="{FF2B5EF4-FFF2-40B4-BE49-F238E27FC236}">
              <a16:creationId xmlns:a16="http://schemas.microsoft.com/office/drawing/2014/main" id="{1079B901-68EC-4E82-8D47-36D0BDD8D3BD}"/>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0" name="TekstSylinder 1">
          <a:extLst>
            <a:ext uri="{FF2B5EF4-FFF2-40B4-BE49-F238E27FC236}">
              <a16:creationId xmlns:a16="http://schemas.microsoft.com/office/drawing/2014/main" id="{ED9FF953-0EAF-41B6-8320-0688A14824B0}"/>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1" name="TekstSylinder 1">
          <a:extLst>
            <a:ext uri="{FF2B5EF4-FFF2-40B4-BE49-F238E27FC236}">
              <a16:creationId xmlns:a16="http://schemas.microsoft.com/office/drawing/2014/main" id="{CF7915BE-375E-4A9D-832C-862FCF87B1A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2" name="TekstSylinder 1">
          <a:extLst>
            <a:ext uri="{FF2B5EF4-FFF2-40B4-BE49-F238E27FC236}">
              <a16:creationId xmlns:a16="http://schemas.microsoft.com/office/drawing/2014/main" id="{2FCA6136-AD8A-449F-A653-D101E42726E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3" name="TekstSylinder 1">
          <a:extLst>
            <a:ext uri="{FF2B5EF4-FFF2-40B4-BE49-F238E27FC236}">
              <a16:creationId xmlns:a16="http://schemas.microsoft.com/office/drawing/2014/main" id="{952BD9AF-96D2-416F-B52E-A46871F2766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4" name="TekstSylinder 1">
          <a:extLst>
            <a:ext uri="{FF2B5EF4-FFF2-40B4-BE49-F238E27FC236}">
              <a16:creationId xmlns:a16="http://schemas.microsoft.com/office/drawing/2014/main" id="{395B50A6-83DC-4986-9A7B-C494373A99C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5" name="TekstSylinder 1">
          <a:extLst>
            <a:ext uri="{FF2B5EF4-FFF2-40B4-BE49-F238E27FC236}">
              <a16:creationId xmlns:a16="http://schemas.microsoft.com/office/drawing/2014/main" id="{42F769B5-F36F-4C37-968C-C0C56CD0545D}"/>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6" name="TekstSylinder 1">
          <a:extLst>
            <a:ext uri="{FF2B5EF4-FFF2-40B4-BE49-F238E27FC236}">
              <a16:creationId xmlns:a16="http://schemas.microsoft.com/office/drawing/2014/main" id="{0F6959B4-FAAD-4B5A-939B-0CA7738FC16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7" name="TekstSylinder 1">
          <a:extLst>
            <a:ext uri="{FF2B5EF4-FFF2-40B4-BE49-F238E27FC236}">
              <a16:creationId xmlns:a16="http://schemas.microsoft.com/office/drawing/2014/main" id="{6437DA3F-9E26-4642-A127-75B8872AB6DF}"/>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8" name="TekstSylinder 1">
          <a:extLst>
            <a:ext uri="{FF2B5EF4-FFF2-40B4-BE49-F238E27FC236}">
              <a16:creationId xmlns:a16="http://schemas.microsoft.com/office/drawing/2014/main" id="{D9675ABB-AC87-433F-9227-87820CB3E0A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79" name="TekstSylinder 1">
          <a:extLst>
            <a:ext uri="{FF2B5EF4-FFF2-40B4-BE49-F238E27FC236}">
              <a16:creationId xmlns:a16="http://schemas.microsoft.com/office/drawing/2014/main" id="{A7478C1D-3C23-4B88-88E0-36CE0D853CB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0" name="TekstSylinder 1">
          <a:extLst>
            <a:ext uri="{FF2B5EF4-FFF2-40B4-BE49-F238E27FC236}">
              <a16:creationId xmlns:a16="http://schemas.microsoft.com/office/drawing/2014/main" id="{E7792945-D012-4391-BD25-E9BB1281D1FB}"/>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1" name="TekstSylinder 1">
          <a:extLst>
            <a:ext uri="{FF2B5EF4-FFF2-40B4-BE49-F238E27FC236}">
              <a16:creationId xmlns:a16="http://schemas.microsoft.com/office/drawing/2014/main" id="{099ACA1E-AA0D-4614-91BE-73ACE2B73C9B}"/>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2" name="TekstSylinder 1">
          <a:extLst>
            <a:ext uri="{FF2B5EF4-FFF2-40B4-BE49-F238E27FC236}">
              <a16:creationId xmlns:a16="http://schemas.microsoft.com/office/drawing/2014/main" id="{BE17C1A7-CB54-49BD-A02A-836B89B94D9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3" name="TekstSylinder 1">
          <a:extLst>
            <a:ext uri="{FF2B5EF4-FFF2-40B4-BE49-F238E27FC236}">
              <a16:creationId xmlns:a16="http://schemas.microsoft.com/office/drawing/2014/main" id="{18E08819-A7A4-4F53-8BA2-9C40BF6D605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4" name="TekstSylinder 1">
          <a:extLst>
            <a:ext uri="{FF2B5EF4-FFF2-40B4-BE49-F238E27FC236}">
              <a16:creationId xmlns:a16="http://schemas.microsoft.com/office/drawing/2014/main" id="{BFF90DF9-8C9B-4FFE-A2A2-BD5058770928}"/>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5" name="TekstSylinder 1">
          <a:extLst>
            <a:ext uri="{FF2B5EF4-FFF2-40B4-BE49-F238E27FC236}">
              <a16:creationId xmlns:a16="http://schemas.microsoft.com/office/drawing/2014/main" id="{14B63450-E7EB-4590-B39D-63CE427B645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6" name="TekstSylinder 1">
          <a:extLst>
            <a:ext uri="{FF2B5EF4-FFF2-40B4-BE49-F238E27FC236}">
              <a16:creationId xmlns:a16="http://schemas.microsoft.com/office/drawing/2014/main" id="{DBAC61B3-0FA8-4E20-B4E6-32C9BD604AF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7" name="TekstSylinder 1">
          <a:extLst>
            <a:ext uri="{FF2B5EF4-FFF2-40B4-BE49-F238E27FC236}">
              <a16:creationId xmlns:a16="http://schemas.microsoft.com/office/drawing/2014/main" id="{F6879E2F-0738-4E56-9E65-036BB05CEF43}"/>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8" name="TekstSylinder 1">
          <a:extLst>
            <a:ext uri="{FF2B5EF4-FFF2-40B4-BE49-F238E27FC236}">
              <a16:creationId xmlns:a16="http://schemas.microsoft.com/office/drawing/2014/main" id="{AC105BA6-EE8F-4227-BC8A-802D8D05A3B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89" name="TekstSylinder 1">
          <a:extLst>
            <a:ext uri="{FF2B5EF4-FFF2-40B4-BE49-F238E27FC236}">
              <a16:creationId xmlns:a16="http://schemas.microsoft.com/office/drawing/2014/main" id="{E9C5F3B6-B3D6-4F7C-BB77-4C2E424BB747}"/>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0" name="TekstSylinder 1">
          <a:extLst>
            <a:ext uri="{FF2B5EF4-FFF2-40B4-BE49-F238E27FC236}">
              <a16:creationId xmlns:a16="http://schemas.microsoft.com/office/drawing/2014/main" id="{189F35EE-B728-4721-9954-48B669B71B5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1" name="TekstSylinder 1">
          <a:extLst>
            <a:ext uri="{FF2B5EF4-FFF2-40B4-BE49-F238E27FC236}">
              <a16:creationId xmlns:a16="http://schemas.microsoft.com/office/drawing/2014/main" id="{4FC10EA7-469D-4602-B370-757822937C2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2" name="TekstSylinder 1">
          <a:extLst>
            <a:ext uri="{FF2B5EF4-FFF2-40B4-BE49-F238E27FC236}">
              <a16:creationId xmlns:a16="http://schemas.microsoft.com/office/drawing/2014/main" id="{B388E7E6-EFB8-443E-8F6E-610E153E811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3" name="TekstSylinder 1">
          <a:extLst>
            <a:ext uri="{FF2B5EF4-FFF2-40B4-BE49-F238E27FC236}">
              <a16:creationId xmlns:a16="http://schemas.microsoft.com/office/drawing/2014/main" id="{A4AEB7C8-2879-4A7A-B5C1-4295F8C1CD7C}"/>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4" name="TekstSylinder 1">
          <a:extLst>
            <a:ext uri="{FF2B5EF4-FFF2-40B4-BE49-F238E27FC236}">
              <a16:creationId xmlns:a16="http://schemas.microsoft.com/office/drawing/2014/main" id="{24F519DB-DF9A-4A3E-A52D-EF404E304A01}"/>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5" name="TekstSylinder 1">
          <a:extLst>
            <a:ext uri="{FF2B5EF4-FFF2-40B4-BE49-F238E27FC236}">
              <a16:creationId xmlns:a16="http://schemas.microsoft.com/office/drawing/2014/main" id="{C3C71729-6698-4673-957E-05C5710FC222}"/>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6" name="TekstSylinder 1">
          <a:extLst>
            <a:ext uri="{FF2B5EF4-FFF2-40B4-BE49-F238E27FC236}">
              <a16:creationId xmlns:a16="http://schemas.microsoft.com/office/drawing/2014/main" id="{4FC92025-A25F-4C54-BE52-AE80364FDD8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7" name="TekstSylinder 1">
          <a:extLst>
            <a:ext uri="{FF2B5EF4-FFF2-40B4-BE49-F238E27FC236}">
              <a16:creationId xmlns:a16="http://schemas.microsoft.com/office/drawing/2014/main" id="{365FBCE2-E1F6-4A6F-B7E2-22E7F9D23980}"/>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8" name="TekstSylinder 1">
          <a:extLst>
            <a:ext uri="{FF2B5EF4-FFF2-40B4-BE49-F238E27FC236}">
              <a16:creationId xmlns:a16="http://schemas.microsoft.com/office/drawing/2014/main" id="{9AA4EF7D-C04E-4499-9B93-281A4FEF5FC9}"/>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99" name="TekstSylinder 1">
          <a:extLst>
            <a:ext uri="{FF2B5EF4-FFF2-40B4-BE49-F238E27FC236}">
              <a16:creationId xmlns:a16="http://schemas.microsoft.com/office/drawing/2014/main" id="{43F373F5-E57F-4DA3-933B-2A01B655F56A}"/>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0" name="TekstSylinder 1">
          <a:extLst>
            <a:ext uri="{FF2B5EF4-FFF2-40B4-BE49-F238E27FC236}">
              <a16:creationId xmlns:a16="http://schemas.microsoft.com/office/drawing/2014/main" id="{B8717258-EC3A-455A-AD81-20216A6BDEB0}"/>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1" name="TekstSylinder 1">
          <a:extLst>
            <a:ext uri="{FF2B5EF4-FFF2-40B4-BE49-F238E27FC236}">
              <a16:creationId xmlns:a16="http://schemas.microsoft.com/office/drawing/2014/main" id="{9A1C6FF4-8141-42B1-BEBF-F316B432F41E}"/>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2" name="TekstSylinder 1">
          <a:extLst>
            <a:ext uri="{FF2B5EF4-FFF2-40B4-BE49-F238E27FC236}">
              <a16:creationId xmlns:a16="http://schemas.microsoft.com/office/drawing/2014/main" id="{5D6D0E0F-EF0E-4E5A-84CD-1A236992B400}"/>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2</xdr:row>
      <xdr:rowOff>0</xdr:rowOff>
    </xdr:from>
    <xdr:ext cx="184731" cy="264560"/>
    <xdr:sp macro="" textlink="">
      <xdr:nvSpPr>
        <xdr:cNvPr id="103" name="TekstSylinder 1">
          <a:extLst>
            <a:ext uri="{FF2B5EF4-FFF2-40B4-BE49-F238E27FC236}">
              <a16:creationId xmlns:a16="http://schemas.microsoft.com/office/drawing/2014/main" id="{46604699-1CA4-4586-9F72-F41DD8BC1F13}"/>
            </a:ext>
          </a:extLst>
        </xdr:cNvPr>
        <xdr:cNvSpPr txBox="1"/>
      </xdr:nvSpPr>
      <xdr:spPr>
        <a:xfrm>
          <a:off x="6305550"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04" name="TekstSylinder 117">
          <a:extLst>
            <a:ext uri="{FF2B5EF4-FFF2-40B4-BE49-F238E27FC236}">
              <a16:creationId xmlns:a16="http://schemas.microsoft.com/office/drawing/2014/main" id="{92C56D19-21D2-4B9D-8B45-6F0D5DA7A2D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05" name="TekstSylinder 1">
          <a:extLst>
            <a:ext uri="{FF2B5EF4-FFF2-40B4-BE49-F238E27FC236}">
              <a16:creationId xmlns:a16="http://schemas.microsoft.com/office/drawing/2014/main" id="{1A37173B-86BE-4B46-A80C-56687C369F7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06" name="TekstSylinder 1">
          <a:extLst>
            <a:ext uri="{FF2B5EF4-FFF2-40B4-BE49-F238E27FC236}">
              <a16:creationId xmlns:a16="http://schemas.microsoft.com/office/drawing/2014/main" id="{2D009892-F4C0-4698-BF4C-69189B3E0EEC}"/>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07" name="TekstSylinder 1">
          <a:extLst>
            <a:ext uri="{FF2B5EF4-FFF2-40B4-BE49-F238E27FC236}">
              <a16:creationId xmlns:a16="http://schemas.microsoft.com/office/drawing/2014/main" id="{C9BAB54E-29D4-4D28-95DE-B8DABDDACCB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08" name="TekstSylinder 1">
          <a:extLst>
            <a:ext uri="{FF2B5EF4-FFF2-40B4-BE49-F238E27FC236}">
              <a16:creationId xmlns:a16="http://schemas.microsoft.com/office/drawing/2014/main" id="{4BB9D885-3806-4247-BFE3-3708DCA430D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09" name="TekstSylinder 1">
          <a:extLst>
            <a:ext uri="{FF2B5EF4-FFF2-40B4-BE49-F238E27FC236}">
              <a16:creationId xmlns:a16="http://schemas.microsoft.com/office/drawing/2014/main" id="{37DBF078-3D11-4BB2-BDEC-0F4C726628D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0" name="TekstSylinder 1">
          <a:extLst>
            <a:ext uri="{FF2B5EF4-FFF2-40B4-BE49-F238E27FC236}">
              <a16:creationId xmlns:a16="http://schemas.microsoft.com/office/drawing/2014/main" id="{08621F96-2C93-4DCA-A80A-608F0DD541F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1" name="TekstSylinder 1">
          <a:extLst>
            <a:ext uri="{FF2B5EF4-FFF2-40B4-BE49-F238E27FC236}">
              <a16:creationId xmlns:a16="http://schemas.microsoft.com/office/drawing/2014/main" id="{A971ECD8-3B8D-449C-9E27-ADFEAD091345}"/>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2" name="TekstSylinder 1">
          <a:extLst>
            <a:ext uri="{FF2B5EF4-FFF2-40B4-BE49-F238E27FC236}">
              <a16:creationId xmlns:a16="http://schemas.microsoft.com/office/drawing/2014/main" id="{995B536B-743E-46CE-9D9E-1E6998D752BC}"/>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3" name="TekstSylinder 1">
          <a:extLst>
            <a:ext uri="{FF2B5EF4-FFF2-40B4-BE49-F238E27FC236}">
              <a16:creationId xmlns:a16="http://schemas.microsoft.com/office/drawing/2014/main" id="{4DD02407-B0BC-4CEE-B809-FCE53841AC0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4" name="TekstSylinder 1">
          <a:extLst>
            <a:ext uri="{FF2B5EF4-FFF2-40B4-BE49-F238E27FC236}">
              <a16:creationId xmlns:a16="http://schemas.microsoft.com/office/drawing/2014/main" id="{94837598-ABBA-40E3-83CF-1425F2FA1AD8}"/>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5" name="TekstSylinder 1">
          <a:extLst>
            <a:ext uri="{FF2B5EF4-FFF2-40B4-BE49-F238E27FC236}">
              <a16:creationId xmlns:a16="http://schemas.microsoft.com/office/drawing/2014/main" id="{3EE6B593-8688-4BC6-8D49-A728F45AD853}"/>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6" name="TekstSylinder 1">
          <a:extLst>
            <a:ext uri="{FF2B5EF4-FFF2-40B4-BE49-F238E27FC236}">
              <a16:creationId xmlns:a16="http://schemas.microsoft.com/office/drawing/2014/main" id="{649DA4D7-B68C-4B91-B009-8335F23D7B0C}"/>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7" name="TekstSylinder 1">
          <a:extLst>
            <a:ext uri="{FF2B5EF4-FFF2-40B4-BE49-F238E27FC236}">
              <a16:creationId xmlns:a16="http://schemas.microsoft.com/office/drawing/2014/main" id="{419AB275-FD3E-4CC3-98D0-B9DA376F5701}"/>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8" name="TekstSylinder 1">
          <a:extLst>
            <a:ext uri="{FF2B5EF4-FFF2-40B4-BE49-F238E27FC236}">
              <a16:creationId xmlns:a16="http://schemas.microsoft.com/office/drawing/2014/main" id="{434E568C-C8C7-4D83-98AF-66D26C57C21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19" name="TekstSylinder 1">
          <a:extLst>
            <a:ext uri="{FF2B5EF4-FFF2-40B4-BE49-F238E27FC236}">
              <a16:creationId xmlns:a16="http://schemas.microsoft.com/office/drawing/2014/main" id="{552B5B2C-F2CD-4EDC-A742-081BA07B5EB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0" name="TekstSylinder 1">
          <a:extLst>
            <a:ext uri="{FF2B5EF4-FFF2-40B4-BE49-F238E27FC236}">
              <a16:creationId xmlns:a16="http://schemas.microsoft.com/office/drawing/2014/main" id="{9A7C44CD-E493-4142-ACC0-AECB73DAAAE6}"/>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1" name="TekstSylinder 1">
          <a:extLst>
            <a:ext uri="{FF2B5EF4-FFF2-40B4-BE49-F238E27FC236}">
              <a16:creationId xmlns:a16="http://schemas.microsoft.com/office/drawing/2014/main" id="{3B4DD5C1-8020-48E8-92FB-F5A891C7D6F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2" name="TekstSylinder 1">
          <a:extLst>
            <a:ext uri="{FF2B5EF4-FFF2-40B4-BE49-F238E27FC236}">
              <a16:creationId xmlns:a16="http://schemas.microsoft.com/office/drawing/2014/main" id="{83D6DD92-B580-418D-899D-D1F870C973A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3" name="TekstSylinder 1">
          <a:extLst>
            <a:ext uri="{FF2B5EF4-FFF2-40B4-BE49-F238E27FC236}">
              <a16:creationId xmlns:a16="http://schemas.microsoft.com/office/drawing/2014/main" id="{FE797698-6E6E-4C9B-853E-B088DF41A23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4" name="TekstSylinder 1">
          <a:extLst>
            <a:ext uri="{FF2B5EF4-FFF2-40B4-BE49-F238E27FC236}">
              <a16:creationId xmlns:a16="http://schemas.microsoft.com/office/drawing/2014/main" id="{86AB99D5-C687-4DF5-927B-ECE0A4F02724}"/>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5" name="TekstSylinder 1">
          <a:extLst>
            <a:ext uri="{FF2B5EF4-FFF2-40B4-BE49-F238E27FC236}">
              <a16:creationId xmlns:a16="http://schemas.microsoft.com/office/drawing/2014/main" id="{2411BD88-CCE6-4ABC-BB24-A2604CAF9DAB}"/>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6" name="TekstSylinder 1">
          <a:extLst>
            <a:ext uri="{FF2B5EF4-FFF2-40B4-BE49-F238E27FC236}">
              <a16:creationId xmlns:a16="http://schemas.microsoft.com/office/drawing/2014/main" id="{FACE9689-4FFA-44CE-B795-EC8E416E14E1}"/>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7" name="TekstSylinder 1">
          <a:extLst>
            <a:ext uri="{FF2B5EF4-FFF2-40B4-BE49-F238E27FC236}">
              <a16:creationId xmlns:a16="http://schemas.microsoft.com/office/drawing/2014/main" id="{886AF2CD-255E-4E5B-8828-418D5FC7DD6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8" name="TekstSylinder 1">
          <a:extLst>
            <a:ext uri="{FF2B5EF4-FFF2-40B4-BE49-F238E27FC236}">
              <a16:creationId xmlns:a16="http://schemas.microsoft.com/office/drawing/2014/main" id="{4913D68A-B401-456D-94F7-A4F6869A196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29" name="TekstSylinder 1">
          <a:extLst>
            <a:ext uri="{FF2B5EF4-FFF2-40B4-BE49-F238E27FC236}">
              <a16:creationId xmlns:a16="http://schemas.microsoft.com/office/drawing/2014/main" id="{25D679F0-B1EA-4F68-B325-1651FAAB662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0" name="TekstSylinder 1">
          <a:extLst>
            <a:ext uri="{FF2B5EF4-FFF2-40B4-BE49-F238E27FC236}">
              <a16:creationId xmlns:a16="http://schemas.microsoft.com/office/drawing/2014/main" id="{0C715413-95F5-4B94-814A-BC8C5F14882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1" name="TekstSylinder 1">
          <a:extLst>
            <a:ext uri="{FF2B5EF4-FFF2-40B4-BE49-F238E27FC236}">
              <a16:creationId xmlns:a16="http://schemas.microsoft.com/office/drawing/2014/main" id="{7A450DC1-2109-4B12-BC4C-C1C4D55A67D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2" name="TekstSylinder 1">
          <a:extLst>
            <a:ext uri="{FF2B5EF4-FFF2-40B4-BE49-F238E27FC236}">
              <a16:creationId xmlns:a16="http://schemas.microsoft.com/office/drawing/2014/main" id="{544BBB86-2211-49FD-99A5-546CA49481A4}"/>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3" name="TekstSylinder 1">
          <a:extLst>
            <a:ext uri="{FF2B5EF4-FFF2-40B4-BE49-F238E27FC236}">
              <a16:creationId xmlns:a16="http://schemas.microsoft.com/office/drawing/2014/main" id="{54EC2168-15DE-4E6B-B217-D723A8150155}"/>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4" name="TekstSylinder 1">
          <a:extLst>
            <a:ext uri="{FF2B5EF4-FFF2-40B4-BE49-F238E27FC236}">
              <a16:creationId xmlns:a16="http://schemas.microsoft.com/office/drawing/2014/main" id="{4C3FE95A-E0A9-492C-BA73-96DCC89C176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5" name="TekstSylinder 1">
          <a:extLst>
            <a:ext uri="{FF2B5EF4-FFF2-40B4-BE49-F238E27FC236}">
              <a16:creationId xmlns:a16="http://schemas.microsoft.com/office/drawing/2014/main" id="{06AB2AA1-CB79-4295-B04C-B3E7A7CC635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6" name="TekstSylinder 1">
          <a:extLst>
            <a:ext uri="{FF2B5EF4-FFF2-40B4-BE49-F238E27FC236}">
              <a16:creationId xmlns:a16="http://schemas.microsoft.com/office/drawing/2014/main" id="{B3183268-7BEE-4359-83AE-BD1C54440AC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7" name="TekstSylinder 1">
          <a:extLst>
            <a:ext uri="{FF2B5EF4-FFF2-40B4-BE49-F238E27FC236}">
              <a16:creationId xmlns:a16="http://schemas.microsoft.com/office/drawing/2014/main" id="{3286BD58-F017-4B81-888D-07CB219AD70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8" name="TekstSylinder 1">
          <a:extLst>
            <a:ext uri="{FF2B5EF4-FFF2-40B4-BE49-F238E27FC236}">
              <a16:creationId xmlns:a16="http://schemas.microsoft.com/office/drawing/2014/main" id="{5FF80982-2EDC-4A83-9377-67060C3A8625}"/>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39" name="TekstSylinder 1">
          <a:extLst>
            <a:ext uri="{FF2B5EF4-FFF2-40B4-BE49-F238E27FC236}">
              <a16:creationId xmlns:a16="http://schemas.microsoft.com/office/drawing/2014/main" id="{1CEADD8B-9A09-4E30-AC93-761D9224B27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0" name="TekstSylinder 1">
          <a:extLst>
            <a:ext uri="{FF2B5EF4-FFF2-40B4-BE49-F238E27FC236}">
              <a16:creationId xmlns:a16="http://schemas.microsoft.com/office/drawing/2014/main" id="{F9583F46-5C46-4CA7-A780-5ACEED01458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1" name="TekstSylinder 1">
          <a:extLst>
            <a:ext uri="{FF2B5EF4-FFF2-40B4-BE49-F238E27FC236}">
              <a16:creationId xmlns:a16="http://schemas.microsoft.com/office/drawing/2014/main" id="{1BE32F68-ADC2-4DE9-B6C2-63471B087CF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2" name="TekstSylinder 1">
          <a:extLst>
            <a:ext uri="{FF2B5EF4-FFF2-40B4-BE49-F238E27FC236}">
              <a16:creationId xmlns:a16="http://schemas.microsoft.com/office/drawing/2014/main" id="{E2CEFC78-8FCE-4BF9-86C2-1862BDA53FDB}"/>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3" name="TekstSylinder 1">
          <a:extLst>
            <a:ext uri="{FF2B5EF4-FFF2-40B4-BE49-F238E27FC236}">
              <a16:creationId xmlns:a16="http://schemas.microsoft.com/office/drawing/2014/main" id="{FC06B987-8C65-4BA9-B15A-014345B794D8}"/>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4" name="TekstSylinder 1">
          <a:extLst>
            <a:ext uri="{FF2B5EF4-FFF2-40B4-BE49-F238E27FC236}">
              <a16:creationId xmlns:a16="http://schemas.microsoft.com/office/drawing/2014/main" id="{A70F6465-2290-4A01-B5F9-66127BC54CC5}"/>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5" name="TekstSylinder 1">
          <a:extLst>
            <a:ext uri="{FF2B5EF4-FFF2-40B4-BE49-F238E27FC236}">
              <a16:creationId xmlns:a16="http://schemas.microsoft.com/office/drawing/2014/main" id="{350BBBD9-D171-43CA-8D29-BADB2F41C184}"/>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6" name="TekstSylinder 1">
          <a:extLst>
            <a:ext uri="{FF2B5EF4-FFF2-40B4-BE49-F238E27FC236}">
              <a16:creationId xmlns:a16="http://schemas.microsoft.com/office/drawing/2014/main" id="{B226DA88-73E4-4935-924D-F62D511F967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7" name="TekstSylinder 1">
          <a:extLst>
            <a:ext uri="{FF2B5EF4-FFF2-40B4-BE49-F238E27FC236}">
              <a16:creationId xmlns:a16="http://schemas.microsoft.com/office/drawing/2014/main" id="{0A86695A-E8F2-4282-A385-0CAA902E1E9D}"/>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8" name="TekstSylinder 1">
          <a:extLst>
            <a:ext uri="{FF2B5EF4-FFF2-40B4-BE49-F238E27FC236}">
              <a16:creationId xmlns:a16="http://schemas.microsoft.com/office/drawing/2014/main" id="{17C8CDBF-1ED6-42F1-A251-71E55E3DFC7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49" name="TekstSylinder 1">
          <a:extLst>
            <a:ext uri="{FF2B5EF4-FFF2-40B4-BE49-F238E27FC236}">
              <a16:creationId xmlns:a16="http://schemas.microsoft.com/office/drawing/2014/main" id="{B8A182F2-793E-48B2-A8AE-A37EB0396CB3}"/>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0" name="TekstSylinder 1">
          <a:extLst>
            <a:ext uri="{FF2B5EF4-FFF2-40B4-BE49-F238E27FC236}">
              <a16:creationId xmlns:a16="http://schemas.microsoft.com/office/drawing/2014/main" id="{F175367F-FEE3-4FD7-9B86-36D82827A32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1" name="TekstSylinder 1">
          <a:extLst>
            <a:ext uri="{FF2B5EF4-FFF2-40B4-BE49-F238E27FC236}">
              <a16:creationId xmlns:a16="http://schemas.microsoft.com/office/drawing/2014/main" id="{96BF432F-4F8F-4804-A9B4-B0395D8EB9D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2" name="TekstSylinder 1">
          <a:extLst>
            <a:ext uri="{FF2B5EF4-FFF2-40B4-BE49-F238E27FC236}">
              <a16:creationId xmlns:a16="http://schemas.microsoft.com/office/drawing/2014/main" id="{B8CEB4F7-AB68-44B6-97C1-67A6B27AF8EC}"/>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3" name="TekstSylinder 1">
          <a:extLst>
            <a:ext uri="{FF2B5EF4-FFF2-40B4-BE49-F238E27FC236}">
              <a16:creationId xmlns:a16="http://schemas.microsoft.com/office/drawing/2014/main" id="{9F16139A-017B-4344-A72E-3A47DE6AFD5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4" name="TekstSylinder 1">
          <a:extLst>
            <a:ext uri="{FF2B5EF4-FFF2-40B4-BE49-F238E27FC236}">
              <a16:creationId xmlns:a16="http://schemas.microsoft.com/office/drawing/2014/main" id="{7DA27B70-6AF4-47BF-B333-1D807397D16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5" name="TekstSylinder 1">
          <a:extLst>
            <a:ext uri="{FF2B5EF4-FFF2-40B4-BE49-F238E27FC236}">
              <a16:creationId xmlns:a16="http://schemas.microsoft.com/office/drawing/2014/main" id="{7899B3CD-7586-4E57-A93B-38530090023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6" name="TekstSylinder 1">
          <a:extLst>
            <a:ext uri="{FF2B5EF4-FFF2-40B4-BE49-F238E27FC236}">
              <a16:creationId xmlns:a16="http://schemas.microsoft.com/office/drawing/2014/main" id="{7A703F0C-C01E-4C6C-81F2-5760C0AFF47B}"/>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7" name="TekstSylinder 1">
          <a:extLst>
            <a:ext uri="{FF2B5EF4-FFF2-40B4-BE49-F238E27FC236}">
              <a16:creationId xmlns:a16="http://schemas.microsoft.com/office/drawing/2014/main" id="{17E30ADD-7C98-41E7-B6F3-654C38717E7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8" name="TekstSylinder 1">
          <a:extLst>
            <a:ext uri="{FF2B5EF4-FFF2-40B4-BE49-F238E27FC236}">
              <a16:creationId xmlns:a16="http://schemas.microsoft.com/office/drawing/2014/main" id="{1F8EAD77-D9CB-4541-B9BC-12A85D5B438C}"/>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59" name="TekstSylinder 1">
          <a:extLst>
            <a:ext uri="{FF2B5EF4-FFF2-40B4-BE49-F238E27FC236}">
              <a16:creationId xmlns:a16="http://schemas.microsoft.com/office/drawing/2014/main" id="{3EACBA38-5D2D-4015-B08B-AB61FF0BECC5}"/>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0" name="TekstSylinder 1">
          <a:extLst>
            <a:ext uri="{FF2B5EF4-FFF2-40B4-BE49-F238E27FC236}">
              <a16:creationId xmlns:a16="http://schemas.microsoft.com/office/drawing/2014/main" id="{28BC040C-F3A9-4A36-BD83-AC19F160B73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1" name="TekstSylinder 1">
          <a:extLst>
            <a:ext uri="{FF2B5EF4-FFF2-40B4-BE49-F238E27FC236}">
              <a16:creationId xmlns:a16="http://schemas.microsoft.com/office/drawing/2014/main" id="{6A2BE48D-0B79-4DDD-85CB-35058D49AB94}"/>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2" name="TekstSylinder 1">
          <a:extLst>
            <a:ext uri="{FF2B5EF4-FFF2-40B4-BE49-F238E27FC236}">
              <a16:creationId xmlns:a16="http://schemas.microsoft.com/office/drawing/2014/main" id="{C166A9D3-7572-41FC-A280-9A61F19B32C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3" name="TekstSylinder 1">
          <a:extLst>
            <a:ext uri="{FF2B5EF4-FFF2-40B4-BE49-F238E27FC236}">
              <a16:creationId xmlns:a16="http://schemas.microsoft.com/office/drawing/2014/main" id="{C44000FD-D75B-42C3-BA87-E3B320CDE291}"/>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4" name="TekstSylinder 1">
          <a:extLst>
            <a:ext uri="{FF2B5EF4-FFF2-40B4-BE49-F238E27FC236}">
              <a16:creationId xmlns:a16="http://schemas.microsoft.com/office/drawing/2014/main" id="{970EAE37-C6AC-48F7-ABFB-66F5B2ED7B6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5" name="TekstSylinder 1">
          <a:extLst>
            <a:ext uri="{FF2B5EF4-FFF2-40B4-BE49-F238E27FC236}">
              <a16:creationId xmlns:a16="http://schemas.microsoft.com/office/drawing/2014/main" id="{0D745A3F-3E68-46B5-83B1-DAB4D4074BD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6" name="TekstSylinder 1">
          <a:extLst>
            <a:ext uri="{FF2B5EF4-FFF2-40B4-BE49-F238E27FC236}">
              <a16:creationId xmlns:a16="http://schemas.microsoft.com/office/drawing/2014/main" id="{ABCEEEE9-D163-4756-9111-B99353BA72B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7" name="TekstSylinder 1">
          <a:extLst>
            <a:ext uri="{FF2B5EF4-FFF2-40B4-BE49-F238E27FC236}">
              <a16:creationId xmlns:a16="http://schemas.microsoft.com/office/drawing/2014/main" id="{7DC70A20-FC22-44F8-A041-DBA37AE08FE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8" name="TekstSylinder 1">
          <a:extLst>
            <a:ext uri="{FF2B5EF4-FFF2-40B4-BE49-F238E27FC236}">
              <a16:creationId xmlns:a16="http://schemas.microsoft.com/office/drawing/2014/main" id="{ABFD84A2-321B-4B85-9124-EC854BD44E38}"/>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69" name="TekstSylinder 1">
          <a:extLst>
            <a:ext uri="{FF2B5EF4-FFF2-40B4-BE49-F238E27FC236}">
              <a16:creationId xmlns:a16="http://schemas.microsoft.com/office/drawing/2014/main" id="{29346781-B13E-461F-BFCB-6E22F76F6D1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0" name="TekstSylinder 1">
          <a:extLst>
            <a:ext uri="{FF2B5EF4-FFF2-40B4-BE49-F238E27FC236}">
              <a16:creationId xmlns:a16="http://schemas.microsoft.com/office/drawing/2014/main" id="{394E230A-F485-4D34-8AC3-D837076CC4AB}"/>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1" name="TekstSylinder 1">
          <a:extLst>
            <a:ext uri="{FF2B5EF4-FFF2-40B4-BE49-F238E27FC236}">
              <a16:creationId xmlns:a16="http://schemas.microsoft.com/office/drawing/2014/main" id="{B09BD141-0C80-4B9F-951D-C3EE50A800A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2" name="TekstSylinder 1">
          <a:extLst>
            <a:ext uri="{FF2B5EF4-FFF2-40B4-BE49-F238E27FC236}">
              <a16:creationId xmlns:a16="http://schemas.microsoft.com/office/drawing/2014/main" id="{A4BDC4D8-E279-4481-847A-30EC81C5534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3" name="TekstSylinder 1">
          <a:extLst>
            <a:ext uri="{FF2B5EF4-FFF2-40B4-BE49-F238E27FC236}">
              <a16:creationId xmlns:a16="http://schemas.microsoft.com/office/drawing/2014/main" id="{2D9E0AEF-77E4-4904-BACB-8F6142FBF5E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4" name="TekstSylinder 1">
          <a:extLst>
            <a:ext uri="{FF2B5EF4-FFF2-40B4-BE49-F238E27FC236}">
              <a16:creationId xmlns:a16="http://schemas.microsoft.com/office/drawing/2014/main" id="{32579843-4179-4BBE-8AA6-792C290E2591}"/>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5" name="TekstSylinder 1">
          <a:extLst>
            <a:ext uri="{FF2B5EF4-FFF2-40B4-BE49-F238E27FC236}">
              <a16:creationId xmlns:a16="http://schemas.microsoft.com/office/drawing/2014/main" id="{C1CE6052-4E0A-48D7-A894-85BD4C5E9A6B}"/>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6" name="TekstSylinder 1">
          <a:extLst>
            <a:ext uri="{FF2B5EF4-FFF2-40B4-BE49-F238E27FC236}">
              <a16:creationId xmlns:a16="http://schemas.microsoft.com/office/drawing/2014/main" id="{857BC318-D12C-4FDF-BA41-5DD0BC5A4148}"/>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7" name="TekstSylinder 1">
          <a:extLst>
            <a:ext uri="{FF2B5EF4-FFF2-40B4-BE49-F238E27FC236}">
              <a16:creationId xmlns:a16="http://schemas.microsoft.com/office/drawing/2014/main" id="{1F196C85-F6F9-48EA-8F26-E797374B548D}"/>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8" name="TekstSylinder 1">
          <a:extLst>
            <a:ext uri="{FF2B5EF4-FFF2-40B4-BE49-F238E27FC236}">
              <a16:creationId xmlns:a16="http://schemas.microsoft.com/office/drawing/2014/main" id="{479C9BA3-2856-4CC6-8405-C98F25D6878D}"/>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79" name="TekstSylinder 1">
          <a:extLst>
            <a:ext uri="{FF2B5EF4-FFF2-40B4-BE49-F238E27FC236}">
              <a16:creationId xmlns:a16="http://schemas.microsoft.com/office/drawing/2014/main" id="{0E27B5D2-3D9D-47D9-B7EF-1617FE1FBA3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0" name="TekstSylinder 1">
          <a:extLst>
            <a:ext uri="{FF2B5EF4-FFF2-40B4-BE49-F238E27FC236}">
              <a16:creationId xmlns:a16="http://schemas.microsoft.com/office/drawing/2014/main" id="{CD80411B-3616-49D4-A9AF-0BEA3F76BF03}"/>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1" name="TekstSylinder 1">
          <a:extLst>
            <a:ext uri="{FF2B5EF4-FFF2-40B4-BE49-F238E27FC236}">
              <a16:creationId xmlns:a16="http://schemas.microsoft.com/office/drawing/2014/main" id="{F6C55E21-B41D-4F1A-A4D2-7648D393C65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2" name="TekstSylinder 1">
          <a:extLst>
            <a:ext uri="{FF2B5EF4-FFF2-40B4-BE49-F238E27FC236}">
              <a16:creationId xmlns:a16="http://schemas.microsoft.com/office/drawing/2014/main" id="{CE20CA5F-7160-481F-A733-46D3B01D2B2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3" name="TekstSylinder 1">
          <a:extLst>
            <a:ext uri="{FF2B5EF4-FFF2-40B4-BE49-F238E27FC236}">
              <a16:creationId xmlns:a16="http://schemas.microsoft.com/office/drawing/2014/main" id="{7D264025-8F66-4C2F-8C1A-7BF0E3E15C2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4" name="TekstSylinder 1">
          <a:extLst>
            <a:ext uri="{FF2B5EF4-FFF2-40B4-BE49-F238E27FC236}">
              <a16:creationId xmlns:a16="http://schemas.microsoft.com/office/drawing/2014/main" id="{EA327987-5A46-44FE-B71B-69F5970229E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5" name="TekstSylinder 1">
          <a:extLst>
            <a:ext uri="{FF2B5EF4-FFF2-40B4-BE49-F238E27FC236}">
              <a16:creationId xmlns:a16="http://schemas.microsoft.com/office/drawing/2014/main" id="{8E13E713-5607-4BBA-8649-DF68CC0B2584}"/>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6" name="TekstSylinder 1">
          <a:extLst>
            <a:ext uri="{FF2B5EF4-FFF2-40B4-BE49-F238E27FC236}">
              <a16:creationId xmlns:a16="http://schemas.microsoft.com/office/drawing/2014/main" id="{B6D30FA9-B2E4-4EAB-A67B-10D07CA3FDC5}"/>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7" name="TekstSylinder 1">
          <a:extLst>
            <a:ext uri="{FF2B5EF4-FFF2-40B4-BE49-F238E27FC236}">
              <a16:creationId xmlns:a16="http://schemas.microsoft.com/office/drawing/2014/main" id="{2568F5AB-2918-4229-93AF-6484B9C4463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8" name="TekstSylinder 1">
          <a:extLst>
            <a:ext uri="{FF2B5EF4-FFF2-40B4-BE49-F238E27FC236}">
              <a16:creationId xmlns:a16="http://schemas.microsoft.com/office/drawing/2014/main" id="{8CB67C5A-1641-4DF3-AA04-C35D922949F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89" name="TekstSylinder 1">
          <a:extLst>
            <a:ext uri="{FF2B5EF4-FFF2-40B4-BE49-F238E27FC236}">
              <a16:creationId xmlns:a16="http://schemas.microsoft.com/office/drawing/2014/main" id="{2CC328B3-3297-4F6D-9416-B246EAB2E09B}"/>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0" name="TekstSylinder 1">
          <a:extLst>
            <a:ext uri="{FF2B5EF4-FFF2-40B4-BE49-F238E27FC236}">
              <a16:creationId xmlns:a16="http://schemas.microsoft.com/office/drawing/2014/main" id="{B4EE4087-E36F-49A5-BE92-70FCEF3D3BA6}"/>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1" name="TekstSylinder 1">
          <a:extLst>
            <a:ext uri="{FF2B5EF4-FFF2-40B4-BE49-F238E27FC236}">
              <a16:creationId xmlns:a16="http://schemas.microsoft.com/office/drawing/2014/main" id="{1DC05E55-0783-4532-8BFE-F67BFE539C08}"/>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2" name="TekstSylinder 1">
          <a:extLst>
            <a:ext uri="{FF2B5EF4-FFF2-40B4-BE49-F238E27FC236}">
              <a16:creationId xmlns:a16="http://schemas.microsoft.com/office/drawing/2014/main" id="{220D9F0D-7375-47F3-BF8F-D3A9362A5811}"/>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3" name="TekstSylinder 1">
          <a:extLst>
            <a:ext uri="{FF2B5EF4-FFF2-40B4-BE49-F238E27FC236}">
              <a16:creationId xmlns:a16="http://schemas.microsoft.com/office/drawing/2014/main" id="{2E7EFD1F-504F-4EF3-A6E9-D00F60C620F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4" name="TekstSylinder 1">
          <a:extLst>
            <a:ext uri="{FF2B5EF4-FFF2-40B4-BE49-F238E27FC236}">
              <a16:creationId xmlns:a16="http://schemas.microsoft.com/office/drawing/2014/main" id="{A4308B67-1DD9-4F3B-934C-46210E48997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5" name="TekstSylinder 1">
          <a:extLst>
            <a:ext uri="{FF2B5EF4-FFF2-40B4-BE49-F238E27FC236}">
              <a16:creationId xmlns:a16="http://schemas.microsoft.com/office/drawing/2014/main" id="{7E13A924-E1A2-4227-9863-60EFEFA83C5F}"/>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6" name="TekstSylinder 1">
          <a:extLst>
            <a:ext uri="{FF2B5EF4-FFF2-40B4-BE49-F238E27FC236}">
              <a16:creationId xmlns:a16="http://schemas.microsoft.com/office/drawing/2014/main" id="{54F7BE8B-FAE0-42B6-9768-3571C124D5DD}"/>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7" name="TekstSylinder 1">
          <a:extLst>
            <a:ext uri="{FF2B5EF4-FFF2-40B4-BE49-F238E27FC236}">
              <a16:creationId xmlns:a16="http://schemas.microsoft.com/office/drawing/2014/main" id="{4EACFFC0-6732-419F-9D7B-EED0076513F0}"/>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8" name="TekstSylinder 1">
          <a:extLst>
            <a:ext uri="{FF2B5EF4-FFF2-40B4-BE49-F238E27FC236}">
              <a16:creationId xmlns:a16="http://schemas.microsoft.com/office/drawing/2014/main" id="{E1A9FFA7-B86F-49E7-BB13-E5779D03BFD9}"/>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199" name="TekstSylinder 1">
          <a:extLst>
            <a:ext uri="{FF2B5EF4-FFF2-40B4-BE49-F238E27FC236}">
              <a16:creationId xmlns:a16="http://schemas.microsoft.com/office/drawing/2014/main" id="{137BF92C-4583-4E51-9B77-93A701127BA8}"/>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200" name="TekstSylinder 1">
          <a:extLst>
            <a:ext uri="{FF2B5EF4-FFF2-40B4-BE49-F238E27FC236}">
              <a16:creationId xmlns:a16="http://schemas.microsoft.com/office/drawing/2014/main" id="{11B77DE6-BB2C-429B-BE8D-71CB21CA46B2}"/>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201" name="TekstSylinder 1">
          <a:extLst>
            <a:ext uri="{FF2B5EF4-FFF2-40B4-BE49-F238E27FC236}">
              <a16:creationId xmlns:a16="http://schemas.microsoft.com/office/drawing/2014/main" id="{0A68B6A1-5119-4C2A-8304-80DF199DC77E}"/>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202" name="TekstSylinder 1">
          <a:extLst>
            <a:ext uri="{FF2B5EF4-FFF2-40B4-BE49-F238E27FC236}">
              <a16:creationId xmlns:a16="http://schemas.microsoft.com/office/drawing/2014/main" id="{9971DF00-A917-4968-86E8-C52161058D83}"/>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203" name="TekstSylinder 1">
          <a:extLst>
            <a:ext uri="{FF2B5EF4-FFF2-40B4-BE49-F238E27FC236}">
              <a16:creationId xmlns:a16="http://schemas.microsoft.com/office/drawing/2014/main" id="{1E453E87-1181-4225-907B-9EBE73B61813}"/>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204" name="TekstSylinder 1">
          <a:extLst>
            <a:ext uri="{FF2B5EF4-FFF2-40B4-BE49-F238E27FC236}">
              <a16:creationId xmlns:a16="http://schemas.microsoft.com/office/drawing/2014/main" id="{179058EF-6371-41AC-ABCC-B0A4F4FF8117}"/>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oneCellAnchor>
    <xdr:from>
      <xdr:col>3</xdr:col>
      <xdr:colOff>123825</xdr:colOff>
      <xdr:row>64</xdr:row>
      <xdr:rowOff>0</xdr:rowOff>
    </xdr:from>
    <xdr:ext cx="184731" cy="264560"/>
    <xdr:sp macro="" textlink="">
      <xdr:nvSpPr>
        <xdr:cNvPr id="205" name="TekstSylinder 1">
          <a:extLst>
            <a:ext uri="{FF2B5EF4-FFF2-40B4-BE49-F238E27FC236}">
              <a16:creationId xmlns:a16="http://schemas.microsoft.com/office/drawing/2014/main" id="{1FEE1CEE-5661-4F4D-8371-09EA1A1625CA}"/>
            </a:ext>
          </a:extLst>
        </xdr:cNvPr>
        <xdr:cNvSpPr txBox="1"/>
      </xdr:nvSpPr>
      <xdr:spPr>
        <a:xfrm>
          <a:off x="6305550" y="8105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b-NO"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E55E2-9693-4249-9193-2B065D47E07A}" name="Tabell1" displayName="Tabell1" ref="A2:AC146" totalsRowShown="0" headerRowDxfId="40" dataDxfId="39" headerRowBorderDxfId="37" tableBorderDxfId="38" totalsRowBorderDxfId="36">
  <autoFilter ref="A2:AC146" xr:uid="{1DA42E4B-105E-4F69-9E58-048B09CC895A}">
    <filterColumn colId="0">
      <filters>
        <filter val="801114"/>
        <filter val="801214"/>
        <filter val="801314"/>
        <filter val="801414"/>
        <filter val="801515"/>
      </filters>
    </filterColumn>
    <filterColumn colId="1">
      <filters>
        <filter val="Axkid Envirobaby Forest"/>
        <filter val="Axkid Envirobaby Granite"/>
        <filter val="Axkid Envirobaby Tar"/>
        <filter val="Axkid Envirobase"/>
        <filter val="Axkid Envirokid Forest"/>
        <filter val="Axkid Envirokid Granite"/>
        <filter val="Axkid Envirokid Tar"/>
      </filters>
    </filterColumn>
    <filterColumn colId="5">
      <filters>
        <filter val="Urban Safety"/>
      </filters>
    </filterColumn>
  </autoFilter>
  <tableColumns count="29">
    <tableColumn id="1" xr3:uid="{FF1CFB1E-EFB2-485D-82E2-91BEFFA2A901}" name="Article Number" dataDxfId="35"/>
    <tableColumn id="2" xr3:uid="{24159CFF-4359-4F72-825A-860C479AFEEB}" name="Article Name" dataDxfId="34"/>
    <tableColumn id="3" xr3:uid="{C186619B-4D6F-4EC0-8ED4-D82F642245D2}" name="Color" dataDxfId="33"/>
    <tableColumn id="4" xr3:uid="{D6EBA01E-999F-4543-B397-31E0BD702321}" name="EAN code" dataDxfId="32"/>
    <tableColumn id="5" xr3:uid="{29AB0886-F694-4376-B8EF-96AC9C1A55FA}" name="Status" dataDxfId="31"/>
    <tableColumn id="6" xr3:uid="{8C00A859-95A3-486D-ADCE-81192E3A6913}" name="Category" dataDxfId="30"/>
    <tableColumn id="7" xr3:uid="{801BC551-A915-4F50-9FFA-1CE88F10E9EB}" name="Approval description" dataDxfId="29"/>
    <tableColumn id="8" xr3:uid="{1A4990B7-4ACC-4E42-AAB4-2F8904FD0013}" name="Recommended age" dataDxfId="28"/>
    <tableColumn id="9" xr3:uid="{68E5ED0D-3DE1-43EB-962F-014A0D39D0B4}" name="Range limit" dataDxfId="27"/>
    <tableColumn id="10" xr3:uid="{D7D71AF5-D2CE-4B42-84A1-B723B23E1159}" name="Currency" dataDxfId="26">
      <calculatedColumnFormula>$J$1</calculatedColumnFormula>
    </tableColumn>
    <tableColumn id="11" xr3:uid="{655586FD-F306-41A8-9F79-F87979ECDF7B}" name="Recommended Retail Price" dataDxfId="25"/>
    <tableColumn id="12" xr3:uid="{197D84BC-8E95-45BF-90A4-715C475C636A}" name="Full container qty" dataDxfId="24"/>
    <tableColumn id="13" xr3:uid="{1ED169E4-BD0E-412D-820B-20897E319504}" name="Master box quantity" dataDxfId="23"/>
    <tableColumn id="14" xr3:uid="{FBBED3EB-1E0C-4D70-AD71-5D9DB0AE96FE}" name="Sales qty" dataDxfId="22"/>
    <tableColumn id="15" xr3:uid="{82B8A267-2F33-4511-9A84-A0B96B24A2C0}" name="Qty per pallet" dataDxfId="21"/>
    <tableColumn id="16" xr3:uid="{384DF81C-8D85-4D29-B011-B58E4163E9D2}" name="Country of origin" dataDxfId="20"/>
    <tableColumn id="17" xr3:uid="{FE52887A-F9A9-4C75-9FD3-A3BD092F780F}" name="HS code" dataDxfId="19"/>
    <tableColumn id="18" xr3:uid="{635F2DF6-1005-4C29-9B18-C25794175F4C}" name="Width in CM" dataDxfId="18"/>
    <tableColumn id="19" xr3:uid="{A117431D-EB17-4592-BBB1-9F118D579A5F}" name="Height in cm" dataDxfId="17"/>
    <tableColumn id="20" xr3:uid="{C6863A56-B434-439D-B24A-27B9DC9AF8A2}" name="Depth in cm" dataDxfId="16"/>
    <tableColumn id="21" xr3:uid="{847EF0B1-9463-47AC-A754-EB866C1776BE}" name="Net weight kg" dataDxfId="15"/>
    <tableColumn id="22" xr3:uid="{243CB76F-3F79-448B-8805-C2EFC4472D5C}" name="Lenght in cm" dataDxfId="14"/>
    <tableColumn id="23" xr3:uid="{A91F9161-59D4-4417-A908-D22B4FE48B16}" name="Width in cm2" dataDxfId="13"/>
    <tableColumn id="24" xr3:uid="{9486EDA2-07A0-4097-BFB3-1AAB9D3464C1}" name="Height in cm2" dataDxfId="12"/>
    <tableColumn id="25" xr3:uid="{23423472-FCED-443C-9EEA-296B5E5C3CA4}" name="Gross weight kg" dataDxfId="11"/>
    <tableColumn id="26" xr3:uid="{D340DB00-392F-4700-A836-ACB63D9F7E72}" name="Volume m3" dataDxfId="10">
      <calculatedColumnFormula>PRODUCT(V3:X3)/1000000</calculatedColumnFormula>
    </tableColumn>
    <tableColumn id="27" xr3:uid="{2482999E-5B07-44F6-B809-8EEB065DB173}" name="Washing instruction" dataDxfId="9"/>
    <tableColumn id="28" xr3:uid="{9CE68D73-1952-4B40-BF7C-680C938A3423}" name="Product images &amp; movies" dataDxfId="8"/>
    <tableColumn id="29" xr3:uid="{7ED78F5D-6A75-4563-92DF-83DE45BE2FBD}" name="Product manual"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3958B0-7D1A-4E8A-96CA-96B8A0943F4E}" name="Table2" displayName="Table2" ref="A1:E175" totalsRowShown="0" headerRowDxfId="6" dataDxfId="5">
  <autoFilter ref="A1:E175" xr:uid="{6C3958B0-7D1A-4E8A-96CA-96B8A0943F4E}"/>
  <tableColumns count="5">
    <tableColumn id="1" xr3:uid="{75E49CEA-CC70-4F45-9A7C-0F43673BCE5D}" name="Item number" dataDxfId="4"/>
    <tableColumn id="2" xr3:uid="{D1AE9756-411A-42E2-8763-8EE83E50B787}" name="Name" dataDxfId="3">
      <calculatedColumnFormula>VLOOKUP(Table2[[#This Row],[Item number]],'Axkid Template'!A:C,2,FALSE)</calculatedColumnFormula>
    </tableColumn>
    <tableColumn id="3" xr3:uid="{C1079395-A005-4BCE-95DE-FF5989AC0162}" name="SEK/NOK" dataDxfId="2"/>
    <tableColumn id="4" xr3:uid="{304363BE-7635-4725-B799-81BABEEA184A}" name="DKK" dataDxfId="1"/>
    <tableColumn id="5" xr3:uid="{1FD67329-87CE-4711-BCBB-DFCE985DFA27}" name="EU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2E4B-105E-4F69-9E58-048B09CC895A}">
  <dimension ref="A1:AC185"/>
  <sheetViews>
    <sheetView tabSelected="1" zoomScale="85" zoomScaleNormal="85" workbookViewId="0">
      <pane xSplit="3" ySplit="2" topLeftCell="D114" activePane="bottomRight" state="frozen"/>
      <selection pane="bottomRight" sqref="A1:C1"/>
      <selection pane="bottomLeft" activeCell="A3" sqref="A3"/>
      <selection pane="topRight" activeCell="D1" sqref="D1"/>
    </sheetView>
  </sheetViews>
  <sheetFormatPr defaultColWidth="9.140625" defaultRowHeight="14.1"/>
  <cols>
    <col min="1" max="1" width="15.28515625" style="1" customWidth="1"/>
    <col min="2" max="2" width="46" style="1" customWidth="1"/>
    <col min="3" max="3" width="13.85546875" style="8" customWidth="1"/>
    <col min="4" max="4" width="21.7109375" style="28" customWidth="1"/>
    <col min="5" max="6" width="22" style="8" customWidth="1"/>
    <col min="7" max="7" width="23.140625" style="8" customWidth="1"/>
    <col min="8" max="8" width="22.140625" style="8" customWidth="1"/>
    <col min="9" max="9" width="28.42578125" style="8" customWidth="1"/>
    <col min="10" max="10" width="12.7109375" style="8" bestFit="1" customWidth="1"/>
    <col min="11" max="11" width="18.5703125" style="28" customWidth="1"/>
    <col min="12" max="12" width="16.42578125" style="8" customWidth="1"/>
    <col min="13" max="13" width="16.7109375" style="8" customWidth="1"/>
    <col min="14" max="14" width="12.5703125" style="8" customWidth="1"/>
    <col min="15" max="15" width="12.28515625" style="8" customWidth="1"/>
    <col min="16" max="16" width="15.5703125" style="8" customWidth="1"/>
    <col min="17" max="17" width="15.5703125" style="67" customWidth="1"/>
    <col min="18" max="20" width="16.42578125" style="8" customWidth="1"/>
    <col min="21" max="21" width="16.42578125" style="55" customWidth="1"/>
    <col min="22" max="25" width="16.42578125" style="8" customWidth="1"/>
    <col min="26" max="26" width="16.42578125" style="62" customWidth="1"/>
    <col min="27" max="27" width="19.7109375" style="8" customWidth="1"/>
    <col min="28" max="28" width="41" style="8" customWidth="1"/>
    <col min="29" max="29" width="30.28515625" style="8" customWidth="1"/>
    <col min="30" max="16384" width="9.140625" style="1"/>
  </cols>
  <sheetData>
    <row r="1" spans="1:29" s="34" customFormat="1" ht="23.1">
      <c r="A1" s="72" t="s">
        <v>0</v>
      </c>
      <c r="B1" s="72"/>
      <c r="C1" s="72"/>
      <c r="D1" s="29"/>
      <c r="E1" s="29"/>
      <c r="F1" s="29"/>
      <c r="G1" s="29"/>
      <c r="H1" s="29"/>
      <c r="I1" s="39" t="s">
        <v>1</v>
      </c>
      <c r="J1" s="38" t="s">
        <v>2</v>
      </c>
      <c r="K1" s="29"/>
      <c r="L1" s="29"/>
      <c r="M1" s="29"/>
      <c r="N1" s="29"/>
      <c r="O1" s="29"/>
      <c r="P1" s="29"/>
      <c r="Q1" s="65"/>
      <c r="R1" s="71" t="s">
        <v>3</v>
      </c>
      <c r="S1" s="71"/>
      <c r="T1" s="71"/>
      <c r="U1" s="71"/>
      <c r="V1" s="71" t="s">
        <v>4</v>
      </c>
      <c r="W1" s="71"/>
      <c r="X1" s="71"/>
      <c r="Y1" s="71"/>
      <c r="Z1" s="71"/>
      <c r="AA1" s="29"/>
      <c r="AB1" s="29"/>
      <c r="AC1" s="29"/>
    </row>
    <row r="2" spans="1:29" s="33" customFormat="1" ht="29.1">
      <c r="A2" s="30" t="s">
        <v>5</v>
      </c>
      <c r="B2" s="31" t="s">
        <v>6</v>
      </c>
      <c r="C2" s="26" t="s">
        <v>7</v>
      </c>
      <c r="D2" s="26" t="s">
        <v>8</v>
      </c>
      <c r="E2" s="32" t="s">
        <v>9</v>
      </c>
      <c r="F2" s="26" t="s">
        <v>10</v>
      </c>
      <c r="G2" s="26" t="s">
        <v>11</v>
      </c>
      <c r="H2" s="32" t="s">
        <v>12</v>
      </c>
      <c r="I2" s="26" t="s">
        <v>13</v>
      </c>
      <c r="J2" s="32" t="s">
        <v>14</v>
      </c>
      <c r="K2" s="32" t="s">
        <v>15</v>
      </c>
      <c r="L2" s="26" t="s">
        <v>16</v>
      </c>
      <c r="M2" s="26" t="s">
        <v>17</v>
      </c>
      <c r="N2" s="26" t="s">
        <v>18</v>
      </c>
      <c r="O2" s="31" t="s">
        <v>19</v>
      </c>
      <c r="P2" s="26" t="s">
        <v>20</v>
      </c>
      <c r="Q2" s="66" t="s">
        <v>21</v>
      </c>
      <c r="R2" s="26" t="s">
        <v>22</v>
      </c>
      <c r="S2" s="26" t="s">
        <v>23</v>
      </c>
      <c r="T2" s="26" t="s">
        <v>24</v>
      </c>
      <c r="U2" s="54" t="s">
        <v>25</v>
      </c>
      <c r="V2" s="26" t="s">
        <v>26</v>
      </c>
      <c r="W2" s="26" t="s">
        <v>27</v>
      </c>
      <c r="X2" s="26" t="s">
        <v>28</v>
      </c>
      <c r="Y2" s="26" t="s">
        <v>29</v>
      </c>
      <c r="Z2" s="59" t="s">
        <v>30</v>
      </c>
      <c r="AA2" s="26" t="s">
        <v>31</v>
      </c>
      <c r="AB2" s="32" t="s">
        <v>32</v>
      </c>
      <c r="AC2" s="32" t="s">
        <v>33</v>
      </c>
    </row>
    <row r="3" spans="1:29" ht="15.95" hidden="1" customHeight="1">
      <c r="A3" s="20">
        <v>20050002</v>
      </c>
      <c r="B3" s="1" t="s">
        <v>34</v>
      </c>
      <c r="C3" s="8" t="s">
        <v>35</v>
      </c>
      <c r="D3" s="7">
        <v>7350057581933</v>
      </c>
      <c r="E3" s="7" t="s">
        <v>36</v>
      </c>
      <c r="F3" s="7" t="s">
        <v>37</v>
      </c>
      <c r="G3" s="7" t="s">
        <v>38</v>
      </c>
      <c r="H3" s="7" t="s">
        <v>39</v>
      </c>
      <c r="I3" s="7" t="s">
        <v>40</v>
      </c>
      <c r="J3" s="7" t="str">
        <f t="shared" ref="J3:J34" si="0">$J$1</f>
        <v>EUR</v>
      </c>
      <c r="K3" s="53">
        <f>IF($J$1="SEK / NOK",(VLOOKUP(A3,'RRP data'!A:C,3,FALSE)),(IF($J$1="DKK",(VLOOKUP('RRP data'!A3,'RRP data'!A:D,4,FALSE)),(IF($J$1="EUR",(VLOOKUP(A3,'RRP data'!A:E,5,FALSE)))))))</f>
        <v>149</v>
      </c>
      <c r="L3" s="7"/>
      <c r="M3" s="8">
        <v>1</v>
      </c>
      <c r="N3" s="8">
        <v>1</v>
      </c>
      <c r="P3" s="7" t="s">
        <v>41</v>
      </c>
      <c r="Q3" s="67">
        <v>94018000</v>
      </c>
      <c r="R3" s="8">
        <v>43</v>
      </c>
      <c r="S3" s="8">
        <v>54</v>
      </c>
      <c r="T3" s="8">
        <v>65</v>
      </c>
      <c r="U3" s="55">
        <v>3.4</v>
      </c>
      <c r="V3" s="27">
        <v>45</v>
      </c>
      <c r="W3" s="27">
        <v>58</v>
      </c>
      <c r="X3" s="27">
        <v>67</v>
      </c>
      <c r="Y3" s="8">
        <v>5.79</v>
      </c>
      <c r="Z3" s="60">
        <f t="shared" ref="Z3:Z34" si="1">PRODUCT(V3:X3)/1000000</f>
        <v>0.17487</v>
      </c>
      <c r="AA3" s="8" t="s">
        <v>42</v>
      </c>
    </row>
    <row r="4" spans="1:29" ht="15.95" hidden="1" customHeight="1">
      <c r="A4" s="20">
        <v>20050003</v>
      </c>
      <c r="B4" s="1" t="s">
        <v>43</v>
      </c>
      <c r="C4" s="8" t="s">
        <v>44</v>
      </c>
      <c r="D4" s="7">
        <v>7350057581940</v>
      </c>
      <c r="E4" s="7" t="s">
        <v>36</v>
      </c>
      <c r="F4" s="7" t="s">
        <v>37</v>
      </c>
      <c r="G4" s="7" t="s">
        <v>38</v>
      </c>
      <c r="H4" s="7" t="s">
        <v>39</v>
      </c>
      <c r="I4" s="7" t="s">
        <v>40</v>
      </c>
      <c r="J4" s="7" t="str">
        <f t="shared" si="0"/>
        <v>EUR</v>
      </c>
      <c r="K4" s="53">
        <f>IF($J$1="SEK / NOK",(VLOOKUP(A4,'RRP data'!A:C,3,FALSE)),(IF($J$1="DKK",(VLOOKUP('RRP data'!A4,'RRP data'!A:D,4,FALSE)),(IF($J$1="EUR",(VLOOKUP(A4,'RRP data'!A:E,5,FALSE)))))))</f>
        <v>149</v>
      </c>
      <c r="L4" s="7"/>
      <c r="M4" s="8">
        <v>1</v>
      </c>
      <c r="N4" s="8">
        <v>1</v>
      </c>
      <c r="P4" s="7" t="s">
        <v>41</v>
      </c>
      <c r="Q4" s="67">
        <v>94018000</v>
      </c>
      <c r="R4" s="8">
        <v>43</v>
      </c>
      <c r="S4" s="8">
        <v>54</v>
      </c>
      <c r="T4" s="8">
        <v>65</v>
      </c>
      <c r="U4" s="55">
        <v>3.4</v>
      </c>
      <c r="V4" s="27">
        <v>45</v>
      </c>
      <c r="W4" s="27">
        <v>58</v>
      </c>
      <c r="X4" s="27">
        <v>67</v>
      </c>
      <c r="Y4" s="8">
        <v>5.79</v>
      </c>
      <c r="Z4" s="60">
        <f t="shared" si="1"/>
        <v>0.17487</v>
      </c>
      <c r="AA4" s="8" t="s">
        <v>42</v>
      </c>
    </row>
    <row r="5" spans="1:29" ht="15.95" hidden="1" customHeight="1">
      <c r="A5" s="20">
        <v>210103</v>
      </c>
      <c r="B5" s="1" t="s">
        <v>45</v>
      </c>
      <c r="C5" s="8" t="s">
        <v>44</v>
      </c>
      <c r="D5" s="7">
        <v>7350057580042</v>
      </c>
      <c r="E5" s="7" t="s">
        <v>36</v>
      </c>
      <c r="F5" s="7" t="s">
        <v>46</v>
      </c>
      <c r="G5" s="7" t="s">
        <v>38</v>
      </c>
      <c r="H5" s="7" t="s">
        <v>47</v>
      </c>
      <c r="I5" s="7" t="s">
        <v>47</v>
      </c>
      <c r="J5" s="7" t="str">
        <f t="shared" si="0"/>
        <v>EUR</v>
      </c>
      <c r="K5" s="53">
        <f>IF($J$1="SEK / NOK",(VLOOKUP(A5,'RRP data'!A:C,3,FALSE)),(IF($J$1="DKK",(VLOOKUP('RRP data'!A5,'RRP data'!A:D,4,FALSE)),(IF($J$1="EUR",(VLOOKUP(A5,'RRP data'!A:E,5,FALSE)))))))</f>
        <v>100</v>
      </c>
      <c r="L5" s="7"/>
      <c r="M5" s="8">
        <v>1</v>
      </c>
      <c r="N5" s="8">
        <v>1</v>
      </c>
      <c r="P5" s="7" t="s">
        <v>41</v>
      </c>
      <c r="Q5" s="67">
        <v>94018000</v>
      </c>
      <c r="R5" s="8">
        <v>33</v>
      </c>
      <c r="S5" s="8">
        <v>43</v>
      </c>
      <c r="T5" s="8">
        <v>69</v>
      </c>
      <c r="U5" s="55">
        <v>4.63</v>
      </c>
      <c r="V5" s="27">
        <v>34</v>
      </c>
      <c r="W5" s="27">
        <v>20</v>
      </c>
      <c r="X5" s="27">
        <v>60.5</v>
      </c>
      <c r="Y5" s="8">
        <v>5.45</v>
      </c>
      <c r="Z5" s="60">
        <f t="shared" si="1"/>
        <v>4.1140000000000003E-2</v>
      </c>
      <c r="AA5" s="8" t="s">
        <v>42</v>
      </c>
    </row>
    <row r="6" spans="1:29" ht="15.95" hidden="1" customHeight="1">
      <c r="A6" s="20">
        <v>22150116</v>
      </c>
      <c r="B6" s="1" t="s">
        <v>48</v>
      </c>
      <c r="C6" s="8" t="s">
        <v>49</v>
      </c>
      <c r="D6" s="7">
        <v>7350057586723</v>
      </c>
      <c r="E6" s="7" t="s">
        <v>36</v>
      </c>
      <c r="F6" s="7" t="s">
        <v>50</v>
      </c>
      <c r="G6" s="7" t="s">
        <v>51</v>
      </c>
      <c r="H6" s="7" t="s">
        <v>52</v>
      </c>
      <c r="I6" s="7" t="s">
        <v>53</v>
      </c>
      <c r="J6" s="7" t="str">
        <f t="shared" si="0"/>
        <v>EUR</v>
      </c>
      <c r="K6" s="53">
        <f>IF($J$1="SEK / NOK",(VLOOKUP(A6,'RRP data'!A:C,3,FALSE)),(IF($J$1="DKK",(VLOOKUP('RRP data'!A6,'RRP data'!A:D,4,FALSE)),(IF($J$1="EUR",(VLOOKUP(A6,'RRP data'!A:E,5,FALSE)))))))</f>
        <v>549</v>
      </c>
      <c r="L6" s="7"/>
      <c r="M6" s="8">
        <v>1</v>
      </c>
      <c r="N6" s="8">
        <v>1</v>
      </c>
      <c r="P6" s="7" t="s">
        <v>41</v>
      </c>
      <c r="Q6" s="67">
        <v>94018000</v>
      </c>
      <c r="R6" s="8">
        <v>44</v>
      </c>
      <c r="S6" s="8">
        <v>65</v>
      </c>
      <c r="T6" s="8">
        <v>54</v>
      </c>
      <c r="U6" s="55">
        <v>11</v>
      </c>
      <c r="V6" s="27">
        <v>46</v>
      </c>
      <c r="W6" s="27">
        <v>58</v>
      </c>
      <c r="X6" s="27">
        <v>66</v>
      </c>
      <c r="Y6" s="8">
        <v>14</v>
      </c>
      <c r="Z6" s="60">
        <f t="shared" si="1"/>
        <v>0.17608799999999999</v>
      </c>
      <c r="AA6" s="8" t="s">
        <v>42</v>
      </c>
    </row>
    <row r="7" spans="1:29" ht="15.95" hidden="1" customHeight="1">
      <c r="A7" s="20">
        <v>22150117</v>
      </c>
      <c r="B7" s="1" t="s">
        <v>54</v>
      </c>
      <c r="C7" s="8" t="s">
        <v>55</v>
      </c>
      <c r="D7" s="7">
        <v>7350057586730</v>
      </c>
      <c r="E7" s="7" t="s">
        <v>36</v>
      </c>
      <c r="F7" s="7" t="s">
        <v>50</v>
      </c>
      <c r="G7" s="7" t="s">
        <v>51</v>
      </c>
      <c r="H7" s="7" t="s">
        <v>52</v>
      </c>
      <c r="I7" s="7" t="s">
        <v>56</v>
      </c>
      <c r="J7" s="7" t="str">
        <f t="shared" si="0"/>
        <v>EUR</v>
      </c>
      <c r="K7" s="53">
        <f>IF($J$1="SEK / NOK",(VLOOKUP(A7,'RRP data'!A:C,3,FALSE)),(IF($J$1="DKK",(VLOOKUP('RRP data'!A7,'RRP data'!A:D,4,FALSE)),(IF($J$1="EUR",(VLOOKUP(A7,'RRP data'!A:E,5,FALSE)))))))</f>
        <v>549</v>
      </c>
      <c r="L7" s="7"/>
      <c r="M7" s="8">
        <v>1</v>
      </c>
      <c r="N7" s="8">
        <v>1</v>
      </c>
      <c r="P7" s="7" t="s">
        <v>41</v>
      </c>
      <c r="Q7" s="67">
        <v>94018000</v>
      </c>
      <c r="R7" s="8">
        <v>44</v>
      </c>
      <c r="S7" s="8">
        <v>65</v>
      </c>
      <c r="T7" s="8">
        <v>54</v>
      </c>
      <c r="U7" s="55">
        <v>11</v>
      </c>
      <c r="V7" s="27">
        <v>46</v>
      </c>
      <c r="W7" s="27">
        <v>58</v>
      </c>
      <c r="X7" s="27">
        <v>66</v>
      </c>
      <c r="Y7" s="8">
        <v>14</v>
      </c>
      <c r="Z7" s="60">
        <f t="shared" si="1"/>
        <v>0.17608799999999999</v>
      </c>
      <c r="AA7" s="8" t="s">
        <v>42</v>
      </c>
    </row>
    <row r="8" spans="1:29" ht="15.95" hidden="1" customHeight="1">
      <c r="A8" s="20">
        <v>22150118</v>
      </c>
      <c r="B8" s="1" t="s">
        <v>57</v>
      </c>
      <c r="C8" s="8" t="s">
        <v>58</v>
      </c>
      <c r="D8" s="7">
        <v>7350057586747</v>
      </c>
      <c r="E8" s="7" t="s">
        <v>36</v>
      </c>
      <c r="F8" s="7" t="s">
        <v>50</v>
      </c>
      <c r="G8" s="7" t="s">
        <v>51</v>
      </c>
      <c r="H8" s="7" t="s">
        <v>52</v>
      </c>
      <c r="I8" s="7" t="s">
        <v>56</v>
      </c>
      <c r="J8" s="7" t="str">
        <f t="shared" si="0"/>
        <v>EUR</v>
      </c>
      <c r="K8" s="53">
        <f>IF($J$1="SEK / NOK",(VLOOKUP(A8,'RRP data'!A:C,3,FALSE)),(IF($J$1="DKK",(VLOOKUP('RRP data'!A8,'RRP data'!A:D,4,FALSE)),(IF($J$1="EUR",(VLOOKUP(A8,'RRP data'!A:E,5,FALSE)))))))</f>
        <v>549</v>
      </c>
      <c r="L8" s="7"/>
      <c r="M8" s="8">
        <v>1</v>
      </c>
      <c r="N8" s="8">
        <v>1</v>
      </c>
      <c r="P8" s="7" t="s">
        <v>41</v>
      </c>
      <c r="Q8" s="67">
        <v>94018000</v>
      </c>
      <c r="R8" s="8">
        <v>44</v>
      </c>
      <c r="S8" s="8">
        <v>65</v>
      </c>
      <c r="T8" s="8">
        <v>54</v>
      </c>
      <c r="U8" s="55">
        <v>11</v>
      </c>
      <c r="V8" s="27">
        <v>46</v>
      </c>
      <c r="W8" s="27">
        <v>58</v>
      </c>
      <c r="X8" s="27">
        <v>66</v>
      </c>
      <c r="Y8" s="8">
        <v>14</v>
      </c>
      <c r="Z8" s="60">
        <f t="shared" si="1"/>
        <v>0.17608799999999999</v>
      </c>
      <c r="AA8" s="8" t="s">
        <v>42</v>
      </c>
    </row>
    <row r="9" spans="1:29" ht="15.95" hidden="1" customHeight="1">
      <c r="A9" s="20">
        <v>22150119</v>
      </c>
      <c r="B9" s="1" t="s">
        <v>59</v>
      </c>
      <c r="C9" s="8" t="s">
        <v>60</v>
      </c>
      <c r="D9" s="7">
        <v>7350057586754</v>
      </c>
      <c r="E9" s="7" t="s">
        <v>36</v>
      </c>
      <c r="F9" s="7" t="s">
        <v>50</v>
      </c>
      <c r="G9" s="7" t="s">
        <v>51</v>
      </c>
      <c r="H9" s="7" t="s">
        <v>52</v>
      </c>
      <c r="I9" s="7" t="s">
        <v>56</v>
      </c>
      <c r="J9" s="7" t="str">
        <f t="shared" si="0"/>
        <v>EUR</v>
      </c>
      <c r="K9" s="53">
        <f>IF($J$1="SEK / NOK",(VLOOKUP(A9,'RRP data'!A:C,3,FALSE)),(IF($J$1="DKK",(VLOOKUP('RRP data'!A9,'RRP data'!A:D,4,FALSE)),(IF($J$1="EUR",(VLOOKUP(A9,'RRP data'!A:E,5,FALSE)))))))</f>
        <v>549</v>
      </c>
      <c r="L9" s="7"/>
      <c r="M9" s="8">
        <v>1</v>
      </c>
      <c r="N9" s="8">
        <v>1</v>
      </c>
      <c r="P9" s="7" t="s">
        <v>41</v>
      </c>
      <c r="Q9" s="67">
        <v>94018000</v>
      </c>
      <c r="R9" s="8">
        <v>44</v>
      </c>
      <c r="S9" s="8">
        <v>65</v>
      </c>
      <c r="T9" s="8">
        <v>54</v>
      </c>
      <c r="U9" s="55">
        <v>11</v>
      </c>
      <c r="V9" s="27">
        <v>46</v>
      </c>
      <c r="W9" s="27">
        <v>58</v>
      </c>
      <c r="X9" s="27">
        <v>66</v>
      </c>
      <c r="Y9" s="8">
        <v>14</v>
      </c>
      <c r="Z9" s="60">
        <f t="shared" si="1"/>
        <v>0.17608799999999999</v>
      </c>
      <c r="AA9" s="8" t="s">
        <v>42</v>
      </c>
    </row>
    <row r="10" spans="1:29" ht="15.95" hidden="1" customHeight="1">
      <c r="A10" s="20">
        <v>22150120</v>
      </c>
      <c r="B10" s="1" t="s">
        <v>61</v>
      </c>
      <c r="C10" s="8" t="s">
        <v>62</v>
      </c>
      <c r="D10" s="7">
        <v>7350057586761</v>
      </c>
      <c r="E10" s="7" t="s">
        <v>36</v>
      </c>
      <c r="F10" s="7" t="s">
        <v>50</v>
      </c>
      <c r="G10" s="7" t="s">
        <v>51</v>
      </c>
      <c r="H10" s="7" t="s">
        <v>52</v>
      </c>
      <c r="I10" s="7" t="s">
        <v>56</v>
      </c>
      <c r="J10" s="7" t="str">
        <f t="shared" si="0"/>
        <v>EUR</v>
      </c>
      <c r="K10" s="53">
        <f>IF($J$1="SEK / NOK",(VLOOKUP(A10,'RRP data'!A:C,3,FALSE)),(IF($J$1="DKK",(VLOOKUP('RRP data'!A10,'RRP data'!A:D,4,FALSE)),(IF($J$1="EUR",(VLOOKUP(A10,'RRP data'!A:E,5,FALSE)))))))</f>
        <v>549</v>
      </c>
      <c r="L10" s="7"/>
      <c r="M10" s="8">
        <v>1</v>
      </c>
      <c r="N10" s="8">
        <v>1</v>
      </c>
      <c r="P10" s="7" t="s">
        <v>41</v>
      </c>
      <c r="Q10" s="67">
        <v>94018000</v>
      </c>
      <c r="R10" s="8">
        <v>44</v>
      </c>
      <c r="S10" s="8">
        <v>65</v>
      </c>
      <c r="T10" s="8">
        <v>54</v>
      </c>
      <c r="U10" s="55">
        <v>11</v>
      </c>
      <c r="V10" s="27">
        <v>46</v>
      </c>
      <c r="W10" s="27">
        <v>58</v>
      </c>
      <c r="X10" s="27">
        <v>66</v>
      </c>
      <c r="Y10" s="8">
        <v>14</v>
      </c>
      <c r="Z10" s="60">
        <f t="shared" si="1"/>
        <v>0.17608799999999999</v>
      </c>
      <c r="AA10" s="8" t="s">
        <v>42</v>
      </c>
    </row>
    <row r="11" spans="1:29" ht="15.95" hidden="1" customHeight="1">
      <c r="A11" s="20">
        <v>22150121</v>
      </c>
      <c r="B11" s="1" t="s">
        <v>63</v>
      </c>
      <c r="C11" s="8" t="s">
        <v>64</v>
      </c>
      <c r="D11" s="7">
        <v>7350057586778</v>
      </c>
      <c r="E11" s="7" t="s">
        <v>36</v>
      </c>
      <c r="F11" s="7" t="s">
        <v>50</v>
      </c>
      <c r="G11" s="7" t="s">
        <v>51</v>
      </c>
      <c r="H11" s="7" t="s">
        <v>52</v>
      </c>
      <c r="I11" s="7" t="s">
        <v>56</v>
      </c>
      <c r="J11" s="7" t="str">
        <f t="shared" si="0"/>
        <v>EUR</v>
      </c>
      <c r="K11" s="53">
        <f>IF($J$1="SEK / NOK",(VLOOKUP(A11,'RRP data'!A:C,3,FALSE)),(IF($J$1="DKK",(VLOOKUP('RRP data'!A11,'RRP data'!A:D,4,FALSE)),(IF($J$1="EUR",(VLOOKUP(A11,'RRP data'!A:E,5,FALSE)))))))</f>
        <v>599</v>
      </c>
      <c r="L11" s="7"/>
      <c r="M11" s="8">
        <v>1</v>
      </c>
      <c r="N11" s="8">
        <v>1</v>
      </c>
      <c r="P11" s="7" t="s">
        <v>41</v>
      </c>
      <c r="Q11" s="67">
        <v>94018000</v>
      </c>
      <c r="R11" s="8">
        <v>44</v>
      </c>
      <c r="S11" s="8">
        <v>65</v>
      </c>
      <c r="T11" s="8">
        <v>54</v>
      </c>
      <c r="U11" s="55">
        <v>11</v>
      </c>
      <c r="V11" s="27">
        <v>46</v>
      </c>
      <c r="W11" s="27">
        <v>58</v>
      </c>
      <c r="X11" s="27">
        <v>66</v>
      </c>
      <c r="Y11" s="8">
        <v>14</v>
      </c>
      <c r="Z11" s="60">
        <f t="shared" si="1"/>
        <v>0.17608799999999999</v>
      </c>
      <c r="AA11" s="8" t="s">
        <v>42</v>
      </c>
    </row>
    <row r="12" spans="1:29" ht="15.95" hidden="1" customHeight="1">
      <c r="A12" s="20">
        <v>22150122</v>
      </c>
      <c r="B12" s="1" t="s">
        <v>65</v>
      </c>
      <c r="C12" s="8" t="s">
        <v>66</v>
      </c>
      <c r="D12" s="7">
        <v>7350057586785</v>
      </c>
      <c r="E12" s="7" t="s">
        <v>36</v>
      </c>
      <c r="F12" s="7" t="s">
        <v>50</v>
      </c>
      <c r="G12" s="7" t="s">
        <v>51</v>
      </c>
      <c r="H12" s="7" t="s">
        <v>52</v>
      </c>
      <c r="I12" s="7" t="s">
        <v>56</v>
      </c>
      <c r="J12" s="7" t="str">
        <f t="shared" si="0"/>
        <v>EUR</v>
      </c>
      <c r="K12" s="53">
        <f>IF($J$1="SEK / NOK",(VLOOKUP(A12,'RRP data'!A:C,3,FALSE)),(IF($J$1="DKK",(VLOOKUP('RRP data'!A12,'RRP data'!A:D,4,FALSE)),(IF($J$1="EUR",(VLOOKUP(A12,'RRP data'!A:E,5,FALSE)))))))</f>
        <v>599</v>
      </c>
      <c r="L12" s="7"/>
      <c r="M12" s="8">
        <v>1</v>
      </c>
      <c r="N12" s="8">
        <v>1</v>
      </c>
      <c r="P12" s="7" t="s">
        <v>41</v>
      </c>
      <c r="Q12" s="67">
        <v>94018000</v>
      </c>
      <c r="R12" s="8">
        <v>44</v>
      </c>
      <c r="S12" s="8">
        <v>65</v>
      </c>
      <c r="T12" s="8">
        <v>54</v>
      </c>
      <c r="U12" s="55">
        <v>11</v>
      </c>
      <c r="V12" s="27">
        <v>46</v>
      </c>
      <c r="W12" s="27">
        <v>58</v>
      </c>
      <c r="X12" s="27">
        <v>66</v>
      </c>
      <c r="Y12" s="8">
        <v>14</v>
      </c>
      <c r="Z12" s="60">
        <f t="shared" si="1"/>
        <v>0.17608799999999999</v>
      </c>
      <c r="AA12" s="8" t="s">
        <v>42</v>
      </c>
    </row>
    <row r="13" spans="1:29" ht="15.95" hidden="1" customHeight="1">
      <c r="A13" s="20">
        <v>22140316</v>
      </c>
      <c r="B13" s="1" t="s">
        <v>67</v>
      </c>
      <c r="C13" s="8" t="s">
        <v>49</v>
      </c>
      <c r="D13" s="7">
        <v>7350057585870</v>
      </c>
      <c r="E13" s="7" t="s">
        <v>36</v>
      </c>
      <c r="F13" s="7" t="s">
        <v>50</v>
      </c>
      <c r="G13" s="7" t="s">
        <v>38</v>
      </c>
      <c r="H13" s="7" t="s">
        <v>52</v>
      </c>
      <c r="I13" s="7" t="s">
        <v>68</v>
      </c>
      <c r="J13" s="7" t="str">
        <f t="shared" si="0"/>
        <v>EUR</v>
      </c>
      <c r="K13" s="53">
        <f>IF($J$1="SEK / NOK",(VLOOKUP(A13,'RRP data'!A:C,3,FALSE)),(IF($J$1="DKK",(VLOOKUP('RRP data'!A13,'RRP data'!A:D,4,FALSE)),(IF($J$1="EUR",(VLOOKUP(A13,'RRP data'!A:E,5,FALSE)))))))</f>
        <v>429</v>
      </c>
      <c r="L13" s="7"/>
      <c r="M13" s="8">
        <v>1</v>
      </c>
      <c r="N13" s="8">
        <v>1</v>
      </c>
      <c r="P13" s="7" t="s">
        <v>41</v>
      </c>
      <c r="Q13" s="67">
        <v>94018000</v>
      </c>
      <c r="R13" s="8">
        <v>44</v>
      </c>
      <c r="S13" s="8">
        <v>62</v>
      </c>
      <c r="T13" s="8">
        <v>56</v>
      </c>
      <c r="U13" s="55">
        <v>11.4</v>
      </c>
      <c r="V13" s="27">
        <v>46</v>
      </c>
      <c r="W13" s="27">
        <v>58</v>
      </c>
      <c r="X13" s="27">
        <v>66</v>
      </c>
      <c r="Y13" s="8">
        <v>13.8</v>
      </c>
      <c r="Z13" s="60">
        <f t="shared" si="1"/>
        <v>0.17608799999999999</v>
      </c>
      <c r="AA13" s="8" t="s">
        <v>42</v>
      </c>
    </row>
    <row r="14" spans="1:29" ht="15.95" hidden="1" customHeight="1">
      <c r="A14" s="20">
        <v>22140317</v>
      </c>
      <c r="B14" s="1" t="s">
        <v>69</v>
      </c>
      <c r="C14" s="8" t="s">
        <v>55</v>
      </c>
      <c r="D14" s="7">
        <v>7350057585887</v>
      </c>
      <c r="E14" s="7" t="s">
        <v>36</v>
      </c>
      <c r="F14" s="7" t="s">
        <v>50</v>
      </c>
      <c r="G14" s="7" t="s">
        <v>38</v>
      </c>
      <c r="H14" s="7" t="s">
        <v>52</v>
      </c>
      <c r="I14" s="7" t="s">
        <v>68</v>
      </c>
      <c r="J14" s="7" t="str">
        <f t="shared" si="0"/>
        <v>EUR</v>
      </c>
      <c r="K14" s="53">
        <f>IF($J$1="SEK / NOK",(VLOOKUP(A14,'RRP data'!A:C,3,FALSE)),(IF($J$1="DKK",(VLOOKUP('RRP data'!A14,'RRP data'!A:D,4,FALSE)),(IF($J$1="EUR",(VLOOKUP(A14,'RRP data'!A:E,5,FALSE)))))))</f>
        <v>429</v>
      </c>
      <c r="L14" s="7"/>
      <c r="M14" s="8">
        <v>1</v>
      </c>
      <c r="N14" s="8">
        <v>1</v>
      </c>
      <c r="P14" s="7" t="s">
        <v>41</v>
      </c>
      <c r="Q14" s="67">
        <v>94018000</v>
      </c>
      <c r="R14" s="8">
        <v>44</v>
      </c>
      <c r="S14" s="8">
        <v>62</v>
      </c>
      <c r="T14" s="8">
        <v>56</v>
      </c>
      <c r="U14" s="55">
        <v>11.4</v>
      </c>
      <c r="V14" s="27">
        <v>46</v>
      </c>
      <c r="W14" s="27">
        <v>58</v>
      </c>
      <c r="X14" s="27">
        <v>66</v>
      </c>
      <c r="Y14" s="8">
        <v>13.8</v>
      </c>
      <c r="Z14" s="60">
        <f t="shared" si="1"/>
        <v>0.17608799999999999</v>
      </c>
      <c r="AA14" s="8" t="s">
        <v>42</v>
      </c>
    </row>
    <row r="15" spans="1:29" ht="15.95" hidden="1" customHeight="1">
      <c r="A15" s="20">
        <v>22140318</v>
      </c>
      <c r="B15" s="1" t="s">
        <v>70</v>
      </c>
      <c r="C15" s="8" t="s">
        <v>58</v>
      </c>
      <c r="D15" s="7">
        <v>7350057585894</v>
      </c>
      <c r="E15" s="7" t="s">
        <v>36</v>
      </c>
      <c r="F15" s="7" t="s">
        <v>50</v>
      </c>
      <c r="G15" s="7" t="s">
        <v>38</v>
      </c>
      <c r="H15" s="7" t="s">
        <v>52</v>
      </c>
      <c r="I15" s="7" t="s">
        <v>68</v>
      </c>
      <c r="J15" s="7" t="str">
        <f t="shared" si="0"/>
        <v>EUR</v>
      </c>
      <c r="K15" s="53">
        <f>IF($J$1="SEK / NOK",(VLOOKUP(A15,'RRP data'!A:C,3,FALSE)),(IF($J$1="DKK",(VLOOKUP('RRP data'!A15,'RRP data'!A:D,4,FALSE)),(IF($J$1="EUR",(VLOOKUP(A15,'RRP data'!A:E,5,FALSE)))))))</f>
        <v>429</v>
      </c>
      <c r="L15" s="7"/>
      <c r="M15" s="8">
        <v>1</v>
      </c>
      <c r="N15" s="8">
        <v>1</v>
      </c>
      <c r="P15" s="7" t="s">
        <v>41</v>
      </c>
      <c r="Q15" s="67">
        <v>94018000</v>
      </c>
      <c r="R15" s="8">
        <v>44</v>
      </c>
      <c r="S15" s="8">
        <v>62</v>
      </c>
      <c r="T15" s="8">
        <v>56</v>
      </c>
      <c r="U15" s="55">
        <v>11.4</v>
      </c>
      <c r="V15" s="27">
        <v>46</v>
      </c>
      <c r="W15" s="27">
        <v>58</v>
      </c>
      <c r="X15" s="27">
        <v>66</v>
      </c>
      <c r="Y15" s="8">
        <v>13.8</v>
      </c>
      <c r="Z15" s="60">
        <f t="shared" si="1"/>
        <v>0.17608799999999999</v>
      </c>
      <c r="AA15" s="8" t="s">
        <v>42</v>
      </c>
    </row>
    <row r="16" spans="1:29" ht="15.95" hidden="1" customHeight="1">
      <c r="A16" s="20">
        <v>22140319</v>
      </c>
      <c r="B16" s="1" t="s">
        <v>71</v>
      </c>
      <c r="C16" s="8" t="s">
        <v>60</v>
      </c>
      <c r="D16" s="7">
        <v>7350057585900</v>
      </c>
      <c r="E16" s="7" t="s">
        <v>36</v>
      </c>
      <c r="F16" s="7" t="s">
        <v>50</v>
      </c>
      <c r="G16" s="7" t="s">
        <v>38</v>
      </c>
      <c r="H16" s="7" t="s">
        <v>52</v>
      </c>
      <c r="I16" s="7" t="s">
        <v>68</v>
      </c>
      <c r="J16" s="7" t="str">
        <f t="shared" si="0"/>
        <v>EUR</v>
      </c>
      <c r="K16" s="53">
        <f>IF($J$1="SEK / NOK",(VLOOKUP(A16,'RRP data'!A:C,3,FALSE)),(IF($J$1="DKK",(VLOOKUP('RRP data'!A16,'RRP data'!A:D,4,FALSE)),(IF($J$1="EUR",(VLOOKUP(A16,'RRP data'!A:E,5,FALSE)))))))</f>
        <v>429</v>
      </c>
      <c r="L16" s="7"/>
      <c r="M16" s="8">
        <v>1</v>
      </c>
      <c r="N16" s="8">
        <v>1</v>
      </c>
      <c r="P16" s="7" t="s">
        <v>41</v>
      </c>
      <c r="Q16" s="67">
        <v>94018000</v>
      </c>
      <c r="R16" s="8">
        <v>44</v>
      </c>
      <c r="S16" s="8">
        <v>62</v>
      </c>
      <c r="T16" s="8">
        <v>56</v>
      </c>
      <c r="U16" s="55">
        <v>11.4</v>
      </c>
      <c r="V16" s="27">
        <v>46</v>
      </c>
      <c r="W16" s="27">
        <v>58</v>
      </c>
      <c r="X16" s="27">
        <v>66</v>
      </c>
      <c r="Y16" s="8">
        <v>13.8</v>
      </c>
      <c r="Z16" s="60">
        <f t="shared" si="1"/>
        <v>0.17608799999999999</v>
      </c>
      <c r="AA16" s="8" t="s">
        <v>42</v>
      </c>
    </row>
    <row r="17" spans="1:29" ht="15.95" hidden="1" customHeight="1">
      <c r="A17" s="20">
        <v>22140320</v>
      </c>
      <c r="B17" s="1" t="s">
        <v>72</v>
      </c>
      <c r="C17" s="8" t="s">
        <v>62</v>
      </c>
      <c r="D17" s="7">
        <v>7350057585917</v>
      </c>
      <c r="E17" s="7" t="s">
        <v>36</v>
      </c>
      <c r="F17" s="7" t="s">
        <v>50</v>
      </c>
      <c r="G17" s="7" t="s">
        <v>38</v>
      </c>
      <c r="H17" s="7" t="s">
        <v>52</v>
      </c>
      <c r="I17" s="7" t="s">
        <v>68</v>
      </c>
      <c r="J17" s="7" t="str">
        <f t="shared" si="0"/>
        <v>EUR</v>
      </c>
      <c r="K17" s="53">
        <f>IF($J$1="SEK / NOK",(VLOOKUP(A17,'RRP data'!A:C,3,FALSE)),(IF($J$1="DKK",(VLOOKUP('RRP data'!A17,'RRP data'!A:D,4,FALSE)),(IF($J$1="EUR",(VLOOKUP(A17,'RRP data'!A:E,5,FALSE)))))))</f>
        <v>429</v>
      </c>
      <c r="L17" s="7"/>
      <c r="M17" s="8">
        <v>1</v>
      </c>
      <c r="N17" s="8">
        <v>1</v>
      </c>
      <c r="P17" s="7" t="s">
        <v>41</v>
      </c>
      <c r="Q17" s="67">
        <v>94018000</v>
      </c>
      <c r="R17" s="8">
        <v>44</v>
      </c>
      <c r="S17" s="8">
        <v>62</v>
      </c>
      <c r="T17" s="8">
        <v>56</v>
      </c>
      <c r="U17" s="55">
        <v>11.4</v>
      </c>
      <c r="V17" s="27">
        <v>46</v>
      </c>
      <c r="W17" s="27">
        <v>58</v>
      </c>
      <c r="X17" s="27">
        <v>66</v>
      </c>
      <c r="Y17" s="8">
        <v>13.8</v>
      </c>
      <c r="Z17" s="60">
        <f t="shared" si="1"/>
        <v>0.17608799999999999</v>
      </c>
      <c r="AA17" s="8" t="s">
        <v>42</v>
      </c>
    </row>
    <row r="18" spans="1:29" ht="15.95" hidden="1" customHeight="1">
      <c r="A18" s="20">
        <v>22140321</v>
      </c>
      <c r="B18" s="1" t="s">
        <v>73</v>
      </c>
      <c r="C18" s="8" t="s">
        <v>64</v>
      </c>
      <c r="D18" s="7">
        <v>7350057585924</v>
      </c>
      <c r="E18" s="7" t="s">
        <v>36</v>
      </c>
      <c r="F18" s="7" t="s">
        <v>50</v>
      </c>
      <c r="G18" s="7" t="s">
        <v>38</v>
      </c>
      <c r="H18" s="7" t="s">
        <v>52</v>
      </c>
      <c r="I18" s="7" t="s">
        <v>68</v>
      </c>
      <c r="J18" s="7" t="str">
        <f t="shared" si="0"/>
        <v>EUR</v>
      </c>
      <c r="K18" s="53">
        <f>IF($J$1="SEK / NOK",(VLOOKUP(A18,'RRP data'!A:C,3,FALSE)),(IF($J$1="DKK",(VLOOKUP('RRP data'!A18,'RRP data'!A:D,4,FALSE)),(IF($J$1="EUR",(VLOOKUP(A18,'RRP data'!A:E,5,FALSE)))))))</f>
        <v>449</v>
      </c>
      <c r="L18" s="7"/>
      <c r="M18" s="8">
        <v>1</v>
      </c>
      <c r="N18" s="8">
        <v>1</v>
      </c>
      <c r="P18" s="7" t="s">
        <v>41</v>
      </c>
      <c r="Q18" s="67">
        <v>94018000</v>
      </c>
      <c r="R18" s="8">
        <v>44</v>
      </c>
      <c r="S18" s="8">
        <v>62</v>
      </c>
      <c r="T18" s="8">
        <v>56</v>
      </c>
      <c r="U18" s="55">
        <v>11.4</v>
      </c>
      <c r="V18" s="27">
        <v>46</v>
      </c>
      <c r="W18" s="27">
        <v>58</v>
      </c>
      <c r="X18" s="27">
        <v>66</v>
      </c>
      <c r="Y18" s="8">
        <v>13.8</v>
      </c>
      <c r="Z18" s="60">
        <f t="shared" si="1"/>
        <v>0.17608799999999999</v>
      </c>
      <c r="AA18" s="8" t="s">
        <v>42</v>
      </c>
    </row>
    <row r="19" spans="1:29" ht="15.95" hidden="1" customHeight="1">
      <c r="A19" s="20">
        <v>22140322</v>
      </c>
      <c r="B19" s="1" t="s">
        <v>74</v>
      </c>
      <c r="C19" s="8" t="s">
        <v>66</v>
      </c>
      <c r="D19" s="7">
        <v>7350057585931</v>
      </c>
      <c r="E19" s="7" t="s">
        <v>36</v>
      </c>
      <c r="F19" s="7" t="s">
        <v>50</v>
      </c>
      <c r="G19" s="7" t="s">
        <v>38</v>
      </c>
      <c r="H19" s="7" t="s">
        <v>52</v>
      </c>
      <c r="I19" s="7" t="s">
        <v>68</v>
      </c>
      <c r="J19" s="7" t="str">
        <f t="shared" si="0"/>
        <v>EUR</v>
      </c>
      <c r="K19" s="53">
        <f>IF($J$1="SEK / NOK",(VLOOKUP(A19,'RRP data'!A:C,3,FALSE)),(IF($J$1="DKK",(VLOOKUP('RRP data'!A19,'RRP data'!A:D,4,FALSE)),(IF($J$1="EUR",(VLOOKUP(A19,'RRP data'!A:E,5,FALSE)))))))</f>
        <v>449</v>
      </c>
      <c r="L19" s="7"/>
      <c r="M19" s="8">
        <v>1</v>
      </c>
      <c r="N19" s="8">
        <v>1</v>
      </c>
      <c r="P19" s="7" t="s">
        <v>41</v>
      </c>
      <c r="Q19" s="67">
        <v>94018000</v>
      </c>
      <c r="R19" s="8">
        <v>44</v>
      </c>
      <c r="S19" s="8">
        <v>62</v>
      </c>
      <c r="T19" s="8">
        <v>56</v>
      </c>
      <c r="U19" s="55">
        <v>11.4</v>
      </c>
      <c r="V19" s="27">
        <v>46</v>
      </c>
      <c r="W19" s="27">
        <v>58</v>
      </c>
      <c r="X19" s="27">
        <v>66</v>
      </c>
      <c r="Y19" s="8">
        <v>13.8</v>
      </c>
      <c r="Z19" s="60">
        <f t="shared" si="1"/>
        <v>0.17608799999999999</v>
      </c>
      <c r="AA19" s="8" t="s">
        <v>42</v>
      </c>
    </row>
    <row r="20" spans="1:29" s="45" customFormat="1" ht="15.95" hidden="1" customHeight="1">
      <c r="A20" s="44">
        <v>22140216</v>
      </c>
      <c r="B20" s="45" t="s">
        <v>75</v>
      </c>
      <c r="C20" s="46" t="s">
        <v>76</v>
      </c>
      <c r="D20" s="47">
        <v>7350057584354</v>
      </c>
      <c r="E20" s="47" t="s">
        <v>77</v>
      </c>
      <c r="F20" s="47" t="s">
        <v>50</v>
      </c>
      <c r="G20" s="47" t="s">
        <v>38</v>
      </c>
      <c r="H20" s="47" t="s">
        <v>52</v>
      </c>
      <c r="I20" s="47" t="s">
        <v>68</v>
      </c>
      <c r="J20" s="47" t="str">
        <f t="shared" si="0"/>
        <v>EUR</v>
      </c>
      <c r="K20" s="7">
        <f>IF($J$1="SEK / NOK",(VLOOKUP(A20,'RRP data'!A:C,3,FALSE)),(IF($J$1="DKK",(VLOOKUP('RRP data'!A20,'RRP data'!A:D,4,FALSE)),(IF($J$1="EUR",(VLOOKUP(A20,'RRP data'!A:E,5,FALSE)))))))</f>
        <v>399</v>
      </c>
      <c r="L20" s="47"/>
      <c r="M20" s="46">
        <v>1</v>
      </c>
      <c r="N20" s="46">
        <v>1</v>
      </c>
      <c r="O20" s="46"/>
      <c r="P20" s="47" t="s">
        <v>41</v>
      </c>
      <c r="Q20" s="68">
        <v>94018000</v>
      </c>
      <c r="R20" s="46">
        <v>44</v>
      </c>
      <c r="S20" s="46">
        <v>62</v>
      </c>
      <c r="T20" s="46">
        <v>56</v>
      </c>
      <c r="U20" s="56">
        <v>11.4</v>
      </c>
      <c r="V20" s="46">
        <v>46</v>
      </c>
      <c r="W20" s="46">
        <v>58</v>
      </c>
      <c r="X20" s="46">
        <v>66</v>
      </c>
      <c r="Y20" s="46">
        <v>13.8</v>
      </c>
      <c r="Z20" s="61">
        <f t="shared" si="1"/>
        <v>0.17608799999999999</v>
      </c>
      <c r="AA20" s="46" t="s">
        <v>42</v>
      </c>
      <c r="AB20" s="8"/>
      <c r="AC20" s="8"/>
    </row>
    <row r="21" spans="1:29" s="45" customFormat="1" ht="15.95" hidden="1" customHeight="1">
      <c r="A21" s="44">
        <v>22140217</v>
      </c>
      <c r="B21" s="45" t="s">
        <v>78</v>
      </c>
      <c r="C21" s="46" t="s">
        <v>79</v>
      </c>
      <c r="D21" s="47">
        <v>7350057584361</v>
      </c>
      <c r="E21" s="47" t="s">
        <v>77</v>
      </c>
      <c r="F21" s="47" t="s">
        <v>50</v>
      </c>
      <c r="G21" s="47" t="s">
        <v>38</v>
      </c>
      <c r="H21" s="47" t="s">
        <v>52</v>
      </c>
      <c r="I21" s="47" t="s">
        <v>68</v>
      </c>
      <c r="J21" s="47" t="str">
        <f t="shared" si="0"/>
        <v>EUR</v>
      </c>
      <c r="K21" s="7">
        <f>IF($J$1="SEK / NOK",(VLOOKUP(A21,'RRP data'!A:C,3,FALSE)),(IF($J$1="DKK",(VLOOKUP('RRP data'!A21,'RRP data'!A:D,4,FALSE)),(IF($J$1="EUR",(VLOOKUP(A21,'RRP data'!A:E,5,FALSE)))))))</f>
        <v>399</v>
      </c>
      <c r="L21" s="47"/>
      <c r="M21" s="46">
        <v>1</v>
      </c>
      <c r="N21" s="46">
        <v>1</v>
      </c>
      <c r="O21" s="46"/>
      <c r="P21" s="47" t="s">
        <v>41</v>
      </c>
      <c r="Q21" s="68">
        <v>94018000</v>
      </c>
      <c r="R21" s="46">
        <v>44</v>
      </c>
      <c r="S21" s="46">
        <v>62</v>
      </c>
      <c r="T21" s="46">
        <v>56</v>
      </c>
      <c r="U21" s="56">
        <v>11.4</v>
      </c>
      <c r="V21" s="46">
        <v>46</v>
      </c>
      <c r="W21" s="46">
        <v>58</v>
      </c>
      <c r="X21" s="46">
        <v>66</v>
      </c>
      <c r="Y21" s="46">
        <v>13.8</v>
      </c>
      <c r="Z21" s="61">
        <f t="shared" si="1"/>
        <v>0.17608799999999999</v>
      </c>
      <c r="AA21" s="46" t="s">
        <v>42</v>
      </c>
      <c r="AB21" s="8"/>
      <c r="AC21" s="8"/>
    </row>
    <row r="22" spans="1:29" s="45" customFormat="1" ht="15.95" hidden="1" customHeight="1">
      <c r="A22" s="44">
        <v>22140218</v>
      </c>
      <c r="B22" s="45" t="s">
        <v>80</v>
      </c>
      <c r="C22" s="46" t="s">
        <v>81</v>
      </c>
      <c r="D22" s="47">
        <v>7350057584378</v>
      </c>
      <c r="E22" s="47" t="s">
        <v>77</v>
      </c>
      <c r="F22" s="47" t="s">
        <v>50</v>
      </c>
      <c r="G22" s="47" t="s">
        <v>38</v>
      </c>
      <c r="H22" s="47" t="s">
        <v>52</v>
      </c>
      <c r="I22" s="47" t="s">
        <v>68</v>
      </c>
      <c r="J22" s="47" t="str">
        <f t="shared" si="0"/>
        <v>EUR</v>
      </c>
      <c r="K22" s="7">
        <f>IF($J$1="SEK / NOK",(VLOOKUP(A22,'RRP data'!A:C,3,FALSE)),(IF($J$1="DKK",(VLOOKUP('RRP data'!A22,'RRP data'!A:D,4,FALSE)),(IF($J$1="EUR",(VLOOKUP(A22,'RRP data'!A:E,5,FALSE)))))))</f>
        <v>399</v>
      </c>
      <c r="L22" s="47"/>
      <c r="M22" s="46">
        <v>1</v>
      </c>
      <c r="N22" s="46">
        <v>1</v>
      </c>
      <c r="O22" s="46"/>
      <c r="P22" s="47" t="s">
        <v>41</v>
      </c>
      <c r="Q22" s="68">
        <v>94018000</v>
      </c>
      <c r="R22" s="46">
        <v>44</v>
      </c>
      <c r="S22" s="46">
        <v>62</v>
      </c>
      <c r="T22" s="46">
        <v>56</v>
      </c>
      <c r="U22" s="56">
        <v>11.4</v>
      </c>
      <c r="V22" s="46">
        <v>46</v>
      </c>
      <c r="W22" s="46">
        <v>58</v>
      </c>
      <c r="X22" s="46">
        <v>66</v>
      </c>
      <c r="Y22" s="46">
        <v>13.8</v>
      </c>
      <c r="Z22" s="61">
        <f t="shared" si="1"/>
        <v>0.17608799999999999</v>
      </c>
      <c r="AA22" s="46" t="s">
        <v>42</v>
      </c>
      <c r="AB22" s="8"/>
      <c r="AC22" s="8"/>
    </row>
    <row r="23" spans="1:29" s="45" customFormat="1" ht="15.95" hidden="1" customHeight="1">
      <c r="A23" s="44">
        <v>22140219</v>
      </c>
      <c r="B23" s="45" t="s">
        <v>82</v>
      </c>
      <c r="C23" s="46" t="s">
        <v>83</v>
      </c>
      <c r="D23" s="47">
        <v>7350057584385</v>
      </c>
      <c r="E23" s="47" t="s">
        <v>77</v>
      </c>
      <c r="F23" s="47" t="s">
        <v>50</v>
      </c>
      <c r="G23" s="47" t="s">
        <v>38</v>
      </c>
      <c r="H23" s="47" t="s">
        <v>52</v>
      </c>
      <c r="I23" s="47" t="s">
        <v>68</v>
      </c>
      <c r="J23" s="47" t="str">
        <f t="shared" si="0"/>
        <v>EUR</v>
      </c>
      <c r="K23" s="7">
        <f>IF($J$1="SEK / NOK",(VLOOKUP(A23,'RRP data'!A:C,3,FALSE)),(IF($J$1="DKK",(VLOOKUP('RRP data'!A23,'RRP data'!A:D,4,FALSE)),(IF($J$1="EUR",(VLOOKUP(A23,'RRP data'!A:E,5,FALSE)))))))</f>
        <v>399</v>
      </c>
      <c r="L23" s="47"/>
      <c r="M23" s="46">
        <v>1</v>
      </c>
      <c r="N23" s="46">
        <v>1</v>
      </c>
      <c r="O23" s="46"/>
      <c r="P23" s="47" t="s">
        <v>41</v>
      </c>
      <c r="Q23" s="68">
        <v>94018000</v>
      </c>
      <c r="R23" s="46">
        <v>44</v>
      </c>
      <c r="S23" s="46">
        <v>62</v>
      </c>
      <c r="T23" s="46">
        <v>56</v>
      </c>
      <c r="U23" s="56">
        <v>11.4</v>
      </c>
      <c r="V23" s="46">
        <v>46</v>
      </c>
      <c r="W23" s="46">
        <v>58</v>
      </c>
      <c r="X23" s="46">
        <v>66</v>
      </c>
      <c r="Y23" s="46">
        <v>13.8</v>
      </c>
      <c r="Z23" s="61">
        <f t="shared" si="1"/>
        <v>0.17608799999999999</v>
      </c>
      <c r="AA23" s="46" t="s">
        <v>42</v>
      </c>
      <c r="AB23" s="8"/>
      <c r="AC23" s="8"/>
    </row>
    <row r="24" spans="1:29" s="45" customFormat="1" ht="15.95" hidden="1" customHeight="1">
      <c r="A24" s="44">
        <v>22140220</v>
      </c>
      <c r="B24" s="45" t="s">
        <v>84</v>
      </c>
      <c r="C24" s="46" t="s">
        <v>85</v>
      </c>
      <c r="D24" s="47">
        <v>7350057584392</v>
      </c>
      <c r="E24" s="47" t="s">
        <v>77</v>
      </c>
      <c r="F24" s="47" t="s">
        <v>50</v>
      </c>
      <c r="G24" s="47" t="s">
        <v>38</v>
      </c>
      <c r="H24" s="47" t="s">
        <v>52</v>
      </c>
      <c r="I24" s="47" t="s">
        <v>68</v>
      </c>
      <c r="J24" s="47" t="str">
        <f t="shared" si="0"/>
        <v>EUR</v>
      </c>
      <c r="K24" s="7">
        <f>IF($J$1="SEK / NOK",(VLOOKUP(A24,'RRP data'!A:C,3,FALSE)),(IF($J$1="DKK",(VLOOKUP('RRP data'!A24,'RRP data'!A:D,4,FALSE)),(IF($J$1="EUR",(VLOOKUP(A24,'RRP data'!A:E,5,FALSE)))))))</f>
        <v>399</v>
      </c>
      <c r="L24" s="47"/>
      <c r="M24" s="46">
        <v>1</v>
      </c>
      <c r="N24" s="46">
        <v>1</v>
      </c>
      <c r="O24" s="46"/>
      <c r="P24" s="47" t="s">
        <v>41</v>
      </c>
      <c r="Q24" s="68">
        <v>94018000</v>
      </c>
      <c r="R24" s="46">
        <v>44</v>
      </c>
      <c r="S24" s="46">
        <v>62</v>
      </c>
      <c r="T24" s="46">
        <v>56</v>
      </c>
      <c r="U24" s="56">
        <v>11.4</v>
      </c>
      <c r="V24" s="46">
        <v>46</v>
      </c>
      <c r="W24" s="46">
        <v>58</v>
      </c>
      <c r="X24" s="46">
        <v>66</v>
      </c>
      <c r="Y24" s="46">
        <v>13.8</v>
      </c>
      <c r="Z24" s="61">
        <f t="shared" si="1"/>
        <v>0.17608799999999999</v>
      </c>
      <c r="AA24" s="46" t="s">
        <v>42</v>
      </c>
      <c r="AB24" s="8"/>
      <c r="AC24" s="8"/>
    </row>
    <row r="25" spans="1:29" s="45" customFormat="1" ht="15.95" hidden="1" customHeight="1">
      <c r="A25" s="44">
        <v>22140221</v>
      </c>
      <c r="B25" s="45" t="s">
        <v>86</v>
      </c>
      <c r="C25" s="46" t="s">
        <v>64</v>
      </c>
      <c r="D25" s="47">
        <v>7350057584408</v>
      </c>
      <c r="E25" s="47" t="s">
        <v>77</v>
      </c>
      <c r="F25" s="47" t="s">
        <v>50</v>
      </c>
      <c r="G25" s="47" t="s">
        <v>38</v>
      </c>
      <c r="H25" s="47" t="s">
        <v>52</v>
      </c>
      <c r="I25" s="47" t="s">
        <v>68</v>
      </c>
      <c r="J25" s="47" t="str">
        <f t="shared" si="0"/>
        <v>EUR</v>
      </c>
      <c r="K25" s="7">
        <f>IF($J$1="SEK / NOK",(VLOOKUP(A25,'RRP data'!A:C,3,FALSE)),(IF($J$1="DKK",(VLOOKUP('RRP data'!A25,'RRP data'!A:D,4,FALSE)),(IF($J$1="EUR",(VLOOKUP(A25,'RRP data'!A:E,5,FALSE)))))))</f>
        <v>399</v>
      </c>
      <c r="L25" s="47"/>
      <c r="M25" s="46">
        <v>1</v>
      </c>
      <c r="N25" s="46">
        <v>1</v>
      </c>
      <c r="O25" s="46"/>
      <c r="P25" s="47" t="s">
        <v>41</v>
      </c>
      <c r="Q25" s="68">
        <v>94018000</v>
      </c>
      <c r="R25" s="46">
        <v>44</v>
      </c>
      <c r="S25" s="46">
        <v>62</v>
      </c>
      <c r="T25" s="46">
        <v>56</v>
      </c>
      <c r="U25" s="56">
        <v>11.4</v>
      </c>
      <c r="V25" s="46">
        <v>46</v>
      </c>
      <c r="W25" s="46">
        <v>58</v>
      </c>
      <c r="X25" s="46">
        <v>66</v>
      </c>
      <c r="Y25" s="46">
        <v>13.8</v>
      </c>
      <c r="Z25" s="61">
        <f t="shared" si="1"/>
        <v>0.17608799999999999</v>
      </c>
      <c r="AA25" s="46" t="s">
        <v>42</v>
      </c>
      <c r="AB25" s="8"/>
      <c r="AC25" s="8"/>
    </row>
    <row r="26" spans="1:29" s="45" customFormat="1" ht="15.95" hidden="1" customHeight="1">
      <c r="A26" s="44">
        <v>22140222</v>
      </c>
      <c r="B26" s="45" t="s">
        <v>87</v>
      </c>
      <c r="C26" s="46" t="s">
        <v>88</v>
      </c>
      <c r="D26" s="47">
        <v>7350057584415</v>
      </c>
      <c r="E26" s="47" t="s">
        <v>77</v>
      </c>
      <c r="F26" s="47" t="s">
        <v>50</v>
      </c>
      <c r="G26" s="47" t="s">
        <v>38</v>
      </c>
      <c r="H26" s="47" t="s">
        <v>52</v>
      </c>
      <c r="I26" s="47" t="s">
        <v>68</v>
      </c>
      <c r="J26" s="47" t="str">
        <f t="shared" si="0"/>
        <v>EUR</v>
      </c>
      <c r="K26" s="7">
        <f>IF($J$1="SEK / NOK",(VLOOKUP(A26,'RRP data'!A:C,3,FALSE)),(IF($J$1="DKK",(VLOOKUP('RRP data'!A26,'RRP data'!A:D,4,FALSE)),(IF($J$1="EUR",(VLOOKUP(A26,'RRP data'!A:E,5,FALSE)))))))</f>
        <v>399</v>
      </c>
      <c r="L26" s="47"/>
      <c r="M26" s="46">
        <v>1</v>
      </c>
      <c r="N26" s="46">
        <v>1</v>
      </c>
      <c r="O26" s="46"/>
      <c r="P26" s="47" t="s">
        <v>41</v>
      </c>
      <c r="Q26" s="68">
        <v>94018000</v>
      </c>
      <c r="R26" s="46">
        <v>44</v>
      </c>
      <c r="S26" s="46">
        <v>62</v>
      </c>
      <c r="T26" s="46">
        <v>56</v>
      </c>
      <c r="U26" s="56">
        <v>11.4</v>
      </c>
      <c r="V26" s="46">
        <v>46</v>
      </c>
      <c r="W26" s="46">
        <v>58</v>
      </c>
      <c r="X26" s="46">
        <v>66</v>
      </c>
      <c r="Y26" s="46">
        <v>13.8</v>
      </c>
      <c r="Z26" s="61">
        <f t="shared" si="1"/>
        <v>0.17608799999999999</v>
      </c>
      <c r="AA26" s="46" t="s">
        <v>42</v>
      </c>
      <c r="AB26" s="8"/>
      <c r="AC26" s="8"/>
    </row>
    <row r="27" spans="1:29" s="45" customFormat="1" ht="15.95" hidden="1" customHeight="1">
      <c r="A27" s="44">
        <v>22140223</v>
      </c>
      <c r="B27" s="45" t="s">
        <v>89</v>
      </c>
      <c r="C27" s="46" t="s">
        <v>90</v>
      </c>
      <c r="D27" s="47">
        <v>7350057584422</v>
      </c>
      <c r="E27" s="47" t="s">
        <v>77</v>
      </c>
      <c r="F27" s="47" t="s">
        <v>50</v>
      </c>
      <c r="G27" s="47" t="s">
        <v>38</v>
      </c>
      <c r="H27" s="47" t="s">
        <v>52</v>
      </c>
      <c r="I27" s="47" t="s">
        <v>68</v>
      </c>
      <c r="J27" s="47" t="str">
        <f t="shared" si="0"/>
        <v>EUR</v>
      </c>
      <c r="K27" s="7">
        <f>IF($J$1="SEK / NOK",(VLOOKUP(A27,'RRP data'!A:C,3,FALSE)),(IF($J$1="DKK",(VLOOKUP('RRP data'!A27,'RRP data'!A:D,4,FALSE)),(IF($J$1="EUR",(VLOOKUP(A27,'RRP data'!A:E,5,FALSE)))))))</f>
        <v>399</v>
      </c>
      <c r="L27" s="47"/>
      <c r="M27" s="46">
        <v>1</v>
      </c>
      <c r="N27" s="46">
        <v>1</v>
      </c>
      <c r="O27" s="46"/>
      <c r="P27" s="47" t="s">
        <v>41</v>
      </c>
      <c r="Q27" s="68">
        <v>94018000</v>
      </c>
      <c r="R27" s="46">
        <v>44</v>
      </c>
      <c r="S27" s="46">
        <v>62</v>
      </c>
      <c r="T27" s="46">
        <v>56</v>
      </c>
      <c r="U27" s="56">
        <v>11.4</v>
      </c>
      <c r="V27" s="46">
        <v>46</v>
      </c>
      <c r="W27" s="46">
        <v>58</v>
      </c>
      <c r="X27" s="46">
        <v>66</v>
      </c>
      <c r="Y27" s="46">
        <v>13.8</v>
      </c>
      <c r="Z27" s="61">
        <f t="shared" si="1"/>
        <v>0.17608799999999999</v>
      </c>
      <c r="AA27" s="46" t="s">
        <v>42</v>
      </c>
      <c r="AB27" s="8"/>
      <c r="AC27" s="8"/>
    </row>
    <row r="28" spans="1:29" ht="15.95" hidden="1" customHeight="1">
      <c r="A28" s="20">
        <v>22120227</v>
      </c>
      <c r="B28" s="1" t="s">
        <v>91</v>
      </c>
      <c r="C28" s="8" t="s">
        <v>79</v>
      </c>
      <c r="D28" s="7">
        <v>7350057585863</v>
      </c>
      <c r="E28" s="7" t="s">
        <v>36</v>
      </c>
      <c r="F28" s="7" t="s">
        <v>50</v>
      </c>
      <c r="G28" s="7" t="s">
        <v>38</v>
      </c>
      <c r="H28" s="7" t="s">
        <v>92</v>
      </c>
      <c r="I28" s="7" t="s">
        <v>93</v>
      </c>
      <c r="J28" s="7" t="str">
        <f t="shared" si="0"/>
        <v>EUR</v>
      </c>
      <c r="K28" s="53">
        <f>IF($J$1="SEK / NOK",(VLOOKUP(A28,'RRP data'!A:C,3,FALSE)),(IF($J$1="DKK",(VLOOKUP('RRP data'!A28,'RRP data'!A:D,4,FALSE)),(IF($J$1="EUR",(VLOOKUP(A28,'RRP data'!A:E,5,FALSE)))))))</f>
        <v>299</v>
      </c>
      <c r="L28" s="7"/>
      <c r="M28" s="8">
        <v>1</v>
      </c>
      <c r="N28" s="8">
        <v>1</v>
      </c>
      <c r="P28" s="7" t="s">
        <v>41</v>
      </c>
      <c r="Q28" s="67">
        <v>94018000</v>
      </c>
      <c r="R28" s="8">
        <v>44</v>
      </c>
      <c r="S28" s="8">
        <v>61</v>
      </c>
      <c r="T28" s="8">
        <v>56</v>
      </c>
      <c r="U28" s="55">
        <v>9.8000000000000007</v>
      </c>
      <c r="V28" s="27">
        <v>46</v>
      </c>
      <c r="W28" s="27">
        <v>58</v>
      </c>
      <c r="X28" s="27">
        <v>66</v>
      </c>
      <c r="Y28" s="8">
        <v>11.6</v>
      </c>
      <c r="Z28" s="60">
        <f t="shared" si="1"/>
        <v>0.17608799999999999</v>
      </c>
      <c r="AA28" s="8" t="s">
        <v>42</v>
      </c>
    </row>
    <row r="29" spans="1:29" ht="15.95" hidden="1" customHeight="1">
      <c r="A29" s="20">
        <v>22120226</v>
      </c>
      <c r="B29" s="1" t="s">
        <v>94</v>
      </c>
      <c r="C29" s="8" t="s">
        <v>76</v>
      </c>
      <c r="D29" s="7">
        <v>7350057585856</v>
      </c>
      <c r="E29" s="7" t="s">
        <v>36</v>
      </c>
      <c r="F29" s="7" t="s">
        <v>50</v>
      </c>
      <c r="G29" s="7" t="s">
        <v>38</v>
      </c>
      <c r="H29" s="7" t="s">
        <v>92</v>
      </c>
      <c r="I29" s="7" t="s">
        <v>93</v>
      </c>
      <c r="J29" s="7" t="str">
        <f t="shared" si="0"/>
        <v>EUR</v>
      </c>
      <c r="K29" s="53">
        <f>IF($J$1="SEK / NOK",(VLOOKUP(A29,'RRP data'!A:C,3,FALSE)),(IF($J$1="DKK",(VLOOKUP('RRP data'!A29,'RRP data'!A:D,4,FALSE)),(IF($J$1="EUR",(VLOOKUP(A29,'RRP data'!A:E,5,FALSE)))))))</f>
        <v>299</v>
      </c>
      <c r="L29" s="7"/>
      <c r="M29" s="8">
        <v>1</v>
      </c>
      <c r="N29" s="8">
        <v>1</v>
      </c>
      <c r="P29" s="7" t="s">
        <v>41</v>
      </c>
      <c r="Q29" s="67">
        <v>94018000</v>
      </c>
      <c r="R29" s="8">
        <v>44</v>
      </c>
      <c r="S29" s="8">
        <v>61</v>
      </c>
      <c r="T29" s="8">
        <v>56</v>
      </c>
      <c r="U29" s="55">
        <v>9.8000000000000007</v>
      </c>
      <c r="V29" s="27">
        <v>46</v>
      </c>
      <c r="W29" s="27">
        <v>58</v>
      </c>
      <c r="X29" s="27">
        <v>66</v>
      </c>
      <c r="Y29" s="8">
        <v>11.6</v>
      </c>
      <c r="Z29" s="60">
        <f t="shared" si="1"/>
        <v>0.17608799999999999</v>
      </c>
      <c r="AA29" s="8" t="s">
        <v>42</v>
      </c>
    </row>
    <row r="30" spans="1:29" s="45" customFormat="1" ht="15.95" hidden="1" customHeight="1">
      <c r="A30" s="44">
        <v>22120102</v>
      </c>
      <c r="B30" s="45" t="s">
        <v>95</v>
      </c>
      <c r="C30" s="46" t="s">
        <v>35</v>
      </c>
      <c r="D30" s="47">
        <v>7350057582411</v>
      </c>
      <c r="E30" s="47" t="s">
        <v>77</v>
      </c>
      <c r="F30" s="47" t="s">
        <v>50</v>
      </c>
      <c r="G30" s="47" t="s">
        <v>38</v>
      </c>
      <c r="H30" s="47" t="s">
        <v>92</v>
      </c>
      <c r="I30" s="47" t="s">
        <v>93</v>
      </c>
      <c r="J30" s="47" t="str">
        <f t="shared" si="0"/>
        <v>EUR</v>
      </c>
      <c r="K30" s="7">
        <f>IF($J$1="SEK / NOK",(VLOOKUP(A30,'RRP data'!A:C,3,FALSE)),(IF($J$1="DKK",(VLOOKUP('RRP data'!A30,'RRP data'!A:D,4,FALSE)),(IF($J$1="EUR",(VLOOKUP(A30,'RRP data'!A:E,5,FALSE)))))))</f>
        <v>279</v>
      </c>
      <c r="L30" s="47"/>
      <c r="M30" s="46">
        <v>1</v>
      </c>
      <c r="N30" s="46">
        <v>1</v>
      </c>
      <c r="O30" s="46"/>
      <c r="P30" s="47" t="s">
        <v>41</v>
      </c>
      <c r="Q30" s="68">
        <v>94018000</v>
      </c>
      <c r="R30" s="46">
        <v>44</v>
      </c>
      <c r="S30" s="46">
        <v>61</v>
      </c>
      <c r="T30" s="46">
        <v>56</v>
      </c>
      <c r="U30" s="56">
        <v>9.8000000000000007</v>
      </c>
      <c r="V30" s="46">
        <v>46</v>
      </c>
      <c r="W30" s="46">
        <v>58</v>
      </c>
      <c r="X30" s="46">
        <v>66</v>
      </c>
      <c r="Y30" s="46">
        <v>11.6</v>
      </c>
      <c r="Z30" s="61">
        <f t="shared" si="1"/>
        <v>0.17608799999999999</v>
      </c>
      <c r="AA30" s="46" t="s">
        <v>42</v>
      </c>
      <c r="AB30" s="46"/>
      <c r="AC30" s="46"/>
    </row>
    <row r="31" spans="1:29" s="45" customFormat="1" ht="15.95" hidden="1" customHeight="1">
      <c r="A31" s="44">
        <v>22120103</v>
      </c>
      <c r="B31" s="45" t="s">
        <v>96</v>
      </c>
      <c r="C31" s="46" t="s">
        <v>44</v>
      </c>
      <c r="D31" s="47">
        <v>7350057582183</v>
      </c>
      <c r="E31" s="47" t="s">
        <v>77</v>
      </c>
      <c r="F31" s="47" t="s">
        <v>50</v>
      </c>
      <c r="G31" s="47" t="s">
        <v>38</v>
      </c>
      <c r="H31" s="47" t="s">
        <v>92</v>
      </c>
      <c r="I31" s="47" t="s">
        <v>93</v>
      </c>
      <c r="J31" s="47" t="str">
        <f t="shared" si="0"/>
        <v>EUR</v>
      </c>
      <c r="K31" s="7">
        <f>IF($J$1="SEK / NOK",(VLOOKUP(A31,'RRP data'!A:C,3,FALSE)),(IF($J$1="DKK",(VLOOKUP('RRP data'!A31,'RRP data'!A:D,4,FALSE)),(IF($J$1="EUR",(VLOOKUP(A31,'RRP data'!A:E,5,FALSE)))))))</f>
        <v>279</v>
      </c>
      <c r="L31" s="47"/>
      <c r="M31" s="46">
        <v>1</v>
      </c>
      <c r="N31" s="46">
        <v>1</v>
      </c>
      <c r="O31" s="46"/>
      <c r="P31" s="47" t="s">
        <v>41</v>
      </c>
      <c r="Q31" s="68">
        <v>94018000</v>
      </c>
      <c r="R31" s="46">
        <v>44</v>
      </c>
      <c r="S31" s="46">
        <v>61</v>
      </c>
      <c r="T31" s="46">
        <v>56</v>
      </c>
      <c r="U31" s="56">
        <v>9.8000000000000007</v>
      </c>
      <c r="V31" s="46">
        <v>46</v>
      </c>
      <c r="W31" s="46">
        <v>58</v>
      </c>
      <c r="X31" s="46">
        <v>66</v>
      </c>
      <c r="Y31" s="46">
        <v>11.6</v>
      </c>
      <c r="Z31" s="61">
        <f t="shared" si="1"/>
        <v>0.17608799999999999</v>
      </c>
      <c r="AA31" s="46" t="s">
        <v>42</v>
      </c>
      <c r="AB31" s="46"/>
      <c r="AC31" s="46"/>
    </row>
    <row r="32" spans="1:29" ht="15.95" hidden="1" customHeight="1">
      <c r="A32" s="20">
        <v>20040016</v>
      </c>
      <c r="B32" s="1" t="s">
        <v>97</v>
      </c>
      <c r="C32" s="8" t="s">
        <v>76</v>
      </c>
      <c r="D32" s="7">
        <v>7350057584514</v>
      </c>
      <c r="E32" s="7" t="s">
        <v>36</v>
      </c>
      <c r="F32" s="7" t="s">
        <v>37</v>
      </c>
      <c r="G32" s="7" t="s">
        <v>51</v>
      </c>
      <c r="H32" s="7" t="s">
        <v>39</v>
      </c>
      <c r="I32" s="7" t="s">
        <v>98</v>
      </c>
      <c r="J32" s="7" t="str">
        <f t="shared" si="0"/>
        <v>EUR</v>
      </c>
      <c r="K32" s="53">
        <f>IF($J$1="SEK / NOK",(VLOOKUP(A32,'RRP data'!A:C,3,FALSE)),(IF($J$1="DKK",(VLOOKUP('RRP data'!A32,'RRP data'!A:D,4,FALSE)),(IF($J$1="EUR",(VLOOKUP(A32,'RRP data'!A:E,5,FALSE)))))))</f>
        <v>175</v>
      </c>
      <c r="L32" s="7"/>
      <c r="M32" s="8">
        <v>1</v>
      </c>
      <c r="N32" s="8">
        <v>1</v>
      </c>
      <c r="P32" s="7" t="s">
        <v>41</v>
      </c>
      <c r="Q32" s="67">
        <v>94018000</v>
      </c>
      <c r="R32" s="8">
        <v>43</v>
      </c>
      <c r="S32" s="8">
        <v>54</v>
      </c>
      <c r="T32" s="8">
        <v>65</v>
      </c>
      <c r="U32" s="55">
        <v>3.7</v>
      </c>
      <c r="V32" s="27">
        <v>71</v>
      </c>
      <c r="W32" s="27">
        <v>44</v>
      </c>
      <c r="X32" s="27">
        <v>36</v>
      </c>
      <c r="Y32" s="8">
        <v>5.6</v>
      </c>
      <c r="Z32" s="60">
        <f t="shared" si="1"/>
        <v>0.11246399999999999</v>
      </c>
      <c r="AA32" s="8" t="s">
        <v>42</v>
      </c>
    </row>
    <row r="33" spans="1:27" ht="15.95" hidden="1" customHeight="1">
      <c r="A33" s="20">
        <v>20040017</v>
      </c>
      <c r="B33" s="1" t="s">
        <v>99</v>
      </c>
      <c r="C33" s="8" t="s">
        <v>79</v>
      </c>
      <c r="D33" s="7">
        <v>7350057584521</v>
      </c>
      <c r="E33" s="7" t="s">
        <v>36</v>
      </c>
      <c r="F33" s="7" t="s">
        <v>37</v>
      </c>
      <c r="G33" s="7" t="s">
        <v>51</v>
      </c>
      <c r="H33" s="7" t="s">
        <v>39</v>
      </c>
      <c r="I33" s="7" t="s">
        <v>98</v>
      </c>
      <c r="J33" s="7" t="str">
        <f t="shared" si="0"/>
        <v>EUR</v>
      </c>
      <c r="K33" s="53">
        <f>IF($J$1="SEK / NOK",(VLOOKUP(A33,'RRP data'!A:C,3,FALSE)),(IF($J$1="DKK",(VLOOKUP('RRP data'!A33,'RRP data'!A:D,4,FALSE)),(IF($J$1="EUR",(VLOOKUP(A33,'RRP data'!A:E,5,FALSE)))))))</f>
        <v>175</v>
      </c>
      <c r="L33" s="7"/>
      <c r="M33" s="8">
        <v>1</v>
      </c>
      <c r="N33" s="8">
        <v>1</v>
      </c>
      <c r="P33" s="7" t="s">
        <v>41</v>
      </c>
      <c r="Q33" s="67">
        <v>94018000</v>
      </c>
      <c r="R33" s="8">
        <v>43</v>
      </c>
      <c r="S33" s="8">
        <v>54</v>
      </c>
      <c r="T33" s="8">
        <v>65</v>
      </c>
      <c r="U33" s="55">
        <v>3.7</v>
      </c>
      <c r="V33" s="27">
        <v>71</v>
      </c>
      <c r="W33" s="27">
        <v>44</v>
      </c>
      <c r="X33" s="27">
        <v>36</v>
      </c>
      <c r="Y33" s="8">
        <v>5.6</v>
      </c>
      <c r="Z33" s="60">
        <f t="shared" si="1"/>
        <v>0.11246399999999999</v>
      </c>
      <c r="AA33" s="8" t="s">
        <v>42</v>
      </c>
    </row>
    <row r="34" spans="1:27" ht="15.95" hidden="1" customHeight="1">
      <c r="A34" s="20">
        <v>20040018</v>
      </c>
      <c r="B34" s="1" t="s">
        <v>100</v>
      </c>
      <c r="C34" s="8" t="s">
        <v>81</v>
      </c>
      <c r="D34" s="7">
        <v>7350057584538</v>
      </c>
      <c r="E34" s="7" t="s">
        <v>36</v>
      </c>
      <c r="F34" s="7" t="s">
        <v>37</v>
      </c>
      <c r="G34" s="7" t="s">
        <v>51</v>
      </c>
      <c r="H34" s="7" t="s">
        <v>39</v>
      </c>
      <c r="I34" s="7" t="s">
        <v>98</v>
      </c>
      <c r="J34" s="7" t="str">
        <f t="shared" si="0"/>
        <v>EUR</v>
      </c>
      <c r="K34" s="53">
        <f>IF($J$1="SEK / NOK",(VLOOKUP(A34,'RRP data'!A:C,3,FALSE)),(IF($J$1="DKK",(VLOOKUP('RRP data'!A34,'RRP data'!A:D,4,FALSE)),(IF($J$1="EUR",(VLOOKUP(A34,'RRP data'!A:E,5,FALSE)))))))</f>
        <v>175</v>
      </c>
      <c r="L34" s="7"/>
      <c r="M34" s="8">
        <v>1</v>
      </c>
      <c r="N34" s="8">
        <v>1</v>
      </c>
      <c r="P34" s="7" t="s">
        <v>41</v>
      </c>
      <c r="Q34" s="67">
        <v>94018000</v>
      </c>
      <c r="R34" s="8">
        <v>43</v>
      </c>
      <c r="S34" s="8">
        <v>54</v>
      </c>
      <c r="T34" s="8">
        <v>65</v>
      </c>
      <c r="U34" s="55">
        <v>3.7</v>
      </c>
      <c r="V34" s="27">
        <v>71</v>
      </c>
      <c r="W34" s="27">
        <v>44</v>
      </c>
      <c r="X34" s="27">
        <v>36</v>
      </c>
      <c r="Y34" s="8">
        <v>5.6</v>
      </c>
      <c r="Z34" s="60">
        <f t="shared" si="1"/>
        <v>0.11246399999999999</v>
      </c>
      <c r="AA34" s="8" t="s">
        <v>42</v>
      </c>
    </row>
    <row r="35" spans="1:27" ht="15.95" hidden="1" customHeight="1">
      <c r="A35" s="20">
        <v>20040019</v>
      </c>
      <c r="B35" s="1" t="s">
        <v>101</v>
      </c>
      <c r="C35" s="8" t="s">
        <v>83</v>
      </c>
      <c r="D35" s="7">
        <v>7350057584545</v>
      </c>
      <c r="E35" s="7" t="s">
        <v>36</v>
      </c>
      <c r="F35" s="7" t="s">
        <v>37</v>
      </c>
      <c r="G35" s="7" t="s">
        <v>51</v>
      </c>
      <c r="H35" s="7" t="s">
        <v>39</v>
      </c>
      <c r="I35" s="7" t="s">
        <v>98</v>
      </c>
      <c r="J35" s="7" t="str">
        <f t="shared" ref="J35:J66" si="2">$J$1</f>
        <v>EUR</v>
      </c>
      <c r="K35" s="53">
        <f>IF($J$1="SEK / NOK",(VLOOKUP(A35,'RRP data'!A:C,3,FALSE)),(IF($J$1="DKK",(VLOOKUP('RRP data'!A35,'RRP data'!A:D,4,FALSE)),(IF($J$1="EUR",(VLOOKUP(A35,'RRP data'!A:E,5,FALSE)))))))</f>
        <v>175</v>
      </c>
      <c r="L35" s="7"/>
      <c r="M35" s="8">
        <v>1</v>
      </c>
      <c r="N35" s="8">
        <v>1</v>
      </c>
      <c r="P35" s="7" t="s">
        <v>41</v>
      </c>
      <c r="Q35" s="67">
        <v>94018000</v>
      </c>
      <c r="R35" s="8">
        <v>43</v>
      </c>
      <c r="S35" s="8">
        <v>54</v>
      </c>
      <c r="T35" s="8">
        <v>65</v>
      </c>
      <c r="U35" s="55">
        <v>3.7</v>
      </c>
      <c r="V35" s="27">
        <v>71</v>
      </c>
      <c r="W35" s="27">
        <v>44</v>
      </c>
      <c r="X35" s="27">
        <v>36</v>
      </c>
      <c r="Y35" s="8">
        <v>5.6</v>
      </c>
      <c r="Z35" s="60">
        <f t="shared" ref="Z35:Z66" si="3">PRODUCT(V35:X35)/1000000</f>
        <v>0.11246399999999999</v>
      </c>
      <c r="AA35" s="8" t="s">
        <v>42</v>
      </c>
    </row>
    <row r="36" spans="1:27" ht="15.95" hidden="1" customHeight="1">
      <c r="A36" s="20">
        <v>20040020</v>
      </c>
      <c r="B36" s="1" t="s">
        <v>102</v>
      </c>
      <c r="C36" s="8" t="s">
        <v>85</v>
      </c>
      <c r="D36" s="7">
        <v>7350057584552</v>
      </c>
      <c r="E36" s="7" t="s">
        <v>36</v>
      </c>
      <c r="F36" s="7" t="s">
        <v>37</v>
      </c>
      <c r="G36" s="7" t="s">
        <v>51</v>
      </c>
      <c r="H36" s="7" t="s">
        <v>39</v>
      </c>
      <c r="I36" s="7" t="s">
        <v>98</v>
      </c>
      <c r="J36" s="7" t="str">
        <f t="shared" si="2"/>
        <v>EUR</v>
      </c>
      <c r="K36" s="53">
        <f>IF($J$1="SEK / NOK",(VLOOKUP(A36,'RRP data'!A:C,3,FALSE)),(IF($J$1="DKK",(VLOOKUP('RRP data'!A36,'RRP data'!A:D,4,FALSE)),(IF($J$1="EUR",(VLOOKUP(A36,'RRP data'!A:E,5,FALSE)))))))</f>
        <v>175</v>
      </c>
      <c r="L36" s="7"/>
      <c r="M36" s="8">
        <v>1</v>
      </c>
      <c r="N36" s="8">
        <v>1</v>
      </c>
      <c r="P36" s="7" t="s">
        <v>41</v>
      </c>
      <c r="Q36" s="67">
        <v>94018000</v>
      </c>
      <c r="R36" s="8">
        <v>43</v>
      </c>
      <c r="S36" s="8">
        <v>54</v>
      </c>
      <c r="T36" s="8">
        <v>65</v>
      </c>
      <c r="U36" s="55">
        <v>3.7</v>
      </c>
      <c r="V36" s="27">
        <v>71</v>
      </c>
      <c r="W36" s="27">
        <v>44</v>
      </c>
      <c r="X36" s="27">
        <v>36</v>
      </c>
      <c r="Y36" s="8">
        <v>5.6</v>
      </c>
      <c r="Z36" s="60">
        <f t="shared" si="3"/>
        <v>0.11246399999999999</v>
      </c>
      <c r="AA36" s="8" t="s">
        <v>42</v>
      </c>
    </row>
    <row r="37" spans="1:27" ht="15.95" hidden="1" customHeight="1">
      <c r="A37" s="20">
        <v>20040021</v>
      </c>
      <c r="B37" s="1" t="s">
        <v>103</v>
      </c>
      <c r="C37" s="8" t="s">
        <v>104</v>
      </c>
      <c r="D37" s="7">
        <v>7350057584569</v>
      </c>
      <c r="E37" s="7" t="s">
        <v>36</v>
      </c>
      <c r="F37" s="7" t="s">
        <v>37</v>
      </c>
      <c r="G37" s="7" t="s">
        <v>51</v>
      </c>
      <c r="H37" s="7" t="s">
        <v>39</v>
      </c>
      <c r="I37" s="7" t="s">
        <v>98</v>
      </c>
      <c r="J37" s="7" t="str">
        <f t="shared" si="2"/>
        <v>EUR</v>
      </c>
      <c r="K37" s="53">
        <f>IF($J$1="SEK / NOK",(VLOOKUP(A37,'RRP data'!A:C,3,FALSE)),(IF($J$1="DKK",(VLOOKUP('RRP data'!A37,'RRP data'!A:D,4,FALSE)),(IF($J$1="EUR",(VLOOKUP(A37,'RRP data'!A:E,5,FALSE)))))))</f>
        <v>175</v>
      </c>
      <c r="L37" s="7"/>
      <c r="M37" s="8">
        <v>1</v>
      </c>
      <c r="N37" s="8">
        <v>1</v>
      </c>
      <c r="P37" s="7" t="s">
        <v>41</v>
      </c>
      <c r="Q37" s="67">
        <v>94018000</v>
      </c>
      <c r="R37" s="8">
        <v>43</v>
      </c>
      <c r="S37" s="8">
        <v>54</v>
      </c>
      <c r="T37" s="8">
        <v>65</v>
      </c>
      <c r="U37" s="55">
        <v>3.7</v>
      </c>
      <c r="V37" s="27">
        <v>71</v>
      </c>
      <c r="W37" s="27">
        <v>44</v>
      </c>
      <c r="X37" s="27">
        <v>36</v>
      </c>
      <c r="Y37" s="8">
        <v>5.6</v>
      </c>
      <c r="Z37" s="60">
        <f t="shared" si="3"/>
        <v>0.11246399999999999</v>
      </c>
      <c r="AA37" s="8" t="s">
        <v>42</v>
      </c>
    </row>
    <row r="38" spans="1:27" ht="15.95" hidden="1" customHeight="1">
      <c r="A38" s="20">
        <v>20040022</v>
      </c>
      <c r="B38" s="1" t="s">
        <v>105</v>
      </c>
      <c r="C38" s="8" t="s">
        <v>88</v>
      </c>
      <c r="D38" s="7">
        <v>7350057584576</v>
      </c>
      <c r="E38" s="7" t="s">
        <v>36</v>
      </c>
      <c r="F38" s="7" t="s">
        <v>37</v>
      </c>
      <c r="G38" s="7" t="s">
        <v>51</v>
      </c>
      <c r="H38" s="7" t="s">
        <v>39</v>
      </c>
      <c r="I38" s="7" t="s">
        <v>98</v>
      </c>
      <c r="J38" s="7" t="str">
        <f t="shared" si="2"/>
        <v>EUR</v>
      </c>
      <c r="K38" s="53">
        <f>IF($J$1="SEK / NOK",(VLOOKUP(A38,'RRP data'!A:C,3,FALSE)),(IF($J$1="DKK",(VLOOKUP('RRP data'!A38,'RRP data'!A:D,4,FALSE)),(IF($J$1="EUR",(VLOOKUP(A38,'RRP data'!A:E,5,FALSE)))))))</f>
        <v>175</v>
      </c>
      <c r="L38" s="7"/>
      <c r="M38" s="8">
        <v>1</v>
      </c>
      <c r="N38" s="8">
        <v>1</v>
      </c>
      <c r="P38" s="7" t="s">
        <v>41</v>
      </c>
      <c r="Q38" s="67">
        <v>94018000</v>
      </c>
      <c r="R38" s="8">
        <v>43</v>
      </c>
      <c r="S38" s="8">
        <v>54</v>
      </c>
      <c r="T38" s="8">
        <v>65</v>
      </c>
      <c r="U38" s="55">
        <v>3.7</v>
      </c>
      <c r="V38" s="27">
        <v>71</v>
      </c>
      <c r="W38" s="27">
        <v>44</v>
      </c>
      <c r="X38" s="27">
        <v>36</v>
      </c>
      <c r="Y38" s="8">
        <v>5.6</v>
      </c>
      <c r="Z38" s="60">
        <f t="shared" si="3"/>
        <v>0.11246399999999999</v>
      </c>
      <c r="AA38" s="8" t="s">
        <v>42</v>
      </c>
    </row>
    <row r="39" spans="1:27" ht="15.95" hidden="1" customHeight="1">
      <c r="A39" s="20">
        <v>20040023</v>
      </c>
      <c r="B39" s="1" t="s">
        <v>106</v>
      </c>
      <c r="C39" s="8" t="s">
        <v>90</v>
      </c>
      <c r="D39" s="7">
        <v>7350057584583</v>
      </c>
      <c r="E39" s="7" t="s">
        <v>36</v>
      </c>
      <c r="F39" s="7" t="s">
        <v>37</v>
      </c>
      <c r="G39" s="7" t="s">
        <v>51</v>
      </c>
      <c r="H39" s="7" t="s">
        <v>39</v>
      </c>
      <c r="I39" s="7" t="s">
        <v>98</v>
      </c>
      <c r="J39" s="7" t="str">
        <f t="shared" si="2"/>
        <v>EUR</v>
      </c>
      <c r="K39" s="53">
        <f>IF($J$1="SEK / NOK",(VLOOKUP(A39,'RRP data'!A:C,3,FALSE)),(IF($J$1="DKK",(VLOOKUP('RRP data'!A39,'RRP data'!A:D,4,FALSE)),(IF($J$1="EUR",(VLOOKUP(A39,'RRP data'!A:E,5,FALSE)))))))</f>
        <v>175</v>
      </c>
      <c r="L39" s="7"/>
      <c r="M39" s="8">
        <v>1</v>
      </c>
      <c r="N39" s="8">
        <v>1</v>
      </c>
      <c r="P39" s="7" t="s">
        <v>41</v>
      </c>
      <c r="Q39" s="67">
        <v>94018000</v>
      </c>
      <c r="R39" s="8">
        <v>43</v>
      </c>
      <c r="S39" s="8">
        <v>54</v>
      </c>
      <c r="T39" s="8">
        <v>65</v>
      </c>
      <c r="U39" s="55">
        <v>3.7</v>
      </c>
      <c r="V39" s="27">
        <v>71</v>
      </c>
      <c r="W39" s="27">
        <v>44</v>
      </c>
      <c r="X39" s="27">
        <v>36</v>
      </c>
      <c r="Y39" s="8">
        <v>5.6</v>
      </c>
      <c r="Z39" s="60">
        <f t="shared" si="3"/>
        <v>0.11246399999999999</v>
      </c>
      <c r="AA39" s="8" t="s">
        <v>42</v>
      </c>
    </row>
    <row r="40" spans="1:27" ht="15.95" hidden="1" customHeight="1">
      <c r="A40" s="20">
        <v>24100016</v>
      </c>
      <c r="B40" s="1" t="s">
        <v>107</v>
      </c>
      <c r="C40" s="8" t="s">
        <v>76</v>
      </c>
      <c r="D40" s="7">
        <v>7350057584439</v>
      </c>
      <c r="E40" s="7" t="s">
        <v>36</v>
      </c>
      <c r="F40" s="7" t="s">
        <v>50</v>
      </c>
      <c r="G40" s="7" t="s">
        <v>51</v>
      </c>
      <c r="H40" s="7" t="s">
        <v>108</v>
      </c>
      <c r="I40" s="7" t="s">
        <v>109</v>
      </c>
      <c r="J40" s="7" t="str">
        <f t="shared" si="2"/>
        <v>EUR</v>
      </c>
      <c r="K40" s="53">
        <f>IF($J$1="SEK / NOK",(VLOOKUP(A40,'RRP data'!A:C,3,FALSE)),(IF($J$1="DKK",(VLOOKUP('RRP data'!A40,'RRP data'!A:D,4,FALSE)),(IF($J$1="EUR",(VLOOKUP(A40,'RRP data'!A:E,5,FALSE)))))))</f>
        <v>275</v>
      </c>
      <c r="L40" s="7"/>
      <c r="M40" s="8">
        <v>1</v>
      </c>
      <c r="N40" s="8">
        <v>1</v>
      </c>
      <c r="P40" s="7" t="s">
        <v>41</v>
      </c>
      <c r="Q40" s="67">
        <v>94018000</v>
      </c>
      <c r="R40" s="8">
        <v>43</v>
      </c>
      <c r="S40" s="8">
        <v>62</v>
      </c>
      <c r="T40" s="8">
        <v>52</v>
      </c>
      <c r="U40" s="55">
        <v>7.5</v>
      </c>
      <c r="V40" s="27">
        <v>71</v>
      </c>
      <c r="W40" s="27">
        <v>47</v>
      </c>
      <c r="X40" s="27">
        <v>44</v>
      </c>
      <c r="Y40" s="8">
        <v>10.5</v>
      </c>
      <c r="Z40" s="60">
        <f t="shared" si="3"/>
        <v>0.14682799999999999</v>
      </c>
      <c r="AA40" s="8" t="s">
        <v>42</v>
      </c>
    </row>
    <row r="41" spans="1:27" ht="15.95" hidden="1" customHeight="1">
      <c r="A41" s="20">
        <v>24100017</v>
      </c>
      <c r="B41" s="1" t="s">
        <v>110</v>
      </c>
      <c r="C41" s="8" t="s">
        <v>79</v>
      </c>
      <c r="D41" s="7">
        <v>7350057584446</v>
      </c>
      <c r="E41" s="7" t="s">
        <v>36</v>
      </c>
      <c r="F41" s="7" t="s">
        <v>50</v>
      </c>
      <c r="G41" s="7" t="s">
        <v>51</v>
      </c>
      <c r="H41" s="7" t="s">
        <v>108</v>
      </c>
      <c r="I41" s="7" t="s">
        <v>109</v>
      </c>
      <c r="J41" s="7" t="str">
        <f t="shared" si="2"/>
        <v>EUR</v>
      </c>
      <c r="K41" s="53">
        <f>IF($J$1="SEK / NOK",(VLOOKUP(A41,'RRP data'!A:C,3,FALSE)),(IF($J$1="DKK",(VLOOKUP('RRP data'!A41,'RRP data'!A:D,4,FALSE)),(IF($J$1="EUR",(VLOOKUP(A41,'RRP data'!A:E,5,FALSE)))))))</f>
        <v>275</v>
      </c>
      <c r="L41" s="7"/>
      <c r="M41" s="8">
        <v>1</v>
      </c>
      <c r="N41" s="8">
        <v>1</v>
      </c>
      <c r="P41" s="7" t="s">
        <v>41</v>
      </c>
      <c r="Q41" s="67">
        <v>94018000</v>
      </c>
      <c r="R41" s="8">
        <v>43</v>
      </c>
      <c r="S41" s="8">
        <v>62</v>
      </c>
      <c r="T41" s="8">
        <v>52</v>
      </c>
      <c r="U41" s="55">
        <v>7.5</v>
      </c>
      <c r="V41" s="27">
        <v>71</v>
      </c>
      <c r="W41" s="27">
        <v>47</v>
      </c>
      <c r="X41" s="27">
        <v>44</v>
      </c>
      <c r="Y41" s="8">
        <v>10.5</v>
      </c>
      <c r="Z41" s="60">
        <f t="shared" si="3"/>
        <v>0.14682799999999999</v>
      </c>
      <c r="AA41" s="8" t="s">
        <v>42</v>
      </c>
    </row>
    <row r="42" spans="1:27" ht="15.95" hidden="1" customHeight="1">
      <c r="A42" s="20">
        <v>24100018</v>
      </c>
      <c r="B42" s="1" t="s">
        <v>111</v>
      </c>
      <c r="C42" s="8" t="s">
        <v>81</v>
      </c>
      <c r="D42" s="7">
        <v>7350057584453</v>
      </c>
      <c r="E42" s="7" t="s">
        <v>36</v>
      </c>
      <c r="F42" s="7" t="s">
        <v>50</v>
      </c>
      <c r="G42" s="7" t="s">
        <v>51</v>
      </c>
      <c r="H42" s="7" t="s">
        <v>108</v>
      </c>
      <c r="I42" s="7" t="s">
        <v>109</v>
      </c>
      <c r="J42" s="7" t="str">
        <f t="shared" si="2"/>
        <v>EUR</v>
      </c>
      <c r="K42" s="53">
        <f>IF($J$1="SEK / NOK",(VLOOKUP(A42,'RRP data'!A:C,3,FALSE)),(IF($J$1="DKK",(VLOOKUP('RRP data'!A42,'RRP data'!A:D,4,FALSE)),(IF($J$1="EUR",(VLOOKUP(A42,'RRP data'!A:E,5,FALSE)))))))</f>
        <v>275</v>
      </c>
      <c r="L42" s="7"/>
      <c r="M42" s="8">
        <v>1</v>
      </c>
      <c r="N42" s="8">
        <v>1</v>
      </c>
      <c r="P42" s="7" t="s">
        <v>41</v>
      </c>
      <c r="Q42" s="67">
        <v>94018000</v>
      </c>
      <c r="R42" s="8">
        <v>43</v>
      </c>
      <c r="S42" s="8">
        <v>62</v>
      </c>
      <c r="T42" s="8">
        <v>52</v>
      </c>
      <c r="U42" s="55">
        <v>7.5</v>
      </c>
      <c r="V42" s="27">
        <v>71</v>
      </c>
      <c r="W42" s="27">
        <v>47</v>
      </c>
      <c r="X42" s="27">
        <v>44</v>
      </c>
      <c r="Y42" s="8">
        <v>10.5</v>
      </c>
      <c r="Z42" s="60">
        <f t="shared" si="3"/>
        <v>0.14682799999999999</v>
      </c>
      <c r="AA42" s="8" t="s">
        <v>42</v>
      </c>
    </row>
    <row r="43" spans="1:27" ht="15.95" hidden="1" customHeight="1">
      <c r="A43" s="20">
        <v>24100019</v>
      </c>
      <c r="B43" s="1" t="s">
        <v>112</v>
      </c>
      <c r="C43" s="8" t="s">
        <v>83</v>
      </c>
      <c r="D43" s="7">
        <v>7350057584460</v>
      </c>
      <c r="E43" s="7" t="s">
        <v>36</v>
      </c>
      <c r="F43" s="7" t="s">
        <v>50</v>
      </c>
      <c r="G43" s="7" t="s">
        <v>51</v>
      </c>
      <c r="H43" s="7" t="s">
        <v>108</v>
      </c>
      <c r="I43" s="7" t="s">
        <v>109</v>
      </c>
      <c r="J43" s="7" t="str">
        <f t="shared" si="2"/>
        <v>EUR</v>
      </c>
      <c r="K43" s="53">
        <f>IF($J$1="SEK / NOK",(VLOOKUP(A43,'RRP data'!A:C,3,FALSE)),(IF($J$1="DKK",(VLOOKUP('RRP data'!A43,'RRP data'!A:D,4,FALSE)),(IF($J$1="EUR",(VLOOKUP(A43,'RRP data'!A:E,5,FALSE)))))))</f>
        <v>275</v>
      </c>
      <c r="L43" s="7"/>
      <c r="M43" s="8">
        <v>1</v>
      </c>
      <c r="N43" s="8">
        <v>1</v>
      </c>
      <c r="P43" s="7" t="s">
        <v>41</v>
      </c>
      <c r="Q43" s="67">
        <v>94018000</v>
      </c>
      <c r="R43" s="8">
        <v>43</v>
      </c>
      <c r="S43" s="8">
        <v>62</v>
      </c>
      <c r="T43" s="8">
        <v>52</v>
      </c>
      <c r="U43" s="55">
        <v>7.5</v>
      </c>
      <c r="V43" s="27">
        <v>71</v>
      </c>
      <c r="W43" s="27">
        <v>47</v>
      </c>
      <c r="X43" s="27">
        <v>44</v>
      </c>
      <c r="Y43" s="8">
        <v>10.5</v>
      </c>
      <c r="Z43" s="60">
        <f t="shared" si="3"/>
        <v>0.14682799999999999</v>
      </c>
      <c r="AA43" s="8" t="s">
        <v>42</v>
      </c>
    </row>
    <row r="44" spans="1:27" ht="15.95" hidden="1" customHeight="1">
      <c r="A44" s="20">
        <v>24100020</v>
      </c>
      <c r="B44" s="1" t="s">
        <v>113</v>
      </c>
      <c r="C44" s="8" t="s">
        <v>85</v>
      </c>
      <c r="D44" s="7">
        <v>7350057584477</v>
      </c>
      <c r="E44" s="7" t="s">
        <v>36</v>
      </c>
      <c r="F44" s="7" t="s">
        <v>50</v>
      </c>
      <c r="G44" s="7" t="s">
        <v>51</v>
      </c>
      <c r="H44" s="7" t="s">
        <v>108</v>
      </c>
      <c r="I44" s="7" t="s">
        <v>109</v>
      </c>
      <c r="J44" s="7" t="str">
        <f t="shared" si="2"/>
        <v>EUR</v>
      </c>
      <c r="K44" s="53">
        <f>IF($J$1="SEK / NOK",(VLOOKUP(A44,'RRP data'!A:C,3,FALSE)),(IF($J$1="DKK",(VLOOKUP('RRP data'!A44,'RRP data'!A:D,4,FALSE)),(IF($J$1="EUR",(VLOOKUP(A44,'RRP data'!A:E,5,FALSE)))))))</f>
        <v>275</v>
      </c>
      <c r="L44" s="7"/>
      <c r="M44" s="8">
        <v>1</v>
      </c>
      <c r="N44" s="8">
        <v>1</v>
      </c>
      <c r="P44" s="7" t="s">
        <v>41</v>
      </c>
      <c r="Q44" s="67">
        <v>94018000</v>
      </c>
      <c r="R44" s="8">
        <v>43</v>
      </c>
      <c r="S44" s="8">
        <v>62</v>
      </c>
      <c r="T44" s="8">
        <v>52</v>
      </c>
      <c r="U44" s="55">
        <v>7.5</v>
      </c>
      <c r="V44" s="27">
        <v>71</v>
      </c>
      <c r="W44" s="27">
        <v>47</v>
      </c>
      <c r="X44" s="27">
        <v>44</v>
      </c>
      <c r="Y44" s="8">
        <v>10.5</v>
      </c>
      <c r="Z44" s="60">
        <f t="shared" si="3"/>
        <v>0.14682799999999999</v>
      </c>
      <c r="AA44" s="8" t="s">
        <v>42</v>
      </c>
    </row>
    <row r="45" spans="1:27" ht="15.95" hidden="1" customHeight="1">
      <c r="A45" s="20">
        <v>24100021</v>
      </c>
      <c r="B45" s="1" t="s">
        <v>114</v>
      </c>
      <c r="C45" s="8" t="s">
        <v>104</v>
      </c>
      <c r="D45" s="7">
        <v>7350057584484</v>
      </c>
      <c r="E45" s="7" t="s">
        <v>36</v>
      </c>
      <c r="F45" s="7" t="s">
        <v>50</v>
      </c>
      <c r="G45" s="7" t="s">
        <v>51</v>
      </c>
      <c r="H45" s="7" t="s">
        <v>108</v>
      </c>
      <c r="I45" s="7" t="s">
        <v>109</v>
      </c>
      <c r="J45" s="7" t="str">
        <f t="shared" si="2"/>
        <v>EUR</v>
      </c>
      <c r="K45" s="53">
        <f>IF($J$1="SEK / NOK",(VLOOKUP(A45,'RRP data'!A:C,3,FALSE)),(IF($J$1="DKK",(VLOOKUP('RRP data'!A45,'RRP data'!A:D,4,FALSE)),(IF($J$1="EUR",(VLOOKUP(A45,'RRP data'!A:E,5,FALSE)))))))</f>
        <v>275</v>
      </c>
      <c r="L45" s="7"/>
      <c r="M45" s="8">
        <v>1</v>
      </c>
      <c r="N45" s="8">
        <v>1</v>
      </c>
      <c r="P45" s="7" t="s">
        <v>41</v>
      </c>
      <c r="Q45" s="67">
        <v>94018000</v>
      </c>
      <c r="R45" s="8">
        <v>43</v>
      </c>
      <c r="S45" s="8">
        <v>62</v>
      </c>
      <c r="T45" s="8">
        <v>52</v>
      </c>
      <c r="U45" s="55">
        <v>7.5</v>
      </c>
      <c r="V45" s="27">
        <v>71</v>
      </c>
      <c r="W45" s="27">
        <v>47</v>
      </c>
      <c r="X45" s="27">
        <v>44</v>
      </c>
      <c r="Y45" s="8">
        <v>10.5</v>
      </c>
      <c r="Z45" s="60">
        <f t="shared" si="3"/>
        <v>0.14682799999999999</v>
      </c>
      <c r="AA45" s="8" t="s">
        <v>42</v>
      </c>
    </row>
    <row r="46" spans="1:27" ht="15.95" hidden="1" customHeight="1">
      <c r="A46" s="20">
        <v>24100022</v>
      </c>
      <c r="B46" s="1" t="s">
        <v>115</v>
      </c>
      <c r="C46" s="8" t="s">
        <v>88</v>
      </c>
      <c r="D46" s="7">
        <v>7350057584491</v>
      </c>
      <c r="E46" s="7" t="s">
        <v>36</v>
      </c>
      <c r="F46" s="7" t="s">
        <v>50</v>
      </c>
      <c r="G46" s="7" t="s">
        <v>51</v>
      </c>
      <c r="H46" s="7" t="s">
        <v>108</v>
      </c>
      <c r="I46" s="7" t="s">
        <v>109</v>
      </c>
      <c r="J46" s="7" t="str">
        <f t="shared" si="2"/>
        <v>EUR</v>
      </c>
      <c r="K46" s="53">
        <f>IF($J$1="SEK / NOK",(VLOOKUP(A46,'RRP data'!A:C,3,FALSE)),(IF($J$1="DKK",(VLOOKUP('RRP data'!A46,'RRP data'!A:D,4,FALSE)),(IF($J$1="EUR",(VLOOKUP(A46,'RRP data'!A:E,5,FALSE)))))))</f>
        <v>275</v>
      </c>
      <c r="L46" s="7"/>
      <c r="M46" s="8">
        <v>1</v>
      </c>
      <c r="N46" s="8">
        <v>1</v>
      </c>
      <c r="P46" s="7" t="s">
        <v>41</v>
      </c>
      <c r="Q46" s="67">
        <v>94018000</v>
      </c>
      <c r="R46" s="8" t="s">
        <v>116</v>
      </c>
      <c r="S46" s="8">
        <v>62</v>
      </c>
      <c r="T46" s="8">
        <v>52</v>
      </c>
      <c r="U46" s="55">
        <v>7.5</v>
      </c>
      <c r="V46" s="27">
        <v>71</v>
      </c>
      <c r="W46" s="27">
        <v>47</v>
      </c>
      <c r="X46" s="27">
        <v>44</v>
      </c>
      <c r="Y46" s="8">
        <v>10.5</v>
      </c>
      <c r="Z46" s="60">
        <f t="shared" si="3"/>
        <v>0.14682799999999999</v>
      </c>
      <c r="AA46" s="8" t="s">
        <v>42</v>
      </c>
    </row>
    <row r="47" spans="1:27" ht="15.95" hidden="1" customHeight="1">
      <c r="A47" s="20">
        <v>24100023</v>
      </c>
      <c r="B47" s="1" t="s">
        <v>117</v>
      </c>
      <c r="C47" s="8" t="s">
        <v>90</v>
      </c>
      <c r="D47" s="7">
        <v>7350057584507</v>
      </c>
      <c r="E47" s="7" t="s">
        <v>36</v>
      </c>
      <c r="F47" s="7" t="s">
        <v>50</v>
      </c>
      <c r="G47" s="7" t="s">
        <v>51</v>
      </c>
      <c r="H47" s="7" t="s">
        <v>108</v>
      </c>
      <c r="I47" s="7" t="s">
        <v>109</v>
      </c>
      <c r="J47" s="7" t="str">
        <f t="shared" si="2"/>
        <v>EUR</v>
      </c>
      <c r="K47" s="53">
        <f>IF($J$1="SEK / NOK",(VLOOKUP(A47,'RRP data'!A:C,3,FALSE)),(IF($J$1="DKK",(VLOOKUP('RRP data'!A47,'RRP data'!A:D,4,FALSE)),(IF($J$1="EUR",(VLOOKUP(A47,'RRP data'!A:E,5,FALSE)))))))</f>
        <v>275</v>
      </c>
      <c r="L47" s="7"/>
      <c r="M47" s="8">
        <v>1</v>
      </c>
      <c r="N47" s="8">
        <v>1</v>
      </c>
      <c r="P47" s="7" t="s">
        <v>41</v>
      </c>
      <c r="Q47" s="67">
        <v>94018000</v>
      </c>
      <c r="R47" s="8">
        <v>43</v>
      </c>
      <c r="S47" s="8">
        <v>62</v>
      </c>
      <c r="T47" s="8">
        <v>52</v>
      </c>
      <c r="U47" s="55">
        <v>7.5</v>
      </c>
      <c r="V47" s="27">
        <v>71</v>
      </c>
      <c r="W47" s="27">
        <v>47</v>
      </c>
      <c r="X47" s="27">
        <v>44</v>
      </c>
      <c r="Y47" s="8">
        <v>10.5</v>
      </c>
      <c r="Z47" s="60">
        <f t="shared" si="3"/>
        <v>0.14682799999999999</v>
      </c>
      <c r="AA47" s="8" t="s">
        <v>42</v>
      </c>
    </row>
    <row r="48" spans="1:27" ht="15.95" hidden="1" customHeight="1">
      <c r="A48" s="20">
        <v>21020003</v>
      </c>
      <c r="B48" s="1" t="s">
        <v>118</v>
      </c>
      <c r="C48" s="8" t="s">
        <v>44</v>
      </c>
      <c r="D48" s="7">
        <v>7350057582732</v>
      </c>
      <c r="E48" s="7" t="s">
        <v>36</v>
      </c>
      <c r="F48" s="7" t="s">
        <v>46</v>
      </c>
      <c r="G48" s="7" t="s">
        <v>51</v>
      </c>
      <c r="H48" s="7" t="s">
        <v>47</v>
      </c>
      <c r="I48" s="7" t="s">
        <v>47</v>
      </c>
      <c r="J48" s="7" t="str">
        <f t="shared" si="2"/>
        <v>EUR</v>
      </c>
      <c r="K48" s="53">
        <f>IF($J$1="SEK / NOK",(VLOOKUP(A48,'RRP data'!A:C,3,FALSE)),(IF($J$1="DKK",(VLOOKUP('RRP data'!A48,'RRP data'!A:D,4,FALSE)),(IF($J$1="EUR",(VLOOKUP(A48,'RRP data'!A:E,5,FALSE)))))))</f>
        <v>100</v>
      </c>
      <c r="L48" s="7"/>
      <c r="M48" s="8">
        <v>1</v>
      </c>
      <c r="N48" s="8">
        <v>1</v>
      </c>
      <c r="P48" s="7" t="s">
        <v>41</v>
      </c>
      <c r="Q48" s="67">
        <v>94018000</v>
      </c>
      <c r="R48" s="8">
        <v>43</v>
      </c>
      <c r="S48" s="8">
        <v>30</v>
      </c>
      <c r="T48" s="8">
        <v>65</v>
      </c>
      <c r="U48" s="55">
        <v>7</v>
      </c>
      <c r="V48" s="27">
        <v>61</v>
      </c>
      <c r="W48" s="27">
        <v>39</v>
      </c>
      <c r="X48" s="27">
        <v>23</v>
      </c>
      <c r="Y48" s="8">
        <v>8.8000000000000007</v>
      </c>
      <c r="Z48" s="60">
        <f t="shared" si="3"/>
        <v>5.4717000000000002E-2</v>
      </c>
      <c r="AA48" s="8" t="s">
        <v>42</v>
      </c>
    </row>
    <row r="49" spans="1:29" ht="15.95" hidden="1" customHeight="1">
      <c r="A49" s="20">
        <v>25110116</v>
      </c>
      <c r="B49" s="1" t="s">
        <v>119</v>
      </c>
      <c r="C49" s="8" t="s">
        <v>49</v>
      </c>
      <c r="D49" s="7">
        <v>7350057586648</v>
      </c>
      <c r="E49" s="7" t="s">
        <v>36</v>
      </c>
      <c r="F49" s="7" t="s">
        <v>50</v>
      </c>
      <c r="G49" s="7" t="s">
        <v>51</v>
      </c>
      <c r="H49" s="7" t="s">
        <v>120</v>
      </c>
      <c r="I49" s="7" t="s">
        <v>121</v>
      </c>
      <c r="J49" s="7" t="str">
        <f t="shared" si="2"/>
        <v>EUR</v>
      </c>
      <c r="K49" s="53">
        <f>IF($J$1="SEK / NOK",(VLOOKUP(A49,'RRP data'!A:C,3,FALSE)),(IF($J$1="DKK",(VLOOKUP('RRP data'!A49,'RRP data'!A:D,4,FALSE)),(IF($J$1="EUR",(VLOOKUP(A49,'RRP data'!A:E,5,FALSE)))))))</f>
        <v>799</v>
      </c>
      <c r="L49" s="7"/>
      <c r="M49" s="8">
        <v>1</v>
      </c>
      <c r="N49" s="8">
        <v>1</v>
      </c>
      <c r="P49" s="7" t="s">
        <v>41</v>
      </c>
      <c r="Q49" s="67">
        <v>94018000</v>
      </c>
      <c r="R49" s="8">
        <v>44</v>
      </c>
      <c r="S49" s="8">
        <v>76</v>
      </c>
      <c r="T49" s="8">
        <v>54</v>
      </c>
      <c r="U49" s="55">
        <v>9.99</v>
      </c>
      <c r="V49" s="27">
        <v>87</v>
      </c>
      <c r="W49" s="27">
        <v>46</v>
      </c>
      <c r="X49" s="27">
        <v>52</v>
      </c>
      <c r="Y49" s="8">
        <v>16.3</v>
      </c>
      <c r="Z49" s="60">
        <f t="shared" si="3"/>
        <v>0.20810400000000001</v>
      </c>
      <c r="AA49" s="8" t="s">
        <v>42</v>
      </c>
    </row>
    <row r="50" spans="1:29" ht="15.95" hidden="1" customHeight="1">
      <c r="A50" s="20">
        <v>25110121</v>
      </c>
      <c r="B50" s="1" t="s">
        <v>122</v>
      </c>
      <c r="C50" s="8" t="s">
        <v>66</v>
      </c>
      <c r="D50" s="7">
        <v>7350057586655</v>
      </c>
      <c r="E50" s="7" t="s">
        <v>36</v>
      </c>
      <c r="F50" s="7" t="s">
        <v>50</v>
      </c>
      <c r="G50" s="7" t="s">
        <v>51</v>
      </c>
      <c r="H50" s="7" t="s">
        <v>120</v>
      </c>
      <c r="I50" s="7" t="s">
        <v>121</v>
      </c>
      <c r="J50" s="7" t="str">
        <f t="shared" si="2"/>
        <v>EUR</v>
      </c>
      <c r="K50" s="53">
        <f>IF($J$1="SEK / NOK",(VLOOKUP(A50,'RRP data'!A:C,3,FALSE)),(IF($J$1="DKK",(VLOOKUP('RRP data'!A50,'RRP data'!A:D,4,FALSE)),(IF($J$1="EUR",(VLOOKUP(A50,'RRP data'!A:E,5,FALSE)))))))</f>
        <v>799</v>
      </c>
      <c r="L50" s="7"/>
      <c r="M50" s="8">
        <v>1</v>
      </c>
      <c r="N50" s="8">
        <v>1</v>
      </c>
      <c r="P50" s="7" t="s">
        <v>41</v>
      </c>
      <c r="Q50" s="67">
        <v>94018000</v>
      </c>
      <c r="R50" s="8">
        <v>44</v>
      </c>
      <c r="S50" s="8">
        <v>76</v>
      </c>
      <c r="T50" s="8">
        <v>54</v>
      </c>
      <c r="U50" s="55">
        <v>9.99</v>
      </c>
      <c r="V50" s="27">
        <v>87</v>
      </c>
      <c r="W50" s="27">
        <v>46</v>
      </c>
      <c r="X50" s="27">
        <v>52</v>
      </c>
      <c r="Y50" s="8">
        <v>16.3</v>
      </c>
      <c r="Z50" s="60">
        <f t="shared" si="3"/>
        <v>0.20810400000000001</v>
      </c>
      <c r="AA50" s="8" t="s">
        <v>42</v>
      </c>
    </row>
    <row r="51" spans="1:29" ht="15.95" hidden="1" customHeight="1">
      <c r="A51" s="20">
        <v>25110124</v>
      </c>
      <c r="B51" s="1" t="s">
        <v>123</v>
      </c>
      <c r="C51" s="8" t="s">
        <v>124</v>
      </c>
      <c r="D51" s="7">
        <v>7350057586662</v>
      </c>
      <c r="E51" s="7" t="s">
        <v>36</v>
      </c>
      <c r="F51" s="7" t="s">
        <v>50</v>
      </c>
      <c r="G51" s="7" t="s">
        <v>51</v>
      </c>
      <c r="H51" s="7" t="s">
        <v>120</v>
      </c>
      <c r="I51" s="7" t="s">
        <v>121</v>
      </c>
      <c r="J51" s="7" t="str">
        <f t="shared" si="2"/>
        <v>EUR</v>
      </c>
      <c r="K51" s="53">
        <f>IF($J$1="SEK / NOK",(VLOOKUP(A51,'RRP data'!A:C,3,FALSE)),(IF($J$1="DKK",(VLOOKUP('RRP data'!A51,'RRP data'!A:D,4,FALSE)),(IF($J$1="EUR",(VLOOKUP(A51,'RRP data'!A:E,5,FALSE)))))))</f>
        <v>799</v>
      </c>
      <c r="L51" s="7"/>
      <c r="M51" s="8">
        <v>1</v>
      </c>
      <c r="N51" s="8">
        <v>1</v>
      </c>
      <c r="P51" s="7" t="s">
        <v>41</v>
      </c>
      <c r="Q51" s="67">
        <v>94018000</v>
      </c>
      <c r="R51" s="8">
        <v>44</v>
      </c>
      <c r="S51" s="8">
        <v>76</v>
      </c>
      <c r="T51" s="8">
        <v>54</v>
      </c>
      <c r="U51" s="55">
        <v>9.99</v>
      </c>
      <c r="V51" s="27">
        <v>87</v>
      </c>
      <c r="W51" s="27">
        <v>46</v>
      </c>
      <c r="X51" s="27">
        <v>52</v>
      </c>
      <c r="Y51" s="8">
        <v>16.3</v>
      </c>
      <c r="Z51" s="60">
        <f t="shared" si="3"/>
        <v>0.20810400000000001</v>
      </c>
      <c r="AA51" s="8" t="s">
        <v>42</v>
      </c>
    </row>
    <row r="52" spans="1:29" ht="15.95" hidden="1" customHeight="1">
      <c r="A52" s="20">
        <v>25110125</v>
      </c>
      <c r="B52" s="1" t="s">
        <v>125</v>
      </c>
      <c r="C52" s="8" t="s">
        <v>126</v>
      </c>
      <c r="D52" s="7">
        <v>7350057586679</v>
      </c>
      <c r="E52" s="7" t="s">
        <v>36</v>
      </c>
      <c r="F52" s="7" t="s">
        <v>50</v>
      </c>
      <c r="G52" s="7" t="s">
        <v>51</v>
      </c>
      <c r="H52" s="7" t="s">
        <v>120</v>
      </c>
      <c r="I52" s="7" t="s">
        <v>121</v>
      </c>
      <c r="J52" s="7" t="str">
        <f t="shared" si="2"/>
        <v>EUR</v>
      </c>
      <c r="K52" s="53">
        <f>IF($J$1="SEK / NOK",(VLOOKUP(A52,'RRP data'!A:C,3,FALSE)),(IF($J$1="DKK",(VLOOKUP('RRP data'!A52,'RRP data'!A:D,4,FALSE)),(IF($J$1="EUR",(VLOOKUP(A52,'RRP data'!A:E,5,FALSE)))))))</f>
        <v>799</v>
      </c>
      <c r="L52" s="7"/>
      <c r="M52" s="8">
        <v>1</v>
      </c>
      <c r="N52" s="8">
        <v>1</v>
      </c>
      <c r="P52" s="7" t="s">
        <v>41</v>
      </c>
      <c r="Q52" s="67">
        <v>94018000</v>
      </c>
      <c r="R52" s="8">
        <v>44</v>
      </c>
      <c r="S52" s="8">
        <v>76</v>
      </c>
      <c r="T52" s="8">
        <v>54</v>
      </c>
      <c r="U52" s="55">
        <v>9.99</v>
      </c>
      <c r="V52" s="27">
        <v>87</v>
      </c>
      <c r="W52" s="27">
        <v>46</v>
      </c>
      <c r="X52" s="27">
        <v>52</v>
      </c>
      <c r="Y52" s="8">
        <v>16.3</v>
      </c>
      <c r="Z52" s="60">
        <f t="shared" si="3"/>
        <v>0.20810400000000001</v>
      </c>
      <c r="AA52" s="8" t="s">
        <v>42</v>
      </c>
    </row>
    <row r="53" spans="1:29" ht="15.95" hidden="1" customHeight="1">
      <c r="A53" s="20">
        <v>25120116</v>
      </c>
      <c r="B53" s="1" t="s">
        <v>127</v>
      </c>
      <c r="C53" s="8" t="s">
        <v>49</v>
      </c>
      <c r="D53" s="7">
        <v>7350057586686</v>
      </c>
      <c r="E53" s="7" t="s">
        <v>36</v>
      </c>
      <c r="F53" s="7" t="s">
        <v>50</v>
      </c>
      <c r="G53" s="7" t="s">
        <v>51</v>
      </c>
      <c r="H53" s="7" t="s">
        <v>52</v>
      </c>
      <c r="I53" s="7" t="s">
        <v>128</v>
      </c>
      <c r="J53" s="7" t="str">
        <f t="shared" si="2"/>
        <v>EUR</v>
      </c>
      <c r="K53" s="53">
        <f>IF($J$1="SEK / NOK",(VLOOKUP(A53,'RRP data'!A:C,3,FALSE)),(IF($J$1="DKK",(VLOOKUP('RRP data'!A53,'RRP data'!A:D,4,FALSE)),(IF($J$1="EUR",(VLOOKUP(A53,'RRP data'!A:E,5,FALSE)))))))</f>
        <v>849</v>
      </c>
      <c r="L53" s="7"/>
      <c r="M53" s="8">
        <v>1</v>
      </c>
      <c r="N53" s="8">
        <v>1</v>
      </c>
      <c r="P53" s="7" t="s">
        <v>41</v>
      </c>
      <c r="Q53" s="67">
        <v>94018000</v>
      </c>
      <c r="R53" s="8">
        <v>44</v>
      </c>
      <c r="S53" s="8">
        <v>76</v>
      </c>
      <c r="T53" s="8">
        <v>54</v>
      </c>
      <c r="U53" s="55">
        <v>9.99</v>
      </c>
      <c r="V53" s="27">
        <v>87</v>
      </c>
      <c r="W53" s="27">
        <v>46</v>
      </c>
      <c r="X53" s="27">
        <v>52</v>
      </c>
      <c r="Y53" s="8">
        <v>16.7</v>
      </c>
      <c r="Z53" s="60">
        <f t="shared" si="3"/>
        <v>0.20810400000000001</v>
      </c>
      <c r="AA53" s="8" t="s">
        <v>42</v>
      </c>
    </row>
    <row r="54" spans="1:29" ht="15.95" hidden="1" customHeight="1">
      <c r="A54" s="20">
        <v>25120121</v>
      </c>
      <c r="B54" s="1" t="s">
        <v>129</v>
      </c>
      <c r="C54" s="8" t="s">
        <v>66</v>
      </c>
      <c r="D54" s="7">
        <v>7350057586693</v>
      </c>
      <c r="E54" s="7" t="s">
        <v>36</v>
      </c>
      <c r="F54" s="7" t="s">
        <v>50</v>
      </c>
      <c r="G54" s="7" t="s">
        <v>51</v>
      </c>
      <c r="H54" s="7" t="s">
        <v>52</v>
      </c>
      <c r="I54" s="7" t="s">
        <v>128</v>
      </c>
      <c r="J54" s="7" t="str">
        <f t="shared" si="2"/>
        <v>EUR</v>
      </c>
      <c r="K54" s="53">
        <f>IF($J$1="SEK / NOK",(VLOOKUP(A54,'RRP data'!A:C,3,FALSE)),(IF($J$1="DKK",(VLOOKUP('RRP data'!A54,'RRP data'!A:D,4,FALSE)),(IF($J$1="EUR",(VLOOKUP(A54,'RRP data'!A:E,5,FALSE)))))))</f>
        <v>849</v>
      </c>
      <c r="L54" s="7"/>
      <c r="M54" s="8">
        <v>1</v>
      </c>
      <c r="N54" s="8">
        <v>1</v>
      </c>
      <c r="P54" s="7" t="s">
        <v>41</v>
      </c>
      <c r="Q54" s="67">
        <v>94018000</v>
      </c>
      <c r="R54" s="8">
        <v>44</v>
      </c>
      <c r="S54" s="8">
        <v>76</v>
      </c>
      <c r="T54" s="8">
        <v>54</v>
      </c>
      <c r="U54" s="55">
        <v>9.99</v>
      </c>
      <c r="V54" s="27">
        <v>87</v>
      </c>
      <c r="W54" s="27">
        <v>46</v>
      </c>
      <c r="X54" s="27">
        <v>52</v>
      </c>
      <c r="Y54" s="8">
        <v>16.7</v>
      </c>
      <c r="Z54" s="60">
        <f t="shared" si="3"/>
        <v>0.20810400000000001</v>
      </c>
      <c r="AA54" s="8" t="s">
        <v>42</v>
      </c>
    </row>
    <row r="55" spans="1:29" ht="15.95" hidden="1" customHeight="1">
      <c r="A55" s="20">
        <v>25120124</v>
      </c>
      <c r="B55" s="1" t="s">
        <v>130</v>
      </c>
      <c r="C55" s="8" t="s">
        <v>124</v>
      </c>
      <c r="D55" s="7">
        <v>7350057586709</v>
      </c>
      <c r="E55" s="7" t="s">
        <v>36</v>
      </c>
      <c r="F55" s="7" t="s">
        <v>50</v>
      </c>
      <c r="G55" s="7" t="s">
        <v>51</v>
      </c>
      <c r="H55" s="7" t="s">
        <v>52</v>
      </c>
      <c r="I55" s="7" t="s">
        <v>128</v>
      </c>
      <c r="J55" s="7" t="str">
        <f t="shared" si="2"/>
        <v>EUR</v>
      </c>
      <c r="K55" s="53">
        <f>IF($J$1="SEK / NOK",(VLOOKUP(A55,'RRP data'!A:C,3,FALSE)),(IF($J$1="DKK",(VLOOKUP('RRP data'!A55,'RRP data'!A:D,4,FALSE)),(IF($J$1="EUR",(VLOOKUP(A55,'RRP data'!A:E,5,FALSE)))))))</f>
        <v>849</v>
      </c>
      <c r="L55" s="7"/>
      <c r="M55" s="8">
        <v>1</v>
      </c>
      <c r="N55" s="8">
        <v>1</v>
      </c>
      <c r="P55" s="7" t="s">
        <v>41</v>
      </c>
      <c r="Q55" s="67">
        <v>94018000</v>
      </c>
      <c r="R55" s="8">
        <v>44</v>
      </c>
      <c r="S55" s="8">
        <v>76</v>
      </c>
      <c r="T55" s="8">
        <v>54</v>
      </c>
      <c r="U55" s="55">
        <v>9.99</v>
      </c>
      <c r="V55" s="27">
        <v>87</v>
      </c>
      <c r="W55" s="27">
        <v>46</v>
      </c>
      <c r="X55" s="27">
        <v>52</v>
      </c>
      <c r="Y55" s="8">
        <v>16.7</v>
      </c>
      <c r="Z55" s="60">
        <f t="shared" si="3"/>
        <v>0.20810400000000001</v>
      </c>
      <c r="AA55" s="8" t="s">
        <v>42</v>
      </c>
    </row>
    <row r="56" spans="1:29" ht="15.95" hidden="1" customHeight="1">
      <c r="A56" s="20">
        <v>25120125</v>
      </c>
      <c r="B56" s="1" t="s">
        <v>131</v>
      </c>
      <c r="C56" s="8" t="s">
        <v>126</v>
      </c>
      <c r="D56" s="7">
        <v>7350057586716</v>
      </c>
      <c r="E56" s="7" t="s">
        <v>36</v>
      </c>
      <c r="F56" s="7" t="s">
        <v>50</v>
      </c>
      <c r="G56" s="7" t="s">
        <v>51</v>
      </c>
      <c r="H56" s="7" t="s">
        <v>52</v>
      </c>
      <c r="I56" s="7" t="s">
        <v>128</v>
      </c>
      <c r="J56" s="7" t="str">
        <f t="shared" si="2"/>
        <v>EUR</v>
      </c>
      <c r="K56" s="53">
        <f>IF($J$1="SEK / NOK",(VLOOKUP(A56,'RRP data'!A:C,3,FALSE)),(IF($J$1="DKK",(VLOOKUP('RRP data'!A56,'RRP data'!A:D,4,FALSE)),(IF($J$1="EUR",(VLOOKUP(A56,'RRP data'!A:E,5,FALSE)))))))</f>
        <v>849</v>
      </c>
      <c r="L56" s="7"/>
      <c r="M56" s="8">
        <v>1</v>
      </c>
      <c r="N56" s="8">
        <v>1</v>
      </c>
      <c r="P56" s="7" t="s">
        <v>41</v>
      </c>
      <c r="Q56" s="67">
        <v>94018000</v>
      </c>
      <c r="R56" s="8">
        <v>44</v>
      </c>
      <c r="S56" s="8">
        <v>76</v>
      </c>
      <c r="T56" s="8">
        <v>54</v>
      </c>
      <c r="U56" s="55">
        <v>9.99</v>
      </c>
      <c r="V56" s="27">
        <v>87</v>
      </c>
      <c r="W56" s="27">
        <v>46</v>
      </c>
      <c r="X56" s="27">
        <v>52</v>
      </c>
      <c r="Y56" s="8">
        <v>16.7</v>
      </c>
      <c r="Z56" s="60">
        <f t="shared" si="3"/>
        <v>0.20810400000000001</v>
      </c>
      <c r="AA56" s="8" t="s">
        <v>42</v>
      </c>
    </row>
    <row r="57" spans="1:29" s="45" customFormat="1" ht="15.95" hidden="1" customHeight="1">
      <c r="A57" s="44">
        <v>25110016</v>
      </c>
      <c r="B57" s="45" t="s">
        <v>132</v>
      </c>
      <c r="C57" s="46" t="s">
        <v>76</v>
      </c>
      <c r="D57" s="47">
        <v>7350057584590</v>
      </c>
      <c r="E57" s="47" t="s">
        <v>77</v>
      </c>
      <c r="F57" s="7" t="s">
        <v>50</v>
      </c>
      <c r="G57" s="47" t="s">
        <v>51</v>
      </c>
      <c r="H57" s="47" t="s">
        <v>120</v>
      </c>
      <c r="I57" s="47" t="s">
        <v>121</v>
      </c>
      <c r="J57" s="47" t="str">
        <f t="shared" si="2"/>
        <v>EUR</v>
      </c>
      <c r="K57" s="7">
        <f>IF($J$1="SEK / NOK",(VLOOKUP(A57,'RRP data'!A:C,3,FALSE)),(IF($J$1="DKK",(VLOOKUP('RRP data'!A57,'RRP data'!A:D,4,FALSE)),(IF($J$1="EUR",(VLOOKUP(A57,'RRP data'!A:E,5,FALSE)))))))</f>
        <v>749</v>
      </c>
      <c r="L57" s="47"/>
      <c r="M57" s="46">
        <v>1</v>
      </c>
      <c r="N57" s="46">
        <v>1</v>
      </c>
      <c r="O57" s="46"/>
      <c r="P57" s="47" t="s">
        <v>41</v>
      </c>
      <c r="Q57" s="68">
        <v>94018000</v>
      </c>
      <c r="R57" s="46">
        <v>44</v>
      </c>
      <c r="S57" s="46">
        <v>76</v>
      </c>
      <c r="T57" s="46">
        <v>54</v>
      </c>
      <c r="U57" s="56">
        <v>9.99</v>
      </c>
      <c r="V57" s="46">
        <v>82</v>
      </c>
      <c r="W57" s="46">
        <v>46</v>
      </c>
      <c r="X57" s="46">
        <v>60</v>
      </c>
      <c r="Y57" s="46">
        <v>16.3</v>
      </c>
      <c r="Z57" s="61">
        <f t="shared" si="3"/>
        <v>0.22631999999999999</v>
      </c>
      <c r="AA57" s="46" t="s">
        <v>42</v>
      </c>
      <c r="AB57" s="8"/>
      <c r="AC57" s="8"/>
    </row>
    <row r="58" spans="1:29" s="45" customFormat="1" ht="15.95" hidden="1" customHeight="1">
      <c r="A58" s="44">
        <v>25110021</v>
      </c>
      <c r="B58" s="45" t="s">
        <v>133</v>
      </c>
      <c r="C58" s="46" t="s">
        <v>88</v>
      </c>
      <c r="D58" s="47">
        <v>7350057584606</v>
      </c>
      <c r="E58" s="47" t="s">
        <v>77</v>
      </c>
      <c r="F58" s="7" t="s">
        <v>50</v>
      </c>
      <c r="G58" s="47" t="s">
        <v>51</v>
      </c>
      <c r="H58" s="47" t="s">
        <v>120</v>
      </c>
      <c r="I58" s="47" t="s">
        <v>121</v>
      </c>
      <c r="J58" s="47" t="str">
        <f t="shared" si="2"/>
        <v>EUR</v>
      </c>
      <c r="K58" s="7">
        <f>IF($J$1="SEK / NOK",(VLOOKUP(A58,'RRP data'!A:C,3,FALSE)),(IF($J$1="DKK",(VLOOKUP('RRP data'!A58,'RRP data'!A:D,4,FALSE)),(IF($J$1="EUR",(VLOOKUP(A58,'RRP data'!A:E,5,FALSE)))))))</f>
        <v>749</v>
      </c>
      <c r="L58" s="47"/>
      <c r="M58" s="46">
        <v>1</v>
      </c>
      <c r="N58" s="46">
        <v>1</v>
      </c>
      <c r="O58" s="46"/>
      <c r="P58" s="47" t="s">
        <v>41</v>
      </c>
      <c r="Q58" s="68">
        <v>94018000</v>
      </c>
      <c r="R58" s="46">
        <v>44</v>
      </c>
      <c r="S58" s="46">
        <v>76</v>
      </c>
      <c r="T58" s="46">
        <v>54</v>
      </c>
      <c r="U58" s="56">
        <v>9.99</v>
      </c>
      <c r="V58" s="46">
        <v>82</v>
      </c>
      <c r="W58" s="46">
        <v>46</v>
      </c>
      <c r="X58" s="46">
        <v>60</v>
      </c>
      <c r="Y58" s="46">
        <v>16.3</v>
      </c>
      <c r="Z58" s="61">
        <f t="shared" si="3"/>
        <v>0.22631999999999999</v>
      </c>
      <c r="AA58" s="46" t="s">
        <v>42</v>
      </c>
      <c r="AB58" s="8"/>
      <c r="AC58" s="8"/>
    </row>
    <row r="59" spans="1:29" s="45" customFormat="1" ht="15.95" hidden="1" customHeight="1">
      <c r="A59" s="44">
        <v>25110024</v>
      </c>
      <c r="B59" s="45" t="s">
        <v>134</v>
      </c>
      <c r="C59" s="46" t="s">
        <v>135</v>
      </c>
      <c r="D59" s="47">
        <v>7350057584613</v>
      </c>
      <c r="E59" s="47" t="s">
        <v>77</v>
      </c>
      <c r="F59" s="7" t="s">
        <v>50</v>
      </c>
      <c r="G59" s="47" t="s">
        <v>51</v>
      </c>
      <c r="H59" s="47" t="s">
        <v>120</v>
      </c>
      <c r="I59" s="47" t="s">
        <v>121</v>
      </c>
      <c r="J59" s="47" t="str">
        <f t="shared" si="2"/>
        <v>EUR</v>
      </c>
      <c r="K59" s="7">
        <f>IF($J$1="SEK / NOK",(VLOOKUP(A59,'RRP data'!A:C,3,FALSE)),(IF($J$1="DKK",(VLOOKUP('RRP data'!A59,'RRP data'!A:D,4,FALSE)),(IF($J$1="EUR",(VLOOKUP(A59,'RRP data'!A:E,5,FALSE)))))))</f>
        <v>749</v>
      </c>
      <c r="L59" s="47"/>
      <c r="M59" s="46">
        <v>1</v>
      </c>
      <c r="N59" s="46">
        <v>1</v>
      </c>
      <c r="O59" s="46"/>
      <c r="P59" s="47" t="s">
        <v>41</v>
      </c>
      <c r="Q59" s="68">
        <v>94018000</v>
      </c>
      <c r="R59" s="46">
        <v>44</v>
      </c>
      <c r="S59" s="46">
        <v>76</v>
      </c>
      <c r="T59" s="46">
        <v>54</v>
      </c>
      <c r="U59" s="56">
        <v>9.99</v>
      </c>
      <c r="V59" s="46">
        <v>82</v>
      </c>
      <c r="W59" s="46">
        <v>46</v>
      </c>
      <c r="X59" s="46">
        <v>60</v>
      </c>
      <c r="Y59" s="46">
        <v>16.3</v>
      </c>
      <c r="Z59" s="61">
        <f t="shared" si="3"/>
        <v>0.22631999999999999</v>
      </c>
      <c r="AA59" s="46" t="s">
        <v>42</v>
      </c>
      <c r="AB59" s="8"/>
      <c r="AC59" s="8"/>
    </row>
    <row r="60" spans="1:29" s="45" customFormat="1" ht="15.95" hidden="1" customHeight="1">
      <c r="A60" s="44">
        <v>25110025</v>
      </c>
      <c r="B60" s="45" t="s">
        <v>136</v>
      </c>
      <c r="C60" s="46" t="s">
        <v>137</v>
      </c>
      <c r="D60" s="47">
        <v>7350057584620</v>
      </c>
      <c r="E60" s="47" t="s">
        <v>77</v>
      </c>
      <c r="F60" s="7" t="s">
        <v>50</v>
      </c>
      <c r="G60" s="47" t="s">
        <v>51</v>
      </c>
      <c r="H60" s="47" t="s">
        <v>120</v>
      </c>
      <c r="I60" s="47" t="s">
        <v>121</v>
      </c>
      <c r="J60" s="47" t="str">
        <f t="shared" si="2"/>
        <v>EUR</v>
      </c>
      <c r="K60" s="7">
        <f>IF($J$1="SEK / NOK",(VLOOKUP(A60,'RRP data'!A:C,3,FALSE)),(IF($J$1="DKK",(VLOOKUP('RRP data'!A60,'RRP data'!A:D,4,FALSE)),(IF($J$1="EUR",(VLOOKUP(A60,'RRP data'!A:E,5,FALSE)))))))</f>
        <v>749</v>
      </c>
      <c r="L60" s="47"/>
      <c r="M60" s="46">
        <v>1</v>
      </c>
      <c r="N60" s="46">
        <v>1</v>
      </c>
      <c r="O60" s="46"/>
      <c r="P60" s="47" t="s">
        <v>41</v>
      </c>
      <c r="Q60" s="68">
        <v>94018000</v>
      </c>
      <c r="R60" s="46">
        <v>44</v>
      </c>
      <c r="S60" s="46">
        <v>76</v>
      </c>
      <c r="T60" s="46">
        <v>54</v>
      </c>
      <c r="U60" s="56">
        <v>9.99</v>
      </c>
      <c r="V60" s="46">
        <v>82</v>
      </c>
      <c r="W60" s="46">
        <v>46</v>
      </c>
      <c r="X60" s="46">
        <v>60</v>
      </c>
      <c r="Y60" s="46">
        <v>16.3</v>
      </c>
      <c r="Z60" s="61">
        <f t="shared" si="3"/>
        <v>0.22631999999999999</v>
      </c>
      <c r="AA60" s="46" t="s">
        <v>42</v>
      </c>
      <c r="AB60" s="8"/>
      <c r="AC60" s="8"/>
    </row>
    <row r="61" spans="1:29" s="45" customFormat="1" ht="15.95" hidden="1" customHeight="1">
      <c r="A61" s="44">
        <v>25120016</v>
      </c>
      <c r="B61" s="45" t="s">
        <v>138</v>
      </c>
      <c r="C61" s="46" t="s">
        <v>76</v>
      </c>
      <c r="D61" s="47">
        <v>7350057584637</v>
      </c>
      <c r="E61" s="47" t="s">
        <v>77</v>
      </c>
      <c r="F61" s="7" t="s">
        <v>50</v>
      </c>
      <c r="G61" s="47" t="s">
        <v>51</v>
      </c>
      <c r="H61" s="47" t="s">
        <v>139</v>
      </c>
      <c r="I61" s="47" t="s">
        <v>128</v>
      </c>
      <c r="J61" s="47" t="str">
        <f t="shared" si="2"/>
        <v>EUR</v>
      </c>
      <c r="K61" s="7">
        <f>IF($J$1="SEK / NOK",(VLOOKUP(A61,'RRP data'!A:C,3,FALSE)),(IF($J$1="DKK",(VLOOKUP('RRP data'!A61,'RRP data'!A:D,4,FALSE)),(IF($J$1="EUR",(VLOOKUP(A61,'RRP data'!A:E,5,FALSE)))))))</f>
        <v>849</v>
      </c>
      <c r="L61" s="47"/>
      <c r="M61" s="46">
        <v>1</v>
      </c>
      <c r="N61" s="46">
        <v>1</v>
      </c>
      <c r="O61" s="46"/>
      <c r="P61" s="47" t="s">
        <v>41</v>
      </c>
      <c r="Q61" s="68">
        <v>94018000</v>
      </c>
      <c r="R61" s="46">
        <v>44</v>
      </c>
      <c r="S61" s="46">
        <v>76</v>
      </c>
      <c r="T61" s="46">
        <v>54</v>
      </c>
      <c r="U61" s="56">
        <v>9.99</v>
      </c>
      <c r="V61" s="46">
        <v>82</v>
      </c>
      <c r="W61" s="46">
        <v>46</v>
      </c>
      <c r="X61" s="46">
        <v>60</v>
      </c>
      <c r="Y61" s="46">
        <v>16.7</v>
      </c>
      <c r="Z61" s="61">
        <f t="shared" si="3"/>
        <v>0.22631999999999999</v>
      </c>
      <c r="AA61" s="46" t="s">
        <v>42</v>
      </c>
      <c r="AB61" s="8"/>
      <c r="AC61" s="8"/>
    </row>
    <row r="62" spans="1:29" s="45" customFormat="1" ht="13.9" hidden="1" customHeight="1">
      <c r="A62" s="44">
        <v>25120021</v>
      </c>
      <c r="B62" s="45" t="s">
        <v>140</v>
      </c>
      <c r="C62" s="46" t="s">
        <v>88</v>
      </c>
      <c r="D62" s="47">
        <v>7350057584644</v>
      </c>
      <c r="E62" s="47" t="s">
        <v>77</v>
      </c>
      <c r="F62" s="7" t="s">
        <v>50</v>
      </c>
      <c r="G62" s="47" t="s">
        <v>51</v>
      </c>
      <c r="H62" s="47" t="s">
        <v>139</v>
      </c>
      <c r="I62" s="47" t="s">
        <v>128</v>
      </c>
      <c r="J62" s="47" t="str">
        <f t="shared" si="2"/>
        <v>EUR</v>
      </c>
      <c r="K62" s="7">
        <f>IF($J$1="SEK / NOK",(VLOOKUP(A62,'RRP data'!A:C,3,FALSE)),(IF($J$1="DKK",(VLOOKUP('RRP data'!A62,'RRP data'!A:D,4,FALSE)),(IF($J$1="EUR",(VLOOKUP(A62,'RRP data'!A:E,5,FALSE)))))))</f>
        <v>849</v>
      </c>
      <c r="L62" s="47"/>
      <c r="M62" s="46">
        <v>1</v>
      </c>
      <c r="N62" s="46">
        <v>1</v>
      </c>
      <c r="O62" s="46"/>
      <c r="P62" s="47" t="s">
        <v>41</v>
      </c>
      <c r="Q62" s="68">
        <v>94018000</v>
      </c>
      <c r="R62" s="46">
        <v>44</v>
      </c>
      <c r="S62" s="46">
        <v>76</v>
      </c>
      <c r="T62" s="46">
        <v>54</v>
      </c>
      <c r="U62" s="56">
        <v>9.99</v>
      </c>
      <c r="V62" s="46">
        <v>82</v>
      </c>
      <c r="W62" s="46">
        <v>46</v>
      </c>
      <c r="X62" s="46">
        <v>60</v>
      </c>
      <c r="Y62" s="46">
        <v>16.7</v>
      </c>
      <c r="Z62" s="61">
        <f t="shared" si="3"/>
        <v>0.22631999999999999</v>
      </c>
      <c r="AA62" s="46" t="s">
        <v>42</v>
      </c>
      <c r="AB62" s="8"/>
      <c r="AC62" s="8"/>
    </row>
    <row r="63" spans="1:29" s="45" customFormat="1" ht="13.9" hidden="1" customHeight="1">
      <c r="A63" s="44">
        <v>25120024</v>
      </c>
      <c r="B63" s="45" t="s">
        <v>141</v>
      </c>
      <c r="C63" s="46" t="s">
        <v>135</v>
      </c>
      <c r="D63" s="47">
        <v>7350057584651</v>
      </c>
      <c r="E63" s="47" t="s">
        <v>77</v>
      </c>
      <c r="F63" s="7" t="s">
        <v>50</v>
      </c>
      <c r="G63" s="47" t="s">
        <v>51</v>
      </c>
      <c r="H63" s="47" t="s">
        <v>139</v>
      </c>
      <c r="I63" s="47" t="s">
        <v>128</v>
      </c>
      <c r="J63" s="47" t="str">
        <f t="shared" si="2"/>
        <v>EUR</v>
      </c>
      <c r="K63" s="7">
        <f>IF($J$1="SEK / NOK",(VLOOKUP(A63,'RRP data'!A:C,3,FALSE)),(IF($J$1="DKK",(VLOOKUP('RRP data'!A63,'RRP data'!A:D,4,FALSE)),(IF($J$1="EUR",(VLOOKUP(A63,'RRP data'!A:E,5,FALSE)))))))</f>
        <v>849</v>
      </c>
      <c r="L63" s="47"/>
      <c r="M63" s="46">
        <v>1</v>
      </c>
      <c r="N63" s="46">
        <v>1</v>
      </c>
      <c r="O63" s="46"/>
      <c r="P63" s="47" t="s">
        <v>41</v>
      </c>
      <c r="Q63" s="68">
        <v>94018000</v>
      </c>
      <c r="R63" s="46">
        <v>44</v>
      </c>
      <c r="S63" s="46">
        <v>76</v>
      </c>
      <c r="T63" s="46">
        <v>54</v>
      </c>
      <c r="U63" s="56">
        <v>9.99</v>
      </c>
      <c r="V63" s="46">
        <v>82</v>
      </c>
      <c r="W63" s="46">
        <v>46</v>
      </c>
      <c r="X63" s="46">
        <v>60</v>
      </c>
      <c r="Y63" s="46">
        <v>16.7</v>
      </c>
      <c r="Z63" s="61">
        <f t="shared" si="3"/>
        <v>0.22631999999999999</v>
      </c>
      <c r="AA63" s="46" t="s">
        <v>42</v>
      </c>
      <c r="AB63" s="8"/>
      <c r="AC63" s="8"/>
    </row>
    <row r="64" spans="1:29" s="45" customFormat="1" ht="13.9" hidden="1" customHeight="1">
      <c r="A64" s="44">
        <v>25120025</v>
      </c>
      <c r="B64" s="45" t="s">
        <v>142</v>
      </c>
      <c r="C64" s="46" t="s">
        <v>137</v>
      </c>
      <c r="D64" s="47">
        <v>7350057584668</v>
      </c>
      <c r="E64" s="47" t="s">
        <v>77</v>
      </c>
      <c r="F64" s="7" t="s">
        <v>50</v>
      </c>
      <c r="G64" s="47" t="s">
        <v>51</v>
      </c>
      <c r="H64" s="47" t="s">
        <v>139</v>
      </c>
      <c r="I64" s="47" t="s">
        <v>128</v>
      </c>
      <c r="J64" s="47" t="str">
        <f t="shared" si="2"/>
        <v>EUR</v>
      </c>
      <c r="K64" s="7">
        <f>IF($J$1="SEK / NOK",(VLOOKUP(A64,'RRP data'!A:C,3,FALSE)),(IF($J$1="DKK",(VLOOKUP('RRP data'!A64,'RRP data'!A:D,4,FALSE)),(IF($J$1="EUR",(VLOOKUP(A64,'RRP data'!A:E,5,FALSE)))))))</f>
        <v>849</v>
      </c>
      <c r="L64" s="47"/>
      <c r="M64" s="46">
        <v>1</v>
      </c>
      <c r="N64" s="46">
        <v>1</v>
      </c>
      <c r="O64" s="46"/>
      <c r="P64" s="47" t="s">
        <v>41</v>
      </c>
      <c r="Q64" s="68">
        <v>94018000</v>
      </c>
      <c r="R64" s="46">
        <v>44</v>
      </c>
      <c r="S64" s="46">
        <v>76</v>
      </c>
      <c r="T64" s="46">
        <v>54</v>
      </c>
      <c r="U64" s="56">
        <v>9.99</v>
      </c>
      <c r="V64" s="46">
        <v>82</v>
      </c>
      <c r="W64" s="46">
        <v>46</v>
      </c>
      <c r="X64" s="46">
        <v>60</v>
      </c>
      <c r="Y64" s="46">
        <v>16.7</v>
      </c>
      <c r="Z64" s="61">
        <f t="shared" si="3"/>
        <v>0.22631999999999999</v>
      </c>
      <c r="AA64" s="46" t="s">
        <v>42</v>
      </c>
      <c r="AB64" s="8"/>
      <c r="AC64" s="8"/>
    </row>
    <row r="65" spans="1:29" s="45" customFormat="1" ht="13.9" hidden="1" customHeight="1">
      <c r="A65" s="44">
        <v>260301</v>
      </c>
      <c r="B65" s="45" t="s">
        <v>143</v>
      </c>
      <c r="C65" s="46" t="s">
        <v>144</v>
      </c>
      <c r="D65" s="47">
        <v>7350057581841</v>
      </c>
      <c r="E65" s="47" t="s">
        <v>77</v>
      </c>
      <c r="F65" s="7" t="s">
        <v>50</v>
      </c>
      <c r="G65" s="7" t="s">
        <v>38</v>
      </c>
      <c r="H65" s="47" t="s">
        <v>92</v>
      </c>
      <c r="I65" s="47" t="s">
        <v>93</v>
      </c>
      <c r="J65" s="47" t="str">
        <f t="shared" si="2"/>
        <v>EUR</v>
      </c>
      <c r="K65" s="7">
        <f>IF($J$1="SEK / NOK",(VLOOKUP(A65,'RRP data'!A:C,3,FALSE)),(IF($J$1="DKK",(VLOOKUP('RRP data'!A65,'RRP data'!A:D,4,FALSE)),(IF($J$1="EUR",(VLOOKUP(A65,'RRP data'!A:E,5,FALSE)))))))</f>
        <v>469</v>
      </c>
      <c r="L65" s="47"/>
      <c r="M65" s="46">
        <v>1</v>
      </c>
      <c r="N65" s="46">
        <v>1</v>
      </c>
      <c r="O65" s="46"/>
      <c r="P65" s="47" t="s">
        <v>41</v>
      </c>
      <c r="Q65" s="68">
        <v>94018000</v>
      </c>
      <c r="R65" s="46">
        <v>44</v>
      </c>
      <c r="S65" s="46">
        <v>62</v>
      </c>
      <c r="T65" s="46">
        <v>58</v>
      </c>
      <c r="U65" s="56">
        <v>14.1</v>
      </c>
      <c r="V65" s="46">
        <v>46</v>
      </c>
      <c r="W65" s="46">
        <v>58</v>
      </c>
      <c r="X65" s="46">
        <v>66</v>
      </c>
      <c r="Y65" s="46">
        <v>16.8</v>
      </c>
      <c r="Z65" s="61">
        <f t="shared" si="3"/>
        <v>0.17608799999999999</v>
      </c>
      <c r="AA65" s="46" t="s">
        <v>42</v>
      </c>
      <c r="AB65" s="8"/>
      <c r="AC65" s="8"/>
    </row>
    <row r="66" spans="1:29" ht="15.95" hidden="1" customHeight="1">
      <c r="A66" s="20">
        <v>260302</v>
      </c>
      <c r="B66" s="1" t="s">
        <v>145</v>
      </c>
      <c r="C66" s="8" t="s">
        <v>35</v>
      </c>
      <c r="D66" s="7">
        <v>7350057581858</v>
      </c>
      <c r="E66" s="7" t="s">
        <v>36</v>
      </c>
      <c r="F66" s="7" t="s">
        <v>50</v>
      </c>
      <c r="G66" s="7" t="s">
        <v>38</v>
      </c>
      <c r="H66" s="7" t="s">
        <v>92</v>
      </c>
      <c r="I66" s="7" t="s">
        <v>93</v>
      </c>
      <c r="J66" s="7" t="str">
        <f t="shared" si="2"/>
        <v>EUR</v>
      </c>
      <c r="K66" s="53">
        <f>IF($J$1="SEK / NOK",(VLOOKUP(A66,'RRP data'!A:C,3,FALSE)),(IF($J$1="DKK",(VLOOKUP('RRP data'!A66,'RRP data'!A:D,4,FALSE)),(IF($J$1="EUR",(VLOOKUP(A66,'RRP data'!A:E,5,FALSE)))))))</f>
        <v>469</v>
      </c>
      <c r="L66" s="7"/>
      <c r="M66" s="8">
        <v>1</v>
      </c>
      <c r="N66" s="8">
        <v>1</v>
      </c>
      <c r="P66" s="7" t="s">
        <v>41</v>
      </c>
      <c r="Q66" s="67">
        <v>94018000</v>
      </c>
      <c r="R66" s="8">
        <v>44</v>
      </c>
      <c r="S66" s="8">
        <v>62</v>
      </c>
      <c r="T66" s="8">
        <v>58</v>
      </c>
      <c r="U66" s="55">
        <v>14.1</v>
      </c>
      <c r="V66" s="27">
        <v>46</v>
      </c>
      <c r="W66" s="27">
        <v>58</v>
      </c>
      <c r="X66" s="27">
        <v>66</v>
      </c>
      <c r="Y66" s="8">
        <v>16.8</v>
      </c>
      <c r="Z66" s="60">
        <f t="shared" si="3"/>
        <v>0.17608799999999999</v>
      </c>
      <c r="AA66" s="8" t="s">
        <v>42</v>
      </c>
    </row>
    <row r="67" spans="1:29" ht="15.95" hidden="1" customHeight="1">
      <c r="A67" s="20">
        <v>260303</v>
      </c>
      <c r="B67" s="1" t="s">
        <v>146</v>
      </c>
      <c r="C67" s="8" t="s">
        <v>44</v>
      </c>
      <c r="D67" s="7">
        <v>7350057581865</v>
      </c>
      <c r="E67" s="7" t="s">
        <v>36</v>
      </c>
      <c r="F67" s="7" t="s">
        <v>50</v>
      </c>
      <c r="G67" s="7" t="s">
        <v>38</v>
      </c>
      <c r="H67" s="7" t="s">
        <v>92</v>
      </c>
      <c r="I67" s="7" t="s">
        <v>93</v>
      </c>
      <c r="J67" s="7" t="str">
        <f t="shared" ref="J67:J98" si="4">$J$1</f>
        <v>EUR</v>
      </c>
      <c r="K67" s="53">
        <f>IF($J$1="SEK / NOK",(VLOOKUP(A67,'RRP data'!A:C,3,FALSE)),(IF($J$1="DKK",(VLOOKUP('RRP data'!A67,'RRP data'!A:D,4,FALSE)),(IF($J$1="EUR",(VLOOKUP(A67,'RRP data'!A:E,5,FALSE)))))))</f>
        <v>469</v>
      </c>
      <c r="L67" s="7"/>
      <c r="M67" s="8">
        <v>1</v>
      </c>
      <c r="N67" s="8">
        <v>1</v>
      </c>
      <c r="P67" s="7" t="s">
        <v>41</v>
      </c>
      <c r="Q67" s="67">
        <v>94018000</v>
      </c>
      <c r="R67" s="8">
        <v>44</v>
      </c>
      <c r="S67" s="8">
        <v>62</v>
      </c>
      <c r="T67" s="8">
        <v>58</v>
      </c>
      <c r="U67" s="55">
        <v>14.1</v>
      </c>
      <c r="V67" s="27">
        <v>46</v>
      </c>
      <c r="W67" s="27">
        <v>58</v>
      </c>
      <c r="X67" s="27">
        <v>66</v>
      </c>
      <c r="Y67" s="8">
        <v>16.8</v>
      </c>
      <c r="Z67" s="60">
        <f t="shared" ref="Z67:Z98" si="5">PRODUCT(V67:X67)/1000000</f>
        <v>0.17608799999999999</v>
      </c>
      <c r="AA67" s="8" t="s">
        <v>42</v>
      </c>
    </row>
    <row r="68" spans="1:29" s="45" customFormat="1" ht="15.95" hidden="1" customHeight="1">
      <c r="A68" s="44">
        <v>260311</v>
      </c>
      <c r="B68" s="45" t="s">
        <v>147</v>
      </c>
      <c r="C68" s="46" t="s">
        <v>148</v>
      </c>
      <c r="D68" s="47">
        <v>7350057581872</v>
      </c>
      <c r="E68" s="47" t="s">
        <v>77</v>
      </c>
      <c r="F68" s="7" t="s">
        <v>50</v>
      </c>
      <c r="G68" s="7" t="s">
        <v>38</v>
      </c>
      <c r="H68" s="47" t="s">
        <v>92</v>
      </c>
      <c r="I68" s="47" t="s">
        <v>93</v>
      </c>
      <c r="J68" s="47" t="str">
        <f t="shared" si="4"/>
        <v>EUR</v>
      </c>
      <c r="K68" s="7">
        <f>IF($J$1="SEK / NOK",(VLOOKUP(A68,'RRP data'!A:C,3,FALSE)),(IF($J$1="DKK",(VLOOKUP('RRP data'!A68,'RRP data'!A:D,4,FALSE)),(IF($J$1="EUR",(VLOOKUP(A68,'RRP data'!A:E,5,FALSE)))))))</f>
        <v>469</v>
      </c>
      <c r="L68" s="47"/>
      <c r="M68" s="46">
        <v>1</v>
      </c>
      <c r="N68" s="46">
        <v>1</v>
      </c>
      <c r="O68" s="46"/>
      <c r="P68" s="47" t="s">
        <v>41</v>
      </c>
      <c r="Q68" s="68">
        <v>94018000</v>
      </c>
      <c r="R68" s="46">
        <v>44</v>
      </c>
      <c r="S68" s="46">
        <v>62</v>
      </c>
      <c r="T68" s="46">
        <v>58</v>
      </c>
      <c r="U68" s="56">
        <v>14.1</v>
      </c>
      <c r="V68" s="46">
        <v>46</v>
      </c>
      <c r="W68" s="46">
        <v>58</v>
      </c>
      <c r="X68" s="46">
        <v>66</v>
      </c>
      <c r="Y68" s="46">
        <v>16.8</v>
      </c>
      <c r="Z68" s="61">
        <f t="shared" si="5"/>
        <v>0.17608799999999999</v>
      </c>
      <c r="AA68" s="46" t="s">
        <v>42</v>
      </c>
      <c r="AB68" s="8"/>
      <c r="AC68" s="8"/>
    </row>
    <row r="69" spans="1:29" s="45" customFormat="1" ht="15.95" hidden="1" customHeight="1">
      <c r="A69" s="44">
        <v>27040102</v>
      </c>
      <c r="B69" s="45" t="s">
        <v>149</v>
      </c>
      <c r="C69" s="46" t="s">
        <v>35</v>
      </c>
      <c r="D69" s="47">
        <v>7350057585351</v>
      </c>
      <c r="E69" s="47" t="s">
        <v>77</v>
      </c>
      <c r="F69" s="47" t="s">
        <v>150</v>
      </c>
      <c r="G69" s="47" t="s">
        <v>38</v>
      </c>
      <c r="H69" s="47" t="s">
        <v>151</v>
      </c>
      <c r="I69" s="47" t="s">
        <v>152</v>
      </c>
      <c r="J69" s="47" t="str">
        <f t="shared" si="4"/>
        <v>EUR</v>
      </c>
      <c r="K69" s="7">
        <f>IF($J$1="SEK / NOK",(VLOOKUP(A69,'RRP data'!A:C,3,FALSE)),(IF($J$1="DKK",(VLOOKUP('RRP data'!A69,'RRP data'!A:D,4,FALSE)),(IF($J$1="EUR",(VLOOKUP(A69,'RRP data'!A:E,5,FALSE)))))))</f>
        <v>229</v>
      </c>
      <c r="L69" s="47"/>
      <c r="M69" s="46">
        <v>1</v>
      </c>
      <c r="N69" s="46">
        <v>1</v>
      </c>
      <c r="O69" s="46"/>
      <c r="P69" s="47" t="s">
        <v>41</v>
      </c>
      <c r="Q69" s="68">
        <v>94018000</v>
      </c>
      <c r="R69" s="46">
        <v>48</v>
      </c>
      <c r="S69" s="46">
        <v>59.5</v>
      </c>
      <c r="T69" s="46">
        <v>53</v>
      </c>
      <c r="U69" s="56">
        <v>8</v>
      </c>
      <c r="V69" s="46">
        <v>48.5</v>
      </c>
      <c r="W69" s="46">
        <v>47</v>
      </c>
      <c r="X69" s="46">
        <v>68.5</v>
      </c>
      <c r="Y69" s="46">
        <v>10</v>
      </c>
      <c r="Z69" s="61">
        <f t="shared" si="5"/>
        <v>0.15614575</v>
      </c>
      <c r="AA69" s="46" t="s">
        <v>42</v>
      </c>
      <c r="AB69" s="8"/>
      <c r="AC69" s="8"/>
    </row>
    <row r="70" spans="1:29" s="45" customFormat="1" ht="15.95" hidden="1" customHeight="1">
      <c r="A70" s="44">
        <v>27040103</v>
      </c>
      <c r="B70" s="45" t="s">
        <v>153</v>
      </c>
      <c r="C70" s="46" t="s">
        <v>44</v>
      </c>
      <c r="D70" s="47">
        <v>7350057585368</v>
      </c>
      <c r="E70" s="47" t="s">
        <v>77</v>
      </c>
      <c r="F70" s="47" t="s">
        <v>150</v>
      </c>
      <c r="G70" s="47" t="s">
        <v>38</v>
      </c>
      <c r="H70" s="47" t="s">
        <v>151</v>
      </c>
      <c r="I70" s="47" t="s">
        <v>152</v>
      </c>
      <c r="J70" s="47" t="str">
        <f t="shared" si="4"/>
        <v>EUR</v>
      </c>
      <c r="K70" s="7">
        <f>IF($J$1="SEK / NOK",(VLOOKUP(A70,'RRP data'!A:C,3,FALSE)),(IF($J$1="DKK",(VLOOKUP('RRP data'!A70,'RRP data'!A:D,4,FALSE)),(IF($J$1="EUR",(VLOOKUP(A70,'RRP data'!A:E,5,FALSE)))))))</f>
        <v>229</v>
      </c>
      <c r="L70" s="47"/>
      <c r="M70" s="46">
        <v>1</v>
      </c>
      <c r="N70" s="46">
        <v>1</v>
      </c>
      <c r="O70" s="46"/>
      <c r="P70" s="47" t="s">
        <v>41</v>
      </c>
      <c r="Q70" s="68">
        <v>94018000</v>
      </c>
      <c r="R70" s="46">
        <v>48</v>
      </c>
      <c r="S70" s="46">
        <v>59.5</v>
      </c>
      <c r="T70" s="46">
        <v>53</v>
      </c>
      <c r="U70" s="56">
        <v>8</v>
      </c>
      <c r="V70" s="46">
        <v>48.5</v>
      </c>
      <c r="W70" s="46">
        <v>47</v>
      </c>
      <c r="X70" s="46">
        <v>68.5</v>
      </c>
      <c r="Y70" s="46">
        <v>10</v>
      </c>
      <c r="Z70" s="61">
        <f t="shared" si="5"/>
        <v>0.15614575</v>
      </c>
      <c r="AA70" s="46" t="s">
        <v>42</v>
      </c>
      <c r="AB70" s="8"/>
      <c r="AC70" s="8"/>
    </row>
    <row r="71" spans="1:29" s="45" customFormat="1" ht="15.95" hidden="1" customHeight="1">
      <c r="A71" s="44">
        <v>26040002</v>
      </c>
      <c r="B71" s="45" t="s">
        <v>154</v>
      </c>
      <c r="C71" s="46" t="s">
        <v>35</v>
      </c>
      <c r="D71" s="47">
        <v>7350057582817</v>
      </c>
      <c r="E71" s="47" t="s">
        <v>77</v>
      </c>
      <c r="F71" s="47" t="s">
        <v>150</v>
      </c>
      <c r="G71" s="47" t="s">
        <v>38</v>
      </c>
      <c r="H71" s="47" t="s">
        <v>151</v>
      </c>
      <c r="I71" s="47" t="s">
        <v>152</v>
      </c>
      <c r="J71" s="47" t="str">
        <f t="shared" si="4"/>
        <v>EUR</v>
      </c>
      <c r="K71" s="7">
        <f>IF($J$1="SEK / NOK",(VLOOKUP(A71,'RRP data'!A:C,3,FALSE)),(IF($J$1="DKK",(VLOOKUP('RRP data'!A71,'RRP data'!A:D,4,FALSE)),(IF($J$1="EUR",(VLOOKUP(A71,'RRP data'!A:E,5,FALSE)))))))</f>
        <v>189</v>
      </c>
      <c r="L71" s="47"/>
      <c r="M71" s="46">
        <v>1</v>
      </c>
      <c r="N71" s="46">
        <v>1</v>
      </c>
      <c r="O71" s="46"/>
      <c r="P71" s="47" t="s">
        <v>41</v>
      </c>
      <c r="Q71" s="68">
        <v>94018000</v>
      </c>
      <c r="R71" s="46">
        <v>48</v>
      </c>
      <c r="S71" s="46">
        <v>59.5</v>
      </c>
      <c r="T71" s="46">
        <v>53</v>
      </c>
      <c r="U71" s="56">
        <v>6.5</v>
      </c>
      <c r="V71" s="46">
        <v>48</v>
      </c>
      <c r="W71" s="46">
        <v>47</v>
      </c>
      <c r="X71" s="46">
        <v>65</v>
      </c>
      <c r="Y71" s="46">
        <v>8.5</v>
      </c>
      <c r="Z71" s="61">
        <f t="shared" si="5"/>
        <v>0.14663999999999999</v>
      </c>
      <c r="AA71" s="46" t="s">
        <v>42</v>
      </c>
      <c r="AB71" s="8"/>
      <c r="AC71" s="8"/>
    </row>
    <row r="72" spans="1:29" s="45" customFormat="1" ht="15.95" hidden="1" customHeight="1">
      <c r="A72" s="44">
        <v>26040003</v>
      </c>
      <c r="B72" s="45" t="s">
        <v>155</v>
      </c>
      <c r="C72" s="46" t="s">
        <v>44</v>
      </c>
      <c r="D72" s="47">
        <v>7350057582824</v>
      </c>
      <c r="E72" s="47" t="s">
        <v>77</v>
      </c>
      <c r="F72" s="47" t="s">
        <v>150</v>
      </c>
      <c r="G72" s="47" t="s">
        <v>38</v>
      </c>
      <c r="H72" s="47" t="s">
        <v>151</v>
      </c>
      <c r="I72" s="47" t="s">
        <v>152</v>
      </c>
      <c r="J72" s="47" t="str">
        <f t="shared" si="4"/>
        <v>EUR</v>
      </c>
      <c r="K72" s="7">
        <f>IF($J$1="SEK / NOK",(VLOOKUP(A72,'RRP data'!A:C,3,FALSE)),(IF($J$1="DKK",(VLOOKUP('RRP data'!A72,'RRP data'!A:D,4,FALSE)),(IF($J$1="EUR",(VLOOKUP(A72,'RRP data'!A:E,5,FALSE)))))))</f>
        <v>189</v>
      </c>
      <c r="L72" s="47"/>
      <c r="M72" s="46">
        <v>1</v>
      </c>
      <c r="N72" s="46">
        <v>1</v>
      </c>
      <c r="O72" s="46"/>
      <c r="P72" s="47" t="s">
        <v>41</v>
      </c>
      <c r="Q72" s="68">
        <v>94018000</v>
      </c>
      <c r="R72" s="46">
        <v>48</v>
      </c>
      <c r="S72" s="46">
        <v>59.5</v>
      </c>
      <c r="T72" s="46">
        <v>53</v>
      </c>
      <c r="U72" s="56">
        <v>6.5</v>
      </c>
      <c r="V72" s="46">
        <v>48</v>
      </c>
      <c r="W72" s="46">
        <v>47</v>
      </c>
      <c r="X72" s="46">
        <v>65</v>
      </c>
      <c r="Y72" s="46">
        <v>8.5</v>
      </c>
      <c r="Z72" s="61">
        <f t="shared" si="5"/>
        <v>0.14663999999999999</v>
      </c>
      <c r="AA72" s="46" t="s">
        <v>42</v>
      </c>
      <c r="AB72" s="8"/>
      <c r="AC72" s="8"/>
    </row>
    <row r="73" spans="1:29" s="45" customFormat="1" ht="15.95" hidden="1" customHeight="1">
      <c r="A73" s="44">
        <v>27040116</v>
      </c>
      <c r="B73" s="45" t="s">
        <v>156</v>
      </c>
      <c r="C73" s="46" t="s">
        <v>76</v>
      </c>
      <c r="D73" s="47">
        <v>7350057586099</v>
      </c>
      <c r="E73" s="47" t="s">
        <v>77</v>
      </c>
      <c r="F73" s="47" t="s">
        <v>150</v>
      </c>
      <c r="G73" s="47" t="s">
        <v>38</v>
      </c>
      <c r="H73" s="47" t="s">
        <v>151</v>
      </c>
      <c r="I73" s="47" t="s">
        <v>152</v>
      </c>
      <c r="J73" s="47" t="str">
        <f t="shared" si="4"/>
        <v>EUR</v>
      </c>
      <c r="K73" s="7">
        <f>IF($J$1="SEK / NOK",(VLOOKUP(A73,'RRP data'!A:C,3,FALSE)),(IF($J$1="DKK",(VLOOKUP('RRP data'!A73,'RRP data'!A:D,4,FALSE)),(IF($J$1="EUR",(VLOOKUP(A73,'RRP data'!A:E,5,FALSE)))))))</f>
        <v>199</v>
      </c>
      <c r="L73" s="47"/>
      <c r="M73" s="46">
        <v>1</v>
      </c>
      <c r="N73" s="46">
        <v>1</v>
      </c>
      <c r="O73" s="46"/>
      <c r="P73" s="47" t="s">
        <v>41</v>
      </c>
      <c r="Q73" s="68">
        <v>94018000</v>
      </c>
      <c r="R73" s="46">
        <v>48</v>
      </c>
      <c r="S73" s="46">
        <v>59.5</v>
      </c>
      <c r="T73" s="46">
        <v>53</v>
      </c>
      <c r="U73" s="56">
        <v>8</v>
      </c>
      <c r="V73" s="46">
        <v>48.5</v>
      </c>
      <c r="W73" s="46">
        <v>47</v>
      </c>
      <c r="X73" s="46">
        <v>68.5</v>
      </c>
      <c r="Y73" s="46">
        <v>10</v>
      </c>
      <c r="Z73" s="61">
        <f t="shared" si="5"/>
        <v>0.15614575</v>
      </c>
      <c r="AA73" s="46" t="s">
        <v>42</v>
      </c>
      <c r="AB73" s="8"/>
      <c r="AC73" s="8"/>
    </row>
    <row r="74" spans="1:29" s="45" customFormat="1" ht="15.95" hidden="1" customHeight="1">
      <c r="A74" s="44">
        <v>27040117</v>
      </c>
      <c r="B74" s="45" t="s">
        <v>157</v>
      </c>
      <c r="C74" s="46" t="s">
        <v>79</v>
      </c>
      <c r="D74" s="47">
        <v>7350057586105</v>
      </c>
      <c r="E74" s="47" t="s">
        <v>77</v>
      </c>
      <c r="F74" s="47" t="s">
        <v>150</v>
      </c>
      <c r="G74" s="47" t="s">
        <v>38</v>
      </c>
      <c r="H74" s="47" t="s">
        <v>151</v>
      </c>
      <c r="I74" s="47" t="s">
        <v>152</v>
      </c>
      <c r="J74" s="47" t="str">
        <f t="shared" si="4"/>
        <v>EUR</v>
      </c>
      <c r="K74" s="7">
        <f>IF($J$1="SEK / NOK",(VLOOKUP(A74,'RRP data'!A:C,3,FALSE)),(IF($J$1="DKK",(VLOOKUP('RRP data'!A74,'RRP data'!A:D,4,FALSE)),(IF($J$1="EUR",(VLOOKUP(A74,'RRP data'!A:E,5,FALSE)))))))</f>
        <v>199</v>
      </c>
      <c r="L74" s="47"/>
      <c r="M74" s="46">
        <v>1</v>
      </c>
      <c r="N74" s="46">
        <v>1</v>
      </c>
      <c r="O74" s="46"/>
      <c r="P74" s="47" t="s">
        <v>41</v>
      </c>
      <c r="Q74" s="68">
        <v>94018000</v>
      </c>
      <c r="R74" s="46">
        <v>48</v>
      </c>
      <c r="S74" s="46">
        <v>59.5</v>
      </c>
      <c r="T74" s="46">
        <v>53</v>
      </c>
      <c r="U74" s="56">
        <v>8</v>
      </c>
      <c r="V74" s="46">
        <v>48.5</v>
      </c>
      <c r="W74" s="46">
        <v>47</v>
      </c>
      <c r="X74" s="46">
        <v>68.5</v>
      </c>
      <c r="Y74" s="46">
        <v>10</v>
      </c>
      <c r="Z74" s="61">
        <f t="shared" si="5"/>
        <v>0.15614575</v>
      </c>
      <c r="AA74" s="46" t="s">
        <v>42</v>
      </c>
      <c r="AB74" s="8"/>
      <c r="AC74" s="8"/>
    </row>
    <row r="75" spans="1:29" s="45" customFormat="1" ht="15.95" hidden="1" customHeight="1">
      <c r="A75" s="44">
        <v>27040121</v>
      </c>
      <c r="B75" s="45" t="s">
        <v>158</v>
      </c>
      <c r="C75" s="46" t="s">
        <v>159</v>
      </c>
      <c r="D75" s="47">
        <v>7350057586112</v>
      </c>
      <c r="E75" s="47" t="s">
        <v>77</v>
      </c>
      <c r="F75" s="47" t="s">
        <v>150</v>
      </c>
      <c r="G75" s="47" t="s">
        <v>38</v>
      </c>
      <c r="H75" s="47" t="s">
        <v>151</v>
      </c>
      <c r="I75" s="47" t="s">
        <v>152</v>
      </c>
      <c r="J75" s="47" t="str">
        <f t="shared" si="4"/>
        <v>EUR</v>
      </c>
      <c r="K75" s="7">
        <f>IF($J$1="SEK / NOK",(VLOOKUP(A75,'RRP data'!A:C,3,FALSE)),(IF($J$1="DKK",(VLOOKUP('RRP data'!A75,'RRP data'!A:D,4,FALSE)),(IF($J$1="EUR",(VLOOKUP(A75,'RRP data'!A:E,5,FALSE)))))))</f>
        <v>229</v>
      </c>
      <c r="L75" s="47"/>
      <c r="M75" s="46">
        <v>1</v>
      </c>
      <c r="N75" s="46">
        <v>1</v>
      </c>
      <c r="O75" s="46"/>
      <c r="P75" s="47" t="s">
        <v>41</v>
      </c>
      <c r="Q75" s="68">
        <v>94018000</v>
      </c>
      <c r="R75" s="46">
        <v>48</v>
      </c>
      <c r="S75" s="46">
        <v>59.5</v>
      </c>
      <c r="T75" s="46">
        <v>53</v>
      </c>
      <c r="U75" s="56">
        <v>8</v>
      </c>
      <c r="V75" s="46">
        <v>48.5</v>
      </c>
      <c r="W75" s="46">
        <v>47</v>
      </c>
      <c r="X75" s="46">
        <v>68.5</v>
      </c>
      <c r="Y75" s="46">
        <v>10</v>
      </c>
      <c r="Z75" s="61">
        <f t="shared" si="5"/>
        <v>0.15614575</v>
      </c>
      <c r="AA75" s="46" t="s">
        <v>42</v>
      </c>
      <c r="AB75" s="8"/>
      <c r="AC75" s="8"/>
    </row>
    <row r="76" spans="1:29" s="45" customFormat="1" ht="15.95" hidden="1" customHeight="1">
      <c r="A76" s="44">
        <v>27040122</v>
      </c>
      <c r="B76" s="45" t="s">
        <v>160</v>
      </c>
      <c r="C76" s="46" t="s">
        <v>88</v>
      </c>
      <c r="D76" s="47">
        <v>7350057586129</v>
      </c>
      <c r="E76" s="47" t="s">
        <v>77</v>
      </c>
      <c r="F76" s="47" t="s">
        <v>150</v>
      </c>
      <c r="G76" s="47" t="s">
        <v>38</v>
      </c>
      <c r="H76" s="47" t="s">
        <v>151</v>
      </c>
      <c r="I76" s="47" t="s">
        <v>152</v>
      </c>
      <c r="J76" s="47" t="str">
        <f t="shared" si="4"/>
        <v>EUR</v>
      </c>
      <c r="K76" s="7">
        <f>IF($J$1="SEK / NOK",(VLOOKUP(A76,'RRP data'!A:C,3,FALSE)),(IF($J$1="DKK",(VLOOKUP('RRP data'!A76,'RRP data'!A:D,4,FALSE)),(IF($J$1="EUR",(VLOOKUP(A76,'RRP data'!A:E,5,FALSE)))))))</f>
        <v>229</v>
      </c>
      <c r="L76" s="47"/>
      <c r="M76" s="46">
        <v>1</v>
      </c>
      <c r="N76" s="46">
        <v>1</v>
      </c>
      <c r="O76" s="46"/>
      <c r="P76" s="47" t="s">
        <v>41</v>
      </c>
      <c r="Q76" s="68">
        <v>94018000</v>
      </c>
      <c r="R76" s="46">
        <v>48</v>
      </c>
      <c r="S76" s="46">
        <v>59.5</v>
      </c>
      <c r="T76" s="46">
        <v>53</v>
      </c>
      <c r="U76" s="56">
        <v>8</v>
      </c>
      <c r="V76" s="46">
        <v>48.5</v>
      </c>
      <c r="W76" s="46">
        <v>47</v>
      </c>
      <c r="X76" s="46">
        <v>68.5</v>
      </c>
      <c r="Y76" s="46">
        <v>10</v>
      </c>
      <c r="Z76" s="61">
        <f t="shared" si="5"/>
        <v>0.15614575</v>
      </c>
      <c r="AA76" s="46" t="s">
        <v>42</v>
      </c>
      <c r="AB76" s="8"/>
      <c r="AC76" s="8"/>
    </row>
    <row r="77" spans="1:29" ht="15.95" hidden="1" customHeight="1">
      <c r="A77" s="20">
        <v>240303</v>
      </c>
      <c r="B77" s="1" t="s">
        <v>161</v>
      </c>
      <c r="C77" s="8" t="s">
        <v>44</v>
      </c>
      <c r="D77" s="7">
        <v>7350057580493</v>
      </c>
      <c r="E77" s="47" t="s">
        <v>77</v>
      </c>
      <c r="F77" s="47" t="s">
        <v>150</v>
      </c>
      <c r="G77" s="7" t="s">
        <v>38</v>
      </c>
      <c r="H77" s="7" t="s">
        <v>151</v>
      </c>
      <c r="I77" s="7" t="s">
        <v>152</v>
      </c>
      <c r="J77" s="7" t="str">
        <f t="shared" si="4"/>
        <v>EUR</v>
      </c>
      <c r="K77" s="7">
        <f>IF($J$1="SEK / NOK",(VLOOKUP(A77,'RRP data'!A:C,3,FALSE)),(IF($J$1="DKK",(VLOOKUP('RRP data'!A77,'RRP data'!A:D,4,FALSE)),(IF($J$1="EUR",(VLOOKUP(A77,'RRP data'!A:E,5,FALSE)))))))</f>
        <v>89</v>
      </c>
      <c r="L77" s="7"/>
      <c r="M77" s="8">
        <v>2</v>
      </c>
      <c r="N77" s="8">
        <v>1</v>
      </c>
      <c r="P77" s="7" t="s">
        <v>41</v>
      </c>
      <c r="Q77" s="67">
        <v>94018000</v>
      </c>
      <c r="R77" s="8">
        <v>44</v>
      </c>
      <c r="S77" s="8">
        <v>69</v>
      </c>
      <c r="T77" s="8">
        <v>40</v>
      </c>
      <c r="U77" s="55">
        <v>3.5</v>
      </c>
      <c r="V77" s="27">
        <v>61</v>
      </c>
      <c r="W77" s="27">
        <v>46.5</v>
      </c>
      <c r="X77" s="27">
        <v>67.5</v>
      </c>
      <c r="Y77" s="8">
        <v>8.5</v>
      </c>
      <c r="Z77" s="60">
        <f t="shared" si="5"/>
        <v>0.19146374999999999</v>
      </c>
      <c r="AA77" s="8" t="s">
        <v>42</v>
      </c>
    </row>
    <row r="78" spans="1:29" s="45" customFormat="1" ht="15.95" hidden="1" customHeight="1">
      <c r="A78" s="44">
        <v>28100003</v>
      </c>
      <c r="B78" s="45" t="s">
        <v>162</v>
      </c>
      <c r="C78" s="46" t="s">
        <v>44</v>
      </c>
      <c r="D78" s="47">
        <v>7350057582305</v>
      </c>
      <c r="E78" s="47" t="s">
        <v>77</v>
      </c>
      <c r="F78" s="47" t="s">
        <v>163</v>
      </c>
      <c r="G78" s="47" t="s">
        <v>38</v>
      </c>
      <c r="H78" s="47" t="s">
        <v>151</v>
      </c>
      <c r="I78" s="47" t="s">
        <v>152</v>
      </c>
      <c r="J78" s="47" t="str">
        <f t="shared" si="4"/>
        <v>EUR</v>
      </c>
      <c r="K78" s="7">
        <f>IF($J$1="SEK / NOK",(VLOOKUP(A78,'RRP data'!A:C,3,FALSE)),(IF($J$1="DKK",(VLOOKUP('RRP data'!A78,'RRP data'!A:D,4,FALSE)),(IF($J$1="EUR",(VLOOKUP(A78,'RRP data'!A:E,5,FALSE)))))))</f>
        <v>29</v>
      </c>
      <c r="L78" s="47"/>
      <c r="M78" s="46">
        <v>10</v>
      </c>
      <c r="N78" s="46">
        <v>1</v>
      </c>
      <c r="O78" s="46"/>
      <c r="P78" s="47" t="s">
        <v>41</v>
      </c>
      <c r="Q78" s="68">
        <v>94018000</v>
      </c>
      <c r="R78" s="46">
        <v>42</v>
      </c>
      <c r="S78" s="46">
        <v>17</v>
      </c>
      <c r="T78" s="46">
        <v>36</v>
      </c>
      <c r="U78" s="56">
        <v>1</v>
      </c>
      <c r="V78" s="46">
        <v>43.5</v>
      </c>
      <c r="W78" s="46">
        <v>38</v>
      </c>
      <c r="X78" s="46">
        <v>72</v>
      </c>
      <c r="Y78" s="46">
        <v>9.1999999999999993</v>
      </c>
      <c r="Z78" s="61">
        <f t="shared" si="5"/>
        <v>0.119016</v>
      </c>
      <c r="AA78" s="46" t="s">
        <v>42</v>
      </c>
      <c r="AB78" s="8"/>
      <c r="AC78" s="8"/>
    </row>
    <row r="79" spans="1:29" s="45" customFormat="1" ht="15.95" hidden="1" customHeight="1">
      <c r="A79" s="44">
        <v>28100002</v>
      </c>
      <c r="B79" s="45" t="s">
        <v>164</v>
      </c>
      <c r="C79" s="46" t="s">
        <v>35</v>
      </c>
      <c r="D79" s="47">
        <v>7350057582299</v>
      </c>
      <c r="E79" s="47" t="s">
        <v>77</v>
      </c>
      <c r="F79" s="47" t="s">
        <v>163</v>
      </c>
      <c r="G79" s="47" t="s">
        <v>38</v>
      </c>
      <c r="H79" s="47" t="s">
        <v>151</v>
      </c>
      <c r="I79" s="47" t="s">
        <v>152</v>
      </c>
      <c r="J79" s="47" t="str">
        <f t="shared" si="4"/>
        <v>EUR</v>
      </c>
      <c r="K79" s="7">
        <f>IF($J$1="SEK / NOK",(VLOOKUP(A79,'RRP data'!A:C,3,FALSE)),(IF($J$1="DKK",(VLOOKUP('RRP data'!A79,'RRP data'!A:D,4,FALSE)),(IF($J$1="EUR",(VLOOKUP(A79,'RRP data'!A:E,5,FALSE)))))))</f>
        <v>29</v>
      </c>
      <c r="L79" s="47"/>
      <c r="M79" s="46">
        <v>10</v>
      </c>
      <c r="N79" s="46">
        <v>1</v>
      </c>
      <c r="O79" s="46"/>
      <c r="P79" s="47" t="s">
        <v>41</v>
      </c>
      <c r="Q79" s="68">
        <v>94018000</v>
      </c>
      <c r="R79" s="46">
        <v>42</v>
      </c>
      <c r="S79" s="46">
        <v>17</v>
      </c>
      <c r="T79" s="46">
        <v>36</v>
      </c>
      <c r="U79" s="56">
        <v>1</v>
      </c>
      <c r="V79" s="46">
        <v>43.5</v>
      </c>
      <c r="W79" s="46">
        <v>38</v>
      </c>
      <c r="X79" s="46">
        <v>72</v>
      </c>
      <c r="Y79" s="46">
        <v>9.1999999999999993</v>
      </c>
      <c r="Z79" s="61">
        <f t="shared" si="5"/>
        <v>0.119016</v>
      </c>
      <c r="AA79" s="46" t="s">
        <v>42</v>
      </c>
      <c r="AB79" s="8"/>
      <c r="AC79" s="8"/>
    </row>
    <row r="80" spans="1:29" ht="15.95" hidden="1" customHeight="1">
      <c r="A80" s="20">
        <v>28100026</v>
      </c>
      <c r="B80" s="1" t="s">
        <v>165</v>
      </c>
      <c r="C80" s="8" t="s">
        <v>49</v>
      </c>
      <c r="D80" s="7">
        <v>7350057586150</v>
      </c>
      <c r="E80" s="7" t="s">
        <v>36</v>
      </c>
      <c r="F80" s="7" t="s">
        <v>163</v>
      </c>
      <c r="G80" s="7" t="s">
        <v>38</v>
      </c>
      <c r="H80" s="7" t="s">
        <v>151</v>
      </c>
      <c r="I80" s="7" t="s">
        <v>152</v>
      </c>
      <c r="J80" s="7" t="str">
        <f t="shared" si="4"/>
        <v>EUR</v>
      </c>
      <c r="K80" s="53">
        <f>IF($J$1="SEK / NOK",(VLOOKUP(A80,'RRP data'!A:C,3,FALSE)),(IF($J$1="DKK",(VLOOKUP('RRP data'!A80,'RRP data'!A:D,4,FALSE)),(IF($J$1="EUR",(VLOOKUP(A80,'RRP data'!A:E,5,FALSE)))))))</f>
        <v>40</v>
      </c>
      <c r="L80" s="7"/>
      <c r="M80" s="8">
        <v>10</v>
      </c>
      <c r="N80" s="8">
        <v>1</v>
      </c>
      <c r="P80" s="7" t="s">
        <v>41</v>
      </c>
      <c r="Q80" s="67">
        <v>94018000</v>
      </c>
      <c r="R80" s="8">
        <v>42</v>
      </c>
      <c r="S80" s="8">
        <v>17</v>
      </c>
      <c r="T80" s="8">
        <v>36</v>
      </c>
      <c r="U80" s="55">
        <v>1</v>
      </c>
      <c r="V80" s="27">
        <v>43.5</v>
      </c>
      <c r="W80" s="27">
        <v>38</v>
      </c>
      <c r="X80" s="27">
        <v>72</v>
      </c>
      <c r="Y80" s="8">
        <v>11.2</v>
      </c>
      <c r="Z80" s="60">
        <f t="shared" si="5"/>
        <v>0.119016</v>
      </c>
      <c r="AA80" s="8" t="s">
        <v>42</v>
      </c>
    </row>
    <row r="81" spans="1:27" ht="15.95" hidden="1" customHeight="1">
      <c r="A81" s="20">
        <v>28100027</v>
      </c>
      <c r="B81" s="1" t="s">
        <v>166</v>
      </c>
      <c r="C81" s="8" t="s">
        <v>55</v>
      </c>
      <c r="D81" s="7">
        <v>7350057586167</v>
      </c>
      <c r="E81" s="7" t="s">
        <v>36</v>
      </c>
      <c r="F81" s="7" t="s">
        <v>163</v>
      </c>
      <c r="G81" s="7" t="s">
        <v>38</v>
      </c>
      <c r="H81" s="7" t="s">
        <v>151</v>
      </c>
      <c r="I81" s="7" t="s">
        <v>152</v>
      </c>
      <c r="J81" s="7" t="str">
        <f t="shared" si="4"/>
        <v>EUR</v>
      </c>
      <c r="K81" s="53">
        <f>IF($J$1="SEK / NOK",(VLOOKUP(A81,'RRP data'!A:C,3,FALSE)),(IF($J$1="DKK",(VLOOKUP('RRP data'!A81,'RRP data'!A:D,4,FALSE)),(IF($J$1="EUR",(VLOOKUP(A81,'RRP data'!A:E,5,FALSE)))))))</f>
        <v>40</v>
      </c>
      <c r="L81" s="7"/>
      <c r="M81" s="8">
        <v>10</v>
      </c>
      <c r="N81" s="8">
        <v>1</v>
      </c>
      <c r="P81" s="7" t="s">
        <v>41</v>
      </c>
      <c r="Q81" s="67">
        <v>94018000</v>
      </c>
      <c r="R81" s="8">
        <v>42</v>
      </c>
      <c r="S81" s="8">
        <v>17</v>
      </c>
      <c r="T81" s="8">
        <v>36</v>
      </c>
      <c r="U81" s="55">
        <v>1</v>
      </c>
      <c r="V81" s="27">
        <v>43.5</v>
      </c>
      <c r="W81" s="27">
        <v>38</v>
      </c>
      <c r="X81" s="27">
        <v>72</v>
      </c>
      <c r="Y81" s="8">
        <v>11.2</v>
      </c>
      <c r="Z81" s="60">
        <f t="shared" si="5"/>
        <v>0.119016</v>
      </c>
      <c r="AA81" s="8" t="s">
        <v>42</v>
      </c>
    </row>
    <row r="82" spans="1:27" ht="15.95" hidden="1" customHeight="1">
      <c r="A82" s="20">
        <v>800003</v>
      </c>
      <c r="B82" s="1" t="s">
        <v>167</v>
      </c>
      <c r="C82" s="8" t="s">
        <v>44</v>
      </c>
      <c r="D82" s="7">
        <v>7350057580172</v>
      </c>
      <c r="E82" s="7" t="s">
        <v>36</v>
      </c>
      <c r="F82" s="7" t="s">
        <v>168</v>
      </c>
      <c r="G82" s="7" t="s">
        <v>169</v>
      </c>
      <c r="H82" s="7" t="s">
        <v>170</v>
      </c>
      <c r="I82" s="7" t="s">
        <v>170</v>
      </c>
      <c r="J82" s="7" t="str">
        <f t="shared" si="4"/>
        <v>EUR</v>
      </c>
      <c r="K82" s="53">
        <f>IF($J$1="SEK / NOK",(VLOOKUP(A82,'RRP data'!A:C,3,FALSE)),(IF($J$1="DKK",(VLOOKUP('RRP data'!A82,'RRP data'!A:D,4,FALSE)),(IF($J$1="EUR",(VLOOKUP(A82,'RRP data'!A:E,5,FALSE)))))))</f>
        <v>30</v>
      </c>
      <c r="L82" s="7"/>
      <c r="M82" s="8">
        <v>20</v>
      </c>
      <c r="N82" s="8">
        <v>1</v>
      </c>
      <c r="P82" s="7" t="s">
        <v>41</v>
      </c>
      <c r="Q82" s="67">
        <v>94019990</v>
      </c>
      <c r="R82" s="8">
        <v>139</v>
      </c>
      <c r="S82" s="8">
        <v>58</v>
      </c>
      <c r="T82" s="8">
        <v>1</v>
      </c>
      <c r="U82" s="55">
        <v>0.44</v>
      </c>
      <c r="V82" s="8">
        <v>23.5</v>
      </c>
      <c r="W82" s="8">
        <v>7</v>
      </c>
      <c r="X82" s="8">
        <v>37</v>
      </c>
      <c r="Y82" s="8">
        <v>0.65</v>
      </c>
      <c r="Z82" s="62">
        <f t="shared" si="5"/>
        <v>6.0864999999999999E-3</v>
      </c>
      <c r="AA82" s="8" t="s">
        <v>171</v>
      </c>
    </row>
    <row r="83" spans="1:27" ht="15.95" hidden="1" customHeight="1">
      <c r="A83" s="20">
        <v>800203</v>
      </c>
      <c r="B83" s="1" t="s">
        <v>172</v>
      </c>
      <c r="C83" s="8" t="s">
        <v>44</v>
      </c>
      <c r="D83" s="7">
        <v>7350057580196</v>
      </c>
      <c r="E83" s="7" t="s">
        <v>36</v>
      </c>
      <c r="F83" s="7" t="s">
        <v>168</v>
      </c>
      <c r="G83" s="7" t="s">
        <v>169</v>
      </c>
      <c r="H83" s="7" t="s">
        <v>170</v>
      </c>
      <c r="I83" s="7" t="s">
        <v>170</v>
      </c>
      <c r="J83" s="7" t="str">
        <f t="shared" si="4"/>
        <v>EUR</v>
      </c>
      <c r="K83" s="53">
        <f>IF($J$1="SEK / NOK",(VLOOKUP(A83,'RRP data'!A:C,3,FALSE)),(IF($J$1="DKK",(VLOOKUP('RRP data'!A83,'RRP data'!A:D,4,FALSE)),(IF($J$1="EUR",(VLOOKUP(A83,'RRP data'!A:E,5,FALSE)))))))</f>
        <v>30</v>
      </c>
      <c r="L83" s="7"/>
      <c r="M83" s="8">
        <v>70</v>
      </c>
      <c r="N83" s="8">
        <v>1</v>
      </c>
      <c r="P83" s="7" t="s">
        <v>41</v>
      </c>
      <c r="Q83" s="67">
        <v>94019990</v>
      </c>
      <c r="R83" s="8">
        <v>4</v>
      </c>
      <c r="S83" s="8">
        <v>110</v>
      </c>
      <c r="T83" s="8">
        <v>0.2</v>
      </c>
      <c r="U83" s="55">
        <v>0.14000000000000001</v>
      </c>
      <c r="V83" s="8">
        <v>13</v>
      </c>
      <c r="W83" s="8">
        <v>5</v>
      </c>
      <c r="X83" s="8">
        <v>9</v>
      </c>
      <c r="Y83" s="8">
        <v>0.18</v>
      </c>
      <c r="Z83" s="62">
        <f t="shared" si="5"/>
        <v>5.8500000000000002E-4</v>
      </c>
      <c r="AA83" s="8" t="s">
        <v>171</v>
      </c>
    </row>
    <row r="84" spans="1:27" ht="15.95" hidden="1" customHeight="1">
      <c r="A84" s="20">
        <v>800507</v>
      </c>
      <c r="B84" s="1" t="s">
        <v>173</v>
      </c>
      <c r="C84" s="8" t="s">
        <v>174</v>
      </c>
      <c r="D84" s="7">
        <v>7350057580226</v>
      </c>
      <c r="E84" s="7" t="s">
        <v>36</v>
      </c>
      <c r="F84" s="7" t="s">
        <v>168</v>
      </c>
      <c r="G84" s="7" t="s">
        <v>169</v>
      </c>
      <c r="H84" s="7" t="s">
        <v>170</v>
      </c>
      <c r="I84" s="7" t="s">
        <v>170</v>
      </c>
      <c r="J84" s="7" t="str">
        <f t="shared" si="4"/>
        <v>EUR</v>
      </c>
      <c r="K84" s="53">
        <f>IF($J$1="SEK / NOK",(VLOOKUP(A84,'RRP data'!A:C,3,FALSE)),(IF($J$1="DKK",(VLOOKUP('RRP data'!A84,'RRP data'!A:D,4,FALSE)),(IF($J$1="EUR",(VLOOKUP(A84,'RRP data'!A:E,5,FALSE)))))))</f>
        <v>19</v>
      </c>
      <c r="L84" s="7"/>
      <c r="M84" s="8">
        <v>100</v>
      </c>
      <c r="N84" s="8">
        <v>1</v>
      </c>
      <c r="P84" s="7" t="s">
        <v>41</v>
      </c>
      <c r="Q84" s="67">
        <v>94019990</v>
      </c>
      <c r="R84" s="8">
        <v>12</v>
      </c>
      <c r="S84" s="8">
        <v>12</v>
      </c>
      <c r="T84" s="8">
        <v>0.2</v>
      </c>
      <c r="U84" s="55">
        <v>1.7000000000000001E-2</v>
      </c>
      <c r="V84" s="8">
        <v>14</v>
      </c>
      <c r="W84" s="8">
        <v>5</v>
      </c>
      <c r="X84" s="8">
        <v>0.5</v>
      </c>
      <c r="Y84" s="8">
        <v>2.4E-2</v>
      </c>
      <c r="Z84" s="62">
        <f t="shared" si="5"/>
        <v>3.4999999999999997E-5</v>
      </c>
      <c r="AA84" s="8" t="s">
        <v>171</v>
      </c>
    </row>
    <row r="85" spans="1:27" ht="15.95" hidden="1" customHeight="1">
      <c r="A85" s="20">
        <v>800608</v>
      </c>
      <c r="B85" s="1" t="s">
        <v>175</v>
      </c>
      <c r="C85" s="8" t="s">
        <v>44</v>
      </c>
      <c r="D85" s="7">
        <v>7350057580233</v>
      </c>
      <c r="E85" s="7" t="s">
        <v>36</v>
      </c>
      <c r="F85" s="7" t="s">
        <v>168</v>
      </c>
      <c r="G85" s="7" t="s">
        <v>169</v>
      </c>
      <c r="H85" s="7" t="s">
        <v>170</v>
      </c>
      <c r="I85" s="7" t="s">
        <v>170</v>
      </c>
      <c r="J85" s="7" t="str">
        <f t="shared" si="4"/>
        <v>EUR</v>
      </c>
      <c r="K85" s="53">
        <f>IF($J$1="SEK / NOK",(VLOOKUP(A85,'RRP data'!A:C,3,FALSE)),(IF($J$1="DKK",(VLOOKUP('RRP data'!A85,'RRP data'!A:D,4,FALSE)),(IF($J$1="EUR",(VLOOKUP(A85,'RRP data'!A:E,5,FALSE)))))))</f>
        <v>19.899999999999999</v>
      </c>
      <c r="L85" s="7"/>
      <c r="M85" s="8">
        <v>100</v>
      </c>
      <c r="N85" s="8">
        <v>1</v>
      </c>
      <c r="P85" s="7" t="s">
        <v>41</v>
      </c>
      <c r="Q85" s="67">
        <v>94019990</v>
      </c>
      <c r="R85" s="8">
        <v>6</v>
      </c>
      <c r="S85" s="8">
        <v>2</v>
      </c>
      <c r="T85" s="8">
        <v>4</v>
      </c>
      <c r="U85" s="55">
        <v>0.08</v>
      </c>
      <c r="V85" s="8">
        <v>14</v>
      </c>
      <c r="W85" s="8">
        <v>5</v>
      </c>
      <c r="X85" s="8">
        <v>0.5</v>
      </c>
      <c r="Y85" s="8">
        <v>8.6999999999999994E-2</v>
      </c>
      <c r="Z85" s="62">
        <f t="shared" si="5"/>
        <v>3.4999999999999997E-5</v>
      </c>
      <c r="AA85" s="8" t="s">
        <v>171</v>
      </c>
    </row>
    <row r="86" spans="1:27" ht="15.95" hidden="1" customHeight="1">
      <c r="A86" s="20">
        <v>800803</v>
      </c>
      <c r="B86" s="1" t="s">
        <v>176</v>
      </c>
      <c r="C86" s="8" t="s">
        <v>44</v>
      </c>
      <c r="D86" s="7">
        <v>7350057580257</v>
      </c>
      <c r="E86" s="7" t="s">
        <v>36</v>
      </c>
      <c r="F86" s="7" t="s">
        <v>168</v>
      </c>
      <c r="G86" s="7" t="s">
        <v>169</v>
      </c>
      <c r="H86" s="7" t="s">
        <v>170</v>
      </c>
      <c r="I86" s="7" t="s">
        <v>170</v>
      </c>
      <c r="J86" s="7" t="str">
        <f t="shared" si="4"/>
        <v>EUR</v>
      </c>
      <c r="K86" s="53">
        <f>IF($J$1="SEK / NOK",(VLOOKUP(A86,'RRP data'!A:C,3,FALSE)),(IF($J$1="DKK",(VLOOKUP('RRP data'!A86,'RRP data'!A:D,4,FALSE)),(IF($J$1="EUR",(VLOOKUP(A86,'RRP data'!A:E,5,FALSE)))))))</f>
        <v>19</v>
      </c>
      <c r="L86" s="7"/>
      <c r="M86" s="8">
        <v>40</v>
      </c>
      <c r="N86" s="8">
        <v>1</v>
      </c>
      <c r="P86" s="7" t="s">
        <v>41</v>
      </c>
      <c r="Q86" s="67">
        <v>94019990</v>
      </c>
      <c r="R86" s="8">
        <v>47.5</v>
      </c>
      <c r="S86" s="8">
        <v>38</v>
      </c>
      <c r="T86" s="8">
        <v>1</v>
      </c>
      <c r="U86" s="55">
        <v>0.14499999999999999</v>
      </c>
      <c r="V86" s="8">
        <v>23.5</v>
      </c>
      <c r="W86" s="8">
        <v>7</v>
      </c>
      <c r="X86" s="8">
        <v>37</v>
      </c>
      <c r="Y86" s="8">
        <v>0.35499999999999998</v>
      </c>
      <c r="Z86" s="62">
        <f t="shared" si="5"/>
        <v>6.0864999999999999E-3</v>
      </c>
      <c r="AA86" s="8" t="s">
        <v>171</v>
      </c>
    </row>
    <row r="87" spans="1:27" ht="15.95" hidden="1" customHeight="1">
      <c r="A87" s="20">
        <v>801003</v>
      </c>
      <c r="B87" s="1" t="s">
        <v>177</v>
      </c>
      <c r="C87" s="8" t="s">
        <v>44</v>
      </c>
      <c r="D87" s="7">
        <v>7350057580509</v>
      </c>
      <c r="E87" s="7" t="s">
        <v>36</v>
      </c>
      <c r="F87" s="7" t="s">
        <v>168</v>
      </c>
      <c r="G87" s="7" t="s">
        <v>169</v>
      </c>
      <c r="H87" s="7" t="s">
        <v>170</v>
      </c>
      <c r="I87" s="7" t="s">
        <v>170</v>
      </c>
      <c r="J87" s="7" t="str">
        <f t="shared" si="4"/>
        <v>EUR</v>
      </c>
      <c r="K87" s="53">
        <f>IF($J$1="SEK / NOK",(VLOOKUP(A87,'RRP data'!A:C,3,FALSE)),(IF($J$1="DKK",(VLOOKUP('RRP data'!A87,'RRP data'!A:D,4,FALSE)),(IF($J$1="EUR",(VLOOKUP(A87,'RRP data'!A:E,5,FALSE)))))))</f>
        <v>19</v>
      </c>
      <c r="L87" s="7"/>
      <c r="M87" s="8">
        <v>100</v>
      </c>
      <c r="N87" s="8">
        <v>1</v>
      </c>
      <c r="P87" s="7" t="s">
        <v>41</v>
      </c>
      <c r="Q87" s="67">
        <v>94019990</v>
      </c>
      <c r="R87" s="8">
        <v>10</v>
      </c>
      <c r="S87" s="8">
        <v>5</v>
      </c>
      <c r="T87" s="8">
        <v>7</v>
      </c>
      <c r="U87" s="55">
        <v>3.5000000000000003E-2</v>
      </c>
      <c r="V87" s="8">
        <v>18</v>
      </c>
      <c r="W87" s="8">
        <v>6</v>
      </c>
      <c r="X87" s="8">
        <v>16</v>
      </c>
      <c r="Y87" s="8">
        <v>0.12</v>
      </c>
      <c r="Z87" s="62">
        <f t="shared" si="5"/>
        <v>1.7279999999999999E-3</v>
      </c>
      <c r="AA87" s="8" t="s">
        <v>171</v>
      </c>
    </row>
    <row r="88" spans="1:27" ht="15.95" hidden="1" customHeight="1">
      <c r="A88" s="20">
        <v>801106</v>
      </c>
      <c r="B88" s="1" t="s">
        <v>178</v>
      </c>
      <c r="C88" s="8" t="s">
        <v>179</v>
      </c>
      <c r="D88" s="7">
        <v>7350057580714</v>
      </c>
      <c r="E88" s="7" t="s">
        <v>36</v>
      </c>
      <c r="F88" s="7" t="s">
        <v>168</v>
      </c>
      <c r="G88" s="7" t="s">
        <v>169</v>
      </c>
      <c r="H88" s="7" t="s">
        <v>170</v>
      </c>
      <c r="I88" s="7" t="s">
        <v>170</v>
      </c>
      <c r="J88" s="7" t="str">
        <f t="shared" si="4"/>
        <v>EUR</v>
      </c>
      <c r="K88" s="53">
        <f>IF($J$1="SEK / NOK",(VLOOKUP(A88,'RRP data'!A:C,3,FALSE)),(IF($J$1="DKK",(VLOOKUP('RRP data'!A88,'RRP data'!A:D,4,FALSE)),(IF($J$1="EUR",(VLOOKUP(A88,'RRP data'!A:E,5,FALSE)))))))</f>
        <v>19</v>
      </c>
      <c r="L88" s="7"/>
      <c r="M88" s="8">
        <v>20</v>
      </c>
      <c r="N88" s="8">
        <v>1</v>
      </c>
      <c r="P88" s="7" t="s">
        <v>41</v>
      </c>
      <c r="Q88" s="67">
        <v>94019990</v>
      </c>
      <c r="R88" s="8">
        <v>85</v>
      </c>
      <c r="S88" s="8">
        <v>45</v>
      </c>
      <c r="T88" s="8">
        <v>0.2</v>
      </c>
      <c r="U88" s="55">
        <v>0.1</v>
      </c>
      <c r="V88" s="8">
        <v>30</v>
      </c>
      <c r="W88" s="8">
        <v>30</v>
      </c>
      <c r="X88" s="8">
        <v>0.5</v>
      </c>
      <c r="Y88" s="8">
        <v>0.10299999999999999</v>
      </c>
      <c r="Z88" s="62">
        <f t="shared" si="5"/>
        <v>4.4999999999999999E-4</v>
      </c>
      <c r="AA88" s="8" t="s">
        <v>42</v>
      </c>
    </row>
    <row r="89" spans="1:27" ht="15.95" hidden="1" customHeight="1">
      <c r="A89" s="20">
        <v>801206</v>
      </c>
      <c r="B89" s="1" t="s">
        <v>180</v>
      </c>
      <c r="C89" s="8" t="s">
        <v>179</v>
      </c>
      <c r="D89" s="7">
        <v>7350057580721</v>
      </c>
      <c r="E89" s="7" t="s">
        <v>36</v>
      </c>
      <c r="F89" s="7" t="s">
        <v>168</v>
      </c>
      <c r="G89" s="7" t="s">
        <v>169</v>
      </c>
      <c r="H89" s="7" t="s">
        <v>170</v>
      </c>
      <c r="I89" s="7" t="s">
        <v>170</v>
      </c>
      <c r="J89" s="7" t="str">
        <f t="shared" si="4"/>
        <v>EUR</v>
      </c>
      <c r="K89" s="53">
        <f>IF($J$1="SEK / NOK",(VLOOKUP(A89,'RRP data'!A:C,3,FALSE)),(IF($J$1="DKK",(VLOOKUP('RRP data'!A89,'RRP data'!A:D,4,FALSE)),(IF($J$1="EUR",(VLOOKUP(A89,'RRP data'!A:E,5,FALSE)))))))</f>
        <v>19</v>
      </c>
      <c r="L89" s="7"/>
      <c r="M89" s="8">
        <v>20</v>
      </c>
      <c r="N89" s="8">
        <v>1</v>
      </c>
      <c r="P89" s="7" t="s">
        <v>41</v>
      </c>
      <c r="Q89" s="67">
        <v>94019990</v>
      </c>
      <c r="R89" s="8">
        <v>85</v>
      </c>
      <c r="S89" s="8">
        <v>45</v>
      </c>
      <c r="T89" s="8">
        <v>0.2</v>
      </c>
      <c r="U89" s="55">
        <v>5.1999999999999998E-2</v>
      </c>
      <c r="V89" s="8">
        <v>30</v>
      </c>
      <c r="W89" s="8">
        <v>30</v>
      </c>
      <c r="X89" s="8">
        <v>0.5</v>
      </c>
      <c r="Y89" s="8">
        <v>0.23</v>
      </c>
      <c r="Z89" s="62">
        <f t="shared" si="5"/>
        <v>4.4999999999999999E-4</v>
      </c>
      <c r="AA89" s="8" t="s">
        <v>171</v>
      </c>
    </row>
    <row r="90" spans="1:27" ht="15.95" hidden="1" customHeight="1">
      <c r="A90" s="20">
        <v>801403</v>
      </c>
      <c r="B90" s="1" t="s">
        <v>181</v>
      </c>
      <c r="C90" s="8" t="s">
        <v>44</v>
      </c>
      <c r="D90" s="7">
        <v>7350057581087</v>
      </c>
      <c r="E90" s="7" t="s">
        <v>36</v>
      </c>
      <c r="F90" s="7" t="s">
        <v>168</v>
      </c>
      <c r="G90" s="7" t="s">
        <v>169</v>
      </c>
      <c r="H90" s="7" t="s">
        <v>170</v>
      </c>
      <c r="I90" s="7" t="s">
        <v>170</v>
      </c>
      <c r="J90" s="7" t="str">
        <f t="shared" si="4"/>
        <v>EUR</v>
      </c>
      <c r="K90" s="53">
        <f>IF($J$1="SEK / NOK",(VLOOKUP(A90,'RRP data'!A:C,3,FALSE)),(IF($J$1="DKK",(VLOOKUP('RRP data'!A90,'RRP data'!A:D,4,FALSE)),(IF($J$1="EUR",(VLOOKUP(A90,'RRP data'!A:E,5,FALSE)))))))</f>
        <v>17</v>
      </c>
      <c r="L90" s="7"/>
      <c r="M90" s="8">
        <v>40</v>
      </c>
      <c r="N90" s="8">
        <v>1</v>
      </c>
      <c r="P90" s="7" t="s">
        <v>41</v>
      </c>
      <c r="Q90" s="67">
        <v>94019990</v>
      </c>
      <c r="R90" s="8">
        <v>16.5</v>
      </c>
      <c r="S90" s="8">
        <v>23</v>
      </c>
      <c r="T90" s="8">
        <v>7.5</v>
      </c>
      <c r="U90" s="55">
        <v>0.26300000000000001</v>
      </c>
      <c r="V90" s="8">
        <v>30</v>
      </c>
      <c r="W90" s="8">
        <v>8</v>
      </c>
      <c r="X90" s="8">
        <v>20</v>
      </c>
      <c r="Y90" s="8">
        <v>0.44</v>
      </c>
      <c r="Z90" s="62">
        <f t="shared" si="5"/>
        <v>4.7999999999999996E-3</v>
      </c>
      <c r="AA90" s="8" t="s">
        <v>171</v>
      </c>
    </row>
    <row r="91" spans="1:27" ht="15.95" hidden="1" customHeight="1">
      <c r="A91" s="20">
        <v>803303</v>
      </c>
      <c r="B91" s="1" t="s">
        <v>182</v>
      </c>
      <c r="C91" s="8" t="s">
        <v>44</v>
      </c>
      <c r="D91" s="7">
        <v>7350057581339</v>
      </c>
      <c r="E91" s="7" t="s">
        <v>36</v>
      </c>
      <c r="F91" s="7" t="s">
        <v>168</v>
      </c>
      <c r="G91" s="7" t="s">
        <v>169</v>
      </c>
      <c r="H91" s="7" t="s">
        <v>170</v>
      </c>
      <c r="I91" s="7" t="s">
        <v>170</v>
      </c>
      <c r="J91" s="7" t="str">
        <f t="shared" si="4"/>
        <v>EUR</v>
      </c>
      <c r="K91" s="53">
        <f>IF($J$1="SEK / NOK",(VLOOKUP(A91,'RRP data'!A:C,3,FALSE)),(IF($J$1="DKK",(VLOOKUP('RRP data'!A91,'RRP data'!A:D,4,FALSE)),(IF($J$1="EUR",(VLOOKUP(A91,'RRP data'!A:E,5,FALSE)))))))</f>
        <v>19</v>
      </c>
      <c r="L91" s="7"/>
      <c r="M91" s="8">
        <v>10</v>
      </c>
      <c r="N91" s="8">
        <v>1</v>
      </c>
      <c r="P91" s="7" t="s">
        <v>41</v>
      </c>
      <c r="Q91" s="67">
        <v>94019990</v>
      </c>
      <c r="R91" s="8">
        <v>21.5</v>
      </c>
      <c r="S91" s="8">
        <v>17.5</v>
      </c>
      <c r="U91" s="55">
        <v>0.71</v>
      </c>
      <c r="V91" s="8">
        <v>30</v>
      </c>
      <c r="W91" s="8">
        <v>8</v>
      </c>
      <c r="X91" s="8">
        <v>20</v>
      </c>
      <c r="Y91" s="8">
        <v>1.05</v>
      </c>
      <c r="Z91" s="62">
        <f t="shared" si="5"/>
        <v>4.7999999999999996E-3</v>
      </c>
      <c r="AA91" s="8" t="s">
        <v>171</v>
      </c>
    </row>
    <row r="92" spans="1:27" ht="15.95" hidden="1" customHeight="1">
      <c r="A92" s="20">
        <v>803803</v>
      </c>
      <c r="B92" s="1" t="s">
        <v>183</v>
      </c>
      <c r="C92" s="8" t="s">
        <v>44</v>
      </c>
      <c r="D92" s="7">
        <v>7350057582008</v>
      </c>
      <c r="E92" s="7" t="s">
        <v>36</v>
      </c>
      <c r="F92" s="7" t="s">
        <v>168</v>
      </c>
      <c r="G92" s="7" t="s">
        <v>169</v>
      </c>
      <c r="H92" s="7" t="s">
        <v>170</v>
      </c>
      <c r="I92" s="7" t="s">
        <v>170</v>
      </c>
      <c r="J92" s="7" t="str">
        <f t="shared" si="4"/>
        <v>EUR</v>
      </c>
      <c r="K92" s="53">
        <f>IF($J$1="SEK / NOK",(VLOOKUP(A92,'RRP data'!A:C,3,FALSE)),(IF($J$1="DKK",(VLOOKUP('RRP data'!A92,'RRP data'!A:D,4,FALSE)),(IF($J$1="EUR",(VLOOKUP(A92,'RRP data'!A:E,5,FALSE)))))))</f>
        <v>50</v>
      </c>
      <c r="L92" s="7"/>
      <c r="M92" s="8">
        <v>10</v>
      </c>
      <c r="N92" s="8">
        <v>1</v>
      </c>
      <c r="P92" s="7" t="s">
        <v>41</v>
      </c>
      <c r="Q92" s="67">
        <v>94019990</v>
      </c>
      <c r="R92" s="8">
        <v>122</v>
      </c>
      <c r="S92" s="8">
        <v>47</v>
      </c>
      <c r="T92" s="8">
        <v>1</v>
      </c>
      <c r="U92" s="57">
        <v>0.5</v>
      </c>
      <c r="V92" s="8">
        <v>29.5</v>
      </c>
      <c r="W92" s="8">
        <v>8</v>
      </c>
      <c r="X92" s="8">
        <v>58</v>
      </c>
      <c r="Y92" s="8">
        <v>1</v>
      </c>
      <c r="Z92" s="62">
        <f t="shared" si="5"/>
        <v>1.3688000000000001E-2</v>
      </c>
      <c r="AA92" s="8" t="s">
        <v>171</v>
      </c>
    </row>
    <row r="93" spans="1:27" ht="15.95" hidden="1" customHeight="1">
      <c r="A93" s="20">
        <v>803906</v>
      </c>
      <c r="B93" s="1" t="s">
        <v>184</v>
      </c>
      <c r="C93" s="8" t="s">
        <v>35</v>
      </c>
      <c r="D93" s="7">
        <v>7350057582015</v>
      </c>
      <c r="E93" s="7" t="s">
        <v>36</v>
      </c>
      <c r="F93" s="7" t="s">
        <v>168</v>
      </c>
      <c r="G93" s="7" t="s">
        <v>169</v>
      </c>
      <c r="H93" s="7" t="s">
        <v>170</v>
      </c>
      <c r="I93" s="7" t="s">
        <v>170</v>
      </c>
      <c r="J93" s="7" t="str">
        <f t="shared" si="4"/>
        <v>EUR</v>
      </c>
      <c r="K93" s="53">
        <f>IF($J$1="SEK / NOK",(VLOOKUP(A93,'RRP data'!A:C,3,FALSE)),(IF($J$1="DKK",(VLOOKUP('RRP data'!A93,'RRP data'!A:D,4,FALSE)),(IF($J$1="EUR",(VLOOKUP(A93,'RRP data'!A:E,5,FALSE)))))))</f>
        <v>9</v>
      </c>
      <c r="L93" s="7"/>
      <c r="M93" s="8">
        <v>48</v>
      </c>
      <c r="N93" s="8">
        <v>1</v>
      </c>
      <c r="P93" s="7" t="s">
        <v>41</v>
      </c>
      <c r="Q93" s="67">
        <v>94019990</v>
      </c>
      <c r="R93" s="8">
        <v>38</v>
      </c>
      <c r="S93" s="8">
        <v>44</v>
      </c>
      <c r="T93" s="8">
        <v>0.2</v>
      </c>
      <c r="U93" s="55">
        <v>0.16</v>
      </c>
      <c r="V93" s="8">
        <v>18</v>
      </c>
      <c r="W93" s="8">
        <v>6</v>
      </c>
      <c r="X93" s="8">
        <v>16</v>
      </c>
      <c r="Y93" s="8">
        <v>0.33</v>
      </c>
      <c r="Z93" s="62">
        <f t="shared" si="5"/>
        <v>1.7279999999999999E-3</v>
      </c>
      <c r="AA93" s="8" t="s">
        <v>171</v>
      </c>
    </row>
    <row r="94" spans="1:27" ht="15.95" hidden="1" customHeight="1">
      <c r="A94" s="20">
        <v>804003</v>
      </c>
      <c r="B94" s="1" t="s">
        <v>185</v>
      </c>
      <c r="C94" s="8" t="s">
        <v>44</v>
      </c>
      <c r="D94" s="7">
        <v>7350057582022</v>
      </c>
      <c r="E94" s="7" t="s">
        <v>36</v>
      </c>
      <c r="F94" s="7" t="s">
        <v>168</v>
      </c>
      <c r="G94" s="7" t="s">
        <v>169</v>
      </c>
      <c r="H94" s="7" t="s">
        <v>170</v>
      </c>
      <c r="I94" s="7" t="s">
        <v>170</v>
      </c>
      <c r="J94" s="7" t="str">
        <f t="shared" si="4"/>
        <v>EUR</v>
      </c>
      <c r="K94" s="53">
        <f>IF($J$1="SEK / NOK",(VLOOKUP(A94,'RRP data'!A:C,3,FALSE)),(IF($J$1="DKK",(VLOOKUP('RRP data'!A94,'RRP data'!A:D,4,FALSE)),(IF($J$1="EUR",(VLOOKUP(A94,'RRP data'!A:E,5,FALSE)))))))</f>
        <v>18</v>
      </c>
      <c r="L94" s="7"/>
      <c r="M94" s="8">
        <v>20</v>
      </c>
      <c r="N94" s="8">
        <v>1</v>
      </c>
      <c r="P94" s="7" t="s">
        <v>41</v>
      </c>
      <c r="Q94" s="67">
        <v>94019990</v>
      </c>
      <c r="R94" s="8">
        <v>27.5</v>
      </c>
      <c r="S94" s="8">
        <v>19.5</v>
      </c>
      <c r="T94" s="8">
        <v>2</v>
      </c>
      <c r="U94" s="55">
        <v>0.24</v>
      </c>
      <c r="V94" s="8">
        <v>30</v>
      </c>
      <c r="W94" s="8">
        <v>8</v>
      </c>
      <c r="X94" s="8">
        <v>20</v>
      </c>
      <c r="Y94" s="8">
        <v>0.45</v>
      </c>
      <c r="Z94" s="62">
        <f t="shared" si="5"/>
        <v>4.7999999999999996E-3</v>
      </c>
      <c r="AA94" s="8" t="s">
        <v>171</v>
      </c>
    </row>
    <row r="95" spans="1:27" ht="15.95" hidden="1" customHeight="1">
      <c r="A95" s="20">
        <v>804103</v>
      </c>
      <c r="B95" s="1" t="s">
        <v>186</v>
      </c>
      <c r="C95" s="8" t="s">
        <v>44</v>
      </c>
      <c r="D95" s="7">
        <v>7350057582039</v>
      </c>
      <c r="E95" s="7" t="s">
        <v>36</v>
      </c>
      <c r="F95" s="7" t="s">
        <v>168</v>
      </c>
      <c r="G95" s="7" t="s">
        <v>169</v>
      </c>
      <c r="H95" s="7" t="s">
        <v>170</v>
      </c>
      <c r="I95" s="7" t="s">
        <v>170</v>
      </c>
      <c r="J95" s="7" t="str">
        <f t="shared" si="4"/>
        <v>EUR</v>
      </c>
      <c r="K95" s="53">
        <f>IF($J$1="SEK / NOK",(VLOOKUP(A95,'RRP data'!A:C,3,FALSE)),(IF($J$1="DKK",(VLOOKUP('RRP data'!A95,'RRP data'!A:D,4,FALSE)),(IF($J$1="EUR",(VLOOKUP(A95,'RRP data'!A:E,5,FALSE)))))))</f>
        <v>19</v>
      </c>
      <c r="L95" s="7"/>
      <c r="M95" s="8">
        <v>20</v>
      </c>
      <c r="N95" s="8">
        <v>1</v>
      </c>
      <c r="P95" s="7" t="s">
        <v>41</v>
      </c>
      <c r="Q95" s="67">
        <v>94019990</v>
      </c>
      <c r="R95" s="8">
        <v>42.5</v>
      </c>
      <c r="S95" s="8">
        <v>57</v>
      </c>
      <c r="T95" s="8">
        <v>1</v>
      </c>
      <c r="U95" s="55">
        <v>0.16</v>
      </c>
      <c r="V95" s="8">
        <v>23.5</v>
      </c>
      <c r="W95" s="8">
        <v>7</v>
      </c>
      <c r="X95" s="8">
        <v>37</v>
      </c>
      <c r="Y95" s="8">
        <v>0.16</v>
      </c>
      <c r="Z95" s="62">
        <f t="shared" si="5"/>
        <v>6.0864999999999999E-3</v>
      </c>
      <c r="AA95" s="8" t="s">
        <v>171</v>
      </c>
    </row>
    <row r="96" spans="1:27" ht="15.95" hidden="1" customHeight="1">
      <c r="A96" s="20">
        <v>804303</v>
      </c>
      <c r="B96" s="1" t="s">
        <v>187</v>
      </c>
      <c r="C96" s="8" t="s">
        <v>44</v>
      </c>
      <c r="D96" s="7">
        <v>7350057582060</v>
      </c>
      <c r="E96" s="7" t="s">
        <v>36</v>
      </c>
      <c r="F96" s="7" t="s">
        <v>168</v>
      </c>
      <c r="G96" s="7" t="s">
        <v>169</v>
      </c>
      <c r="H96" s="7" t="s">
        <v>170</v>
      </c>
      <c r="I96" s="7" t="s">
        <v>170</v>
      </c>
      <c r="J96" s="7" t="str">
        <f t="shared" si="4"/>
        <v>EUR</v>
      </c>
      <c r="K96" s="53">
        <f>IF($J$1="SEK / NOK",(VLOOKUP(A96,'RRP data'!A:C,3,FALSE)),(IF($J$1="DKK",(VLOOKUP('RRP data'!A96,'RRP data'!A:D,4,FALSE)),(IF($J$1="EUR",(VLOOKUP(A96,'RRP data'!A:E,5,FALSE)))))))</f>
        <v>29</v>
      </c>
      <c r="L96" s="7"/>
      <c r="M96" s="8">
        <v>100</v>
      </c>
      <c r="N96" s="8">
        <v>1</v>
      </c>
      <c r="P96" s="7" t="s">
        <v>41</v>
      </c>
      <c r="Q96" s="67">
        <v>94019990</v>
      </c>
      <c r="R96" s="8">
        <v>4</v>
      </c>
      <c r="S96" s="8">
        <v>133</v>
      </c>
      <c r="T96" s="8">
        <v>0.2</v>
      </c>
      <c r="U96" s="55">
        <v>0.14000000000000001</v>
      </c>
      <c r="V96" s="8">
        <v>18</v>
      </c>
      <c r="W96" s="8">
        <v>6</v>
      </c>
      <c r="X96" s="8">
        <v>16</v>
      </c>
      <c r="Y96" s="8">
        <v>0.15</v>
      </c>
      <c r="Z96" s="62">
        <f t="shared" si="5"/>
        <v>1.7279999999999999E-3</v>
      </c>
      <c r="AA96" s="8" t="s">
        <v>171</v>
      </c>
    </row>
    <row r="97" spans="1:27" ht="15.95" hidden="1" customHeight="1">
      <c r="A97" s="20">
        <v>804403</v>
      </c>
      <c r="B97" s="1" t="s">
        <v>188</v>
      </c>
      <c r="C97" s="8" t="s">
        <v>44</v>
      </c>
      <c r="D97" s="7">
        <v>7350057582121</v>
      </c>
      <c r="E97" s="7" t="s">
        <v>36</v>
      </c>
      <c r="F97" s="7" t="s">
        <v>168</v>
      </c>
      <c r="G97" s="7" t="s">
        <v>169</v>
      </c>
      <c r="H97" s="7" t="s">
        <v>170</v>
      </c>
      <c r="I97" s="7" t="s">
        <v>170</v>
      </c>
      <c r="J97" s="7" t="str">
        <f t="shared" si="4"/>
        <v>EUR</v>
      </c>
      <c r="K97" s="53">
        <f>IF($J$1="SEK / NOK",(VLOOKUP(A97,'RRP data'!A:C,3,FALSE)),(IF($J$1="DKK",(VLOOKUP('RRP data'!A97,'RRP data'!A:D,4,FALSE)),(IF($J$1="EUR",(VLOOKUP(A97,'RRP data'!A:E,5,FALSE)))))))</f>
        <v>55</v>
      </c>
      <c r="L97" s="7"/>
      <c r="M97" s="8">
        <v>1</v>
      </c>
      <c r="N97" s="8">
        <v>1</v>
      </c>
      <c r="P97" s="7" t="s">
        <v>41</v>
      </c>
      <c r="Q97" s="67">
        <v>94019990</v>
      </c>
      <c r="R97" s="8" t="s">
        <v>170</v>
      </c>
      <c r="S97" s="8" t="s">
        <v>170</v>
      </c>
      <c r="T97" s="8" t="s">
        <v>170</v>
      </c>
      <c r="U97" s="55">
        <v>1.5</v>
      </c>
      <c r="V97" s="8">
        <v>29.5</v>
      </c>
      <c r="W97" s="8">
        <v>8</v>
      </c>
      <c r="X97" s="8">
        <v>58</v>
      </c>
      <c r="Y97" s="8">
        <v>2</v>
      </c>
      <c r="Z97" s="62">
        <f t="shared" si="5"/>
        <v>1.3688000000000001E-2</v>
      </c>
      <c r="AA97" s="8" t="s">
        <v>171</v>
      </c>
    </row>
    <row r="98" spans="1:27" ht="15.95" hidden="1" customHeight="1">
      <c r="A98" s="20">
        <v>804503</v>
      </c>
      <c r="B98" s="1" t="s">
        <v>189</v>
      </c>
      <c r="C98" s="8" t="s">
        <v>44</v>
      </c>
      <c r="D98" s="7">
        <v>7350057582749</v>
      </c>
      <c r="E98" s="7" t="s">
        <v>36</v>
      </c>
      <c r="F98" s="7" t="s">
        <v>168</v>
      </c>
      <c r="G98" s="7" t="s">
        <v>169</v>
      </c>
      <c r="H98" s="7" t="s">
        <v>170</v>
      </c>
      <c r="I98" s="7" t="s">
        <v>170</v>
      </c>
      <c r="J98" s="7" t="str">
        <f t="shared" si="4"/>
        <v>EUR</v>
      </c>
      <c r="K98" s="53">
        <f>IF($J$1="SEK / NOK",(VLOOKUP(A98,'RRP data'!A:C,3,FALSE)),(IF($J$1="DKK",(VLOOKUP('RRP data'!A98,'RRP data'!A:D,4,FALSE)),(IF($J$1="EUR",(VLOOKUP(A98,'RRP data'!A:E,5,FALSE)))))))</f>
        <v>35</v>
      </c>
      <c r="L98" s="7"/>
      <c r="M98" s="8">
        <v>40</v>
      </c>
      <c r="N98" s="8">
        <v>1</v>
      </c>
      <c r="P98" s="7" t="s">
        <v>41</v>
      </c>
      <c r="Q98" s="67">
        <v>94019990</v>
      </c>
      <c r="R98" s="8">
        <v>41</v>
      </c>
      <c r="S98" s="8">
        <v>21</v>
      </c>
      <c r="T98" s="8">
        <v>47</v>
      </c>
      <c r="U98" s="55">
        <v>0.3</v>
      </c>
      <c r="V98" s="8">
        <v>30</v>
      </c>
      <c r="W98" s="8">
        <v>8</v>
      </c>
      <c r="X98" s="8">
        <v>20</v>
      </c>
      <c r="Y98" s="8">
        <v>0.61</v>
      </c>
      <c r="Z98" s="62">
        <f t="shared" si="5"/>
        <v>4.7999999999999996E-3</v>
      </c>
      <c r="AA98" s="8" t="s">
        <v>171</v>
      </c>
    </row>
    <row r="99" spans="1:27" ht="15.95" hidden="1" customHeight="1">
      <c r="A99" s="20">
        <v>804603</v>
      </c>
      <c r="B99" s="1" t="s">
        <v>190</v>
      </c>
      <c r="C99" s="8" t="s">
        <v>44</v>
      </c>
      <c r="D99" s="7">
        <v>7350057582756</v>
      </c>
      <c r="E99" s="7" t="s">
        <v>36</v>
      </c>
      <c r="F99" s="7" t="s">
        <v>168</v>
      </c>
      <c r="G99" s="7" t="s">
        <v>169</v>
      </c>
      <c r="H99" s="7" t="s">
        <v>170</v>
      </c>
      <c r="I99" s="7" t="s">
        <v>170</v>
      </c>
      <c r="J99" s="7" t="str">
        <f t="shared" ref="J99:J113" si="6">$J$1</f>
        <v>EUR</v>
      </c>
      <c r="K99" s="53">
        <f>IF($J$1="SEK / NOK",(VLOOKUP(A99,'RRP data'!A:C,3,FALSE)),(IF($J$1="DKK",(VLOOKUP('RRP data'!A99,'RRP data'!A:D,4,FALSE)),(IF($J$1="EUR",(VLOOKUP(A99,'RRP data'!A:E,5,FALSE)))))))</f>
        <v>29</v>
      </c>
      <c r="L99" s="7"/>
      <c r="M99" s="8">
        <v>10</v>
      </c>
      <c r="N99" s="8">
        <v>1</v>
      </c>
      <c r="P99" s="7" t="s">
        <v>41</v>
      </c>
      <c r="Q99" s="67">
        <v>94019990</v>
      </c>
      <c r="R99" s="8">
        <v>8</v>
      </c>
      <c r="S99" s="8">
        <v>27.5</v>
      </c>
      <c r="T99" s="8">
        <v>3.5</v>
      </c>
      <c r="U99" s="55">
        <v>0.5</v>
      </c>
      <c r="V99" s="8">
        <v>30</v>
      </c>
      <c r="W99" s="8">
        <v>8</v>
      </c>
      <c r="X99" s="8">
        <v>20</v>
      </c>
      <c r="Y99" s="8">
        <v>0.8</v>
      </c>
      <c r="Z99" s="62">
        <f t="shared" ref="Z99:Z116" si="7">PRODUCT(V99:X99)/1000000</f>
        <v>4.7999999999999996E-3</v>
      </c>
      <c r="AA99" s="8" t="s">
        <v>171</v>
      </c>
    </row>
    <row r="100" spans="1:27" ht="15.95" hidden="1" customHeight="1">
      <c r="A100" s="20">
        <v>804916</v>
      </c>
      <c r="B100" s="1" t="s">
        <v>191</v>
      </c>
      <c r="C100" s="8" t="s">
        <v>49</v>
      </c>
      <c r="D100" s="7">
        <v>7350057584347</v>
      </c>
      <c r="E100" s="7" t="s">
        <v>36</v>
      </c>
      <c r="F100" s="7" t="s">
        <v>168</v>
      </c>
      <c r="G100" s="7" t="s">
        <v>169</v>
      </c>
      <c r="H100" s="7" t="s">
        <v>170</v>
      </c>
      <c r="I100" s="7" t="s">
        <v>170</v>
      </c>
      <c r="J100" s="7" t="str">
        <f t="shared" si="6"/>
        <v>EUR</v>
      </c>
      <c r="K100" s="53">
        <f>IF($J$1="SEK / NOK",(VLOOKUP(A100,'RRP data'!A:C,3,FALSE)),(IF($J$1="DKK",(VLOOKUP('RRP data'!A100,'RRP data'!A:D,4,FALSE)),(IF($J$1="EUR",(VLOOKUP(A100,'RRP data'!A:E,5,FALSE)))))))</f>
        <v>99</v>
      </c>
      <c r="L100" s="7"/>
      <c r="M100" s="8">
        <v>1</v>
      </c>
      <c r="N100" s="8">
        <v>1</v>
      </c>
      <c r="P100" s="7" t="s">
        <v>41</v>
      </c>
      <c r="Q100" s="67">
        <v>94019990</v>
      </c>
      <c r="R100" s="8">
        <v>21</v>
      </c>
      <c r="S100" s="8">
        <v>1.5</v>
      </c>
      <c r="T100" s="8">
        <v>17</v>
      </c>
      <c r="U100" s="55">
        <v>0.4</v>
      </c>
      <c r="V100" s="8">
        <v>23.5</v>
      </c>
      <c r="W100" s="8">
        <v>3.8</v>
      </c>
      <c r="X100" s="8">
        <v>19.3</v>
      </c>
      <c r="Y100" s="8">
        <v>0.8</v>
      </c>
      <c r="Z100" s="62">
        <f t="shared" si="7"/>
        <v>1.72349E-3</v>
      </c>
      <c r="AA100" s="8" t="s">
        <v>171</v>
      </c>
    </row>
    <row r="101" spans="1:27" ht="15.95" hidden="1" customHeight="1">
      <c r="A101" s="20">
        <v>805006</v>
      </c>
      <c r="B101" s="1" t="s">
        <v>192</v>
      </c>
      <c r="C101" s="8" t="s">
        <v>179</v>
      </c>
      <c r="D101" s="7">
        <v>7350057584798</v>
      </c>
      <c r="E101" s="7" t="s">
        <v>36</v>
      </c>
      <c r="F101" s="7" t="s">
        <v>168</v>
      </c>
      <c r="G101" s="7" t="s">
        <v>169</v>
      </c>
      <c r="H101" s="7" t="s">
        <v>170</v>
      </c>
      <c r="I101" s="7" t="s">
        <v>170</v>
      </c>
      <c r="J101" s="7" t="str">
        <f t="shared" si="6"/>
        <v>EUR</v>
      </c>
      <c r="K101" s="53">
        <f>IF($J$1="SEK / NOK",(VLOOKUP(A101,'RRP data'!A:C,3,FALSE)),(IF($J$1="DKK",(VLOOKUP('RRP data'!A101,'RRP data'!A:D,4,FALSE)),(IF($J$1="EUR",(VLOOKUP(A101,'RRP data'!A:E,5,FALSE)))))))</f>
        <v>50</v>
      </c>
      <c r="L101" s="7"/>
      <c r="M101" s="8">
        <v>1</v>
      </c>
      <c r="N101" s="8">
        <v>1</v>
      </c>
      <c r="P101" s="7" t="s">
        <v>41</v>
      </c>
      <c r="Q101" s="67">
        <v>94019990</v>
      </c>
      <c r="R101" s="8">
        <v>85</v>
      </c>
      <c r="S101" s="8">
        <v>45</v>
      </c>
      <c r="T101" s="8">
        <v>0.2</v>
      </c>
      <c r="U101" s="55">
        <v>0.2</v>
      </c>
      <c r="V101" s="8">
        <v>7</v>
      </c>
      <c r="W101" s="8">
        <v>20</v>
      </c>
      <c r="X101" s="8">
        <v>30</v>
      </c>
      <c r="Y101" s="8">
        <v>0.25</v>
      </c>
      <c r="Z101" s="62">
        <f t="shared" si="7"/>
        <v>4.1999999999999997E-3</v>
      </c>
      <c r="AA101" s="8" t="s">
        <v>42</v>
      </c>
    </row>
    <row r="102" spans="1:27" ht="15.95" hidden="1" customHeight="1">
      <c r="A102" s="20">
        <v>805007</v>
      </c>
      <c r="B102" s="1" t="s">
        <v>193</v>
      </c>
      <c r="C102" s="8" t="s">
        <v>179</v>
      </c>
      <c r="D102" s="7">
        <v>7350057587843</v>
      </c>
      <c r="E102" s="7" t="s">
        <v>36</v>
      </c>
      <c r="F102" s="7" t="s">
        <v>168</v>
      </c>
      <c r="G102" s="7" t="s">
        <v>169</v>
      </c>
      <c r="H102" s="7" t="s">
        <v>170</v>
      </c>
      <c r="I102" s="7" t="s">
        <v>170</v>
      </c>
      <c r="J102" s="7" t="str">
        <f t="shared" si="6"/>
        <v>EUR</v>
      </c>
      <c r="K102" s="53">
        <f>IF($J$1="SEK / NOK",(VLOOKUP(A102,'RRP data'!A:C,3,FALSE)),(IF($J$1="DKK",(VLOOKUP('RRP data'!A102,'RRP data'!A:D,4,FALSE)),(IF($J$1="EUR",(VLOOKUP(A102,'RRP data'!A:E,5,FALSE)))))))</f>
        <v>50</v>
      </c>
      <c r="L102" s="7"/>
      <c r="M102" s="8">
        <v>1</v>
      </c>
      <c r="N102" s="8">
        <v>1</v>
      </c>
      <c r="P102" s="7" t="s">
        <v>41</v>
      </c>
      <c r="Q102" s="67">
        <v>94019990</v>
      </c>
      <c r="R102" s="8">
        <v>85</v>
      </c>
      <c r="S102" s="8">
        <v>45</v>
      </c>
      <c r="T102" s="8">
        <v>0.2</v>
      </c>
      <c r="U102" s="55">
        <v>0.2</v>
      </c>
      <c r="V102" s="8">
        <v>7</v>
      </c>
      <c r="W102" s="8">
        <v>20</v>
      </c>
      <c r="X102" s="8">
        <v>30</v>
      </c>
      <c r="Y102" s="8">
        <v>0.25</v>
      </c>
      <c r="Z102" s="62">
        <f t="shared" si="7"/>
        <v>4.1999999999999997E-3</v>
      </c>
      <c r="AA102" s="8" t="s">
        <v>42</v>
      </c>
    </row>
    <row r="103" spans="1:27" ht="15.95" hidden="1" customHeight="1">
      <c r="A103" s="20">
        <v>805008</v>
      </c>
      <c r="B103" s="1" t="s">
        <v>194</v>
      </c>
      <c r="C103" s="8" t="s">
        <v>179</v>
      </c>
      <c r="D103" s="7">
        <v>7350057587850</v>
      </c>
      <c r="E103" s="7" t="s">
        <v>36</v>
      </c>
      <c r="F103" s="7" t="s">
        <v>168</v>
      </c>
      <c r="G103" s="7" t="s">
        <v>169</v>
      </c>
      <c r="H103" s="7" t="s">
        <v>170</v>
      </c>
      <c r="I103" s="7" t="s">
        <v>170</v>
      </c>
      <c r="J103" s="7" t="str">
        <f t="shared" si="6"/>
        <v>EUR</v>
      </c>
      <c r="K103" s="53">
        <f>IF($J$1="SEK / NOK",(VLOOKUP(A103,'RRP data'!A:C,3,FALSE)),(IF($J$1="DKK",(VLOOKUP('RRP data'!A103,'RRP data'!A:D,4,FALSE)),(IF($J$1="EUR",(VLOOKUP(A103,'RRP data'!A:E,5,FALSE)))))))</f>
        <v>50</v>
      </c>
      <c r="L103" s="7"/>
      <c r="M103" s="8">
        <v>1</v>
      </c>
      <c r="N103" s="8">
        <v>1</v>
      </c>
      <c r="P103" s="7" t="s">
        <v>41</v>
      </c>
      <c r="Q103" s="67">
        <v>94019990</v>
      </c>
      <c r="R103" s="8">
        <v>85</v>
      </c>
      <c r="S103" s="8">
        <v>45</v>
      </c>
      <c r="T103" s="8">
        <v>0.2</v>
      </c>
      <c r="U103" s="55">
        <v>0.2</v>
      </c>
      <c r="V103" s="8">
        <v>7</v>
      </c>
      <c r="W103" s="8">
        <v>20</v>
      </c>
      <c r="X103" s="8">
        <v>30</v>
      </c>
      <c r="Y103" s="8">
        <v>0.25</v>
      </c>
      <c r="Z103" s="62">
        <f t="shared" si="7"/>
        <v>4.1999999999999997E-3</v>
      </c>
      <c r="AA103" s="8" t="s">
        <v>42</v>
      </c>
    </row>
    <row r="104" spans="1:27" ht="15.95" hidden="1" customHeight="1">
      <c r="A104" s="20">
        <v>805201</v>
      </c>
      <c r="B104" s="1" t="s">
        <v>195</v>
      </c>
      <c r="C104" s="8" t="s">
        <v>35</v>
      </c>
      <c r="D104" s="7">
        <v>5413421814456</v>
      </c>
      <c r="E104" s="7" t="s">
        <v>36</v>
      </c>
      <c r="F104" s="7" t="s">
        <v>168</v>
      </c>
      <c r="G104" s="7"/>
      <c r="H104" s="7" t="s">
        <v>170</v>
      </c>
      <c r="I104" s="7" t="s">
        <v>170</v>
      </c>
      <c r="J104" s="7" t="str">
        <f t="shared" si="6"/>
        <v>EUR</v>
      </c>
      <c r="K104" s="53">
        <f>IF($J$1="SEK / NOK",(VLOOKUP(A104,'RRP data'!A:C,3,FALSE)),(IF($J$1="DKK",(VLOOKUP('RRP data'!A104,'RRP data'!A:D,4,FALSE)),(IF($J$1="EUR",(VLOOKUP(A104,'RRP data'!A:E,5,FALSE)))))))</f>
        <v>40</v>
      </c>
      <c r="L104" s="7"/>
      <c r="M104" s="8">
        <v>10</v>
      </c>
      <c r="N104" s="8">
        <v>1</v>
      </c>
      <c r="P104" s="7" t="s">
        <v>196</v>
      </c>
      <c r="Q104" s="67">
        <v>94019990</v>
      </c>
      <c r="R104" s="8">
        <v>24</v>
      </c>
      <c r="S104" s="8">
        <v>74</v>
      </c>
      <c r="T104" s="8">
        <v>1</v>
      </c>
      <c r="U104" s="55">
        <v>0.2</v>
      </c>
      <c r="V104" s="8">
        <v>4</v>
      </c>
      <c r="W104" s="8">
        <v>22.5</v>
      </c>
      <c r="X104" s="8">
        <v>36.5</v>
      </c>
      <c r="Y104" s="8">
        <v>0.3</v>
      </c>
      <c r="Z104" s="62">
        <f t="shared" si="7"/>
        <v>3.2850000000000002E-3</v>
      </c>
      <c r="AA104" s="8" t="s">
        <v>197</v>
      </c>
    </row>
    <row r="105" spans="1:27" ht="15.95" hidden="1" customHeight="1">
      <c r="A105" s="20">
        <v>806201</v>
      </c>
      <c r="B105" s="1" t="s">
        <v>198</v>
      </c>
      <c r="C105" s="8" t="s">
        <v>35</v>
      </c>
      <c r="D105" s="7">
        <v>7350057588420</v>
      </c>
      <c r="E105" s="7" t="s">
        <v>36</v>
      </c>
      <c r="F105" s="7" t="s">
        <v>168</v>
      </c>
      <c r="G105" s="7"/>
      <c r="H105" s="7" t="s">
        <v>170</v>
      </c>
      <c r="I105" s="7" t="s">
        <v>170</v>
      </c>
      <c r="J105" s="7" t="str">
        <f t="shared" si="6"/>
        <v>EUR</v>
      </c>
      <c r="K105" s="53">
        <f>IF($J$1="SEK / NOK",(VLOOKUP(A105,'RRP data'!A:C,3,FALSE)),(IF($J$1="DKK",(VLOOKUP('RRP data'!A105,'RRP data'!A:D,4,FALSE)),(IF($J$1="EUR",(VLOOKUP(A105,'RRP data'!A:E,5,FALSE)))))))</f>
        <v>40</v>
      </c>
      <c r="L105" s="7"/>
      <c r="M105" s="8">
        <v>10</v>
      </c>
      <c r="N105" s="8">
        <v>1</v>
      </c>
      <c r="P105" s="7" t="s">
        <v>196</v>
      </c>
      <c r="Q105" s="67">
        <v>94019990</v>
      </c>
      <c r="R105" s="8">
        <v>34</v>
      </c>
      <c r="S105" s="8">
        <v>89</v>
      </c>
      <c r="T105" s="8">
        <v>1</v>
      </c>
      <c r="U105" s="55">
        <v>0.3</v>
      </c>
      <c r="V105" s="8">
        <v>6</v>
      </c>
      <c r="W105" s="8">
        <v>22.5</v>
      </c>
      <c r="X105" s="8">
        <v>36.5</v>
      </c>
      <c r="Y105" s="8">
        <v>0.4</v>
      </c>
      <c r="Z105" s="62">
        <f t="shared" si="7"/>
        <v>4.9274999999999996E-3</v>
      </c>
      <c r="AA105" s="8" t="s">
        <v>197</v>
      </c>
    </row>
    <row r="106" spans="1:27" ht="15.95" hidden="1" customHeight="1">
      <c r="A106" s="20">
        <v>805016</v>
      </c>
      <c r="B106" s="1" t="s">
        <v>199</v>
      </c>
      <c r="C106" s="8" t="s">
        <v>200</v>
      </c>
      <c r="D106" s="7">
        <v>7350057589274</v>
      </c>
      <c r="E106" s="7" t="s">
        <v>36</v>
      </c>
      <c r="F106" s="7" t="s">
        <v>168</v>
      </c>
      <c r="G106" s="7" t="s">
        <v>169</v>
      </c>
      <c r="H106" s="7" t="s">
        <v>170</v>
      </c>
      <c r="I106" s="7" t="s">
        <v>170</v>
      </c>
      <c r="J106" s="7" t="str">
        <f t="shared" si="6"/>
        <v>EUR</v>
      </c>
      <c r="K106" s="53">
        <f>IF($J$1="SEK / NOK",(VLOOKUP(A106,'RRP data'!A:C,3,FALSE)),(IF($J$1="DKK",(VLOOKUP('RRP data'!A106,'RRP data'!A:D,4,FALSE)),(IF($J$1="EUR",(VLOOKUP(A106,'RRP data'!A:E,5,FALSE)))))))</f>
        <v>69</v>
      </c>
      <c r="L106" s="7"/>
      <c r="P106" s="8" t="s">
        <v>41</v>
      </c>
      <c r="Q106" s="67">
        <v>94019990</v>
      </c>
      <c r="R106" s="8">
        <v>85</v>
      </c>
      <c r="S106" s="8">
        <v>45</v>
      </c>
      <c r="T106" s="8">
        <v>0.2</v>
      </c>
      <c r="U106" s="55">
        <v>0.1</v>
      </c>
      <c r="V106" s="8">
        <v>30</v>
      </c>
      <c r="W106" s="8">
        <v>30</v>
      </c>
      <c r="X106" s="8">
        <v>0.5</v>
      </c>
      <c r="Y106" s="8">
        <v>0.10299999999999999</v>
      </c>
      <c r="Z106" s="62">
        <f t="shared" si="7"/>
        <v>4.4999999999999999E-4</v>
      </c>
      <c r="AA106" s="8" t="s">
        <v>42</v>
      </c>
    </row>
    <row r="107" spans="1:27" ht="15.95" hidden="1" customHeight="1">
      <c r="A107" s="20">
        <v>805026</v>
      </c>
      <c r="B107" s="1" t="s">
        <v>199</v>
      </c>
      <c r="C107" s="8" t="s">
        <v>201</v>
      </c>
      <c r="D107" s="7">
        <v>7350057589281</v>
      </c>
      <c r="E107" s="7" t="s">
        <v>36</v>
      </c>
      <c r="F107" s="7" t="s">
        <v>168</v>
      </c>
      <c r="G107" s="7" t="s">
        <v>169</v>
      </c>
      <c r="H107" s="7" t="s">
        <v>170</v>
      </c>
      <c r="I107" s="7" t="s">
        <v>170</v>
      </c>
      <c r="J107" s="7" t="str">
        <f t="shared" si="6"/>
        <v>EUR</v>
      </c>
      <c r="K107" s="53">
        <f>IF($J$1="SEK / NOK",(VLOOKUP(A107,'RRP data'!A:C,3,FALSE)),(IF($J$1="DKK",(VLOOKUP('RRP data'!A107,'RRP data'!A:D,4,FALSE)),(IF($J$1="EUR",(VLOOKUP(A107,'RRP data'!A:E,5,FALSE)))))))</f>
        <v>69</v>
      </c>
      <c r="L107" s="7"/>
      <c r="P107" s="8" t="s">
        <v>41</v>
      </c>
      <c r="Q107" s="67">
        <v>94019990</v>
      </c>
      <c r="R107" s="8">
        <v>85</v>
      </c>
      <c r="S107" s="8">
        <v>45</v>
      </c>
      <c r="T107" s="8">
        <v>0.2</v>
      </c>
      <c r="U107" s="55">
        <v>0.1</v>
      </c>
      <c r="V107" s="8">
        <v>30</v>
      </c>
      <c r="W107" s="8">
        <v>30</v>
      </c>
      <c r="X107" s="8">
        <v>0.5</v>
      </c>
      <c r="Y107" s="8">
        <v>0.10299999999999999</v>
      </c>
      <c r="Z107" s="62">
        <f t="shared" si="7"/>
        <v>4.4999999999999999E-4</v>
      </c>
      <c r="AA107" s="8" t="s">
        <v>42</v>
      </c>
    </row>
    <row r="108" spans="1:27" ht="15.95" hidden="1" customHeight="1">
      <c r="A108" s="20">
        <v>805019</v>
      </c>
      <c r="B108" s="1" t="s">
        <v>202</v>
      </c>
      <c r="C108" s="8" t="s">
        <v>200</v>
      </c>
      <c r="D108" s="7">
        <v>7350057589311</v>
      </c>
      <c r="E108" s="7" t="s">
        <v>36</v>
      </c>
      <c r="F108" s="7" t="s">
        <v>168</v>
      </c>
      <c r="G108" s="7" t="s">
        <v>169</v>
      </c>
      <c r="H108" s="7" t="s">
        <v>170</v>
      </c>
      <c r="I108" s="7" t="s">
        <v>170</v>
      </c>
      <c r="J108" s="7" t="str">
        <f t="shared" si="6"/>
        <v>EUR</v>
      </c>
      <c r="K108" s="53">
        <f>IF($J$1="SEK / NOK",(VLOOKUP(A108,'RRP data'!A:C,3,FALSE)),(IF($J$1="DKK",(VLOOKUP('RRP data'!A108,'RRP data'!A:D,4,FALSE)),(IF($J$1="EUR",(VLOOKUP(A108,'RRP data'!A:E,5,FALSE)))))))</f>
        <v>69</v>
      </c>
      <c r="L108" s="7"/>
      <c r="P108" s="8" t="s">
        <v>41</v>
      </c>
      <c r="Q108" s="67">
        <v>94019990</v>
      </c>
      <c r="R108" s="8">
        <v>85</v>
      </c>
      <c r="S108" s="8">
        <v>45</v>
      </c>
      <c r="T108" s="8">
        <v>0.2</v>
      </c>
      <c r="U108" s="55">
        <v>0.1</v>
      </c>
      <c r="V108" s="8">
        <v>30</v>
      </c>
      <c r="W108" s="8">
        <v>30</v>
      </c>
      <c r="X108" s="8">
        <v>0.5</v>
      </c>
      <c r="Y108" s="8">
        <v>0.10299999999999999</v>
      </c>
      <c r="Z108" s="62">
        <f t="shared" si="7"/>
        <v>4.4999999999999999E-4</v>
      </c>
      <c r="AA108" s="8" t="s">
        <v>42</v>
      </c>
    </row>
    <row r="109" spans="1:27" ht="15.95" hidden="1" customHeight="1">
      <c r="A109" s="20">
        <v>805029</v>
      </c>
      <c r="B109" s="1" t="s">
        <v>202</v>
      </c>
      <c r="C109" s="8" t="s">
        <v>201</v>
      </c>
      <c r="D109" s="7">
        <v>7350057589328</v>
      </c>
      <c r="E109" s="7" t="s">
        <v>36</v>
      </c>
      <c r="F109" s="7" t="s">
        <v>168</v>
      </c>
      <c r="G109" s="7" t="s">
        <v>169</v>
      </c>
      <c r="H109" s="7" t="s">
        <v>170</v>
      </c>
      <c r="I109" s="7" t="s">
        <v>170</v>
      </c>
      <c r="J109" s="7" t="str">
        <f t="shared" si="6"/>
        <v>EUR</v>
      </c>
      <c r="K109" s="53">
        <f>IF($J$1="SEK / NOK",(VLOOKUP(A109,'RRP data'!A:C,3,FALSE)),(IF($J$1="DKK",(VLOOKUP('RRP data'!A109,'RRP data'!A:D,4,FALSE)),(IF($J$1="EUR",(VLOOKUP(A109,'RRP data'!A:E,5,FALSE)))))))</f>
        <v>69</v>
      </c>
      <c r="L109" s="7"/>
      <c r="P109" s="8" t="s">
        <v>41</v>
      </c>
      <c r="Q109" s="67">
        <v>94019990</v>
      </c>
      <c r="R109" s="8">
        <v>85</v>
      </c>
      <c r="S109" s="8">
        <v>45</v>
      </c>
      <c r="T109" s="8">
        <v>0.2</v>
      </c>
      <c r="U109" s="55">
        <v>0.1</v>
      </c>
      <c r="V109" s="8">
        <v>30</v>
      </c>
      <c r="W109" s="8">
        <v>30</v>
      </c>
      <c r="X109" s="8">
        <v>0.5</v>
      </c>
      <c r="Y109" s="8">
        <v>0.10299999999999999</v>
      </c>
      <c r="Z109" s="62">
        <f t="shared" si="7"/>
        <v>4.4999999999999999E-4</v>
      </c>
      <c r="AA109" s="8" t="s">
        <v>42</v>
      </c>
    </row>
    <row r="110" spans="1:27" ht="15.95" hidden="1" customHeight="1">
      <c r="A110" s="20">
        <v>805017</v>
      </c>
      <c r="B110" s="1" t="s">
        <v>203</v>
      </c>
      <c r="C110" s="8" t="s">
        <v>200</v>
      </c>
      <c r="D110" s="7">
        <v>7350057589298</v>
      </c>
      <c r="E110" s="7" t="s">
        <v>36</v>
      </c>
      <c r="F110" s="7" t="s">
        <v>168</v>
      </c>
      <c r="G110" s="7" t="s">
        <v>169</v>
      </c>
      <c r="H110" s="7" t="s">
        <v>170</v>
      </c>
      <c r="I110" s="7" t="s">
        <v>170</v>
      </c>
      <c r="J110" s="7" t="str">
        <f t="shared" si="6"/>
        <v>EUR</v>
      </c>
      <c r="K110" s="53">
        <f>IF($J$1="SEK / NOK",(VLOOKUP(A110,'RRP data'!A:C,3,FALSE)),(IF($J$1="DKK",(VLOOKUP('RRP data'!A110,'RRP data'!A:D,4,FALSE)),(IF($J$1="EUR",(VLOOKUP(A110,'RRP data'!A:E,5,FALSE)))))))</f>
        <v>69</v>
      </c>
      <c r="L110" s="7"/>
      <c r="P110" s="8" t="s">
        <v>41</v>
      </c>
      <c r="Q110" s="67">
        <v>94019990</v>
      </c>
      <c r="R110" s="8">
        <v>85</v>
      </c>
      <c r="S110" s="8">
        <v>45</v>
      </c>
      <c r="T110" s="8">
        <v>0.2</v>
      </c>
      <c r="U110" s="55">
        <v>0.1</v>
      </c>
      <c r="V110" s="8">
        <v>30</v>
      </c>
      <c r="W110" s="8">
        <v>30</v>
      </c>
      <c r="X110" s="8">
        <v>0.5</v>
      </c>
      <c r="Y110" s="8">
        <v>0.10299999999999999</v>
      </c>
      <c r="Z110" s="62">
        <f t="shared" si="7"/>
        <v>4.4999999999999999E-4</v>
      </c>
      <c r="AA110" s="8" t="s">
        <v>42</v>
      </c>
    </row>
    <row r="111" spans="1:27" ht="15.95" hidden="1" customHeight="1">
      <c r="A111" s="20">
        <v>805027</v>
      </c>
      <c r="B111" s="1" t="s">
        <v>203</v>
      </c>
      <c r="C111" s="8" t="s">
        <v>201</v>
      </c>
      <c r="D111" s="7">
        <v>7350057589304</v>
      </c>
      <c r="E111" s="7" t="s">
        <v>36</v>
      </c>
      <c r="F111" s="7" t="s">
        <v>168</v>
      </c>
      <c r="G111" s="7" t="s">
        <v>169</v>
      </c>
      <c r="H111" s="7" t="s">
        <v>170</v>
      </c>
      <c r="I111" s="7" t="s">
        <v>170</v>
      </c>
      <c r="J111" s="7" t="str">
        <f t="shared" si="6"/>
        <v>EUR</v>
      </c>
      <c r="K111" s="53">
        <f>IF($J$1="SEK / NOK",(VLOOKUP(A111,'RRP data'!A:C,3,FALSE)),(IF($J$1="DKK",(VLOOKUP('RRP data'!A111,'RRP data'!A:D,4,FALSE)),(IF($J$1="EUR",(VLOOKUP(A111,'RRP data'!A:E,5,FALSE)))))))</f>
        <v>69</v>
      </c>
      <c r="L111" s="7"/>
      <c r="P111" s="8" t="s">
        <v>41</v>
      </c>
      <c r="Q111" s="67">
        <v>94019990</v>
      </c>
      <c r="R111" s="8">
        <v>85</v>
      </c>
      <c r="S111" s="8">
        <v>45</v>
      </c>
      <c r="T111" s="8">
        <v>0.2</v>
      </c>
      <c r="U111" s="55">
        <v>0.1</v>
      </c>
      <c r="V111" s="8">
        <v>30</v>
      </c>
      <c r="W111" s="8">
        <v>30</v>
      </c>
      <c r="X111" s="8">
        <v>0.5</v>
      </c>
      <c r="Y111" s="8">
        <v>0.10299999999999999</v>
      </c>
      <c r="Z111" s="62">
        <f t="shared" si="7"/>
        <v>4.4999999999999999E-4</v>
      </c>
      <c r="AA111" s="8" t="s">
        <v>42</v>
      </c>
    </row>
    <row r="112" spans="1:27" ht="15.95" hidden="1" customHeight="1">
      <c r="A112" s="20">
        <v>803916</v>
      </c>
      <c r="B112" s="1" t="s">
        <v>204</v>
      </c>
      <c r="C112" s="8" t="s">
        <v>200</v>
      </c>
      <c r="D112" s="7">
        <v>7350057589335</v>
      </c>
      <c r="E112" s="7" t="s">
        <v>36</v>
      </c>
      <c r="F112" s="7" t="s">
        <v>168</v>
      </c>
      <c r="G112" s="7" t="s">
        <v>169</v>
      </c>
      <c r="H112" s="7" t="s">
        <v>170</v>
      </c>
      <c r="I112" s="7" t="s">
        <v>170</v>
      </c>
      <c r="J112" s="7" t="str">
        <f t="shared" si="6"/>
        <v>EUR</v>
      </c>
      <c r="K112" s="53">
        <f>IF($J$1="SEK / NOK",(VLOOKUP(A112,'RRP data'!A:C,3,FALSE)),(IF($J$1="DKK",(VLOOKUP('RRP data'!A112,'RRP data'!A:D,4,FALSE)),(IF($J$1="EUR",(VLOOKUP(A112,'RRP data'!A:E,5,FALSE)))))))</f>
        <v>69</v>
      </c>
      <c r="L112" s="7"/>
      <c r="P112" s="8" t="s">
        <v>41</v>
      </c>
      <c r="Q112" s="67">
        <v>94019990</v>
      </c>
      <c r="R112" s="8">
        <v>38</v>
      </c>
      <c r="S112" s="8">
        <v>44</v>
      </c>
      <c r="T112" s="8">
        <v>0.2</v>
      </c>
      <c r="U112" s="55">
        <v>0.16</v>
      </c>
      <c r="V112" s="8">
        <v>18</v>
      </c>
      <c r="W112" s="8">
        <v>6</v>
      </c>
      <c r="X112" s="8">
        <v>16</v>
      </c>
      <c r="Y112" s="8">
        <v>0.33</v>
      </c>
      <c r="Z112" s="62">
        <f t="shared" si="7"/>
        <v>1.7279999999999999E-3</v>
      </c>
      <c r="AA112" s="8" t="s">
        <v>171</v>
      </c>
    </row>
    <row r="113" spans="1:27" ht="15.95" hidden="1" customHeight="1">
      <c r="A113" s="20">
        <v>803926</v>
      </c>
      <c r="B113" s="1" t="s">
        <v>204</v>
      </c>
      <c r="C113" s="8" t="s">
        <v>201</v>
      </c>
      <c r="D113" s="7">
        <v>7350057589342</v>
      </c>
      <c r="E113" s="7" t="s">
        <v>36</v>
      </c>
      <c r="F113" s="7" t="s">
        <v>168</v>
      </c>
      <c r="G113" s="7" t="s">
        <v>169</v>
      </c>
      <c r="H113" s="7" t="s">
        <v>170</v>
      </c>
      <c r="I113" s="7" t="s">
        <v>170</v>
      </c>
      <c r="J113" s="7" t="str">
        <f t="shared" si="6"/>
        <v>EUR</v>
      </c>
      <c r="K113" s="53">
        <f>IF($J$1="SEK / NOK",(VLOOKUP(A113,'RRP data'!A:C,3,FALSE)),(IF($J$1="DKK",(VLOOKUP('RRP data'!A113,'RRP data'!A:D,4,FALSE)),(IF($J$1="EUR",(VLOOKUP(A113,'RRP data'!A:E,5,FALSE)))))))</f>
        <v>69</v>
      </c>
      <c r="L113" s="7"/>
      <c r="P113" s="8" t="s">
        <v>41</v>
      </c>
      <c r="Q113" s="67">
        <v>94019990</v>
      </c>
      <c r="R113" s="8">
        <v>38</v>
      </c>
      <c r="S113" s="8">
        <v>44</v>
      </c>
      <c r="T113" s="8">
        <v>0.2</v>
      </c>
      <c r="U113" s="55">
        <v>0.16</v>
      </c>
      <c r="V113" s="8">
        <v>18</v>
      </c>
      <c r="W113" s="8">
        <v>6</v>
      </c>
      <c r="X113" s="8">
        <v>16</v>
      </c>
      <c r="Y113" s="8">
        <v>0.33</v>
      </c>
      <c r="Z113" s="62">
        <f t="shared" si="7"/>
        <v>1.7279999999999999E-3</v>
      </c>
      <c r="AA113" s="8" t="s">
        <v>171</v>
      </c>
    </row>
    <row r="114" spans="1:27" ht="15.95" customHeight="1">
      <c r="A114" s="20">
        <v>20060016</v>
      </c>
      <c r="B114" s="1" t="s">
        <v>205</v>
      </c>
      <c r="C114" s="8" t="s">
        <v>49</v>
      </c>
      <c r="D114" s="7">
        <v>7350057587812</v>
      </c>
      <c r="E114" s="7" t="s">
        <v>206</v>
      </c>
      <c r="F114" s="7" t="s">
        <v>37</v>
      </c>
      <c r="G114" s="7" t="s">
        <v>51</v>
      </c>
      <c r="H114" s="7" t="s">
        <v>39</v>
      </c>
      <c r="I114" s="7" t="s">
        <v>98</v>
      </c>
      <c r="J114" s="7" t="str">
        <f t="shared" ref="J114:J140" si="8">$J$1</f>
        <v>EUR</v>
      </c>
      <c r="K114" s="53">
        <f>IF($J$1="SEK / NOK",(VLOOKUP(A114,'RRP data'!A:C,3,FALSE)),(IF($J$1="DKK",(VLOOKUP('RRP data'!A114,'RRP data'!A:D,4,FALSE)),(IF($J$1="EUR",(VLOOKUP(A114,'RRP data'!A:E,5,FALSE)))))))</f>
        <v>299.89999999999998</v>
      </c>
      <c r="L114" s="7">
        <v>230</v>
      </c>
      <c r="M114" s="8">
        <v>1</v>
      </c>
      <c r="N114" s="8">
        <v>1</v>
      </c>
      <c r="P114" s="8" t="s">
        <v>41</v>
      </c>
      <c r="Q114" s="67">
        <v>94018000</v>
      </c>
      <c r="R114" s="8">
        <v>43</v>
      </c>
      <c r="S114" s="8">
        <v>54</v>
      </c>
      <c r="T114" s="8">
        <v>65</v>
      </c>
      <c r="U114" s="55">
        <v>3.7</v>
      </c>
      <c r="V114" s="27">
        <v>71</v>
      </c>
      <c r="W114" s="27">
        <v>44</v>
      </c>
      <c r="X114" s="27">
        <v>36</v>
      </c>
      <c r="Y114" s="8">
        <v>5.6</v>
      </c>
      <c r="Z114" s="60">
        <f t="shared" si="7"/>
        <v>0.11246399999999999</v>
      </c>
      <c r="AA114" s="8" t="s">
        <v>42</v>
      </c>
    </row>
    <row r="115" spans="1:27" ht="15.95" customHeight="1">
      <c r="A115" s="20">
        <v>20060017</v>
      </c>
      <c r="B115" s="1" t="s">
        <v>207</v>
      </c>
      <c r="C115" s="8" t="s">
        <v>55</v>
      </c>
      <c r="D115" s="7">
        <v>7350057588468</v>
      </c>
      <c r="E115" s="7" t="s">
        <v>206</v>
      </c>
      <c r="F115" s="7" t="s">
        <v>37</v>
      </c>
      <c r="G115" s="7" t="s">
        <v>51</v>
      </c>
      <c r="H115" s="7" t="s">
        <v>39</v>
      </c>
      <c r="I115" s="7" t="s">
        <v>98</v>
      </c>
      <c r="J115" s="7" t="str">
        <f t="shared" si="8"/>
        <v>EUR</v>
      </c>
      <c r="K115" s="53">
        <f>IF($J$1="SEK / NOK",(VLOOKUP(A115,'RRP data'!A:C,3,FALSE)),(IF($J$1="DKK",(VLOOKUP('RRP data'!A115,'RRP data'!A:D,4,FALSE)),(IF($J$1="EUR",(VLOOKUP(A115,'RRP data'!A:E,5,FALSE)))))))</f>
        <v>299.89999999999998</v>
      </c>
      <c r="L115" s="7">
        <v>230</v>
      </c>
      <c r="M115" s="8">
        <v>1</v>
      </c>
      <c r="N115" s="8">
        <v>1</v>
      </c>
      <c r="P115" s="8" t="s">
        <v>41</v>
      </c>
      <c r="Q115" s="67">
        <v>94018000</v>
      </c>
      <c r="R115" s="8">
        <v>43</v>
      </c>
      <c r="S115" s="8">
        <v>54</v>
      </c>
      <c r="T115" s="8">
        <v>65</v>
      </c>
      <c r="U115" s="55">
        <v>3.7</v>
      </c>
      <c r="V115" s="27">
        <v>71</v>
      </c>
      <c r="W115" s="27">
        <v>44</v>
      </c>
      <c r="X115" s="27">
        <v>36</v>
      </c>
      <c r="Y115" s="8">
        <v>5.6</v>
      </c>
      <c r="Z115" s="60">
        <f t="shared" si="7"/>
        <v>0.11246399999999999</v>
      </c>
      <c r="AA115" s="8" t="s">
        <v>42</v>
      </c>
    </row>
    <row r="116" spans="1:27" ht="15.95" customHeight="1">
      <c r="A116" s="20">
        <v>20060028</v>
      </c>
      <c r="B116" s="1" t="s">
        <v>208</v>
      </c>
      <c r="C116" s="8" t="s">
        <v>209</v>
      </c>
      <c r="D116" s="7">
        <v>7350057588475</v>
      </c>
      <c r="E116" s="7" t="s">
        <v>206</v>
      </c>
      <c r="F116" s="7" t="s">
        <v>37</v>
      </c>
      <c r="G116" s="7" t="s">
        <v>51</v>
      </c>
      <c r="H116" s="7" t="s">
        <v>39</v>
      </c>
      <c r="I116" s="7" t="s">
        <v>98</v>
      </c>
      <c r="J116" s="7" t="str">
        <f t="shared" si="8"/>
        <v>EUR</v>
      </c>
      <c r="K116" s="53">
        <f>IF($J$1="SEK / NOK",(VLOOKUP(A116,'RRP data'!A:C,3,FALSE)),(IF($J$1="DKK",(VLOOKUP('RRP data'!A116,'RRP data'!A:D,4,FALSE)),(IF($J$1="EUR",(VLOOKUP(A116,'RRP data'!A:E,5,FALSE)))))))</f>
        <v>299.89999999999998</v>
      </c>
      <c r="L116" s="7">
        <v>230</v>
      </c>
      <c r="M116" s="8">
        <v>1</v>
      </c>
      <c r="N116" s="8">
        <v>1</v>
      </c>
      <c r="P116" s="8" t="s">
        <v>41</v>
      </c>
      <c r="Q116" s="67">
        <v>94018000</v>
      </c>
      <c r="R116" s="8">
        <v>43</v>
      </c>
      <c r="S116" s="8">
        <v>54</v>
      </c>
      <c r="T116" s="8">
        <v>65</v>
      </c>
      <c r="U116" s="55">
        <v>3.7</v>
      </c>
      <c r="V116" s="27">
        <v>71</v>
      </c>
      <c r="W116" s="27">
        <v>44</v>
      </c>
      <c r="X116" s="27">
        <v>36</v>
      </c>
      <c r="Y116" s="8">
        <v>5.6</v>
      </c>
      <c r="Z116" s="60">
        <f t="shared" si="7"/>
        <v>0.11246399999999999</v>
      </c>
      <c r="AA116" s="8" t="s">
        <v>42</v>
      </c>
    </row>
    <row r="117" spans="1:27" ht="15.95" customHeight="1">
      <c r="A117" s="20">
        <v>21030003</v>
      </c>
      <c r="B117" s="1" t="s">
        <v>210</v>
      </c>
      <c r="C117" s="8" t="s">
        <v>44</v>
      </c>
      <c r="D117" s="7">
        <v>7350057588482</v>
      </c>
      <c r="E117" s="7" t="s">
        <v>206</v>
      </c>
      <c r="F117" s="7" t="s">
        <v>46</v>
      </c>
      <c r="G117" s="7" t="s">
        <v>51</v>
      </c>
      <c r="H117" s="7" t="s">
        <v>47</v>
      </c>
      <c r="I117" s="7" t="s">
        <v>170</v>
      </c>
      <c r="J117" s="7" t="str">
        <f t="shared" si="8"/>
        <v>EUR</v>
      </c>
      <c r="K117" s="53">
        <f>IF($J$1="SEK / NOK",(VLOOKUP(A117,'RRP data'!A:C,3,FALSE)),(IF($J$1="DKK",(VLOOKUP('RRP data'!A117,'RRP data'!A:D,4,FALSE)),(IF($J$1="EUR",(VLOOKUP(A117,'RRP data'!A:E,5,FALSE)))))))</f>
        <v>199.9</v>
      </c>
      <c r="L117" s="7">
        <v>500</v>
      </c>
      <c r="M117" s="8">
        <v>1</v>
      </c>
      <c r="N117" s="8">
        <v>1</v>
      </c>
      <c r="P117" s="8" t="s">
        <v>41</v>
      </c>
      <c r="Q117" s="67">
        <v>94018000</v>
      </c>
      <c r="R117" s="8">
        <v>43</v>
      </c>
      <c r="S117" s="8">
        <v>30</v>
      </c>
      <c r="T117" s="8">
        <v>65</v>
      </c>
      <c r="U117" s="55">
        <v>7</v>
      </c>
      <c r="V117" s="27">
        <v>61</v>
      </c>
      <c r="W117" s="27">
        <v>39</v>
      </c>
      <c r="X117" s="27">
        <v>23</v>
      </c>
      <c r="Y117" s="8">
        <v>8.8000000000000007</v>
      </c>
      <c r="Z117" s="60">
        <f t="shared" ref="Z117:Z142" si="9">PRODUCT(V117:X117)/1000000</f>
        <v>5.4717000000000002E-2</v>
      </c>
      <c r="AA117" s="8" t="s">
        <v>42</v>
      </c>
    </row>
    <row r="118" spans="1:27" ht="15.95" customHeight="1">
      <c r="A118" s="20">
        <v>24100316</v>
      </c>
      <c r="B118" s="1" t="s">
        <v>211</v>
      </c>
      <c r="C118" s="8" t="s">
        <v>49</v>
      </c>
      <c r="D118" s="7">
        <v>7350057588499</v>
      </c>
      <c r="E118" s="7" t="s">
        <v>206</v>
      </c>
      <c r="F118" s="7" t="s">
        <v>50</v>
      </c>
      <c r="G118" s="7" t="s">
        <v>51</v>
      </c>
      <c r="H118" s="7" t="s">
        <v>108</v>
      </c>
      <c r="I118" s="7" t="s">
        <v>109</v>
      </c>
      <c r="J118" s="7" t="str">
        <f t="shared" si="8"/>
        <v>EUR</v>
      </c>
      <c r="K118" s="53">
        <f>IF($J$1="SEK / NOK",(VLOOKUP(A118,'RRP data'!A:C,3,FALSE)),(IF($J$1="DKK",(VLOOKUP('RRP data'!A118,'RRP data'!A:D,4,FALSE)),(IF($J$1="EUR",(VLOOKUP(A118,'RRP data'!A:E,5,FALSE)))))))</f>
        <v>399.9</v>
      </c>
      <c r="L118" s="7">
        <v>210</v>
      </c>
      <c r="M118" s="8">
        <v>1</v>
      </c>
      <c r="N118" s="8">
        <v>1</v>
      </c>
      <c r="P118" s="8" t="s">
        <v>41</v>
      </c>
      <c r="Q118" s="67">
        <v>94018000</v>
      </c>
      <c r="R118" s="8">
        <v>43</v>
      </c>
      <c r="S118" s="8">
        <v>62</v>
      </c>
      <c r="T118" s="8">
        <v>52</v>
      </c>
      <c r="U118" s="55">
        <v>7.5</v>
      </c>
      <c r="V118" s="27">
        <v>71</v>
      </c>
      <c r="W118" s="27">
        <v>47</v>
      </c>
      <c r="X118" s="27">
        <v>44</v>
      </c>
      <c r="Y118" s="8">
        <v>10.5</v>
      </c>
      <c r="Z118" s="60">
        <f t="shared" si="9"/>
        <v>0.14682799999999999</v>
      </c>
      <c r="AA118" s="8" t="s">
        <v>42</v>
      </c>
    </row>
    <row r="119" spans="1:27" ht="15.95" customHeight="1">
      <c r="A119" s="20">
        <v>24100317</v>
      </c>
      <c r="B119" s="1" t="s">
        <v>212</v>
      </c>
      <c r="C119" s="8" t="s">
        <v>55</v>
      </c>
      <c r="D119" s="7">
        <v>7350057588505</v>
      </c>
      <c r="E119" s="7" t="s">
        <v>206</v>
      </c>
      <c r="F119" s="7" t="s">
        <v>50</v>
      </c>
      <c r="G119" s="7" t="s">
        <v>51</v>
      </c>
      <c r="H119" s="7" t="s">
        <v>108</v>
      </c>
      <c r="I119" s="7" t="s">
        <v>109</v>
      </c>
      <c r="J119" s="7" t="str">
        <f t="shared" si="8"/>
        <v>EUR</v>
      </c>
      <c r="K119" s="53">
        <f>IF($J$1="SEK / NOK",(VLOOKUP(A119,'RRP data'!A:C,3,FALSE)),(IF($J$1="DKK",(VLOOKUP('RRP data'!A119,'RRP data'!A:D,4,FALSE)),(IF($J$1="EUR",(VLOOKUP(A119,'RRP data'!A:E,5,FALSE)))))))</f>
        <v>399.9</v>
      </c>
      <c r="L119" s="7">
        <v>210</v>
      </c>
      <c r="M119" s="8">
        <v>1</v>
      </c>
      <c r="N119" s="8">
        <v>1</v>
      </c>
      <c r="P119" s="8" t="s">
        <v>41</v>
      </c>
      <c r="Q119" s="67">
        <v>94018000</v>
      </c>
      <c r="R119" s="8">
        <v>43</v>
      </c>
      <c r="S119" s="8">
        <v>62</v>
      </c>
      <c r="T119" s="8">
        <v>52</v>
      </c>
      <c r="U119" s="55">
        <v>7.5</v>
      </c>
      <c r="V119" s="27">
        <v>71</v>
      </c>
      <c r="W119" s="27">
        <v>47</v>
      </c>
      <c r="X119" s="27">
        <v>44</v>
      </c>
      <c r="Y119" s="8">
        <v>10.5</v>
      </c>
      <c r="Z119" s="60">
        <f t="shared" si="9"/>
        <v>0.14682799999999999</v>
      </c>
      <c r="AA119" s="8" t="s">
        <v>42</v>
      </c>
    </row>
    <row r="120" spans="1:27" ht="15.95" customHeight="1">
      <c r="A120" s="20">
        <v>24100328</v>
      </c>
      <c r="B120" s="1" t="s">
        <v>213</v>
      </c>
      <c r="C120" s="8" t="s">
        <v>209</v>
      </c>
      <c r="D120" s="7">
        <v>7350057588512</v>
      </c>
      <c r="E120" s="7" t="s">
        <v>206</v>
      </c>
      <c r="F120" s="7" t="s">
        <v>50</v>
      </c>
      <c r="G120" s="7" t="s">
        <v>51</v>
      </c>
      <c r="H120" s="7" t="s">
        <v>108</v>
      </c>
      <c r="I120" s="7" t="s">
        <v>109</v>
      </c>
      <c r="J120" s="7" t="str">
        <f t="shared" si="8"/>
        <v>EUR</v>
      </c>
      <c r="K120" s="53">
        <f>IF($J$1="SEK / NOK",(VLOOKUP(A120,'RRP data'!A:C,3,FALSE)),(IF($J$1="DKK",(VLOOKUP('RRP data'!A120,'RRP data'!A:D,4,FALSE)),(IF($J$1="EUR",(VLOOKUP(A120,'RRP data'!A:E,5,FALSE)))))))</f>
        <v>399.9</v>
      </c>
      <c r="L120" s="7">
        <v>210</v>
      </c>
      <c r="M120" s="8">
        <v>1</v>
      </c>
      <c r="N120" s="8">
        <v>1</v>
      </c>
      <c r="P120" s="8" t="s">
        <v>41</v>
      </c>
      <c r="Q120" s="67">
        <v>94018000</v>
      </c>
      <c r="R120" s="8">
        <v>43</v>
      </c>
      <c r="S120" s="8">
        <v>62</v>
      </c>
      <c r="T120" s="8">
        <v>52</v>
      </c>
      <c r="U120" s="55">
        <v>7.5</v>
      </c>
      <c r="V120" s="27">
        <v>71</v>
      </c>
      <c r="W120" s="27">
        <v>47</v>
      </c>
      <c r="X120" s="27">
        <v>44</v>
      </c>
      <c r="Y120" s="8">
        <v>10.5</v>
      </c>
      <c r="Z120" s="60">
        <f t="shared" si="9"/>
        <v>0.14682799999999999</v>
      </c>
      <c r="AA120" s="8" t="s">
        <v>42</v>
      </c>
    </row>
    <row r="121" spans="1:27" ht="15.95" hidden="1" customHeight="1">
      <c r="A121" s="20">
        <v>24110116</v>
      </c>
      <c r="B121" s="1" t="s">
        <v>214</v>
      </c>
      <c r="C121" s="8" t="s">
        <v>49</v>
      </c>
      <c r="D121" s="7">
        <v>7350057589731</v>
      </c>
      <c r="E121" s="7" t="s">
        <v>206</v>
      </c>
      <c r="F121" s="7" t="s">
        <v>50</v>
      </c>
      <c r="G121" s="7" t="s">
        <v>51</v>
      </c>
      <c r="H121" s="7"/>
      <c r="I121" s="7" t="s">
        <v>215</v>
      </c>
      <c r="J121" s="7" t="str">
        <f t="shared" si="8"/>
        <v>EUR</v>
      </c>
      <c r="K121" s="53">
        <f>IF($J$1="SEK / NOK",(VLOOKUP(A121,'RRP data'!A:C,3,FALSE)),(IF($J$1="DKK",(VLOOKUP('RRP data'!A121,'RRP data'!A:D,4,FALSE)),(IF($J$1="EUR",(VLOOKUP(A121,'RRP data'!A:E,5,FALSE)))))))</f>
        <v>499.9</v>
      </c>
      <c r="L121" s="7">
        <v>351</v>
      </c>
      <c r="M121" s="8">
        <v>1</v>
      </c>
      <c r="N121" s="8">
        <v>1</v>
      </c>
      <c r="P121" s="8" t="s">
        <v>41</v>
      </c>
      <c r="Q121" s="67">
        <v>94018000</v>
      </c>
      <c r="R121" s="8">
        <v>44</v>
      </c>
      <c r="S121" s="8">
        <v>63</v>
      </c>
      <c r="T121" s="8">
        <v>63</v>
      </c>
      <c r="U121" s="55">
        <v>14.5</v>
      </c>
      <c r="V121" s="8">
        <v>78</v>
      </c>
      <c r="W121" s="8">
        <v>58</v>
      </c>
      <c r="X121" s="8">
        <v>46</v>
      </c>
      <c r="Y121" s="8">
        <v>17.5</v>
      </c>
      <c r="Z121" s="62">
        <f t="shared" si="9"/>
        <v>0.20810400000000001</v>
      </c>
      <c r="AA121" s="8" t="s">
        <v>42</v>
      </c>
    </row>
    <row r="122" spans="1:27" ht="15.95" hidden="1" customHeight="1">
      <c r="A122" s="20">
        <v>24110121</v>
      </c>
      <c r="B122" s="1" t="s">
        <v>216</v>
      </c>
      <c r="C122" s="8" t="s">
        <v>66</v>
      </c>
      <c r="D122" s="7">
        <v>7350057589748</v>
      </c>
      <c r="E122" s="7" t="s">
        <v>206</v>
      </c>
      <c r="F122" s="7" t="s">
        <v>50</v>
      </c>
      <c r="G122" s="7" t="s">
        <v>51</v>
      </c>
      <c r="H122" s="7"/>
      <c r="I122" s="7" t="s">
        <v>215</v>
      </c>
      <c r="J122" s="7" t="str">
        <f t="shared" si="8"/>
        <v>EUR</v>
      </c>
      <c r="K122" s="53">
        <f>IF($J$1="SEK / NOK",(VLOOKUP(A122,'RRP data'!A:C,3,FALSE)),(IF($J$1="DKK",(VLOOKUP('RRP data'!A122,'RRP data'!A:D,4,FALSE)),(IF($J$1="EUR",(VLOOKUP(A122,'RRP data'!A:E,5,FALSE)))))))</f>
        <v>499.9</v>
      </c>
      <c r="L122" s="7">
        <v>351</v>
      </c>
      <c r="M122" s="8">
        <v>1</v>
      </c>
      <c r="N122" s="8">
        <v>1</v>
      </c>
      <c r="P122" s="8" t="s">
        <v>41</v>
      </c>
      <c r="Q122" s="67">
        <v>94018000</v>
      </c>
      <c r="R122" s="8">
        <v>44</v>
      </c>
      <c r="S122" s="8">
        <v>63</v>
      </c>
      <c r="T122" s="8">
        <v>63</v>
      </c>
      <c r="U122" s="55">
        <v>14.5</v>
      </c>
      <c r="V122" s="8">
        <v>78</v>
      </c>
      <c r="W122" s="8">
        <v>58</v>
      </c>
      <c r="X122" s="8">
        <v>46</v>
      </c>
      <c r="Y122" s="8">
        <v>17.5</v>
      </c>
      <c r="Z122" s="62">
        <f t="shared" si="9"/>
        <v>0.20810400000000001</v>
      </c>
      <c r="AA122" s="8" t="s">
        <v>42</v>
      </c>
    </row>
    <row r="123" spans="1:27" ht="15.95" hidden="1" customHeight="1">
      <c r="A123" s="20">
        <v>24110124</v>
      </c>
      <c r="B123" s="1" t="s">
        <v>217</v>
      </c>
      <c r="C123" s="8" t="s">
        <v>124</v>
      </c>
      <c r="D123" s="7">
        <v>7350057589755</v>
      </c>
      <c r="E123" s="7" t="s">
        <v>206</v>
      </c>
      <c r="F123" s="7" t="s">
        <v>50</v>
      </c>
      <c r="G123" s="7" t="s">
        <v>51</v>
      </c>
      <c r="H123" s="7"/>
      <c r="I123" s="7" t="s">
        <v>215</v>
      </c>
      <c r="J123" s="7" t="str">
        <f t="shared" si="8"/>
        <v>EUR</v>
      </c>
      <c r="K123" s="53">
        <f>IF($J$1="SEK / NOK",(VLOOKUP(A123,'RRP data'!A:C,3,FALSE)),(IF($J$1="DKK",(VLOOKUP('RRP data'!A123,'RRP data'!A:D,4,FALSE)),(IF($J$1="EUR",(VLOOKUP(A123,'RRP data'!A:E,5,FALSE)))))))</f>
        <v>499.9</v>
      </c>
      <c r="L123" s="7">
        <v>351</v>
      </c>
      <c r="M123" s="8">
        <v>1</v>
      </c>
      <c r="N123" s="8">
        <v>1</v>
      </c>
      <c r="P123" s="8" t="s">
        <v>41</v>
      </c>
      <c r="Q123" s="67">
        <v>94018000</v>
      </c>
      <c r="R123" s="8">
        <v>44</v>
      </c>
      <c r="S123" s="8">
        <v>63</v>
      </c>
      <c r="T123" s="8">
        <v>63</v>
      </c>
      <c r="U123" s="55">
        <v>14.5</v>
      </c>
      <c r="V123" s="8">
        <v>78</v>
      </c>
      <c r="W123" s="8">
        <v>58</v>
      </c>
      <c r="X123" s="8">
        <v>46</v>
      </c>
      <c r="Y123" s="8">
        <v>17.5</v>
      </c>
      <c r="Z123" s="62">
        <f t="shared" si="9"/>
        <v>0.20810400000000001</v>
      </c>
      <c r="AA123" s="8" t="s">
        <v>42</v>
      </c>
    </row>
    <row r="124" spans="1:27" ht="15.95" hidden="1" customHeight="1">
      <c r="A124" s="20">
        <v>24110125</v>
      </c>
      <c r="B124" s="1" t="s">
        <v>218</v>
      </c>
      <c r="C124" s="8" t="s">
        <v>126</v>
      </c>
      <c r="D124" s="7">
        <v>7350057589762</v>
      </c>
      <c r="E124" s="7" t="s">
        <v>206</v>
      </c>
      <c r="F124" s="7" t="s">
        <v>50</v>
      </c>
      <c r="G124" s="7" t="s">
        <v>51</v>
      </c>
      <c r="H124" s="7"/>
      <c r="I124" s="7" t="s">
        <v>215</v>
      </c>
      <c r="J124" s="7" t="str">
        <f t="shared" si="8"/>
        <v>EUR</v>
      </c>
      <c r="K124" s="53">
        <f>IF($J$1="SEK / NOK",(VLOOKUP(A124,'RRP data'!A:C,3,FALSE)),(IF($J$1="DKK",(VLOOKUP('RRP data'!A124,'RRP data'!A:D,4,FALSE)),(IF($J$1="EUR",(VLOOKUP(A124,'RRP data'!A:E,5,FALSE)))))))</f>
        <v>499.9</v>
      </c>
      <c r="L124" s="7">
        <v>351</v>
      </c>
      <c r="M124" s="8">
        <v>1</v>
      </c>
      <c r="N124" s="8">
        <v>1</v>
      </c>
      <c r="P124" s="8" t="s">
        <v>41</v>
      </c>
      <c r="Q124" s="67">
        <v>94018000</v>
      </c>
      <c r="R124" s="8">
        <v>44</v>
      </c>
      <c r="S124" s="8">
        <v>63</v>
      </c>
      <c r="T124" s="8">
        <v>63</v>
      </c>
      <c r="U124" s="55">
        <v>14.5</v>
      </c>
      <c r="V124" s="8">
        <v>78</v>
      </c>
      <c r="W124" s="8">
        <v>58</v>
      </c>
      <c r="X124" s="8">
        <v>46</v>
      </c>
      <c r="Y124" s="8">
        <v>17.5</v>
      </c>
      <c r="Z124" s="62">
        <f t="shared" si="9"/>
        <v>0.20810400000000001</v>
      </c>
      <c r="AA124" s="8" t="s">
        <v>42</v>
      </c>
    </row>
    <row r="125" spans="1:27" ht="15.95" hidden="1" customHeight="1">
      <c r="A125" s="20">
        <v>27060123</v>
      </c>
      <c r="B125" s="1" t="s">
        <v>219</v>
      </c>
      <c r="C125" s="8" t="s">
        <v>159</v>
      </c>
      <c r="D125" s="7">
        <v>7350057589793</v>
      </c>
      <c r="E125" s="7" t="s">
        <v>206</v>
      </c>
      <c r="F125" s="7" t="s">
        <v>150</v>
      </c>
      <c r="G125" s="7" t="s">
        <v>51</v>
      </c>
      <c r="H125" s="7"/>
      <c r="I125" s="7" t="s">
        <v>220</v>
      </c>
      <c r="J125" s="7" t="str">
        <f t="shared" si="8"/>
        <v>EUR</v>
      </c>
      <c r="K125" s="53">
        <f>IF($J$1="SEK / NOK",(VLOOKUP(A125,'RRP data'!A:C,3,FALSE)),(IF($J$1="DKK",(VLOOKUP('RRP data'!A125,'RRP data'!A:D,4,FALSE)),(IF($J$1="EUR",(VLOOKUP(A125,'RRP data'!A:E,5,FALSE)))))))</f>
        <v>249.9</v>
      </c>
      <c r="L125" s="7">
        <v>521</v>
      </c>
      <c r="M125" s="8">
        <v>1</v>
      </c>
      <c r="N125" s="8">
        <v>1</v>
      </c>
      <c r="P125" s="8" t="s">
        <v>41</v>
      </c>
      <c r="Q125" s="67">
        <v>94018000</v>
      </c>
      <c r="R125" s="8">
        <v>44</v>
      </c>
      <c r="S125" s="8">
        <v>63.4</v>
      </c>
      <c r="T125" s="8">
        <v>47.3</v>
      </c>
      <c r="U125" s="55">
        <v>7.5</v>
      </c>
      <c r="V125" s="8">
        <v>64</v>
      </c>
      <c r="W125" s="8">
        <v>46.5</v>
      </c>
      <c r="X125" s="8">
        <v>45</v>
      </c>
      <c r="Y125" s="8">
        <v>9</v>
      </c>
      <c r="Z125" s="62">
        <f t="shared" si="9"/>
        <v>0.13392000000000001</v>
      </c>
      <c r="AA125" s="8" t="s">
        <v>42</v>
      </c>
    </row>
    <row r="126" spans="1:27" ht="15.95" hidden="1" customHeight="1">
      <c r="A126" s="20">
        <v>27060121</v>
      </c>
      <c r="B126" s="1" t="s">
        <v>221</v>
      </c>
      <c r="C126" s="8" t="s">
        <v>66</v>
      </c>
      <c r="D126" s="7">
        <v>7350057589809</v>
      </c>
      <c r="E126" s="7" t="s">
        <v>206</v>
      </c>
      <c r="F126" s="7" t="s">
        <v>150</v>
      </c>
      <c r="G126" s="7" t="s">
        <v>51</v>
      </c>
      <c r="H126" s="7"/>
      <c r="I126" s="7" t="s">
        <v>220</v>
      </c>
      <c r="J126" s="7" t="str">
        <f t="shared" si="8"/>
        <v>EUR</v>
      </c>
      <c r="K126" s="53">
        <f>IF($J$1="SEK / NOK",(VLOOKUP(A126,'RRP data'!A:C,3,FALSE)),(IF($J$1="DKK",(VLOOKUP('RRP data'!A126,'RRP data'!A:D,4,FALSE)),(IF($J$1="EUR",(VLOOKUP(A126,'RRP data'!A:E,5,FALSE)))))))</f>
        <v>249.9</v>
      </c>
      <c r="L126" s="7">
        <v>521</v>
      </c>
      <c r="M126" s="8">
        <v>1</v>
      </c>
      <c r="N126" s="8">
        <v>1</v>
      </c>
      <c r="P126" s="8" t="s">
        <v>41</v>
      </c>
      <c r="Q126" s="67">
        <v>94018000</v>
      </c>
      <c r="R126" s="8">
        <v>44</v>
      </c>
      <c r="S126" s="8">
        <v>63.4</v>
      </c>
      <c r="T126" s="8">
        <v>47.3</v>
      </c>
      <c r="U126" s="55">
        <v>7.5</v>
      </c>
      <c r="V126" s="8">
        <v>64</v>
      </c>
      <c r="W126" s="8">
        <v>46.5</v>
      </c>
      <c r="X126" s="8">
        <v>45</v>
      </c>
      <c r="Y126" s="8">
        <v>9</v>
      </c>
      <c r="Z126" s="62">
        <f t="shared" si="9"/>
        <v>0.13392000000000001</v>
      </c>
      <c r="AA126" s="8" t="s">
        <v>42</v>
      </c>
    </row>
    <row r="127" spans="1:27" ht="15.95" hidden="1" customHeight="1">
      <c r="A127" s="20">
        <v>27060190</v>
      </c>
      <c r="B127" s="1" t="s">
        <v>222</v>
      </c>
      <c r="C127" s="8" t="s">
        <v>223</v>
      </c>
      <c r="D127" s="7">
        <v>7350150970139</v>
      </c>
      <c r="E127" s="7" t="s">
        <v>206</v>
      </c>
      <c r="F127" s="7" t="s">
        <v>150</v>
      </c>
      <c r="G127" s="7" t="s">
        <v>51</v>
      </c>
      <c r="H127" s="7"/>
      <c r="I127" s="7" t="s">
        <v>220</v>
      </c>
      <c r="J127" s="7" t="str">
        <f>$J$1</f>
        <v>EUR</v>
      </c>
      <c r="K127" s="53">
        <f>IF($J$1="SEK / NOK",(VLOOKUP(A127,'RRP data'!A:C,3,FALSE)),(IF($J$1="DKK",(VLOOKUP('RRP data'!A127,'RRP data'!A:D,4,FALSE)),(IF($J$1="EUR",(VLOOKUP(A127,'RRP data'!A:E,5,FALSE)))))))</f>
        <v>249.9</v>
      </c>
      <c r="L127" s="7">
        <v>521</v>
      </c>
      <c r="M127" s="8">
        <v>1</v>
      </c>
      <c r="N127" s="8">
        <v>1</v>
      </c>
      <c r="P127" s="8" t="s">
        <v>41</v>
      </c>
      <c r="Q127" s="67">
        <v>94018000</v>
      </c>
      <c r="R127" s="8">
        <v>44</v>
      </c>
      <c r="S127" s="8">
        <v>63.4</v>
      </c>
      <c r="T127" s="8">
        <v>47.3</v>
      </c>
      <c r="U127" s="55">
        <v>7.5</v>
      </c>
      <c r="V127" s="8">
        <v>64</v>
      </c>
      <c r="W127" s="8">
        <v>46.5</v>
      </c>
      <c r="X127" s="8">
        <v>45</v>
      </c>
      <c r="Y127" s="8">
        <v>9</v>
      </c>
      <c r="Z127" s="62">
        <f>PRODUCT(V127:X127)/1000000</f>
        <v>0.13392000000000001</v>
      </c>
      <c r="AA127" s="8" t="s">
        <v>42</v>
      </c>
    </row>
    <row r="128" spans="1:27" ht="15.95" hidden="1" customHeight="1">
      <c r="A128" s="20">
        <v>801803</v>
      </c>
      <c r="B128" s="1" t="s">
        <v>224</v>
      </c>
      <c r="C128" s="8" t="s">
        <v>44</v>
      </c>
      <c r="D128" s="7">
        <v>7350057589953</v>
      </c>
      <c r="E128" s="7" t="s">
        <v>206</v>
      </c>
      <c r="F128" s="7" t="s">
        <v>168</v>
      </c>
      <c r="G128" s="7" t="s">
        <v>170</v>
      </c>
      <c r="H128" s="7"/>
      <c r="I128" s="7" t="s">
        <v>170</v>
      </c>
      <c r="J128" s="7" t="str">
        <f t="shared" si="8"/>
        <v>EUR</v>
      </c>
      <c r="K128" s="53">
        <f>IF($J$1="SEK / NOK",(VLOOKUP(A128,'RRP data'!A:C,3,FALSE)),(IF($J$1="DKK",(VLOOKUP('RRP data'!A128,'RRP data'!A:D,4,FALSE)),(IF($J$1="EUR",(VLOOKUP(A128,'RRP data'!A:E,5,FALSE)))))))</f>
        <v>24.9</v>
      </c>
      <c r="L128" s="7">
        <v>3700</v>
      </c>
      <c r="M128" s="8">
        <v>40</v>
      </c>
      <c r="N128" s="8">
        <v>1</v>
      </c>
      <c r="P128" s="8" t="s">
        <v>41</v>
      </c>
      <c r="Q128" s="67">
        <v>94019990</v>
      </c>
      <c r="R128" s="8">
        <v>39</v>
      </c>
      <c r="S128" s="8">
        <v>5</v>
      </c>
      <c r="T128" s="8">
        <v>49</v>
      </c>
      <c r="U128" s="55">
        <v>0.14000000000000001</v>
      </c>
      <c r="V128" s="8">
        <v>37.5</v>
      </c>
      <c r="W128" s="8">
        <v>24</v>
      </c>
      <c r="X128" s="8">
        <v>7</v>
      </c>
      <c r="Y128" s="8">
        <v>0.25</v>
      </c>
      <c r="Z128" s="62">
        <f t="shared" si="9"/>
        <v>6.3E-3</v>
      </c>
      <c r="AA128" s="8" t="s">
        <v>171</v>
      </c>
    </row>
    <row r="129" spans="1:29" ht="15.95" hidden="1" customHeight="1">
      <c r="A129" s="20">
        <v>806601</v>
      </c>
      <c r="B129" s="1" t="s">
        <v>225</v>
      </c>
      <c r="C129" s="8" t="s">
        <v>44</v>
      </c>
      <c r="D129" s="7">
        <v>7350057589670</v>
      </c>
      <c r="E129" s="7" t="s">
        <v>206</v>
      </c>
      <c r="F129" s="7" t="s">
        <v>168</v>
      </c>
      <c r="G129" s="7" t="s">
        <v>226</v>
      </c>
      <c r="H129" s="7" t="s">
        <v>170</v>
      </c>
      <c r="I129" s="7" t="s">
        <v>170</v>
      </c>
      <c r="J129" s="7" t="str">
        <f t="shared" si="8"/>
        <v>EUR</v>
      </c>
      <c r="K129" s="53">
        <f>IF($J$1="SEK / NOK",(VLOOKUP(A129,'RRP data'!A:C,3,FALSE)),(IF($J$1="DKK",(VLOOKUP('RRP data'!A129,'RRP data'!A:D,4,FALSE)),(IF($J$1="EUR",(VLOOKUP(A129,'RRP data'!A:E,5,FALSE)))))))</f>
        <v>22.9</v>
      </c>
      <c r="L129" s="7" t="s">
        <v>170</v>
      </c>
      <c r="M129" s="49"/>
      <c r="N129" s="8">
        <v>1</v>
      </c>
      <c r="P129" s="8" t="s">
        <v>41</v>
      </c>
      <c r="Q129" s="67">
        <v>94019990</v>
      </c>
      <c r="R129" s="8">
        <v>12</v>
      </c>
      <c r="S129" s="8">
        <v>8</v>
      </c>
      <c r="T129" s="8">
        <v>3</v>
      </c>
      <c r="U129" s="55">
        <v>0.17</v>
      </c>
      <c r="V129" s="8">
        <v>12</v>
      </c>
      <c r="W129" s="8">
        <v>8</v>
      </c>
      <c r="X129" s="8">
        <v>3</v>
      </c>
      <c r="Y129" s="8">
        <v>0.17</v>
      </c>
      <c r="Z129" s="62">
        <f t="shared" si="9"/>
        <v>2.8800000000000001E-4</v>
      </c>
      <c r="AA129" s="8" t="s">
        <v>171</v>
      </c>
    </row>
    <row r="130" spans="1:29" ht="15.95" hidden="1" customHeight="1">
      <c r="A130" s="20">
        <v>806602</v>
      </c>
      <c r="B130" s="1" t="s">
        <v>227</v>
      </c>
      <c r="C130" s="8" t="s">
        <v>44</v>
      </c>
      <c r="D130" s="7">
        <v>7350057589687</v>
      </c>
      <c r="E130" s="7" t="s">
        <v>206</v>
      </c>
      <c r="F130" s="7" t="s">
        <v>168</v>
      </c>
      <c r="G130" s="7" t="s">
        <v>226</v>
      </c>
      <c r="H130" s="7" t="s">
        <v>170</v>
      </c>
      <c r="I130" s="7" t="s">
        <v>170</v>
      </c>
      <c r="J130" s="7" t="str">
        <f t="shared" si="8"/>
        <v>EUR</v>
      </c>
      <c r="K130" s="53">
        <f>IF($J$1="SEK / NOK",(VLOOKUP(A130,'RRP data'!A:C,3,FALSE)),(IF($J$1="DKK",(VLOOKUP('RRP data'!A130,'RRP data'!A:D,4,FALSE)),(IF($J$1="EUR",(VLOOKUP(A130,'RRP data'!A:E,5,FALSE)))))))</f>
        <v>24.9</v>
      </c>
      <c r="L130" s="7" t="s">
        <v>170</v>
      </c>
      <c r="M130" s="49"/>
      <c r="N130" s="8">
        <v>1</v>
      </c>
      <c r="P130" s="8" t="s">
        <v>41</v>
      </c>
      <c r="Q130" s="67">
        <v>94019990</v>
      </c>
      <c r="R130" s="8">
        <v>140</v>
      </c>
      <c r="S130" s="8">
        <v>100</v>
      </c>
      <c r="T130" s="8">
        <v>3</v>
      </c>
      <c r="U130" s="55">
        <v>0.12</v>
      </c>
      <c r="V130" s="8">
        <v>140</v>
      </c>
      <c r="W130" s="8">
        <v>100</v>
      </c>
      <c r="X130" s="8">
        <v>3</v>
      </c>
      <c r="Y130" s="8">
        <v>0.12</v>
      </c>
      <c r="Z130" s="62">
        <f>PRODUCT(V130:X130)/1000000</f>
        <v>4.2000000000000003E-2</v>
      </c>
      <c r="AA130" s="8" t="s">
        <v>170</v>
      </c>
    </row>
    <row r="131" spans="1:29" s="22" customFormat="1" ht="15.95" hidden="1" customHeight="1">
      <c r="A131" s="50">
        <v>31000016</v>
      </c>
      <c r="B131" s="22" t="s">
        <v>228</v>
      </c>
      <c r="C131" s="48" t="s">
        <v>44</v>
      </c>
      <c r="D131" s="51">
        <v>7350057589977</v>
      </c>
      <c r="E131" s="51" t="s">
        <v>206</v>
      </c>
      <c r="F131" s="51" t="s">
        <v>229</v>
      </c>
      <c r="G131" s="51" t="s">
        <v>230</v>
      </c>
      <c r="H131" s="51" t="s">
        <v>231</v>
      </c>
      <c r="I131" s="51" t="s">
        <v>232</v>
      </c>
      <c r="J131" s="51" t="str">
        <f t="shared" si="8"/>
        <v>EUR</v>
      </c>
      <c r="K131" s="53">
        <v>849.9</v>
      </c>
      <c r="L131" s="51">
        <v>350</v>
      </c>
      <c r="M131" s="48">
        <v>1</v>
      </c>
      <c r="N131" s="48">
        <v>1</v>
      </c>
      <c r="O131" s="48"/>
      <c r="P131" s="48" t="s">
        <v>41</v>
      </c>
      <c r="Q131" s="69">
        <v>8715000010</v>
      </c>
      <c r="R131" s="48">
        <v>80</v>
      </c>
      <c r="S131" s="48">
        <v>91</v>
      </c>
      <c r="T131" s="48">
        <v>143</v>
      </c>
      <c r="U131" s="57">
        <v>18.8</v>
      </c>
      <c r="V131" s="48">
        <v>100</v>
      </c>
      <c r="W131" s="48">
        <v>28</v>
      </c>
      <c r="X131" s="48">
        <v>69</v>
      </c>
      <c r="Y131" s="48">
        <v>20.8</v>
      </c>
      <c r="Z131" s="63">
        <f t="shared" si="9"/>
        <v>0.19320000000000001</v>
      </c>
      <c r="AA131" s="48" t="s">
        <v>233</v>
      </c>
      <c r="AB131" s="48"/>
      <c r="AC131" s="48"/>
    </row>
    <row r="132" spans="1:29" s="22" customFormat="1" ht="15.95" hidden="1" customHeight="1">
      <c r="A132" s="50">
        <v>801114</v>
      </c>
      <c r="B132" s="22" t="s">
        <v>234</v>
      </c>
      <c r="C132" s="48" t="s">
        <v>44</v>
      </c>
      <c r="D132" s="51">
        <v>7350150970009</v>
      </c>
      <c r="E132" s="51" t="s">
        <v>206</v>
      </c>
      <c r="F132" s="51" t="s">
        <v>229</v>
      </c>
      <c r="G132" s="7" t="s">
        <v>170</v>
      </c>
      <c r="H132" s="7" t="s">
        <v>170</v>
      </c>
      <c r="I132" s="7" t="s">
        <v>170</v>
      </c>
      <c r="J132" s="51" t="str">
        <f t="shared" ref="J132:J137" si="10">$J$1</f>
        <v>EUR</v>
      </c>
      <c r="K132" s="53">
        <v>99.9</v>
      </c>
      <c r="L132" s="51"/>
      <c r="M132" s="8">
        <v>80</v>
      </c>
      <c r="N132" s="8">
        <v>1</v>
      </c>
      <c r="O132" s="8"/>
      <c r="P132" s="48" t="s">
        <v>41</v>
      </c>
      <c r="Q132" s="69">
        <v>8715000010</v>
      </c>
      <c r="R132" s="48">
        <v>43</v>
      </c>
      <c r="S132" s="48">
        <v>38</v>
      </c>
      <c r="T132" s="48">
        <v>13</v>
      </c>
      <c r="U132" s="57">
        <v>1.5</v>
      </c>
      <c r="V132" s="48">
        <v>44</v>
      </c>
      <c r="W132" s="48">
        <v>14</v>
      </c>
      <c r="X132" s="48">
        <v>39</v>
      </c>
      <c r="Y132" s="48">
        <v>2</v>
      </c>
      <c r="Z132" s="62">
        <f t="shared" ref="Z132:Z137" si="11">PRODUCT(V132:X132)/1000000</f>
        <v>2.4024E-2</v>
      </c>
      <c r="AA132" s="48"/>
      <c r="AB132" s="48"/>
      <c r="AC132" s="48"/>
    </row>
    <row r="133" spans="1:29" s="22" customFormat="1" ht="15.95" hidden="1" customHeight="1">
      <c r="A133" s="50">
        <v>801214</v>
      </c>
      <c r="B133" s="22" t="s">
        <v>235</v>
      </c>
      <c r="C133" s="48" t="s">
        <v>236</v>
      </c>
      <c r="D133" s="51">
        <v>7350150970016</v>
      </c>
      <c r="E133" s="51" t="s">
        <v>206</v>
      </c>
      <c r="F133" s="51" t="s">
        <v>229</v>
      </c>
      <c r="G133" s="7" t="s">
        <v>170</v>
      </c>
      <c r="H133" s="7" t="s">
        <v>170</v>
      </c>
      <c r="I133" s="7" t="s">
        <v>170</v>
      </c>
      <c r="J133" s="51" t="str">
        <f t="shared" si="10"/>
        <v>EUR</v>
      </c>
      <c r="K133" s="53">
        <v>49.9</v>
      </c>
      <c r="L133" s="51"/>
      <c r="M133" s="8">
        <v>100</v>
      </c>
      <c r="N133" s="8">
        <v>1</v>
      </c>
      <c r="O133" s="8"/>
      <c r="P133" s="48" t="s">
        <v>41</v>
      </c>
      <c r="Q133" s="69">
        <v>8715000010</v>
      </c>
      <c r="R133" s="48"/>
      <c r="S133" s="48"/>
      <c r="T133" s="48"/>
      <c r="U133" s="57">
        <v>0.35</v>
      </c>
      <c r="V133" s="48">
        <v>35</v>
      </c>
      <c r="W133" s="48">
        <v>23</v>
      </c>
      <c r="X133" s="48">
        <v>4</v>
      </c>
      <c r="Y133" s="48">
        <v>0.42</v>
      </c>
      <c r="Z133" s="62">
        <f t="shared" si="11"/>
        <v>3.2200000000000002E-3</v>
      </c>
      <c r="AA133" s="48"/>
      <c r="AB133" s="48"/>
      <c r="AC133" s="48"/>
    </row>
    <row r="134" spans="1:29" s="22" customFormat="1" ht="15.95" hidden="1" customHeight="1">
      <c r="A134" s="50">
        <v>801314</v>
      </c>
      <c r="B134" s="22" t="s">
        <v>237</v>
      </c>
      <c r="C134" s="48" t="s">
        <v>44</v>
      </c>
      <c r="D134" s="51">
        <v>7350150970177</v>
      </c>
      <c r="E134" s="51" t="s">
        <v>206</v>
      </c>
      <c r="F134" s="51" t="s">
        <v>229</v>
      </c>
      <c r="G134" s="7" t="s">
        <v>170</v>
      </c>
      <c r="H134" s="7" t="s">
        <v>170</v>
      </c>
      <c r="I134" s="7" t="s">
        <v>170</v>
      </c>
      <c r="J134" s="51" t="str">
        <f t="shared" si="10"/>
        <v>EUR</v>
      </c>
      <c r="K134" s="53">
        <v>49.9</v>
      </c>
      <c r="L134" s="51"/>
      <c r="M134" s="8">
        <v>100</v>
      </c>
      <c r="N134" s="8">
        <v>1</v>
      </c>
      <c r="O134" s="8"/>
      <c r="P134" s="48" t="s">
        <v>41</v>
      </c>
      <c r="Q134" s="69">
        <v>8715000010</v>
      </c>
      <c r="R134" s="48"/>
      <c r="S134" s="48"/>
      <c r="T134" s="48"/>
      <c r="U134" s="57">
        <v>0.3</v>
      </c>
      <c r="V134" s="48">
        <v>33</v>
      </c>
      <c r="W134" s="48">
        <v>31</v>
      </c>
      <c r="X134" s="48">
        <v>5</v>
      </c>
      <c r="Y134" s="48">
        <v>0.37</v>
      </c>
      <c r="Z134" s="62">
        <f t="shared" si="11"/>
        <v>5.1149999999999998E-3</v>
      </c>
      <c r="AA134" s="48"/>
      <c r="AB134" s="48"/>
      <c r="AC134" s="48"/>
    </row>
    <row r="135" spans="1:29" s="22" customFormat="1" ht="15.95" hidden="1" customHeight="1">
      <c r="A135" s="50">
        <v>801515</v>
      </c>
      <c r="B135" s="22" t="s">
        <v>238</v>
      </c>
      <c r="C135" s="48" t="s">
        <v>44</v>
      </c>
      <c r="D135" s="51">
        <v>7350150970191</v>
      </c>
      <c r="E135" s="51" t="s">
        <v>206</v>
      </c>
      <c r="F135" s="51" t="s">
        <v>229</v>
      </c>
      <c r="G135" s="7" t="s">
        <v>170</v>
      </c>
      <c r="H135" s="7" t="s">
        <v>170</v>
      </c>
      <c r="I135" s="7" t="s">
        <v>170</v>
      </c>
      <c r="J135" s="51" t="str">
        <f t="shared" si="10"/>
        <v>EUR</v>
      </c>
      <c r="K135" s="53">
        <v>29.9</v>
      </c>
      <c r="L135" s="51"/>
      <c r="M135" s="8">
        <v>70</v>
      </c>
      <c r="N135" s="8">
        <v>1</v>
      </c>
      <c r="O135" s="8"/>
      <c r="P135" s="48" t="s">
        <v>41</v>
      </c>
      <c r="Q135" s="69">
        <v>8715000010</v>
      </c>
      <c r="R135" s="48">
        <v>15</v>
      </c>
      <c r="S135" s="48">
        <v>11</v>
      </c>
      <c r="T135" s="48">
        <v>11</v>
      </c>
      <c r="U135" s="57">
        <v>0.17</v>
      </c>
      <c r="V135" s="48">
        <v>18</v>
      </c>
      <c r="W135" s="48">
        <v>13</v>
      </c>
      <c r="X135" s="48">
        <v>12</v>
      </c>
      <c r="Y135" s="48">
        <v>0.27</v>
      </c>
      <c r="Z135" s="62">
        <f t="shared" si="11"/>
        <v>2.8080000000000002E-3</v>
      </c>
      <c r="AA135" s="48"/>
      <c r="AB135" s="48"/>
      <c r="AC135" s="48"/>
    </row>
    <row r="136" spans="1:29" s="22" customFormat="1" ht="15.95" hidden="1" customHeight="1">
      <c r="A136" s="50">
        <v>801414</v>
      </c>
      <c r="B136" s="22" t="s">
        <v>239</v>
      </c>
      <c r="C136" s="48" t="s">
        <v>44</v>
      </c>
      <c r="D136" s="51">
        <v>7350150970184</v>
      </c>
      <c r="E136" s="51" t="s">
        <v>206</v>
      </c>
      <c r="F136" s="51" t="s">
        <v>229</v>
      </c>
      <c r="G136" s="7" t="s">
        <v>170</v>
      </c>
      <c r="H136" s="7" t="s">
        <v>170</v>
      </c>
      <c r="I136" s="7"/>
      <c r="J136" s="51" t="str">
        <f t="shared" si="10"/>
        <v>EUR</v>
      </c>
      <c r="K136" s="53"/>
      <c r="L136" s="51"/>
      <c r="M136" s="8"/>
      <c r="N136" s="8"/>
      <c r="O136" s="8"/>
      <c r="P136" s="48" t="s">
        <v>41</v>
      </c>
      <c r="Q136" s="69">
        <v>8715000010</v>
      </c>
      <c r="R136" s="48"/>
      <c r="S136" s="48"/>
      <c r="T136" s="48"/>
      <c r="U136" s="57"/>
      <c r="V136" s="48"/>
      <c r="W136" s="48"/>
      <c r="X136" s="48"/>
      <c r="Y136" s="48"/>
      <c r="Z136" s="62">
        <f t="shared" si="11"/>
        <v>0</v>
      </c>
      <c r="AA136" s="48"/>
      <c r="AB136" s="48"/>
      <c r="AC136" s="48"/>
    </row>
    <row r="137" spans="1:29" s="22" customFormat="1" ht="15.95" hidden="1" customHeight="1">
      <c r="A137" s="50">
        <v>1104933</v>
      </c>
      <c r="B137" s="22" t="s">
        <v>240</v>
      </c>
      <c r="C137" s="48" t="s">
        <v>44</v>
      </c>
      <c r="D137" s="51">
        <v>7350150970061</v>
      </c>
      <c r="E137" s="51" t="s">
        <v>206</v>
      </c>
      <c r="F137" s="51" t="s">
        <v>229</v>
      </c>
      <c r="G137" s="7" t="s">
        <v>170</v>
      </c>
      <c r="H137" s="7" t="s">
        <v>170</v>
      </c>
      <c r="I137" s="7" t="s">
        <v>170</v>
      </c>
      <c r="J137" s="51" t="str">
        <f t="shared" si="10"/>
        <v>EUR</v>
      </c>
      <c r="K137" s="53">
        <v>19.899999999999999</v>
      </c>
      <c r="L137" s="51" t="s">
        <v>170</v>
      </c>
      <c r="M137" s="8"/>
      <c r="N137" s="8"/>
      <c r="O137" s="8"/>
      <c r="P137" s="48" t="s">
        <v>41</v>
      </c>
      <c r="Q137" s="69">
        <v>8715000010</v>
      </c>
      <c r="R137" s="48"/>
      <c r="S137" s="48"/>
      <c r="T137" s="48"/>
      <c r="U137" s="57"/>
      <c r="V137" s="48"/>
      <c r="W137" s="48"/>
      <c r="X137" s="48"/>
      <c r="Y137" s="48"/>
      <c r="Z137" s="62">
        <f t="shared" si="11"/>
        <v>0</v>
      </c>
      <c r="AA137" s="48"/>
      <c r="AB137" s="48"/>
      <c r="AC137" s="48"/>
    </row>
    <row r="138" spans="1:29" s="22" customFormat="1" ht="15.95" hidden="1" customHeight="1">
      <c r="A138" s="50">
        <v>32000016</v>
      </c>
      <c r="B138" s="22" t="s">
        <v>241</v>
      </c>
      <c r="C138" s="48" t="s">
        <v>49</v>
      </c>
      <c r="D138" s="51">
        <v>7350057589984</v>
      </c>
      <c r="E138" s="51" t="s">
        <v>206</v>
      </c>
      <c r="F138" s="51" t="s">
        <v>229</v>
      </c>
      <c r="G138" s="51" t="s">
        <v>242</v>
      </c>
      <c r="H138" s="51"/>
      <c r="I138" s="51" t="s">
        <v>243</v>
      </c>
      <c r="J138" s="51" t="str">
        <f t="shared" si="8"/>
        <v>EUR</v>
      </c>
      <c r="K138" s="53" t="str">
        <f>IF($J$1="SEK / NOK",(VLOOKUP(A138,'RRP data'!A:C,3,FALSE)),(IF($J$1="DKK",(VLOOKUP('RRP data'!A132,'RRP data'!A:D,4,FALSE)),(IF($J$1="EUR",(VLOOKUP(A138,'RRP data'!A:E,5,FALSE)))))))</f>
        <v>-</v>
      </c>
      <c r="L138" s="52">
        <v>900</v>
      </c>
      <c r="M138" s="48">
        <v>1</v>
      </c>
      <c r="N138" s="48">
        <v>1</v>
      </c>
      <c r="O138" s="48"/>
      <c r="P138" s="48" t="s">
        <v>41</v>
      </c>
      <c r="Q138" s="69">
        <v>4202129000</v>
      </c>
      <c r="R138" s="48">
        <v>39</v>
      </c>
      <c r="S138" s="48">
        <v>68</v>
      </c>
      <c r="T138" s="48">
        <v>52</v>
      </c>
      <c r="U138" s="57">
        <v>3.1</v>
      </c>
      <c r="V138" s="48">
        <v>76</v>
      </c>
      <c r="W138" s="48">
        <v>40</v>
      </c>
      <c r="X138" s="48">
        <v>26</v>
      </c>
      <c r="Y138" s="48">
        <v>4</v>
      </c>
      <c r="Z138" s="63">
        <f t="shared" si="9"/>
        <v>7.9039999999999999E-2</v>
      </c>
      <c r="AA138" s="48" t="s">
        <v>233</v>
      </c>
      <c r="AB138" s="48"/>
      <c r="AC138" s="48"/>
    </row>
    <row r="139" spans="1:29" s="22" customFormat="1" ht="15.75" hidden="1" customHeight="1">
      <c r="A139" s="50">
        <v>32000019</v>
      </c>
      <c r="B139" s="22" t="s">
        <v>244</v>
      </c>
      <c r="C139" s="48" t="s">
        <v>60</v>
      </c>
      <c r="D139" s="51">
        <v>7350057589991</v>
      </c>
      <c r="E139" s="51" t="s">
        <v>206</v>
      </c>
      <c r="F139" s="51" t="s">
        <v>229</v>
      </c>
      <c r="G139" s="51" t="s">
        <v>245</v>
      </c>
      <c r="H139" s="51"/>
      <c r="I139" s="51" t="s">
        <v>243</v>
      </c>
      <c r="J139" s="51" t="str">
        <f t="shared" si="8"/>
        <v>EUR</v>
      </c>
      <c r="K139" s="53" t="str">
        <f>IF($J$1="SEK / NOK",(VLOOKUP(A139,'RRP data'!A:C,3,FALSE)),(IF($J$1="DKK",(VLOOKUP('RRP data'!A133,'RRP data'!A:D,4,FALSE)),(IF($J$1="EUR",(VLOOKUP(A139,'RRP data'!A:E,5,FALSE)))))))</f>
        <v>-</v>
      </c>
      <c r="L139" s="52">
        <v>900</v>
      </c>
      <c r="M139" s="48">
        <v>1</v>
      </c>
      <c r="N139" s="48">
        <v>1</v>
      </c>
      <c r="O139" s="48"/>
      <c r="P139" s="48" t="s">
        <v>41</v>
      </c>
      <c r="Q139" s="69">
        <v>4202129000</v>
      </c>
      <c r="R139" s="48">
        <v>39</v>
      </c>
      <c r="S139" s="48">
        <v>68</v>
      </c>
      <c r="T139" s="48">
        <v>52</v>
      </c>
      <c r="U139" s="57">
        <v>3.1</v>
      </c>
      <c r="V139" s="48">
        <v>76</v>
      </c>
      <c r="W139" s="48">
        <v>40</v>
      </c>
      <c r="X139" s="48">
        <v>26</v>
      </c>
      <c r="Y139" s="48">
        <v>4</v>
      </c>
      <c r="Z139" s="63">
        <f t="shared" si="9"/>
        <v>7.9039999999999999E-2</v>
      </c>
      <c r="AA139" s="48" t="s">
        <v>233</v>
      </c>
      <c r="AB139" s="48"/>
      <c r="AC139" s="48"/>
    </row>
    <row r="140" spans="1:29" ht="15.95" hidden="1" customHeight="1">
      <c r="A140" s="20">
        <v>22150216</v>
      </c>
      <c r="B140" s="1" t="s">
        <v>246</v>
      </c>
      <c r="C140" s="8" t="s">
        <v>49</v>
      </c>
      <c r="D140" s="7">
        <v>7350057589601</v>
      </c>
      <c r="E140" s="7" t="s">
        <v>206</v>
      </c>
      <c r="F140" s="7" t="s">
        <v>50</v>
      </c>
      <c r="G140" s="7" t="s">
        <v>51</v>
      </c>
      <c r="H140" s="7" t="s">
        <v>52</v>
      </c>
      <c r="I140" s="7" t="s">
        <v>56</v>
      </c>
      <c r="J140" s="7" t="str">
        <f t="shared" si="8"/>
        <v>EUR</v>
      </c>
      <c r="K140" s="53">
        <f>IF($J$1="SEK / NOK",(VLOOKUP(A140,'RRP data'!A:C,3,FALSE)),(IF($J$1="DKK",(VLOOKUP('RRP data'!A134,'RRP data'!A:D,4,FALSE)),(IF($J$1="EUR",(VLOOKUP(A140,'RRP data'!A:E,5,FALSE)))))))</f>
        <v>649.9</v>
      </c>
      <c r="L140" s="7">
        <v>509</v>
      </c>
      <c r="M140" s="8">
        <v>1</v>
      </c>
      <c r="N140" s="8">
        <v>1</v>
      </c>
      <c r="P140" s="8" t="s">
        <v>41</v>
      </c>
      <c r="Q140" s="67">
        <v>94018000</v>
      </c>
      <c r="R140" s="8">
        <v>44</v>
      </c>
      <c r="S140" s="8">
        <v>65</v>
      </c>
      <c r="T140" s="8">
        <v>54</v>
      </c>
      <c r="U140" s="55">
        <v>11</v>
      </c>
      <c r="V140" s="27">
        <v>46</v>
      </c>
      <c r="W140" s="27">
        <v>58</v>
      </c>
      <c r="X140" s="27">
        <v>66</v>
      </c>
      <c r="Y140" s="8">
        <v>14</v>
      </c>
      <c r="Z140" s="60">
        <f t="shared" si="9"/>
        <v>0.17608799999999999</v>
      </c>
      <c r="AA140" s="8" t="s">
        <v>42</v>
      </c>
    </row>
    <row r="141" spans="1:29" ht="15.95" hidden="1" customHeight="1">
      <c r="A141" s="20">
        <v>22150221</v>
      </c>
      <c r="B141" s="1" t="s">
        <v>247</v>
      </c>
      <c r="C141" s="8" t="s">
        <v>66</v>
      </c>
      <c r="D141" s="7">
        <v>7350057589663</v>
      </c>
      <c r="E141" s="7" t="s">
        <v>206</v>
      </c>
      <c r="F141" s="7" t="s">
        <v>50</v>
      </c>
      <c r="G141" s="7" t="s">
        <v>51</v>
      </c>
      <c r="H141" s="7" t="s">
        <v>52</v>
      </c>
      <c r="I141" s="7" t="s">
        <v>56</v>
      </c>
      <c r="J141" s="7" t="str">
        <f t="shared" ref="J141:J143" si="12">$J$1</f>
        <v>EUR</v>
      </c>
      <c r="K141" s="53">
        <f>IF($J$1="SEK / NOK",(VLOOKUP(A141,'RRP data'!A:C,3,FALSE)),(IF($J$1="DKK",(VLOOKUP('RRP data'!A135,'RRP data'!A:D,4,FALSE)),(IF($J$1="EUR",(VLOOKUP(A141,'RRP data'!A:E,5,FALSE)))))))</f>
        <v>649.9</v>
      </c>
      <c r="L141" s="7">
        <v>509</v>
      </c>
      <c r="M141" s="8">
        <v>1</v>
      </c>
      <c r="N141" s="8">
        <v>1</v>
      </c>
      <c r="P141" s="8" t="s">
        <v>41</v>
      </c>
      <c r="Q141" s="67">
        <v>94018000</v>
      </c>
      <c r="R141" s="8">
        <v>44</v>
      </c>
      <c r="S141" s="8">
        <v>65</v>
      </c>
      <c r="T141" s="8">
        <v>54</v>
      </c>
      <c r="U141" s="55">
        <v>11</v>
      </c>
      <c r="V141" s="27">
        <v>46</v>
      </c>
      <c r="W141" s="27">
        <v>58</v>
      </c>
      <c r="X141" s="27">
        <v>66</v>
      </c>
      <c r="Y141" s="8">
        <v>14</v>
      </c>
      <c r="Z141" s="60">
        <f t="shared" si="9"/>
        <v>0.17608799999999999</v>
      </c>
      <c r="AA141" s="8" t="s">
        <v>42</v>
      </c>
    </row>
    <row r="142" spans="1:29" ht="15.95" hidden="1" customHeight="1">
      <c r="A142" s="20">
        <v>22150224</v>
      </c>
      <c r="B142" s="1" t="s">
        <v>248</v>
      </c>
      <c r="C142" s="8" t="s">
        <v>124</v>
      </c>
      <c r="D142" s="7">
        <v>7350057589618</v>
      </c>
      <c r="E142" s="7" t="s">
        <v>206</v>
      </c>
      <c r="F142" s="7" t="s">
        <v>50</v>
      </c>
      <c r="G142" s="7" t="s">
        <v>51</v>
      </c>
      <c r="H142" s="7" t="s">
        <v>52</v>
      </c>
      <c r="I142" s="7" t="s">
        <v>56</v>
      </c>
      <c r="J142" s="7" t="str">
        <f t="shared" si="12"/>
        <v>EUR</v>
      </c>
      <c r="K142" s="53">
        <f>IF($J$1="SEK / NOK",(VLOOKUP(A142,'RRP data'!A:C,3,FALSE)),(IF($J$1="DKK",(VLOOKUP('RRP data'!A136,'RRP data'!A:D,4,FALSE)),(IF($J$1="EUR",(VLOOKUP(A142,'RRP data'!A:E,5,FALSE)))))))</f>
        <v>649.9</v>
      </c>
      <c r="L142" s="7">
        <v>509</v>
      </c>
      <c r="M142" s="8">
        <v>1</v>
      </c>
      <c r="N142" s="8">
        <v>1</v>
      </c>
      <c r="P142" s="8" t="s">
        <v>41</v>
      </c>
      <c r="Q142" s="67">
        <v>94018000</v>
      </c>
      <c r="R142" s="8">
        <v>44</v>
      </c>
      <c r="S142" s="8">
        <v>65</v>
      </c>
      <c r="T142" s="8">
        <v>54</v>
      </c>
      <c r="U142" s="55">
        <v>11</v>
      </c>
      <c r="V142" s="27">
        <v>46</v>
      </c>
      <c r="W142" s="27">
        <v>58</v>
      </c>
      <c r="X142" s="27">
        <v>66</v>
      </c>
      <c r="Y142" s="8">
        <v>14</v>
      </c>
      <c r="Z142" s="60">
        <f t="shared" si="9"/>
        <v>0.17608799999999999</v>
      </c>
      <c r="AA142" s="8" t="s">
        <v>42</v>
      </c>
    </row>
    <row r="143" spans="1:29" ht="16.5" hidden="1" customHeight="1">
      <c r="A143" s="20">
        <v>22150225</v>
      </c>
      <c r="B143" s="1" t="s">
        <v>249</v>
      </c>
      <c r="C143" s="8" t="s">
        <v>126</v>
      </c>
      <c r="D143" s="7">
        <v>7350057589625</v>
      </c>
      <c r="E143" s="7" t="s">
        <v>206</v>
      </c>
      <c r="F143" s="7" t="s">
        <v>50</v>
      </c>
      <c r="G143" s="7" t="s">
        <v>51</v>
      </c>
      <c r="H143" s="7" t="s">
        <v>52</v>
      </c>
      <c r="I143" s="7" t="s">
        <v>56</v>
      </c>
      <c r="J143" s="7" t="str">
        <f t="shared" si="12"/>
        <v>EUR</v>
      </c>
      <c r="K143" s="53">
        <f>IF($J$1="SEK / NOK",(VLOOKUP(A143,'RRP data'!A:C,3,FALSE)),(IF($J$1="DKK",(VLOOKUP('RRP data'!A137,'RRP data'!A:D,4,FALSE)),(IF($J$1="EUR",(VLOOKUP(A143,'RRP data'!A:E,5,FALSE)))))))</f>
        <v>649.9</v>
      </c>
      <c r="L143" s="7">
        <v>509</v>
      </c>
      <c r="M143" s="8">
        <v>1</v>
      </c>
      <c r="N143" s="8">
        <v>1</v>
      </c>
      <c r="P143" s="8" t="s">
        <v>41</v>
      </c>
      <c r="Q143" s="67">
        <v>94018000</v>
      </c>
      <c r="R143" s="8">
        <v>44</v>
      </c>
      <c r="S143" s="8">
        <v>65</v>
      </c>
      <c r="T143" s="8">
        <v>54</v>
      </c>
      <c r="U143" s="55">
        <v>11</v>
      </c>
      <c r="V143" s="27">
        <v>46</v>
      </c>
      <c r="W143" s="27">
        <v>58</v>
      </c>
      <c r="X143" s="27">
        <v>66</v>
      </c>
      <c r="Y143" s="8">
        <v>14</v>
      </c>
      <c r="Z143" s="60">
        <f>PRODUCT(V143:X143)/1000000</f>
        <v>0.17608799999999999</v>
      </c>
      <c r="AA143" s="8" t="s">
        <v>42</v>
      </c>
    </row>
    <row r="144" spans="1:29" s="34" customFormat="1" ht="13.5" hidden="1" customHeight="1">
      <c r="A144" s="20">
        <v>801215</v>
      </c>
      <c r="B144" s="1" t="s">
        <v>250</v>
      </c>
      <c r="C144" s="8" t="s">
        <v>44</v>
      </c>
      <c r="D144" s="7">
        <v>7350150970160</v>
      </c>
      <c r="E144" s="7" t="s">
        <v>206</v>
      </c>
      <c r="F144" s="7" t="s">
        <v>168</v>
      </c>
      <c r="G144" s="7"/>
      <c r="H144" s="7" t="s">
        <v>170</v>
      </c>
      <c r="I144" s="7" t="s">
        <v>170</v>
      </c>
      <c r="J144" s="7" t="str">
        <f>$J$1</f>
        <v>EUR</v>
      </c>
      <c r="K144" s="53">
        <f>IF($J$1="SEK / NOK",(VLOOKUP(A144,'RRP data'!A:C,3,FALSE)),(IF($J$1="DKK",(VLOOKUP('RRP data'!A138,'RRP data'!A:D,4,FALSE)),(IF($J$1="EUR",(VLOOKUP(A144,'RRP data'!A:E,5,FALSE)))))))</f>
        <v>24.9</v>
      </c>
      <c r="L144" s="7" t="s">
        <v>170</v>
      </c>
      <c r="M144" s="8"/>
      <c r="N144" s="8"/>
      <c r="O144" s="8"/>
      <c r="P144" s="8" t="s">
        <v>41</v>
      </c>
      <c r="Q144" s="67">
        <v>94019990</v>
      </c>
      <c r="R144" s="8">
        <v>12</v>
      </c>
      <c r="S144" s="8">
        <v>8.5</v>
      </c>
      <c r="T144" s="8">
        <v>9</v>
      </c>
      <c r="U144" s="55">
        <v>62</v>
      </c>
      <c r="V144" s="8">
        <v>12</v>
      </c>
      <c r="W144" s="8">
        <v>12</v>
      </c>
      <c r="X144" s="8">
        <v>10</v>
      </c>
      <c r="Y144" s="8">
        <v>0.1</v>
      </c>
      <c r="Z144" s="62">
        <f>PRODUCT(V144:X144)/1000000</f>
        <v>1.4400000000000001E-3</v>
      </c>
      <c r="AA144" s="8" t="s">
        <v>170</v>
      </c>
      <c r="AB144" s="8"/>
      <c r="AC144" s="8"/>
    </row>
    <row r="145" spans="1:29" s="34" customFormat="1" ht="13.5" hidden="1" customHeight="1">
      <c r="A145" s="20">
        <v>22170016</v>
      </c>
      <c r="B145" s="1" t="s">
        <v>251</v>
      </c>
      <c r="C145" s="8" t="s">
        <v>49</v>
      </c>
      <c r="D145" s="7">
        <v>7350150970238</v>
      </c>
      <c r="E145" s="7" t="s">
        <v>206</v>
      </c>
      <c r="F145" s="7" t="s">
        <v>50</v>
      </c>
      <c r="G145" s="7"/>
      <c r="H145" s="7"/>
      <c r="I145" s="7"/>
      <c r="J145" s="7" t="str">
        <f>$J$1</f>
        <v>EUR</v>
      </c>
      <c r="K145" s="53">
        <f>IF($J$1="SEK / NOK",(VLOOKUP(A145,'RRP data'!A:C,3,FALSE)),(IF($J$1="DKK",(VLOOKUP('RRP data'!A139,'RRP data'!A:D,4,FALSE)),(IF($J$1="EUR",(VLOOKUP(A145,'RRP data'!A:E,5,FALSE)))))))</f>
        <v>449.9</v>
      </c>
      <c r="L145" s="7">
        <v>509</v>
      </c>
      <c r="M145" s="8">
        <v>1</v>
      </c>
      <c r="N145" s="8">
        <v>1</v>
      </c>
      <c r="O145" s="8"/>
      <c r="P145" s="8" t="s">
        <v>41</v>
      </c>
      <c r="Q145" s="67">
        <v>94018000</v>
      </c>
      <c r="R145" s="8"/>
      <c r="S145" s="8"/>
      <c r="T145" s="8"/>
      <c r="U145" s="55"/>
      <c r="V145" s="27">
        <v>46</v>
      </c>
      <c r="W145" s="27">
        <v>58</v>
      </c>
      <c r="X145" s="27">
        <v>66</v>
      </c>
      <c r="Y145" s="8"/>
      <c r="Z145" s="60">
        <f>PRODUCT(V145:X145)/1000000</f>
        <v>0.17608799999999999</v>
      </c>
      <c r="AA145" s="8" t="s">
        <v>42</v>
      </c>
      <c r="AB145" s="8"/>
      <c r="AC145" s="8"/>
    </row>
    <row r="146" spans="1:29" s="34" customFormat="1" ht="16.5" hidden="1" customHeight="1">
      <c r="A146" s="20">
        <v>22170017</v>
      </c>
      <c r="B146" s="1" t="s">
        <v>252</v>
      </c>
      <c r="C146" s="8" t="s">
        <v>55</v>
      </c>
      <c r="D146" s="7">
        <v>7350150970245</v>
      </c>
      <c r="E146" s="7" t="s">
        <v>206</v>
      </c>
      <c r="F146" s="7" t="s">
        <v>50</v>
      </c>
      <c r="G146" s="7"/>
      <c r="H146" s="7"/>
      <c r="I146" s="7"/>
      <c r="J146" s="7" t="str">
        <f>$J$1</f>
        <v>EUR</v>
      </c>
      <c r="K146" s="53">
        <f>IF($J$1="SEK / NOK",(VLOOKUP(A146,'RRP data'!A:C,3,FALSE)),(IF($J$1="DKK",(VLOOKUP('RRP data'!A140,'RRP data'!A:D,4,FALSE)),(IF($J$1="EUR",(VLOOKUP(A146,'RRP data'!A:E,5,FALSE)))))))</f>
        <v>449.9</v>
      </c>
      <c r="L146" s="7">
        <v>509</v>
      </c>
      <c r="M146" s="8">
        <v>1</v>
      </c>
      <c r="N146" s="8">
        <v>1</v>
      </c>
      <c r="O146" s="8"/>
      <c r="P146" s="8" t="s">
        <v>41</v>
      </c>
      <c r="Q146" s="67">
        <v>94018000</v>
      </c>
      <c r="R146" s="8"/>
      <c r="S146" s="8"/>
      <c r="T146" s="8"/>
      <c r="U146" s="55"/>
      <c r="V146" s="27">
        <v>46</v>
      </c>
      <c r="W146" s="27">
        <v>58</v>
      </c>
      <c r="X146" s="27">
        <v>66</v>
      </c>
      <c r="Y146" s="8"/>
      <c r="Z146" s="60">
        <f>PRODUCT(V146:X146)/1000000</f>
        <v>0.17608799999999999</v>
      </c>
      <c r="AA146" s="8" t="s">
        <v>42</v>
      </c>
      <c r="AB146" s="8"/>
      <c r="AC146" s="8"/>
    </row>
    <row r="147" spans="1:29" s="34" customFormat="1" ht="15" customHeight="1">
      <c r="A147" s="43"/>
      <c r="C147" s="28"/>
      <c r="D147" s="28"/>
      <c r="E147" s="28"/>
      <c r="F147" s="28"/>
      <c r="G147" s="28"/>
      <c r="H147" s="28"/>
      <c r="I147" s="28"/>
      <c r="J147" s="28"/>
      <c r="K147" s="28"/>
      <c r="L147" s="28"/>
      <c r="M147" s="28"/>
      <c r="N147" s="28"/>
      <c r="O147" s="28"/>
      <c r="P147" s="28"/>
      <c r="Q147" s="70"/>
      <c r="R147" s="28"/>
      <c r="S147" s="28"/>
      <c r="T147" s="28"/>
      <c r="U147" s="58"/>
      <c r="V147" s="28"/>
      <c r="W147" s="28"/>
      <c r="X147" s="28"/>
      <c r="Y147" s="28"/>
      <c r="Z147" s="64"/>
      <c r="AA147" s="28"/>
      <c r="AB147" s="28"/>
      <c r="AC147" s="28"/>
    </row>
    <row r="148" spans="1:29" s="34" customFormat="1" ht="15" customHeight="1">
      <c r="A148" s="43"/>
      <c r="C148" s="28"/>
      <c r="D148" s="28"/>
      <c r="E148" s="28"/>
      <c r="F148" s="28"/>
      <c r="G148" s="28"/>
      <c r="H148" s="28"/>
      <c r="I148" s="28"/>
      <c r="J148" s="28"/>
      <c r="K148" s="28"/>
      <c r="L148" s="28"/>
      <c r="M148" s="28"/>
      <c r="N148" s="28"/>
      <c r="O148" s="28"/>
      <c r="P148" s="28"/>
      <c r="Q148" s="70"/>
      <c r="R148" s="28"/>
      <c r="S148" s="28"/>
      <c r="T148" s="28"/>
      <c r="U148" s="58"/>
      <c r="V148" s="28"/>
      <c r="W148" s="28"/>
      <c r="X148" s="28"/>
      <c r="Y148" s="28"/>
      <c r="Z148" s="64"/>
      <c r="AA148" s="28"/>
      <c r="AB148" s="28"/>
      <c r="AC148" s="28"/>
    </row>
    <row r="149" spans="1:29" s="34" customFormat="1" ht="15" customHeight="1">
      <c r="A149" s="43"/>
      <c r="C149" s="28"/>
      <c r="D149" s="28"/>
      <c r="E149" s="28"/>
      <c r="F149" s="28"/>
      <c r="G149" s="28"/>
      <c r="H149" s="28"/>
      <c r="I149" s="28"/>
      <c r="J149" s="28"/>
      <c r="K149" s="28"/>
      <c r="L149" s="28"/>
      <c r="M149" s="28"/>
      <c r="N149" s="28"/>
      <c r="O149" s="28"/>
      <c r="P149" s="28"/>
      <c r="Q149" s="70"/>
      <c r="R149" s="28"/>
      <c r="S149" s="28"/>
      <c r="T149" s="28"/>
      <c r="U149" s="58"/>
      <c r="V149" s="28"/>
      <c r="W149" s="28"/>
      <c r="X149" s="28"/>
      <c r="Y149" s="28"/>
      <c r="Z149" s="64"/>
      <c r="AA149" s="28"/>
      <c r="AB149" s="28"/>
      <c r="AC149" s="28"/>
    </row>
    <row r="150" spans="1:29" s="34" customFormat="1" ht="15" customHeight="1">
      <c r="A150" s="43"/>
      <c r="C150" s="28"/>
      <c r="D150" s="28"/>
      <c r="E150" s="28"/>
      <c r="F150" s="28"/>
      <c r="G150" s="28"/>
      <c r="H150" s="28"/>
      <c r="I150" s="28"/>
      <c r="J150" s="28"/>
      <c r="K150" s="28"/>
      <c r="L150" s="28"/>
      <c r="M150" s="28"/>
      <c r="N150" s="28"/>
      <c r="O150" s="28"/>
      <c r="P150" s="28"/>
      <c r="Q150" s="70"/>
      <c r="R150" s="28"/>
      <c r="S150" s="28"/>
      <c r="T150" s="28"/>
      <c r="U150" s="58"/>
      <c r="V150" s="28"/>
      <c r="W150" s="28"/>
      <c r="X150" s="28"/>
      <c r="Y150" s="28"/>
      <c r="Z150" s="64"/>
      <c r="AA150" s="28"/>
      <c r="AB150" s="28"/>
      <c r="AC150" s="28"/>
    </row>
    <row r="151" spans="1:29" s="34" customFormat="1" ht="15" customHeight="1">
      <c r="A151" s="43"/>
      <c r="C151" s="28"/>
      <c r="D151" s="28"/>
      <c r="E151" s="28"/>
      <c r="F151" s="28"/>
      <c r="G151" s="28"/>
      <c r="H151" s="28"/>
      <c r="I151" s="28"/>
      <c r="J151" s="28"/>
      <c r="K151" s="28"/>
      <c r="L151" s="28"/>
      <c r="M151" s="28"/>
      <c r="N151" s="28"/>
      <c r="O151" s="28"/>
      <c r="P151" s="28"/>
      <c r="Q151" s="70"/>
      <c r="R151" s="28"/>
      <c r="S151" s="28"/>
      <c r="T151" s="28"/>
      <c r="U151" s="58"/>
      <c r="V151" s="28"/>
      <c r="W151" s="28"/>
      <c r="X151" s="28"/>
      <c r="Y151" s="28"/>
      <c r="Z151" s="64"/>
      <c r="AA151" s="28"/>
      <c r="AB151" s="28"/>
      <c r="AC151" s="28"/>
    </row>
    <row r="152" spans="1:29" s="34" customFormat="1" ht="15" customHeight="1">
      <c r="A152" s="43"/>
      <c r="C152" s="28"/>
      <c r="D152" s="28"/>
      <c r="E152" s="28"/>
      <c r="F152" s="28"/>
      <c r="G152" s="28"/>
      <c r="H152" s="28"/>
      <c r="I152" s="28"/>
      <c r="J152" s="28"/>
      <c r="K152" s="28"/>
      <c r="L152" s="28"/>
      <c r="M152" s="28"/>
      <c r="N152" s="28"/>
      <c r="O152" s="28"/>
      <c r="P152" s="28"/>
      <c r="Q152" s="70"/>
      <c r="R152" s="28"/>
      <c r="S152" s="28"/>
      <c r="T152" s="28"/>
      <c r="U152" s="58"/>
      <c r="V152" s="28"/>
      <c r="W152" s="28"/>
      <c r="X152" s="28"/>
      <c r="Y152" s="28"/>
      <c r="Z152" s="64"/>
      <c r="AA152" s="28"/>
      <c r="AB152" s="28"/>
      <c r="AC152" s="28"/>
    </row>
    <row r="153" spans="1:29" s="34" customFormat="1" ht="15" customHeight="1">
      <c r="A153" s="43"/>
      <c r="C153" s="28"/>
      <c r="D153" s="28"/>
      <c r="E153" s="28"/>
      <c r="F153" s="28"/>
      <c r="G153" s="28"/>
      <c r="H153" s="28"/>
      <c r="I153" s="28"/>
      <c r="J153" s="28"/>
      <c r="K153" s="28"/>
      <c r="L153" s="28"/>
      <c r="M153" s="28"/>
      <c r="N153" s="28"/>
      <c r="O153" s="28"/>
      <c r="P153" s="28"/>
      <c r="Q153" s="70"/>
      <c r="R153" s="28"/>
      <c r="S153" s="28"/>
      <c r="T153" s="28"/>
      <c r="U153" s="58"/>
      <c r="V153" s="28"/>
      <c r="W153" s="28"/>
      <c r="X153" s="28"/>
      <c r="Y153" s="28"/>
      <c r="Z153" s="64"/>
      <c r="AA153" s="28"/>
      <c r="AB153" s="28"/>
      <c r="AC153" s="28"/>
    </row>
    <row r="154" spans="1:29" s="34" customFormat="1" ht="15" customHeight="1">
      <c r="A154" s="43"/>
      <c r="C154" s="28"/>
      <c r="D154" s="28"/>
      <c r="E154" s="28"/>
      <c r="F154" s="28"/>
      <c r="G154" s="28"/>
      <c r="H154" s="28"/>
      <c r="I154" s="28"/>
      <c r="J154" s="28"/>
      <c r="K154" s="28"/>
      <c r="L154" s="28"/>
      <c r="M154" s="28"/>
      <c r="N154" s="28"/>
      <c r="O154" s="28"/>
      <c r="P154" s="28"/>
      <c r="Q154" s="70"/>
      <c r="R154" s="28"/>
      <c r="S154" s="28"/>
      <c r="T154" s="28"/>
      <c r="U154" s="58"/>
      <c r="V154" s="28"/>
      <c r="W154" s="28"/>
      <c r="X154" s="28"/>
      <c r="Y154" s="28"/>
      <c r="Z154" s="64"/>
      <c r="AA154" s="28"/>
      <c r="AB154" s="28"/>
      <c r="AC154" s="28"/>
    </row>
    <row r="155" spans="1:29" s="34" customFormat="1" ht="15" customHeight="1">
      <c r="A155" s="43"/>
      <c r="C155" s="28"/>
      <c r="D155" s="28"/>
      <c r="E155" s="28"/>
      <c r="F155" s="28"/>
      <c r="G155" s="28"/>
      <c r="H155" s="28"/>
      <c r="I155" s="28"/>
      <c r="J155" s="28"/>
      <c r="K155" s="28"/>
      <c r="L155" s="28"/>
      <c r="M155" s="28"/>
      <c r="N155" s="28"/>
      <c r="O155" s="28"/>
      <c r="P155" s="28"/>
      <c r="Q155" s="70"/>
      <c r="R155" s="28"/>
      <c r="S155" s="28"/>
      <c r="T155" s="28"/>
      <c r="U155" s="58"/>
      <c r="V155" s="28"/>
      <c r="W155" s="28"/>
      <c r="X155" s="28"/>
      <c r="Y155" s="28"/>
      <c r="Z155" s="64"/>
      <c r="AA155" s="28"/>
      <c r="AB155" s="28"/>
      <c r="AC155" s="28"/>
    </row>
    <row r="156" spans="1:29" s="34" customFormat="1" ht="15" customHeight="1">
      <c r="A156" s="43"/>
      <c r="C156" s="28"/>
      <c r="D156" s="28"/>
      <c r="E156" s="28"/>
      <c r="F156" s="28"/>
      <c r="G156" s="28"/>
      <c r="H156" s="28"/>
      <c r="I156" s="28"/>
      <c r="J156" s="28"/>
      <c r="K156" s="28"/>
      <c r="L156" s="28"/>
      <c r="M156" s="28"/>
      <c r="N156" s="28"/>
      <c r="O156" s="28"/>
      <c r="P156" s="28"/>
      <c r="Q156" s="70"/>
      <c r="R156" s="28"/>
      <c r="S156" s="28"/>
      <c r="T156" s="28"/>
      <c r="U156" s="58"/>
      <c r="V156" s="28"/>
      <c r="W156" s="28"/>
      <c r="X156" s="28"/>
      <c r="Y156" s="28"/>
      <c r="Z156" s="64"/>
      <c r="AA156" s="28"/>
      <c r="AB156" s="28"/>
      <c r="AC156" s="28"/>
    </row>
    <row r="157" spans="1:29" s="34" customFormat="1" ht="15" customHeight="1">
      <c r="A157" s="43"/>
      <c r="C157" s="28"/>
      <c r="D157" s="28"/>
      <c r="E157" s="28"/>
      <c r="F157" s="28"/>
      <c r="G157" s="28"/>
      <c r="H157" s="28"/>
      <c r="I157" s="28"/>
      <c r="J157" s="28"/>
      <c r="K157" s="28"/>
      <c r="L157" s="28"/>
      <c r="M157" s="28"/>
      <c r="N157" s="28"/>
      <c r="O157" s="28"/>
      <c r="P157" s="28"/>
      <c r="Q157" s="70"/>
      <c r="R157" s="28"/>
      <c r="S157" s="28"/>
      <c r="T157" s="28"/>
      <c r="U157" s="58"/>
      <c r="V157" s="28"/>
      <c r="W157" s="28"/>
      <c r="X157" s="28"/>
      <c r="Y157" s="28"/>
      <c r="Z157" s="64"/>
      <c r="AA157" s="28"/>
      <c r="AB157" s="28"/>
      <c r="AC157" s="28"/>
    </row>
    <row r="158" spans="1:29" s="34" customFormat="1" ht="15" customHeight="1">
      <c r="A158" s="43"/>
      <c r="C158" s="28"/>
      <c r="D158" s="28"/>
      <c r="E158" s="28"/>
      <c r="F158" s="28"/>
      <c r="G158" s="28"/>
      <c r="H158" s="28"/>
      <c r="I158" s="28"/>
      <c r="J158" s="28"/>
      <c r="K158" s="28"/>
      <c r="L158" s="28"/>
      <c r="M158" s="28"/>
      <c r="N158" s="28"/>
      <c r="O158" s="28"/>
      <c r="P158" s="28"/>
      <c r="Q158" s="70"/>
      <c r="R158" s="28"/>
      <c r="S158" s="28"/>
      <c r="T158" s="28"/>
      <c r="U158" s="58"/>
      <c r="V158" s="28"/>
      <c r="W158" s="28"/>
      <c r="X158" s="28"/>
      <c r="Y158" s="28"/>
      <c r="Z158" s="64"/>
      <c r="AA158" s="28"/>
      <c r="AB158" s="28"/>
      <c r="AC158" s="28"/>
    </row>
    <row r="159" spans="1:29" s="34" customFormat="1" ht="15" customHeight="1">
      <c r="A159" s="43"/>
      <c r="C159" s="28"/>
      <c r="D159" s="28"/>
      <c r="E159" s="28"/>
      <c r="F159" s="28"/>
      <c r="G159" s="28"/>
      <c r="H159" s="28"/>
      <c r="I159" s="28"/>
      <c r="J159" s="28"/>
      <c r="K159" s="28"/>
      <c r="L159" s="28"/>
      <c r="M159" s="28"/>
      <c r="N159" s="28"/>
      <c r="O159" s="28"/>
      <c r="P159" s="28"/>
      <c r="Q159" s="70"/>
      <c r="R159" s="28"/>
      <c r="S159" s="28"/>
      <c r="T159" s="28"/>
      <c r="U159" s="58"/>
      <c r="V159" s="28"/>
      <c r="W159" s="28"/>
      <c r="X159" s="28"/>
      <c r="Y159" s="28"/>
      <c r="Z159" s="64"/>
      <c r="AA159" s="28"/>
      <c r="AB159" s="28"/>
      <c r="AC159" s="28"/>
    </row>
    <row r="160" spans="1:29" s="34" customFormat="1" ht="15" customHeight="1">
      <c r="A160" s="43"/>
      <c r="C160" s="28"/>
      <c r="D160" s="28"/>
      <c r="E160" s="28"/>
      <c r="F160" s="28"/>
      <c r="G160" s="28"/>
      <c r="H160" s="28"/>
      <c r="I160" s="28"/>
      <c r="J160" s="28"/>
      <c r="K160" s="28"/>
      <c r="L160" s="28"/>
      <c r="M160" s="28"/>
      <c r="N160" s="28"/>
      <c r="O160" s="28"/>
      <c r="P160" s="28"/>
      <c r="Q160" s="70"/>
      <c r="R160" s="28"/>
      <c r="S160" s="28"/>
      <c r="T160" s="28"/>
      <c r="U160" s="58"/>
      <c r="V160" s="28"/>
      <c r="W160" s="28"/>
      <c r="X160" s="28"/>
      <c r="Y160" s="28"/>
      <c r="Z160" s="64"/>
      <c r="AA160" s="28"/>
      <c r="AB160" s="28"/>
      <c r="AC160" s="28"/>
    </row>
    <row r="161" spans="1:29" s="34" customFormat="1" ht="15" customHeight="1">
      <c r="A161" s="43"/>
      <c r="C161" s="28"/>
      <c r="D161" s="28"/>
      <c r="E161" s="28"/>
      <c r="F161" s="28"/>
      <c r="G161" s="28"/>
      <c r="H161" s="28"/>
      <c r="I161" s="28"/>
      <c r="J161" s="28"/>
      <c r="K161" s="28"/>
      <c r="L161" s="28"/>
      <c r="M161" s="28"/>
      <c r="N161" s="28"/>
      <c r="O161" s="28"/>
      <c r="P161" s="28"/>
      <c r="Q161" s="70"/>
      <c r="R161" s="28"/>
      <c r="S161" s="28"/>
      <c r="T161" s="28"/>
      <c r="U161" s="58"/>
      <c r="V161" s="28"/>
      <c r="W161" s="28"/>
      <c r="X161" s="28"/>
      <c r="Y161" s="28"/>
      <c r="Z161" s="64"/>
      <c r="AA161" s="28"/>
      <c r="AB161" s="28"/>
      <c r="AC161" s="28"/>
    </row>
    <row r="162" spans="1:29" s="34" customFormat="1" ht="15" customHeight="1">
      <c r="A162" s="43"/>
      <c r="C162" s="28"/>
      <c r="D162" s="28"/>
      <c r="E162" s="28"/>
      <c r="F162" s="28"/>
      <c r="G162" s="28"/>
      <c r="H162" s="28"/>
      <c r="I162" s="28"/>
      <c r="J162" s="28"/>
      <c r="K162" s="28"/>
      <c r="L162" s="28"/>
      <c r="M162" s="28"/>
      <c r="N162" s="28"/>
      <c r="O162" s="28"/>
      <c r="P162" s="28"/>
      <c r="Q162" s="70"/>
      <c r="R162" s="28"/>
      <c r="S162" s="28"/>
      <c r="T162" s="28"/>
      <c r="U162" s="58"/>
      <c r="V162" s="28"/>
      <c r="W162" s="28"/>
      <c r="X162" s="28"/>
      <c r="Y162" s="28"/>
      <c r="Z162" s="64"/>
      <c r="AA162" s="28"/>
      <c r="AB162" s="28"/>
      <c r="AC162" s="28"/>
    </row>
    <row r="163" spans="1:29" s="34" customFormat="1" ht="15" customHeight="1">
      <c r="A163" s="43"/>
      <c r="C163" s="28"/>
      <c r="D163" s="28"/>
      <c r="E163" s="28"/>
      <c r="F163" s="28"/>
      <c r="G163" s="28"/>
      <c r="H163" s="28"/>
      <c r="I163" s="28"/>
      <c r="J163" s="28"/>
      <c r="K163" s="28"/>
      <c r="L163" s="28"/>
      <c r="M163" s="28"/>
      <c r="N163" s="28"/>
      <c r="O163" s="28"/>
      <c r="P163" s="28"/>
      <c r="Q163" s="70"/>
      <c r="R163" s="28"/>
      <c r="S163" s="28"/>
      <c r="T163" s="28"/>
      <c r="U163" s="58"/>
      <c r="V163" s="28"/>
      <c r="W163" s="28"/>
      <c r="X163" s="28"/>
      <c r="Y163" s="28"/>
      <c r="Z163" s="64"/>
      <c r="AA163" s="28"/>
      <c r="AB163" s="28"/>
      <c r="AC163" s="28"/>
    </row>
    <row r="164" spans="1:29" s="34" customFormat="1" ht="15" customHeight="1">
      <c r="A164" s="43"/>
      <c r="C164" s="28"/>
      <c r="D164" s="28"/>
      <c r="E164" s="28"/>
      <c r="F164" s="28"/>
      <c r="G164" s="28"/>
      <c r="H164" s="28"/>
      <c r="I164" s="28"/>
      <c r="J164" s="28"/>
      <c r="K164" s="28"/>
      <c r="L164" s="28"/>
      <c r="M164" s="28"/>
      <c r="N164" s="28"/>
      <c r="O164" s="28"/>
      <c r="P164" s="28"/>
      <c r="Q164" s="70"/>
      <c r="R164" s="28"/>
      <c r="S164" s="28"/>
      <c r="T164" s="28"/>
      <c r="U164" s="58"/>
      <c r="V164" s="28"/>
      <c r="W164" s="28"/>
      <c r="X164" s="28"/>
      <c r="Y164" s="28"/>
      <c r="Z164" s="64"/>
      <c r="AA164" s="28"/>
      <c r="AB164" s="28"/>
      <c r="AC164" s="28"/>
    </row>
    <row r="165" spans="1:29" s="34" customFormat="1" ht="15" customHeight="1">
      <c r="A165" s="43"/>
      <c r="C165" s="28"/>
      <c r="D165" s="28"/>
      <c r="E165" s="28"/>
      <c r="F165" s="28"/>
      <c r="G165" s="28"/>
      <c r="H165" s="28"/>
      <c r="I165" s="28"/>
      <c r="J165" s="28"/>
      <c r="K165" s="28"/>
      <c r="L165" s="28"/>
      <c r="M165" s="28"/>
      <c r="N165" s="28"/>
      <c r="O165" s="28"/>
      <c r="P165" s="28"/>
      <c r="Q165" s="70"/>
      <c r="R165" s="28"/>
      <c r="S165" s="28"/>
      <c r="T165" s="28"/>
      <c r="U165" s="58"/>
      <c r="V165" s="28"/>
      <c r="W165" s="28"/>
      <c r="X165" s="28"/>
      <c r="Y165" s="28"/>
      <c r="Z165" s="64"/>
      <c r="AA165" s="28"/>
      <c r="AB165" s="28"/>
      <c r="AC165" s="28"/>
    </row>
    <row r="166" spans="1:29" s="34" customFormat="1" ht="15" customHeight="1">
      <c r="A166" s="43"/>
      <c r="C166" s="28"/>
      <c r="D166" s="28"/>
      <c r="E166" s="28"/>
      <c r="F166" s="28"/>
      <c r="G166" s="28"/>
      <c r="H166" s="28"/>
      <c r="I166" s="28"/>
      <c r="J166" s="28"/>
      <c r="K166" s="28"/>
      <c r="L166" s="28"/>
      <c r="M166" s="28"/>
      <c r="N166" s="28"/>
      <c r="O166" s="28"/>
      <c r="P166" s="28"/>
      <c r="Q166" s="70"/>
      <c r="R166" s="28"/>
      <c r="S166" s="28"/>
      <c r="T166" s="28"/>
      <c r="U166" s="58"/>
      <c r="V166" s="28"/>
      <c r="W166" s="28"/>
      <c r="X166" s="28"/>
      <c r="Y166" s="28"/>
      <c r="Z166" s="64"/>
      <c r="AA166" s="28"/>
      <c r="AB166" s="28"/>
      <c r="AC166" s="28"/>
    </row>
    <row r="167" spans="1:29" s="34" customFormat="1" ht="15" customHeight="1">
      <c r="A167" s="43"/>
      <c r="C167" s="28"/>
      <c r="D167" s="28"/>
      <c r="E167" s="28"/>
      <c r="F167" s="28"/>
      <c r="G167" s="28"/>
      <c r="H167" s="28"/>
      <c r="I167" s="28"/>
      <c r="J167" s="28"/>
      <c r="K167" s="28"/>
      <c r="L167" s="28"/>
      <c r="M167" s="28"/>
      <c r="N167" s="28"/>
      <c r="O167" s="28"/>
      <c r="P167" s="28"/>
      <c r="Q167" s="70"/>
      <c r="R167" s="28"/>
      <c r="S167" s="28"/>
      <c r="T167" s="28"/>
      <c r="U167" s="58"/>
      <c r="V167" s="28"/>
      <c r="W167" s="28"/>
      <c r="X167" s="28"/>
      <c r="Y167" s="28"/>
      <c r="Z167" s="64"/>
      <c r="AA167" s="28"/>
      <c r="AB167" s="28"/>
      <c r="AC167" s="28"/>
    </row>
    <row r="168" spans="1:29" s="34" customFormat="1" ht="15" customHeight="1">
      <c r="A168" s="43"/>
      <c r="C168" s="28"/>
      <c r="D168" s="28"/>
      <c r="E168" s="28"/>
      <c r="F168" s="28"/>
      <c r="G168" s="28"/>
      <c r="H168" s="28"/>
      <c r="I168" s="28"/>
      <c r="J168" s="28"/>
      <c r="K168" s="28"/>
      <c r="L168" s="28"/>
      <c r="M168" s="28"/>
      <c r="N168" s="28"/>
      <c r="O168" s="28"/>
      <c r="P168" s="28"/>
      <c r="Q168" s="70"/>
      <c r="R168" s="28"/>
      <c r="S168" s="28"/>
      <c r="T168" s="28"/>
      <c r="U168" s="58"/>
      <c r="V168" s="28"/>
      <c r="W168" s="28"/>
      <c r="X168" s="28"/>
      <c r="Y168" s="28"/>
      <c r="Z168" s="64"/>
      <c r="AA168" s="28"/>
      <c r="AB168" s="28"/>
      <c r="AC168" s="28"/>
    </row>
    <row r="169" spans="1:29" s="34" customFormat="1" ht="15" customHeight="1">
      <c r="A169" s="43"/>
      <c r="C169" s="28"/>
      <c r="D169" s="28"/>
      <c r="E169" s="28"/>
      <c r="F169" s="28"/>
      <c r="G169" s="28"/>
      <c r="H169" s="28"/>
      <c r="I169" s="28"/>
      <c r="J169" s="28"/>
      <c r="K169" s="28"/>
      <c r="L169" s="28"/>
      <c r="M169" s="28"/>
      <c r="N169" s="28"/>
      <c r="O169" s="28"/>
      <c r="P169" s="28"/>
      <c r="Q169" s="70"/>
      <c r="R169" s="28"/>
      <c r="S169" s="28"/>
      <c r="T169" s="28"/>
      <c r="U169" s="58"/>
      <c r="V169" s="28"/>
      <c r="W169" s="28"/>
      <c r="X169" s="28"/>
      <c r="Y169" s="28"/>
      <c r="Z169" s="64"/>
      <c r="AA169" s="28"/>
      <c r="AB169" s="28"/>
      <c r="AC169" s="28"/>
    </row>
    <row r="170" spans="1:29" s="34" customFormat="1" ht="15" customHeight="1">
      <c r="A170" s="43"/>
      <c r="C170" s="28"/>
      <c r="D170" s="28"/>
      <c r="E170" s="28"/>
      <c r="F170" s="28"/>
      <c r="G170" s="28"/>
      <c r="H170" s="28"/>
      <c r="I170" s="28"/>
      <c r="J170" s="28"/>
      <c r="K170" s="28"/>
      <c r="L170" s="28"/>
      <c r="M170" s="28"/>
      <c r="N170" s="28"/>
      <c r="O170" s="28"/>
      <c r="P170" s="28"/>
      <c r="Q170" s="70"/>
      <c r="R170" s="28"/>
      <c r="S170" s="28"/>
      <c r="T170" s="28"/>
      <c r="U170" s="58"/>
      <c r="V170" s="28"/>
      <c r="W170" s="28"/>
      <c r="X170" s="28"/>
      <c r="Y170" s="28"/>
      <c r="Z170" s="64"/>
      <c r="AA170" s="28"/>
      <c r="AB170" s="28"/>
      <c r="AC170" s="28"/>
    </row>
    <row r="171" spans="1:29" s="34" customFormat="1" ht="15" customHeight="1">
      <c r="A171" s="43"/>
      <c r="C171" s="28"/>
      <c r="D171" s="28"/>
      <c r="E171" s="28"/>
      <c r="F171" s="28"/>
      <c r="G171" s="28"/>
      <c r="H171" s="28"/>
      <c r="I171" s="28"/>
      <c r="J171" s="28"/>
      <c r="K171" s="28"/>
      <c r="L171" s="28"/>
      <c r="M171" s="28"/>
      <c r="N171" s="28"/>
      <c r="O171" s="28"/>
      <c r="P171" s="28"/>
      <c r="Q171" s="70"/>
      <c r="R171" s="28"/>
      <c r="S171" s="28"/>
      <c r="T171" s="28"/>
      <c r="U171" s="58"/>
      <c r="V171" s="28"/>
      <c r="W171" s="28"/>
      <c r="X171" s="28"/>
      <c r="Y171" s="28"/>
      <c r="Z171" s="64"/>
      <c r="AA171" s="28"/>
      <c r="AB171" s="28"/>
      <c r="AC171" s="28"/>
    </row>
    <row r="172" spans="1:29" s="34" customFormat="1" ht="15" customHeight="1">
      <c r="A172" s="43"/>
      <c r="C172" s="28"/>
      <c r="D172" s="28"/>
      <c r="E172" s="28"/>
      <c r="F172" s="28"/>
      <c r="G172" s="28"/>
      <c r="H172" s="28"/>
      <c r="I172" s="28"/>
      <c r="J172" s="28"/>
      <c r="K172" s="28"/>
      <c r="L172" s="28"/>
      <c r="M172" s="28"/>
      <c r="N172" s="28"/>
      <c r="O172" s="28"/>
      <c r="P172" s="28"/>
      <c r="Q172" s="70"/>
      <c r="R172" s="28"/>
      <c r="S172" s="28"/>
      <c r="T172" s="28"/>
      <c r="U172" s="58"/>
      <c r="V172" s="28"/>
      <c r="W172" s="28"/>
      <c r="X172" s="28"/>
      <c r="Y172" s="28"/>
      <c r="Z172" s="64"/>
      <c r="AA172" s="28"/>
      <c r="AB172" s="28"/>
      <c r="AC172" s="28"/>
    </row>
    <row r="173" spans="1:29" s="34" customFormat="1" ht="15" customHeight="1">
      <c r="A173" s="43"/>
      <c r="C173" s="28"/>
      <c r="D173" s="28"/>
      <c r="E173" s="28"/>
      <c r="F173" s="28"/>
      <c r="G173" s="28"/>
      <c r="H173" s="28"/>
      <c r="I173" s="28"/>
      <c r="J173" s="28"/>
      <c r="K173" s="28"/>
      <c r="L173" s="28"/>
      <c r="M173" s="28"/>
      <c r="N173" s="28"/>
      <c r="O173" s="28"/>
      <c r="P173" s="28"/>
      <c r="Q173" s="70"/>
      <c r="R173" s="28"/>
      <c r="S173" s="28"/>
      <c r="T173" s="28"/>
      <c r="U173" s="58"/>
      <c r="V173" s="28"/>
      <c r="W173" s="28"/>
      <c r="X173" s="28"/>
      <c r="Y173" s="28"/>
      <c r="Z173" s="64"/>
      <c r="AA173" s="28"/>
      <c r="AB173" s="28"/>
      <c r="AC173" s="28"/>
    </row>
    <row r="174" spans="1:29" s="34" customFormat="1" ht="15" customHeight="1">
      <c r="A174" s="43"/>
      <c r="C174" s="28"/>
      <c r="D174" s="28"/>
      <c r="E174" s="28"/>
      <c r="F174" s="28"/>
      <c r="G174" s="28"/>
      <c r="H174" s="28"/>
      <c r="I174" s="28"/>
      <c r="J174" s="28"/>
      <c r="K174" s="28"/>
      <c r="L174" s="28"/>
      <c r="M174" s="28"/>
      <c r="N174" s="28"/>
      <c r="O174" s="28"/>
      <c r="P174" s="28"/>
      <c r="Q174" s="70"/>
      <c r="R174" s="28"/>
      <c r="S174" s="28"/>
      <c r="T174" s="28"/>
      <c r="U174" s="58"/>
      <c r="V174" s="28"/>
      <c r="W174" s="28"/>
      <c r="X174" s="28"/>
      <c r="Y174" s="28"/>
      <c r="Z174" s="64"/>
      <c r="AA174" s="28"/>
      <c r="AB174" s="28"/>
      <c r="AC174" s="28"/>
    </row>
    <row r="175" spans="1:29" s="34" customFormat="1" ht="15" customHeight="1">
      <c r="A175" s="43"/>
      <c r="C175" s="28"/>
      <c r="D175" s="28"/>
      <c r="E175" s="28"/>
      <c r="F175" s="28"/>
      <c r="G175" s="28"/>
      <c r="H175" s="28"/>
      <c r="I175" s="28"/>
      <c r="J175" s="28"/>
      <c r="K175" s="28"/>
      <c r="L175" s="28"/>
      <c r="M175" s="28"/>
      <c r="N175" s="28"/>
      <c r="O175" s="28"/>
      <c r="P175" s="28"/>
      <c r="Q175" s="70"/>
      <c r="R175" s="28"/>
      <c r="S175" s="28"/>
      <c r="T175" s="28"/>
      <c r="U175" s="58"/>
      <c r="V175" s="28"/>
      <c r="W175" s="28"/>
      <c r="X175" s="28"/>
      <c r="Y175" s="28"/>
      <c r="Z175" s="64"/>
      <c r="AA175" s="28"/>
      <c r="AB175" s="28"/>
      <c r="AC175" s="28"/>
    </row>
    <row r="176" spans="1:29" s="34" customFormat="1" ht="15" customHeight="1">
      <c r="A176" s="43"/>
      <c r="C176" s="28"/>
      <c r="D176" s="28"/>
      <c r="E176" s="28"/>
      <c r="F176" s="28"/>
      <c r="G176" s="28"/>
      <c r="H176" s="28"/>
      <c r="I176" s="28"/>
      <c r="J176" s="28"/>
      <c r="K176" s="28"/>
      <c r="L176" s="28"/>
      <c r="M176" s="28"/>
      <c r="N176" s="28"/>
      <c r="O176" s="28"/>
      <c r="P176" s="28"/>
      <c r="Q176" s="70"/>
      <c r="R176" s="28"/>
      <c r="S176" s="28"/>
      <c r="T176" s="28"/>
      <c r="U176" s="58"/>
      <c r="V176" s="28"/>
      <c r="W176" s="28"/>
      <c r="X176" s="28"/>
      <c r="Y176" s="28"/>
      <c r="Z176" s="64"/>
      <c r="AA176" s="28"/>
      <c r="AB176" s="28"/>
      <c r="AC176" s="28"/>
    </row>
    <row r="177" spans="3:29" s="34" customFormat="1" ht="15" customHeight="1">
      <c r="C177" s="28"/>
      <c r="D177" s="28"/>
      <c r="E177" s="28"/>
      <c r="F177" s="28"/>
      <c r="G177" s="28"/>
      <c r="H177" s="28"/>
      <c r="I177" s="28"/>
      <c r="J177" s="28"/>
      <c r="K177" s="28"/>
      <c r="L177" s="28"/>
      <c r="M177" s="28"/>
      <c r="N177" s="28"/>
      <c r="O177" s="28"/>
      <c r="P177" s="28"/>
      <c r="Q177" s="70"/>
      <c r="R177" s="28"/>
      <c r="S177" s="28"/>
      <c r="T177" s="28"/>
      <c r="U177" s="58"/>
      <c r="V177" s="28"/>
      <c r="W177" s="28"/>
      <c r="X177" s="28"/>
      <c r="Y177" s="28"/>
      <c r="Z177" s="64"/>
      <c r="AA177" s="28"/>
      <c r="AB177" s="28"/>
      <c r="AC177" s="28"/>
    </row>
    <row r="178" spans="3:29" s="34" customFormat="1" ht="15" customHeight="1">
      <c r="C178" s="28"/>
      <c r="D178" s="28"/>
      <c r="E178" s="28"/>
      <c r="F178" s="28"/>
      <c r="G178" s="28"/>
      <c r="H178" s="28"/>
      <c r="I178" s="28"/>
      <c r="J178" s="28"/>
      <c r="K178" s="28"/>
      <c r="L178" s="28"/>
      <c r="M178" s="28"/>
      <c r="N178" s="28"/>
      <c r="O178" s="28"/>
      <c r="P178" s="28"/>
      <c r="Q178" s="70"/>
      <c r="R178" s="28"/>
      <c r="S178" s="28"/>
      <c r="T178" s="28"/>
      <c r="U178" s="58"/>
      <c r="V178" s="28"/>
      <c r="W178" s="28"/>
      <c r="X178" s="28"/>
      <c r="Y178" s="28"/>
      <c r="Z178" s="64"/>
      <c r="AA178" s="28"/>
      <c r="AB178" s="28"/>
      <c r="AC178" s="28"/>
    </row>
    <row r="179" spans="3:29" s="34" customFormat="1" ht="15" customHeight="1">
      <c r="C179" s="28"/>
      <c r="D179" s="28"/>
      <c r="E179" s="28"/>
      <c r="F179" s="28"/>
      <c r="G179" s="28"/>
      <c r="H179" s="28"/>
      <c r="I179" s="28"/>
      <c r="J179" s="28"/>
      <c r="K179" s="28"/>
      <c r="L179" s="28"/>
      <c r="M179" s="28"/>
      <c r="N179" s="28"/>
      <c r="O179" s="28"/>
      <c r="P179" s="28"/>
      <c r="Q179" s="70"/>
      <c r="R179" s="28"/>
      <c r="S179" s="28"/>
      <c r="T179" s="28"/>
      <c r="U179" s="58"/>
      <c r="V179" s="28"/>
      <c r="W179" s="28"/>
      <c r="X179" s="28"/>
      <c r="Y179" s="28"/>
      <c r="Z179" s="64"/>
      <c r="AA179" s="28"/>
      <c r="AB179" s="28"/>
      <c r="AC179" s="28"/>
    </row>
    <row r="180" spans="3:29" s="34" customFormat="1" ht="15" customHeight="1">
      <c r="C180" s="28"/>
      <c r="D180" s="28"/>
      <c r="E180" s="28"/>
      <c r="F180" s="28"/>
      <c r="G180" s="28"/>
      <c r="H180" s="28"/>
      <c r="I180" s="28"/>
      <c r="J180" s="28"/>
      <c r="K180" s="28"/>
      <c r="L180" s="28"/>
      <c r="M180" s="28"/>
      <c r="N180" s="28"/>
      <c r="O180" s="28"/>
      <c r="P180" s="28"/>
      <c r="Q180" s="70"/>
      <c r="R180" s="28"/>
      <c r="S180" s="28"/>
      <c r="T180" s="28"/>
      <c r="U180" s="58"/>
      <c r="V180" s="28"/>
      <c r="W180" s="28"/>
      <c r="X180" s="28"/>
      <c r="Y180" s="28"/>
      <c r="Z180" s="64"/>
      <c r="AA180" s="28"/>
      <c r="AB180" s="28"/>
      <c r="AC180" s="28"/>
    </row>
    <row r="181" spans="3:29" s="34" customFormat="1" ht="15" customHeight="1">
      <c r="C181" s="28"/>
      <c r="D181" s="28"/>
      <c r="E181" s="28"/>
      <c r="F181" s="28"/>
      <c r="G181" s="28"/>
      <c r="H181" s="28"/>
      <c r="I181" s="28"/>
      <c r="J181" s="28"/>
      <c r="K181" s="28"/>
      <c r="L181" s="28"/>
      <c r="M181" s="28"/>
      <c r="N181" s="28"/>
      <c r="O181" s="28"/>
      <c r="P181" s="28"/>
      <c r="Q181" s="70"/>
      <c r="R181" s="28"/>
      <c r="S181" s="28"/>
      <c r="T181" s="28"/>
      <c r="U181" s="58"/>
      <c r="V181" s="28"/>
      <c r="W181" s="28"/>
      <c r="X181" s="28"/>
      <c r="Y181" s="28"/>
      <c r="Z181" s="64"/>
      <c r="AA181" s="28"/>
      <c r="AB181" s="28"/>
      <c r="AC181" s="28"/>
    </row>
    <row r="182" spans="3:29" s="34" customFormat="1" ht="15" customHeight="1">
      <c r="C182" s="28"/>
      <c r="D182" s="28"/>
      <c r="E182" s="28"/>
      <c r="F182" s="28"/>
      <c r="G182" s="28"/>
      <c r="H182" s="28"/>
      <c r="I182" s="28"/>
      <c r="J182" s="28"/>
      <c r="K182" s="28"/>
      <c r="L182" s="28"/>
      <c r="M182" s="28"/>
      <c r="N182" s="28"/>
      <c r="O182" s="28"/>
      <c r="P182" s="28"/>
      <c r="Q182" s="70"/>
      <c r="R182" s="28"/>
      <c r="S182" s="28"/>
      <c r="T182" s="28"/>
      <c r="U182" s="58"/>
      <c r="V182" s="28"/>
      <c r="W182" s="28"/>
      <c r="X182" s="28"/>
      <c r="Y182" s="28"/>
      <c r="Z182" s="64"/>
      <c r="AA182" s="28"/>
      <c r="AB182" s="28"/>
      <c r="AC182" s="28"/>
    </row>
    <row r="183" spans="3:29" s="34" customFormat="1" ht="15" customHeight="1">
      <c r="C183" s="28"/>
      <c r="D183" s="28"/>
      <c r="E183" s="28"/>
      <c r="F183" s="28"/>
      <c r="G183" s="28"/>
      <c r="H183" s="28"/>
      <c r="I183" s="28"/>
      <c r="J183" s="28"/>
      <c r="K183" s="28"/>
      <c r="L183" s="28"/>
      <c r="M183" s="28"/>
      <c r="N183" s="28"/>
      <c r="O183" s="28"/>
      <c r="P183" s="28"/>
      <c r="Q183" s="70"/>
      <c r="R183" s="28"/>
      <c r="S183" s="28"/>
      <c r="T183" s="28"/>
      <c r="U183" s="58"/>
      <c r="V183" s="28"/>
      <c r="W183" s="28"/>
      <c r="X183" s="28"/>
      <c r="Y183" s="28"/>
      <c r="Z183" s="64"/>
      <c r="AA183" s="28"/>
      <c r="AB183" s="28"/>
      <c r="AC183" s="28"/>
    </row>
    <row r="184" spans="3:29" s="34" customFormat="1" ht="15" customHeight="1">
      <c r="C184" s="28"/>
      <c r="D184" s="28"/>
      <c r="E184" s="28"/>
      <c r="F184" s="28"/>
      <c r="G184" s="28"/>
      <c r="H184" s="28"/>
      <c r="I184" s="28"/>
      <c r="J184" s="28"/>
      <c r="K184" s="28"/>
      <c r="L184" s="28"/>
      <c r="M184" s="28"/>
      <c r="N184" s="28"/>
      <c r="O184" s="28"/>
      <c r="P184" s="28"/>
      <c r="Q184" s="70"/>
      <c r="R184" s="28"/>
      <c r="S184" s="28"/>
      <c r="T184" s="28"/>
      <c r="U184" s="58"/>
      <c r="V184" s="28"/>
      <c r="W184" s="28"/>
      <c r="X184" s="28"/>
      <c r="Y184" s="28"/>
      <c r="Z184" s="64"/>
      <c r="AA184" s="28"/>
      <c r="AB184" s="28"/>
      <c r="AC184" s="28"/>
    </row>
    <row r="185" spans="3:29" s="34" customFormat="1" ht="15" customHeight="1">
      <c r="C185" s="28"/>
      <c r="D185" s="28"/>
      <c r="E185" s="28"/>
      <c r="F185" s="28"/>
      <c r="G185" s="28"/>
      <c r="H185" s="28"/>
      <c r="I185" s="28"/>
      <c r="J185" s="28"/>
      <c r="K185" s="28"/>
      <c r="L185" s="28"/>
      <c r="M185" s="28"/>
      <c r="N185" s="28"/>
      <c r="O185" s="28"/>
      <c r="P185" s="28"/>
      <c r="Q185" s="70"/>
      <c r="R185" s="28"/>
      <c r="S185" s="28"/>
      <c r="T185" s="28"/>
      <c r="U185" s="58"/>
      <c r="V185" s="28"/>
      <c r="W185" s="28"/>
      <c r="X185" s="28"/>
      <c r="Y185" s="28"/>
      <c r="Z185" s="64"/>
      <c r="AA185" s="28"/>
      <c r="AB185" s="28"/>
      <c r="AC185" s="28"/>
    </row>
  </sheetData>
  <mergeCells count="3">
    <mergeCell ref="V1:Z1"/>
    <mergeCell ref="R1:U1"/>
    <mergeCell ref="A1:C1"/>
  </mergeCells>
  <phoneticPr fontId="12" type="noConversion"/>
  <dataValidations disablePrompts="1" count="1">
    <dataValidation type="list" allowBlank="1" showInputMessage="1" showErrorMessage="1" sqref="C99:C103 C3:C97" xr:uid="{4E6A1EE0-FE44-4104-8ACD-4CA335F084E9}">
      <formula1>COLOR</formula1>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223AD7A-707B-44CD-9AA1-187DE89A77BE}">
          <x14:formula1>
            <xm:f>'RRP data'!$AB$1:$AB$3</xm:f>
          </x14:formula1>
          <xm:sqref>J1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6FE8-317D-48BC-A1FA-64E269C33206}">
  <dimension ref="A1:AB215"/>
  <sheetViews>
    <sheetView workbookViewId="0">
      <pane ySplit="1" topLeftCell="A157" activePane="bottomLeft" state="frozen"/>
      <selection pane="bottomLeft" activeCell="F177" sqref="F177"/>
    </sheetView>
  </sheetViews>
  <sheetFormatPr defaultColWidth="9.140625" defaultRowHeight="14.1"/>
  <cols>
    <col min="1" max="1" width="17.5703125" style="36" customWidth="1"/>
    <col min="2" max="2" width="57.5703125" style="16" bestFit="1" customWidth="1"/>
    <col min="3" max="3" width="13" style="27" customWidth="1"/>
    <col min="4" max="5" width="9.140625" style="27"/>
    <col min="6" max="16384" width="9.140625" style="16"/>
  </cols>
  <sheetData>
    <row r="1" spans="1:28" ht="14.45">
      <c r="A1" s="35" t="s">
        <v>253</v>
      </c>
      <c r="B1" s="25" t="s">
        <v>254</v>
      </c>
      <c r="C1" s="37" t="s">
        <v>255</v>
      </c>
      <c r="D1" s="37" t="s">
        <v>256</v>
      </c>
      <c r="E1" s="37" t="s">
        <v>2</v>
      </c>
      <c r="AB1" t="s">
        <v>257</v>
      </c>
    </row>
    <row r="2" spans="1:28" ht="14.45">
      <c r="A2" s="36">
        <v>200302</v>
      </c>
      <c r="B2" s="16" t="e">
        <f>VLOOKUP(Table2[[#This Row],[Item number]],'Axkid Template'!A:C,2,FALSE)</f>
        <v>#N/A</v>
      </c>
      <c r="C2" s="27">
        <v>1499</v>
      </c>
      <c r="D2" s="27">
        <v>999</v>
      </c>
      <c r="E2" s="27">
        <v>149</v>
      </c>
      <c r="AB2" t="s">
        <v>256</v>
      </c>
    </row>
    <row r="3" spans="1:28" ht="14.45">
      <c r="A3" s="36">
        <v>200303</v>
      </c>
      <c r="B3" s="16" t="e">
        <f>VLOOKUP(Table2[[#This Row],[Item number]],'Axkid Template'!A:C,2,FALSE)</f>
        <v>#N/A</v>
      </c>
      <c r="C3" s="27">
        <v>1499</v>
      </c>
      <c r="D3" s="27">
        <v>999</v>
      </c>
      <c r="E3" s="27">
        <v>149</v>
      </c>
      <c r="AB3" t="s">
        <v>2</v>
      </c>
    </row>
    <row r="4" spans="1:28">
      <c r="A4" s="36">
        <v>210103</v>
      </c>
      <c r="B4" s="16" t="str">
        <f>VLOOKUP(Table2[[#This Row],[Item number]],'Axkid Template'!A:C,2,FALSE)</f>
        <v>Axkid Babyfix Base Black</v>
      </c>
      <c r="C4" s="27">
        <v>1000</v>
      </c>
      <c r="D4" s="27">
        <v>500</v>
      </c>
      <c r="E4" s="27">
        <v>100</v>
      </c>
    </row>
    <row r="5" spans="1:28">
      <c r="A5" s="36">
        <v>22140201</v>
      </c>
      <c r="B5" s="16" t="e">
        <f>VLOOKUP(Table2[[#This Row],[Item number]],'Axkid Template'!A:C,2,FALSE)</f>
        <v>#N/A</v>
      </c>
      <c r="C5" s="27">
        <v>3999</v>
      </c>
      <c r="D5" s="27">
        <v>2999</v>
      </c>
      <c r="E5" s="27">
        <v>399</v>
      </c>
    </row>
    <row r="6" spans="1:28">
      <c r="A6" s="36">
        <v>22140202</v>
      </c>
      <c r="B6" s="16" t="e">
        <f>VLOOKUP(Table2[[#This Row],[Item number]],'Axkid Template'!A:C,2,FALSE)</f>
        <v>#N/A</v>
      </c>
      <c r="C6" s="27">
        <v>3999</v>
      </c>
      <c r="D6" s="27">
        <v>2999</v>
      </c>
      <c r="E6" s="27">
        <v>399</v>
      </c>
    </row>
    <row r="7" spans="1:28">
      <c r="A7" s="36">
        <v>22140203</v>
      </c>
      <c r="B7" s="16" t="e">
        <f>VLOOKUP(Table2[[#This Row],[Item number]],'Axkid Template'!A:C,2,FALSE)</f>
        <v>#N/A</v>
      </c>
      <c r="C7" s="27">
        <v>3999</v>
      </c>
      <c r="D7" s="27">
        <v>2999</v>
      </c>
      <c r="E7" s="27">
        <v>399</v>
      </c>
    </row>
    <row r="8" spans="1:28">
      <c r="A8" s="36">
        <v>22140210</v>
      </c>
      <c r="B8" s="16" t="e">
        <f>VLOOKUP(Table2[[#This Row],[Item number]],'Axkid Template'!A:C,2,FALSE)</f>
        <v>#N/A</v>
      </c>
      <c r="C8" s="27">
        <v>3999</v>
      </c>
      <c r="D8" s="27">
        <v>2999</v>
      </c>
      <c r="E8" s="27">
        <v>399</v>
      </c>
    </row>
    <row r="9" spans="1:28">
      <c r="A9" s="36">
        <v>22140211</v>
      </c>
      <c r="B9" s="16" t="e">
        <f>VLOOKUP(Table2[[#This Row],[Item number]],'Axkid Template'!A:C,2,FALSE)</f>
        <v>#N/A</v>
      </c>
      <c r="C9" s="27">
        <v>3999</v>
      </c>
      <c r="D9" s="27">
        <v>2999</v>
      </c>
      <c r="E9" s="27">
        <v>399</v>
      </c>
    </row>
    <row r="10" spans="1:28">
      <c r="A10" s="36">
        <v>22140213</v>
      </c>
      <c r="B10" s="16" t="e">
        <f>VLOOKUP(Table2[[#This Row],[Item number]],'Axkid Template'!A:C,2,FALSE)</f>
        <v>#N/A</v>
      </c>
      <c r="C10" s="27">
        <v>3999</v>
      </c>
      <c r="D10" s="27">
        <v>2999</v>
      </c>
      <c r="E10" s="27">
        <v>399</v>
      </c>
    </row>
    <row r="11" spans="1:28">
      <c r="A11" s="36">
        <v>22120102</v>
      </c>
      <c r="B11" s="16" t="str">
        <f>VLOOKUP(Table2[[#This Row],[Item number]],'Axkid Template'!A:C,2,FALSE)</f>
        <v>Axkid Move Grey</v>
      </c>
      <c r="C11" s="27">
        <v>2999</v>
      </c>
      <c r="D11" s="27">
        <v>1799</v>
      </c>
      <c r="E11" s="27">
        <v>279</v>
      </c>
    </row>
    <row r="12" spans="1:28">
      <c r="A12" s="36">
        <v>22120103</v>
      </c>
      <c r="B12" s="16" t="str">
        <f>VLOOKUP(Table2[[#This Row],[Item number]],'Axkid Template'!A:C,2,FALSE)</f>
        <v>Axkid Move Black</v>
      </c>
      <c r="C12" s="27">
        <v>2999</v>
      </c>
      <c r="D12" s="27">
        <v>1799</v>
      </c>
      <c r="E12" s="27">
        <v>279</v>
      </c>
    </row>
    <row r="13" spans="1:28">
      <c r="A13" s="36">
        <v>20040001</v>
      </c>
      <c r="B13" s="16" t="e">
        <f>VLOOKUP(Table2[[#This Row],[Item number]],'Axkid Template'!A:C,2,FALSE)</f>
        <v>#N/A</v>
      </c>
      <c r="C13" s="27">
        <v>1999</v>
      </c>
      <c r="D13" s="27">
        <v>1450</v>
      </c>
      <c r="E13" s="27">
        <v>199</v>
      </c>
    </row>
    <row r="14" spans="1:28">
      <c r="A14" s="36">
        <v>20040002</v>
      </c>
      <c r="B14" s="16" t="e">
        <f>VLOOKUP(Table2[[#This Row],[Item number]],'Axkid Template'!A:C,2,FALSE)</f>
        <v>#N/A</v>
      </c>
      <c r="C14" s="27">
        <v>1999</v>
      </c>
      <c r="D14" s="27">
        <v>1450</v>
      </c>
      <c r="E14" s="27">
        <v>199</v>
      </c>
    </row>
    <row r="15" spans="1:28">
      <c r="A15" s="36">
        <v>20040003</v>
      </c>
      <c r="B15" s="16" t="e">
        <f>VLOOKUP(Table2[[#This Row],[Item number]],'Axkid Template'!A:C,2,FALSE)</f>
        <v>#N/A</v>
      </c>
      <c r="C15" s="27">
        <v>1999</v>
      </c>
      <c r="D15" s="27">
        <v>1450</v>
      </c>
      <c r="E15" s="27">
        <v>199</v>
      </c>
    </row>
    <row r="16" spans="1:28">
      <c r="A16" s="36">
        <v>20040011</v>
      </c>
      <c r="B16" s="16" t="e">
        <f>VLOOKUP(Table2[[#This Row],[Item number]],'Axkid Template'!A:C,2,FALSE)</f>
        <v>#N/A</v>
      </c>
      <c r="C16" s="27">
        <v>1999</v>
      </c>
      <c r="D16" s="27">
        <v>1450</v>
      </c>
      <c r="E16" s="27">
        <v>199</v>
      </c>
    </row>
    <row r="17" spans="1:5">
      <c r="A17" s="36">
        <v>20040013</v>
      </c>
      <c r="B17" s="16" t="e">
        <f>VLOOKUP(Table2[[#This Row],[Item number]],'Axkid Template'!A:C,2,FALSE)</f>
        <v>#N/A</v>
      </c>
      <c r="C17" s="27">
        <v>1999</v>
      </c>
      <c r="D17" s="27">
        <v>1450</v>
      </c>
      <c r="E17" s="27">
        <v>199</v>
      </c>
    </row>
    <row r="18" spans="1:5">
      <c r="A18" s="36">
        <v>21020003</v>
      </c>
      <c r="B18" s="16" t="str">
        <f>VLOOKUP(Table2[[#This Row],[Item number]],'Axkid Template'!A:C,2,FALSE)</f>
        <v>Axkid Modukid Base</v>
      </c>
      <c r="C18" s="27">
        <v>2499</v>
      </c>
      <c r="D18" s="27" t="s">
        <v>170</v>
      </c>
      <c r="E18" s="27">
        <v>100</v>
      </c>
    </row>
    <row r="19" spans="1:5">
      <c r="A19" s="36">
        <v>24100001</v>
      </c>
      <c r="B19" s="16" t="e">
        <f>VLOOKUP(Table2[[#This Row],[Item number]],'Axkid Template'!A:C,2,FALSE)</f>
        <v>#N/A</v>
      </c>
      <c r="C19" s="27">
        <v>3499</v>
      </c>
      <c r="D19" s="27">
        <v>2599</v>
      </c>
      <c r="E19" s="27">
        <v>349</v>
      </c>
    </row>
    <row r="20" spans="1:5">
      <c r="A20" s="36">
        <v>24100002</v>
      </c>
      <c r="B20" s="16" t="e">
        <f>VLOOKUP(Table2[[#This Row],[Item number]],'Axkid Template'!A:C,2,FALSE)</f>
        <v>#N/A</v>
      </c>
      <c r="C20" s="27">
        <v>3499</v>
      </c>
      <c r="D20" s="27">
        <v>2599</v>
      </c>
      <c r="E20" s="27">
        <v>349</v>
      </c>
    </row>
    <row r="21" spans="1:5">
      <c r="A21" s="36">
        <v>24100003</v>
      </c>
      <c r="B21" s="16" t="e">
        <f>VLOOKUP(Table2[[#This Row],[Item number]],'Axkid Template'!A:C,2,FALSE)</f>
        <v>#N/A</v>
      </c>
      <c r="C21" s="27">
        <v>3499</v>
      </c>
      <c r="D21" s="27">
        <v>2599</v>
      </c>
      <c r="E21" s="27">
        <v>349</v>
      </c>
    </row>
    <row r="22" spans="1:5">
      <c r="A22" s="36">
        <v>24100011</v>
      </c>
      <c r="B22" s="16" t="e">
        <f>VLOOKUP(Table2[[#This Row],[Item number]],'Axkid Template'!A:C,2,FALSE)</f>
        <v>#N/A</v>
      </c>
      <c r="C22" s="27">
        <v>3499</v>
      </c>
      <c r="D22" s="27">
        <v>2599</v>
      </c>
      <c r="E22" s="27">
        <v>349</v>
      </c>
    </row>
    <row r="23" spans="1:5">
      <c r="A23" s="36">
        <v>24100013</v>
      </c>
      <c r="B23" s="16" t="e">
        <f>VLOOKUP(Table2[[#This Row],[Item number]],'Axkid Template'!A:C,2,FALSE)</f>
        <v>#N/A</v>
      </c>
      <c r="C23" s="27">
        <v>3499</v>
      </c>
      <c r="D23" s="27">
        <v>2599</v>
      </c>
      <c r="E23" s="27">
        <v>349</v>
      </c>
    </row>
    <row r="24" spans="1:5">
      <c r="A24" s="36">
        <v>260301</v>
      </c>
      <c r="B24" s="16" t="str">
        <f>VLOOKUP(Table2[[#This Row],[Item number]],'Axkid Template'!A:C,2,FALSE)</f>
        <v>Axkid Rekid Red</v>
      </c>
      <c r="C24" s="27">
        <v>4999</v>
      </c>
      <c r="D24" s="27">
        <v>3999</v>
      </c>
      <c r="E24" s="27">
        <v>469</v>
      </c>
    </row>
    <row r="25" spans="1:5">
      <c r="A25" s="36">
        <v>260302</v>
      </c>
      <c r="B25" s="16" t="str">
        <f>VLOOKUP(Table2[[#This Row],[Item number]],'Axkid Template'!A:C,2,FALSE)</f>
        <v>Axkid Rekid Grey</v>
      </c>
      <c r="C25" s="27">
        <v>4999</v>
      </c>
      <c r="D25" s="27">
        <v>3999</v>
      </c>
      <c r="E25" s="27">
        <v>469</v>
      </c>
    </row>
    <row r="26" spans="1:5">
      <c r="A26" s="36">
        <v>260303</v>
      </c>
      <c r="B26" s="16" t="str">
        <f>VLOOKUP(Table2[[#This Row],[Item number]],'Axkid Template'!A:C,2,FALSE)</f>
        <v>Axkid Rekid Black</v>
      </c>
      <c r="C26" s="27">
        <v>4999</v>
      </c>
      <c r="D26" s="27">
        <v>3999</v>
      </c>
      <c r="E26" s="27">
        <v>469</v>
      </c>
    </row>
    <row r="27" spans="1:5">
      <c r="A27" s="36">
        <v>260311</v>
      </c>
      <c r="B27" s="16" t="str">
        <f>VLOOKUP(Table2[[#This Row],[Item number]],'Axkid Template'!A:C,2,FALSE)</f>
        <v>Axkid Rekid Petrol</v>
      </c>
      <c r="C27" s="27">
        <v>4999</v>
      </c>
      <c r="D27" s="27">
        <v>3999</v>
      </c>
      <c r="E27" s="27">
        <v>469</v>
      </c>
    </row>
    <row r="28" spans="1:5">
      <c r="A28" s="36">
        <v>27040002</v>
      </c>
      <c r="B28" s="16" t="e">
        <f>VLOOKUP(Table2[[#This Row],[Item number]],'Axkid Template'!A:C,2,FALSE)</f>
        <v>#N/A</v>
      </c>
      <c r="C28" s="27">
        <v>2399</v>
      </c>
      <c r="D28" s="27">
        <v>1699</v>
      </c>
      <c r="E28" s="27">
        <v>239</v>
      </c>
    </row>
    <row r="29" spans="1:5">
      <c r="A29" s="36">
        <v>27040003</v>
      </c>
      <c r="B29" s="16" t="e">
        <f>VLOOKUP(Table2[[#This Row],[Item number]],'Axkid Template'!A:C,2,FALSE)</f>
        <v>#N/A</v>
      </c>
      <c r="C29" s="27">
        <v>2399</v>
      </c>
      <c r="D29" s="27">
        <v>1699</v>
      </c>
      <c r="E29" s="27">
        <v>239</v>
      </c>
    </row>
    <row r="30" spans="1:5">
      <c r="A30" s="36">
        <v>26040002</v>
      </c>
      <c r="B30" s="16" t="str">
        <f>VLOOKUP(Table2[[#This Row],[Item number]],'Axkid Template'!A:C,2,FALSE)</f>
        <v>Axkid Bigkid Grey</v>
      </c>
      <c r="C30" s="27">
        <v>1899</v>
      </c>
      <c r="D30" s="27">
        <v>1399</v>
      </c>
      <c r="E30" s="27">
        <v>189</v>
      </c>
    </row>
    <row r="31" spans="1:5">
      <c r="A31" s="36">
        <v>26040003</v>
      </c>
      <c r="B31" s="16" t="str">
        <f>VLOOKUP(Table2[[#This Row],[Item number]],'Axkid Template'!A:C,2,FALSE)</f>
        <v>Axkid Bigkid Black</v>
      </c>
      <c r="C31" s="27">
        <v>1899</v>
      </c>
      <c r="D31" s="27">
        <v>1399</v>
      </c>
      <c r="E31" s="27">
        <v>189</v>
      </c>
    </row>
    <row r="32" spans="1:5">
      <c r="A32" s="36">
        <v>240303</v>
      </c>
      <c r="B32" s="16" t="str">
        <f>VLOOKUP(Table2[[#This Row],[Item number]],'Axkid Template'!A:C,2,FALSE)</f>
        <v>Axkid Dallas Black</v>
      </c>
      <c r="C32" s="27">
        <v>899</v>
      </c>
      <c r="D32" s="27">
        <v>650</v>
      </c>
      <c r="E32" s="27">
        <v>89</v>
      </c>
    </row>
    <row r="33" spans="1:5">
      <c r="A33" s="36">
        <v>280303</v>
      </c>
      <c r="B33" s="16" t="e">
        <f>VLOOKUP(Table2[[#This Row],[Item number]],'Axkid Template'!A:C,2,FALSE)</f>
        <v>#N/A</v>
      </c>
      <c r="C33" s="27">
        <v>299</v>
      </c>
      <c r="D33" s="27">
        <v>199</v>
      </c>
      <c r="E33" s="27">
        <v>29</v>
      </c>
    </row>
    <row r="34" spans="1:5">
      <c r="A34" s="36">
        <v>280201</v>
      </c>
      <c r="B34" s="16" t="e">
        <f>VLOOKUP(Table2[[#This Row],[Item number]],'Axkid Template'!A:C,2,FALSE)</f>
        <v>#N/A</v>
      </c>
      <c r="C34" s="27">
        <v>299</v>
      </c>
      <c r="D34" s="27">
        <v>199</v>
      </c>
      <c r="E34" s="27">
        <v>29</v>
      </c>
    </row>
    <row r="35" spans="1:5">
      <c r="A35" s="36">
        <v>800003</v>
      </c>
      <c r="B35" s="16" t="str">
        <f>VLOOKUP(Table2[[#This Row],[Item number]],'Axkid Template'!A:C,2,FALSE)</f>
        <v>Axkid Seat protection</v>
      </c>
      <c r="C35" s="27">
        <v>299</v>
      </c>
      <c r="D35" s="27">
        <v>199</v>
      </c>
      <c r="E35" s="27">
        <v>30</v>
      </c>
    </row>
    <row r="36" spans="1:5">
      <c r="A36" s="36">
        <v>800203</v>
      </c>
      <c r="B36" s="16" t="str">
        <f>VLOOKUP(Table2[[#This Row],[Item number]],'Axkid Template'!A:C,2,FALSE)</f>
        <v>Axkid Tether strap</v>
      </c>
      <c r="C36" s="27">
        <v>349</v>
      </c>
      <c r="D36" s="27">
        <v>199</v>
      </c>
      <c r="E36" s="27">
        <v>30</v>
      </c>
    </row>
    <row r="37" spans="1:5">
      <c r="A37" s="36">
        <v>800507</v>
      </c>
      <c r="B37" s="16" t="str">
        <f>VLOOKUP(Table2[[#This Row],[Item number]],'Axkid Template'!A:C,2,FALSE)</f>
        <v>Axkid Baby on board sign</v>
      </c>
      <c r="C37" s="27">
        <v>99</v>
      </c>
      <c r="D37" s="27">
        <v>45</v>
      </c>
      <c r="E37" s="27">
        <v>19</v>
      </c>
    </row>
    <row r="38" spans="1:5">
      <c r="A38" s="36">
        <v>800608</v>
      </c>
      <c r="B38" s="16" t="str">
        <f>VLOOKUP(Table2[[#This Row],[Item number]],'Axkid Template'!A:C,2,FALSE)</f>
        <v>Axkid Attachment loops</v>
      </c>
      <c r="C38" s="27">
        <v>199</v>
      </c>
      <c r="D38" s="27" t="s">
        <v>170</v>
      </c>
      <c r="E38" s="27">
        <v>19.899999999999999</v>
      </c>
    </row>
    <row r="39" spans="1:5">
      <c r="A39" s="36">
        <v>800803</v>
      </c>
      <c r="B39" s="16" t="str">
        <f>VLOOKUP(Table2[[#This Row],[Item number]],'Axkid Template'!A:C,2,FALSE)</f>
        <v>Axkid Baby cushion</v>
      </c>
      <c r="C39" s="27">
        <v>199</v>
      </c>
      <c r="D39" s="27">
        <v>109</v>
      </c>
      <c r="E39" s="27">
        <v>19</v>
      </c>
    </row>
    <row r="40" spans="1:5">
      <c r="A40" s="36">
        <v>801003</v>
      </c>
      <c r="B40" s="16" t="str">
        <f>VLOOKUP(Table2[[#This Row],[Item number]],'Axkid Template'!A:C,2,FALSE)</f>
        <v>Axkid Adapter babyfix</v>
      </c>
      <c r="C40" s="27">
        <v>249</v>
      </c>
      <c r="D40" s="27">
        <v>189</v>
      </c>
      <c r="E40" s="27">
        <v>19</v>
      </c>
    </row>
    <row r="41" spans="1:5">
      <c r="A41" s="36">
        <v>801106</v>
      </c>
      <c r="B41" s="16" t="str">
        <f>VLOOKUP(Table2[[#This Row],[Item number]],'Axkid Template'!A:C,2,FALSE)</f>
        <v>Axkid Summer cover 
Minikid, rekid &amp; Modukid seat</v>
      </c>
      <c r="C41" s="27">
        <v>249</v>
      </c>
      <c r="D41" s="27">
        <v>199</v>
      </c>
      <c r="E41" s="27">
        <v>19</v>
      </c>
    </row>
    <row r="42" spans="1:5">
      <c r="A42" s="36">
        <v>801206</v>
      </c>
      <c r="B42" s="16" t="str">
        <f>VLOOKUP(Table2[[#This Row],[Item number]],'Axkid Template'!A:C,2,FALSE)</f>
        <v>Axkid Summer cover Dallas/Grow</v>
      </c>
      <c r="C42" s="27">
        <v>249</v>
      </c>
      <c r="D42" s="27">
        <v>199</v>
      </c>
      <c r="E42" s="27">
        <v>19</v>
      </c>
    </row>
    <row r="43" spans="1:5">
      <c r="A43" s="36">
        <v>801403</v>
      </c>
      <c r="B43" s="16" t="str">
        <f>VLOOKUP(Table2[[#This Row],[Item number]],'Axkid Template'!A:C,2,FALSE)</f>
        <v>Axkid Angle adjusting wedge</v>
      </c>
      <c r="C43" s="27">
        <v>169</v>
      </c>
      <c r="D43" s="27">
        <v>129</v>
      </c>
      <c r="E43" s="27">
        <v>17</v>
      </c>
    </row>
    <row r="44" spans="1:5">
      <c r="A44" s="36">
        <v>803303</v>
      </c>
      <c r="B44" s="16" t="str">
        <f>VLOOKUP(Table2[[#This Row],[Item number]],'Axkid Template'!A:C,2,FALSE)</f>
        <v>Axkid Baby mirror</v>
      </c>
      <c r="C44" s="27">
        <v>299</v>
      </c>
      <c r="D44" s="27">
        <v>149</v>
      </c>
      <c r="E44" s="27">
        <v>19</v>
      </c>
    </row>
    <row r="45" spans="1:5">
      <c r="A45" s="36">
        <v>803803</v>
      </c>
      <c r="B45" s="16" t="str">
        <f>VLOOKUP(Table2[[#This Row],[Item number]],'Axkid Template'!A:C,2,FALSE)</f>
        <v>Axkid Seat protection Premium</v>
      </c>
      <c r="C45" s="27">
        <v>649</v>
      </c>
      <c r="D45" s="27">
        <v>349</v>
      </c>
      <c r="E45" s="27">
        <v>50</v>
      </c>
    </row>
    <row r="46" spans="1:5">
      <c r="A46" s="36">
        <v>803906</v>
      </c>
      <c r="B46" s="16" t="str">
        <f>VLOOKUP(Table2[[#This Row],[Item number]],'Axkid Template'!A:C,2,FALSE)</f>
        <v>Axkid Sunshades for window self attaching</v>
      </c>
      <c r="C46" s="27">
        <v>199</v>
      </c>
      <c r="D46" s="27">
        <v>75</v>
      </c>
      <c r="E46" s="27">
        <v>9</v>
      </c>
    </row>
    <row r="47" spans="1:5">
      <c r="A47" s="36">
        <v>804003</v>
      </c>
      <c r="B47" s="16" t="str">
        <f>VLOOKUP(Table2[[#This Row],[Item number]],'Axkid Template'!A:C,2,FALSE)</f>
        <v>Axkid iPad holder</v>
      </c>
      <c r="C47" s="27">
        <v>199</v>
      </c>
      <c r="D47" s="27">
        <v>129</v>
      </c>
      <c r="E47" s="27">
        <v>18</v>
      </c>
    </row>
    <row r="48" spans="1:5">
      <c r="A48" s="36">
        <v>804103</v>
      </c>
      <c r="B48" s="16" t="str">
        <f>VLOOKUP(Table2[[#This Row],[Item number]],'Axkid Template'!A:C,2,FALSE)</f>
        <v>Axkid Backseat organizer</v>
      </c>
      <c r="C48" s="27">
        <v>299</v>
      </c>
      <c r="D48" s="27">
        <v>189</v>
      </c>
      <c r="E48" s="27">
        <v>19</v>
      </c>
    </row>
    <row r="49" spans="1:5">
      <c r="A49" s="36">
        <v>804303</v>
      </c>
      <c r="B49" s="16" t="str">
        <f>VLOOKUP(Table2[[#This Row],[Item number]],'Axkid Template'!A:C,2,FALSE)</f>
        <v>Axkid Tether straps for Move</v>
      </c>
      <c r="C49" s="27">
        <v>349</v>
      </c>
      <c r="D49" s="27">
        <v>189</v>
      </c>
      <c r="E49" s="27">
        <v>29</v>
      </c>
    </row>
    <row r="50" spans="1:5">
      <c r="A50" s="36">
        <v>804503</v>
      </c>
      <c r="B50" s="16" t="str">
        <f>VLOOKUP(Table2[[#This Row],[Item number]],'Axkid Template'!A:C,2,FALSE)</f>
        <v>Axkid Sun cover (seat sunshade)</v>
      </c>
      <c r="C50" s="27">
        <v>369</v>
      </c>
      <c r="D50" s="27">
        <v>219</v>
      </c>
      <c r="E50" s="27">
        <v>35</v>
      </c>
    </row>
    <row r="51" spans="1:5">
      <c r="A51" s="36">
        <v>804603</v>
      </c>
      <c r="B51" s="16" t="str">
        <f>VLOOKUP(Table2[[#This Row],[Item number]],'Axkid Template'!A:C,2,FALSE)</f>
        <v>Axkid Support leg adapter</v>
      </c>
      <c r="C51" s="27">
        <v>349</v>
      </c>
      <c r="D51" s="27">
        <v>219</v>
      </c>
      <c r="E51" s="27">
        <v>29</v>
      </c>
    </row>
    <row r="52" spans="1:5">
      <c r="A52" s="36">
        <v>30100002</v>
      </c>
      <c r="B52" s="16" t="e">
        <f>VLOOKUP(Table2[[#This Row],[Item number]],'Axkid Template'!A:C,2,FALSE)</f>
        <v>#N/A</v>
      </c>
      <c r="C52" s="27">
        <v>2999</v>
      </c>
      <c r="D52" s="27">
        <v>2199</v>
      </c>
      <c r="E52" s="27">
        <v>299</v>
      </c>
    </row>
    <row r="53" spans="1:5">
      <c r="A53" s="36">
        <v>30100003</v>
      </c>
      <c r="B53" s="16" t="e">
        <f>VLOOKUP(Table2[[#This Row],[Item number]],'Axkid Template'!A:C,2,FALSE)</f>
        <v>#N/A</v>
      </c>
      <c r="C53" s="27">
        <v>2999</v>
      </c>
      <c r="D53" s="27">
        <v>2199</v>
      </c>
      <c r="E53" s="27">
        <v>299</v>
      </c>
    </row>
    <row r="54" spans="1:5">
      <c r="A54" s="36">
        <v>90100102</v>
      </c>
      <c r="B54" s="16" t="e">
        <f>VLOOKUP(Table2[[#This Row],[Item number]],'Axkid Template'!A:C,2,FALSE)</f>
        <v>#N/A</v>
      </c>
      <c r="C54" s="27">
        <v>999</v>
      </c>
      <c r="D54" s="27">
        <v>750</v>
      </c>
      <c r="E54" s="27">
        <v>99</v>
      </c>
    </row>
    <row r="55" spans="1:5">
      <c r="A55" s="36">
        <v>90100103</v>
      </c>
      <c r="B55" s="16" t="e">
        <f>VLOOKUP(Table2[[#This Row],[Item number]],'Axkid Template'!A:C,2,FALSE)</f>
        <v>#N/A</v>
      </c>
      <c r="C55" s="27">
        <v>999</v>
      </c>
      <c r="D55" s="27">
        <v>750</v>
      </c>
      <c r="E55" s="27">
        <v>99</v>
      </c>
    </row>
    <row r="56" spans="1:5">
      <c r="A56" s="36">
        <v>90100214</v>
      </c>
      <c r="B56" s="16" t="e">
        <f>VLOOKUP(Table2[[#This Row],[Item number]],'Axkid Template'!A:C,2,FALSE)</f>
        <v>#N/A</v>
      </c>
      <c r="C56" s="27">
        <v>249</v>
      </c>
      <c r="D56" s="27">
        <v>199</v>
      </c>
      <c r="E56" s="27">
        <v>25</v>
      </c>
    </row>
    <row r="57" spans="1:5">
      <c r="A57" s="36">
        <v>90100314</v>
      </c>
      <c r="B57" s="16" t="e">
        <f>VLOOKUP(Table2[[#This Row],[Item number]],'Axkid Template'!A:C,2,FALSE)</f>
        <v>#N/A</v>
      </c>
      <c r="C57" s="27">
        <v>249</v>
      </c>
      <c r="D57" s="27">
        <v>199</v>
      </c>
      <c r="E57" s="27">
        <v>25</v>
      </c>
    </row>
    <row r="58" spans="1:5">
      <c r="A58" s="36">
        <v>90100403</v>
      </c>
      <c r="B58" s="16" t="e">
        <f>VLOOKUP(Table2[[#This Row],[Item number]],'Axkid Template'!A:C,2,FALSE)</f>
        <v>#N/A</v>
      </c>
      <c r="C58" s="27">
        <v>299</v>
      </c>
      <c r="D58" s="27">
        <v>249</v>
      </c>
      <c r="E58" s="27">
        <v>29</v>
      </c>
    </row>
    <row r="59" spans="1:5">
      <c r="A59" s="36">
        <v>90100506</v>
      </c>
      <c r="B59" s="16" t="e">
        <f>VLOOKUP(Table2[[#This Row],[Item number]],'Axkid Template'!A:C,2,FALSE)</f>
        <v>#N/A</v>
      </c>
      <c r="C59" s="27">
        <v>199</v>
      </c>
      <c r="D59" s="27">
        <v>149</v>
      </c>
      <c r="E59" s="27">
        <v>20</v>
      </c>
    </row>
    <row r="60" spans="1:5">
      <c r="A60" s="36">
        <v>90100606</v>
      </c>
      <c r="B60" s="16" t="e">
        <f>VLOOKUP(Table2[[#This Row],[Item number]],'Axkid Template'!A:C,2,FALSE)</f>
        <v>#N/A</v>
      </c>
      <c r="C60" s="27">
        <v>199</v>
      </c>
      <c r="D60" s="27">
        <v>149</v>
      </c>
      <c r="E60" s="27">
        <v>20</v>
      </c>
    </row>
    <row r="61" spans="1:5">
      <c r="A61" s="36">
        <v>90100703</v>
      </c>
      <c r="B61" s="16" t="e">
        <f>VLOOKUP(Table2[[#This Row],[Item number]],'Axkid Template'!A:C,2,FALSE)</f>
        <v>#N/A</v>
      </c>
      <c r="C61" s="27">
        <v>499</v>
      </c>
      <c r="D61" s="27">
        <v>350</v>
      </c>
      <c r="E61" s="27">
        <v>49</v>
      </c>
    </row>
    <row r="62" spans="1:5">
      <c r="A62" s="20">
        <v>25110016</v>
      </c>
      <c r="B62" s="16" t="str">
        <f>VLOOKUP(Table2[[#This Row],[Item number]],'Axkid Template'!A:C,2,FALSE)</f>
        <v>Axkid ONE Tar</v>
      </c>
      <c r="C62" s="27">
        <v>7499</v>
      </c>
      <c r="D62" s="27">
        <v>5499</v>
      </c>
      <c r="E62" s="27">
        <v>749</v>
      </c>
    </row>
    <row r="63" spans="1:5">
      <c r="A63" s="20">
        <v>25110021</v>
      </c>
      <c r="B63" s="16" t="str">
        <f>VLOOKUP(Table2[[#This Row],[Item number]],'Axkid Template'!A:C,2,FALSE)</f>
        <v>Axkid ONE Granite Melange</v>
      </c>
      <c r="C63" s="27">
        <v>7499</v>
      </c>
      <c r="D63" s="27">
        <v>5499</v>
      </c>
      <c r="E63" s="27">
        <v>749</v>
      </c>
    </row>
    <row r="64" spans="1:5">
      <c r="A64" s="20">
        <v>25110024</v>
      </c>
      <c r="B64" s="16" t="str">
        <f>VLOOKUP(Table2[[#This Row],[Item number]],'Axkid Template'!A:C,2,FALSE)</f>
        <v>Axkid ONE Brick Melange</v>
      </c>
      <c r="C64" s="27">
        <v>7499</v>
      </c>
      <c r="D64" s="27">
        <v>5499</v>
      </c>
      <c r="E64" s="27">
        <v>749</v>
      </c>
    </row>
    <row r="65" spans="1:5">
      <c r="A65" s="20">
        <v>25110025</v>
      </c>
      <c r="B65" s="16" t="str">
        <f>VLOOKUP(Table2[[#This Row],[Item number]],'Axkid Template'!A:C,2,FALSE)</f>
        <v>Axkid ONE Tile Melange</v>
      </c>
      <c r="C65" s="27">
        <v>7499</v>
      </c>
      <c r="D65" s="27">
        <v>5499</v>
      </c>
      <c r="E65" s="27">
        <v>749</v>
      </c>
    </row>
    <row r="66" spans="1:5">
      <c r="A66" s="20">
        <v>25120016</v>
      </c>
      <c r="B66" s="16" t="str">
        <f>VLOOKUP(Table2[[#This Row],[Item number]],'Axkid Template'!A:C,2,FALSE)</f>
        <v>Axkid ONE + Tar</v>
      </c>
      <c r="C66" s="27">
        <v>8499</v>
      </c>
      <c r="D66" s="27">
        <v>6299</v>
      </c>
      <c r="E66" s="27">
        <v>849</v>
      </c>
    </row>
    <row r="67" spans="1:5">
      <c r="A67" s="20">
        <v>25120021</v>
      </c>
      <c r="B67" s="16" t="str">
        <f>VLOOKUP(Table2[[#This Row],[Item number]],'Axkid Template'!A:C,2,FALSE)</f>
        <v>Axkid ONE + Granite Melange</v>
      </c>
      <c r="C67" s="27">
        <v>8499</v>
      </c>
      <c r="D67" s="27">
        <v>6299</v>
      </c>
      <c r="E67" s="27">
        <v>849</v>
      </c>
    </row>
    <row r="68" spans="1:5">
      <c r="A68" s="20">
        <v>25120024</v>
      </c>
      <c r="B68" s="16" t="str">
        <f>VLOOKUP(Table2[[#This Row],[Item number]],'Axkid Template'!A:C,2,FALSE)</f>
        <v>Axkid ONE + Brick Melange</v>
      </c>
      <c r="C68" s="27">
        <v>8499</v>
      </c>
      <c r="D68" s="27">
        <v>6299</v>
      </c>
      <c r="E68" s="27">
        <v>849</v>
      </c>
    </row>
    <row r="69" spans="1:5">
      <c r="A69" s="20">
        <v>25120025</v>
      </c>
      <c r="B69" s="16" t="str">
        <f>VLOOKUP(Table2[[#This Row],[Item number]],'Axkid Template'!A:C,2,FALSE)</f>
        <v>Axkid ONE + Tile Melange</v>
      </c>
      <c r="C69" s="27">
        <v>8499</v>
      </c>
      <c r="D69" s="27">
        <v>6299</v>
      </c>
      <c r="E69" s="27">
        <v>849</v>
      </c>
    </row>
    <row r="70" spans="1:5">
      <c r="A70" s="20">
        <v>804916</v>
      </c>
      <c r="B70" s="16" t="str">
        <f>VLOOKUP(Table2[[#This Row],[Item number]],'Axkid Template'!A:C,2,FALSE)</f>
        <v>Axkid Connect</v>
      </c>
      <c r="C70" s="27">
        <v>999</v>
      </c>
      <c r="D70" s="27">
        <v>749</v>
      </c>
      <c r="E70" s="27">
        <v>99</v>
      </c>
    </row>
    <row r="71" spans="1:5">
      <c r="A71" s="20">
        <v>22140216</v>
      </c>
      <c r="B71" s="16" t="str">
        <f>VLOOKUP(Table2[[#This Row],[Item number]],'Axkid Template'!A:C,2,FALSE)</f>
        <v>Axkid Minikid 2 Solid Tar</v>
      </c>
      <c r="C71" s="27">
        <v>3999</v>
      </c>
      <c r="D71" s="27">
        <v>2999</v>
      </c>
      <c r="E71" s="27">
        <v>399</v>
      </c>
    </row>
    <row r="72" spans="1:5">
      <c r="A72" s="20">
        <v>22140217</v>
      </c>
      <c r="B72" s="16" t="str">
        <f>VLOOKUP(Table2[[#This Row],[Item number]],'Axkid Template'!A:C,2,FALSE)</f>
        <v>Axkid Minikid 2 Solid Granite</v>
      </c>
      <c r="C72" s="27">
        <v>3999</v>
      </c>
      <c r="D72" s="27">
        <v>2999</v>
      </c>
      <c r="E72" s="27">
        <v>399</v>
      </c>
    </row>
    <row r="73" spans="1:5">
      <c r="A73" s="20">
        <v>22140218</v>
      </c>
      <c r="B73" s="16" t="str">
        <f>VLOOKUP(Table2[[#This Row],[Item number]],'Axkid Template'!A:C,2,FALSE)</f>
        <v>Axkid Minikid 2 Solid Shellfish</v>
      </c>
      <c r="C73" s="27">
        <v>3999</v>
      </c>
      <c r="D73" s="27">
        <v>2999</v>
      </c>
      <c r="E73" s="27">
        <v>399</v>
      </c>
    </row>
    <row r="74" spans="1:5">
      <c r="A74" s="20">
        <v>22140219</v>
      </c>
      <c r="B74" s="16" t="str">
        <f>VLOOKUP(Table2[[#This Row],[Item number]],'Axkid Template'!A:C,2,FALSE)</f>
        <v>Axkid Minikid 2 Solid Sea</v>
      </c>
      <c r="C74" s="27">
        <v>3999</v>
      </c>
      <c r="D74" s="27">
        <v>2999</v>
      </c>
      <c r="E74" s="27">
        <v>399</v>
      </c>
    </row>
    <row r="75" spans="1:5">
      <c r="A75" s="20">
        <v>22140220</v>
      </c>
      <c r="B75" s="16" t="str">
        <f>VLOOKUP(Table2[[#This Row],[Item number]],'Axkid Template'!A:C,2,FALSE)</f>
        <v>Axkid Minikid 2 Solid Moss</v>
      </c>
      <c r="C75" s="27">
        <v>3999</v>
      </c>
      <c r="D75" s="27">
        <v>2999</v>
      </c>
      <c r="E75" s="27">
        <v>399</v>
      </c>
    </row>
    <row r="76" spans="1:5">
      <c r="A76" s="20">
        <v>22140221</v>
      </c>
      <c r="B76" s="16" t="str">
        <f>VLOOKUP(Table2[[#This Row],[Item number]],'Axkid Template'!A:C,2,FALSE)</f>
        <v>Axkid Minikid 2 Premium Shell black</v>
      </c>
      <c r="C76" s="27">
        <v>3999</v>
      </c>
      <c r="D76" s="27">
        <v>2999</v>
      </c>
      <c r="E76" s="27">
        <v>399</v>
      </c>
    </row>
    <row r="77" spans="1:5">
      <c r="A77" s="20">
        <v>22140222</v>
      </c>
      <c r="B77" s="16" t="str">
        <f>VLOOKUP(Table2[[#This Row],[Item number]],'Axkid Template'!A:C,2,FALSE)</f>
        <v>Axkid Minikid 2 Premium Granite Melange</v>
      </c>
      <c r="C77" s="27">
        <v>3999</v>
      </c>
      <c r="D77" s="27">
        <v>2999</v>
      </c>
      <c r="E77" s="27">
        <v>399</v>
      </c>
    </row>
    <row r="78" spans="1:5">
      <c r="A78" s="20">
        <v>22140223</v>
      </c>
      <c r="B78" s="16" t="str">
        <f>VLOOKUP(Table2[[#This Row],[Item number]],'Axkid Template'!A:C,2,FALSE)</f>
        <v xml:space="preserve">Axkid Minikid 2 Premium Sky Grey </v>
      </c>
      <c r="C78" s="27">
        <v>3999</v>
      </c>
      <c r="D78" s="27">
        <v>2999</v>
      </c>
      <c r="E78" s="27">
        <v>399</v>
      </c>
    </row>
    <row r="79" spans="1:5">
      <c r="A79" s="20">
        <v>27040102</v>
      </c>
      <c r="B79" s="16" t="str">
        <f>VLOOKUP(Table2[[#This Row],[Item number]],'Axkid Template'!A:C,2,FALSE)</f>
        <v>Axkid Bigkid 2 Premium Grey</v>
      </c>
      <c r="C79" s="27">
        <v>2299</v>
      </c>
      <c r="D79" s="27">
        <v>1699</v>
      </c>
      <c r="E79" s="27">
        <v>229</v>
      </c>
    </row>
    <row r="80" spans="1:5">
      <c r="A80" s="20">
        <v>27040103</v>
      </c>
      <c r="B80" s="16" t="str">
        <f>VLOOKUP(Table2[[#This Row],[Item number]],'Axkid Template'!A:C,2,FALSE)</f>
        <v>Axkid Bigkid 2 Premium Black</v>
      </c>
      <c r="C80" s="27">
        <v>2299</v>
      </c>
      <c r="D80" s="27">
        <v>1699</v>
      </c>
      <c r="E80" s="27">
        <v>229</v>
      </c>
    </row>
    <row r="81" spans="1:5">
      <c r="A81" s="20">
        <v>20040016</v>
      </c>
      <c r="B81" s="16" t="str">
        <f>VLOOKUP(Table2[[#This Row],[Item number]],'Axkid Template'!A:C,2,FALSE)</f>
        <v>Axkid Modukid Infant Tar</v>
      </c>
      <c r="C81" s="27">
        <v>2499</v>
      </c>
      <c r="D81" s="27">
        <v>1450</v>
      </c>
      <c r="E81" s="27">
        <v>175</v>
      </c>
    </row>
    <row r="82" spans="1:5">
      <c r="A82" s="20">
        <v>20040017</v>
      </c>
      <c r="B82" s="16" t="str">
        <f>VLOOKUP(Table2[[#This Row],[Item number]],'Axkid Template'!A:C,2,FALSE)</f>
        <v>Axkid Modukid Infant Granite</v>
      </c>
      <c r="C82" s="27">
        <v>2499</v>
      </c>
      <c r="D82" s="27">
        <v>1450</v>
      </c>
      <c r="E82" s="27">
        <v>175</v>
      </c>
    </row>
    <row r="83" spans="1:5">
      <c r="A83" s="20">
        <v>20040018</v>
      </c>
      <c r="B83" s="16" t="str">
        <f>VLOOKUP(Table2[[#This Row],[Item number]],'Axkid Template'!A:C,2,FALSE)</f>
        <v>Axkid Modukid Infant Shellfish</v>
      </c>
      <c r="C83" s="27">
        <v>2499</v>
      </c>
      <c r="D83" s="27">
        <v>1450</v>
      </c>
      <c r="E83" s="27">
        <v>175</v>
      </c>
    </row>
    <row r="84" spans="1:5">
      <c r="A84" s="20">
        <v>20040019</v>
      </c>
      <c r="B84" s="16" t="str">
        <f>VLOOKUP(Table2[[#This Row],[Item number]],'Axkid Template'!A:C,2,FALSE)</f>
        <v>Axkid Modukid Infant Sea</v>
      </c>
      <c r="C84" s="27">
        <v>2499</v>
      </c>
      <c r="D84" s="27">
        <v>1450</v>
      </c>
      <c r="E84" s="27">
        <v>175</v>
      </c>
    </row>
    <row r="85" spans="1:5">
      <c r="A85" s="20">
        <v>20040020</v>
      </c>
      <c r="B85" s="16" t="str">
        <f>VLOOKUP(Table2[[#This Row],[Item number]],'Axkid Template'!A:C,2,FALSE)</f>
        <v>Axkid Modukid Infant Moss</v>
      </c>
      <c r="C85" s="27">
        <v>2499</v>
      </c>
      <c r="D85" s="27">
        <v>1450</v>
      </c>
      <c r="E85" s="27">
        <v>175</v>
      </c>
    </row>
    <row r="86" spans="1:5">
      <c r="A86" s="20">
        <v>20040021</v>
      </c>
      <c r="B86" s="16" t="str">
        <f>VLOOKUP(Table2[[#This Row],[Item number]],'Axkid Template'!A:C,2,FALSE)</f>
        <v>Axkid Modukid Infant Premium Shell black</v>
      </c>
      <c r="C86" s="27">
        <v>2499</v>
      </c>
      <c r="D86" s="27">
        <v>1450</v>
      </c>
      <c r="E86" s="27">
        <v>175</v>
      </c>
    </row>
    <row r="87" spans="1:5">
      <c r="A87" s="20">
        <v>20040022</v>
      </c>
      <c r="B87" s="16" t="str">
        <f>VLOOKUP(Table2[[#This Row],[Item number]],'Axkid Template'!A:C,2,FALSE)</f>
        <v>Axkid Modukid Infant Premium Granite Melange</v>
      </c>
      <c r="C87" s="27">
        <v>2499</v>
      </c>
      <c r="D87" s="27">
        <v>1450</v>
      </c>
      <c r="E87" s="27">
        <v>175</v>
      </c>
    </row>
    <row r="88" spans="1:5">
      <c r="A88" s="20">
        <v>20040023</v>
      </c>
      <c r="B88" s="16" t="str">
        <f>VLOOKUP(Table2[[#This Row],[Item number]],'Axkid Template'!A:C,2,FALSE)</f>
        <v>Axkid Modukid Infant Premium Sky Grey</v>
      </c>
      <c r="C88" s="27">
        <v>2499</v>
      </c>
      <c r="D88" s="27">
        <v>1450</v>
      </c>
      <c r="E88" s="27">
        <v>175</v>
      </c>
    </row>
    <row r="89" spans="1:5">
      <c r="A89" s="20">
        <v>24100016</v>
      </c>
      <c r="B89" s="16" t="str">
        <f>VLOOKUP(Table2[[#This Row],[Item number]],'Axkid Template'!A:C,2,FALSE)</f>
        <v>Axkid Modukid Seat Tar</v>
      </c>
      <c r="C89" s="27">
        <v>3999</v>
      </c>
      <c r="D89" s="27">
        <v>2199</v>
      </c>
      <c r="E89" s="27">
        <v>275</v>
      </c>
    </row>
    <row r="90" spans="1:5">
      <c r="A90" s="20">
        <v>24100017</v>
      </c>
      <c r="B90" s="16" t="str">
        <f>VLOOKUP(Table2[[#This Row],[Item number]],'Axkid Template'!A:C,2,FALSE)</f>
        <v>Axkid Modukid Seat Granite</v>
      </c>
      <c r="C90" s="27">
        <v>3999</v>
      </c>
      <c r="D90" s="27">
        <v>2199</v>
      </c>
      <c r="E90" s="27">
        <v>275</v>
      </c>
    </row>
    <row r="91" spans="1:5">
      <c r="A91" s="20">
        <v>24100018</v>
      </c>
      <c r="B91" s="16" t="str">
        <f>VLOOKUP(Table2[[#This Row],[Item number]],'Axkid Template'!A:C,2,FALSE)</f>
        <v>Axkid Modukid Seat Shellfish</v>
      </c>
      <c r="C91" s="27">
        <v>3999</v>
      </c>
      <c r="D91" s="27">
        <v>2199</v>
      </c>
      <c r="E91" s="27">
        <v>275</v>
      </c>
    </row>
    <row r="92" spans="1:5">
      <c r="A92" s="20">
        <v>24100019</v>
      </c>
      <c r="B92" s="16" t="str">
        <f>VLOOKUP(Table2[[#This Row],[Item number]],'Axkid Template'!A:C,2,FALSE)</f>
        <v>Axkid Modukid Seat Sea</v>
      </c>
      <c r="C92" s="27">
        <v>3999</v>
      </c>
      <c r="D92" s="27">
        <v>2199</v>
      </c>
      <c r="E92" s="27">
        <v>275</v>
      </c>
    </row>
    <row r="93" spans="1:5">
      <c r="A93" s="20">
        <v>24100020</v>
      </c>
      <c r="B93" s="16" t="str">
        <f>VLOOKUP(Table2[[#This Row],[Item number]],'Axkid Template'!A:C,2,FALSE)</f>
        <v>Axkid Modukid Seat Moss</v>
      </c>
      <c r="C93" s="27">
        <v>3999</v>
      </c>
      <c r="D93" s="27">
        <v>2199</v>
      </c>
      <c r="E93" s="27">
        <v>275</v>
      </c>
    </row>
    <row r="94" spans="1:5">
      <c r="A94" s="20">
        <v>24100021</v>
      </c>
      <c r="B94" s="16" t="str">
        <f>VLOOKUP(Table2[[#This Row],[Item number]],'Axkid Template'!A:C,2,FALSE)</f>
        <v>Axkid Modukid Seat Premium Shell black</v>
      </c>
      <c r="C94" s="27">
        <v>3999</v>
      </c>
      <c r="D94" s="27">
        <v>2199</v>
      </c>
      <c r="E94" s="27">
        <v>275</v>
      </c>
    </row>
    <row r="95" spans="1:5">
      <c r="A95" s="20">
        <v>24100022</v>
      </c>
      <c r="B95" s="16" t="str">
        <f>VLOOKUP(Table2[[#This Row],[Item number]],'Axkid Template'!A:C,2,FALSE)</f>
        <v>Axkid Modukid Seat Premium Granite Melange</v>
      </c>
      <c r="C95" s="27">
        <v>3999</v>
      </c>
      <c r="D95" s="27">
        <v>2199</v>
      </c>
      <c r="E95" s="27">
        <v>275</v>
      </c>
    </row>
    <row r="96" spans="1:5">
      <c r="A96" s="20">
        <v>24100023</v>
      </c>
      <c r="B96" s="16" t="str">
        <f>VLOOKUP(Table2[[#This Row],[Item number]],'Axkid Template'!A:C,2,FALSE)</f>
        <v>Axkid Modukid Seat Premium Sky Grey</v>
      </c>
      <c r="C96" s="27">
        <v>3999</v>
      </c>
      <c r="D96" s="27">
        <v>2199</v>
      </c>
      <c r="E96" s="27">
        <v>275</v>
      </c>
    </row>
    <row r="97" spans="1:5">
      <c r="A97" s="20">
        <v>20050002</v>
      </c>
      <c r="B97" s="16" t="str">
        <f>VLOOKUP(Table2[[#This Row],[Item number]],'Axkid Template'!A:C,2,FALSE)</f>
        <v>Axkid Babyfix Grey</v>
      </c>
      <c r="C97" s="27">
        <v>1499</v>
      </c>
      <c r="D97" s="27">
        <v>999</v>
      </c>
      <c r="E97" s="27">
        <v>149</v>
      </c>
    </row>
    <row r="98" spans="1:5">
      <c r="A98" s="20">
        <v>20050003</v>
      </c>
      <c r="B98" s="16" t="str">
        <f>VLOOKUP(Table2[[#This Row],[Item number]],'Axkid Template'!A:C,2,FALSE)</f>
        <v>Axkid Babyfix Black</v>
      </c>
      <c r="C98" s="27">
        <v>1499</v>
      </c>
      <c r="D98" s="27">
        <v>999</v>
      </c>
      <c r="E98" s="27">
        <v>149</v>
      </c>
    </row>
    <row r="99" spans="1:5">
      <c r="A99" s="36">
        <v>28100003</v>
      </c>
      <c r="B99" s="16" t="str">
        <f>VLOOKUP(Table2[[#This Row],[Item number]],'Axkid Template'!A:C,2,FALSE)</f>
        <v>Axkid Grow Pillow Black</v>
      </c>
      <c r="C99" s="27">
        <v>299</v>
      </c>
      <c r="D99" s="27">
        <v>229</v>
      </c>
      <c r="E99" s="27">
        <v>29</v>
      </c>
    </row>
    <row r="100" spans="1:5">
      <c r="A100" s="36">
        <v>28100002</v>
      </c>
      <c r="B100" s="16" t="str">
        <f>VLOOKUP(Table2[[#This Row],[Item number]],'Axkid Template'!A:C,2,FALSE)</f>
        <v>Axkid Grow Pillow Grey</v>
      </c>
      <c r="C100" s="27">
        <v>299</v>
      </c>
      <c r="D100" s="27">
        <v>229</v>
      </c>
      <c r="E100" s="27">
        <v>29</v>
      </c>
    </row>
    <row r="101" spans="1:5">
      <c r="A101" s="36">
        <v>805006</v>
      </c>
      <c r="B101" s="16" t="str">
        <f>VLOOKUP(Table2[[#This Row],[Item number]],'Axkid Template'!A:C,2,FALSE)</f>
        <v>Axkid Bamboo Summer cover Minikid 2</v>
      </c>
      <c r="C101" s="27">
        <v>599</v>
      </c>
      <c r="D101" s="27">
        <v>349</v>
      </c>
      <c r="E101" s="27">
        <v>50</v>
      </c>
    </row>
    <row r="102" spans="1:5">
      <c r="A102" s="36">
        <v>805201</v>
      </c>
      <c r="B102" s="16" t="str">
        <f>VLOOKUP(Table2[[#This Row],[Item number]],'Axkid Template'!A:C,2,FALSE)</f>
        <v>Axkid Cooling Pads by AeroMoov group 1/2</v>
      </c>
      <c r="C102" s="27">
        <v>499</v>
      </c>
      <c r="D102" s="27">
        <v>299</v>
      </c>
      <c r="E102" s="27">
        <v>40</v>
      </c>
    </row>
    <row r="103" spans="1:5">
      <c r="A103" s="20">
        <v>804403</v>
      </c>
      <c r="B103" s="16" t="str">
        <f>VLOOKUP(Table2[[#This Row],[Item number]],'Axkid Template'!A:C,2,FALSE)</f>
        <v>Axkid Swedish safety kit</v>
      </c>
      <c r="C103" s="27">
        <v>499</v>
      </c>
      <c r="D103" s="27">
        <v>399</v>
      </c>
      <c r="E103" s="27">
        <v>55</v>
      </c>
    </row>
    <row r="104" spans="1:5">
      <c r="A104" s="36">
        <v>27040116</v>
      </c>
      <c r="B104" s="16" t="str">
        <f>VLOOKUP(Table2[[#This Row],[Item number]],'Axkid Template'!A:C,2,FALSE)</f>
        <v>Axkid Bigkid 2 Tar</v>
      </c>
      <c r="C104" s="27">
        <v>2899</v>
      </c>
      <c r="D104" s="27">
        <v>1499</v>
      </c>
      <c r="E104" s="27">
        <v>199</v>
      </c>
    </row>
    <row r="105" spans="1:5">
      <c r="A105" s="36">
        <v>27040117</v>
      </c>
      <c r="B105" s="16" t="str">
        <f>VLOOKUP(Table2[[#This Row],[Item number]],'Axkid Template'!A:C,2,FALSE)</f>
        <v>Axkid Bigkid 2 Granite</v>
      </c>
      <c r="C105" s="27">
        <v>2899</v>
      </c>
      <c r="D105" s="27">
        <v>1499</v>
      </c>
      <c r="E105" s="27">
        <v>199</v>
      </c>
    </row>
    <row r="106" spans="1:5">
      <c r="A106" s="36">
        <v>27040121</v>
      </c>
      <c r="B106" s="16" t="str">
        <f>VLOOKUP(Table2[[#This Row],[Item number]],'Axkid Template'!A:C,2,FALSE)</f>
        <v>Axkid Bigkid 2 Premium Shell Black</v>
      </c>
      <c r="C106" s="27">
        <v>2299</v>
      </c>
      <c r="D106" s="27">
        <v>1699</v>
      </c>
      <c r="E106" s="27">
        <v>229</v>
      </c>
    </row>
    <row r="107" spans="1:5">
      <c r="A107" s="36">
        <v>27040122</v>
      </c>
      <c r="B107" s="16" t="str">
        <f>VLOOKUP(Table2[[#This Row],[Item number]],'Axkid Template'!A:C,2,FALSE)</f>
        <v>Axkid Bigkid 2 Premium Granite Melange</v>
      </c>
      <c r="C107" s="27">
        <v>2299</v>
      </c>
      <c r="D107" s="27">
        <v>1699</v>
      </c>
      <c r="E107" s="27">
        <v>229</v>
      </c>
    </row>
    <row r="108" spans="1:5">
      <c r="A108" s="36">
        <v>25110116</v>
      </c>
      <c r="B108" s="16" t="str">
        <f>VLOOKUP(Table2[[#This Row],[Item number]],'Axkid Template'!A:C,2,FALSE)</f>
        <v>Axkid ONE 2 Tar</v>
      </c>
      <c r="C108" s="27">
        <v>9999</v>
      </c>
      <c r="D108" s="27">
        <v>5699</v>
      </c>
      <c r="E108" s="27">
        <v>799</v>
      </c>
    </row>
    <row r="109" spans="1:5">
      <c r="A109" s="36">
        <v>25110121</v>
      </c>
      <c r="B109" s="16" t="str">
        <f>VLOOKUP(Table2[[#This Row],[Item number]],'Axkid Template'!A:C,2,FALSE)</f>
        <v>Axkid ONE 2 Granite Melange</v>
      </c>
      <c r="C109" s="27">
        <v>9999</v>
      </c>
      <c r="D109" s="27">
        <v>5699</v>
      </c>
      <c r="E109" s="27">
        <v>799</v>
      </c>
    </row>
    <row r="110" spans="1:5">
      <c r="A110" s="36">
        <v>25110124</v>
      </c>
      <c r="B110" s="16" t="str">
        <f>VLOOKUP(Table2[[#This Row],[Item number]],'Axkid Template'!A:C,2,FALSE)</f>
        <v>Axkid ONE 2 Brick Melange</v>
      </c>
      <c r="C110" s="27">
        <v>9999</v>
      </c>
      <c r="D110" s="27">
        <v>5699</v>
      </c>
      <c r="E110" s="27">
        <v>799</v>
      </c>
    </row>
    <row r="111" spans="1:5">
      <c r="A111" s="36">
        <v>25110125</v>
      </c>
      <c r="B111" s="16" t="str">
        <f>VLOOKUP(Table2[[#This Row],[Item number]],'Axkid Template'!A:C,2,FALSE)</f>
        <v>Axkid ONE 2 Tile Melange</v>
      </c>
      <c r="C111" s="27">
        <v>9999</v>
      </c>
      <c r="D111" s="27">
        <v>5699</v>
      </c>
      <c r="E111" s="27">
        <v>799</v>
      </c>
    </row>
    <row r="112" spans="1:5">
      <c r="A112" s="36">
        <v>25120116</v>
      </c>
      <c r="B112" s="16" t="str">
        <f>VLOOKUP(Table2[[#This Row],[Item number]],'Axkid Template'!A:C,2,FALSE)</f>
        <v>Axkid ONE+ 2 Tar</v>
      </c>
      <c r="C112" s="27">
        <v>10499</v>
      </c>
      <c r="D112" s="27">
        <v>6299</v>
      </c>
      <c r="E112" s="27">
        <v>849</v>
      </c>
    </row>
    <row r="113" spans="1:5">
      <c r="A113" s="36">
        <v>25120121</v>
      </c>
      <c r="B113" s="16" t="str">
        <f>VLOOKUP(Table2[[#This Row],[Item number]],'Axkid Template'!A:C,2,FALSE)</f>
        <v>Axkid ONE+ 2 Granite Melange</v>
      </c>
      <c r="C113" s="27">
        <v>10499</v>
      </c>
      <c r="D113" s="27">
        <v>6299</v>
      </c>
      <c r="E113" s="27">
        <v>849</v>
      </c>
    </row>
    <row r="114" spans="1:5">
      <c r="A114" s="36">
        <v>25120124</v>
      </c>
      <c r="B114" s="16" t="str">
        <f>VLOOKUP(Table2[[#This Row],[Item number]],'Axkid Template'!A:C,2,FALSE)</f>
        <v>Axkid ONE+ 2 Brick Melange</v>
      </c>
      <c r="C114" s="27">
        <v>10499</v>
      </c>
      <c r="D114" s="27">
        <v>6299</v>
      </c>
      <c r="E114" s="27">
        <v>849</v>
      </c>
    </row>
    <row r="115" spans="1:5">
      <c r="A115" s="36">
        <v>25120125</v>
      </c>
      <c r="B115" s="16" t="str">
        <f>VLOOKUP(Table2[[#This Row],[Item number]],'Axkid Template'!A:C,2,FALSE)</f>
        <v>Axkid ONE+ 2 Tile Melange</v>
      </c>
      <c r="C115" s="27">
        <v>10499</v>
      </c>
      <c r="D115" s="27">
        <v>6299</v>
      </c>
      <c r="E115" s="27">
        <v>849</v>
      </c>
    </row>
    <row r="116" spans="1:5">
      <c r="A116" s="20">
        <v>22140316</v>
      </c>
      <c r="B116" s="16" t="str">
        <f>VLOOKUP(Table2[[#This Row],[Item number]],'Axkid Template'!A:C,2,FALSE)</f>
        <v>Axkid Minikid 2 (2022/23) Tar</v>
      </c>
      <c r="C116" s="27">
        <v>4999</v>
      </c>
      <c r="D116" s="27" t="s">
        <v>170</v>
      </c>
      <c r="E116" s="27">
        <v>429</v>
      </c>
    </row>
    <row r="117" spans="1:5">
      <c r="A117" s="20">
        <v>22140317</v>
      </c>
      <c r="B117" s="16" t="str">
        <f>VLOOKUP(Table2[[#This Row],[Item number]],'Axkid Template'!A:C,2,FALSE)</f>
        <v>Axkid Minikid 2 (2022/23) Granite</v>
      </c>
      <c r="C117" s="27">
        <v>4999</v>
      </c>
      <c r="D117" s="27" t="s">
        <v>170</v>
      </c>
      <c r="E117" s="27">
        <v>429</v>
      </c>
    </row>
    <row r="118" spans="1:5">
      <c r="A118" s="20">
        <v>22140318</v>
      </c>
      <c r="B118" s="16" t="str">
        <f>VLOOKUP(Table2[[#This Row],[Item number]],'Axkid Template'!A:C,2,FALSE)</f>
        <v>Axkid Minikid 2 (2022/23) Shellfish</v>
      </c>
      <c r="C118" s="27">
        <v>4999</v>
      </c>
      <c r="D118" s="27" t="s">
        <v>170</v>
      </c>
      <c r="E118" s="27">
        <v>429</v>
      </c>
    </row>
    <row r="119" spans="1:5">
      <c r="A119" s="20">
        <v>22140319</v>
      </c>
      <c r="B119" s="16" t="str">
        <f>VLOOKUP(Table2[[#This Row],[Item number]],'Axkid Template'!A:C,2,FALSE)</f>
        <v>Axkid Minikid 2 (2022/23) Sea</v>
      </c>
      <c r="C119" s="27">
        <v>4999</v>
      </c>
      <c r="D119" s="27" t="s">
        <v>170</v>
      </c>
      <c r="E119" s="27">
        <v>429</v>
      </c>
    </row>
    <row r="120" spans="1:5">
      <c r="A120" s="20">
        <v>22140320</v>
      </c>
      <c r="B120" s="16" t="str">
        <f>VLOOKUP(Table2[[#This Row],[Item number]],'Axkid Template'!A:C,2,FALSE)</f>
        <v>Axkid Minikid 2 (2022/23) Moss</v>
      </c>
      <c r="C120" s="27">
        <v>4999</v>
      </c>
      <c r="D120" s="27" t="s">
        <v>170</v>
      </c>
      <c r="E120" s="27">
        <v>429</v>
      </c>
    </row>
    <row r="121" spans="1:5">
      <c r="A121" s="20">
        <v>22140321</v>
      </c>
      <c r="B121" s="16" t="str">
        <f>VLOOKUP(Table2[[#This Row],[Item number]],'Axkid Template'!A:C,2,FALSE)</f>
        <v>Axkid Minikid 2 (2022/23) Premium Shell Black</v>
      </c>
      <c r="C121" s="27">
        <v>5299</v>
      </c>
      <c r="D121" s="27" t="s">
        <v>170</v>
      </c>
      <c r="E121" s="27">
        <v>449</v>
      </c>
    </row>
    <row r="122" spans="1:5">
      <c r="A122" s="20">
        <v>22140322</v>
      </c>
      <c r="B122" s="16" t="str">
        <f>VLOOKUP(Table2[[#This Row],[Item number]],'Axkid Template'!A:C,2,FALSE)</f>
        <v>Axkid Minikid 2 (2022/23) Premium Granite Melange</v>
      </c>
      <c r="C122" s="27">
        <v>5299</v>
      </c>
      <c r="D122" s="27" t="s">
        <v>170</v>
      </c>
      <c r="E122" s="27">
        <v>449</v>
      </c>
    </row>
    <row r="123" spans="1:5">
      <c r="A123" s="20">
        <v>22120227</v>
      </c>
      <c r="B123" s="16" t="str">
        <f>VLOOKUP(Table2[[#This Row],[Item number]],'Axkid Template'!A:C,2,FALSE)</f>
        <v>Axkid Move (2022/23) Granite</v>
      </c>
      <c r="C123" s="27">
        <v>2999</v>
      </c>
      <c r="D123" s="27" t="s">
        <v>170</v>
      </c>
      <c r="E123" s="27">
        <v>299</v>
      </c>
    </row>
    <row r="124" spans="1:5">
      <c r="A124" s="20">
        <v>22120226</v>
      </c>
      <c r="B124" s="16" t="str">
        <f>VLOOKUP(Table2[[#This Row],[Item number]],'Axkid Template'!A:C,2,FALSE)</f>
        <v>Axkid Move (2022/23) Tar</v>
      </c>
      <c r="C124" s="27">
        <v>2999</v>
      </c>
      <c r="D124" s="27" t="s">
        <v>170</v>
      </c>
      <c r="E124" s="27">
        <v>299</v>
      </c>
    </row>
    <row r="125" spans="1:5">
      <c r="A125" s="20">
        <v>22150116</v>
      </c>
      <c r="B125" s="16" t="str">
        <f>VLOOKUP(Table2[[#This Row],[Item number]],'Axkid Template'!A:C,2,FALSE)</f>
        <v>Axkid Minikid 3 Tar</v>
      </c>
      <c r="C125" s="27">
        <v>6499</v>
      </c>
      <c r="D125" s="27" t="s">
        <v>170</v>
      </c>
      <c r="E125" s="27">
        <v>549</v>
      </c>
    </row>
    <row r="126" spans="1:5">
      <c r="A126" s="20">
        <v>22150117</v>
      </c>
      <c r="B126" s="16" t="str">
        <f>VLOOKUP(Table2[[#This Row],[Item number]],'Axkid Template'!A:C,2,FALSE)</f>
        <v>Axkid Minikid 3 Granite</v>
      </c>
      <c r="C126" s="27">
        <v>6499</v>
      </c>
      <c r="D126" s="27" t="s">
        <v>170</v>
      </c>
      <c r="E126" s="27">
        <v>549</v>
      </c>
    </row>
    <row r="127" spans="1:5">
      <c r="A127" s="20">
        <v>22150118</v>
      </c>
      <c r="B127" s="16" t="str">
        <f>VLOOKUP(Table2[[#This Row],[Item number]],'Axkid Template'!A:C,2,FALSE)</f>
        <v>Axkid Minikid 3 Shellfish</v>
      </c>
      <c r="C127" s="27">
        <v>6499</v>
      </c>
      <c r="D127" s="27" t="s">
        <v>170</v>
      </c>
      <c r="E127" s="27">
        <v>549</v>
      </c>
    </row>
    <row r="128" spans="1:5">
      <c r="A128" s="20">
        <v>22150119</v>
      </c>
      <c r="B128" s="16" t="str">
        <f>VLOOKUP(Table2[[#This Row],[Item number]],'Axkid Template'!A:C,2,FALSE)</f>
        <v>Axkid Minikid 3 Sea</v>
      </c>
      <c r="C128" s="27">
        <v>6499</v>
      </c>
      <c r="D128" s="27" t="s">
        <v>170</v>
      </c>
      <c r="E128" s="27">
        <v>549</v>
      </c>
    </row>
    <row r="129" spans="1:5">
      <c r="A129" s="20">
        <v>22150120</v>
      </c>
      <c r="B129" s="16" t="str">
        <f>VLOOKUP(Table2[[#This Row],[Item number]],'Axkid Template'!A:C,2,FALSE)</f>
        <v>Axkid Minikid 3 Moss</v>
      </c>
      <c r="C129" s="27">
        <v>6499</v>
      </c>
      <c r="D129" s="27" t="s">
        <v>170</v>
      </c>
      <c r="E129" s="27">
        <v>549</v>
      </c>
    </row>
    <row r="130" spans="1:5">
      <c r="A130" s="20">
        <v>22150121</v>
      </c>
      <c r="B130" s="16" t="str">
        <f>VLOOKUP(Table2[[#This Row],[Item number]],'Axkid Template'!A:C,2,FALSE)</f>
        <v>Axkid Minikid 3 Premium Shell Black</v>
      </c>
      <c r="C130" s="27">
        <v>6799</v>
      </c>
      <c r="D130" s="27" t="s">
        <v>170</v>
      </c>
      <c r="E130" s="27">
        <v>599</v>
      </c>
    </row>
    <row r="131" spans="1:5">
      <c r="A131" s="20">
        <v>22150122</v>
      </c>
      <c r="B131" s="16" t="str">
        <f>VLOOKUP(Table2[[#This Row],[Item number]],'Axkid Template'!A:C,2,FALSE)</f>
        <v>Axkid Minikid 3 Premium Granite Melange</v>
      </c>
      <c r="C131" s="27">
        <v>6799</v>
      </c>
      <c r="D131" s="27" t="s">
        <v>170</v>
      </c>
      <c r="E131" s="27">
        <v>599</v>
      </c>
    </row>
    <row r="132" spans="1:5">
      <c r="A132" s="20">
        <v>22150123</v>
      </c>
      <c r="B132" s="16" t="e">
        <f>VLOOKUP(Table2[[#This Row],[Item number]],'Axkid Template'!A:C,2,FALSE)</f>
        <v>#N/A</v>
      </c>
      <c r="C132" s="27">
        <v>6799</v>
      </c>
      <c r="E132" s="27">
        <v>599</v>
      </c>
    </row>
    <row r="133" spans="1:5">
      <c r="A133" s="36">
        <v>28100026</v>
      </c>
      <c r="B133" s="16" t="str">
        <f>VLOOKUP(Table2[[#This Row],[Item number]],'Axkid Template'!A:C,2,FALSE)</f>
        <v>Axkid Mate Tar</v>
      </c>
      <c r="C133" s="27">
        <v>499</v>
      </c>
      <c r="D133" s="27" t="s">
        <v>170</v>
      </c>
      <c r="E133" s="27">
        <v>40</v>
      </c>
    </row>
    <row r="134" spans="1:5">
      <c r="A134" s="36">
        <v>28100027</v>
      </c>
      <c r="B134" s="16" t="str">
        <f>VLOOKUP(Table2[[#This Row],[Item number]],'Axkid Template'!A:C,2,FALSE)</f>
        <v>Axkid Mate Granite</v>
      </c>
      <c r="C134" s="27">
        <v>499</v>
      </c>
      <c r="D134" s="27" t="s">
        <v>170</v>
      </c>
      <c r="E134" s="27">
        <v>40</v>
      </c>
    </row>
    <row r="135" spans="1:5">
      <c r="A135" s="36">
        <v>806201</v>
      </c>
      <c r="B135" s="16" t="str">
        <f>VLOOKUP(Table2[[#This Row],[Item number]],'Axkid Template'!A:C,2,FALSE)</f>
        <v>Axkid Cooling Pads by AeroMoov group 2/3</v>
      </c>
      <c r="C135" s="27">
        <v>499</v>
      </c>
      <c r="D135" s="27">
        <v>299</v>
      </c>
      <c r="E135" s="27">
        <v>40</v>
      </c>
    </row>
    <row r="136" spans="1:5">
      <c r="A136" s="20">
        <v>805007</v>
      </c>
      <c r="B136" s="16" t="str">
        <f>VLOOKUP(Table2[[#This Row],[Item number]],'Axkid Template'!A:C,2,FALSE)</f>
        <v>Axkid Bamboo Summer cover ONE</v>
      </c>
      <c r="C136" s="27">
        <v>599</v>
      </c>
      <c r="D136" s="27">
        <v>349</v>
      </c>
      <c r="E136" s="27">
        <v>50</v>
      </c>
    </row>
    <row r="137" spans="1:5">
      <c r="A137" s="20">
        <v>805008</v>
      </c>
      <c r="B137" s="16" t="str">
        <f>VLOOKUP(Table2[[#This Row],[Item number]],'Axkid Template'!A:C,2,FALSE)</f>
        <v>Axkid Bamboo Summer cover Bigkid</v>
      </c>
      <c r="C137" s="27">
        <v>599</v>
      </c>
      <c r="D137" s="27">
        <v>349</v>
      </c>
      <c r="E137" s="27">
        <v>50</v>
      </c>
    </row>
    <row r="138" spans="1:5">
      <c r="A138" s="20">
        <v>805016</v>
      </c>
      <c r="B138" s="16" t="str">
        <f>VLOOKUP(Table2[[#This Row],[Item number]],'Axkid Template'!A:C,2,FALSE)</f>
        <v xml:space="preserve">Axkid x Geggamoja Car Seat Cover Minikid 2/Move </v>
      </c>
      <c r="C138" s="27">
        <v>699</v>
      </c>
      <c r="D138" s="27" t="s">
        <v>170</v>
      </c>
      <c r="E138" s="27">
        <v>69</v>
      </c>
    </row>
    <row r="139" spans="1:5">
      <c r="A139" s="20">
        <v>805026</v>
      </c>
      <c r="B139" s="16" t="str">
        <f>VLOOKUP(Table2[[#This Row],[Item number]],'Axkid Template'!A:C,2,FALSE)</f>
        <v xml:space="preserve">Axkid x Geggamoja Car Seat Cover Minikid 2/Move </v>
      </c>
      <c r="C139" s="27">
        <v>699</v>
      </c>
      <c r="D139" s="27" t="s">
        <v>170</v>
      </c>
      <c r="E139" s="27">
        <v>69</v>
      </c>
    </row>
    <row r="140" spans="1:5">
      <c r="A140" s="20">
        <v>805019</v>
      </c>
      <c r="B140" s="16" t="str">
        <f>VLOOKUP(Table2[[#This Row],[Item number]],'Axkid Template'!A:C,2,FALSE)</f>
        <v xml:space="preserve">Axkid x Geggamoja Car Seat Cover Minikid 3 </v>
      </c>
      <c r="C140" s="27">
        <v>699</v>
      </c>
      <c r="D140" s="27" t="s">
        <v>170</v>
      </c>
      <c r="E140" s="27">
        <v>69</v>
      </c>
    </row>
    <row r="141" spans="1:5">
      <c r="A141" s="20">
        <v>805029</v>
      </c>
      <c r="B141" s="16" t="str">
        <f>VLOOKUP(Table2[[#This Row],[Item number]],'Axkid Template'!A:C,2,FALSE)</f>
        <v xml:space="preserve">Axkid x Geggamoja Car Seat Cover Minikid 3 </v>
      </c>
      <c r="C141" s="27">
        <v>699</v>
      </c>
      <c r="D141" s="27" t="s">
        <v>170</v>
      </c>
      <c r="E141" s="27">
        <v>69</v>
      </c>
    </row>
    <row r="142" spans="1:5">
      <c r="A142" s="20">
        <v>805017</v>
      </c>
      <c r="B142" s="16" t="str">
        <f>VLOOKUP(Table2[[#This Row],[Item number]],'Axkid Template'!A:C,2,FALSE)</f>
        <v>Axkid x Geggamoja Car Seat Cover ONE</v>
      </c>
      <c r="C142" s="27">
        <v>699</v>
      </c>
      <c r="D142" s="27" t="s">
        <v>170</v>
      </c>
      <c r="E142" s="27">
        <v>69</v>
      </c>
    </row>
    <row r="143" spans="1:5">
      <c r="A143" s="20">
        <v>805027</v>
      </c>
      <c r="B143" s="16" t="str">
        <f>VLOOKUP(Table2[[#This Row],[Item number]],'Axkid Template'!A:C,2,FALSE)</f>
        <v>Axkid x Geggamoja Car Seat Cover ONE</v>
      </c>
      <c r="C143" s="27">
        <v>699</v>
      </c>
      <c r="D143" s="27" t="s">
        <v>170</v>
      </c>
      <c r="E143" s="27">
        <v>69</v>
      </c>
    </row>
    <row r="144" spans="1:5">
      <c r="A144" s="20">
        <v>803916</v>
      </c>
      <c r="B144" s="16" t="str">
        <f>VLOOKUP(Table2[[#This Row],[Item number]],'Axkid Template'!A:C,2,FALSE)</f>
        <v>Axkid x Geggamoja Sunshades for Window</v>
      </c>
      <c r="C144" s="27">
        <v>199</v>
      </c>
      <c r="D144" s="27" t="s">
        <v>170</v>
      </c>
      <c r="E144" s="27">
        <v>69</v>
      </c>
    </row>
    <row r="145" spans="1:5">
      <c r="A145" s="20">
        <v>803926</v>
      </c>
      <c r="B145" s="16" t="str">
        <f>VLOOKUP(Table2[[#This Row],[Item number]],'Axkid Template'!A:C,2,FALSE)</f>
        <v>Axkid x Geggamoja Sunshades for Window</v>
      </c>
      <c r="C145" s="27">
        <v>199</v>
      </c>
      <c r="D145" s="27" t="s">
        <v>170</v>
      </c>
      <c r="E145" s="27">
        <v>69</v>
      </c>
    </row>
    <row r="146" spans="1:5">
      <c r="A146" s="20">
        <v>20060016</v>
      </c>
      <c r="B146" s="16" t="str">
        <f>VLOOKUP(Table2[[#This Row],[Item number]],'Axkid Template'!A:C,2,FALSE)</f>
        <v>Axkid Envirobaby Tar</v>
      </c>
      <c r="C146" s="27">
        <v>2999</v>
      </c>
      <c r="D146" s="27" t="s">
        <v>170</v>
      </c>
      <c r="E146" s="27">
        <v>299.89999999999998</v>
      </c>
    </row>
    <row r="147" spans="1:5">
      <c r="A147" s="20">
        <v>20060017</v>
      </c>
      <c r="B147" s="16" t="str">
        <f>VLOOKUP(Table2[[#This Row],[Item number]],'Axkid Template'!A:C,2,FALSE)</f>
        <v>Axkid Envirobaby Granite</v>
      </c>
      <c r="C147" s="27">
        <v>2999</v>
      </c>
      <c r="D147" s="27" t="s">
        <v>170</v>
      </c>
      <c r="E147" s="27">
        <v>299.89999999999998</v>
      </c>
    </row>
    <row r="148" spans="1:5">
      <c r="A148" s="20">
        <v>20060026</v>
      </c>
      <c r="B148" s="16" t="e">
        <f>VLOOKUP(Table2[[#This Row],[Item number]],'Axkid Template'!A:C,2,FALSE)</f>
        <v>#N/A</v>
      </c>
      <c r="C148" s="27" t="s">
        <v>170</v>
      </c>
      <c r="D148" s="27" t="s">
        <v>170</v>
      </c>
      <c r="E148" s="27" t="s">
        <v>170</v>
      </c>
    </row>
    <row r="149" spans="1:5">
      <c r="A149" s="20">
        <v>21020103</v>
      </c>
      <c r="B149" s="16" t="e">
        <f>VLOOKUP(Table2[[#This Row],[Item number]],'Axkid Template'!A:C,2,FALSE)</f>
        <v>#N/A</v>
      </c>
      <c r="C149" s="27" t="s">
        <v>170</v>
      </c>
      <c r="D149" s="27" t="s">
        <v>170</v>
      </c>
      <c r="E149" s="27" t="s">
        <v>170</v>
      </c>
    </row>
    <row r="150" spans="1:5">
      <c r="A150" s="20">
        <v>24100316</v>
      </c>
      <c r="B150" s="16" t="str">
        <f>VLOOKUP(Table2[[#This Row],[Item number]],'Axkid Template'!A:C,2,FALSE)</f>
        <v>Axkid Envirokid Tar</v>
      </c>
      <c r="C150" s="27">
        <v>3999</v>
      </c>
      <c r="D150" s="27" t="s">
        <v>170</v>
      </c>
      <c r="E150" s="27">
        <v>399.9</v>
      </c>
    </row>
    <row r="151" spans="1:5">
      <c r="A151" s="20">
        <v>24100317</v>
      </c>
      <c r="B151" s="16" t="str">
        <f>VLOOKUP(Table2[[#This Row],[Item number]],'Axkid Template'!A:C,2,FALSE)</f>
        <v>Axkid Envirokid Granite</v>
      </c>
      <c r="C151" s="27">
        <v>3999</v>
      </c>
      <c r="D151" s="27" t="s">
        <v>170</v>
      </c>
      <c r="E151" s="27">
        <v>399.9</v>
      </c>
    </row>
    <row r="152" spans="1:5">
      <c r="A152" s="20">
        <v>24100326</v>
      </c>
      <c r="B152" s="16" t="e">
        <f>VLOOKUP(Table2[[#This Row],[Item number]],'Axkid Template'!A:C,2,FALSE)</f>
        <v>#N/A</v>
      </c>
      <c r="C152" s="27" t="s">
        <v>170</v>
      </c>
      <c r="D152" s="27" t="s">
        <v>170</v>
      </c>
      <c r="E152" s="27" t="s">
        <v>170</v>
      </c>
    </row>
    <row r="153" spans="1:5">
      <c r="A153" s="20">
        <v>24110116</v>
      </c>
      <c r="B153" s="16" t="str">
        <f>VLOOKUP(Table2[[#This Row],[Item number]],'Axkid Template'!A:C,2,FALSE)</f>
        <v>Axkid Spinkid Solid Tar</v>
      </c>
      <c r="C153" s="27">
        <v>4999</v>
      </c>
      <c r="D153" s="27" t="s">
        <v>170</v>
      </c>
      <c r="E153" s="27">
        <v>499.9</v>
      </c>
    </row>
    <row r="154" spans="1:5">
      <c r="A154" s="20">
        <v>24110121</v>
      </c>
      <c r="B154" s="16" t="str">
        <f>VLOOKUP(Table2[[#This Row],[Item number]],'Axkid Template'!A:C,2,FALSE)</f>
        <v>Axkid Spinkid Granite Melange</v>
      </c>
      <c r="C154" s="27">
        <v>4999</v>
      </c>
      <c r="D154" s="27" t="s">
        <v>170</v>
      </c>
      <c r="E154" s="27">
        <v>499.9</v>
      </c>
    </row>
    <row r="155" spans="1:5">
      <c r="A155" s="20">
        <v>24110124</v>
      </c>
      <c r="B155" s="16" t="str">
        <f>VLOOKUP(Table2[[#This Row],[Item number]],'Axkid Template'!A:C,2,FALSE)</f>
        <v>Axkid Spinkid Brick Melange</v>
      </c>
      <c r="C155" s="27">
        <v>4999</v>
      </c>
      <c r="D155" s="27" t="s">
        <v>170</v>
      </c>
      <c r="E155" s="27">
        <v>499.9</v>
      </c>
    </row>
    <row r="156" spans="1:5">
      <c r="A156" s="20">
        <v>24110125</v>
      </c>
      <c r="B156" s="16" t="str">
        <f>VLOOKUP(Table2[[#This Row],[Item number]],'Axkid Template'!A:C,2,FALSE)</f>
        <v>Axkid Spinkid Tile Melange</v>
      </c>
      <c r="C156" s="27">
        <v>4999</v>
      </c>
      <c r="D156" s="27" t="s">
        <v>170</v>
      </c>
      <c r="E156" s="27">
        <v>499.9</v>
      </c>
    </row>
    <row r="157" spans="1:5">
      <c r="A157" s="20">
        <v>27060123</v>
      </c>
      <c r="B157" s="16" t="str">
        <f>VLOOKUP(Table2[[#This Row],[Item number]],'Axkid Template'!A:C,2,FALSE)</f>
        <v>Axkid Nextkid Shell Black</v>
      </c>
      <c r="C157" s="27">
        <v>2499</v>
      </c>
      <c r="D157" s="27" t="s">
        <v>170</v>
      </c>
      <c r="E157" s="27">
        <v>249.9</v>
      </c>
    </row>
    <row r="158" spans="1:5">
      <c r="A158" s="20">
        <v>27060121</v>
      </c>
      <c r="B158" s="16" t="str">
        <f>VLOOKUP(Table2[[#This Row],[Item number]],'Axkid Template'!A:C,2,FALSE)</f>
        <v>Axkid Nextkid Granite Melange</v>
      </c>
      <c r="C158" s="27">
        <v>2499</v>
      </c>
      <c r="D158" s="27" t="s">
        <v>170</v>
      </c>
      <c r="E158" s="27">
        <v>249.9</v>
      </c>
    </row>
    <row r="159" spans="1:5">
      <c r="A159" s="20">
        <v>27060190</v>
      </c>
      <c r="B159" s="16" t="str">
        <f>VLOOKUP(Table2[[#This Row],[Item number]],'Axkid Template'!A:C,2,FALSE)</f>
        <v>Axkid Nextkid Cloud Grey</v>
      </c>
      <c r="C159" s="27">
        <v>2499</v>
      </c>
      <c r="D159" s="27" t="s">
        <v>170</v>
      </c>
      <c r="E159" s="27">
        <v>249.9</v>
      </c>
    </row>
    <row r="160" spans="1:5">
      <c r="A160" s="20">
        <v>801803</v>
      </c>
      <c r="B160" s="16" t="str">
        <f>VLOOKUP(Table2[[#This Row],[Item number]],'Axkid Template'!A:C,2,FALSE)</f>
        <v>Axkid Baby Cushion Premium</v>
      </c>
      <c r="C160" s="27">
        <v>249</v>
      </c>
      <c r="D160" s="27" t="s">
        <v>170</v>
      </c>
      <c r="E160" s="27">
        <v>24.9</v>
      </c>
    </row>
    <row r="161" spans="1:5">
      <c r="A161" s="20">
        <v>806601</v>
      </c>
      <c r="B161" s="16" t="str">
        <f>VLOOKUP(Table2[[#This Row],[Item number]],'Axkid Template'!A:C,2,FALSE)</f>
        <v>Axkid Lower tether anchorages 120mm</v>
      </c>
      <c r="C161" s="27">
        <v>229</v>
      </c>
      <c r="D161" s="27" t="s">
        <v>170</v>
      </c>
      <c r="E161" s="27">
        <v>22.9</v>
      </c>
    </row>
    <row r="162" spans="1:5">
      <c r="A162" s="20">
        <v>806602</v>
      </c>
      <c r="B162" s="16" t="str">
        <f>VLOOKUP(Table2[[#This Row],[Item number]],'Axkid Template'!A:C,2,FALSE)</f>
        <v>Axkid Lower tether anchorages 160mm</v>
      </c>
      <c r="C162" s="27">
        <v>249</v>
      </c>
      <c r="D162" s="27" t="s">
        <v>170</v>
      </c>
      <c r="E162" s="27">
        <v>24.9</v>
      </c>
    </row>
    <row r="163" spans="1:5">
      <c r="A163" s="20">
        <v>31000016</v>
      </c>
      <c r="B163" s="16" t="str">
        <f>VLOOKUP(Table2[[#This Row],[Item number]],'Axkid Template'!A:C,2,FALSE)</f>
        <v>Axkid Grand Tour Black</v>
      </c>
      <c r="C163" s="27" t="s">
        <v>170</v>
      </c>
      <c r="D163" s="27" t="s">
        <v>170</v>
      </c>
      <c r="E163" s="27" t="s">
        <v>170</v>
      </c>
    </row>
    <row r="164" spans="1:5">
      <c r="A164" s="20">
        <v>32000016</v>
      </c>
      <c r="B164" s="16" t="str">
        <f>VLOOKUP(Table2[[#This Row],[Item number]],'Axkid Template'!A:C,2,FALSE)</f>
        <v>Axkid Tour Tar</v>
      </c>
      <c r="C164" s="27" t="s">
        <v>170</v>
      </c>
      <c r="D164" s="27" t="s">
        <v>170</v>
      </c>
      <c r="E164" s="27" t="s">
        <v>170</v>
      </c>
    </row>
    <row r="165" spans="1:5">
      <c r="A165" s="20">
        <v>32000019</v>
      </c>
      <c r="B165" s="16" t="str">
        <f>VLOOKUP(Table2[[#This Row],[Item number]],'Axkid Template'!A:C,2,FALSE)</f>
        <v>Axkid Tour Sea</v>
      </c>
      <c r="C165" s="27" t="s">
        <v>170</v>
      </c>
      <c r="D165" s="27" t="s">
        <v>170</v>
      </c>
      <c r="E165" s="27" t="s">
        <v>170</v>
      </c>
    </row>
    <row r="166" spans="1:5">
      <c r="A166" s="20">
        <v>22150216</v>
      </c>
      <c r="B166" s="16" t="str">
        <f>VLOOKUP(Table2[[#This Row],[Item number]],'Axkid Template'!A:C,2,FALSE)</f>
        <v>Axkid Minikid 4 Tar</v>
      </c>
      <c r="C166" s="27">
        <v>6499</v>
      </c>
      <c r="D166" s="27" t="s">
        <v>170</v>
      </c>
      <c r="E166" s="27">
        <v>649.9</v>
      </c>
    </row>
    <row r="167" spans="1:5">
      <c r="A167" s="20">
        <v>22150221</v>
      </c>
      <c r="B167" s="16" t="str">
        <f>VLOOKUP(Table2[[#This Row],[Item number]],'Axkid Template'!A:C,2,FALSE)</f>
        <v>Axkid Minikid 4 Granite Melange</v>
      </c>
      <c r="C167" s="27">
        <v>6499</v>
      </c>
      <c r="D167" s="27" t="s">
        <v>170</v>
      </c>
      <c r="E167" s="27">
        <v>649.9</v>
      </c>
    </row>
    <row r="168" spans="1:5">
      <c r="A168" s="20">
        <v>22150224</v>
      </c>
      <c r="B168" s="16" t="str">
        <f>VLOOKUP(Table2[[#This Row],[Item number]],'Axkid Template'!A:C,2,FALSE)</f>
        <v>Axkid Minikid 4 Brick Melange</v>
      </c>
      <c r="C168" s="27">
        <v>6499</v>
      </c>
      <c r="D168" s="27" t="s">
        <v>170</v>
      </c>
      <c r="E168" s="27">
        <v>649.9</v>
      </c>
    </row>
    <row r="169" spans="1:5">
      <c r="A169" s="20">
        <v>22150225</v>
      </c>
      <c r="B169" s="16" t="str">
        <f>VLOOKUP(Table2[[#This Row],[Item number]],'Axkid Template'!A:C,2,FALSE)</f>
        <v>Axkid Minikid 4 Tile Melange</v>
      </c>
      <c r="C169" s="27">
        <v>6499</v>
      </c>
      <c r="E169" s="27">
        <v>649.9</v>
      </c>
    </row>
    <row r="170" spans="1:5">
      <c r="A170" s="20">
        <v>20060028</v>
      </c>
      <c r="B170" s="16" t="str">
        <f>VLOOKUP(Table2[[#This Row],[Item number]],'Axkid Template'!A:C,2,FALSE)</f>
        <v>Axkid Envirobaby Forest</v>
      </c>
      <c r="C170" s="27">
        <v>2999</v>
      </c>
      <c r="E170" s="27">
        <v>299.89999999999998</v>
      </c>
    </row>
    <row r="171" spans="1:5">
      <c r="A171" s="20">
        <v>21030003</v>
      </c>
      <c r="B171" s="16" t="str">
        <f>VLOOKUP(Table2[[#This Row],[Item number]],'Axkid Template'!A:C,2,FALSE)</f>
        <v>Axkid Envirobase</v>
      </c>
      <c r="C171" s="27">
        <v>1999</v>
      </c>
      <c r="E171" s="27">
        <v>199.9</v>
      </c>
    </row>
    <row r="172" spans="1:5">
      <c r="A172" s="20">
        <v>24100328</v>
      </c>
      <c r="B172" s="16" t="str">
        <f>VLOOKUP(Table2[[#This Row],[Item number]],'Axkid Template'!A:C,2,FALSE)</f>
        <v>Axkid Envirokid Forest</v>
      </c>
      <c r="C172" s="27">
        <v>3999</v>
      </c>
      <c r="E172" s="27">
        <v>399.9</v>
      </c>
    </row>
    <row r="173" spans="1:5">
      <c r="A173" s="20">
        <v>801215</v>
      </c>
      <c r="B173" s="16" t="str">
        <f>VLOOKUP(Table2[[#This Row],[Item number]],'Axkid Template'!A:C,2,FALSE)</f>
        <v>Axkid Cup Holder Nextkid</v>
      </c>
      <c r="C173" s="27">
        <v>249</v>
      </c>
      <c r="E173" s="27">
        <v>24.9</v>
      </c>
    </row>
    <row r="174" spans="1:5">
      <c r="A174" s="20">
        <v>22170016</v>
      </c>
      <c r="B174" s="16" t="str">
        <f>VLOOKUP(Table2[[#This Row],[Item number]],'Axkid Template'!A:C,2,FALSE)</f>
        <v>Axkid Movekid Tar</v>
      </c>
      <c r="C174" s="27">
        <v>4499</v>
      </c>
      <c r="E174" s="27">
        <v>449.9</v>
      </c>
    </row>
    <row r="175" spans="1:5">
      <c r="A175" s="20">
        <v>22170017</v>
      </c>
      <c r="B175" s="16" t="str">
        <f>VLOOKUP(Table2[[#This Row],[Item number]],'Axkid Template'!A:C,2,FALSE)</f>
        <v>Axkid Movekid Granite</v>
      </c>
      <c r="C175" s="27">
        <v>4499</v>
      </c>
      <c r="E175" s="27">
        <v>449.9</v>
      </c>
    </row>
    <row r="176" spans="1:5">
      <c r="A176" s="40"/>
      <c r="B176" s="41"/>
      <c r="C176" s="42"/>
      <c r="D176" s="42"/>
      <c r="E176" s="42"/>
    </row>
    <row r="177" spans="1:5">
      <c r="A177" s="40"/>
      <c r="B177" s="41"/>
      <c r="C177" s="42"/>
      <c r="D177" s="42"/>
      <c r="E177" s="42"/>
    </row>
    <row r="178" spans="1:5">
      <c r="A178" s="40"/>
      <c r="B178" s="41"/>
      <c r="C178" s="42"/>
      <c r="D178" s="42"/>
      <c r="E178" s="42"/>
    </row>
    <row r="179" spans="1:5">
      <c r="A179" s="40"/>
      <c r="B179" s="41"/>
      <c r="C179" s="42"/>
      <c r="D179" s="42"/>
      <c r="E179" s="42"/>
    </row>
    <row r="180" spans="1:5">
      <c r="A180" s="40"/>
      <c r="B180" s="41"/>
      <c r="C180" s="42"/>
      <c r="D180" s="42"/>
      <c r="E180" s="42"/>
    </row>
    <row r="181" spans="1:5">
      <c r="A181" s="40"/>
      <c r="B181" s="41"/>
      <c r="C181" s="42"/>
      <c r="D181" s="42"/>
      <c r="E181" s="42"/>
    </row>
    <row r="182" spans="1:5">
      <c r="A182" s="40"/>
      <c r="B182" s="41"/>
      <c r="C182" s="42"/>
      <c r="D182" s="42"/>
      <c r="E182" s="42"/>
    </row>
    <row r="183" spans="1:5">
      <c r="A183" s="40"/>
      <c r="B183" s="41"/>
      <c r="C183" s="42"/>
      <c r="D183" s="42"/>
      <c r="E183" s="42"/>
    </row>
    <row r="184" spans="1:5">
      <c r="A184" s="40"/>
      <c r="B184" s="41"/>
      <c r="C184" s="42"/>
      <c r="D184" s="42"/>
      <c r="E184" s="42"/>
    </row>
    <row r="185" spans="1:5">
      <c r="A185" s="40"/>
      <c r="B185" s="41"/>
      <c r="C185" s="42"/>
      <c r="D185" s="42"/>
      <c r="E185" s="42"/>
    </row>
    <row r="186" spans="1:5">
      <c r="A186" s="40"/>
      <c r="B186" s="41"/>
      <c r="C186" s="42"/>
      <c r="D186" s="42"/>
      <c r="E186" s="42"/>
    </row>
    <row r="187" spans="1:5">
      <c r="A187" s="40"/>
      <c r="B187" s="41"/>
      <c r="C187" s="42"/>
      <c r="D187" s="42"/>
      <c r="E187" s="42"/>
    </row>
    <row r="188" spans="1:5">
      <c r="A188" s="40"/>
      <c r="B188" s="41"/>
      <c r="C188" s="42"/>
      <c r="D188" s="42"/>
      <c r="E188" s="42"/>
    </row>
    <row r="189" spans="1:5">
      <c r="A189" s="40"/>
      <c r="B189" s="41"/>
      <c r="C189" s="42"/>
      <c r="D189" s="42"/>
      <c r="E189" s="42"/>
    </row>
    <row r="190" spans="1:5">
      <c r="A190" s="40"/>
      <c r="B190" s="41"/>
      <c r="C190" s="42"/>
      <c r="D190" s="42"/>
      <c r="E190" s="42"/>
    </row>
    <row r="191" spans="1:5">
      <c r="A191" s="40"/>
      <c r="B191" s="41"/>
      <c r="C191" s="42"/>
      <c r="D191" s="42"/>
      <c r="E191" s="42"/>
    </row>
    <row r="192" spans="1:5">
      <c r="A192" s="40"/>
      <c r="B192" s="41"/>
      <c r="C192" s="42"/>
      <c r="D192" s="42"/>
      <c r="E192" s="42"/>
    </row>
    <row r="193" spans="1:5">
      <c r="A193" s="40"/>
      <c r="B193" s="41"/>
      <c r="C193" s="42"/>
      <c r="D193" s="42"/>
      <c r="E193" s="42"/>
    </row>
    <row r="194" spans="1:5">
      <c r="A194" s="40"/>
      <c r="B194" s="41"/>
      <c r="C194" s="42"/>
      <c r="D194" s="42"/>
      <c r="E194" s="42"/>
    </row>
    <row r="195" spans="1:5">
      <c r="A195" s="40"/>
      <c r="B195" s="41"/>
      <c r="C195" s="42"/>
      <c r="D195" s="42"/>
      <c r="E195" s="42"/>
    </row>
    <row r="196" spans="1:5">
      <c r="A196" s="40"/>
      <c r="B196" s="41"/>
      <c r="C196" s="42"/>
      <c r="D196" s="42"/>
      <c r="E196" s="42"/>
    </row>
    <row r="197" spans="1:5">
      <c r="A197" s="40"/>
      <c r="B197" s="41"/>
      <c r="C197" s="42"/>
      <c r="D197" s="42"/>
      <c r="E197" s="42"/>
    </row>
    <row r="198" spans="1:5">
      <c r="A198" s="40"/>
      <c r="B198" s="41"/>
      <c r="C198" s="42"/>
      <c r="D198" s="42"/>
      <c r="E198" s="42"/>
    </row>
    <row r="199" spans="1:5">
      <c r="A199" s="40"/>
      <c r="B199" s="41"/>
      <c r="C199" s="42"/>
      <c r="D199" s="42"/>
      <c r="E199" s="42"/>
    </row>
    <row r="200" spans="1:5">
      <c r="A200" s="40"/>
      <c r="B200" s="41"/>
      <c r="C200" s="42"/>
      <c r="D200" s="42"/>
      <c r="E200" s="42"/>
    </row>
    <row r="201" spans="1:5">
      <c r="A201" s="40"/>
      <c r="B201" s="41"/>
      <c r="C201" s="42"/>
      <c r="D201" s="42"/>
      <c r="E201" s="42"/>
    </row>
    <row r="202" spans="1:5">
      <c r="A202" s="40"/>
      <c r="B202" s="41"/>
      <c r="C202" s="42"/>
      <c r="D202" s="42"/>
      <c r="E202" s="42"/>
    </row>
    <row r="203" spans="1:5">
      <c r="A203" s="40"/>
      <c r="B203" s="41"/>
      <c r="C203" s="42"/>
      <c r="D203" s="42"/>
      <c r="E203" s="42"/>
    </row>
    <row r="204" spans="1:5">
      <c r="A204" s="40"/>
      <c r="B204" s="41"/>
      <c r="C204" s="42"/>
      <c r="D204" s="42"/>
      <c r="E204" s="42"/>
    </row>
    <row r="205" spans="1:5">
      <c r="A205" s="40"/>
      <c r="B205" s="41"/>
      <c r="C205" s="42"/>
      <c r="D205" s="42"/>
      <c r="E205" s="42"/>
    </row>
    <row r="206" spans="1:5">
      <c r="A206" s="40"/>
      <c r="B206" s="41"/>
      <c r="C206" s="42"/>
      <c r="D206" s="42"/>
      <c r="E206" s="42"/>
    </row>
    <row r="207" spans="1:5">
      <c r="A207" s="40"/>
      <c r="B207" s="41"/>
      <c r="C207" s="42"/>
      <c r="D207" s="42"/>
      <c r="E207" s="42"/>
    </row>
    <row r="208" spans="1:5">
      <c r="A208" s="40"/>
      <c r="B208" s="41"/>
      <c r="C208" s="42"/>
      <c r="D208" s="42"/>
      <c r="E208" s="42"/>
    </row>
    <row r="209" spans="1:5">
      <c r="A209" s="40"/>
      <c r="B209" s="41"/>
      <c r="C209" s="42"/>
      <c r="D209" s="42"/>
      <c r="E209" s="42"/>
    </row>
    <row r="210" spans="1:5">
      <c r="A210" s="40"/>
      <c r="B210" s="41"/>
      <c r="C210" s="42"/>
      <c r="D210" s="42"/>
      <c r="E210" s="42"/>
    </row>
    <row r="211" spans="1:5">
      <c r="A211" s="40"/>
      <c r="B211" s="41"/>
      <c r="C211" s="42"/>
      <c r="D211" s="42"/>
      <c r="E211" s="42"/>
    </row>
    <row r="212" spans="1:5">
      <c r="A212" s="40"/>
      <c r="B212" s="41"/>
      <c r="C212" s="42"/>
      <c r="D212" s="42"/>
      <c r="E212" s="42"/>
    </row>
    <row r="213" spans="1:5">
      <c r="A213" s="40"/>
      <c r="B213" s="41"/>
      <c r="C213" s="42"/>
      <c r="D213" s="42"/>
      <c r="E213" s="42"/>
    </row>
    <row r="214" spans="1:5">
      <c r="A214" s="40"/>
      <c r="B214" s="41"/>
      <c r="C214" s="42"/>
      <c r="D214" s="42"/>
      <c r="E214" s="42"/>
    </row>
    <row r="215" spans="1:5">
      <c r="A215" s="40"/>
      <c r="B215" s="41"/>
      <c r="C215" s="42"/>
      <c r="D215" s="42"/>
      <c r="E215" s="4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AE8DE-B8DA-4A91-8E42-61520ABF46C7}">
  <dimension ref="A1:Z95"/>
  <sheetViews>
    <sheetView zoomScale="80" zoomScaleNormal="80" workbookViewId="0">
      <pane xSplit="1" topLeftCell="F1" activePane="topRight" state="frozen"/>
      <selection pane="topRight" activeCell="N41" sqref="N41"/>
    </sheetView>
  </sheetViews>
  <sheetFormatPr defaultColWidth="9.140625" defaultRowHeight="14.1"/>
  <cols>
    <col min="1" max="1" width="48.28515625" style="1" customWidth="1"/>
    <col min="2" max="2" width="18.140625" style="1" bestFit="1" customWidth="1"/>
    <col min="3" max="3" width="10.140625" style="1" bestFit="1" customWidth="1"/>
    <col min="4" max="4" width="18.42578125" style="1" bestFit="1" customWidth="1"/>
    <col min="5" max="5" width="35.28515625" style="1" bestFit="1" customWidth="1"/>
    <col min="6" max="6" width="36.42578125" style="1" bestFit="1" customWidth="1"/>
    <col min="7" max="7" width="25.42578125" style="1" bestFit="1" customWidth="1"/>
    <col min="8" max="8" width="7.7109375" style="1" bestFit="1" customWidth="1"/>
    <col min="9" max="9" width="17.7109375" style="1" bestFit="1" customWidth="1"/>
    <col min="10" max="10" width="12.7109375" style="1" bestFit="1" customWidth="1"/>
    <col min="11" max="11" width="14.7109375" style="1" bestFit="1" customWidth="1"/>
    <col min="12" max="12" width="20" style="1" bestFit="1" customWidth="1"/>
    <col min="13" max="13" width="23.7109375" style="1" bestFit="1" customWidth="1"/>
    <col min="14" max="14" width="27.42578125" style="1" customWidth="1"/>
    <col min="15" max="15" width="18.7109375" style="8" bestFit="1" customWidth="1"/>
    <col min="16" max="16" width="19.7109375" style="3" bestFit="1" customWidth="1"/>
    <col min="17" max="18" width="12.7109375" style="1" bestFit="1" customWidth="1"/>
    <col min="19" max="19" width="11.140625" style="1" bestFit="1" customWidth="1"/>
    <col min="20" max="21" width="12.7109375" style="1" bestFit="1" customWidth="1"/>
    <col min="22" max="22" width="11.140625" style="1" customWidth="1"/>
    <col min="23" max="23" width="12.42578125" style="1" bestFit="1" customWidth="1"/>
    <col min="24" max="24" width="11.42578125" style="1" bestFit="1" customWidth="1"/>
    <col min="25" max="25" width="14" style="1" bestFit="1" customWidth="1"/>
    <col min="26" max="26" width="113.7109375" style="12" bestFit="1" customWidth="1"/>
    <col min="27" max="16384" width="9.140625" style="1"/>
  </cols>
  <sheetData>
    <row r="1" spans="1:26" ht="23.1">
      <c r="A1" s="73" t="s">
        <v>258</v>
      </c>
      <c r="B1" s="73"/>
      <c r="C1" s="73"/>
      <c r="D1" s="4"/>
      <c r="E1" s="4"/>
      <c r="F1" s="4"/>
      <c r="G1" s="4"/>
      <c r="H1" s="4"/>
      <c r="I1" s="4"/>
      <c r="J1" s="17" t="s">
        <v>257</v>
      </c>
      <c r="K1" s="4"/>
      <c r="L1" s="4"/>
      <c r="M1" s="4"/>
      <c r="N1" s="4"/>
      <c r="O1" s="6"/>
      <c r="P1" s="5"/>
      <c r="Q1" s="74" t="s">
        <v>259</v>
      </c>
      <c r="R1" s="74"/>
      <c r="S1" s="74"/>
      <c r="T1" s="75" t="s">
        <v>260</v>
      </c>
      <c r="U1" s="75"/>
      <c r="V1" s="75"/>
      <c r="W1" s="4"/>
      <c r="X1" s="4"/>
      <c r="Y1" s="4"/>
      <c r="Z1" s="14"/>
    </row>
    <row r="2" spans="1:26" s="2" customFormat="1" ht="15" thickBot="1">
      <c r="A2" s="9" t="s">
        <v>261</v>
      </c>
      <c r="B2" s="9" t="s">
        <v>262</v>
      </c>
      <c r="C2" s="9" t="s">
        <v>263</v>
      </c>
      <c r="D2" s="9" t="s">
        <v>264</v>
      </c>
      <c r="E2" s="9" t="s">
        <v>265</v>
      </c>
      <c r="F2" s="9" t="s">
        <v>266</v>
      </c>
      <c r="G2" s="9" t="s">
        <v>267</v>
      </c>
      <c r="H2" s="9" t="s">
        <v>268</v>
      </c>
      <c r="I2" s="9" t="s">
        <v>269</v>
      </c>
      <c r="J2" s="9" t="s">
        <v>270</v>
      </c>
      <c r="K2" s="9" t="s">
        <v>271</v>
      </c>
      <c r="L2" s="9" t="s">
        <v>272</v>
      </c>
      <c r="M2" s="9" t="s">
        <v>273</v>
      </c>
      <c r="N2" s="9" t="s">
        <v>274</v>
      </c>
      <c r="O2" s="10" t="s">
        <v>275</v>
      </c>
      <c r="P2" s="11" t="s">
        <v>276</v>
      </c>
      <c r="Q2" s="9" t="s">
        <v>277</v>
      </c>
      <c r="R2" s="9" t="s">
        <v>278</v>
      </c>
      <c r="S2" s="9" t="s">
        <v>279</v>
      </c>
      <c r="T2" s="9" t="s">
        <v>280</v>
      </c>
      <c r="U2" s="9" t="s">
        <v>277</v>
      </c>
      <c r="V2" s="9" t="s">
        <v>278</v>
      </c>
      <c r="W2" s="9" t="s">
        <v>281</v>
      </c>
      <c r="X2" s="9" t="s">
        <v>282</v>
      </c>
      <c r="Y2" s="9" t="s">
        <v>283</v>
      </c>
      <c r="Z2" s="15" t="s">
        <v>284</v>
      </c>
    </row>
    <row r="3" spans="1:26">
      <c r="A3" s="1" t="s">
        <v>285</v>
      </c>
      <c r="B3" s="1">
        <v>200302</v>
      </c>
      <c r="C3" s="1" t="s">
        <v>286</v>
      </c>
      <c r="D3" s="3">
        <v>7350057581933</v>
      </c>
      <c r="E3" s="3" t="s">
        <v>287</v>
      </c>
      <c r="F3" s="3" t="s">
        <v>288</v>
      </c>
      <c r="G3" s="3" t="s">
        <v>170</v>
      </c>
      <c r="H3" s="3"/>
      <c r="I3" s="3" t="s">
        <v>289</v>
      </c>
      <c r="J3" s="3" t="str">
        <f>$J$1</f>
        <v>SEK / NOK</v>
      </c>
      <c r="K3" s="3" t="e">
        <f>IF(J3="SEK / NOK",(VLOOKUP(B3,'RRP data'!A:E,2,FALSE)),(IF(J3="DKK",(VLOOKUP('Axkid Template - SE'!B3,'RRP data'!A:E,4,FALSE)),(IF(J3="EUR",(VLOOKUP(B3,'RRP data'!A:E,5,FALSE)))))))</f>
        <v>#N/A</v>
      </c>
      <c r="L3" s="1">
        <v>1</v>
      </c>
      <c r="M3" s="1">
        <v>1</v>
      </c>
      <c r="N3" s="3" t="s">
        <v>290</v>
      </c>
      <c r="O3" s="7" t="s">
        <v>41</v>
      </c>
      <c r="P3" s="3">
        <v>94018000</v>
      </c>
      <c r="Q3" s="1">
        <v>43</v>
      </c>
      <c r="R3" s="1">
        <v>54</v>
      </c>
      <c r="S3" s="1">
        <v>65</v>
      </c>
      <c r="T3" s="18">
        <v>45</v>
      </c>
      <c r="U3" s="16">
        <v>58</v>
      </c>
      <c r="V3" s="16">
        <v>67</v>
      </c>
      <c r="W3" s="1">
        <v>5.79</v>
      </c>
      <c r="X3" s="1">
        <v>3.4</v>
      </c>
      <c r="Y3" s="1" t="s">
        <v>42</v>
      </c>
      <c r="Z3" s="20" t="s">
        <v>291</v>
      </c>
    </row>
    <row r="4" spans="1:26">
      <c r="A4" s="1" t="s">
        <v>292</v>
      </c>
      <c r="B4" s="1">
        <v>200303</v>
      </c>
      <c r="C4" s="1" t="s">
        <v>293</v>
      </c>
      <c r="D4" s="3">
        <v>7350057581940</v>
      </c>
      <c r="E4" s="3" t="s">
        <v>287</v>
      </c>
      <c r="F4" s="3" t="s">
        <v>288</v>
      </c>
      <c r="G4" s="3" t="s">
        <v>170</v>
      </c>
      <c r="H4" s="3"/>
      <c r="I4" s="3" t="s">
        <v>289</v>
      </c>
      <c r="J4" s="3" t="str">
        <f t="shared" ref="J4:J95" si="0">$J$1</f>
        <v>SEK / NOK</v>
      </c>
      <c r="K4" s="3" t="e">
        <f>IF(J4="SEK / NOK",(VLOOKUP(B4,'RRP data'!A:E,2,FALSE)),(IF(J4="DKK",(VLOOKUP('Axkid Template - SE'!B4,'RRP data'!A:E,4,FALSE)),(IF(J4="EUR",(VLOOKUP(B4,'RRP data'!A:E,5,FALSE)))))))</f>
        <v>#N/A</v>
      </c>
      <c r="L4" s="1">
        <v>1</v>
      </c>
      <c r="M4" s="1">
        <v>1</v>
      </c>
      <c r="N4" s="3" t="s">
        <v>290</v>
      </c>
      <c r="O4" s="7" t="s">
        <v>41</v>
      </c>
      <c r="P4" s="3">
        <v>94018000</v>
      </c>
      <c r="Q4" s="1">
        <v>43</v>
      </c>
      <c r="R4" s="1">
        <v>54</v>
      </c>
      <c r="S4" s="1">
        <v>65</v>
      </c>
      <c r="T4" s="18">
        <v>45</v>
      </c>
      <c r="U4" s="16">
        <v>58</v>
      </c>
      <c r="V4" s="16">
        <v>67</v>
      </c>
      <c r="W4" s="1">
        <v>5.79</v>
      </c>
      <c r="X4" s="1">
        <v>3.4</v>
      </c>
      <c r="Y4" s="1" t="s">
        <v>42</v>
      </c>
      <c r="Z4" s="20" t="s">
        <v>291</v>
      </c>
    </row>
    <row r="5" spans="1:26">
      <c r="A5" s="1" t="s">
        <v>294</v>
      </c>
      <c r="B5" s="1">
        <v>210103</v>
      </c>
      <c r="C5" s="1" t="s">
        <v>293</v>
      </c>
      <c r="D5" s="3">
        <v>7350057580042</v>
      </c>
      <c r="E5" s="3" t="s">
        <v>295</v>
      </c>
      <c r="F5" s="3" t="s">
        <v>296</v>
      </c>
      <c r="G5" s="3" t="s">
        <v>170</v>
      </c>
      <c r="H5" s="3"/>
      <c r="I5" s="3" t="s">
        <v>289</v>
      </c>
      <c r="J5" s="3" t="str">
        <f t="shared" si="0"/>
        <v>SEK / NOK</v>
      </c>
      <c r="K5" s="3" t="str">
        <f>IF(J5="SEK / NOK",(VLOOKUP(B5,'RRP data'!A:E,2,FALSE)),(IF(J5="DKK",(VLOOKUP('Axkid Template - SE'!B5,'RRP data'!A:E,4,FALSE)),(IF(J5="EUR",(VLOOKUP(B5,'RRP data'!A:E,5,FALSE)))))))</f>
        <v>Axkid Babyfix Base Black</v>
      </c>
      <c r="L5" s="1">
        <v>1</v>
      </c>
      <c r="M5" s="1">
        <v>1</v>
      </c>
      <c r="N5" s="3" t="s">
        <v>290</v>
      </c>
      <c r="O5" s="7" t="s">
        <v>41</v>
      </c>
      <c r="P5" s="3">
        <v>94018000</v>
      </c>
      <c r="Q5" s="1">
        <v>33</v>
      </c>
      <c r="R5" s="1">
        <v>43</v>
      </c>
      <c r="S5" s="1">
        <v>69</v>
      </c>
      <c r="T5" s="18">
        <v>34</v>
      </c>
      <c r="U5" s="16">
        <v>20</v>
      </c>
      <c r="V5" s="16">
        <v>60.5</v>
      </c>
      <c r="W5" s="1">
        <v>5.45</v>
      </c>
      <c r="X5" s="1">
        <v>4.63</v>
      </c>
      <c r="Y5" s="1" t="s">
        <v>42</v>
      </c>
      <c r="Z5" s="20" t="s">
        <v>291</v>
      </c>
    </row>
    <row r="6" spans="1:26">
      <c r="A6" s="1" t="s">
        <v>297</v>
      </c>
      <c r="B6" s="1">
        <v>22140201</v>
      </c>
      <c r="C6" s="1" t="s">
        <v>298</v>
      </c>
      <c r="D6" s="3">
        <v>7350057582350</v>
      </c>
      <c r="E6" s="3" t="s">
        <v>299</v>
      </c>
      <c r="F6" s="3" t="s">
        <v>300</v>
      </c>
      <c r="G6" s="3" t="s">
        <v>170</v>
      </c>
      <c r="H6" s="3"/>
      <c r="I6" s="3" t="s">
        <v>301</v>
      </c>
      <c r="J6" s="3" t="str">
        <f t="shared" si="0"/>
        <v>SEK / NOK</v>
      </c>
      <c r="K6" s="3" t="e">
        <f>IF(J6="SEK / NOK",(VLOOKUP(B6,'RRP data'!A:E,2,FALSE)),(IF(J6="DKK",(VLOOKUP('Axkid Template - SE'!B6,'RRP data'!A:E,4,FALSE)),(IF(J6="EUR",(VLOOKUP(B6,'RRP data'!A:E,5,FALSE)))))))</f>
        <v>#N/A</v>
      </c>
      <c r="L6" s="1">
        <v>1</v>
      </c>
      <c r="M6" s="1">
        <v>1</v>
      </c>
      <c r="N6" s="3" t="s">
        <v>302</v>
      </c>
      <c r="O6" s="7" t="s">
        <v>41</v>
      </c>
      <c r="P6" s="3">
        <v>94018000</v>
      </c>
      <c r="Q6" s="1">
        <v>44</v>
      </c>
      <c r="R6" s="1">
        <v>62</v>
      </c>
      <c r="S6" s="1">
        <v>56</v>
      </c>
      <c r="T6" s="18">
        <v>46</v>
      </c>
      <c r="U6" s="16">
        <v>58</v>
      </c>
      <c r="V6" s="16">
        <v>66</v>
      </c>
      <c r="W6" s="1">
        <v>13.8</v>
      </c>
      <c r="X6" s="1">
        <v>11.4</v>
      </c>
      <c r="Y6" s="1" t="s">
        <v>42</v>
      </c>
      <c r="Z6" s="20" t="s">
        <v>303</v>
      </c>
    </row>
    <row r="7" spans="1:26">
      <c r="A7" s="1" t="s">
        <v>304</v>
      </c>
      <c r="B7" s="1">
        <v>22140202</v>
      </c>
      <c r="C7" s="1" t="s">
        <v>286</v>
      </c>
      <c r="D7" s="3">
        <v>7350057582366</v>
      </c>
      <c r="E7" s="3" t="s">
        <v>299</v>
      </c>
      <c r="F7" s="3" t="s">
        <v>300</v>
      </c>
      <c r="G7" s="3" t="s">
        <v>170</v>
      </c>
      <c r="H7" s="3"/>
      <c r="I7" s="3" t="s">
        <v>301</v>
      </c>
      <c r="J7" s="3" t="str">
        <f t="shared" si="0"/>
        <v>SEK / NOK</v>
      </c>
      <c r="K7" s="3" t="e">
        <f>IF(J7="SEK / NOK",(VLOOKUP(B7,'RRP data'!A:E,2,FALSE)),(IF(J7="DKK",(VLOOKUP('Axkid Template - SE'!B7,'RRP data'!A:E,4,FALSE)),(IF(J7="EUR",(VLOOKUP(B7,'RRP data'!A:E,5,FALSE)))))))</f>
        <v>#N/A</v>
      </c>
      <c r="L7" s="1">
        <v>1</v>
      </c>
      <c r="M7" s="1">
        <v>1</v>
      </c>
      <c r="N7" s="3" t="s">
        <v>302</v>
      </c>
      <c r="O7" s="7" t="s">
        <v>41</v>
      </c>
      <c r="P7" s="3">
        <v>94018000</v>
      </c>
      <c r="Q7" s="1">
        <v>44</v>
      </c>
      <c r="R7" s="1">
        <v>62</v>
      </c>
      <c r="S7" s="1">
        <v>56</v>
      </c>
      <c r="T7" s="18">
        <v>46</v>
      </c>
      <c r="U7" s="16">
        <v>58</v>
      </c>
      <c r="V7" s="16">
        <v>66</v>
      </c>
      <c r="W7" s="1">
        <v>13.8</v>
      </c>
      <c r="X7" s="1">
        <v>11.4</v>
      </c>
      <c r="Y7" s="1" t="s">
        <v>42</v>
      </c>
      <c r="Z7" s="20" t="s">
        <v>303</v>
      </c>
    </row>
    <row r="8" spans="1:26">
      <c r="A8" s="1" t="s">
        <v>305</v>
      </c>
      <c r="B8" s="1">
        <v>22140203</v>
      </c>
      <c r="C8" s="1" t="s">
        <v>293</v>
      </c>
      <c r="D8" s="3">
        <v>7350057582374</v>
      </c>
      <c r="E8" s="3" t="s">
        <v>299</v>
      </c>
      <c r="F8" s="3" t="s">
        <v>300</v>
      </c>
      <c r="G8" s="3" t="s">
        <v>170</v>
      </c>
      <c r="H8" s="3"/>
      <c r="I8" s="3" t="s">
        <v>301</v>
      </c>
      <c r="J8" s="3" t="str">
        <f t="shared" si="0"/>
        <v>SEK / NOK</v>
      </c>
      <c r="K8" s="3" t="e">
        <f>IF(J8="SEK / NOK",(VLOOKUP(B8,'RRP data'!A:E,2,FALSE)),(IF(J8="DKK",(VLOOKUP('Axkid Template - SE'!B8,'RRP data'!A:E,4,FALSE)),(IF(J8="EUR",(VLOOKUP(B8,'RRP data'!A:E,5,FALSE)))))))</f>
        <v>#N/A</v>
      </c>
      <c r="L8" s="1">
        <v>1</v>
      </c>
      <c r="M8" s="1">
        <v>1</v>
      </c>
      <c r="N8" s="3" t="s">
        <v>302</v>
      </c>
      <c r="O8" s="7" t="s">
        <v>41</v>
      </c>
      <c r="P8" s="3">
        <v>94018000</v>
      </c>
      <c r="Q8" s="1">
        <v>44</v>
      </c>
      <c r="R8" s="1">
        <v>62</v>
      </c>
      <c r="S8" s="1">
        <v>56</v>
      </c>
      <c r="T8" s="18">
        <v>46</v>
      </c>
      <c r="U8" s="16">
        <v>58</v>
      </c>
      <c r="V8" s="16">
        <v>66</v>
      </c>
      <c r="W8" s="1">
        <v>13.8</v>
      </c>
      <c r="X8" s="1">
        <v>11.4</v>
      </c>
      <c r="Y8" s="1" t="s">
        <v>42</v>
      </c>
      <c r="Z8" s="20" t="s">
        <v>303</v>
      </c>
    </row>
    <row r="9" spans="1:26">
      <c r="A9" s="1" t="s">
        <v>306</v>
      </c>
      <c r="B9" s="1">
        <v>22140210</v>
      </c>
      <c r="C9" s="1" t="s">
        <v>307</v>
      </c>
      <c r="D9" s="3">
        <v>7350057582381</v>
      </c>
      <c r="E9" s="3" t="s">
        <v>299</v>
      </c>
      <c r="F9" s="3" t="s">
        <v>300</v>
      </c>
      <c r="G9" s="3" t="s">
        <v>170</v>
      </c>
      <c r="H9" s="3"/>
      <c r="I9" s="3" t="s">
        <v>301</v>
      </c>
      <c r="J9" s="3" t="str">
        <f t="shared" si="0"/>
        <v>SEK / NOK</v>
      </c>
      <c r="K9" s="3" t="e">
        <f>IF(J9="SEK / NOK",(VLOOKUP(B9,'RRP data'!A:E,2,FALSE)),(IF(J9="DKK",(VLOOKUP('Axkid Template - SE'!B9,'RRP data'!A:E,4,FALSE)),(IF(J9="EUR",(VLOOKUP(B9,'RRP data'!A:E,5,FALSE)))))))</f>
        <v>#N/A</v>
      </c>
      <c r="L9" s="1">
        <v>1</v>
      </c>
      <c r="M9" s="1">
        <v>1</v>
      </c>
      <c r="N9" s="3" t="s">
        <v>302</v>
      </c>
      <c r="O9" s="7" t="s">
        <v>41</v>
      </c>
      <c r="P9" s="3">
        <v>94018000</v>
      </c>
      <c r="Q9" s="1">
        <v>44</v>
      </c>
      <c r="R9" s="1">
        <v>62</v>
      </c>
      <c r="S9" s="1">
        <v>56</v>
      </c>
      <c r="T9" s="18">
        <v>46</v>
      </c>
      <c r="U9" s="16">
        <v>58</v>
      </c>
      <c r="V9" s="16">
        <v>66</v>
      </c>
      <c r="W9" s="1">
        <v>13.8</v>
      </c>
      <c r="X9" s="1">
        <v>11.4</v>
      </c>
      <c r="Y9" s="1" t="s">
        <v>42</v>
      </c>
      <c r="Z9" s="20" t="s">
        <v>303</v>
      </c>
    </row>
    <row r="10" spans="1:26">
      <c r="A10" s="1" t="s">
        <v>308</v>
      </c>
      <c r="B10" s="1">
        <v>22140211</v>
      </c>
      <c r="C10" s="1" t="s">
        <v>148</v>
      </c>
      <c r="D10" s="3">
        <v>7350057582398</v>
      </c>
      <c r="E10" s="3" t="s">
        <v>299</v>
      </c>
      <c r="F10" s="3" t="s">
        <v>300</v>
      </c>
      <c r="G10" s="3" t="s">
        <v>170</v>
      </c>
      <c r="H10" s="3"/>
      <c r="I10" s="3" t="s">
        <v>301</v>
      </c>
      <c r="J10" s="3" t="str">
        <f t="shared" si="0"/>
        <v>SEK / NOK</v>
      </c>
      <c r="K10" s="3" t="e">
        <f>IF(J10="SEK / NOK",(VLOOKUP(B10,'RRP data'!A:E,2,FALSE)),(IF(J10="DKK",(VLOOKUP('Axkid Template - SE'!B10,'RRP data'!A:E,4,FALSE)),(IF(J10="EUR",(VLOOKUP(B10,'RRP data'!A:E,5,FALSE)))))))</f>
        <v>#N/A</v>
      </c>
      <c r="L10" s="1">
        <v>1</v>
      </c>
      <c r="M10" s="1">
        <v>1</v>
      </c>
      <c r="N10" s="3" t="s">
        <v>302</v>
      </c>
      <c r="O10" s="7" t="s">
        <v>41</v>
      </c>
      <c r="P10" s="3">
        <v>94018000</v>
      </c>
      <c r="Q10" s="1">
        <v>44</v>
      </c>
      <c r="R10" s="1">
        <v>62</v>
      </c>
      <c r="S10" s="1">
        <v>56</v>
      </c>
      <c r="T10" s="18">
        <v>46</v>
      </c>
      <c r="U10" s="16">
        <v>58</v>
      </c>
      <c r="V10" s="16">
        <v>66</v>
      </c>
      <c r="W10" s="1">
        <v>13.8</v>
      </c>
      <c r="X10" s="1">
        <v>11.4</v>
      </c>
      <c r="Y10" s="1" t="s">
        <v>42</v>
      </c>
      <c r="Z10" s="20" t="s">
        <v>303</v>
      </c>
    </row>
    <row r="11" spans="1:26">
      <c r="A11" s="1" t="s">
        <v>309</v>
      </c>
      <c r="B11" s="1">
        <v>22140213</v>
      </c>
      <c r="C11" s="1" t="s">
        <v>310</v>
      </c>
      <c r="D11" s="3">
        <v>7350057582404</v>
      </c>
      <c r="E11" s="3" t="s">
        <v>299</v>
      </c>
      <c r="F11" s="3" t="s">
        <v>300</v>
      </c>
      <c r="G11" s="3" t="s">
        <v>170</v>
      </c>
      <c r="H11" s="3"/>
      <c r="I11" s="3" t="s">
        <v>301</v>
      </c>
      <c r="J11" s="3" t="str">
        <f t="shared" si="0"/>
        <v>SEK / NOK</v>
      </c>
      <c r="K11" s="3" t="e">
        <f>IF(J11="SEK / NOK",(VLOOKUP(B11,'RRP data'!A:E,2,FALSE)),(IF(J11="DKK",(VLOOKUP('Axkid Template - SE'!B11,'RRP data'!A:E,4,FALSE)),(IF(J11="EUR",(VLOOKUP(B11,'RRP data'!A:E,5,FALSE)))))))</f>
        <v>#N/A</v>
      </c>
      <c r="L11" s="1">
        <v>1</v>
      </c>
      <c r="M11" s="1">
        <v>1</v>
      </c>
      <c r="N11" s="3" t="s">
        <v>302</v>
      </c>
      <c r="O11" s="7" t="s">
        <v>41</v>
      </c>
      <c r="P11" s="3">
        <v>94018000</v>
      </c>
      <c r="Q11" s="1">
        <v>44</v>
      </c>
      <c r="R11" s="1">
        <v>62</v>
      </c>
      <c r="S11" s="1">
        <v>56</v>
      </c>
      <c r="T11" s="18">
        <v>46</v>
      </c>
      <c r="U11" s="16">
        <v>58</v>
      </c>
      <c r="V11" s="16">
        <v>66</v>
      </c>
      <c r="W11" s="1">
        <v>13.8</v>
      </c>
      <c r="X11" s="1">
        <v>11.4</v>
      </c>
      <c r="Y11" s="1" t="s">
        <v>42</v>
      </c>
      <c r="Z11" s="20" t="s">
        <v>303</v>
      </c>
    </row>
    <row r="12" spans="1:26" ht="15" customHeight="1">
      <c r="A12" s="1" t="s">
        <v>311</v>
      </c>
      <c r="B12" s="1">
        <v>22140216</v>
      </c>
      <c r="C12" s="1" t="s">
        <v>76</v>
      </c>
      <c r="D12" s="3">
        <v>7350057584354</v>
      </c>
      <c r="E12" s="3" t="s">
        <v>299</v>
      </c>
      <c r="F12" s="3" t="s">
        <v>300</v>
      </c>
      <c r="G12" s="3" t="s">
        <v>170</v>
      </c>
      <c r="H12" s="3"/>
      <c r="I12" s="3" t="s">
        <v>301</v>
      </c>
      <c r="J12" s="3" t="str">
        <f t="shared" si="0"/>
        <v>SEK / NOK</v>
      </c>
      <c r="K12" s="3" t="str">
        <f>IF(J12="SEK / NOK",(VLOOKUP(B12,'RRP data'!A:E,2,FALSE)),(IF(J12="DKK",(VLOOKUP('Axkid Template - SE'!B12,'RRP data'!A:E,4,FALSE)),(IF(J12="EUR",(VLOOKUP(B12,'RRP data'!A:E,5,FALSE)))))))</f>
        <v>Axkid Minikid 2 Solid Tar</v>
      </c>
      <c r="L12" s="1">
        <v>1</v>
      </c>
      <c r="M12" s="1">
        <v>1</v>
      </c>
      <c r="N12" s="24"/>
      <c r="O12" s="7" t="s">
        <v>41</v>
      </c>
      <c r="P12" s="3">
        <v>94018000</v>
      </c>
      <c r="Q12" s="1">
        <v>44</v>
      </c>
      <c r="R12" s="1">
        <v>62</v>
      </c>
      <c r="S12" s="1">
        <v>56</v>
      </c>
      <c r="T12" s="18">
        <v>46</v>
      </c>
      <c r="U12" s="16">
        <v>58</v>
      </c>
      <c r="V12" s="16">
        <v>66</v>
      </c>
      <c r="W12" s="1">
        <v>13.8</v>
      </c>
      <c r="X12" s="1">
        <v>11.4</v>
      </c>
      <c r="Y12" s="1" t="s">
        <v>42</v>
      </c>
      <c r="Z12" s="20" t="s">
        <v>303</v>
      </c>
    </row>
    <row r="13" spans="1:26">
      <c r="A13" s="1" t="s">
        <v>312</v>
      </c>
      <c r="B13" s="1">
        <v>22140217</v>
      </c>
      <c r="C13" s="1" t="s">
        <v>79</v>
      </c>
      <c r="D13" s="3">
        <v>7350057584361</v>
      </c>
      <c r="E13" s="3" t="s">
        <v>299</v>
      </c>
      <c r="F13" s="3" t="s">
        <v>300</v>
      </c>
      <c r="G13" s="3" t="s">
        <v>170</v>
      </c>
      <c r="H13" s="3"/>
      <c r="I13" s="3" t="s">
        <v>301</v>
      </c>
      <c r="J13" s="3" t="str">
        <f t="shared" si="0"/>
        <v>SEK / NOK</v>
      </c>
      <c r="K13" s="3" t="str">
        <f>IF(J13="SEK / NOK",(VLOOKUP(B13,'RRP data'!A:E,2,FALSE)),(IF(J13="DKK",(VLOOKUP('Axkid Template - SE'!B21,'RRP data'!A:E,4,FALSE)),(IF(J13="EUR",(VLOOKUP(B13,'RRP data'!A:E,5,FALSE)))))))</f>
        <v>Axkid Minikid 2 Solid Granite</v>
      </c>
      <c r="L13" s="1">
        <v>1</v>
      </c>
      <c r="M13" s="1">
        <v>1</v>
      </c>
      <c r="N13" s="3"/>
      <c r="O13" s="7" t="s">
        <v>41</v>
      </c>
      <c r="P13" s="3">
        <v>94018000</v>
      </c>
      <c r="Q13" s="1">
        <v>44</v>
      </c>
      <c r="R13" s="1">
        <v>62</v>
      </c>
      <c r="S13" s="1">
        <v>56</v>
      </c>
      <c r="T13" s="18">
        <v>46</v>
      </c>
      <c r="U13" s="16">
        <v>58</v>
      </c>
      <c r="V13" s="16">
        <v>66</v>
      </c>
      <c r="W13" s="1">
        <v>13.8</v>
      </c>
      <c r="X13" s="1">
        <v>11.4</v>
      </c>
      <c r="Y13" s="1" t="s">
        <v>42</v>
      </c>
      <c r="Z13" s="20" t="s">
        <v>303</v>
      </c>
    </row>
    <row r="14" spans="1:26">
      <c r="A14" s="1" t="s">
        <v>313</v>
      </c>
      <c r="B14" s="1">
        <v>22140218</v>
      </c>
      <c r="C14" s="1" t="s">
        <v>81</v>
      </c>
      <c r="D14" s="3">
        <v>7350057584378</v>
      </c>
      <c r="E14" s="3" t="s">
        <v>299</v>
      </c>
      <c r="F14" s="3" t="s">
        <v>300</v>
      </c>
      <c r="G14" s="3" t="s">
        <v>170</v>
      </c>
      <c r="H14" s="3"/>
      <c r="I14" s="3" t="s">
        <v>301</v>
      </c>
      <c r="J14" s="3" t="str">
        <f t="shared" si="0"/>
        <v>SEK / NOK</v>
      </c>
      <c r="K14" s="3" t="str">
        <f>IF(J14="SEK / NOK",(VLOOKUP(B14,'RRP data'!A:E,2,FALSE)),(IF(J14="DKK",(VLOOKUP('Axkid Template - SE'!B38,'RRP data'!A:E,4,FALSE)),(IF(J14="EUR",(VLOOKUP(B14,'RRP data'!A:E,5,FALSE)))))))</f>
        <v>Axkid Minikid 2 Solid Shellfish</v>
      </c>
      <c r="L14" s="1">
        <v>1</v>
      </c>
      <c r="M14" s="1">
        <v>1</v>
      </c>
      <c r="N14" s="3"/>
      <c r="O14" s="7" t="s">
        <v>41</v>
      </c>
      <c r="P14" s="3">
        <v>94018000</v>
      </c>
      <c r="Q14" s="1">
        <v>44</v>
      </c>
      <c r="R14" s="1">
        <v>62</v>
      </c>
      <c r="S14" s="1">
        <v>56</v>
      </c>
      <c r="T14" s="18">
        <v>46</v>
      </c>
      <c r="U14" s="16">
        <v>58</v>
      </c>
      <c r="V14" s="16">
        <v>66</v>
      </c>
      <c r="W14" s="1">
        <v>13.8</v>
      </c>
      <c r="X14" s="1">
        <v>11.4</v>
      </c>
      <c r="Y14" s="1" t="s">
        <v>42</v>
      </c>
      <c r="Z14" s="20" t="s">
        <v>303</v>
      </c>
    </row>
    <row r="15" spans="1:26">
      <c r="A15" s="1" t="s">
        <v>314</v>
      </c>
      <c r="B15" s="1">
        <v>22140219</v>
      </c>
      <c r="C15" s="1" t="s">
        <v>83</v>
      </c>
      <c r="D15" s="3">
        <v>7350057584385</v>
      </c>
      <c r="E15" s="3" t="s">
        <v>299</v>
      </c>
      <c r="F15" s="3" t="s">
        <v>300</v>
      </c>
      <c r="G15" s="3" t="s">
        <v>170</v>
      </c>
      <c r="H15" s="3"/>
      <c r="I15" s="3" t="s">
        <v>301</v>
      </c>
      <c r="J15" s="3" t="str">
        <f t="shared" si="0"/>
        <v>SEK / NOK</v>
      </c>
      <c r="K15" s="3" t="str">
        <f>IF(J15="SEK / NOK",(VLOOKUP(B15,'RRP data'!A:E,2,FALSE)),(IF(J15="DKK",(VLOOKUP('Axkid Template - SE'!B39,'RRP data'!A:E,4,FALSE)),(IF(J15="EUR",(VLOOKUP(B15,'RRP data'!A:E,5,FALSE)))))))</f>
        <v>Axkid Minikid 2 Solid Sea</v>
      </c>
      <c r="L15" s="1">
        <v>1</v>
      </c>
      <c r="M15" s="1">
        <v>1</v>
      </c>
      <c r="N15" s="3"/>
      <c r="O15" s="7" t="s">
        <v>41</v>
      </c>
      <c r="P15" s="3">
        <v>94018000</v>
      </c>
      <c r="Q15" s="1">
        <v>44</v>
      </c>
      <c r="R15" s="1">
        <v>62</v>
      </c>
      <c r="S15" s="1">
        <v>56</v>
      </c>
      <c r="T15" s="18">
        <v>46</v>
      </c>
      <c r="U15" s="16">
        <v>58</v>
      </c>
      <c r="V15" s="16">
        <v>66</v>
      </c>
      <c r="W15" s="1">
        <v>13.8</v>
      </c>
      <c r="X15" s="1">
        <v>11.4</v>
      </c>
      <c r="Y15" s="1" t="s">
        <v>42</v>
      </c>
      <c r="Z15" s="20" t="s">
        <v>303</v>
      </c>
    </row>
    <row r="16" spans="1:26">
      <c r="A16" s="1" t="s">
        <v>315</v>
      </c>
      <c r="B16" s="1">
        <v>22140220</v>
      </c>
      <c r="C16" s="1" t="s">
        <v>85</v>
      </c>
      <c r="D16" s="3">
        <v>7350057584392</v>
      </c>
      <c r="E16" s="3" t="s">
        <v>299</v>
      </c>
      <c r="F16" s="3" t="s">
        <v>300</v>
      </c>
      <c r="G16" s="3" t="s">
        <v>170</v>
      </c>
      <c r="H16" s="3"/>
      <c r="I16" s="3" t="s">
        <v>301</v>
      </c>
      <c r="J16" s="3" t="str">
        <f t="shared" si="0"/>
        <v>SEK / NOK</v>
      </c>
      <c r="K16" s="3" t="str">
        <f>IF(J16="SEK / NOK",(VLOOKUP(B16,'RRP data'!A:E,2,FALSE)),(IF(J16="DKK",(VLOOKUP('Axkid Template - SE'!B40,'RRP data'!A:E,4,FALSE)),(IF(J16="EUR",(VLOOKUP(B16,'RRP data'!A:E,5,FALSE)))))))</f>
        <v>Axkid Minikid 2 Solid Moss</v>
      </c>
      <c r="L16" s="1">
        <v>1</v>
      </c>
      <c r="M16" s="1">
        <v>1</v>
      </c>
      <c r="N16" s="3"/>
      <c r="O16" s="7" t="s">
        <v>41</v>
      </c>
      <c r="P16" s="3">
        <v>94018000</v>
      </c>
      <c r="Q16" s="1">
        <v>44</v>
      </c>
      <c r="R16" s="1">
        <v>62</v>
      </c>
      <c r="S16" s="1">
        <v>56</v>
      </c>
      <c r="T16" s="18">
        <v>46</v>
      </c>
      <c r="U16" s="16">
        <v>58</v>
      </c>
      <c r="V16" s="16">
        <v>66</v>
      </c>
      <c r="W16" s="1">
        <v>13.8</v>
      </c>
      <c r="X16" s="1">
        <v>11.4</v>
      </c>
      <c r="Y16" s="1" t="s">
        <v>42</v>
      </c>
      <c r="Z16" s="20" t="s">
        <v>303</v>
      </c>
    </row>
    <row r="17" spans="1:26">
      <c r="A17" s="1" t="s">
        <v>316</v>
      </c>
      <c r="B17" s="1">
        <v>22140221</v>
      </c>
      <c r="C17" s="1" t="s">
        <v>64</v>
      </c>
      <c r="D17" s="3">
        <v>7350057584408</v>
      </c>
      <c r="E17" s="3" t="s">
        <v>299</v>
      </c>
      <c r="F17" s="3" t="s">
        <v>300</v>
      </c>
      <c r="G17" s="3" t="s">
        <v>170</v>
      </c>
      <c r="H17" s="3"/>
      <c r="I17" s="3" t="s">
        <v>301</v>
      </c>
      <c r="J17" s="3" t="str">
        <f t="shared" si="0"/>
        <v>SEK / NOK</v>
      </c>
      <c r="K17" s="3" t="str">
        <f>IF(J17="SEK / NOK",(VLOOKUP(B17,'RRP data'!A:E,2,FALSE)),(IF(J17="DKK",(VLOOKUP('Axkid Template - SE'!B41,'RRP data'!A:E,4,FALSE)),(IF(J17="EUR",(VLOOKUP(B17,'RRP data'!A:E,5,FALSE)))))))</f>
        <v>Axkid Minikid 2 Premium Shell black</v>
      </c>
      <c r="L17" s="1">
        <v>1</v>
      </c>
      <c r="M17" s="1">
        <v>1</v>
      </c>
      <c r="N17" s="3"/>
      <c r="O17" s="7" t="s">
        <v>41</v>
      </c>
      <c r="P17" s="3">
        <v>94018000</v>
      </c>
      <c r="Q17" s="1">
        <v>44</v>
      </c>
      <c r="R17" s="1">
        <v>62</v>
      </c>
      <c r="S17" s="1">
        <v>56</v>
      </c>
      <c r="T17" s="18">
        <v>46</v>
      </c>
      <c r="U17" s="16">
        <v>58</v>
      </c>
      <c r="V17" s="16">
        <v>66</v>
      </c>
      <c r="W17" s="1">
        <v>13.8</v>
      </c>
      <c r="X17" s="1">
        <v>11.4</v>
      </c>
      <c r="Y17" s="1" t="s">
        <v>42</v>
      </c>
      <c r="Z17" s="20" t="s">
        <v>303</v>
      </c>
    </row>
    <row r="18" spans="1:26">
      <c r="A18" s="1" t="s">
        <v>317</v>
      </c>
      <c r="B18" s="1">
        <v>22140222</v>
      </c>
      <c r="C18" s="1" t="s">
        <v>88</v>
      </c>
      <c r="D18" s="3">
        <v>7350057584415</v>
      </c>
      <c r="E18" s="3" t="s">
        <v>299</v>
      </c>
      <c r="F18" s="3" t="s">
        <v>300</v>
      </c>
      <c r="G18" s="3" t="s">
        <v>170</v>
      </c>
      <c r="H18" s="3"/>
      <c r="I18" s="3" t="s">
        <v>301</v>
      </c>
      <c r="J18" s="3" t="str">
        <f t="shared" si="0"/>
        <v>SEK / NOK</v>
      </c>
      <c r="K18" s="3" t="str">
        <f>IF(J18="SEK / NOK",(VLOOKUP(B18,'RRP data'!A:E,2,FALSE)),(IF(J18="DKK",(VLOOKUP('Axkid Template - SE'!B42,'RRP data'!A:E,4,FALSE)),(IF(J18="EUR",(VLOOKUP(B18,'RRP data'!A:E,5,FALSE)))))))</f>
        <v>Axkid Minikid 2 Premium Granite Melange</v>
      </c>
      <c r="L18" s="1">
        <v>1</v>
      </c>
      <c r="M18" s="1">
        <v>1</v>
      </c>
      <c r="N18" s="3"/>
      <c r="O18" s="7" t="s">
        <v>41</v>
      </c>
      <c r="P18" s="3">
        <v>94018000</v>
      </c>
      <c r="Q18" s="1">
        <v>44</v>
      </c>
      <c r="R18" s="1">
        <v>62</v>
      </c>
      <c r="S18" s="1">
        <v>56</v>
      </c>
      <c r="T18" s="18">
        <v>46</v>
      </c>
      <c r="U18" s="16">
        <v>58</v>
      </c>
      <c r="V18" s="16">
        <v>66</v>
      </c>
      <c r="W18" s="1">
        <v>13.8</v>
      </c>
      <c r="X18" s="1">
        <v>11.4</v>
      </c>
      <c r="Y18" s="1" t="s">
        <v>42</v>
      </c>
      <c r="Z18" s="20" t="s">
        <v>303</v>
      </c>
    </row>
    <row r="19" spans="1:26">
      <c r="A19" s="1" t="s">
        <v>318</v>
      </c>
      <c r="B19" s="1">
        <v>22140223</v>
      </c>
      <c r="C19" s="1" t="s">
        <v>90</v>
      </c>
      <c r="D19" s="3">
        <v>7350057584422</v>
      </c>
      <c r="E19" s="3" t="s">
        <v>299</v>
      </c>
      <c r="F19" s="3" t="s">
        <v>300</v>
      </c>
      <c r="G19" s="3" t="s">
        <v>170</v>
      </c>
      <c r="H19" s="3"/>
      <c r="I19" s="3" t="s">
        <v>301</v>
      </c>
      <c r="J19" s="3" t="str">
        <f t="shared" si="0"/>
        <v>SEK / NOK</v>
      </c>
      <c r="K19" s="3" t="str">
        <f>IF(J19="SEK / NOK",(VLOOKUP(B19,'RRP data'!A:E,2,FALSE)),(IF(J19="DKK",(VLOOKUP('Axkid Template - SE'!B43,'RRP data'!A:E,4,FALSE)),(IF(J19="EUR",(VLOOKUP(B19,'RRP data'!A:E,5,FALSE)))))))</f>
        <v xml:space="preserve">Axkid Minikid 2 Premium Sky Grey </v>
      </c>
      <c r="L19" s="1">
        <v>1</v>
      </c>
      <c r="M19" s="1">
        <v>1</v>
      </c>
      <c r="N19" s="3"/>
      <c r="O19" s="7" t="s">
        <v>41</v>
      </c>
      <c r="P19" s="3">
        <v>94018000</v>
      </c>
      <c r="Q19" s="1">
        <v>44</v>
      </c>
      <c r="R19" s="1">
        <v>62</v>
      </c>
      <c r="S19" s="1">
        <v>56</v>
      </c>
      <c r="T19" s="18">
        <v>46</v>
      </c>
      <c r="U19" s="16">
        <v>58</v>
      </c>
      <c r="V19" s="16">
        <v>66</v>
      </c>
      <c r="W19" s="1">
        <v>13.8</v>
      </c>
      <c r="X19" s="1">
        <v>11.4</v>
      </c>
      <c r="Y19" s="1" t="s">
        <v>42</v>
      </c>
      <c r="Z19" s="20" t="s">
        <v>303</v>
      </c>
    </row>
    <row r="20" spans="1:26">
      <c r="A20" s="1" t="s">
        <v>319</v>
      </c>
      <c r="B20" s="1">
        <v>22120102</v>
      </c>
      <c r="C20" s="1" t="s">
        <v>286</v>
      </c>
      <c r="D20" s="3">
        <v>7350057582411</v>
      </c>
      <c r="E20" s="3" t="s">
        <v>320</v>
      </c>
      <c r="F20" s="3" t="s">
        <v>300</v>
      </c>
      <c r="G20" s="3" t="s">
        <v>170</v>
      </c>
      <c r="H20" s="3"/>
      <c r="I20" s="3" t="s">
        <v>301</v>
      </c>
      <c r="J20" s="3" t="str">
        <f t="shared" si="0"/>
        <v>SEK / NOK</v>
      </c>
      <c r="K20" s="3" t="str">
        <f>IF(J20="SEK / NOK",(VLOOKUP(B20,'RRP data'!A:E,2,FALSE)),(IF(J20="DKK",(VLOOKUP('Axkid Template - SE'!B20,'RRP data'!A:E,4,FALSE)),(IF(J20="EUR",(VLOOKUP(B20,'RRP data'!A:E,5,FALSE)))))))</f>
        <v>Axkid Move Grey</v>
      </c>
      <c r="L20" s="1">
        <v>1</v>
      </c>
      <c r="M20" s="1">
        <v>1</v>
      </c>
      <c r="N20" s="3" t="s">
        <v>321</v>
      </c>
      <c r="O20" s="7" t="s">
        <v>41</v>
      </c>
      <c r="P20" s="3">
        <v>94018000</v>
      </c>
      <c r="Q20" s="1">
        <v>44</v>
      </c>
      <c r="R20" s="1">
        <v>61</v>
      </c>
      <c r="S20" s="1">
        <v>56</v>
      </c>
      <c r="T20" s="18">
        <v>46</v>
      </c>
      <c r="U20" s="16">
        <v>58</v>
      </c>
      <c r="V20" s="16">
        <v>66</v>
      </c>
      <c r="W20" s="1">
        <v>11.6</v>
      </c>
      <c r="X20" s="1">
        <v>9.8000000000000007</v>
      </c>
      <c r="Y20" s="1" t="s">
        <v>42</v>
      </c>
      <c r="Z20" s="20" t="s">
        <v>322</v>
      </c>
    </row>
    <row r="21" spans="1:26">
      <c r="A21" s="1" t="s">
        <v>323</v>
      </c>
      <c r="B21" s="1">
        <v>22120103</v>
      </c>
      <c r="C21" s="1" t="s">
        <v>293</v>
      </c>
      <c r="D21" s="3">
        <v>7350057582183</v>
      </c>
      <c r="E21" s="3" t="s">
        <v>320</v>
      </c>
      <c r="F21" s="3" t="s">
        <v>300</v>
      </c>
      <c r="G21" s="3" t="s">
        <v>170</v>
      </c>
      <c r="H21" s="3"/>
      <c r="I21" s="3" t="s">
        <v>301</v>
      </c>
      <c r="J21" s="3" t="str">
        <f t="shared" si="0"/>
        <v>SEK / NOK</v>
      </c>
      <c r="K21" s="3" t="str">
        <f>IF(J21="SEK / NOK",(VLOOKUP(B21,'RRP data'!A:E,2,FALSE)),(IF(J21="DKK",(VLOOKUP('Axkid Template - SE'!B21,'RRP data'!A:E,4,FALSE)),(IF(J21="EUR",(VLOOKUP(B21,'RRP data'!A:E,5,FALSE)))))))</f>
        <v>Axkid Move Black</v>
      </c>
      <c r="L21" s="1">
        <v>1</v>
      </c>
      <c r="M21" s="1">
        <v>1</v>
      </c>
      <c r="N21" s="3" t="s">
        <v>321</v>
      </c>
      <c r="O21" s="7" t="s">
        <v>41</v>
      </c>
      <c r="P21" s="3">
        <v>94018000</v>
      </c>
      <c r="Q21" s="1">
        <v>44</v>
      </c>
      <c r="R21" s="1">
        <v>61</v>
      </c>
      <c r="S21" s="1">
        <v>56</v>
      </c>
      <c r="T21" s="18">
        <v>46</v>
      </c>
      <c r="U21" s="16">
        <v>58</v>
      </c>
      <c r="V21" s="16">
        <v>66</v>
      </c>
      <c r="W21" s="1">
        <v>11.6</v>
      </c>
      <c r="X21" s="1">
        <v>9.8000000000000007</v>
      </c>
      <c r="Y21" s="1" t="s">
        <v>42</v>
      </c>
      <c r="Z21" s="20" t="s">
        <v>322</v>
      </c>
    </row>
    <row r="22" spans="1:26">
      <c r="A22" s="1" t="s">
        <v>324</v>
      </c>
      <c r="B22" s="1">
        <v>20040016</v>
      </c>
      <c r="C22" s="1" t="s">
        <v>76</v>
      </c>
      <c r="D22" s="3"/>
      <c r="E22" s="3"/>
      <c r="F22" s="3"/>
      <c r="G22" s="3"/>
      <c r="H22" s="3"/>
      <c r="I22" s="3"/>
      <c r="J22" s="3"/>
      <c r="K22" s="3"/>
      <c r="N22" s="3"/>
      <c r="O22" s="7"/>
      <c r="T22" s="18"/>
      <c r="U22" s="16"/>
      <c r="V22" s="16"/>
      <c r="Z22" s="20"/>
    </row>
    <row r="23" spans="1:26">
      <c r="A23" s="1" t="s">
        <v>325</v>
      </c>
      <c r="B23" s="1">
        <v>20040017</v>
      </c>
      <c r="C23" s="1" t="s">
        <v>79</v>
      </c>
      <c r="D23" s="3"/>
      <c r="E23" s="3"/>
      <c r="F23" s="3"/>
      <c r="G23" s="3"/>
      <c r="H23" s="3"/>
      <c r="I23" s="3"/>
      <c r="J23" s="3"/>
      <c r="K23" s="3"/>
      <c r="N23" s="3"/>
      <c r="O23" s="7"/>
      <c r="T23" s="18"/>
      <c r="U23" s="16"/>
      <c r="V23" s="16"/>
      <c r="Z23" s="20"/>
    </row>
    <row r="24" spans="1:26">
      <c r="A24" s="1" t="s">
        <v>326</v>
      </c>
      <c r="B24" s="1">
        <v>20040018</v>
      </c>
      <c r="C24" s="1" t="s">
        <v>81</v>
      </c>
      <c r="D24" s="3"/>
      <c r="E24" s="3"/>
      <c r="F24" s="3"/>
      <c r="G24" s="3"/>
      <c r="H24" s="3"/>
      <c r="I24" s="3"/>
      <c r="J24" s="3"/>
      <c r="K24" s="3"/>
      <c r="N24" s="3"/>
      <c r="O24" s="7"/>
      <c r="T24" s="18"/>
      <c r="U24" s="16"/>
      <c r="V24" s="16"/>
      <c r="Z24" s="20"/>
    </row>
    <row r="25" spans="1:26">
      <c r="A25" s="1" t="s">
        <v>327</v>
      </c>
      <c r="B25" s="1">
        <v>20040019</v>
      </c>
      <c r="C25" s="1" t="s">
        <v>83</v>
      </c>
      <c r="D25" s="3"/>
      <c r="E25" s="3"/>
      <c r="F25" s="3"/>
      <c r="G25" s="3"/>
      <c r="H25" s="3"/>
      <c r="I25" s="3"/>
      <c r="J25" s="3"/>
      <c r="K25" s="3"/>
      <c r="N25" s="3"/>
      <c r="O25" s="7"/>
      <c r="T25" s="18"/>
      <c r="U25" s="16"/>
      <c r="V25" s="16"/>
      <c r="Z25" s="20"/>
    </row>
    <row r="26" spans="1:26">
      <c r="A26" s="1" t="s">
        <v>328</v>
      </c>
      <c r="B26" s="1">
        <v>20040020</v>
      </c>
      <c r="C26" s="1" t="s">
        <v>85</v>
      </c>
      <c r="D26" s="3"/>
      <c r="E26" s="3"/>
      <c r="F26" s="3"/>
      <c r="G26" s="3"/>
      <c r="H26" s="3"/>
      <c r="I26" s="3"/>
      <c r="J26" s="3"/>
      <c r="K26" s="3"/>
      <c r="N26" s="3"/>
      <c r="O26" s="7"/>
      <c r="T26" s="18"/>
      <c r="U26" s="16"/>
      <c r="V26" s="16"/>
      <c r="Z26" s="20"/>
    </row>
    <row r="27" spans="1:26">
      <c r="A27" s="1" t="s">
        <v>103</v>
      </c>
      <c r="B27" s="1">
        <v>20040021</v>
      </c>
      <c r="C27" s="1" t="s">
        <v>104</v>
      </c>
      <c r="D27" s="3"/>
      <c r="E27" s="3"/>
      <c r="F27" s="3"/>
      <c r="G27" s="3"/>
      <c r="H27" s="3"/>
      <c r="I27" s="3"/>
      <c r="J27" s="3"/>
      <c r="K27" s="3"/>
      <c r="N27" s="3"/>
      <c r="O27" s="7"/>
      <c r="T27" s="18"/>
      <c r="U27" s="16"/>
      <c r="V27" s="16"/>
      <c r="Z27" s="20"/>
    </row>
    <row r="28" spans="1:26">
      <c r="A28" s="1" t="s">
        <v>105</v>
      </c>
      <c r="B28" s="1">
        <v>20040022</v>
      </c>
      <c r="C28" s="1" t="s">
        <v>88</v>
      </c>
      <c r="D28" s="3"/>
      <c r="E28" s="3"/>
      <c r="F28" s="3"/>
      <c r="G28" s="3"/>
      <c r="H28" s="3"/>
      <c r="I28" s="3"/>
      <c r="J28" s="3"/>
      <c r="K28" s="3"/>
      <c r="N28" s="3"/>
      <c r="O28" s="7"/>
      <c r="T28" s="18"/>
      <c r="U28" s="16"/>
      <c r="V28" s="16"/>
      <c r="Z28" s="20"/>
    </row>
    <row r="29" spans="1:26">
      <c r="A29" s="1" t="s">
        <v>106</v>
      </c>
      <c r="B29" s="1">
        <v>20040023</v>
      </c>
      <c r="C29" s="1" t="s">
        <v>90</v>
      </c>
      <c r="D29" s="3"/>
      <c r="E29" s="3"/>
      <c r="F29" s="3"/>
      <c r="G29" s="3"/>
      <c r="H29" s="3"/>
      <c r="I29" s="3"/>
      <c r="J29" s="3"/>
      <c r="K29" s="3"/>
      <c r="N29" s="3"/>
      <c r="O29" s="7"/>
      <c r="T29" s="18"/>
      <c r="U29" s="16"/>
      <c r="V29" s="16"/>
      <c r="Z29" s="20"/>
    </row>
    <row r="30" spans="1:26">
      <c r="A30" s="1" t="s">
        <v>329</v>
      </c>
      <c r="B30" s="1">
        <v>24100016</v>
      </c>
      <c r="C30" s="1" t="s">
        <v>76</v>
      </c>
      <c r="D30" s="3"/>
      <c r="E30" s="3"/>
      <c r="F30" s="3"/>
      <c r="G30" s="3"/>
      <c r="H30" s="3"/>
      <c r="I30" s="3"/>
      <c r="J30" s="3"/>
      <c r="K30" s="3"/>
      <c r="N30" s="3"/>
      <c r="O30" s="7"/>
      <c r="T30" s="18"/>
      <c r="U30" s="16"/>
      <c r="V30" s="16"/>
      <c r="Z30" s="20"/>
    </row>
    <row r="31" spans="1:26">
      <c r="A31" s="1" t="s">
        <v>330</v>
      </c>
      <c r="B31" s="1">
        <v>24100017</v>
      </c>
      <c r="C31" s="1" t="s">
        <v>79</v>
      </c>
      <c r="D31" s="3"/>
      <c r="E31" s="3"/>
      <c r="F31" s="3"/>
      <c r="G31" s="3"/>
      <c r="H31" s="3"/>
      <c r="I31" s="3"/>
      <c r="J31" s="3"/>
      <c r="K31" s="3"/>
      <c r="N31" s="3"/>
      <c r="O31" s="7"/>
      <c r="T31" s="18"/>
      <c r="U31" s="16"/>
      <c r="V31" s="16"/>
      <c r="Z31" s="20"/>
    </row>
    <row r="32" spans="1:26">
      <c r="A32" s="1" t="s">
        <v>331</v>
      </c>
      <c r="B32" s="1">
        <v>24100018</v>
      </c>
      <c r="C32" s="1" t="s">
        <v>81</v>
      </c>
      <c r="D32" s="3"/>
      <c r="E32" s="3"/>
      <c r="F32" s="3"/>
      <c r="G32" s="3"/>
      <c r="H32" s="3"/>
      <c r="I32" s="3"/>
      <c r="J32" s="3"/>
      <c r="K32" s="3"/>
      <c r="N32" s="3"/>
      <c r="O32" s="7"/>
      <c r="T32" s="18"/>
      <c r="U32" s="16"/>
      <c r="V32" s="16"/>
      <c r="Z32" s="20"/>
    </row>
    <row r="33" spans="1:26">
      <c r="A33" s="1" t="s">
        <v>332</v>
      </c>
      <c r="B33" s="1">
        <v>24100019</v>
      </c>
      <c r="C33" s="1" t="s">
        <v>83</v>
      </c>
      <c r="D33" s="3"/>
      <c r="E33" s="3"/>
      <c r="F33" s="3"/>
      <c r="G33" s="3"/>
      <c r="H33" s="3"/>
      <c r="I33" s="3"/>
      <c r="J33" s="3"/>
      <c r="K33" s="3"/>
      <c r="N33" s="3"/>
      <c r="O33" s="7"/>
      <c r="T33" s="18"/>
      <c r="U33" s="16"/>
      <c r="V33" s="16"/>
      <c r="Z33" s="20"/>
    </row>
    <row r="34" spans="1:26">
      <c r="A34" s="1" t="s">
        <v>333</v>
      </c>
      <c r="B34" s="1">
        <v>24100020</v>
      </c>
      <c r="C34" s="1" t="s">
        <v>85</v>
      </c>
      <c r="D34" s="3"/>
      <c r="E34" s="3"/>
      <c r="F34" s="3"/>
      <c r="G34" s="3"/>
      <c r="H34" s="3"/>
      <c r="I34" s="3"/>
      <c r="J34" s="3"/>
      <c r="K34" s="3"/>
      <c r="N34" s="3"/>
      <c r="O34" s="7"/>
      <c r="T34" s="18"/>
      <c r="U34" s="16"/>
      <c r="V34" s="16"/>
      <c r="Z34" s="20"/>
    </row>
    <row r="35" spans="1:26">
      <c r="A35" s="1" t="s">
        <v>114</v>
      </c>
      <c r="B35" s="1">
        <v>24100021</v>
      </c>
      <c r="C35" s="1" t="s">
        <v>104</v>
      </c>
      <c r="D35" s="3"/>
      <c r="E35" s="3"/>
      <c r="F35" s="3"/>
      <c r="G35" s="3"/>
      <c r="H35" s="3"/>
      <c r="I35" s="3"/>
      <c r="J35" s="3"/>
      <c r="K35" s="3"/>
      <c r="N35" s="3"/>
      <c r="O35" s="7"/>
      <c r="T35" s="18"/>
      <c r="U35" s="16"/>
      <c r="V35" s="16"/>
      <c r="Z35" s="20"/>
    </row>
    <row r="36" spans="1:26">
      <c r="A36" s="1" t="s">
        <v>115</v>
      </c>
      <c r="B36" s="1">
        <v>24100022</v>
      </c>
      <c r="C36" s="1" t="s">
        <v>88</v>
      </c>
      <c r="D36" s="3"/>
      <c r="E36" s="3"/>
      <c r="F36" s="3"/>
      <c r="G36" s="3"/>
      <c r="H36" s="3"/>
      <c r="I36" s="3"/>
      <c r="J36" s="3"/>
      <c r="K36" s="3"/>
      <c r="N36" s="3"/>
      <c r="O36" s="7"/>
      <c r="T36" s="18"/>
      <c r="U36" s="16"/>
      <c r="V36" s="16"/>
      <c r="Z36" s="20"/>
    </row>
    <row r="37" spans="1:26">
      <c r="A37" s="1" t="s">
        <v>117</v>
      </c>
      <c r="B37" s="1">
        <v>24100023</v>
      </c>
      <c r="C37" s="1" t="s">
        <v>90</v>
      </c>
      <c r="D37" s="3"/>
      <c r="E37" s="3"/>
      <c r="F37" s="3"/>
      <c r="G37" s="3"/>
      <c r="H37" s="3"/>
      <c r="I37" s="3"/>
      <c r="J37" s="3"/>
      <c r="K37" s="3"/>
      <c r="N37" s="3"/>
      <c r="O37" s="7"/>
      <c r="T37" s="18"/>
      <c r="U37" s="16"/>
      <c r="V37" s="16"/>
      <c r="Z37" s="20"/>
    </row>
    <row r="38" spans="1:26">
      <c r="A38" s="1" t="s">
        <v>334</v>
      </c>
      <c r="B38" s="1">
        <v>20040001</v>
      </c>
      <c r="C38" s="1" t="s">
        <v>298</v>
      </c>
      <c r="D38" s="3">
        <v>7350057582466</v>
      </c>
      <c r="E38" s="3" t="s">
        <v>335</v>
      </c>
      <c r="F38" s="3" t="s">
        <v>336</v>
      </c>
      <c r="G38" s="3" t="s">
        <v>337</v>
      </c>
      <c r="H38" s="3"/>
      <c r="I38" s="3" t="s">
        <v>338</v>
      </c>
      <c r="J38" s="3" t="str">
        <f t="shared" si="0"/>
        <v>SEK / NOK</v>
      </c>
      <c r="K38" s="3" t="e">
        <f>IF(J38="SEK / NOK",(VLOOKUP(B38,'RRP data'!A:E,2,FALSE)),(IF(J38="DKK",(VLOOKUP('Axkid Template - SE'!B38,'RRP data'!A:E,4,FALSE)),(IF(J38="EUR",(VLOOKUP(B38,'RRP data'!A:E,5,FALSE)))))))</f>
        <v>#N/A</v>
      </c>
      <c r="L38" s="1">
        <v>1</v>
      </c>
      <c r="M38" s="1">
        <v>1</v>
      </c>
      <c r="N38" s="3" t="s">
        <v>339</v>
      </c>
      <c r="O38" s="7" t="s">
        <v>41</v>
      </c>
      <c r="P38" s="3">
        <v>94018000</v>
      </c>
      <c r="Q38" s="1">
        <v>43</v>
      </c>
      <c r="R38" s="1">
        <v>54</v>
      </c>
      <c r="S38" s="1">
        <v>65</v>
      </c>
      <c r="T38" s="18">
        <v>71</v>
      </c>
      <c r="U38" s="16">
        <v>44</v>
      </c>
      <c r="V38" s="16">
        <v>36</v>
      </c>
      <c r="W38" s="1">
        <v>5.6</v>
      </c>
      <c r="X38" s="1">
        <v>3.7</v>
      </c>
      <c r="Y38" s="1" t="s">
        <v>42</v>
      </c>
      <c r="Z38" s="20"/>
    </row>
    <row r="39" spans="1:26">
      <c r="A39" s="1" t="s">
        <v>340</v>
      </c>
      <c r="B39" s="1">
        <v>20040002</v>
      </c>
      <c r="C39" s="1" t="s">
        <v>286</v>
      </c>
      <c r="D39" s="3">
        <v>7350057582473</v>
      </c>
      <c r="E39" s="3" t="s">
        <v>335</v>
      </c>
      <c r="F39" s="3" t="s">
        <v>336</v>
      </c>
      <c r="G39" s="3" t="s">
        <v>337</v>
      </c>
      <c r="H39" s="3"/>
      <c r="I39" s="3" t="s">
        <v>338</v>
      </c>
      <c r="J39" s="3" t="str">
        <f t="shared" si="0"/>
        <v>SEK / NOK</v>
      </c>
      <c r="K39" s="3" t="e">
        <f>IF(J39="SEK / NOK",(VLOOKUP(B39,'RRP data'!A:E,2,FALSE)),(IF(J39="DKK",(VLOOKUP('Axkid Template - SE'!B39,'RRP data'!A:E,4,FALSE)),(IF(J39="EUR",(VLOOKUP(B39,'RRP data'!A:E,5,FALSE)))))))</f>
        <v>#N/A</v>
      </c>
      <c r="L39" s="1">
        <v>1</v>
      </c>
      <c r="M39" s="1">
        <v>1</v>
      </c>
      <c r="N39" s="3" t="s">
        <v>339</v>
      </c>
      <c r="O39" s="7" t="s">
        <v>41</v>
      </c>
      <c r="P39" s="3">
        <v>94018000</v>
      </c>
      <c r="Q39" s="1">
        <v>43</v>
      </c>
      <c r="R39" s="1">
        <v>54</v>
      </c>
      <c r="S39" s="1">
        <v>65</v>
      </c>
      <c r="T39" s="18">
        <v>71</v>
      </c>
      <c r="U39" s="16">
        <v>44</v>
      </c>
      <c r="V39" s="16">
        <v>36</v>
      </c>
      <c r="W39" s="1">
        <v>5.6</v>
      </c>
      <c r="X39" s="1">
        <v>3.7</v>
      </c>
      <c r="Y39" s="1" t="s">
        <v>42</v>
      </c>
      <c r="Z39" s="20"/>
    </row>
    <row r="40" spans="1:26">
      <c r="A40" s="1" t="s">
        <v>341</v>
      </c>
      <c r="B40" s="1">
        <v>20040003</v>
      </c>
      <c r="C40" s="1" t="s">
        <v>293</v>
      </c>
      <c r="D40" s="3">
        <v>7350057582480</v>
      </c>
      <c r="E40" s="3" t="s">
        <v>335</v>
      </c>
      <c r="F40" s="3" t="s">
        <v>336</v>
      </c>
      <c r="G40" s="3" t="s">
        <v>337</v>
      </c>
      <c r="H40" s="3"/>
      <c r="I40" s="3" t="s">
        <v>338</v>
      </c>
      <c r="J40" s="3" t="str">
        <f t="shared" si="0"/>
        <v>SEK / NOK</v>
      </c>
      <c r="K40" s="3" t="e">
        <f>IF(J40="SEK / NOK",(VLOOKUP(B40,'RRP data'!A:E,2,FALSE)),(IF(J40="DKK",(VLOOKUP('Axkid Template - SE'!B40,'RRP data'!A:E,4,FALSE)),(IF(J40="EUR",(VLOOKUP(B40,'RRP data'!A:E,5,FALSE)))))))</f>
        <v>#N/A</v>
      </c>
      <c r="L40" s="1">
        <v>1</v>
      </c>
      <c r="M40" s="1">
        <v>1</v>
      </c>
      <c r="N40" s="3" t="s">
        <v>339</v>
      </c>
      <c r="O40" s="7" t="s">
        <v>41</v>
      </c>
      <c r="P40" s="3">
        <v>94018000</v>
      </c>
      <c r="Q40" s="1">
        <v>43</v>
      </c>
      <c r="R40" s="1">
        <v>54</v>
      </c>
      <c r="S40" s="1">
        <v>65</v>
      </c>
      <c r="T40" s="18">
        <v>71</v>
      </c>
      <c r="U40" s="16">
        <v>44</v>
      </c>
      <c r="V40" s="16">
        <v>36</v>
      </c>
      <c r="W40" s="1">
        <v>5.6</v>
      </c>
      <c r="X40" s="1">
        <v>3.7</v>
      </c>
      <c r="Y40" s="1" t="s">
        <v>42</v>
      </c>
      <c r="Z40" s="20"/>
    </row>
    <row r="41" spans="1:26">
      <c r="A41" s="1" t="s">
        <v>342</v>
      </c>
      <c r="B41" s="1">
        <v>20040011</v>
      </c>
      <c r="C41" s="1" t="s">
        <v>148</v>
      </c>
      <c r="D41" s="3">
        <v>7350057582497</v>
      </c>
      <c r="E41" s="3" t="s">
        <v>335</v>
      </c>
      <c r="F41" s="3" t="s">
        <v>336</v>
      </c>
      <c r="G41" s="3" t="s">
        <v>337</v>
      </c>
      <c r="H41" s="3"/>
      <c r="I41" s="3" t="s">
        <v>338</v>
      </c>
      <c r="J41" s="3" t="str">
        <f t="shared" si="0"/>
        <v>SEK / NOK</v>
      </c>
      <c r="K41" s="3" t="e">
        <f>IF(J41="SEK / NOK",(VLOOKUP(B41,'RRP data'!A:E,2,FALSE)),(IF(J41="DKK",(VLOOKUP('Axkid Template - SE'!B41,'RRP data'!A:E,4,FALSE)),(IF(J41="EUR",(VLOOKUP(B41,'RRP data'!A:E,5,FALSE)))))))</f>
        <v>#N/A</v>
      </c>
      <c r="L41" s="1">
        <v>1</v>
      </c>
      <c r="M41" s="1">
        <v>1</v>
      </c>
      <c r="N41" s="3" t="s">
        <v>339</v>
      </c>
      <c r="O41" s="7" t="s">
        <v>41</v>
      </c>
      <c r="P41" s="3">
        <v>94018000</v>
      </c>
      <c r="Q41" s="1">
        <v>43</v>
      </c>
      <c r="R41" s="1">
        <v>54</v>
      </c>
      <c r="S41" s="1">
        <v>65</v>
      </c>
      <c r="T41" s="18">
        <v>71</v>
      </c>
      <c r="U41" s="16">
        <v>44</v>
      </c>
      <c r="V41" s="16">
        <v>36</v>
      </c>
      <c r="W41" s="1">
        <v>5.6</v>
      </c>
      <c r="X41" s="1">
        <v>3.7</v>
      </c>
      <c r="Y41" s="1" t="s">
        <v>42</v>
      </c>
      <c r="Z41" s="20"/>
    </row>
    <row r="42" spans="1:26">
      <c r="A42" s="1" t="s">
        <v>343</v>
      </c>
      <c r="B42" s="1">
        <v>20040013</v>
      </c>
      <c r="C42" s="1" t="s">
        <v>310</v>
      </c>
      <c r="D42" s="3">
        <v>7350057582510</v>
      </c>
      <c r="E42" s="3" t="s">
        <v>335</v>
      </c>
      <c r="F42" s="3" t="s">
        <v>336</v>
      </c>
      <c r="G42" s="3" t="s">
        <v>337</v>
      </c>
      <c r="H42" s="3"/>
      <c r="I42" s="3" t="s">
        <v>338</v>
      </c>
      <c r="J42" s="3" t="str">
        <f t="shared" si="0"/>
        <v>SEK / NOK</v>
      </c>
      <c r="K42" s="3" t="e">
        <f>IF(J42="SEK / NOK",(VLOOKUP(B42,'RRP data'!A:E,2,FALSE)),(IF(J42="DKK",(VLOOKUP('Axkid Template - SE'!B42,'RRP data'!A:E,4,FALSE)),(IF(J42="EUR",(VLOOKUP(B42,'RRP data'!A:E,5,FALSE)))))))</f>
        <v>#N/A</v>
      </c>
      <c r="L42" s="1">
        <v>1</v>
      </c>
      <c r="M42" s="1">
        <v>1</v>
      </c>
      <c r="N42" s="3" t="s">
        <v>339</v>
      </c>
      <c r="O42" s="7" t="s">
        <v>41</v>
      </c>
      <c r="P42" s="3">
        <v>94018000</v>
      </c>
      <c r="Q42" s="1">
        <v>43</v>
      </c>
      <c r="R42" s="1">
        <v>54</v>
      </c>
      <c r="S42" s="1">
        <v>65</v>
      </c>
      <c r="T42" s="18">
        <v>71</v>
      </c>
      <c r="U42" s="16">
        <v>44</v>
      </c>
      <c r="V42" s="16">
        <v>36</v>
      </c>
      <c r="W42" s="1">
        <v>5.6</v>
      </c>
      <c r="X42" s="1">
        <v>3.7</v>
      </c>
      <c r="Y42" s="1" t="s">
        <v>42</v>
      </c>
      <c r="Z42" s="20"/>
    </row>
    <row r="43" spans="1:26">
      <c r="A43" s="1" t="s">
        <v>344</v>
      </c>
      <c r="B43" s="1">
        <v>21020003</v>
      </c>
      <c r="C43" s="1" t="s">
        <v>293</v>
      </c>
      <c r="D43" s="3">
        <v>7350057582732</v>
      </c>
      <c r="E43" s="3" t="s">
        <v>335</v>
      </c>
      <c r="F43" s="3" t="s">
        <v>345</v>
      </c>
      <c r="G43" s="3" t="s">
        <v>346</v>
      </c>
      <c r="H43" s="3"/>
      <c r="I43" s="3" t="s">
        <v>346</v>
      </c>
      <c r="J43" s="3" t="str">
        <f t="shared" si="0"/>
        <v>SEK / NOK</v>
      </c>
      <c r="K43" s="3" t="str">
        <f>IF(J43="SEK / NOK",(VLOOKUP(B43,'RRP data'!A:E,2,FALSE)),(IF(J43="DKK",(VLOOKUP('Axkid Template - SE'!B43,'RRP data'!A:E,4,FALSE)),(IF(J43="EUR",(VLOOKUP(B43,'RRP data'!A:E,5,FALSE)))))))</f>
        <v>Axkid Modukid Base</v>
      </c>
      <c r="L43" s="1">
        <v>1</v>
      </c>
      <c r="M43" s="1">
        <v>1</v>
      </c>
      <c r="N43" s="3" t="s">
        <v>347</v>
      </c>
      <c r="O43" s="7" t="s">
        <v>41</v>
      </c>
      <c r="P43" s="3">
        <v>94018000</v>
      </c>
      <c r="Q43" s="1">
        <v>43</v>
      </c>
      <c r="R43" s="1">
        <v>30</v>
      </c>
      <c r="S43" s="1">
        <v>65</v>
      </c>
      <c r="T43" s="18">
        <v>61</v>
      </c>
      <c r="U43" s="16">
        <v>39</v>
      </c>
      <c r="V43" s="16">
        <v>23</v>
      </c>
      <c r="W43" s="1">
        <v>8.8000000000000007</v>
      </c>
      <c r="X43" s="1">
        <v>7</v>
      </c>
      <c r="Y43" s="1" t="s">
        <v>42</v>
      </c>
      <c r="Z43" s="20"/>
    </row>
    <row r="44" spans="1:26">
      <c r="A44" s="1" t="s">
        <v>348</v>
      </c>
      <c r="B44" s="1">
        <v>24100001</v>
      </c>
      <c r="C44" s="1" t="s">
        <v>298</v>
      </c>
      <c r="D44" s="3">
        <v>7350057582671</v>
      </c>
      <c r="E44" s="3" t="s">
        <v>335</v>
      </c>
      <c r="F44" s="3" t="s">
        <v>349</v>
      </c>
      <c r="G44" s="3" t="s">
        <v>350</v>
      </c>
      <c r="H44" s="3"/>
      <c r="I44" s="3" t="s">
        <v>351</v>
      </c>
      <c r="J44" s="3" t="str">
        <f t="shared" si="0"/>
        <v>SEK / NOK</v>
      </c>
      <c r="K44" s="3" t="e">
        <f>IF(J44="SEK / NOK",(VLOOKUP(B44,'RRP data'!A:E,2,FALSE)),(IF(J44="DKK",(VLOOKUP('Axkid Template - SE'!B44,'RRP data'!A:E,4,FALSE)),(IF(J44="EUR",(VLOOKUP(B44,'RRP data'!A:E,5,FALSE)))))))</f>
        <v>#N/A</v>
      </c>
      <c r="L44" s="1">
        <v>1</v>
      </c>
      <c r="M44" s="1">
        <v>1</v>
      </c>
      <c r="N44" s="3" t="s">
        <v>352</v>
      </c>
      <c r="O44" s="7" t="s">
        <v>41</v>
      </c>
      <c r="P44" s="3">
        <v>94018000</v>
      </c>
      <c r="Q44" s="1">
        <v>43</v>
      </c>
      <c r="R44" s="1">
        <v>62</v>
      </c>
      <c r="S44" s="1">
        <v>52</v>
      </c>
      <c r="T44" s="18">
        <v>71</v>
      </c>
      <c r="U44" s="16">
        <v>47</v>
      </c>
      <c r="V44" s="16">
        <v>44</v>
      </c>
      <c r="W44" s="1">
        <v>10.5</v>
      </c>
      <c r="X44" s="1">
        <v>7.5</v>
      </c>
      <c r="Y44" s="1" t="s">
        <v>42</v>
      </c>
      <c r="Z44" s="20"/>
    </row>
    <row r="45" spans="1:26">
      <c r="A45" s="1" t="s">
        <v>353</v>
      </c>
      <c r="B45" s="1">
        <v>24100002</v>
      </c>
      <c r="C45" s="1" t="s">
        <v>286</v>
      </c>
      <c r="D45" s="3">
        <v>7350057582688</v>
      </c>
      <c r="E45" s="3" t="s">
        <v>335</v>
      </c>
      <c r="F45" s="3" t="s">
        <v>349</v>
      </c>
      <c r="G45" s="3" t="s">
        <v>350</v>
      </c>
      <c r="H45" s="3"/>
      <c r="I45" s="3" t="s">
        <v>351</v>
      </c>
      <c r="J45" s="3" t="str">
        <f t="shared" si="0"/>
        <v>SEK / NOK</v>
      </c>
      <c r="K45" s="3" t="e">
        <f>IF(J45="SEK / NOK",(VLOOKUP(B45,'RRP data'!A:E,2,FALSE)),(IF(J45="DKK",(VLOOKUP('Axkid Template - SE'!B45,'RRP data'!A:E,4,FALSE)),(IF(J45="EUR",(VLOOKUP(B45,'RRP data'!A:E,5,FALSE)))))))</f>
        <v>#N/A</v>
      </c>
      <c r="L45" s="1">
        <v>1</v>
      </c>
      <c r="M45" s="1">
        <v>1</v>
      </c>
      <c r="N45" s="3" t="s">
        <v>352</v>
      </c>
      <c r="O45" s="7" t="s">
        <v>41</v>
      </c>
      <c r="P45" s="3">
        <v>94018000</v>
      </c>
      <c r="Q45" s="1">
        <v>43</v>
      </c>
      <c r="R45" s="1">
        <v>62</v>
      </c>
      <c r="S45" s="1">
        <v>52</v>
      </c>
      <c r="T45" s="18">
        <v>71</v>
      </c>
      <c r="U45" s="16">
        <v>47</v>
      </c>
      <c r="V45" s="16">
        <v>44</v>
      </c>
      <c r="W45" s="1">
        <v>10.5</v>
      </c>
      <c r="X45" s="1">
        <v>7.5</v>
      </c>
      <c r="Y45" s="1" t="s">
        <v>42</v>
      </c>
      <c r="Z45" s="20"/>
    </row>
    <row r="46" spans="1:26">
      <c r="A46" s="1" t="s">
        <v>354</v>
      </c>
      <c r="B46" s="1">
        <v>24100003</v>
      </c>
      <c r="C46" s="1" t="s">
        <v>293</v>
      </c>
      <c r="D46" s="3">
        <v>7350057582695</v>
      </c>
      <c r="E46" s="3" t="s">
        <v>335</v>
      </c>
      <c r="F46" s="3" t="s">
        <v>349</v>
      </c>
      <c r="G46" s="3" t="s">
        <v>350</v>
      </c>
      <c r="H46" s="3"/>
      <c r="I46" s="3" t="s">
        <v>351</v>
      </c>
      <c r="J46" s="3" t="str">
        <f t="shared" si="0"/>
        <v>SEK / NOK</v>
      </c>
      <c r="K46" s="3" t="e">
        <f>IF(J46="SEK / NOK",(VLOOKUP(B46,'RRP data'!A:E,2,FALSE)),(IF(J46="DKK",(VLOOKUP('Axkid Template - SE'!B46,'RRP data'!A:E,4,FALSE)),(IF(J46="EUR",(VLOOKUP(B46,'RRP data'!A:E,5,FALSE)))))))</f>
        <v>#N/A</v>
      </c>
      <c r="L46" s="1">
        <v>1</v>
      </c>
      <c r="M46" s="1">
        <v>1</v>
      </c>
      <c r="N46" s="3" t="s">
        <v>352</v>
      </c>
      <c r="O46" s="7" t="s">
        <v>41</v>
      </c>
      <c r="P46" s="3">
        <v>94018000</v>
      </c>
      <c r="Q46" s="1">
        <v>43</v>
      </c>
      <c r="R46" s="1">
        <v>62</v>
      </c>
      <c r="S46" s="1">
        <v>52</v>
      </c>
      <c r="T46" s="18">
        <v>71</v>
      </c>
      <c r="U46" s="16">
        <v>47</v>
      </c>
      <c r="V46" s="16">
        <v>44</v>
      </c>
      <c r="W46" s="1">
        <v>10.5</v>
      </c>
      <c r="X46" s="1">
        <v>7.5</v>
      </c>
      <c r="Y46" s="1" t="s">
        <v>42</v>
      </c>
      <c r="Z46" s="20"/>
    </row>
    <row r="47" spans="1:26">
      <c r="A47" s="1" t="s">
        <v>355</v>
      </c>
      <c r="B47" s="1">
        <v>24100011</v>
      </c>
      <c r="C47" s="1" t="s">
        <v>148</v>
      </c>
      <c r="D47" s="3">
        <v>7350057582701</v>
      </c>
      <c r="E47" s="3" t="s">
        <v>335</v>
      </c>
      <c r="F47" s="3" t="s">
        <v>349</v>
      </c>
      <c r="G47" s="3" t="s">
        <v>350</v>
      </c>
      <c r="H47" s="3"/>
      <c r="I47" s="3" t="s">
        <v>351</v>
      </c>
      <c r="J47" s="3" t="str">
        <f t="shared" si="0"/>
        <v>SEK / NOK</v>
      </c>
      <c r="K47" s="3" t="e">
        <f>IF(J47="SEK / NOK",(VLOOKUP(B47,'RRP data'!A:E,2,FALSE)),(IF(J47="DKK",(VLOOKUP('Axkid Template - SE'!B47,'RRP data'!A:E,4,FALSE)),(IF(J47="EUR",(VLOOKUP(B47,'RRP data'!A:E,5,FALSE)))))))</f>
        <v>#N/A</v>
      </c>
      <c r="L47" s="1">
        <v>1</v>
      </c>
      <c r="M47" s="1">
        <v>1</v>
      </c>
      <c r="N47" s="3" t="s">
        <v>352</v>
      </c>
      <c r="O47" s="7" t="s">
        <v>41</v>
      </c>
      <c r="P47" s="3">
        <v>94018000</v>
      </c>
      <c r="Q47" s="1">
        <v>43</v>
      </c>
      <c r="R47" s="1">
        <v>62</v>
      </c>
      <c r="S47" s="1">
        <v>52</v>
      </c>
      <c r="T47" s="18">
        <v>71</v>
      </c>
      <c r="U47" s="16">
        <v>47</v>
      </c>
      <c r="V47" s="16">
        <v>44</v>
      </c>
      <c r="W47" s="1">
        <v>10.5</v>
      </c>
      <c r="X47" s="1">
        <v>7.5</v>
      </c>
      <c r="Y47" s="1" t="s">
        <v>42</v>
      </c>
      <c r="Z47" s="20"/>
    </row>
    <row r="48" spans="1:26">
      <c r="A48" s="1" t="s">
        <v>356</v>
      </c>
      <c r="B48" s="1">
        <v>24100013</v>
      </c>
      <c r="C48" s="1" t="s">
        <v>310</v>
      </c>
      <c r="D48" s="3">
        <v>7350057582718</v>
      </c>
      <c r="E48" s="3" t="s">
        <v>335</v>
      </c>
      <c r="F48" s="3" t="s">
        <v>349</v>
      </c>
      <c r="G48" s="3" t="s">
        <v>350</v>
      </c>
      <c r="H48" s="3"/>
      <c r="I48" s="3" t="s">
        <v>351</v>
      </c>
      <c r="J48" s="3" t="str">
        <f t="shared" si="0"/>
        <v>SEK / NOK</v>
      </c>
      <c r="K48" s="3" t="e">
        <f>IF(J48="SEK / NOK",(VLOOKUP(B48,'RRP data'!A:E,2,FALSE)),(IF(J48="DKK",(VLOOKUP('Axkid Template - SE'!B48,'RRP data'!A:E,4,FALSE)),(IF(J48="EUR",(VLOOKUP(B48,'RRP data'!A:E,5,FALSE)))))))</f>
        <v>#N/A</v>
      </c>
      <c r="L48" s="1">
        <v>1</v>
      </c>
      <c r="M48" s="1">
        <v>1</v>
      </c>
      <c r="N48" s="3" t="s">
        <v>352</v>
      </c>
      <c r="O48" s="7" t="s">
        <v>41</v>
      </c>
      <c r="P48" s="3">
        <v>94018000</v>
      </c>
      <c r="Q48" s="1">
        <v>43</v>
      </c>
      <c r="R48" s="1">
        <v>62</v>
      </c>
      <c r="S48" s="1">
        <v>52</v>
      </c>
      <c r="T48" s="18">
        <v>71</v>
      </c>
      <c r="U48" s="16">
        <v>47</v>
      </c>
      <c r="V48" s="16">
        <v>44</v>
      </c>
      <c r="W48" s="1">
        <v>10.5</v>
      </c>
      <c r="X48" s="1">
        <v>7.5</v>
      </c>
      <c r="Y48" s="1" t="s">
        <v>42</v>
      </c>
      <c r="Z48" s="20"/>
    </row>
    <row r="49" spans="1:26">
      <c r="A49" s="1" t="s">
        <v>357</v>
      </c>
      <c r="B49" s="1">
        <v>25110016</v>
      </c>
      <c r="C49" s="1" t="s">
        <v>76</v>
      </c>
      <c r="D49" s="3">
        <v>7350057584590</v>
      </c>
      <c r="E49" s="3" t="s">
        <v>335</v>
      </c>
      <c r="F49" s="3" t="s">
        <v>358</v>
      </c>
      <c r="G49" s="3"/>
      <c r="H49" s="3"/>
      <c r="I49" s="3"/>
      <c r="J49" s="3" t="str">
        <f t="shared" ref="J49:J56" si="1">$J$1</f>
        <v>SEK / NOK</v>
      </c>
      <c r="K49" s="3" t="str">
        <f>IF(J49="SEK / NOK",(VLOOKUP(B49,'RRP data'!A:E,2,FALSE)),(IF(J49="DKK",(VLOOKUP('Axkid Template - SE'!B49,'RRP data'!A:E,4,FALSE)),(IF(J49="EUR",(VLOOKUP(B49,'RRP data'!A:E,5,FALSE)))))))</f>
        <v>Axkid ONE Tar</v>
      </c>
      <c r="L49" s="12">
        <v>1</v>
      </c>
      <c r="M49" s="12">
        <v>1</v>
      </c>
      <c r="N49" s="3"/>
      <c r="O49" s="7" t="s">
        <v>41</v>
      </c>
      <c r="P49" s="3">
        <v>94018000</v>
      </c>
      <c r="T49" s="18"/>
      <c r="U49" s="16"/>
      <c r="V49" s="16"/>
    </row>
    <row r="50" spans="1:26">
      <c r="A50" s="1" t="s">
        <v>359</v>
      </c>
      <c r="B50" s="1">
        <v>25110021</v>
      </c>
      <c r="C50" s="1" t="s">
        <v>88</v>
      </c>
      <c r="D50" s="3">
        <v>7350057584606</v>
      </c>
      <c r="E50" s="3" t="s">
        <v>335</v>
      </c>
      <c r="F50" s="3" t="s">
        <v>358</v>
      </c>
      <c r="G50" s="3"/>
      <c r="H50" s="3"/>
      <c r="I50" s="3"/>
      <c r="J50" s="3" t="str">
        <f t="shared" si="1"/>
        <v>SEK / NOK</v>
      </c>
      <c r="K50" s="3" t="str">
        <f>IF(J50="SEK / NOK",(VLOOKUP(B50,'RRP data'!A:E,2,FALSE)),(IF(J50="DKK",(VLOOKUP('Axkid Template - SE'!B50,'RRP data'!A:E,4,FALSE)),(IF(J50="EUR",(VLOOKUP(B50,'RRP data'!A:E,5,FALSE)))))))</f>
        <v>Axkid ONE Granite Melange</v>
      </c>
      <c r="L50" s="12">
        <v>1</v>
      </c>
      <c r="M50" s="12">
        <v>1</v>
      </c>
      <c r="N50" s="3"/>
      <c r="O50" s="7" t="s">
        <v>41</v>
      </c>
      <c r="P50" s="3">
        <v>94018000</v>
      </c>
      <c r="T50" s="18"/>
      <c r="U50" s="16"/>
      <c r="V50" s="16"/>
    </row>
    <row r="51" spans="1:26">
      <c r="A51" s="1" t="s">
        <v>360</v>
      </c>
      <c r="B51" s="1">
        <v>25110024</v>
      </c>
      <c r="C51" s="1" t="s">
        <v>135</v>
      </c>
      <c r="D51" s="3">
        <v>7350057584613</v>
      </c>
      <c r="E51" s="3" t="s">
        <v>335</v>
      </c>
      <c r="F51" s="3" t="s">
        <v>358</v>
      </c>
      <c r="G51" s="3"/>
      <c r="H51" s="3"/>
      <c r="I51" s="3"/>
      <c r="J51" s="3" t="str">
        <f t="shared" si="1"/>
        <v>SEK / NOK</v>
      </c>
      <c r="K51" s="3" t="str">
        <f>IF(J51="SEK / NOK",(VLOOKUP(B51,'RRP data'!A:E,2,FALSE)),(IF(J51="DKK",(VLOOKUP('Axkid Template - SE'!B51,'RRP data'!A:E,4,FALSE)),(IF(J51="EUR",(VLOOKUP(B51,'RRP data'!A:E,5,FALSE)))))))</f>
        <v>Axkid ONE Brick Melange</v>
      </c>
      <c r="L51" s="12">
        <v>1</v>
      </c>
      <c r="M51" s="12">
        <v>1</v>
      </c>
      <c r="N51" s="3"/>
      <c r="O51" s="7" t="s">
        <v>41</v>
      </c>
      <c r="P51" s="3">
        <v>94018000</v>
      </c>
      <c r="T51" s="18"/>
      <c r="U51" s="16"/>
      <c r="V51" s="16"/>
    </row>
    <row r="52" spans="1:26">
      <c r="A52" s="1" t="s">
        <v>361</v>
      </c>
      <c r="B52" s="1">
        <v>25110025</v>
      </c>
      <c r="C52" s="1" t="s">
        <v>137</v>
      </c>
      <c r="D52" s="3">
        <v>7350057584620</v>
      </c>
      <c r="E52" s="3" t="s">
        <v>335</v>
      </c>
      <c r="F52" s="3" t="s">
        <v>358</v>
      </c>
      <c r="G52" s="3"/>
      <c r="H52" s="3"/>
      <c r="I52" s="3"/>
      <c r="J52" s="3" t="str">
        <f t="shared" si="1"/>
        <v>SEK / NOK</v>
      </c>
      <c r="K52" s="3" t="str">
        <f>IF(J52="SEK / NOK",(VLOOKUP(B52,'RRP data'!A:E,2,FALSE)),(IF(J52="DKK",(VLOOKUP('Axkid Template - SE'!B52,'RRP data'!A:E,4,FALSE)),(IF(J52="EUR",(VLOOKUP(B52,'RRP data'!A:E,5,FALSE)))))))</f>
        <v>Axkid ONE Tile Melange</v>
      </c>
      <c r="L52" s="12">
        <v>1</v>
      </c>
      <c r="M52" s="12">
        <v>1</v>
      </c>
      <c r="N52" s="3"/>
      <c r="O52" s="7" t="s">
        <v>41</v>
      </c>
      <c r="P52" s="3">
        <v>94018000</v>
      </c>
      <c r="T52" s="18"/>
      <c r="U52" s="16"/>
      <c r="V52" s="16"/>
    </row>
    <row r="53" spans="1:26">
      <c r="A53" s="1" t="s">
        <v>362</v>
      </c>
      <c r="B53" s="1">
        <v>25120016</v>
      </c>
      <c r="C53" s="1" t="s">
        <v>76</v>
      </c>
      <c r="D53" s="3">
        <v>7350057584637</v>
      </c>
      <c r="E53" s="3" t="s">
        <v>335</v>
      </c>
      <c r="F53" s="3" t="s">
        <v>358</v>
      </c>
      <c r="G53" s="3"/>
      <c r="H53" s="3"/>
      <c r="I53" s="3"/>
      <c r="J53" s="3" t="str">
        <f t="shared" si="1"/>
        <v>SEK / NOK</v>
      </c>
      <c r="K53" s="3" t="str">
        <f>IF(J53="SEK / NOK",(VLOOKUP(B53,'RRP data'!A:E,2,FALSE)),(IF(J53="DKK",(VLOOKUP('Axkid Template - SE'!B53,'RRP data'!A:E,4,FALSE)),(IF(J53="EUR",(VLOOKUP(B53,'RRP data'!A:E,5,FALSE)))))))</f>
        <v>Axkid ONE + Tar</v>
      </c>
      <c r="L53" s="12">
        <v>1</v>
      </c>
      <c r="M53" s="12">
        <v>1</v>
      </c>
      <c r="N53" s="3"/>
      <c r="O53" s="7" t="s">
        <v>41</v>
      </c>
      <c r="P53" s="3">
        <v>94018000</v>
      </c>
      <c r="T53" s="18"/>
      <c r="U53" s="16"/>
      <c r="V53" s="16"/>
    </row>
    <row r="54" spans="1:26">
      <c r="A54" s="1" t="s">
        <v>363</v>
      </c>
      <c r="B54" s="1">
        <v>25120021</v>
      </c>
      <c r="C54" s="1" t="s">
        <v>88</v>
      </c>
      <c r="D54" s="3">
        <v>7350057584644</v>
      </c>
      <c r="E54" s="3" t="s">
        <v>335</v>
      </c>
      <c r="F54" s="3" t="s">
        <v>358</v>
      </c>
      <c r="G54" s="3"/>
      <c r="H54" s="3"/>
      <c r="I54" s="3"/>
      <c r="J54" s="3" t="str">
        <f t="shared" si="1"/>
        <v>SEK / NOK</v>
      </c>
      <c r="K54" s="3" t="str">
        <f>IF(J54="SEK / NOK",(VLOOKUP(B54,'RRP data'!A:E,2,FALSE)),(IF(J54="DKK",(VLOOKUP('Axkid Template - SE'!B54,'RRP data'!A:E,4,FALSE)),(IF(J54="EUR",(VLOOKUP(B54,'RRP data'!A:E,5,FALSE)))))))</f>
        <v>Axkid ONE + Granite Melange</v>
      </c>
      <c r="L54" s="12">
        <v>1</v>
      </c>
      <c r="M54" s="12">
        <v>1</v>
      </c>
      <c r="N54" s="3"/>
      <c r="O54" s="7" t="s">
        <v>41</v>
      </c>
      <c r="P54" s="3">
        <v>94018000</v>
      </c>
      <c r="T54" s="18"/>
      <c r="U54" s="16"/>
      <c r="V54" s="16"/>
    </row>
    <row r="55" spans="1:26">
      <c r="A55" s="1" t="s">
        <v>364</v>
      </c>
      <c r="B55" s="1">
        <v>25120024</v>
      </c>
      <c r="C55" s="1" t="s">
        <v>135</v>
      </c>
      <c r="D55" s="3">
        <v>7350057584651</v>
      </c>
      <c r="E55" s="3" t="s">
        <v>335</v>
      </c>
      <c r="F55" s="3" t="s">
        <v>358</v>
      </c>
      <c r="G55" s="3"/>
      <c r="H55" s="3"/>
      <c r="I55" s="3"/>
      <c r="J55" s="3" t="str">
        <f t="shared" si="1"/>
        <v>SEK / NOK</v>
      </c>
      <c r="K55" s="3" t="str">
        <f>IF(J55="SEK / NOK",(VLOOKUP(B55,'RRP data'!A:E,2,FALSE)),(IF(J55="DKK",(VLOOKUP('Axkid Template - SE'!B55,'RRP data'!A:E,4,FALSE)),(IF(J55="EUR",(VLOOKUP(B55,'RRP data'!A:E,5,FALSE)))))))</f>
        <v>Axkid ONE + Brick Melange</v>
      </c>
      <c r="L55" s="12">
        <v>1</v>
      </c>
      <c r="M55" s="12">
        <v>1</v>
      </c>
      <c r="N55" s="3"/>
      <c r="O55" s="7" t="s">
        <v>41</v>
      </c>
      <c r="P55" s="3">
        <v>94018000</v>
      </c>
      <c r="T55" s="18"/>
      <c r="U55" s="16"/>
      <c r="V55" s="16"/>
    </row>
    <row r="56" spans="1:26">
      <c r="A56" s="1" t="s">
        <v>365</v>
      </c>
      <c r="B56" s="1">
        <v>25120025</v>
      </c>
      <c r="C56" s="1" t="s">
        <v>137</v>
      </c>
      <c r="D56" s="3">
        <v>7350057584668</v>
      </c>
      <c r="E56" s="3" t="s">
        <v>335</v>
      </c>
      <c r="F56" s="3" t="s">
        <v>358</v>
      </c>
      <c r="G56" s="3"/>
      <c r="H56" s="3"/>
      <c r="I56" s="3"/>
      <c r="J56" s="3" t="str">
        <f t="shared" si="1"/>
        <v>SEK / NOK</v>
      </c>
      <c r="K56" s="3" t="str">
        <f>IF(J56="SEK / NOK",(VLOOKUP(B56,'RRP data'!A:E,2,FALSE)),(IF(J56="DKK",(VLOOKUP('Axkid Template - SE'!B56,'RRP data'!A:E,4,FALSE)),(IF(J56="EUR",(VLOOKUP(B56,'RRP data'!A:E,5,FALSE)))))))</f>
        <v>Axkid ONE + Tile Melange</v>
      </c>
      <c r="L56" s="12">
        <v>1</v>
      </c>
      <c r="M56" s="12">
        <v>1</v>
      </c>
      <c r="N56" s="3"/>
      <c r="O56" s="7" t="s">
        <v>41</v>
      </c>
      <c r="P56" s="3">
        <v>94018000</v>
      </c>
      <c r="T56" s="18"/>
      <c r="U56" s="16"/>
      <c r="V56" s="16"/>
    </row>
    <row r="57" spans="1:26">
      <c r="A57" s="1" t="s">
        <v>366</v>
      </c>
      <c r="B57" s="1">
        <v>260301</v>
      </c>
      <c r="C57" s="1" t="s">
        <v>298</v>
      </c>
      <c r="D57" s="3">
        <v>7350057581841</v>
      </c>
      <c r="E57" s="3" t="s">
        <v>367</v>
      </c>
      <c r="F57" s="3" t="s">
        <v>300</v>
      </c>
      <c r="G57" s="3" t="s">
        <v>170</v>
      </c>
      <c r="H57" s="3"/>
      <c r="I57" s="3" t="s">
        <v>368</v>
      </c>
      <c r="J57" s="3" t="str">
        <f t="shared" si="0"/>
        <v>SEK / NOK</v>
      </c>
      <c r="K57" s="3" t="str">
        <f>IF(J57="SEK / NOK",(VLOOKUP(B57,'RRP data'!A:E,2,FALSE)),(IF(J57="DKK",(VLOOKUP('Axkid Template - SE'!B57,'RRP data'!A:E,4,FALSE)),(IF(J57="EUR",(VLOOKUP(B57,'RRP data'!A:E,5,FALSE)))))))</f>
        <v>Axkid Rekid Red</v>
      </c>
      <c r="L57" s="1">
        <v>1</v>
      </c>
      <c r="M57" s="1">
        <v>1</v>
      </c>
      <c r="N57" s="3" t="s">
        <v>369</v>
      </c>
      <c r="O57" s="7" t="s">
        <v>41</v>
      </c>
      <c r="P57" s="3">
        <v>94018000</v>
      </c>
      <c r="Q57" s="1">
        <v>44</v>
      </c>
      <c r="R57" s="1">
        <v>62</v>
      </c>
      <c r="S57" s="1">
        <v>58</v>
      </c>
      <c r="T57" s="18">
        <v>46</v>
      </c>
      <c r="U57" s="16">
        <v>58</v>
      </c>
      <c r="V57" s="16">
        <v>66</v>
      </c>
      <c r="W57" s="1">
        <v>16.8</v>
      </c>
      <c r="X57" s="1">
        <v>14.1</v>
      </c>
      <c r="Y57" s="1" t="s">
        <v>42</v>
      </c>
      <c r="Z57" s="20" t="s">
        <v>370</v>
      </c>
    </row>
    <row r="58" spans="1:26">
      <c r="A58" s="1" t="s">
        <v>371</v>
      </c>
      <c r="B58" s="1">
        <v>260302</v>
      </c>
      <c r="C58" s="1" t="s">
        <v>286</v>
      </c>
      <c r="D58" s="3">
        <v>7350057581858</v>
      </c>
      <c r="E58" s="3" t="s">
        <v>367</v>
      </c>
      <c r="F58" s="3" t="s">
        <v>300</v>
      </c>
      <c r="G58" s="3" t="s">
        <v>170</v>
      </c>
      <c r="H58" s="3"/>
      <c r="I58" s="3" t="s">
        <v>368</v>
      </c>
      <c r="J58" s="3" t="str">
        <f t="shared" si="0"/>
        <v>SEK / NOK</v>
      </c>
      <c r="K58" s="3" t="str">
        <f>IF(J58="SEK / NOK",(VLOOKUP(B58,'RRP data'!A:E,2,FALSE)),(IF(J58="DKK",(VLOOKUP('Axkid Template - SE'!B58,'RRP data'!A:E,4,FALSE)),(IF(J58="EUR",(VLOOKUP(B58,'RRP data'!A:E,5,FALSE)))))))</f>
        <v>Axkid Rekid Grey</v>
      </c>
      <c r="L58" s="1">
        <v>1</v>
      </c>
      <c r="M58" s="1">
        <v>1</v>
      </c>
      <c r="N58" s="3" t="s">
        <v>369</v>
      </c>
      <c r="O58" s="7" t="s">
        <v>41</v>
      </c>
      <c r="P58" s="3">
        <v>94018000</v>
      </c>
      <c r="Q58" s="1">
        <v>44</v>
      </c>
      <c r="R58" s="1">
        <v>62</v>
      </c>
      <c r="S58" s="1">
        <v>58</v>
      </c>
      <c r="T58" s="18">
        <v>46</v>
      </c>
      <c r="U58" s="16">
        <v>58</v>
      </c>
      <c r="V58" s="16">
        <v>66</v>
      </c>
      <c r="W58" s="1">
        <v>16.8</v>
      </c>
      <c r="X58" s="1">
        <v>14.1</v>
      </c>
      <c r="Y58" s="1" t="s">
        <v>42</v>
      </c>
      <c r="Z58" s="20" t="s">
        <v>370</v>
      </c>
    </row>
    <row r="59" spans="1:26">
      <c r="A59" s="1" t="s">
        <v>372</v>
      </c>
      <c r="B59" s="1">
        <v>260303</v>
      </c>
      <c r="C59" s="1" t="s">
        <v>293</v>
      </c>
      <c r="D59" s="3">
        <v>7350057581865</v>
      </c>
      <c r="E59" s="3" t="s">
        <v>367</v>
      </c>
      <c r="F59" s="3" t="s">
        <v>300</v>
      </c>
      <c r="G59" s="3" t="s">
        <v>170</v>
      </c>
      <c r="H59" s="3"/>
      <c r="I59" s="3" t="s">
        <v>368</v>
      </c>
      <c r="J59" s="3" t="str">
        <f t="shared" si="0"/>
        <v>SEK / NOK</v>
      </c>
      <c r="K59" s="3" t="str">
        <f>IF(J59="SEK / NOK",(VLOOKUP(B59,'RRP data'!A:E,2,FALSE)),(IF(J59="DKK",(VLOOKUP('Axkid Template - SE'!B59,'RRP data'!A:E,4,FALSE)),(IF(J59="EUR",(VLOOKUP(B59,'RRP data'!A:E,5,FALSE)))))))</f>
        <v>Axkid Rekid Black</v>
      </c>
      <c r="L59" s="1">
        <v>1</v>
      </c>
      <c r="M59" s="1">
        <v>1</v>
      </c>
      <c r="N59" s="3" t="s">
        <v>369</v>
      </c>
      <c r="O59" s="7" t="s">
        <v>41</v>
      </c>
      <c r="P59" s="3">
        <v>94018000</v>
      </c>
      <c r="Q59" s="1">
        <v>44</v>
      </c>
      <c r="R59" s="1">
        <v>62</v>
      </c>
      <c r="S59" s="1">
        <v>58</v>
      </c>
      <c r="T59" s="18">
        <v>46</v>
      </c>
      <c r="U59" s="16">
        <v>58</v>
      </c>
      <c r="V59" s="16">
        <v>66</v>
      </c>
      <c r="W59" s="1">
        <v>16.8</v>
      </c>
      <c r="X59" s="1">
        <v>14.1</v>
      </c>
      <c r="Y59" s="1" t="s">
        <v>42</v>
      </c>
      <c r="Z59" s="20" t="s">
        <v>370</v>
      </c>
    </row>
    <row r="60" spans="1:26">
      <c r="A60" s="1" t="s">
        <v>147</v>
      </c>
      <c r="B60" s="1">
        <v>260311</v>
      </c>
      <c r="C60" s="1" t="s">
        <v>148</v>
      </c>
      <c r="D60" s="3">
        <v>7350057581872</v>
      </c>
      <c r="E60" s="3" t="s">
        <v>367</v>
      </c>
      <c r="F60" s="3" t="s">
        <v>300</v>
      </c>
      <c r="G60" s="3" t="s">
        <v>170</v>
      </c>
      <c r="H60" s="3"/>
      <c r="I60" s="3" t="s">
        <v>368</v>
      </c>
      <c r="J60" s="3" t="str">
        <f t="shared" si="0"/>
        <v>SEK / NOK</v>
      </c>
      <c r="K60" s="3" t="str">
        <f>IF(J60="SEK / NOK",(VLOOKUP(B60,'RRP data'!A:E,2,FALSE)),(IF(J60="DKK",(VLOOKUP('Axkid Template - SE'!B60,'RRP data'!A:E,4,FALSE)),(IF(J60="EUR",(VLOOKUP(B60,'RRP data'!A:E,5,FALSE)))))))</f>
        <v>Axkid Rekid Petrol</v>
      </c>
      <c r="L60" s="1">
        <v>1</v>
      </c>
      <c r="M60" s="1">
        <v>1</v>
      </c>
      <c r="N60" s="3" t="s">
        <v>369</v>
      </c>
      <c r="O60" s="7" t="s">
        <v>41</v>
      </c>
      <c r="P60" s="3">
        <v>94018000</v>
      </c>
      <c r="Q60" s="1">
        <v>44</v>
      </c>
      <c r="R60" s="1">
        <v>62</v>
      </c>
      <c r="S60" s="1">
        <v>58</v>
      </c>
      <c r="T60" s="18">
        <v>46</v>
      </c>
      <c r="U60" s="16">
        <v>58</v>
      </c>
      <c r="V60" s="16">
        <v>66</v>
      </c>
      <c r="W60" s="1">
        <v>16.8</v>
      </c>
      <c r="X60" s="1">
        <v>14.1</v>
      </c>
      <c r="Y60" s="1" t="s">
        <v>42</v>
      </c>
      <c r="Z60" s="20" t="s">
        <v>370</v>
      </c>
    </row>
    <row r="61" spans="1:26">
      <c r="A61" s="1" t="s">
        <v>373</v>
      </c>
      <c r="B61" s="1">
        <v>27040002</v>
      </c>
      <c r="C61" s="1" t="s">
        <v>286</v>
      </c>
      <c r="D61" s="3">
        <v>7350057582794</v>
      </c>
      <c r="E61" s="3" t="s">
        <v>374</v>
      </c>
      <c r="F61" s="3" t="s">
        <v>375</v>
      </c>
      <c r="G61" s="3" t="s">
        <v>170</v>
      </c>
      <c r="H61" s="3"/>
      <c r="I61" s="3" t="s">
        <v>53</v>
      </c>
      <c r="J61" s="3" t="str">
        <f t="shared" si="0"/>
        <v>SEK / NOK</v>
      </c>
      <c r="K61" s="3" t="e">
        <f>IF(J61="SEK / NOK",(VLOOKUP(B61,'RRP data'!A:E,2,FALSE)),(IF(J61="DKK",(VLOOKUP('Axkid Template - SE'!B61,'RRP data'!A:E,4,FALSE)),(IF(J61="EUR",(VLOOKUP(B61,'RRP data'!A:E,5,FALSE)))))))</f>
        <v>#N/A</v>
      </c>
      <c r="L61" s="1">
        <v>1</v>
      </c>
      <c r="M61" s="1">
        <v>1</v>
      </c>
      <c r="N61" s="3" t="s">
        <v>376</v>
      </c>
      <c r="O61" s="7" t="s">
        <v>41</v>
      </c>
      <c r="P61" s="3">
        <v>94018000</v>
      </c>
      <c r="Q61" s="1">
        <v>48</v>
      </c>
      <c r="R61" s="1">
        <v>59.5</v>
      </c>
      <c r="S61" s="1">
        <v>53</v>
      </c>
      <c r="T61" s="18">
        <v>48</v>
      </c>
      <c r="U61" s="16">
        <v>47</v>
      </c>
      <c r="V61" s="16">
        <v>65</v>
      </c>
      <c r="W61" s="1">
        <v>9.5</v>
      </c>
      <c r="X61" s="1">
        <v>7.5</v>
      </c>
      <c r="Y61" s="1" t="s">
        <v>42</v>
      </c>
      <c r="Z61" s="20"/>
    </row>
    <row r="62" spans="1:26">
      <c r="A62" s="1" t="s">
        <v>377</v>
      </c>
      <c r="B62" s="1">
        <v>27040003</v>
      </c>
      <c r="C62" s="1" t="s">
        <v>293</v>
      </c>
      <c r="D62" s="3">
        <v>7350057582800</v>
      </c>
      <c r="E62" s="3" t="s">
        <v>374</v>
      </c>
      <c r="F62" s="3" t="s">
        <v>375</v>
      </c>
      <c r="G62" s="3" t="s">
        <v>170</v>
      </c>
      <c r="H62" s="3"/>
      <c r="I62" s="3" t="s">
        <v>53</v>
      </c>
      <c r="J62" s="3" t="str">
        <f t="shared" si="0"/>
        <v>SEK / NOK</v>
      </c>
      <c r="K62" s="3" t="e">
        <f>IF(J62="SEK / NOK",(VLOOKUP(B62,'RRP data'!A:E,2,FALSE)),(IF(J62="DKK",(VLOOKUP('Axkid Template - SE'!B62,'RRP data'!A:E,4,FALSE)),(IF(J62="EUR",(VLOOKUP(B62,'RRP data'!A:E,5,FALSE)))))))</f>
        <v>#N/A</v>
      </c>
      <c r="L62" s="1">
        <v>1</v>
      </c>
      <c r="M62" s="1">
        <v>1</v>
      </c>
      <c r="N62" s="3" t="s">
        <v>376</v>
      </c>
      <c r="O62" s="7" t="s">
        <v>41</v>
      </c>
      <c r="P62" s="3">
        <v>94018000</v>
      </c>
      <c r="Q62" s="1">
        <v>48</v>
      </c>
      <c r="R62" s="1">
        <v>59.5</v>
      </c>
      <c r="S62" s="1">
        <v>53</v>
      </c>
      <c r="T62" s="18">
        <v>48</v>
      </c>
      <c r="U62" s="16">
        <v>47</v>
      </c>
      <c r="V62" s="16">
        <v>65</v>
      </c>
      <c r="W62" s="1">
        <v>9.5</v>
      </c>
      <c r="X62" s="1">
        <v>7.5</v>
      </c>
      <c r="Y62" s="1" t="s">
        <v>42</v>
      </c>
      <c r="Z62" s="20"/>
    </row>
    <row r="63" spans="1:26">
      <c r="A63" s="1" t="s">
        <v>378</v>
      </c>
      <c r="B63" s="1">
        <v>26040002</v>
      </c>
      <c r="C63" s="1" t="s">
        <v>286</v>
      </c>
      <c r="D63" s="3">
        <v>7350057582817</v>
      </c>
      <c r="E63" s="3" t="s">
        <v>374</v>
      </c>
      <c r="F63" s="3" t="s">
        <v>375</v>
      </c>
      <c r="G63" s="3" t="s">
        <v>170</v>
      </c>
      <c r="H63" s="3"/>
      <c r="I63" s="3" t="s">
        <v>53</v>
      </c>
      <c r="J63" s="3" t="str">
        <f t="shared" si="0"/>
        <v>SEK / NOK</v>
      </c>
      <c r="K63" s="3" t="str">
        <f>IF(J63="SEK / NOK",(VLOOKUP(B63,'RRP data'!A:E,2,FALSE)),(IF(J63="DKK",(VLOOKUP('Axkid Template - SE'!B63,'RRP data'!A:E,4,FALSE)),(IF(J63="EUR",(VLOOKUP(B63,'RRP data'!A:E,5,FALSE)))))))</f>
        <v>Axkid Bigkid Grey</v>
      </c>
      <c r="L63" s="1">
        <v>1</v>
      </c>
      <c r="M63" s="1">
        <v>1</v>
      </c>
      <c r="N63" s="3" t="s">
        <v>379</v>
      </c>
      <c r="O63" s="7" t="s">
        <v>41</v>
      </c>
      <c r="P63" s="3">
        <v>94018000</v>
      </c>
      <c r="Q63" s="1">
        <v>48</v>
      </c>
      <c r="R63" s="1">
        <v>59.5</v>
      </c>
      <c r="S63" s="1">
        <v>53</v>
      </c>
      <c r="T63" s="18">
        <v>48</v>
      </c>
      <c r="U63" s="16">
        <v>47</v>
      </c>
      <c r="V63" s="16">
        <v>65</v>
      </c>
      <c r="W63" s="1">
        <v>8.5</v>
      </c>
      <c r="X63" s="1">
        <v>6.5</v>
      </c>
      <c r="Y63" s="1" t="s">
        <v>42</v>
      </c>
      <c r="Z63" s="20"/>
    </row>
    <row r="64" spans="1:26">
      <c r="A64" s="1" t="s">
        <v>380</v>
      </c>
      <c r="B64" s="1">
        <v>26040003</v>
      </c>
      <c r="C64" s="1" t="s">
        <v>293</v>
      </c>
      <c r="D64" s="3">
        <v>7350057582824</v>
      </c>
      <c r="E64" s="3" t="s">
        <v>374</v>
      </c>
      <c r="F64" s="3" t="s">
        <v>375</v>
      </c>
      <c r="G64" s="3" t="s">
        <v>170</v>
      </c>
      <c r="H64" s="3"/>
      <c r="I64" s="3" t="s">
        <v>53</v>
      </c>
      <c r="J64" s="3" t="str">
        <f t="shared" si="0"/>
        <v>SEK / NOK</v>
      </c>
      <c r="K64" s="3" t="str">
        <f>IF(J64="SEK / NOK",(VLOOKUP(B64,'RRP data'!A:E,2,FALSE)),(IF(J64="DKK",(VLOOKUP('Axkid Template - SE'!B64,'RRP data'!A:E,4,FALSE)),(IF(J64="EUR",(VLOOKUP(B64,'RRP data'!A:E,5,FALSE)))))))</f>
        <v>Axkid Bigkid Black</v>
      </c>
      <c r="L64" s="1">
        <v>1</v>
      </c>
      <c r="M64" s="1">
        <v>1</v>
      </c>
      <c r="N64" s="3" t="s">
        <v>379</v>
      </c>
      <c r="O64" s="7" t="s">
        <v>41</v>
      </c>
      <c r="P64" s="3">
        <v>94018000</v>
      </c>
      <c r="Q64" s="1">
        <v>48</v>
      </c>
      <c r="R64" s="1">
        <v>59.5</v>
      </c>
      <c r="S64" s="1">
        <v>53</v>
      </c>
      <c r="T64" s="18">
        <v>48</v>
      </c>
      <c r="U64" s="16">
        <v>47</v>
      </c>
      <c r="V64" s="16">
        <v>65</v>
      </c>
      <c r="W64" s="1">
        <v>8.5</v>
      </c>
      <c r="X64" s="1">
        <v>6.5</v>
      </c>
      <c r="Y64" s="1" t="s">
        <v>42</v>
      </c>
      <c r="Z64" s="20"/>
    </row>
    <row r="65" spans="1:25">
      <c r="A65" s="1" t="s">
        <v>381</v>
      </c>
      <c r="B65" s="1">
        <v>240303</v>
      </c>
      <c r="C65" s="1" t="s">
        <v>293</v>
      </c>
      <c r="D65" s="3">
        <v>7350057580493</v>
      </c>
      <c r="E65" s="3" t="s">
        <v>374</v>
      </c>
      <c r="F65" s="3" t="s">
        <v>375</v>
      </c>
      <c r="G65" s="3" t="s">
        <v>170</v>
      </c>
      <c r="H65" s="3"/>
      <c r="I65" s="3" t="s">
        <v>53</v>
      </c>
      <c r="J65" s="3" t="str">
        <f t="shared" si="0"/>
        <v>SEK / NOK</v>
      </c>
      <c r="K65" s="3" t="str">
        <f>IF(J65="SEK / NOK",(VLOOKUP(B65,'RRP data'!A:E,2,FALSE)),(IF(J65="DKK",(VLOOKUP('Axkid Template - SE'!B65,'RRP data'!A:E,4,FALSE)),(IF(J65="EUR",(VLOOKUP(B65,'RRP data'!A:E,5,FALSE)))))))</f>
        <v>Axkid Dallas Black</v>
      </c>
      <c r="L65" s="1">
        <v>2</v>
      </c>
      <c r="M65" s="1">
        <v>1</v>
      </c>
      <c r="N65" s="3" t="s">
        <v>382</v>
      </c>
      <c r="O65" s="7" t="s">
        <v>41</v>
      </c>
      <c r="P65" s="3">
        <v>94018000</v>
      </c>
      <c r="Q65" s="1">
        <v>44</v>
      </c>
      <c r="R65" s="1">
        <v>69</v>
      </c>
      <c r="S65" s="1">
        <v>40</v>
      </c>
      <c r="T65" s="18">
        <v>61</v>
      </c>
      <c r="U65" s="16">
        <v>46.5</v>
      </c>
      <c r="V65" s="16">
        <v>67.5</v>
      </c>
      <c r="W65" s="1">
        <v>8.5</v>
      </c>
      <c r="X65" s="1">
        <v>3.5</v>
      </c>
      <c r="Y65" s="1" t="s">
        <v>42</v>
      </c>
    </row>
    <row r="66" spans="1:25">
      <c r="A66" s="1" t="s">
        <v>383</v>
      </c>
      <c r="B66" s="1">
        <v>280303</v>
      </c>
      <c r="C66" s="1" t="s">
        <v>293</v>
      </c>
      <c r="D66" s="3">
        <v>7350057582299</v>
      </c>
      <c r="E66" s="3" t="s">
        <v>374</v>
      </c>
      <c r="F66" s="3" t="s">
        <v>375</v>
      </c>
      <c r="G66" s="3" t="s">
        <v>170</v>
      </c>
      <c r="H66" s="3"/>
      <c r="I66" s="3" t="s">
        <v>53</v>
      </c>
      <c r="J66" s="3" t="str">
        <f t="shared" si="0"/>
        <v>SEK / NOK</v>
      </c>
      <c r="K66" s="3" t="e">
        <f>IF(J66="SEK / NOK",(VLOOKUP(B66,'RRP data'!A:E,2,FALSE)),(IF(J66="DKK",(VLOOKUP('Axkid Template - SE'!B66,'RRP data'!A:E,4,FALSE)),(IF(J66="EUR",(VLOOKUP(B66,'RRP data'!A:E,5,FALSE)))))))</f>
        <v>#N/A</v>
      </c>
      <c r="L66" s="1">
        <v>8</v>
      </c>
      <c r="M66" s="1">
        <v>1</v>
      </c>
      <c r="N66" s="3" t="s">
        <v>384</v>
      </c>
      <c r="O66" s="7" t="s">
        <v>41</v>
      </c>
      <c r="P66" s="3">
        <v>94018000</v>
      </c>
      <c r="Q66" s="1">
        <v>42</v>
      </c>
      <c r="R66" s="1">
        <v>17</v>
      </c>
      <c r="S66" s="1">
        <v>36</v>
      </c>
      <c r="T66" s="18">
        <v>43.5</v>
      </c>
      <c r="U66" s="16">
        <v>38</v>
      </c>
      <c r="V66" s="16">
        <v>72</v>
      </c>
      <c r="W66" s="1">
        <v>9.1999999999999993</v>
      </c>
      <c r="X66" s="1">
        <v>1</v>
      </c>
      <c r="Y66" s="1" t="s">
        <v>42</v>
      </c>
    </row>
    <row r="67" spans="1:25">
      <c r="A67" s="1" t="s">
        <v>385</v>
      </c>
      <c r="B67" s="1">
        <v>280201</v>
      </c>
      <c r="C67" s="1" t="s">
        <v>298</v>
      </c>
      <c r="D67" s="3">
        <v>7350057582305</v>
      </c>
      <c r="E67" s="3" t="s">
        <v>374</v>
      </c>
      <c r="F67" s="3" t="s">
        <v>375</v>
      </c>
      <c r="G67" s="3" t="s">
        <v>170</v>
      </c>
      <c r="H67" s="3"/>
      <c r="I67" s="3" t="s">
        <v>53</v>
      </c>
      <c r="J67" s="3" t="str">
        <f t="shared" si="0"/>
        <v>SEK / NOK</v>
      </c>
      <c r="K67" s="3" t="e">
        <f>IF(J67="SEK / NOK",(VLOOKUP(B67,'RRP data'!A:E,2,FALSE)),(IF(J67="DKK",(VLOOKUP('Axkid Template - SE'!B67,'RRP data'!A:E,4,FALSE)),(IF(J67="EUR",(VLOOKUP(B67,'RRP data'!A:E,5,FALSE)))))))</f>
        <v>#N/A</v>
      </c>
      <c r="L67" s="1">
        <v>8</v>
      </c>
      <c r="M67" s="1">
        <v>1</v>
      </c>
      <c r="N67" s="3" t="s">
        <v>384</v>
      </c>
      <c r="O67" s="7" t="s">
        <v>41</v>
      </c>
      <c r="P67" s="3">
        <v>94018000</v>
      </c>
      <c r="Q67" s="1">
        <v>42</v>
      </c>
      <c r="R67" s="1">
        <v>17</v>
      </c>
      <c r="S67" s="1">
        <v>36</v>
      </c>
      <c r="T67" s="18">
        <v>43.5</v>
      </c>
      <c r="U67" s="16">
        <v>38</v>
      </c>
      <c r="V67" s="16">
        <v>72</v>
      </c>
      <c r="W67" s="1">
        <v>9.1999999999999993</v>
      </c>
      <c r="X67" s="1">
        <v>1</v>
      </c>
      <c r="Y67" s="1" t="s">
        <v>42</v>
      </c>
    </row>
    <row r="68" spans="1:25">
      <c r="A68" s="1" t="s">
        <v>386</v>
      </c>
      <c r="B68" s="1">
        <v>800003</v>
      </c>
      <c r="C68" s="1" t="s">
        <v>293</v>
      </c>
      <c r="D68" s="3">
        <v>7350057580172</v>
      </c>
      <c r="E68" s="3" t="s">
        <v>387</v>
      </c>
      <c r="F68" s="7" t="s">
        <v>170</v>
      </c>
      <c r="G68" s="3" t="s">
        <v>170</v>
      </c>
      <c r="H68" s="3"/>
      <c r="I68" s="7" t="s">
        <v>170</v>
      </c>
      <c r="J68" s="3" t="str">
        <f t="shared" si="0"/>
        <v>SEK / NOK</v>
      </c>
      <c r="K68" s="3" t="str">
        <f>IF(J68="SEK / NOK",(VLOOKUP(B68,'RRP data'!A:E,2,FALSE)),(IF(J68="DKK",(VLOOKUP('Axkid Template - SE'!B68,'RRP data'!A:E,4,FALSE)),(IF(J68="EUR",(VLOOKUP(B68,'RRP data'!A:E,5,FALSE)))))))</f>
        <v>Axkid Seat protection</v>
      </c>
      <c r="L68" s="12">
        <v>20</v>
      </c>
      <c r="M68" s="1">
        <v>1</v>
      </c>
      <c r="N68" s="3" t="s">
        <v>388</v>
      </c>
      <c r="O68" s="7" t="s">
        <v>41</v>
      </c>
      <c r="P68" s="3">
        <v>94019010</v>
      </c>
      <c r="Q68" s="1">
        <v>139</v>
      </c>
      <c r="R68" s="1">
        <v>58</v>
      </c>
      <c r="S68" s="1">
        <v>1</v>
      </c>
      <c r="T68" s="19">
        <v>23.5</v>
      </c>
      <c r="U68" s="1">
        <v>7</v>
      </c>
      <c r="V68" s="1">
        <v>37</v>
      </c>
      <c r="W68" s="12">
        <v>0.65</v>
      </c>
      <c r="X68" s="12">
        <v>0.44</v>
      </c>
      <c r="Y68" s="1" t="s">
        <v>389</v>
      </c>
    </row>
    <row r="69" spans="1:25">
      <c r="A69" s="1" t="s">
        <v>390</v>
      </c>
      <c r="B69" s="1">
        <v>800203</v>
      </c>
      <c r="C69" s="1" t="s">
        <v>293</v>
      </c>
      <c r="D69" s="3">
        <v>7350057580189</v>
      </c>
      <c r="E69" s="3" t="s">
        <v>387</v>
      </c>
      <c r="F69" s="7" t="s">
        <v>170</v>
      </c>
      <c r="G69" s="3" t="s">
        <v>170</v>
      </c>
      <c r="H69" s="3"/>
      <c r="I69" s="7" t="s">
        <v>170</v>
      </c>
      <c r="J69" s="3" t="str">
        <f t="shared" si="0"/>
        <v>SEK / NOK</v>
      </c>
      <c r="K69" s="3" t="str">
        <f>IF(J69="SEK / NOK",(VLOOKUP(B69,'RRP data'!A:E,2,FALSE)),(IF(J69="DKK",(VLOOKUP('Axkid Template - SE'!B69,'RRP data'!A:E,4,FALSE)),(IF(J69="EUR",(VLOOKUP(B69,'RRP data'!A:E,5,FALSE)))))))</f>
        <v>Axkid Tether strap</v>
      </c>
      <c r="L69" s="12">
        <v>70</v>
      </c>
      <c r="M69" s="1">
        <v>1</v>
      </c>
      <c r="N69" s="3" t="s">
        <v>391</v>
      </c>
      <c r="O69" s="7" t="s">
        <v>41</v>
      </c>
      <c r="P69" s="3">
        <v>94019010</v>
      </c>
      <c r="Q69" s="1">
        <v>4</v>
      </c>
      <c r="R69" s="1">
        <v>110</v>
      </c>
      <c r="S69" s="1">
        <v>0.2</v>
      </c>
      <c r="T69" s="19">
        <v>13</v>
      </c>
      <c r="U69" s="1">
        <v>5</v>
      </c>
      <c r="V69" s="1">
        <v>9</v>
      </c>
      <c r="W69" s="12">
        <v>0.18</v>
      </c>
      <c r="X69" s="12">
        <v>0.14000000000000001</v>
      </c>
      <c r="Y69" s="1" t="s">
        <v>389</v>
      </c>
    </row>
    <row r="70" spans="1:25">
      <c r="A70" s="1" t="s">
        <v>392</v>
      </c>
      <c r="B70" s="1">
        <v>800507</v>
      </c>
      <c r="C70" s="1" t="s">
        <v>393</v>
      </c>
      <c r="D70" s="3">
        <v>7350057580219</v>
      </c>
      <c r="E70" s="3" t="s">
        <v>387</v>
      </c>
      <c r="F70" s="7" t="s">
        <v>170</v>
      </c>
      <c r="G70" s="3" t="s">
        <v>170</v>
      </c>
      <c r="H70" s="3"/>
      <c r="I70" s="7" t="s">
        <v>170</v>
      </c>
      <c r="J70" s="3" t="str">
        <f t="shared" si="0"/>
        <v>SEK / NOK</v>
      </c>
      <c r="K70" s="3" t="str">
        <f>IF(J70="SEK / NOK",(VLOOKUP(B70,'RRP data'!A:E,2,FALSE)),(IF(J70="DKK",(VLOOKUP('Axkid Template - SE'!B70,'RRP data'!A:E,4,FALSE)),(IF(J70="EUR",(VLOOKUP(B70,'RRP data'!A:E,5,FALSE)))))))</f>
        <v>Axkid Baby on board sign</v>
      </c>
      <c r="L70" s="12">
        <v>100</v>
      </c>
      <c r="M70" s="1">
        <v>1</v>
      </c>
      <c r="N70" s="3" t="s">
        <v>394</v>
      </c>
      <c r="O70" s="7" t="s">
        <v>41</v>
      </c>
      <c r="P70" s="3">
        <v>94019010</v>
      </c>
      <c r="Q70" s="1">
        <v>12</v>
      </c>
      <c r="R70" s="1">
        <v>12</v>
      </c>
      <c r="S70" s="1">
        <v>0.2</v>
      </c>
      <c r="T70" s="19">
        <v>14</v>
      </c>
      <c r="U70" s="1">
        <v>5</v>
      </c>
      <c r="V70" s="1">
        <v>0.5</v>
      </c>
      <c r="W70" s="12">
        <v>2.4E-2</v>
      </c>
      <c r="X70" s="12" t="s">
        <v>395</v>
      </c>
      <c r="Y70" s="1" t="s">
        <v>389</v>
      </c>
    </row>
    <row r="71" spans="1:25">
      <c r="A71" s="1" t="s">
        <v>396</v>
      </c>
      <c r="B71" s="1">
        <v>800608</v>
      </c>
      <c r="C71" s="1" t="s">
        <v>293</v>
      </c>
      <c r="D71" s="3">
        <v>7350057580226</v>
      </c>
      <c r="E71" s="3" t="s">
        <v>387</v>
      </c>
      <c r="F71" s="7" t="s">
        <v>170</v>
      </c>
      <c r="G71" s="3" t="s">
        <v>170</v>
      </c>
      <c r="H71" s="3"/>
      <c r="I71" s="7" t="s">
        <v>170</v>
      </c>
      <c r="J71" s="3" t="str">
        <f t="shared" si="0"/>
        <v>SEK / NOK</v>
      </c>
      <c r="K71" s="3" t="str">
        <f>IF(J71="SEK / NOK",(VLOOKUP(B71,'RRP data'!A:E,2,FALSE)),(IF(J71="DKK",(VLOOKUP('Axkid Template - SE'!B71,'RRP data'!A:E,4,FALSE)),(IF(J71="EUR",(VLOOKUP(B71,'RRP data'!A:E,5,FALSE)))))))</f>
        <v>Axkid Attachment loops</v>
      </c>
      <c r="L71" s="12">
        <v>100</v>
      </c>
      <c r="M71" s="1">
        <v>1</v>
      </c>
      <c r="N71" s="3" t="s">
        <v>397</v>
      </c>
      <c r="O71" s="7" t="s">
        <v>41</v>
      </c>
      <c r="P71" s="3">
        <v>94019010</v>
      </c>
      <c r="T71" s="19">
        <v>14</v>
      </c>
      <c r="U71" s="1">
        <v>5</v>
      </c>
      <c r="V71" s="1">
        <v>0.5</v>
      </c>
      <c r="W71" s="12">
        <v>8.6999999999999994E-2</v>
      </c>
      <c r="X71" s="12">
        <v>0.08</v>
      </c>
      <c r="Y71" s="1" t="s">
        <v>389</v>
      </c>
    </row>
    <row r="72" spans="1:25">
      <c r="A72" s="1" t="s">
        <v>398</v>
      </c>
      <c r="B72" s="1">
        <v>800803</v>
      </c>
      <c r="C72" s="1" t="s">
        <v>293</v>
      </c>
      <c r="D72" s="3">
        <v>7350057580233</v>
      </c>
      <c r="E72" s="3" t="s">
        <v>387</v>
      </c>
      <c r="F72" s="7" t="s">
        <v>170</v>
      </c>
      <c r="G72" s="3" t="s">
        <v>170</v>
      </c>
      <c r="H72" s="3"/>
      <c r="I72" s="7" t="s">
        <v>170</v>
      </c>
      <c r="J72" s="3" t="str">
        <f t="shared" si="0"/>
        <v>SEK / NOK</v>
      </c>
      <c r="K72" s="3" t="str">
        <f>IF(J72="SEK / NOK",(VLOOKUP(B72,'RRP data'!A:E,2,FALSE)),(IF(J72="DKK",(VLOOKUP('Axkid Template - SE'!B72,'RRP data'!A:E,4,FALSE)),(IF(J72="EUR",(VLOOKUP(B72,'RRP data'!A:E,5,FALSE)))))))</f>
        <v>Axkid Baby cushion</v>
      </c>
      <c r="L72" s="12">
        <v>40</v>
      </c>
      <c r="M72" s="1">
        <v>1</v>
      </c>
      <c r="N72" s="3" t="s">
        <v>399</v>
      </c>
      <c r="O72" s="7" t="s">
        <v>41</v>
      </c>
      <c r="P72" s="3">
        <v>94019010</v>
      </c>
      <c r="Q72" s="1">
        <v>47.5</v>
      </c>
      <c r="R72" s="1">
        <v>38</v>
      </c>
      <c r="S72" s="1">
        <v>1</v>
      </c>
      <c r="T72" s="19">
        <v>23.5</v>
      </c>
      <c r="U72" s="1">
        <v>7</v>
      </c>
      <c r="V72" s="1">
        <v>37</v>
      </c>
      <c r="W72" s="12">
        <v>0.35499999999999998</v>
      </c>
      <c r="X72" s="12">
        <v>0.14499999999999999</v>
      </c>
      <c r="Y72" s="1" t="s">
        <v>389</v>
      </c>
    </row>
    <row r="73" spans="1:25">
      <c r="A73" s="1" t="s">
        <v>177</v>
      </c>
      <c r="B73" s="1">
        <v>801003</v>
      </c>
      <c r="C73" s="1" t="s">
        <v>293</v>
      </c>
      <c r="D73" s="3">
        <v>7350057580509</v>
      </c>
      <c r="E73" s="3" t="s">
        <v>387</v>
      </c>
      <c r="F73" s="7" t="s">
        <v>170</v>
      </c>
      <c r="G73" s="3" t="s">
        <v>170</v>
      </c>
      <c r="H73" s="3"/>
      <c r="I73" s="7" t="s">
        <v>170</v>
      </c>
      <c r="J73" s="3" t="str">
        <f t="shared" si="0"/>
        <v>SEK / NOK</v>
      </c>
      <c r="K73" s="3" t="str">
        <f>IF(J73="SEK / NOK",(VLOOKUP(B73,'RRP data'!A:E,2,FALSE)),(IF(J73="DKK",(VLOOKUP('Axkid Template - SE'!B73,'RRP data'!A:E,4,FALSE)),(IF(J73="EUR",(VLOOKUP(B73,'RRP data'!A:E,5,FALSE)))))))</f>
        <v>Axkid Adapter babyfix</v>
      </c>
      <c r="L73" s="12">
        <v>100</v>
      </c>
      <c r="M73" s="1">
        <v>1</v>
      </c>
      <c r="N73" s="3" t="s">
        <v>400</v>
      </c>
      <c r="O73" s="7" t="s">
        <v>41</v>
      </c>
      <c r="P73" s="3">
        <v>94019010</v>
      </c>
      <c r="Q73" s="1">
        <v>10</v>
      </c>
      <c r="R73" s="1">
        <v>5</v>
      </c>
      <c r="S73" s="1">
        <v>7</v>
      </c>
      <c r="T73" s="19">
        <v>18</v>
      </c>
      <c r="U73" s="1">
        <v>6</v>
      </c>
      <c r="V73" s="1">
        <v>16</v>
      </c>
      <c r="W73" s="12">
        <v>0.12</v>
      </c>
      <c r="X73" s="12">
        <v>3.5000000000000003E-2</v>
      </c>
      <c r="Y73" s="1" t="s">
        <v>389</v>
      </c>
    </row>
    <row r="74" spans="1:25" ht="27.95">
      <c r="A74" s="22" t="s">
        <v>401</v>
      </c>
      <c r="B74" s="1">
        <v>801106</v>
      </c>
      <c r="C74" s="1" t="s">
        <v>402</v>
      </c>
      <c r="D74" s="3">
        <v>7350057580714</v>
      </c>
      <c r="E74" s="3" t="s">
        <v>387</v>
      </c>
      <c r="F74" s="7" t="s">
        <v>170</v>
      </c>
      <c r="G74" s="3" t="s">
        <v>170</v>
      </c>
      <c r="H74" s="3"/>
      <c r="I74" s="7" t="s">
        <v>170</v>
      </c>
      <c r="J74" s="3" t="str">
        <f t="shared" si="0"/>
        <v>SEK / NOK</v>
      </c>
      <c r="K74" s="3" t="str">
        <f>IF(J74="SEK / NOK",(VLOOKUP(B74,'RRP data'!A:E,2,FALSE)),(IF(J74="DKK",(VLOOKUP('Axkid Template - SE'!B74,'RRP data'!A:E,4,FALSE)),(IF(J74="EUR",(VLOOKUP(B74,'RRP data'!A:E,5,FALSE)))))))</f>
        <v>Axkid Summer cover 
Minikid, rekid &amp; Modukid seat</v>
      </c>
      <c r="L74" s="12">
        <v>20</v>
      </c>
      <c r="M74" s="1">
        <v>1</v>
      </c>
      <c r="N74" s="3" t="s">
        <v>403</v>
      </c>
      <c r="O74" s="7" t="s">
        <v>41</v>
      </c>
      <c r="P74" s="3">
        <v>94019010</v>
      </c>
      <c r="Q74" s="1">
        <v>85</v>
      </c>
      <c r="R74" s="1">
        <v>45</v>
      </c>
      <c r="S74" s="1">
        <v>0.2</v>
      </c>
      <c r="T74" s="19">
        <v>30</v>
      </c>
      <c r="U74" s="1">
        <v>30</v>
      </c>
      <c r="V74" s="1">
        <v>0.5</v>
      </c>
      <c r="W74" s="12">
        <v>0.10299999999999999</v>
      </c>
      <c r="X74" s="12">
        <v>0.1</v>
      </c>
      <c r="Y74" s="1" t="s">
        <v>389</v>
      </c>
    </row>
    <row r="75" spans="1:25">
      <c r="A75" s="1" t="s">
        <v>404</v>
      </c>
      <c r="B75" s="1">
        <v>801206</v>
      </c>
      <c r="C75" s="1" t="s">
        <v>402</v>
      </c>
      <c r="D75" s="3">
        <v>7350057580721</v>
      </c>
      <c r="E75" s="3" t="s">
        <v>387</v>
      </c>
      <c r="F75" s="7" t="s">
        <v>170</v>
      </c>
      <c r="G75" s="3" t="s">
        <v>170</v>
      </c>
      <c r="H75" s="3"/>
      <c r="I75" s="7" t="s">
        <v>170</v>
      </c>
      <c r="J75" s="3" t="str">
        <f t="shared" si="0"/>
        <v>SEK / NOK</v>
      </c>
      <c r="K75" s="3" t="str">
        <f>IF(J75="SEK / NOK",(VLOOKUP(B75,'RRP data'!A:E,2,FALSE)),(IF(J75="DKK",(VLOOKUP('Axkid Template - SE'!B75,'RRP data'!A:E,4,FALSE)),(IF(J75="EUR",(VLOOKUP(B75,'RRP data'!A:E,5,FALSE)))))))</f>
        <v>Axkid Summer cover Dallas/Grow</v>
      </c>
      <c r="L75" s="12">
        <v>20</v>
      </c>
      <c r="M75" s="1">
        <v>1</v>
      </c>
      <c r="N75" s="3" t="s">
        <v>405</v>
      </c>
      <c r="O75" s="7" t="s">
        <v>41</v>
      </c>
      <c r="P75" s="3">
        <v>94019010</v>
      </c>
      <c r="Q75" s="1">
        <v>85</v>
      </c>
      <c r="R75" s="1">
        <v>45</v>
      </c>
      <c r="S75" s="1">
        <v>0.2</v>
      </c>
      <c r="T75" s="19">
        <v>30</v>
      </c>
      <c r="U75" s="1">
        <v>30</v>
      </c>
      <c r="V75" s="1">
        <v>0.5</v>
      </c>
      <c r="W75" s="12">
        <v>0.23</v>
      </c>
      <c r="X75" s="12">
        <v>5.1999999999999998E-2</v>
      </c>
      <c r="Y75" s="1" t="s">
        <v>389</v>
      </c>
    </row>
    <row r="76" spans="1:25">
      <c r="A76" s="1" t="s">
        <v>406</v>
      </c>
      <c r="B76" s="1">
        <v>801403</v>
      </c>
      <c r="C76" s="1" t="s">
        <v>293</v>
      </c>
      <c r="D76" s="3">
        <v>7350057581087</v>
      </c>
      <c r="E76" s="3" t="s">
        <v>387</v>
      </c>
      <c r="F76" s="7" t="s">
        <v>170</v>
      </c>
      <c r="G76" s="3" t="s">
        <v>170</v>
      </c>
      <c r="H76" s="3"/>
      <c r="I76" s="7" t="s">
        <v>170</v>
      </c>
      <c r="J76" s="3" t="str">
        <f t="shared" si="0"/>
        <v>SEK / NOK</v>
      </c>
      <c r="K76" s="3" t="str">
        <f>IF(J76="SEK / NOK",(VLOOKUP(B76,'RRP data'!A:E,2,FALSE)),(IF(J76="DKK",(VLOOKUP('Axkid Template - SE'!B76,'RRP data'!A:E,4,FALSE)),(IF(J76="EUR",(VLOOKUP(B76,'RRP data'!A:E,5,FALSE)))))))</f>
        <v>Axkid Angle adjusting wedge</v>
      </c>
      <c r="L76" s="12">
        <v>40</v>
      </c>
      <c r="M76" s="1">
        <v>1</v>
      </c>
      <c r="N76" s="3" t="s">
        <v>407</v>
      </c>
      <c r="O76" s="7" t="s">
        <v>41</v>
      </c>
      <c r="P76" s="3">
        <v>94019010</v>
      </c>
      <c r="Q76" s="1">
        <v>16.5</v>
      </c>
      <c r="R76" s="1">
        <v>23</v>
      </c>
      <c r="S76" s="1">
        <v>7.5</v>
      </c>
      <c r="T76" s="19">
        <v>30</v>
      </c>
      <c r="U76" s="1">
        <v>8</v>
      </c>
      <c r="V76" s="1">
        <v>20</v>
      </c>
      <c r="W76" s="12">
        <v>0.44</v>
      </c>
      <c r="X76" s="12">
        <v>0.26300000000000001</v>
      </c>
      <c r="Y76" s="1" t="s">
        <v>389</v>
      </c>
    </row>
    <row r="77" spans="1:25">
      <c r="A77" s="1" t="s">
        <v>408</v>
      </c>
      <c r="B77" s="1">
        <v>803303</v>
      </c>
      <c r="C77" s="1" t="s">
        <v>293</v>
      </c>
      <c r="D77" s="3">
        <v>7350057581339</v>
      </c>
      <c r="E77" s="3" t="s">
        <v>387</v>
      </c>
      <c r="F77" s="7" t="s">
        <v>170</v>
      </c>
      <c r="G77" s="3" t="s">
        <v>170</v>
      </c>
      <c r="H77" s="3"/>
      <c r="I77" s="7" t="s">
        <v>170</v>
      </c>
      <c r="J77" s="3" t="str">
        <f t="shared" si="0"/>
        <v>SEK / NOK</v>
      </c>
      <c r="K77" s="3" t="str">
        <f>IF(J77="SEK / NOK",(VLOOKUP(B77,'RRP data'!A:E,2,FALSE)),(IF(J77="DKK",(VLOOKUP('Axkid Template - SE'!B77,'RRP data'!A:E,4,FALSE)),(IF(J77="EUR",(VLOOKUP(B77,'RRP data'!A:E,5,FALSE)))))))</f>
        <v>Axkid Baby mirror</v>
      </c>
      <c r="L77" s="12">
        <v>10</v>
      </c>
      <c r="M77" s="1">
        <v>1</v>
      </c>
      <c r="N77" s="3" t="s">
        <v>409</v>
      </c>
      <c r="O77" s="7" t="s">
        <v>41</v>
      </c>
      <c r="P77" s="3">
        <v>94019010</v>
      </c>
      <c r="Q77" s="1">
        <v>21.5</v>
      </c>
      <c r="R77" s="1">
        <v>17.5</v>
      </c>
      <c r="T77" s="19">
        <v>30</v>
      </c>
      <c r="U77" s="1">
        <v>8</v>
      </c>
      <c r="V77" s="1">
        <v>20</v>
      </c>
      <c r="W77" s="12">
        <v>1.05</v>
      </c>
      <c r="X77" s="12">
        <v>0.71</v>
      </c>
      <c r="Y77" s="1" t="s">
        <v>389</v>
      </c>
    </row>
    <row r="78" spans="1:25">
      <c r="A78" s="1" t="s">
        <v>410</v>
      </c>
      <c r="B78" s="1">
        <v>803803</v>
      </c>
      <c r="C78" s="1" t="s">
        <v>293</v>
      </c>
      <c r="D78" s="3">
        <v>7350057582008</v>
      </c>
      <c r="E78" s="3" t="s">
        <v>387</v>
      </c>
      <c r="F78" s="7" t="s">
        <v>170</v>
      </c>
      <c r="G78" s="3" t="s">
        <v>170</v>
      </c>
      <c r="H78" s="3"/>
      <c r="I78" s="7" t="s">
        <v>170</v>
      </c>
      <c r="J78" s="3" t="str">
        <f t="shared" si="0"/>
        <v>SEK / NOK</v>
      </c>
      <c r="K78" s="3" t="str">
        <f>IF(J78="SEK / NOK",(VLOOKUP(B78,'RRP data'!A:E,2,FALSE)),(IF(J78="DKK",(VLOOKUP('Axkid Template - SE'!B78,'RRP data'!A:E,4,FALSE)),(IF(J78="EUR",(VLOOKUP(B78,'RRP data'!A:E,5,FALSE)))))))</f>
        <v>Axkid Seat protection Premium</v>
      </c>
      <c r="L78" s="12">
        <v>10</v>
      </c>
      <c r="M78" s="1">
        <v>1</v>
      </c>
      <c r="N78" s="3" t="s">
        <v>411</v>
      </c>
      <c r="O78" s="7" t="s">
        <v>41</v>
      </c>
      <c r="P78" s="3">
        <v>94019010</v>
      </c>
      <c r="Q78" s="1">
        <v>122</v>
      </c>
      <c r="R78" s="1">
        <v>47</v>
      </c>
      <c r="S78" s="1">
        <v>1</v>
      </c>
      <c r="T78" s="19">
        <v>28.5</v>
      </c>
      <c r="U78" s="1">
        <v>8</v>
      </c>
      <c r="V78" s="1">
        <v>58</v>
      </c>
      <c r="W78" s="12">
        <v>0.2</v>
      </c>
      <c r="X78" s="13">
        <v>0.12</v>
      </c>
      <c r="Y78" s="1" t="s">
        <v>389</v>
      </c>
    </row>
    <row r="79" spans="1:25">
      <c r="A79" s="1" t="s">
        <v>412</v>
      </c>
      <c r="B79" s="1">
        <v>803906</v>
      </c>
      <c r="C79" s="1" t="s">
        <v>402</v>
      </c>
      <c r="D79" s="3">
        <v>7350057582015</v>
      </c>
      <c r="E79" s="3" t="s">
        <v>387</v>
      </c>
      <c r="F79" s="7" t="s">
        <v>170</v>
      </c>
      <c r="G79" s="3" t="s">
        <v>170</v>
      </c>
      <c r="H79" s="3"/>
      <c r="I79" s="7" t="s">
        <v>170</v>
      </c>
      <c r="J79" s="3" t="str">
        <f t="shared" si="0"/>
        <v>SEK / NOK</v>
      </c>
      <c r="K79" s="3" t="str">
        <f>IF(J79="SEK / NOK",(VLOOKUP(B79,'RRP data'!A:E,2,FALSE)),(IF(J79="DKK",(VLOOKUP('Axkid Template - SE'!B79,'RRP data'!A:E,4,FALSE)),(IF(J79="EUR",(VLOOKUP(B79,'RRP data'!A:E,5,FALSE)))))))</f>
        <v>Axkid Sunshades for window self attaching</v>
      </c>
      <c r="L79" s="12">
        <v>48</v>
      </c>
      <c r="M79" s="1">
        <v>1</v>
      </c>
      <c r="N79" s="3" t="s">
        <v>413</v>
      </c>
      <c r="O79" s="7" t="s">
        <v>41</v>
      </c>
      <c r="P79" s="3">
        <v>94019010</v>
      </c>
      <c r="Q79" s="1">
        <v>38</v>
      </c>
      <c r="R79" s="1">
        <v>44</v>
      </c>
      <c r="S79" s="1">
        <v>0.2</v>
      </c>
      <c r="T79" s="19">
        <v>18</v>
      </c>
      <c r="U79" s="1">
        <v>6</v>
      </c>
      <c r="V79" s="1">
        <v>16</v>
      </c>
      <c r="W79" s="12">
        <v>0.33</v>
      </c>
      <c r="X79" s="12">
        <v>0.16</v>
      </c>
      <c r="Y79" s="1" t="s">
        <v>389</v>
      </c>
    </row>
    <row r="80" spans="1:25">
      <c r="A80" s="1" t="s">
        <v>414</v>
      </c>
      <c r="B80" s="1">
        <v>804003</v>
      </c>
      <c r="C80" s="1" t="s">
        <v>293</v>
      </c>
      <c r="D80" s="3">
        <v>7350057582022</v>
      </c>
      <c r="E80" s="3" t="s">
        <v>387</v>
      </c>
      <c r="F80" s="7" t="s">
        <v>170</v>
      </c>
      <c r="G80" s="3" t="s">
        <v>170</v>
      </c>
      <c r="H80" s="3"/>
      <c r="I80" s="7" t="s">
        <v>170</v>
      </c>
      <c r="J80" s="3" t="str">
        <f t="shared" si="0"/>
        <v>SEK / NOK</v>
      </c>
      <c r="K80" s="3" t="str">
        <f>IF(J80="SEK / NOK",(VLOOKUP(B80,'RRP data'!A:E,2,FALSE)),(IF(J80="DKK",(VLOOKUP('Axkid Template - SE'!B80,'RRP data'!A:E,4,FALSE)),(IF(J80="EUR",(VLOOKUP(B80,'RRP data'!A:E,5,FALSE)))))))</f>
        <v>Axkid iPad holder</v>
      </c>
      <c r="L80" s="12">
        <v>20</v>
      </c>
      <c r="M80" s="1">
        <v>1</v>
      </c>
      <c r="N80" s="3" t="s">
        <v>415</v>
      </c>
      <c r="O80" s="7" t="s">
        <v>41</v>
      </c>
      <c r="P80" s="3">
        <v>94019010</v>
      </c>
      <c r="Q80" s="1">
        <v>27.5</v>
      </c>
      <c r="R80" s="1">
        <v>19.5</v>
      </c>
      <c r="S80" s="1">
        <v>2</v>
      </c>
      <c r="T80" s="19">
        <v>30</v>
      </c>
      <c r="U80" s="1">
        <v>8</v>
      </c>
      <c r="V80" s="1">
        <v>20</v>
      </c>
      <c r="W80" s="12">
        <v>0.45</v>
      </c>
      <c r="X80" s="12">
        <v>0.24</v>
      </c>
      <c r="Y80" s="1" t="s">
        <v>389</v>
      </c>
    </row>
    <row r="81" spans="1:25">
      <c r="A81" s="1" t="s">
        <v>416</v>
      </c>
      <c r="B81" s="1">
        <v>804103</v>
      </c>
      <c r="C81" s="1" t="s">
        <v>293</v>
      </c>
      <c r="D81" s="3">
        <v>7350057582039</v>
      </c>
      <c r="E81" s="3" t="s">
        <v>387</v>
      </c>
      <c r="F81" s="7" t="s">
        <v>170</v>
      </c>
      <c r="G81" s="3" t="s">
        <v>170</v>
      </c>
      <c r="H81" s="3"/>
      <c r="I81" s="7" t="s">
        <v>170</v>
      </c>
      <c r="J81" s="3" t="str">
        <f t="shared" si="0"/>
        <v>SEK / NOK</v>
      </c>
      <c r="K81" s="3" t="str">
        <f>IF(J81="SEK / NOK",(VLOOKUP(B81,'RRP data'!A:E,2,FALSE)),(IF(J81="DKK",(VLOOKUP('Axkid Template - SE'!B81,'RRP data'!A:E,4,FALSE)),(IF(J81="EUR",(VLOOKUP(B81,'RRP data'!A:E,5,FALSE)))))))</f>
        <v>Axkid Backseat organizer</v>
      </c>
      <c r="L81" s="12">
        <v>20</v>
      </c>
      <c r="M81" s="1">
        <v>1</v>
      </c>
      <c r="N81" s="3" t="s">
        <v>417</v>
      </c>
      <c r="O81" s="7" t="s">
        <v>41</v>
      </c>
      <c r="P81" s="3">
        <v>94019010</v>
      </c>
      <c r="Q81" s="1">
        <v>42.5</v>
      </c>
      <c r="R81" s="1">
        <v>57</v>
      </c>
      <c r="S81" s="1">
        <v>1</v>
      </c>
      <c r="T81" s="19">
        <v>23.5</v>
      </c>
      <c r="U81" s="1">
        <v>7</v>
      </c>
      <c r="V81" s="1">
        <v>37</v>
      </c>
      <c r="W81" s="12">
        <v>0.16</v>
      </c>
      <c r="X81" s="12">
        <v>0.16</v>
      </c>
      <c r="Y81" s="1" t="s">
        <v>389</v>
      </c>
    </row>
    <row r="82" spans="1:25">
      <c r="A82" s="1" t="s">
        <v>418</v>
      </c>
      <c r="B82" s="1">
        <v>804303</v>
      </c>
      <c r="C82" s="1" t="s">
        <v>293</v>
      </c>
      <c r="D82" s="3">
        <v>7350057582060</v>
      </c>
      <c r="E82" s="3" t="s">
        <v>387</v>
      </c>
      <c r="F82" s="7" t="s">
        <v>170</v>
      </c>
      <c r="G82" s="3" t="s">
        <v>170</v>
      </c>
      <c r="H82" s="3"/>
      <c r="I82" s="7" t="s">
        <v>170</v>
      </c>
      <c r="J82" s="3" t="str">
        <f t="shared" si="0"/>
        <v>SEK / NOK</v>
      </c>
      <c r="K82" s="3" t="str">
        <f>IF(J82="SEK / NOK",(VLOOKUP(B82,'RRP data'!A:E,2,FALSE)),(IF(J82="DKK",(VLOOKUP('Axkid Template - SE'!B82,'RRP data'!A:E,4,FALSE)),(IF(J82="EUR",(VLOOKUP(B82,'RRP data'!A:E,5,FALSE)))))))</f>
        <v>Axkid Tether straps for Move</v>
      </c>
      <c r="L82" s="12">
        <v>100</v>
      </c>
      <c r="M82" s="1">
        <v>1</v>
      </c>
      <c r="N82" s="3" t="s">
        <v>419</v>
      </c>
      <c r="O82" s="7" t="s">
        <v>41</v>
      </c>
      <c r="P82" s="3">
        <v>94019010</v>
      </c>
      <c r="Q82" s="1">
        <v>4</v>
      </c>
      <c r="R82" s="1">
        <v>133</v>
      </c>
      <c r="S82" s="1">
        <v>0.2</v>
      </c>
      <c r="T82" s="19">
        <v>18</v>
      </c>
      <c r="U82" s="1">
        <v>6</v>
      </c>
      <c r="V82" s="1">
        <v>16</v>
      </c>
      <c r="W82" s="12">
        <v>0.15</v>
      </c>
      <c r="X82" s="12">
        <v>0.14000000000000001</v>
      </c>
      <c r="Y82" s="1" t="s">
        <v>389</v>
      </c>
    </row>
    <row r="83" spans="1:25">
      <c r="A83" s="1" t="s">
        <v>420</v>
      </c>
      <c r="B83" s="1">
        <v>804503</v>
      </c>
      <c r="C83" s="1" t="s">
        <v>293</v>
      </c>
      <c r="D83" s="3">
        <v>7350057582749</v>
      </c>
      <c r="E83" s="3" t="s">
        <v>387</v>
      </c>
      <c r="F83" s="7" t="s">
        <v>170</v>
      </c>
      <c r="G83" s="3" t="s">
        <v>170</v>
      </c>
      <c r="H83" s="3"/>
      <c r="I83" s="7" t="s">
        <v>170</v>
      </c>
      <c r="J83" s="3" t="str">
        <f t="shared" si="0"/>
        <v>SEK / NOK</v>
      </c>
      <c r="K83" s="3" t="str">
        <f>IF(J83="SEK / NOK",(VLOOKUP(B83,'RRP data'!A:E,2,FALSE)),(IF(J83="DKK",(VLOOKUP('Axkid Template - SE'!B83,'RRP data'!A:E,4,FALSE)),(IF(J83="EUR",(VLOOKUP(B83,'RRP data'!A:E,5,FALSE)))))))</f>
        <v>Axkid Sun cover (seat sunshade)</v>
      </c>
      <c r="L83" s="12">
        <v>40</v>
      </c>
      <c r="M83" s="1">
        <v>1</v>
      </c>
      <c r="N83" s="3" t="s">
        <v>421</v>
      </c>
      <c r="O83" s="7" t="s">
        <v>41</v>
      </c>
      <c r="P83" s="3">
        <v>94019010</v>
      </c>
      <c r="Q83" s="1">
        <v>41</v>
      </c>
      <c r="R83" s="1">
        <v>21</v>
      </c>
      <c r="S83" s="1">
        <v>47</v>
      </c>
      <c r="T83" s="19">
        <v>30</v>
      </c>
      <c r="U83" s="1">
        <v>8</v>
      </c>
      <c r="V83" s="1">
        <v>20</v>
      </c>
      <c r="W83" s="12">
        <v>0.61</v>
      </c>
      <c r="X83" s="1">
        <v>0.3</v>
      </c>
      <c r="Y83" s="1" t="s">
        <v>389</v>
      </c>
    </row>
    <row r="84" spans="1:25">
      <c r="A84" s="1" t="s">
        <v>422</v>
      </c>
      <c r="B84" s="1">
        <v>804603</v>
      </c>
      <c r="C84" s="1" t="s">
        <v>293</v>
      </c>
      <c r="D84" s="3">
        <v>7350057582756</v>
      </c>
      <c r="E84" s="3" t="s">
        <v>387</v>
      </c>
      <c r="F84" s="7" t="s">
        <v>170</v>
      </c>
      <c r="G84" s="3" t="s">
        <v>170</v>
      </c>
      <c r="H84" s="3"/>
      <c r="I84" s="7" t="s">
        <v>170</v>
      </c>
      <c r="J84" s="3" t="str">
        <f t="shared" si="0"/>
        <v>SEK / NOK</v>
      </c>
      <c r="K84" s="3" t="str">
        <f>IF(J84="SEK / NOK",(VLOOKUP(B84,'RRP data'!A:E,2,FALSE)),(IF(J84="DKK",(VLOOKUP('Axkid Template - SE'!B84,'RRP data'!A:E,4,FALSE)),(IF(J84="EUR",(VLOOKUP(B84,'RRP data'!A:E,5,FALSE)))))))</f>
        <v>Axkid Support leg adapter</v>
      </c>
      <c r="L84" s="12">
        <v>10</v>
      </c>
      <c r="M84" s="1">
        <v>1</v>
      </c>
      <c r="N84" s="3" t="s">
        <v>423</v>
      </c>
      <c r="O84" s="7" t="s">
        <v>41</v>
      </c>
      <c r="P84" s="3">
        <v>94019010</v>
      </c>
      <c r="Q84" s="1">
        <v>8</v>
      </c>
      <c r="R84" s="1">
        <v>27.5</v>
      </c>
      <c r="S84" s="1">
        <v>3.5</v>
      </c>
      <c r="T84" s="19">
        <v>30</v>
      </c>
      <c r="U84" s="1">
        <v>8</v>
      </c>
      <c r="V84" s="1">
        <v>20</v>
      </c>
      <c r="W84" s="1">
        <v>0.8</v>
      </c>
      <c r="X84" s="1">
        <v>0.5</v>
      </c>
      <c r="Y84" s="1" t="s">
        <v>389</v>
      </c>
    </row>
    <row r="85" spans="1:25">
      <c r="A85" s="1" t="s">
        <v>191</v>
      </c>
      <c r="B85" s="1">
        <v>804916</v>
      </c>
      <c r="C85" s="1" t="s">
        <v>76</v>
      </c>
      <c r="D85" s="3">
        <v>7350057584347</v>
      </c>
      <c r="E85" s="3" t="s">
        <v>387</v>
      </c>
      <c r="F85" s="7" t="s">
        <v>170</v>
      </c>
      <c r="G85" s="3" t="s">
        <v>170</v>
      </c>
      <c r="H85" s="3"/>
      <c r="I85" s="7" t="s">
        <v>170</v>
      </c>
      <c r="J85" s="3" t="s">
        <v>2</v>
      </c>
      <c r="K85" s="3"/>
      <c r="L85" s="12">
        <v>1</v>
      </c>
      <c r="M85" s="12">
        <v>1</v>
      </c>
      <c r="N85" s="3"/>
      <c r="O85" s="7" t="s">
        <v>41</v>
      </c>
      <c r="P85" s="3">
        <v>94019010</v>
      </c>
      <c r="Q85" s="23"/>
      <c r="R85" s="23"/>
      <c r="S85" s="23"/>
      <c r="T85" s="19"/>
    </row>
    <row r="86" spans="1:25">
      <c r="A86" s="1" t="s">
        <v>424</v>
      </c>
      <c r="B86" s="1">
        <v>30100002</v>
      </c>
      <c r="C86" s="1" t="s">
        <v>286</v>
      </c>
      <c r="D86" s="3">
        <v>7350057582428</v>
      </c>
      <c r="E86" s="3" t="s">
        <v>425</v>
      </c>
      <c r="F86" s="3" t="s">
        <v>426</v>
      </c>
      <c r="G86" s="3" t="s">
        <v>170</v>
      </c>
      <c r="H86" s="3"/>
      <c r="I86" s="3" t="s">
        <v>427</v>
      </c>
      <c r="J86" s="3" t="str">
        <f t="shared" si="0"/>
        <v>SEK / NOK</v>
      </c>
      <c r="K86" s="3" t="e">
        <f>IF(J86="SEK / NOK",(VLOOKUP(B86,'RRP data'!A:E,2,FALSE)),(IF(J86="DKK",(VLOOKUP('Axkid Template - SE'!B86,'RRP data'!A:E,4,FALSE)),(IF(J86="EUR",(VLOOKUP(B86,'RRP data'!A:E,5,FALSE)))))))</f>
        <v>#N/A</v>
      </c>
      <c r="L86" s="12">
        <v>1</v>
      </c>
      <c r="M86" s="1">
        <v>1</v>
      </c>
      <c r="N86" s="3" t="s">
        <v>428</v>
      </c>
      <c r="O86" s="7" t="s">
        <v>41</v>
      </c>
      <c r="P86" s="3">
        <v>8715001000</v>
      </c>
      <c r="Q86" s="1">
        <v>45</v>
      </c>
      <c r="R86" s="1">
        <v>100</v>
      </c>
      <c r="S86" s="1">
        <v>85</v>
      </c>
      <c r="T86" s="19">
        <v>51</v>
      </c>
      <c r="U86" s="1">
        <v>59.5</v>
      </c>
      <c r="V86" s="1">
        <v>29</v>
      </c>
      <c r="W86" s="1">
        <v>9.5</v>
      </c>
      <c r="X86" s="1">
        <v>7.3</v>
      </c>
      <c r="Y86" s="1" t="s">
        <v>42</v>
      </c>
    </row>
    <row r="87" spans="1:25">
      <c r="A87" s="1" t="s">
        <v>429</v>
      </c>
      <c r="B87" s="1">
        <v>30100003</v>
      </c>
      <c r="C87" s="1" t="s">
        <v>293</v>
      </c>
      <c r="D87" s="3">
        <v>7350057582435</v>
      </c>
      <c r="E87" s="3" t="s">
        <v>425</v>
      </c>
      <c r="F87" s="3" t="s">
        <v>426</v>
      </c>
      <c r="G87" s="3" t="s">
        <v>170</v>
      </c>
      <c r="H87" s="3"/>
      <c r="I87" s="3" t="s">
        <v>427</v>
      </c>
      <c r="J87" s="3" t="str">
        <f t="shared" si="0"/>
        <v>SEK / NOK</v>
      </c>
      <c r="K87" s="3" t="e">
        <f>IF(J87="SEK / NOK",(VLOOKUP(B87,'RRP data'!A:E,2,FALSE)),(IF(J87="DKK",(VLOOKUP('Axkid Template - SE'!B87,'RRP data'!A:E,4,FALSE)),(IF(J87="EUR",(VLOOKUP(B87,'RRP data'!A:E,5,FALSE)))))))</f>
        <v>#N/A</v>
      </c>
      <c r="L87" s="12">
        <v>1</v>
      </c>
      <c r="M87" s="1">
        <v>1</v>
      </c>
      <c r="N87" s="3" t="s">
        <v>428</v>
      </c>
      <c r="O87" s="7" t="s">
        <v>41</v>
      </c>
      <c r="P87" s="3">
        <v>8715001000</v>
      </c>
      <c r="Q87" s="1">
        <v>45</v>
      </c>
      <c r="R87" s="1">
        <v>100</v>
      </c>
      <c r="S87" s="1">
        <v>85</v>
      </c>
      <c r="T87" s="19">
        <v>51</v>
      </c>
      <c r="U87" s="1">
        <v>59.5</v>
      </c>
      <c r="V87" s="1">
        <v>29</v>
      </c>
      <c r="W87" s="1">
        <v>9.5</v>
      </c>
      <c r="X87" s="1">
        <v>7.3</v>
      </c>
      <c r="Y87" s="1" t="s">
        <v>42</v>
      </c>
    </row>
    <row r="88" spans="1:25">
      <c r="A88" s="1" t="s">
        <v>430</v>
      </c>
      <c r="B88" s="1">
        <v>90100102</v>
      </c>
      <c r="C88" s="1" t="s">
        <v>286</v>
      </c>
      <c r="D88" s="3">
        <v>7350057582442</v>
      </c>
      <c r="E88" s="3" t="s">
        <v>431</v>
      </c>
      <c r="F88" s="3" t="s">
        <v>426</v>
      </c>
      <c r="G88" s="3" t="s">
        <v>432</v>
      </c>
      <c r="H88" s="3"/>
      <c r="I88" s="3" t="s">
        <v>170</v>
      </c>
      <c r="J88" s="3" t="str">
        <f t="shared" si="0"/>
        <v>SEK / NOK</v>
      </c>
      <c r="K88" s="3" t="e">
        <f>IF(J88="SEK / NOK",(VLOOKUP(B88,'RRP data'!A:E,2,FALSE)),(IF(J88="DKK",(VLOOKUP('Axkid Template - SE'!B88,'RRP data'!A:E,4,FALSE)),(IF(J88="EUR",(VLOOKUP(B88,'RRP data'!A:E,5,FALSE)))))))</f>
        <v>#N/A</v>
      </c>
      <c r="L88" s="12">
        <v>1</v>
      </c>
      <c r="M88" s="1">
        <v>1</v>
      </c>
      <c r="N88" s="3" t="s">
        <v>433</v>
      </c>
      <c r="O88" s="7" t="s">
        <v>41</v>
      </c>
      <c r="P88" s="3">
        <v>8715009000</v>
      </c>
      <c r="Q88" s="1">
        <v>35</v>
      </c>
      <c r="R88" s="1">
        <v>85</v>
      </c>
      <c r="S88" s="1">
        <v>25</v>
      </c>
      <c r="T88" s="19">
        <v>37</v>
      </c>
      <c r="U88" s="1">
        <v>86</v>
      </c>
      <c r="V88" s="1">
        <v>10.5</v>
      </c>
      <c r="W88" s="1">
        <v>4.3</v>
      </c>
      <c r="X88" s="1">
        <v>2.8</v>
      </c>
      <c r="Y88" s="1" t="s">
        <v>42</v>
      </c>
    </row>
    <row r="89" spans="1:25">
      <c r="A89" s="1" t="s">
        <v>434</v>
      </c>
      <c r="B89" s="1">
        <v>90100103</v>
      </c>
      <c r="C89" s="1" t="s">
        <v>293</v>
      </c>
      <c r="D89" s="3">
        <v>7350057582459</v>
      </c>
      <c r="E89" s="3" t="s">
        <v>431</v>
      </c>
      <c r="F89" s="3" t="s">
        <v>426</v>
      </c>
      <c r="G89" s="3" t="s">
        <v>432</v>
      </c>
      <c r="H89" s="3"/>
      <c r="I89" s="3" t="s">
        <v>170</v>
      </c>
      <c r="J89" s="3" t="str">
        <f t="shared" si="0"/>
        <v>SEK / NOK</v>
      </c>
      <c r="K89" s="3" t="e">
        <f>IF(J89="SEK / NOK",(VLOOKUP(B89,'RRP data'!A:E,2,FALSE)),(IF(J89="DKK",(VLOOKUP('Axkid Template - SE'!B89,'RRP data'!A:E,4,FALSE)),(IF(J89="EUR",(VLOOKUP(B89,'RRP data'!A:E,5,FALSE)))))))</f>
        <v>#N/A</v>
      </c>
      <c r="L89" s="12">
        <v>1</v>
      </c>
      <c r="M89" s="1">
        <v>1</v>
      </c>
      <c r="N89" s="3" t="s">
        <v>433</v>
      </c>
      <c r="O89" s="7" t="s">
        <v>41</v>
      </c>
      <c r="P89" s="3">
        <v>8715009000</v>
      </c>
      <c r="Q89" s="1">
        <v>35</v>
      </c>
      <c r="R89" s="1">
        <v>85</v>
      </c>
      <c r="S89" s="1">
        <v>25</v>
      </c>
      <c r="T89" s="19">
        <v>37</v>
      </c>
      <c r="U89" s="1">
        <v>86</v>
      </c>
      <c r="V89" s="1">
        <v>10.5</v>
      </c>
      <c r="W89" s="1">
        <v>4.3</v>
      </c>
      <c r="X89" s="1">
        <v>2.8</v>
      </c>
      <c r="Y89" s="1" t="s">
        <v>42</v>
      </c>
    </row>
    <row r="90" spans="1:25">
      <c r="A90" s="1" t="s">
        <v>435</v>
      </c>
      <c r="B90" s="1">
        <v>90100214</v>
      </c>
      <c r="C90" s="1" t="s">
        <v>436</v>
      </c>
      <c r="D90" s="3">
        <v>7350057582619</v>
      </c>
      <c r="E90" s="3" t="s">
        <v>437</v>
      </c>
      <c r="F90" s="7" t="s">
        <v>170</v>
      </c>
      <c r="G90" s="3" t="s">
        <v>170</v>
      </c>
      <c r="H90" s="3"/>
      <c r="I90" s="3" t="s">
        <v>170</v>
      </c>
      <c r="J90" s="3" t="str">
        <f t="shared" si="0"/>
        <v>SEK / NOK</v>
      </c>
      <c r="K90" s="3" t="e">
        <f>IF(J90="SEK / NOK",(VLOOKUP(B90,'RRP data'!A:E,2,FALSE)),(IF(J90="DKK",(VLOOKUP('Axkid Template - SE'!B90,'RRP data'!A:E,4,FALSE)),(IF(J90="EUR",(VLOOKUP(B90,'RRP data'!A:E,5,FALSE)))))))</f>
        <v>#N/A</v>
      </c>
      <c r="L90" s="12">
        <v>30</v>
      </c>
      <c r="M90" s="1">
        <v>1</v>
      </c>
      <c r="N90" s="3" t="s">
        <v>438</v>
      </c>
      <c r="O90" s="7" t="s">
        <v>41</v>
      </c>
      <c r="P90" s="3">
        <v>8715009000</v>
      </c>
      <c r="Q90" s="1">
        <v>12</v>
      </c>
      <c r="R90" s="1">
        <v>20</v>
      </c>
      <c r="S90" s="1">
        <v>12</v>
      </c>
      <c r="T90" s="21">
        <v>54</v>
      </c>
      <c r="U90" s="12">
        <v>48</v>
      </c>
      <c r="V90" s="12">
        <v>51.5</v>
      </c>
      <c r="W90" s="1">
        <v>0.51</v>
      </c>
      <c r="X90" s="1">
        <v>0.34</v>
      </c>
      <c r="Y90" s="1" t="s">
        <v>389</v>
      </c>
    </row>
    <row r="91" spans="1:25">
      <c r="A91" s="1" t="s">
        <v>439</v>
      </c>
      <c r="B91" s="1">
        <v>90100314</v>
      </c>
      <c r="C91" s="1" t="s">
        <v>436</v>
      </c>
      <c r="D91" s="3">
        <v>7350057582626</v>
      </c>
      <c r="E91" s="3" t="s">
        <v>437</v>
      </c>
      <c r="F91" s="7" t="s">
        <v>170</v>
      </c>
      <c r="G91" s="3" t="s">
        <v>170</v>
      </c>
      <c r="H91" s="3"/>
      <c r="I91" s="3" t="s">
        <v>170</v>
      </c>
      <c r="J91" s="3" t="str">
        <f t="shared" si="0"/>
        <v>SEK / NOK</v>
      </c>
      <c r="K91" s="3" t="e">
        <f>IF(J91="SEK / NOK",(VLOOKUP(B91,'RRP data'!A:E,2,FALSE)),(IF(J91="DKK",(VLOOKUP('Axkid Template - SE'!B91,'RRP data'!A:E,4,FALSE)),(IF(J91="EUR",(VLOOKUP(B91,'RRP data'!A:E,5,FALSE)))))))</f>
        <v>#N/A</v>
      </c>
      <c r="L91" s="12">
        <v>30</v>
      </c>
      <c r="M91" s="1">
        <v>1</v>
      </c>
      <c r="N91" s="3" t="s">
        <v>440</v>
      </c>
      <c r="O91" s="7" t="s">
        <v>41</v>
      </c>
      <c r="P91" s="3">
        <v>8715009000</v>
      </c>
      <c r="Q91" s="1">
        <v>12</v>
      </c>
      <c r="R91" s="1">
        <v>20</v>
      </c>
      <c r="S91" s="1">
        <v>12</v>
      </c>
      <c r="T91" s="21">
        <v>54</v>
      </c>
      <c r="U91" s="12">
        <v>48</v>
      </c>
      <c r="V91" s="12">
        <v>51.5</v>
      </c>
      <c r="W91" s="1">
        <v>0.51</v>
      </c>
      <c r="X91" s="1">
        <v>0.34</v>
      </c>
      <c r="Y91" s="1" t="s">
        <v>389</v>
      </c>
    </row>
    <row r="92" spans="1:25">
      <c r="A92" s="1" t="s">
        <v>441</v>
      </c>
      <c r="B92" s="1">
        <v>90100403</v>
      </c>
      <c r="C92" s="1" t="s">
        <v>293</v>
      </c>
      <c r="D92" s="3">
        <v>7350057582633</v>
      </c>
      <c r="E92" s="3" t="s">
        <v>437</v>
      </c>
      <c r="F92" s="7" t="s">
        <v>170</v>
      </c>
      <c r="G92" s="3" t="s">
        <v>170</v>
      </c>
      <c r="H92" s="3"/>
      <c r="I92" s="3" t="s">
        <v>170</v>
      </c>
      <c r="J92" s="3" t="str">
        <f t="shared" si="0"/>
        <v>SEK / NOK</v>
      </c>
      <c r="K92" s="3" t="e">
        <f>IF(J92="SEK / NOK",(VLOOKUP(B92,'RRP data'!A:E,2,FALSE)),(IF(J92="DKK",(VLOOKUP('Axkid Template - SE'!B92,'RRP data'!A:E,4,FALSE)),(IF(J92="EUR",(VLOOKUP(B92,'RRP data'!A:E,5,FALSE)))))))</f>
        <v>#N/A</v>
      </c>
      <c r="L92" s="12">
        <v>12</v>
      </c>
      <c r="M92" s="1">
        <v>1</v>
      </c>
      <c r="N92" s="3" t="s">
        <v>442</v>
      </c>
      <c r="O92" s="7" t="s">
        <v>41</v>
      </c>
      <c r="P92" s="3">
        <v>8715009000</v>
      </c>
      <c r="Q92" s="1">
        <v>13.5</v>
      </c>
      <c r="R92" s="1">
        <v>9.5</v>
      </c>
      <c r="S92" s="1">
        <v>22</v>
      </c>
      <c r="T92" s="21">
        <v>46.5</v>
      </c>
      <c r="U92" s="12">
        <v>28.5</v>
      </c>
      <c r="V92" s="12">
        <v>30</v>
      </c>
      <c r="W92" s="1">
        <v>1.47</v>
      </c>
      <c r="X92" s="1">
        <v>1.3</v>
      </c>
      <c r="Y92" s="1" t="s">
        <v>389</v>
      </c>
    </row>
    <row r="93" spans="1:25">
      <c r="A93" s="1" t="s">
        <v>443</v>
      </c>
      <c r="B93" s="1">
        <v>90100506</v>
      </c>
      <c r="C93" s="1" t="s">
        <v>293</v>
      </c>
      <c r="D93" s="3">
        <v>7350057582640</v>
      </c>
      <c r="E93" s="3" t="s">
        <v>437</v>
      </c>
      <c r="F93" s="7" t="s">
        <v>170</v>
      </c>
      <c r="G93" s="3" t="s">
        <v>170</v>
      </c>
      <c r="H93" s="3"/>
      <c r="I93" s="3" t="s">
        <v>170</v>
      </c>
      <c r="J93" s="3" t="str">
        <f t="shared" si="0"/>
        <v>SEK / NOK</v>
      </c>
      <c r="K93" s="3" t="e">
        <f>IF(J93="SEK / NOK",(VLOOKUP(B93,'RRP data'!A:E,2,FALSE)),(IF(J93="DKK",(VLOOKUP('Axkid Template - SE'!B93,'RRP data'!A:E,4,FALSE)),(IF(J93="EUR",(VLOOKUP(B93,'RRP data'!A:E,5,FALSE)))))))</f>
        <v>#N/A</v>
      </c>
      <c r="L93" s="12">
        <v>70</v>
      </c>
      <c r="M93" s="1">
        <v>1</v>
      </c>
      <c r="N93" s="3" t="s">
        <v>444</v>
      </c>
      <c r="O93" s="7" t="s">
        <v>41</v>
      </c>
      <c r="P93" s="3">
        <v>8715009000</v>
      </c>
      <c r="Q93" s="1">
        <v>12</v>
      </c>
      <c r="R93" s="1">
        <v>7</v>
      </c>
      <c r="S93" s="1">
        <v>12</v>
      </c>
      <c r="T93" s="21">
        <v>54</v>
      </c>
      <c r="U93" s="12">
        <v>48</v>
      </c>
      <c r="V93" s="12">
        <v>51.5</v>
      </c>
      <c r="W93" s="1">
        <v>0.14000000000000001</v>
      </c>
      <c r="X93" s="1">
        <v>0.08</v>
      </c>
      <c r="Y93" s="1" t="s">
        <v>389</v>
      </c>
    </row>
    <row r="94" spans="1:25">
      <c r="A94" s="1" t="s">
        <v>445</v>
      </c>
      <c r="B94" s="1">
        <v>90100606</v>
      </c>
      <c r="C94" s="1" t="s">
        <v>293</v>
      </c>
      <c r="D94" s="3">
        <v>7350057582657</v>
      </c>
      <c r="E94" s="3" t="s">
        <v>437</v>
      </c>
      <c r="F94" s="7" t="s">
        <v>170</v>
      </c>
      <c r="G94" s="3" t="s">
        <v>170</v>
      </c>
      <c r="H94" s="3"/>
      <c r="I94" s="3" t="s">
        <v>170</v>
      </c>
      <c r="J94" s="3" t="str">
        <f t="shared" si="0"/>
        <v>SEK / NOK</v>
      </c>
      <c r="K94" s="3" t="e">
        <f>IF(J94="SEK / NOK",(VLOOKUP(B94,'RRP data'!A:E,2,FALSE)),(IF(J94="DKK",(VLOOKUP('Axkid Template - SE'!B94,'RRP data'!A:E,4,FALSE)),(IF(J94="EUR",(VLOOKUP(B94,'RRP data'!A:E,5,FALSE)))))))</f>
        <v>#N/A</v>
      </c>
      <c r="L94" s="12">
        <v>70</v>
      </c>
      <c r="M94" s="1">
        <v>1</v>
      </c>
      <c r="N94" s="3" t="s">
        <v>446</v>
      </c>
      <c r="O94" s="7" t="s">
        <v>41</v>
      </c>
      <c r="P94" s="3">
        <v>8715009000</v>
      </c>
      <c r="Q94" s="1">
        <v>12</v>
      </c>
      <c r="R94" s="1">
        <v>7</v>
      </c>
      <c r="S94" s="1">
        <v>12</v>
      </c>
      <c r="T94" s="21">
        <v>54</v>
      </c>
      <c r="U94" s="12">
        <v>48</v>
      </c>
      <c r="V94" s="12">
        <v>51.5</v>
      </c>
      <c r="W94" s="1">
        <v>0.14000000000000001</v>
      </c>
      <c r="X94" s="1">
        <v>0.08</v>
      </c>
      <c r="Y94" s="1" t="s">
        <v>389</v>
      </c>
    </row>
    <row r="95" spans="1:25">
      <c r="A95" s="1" t="s">
        <v>447</v>
      </c>
      <c r="B95" s="1">
        <v>90100703</v>
      </c>
      <c r="C95" s="1" t="s">
        <v>293</v>
      </c>
      <c r="D95" s="3" t="s">
        <v>448</v>
      </c>
      <c r="E95" s="3" t="s">
        <v>437</v>
      </c>
      <c r="F95" s="7" t="s">
        <v>170</v>
      </c>
      <c r="G95" s="3" t="s">
        <v>170</v>
      </c>
      <c r="H95" s="3"/>
      <c r="I95" s="3" t="s">
        <v>170</v>
      </c>
      <c r="J95" s="3" t="str">
        <f t="shared" si="0"/>
        <v>SEK / NOK</v>
      </c>
      <c r="K95" s="3" t="e">
        <f>IF(J95="SEK / NOK",(VLOOKUP(B95,'RRP data'!A:E,2,FALSE)),(IF(J95="DKK",(VLOOKUP('Axkid Template - SE'!B95,'RRP data'!A:E,4,FALSE)),(IF(J95="EUR",(VLOOKUP(B95,'RRP data'!A:E,5,FALSE)))))))</f>
        <v>#N/A</v>
      </c>
      <c r="L95" s="12">
        <v>16</v>
      </c>
      <c r="M95" s="1">
        <v>1</v>
      </c>
      <c r="N95" s="3" t="s">
        <v>449</v>
      </c>
      <c r="O95" s="7" t="s">
        <v>41</v>
      </c>
      <c r="P95" s="3">
        <v>8715009000</v>
      </c>
      <c r="Q95" s="1">
        <v>34</v>
      </c>
      <c r="R95" s="1">
        <v>60</v>
      </c>
      <c r="S95" s="1">
        <v>40</v>
      </c>
      <c r="T95" s="21">
        <v>54</v>
      </c>
      <c r="U95" s="12">
        <v>48</v>
      </c>
      <c r="V95" s="12">
        <v>51.5</v>
      </c>
      <c r="W95" s="1">
        <v>0.52</v>
      </c>
      <c r="X95" s="1">
        <v>0.32</v>
      </c>
      <c r="Y95" s="1" t="s">
        <v>389</v>
      </c>
    </row>
  </sheetData>
  <mergeCells count="3">
    <mergeCell ref="A1:C1"/>
    <mergeCell ref="Q1:S1"/>
    <mergeCell ref="T1:V1"/>
  </mergeCells>
  <dataValidations count="1">
    <dataValidation type="list" allowBlank="1" showInputMessage="1" showErrorMessage="1" sqref="C84:C95 C3:C82" xr:uid="{44E195D8-9C44-4D74-8CE0-50E9A3845E9D}">
      <formula1>COLOR</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6AEBD2A-56DB-4279-8D9D-1E91AD6A7BE5}">
          <x14:formula1>
            <xm:f>'RRP data'!$AB$1:$AB$3</xm:f>
          </x14:formula1>
          <xm:sqref>J1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48a2c2e-42fa-478b-8534-660f2664e864">
      <Terms xmlns="http://schemas.microsoft.com/office/infopath/2007/PartnerControls"/>
    </lcf76f155ced4ddcb4097134ff3c332f>
    <TaxCatchAll xmlns="0273f83e-b246-4bf4-abae-6ed6e4492634" xsi:nil="true"/>
    <SharedWithUsers xmlns="0273f83e-b246-4bf4-abae-6ed6e4492634">
      <UserInfo>
        <DisplayName/>
        <AccountId xsi:nil="true"/>
        <AccountType/>
      </UserInfo>
    </SharedWithUsers>
    <MediaLengthInSeconds xmlns="d48a2c2e-42fa-478b-8534-660f2664e8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D232CD5FF5EC034E8457B73DF2ACD0A4" ma:contentTypeVersion="15" ma:contentTypeDescription="Skapa ett nytt dokument." ma:contentTypeScope="" ma:versionID="c4f574c79bfd630250efe5fa7d21e56a">
  <xsd:schema xmlns:xsd="http://www.w3.org/2001/XMLSchema" xmlns:xs="http://www.w3.org/2001/XMLSchema" xmlns:p="http://schemas.microsoft.com/office/2006/metadata/properties" xmlns:ns2="d48a2c2e-42fa-478b-8534-660f2664e864" xmlns:ns3="0273f83e-b246-4bf4-abae-6ed6e4492634" targetNamespace="http://schemas.microsoft.com/office/2006/metadata/properties" ma:root="true" ma:fieldsID="2532941ee868cb36c942d51bb1eb0691" ns2:_="" ns3:_="">
    <xsd:import namespace="d48a2c2e-42fa-478b-8534-660f2664e864"/>
    <xsd:import namespace="0273f83e-b246-4bf4-abae-6ed6e449263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8a2c2e-42fa-478b-8534-660f2664e8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markeringar" ma:readOnly="false" ma:fieldId="{5cf76f15-5ced-4ddc-b409-7134ff3c332f}" ma:taxonomyMulti="true" ma:sspId="dbe5e355-df8b-4248-815a-d40ff73ec03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f83e-b246-4bf4-abae-6ed6e44926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8bc6ec2-4a0e-40c7-b646-e075e1e91c88}" ma:internalName="TaxCatchAll" ma:showField="CatchAllData" ma:web="0273f83e-b246-4bf4-abae-6ed6e449263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ma:index="21"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23B566-EABE-4891-8213-261C83B7BC30}"/>
</file>

<file path=customXml/itemProps2.xml><?xml version="1.0" encoding="utf-8"?>
<ds:datastoreItem xmlns:ds="http://schemas.openxmlformats.org/officeDocument/2006/customXml" ds:itemID="{0E895A57-E73F-4CF2-A6C4-8CCCEBC00BF1}"/>
</file>

<file path=customXml/itemProps3.xml><?xml version="1.0" encoding="utf-8"?>
<ds:datastoreItem xmlns:ds="http://schemas.openxmlformats.org/officeDocument/2006/customXml" ds:itemID="{898EBD60-00D3-4A16-BDE2-AA8321B395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Patricia Jansson</dc:creator>
  <cp:keywords/>
  <dc:description/>
  <cp:lastModifiedBy>Jérôme Barth</cp:lastModifiedBy>
  <cp:revision/>
  <dcterms:created xsi:type="dcterms:W3CDTF">2019-03-26T06:01:54Z</dcterms:created>
  <dcterms:modified xsi:type="dcterms:W3CDTF">2023-07-31T11:59:41Z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0x010100D232CD5FF5EC034E8457B73DF2ACD0A4</vt:lpwstr>
  </property>
  <property fmtid="{D5CDD505-2E9C-101B-9397-08002B2CF9AE}" pid="3" name="AuthorIds_UIVersion_20480">
    <vt:lpwstr>18</vt:lpwstr>
  </property>
  <property fmtid="{D5CDD505-2E9C-101B-9397-08002B2CF9AE}" pid="4" name="MediaServiceImageTags">
    <vt:lpwstr/>
  </property>
  <property fmtid="{D5CDD505-2E9C-101B-9397-08002B2CF9AE}" pid="5" name="Order">
    <vt:r8>3030000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