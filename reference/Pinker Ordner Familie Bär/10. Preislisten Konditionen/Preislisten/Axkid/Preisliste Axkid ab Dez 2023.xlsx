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xkids.sharepoint.com/sites/Axkid-Germany/Delade dokument/General/1 - SALES/PREISE/2023/PREISLISTEN/"/>
    </mc:Choice>
  </mc:AlternateContent>
  <xr:revisionPtr revIDLastSave="2" documentId="101_{3005E033-A870-45F5-962B-429A81152C23}" xr6:coauthVersionLast="47" xr6:coauthVersionMax="47" xr10:uidLastSave="{2C117AED-F5D2-4E8C-AA61-2C8E838389E8}"/>
  <bookViews>
    <workbookView xWindow="-108" yWindow="-108" windowWidth="23256" windowHeight="12456" xr2:uid="{2EF7A209-93E2-45AC-BB69-8344E234E674}"/>
  </bookViews>
  <sheets>
    <sheet name="Sheet1" sheetId="1" r:id="rId1"/>
  </sheets>
  <externalReferences>
    <externalReference r:id="rId2"/>
  </externalReferenc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7" i="1" l="1"/>
  <c r="E97" i="1"/>
  <c r="F97" i="1"/>
  <c r="G97" i="1"/>
  <c r="H97" i="1"/>
  <c r="C97" i="1"/>
  <c r="B97" i="1"/>
  <c r="D96" i="1"/>
  <c r="E96" i="1"/>
  <c r="F96" i="1"/>
  <c r="G96" i="1"/>
  <c r="H96" i="1"/>
  <c r="C96" i="1"/>
  <c r="B96" i="1"/>
  <c r="D95" i="1"/>
  <c r="E95" i="1"/>
  <c r="F95" i="1"/>
  <c r="G95" i="1"/>
  <c r="H95" i="1"/>
  <c r="C95" i="1"/>
  <c r="B95" i="1"/>
  <c r="D94" i="1"/>
  <c r="E94" i="1"/>
  <c r="F94" i="1"/>
  <c r="G94" i="1"/>
  <c r="H94" i="1"/>
  <c r="C94" i="1"/>
  <c r="B94" i="1"/>
  <c r="D93" i="1"/>
  <c r="E93" i="1"/>
  <c r="F93" i="1"/>
  <c r="G93" i="1"/>
  <c r="H93" i="1"/>
  <c r="C93" i="1"/>
  <c r="B93" i="1"/>
  <c r="D92" i="1"/>
  <c r="E92" i="1"/>
  <c r="F92" i="1"/>
  <c r="G92" i="1"/>
  <c r="H92" i="1"/>
  <c r="C92" i="1"/>
  <c r="B92" i="1"/>
  <c r="D91" i="1"/>
  <c r="E91" i="1"/>
  <c r="F91" i="1"/>
  <c r="G91" i="1"/>
  <c r="H91" i="1"/>
  <c r="C91" i="1"/>
  <c r="B91" i="1"/>
  <c r="D90" i="1"/>
  <c r="E90" i="1"/>
  <c r="F90" i="1"/>
  <c r="G90" i="1"/>
  <c r="H90" i="1"/>
  <c r="C90" i="1"/>
  <c r="B90" i="1"/>
  <c r="D89" i="1"/>
  <c r="E89" i="1"/>
  <c r="F89" i="1"/>
  <c r="G89" i="1"/>
  <c r="H89" i="1"/>
  <c r="C89" i="1"/>
  <c r="B89" i="1"/>
  <c r="D88" i="1"/>
  <c r="E88" i="1"/>
  <c r="F88" i="1"/>
  <c r="G88" i="1"/>
  <c r="H88" i="1"/>
  <c r="C88" i="1"/>
  <c r="B88" i="1"/>
  <c r="D87" i="1"/>
  <c r="E87" i="1"/>
  <c r="F87" i="1"/>
  <c r="G87" i="1"/>
  <c r="H87" i="1"/>
  <c r="C87" i="1"/>
  <c r="B87" i="1"/>
  <c r="D86" i="1"/>
  <c r="E86" i="1"/>
  <c r="F86" i="1"/>
  <c r="G86" i="1"/>
  <c r="H86" i="1"/>
  <c r="C86" i="1"/>
  <c r="B86" i="1"/>
  <c r="D85" i="1"/>
  <c r="E85" i="1"/>
  <c r="F85" i="1"/>
  <c r="G85" i="1"/>
  <c r="H85" i="1"/>
  <c r="C85" i="1"/>
  <c r="B85" i="1"/>
  <c r="D84" i="1"/>
  <c r="E84" i="1"/>
  <c r="F84" i="1"/>
  <c r="G84" i="1"/>
  <c r="H84" i="1"/>
  <c r="C84" i="1"/>
  <c r="B84" i="1"/>
  <c r="D83" i="1"/>
  <c r="E83" i="1"/>
  <c r="F83" i="1"/>
  <c r="G83" i="1"/>
  <c r="H83" i="1"/>
  <c r="C83" i="1"/>
  <c r="B83" i="1"/>
  <c r="D82" i="1"/>
  <c r="E82" i="1"/>
  <c r="F82" i="1"/>
  <c r="G82" i="1"/>
  <c r="H82" i="1"/>
  <c r="C82" i="1"/>
  <c r="B82" i="1"/>
  <c r="D81" i="1"/>
  <c r="E81" i="1"/>
  <c r="F81" i="1"/>
  <c r="G81" i="1"/>
  <c r="H81" i="1"/>
  <c r="C81" i="1"/>
  <c r="B81" i="1"/>
  <c r="D80" i="1"/>
  <c r="E80" i="1"/>
  <c r="F80" i="1"/>
  <c r="G80" i="1"/>
  <c r="H80" i="1"/>
  <c r="C80" i="1"/>
  <c r="B80" i="1"/>
  <c r="D79" i="1"/>
  <c r="E79" i="1"/>
  <c r="F79" i="1"/>
  <c r="G79" i="1"/>
  <c r="H79" i="1"/>
  <c r="C79" i="1"/>
  <c r="B79" i="1"/>
  <c r="D78" i="1"/>
  <c r="E78" i="1"/>
  <c r="G78" i="1"/>
  <c r="H78" i="1"/>
  <c r="C78" i="1"/>
  <c r="B78" i="1"/>
  <c r="D77" i="1"/>
  <c r="E77" i="1"/>
  <c r="F77" i="1"/>
  <c r="G77" i="1"/>
  <c r="H77" i="1"/>
  <c r="C77" i="1"/>
  <c r="B77" i="1"/>
  <c r="D76" i="1"/>
  <c r="E76" i="1"/>
  <c r="F76" i="1"/>
  <c r="G76" i="1"/>
  <c r="H76" i="1"/>
  <c r="C76" i="1"/>
  <c r="B76" i="1"/>
  <c r="D75" i="1"/>
  <c r="E75" i="1"/>
  <c r="F75" i="1"/>
  <c r="G75" i="1"/>
  <c r="H75" i="1"/>
  <c r="C75" i="1"/>
  <c r="B75" i="1"/>
  <c r="D74" i="1"/>
  <c r="E74" i="1"/>
  <c r="F74" i="1"/>
  <c r="G74" i="1"/>
  <c r="H74" i="1"/>
  <c r="C74" i="1"/>
  <c r="B74" i="1"/>
  <c r="D73" i="1"/>
  <c r="E73" i="1"/>
  <c r="F73" i="1"/>
  <c r="G73" i="1"/>
  <c r="H73" i="1"/>
  <c r="C73" i="1"/>
  <c r="B73" i="1"/>
  <c r="D72" i="1"/>
  <c r="E72" i="1"/>
  <c r="F72" i="1"/>
  <c r="G72" i="1"/>
  <c r="H72" i="1"/>
  <c r="C72" i="1"/>
  <c r="B72" i="1"/>
  <c r="D71" i="1"/>
  <c r="E71" i="1"/>
  <c r="F71" i="1"/>
  <c r="G71" i="1"/>
  <c r="H71" i="1"/>
  <c r="C71" i="1"/>
  <c r="B71" i="1"/>
  <c r="D70" i="1"/>
  <c r="E70" i="1"/>
  <c r="F70" i="1"/>
  <c r="G70" i="1"/>
  <c r="H70" i="1"/>
  <c r="C70" i="1"/>
  <c r="B70" i="1"/>
  <c r="D69" i="1"/>
  <c r="E69" i="1"/>
  <c r="F69" i="1"/>
  <c r="G69" i="1"/>
  <c r="H69" i="1"/>
  <c r="C69" i="1"/>
  <c r="B69" i="1"/>
  <c r="D68" i="1"/>
  <c r="E68" i="1"/>
  <c r="F68" i="1"/>
  <c r="G68" i="1"/>
  <c r="H68" i="1"/>
  <c r="C68" i="1"/>
  <c r="B68" i="1"/>
  <c r="D66" i="1"/>
  <c r="E66" i="1"/>
  <c r="F66" i="1"/>
  <c r="G66" i="1"/>
  <c r="H66" i="1"/>
  <c r="C66" i="1"/>
  <c r="B66" i="1"/>
  <c r="D65" i="1"/>
  <c r="E65" i="1"/>
  <c r="F65" i="1"/>
  <c r="G65" i="1"/>
  <c r="H65" i="1"/>
  <c r="C65" i="1"/>
  <c r="B65" i="1"/>
  <c r="D64" i="1"/>
  <c r="E64" i="1"/>
  <c r="F64" i="1"/>
  <c r="G64" i="1"/>
  <c r="H64" i="1"/>
  <c r="C64" i="1"/>
  <c r="B64" i="1"/>
  <c r="D63" i="1"/>
  <c r="E63" i="1"/>
  <c r="F63" i="1"/>
  <c r="G63" i="1"/>
  <c r="H63" i="1"/>
  <c r="C63" i="1"/>
  <c r="B63" i="1"/>
  <c r="D62" i="1"/>
  <c r="E62" i="1"/>
  <c r="F62" i="1"/>
  <c r="G62" i="1"/>
  <c r="H62" i="1"/>
  <c r="C62" i="1"/>
  <c r="B62" i="1"/>
  <c r="D61" i="1"/>
  <c r="E61" i="1"/>
  <c r="F61" i="1"/>
  <c r="G61" i="1"/>
  <c r="H61" i="1"/>
  <c r="C61" i="1"/>
  <c r="B61" i="1"/>
  <c r="D59" i="1"/>
  <c r="E59" i="1"/>
  <c r="F59" i="1"/>
  <c r="G59" i="1"/>
  <c r="H59" i="1"/>
  <c r="C59" i="1"/>
  <c r="B59" i="1"/>
  <c r="D58" i="1"/>
  <c r="E58" i="1"/>
  <c r="F58" i="1"/>
  <c r="G58" i="1"/>
  <c r="H58" i="1"/>
  <c r="C58" i="1"/>
  <c r="B58" i="1"/>
  <c r="D57" i="1"/>
  <c r="E57" i="1"/>
  <c r="F57" i="1"/>
  <c r="G57" i="1"/>
  <c r="H57" i="1"/>
  <c r="C57" i="1"/>
  <c r="B57" i="1"/>
  <c r="D56" i="1"/>
  <c r="E56" i="1"/>
  <c r="F56" i="1"/>
  <c r="G56" i="1"/>
  <c r="H56" i="1"/>
  <c r="C56" i="1"/>
  <c r="B56" i="1"/>
  <c r="D55" i="1"/>
  <c r="E55" i="1"/>
  <c r="F55" i="1"/>
  <c r="G55" i="1"/>
  <c r="H55" i="1"/>
  <c r="C55" i="1"/>
  <c r="B55" i="1"/>
  <c r="D54" i="1"/>
  <c r="E54" i="1"/>
  <c r="F54" i="1"/>
  <c r="G54" i="1"/>
  <c r="H54" i="1"/>
  <c r="C54" i="1"/>
  <c r="B54" i="1"/>
  <c r="D53" i="1"/>
  <c r="E53" i="1"/>
  <c r="F53" i="1"/>
  <c r="G53" i="1"/>
  <c r="H53" i="1"/>
  <c r="C53" i="1"/>
  <c r="B53" i="1"/>
  <c r="D51" i="1"/>
  <c r="E51" i="1"/>
  <c r="F51" i="1"/>
  <c r="G51" i="1"/>
  <c r="H51" i="1"/>
  <c r="C51" i="1"/>
  <c r="B51" i="1"/>
  <c r="D50" i="1"/>
  <c r="E50" i="1"/>
  <c r="F50" i="1"/>
  <c r="G50" i="1"/>
  <c r="H50" i="1"/>
  <c r="C50" i="1"/>
  <c r="B50" i="1"/>
  <c r="D48" i="1"/>
  <c r="E48" i="1"/>
  <c r="F48" i="1"/>
  <c r="G48" i="1"/>
  <c r="H48" i="1"/>
  <c r="B48" i="1"/>
  <c r="D47" i="1"/>
  <c r="E47" i="1"/>
  <c r="F47" i="1"/>
  <c r="G47" i="1"/>
  <c r="H47" i="1"/>
  <c r="B47" i="1"/>
  <c r="D46" i="1"/>
  <c r="E46" i="1"/>
  <c r="F46" i="1"/>
  <c r="G46" i="1"/>
  <c r="H46" i="1"/>
  <c r="B46" i="1"/>
  <c r="D44" i="1"/>
  <c r="E44" i="1"/>
  <c r="F44" i="1"/>
  <c r="G44" i="1"/>
  <c r="H44" i="1"/>
  <c r="B44" i="1"/>
  <c r="D43" i="1"/>
  <c r="E43" i="1"/>
  <c r="F43" i="1"/>
  <c r="G43" i="1"/>
  <c r="H43" i="1"/>
  <c r="B43" i="1"/>
  <c r="D42" i="1"/>
  <c r="E42" i="1"/>
  <c r="F42" i="1"/>
  <c r="G42" i="1"/>
  <c r="H42" i="1"/>
  <c r="B42" i="1"/>
  <c r="D41" i="1"/>
  <c r="E41" i="1"/>
  <c r="F41" i="1"/>
  <c r="G41" i="1"/>
  <c r="H41" i="1"/>
  <c r="B41" i="1"/>
  <c r="D39" i="1"/>
  <c r="E39" i="1"/>
  <c r="F39" i="1"/>
  <c r="G39" i="1"/>
  <c r="H39" i="1"/>
  <c r="C39" i="1"/>
  <c r="B39" i="1"/>
  <c r="D38" i="1"/>
  <c r="E38" i="1"/>
  <c r="F38" i="1"/>
  <c r="G38" i="1"/>
  <c r="H38" i="1"/>
  <c r="C38" i="1"/>
  <c r="B38" i="1"/>
  <c r="D37" i="1"/>
  <c r="E37" i="1"/>
  <c r="F37" i="1"/>
  <c r="G37" i="1"/>
  <c r="H37" i="1"/>
  <c r="C37" i="1"/>
  <c r="B37" i="1"/>
  <c r="D35" i="1"/>
  <c r="E35" i="1"/>
  <c r="F35" i="1"/>
  <c r="G35" i="1"/>
  <c r="H35" i="1"/>
  <c r="C35" i="1"/>
  <c r="D34" i="1"/>
  <c r="E34" i="1"/>
  <c r="F34" i="1"/>
  <c r="G34" i="1"/>
  <c r="H34" i="1"/>
  <c r="C34" i="1"/>
  <c r="D33" i="1"/>
  <c r="E33" i="1"/>
  <c r="F33" i="1"/>
  <c r="G33" i="1"/>
  <c r="H33" i="1"/>
  <c r="C33" i="1"/>
  <c r="B33" i="1"/>
  <c r="D32" i="1"/>
  <c r="E32" i="1"/>
  <c r="F32" i="1"/>
  <c r="G32" i="1"/>
  <c r="H32" i="1"/>
  <c r="C32" i="1"/>
  <c r="B32" i="1"/>
  <c r="D31" i="1"/>
  <c r="E31" i="1"/>
  <c r="F31" i="1"/>
  <c r="G31" i="1"/>
  <c r="H31" i="1"/>
  <c r="C31" i="1"/>
  <c r="B31" i="1"/>
  <c r="D30" i="1"/>
  <c r="E30" i="1"/>
  <c r="F30" i="1"/>
  <c r="G30" i="1"/>
  <c r="H30" i="1"/>
  <c r="C30" i="1"/>
  <c r="B30" i="1"/>
  <c r="D29" i="1"/>
  <c r="E29" i="1"/>
  <c r="F29" i="1"/>
  <c r="G29" i="1"/>
  <c r="H29" i="1"/>
  <c r="C29" i="1"/>
  <c r="B29" i="1"/>
  <c r="D28" i="1"/>
  <c r="E28" i="1"/>
  <c r="F28" i="1"/>
  <c r="G28" i="1"/>
  <c r="H28" i="1"/>
  <c r="C28" i="1"/>
  <c r="B28" i="1"/>
  <c r="D27" i="1"/>
  <c r="E27" i="1"/>
  <c r="F27" i="1"/>
  <c r="G27" i="1"/>
  <c r="H27" i="1"/>
  <c r="C27" i="1"/>
  <c r="B27" i="1"/>
  <c r="D26" i="1"/>
  <c r="E26" i="1"/>
  <c r="F26" i="1"/>
  <c r="G26" i="1"/>
  <c r="H26" i="1"/>
  <c r="C26" i="1"/>
  <c r="B26" i="1"/>
  <c r="D24" i="1"/>
  <c r="E24" i="1"/>
  <c r="F24" i="1"/>
  <c r="G24" i="1"/>
  <c r="H24" i="1"/>
  <c r="C24" i="1"/>
  <c r="B24" i="1"/>
  <c r="D23" i="1"/>
  <c r="E23" i="1"/>
  <c r="F23" i="1"/>
  <c r="G23" i="1"/>
  <c r="H23" i="1"/>
  <c r="C23" i="1"/>
  <c r="B23" i="1"/>
  <c r="D22" i="1"/>
  <c r="E22" i="1"/>
  <c r="F22" i="1"/>
  <c r="G22" i="1"/>
  <c r="H22" i="1"/>
  <c r="C22" i="1"/>
  <c r="B22" i="1"/>
  <c r="D21" i="1"/>
  <c r="E21" i="1"/>
  <c r="F21" i="1"/>
  <c r="G21" i="1"/>
  <c r="H21" i="1"/>
  <c r="C21" i="1"/>
  <c r="B21" i="1"/>
  <c r="D19" i="1"/>
  <c r="E19" i="1"/>
  <c r="F19" i="1"/>
  <c r="G19" i="1"/>
  <c r="H19" i="1"/>
  <c r="C19" i="1"/>
  <c r="B19" i="1"/>
  <c r="D18" i="1"/>
  <c r="E18" i="1"/>
  <c r="F18" i="1"/>
  <c r="G18" i="1"/>
  <c r="H18" i="1"/>
  <c r="C18" i="1"/>
  <c r="B18" i="1"/>
  <c r="D17" i="1"/>
  <c r="E17" i="1"/>
  <c r="F17" i="1"/>
  <c r="G17" i="1"/>
  <c r="H17" i="1"/>
  <c r="C17" i="1"/>
  <c r="B17" i="1"/>
  <c r="D16" i="1"/>
  <c r="E16" i="1"/>
  <c r="F16" i="1"/>
  <c r="G16" i="1"/>
  <c r="H16" i="1"/>
  <c r="C16" i="1"/>
  <c r="B16" i="1"/>
  <c r="D14" i="1"/>
  <c r="E14" i="1"/>
  <c r="F14" i="1"/>
  <c r="G14" i="1"/>
  <c r="H14" i="1"/>
  <c r="C14" i="1"/>
  <c r="B14" i="1"/>
  <c r="D13" i="1"/>
  <c r="E13" i="1"/>
  <c r="F13" i="1"/>
  <c r="G13" i="1"/>
  <c r="H13" i="1"/>
  <c r="C13" i="1"/>
  <c r="B13" i="1"/>
  <c r="D12" i="1"/>
  <c r="E12" i="1"/>
  <c r="F12" i="1"/>
  <c r="G12" i="1"/>
  <c r="H12" i="1"/>
  <c r="C12" i="1"/>
  <c r="B12" i="1"/>
  <c r="D11" i="1"/>
  <c r="E11" i="1"/>
  <c r="F11" i="1"/>
  <c r="G11" i="1"/>
  <c r="H11" i="1"/>
  <c r="C11" i="1"/>
  <c r="B11" i="1"/>
  <c r="D10" i="1"/>
  <c r="E10" i="1"/>
  <c r="F10" i="1"/>
  <c r="G10" i="1"/>
  <c r="H10" i="1"/>
  <c r="C10" i="1"/>
  <c r="B10" i="1"/>
  <c r="D9" i="1"/>
  <c r="E9" i="1"/>
  <c r="F9" i="1"/>
  <c r="G9" i="1"/>
  <c r="H9" i="1"/>
  <c r="C9" i="1"/>
  <c r="B9" i="1"/>
  <c r="D8" i="1"/>
  <c r="E8" i="1"/>
  <c r="F8" i="1"/>
  <c r="G8" i="1"/>
  <c r="H8" i="1"/>
  <c r="C8" i="1"/>
  <c r="B8" i="1"/>
  <c r="D7" i="1"/>
  <c r="E7" i="1"/>
  <c r="F7" i="1"/>
  <c r="G7" i="1"/>
  <c r="H7" i="1"/>
  <c r="C7" i="1"/>
  <c r="B7" i="1"/>
  <c r="D6" i="1"/>
  <c r="E6" i="1"/>
  <c r="F6" i="1"/>
  <c r="G6" i="1"/>
  <c r="H6" i="1"/>
  <c r="C6" i="1"/>
  <c r="B6" i="1"/>
  <c r="D5" i="1"/>
  <c r="E5" i="1"/>
  <c r="F5" i="1"/>
  <c r="G5" i="1"/>
  <c r="H5" i="1"/>
  <c r="C5" i="1"/>
  <c r="B5" i="1"/>
  <c r="D4" i="1"/>
  <c r="E4" i="1"/>
  <c r="F4" i="1"/>
  <c r="G4" i="1"/>
  <c r="H4" i="1"/>
  <c r="C4" i="1"/>
  <c r="B4" i="1"/>
</calcChain>
</file>

<file path=xl/sharedStrings.xml><?xml version="1.0" encoding="utf-8"?>
<sst xmlns="http://schemas.openxmlformats.org/spreadsheetml/2006/main" count="74" uniqueCount="39">
  <si>
    <t>Axkid GmbH - Preisliste 2023</t>
  </si>
  <si>
    <t>gültig ab: 1.12.2023</t>
  </si>
  <si>
    <t>Artikelnr.</t>
  </si>
  <si>
    <t>Artikelbezeichnung</t>
  </si>
  <si>
    <t>EAN</t>
  </si>
  <si>
    <t>UVP</t>
  </si>
  <si>
    <t>UVP Netto</t>
  </si>
  <si>
    <t>EK Netto</t>
  </si>
  <si>
    <t>Profit</t>
  </si>
  <si>
    <t>Marge %</t>
  </si>
  <si>
    <t>Netto EK Mengenrabatt</t>
  </si>
  <si>
    <t>ECE R44/04</t>
  </si>
  <si>
    <t>Abverkauf</t>
  </si>
  <si>
    <t>Ab 6 Stück</t>
  </si>
  <si>
    <t>R-129 | 40-105 cm</t>
  </si>
  <si>
    <t>R-129 | 40-125 cm</t>
  </si>
  <si>
    <t>R-129 | 61-125 cm</t>
  </si>
  <si>
    <t xml:space="preserve">Axkid Movekid Tar </t>
  </si>
  <si>
    <t>Axkid Movekid Granite</t>
  </si>
  <si>
    <t>R-129 | 100-150 cm</t>
  </si>
  <si>
    <t>EnviroBaby</t>
  </si>
  <si>
    <t>EnviroKid</t>
  </si>
  <si>
    <t>R-129 | System Base</t>
  </si>
  <si>
    <t xml:space="preserve">R-129 | System 40-76 cm </t>
  </si>
  <si>
    <t xml:space="preserve">R-129 | System 61-105 cm </t>
  </si>
  <si>
    <t>Urban Range</t>
  </si>
  <si>
    <t>Zubehör</t>
  </si>
  <si>
    <t>Ab 10 Stück</t>
  </si>
  <si>
    <t>10% Rabatt</t>
  </si>
  <si>
    <t>Ist die Lieferung kostenfrei?</t>
  </si>
  <si>
    <t>Wie lange dauert es?</t>
  </si>
  <si>
    <t>Ja, ab einem Bestellwert von 500€ (EK-Netto)</t>
  </si>
  <si>
    <t>Die Lieferzeit beträgt 3 - 7 Werktage.</t>
  </si>
  <si>
    <t>Lieferkosten für Bestellungen unter 500€ (EK-Netto): 25€</t>
  </si>
  <si>
    <t>Wie bestelle ich?</t>
  </si>
  <si>
    <t>Wann bezahle ich?</t>
  </si>
  <si>
    <r>
      <t xml:space="preserve">Sendet bitte eure Bestellung an </t>
    </r>
    <r>
      <rPr>
        <b/>
        <sz val="11"/>
        <rFont val="Calibri"/>
        <family val="2"/>
        <scheme val="minor"/>
      </rPr>
      <t>bestellung@axkid.com</t>
    </r>
  </si>
  <si>
    <t>Binnen 30 Tagen, 2% Skonto</t>
  </si>
  <si>
    <t>innerhalb von 10 Tagen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</si>
</sst>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kr&quot;;[Red]\-#,##0\ &quot;kr&quot;"/>
    <numFmt numFmtId="165" formatCode="_-* #,##0.00\ [$€-407]_-;\-* #,##0.00\ [$€-407]_-;_-* &quot;-&quot;??\ [$€-407]_-;_-@_-"/>
  </numFmts>
  <fonts count="9">
    <font>
      <sz val="11"/>
      <color theme="1"/>
      <name val="Calibri"/>
      <family val="2"/>
      <scheme val="minor"/>
    </font>
    <font>
      <b/>
      <sz val="25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u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1" fontId="1" fillId="0" borderId="0" xfId="0" applyNumberFormat="1" applyFont="1" applyAlignment="1">
      <alignment horizontal="left" vertical="center"/>
    </xf>
    <xf numFmtId="165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Continuous" vertical="center"/>
    </xf>
    <xf numFmtId="0" fontId="4" fillId="0" borderId="0" xfId="0" applyFont="1"/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1" fontId="2" fillId="2" borderId="0" xfId="0" applyNumberFormat="1" applyFont="1" applyFill="1" applyAlignment="1">
      <alignment horizontal="centerContinuous" vertical="center"/>
    </xf>
    <xf numFmtId="0" fontId="2" fillId="2" borderId="0" xfId="0" applyFont="1" applyFill="1" applyAlignment="1">
      <alignment horizontal="centerContinuous" vertical="center"/>
    </xf>
    <xf numFmtId="165" fontId="5" fillId="2" borderId="0" xfId="0" applyNumberFormat="1" applyFont="1" applyFill="1" applyAlignment="1">
      <alignment horizontal="centerContinuous" vertical="center"/>
    </xf>
    <xf numFmtId="165" fontId="6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4" fillId="3" borderId="0" xfId="0" applyNumberFormat="1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5" fontId="2" fillId="3" borderId="0" xfId="0" applyNumberFormat="1" applyFont="1" applyFill="1" applyAlignment="1">
      <alignment horizontal="center" vertical="center"/>
    </xf>
    <xf numFmtId="10" fontId="5" fillId="3" borderId="0" xfId="0" applyNumberFormat="1" applyFont="1" applyFill="1" applyAlignment="1">
      <alignment horizontal="right" vertical="center"/>
    </xf>
    <xf numFmtId="1" fontId="4" fillId="3" borderId="0" xfId="0" applyNumberFormat="1" applyFont="1" applyFill="1" applyAlignment="1">
      <alignment horizontal="left"/>
    </xf>
    <xf numFmtId="0" fontId="4" fillId="0" borderId="0" xfId="0" applyFont="1" applyAlignment="1">
      <alignment horizontal="center"/>
    </xf>
    <xf numFmtId="0" fontId="2" fillId="4" borderId="0" xfId="0" applyFont="1" applyFill="1" applyAlignment="1">
      <alignment horizontal="left" vertical="center"/>
    </xf>
    <xf numFmtId="165" fontId="6" fillId="4" borderId="0" xfId="0" applyNumberFormat="1" applyFont="1" applyFill="1" applyAlignment="1">
      <alignment horizontal="left" vertical="center"/>
    </xf>
    <xf numFmtId="165" fontId="6" fillId="4" borderId="0" xfId="0" applyNumberFormat="1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right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left" vertical="center"/>
    </xf>
    <xf numFmtId="10" fontId="5" fillId="0" borderId="0" xfId="0" applyNumberFormat="1" applyFont="1" applyAlignment="1">
      <alignment horizontal="right" vertical="center"/>
    </xf>
    <xf numFmtId="165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1" fontId="8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left" vertical="center"/>
    </xf>
    <xf numFmtId="1" fontId="7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1" fontId="4" fillId="0" borderId="0" xfId="0" applyNumberFormat="1" applyFont="1" applyAlignment="1">
      <alignment horizontal="left"/>
    </xf>
    <xf numFmtId="0" fontId="5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xkids.sharepoint.com/sites/Axkid-Germany/Delade%20dokument/General/1%20-%20SALES/PREISE/2023/P&amp;M%202023-11-24.xlsx" TargetMode="External"/><Relationship Id="rId1" Type="http://schemas.openxmlformats.org/officeDocument/2006/relationships/externalLinkPath" Target="/sites/Axkid-Germany/Delade%20dokument/General/1%20-%20SALES/PREISE/2023/P&amp;M%202023-11-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chner"/>
      <sheetName val="Preisliste KEP"/>
      <sheetName val="Preisliste KEP Schweiz"/>
      <sheetName val="Babymarkt"/>
      <sheetName val="Baby Walz"/>
      <sheetName val="BabyONE"/>
      <sheetName val="Rechner Preisliste"/>
      <sheetName val="Artikeldaten"/>
      <sheetName val="DATA ERP"/>
      <sheetName val="COST SE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Artikelnr.</v>
          </cell>
          <cell r="E1" t="str">
            <v>EK Netto</v>
          </cell>
        </row>
        <row r="2">
          <cell r="A2" t="str">
            <v>ECE R44/04</v>
          </cell>
        </row>
        <row r="3">
          <cell r="A3">
            <v>28100026</v>
          </cell>
          <cell r="E3">
            <v>20</v>
          </cell>
        </row>
        <row r="4">
          <cell r="A4">
            <v>28100027</v>
          </cell>
          <cell r="E4">
            <v>20</v>
          </cell>
        </row>
        <row r="5">
          <cell r="E5">
            <v>49</v>
          </cell>
        </row>
        <row r="6">
          <cell r="A6">
            <v>22120226</v>
          </cell>
          <cell r="E6">
            <v>140</v>
          </cell>
        </row>
        <row r="7">
          <cell r="A7">
            <v>22120227</v>
          </cell>
          <cell r="E7">
            <v>140</v>
          </cell>
        </row>
        <row r="8">
          <cell r="A8">
            <v>22140316</v>
          </cell>
          <cell r="E8">
            <v>190</v>
          </cell>
        </row>
        <row r="9">
          <cell r="A9">
            <v>22140317</v>
          </cell>
          <cell r="E9">
            <v>190</v>
          </cell>
        </row>
        <row r="10">
          <cell r="A10">
            <v>22140318</v>
          </cell>
          <cell r="E10">
            <v>190</v>
          </cell>
        </row>
        <row r="11">
          <cell r="A11">
            <v>22140319</v>
          </cell>
          <cell r="E11">
            <v>190</v>
          </cell>
        </row>
        <row r="12">
          <cell r="A12">
            <v>22140320</v>
          </cell>
          <cell r="E12">
            <v>190</v>
          </cell>
        </row>
        <row r="13">
          <cell r="A13">
            <v>22140321</v>
          </cell>
          <cell r="E13">
            <v>190</v>
          </cell>
        </row>
        <row r="14">
          <cell r="A14">
            <v>22140322</v>
          </cell>
          <cell r="E14">
            <v>190</v>
          </cell>
        </row>
        <row r="15">
          <cell r="A15" t="str">
            <v>R-129 | 40-105 cm</v>
          </cell>
        </row>
        <row r="16">
          <cell r="A16">
            <v>24110116</v>
          </cell>
          <cell r="E16">
            <v>265</v>
          </cell>
        </row>
        <row r="17">
          <cell r="A17">
            <v>24110121</v>
          </cell>
          <cell r="E17">
            <v>265</v>
          </cell>
        </row>
        <row r="18">
          <cell r="A18">
            <v>24110124</v>
          </cell>
          <cell r="E18">
            <v>265</v>
          </cell>
        </row>
        <row r="19">
          <cell r="A19">
            <v>24110125</v>
          </cell>
          <cell r="E19">
            <v>265</v>
          </cell>
        </row>
        <row r="20">
          <cell r="A20" t="str">
            <v>R-129 | 40-125 cm</v>
          </cell>
        </row>
        <row r="21">
          <cell r="A21">
            <v>25120116</v>
          </cell>
          <cell r="E21">
            <v>464.23109243697485</v>
          </cell>
        </row>
        <row r="22">
          <cell r="A22">
            <v>25120121</v>
          </cell>
          <cell r="E22">
            <v>464.23109243697485</v>
          </cell>
        </row>
        <row r="23">
          <cell r="A23">
            <v>25120124</v>
          </cell>
          <cell r="E23">
            <v>464.23109243697485</v>
          </cell>
        </row>
        <row r="24">
          <cell r="A24">
            <v>25120125</v>
          </cell>
          <cell r="E24">
            <v>464.23109243697485</v>
          </cell>
        </row>
        <row r="25">
          <cell r="A25" t="str">
            <v>R-129 | 61-125 cm</v>
          </cell>
        </row>
        <row r="26">
          <cell r="A26">
            <v>25110116</v>
          </cell>
          <cell r="E26">
            <v>435.26</v>
          </cell>
        </row>
        <row r="27">
          <cell r="A27">
            <v>25110121</v>
          </cell>
          <cell r="E27">
            <v>435.26</v>
          </cell>
        </row>
        <row r="28">
          <cell r="A28">
            <v>25110124</v>
          </cell>
          <cell r="E28">
            <v>435.26</v>
          </cell>
        </row>
        <row r="29">
          <cell r="A29">
            <v>25110125</v>
          </cell>
          <cell r="E29">
            <v>435.26</v>
          </cell>
        </row>
        <row r="30">
          <cell r="A30">
            <v>22150216</v>
          </cell>
          <cell r="E30">
            <v>327.68067226890759</v>
          </cell>
        </row>
        <row r="31">
          <cell r="A31">
            <v>22150221</v>
          </cell>
          <cell r="E31">
            <v>327.68067226890759</v>
          </cell>
        </row>
        <row r="32">
          <cell r="A32">
            <v>22150224</v>
          </cell>
          <cell r="E32">
            <v>327.68067226890759</v>
          </cell>
        </row>
        <row r="33">
          <cell r="A33">
            <v>22150225</v>
          </cell>
          <cell r="E33">
            <v>327.68067226890759</v>
          </cell>
        </row>
        <row r="34">
          <cell r="A34">
            <v>22170016</v>
          </cell>
          <cell r="E34">
            <v>235</v>
          </cell>
        </row>
        <row r="35">
          <cell r="A35">
            <v>22170017</v>
          </cell>
          <cell r="E35">
            <v>235</v>
          </cell>
        </row>
        <row r="36">
          <cell r="A36" t="str">
            <v>R-129 | 100-150 cm</v>
          </cell>
        </row>
        <row r="37">
          <cell r="A37">
            <v>27060121</v>
          </cell>
          <cell r="E37">
            <v>130</v>
          </cell>
        </row>
        <row r="38">
          <cell r="A38">
            <v>27060123</v>
          </cell>
          <cell r="E38">
            <v>130</v>
          </cell>
        </row>
        <row r="39">
          <cell r="E39">
            <v>205</v>
          </cell>
        </row>
        <row r="40">
          <cell r="A40">
            <v>27060190</v>
          </cell>
          <cell r="E40">
            <v>130</v>
          </cell>
        </row>
        <row r="41">
          <cell r="A41" t="str">
            <v>R-129 | System Base</v>
          </cell>
        </row>
        <row r="42">
          <cell r="A42">
            <v>21020003</v>
          </cell>
          <cell r="E42">
            <v>55</v>
          </cell>
        </row>
        <row r="43">
          <cell r="A43" t="str">
            <v xml:space="preserve">R-129 | System 40-76 cm </v>
          </cell>
        </row>
        <row r="44">
          <cell r="A44" t="str">
            <v xml:space="preserve">R-129 | System 40-76 cm </v>
          </cell>
        </row>
        <row r="45">
          <cell r="A45" t="str">
            <v xml:space="preserve">R-129 | System 61-105 cm </v>
          </cell>
        </row>
        <row r="46">
          <cell r="A46">
            <v>24100017</v>
          </cell>
          <cell r="E46">
            <v>175</v>
          </cell>
        </row>
        <row r="47">
          <cell r="A47">
            <v>24100018</v>
          </cell>
          <cell r="E47">
            <v>175</v>
          </cell>
        </row>
        <row r="48">
          <cell r="A48">
            <v>24100019</v>
          </cell>
          <cell r="E48">
            <v>175</v>
          </cell>
        </row>
        <row r="49">
          <cell r="A49">
            <v>24100020</v>
          </cell>
          <cell r="E49">
            <v>175</v>
          </cell>
        </row>
        <row r="50">
          <cell r="A50">
            <v>24100021</v>
          </cell>
          <cell r="E50">
            <v>175</v>
          </cell>
        </row>
        <row r="51">
          <cell r="A51">
            <v>24100022</v>
          </cell>
          <cell r="E51">
            <v>175</v>
          </cell>
        </row>
        <row r="52">
          <cell r="A52">
            <v>24100023</v>
          </cell>
          <cell r="E52">
            <v>175</v>
          </cell>
        </row>
        <row r="53">
          <cell r="A53" t="str">
            <v>Envirobaby</v>
          </cell>
        </row>
        <row r="54">
          <cell r="A54">
            <v>21030003</v>
          </cell>
          <cell r="E54">
            <v>80</v>
          </cell>
        </row>
        <row r="55">
          <cell r="A55">
            <v>20060016</v>
          </cell>
          <cell r="E55">
            <v>95</v>
          </cell>
        </row>
        <row r="56">
          <cell r="A56">
            <v>20060017</v>
          </cell>
          <cell r="E56">
            <v>95</v>
          </cell>
        </row>
        <row r="57">
          <cell r="A57">
            <v>20060028</v>
          </cell>
          <cell r="E57">
            <v>95</v>
          </cell>
        </row>
        <row r="58">
          <cell r="A58" t="str">
            <v>Envirokid</v>
          </cell>
        </row>
        <row r="59">
          <cell r="A59">
            <v>24100316</v>
          </cell>
          <cell r="E59">
            <v>170</v>
          </cell>
        </row>
        <row r="60">
          <cell r="A60">
            <v>24100317</v>
          </cell>
          <cell r="E60">
            <v>170</v>
          </cell>
        </row>
        <row r="61">
          <cell r="A61">
            <v>24100328</v>
          </cell>
          <cell r="E61">
            <v>170</v>
          </cell>
        </row>
        <row r="62">
          <cell r="A62" t="str">
            <v>Urban Range</v>
          </cell>
        </row>
        <row r="63">
          <cell r="A63">
            <v>31000016</v>
          </cell>
          <cell r="E63">
            <v>440</v>
          </cell>
        </row>
        <row r="64">
          <cell r="A64">
            <v>801114</v>
          </cell>
          <cell r="E64">
            <v>50</v>
          </cell>
        </row>
        <row r="65">
          <cell r="A65">
            <v>801214</v>
          </cell>
          <cell r="E65">
            <v>25</v>
          </cell>
        </row>
        <row r="66">
          <cell r="A66">
            <v>801314</v>
          </cell>
          <cell r="E66">
            <v>15</v>
          </cell>
        </row>
        <row r="67">
          <cell r="A67">
            <v>801515</v>
          </cell>
          <cell r="E67">
            <v>15</v>
          </cell>
        </row>
        <row r="68">
          <cell r="A68">
            <v>801414</v>
          </cell>
          <cell r="E68">
            <v>15</v>
          </cell>
        </row>
        <row r="69">
          <cell r="A69" t="str">
            <v>Zubehör</v>
          </cell>
        </row>
        <row r="70">
          <cell r="A70">
            <v>805006</v>
          </cell>
          <cell r="E70">
            <v>30</v>
          </cell>
        </row>
        <row r="71">
          <cell r="A71">
            <v>805007</v>
          </cell>
          <cell r="E71">
            <v>30</v>
          </cell>
        </row>
        <row r="72">
          <cell r="A72">
            <v>805008</v>
          </cell>
          <cell r="E72">
            <v>30</v>
          </cell>
        </row>
        <row r="73">
          <cell r="A73">
            <v>805009</v>
          </cell>
          <cell r="E73">
            <v>30</v>
          </cell>
        </row>
        <row r="74">
          <cell r="A74">
            <v>805016</v>
          </cell>
          <cell r="E74">
            <v>37</v>
          </cell>
        </row>
        <row r="75">
          <cell r="A75">
            <v>805017</v>
          </cell>
          <cell r="E75">
            <v>37</v>
          </cell>
        </row>
        <row r="76">
          <cell r="A76">
            <v>805019</v>
          </cell>
          <cell r="E76">
            <v>37</v>
          </cell>
        </row>
        <row r="77">
          <cell r="A77">
            <v>805026</v>
          </cell>
          <cell r="E77">
            <v>37</v>
          </cell>
        </row>
        <row r="78">
          <cell r="A78">
            <v>805027</v>
          </cell>
          <cell r="E78">
            <v>37</v>
          </cell>
        </row>
        <row r="79">
          <cell r="A79">
            <v>805029</v>
          </cell>
          <cell r="E79">
            <v>37</v>
          </cell>
        </row>
        <row r="80">
          <cell r="A80">
            <v>801803</v>
          </cell>
          <cell r="E80">
            <v>10</v>
          </cell>
        </row>
        <row r="81">
          <cell r="A81">
            <v>800803</v>
          </cell>
          <cell r="E81">
            <v>10</v>
          </cell>
        </row>
        <row r="82">
          <cell r="A82">
            <v>803803</v>
          </cell>
          <cell r="E82">
            <v>30</v>
          </cell>
        </row>
        <row r="83">
          <cell r="A83">
            <v>800003</v>
          </cell>
          <cell r="E83">
            <v>15</v>
          </cell>
        </row>
        <row r="84">
          <cell r="A84">
            <v>804003</v>
          </cell>
          <cell r="E84">
            <v>11</v>
          </cell>
        </row>
        <row r="85">
          <cell r="A85">
            <v>804103</v>
          </cell>
          <cell r="E85">
            <v>15</v>
          </cell>
        </row>
        <row r="86">
          <cell r="A86">
            <v>800203</v>
          </cell>
          <cell r="E86">
            <v>16</v>
          </cell>
        </row>
        <row r="87">
          <cell r="A87">
            <v>804303</v>
          </cell>
          <cell r="E87">
            <v>18</v>
          </cell>
        </row>
        <row r="88">
          <cell r="A88">
            <v>804916</v>
          </cell>
          <cell r="E88">
            <v>50</v>
          </cell>
        </row>
        <row r="89">
          <cell r="A89">
            <v>805201</v>
          </cell>
          <cell r="E89">
            <v>27</v>
          </cell>
        </row>
        <row r="90">
          <cell r="A90">
            <v>806201</v>
          </cell>
          <cell r="E90">
            <v>27</v>
          </cell>
        </row>
        <row r="91">
          <cell r="A91">
            <v>801403</v>
          </cell>
          <cell r="E91">
            <v>11</v>
          </cell>
        </row>
        <row r="92">
          <cell r="A92">
            <v>800608</v>
          </cell>
          <cell r="E92">
            <v>7.5</v>
          </cell>
        </row>
        <row r="93">
          <cell r="A93">
            <v>806601</v>
          </cell>
          <cell r="E93">
            <v>11.5</v>
          </cell>
        </row>
        <row r="94">
          <cell r="A94">
            <v>806602</v>
          </cell>
          <cell r="E94">
            <v>12.5</v>
          </cell>
        </row>
        <row r="95">
          <cell r="A95">
            <v>804403</v>
          </cell>
          <cell r="E95">
            <v>26</v>
          </cell>
        </row>
        <row r="96">
          <cell r="A96">
            <v>800507</v>
          </cell>
          <cell r="E96">
            <v>4.5</v>
          </cell>
        </row>
        <row r="97">
          <cell r="A97">
            <v>803303</v>
          </cell>
          <cell r="E97">
            <v>15</v>
          </cell>
        </row>
        <row r="98">
          <cell r="A98">
            <v>804503</v>
          </cell>
          <cell r="E98">
            <v>18</v>
          </cell>
        </row>
        <row r="99">
          <cell r="A99">
            <v>804603</v>
          </cell>
          <cell r="E99">
            <v>15</v>
          </cell>
        </row>
      </sheetData>
      <sheetData sheetId="7">
        <row r="1">
          <cell r="A1" t="str">
            <v>Artikelnummer</v>
          </cell>
          <cell r="B1" t="str">
            <v>Artikel</v>
          </cell>
          <cell r="C1" t="str">
            <v>EAN</v>
          </cell>
          <cell r="D1" t="str">
            <v>RRP €</v>
          </cell>
        </row>
        <row r="2">
          <cell r="A2">
            <v>28100026</v>
          </cell>
          <cell r="B2" t="str">
            <v xml:space="preserve">Axkid Mate Tar </v>
          </cell>
          <cell r="C2">
            <v>7350057586150</v>
          </cell>
          <cell r="D2">
            <v>39.9</v>
          </cell>
        </row>
        <row r="3">
          <cell r="A3">
            <v>28100027</v>
          </cell>
          <cell r="B3" t="str">
            <v xml:space="preserve">Axkid Mate Granite </v>
          </cell>
          <cell r="C3">
            <v>7350057586167</v>
          </cell>
          <cell r="D3">
            <v>39.9</v>
          </cell>
        </row>
        <row r="4">
          <cell r="A4">
            <v>22120226</v>
          </cell>
          <cell r="B4" t="str">
            <v>Axkid Move (2022/23) Tar</v>
          </cell>
          <cell r="C4">
            <v>7350057585856</v>
          </cell>
          <cell r="D4">
            <v>249.9</v>
          </cell>
        </row>
        <row r="5">
          <cell r="A5">
            <v>22120227</v>
          </cell>
          <cell r="B5" t="str">
            <v>Axkid Move (2022/23) Granite</v>
          </cell>
          <cell r="C5">
            <v>7350057585863</v>
          </cell>
          <cell r="D5">
            <v>249.9</v>
          </cell>
        </row>
        <row r="6">
          <cell r="A6">
            <v>22140316</v>
          </cell>
          <cell r="B6" t="str">
            <v>Axkid Minikid 2 (2022/23) Tar</v>
          </cell>
          <cell r="C6">
            <v>7350057585870</v>
          </cell>
          <cell r="D6">
            <v>349.9</v>
          </cell>
        </row>
        <row r="7">
          <cell r="A7">
            <v>22140317</v>
          </cell>
          <cell r="B7" t="str">
            <v>Axkid Minikid 2 (2022/23) Granite</v>
          </cell>
          <cell r="C7">
            <v>7350057585887</v>
          </cell>
          <cell r="D7">
            <v>349.9</v>
          </cell>
        </row>
        <row r="8">
          <cell r="A8">
            <v>22140318</v>
          </cell>
          <cell r="B8" t="str">
            <v>Axkid Minikid 2 (2022/23) Shellfish</v>
          </cell>
          <cell r="C8">
            <v>7350057585894</v>
          </cell>
          <cell r="D8">
            <v>349.9</v>
          </cell>
        </row>
        <row r="9">
          <cell r="A9">
            <v>22140319</v>
          </cell>
          <cell r="B9" t="str">
            <v>Axkid Minikid 2 (2022/23) Sea</v>
          </cell>
          <cell r="C9">
            <v>7350057585900</v>
          </cell>
          <cell r="D9">
            <v>349.9</v>
          </cell>
        </row>
        <row r="10">
          <cell r="A10">
            <v>22140320</v>
          </cell>
          <cell r="B10" t="str">
            <v>Axkid Minikid 2 (2022/23) Moss</v>
          </cell>
          <cell r="C10">
            <v>7350057585917</v>
          </cell>
          <cell r="D10">
            <v>349.9</v>
          </cell>
        </row>
        <row r="11">
          <cell r="A11">
            <v>22140321</v>
          </cell>
          <cell r="B11" t="str">
            <v>Axkid Minikid 2 (2022/23) Premium Shell Black</v>
          </cell>
          <cell r="C11">
            <v>7350057585924</v>
          </cell>
          <cell r="D11">
            <v>349.9</v>
          </cell>
        </row>
        <row r="12">
          <cell r="A12">
            <v>22140322</v>
          </cell>
          <cell r="B12" t="str">
            <v>Axkid Minikid 2 (2022/23) Premium Granite Melange</v>
          </cell>
          <cell r="C12">
            <v>7350057585931</v>
          </cell>
          <cell r="D12">
            <v>349.9</v>
          </cell>
        </row>
        <row r="13">
          <cell r="A13">
            <v>24110116</v>
          </cell>
          <cell r="B13" t="str">
            <v>Axkid Spinkid Solid Tar</v>
          </cell>
          <cell r="C13">
            <v>7350057589731</v>
          </cell>
          <cell r="D13">
            <v>499.9</v>
          </cell>
        </row>
        <row r="14">
          <cell r="A14">
            <v>24110121</v>
          </cell>
          <cell r="B14" t="str">
            <v>Axkid Spinkid Granite Melange</v>
          </cell>
          <cell r="C14">
            <v>7350057589748</v>
          </cell>
          <cell r="D14">
            <v>499.9</v>
          </cell>
        </row>
        <row r="15">
          <cell r="A15">
            <v>24110124</v>
          </cell>
          <cell r="B15" t="str">
            <v>Axkid Spinkid Brick Melange</v>
          </cell>
          <cell r="C15">
            <v>7350057589755</v>
          </cell>
          <cell r="D15">
            <v>499.9</v>
          </cell>
        </row>
        <row r="16">
          <cell r="A16">
            <v>24110125</v>
          </cell>
          <cell r="B16" t="str">
            <v>Axkid Spinkid Tile Melange</v>
          </cell>
          <cell r="C16">
            <v>7350057589762</v>
          </cell>
          <cell r="D16">
            <v>499.9</v>
          </cell>
        </row>
        <row r="17">
          <cell r="A17">
            <v>25120116</v>
          </cell>
          <cell r="B17" t="str">
            <v>Axkid ONE+ 2 Tar</v>
          </cell>
          <cell r="C17">
            <v>7350057586686</v>
          </cell>
          <cell r="D17">
            <v>849.9</v>
          </cell>
        </row>
        <row r="18">
          <cell r="A18">
            <v>25120121</v>
          </cell>
          <cell r="B18" t="str">
            <v>Axkid ONE+ 2 Granite Melange</v>
          </cell>
          <cell r="C18">
            <v>7350057586693</v>
          </cell>
          <cell r="D18">
            <v>849.9</v>
          </cell>
        </row>
        <row r="19">
          <cell r="A19">
            <v>25120124</v>
          </cell>
          <cell r="B19" t="str">
            <v>Axkid ONE+ 2 Brick Melange</v>
          </cell>
          <cell r="C19">
            <v>7350057586709</v>
          </cell>
          <cell r="D19">
            <v>849.9</v>
          </cell>
        </row>
        <row r="20">
          <cell r="A20">
            <v>25120125</v>
          </cell>
          <cell r="B20" t="str">
            <v>Axkid ONE+ 2 Tile Melange</v>
          </cell>
          <cell r="C20">
            <v>7350057586716</v>
          </cell>
          <cell r="D20">
            <v>849.9</v>
          </cell>
        </row>
        <row r="21">
          <cell r="A21">
            <v>25110116</v>
          </cell>
          <cell r="B21" t="str">
            <v>Axkid ONE 2 Tar</v>
          </cell>
          <cell r="C21">
            <v>7350057586648</v>
          </cell>
          <cell r="D21">
            <v>799.9</v>
          </cell>
        </row>
        <row r="22">
          <cell r="A22">
            <v>25110121</v>
          </cell>
          <cell r="B22" t="str">
            <v>Axkid ONE 2 Granite Melange</v>
          </cell>
          <cell r="C22">
            <v>7350057586655</v>
          </cell>
          <cell r="D22">
            <v>799.9</v>
          </cell>
        </row>
        <row r="23">
          <cell r="A23">
            <v>25110124</v>
          </cell>
          <cell r="B23" t="str">
            <v>Axkid ONE 2 Brick Melange</v>
          </cell>
          <cell r="C23">
            <v>7350057586662</v>
          </cell>
          <cell r="D23">
            <v>799.9</v>
          </cell>
        </row>
        <row r="24">
          <cell r="A24">
            <v>25110125</v>
          </cell>
          <cell r="B24" t="str">
            <v>Axkid ONE 2 Tile Melange</v>
          </cell>
          <cell r="C24">
            <v>7350057586679</v>
          </cell>
          <cell r="D24">
            <v>799.9</v>
          </cell>
        </row>
        <row r="25">
          <cell r="A25">
            <v>22150216</v>
          </cell>
          <cell r="B25" t="str">
            <v>Axkid Minikid 4 Tar</v>
          </cell>
          <cell r="C25">
            <v>7350057589601</v>
          </cell>
          <cell r="D25">
            <v>649.9</v>
          </cell>
        </row>
        <row r="26">
          <cell r="A26">
            <v>22150221</v>
          </cell>
          <cell r="B26" t="str">
            <v>Axkid Minikid 4 Granite Melange</v>
          </cell>
          <cell r="C26">
            <v>7350057589663</v>
          </cell>
          <cell r="D26">
            <v>649.9</v>
          </cell>
        </row>
        <row r="27">
          <cell r="A27">
            <v>22150224</v>
          </cell>
          <cell r="B27" t="str">
            <v xml:space="preserve">Axkid Minikid 4 Brick Melange </v>
          </cell>
          <cell r="C27">
            <v>7350057589618</v>
          </cell>
          <cell r="D27">
            <v>649.9</v>
          </cell>
        </row>
        <row r="28">
          <cell r="A28">
            <v>22150225</v>
          </cell>
          <cell r="B28" t="str">
            <v>Axkid Minikid 4 Tile Melange</v>
          </cell>
          <cell r="C28">
            <v>7350057589625</v>
          </cell>
          <cell r="D28">
            <v>649.9</v>
          </cell>
        </row>
        <row r="29">
          <cell r="A29">
            <v>22170016</v>
          </cell>
          <cell r="B29" t="str">
            <v xml:space="preserve">Axkid Move Tar </v>
          </cell>
          <cell r="C29">
            <v>7350150970238</v>
          </cell>
          <cell r="D29">
            <v>449.9</v>
          </cell>
        </row>
        <row r="30">
          <cell r="A30">
            <v>22170017</v>
          </cell>
          <cell r="B30" t="str">
            <v>Axkid Move Granite</v>
          </cell>
          <cell r="C30">
            <v>7350150970245</v>
          </cell>
          <cell r="D30">
            <v>449.9</v>
          </cell>
        </row>
        <row r="31">
          <cell r="A31">
            <v>27060121</v>
          </cell>
          <cell r="B31" t="str">
            <v>Axkid Nextkid Granite Melange</v>
          </cell>
          <cell r="C31">
            <v>7350057589809</v>
          </cell>
          <cell r="D31">
            <v>249.9</v>
          </cell>
        </row>
        <row r="32">
          <cell r="A32">
            <v>27060123</v>
          </cell>
          <cell r="B32" t="str">
            <v>Axkid Nextkid Shell Black</v>
          </cell>
          <cell r="C32">
            <v>7350057589793</v>
          </cell>
          <cell r="D32">
            <v>249.9</v>
          </cell>
        </row>
        <row r="33">
          <cell r="A33">
            <v>27060190</v>
          </cell>
          <cell r="B33" t="str">
            <v>Axkid Nextkid Cloud Grey</v>
          </cell>
          <cell r="C33">
            <v>7350150970139</v>
          </cell>
          <cell r="D33">
            <v>249.9</v>
          </cell>
        </row>
        <row r="34">
          <cell r="A34">
            <v>21020003</v>
          </cell>
          <cell r="B34" t="str">
            <v>Axkid Modukid Base Black</v>
          </cell>
          <cell r="C34">
            <v>7350057582732</v>
          </cell>
          <cell r="D34">
            <v>100</v>
          </cell>
        </row>
        <row r="35">
          <cell r="A35">
            <v>24100017</v>
          </cell>
          <cell r="B35" t="str">
            <v>Axkid Modukid Seat Granite</v>
          </cell>
          <cell r="C35">
            <v>7350057584446</v>
          </cell>
          <cell r="D35">
            <v>299.89999999999998</v>
          </cell>
        </row>
        <row r="36">
          <cell r="A36">
            <v>24100018</v>
          </cell>
          <cell r="B36" t="str">
            <v>Axkid Modukid Seat Shellfish</v>
          </cell>
          <cell r="C36">
            <v>7350057584453</v>
          </cell>
          <cell r="D36">
            <v>299.89999999999998</v>
          </cell>
        </row>
        <row r="37">
          <cell r="A37">
            <v>24100019</v>
          </cell>
          <cell r="B37" t="str">
            <v>Axkid Modukid Seat Sea</v>
          </cell>
          <cell r="C37">
            <v>7350057584460</v>
          </cell>
          <cell r="D37">
            <v>299.89999999999998</v>
          </cell>
        </row>
        <row r="38">
          <cell r="A38">
            <v>24100020</v>
          </cell>
          <cell r="B38" t="str">
            <v>Axkid Modukid Seat Moss</v>
          </cell>
          <cell r="C38">
            <v>7350057584477</v>
          </cell>
          <cell r="D38">
            <v>299.89999999999998</v>
          </cell>
        </row>
        <row r="39">
          <cell r="A39">
            <v>24100021</v>
          </cell>
          <cell r="B39" t="str">
            <v>Axkid Modukid Seat Premium Shell Black</v>
          </cell>
          <cell r="C39">
            <v>7350057584484</v>
          </cell>
          <cell r="D39">
            <v>299.89999999999998</v>
          </cell>
        </row>
        <row r="40">
          <cell r="A40">
            <v>24100022</v>
          </cell>
          <cell r="B40" t="str">
            <v>Axkid Modukid Seat Premium Granite Melange</v>
          </cell>
          <cell r="C40">
            <v>7350057584491</v>
          </cell>
          <cell r="D40">
            <v>299.89999999999998</v>
          </cell>
        </row>
        <row r="41">
          <cell r="A41">
            <v>24100023</v>
          </cell>
          <cell r="B41" t="str">
            <v>Axkid Modukid Seat Premium Sky Grey</v>
          </cell>
          <cell r="C41">
            <v>7350057584507</v>
          </cell>
          <cell r="D41">
            <v>299.89999999999998</v>
          </cell>
        </row>
        <row r="42">
          <cell r="A42">
            <v>31000016</v>
          </cell>
          <cell r="B42" t="str">
            <v>Axkid Grand Tour Black</v>
          </cell>
          <cell r="C42">
            <v>7350057589977</v>
          </cell>
          <cell r="D42">
            <v>849.9</v>
          </cell>
        </row>
        <row r="43">
          <cell r="A43">
            <v>801114</v>
          </cell>
          <cell r="B43" t="str">
            <v xml:space="preserve">Axkid Jogging-Rad - Grand Tour </v>
          </cell>
          <cell r="C43">
            <v>7350150970009</v>
          </cell>
          <cell r="D43">
            <v>99.9</v>
          </cell>
        </row>
        <row r="44">
          <cell r="A44">
            <v>801214</v>
          </cell>
          <cell r="B44" t="str">
            <v>Axkid Regenschutz - Grand Tour</v>
          </cell>
          <cell r="C44">
            <v>7350150970016</v>
          </cell>
          <cell r="D44">
            <v>49.9</v>
          </cell>
        </row>
        <row r="45">
          <cell r="A45">
            <v>801314</v>
          </cell>
          <cell r="B45" t="str">
            <v>Axkid Aufbewahrungshülle - Grand Tour</v>
          </cell>
          <cell r="C45">
            <v>7350150970177</v>
          </cell>
          <cell r="D45">
            <v>29.9</v>
          </cell>
        </row>
        <row r="46">
          <cell r="A46">
            <v>801515</v>
          </cell>
          <cell r="B46" t="str">
            <v>Axkid Getränkehalter - Grand Tour</v>
          </cell>
          <cell r="C46">
            <v>7350150970191</v>
          </cell>
          <cell r="D46">
            <v>29.9</v>
          </cell>
        </row>
        <row r="47">
          <cell r="A47">
            <v>801414</v>
          </cell>
          <cell r="B47" t="str">
            <v>Axkid Kleinkindeinlage - Grand Tour</v>
          </cell>
          <cell r="C47">
            <v>7350150970184</v>
          </cell>
          <cell r="D47">
            <v>29.9</v>
          </cell>
        </row>
        <row r="48">
          <cell r="A48">
            <v>805006</v>
          </cell>
          <cell r="B48" t="str">
            <v>Axkid Schonbezug - Minikid 2</v>
          </cell>
          <cell r="C48">
            <v>7350057584798</v>
          </cell>
          <cell r="D48">
            <v>59.9</v>
          </cell>
        </row>
        <row r="49">
          <cell r="A49">
            <v>805007</v>
          </cell>
          <cell r="B49" t="str">
            <v>Axkid Schonbezug - Axkid ONE &amp; 2</v>
          </cell>
          <cell r="C49">
            <v>7350057587843</v>
          </cell>
          <cell r="D49">
            <v>59.9</v>
          </cell>
        </row>
        <row r="50">
          <cell r="A50">
            <v>805008</v>
          </cell>
          <cell r="B50" t="str">
            <v>Axkid Schonbezug - Folgesitz</v>
          </cell>
          <cell r="C50">
            <v>7350057587850</v>
          </cell>
          <cell r="D50">
            <v>59.9</v>
          </cell>
        </row>
        <row r="51">
          <cell r="A51">
            <v>805009</v>
          </cell>
          <cell r="B51" t="str">
            <v>Axkid Schonbezug - Minikid 3 &amp; 4</v>
          </cell>
          <cell r="C51">
            <v>7350057588543</v>
          </cell>
          <cell r="D51">
            <v>59.9</v>
          </cell>
        </row>
        <row r="52">
          <cell r="A52">
            <v>805016</v>
          </cell>
          <cell r="B52" t="str">
            <v>Axkid x Geggamoja Schonbezug Wildlife - Minikid 2</v>
          </cell>
          <cell r="C52">
            <v>7350057589274</v>
          </cell>
          <cell r="D52">
            <v>69.900000000000006</v>
          </cell>
        </row>
        <row r="53">
          <cell r="A53">
            <v>805017</v>
          </cell>
          <cell r="B53" t="str">
            <v>Axkid x Geggamoja Schonbezug Wildlife - Axkid ONE &amp; 2</v>
          </cell>
          <cell r="C53">
            <v>7350057589298</v>
          </cell>
          <cell r="D53">
            <v>69.900000000000006</v>
          </cell>
        </row>
        <row r="54">
          <cell r="A54">
            <v>805019</v>
          </cell>
          <cell r="B54" t="str">
            <v>Axkid x Geggamoja Schonbezug Wildlife - Minikid 3 &amp; 4</v>
          </cell>
          <cell r="C54">
            <v>7350057589311</v>
          </cell>
          <cell r="D54">
            <v>69.900000000000006</v>
          </cell>
        </row>
        <row r="55">
          <cell r="A55">
            <v>805026</v>
          </cell>
          <cell r="B55" t="str">
            <v>Axkid x Geggamoja Schonbezug Dreamer - Minikid 2</v>
          </cell>
          <cell r="C55">
            <v>7350057589281</v>
          </cell>
          <cell r="D55">
            <v>69.900000000000006</v>
          </cell>
        </row>
        <row r="56">
          <cell r="A56">
            <v>805027</v>
          </cell>
          <cell r="B56" t="str">
            <v>Axkid x Geggamoja Schonbezug Dreamer - Axkid ONE &amp; 2</v>
          </cell>
          <cell r="C56">
            <v>7350057589304</v>
          </cell>
          <cell r="D56">
            <v>69.900000000000006</v>
          </cell>
        </row>
        <row r="57">
          <cell r="A57">
            <v>805029</v>
          </cell>
          <cell r="B57" t="str">
            <v>Axkid x Geggamoja Schonbezug Dreamer - Minikid 3 &amp; 4</v>
          </cell>
          <cell r="C57">
            <v>7350057589328</v>
          </cell>
          <cell r="D57">
            <v>69.900000000000006</v>
          </cell>
        </row>
        <row r="58">
          <cell r="A58">
            <v>801803</v>
          </cell>
          <cell r="B58" t="str">
            <v>Axkid Sitzverkleinerer Premium</v>
          </cell>
          <cell r="C58">
            <v>7350057582008</v>
          </cell>
          <cell r="D58">
            <v>24.9</v>
          </cell>
        </row>
        <row r="59">
          <cell r="A59">
            <v>800803</v>
          </cell>
          <cell r="B59" t="str">
            <v>Axkid Sitzverkleinerer</v>
          </cell>
          <cell r="C59">
            <v>7350057580257</v>
          </cell>
          <cell r="D59">
            <v>19.899999999999999</v>
          </cell>
        </row>
        <row r="60">
          <cell r="A60">
            <v>803803</v>
          </cell>
          <cell r="B60" t="str">
            <v xml:space="preserve">Axkid Sitzschutz Premium    </v>
          </cell>
          <cell r="C60">
            <v>7350057582008</v>
          </cell>
          <cell r="D60">
            <v>64.900000000000006</v>
          </cell>
        </row>
        <row r="61">
          <cell r="A61">
            <v>800003</v>
          </cell>
          <cell r="B61" t="str">
            <v xml:space="preserve">Axkid Sitzschutz    </v>
          </cell>
          <cell r="C61">
            <v>7350057580172</v>
          </cell>
          <cell r="D61">
            <v>29.9</v>
          </cell>
        </row>
        <row r="62">
          <cell r="A62">
            <v>804003</v>
          </cell>
          <cell r="B62" t="str">
            <v xml:space="preserve">Axkid Halter für Ipad             </v>
          </cell>
          <cell r="C62">
            <v>7350057582022</v>
          </cell>
          <cell r="D62">
            <v>19.899999999999999</v>
          </cell>
        </row>
        <row r="63">
          <cell r="A63">
            <v>804103</v>
          </cell>
          <cell r="B63" t="str">
            <v xml:space="preserve">Axkid Rücksitzorganizer        </v>
          </cell>
          <cell r="C63">
            <v>7350057582039</v>
          </cell>
          <cell r="D63">
            <v>19.95</v>
          </cell>
        </row>
        <row r="64">
          <cell r="A64">
            <v>800203</v>
          </cell>
          <cell r="B64" t="str">
            <v xml:space="preserve">Axkid Haltegurte - Minikid &amp; Rekid                          </v>
          </cell>
          <cell r="C64">
            <v>7350057580196</v>
          </cell>
          <cell r="D64">
            <v>34.9</v>
          </cell>
        </row>
        <row r="65">
          <cell r="A65">
            <v>804303</v>
          </cell>
          <cell r="B65" t="str">
            <v>Axkid Haltegurte - Move</v>
          </cell>
          <cell r="C65">
            <v>7350057582060</v>
          </cell>
          <cell r="D65">
            <v>34.9</v>
          </cell>
        </row>
        <row r="66">
          <cell r="A66">
            <v>804916</v>
          </cell>
          <cell r="B66" t="str">
            <v xml:space="preserve">Axkid Connect Pad </v>
          </cell>
          <cell r="C66">
            <v>7350057584347</v>
          </cell>
          <cell r="D66">
            <v>99.9</v>
          </cell>
        </row>
        <row r="67">
          <cell r="A67">
            <v>805201</v>
          </cell>
          <cell r="B67" t="str">
            <v>Axkid AeroMoov Antischwitzauflage Reboarder</v>
          </cell>
          <cell r="C67">
            <v>5413421814456</v>
          </cell>
          <cell r="D67">
            <v>49.9</v>
          </cell>
        </row>
        <row r="68">
          <cell r="A68">
            <v>806201</v>
          </cell>
          <cell r="B68" t="str">
            <v>Axkid AeroMoov Antischwitzauflage Folgesitz</v>
          </cell>
          <cell r="C68">
            <v>7350057588420</v>
          </cell>
          <cell r="D68">
            <v>49.9</v>
          </cell>
        </row>
        <row r="69">
          <cell r="A69">
            <v>801403</v>
          </cell>
          <cell r="B69" t="str">
            <v>Axkid Unterlegkeil</v>
          </cell>
          <cell r="C69">
            <v>7350057581087</v>
          </cell>
          <cell r="D69">
            <v>19.899999999999999</v>
          </cell>
        </row>
        <row r="70">
          <cell r="A70">
            <v>800608</v>
          </cell>
          <cell r="B70" t="str">
            <v>Axkid Befestigungsösen 70mm</v>
          </cell>
          <cell r="C70">
            <v>7350057581889</v>
          </cell>
          <cell r="D70">
            <v>14.9</v>
          </cell>
        </row>
        <row r="71">
          <cell r="A71">
            <v>806601</v>
          </cell>
          <cell r="B71" t="str">
            <v>Axkid Befestigungsösen 120mm</v>
          </cell>
          <cell r="C71">
            <v>7350057589670</v>
          </cell>
          <cell r="D71">
            <v>22.9</v>
          </cell>
        </row>
        <row r="72">
          <cell r="A72">
            <v>806602</v>
          </cell>
          <cell r="B72" t="str">
            <v>Axkid Befestigungsösen 160mm</v>
          </cell>
          <cell r="C72">
            <v>7350057589687</v>
          </cell>
          <cell r="D72">
            <v>24.9</v>
          </cell>
        </row>
        <row r="73">
          <cell r="A73">
            <v>804403</v>
          </cell>
          <cell r="B73" t="str">
            <v xml:space="preserve">Axkid Swedish Safety Kit	</v>
          </cell>
          <cell r="C73">
            <v>7350057582121</v>
          </cell>
          <cell r="D73">
            <v>49.9</v>
          </cell>
        </row>
        <row r="74">
          <cell r="A74">
            <v>800507</v>
          </cell>
          <cell r="B74" t="str">
            <v xml:space="preserve">Axkid Schild "Baby on Board"                 </v>
          </cell>
          <cell r="C74">
            <v>7350057580226</v>
          </cell>
          <cell r="D74">
            <v>8.9</v>
          </cell>
        </row>
        <row r="75">
          <cell r="A75">
            <v>803303</v>
          </cell>
          <cell r="B75" t="str">
            <v xml:space="preserve">Axkid Spiegel für den Rücksitz                         </v>
          </cell>
          <cell r="C75">
            <v>7350057581339</v>
          </cell>
          <cell r="D75">
            <v>29.9</v>
          </cell>
        </row>
        <row r="76">
          <cell r="A76">
            <v>804503</v>
          </cell>
          <cell r="B76" t="str">
            <v xml:space="preserve">Axkid Sonnendach - Minikid 2 &amp; Move               </v>
          </cell>
          <cell r="C76">
            <v>7350057582749</v>
          </cell>
          <cell r="D76">
            <v>36.9</v>
          </cell>
        </row>
        <row r="77">
          <cell r="A77">
            <v>804603</v>
          </cell>
          <cell r="B77" t="str">
            <v xml:space="preserve">Axkid Adapter für Stützfuß                              </v>
          </cell>
          <cell r="C77">
            <v>7350057582756</v>
          </cell>
          <cell r="D77">
            <v>24.9</v>
          </cell>
        </row>
        <row r="78">
          <cell r="A78">
            <v>20060016</v>
          </cell>
          <cell r="B78" t="str">
            <v>Axkid Envirobaby Tar</v>
          </cell>
          <cell r="C78">
            <v>7350057580172</v>
          </cell>
          <cell r="D78">
            <v>179.9</v>
          </cell>
        </row>
        <row r="79">
          <cell r="A79">
            <v>20060017</v>
          </cell>
          <cell r="B79" t="str">
            <v>Axkid Envirobaby Granite</v>
          </cell>
          <cell r="C79">
            <v>7350057582022</v>
          </cell>
          <cell r="D79">
            <v>179.9</v>
          </cell>
        </row>
        <row r="80">
          <cell r="A80">
            <v>20060028</v>
          </cell>
          <cell r="B80" t="str">
            <v>Axkid Envirobaby Forest</v>
          </cell>
          <cell r="C80">
            <v>7350057582039</v>
          </cell>
          <cell r="D80">
            <v>179.9</v>
          </cell>
        </row>
        <row r="81">
          <cell r="A81">
            <v>20060029</v>
          </cell>
          <cell r="B81" t="str">
            <v>Axkid Envirobaby Soft Black</v>
          </cell>
          <cell r="C81">
            <v>7350057580196</v>
          </cell>
          <cell r="D81">
            <v>179.9</v>
          </cell>
        </row>
        <row r="82">
          <cell r="A82">
            <v>21030003</v>
          </cell>
          <cell r="B82" t="str">
            <v>Axkid Envirobase</v>
          </cell>
          <cell r="C82">
            <v>7350057582060</v>
          </cell>
          <cell r="D82">
            <v>149.9</v>
          </cell>
        </row>
        <row r="83">
          <cell r="A83">
            <v>24100316</v>
          </cell>
          <cell r="B83" t="str">
            <v>Axkid Envirokid Tar</v>
          </cell>
          <cell r="C83">
            <v>7350057584347</v>
          </cell>
          <cell r="D83">
            <v>319.89999999999998</v>
          </cell>
        </row>
        <row r="84">
          <cell r="A84">
            <v>24100317</v>
          </cell>
          <cell r="B84" t="str">
            <v>Axkid Envirokid Granite</v>
          </cell>
          <cell r="C84">
            <v>7350057582008</v>
          </cell>
          <cell r="D84">
            <v>319.89999999999998</v>
          </cell>
        </row>
        <row r="85">
          <cell r="A85">
            <v>24100328</v>
          </cell>
          <cell r="B85" t="str">
            <v>Axkid Envirokid Forest</v>
          </cell>
          <cell r="C85">
            <v>7350057580257</v>
          </cell>
          <cell r="D85">
            <v>319.89999999999998</v>
          </cell>
        </row>
        <row r="86">
          <cell r="A86">
            <v>22170016</v>
          </cell>
          <cell r="B86" t="str">
            <v xml:space="preserve">Axkid Movekid Tar </v>
          </cell>
          <cell r="C86">
            <v>7350150970238</v>
          </cell>
          <cell r="D86">
            <v>449.9</v>
          </cell>
        </row>
        <row r="87">
          <cell r="A87">
            <v>22170017</v>
          </cell>
          <cell r="B87" t="str">
            <v>Axkid Movekid Granite</v>
          </cell>
          <cell r="C87">
            <v>7350150970245</v>
          </cell>
          <cell r="D87">
            <v>449.9</v>
          </cell>
        </row>
        <row r="88">
          <cell r="B88" t="str">
            <v>Axkid Hitzeschutzpads</v>
          </cell>
          <cell r="C88">
            <v>0</v>
          </cell>
          <cell r="D88">
            <v>0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780A0-78BE-4A68-8713-7691E626BF4A}">
  <dimension ref="A1:I105"/>
  <sheetViews>
    <sheetView tabSelected="1" topLeftCell="A26" workbookViewId="0">
      <selection activeCell="C32" sqref="C32"/>
    </sheetView>
  </sheetViews>
  <sheetFormatPr defaultColWidth="11.42578125" defaultRowHeight="14.45"/>
  <cols>
    <col min="1" max="1" width="14.5703125" style="46" customWidth="1"/>
    <col min="2" max="2" width="52.85546875" style="5" customWidth="1"/>
    <col min="3" max="3" width="19.28515625" style="47" customWidth="1"/>
    <col min="4" max="4" width="11.5703125" style="3" customWidth="1"/>
    <col min="5" max="5" width="9.85546875" style="3" hidden="1" customWidth="1"/>
    <col min="6" max="6" width="11.5703125" style="3" customWidth="1"/>
    <col min="7" max="7" width="9.28515625" style="3" hidden="1" customWidth="1"/>
    <col min="8" max="8" width="11.5703125" style="48" customWidth="1"/>
    <col min="9" max="9" width="16.5703125" style="49" customWidth="1"/>
    <col min="10" max="10" width="11.42578125" style="5"/>
    <col min="11" max="11" width="16.28515625" style="5" customWidth="1"/>
    <col min="12" max="13" width="20.42578125" style="5" bestFit="1" customWidth="1"/>
    <col min="14" max="16384" width="11.42578125" style="5"/>
  </cols>
  <sheetData>
    <row r="1" spans="1:9" ht="30" customHeight="1">
      <c r="A1" s="50" t="s">
        <v>0</v>
      </c>
      <c r="B1" s="50"/>
      <c r="C1" s="1"/>
      <c r="D1" s="2"/>
      <c r="E1" s="2"/>
      <c r="H1" s="4" t="s">
        <v>1</v>
      </c>
      <c r="I1" s="4"/>
    </row>
    <row r="2" spans="1:9" s="11" customFormat="1" ht="34.5" customHeight="1">
      <c r="A2" s="6" t="s">
        <v>2</v>
      </c>
      <c r="B2" s="6" t="s">
        <v>3</v>
      </c>
      <c r="C2" s="7" t="s">
        <v>4</v>
      </c>
      <c r="D2" s="8" t="s">
        <v>5</v>
      </c>
      <c r="E2" s="8" t="s">
        <v>6</v>
      </c>
      <c r="F2" s="8" t="s">
        <v>7</v>
      </c>
      <c r="G2" s="9" t="s">
        <v>8</v>
      </c>
      <c r="H2" s="9" t="s">
        <v>9</v>
      </c>
      <c r="I2" s="10" t="s">
        <v>10</v>
      </c>
    </row>
    <row r="3" spans="1:9" s="19" customFormat="1" ht="16.5" customHeight="1">
      <c r="A3" s="12" t="s">
        <v>11</v>
      </c>
      <c r="B3" s="13" t="s">
        <v>12</v>
      </c>
      <c r="C3" s="14" t="s">
        <v>12</v>
      </c>
      <c r="D3" s="15" t="s">
        <v>12</v>
      </c>
      <c r="E3" s="15"/>
      <c r="F3" s="16"/>
      <c r="G3" s="15"/>
      <c r="H3" s="17"/>
      <c r="I3" s="18" t="s">
        <v>13</v>
      </c>
    </row>
    <row r="4" spans="1:9" s="19" customFormat="1" ht="16.5" customHeight="1">
      <c r="A4" s="20">
        <v>28100026</v>
      </c>
      <c r="B4" s="21" t="str">
        <f>_xlfn.XLOOKUP(A4,[1]Artikeldaten!A:A,[1]Artikeldaten!B:B)</f>
        <v xml:space="preserve">Axkid Mate Tar </v>
      </c>
      <c r="C4" s="20">
        <f>_xlfn.XLOOKUP(A4,[1]Artikeldaten!A:A,[1]Artikeldaten!C:C)</f>
        <v>7350057586150</v>
      </c>
      <c r="D4" s="22">
        <f>_xlfn.XLOOKUP(A4,[1]Artikeldaten!A:A,[1]Artikeldaten!D:D)</f>
        <v>39.9</v>
      </c>
      <c r="E4" s="22">
        <f>D4/1.19</f>
        <v>33.529411764705884</v>
      </c>
      <c r="F4" s="22">
        <f>_xlfn.XLOOKUP(A4,'[1]Rechner Preisliste'!A:A,'[1]Rechner Preisliste'!E:E)</f>
        <v>20</v>
      </c>
      <c r="G4" s="22">
        <f>E4-F4</f>
        <v>13.529411764705884</v>
      </c>
      <c r="H4" s="23">
        <f>G4/E4</f>
        <v>0.40350877192982459</v>
      </c>
      <c r="I4" s="22">
        <v>18</v>
      </c>
    </row>
    <row r="5" spans="1:9" s="25" customFormat="1" ht="16.5" customHeight="1">
      <c r="A5" s="24">
        <v>28100027</v>
      </c>
      <c r="B5" s="21" t="str">
        <f>_xlfn.XLOOKUP(A5,[1]Artikeldaten!A:A,[1]Artikeldaten!B:B)</f>
        <v xml:space="preserve">Axkid Mate Granite </v>
      </c>
      <c r="C5" s="20">
        <f>_xlfn.XLOOKUP(A5,[1]Artikeldaten!A:A,[1]Artikeldaten!C:C)</f>
        <v>7350057586167</v>
      </c>
      <c r="D5" s="22">
        <f>_xlfn.XLOOKUP(A5,[1]Artikeldaten!A:A,[1]Artikeldaten!D:D)</f>
        <v>39.9</v>
      </c>
      <c r="E5" s="22">
        <f t="shared" ref="E5:E79" si="0">D5/1.19</f>
        <v>33.529411764705884</v>
      </c>
      <c r="F5" s="22">
        <f>_xlfn.XLOOKUP(A5,'[1]Rechner Preisliste'!A:A,'[1]Rechner Preisliste'!E:E)</f>
        <v>20</v>
      </c>
      <c r="G5" s="22">
        <f t="shared" ref="G5:G79" si="1">E5-F5</f>
        <v>13.529411764705884</v>
      </c>
      <c r="H5" s="23">
        <f t="shared" ref="H5:H79" si="2">G5/E5</f>
        <v>0.40350877192982459</v>
      </c>
      <c r="I5" s="22">
        <v>18</v>
      </c>
    </row>
    <row r="6" spans="1:9" s="25" customFormat="1" ht="16.5" customHeight="1">
      <c r="A6" s="24">
        <v>22120226</v>
      </c>
      <c r="B6" s="21" t="str">
        <f>_xlfn.XLOOKUP(A6,[1]Artikeldaten!A:A,[1]Artikeldaten!B:B)</f>
        <v>Axkid Move (2022/23) Tar</v>
      </c>
      <c r="C6" s="20">
        <f>_xlfn.XLOOKUP(A6,[1]Artikeldaten!A:A,[1]Artikeldaten!C:C)</f>
        <v>7350057585856</v>
      </c>
      <c r="D6" s="22">
        <f>_xlfn.XLOOKUP(A6,[1]Artikeldaten!A:A,[1]Artikeldaten!D:D)</f>
        <v>249.9</v>
      </c>
      <c r="E6" s="22">
        <f t="shared" si="0"/>
        <v>210</v>
      </c>
      <c r="F6" s="22">
        <f>_xlfn.XLOOKUP(A6,'[1]Rechner Preisliste'!A:A,'[1]Rechner Preisliste'!E:E)</f>
        <v>140</v>
      </c>
      <c r="G6" s="22">
        <f t="shared" si="1"/>
        <v>70</v>
      </c>
      <c r="H6" s="23">
        <f t="shared" si="2"/>
        <v>0.33333333333333331</v>
      </c>
      <c r="I6" s="22">
        <v>135</v>
      </c>
    </row>
    <row r="7" spans="1:9" s="25" customFormat="1" ht="16.5" customHeight="1">
      <c r="A7" s="24">
        <v>22120227</v>
      </c>
      <c r="B7" s="21" t="str">
        <f>_xlfn.XLOOKUP(A7,[1]Artikeldaten!A:A,[1]Artikeldaten!B:B)</f>
        <v>Axkid Move (2022/23) Granite</v>
      </c>
      <c r="C7" s="20">
        <f>_xlfn.XLOOKUP(A7,[1]Artikeldaten!A:A,[1]Artikeldaten!C:C)</f>
        <v>7350057585863</v>
      </c>
      <c r="D7" s="22">
        <f>_xlfn.XLOOKUP(A7,[1]Artikeldaten!A:A,[1]Artikeldaten!D:D)</f>
        <v>249.9</v>
      </c>
      <c r="E7" s="22">
        <f t="shared" si="0"/>
        <v>210</v>
      </c>
      <c r="F7" s="22">
        <f>_xlfn.XLOOKUP(A7,'[1]Rechner Preisliste'!A:A,'[1]Rechner Preisliste'!E:E)</f>
        <v>140</v>
      </c>
      <c r="G7" s="22">
        <f t="shared" si="1"/>
        <v>70</v>
      </c>
      <c r="H7" s="23">
        <f t="shared" si="2"/>
        <v>0.33333333333333331</v>
      </c>
      <c r="I7" s="22">
        <v>135</v>
      </c>
    </row>
    <row r="8" spans="1:9" s="25" customFormat="1" ht="16.5" customHeight="1">
      <c r="A8" s="24">
        <v>22140316</v>
      </c>
      <c r="B8" s="21" t="str">
        <f>_xlfn.XLOOKUP(A8,[1]Artikeldaten!A:A,[1]Artikeldaten!B:B)</f>
        <v>Axkid Minikid 2 (2022/23) Tar</v>
      </c>
      <c r="C8" s="20">
        <f>_xlfn.XLOOKUP(A8,[1]Artikeldaten!A:A,[1]Artikeldaten!C:C)</f>
        <v>7350057585870</v>
      </c>
      <c r="D8" s="22">
        <f>_xlfn.XLOOKUP(A8,[1]Artikeldaten!A:A,[1]Artikeldaten!D:D)</f>
        <v>349.9</v>
      </c>
      <c r="E8" s="22">
        <f t="shared" si="0"/>
        <v>294.03361344537814</v>
      </c>
      <c r="F8" s="22">
        <f>_xlfn.XLOOKUP(A8,'[1]Rechner Preisliste'!A:A,'[1]Rechner Preisliste'!E:E)</f>
        <v>190</v>
      </c>
      <c r="G8" s="22">
        <f t="shared" si="1"/>
        <v>104.03361344537814</v>
      </c>
      <c r="H8" s="23">
        <f t="shared" si="2"/>
        <v>0.35381537582166328</v>
      </c>
      <c r="I8" s="22">
        <v>175</v>
      </c>
    </row>
    <row r="9" spans="1:9" s="25" customFormat="1" ht="16.5" customHeight="1">
      <c r="A9" s="24">
        <v>22140317</v>
      </c>
      <c r="B9" s="21" t="str">
        <f>_xlfn.XLOOKUP(A9,[1]Artikeldaten!A:A,[1]Artikeldaten!B:B)</f>
        <v>Axkid Minikid 2 (2022/23) Granite</v>
      </c>
      <c r="C9" s="20">
        <f>_xlfn.XLOOKUP(A9,[1]Artikeldaten!A:A,[1]Artikeldaten!C:C)</f>
        <v>7350057585887</v>
      </c>
      <c r="D9" s="22">
        <f>_xlfn.XLOOKUP(A9,[1]Artikeldaten!A:A,[1]Artikeldaten!D:D)</f>
        <v>349.9</v>
      </c>
      <c r="E9" s="22">
        <f t="shared" si="0"/>
        <v>294.03361344537814</v>
      </c>
      <c r="F9" s="22">
        <f>_xlfn.XLOOKUP(A9,'[1]Rechner Preisliste'!A:A,'[1]Rechner Preisliste'!E:E)</f>
        <v>190</v>
      </c>
      <c r="G9" s="22">
        <f t="shared" si="1"/>
        <v>104.03361344537814</v>
      </c>
      <c r="H9" s="23">
        <f t="shared" si="2"/>
        <v>0.35381537582166328</v>
      </c>
      <c r="I9" s="22">
        <v>175</v>
      </c>
    </row>
    <row r="10" spans="1:9" s="25" customFormat="1" ht="16.5" customHeight="1">
      <c r="A10" s="24">
        <v>22140318</v>
      </c>
      <c r="B10" s="21" t="str">
        <f>_xlfn.XLOOKUP(A10,[1]Artikeldaten!A:A,[1]Artikeldaten!B:B)</f>
        <v>Axkid Minikid 2 (2022/23) Shellfish</v>
      </c>
      <c r="C10" s="20">
        <f>_xlfn.XLOOKUP(A10,[1]Artikeldaten!A:A,[1]Artikeldaten!C:C)</f>
        <v>7350057585894</v>
      </c>
      <c r="D10" s="22">
        <f>_xlfn.XLOOKUP(A10,[1]Artikeldaten!A:A,[1]Artikeldaten!D:D)</f>
        <v>349.9</v>
      </c>
      <c r="E10" s="22">
        <f t="shared" si="0"/>
        <v>294.03361344537814</v>
      </c>
      <c r="F10" s="22">
        <f>_xlfn.XLOOKUP(A10,'[1]Rechner Preisliste'!A:A,'[1]Rechner Preisliste'!E:E)</f>
        <v>190</v>
      </c>
      <c r="G10" s="22">
        <f t="shared" si="1"/>
        <v>104.03361344537814</v>
      </c>
      <c r="H10" s="23">
        <f t="shared" si="2"/>
        <v>0.35381537582166328</v>
      </c>
      <c r="I10" s="22">
        <v>175</v>
      </c>
    </row>
    <row r="11" spans="1:9" s="25" customFormat="1" ht="16.5" customHeight="1">
      <c r="A11" s="24">
        <v>22140319</v>
      </c>
      <c r="B11" s="21" t="str">
        <f>_xlfn.XLOOKUP(A11,[1]Artikeldaten!A:A,[1]Artikeldaten!B:B)</f>
        <v>Axkid Minikid 2 (2022/23) Sea</v>
      </c>
      <c r="C11" s="20">
        <f>_xlfn.XLOOKUP(A11,[1]Artikeldaten!A:A,[1]Artikeldaten!C:C)</f>
        <v>7350057585900</v>
      </c>
      <c r="D11" s="22">
        <f>_xlfn.XLOOKUP(A11,[1]Artikeldaten!A:A,[1]Artikeldaten!D:D)</f>
        <v>349.9</v>
      </c>
      <c r="E11" s="22">
        <f t="shared" si="0"/>
        <v>294.03361344537814</v>
      </c>
      <c r="F11" s="22">
        <f>_xlfn.XLOOKUP(A11,'[1]Rechner Preisliste'!A:A,'[1]Rechner Preisliste'!E:E)</f>
        <v>190</v>
      </c>
      <c r="G11" s="22">
        <f t="shared" si="1"/>
        <v>104.03361344537814</v>
      </c>
      <c r="H11" s="23">
        <f t="shared" si="2"/>
        <v>0.35381537582166328</v>
      </c>
      <c r="I11" s="22">
        <v>175</v>
      </c>
    </row>
    <row r="12" spans="1:9" s="25" customFormat="1" ht="16.5" customHeight="1">
      <c r="A12" s="24">
        <v>22140320</v>
      </c>
      <c r="B12" s="21" t="str">
        <f>_xlfn.XLOOKUP(A12,[1]Artikeldaten!A:A,[1]Artikeldaten!B:B)</f>
        <v>Axkid Minikid 2 (2022/23) Moss</v>
      </c>
      <c r="C12" s="20">
        <f>_xlfn.XLOOKUP(A12,[1]Artikeldaten!A:A,[1]Artikeldaten!C:C)</f>
        <v>7350057585917</v>
      </c>
      <c r="D12" s="22">
        <f>_xlfn.XLOOKUP(A12,[1]Artikeldaten!A:A,[1]Artikeldaten!D:D)</f>
        <v>349.9</v>
      </c>
      <c r="E12" s="22">
        <f t="shared" si="0"/>
        <v>294.03361344537814</v>
      </c>
      <c r="F12" s="22">
        <f>_xlfn.XLOOKUP(A12,'[1]Rechner Preisliste'!A:A,'[1]Rechner Preisliste'!E:E)</f>
        <v>190</v>
      </c>
      <c r="G12" s="22">
        <f t="shared" si="1"/>
        <v>104.03361344537814</v>
      </c>
      <c r="H12" s="23">
        <f t="shared" si="2"/>
        <v>0.35381537582166328</v>
      </c>
      <c r="I12" s="22">
        <v>175</v>
      </c>
    </row>
    <row r="13" spans="1:9" s="25" customFormat="1" ht="16.5" customHeight="1">
      <c r="A13" s="24">
        <v>22140321</v>
      </c>
      <c r="B13" s="21" t="str">
        <f>_xlfn.XLOOKUP(A13,[1]Artikeldaten!A:A,[1]Artikeldaten!B:B)</f>
        <v>Axkid Minikid 2 (2022/23) Premium Shell Black</v>
      </c>
      <c r="C13" s="20">
        <f>_xlfn.XLOOKUP(A13,[1]Artikeldaten!A:A,[1]Artikeldaten!C:C)</f>
        <v>7350057585924</v>
      </c>
      <c r="D13" s="22">
        <f>_xlfn.XLOOKUP(A13,[1]Artikeldaten!A:A,[1]Artikeldaten!D:D)</f>
        <v>349.9</v>
      </c>
      <c r="E13" s="22">
        <f t="shared" si="0"/>
        <v>294.03361344537814</v>
      </c>
      <c r="F13" s="22">
        <f>_xlfn.XLOOKUP(A13,'[1]Rechner Preisliste'!A:A,'[1]Rechner Preisliste'!E:E)</f>
        <v>190</v>
      </c>
      <c r="G13" s="22">
        <f t="shared" si="1"/>
        <v>104.03361344537814</v>
      </c>
      <c r="H13" s="23">
        <f t="shared" si="2"/>
        <v>0.35381537582166328</v>
      </c>
      <c r="I13" s="22">
        <v>175</v>
      </c>
    </row>
    <row r="14" spans="1:9" s="25" customFormat="1" ht="16.5" customHeight="1">
      <c r="A14" s="24">
        <v>22140322</v>
      </c>
      <c r="B14" s="21" t="str">
        <f>_xlfn.XLOOKUP(A14,[1]Artikeldaten!A:A,[1]Artikeldaten!B:B)</f>
        <v>Axkid Minikid 2 (2022/23) Premium Granite Melange</v>
      </c>
      <c r="C14" s="20">
        <f>_xlfn.XLOOKUP(A14,[1]Artikeldaten!A:A,[1]Artikeldaten!C:C)</f>
        <v>7350057585931</v>
      </c>
      <c r="D14" s="22">
        <f>_xlfn.XLOOKUP(A14,[1]Artikeldaten!A:A,[1]Artikeldaten!D:D)</f>
        <v>349.9</v>
      </c>
      <c r="E14" s="22">
        <f t="shared" si="0"/>
        <v>294.03361344537814</v>
      </c>
      <c r="F14" s="22">
        <f>_xlfn.XLOOKUP(A14,'[1]Rechner Preisliste'!A:A,'[1]Rechner Preisliste'!E:E)</f>
        <v>190</v>
      </c>
      <c r="G14" s="22">
        <f t="shared" si="1"/>
        <v>104.03361344537814</v>
      </c>
      <c r="H14" s="23">
        <f t="shared" si="2"/>
        <v>0.35381537582166328</v>
      </c>
      <c r="I14" s="22">
        <v>175</v>
      </c>
    </row>
    <row r="15" spans="1:9" s="25" customFormat="1" ht="16.5" customHeight="1">
      <c r="A15" s="26" t="s">
        <v>14</v>
      </c>
      <c r="B15" s="27"/>
      <c r="C15" s="27"/>
      <c r="D15" s="28"/>
      <c r="E15" s="28"/>
      <c r="F15" s="28"/>
      <c r="G15" s="28"/>
      <c r="H15" s="29"/>
      <c r="I15" s="28" t="s">
        <v>13</v>
      </c>
    </row>
    <row r="16" spans="1:9" s="25" customFormat="1" ht="16.5" customHeight="1">
      <c r="A16" s="30">
        <v>24110116</v>
      </c>
      <c r="B16" s="31" t="str">
        <f>_xlfn.XLOOKUP(A16,[1]Artikeldaten!A:A,[1]Artikeldaten!B:B)</f>
        <v>Axkid Spinkid Solid Tar</v>
      </c>
      <c r="C16" s="32">
        <f>_xlfn.XLOOKUP(A16,[1]Artikeldaten!A:A,[1]Artikeldaten!C:C)</f>
        <v>7350057589731</v>
      </c>
      <c r="D16" s="3">
        <f>_xlfn.XLOOKUP(A16,[1]Artikeldaten!A:A,[1]Artikeldaten!D:D)</f>
        <v>499.9</v>
      </c>
      <c r="E16" s="3">
        <f t="shared" si="0"/>
        <v>420.0840336134454</v>
      </c>
      <c r="F16" s="3">
        <f>_xlfn.XLOOKUP(A16,'[1]Rechner Preisliste'!A:A,'[1]Rechner Preisliste'!E:E)</f>
        <v>265</v>
      </c>
      <c r="G16" s="3">
        <f t="shared" si="1"/>
        <v>155.0840336134454</v>
      </c>
      <c r="H16" s="33">
        <f t="shared" si="2"/>
        <v>0.36917383476695342</v>
      </c>
      <c r="I16" s="3">
        <v>250</v>
      </c>
    </row>
    <row r="17" spans="1:9" s="25" customFormat="1" ht="16.5" customHeight="1">
      <c r="A17" s="30">
        <v>24110121</v>
      </c>
      <c r="B17" s="31" t="str">
        <f>_xlfn.XLOOKUP(A17,[1]Artikeldaten!A:A,[1]Artikeldaten!B:B)</f>
        <v>Axkid Spinkid Granite Melange</v>
      </c>
      <c r="C17" s="32">
        <f>_xlfn.XLOOKUP(A17,[1]Artikeldaten!A:A,[1]Artikeldaten!C:C)</f>
        <v>7350057589748</v>
      </c>
      <c r="D17" s="3">
        <f>_xlfn.XLOOKUP(A17,[1]Artikeldaten!A:A,[1]Artikeldaten!D:D)</f>
        <v>499.9</v>
      </c>
      <c r="E17" s="3">
        <f t="shared" si="0"/>
        <v>420.0840336134454</v>
      </c>
      <c r="F17" s="3">
        <f>_xlfn.XLOOKUP(A17,'[1]Rechner Preisliste'!A:A,'[1]Rechner Preisliste'!E:E)</f>
        <v>265</v>
      </c>
      <c r="G17" s="3">
        <f t="shared" si="1"/>
        <v>155.0840336134454</v>
      </c>
      <c r="H17" s="33">
        <f t="shared" si="2"/>
        <v>0.36917383476695342</v>
      </c>
      <c r="I17" s="3">
        <v>250</v>
      </c>
    </row>
    <row r="18" spans="1:9" s="25" customFormat="1" ht="16.5" customHeight="1">
      <c r="A18" s="30">
        <v>24110124</v>
      </c>
      <c r="B18" s="31" t="str">
        <f>_xlfn.XLOOKUP(A18,[1]Artikeldaten!A:A,[1]Artikeldaten!B:B)</f>
        <v>Axkid Spinkid Brick Melange</v>
      </c>
      <c r="C18" s="32">
        <f>_xlfn.XLOOKUP(A18,[1]Artikeldaten!A:A,[1]Artikeldaten!C:C)</f>
        <v>7350057589755</v>
      </c>
      <c r="D18" s="3">
        <f>_xlfn.XLOOKUP(A18,[1]Artikeldaten!A:A,[1]Artikeldaten!D:D)</f>
        <v>499.9</v>
      </c>
      <c r="E18" s="3">
        <f t="shared" si="0"/>
        <v>420.0840336134454</v>
      </c>
      <c r="F18" s="3">
        <f>_xlfn.XLOOKUP(A18,'[1]Rechner Preisliste'!A:A,'[1]Rechner Preisliste'!E:E)</f>
        <v>265</v>
      </c>
      <c r="G18" s="3">
        <f t="shared" si="1"/>
        <v>155.0840336134454</v>
      </c>
      <c r="H18" s="33">
        <f t="shared" si="2"/>
        <v>0.36917383476695342</v>
      </c>
      <c r="I18" s="3">
        <v>250</v>
      </c>
    </row>
    <row r="19" spans="1:9" s="25" customFormat="1" ht="16.5" customHeight="1">
      <c r="A19" s="30">
        <v>24110125</v>
      </c>
      <c r="B19" s="31" t="str">
        <f>_xlfn.XLOOKUP(A19,[1]Artikeldaten!A:A,[1]Artikeldaten!B:B)</f>
        <v>Axkid Spinkid Tile Melange</v>
      </c>
      <c r="C19" s="32">
        <f>_xlfn.XLOOKUP(A19,[1]Artikeldaten!A:A,[1]Artikeldaten!C:C)</f>
        <v>7350057589762</v>
      </c>
      <c r="D19" s="3">
        <f>_xlfn.XLOOKUP(A19,[1]Artikeldaten!A:A,[1]Artikeldaten!D:D)</f>
        <v>499.9</v>
      </c>
      <c r="E19" s="3">
        <f t="shared" si="0"/>
        <v>420.0840336134454</v>
      </c>
      <c r="F19" s="3">
        <f>_xlfn.XLOOKUP(A19,'[1]Rechner Preisliste'!A:A,'[1]Rechner Preisliste'!E:E)</f>
        <v>265</v>
      </c>
      <c r="G19" s="3">
        <f t="shared" si="1"/>
        <v>155.0840336134454</v>
      </c>
      <c r="H19" s="33">
        <f t="shared" si="2"/>
        <v>0.36917383476695342</v>
      </c>
      <c r="I19" s="3">
        <v>250</v>
      </c>
    </row>
    <row r="20" spans="1:9" s="25" customFormat="1" ht="16.5" customHeight="1">
      <c r="A20" s="26" t="s">
        <v>15</v>
      </c>
      <c r="B20" s="27"/>
      <c r="C20" s="27"/>
      <c r="D20" s="28"/>
      <c r="E20" s="28"/>
      <c r="F20" s="28"/>
      <c r="G20" s="28"/>
      <c r="H20" s="29"/>
      <c r="I20" s="28" t="s">
        <v>13</v>
      </c>
    </row>
    <row r="21" spans="1:9" s="25" customFormat="1" ht="16.5" customHeight="1">
      <c r="A21" s="31">
        <v>25120116</v>
      </c>
      <c r="B21" s="31" t="str">
        <f>_xlfn.XLOOKUP(A21,[1]Artikeldaten!A:A,[1]Artikeldaten!B:B)</f>
        <v>Axkid ONE+ 2 Tar</v>
      </c>
      <c r="C21" s="32">
        <f>_xlfn.XLOOKUP(A21,[1]Artikeldaten!A:A,[1]Artikeldaten!C:C)</f>
        <v>7350057586686</v>
      </c>
      <c r="D21" s="3">
        <f>_xlfn.XLOOKUP(A21,[1]Artikeldaten!A:A,[1]Artikeldaten!D:D)</f>
        <v>849.9</v>
      </c>
      <c r="E21" s="3">
        <f t="shared" si="0"/>
        <v>714.20168067226894</v>
      </c>
      <c r="F21" s="3">
        <f>_xlfn.XLOOKUP(A21,'[1]Rechner Preisliste'!A:A,'[1]Rechner Preisliste'!E:E)</f>
        <v>464.23109243697485</v>
      </c>
      <c r="G21" s="3">
        <f t="shared" si="1"/>
        <v>249.97058823529409</v>
      </c>
      <c r="H21" s="33">
        <f t="shared" si="2"/>
        <v>0.34999999999999992</v>
      </c>
      <c r="I21" s="3">
        <v>450</v>
      </c>
    </row>
    <row r="22" spans="1:9" s="25" customFormat="1" ht="16.5" customHeight="1">
      <c r="A22" s="31">
        <v>25120121</v>
      </c>
      <c r="B22" s="31" t="str">
        <f>_xlfn.XLOOKUP(A22,[1]Artikeldaten!A:A,[1]Artikeldaten!B:B)</f>
        <v>Axkid ONE+ 2 Granite Melange</v>
      </c>
      <c r="C22" s="32">
        <f>_xlfn.XLOOKUP(A22,[1]Artikeldaten!A:A,[1]Artikeldaten!C:C)</f>
        <v>7350057586693</v>
      </c>
      <c r="D22" s="3">
        <f>_xlfn.XLOOKUP(A22,[1]Artikeldaten!A:A,[1]Artikeldaten!D:D)</f>
        <v>849.9</v>
      </c>
      <c r="E22" s="3">
        <f t="shared" si="0"/>
        <v>714.20168067226894</v>
      </c>
      <c r="F22" s="3">
        <f>_xlfn.XLOOKUP(A22,'[1]Rechner Preisliste'!A:A,'[1]Rechner Preisliste'!E:E)</f>
        <v>464.23109243697485</v>
      </c>
      <c r="G22" s="3">
        <f t="shared" si="1"/>
        <v>249.97058823529409</v>
      </c>
      <c r="H22" s="33">
        <f t="shared" si="2"/>
        <v>0.34999999999999992</v>
      </c>
      <c r="I22" s="3">
        <v>450</v>
      </c>
    </row>
    <row r="23" spans="1:9" s="25" customFormat="1" ht="16.5" customHeight="1">
      <c r="A23" s="31">
        <v>25120124</v>
      </c>
      <c r="B23" s="31" t="str">
        <f>_xlfn.XLOOKUP(A23,[1]Artikeldaten!A:A,[1]Artikeldaten!B:B)</f>
        <v>Axkid ONE+ 2 Brick Melange</v>
      </c>
      <c r="C23" s="32">
        <f>_xlfn.XLOOKUP(A23,[1]Artikeldaten!A:A,[1]Artikeldaten!C:C)</f>
        <v>7350057586709</v>
      </c>
      <c r="D23" s="3">
        <f>_xlfn.XLOOKUP(A23,[1]Artikeldaten!A:A,[1]Artikeldaten!D:D)</f>
        <v>849.9</v>
      </c>
      <c r="E23" s="3">
        <f t="shared" si="0"/>
        <v>714.20168067226894</v>
      </c>
      <c r="F23" s="3">
        <f>_xlfn.XLOOKUP(A23,'[1]Rechner Preisliste'!A:A,'[1]Rechner Preisliste'!E:E)</f>
        <v>464.23109243697485</v>
      </c>
      <c r="G23" s="3">
        <f t="shared" si="1"/>
        <v>249.97058823529409</v>
      </c>
      <c r="H23" s="33">
        <f t="shared" si="2"/>
        <v>0.34999999999999992</v>
      </c>
      <c r="I23" s="3">
        <v>450</v>
      </c>
    </row>
    <row r="24" spans="1:9" s="25" customFormat="1" ht="16.5" customHeight="1">
      <c r="A24" s="31">
        <v>25120125</v>
      </c>
      <c r="B24" s="31" t="str">
        <f>_xlfn.XLOOKUP(A24,[1]Artikeldaten!A:A,[1]Artikeldaten!B:B)</f>
        <v>Axkid ONE+ 2 Tile Melange</v>
      </c>
      <c r="C24" s="32">
        <f>_xlfn.XLOOKUP(A24,[1]Artikeldaten!A:A,[1]Artikeldaten!C:C)</f>
        <v>7350057586716</v>
      </c>
      <c r="D24" s="3">
        <f>_xlfn.XLOOKUP(A24,[1]Artikeldaten!A:A,[1]Artikeldaten!D:D)</f>
        <v>849.9</v>
      </c>
      <c r="E24" s="3">
        <f t="shared" si="0"/>
        <v>714.20168067226894</v>
      </c>
      <c r="F24" s="3">
        <f>_xlfn.XLOOKUP(A24,'[1]Rechner Preisliste'!A:A,'[1]Rechner Preisliste'!E:E)</f>
        <v>464.23109243697485</v>
      </c>
      <c r="G24" s="3">
        <f t="shared" si="1"/>
        <v>249.97058823529409</v>
      </c>
      <c r="H24" s="33">
        <f t="shared" si="2"/>
        <v>0.34999999999999992</v>
      </c>
      <c r="I24" s="3">
        <v>450</v>
      </c>
    </row>
    <row r="25" spans="1:9" s="25" customFormat="1" ht="16.5" customHeight="1">
      <c r="A25" s="26" t="s">
        <v>16</v>
      </c>
      <c r="B25" s="27"/>
      <c r="C25" s="27"/>
      <c r="D25" s="28"/>
      <c r="E25" s="28"/>
      <c r="F25" s="28"/>
      <c r="G25" s="28"/>
      <c r="H25" s="29"/>
      <c r="I25" s="28" t="s">
        <v>13</v>
      </c>
    </row>
    <row r="26" spans="1:9" s="25" customFormat="1" ht="16.5" customHeight="1">
      <c r="A26" s="31">
        <v>25110116</v>
      </c>
      <c r="B26" s="31" t="str">
        <f>_xlfn.XLOOKUP(A26,[1]Artikeldaten!A:A,[1]Artikeldaten!B:B)</f>
        <v>Axkid ONE 2 Tar</v>
      </c>
      <c r="C26" s="32">
        <f>_xlfn.XLOOKUP(A26,[1]Artikeldaten!A:A,[1]Artikeldaten!C:C)</f>
        <v>7350057586648</v>
      </c>
      <c r="D26" s="3">
        <f>_xlfn.XLOOKUP(A26,[1]Artikeldaten!A:A,[1]Artikeldaten!D:D)</f>
        <v>799.9</v>
      </c>
      <c r="E26" s="3">
        <f>D26/1.19</f>
        <v>672.18487394957981</v>
      </c>
      <c r="F26" s="3">
        <f>_xlfn.XLOOKUP(A26,'[1]Rechner Preisliste'!A:A,'[1]Rechner Preisliste'!E:E)</f>
        <v>435.26</v>
      </c>
      <c r="G26" s="3">
        <f t="shared" si="1"/>
        <v>236.92487394957982</v>
      </c>
      <c r="H26" s="33">
        <f t="shared" si="2"/>
        <v>0.35246980872609074</v>
      </c>
      <c r="I26" s="3">
        <v>420</v>
      </c>
    </row>
    <row r="27" spans="1:9" s="25" customFormat="1" ht="16.5" customHeight="1">
      <c r="A27" s="31">
        <v>25110121</v>
      </c>
      <c r="B27" s="31" t="str">
        <f>_xlfn.XLOOKUP(A27,[1]Artikeldaten!A:A,[1]Artikeldaten!B:B)</f>
        <v>Axkid ONE 2 Granite Melange</v>
      </c>
      <c r="C27" s="32">
        <f>_xlfn.XLOOKUP(A27,[1]Artikeldaten!A:A,[1]Artikeldaten!C:C)</f>
        <v>7350057586655</v>
      </c>
      <c r="D27" s="3">
        <f>_xlfn.XLOOKUP(A27,[1]Artikeldaten!A:A,[1]Artikeldaten!D:D)</f>
        <v>799.9</v>
      </c>
      <c r="E27" s="3">
        <f t="shared" ref="E27:E35" si="3">D27/1.19</f>
        <v>672.18487394957981</v>
      </c>
      <c r="F27" s="3">
        <f>_xlfn.XLOOKUP(A27,'[1]Rechner Preisliste'!A:A,'[1]Rechner Preisliste'!E:E)</f>
        <v>435.26</v>
      </c>
      <c r="G27" s="3">
        <f t="shared" si="1"/>
        <v>236.92487394957982</v>
      </c>
      <c r="H27" s="33">
        <f t="shared" si="2"/>
        <v>0.35246980872609074</v>
      </c>
      <c r="I27" s="3">
        <v>420</v>
      </c>
    </row>
    <row r="28" spans="1:9" s="25" customFormat="1" ht="16.5" customHeight="1">
      <c r="A28" s="31">
        <v>25110124</v>
      </c>
      <c r="B28" s="31" t="str">
        <f>_xlfn.XLOOKUP(A28,[1]Artikeldaten!A:A,[1]Artikeldaten!B:B)</f>
        <v>Axkid ONE 2 Brick Melange</v>
      </c>
      <c r="C28" s="32">
        <f>_xlfn.XLOOKUP(A28,[1]Artikeldaten!A:A,[1]Artikeldaten!C:C)</f>
        <v>7350057586662</v>
      </c>
      <c r="D28" s="3">
        <f>_xlfn.XLOOKUP(A28,[1]Artikeldaten!A:A,[1]Artikeldaten!D:D)</f>
        <v>799.9</v>
      </c>
      <c r="E28" s="3">
        <f t="shared" si="3"/>
        <v>672.18487394957981</v>
      </c>
      <c r="F28" s="3">
        <f>_xlfn.XLOOKUP(A28,'[1]Rechner Preisliste'!A:A,'[1]Rechner Preisliste'!E:E)</f>
        <v>435.26</v>
      </c>
      <c r="G28" s="3">
        <f t="shared" si="1"/>
        <v>236.92487394957982</v>
      </c>
      <c r="H28" s="33">
        <f t="shared" si="2"/>
        <v>0.35246980872609074</v>
      </c>
      <c r="I28" s="3">
        <v>420</v>
      </c>
    </row>
    <row r="29" spans="1:9" s="25" customFormat="1" ht="16.5" customHeight="1">
      <c r="A29" s="31">
        <v>25110125</v>
      </c>
      <c r="B29" s="31" t="str">
        <f>_xlfn.XLOOKUP(A29,[1]Artikeldaten!A:A,[1]Artikeldaten!B:B)</f>
        <v>Axkid ONE 2 Tile Melange</v>
      </c>
      <c r="C29" s="32">
        <f>_xlfn.XLOOKUP(A29,[1]Artikeldaten!A:A,[1]Artikeldaten!C:C)</f>
        <v>7350057586679</v>
      </c>
      <c r="D29" s="3">
        <f>_xlfn.XLOOKUP(A29,[1]Artikeldaten!A:A,[1]Artikeldaten!D:D)</f>
        <v>799.9</v>
      </c>
      <c r="E29" s="3">
        <f t="shared" si="3"/>
        <v>672.18487394957981</v>
      </c>
      <c r="F29" s="3">
        <f>_xlfn.XLOOKUP(A29,'[1]Rechner Preisliste'!A:A,'[1]Rechner Preisliste'!E:E)</f>
        <v>435.26</v>
      </c>
      <c r="G29" s="3">
        <f t="shared" si="1"/>
        <v>236.92487394957982</v>
      </c>
      <c r="H29" s="33">
        <f t="shared" si="2"/>
        <v>0.35246980872609074</v>
      </c>
      <c r="I29" s="3">
        <v>420</v>
      </c>
    </row>
    <row r="30" spans="1:9" s="25" customFormat="1" ht="16.5" customHeight="1">
      <c r="A30" s="31">
        <v>22150216</v>
      </c>
      <c r="B30" s="31" t="str">
        <f>_xlfn.XLOOKUP(A30,[1]Artikeldaten!A:A,[1]Artikeldaten!B:B)</f>
        <v>Axkid Minikid 4 Tar</v>
      </c>
      <c r="C30" s="32">
        <f>_xlfn.XLOOKUP(A30,[1]Artikeldaten!A:A,[1]Artikeldaten!C:C)</f>
        <v>7350057589601</v>
      </c>
      <c r="D30" s="3">
        <f>_xlfn.XLOOKUP(A30,[1]Artikeldaten!A:A,[1]Artikeldaten!D:D)</f>
        <v>649.9</v>
      </c>
      <c r="E30" s="3">
        <f t="shared" si="3"/>
        <v>546.13445378151266</v>
      </c>
      <c r="F30" s="3">
        <f>_xlfn.XLOOKUP(A30,'[1]Rechner Preisliste'!A:A,'[1]Rechner Preisliste'!E:E)</f>
        <v>327.68067226890759</v>
      </c>
      <c r="G30" s="3">
        <f t="shared" si="1"/>
        <v>218.45378151260508</v>
      </c>
      <c r="H30" s="33">
        <f t="shared" si="2"/>
        <v>0.4</v>
      </c>
      <c r="I30" s="3">
        <v>315</v>
      </c>
    </row>
    <row r="31" spans="1:9" s="25" customFormat="1" ht="16.5" customHeight="1">
      <c r="A31" s="31">
        <v>22150221</v>
      </c>
      <c r="B31" s="31" t="str">
        <f>_xlfn.XLOOKUP(A31,[1]Artikeldaten!A:A,[1]Artikeldaten!B:B)</f>
        <v>Axkid Minikid 4 Granite Melange</v>
      </c>
      <c r="C31" s="32">
        <f>_xlfn.XLOOKUP(A31,[1]Artikeldaten!A:A,[1]Artikeldaten!C:C)</f>
        <v>7350057589663</v>
      </c>
      <c r="D31" s="3">
        <f>_xlfn.XLOOKUP(A31,[1]Artikeldaten!A:A,[1]Artikeldaten!D:D)</f>
        <v>649.9</v>
      </c>
      <c r="E31" s="3">
        <f t="shared" si="3"/>
        <v>546.13445378151266</v>
      </c>
      <c r="F31" s="3">
        <f>_xlfn.XLOOKUP(A31,'[1]Rechner Preisliste'!A:A,'[1]Rechner Preisliste'!E:E)</f>
        <v>327.68067226890759</v>
      </c>
      <c r="G31" s="3">
        <f t="shared" si="1"/>
        <v>218.45378151260508</v>
      </c>
      <c r="H31" s="33">
        <f t="shared" si="2"/>
        <v>0.4</v>
      </c>
      <c r="I31" s="3">
        <v>315</v>
      </c>
    </row>
    <row r="32" spans="1:9" s="25" customFormat="1" ht="16.5" customHeight="1">
      <c r="A32" s="31">
        <v>22150224</v>
      </c>
      <c r="B32" s="31" t="str">
        <f>_xlfn.XLOOKUP(A32,[1]Artikeldaten!A:A,[1]Artikeldaten!B:B)</f>
        <v xml:space="preserve">Axkid Minikid 4 Brick Melange </v>
      </c>
      <c r="C32" s="32">
        <f>_xlfn.XLOOKUP(A32,[1]Artikeldaten!A:A,[1]Artikeldaten!C:C)</f>
        <v>7350057589618</v>
      </c>
      <c r="D32" s="3">
        <f>_xlfn.XLOOKUP(A32,[1]Artikeldaten!A:A,[1]Artikeldaten!D:D)</f>
        <v>649.9</v>
      </c>
      <c r="E32" s="3">
        <f t="shared" si="3"/>
        <v>546.13445378151266</v>
      </c>
      <c r="F32" s="3">
        <f>_xlfn.XLOOKUP(A32,'[1]Rechner Preisliste'!A:A,'[1]Rechner Preisliste'!E:E)</f>
        <v>327.68067226890759</v>
      </c>
      <c r="G32" s="3">
        <f t="shared" si="1"/>
        <v>218.45378151260508</v>
      </c>
      <c r="H32" s="33">
        <f t="shared" si="2"/>
        <v>0.4</v>
      </c>
      <c r="I32" s="3">
        <v>315</v>
      </c>
    </row>
    <row r="33" spans="1:9" s="25" customFormat="1" ht="16.5" customHeight="1">
      <c r="A33" s="31">
        <v>22150225</v>
      </c>
      <c r="B33" s="31" t="str">
        <f>_xlfn.XLOOKUP(A33,[1]Artikeldaten!A:A,[1]Artikeldaten!B:B)</f>
        <v>Axkid Minikid 4 Tile Melange</v>
      </c>
      <c r="C33" s="32">
        <f>_xlfn.XLOOKUP(A33,[1]Artikeldaten!A:A,[1]Artikeldaten!C:C)</f>
        <v>7350057589625</v>
      </c>
      <c r="D33" s="3">
        <f>_xlfn.XLOOKUP(A33,[1]Artikeldaten!A:A,[1]Artikeldaten!D:D)</f>
        <v>649.9</v>
      </c>
      <c r="E33" s="3">
        <f t="shared" si="3"/>
        <v>546.13445378151266</v>
      </c>
      <c r="F33" s="3">
        <f>_xlfn.XLOOKUP(A33,'[1]Rechner Preisliste'!A:A,'[1]Rechner Preisliste'!E:E)</f>
        <v>327.68067226890759</v>
      </c>
      <c r="G33" s="3">
        <f t="shared" si="1"/>
        <v>218.45378151260508</v>
      </c>
      <c r="H33" s="33">
        <f t="shared" si="2"/>
        <v>0.4</v>
      </c>
      <c r="I33" s="3">
        <v>315</v>
      </c>
    </row>
    <row r="34" spans="1:9" s="25" customFormat="1" ht="16.5" customHeight="1">
      <c r="A34" s="31">
        <v>22170016</v>
      </c>
      <c r="B34" s="31" t="s">
        <v>17</v>
      </c>
      <c r="C34" s="32">
        <f>_xlfn.XLOOKUP(A34,[1]Artikeldaten!A:A,[1]Artikeldaten!C:C)</f>
        <v>7350150970238</v>
      </c>
      <c r="D34" s="3">
        <f>_xlfn.XLOOKUP(A34,[1]Artikeldaten!A:A,[1]Artikeldaten!D:D)</f>
        <v>449.9</v>
      </c>
      <c r="E34" s="3">
        <f t="shared" si="3"/>
        <v>378.06722689075627</v>
      </c>
      <c r="F34" s="3">
        <f>_xlfn.XLOOKUP(A34,'[1]Rechner Preisliste'!A:A,'[1]Rechner Preisliste'!E:E)</f>
        <v>235</v>
      </c>
      <c r="G34" s="3">
        <f t="shared" si="1"/>
        <v>143.06722689075627</v>
      </c>
      <c r="H34" s="33">
        <f t="shared" si="2"/>
        <v>0.37841742609468765</v>
      </c>
      <c r="I34" s="3">
        <v>225</v>
      </c>
    </row>
    <row r="35" spans="1:9" s="25" customFormat="1" ht="16.5" customHeight="1">
      <c r="A35" s="31">
        <v>22170017</v>
      </c>
      <c r="B35" s="31" t="s">
        <v>18</v>
      </c>
      <c r="C35" s="32">
        <f>_xlfn.XLOOKUP(A35,[1]Artikeldaten!A:A,[1]Artikeldaten!C:C)</f>
        <v>7350150970245</v>
      </c>
      <c r="D35" s="3">
        <f>_xlfn.XLOOKUP(A35,[1]Artikeldaten!A:A,[1]Artikeldaten!D:D)</f>
        <v>449.9</v>
      </c>
      <c r="E35" s="3">
        <f t="shared" si="3"/>
        <v>378.06722689075627</v>
      </c>
      <c r="F35" s="3">
        <f>_xlfn.XLOOKUP(A35,'[1]Rechner Preisliste'!A:A,'[1]Rechner Preisliste'!E:E)</f>
        <v>235</v>
      </c>
      <c r="G35" s="3">
        <f t="shared" si="1"/>
        <v>143.06722689075627</v>
      </c>
      <c r="H35" s="33">
        <f t="shared" si="2"/>
        <v>0.37841742609468765</v>
      </c>
      <c r="I35" s="3">
        <v>225</v>
      </c>
    </row>
    <row r="36" spans="1:9" s="25" customFormat="1" ht="16.5" customHeight="1">
      <c r="A36" s="26" t="s">
        <v>19</v>
      </c>
      <c r="B36" s="27"/>
      <c r="C36" s="27"/>
      <c r="D36" s="28"/>
      <c r="E36" s="28"/>
      <c r="F36" s="28"/>
      <c r="G36" s="28"/>
      <c r="H36" s="29"/>
      <c r="I36" s="28" t="s">
        <v>13</v>
      </c>
    </row>
    <row r="37" spans="1:9" s="25" customFormat="1" ht="16.5" customHeight="1">
      <c r="A37" s="30">
        <v>27060121</v>
      </c>
      <c r="B37" s="31" t="str">
        <f>_xlfn.XLOOKUP(A37,[1]Artikeldaten!A:A,[1]Artikeldaten!B:B)</f>
        <v>Axkid Nextkid Granite Melange</v>
      </c>
      <c r="C37" s="32">
        <f>_xlfn.XLOOKUP(A37,[1]Artikeldaten!A:A,[1]Artikeldaten!C:C)</f>
        <v>7350057589809</v>
      </c>
      <c r="D37" s="3">
        <f>_xlfn.XLOOKUP(A37,[1]Artikeldaten!A:A,[1]Artikeldaten!D:D)</f>
        <v>249.9</v>
      </c>
      <c r="E37" s="3">
        <f t="shared" si="0"/>
        <v>210</v>
      </c>
      <c r="F37" s="3">
        <f>_xlfn.XLOOKUP(A37,'[1]Rechner Preisliste'!A:A,'[1]Rechner Preisliste'!E:E)</f>
        <v>130</v>
      </c>
      <c r="G37" s="3">
        <f t="shared" si="1"/>
        <v>80</v>
      </c>
      <c r="H37" s="33">
        <f t="shared" si="2"/>
        <v>0.38095238095238093</v>
      </c>
      <c r="I37" s="3">
        <v>120</v>
      </c>
    </row>
    <row r="38" spans="1:9" s="25" customFormat="1" ht="16.5" customHeight="1">
      <c r="A38" s="30">
        <v>27060123</v>
      </c>
      <c r="B38" s="31" t="str">
        <f>_xlfn.XLOOKUP(A38,[1]Artikeldaten!A:A,[1]Artikeldaten!B:B)</f>
        <v>Axkid Nextkid Shell Black</v>
      </c>
      <c r="C38" s="32">
        <f>_xlfn.XLOOKUP(A38,[1]Artikeldaten!A:A,[1]Artikeldaten!C:C)</f>
        <v>7350057589793</v>
      </c>
      <c r="D38" s="3">
        <f>_xlfn.XLOOKUP(A38,[1]Artikeldaten!A:A,[1]Artikeldaten!D:D)</f>
        <v>249.9</v>
      </c>
      <c r="E38" s="3">
        <f t="shared" si="0"/>
        <v>210</v>
      </c>
      <c r="F38" s="3">
        <f>_xlfn.XLOOKUP(A38,'[1]Rechner Preisliste'!A:A,'[1]Rechner Preisliste'!E:E)</f>
        <v>130</v>
      </c>
      <c r="G38" s="3">
        <f t="shared" si="1"/>
        <v>80</v>
      </c>
      <c r="H38" s="33">
        <f t="shared" si="2"/>
        <v>0.38095238095238093</v>
      </c>
      <c r="I38" s="3">
        <v>120</v>
      </c>
    </row>
    <row r="39" spans="1:9" s="25" customFormat="1" ht="16.5" customHeight="1">
      <c r="A39" s="30">
        <v>27060190</v>
      </c>
      <c r="B39" s="31" t="str">
        <f>_xlfn.XLOOKUP(A39,[1]Artikeldaten!A:A,[1]Artikeldaten!B:B)</f>
        <v>Axkid Nextkid Cloud Grey</v>
      </c>
      <c r="C39" s="32">
        <f>_xlfn.XLOOKUP(A39,[1]Artikeldaten!A:A,[1]Artikeldaten!C:C)</f>
        <v>7350150970139</v>
      </c>
      <c r="D39" s="3">
        <f>_xlfn.XLOOKUP(A39,[1]Artikeldaten!A:A,[1]Artikeldaten!D:D)</f>
        <v>249.9</v>
      </c>
      <c r="E39" s="3">
        <f t="shared" si="0"/>
        <v>210</v>
      </c>
      <c r="F39" s="3">
        <f>_xlfn.XLOOKUP(A39,'[1]Rechner Preisliste'!A:A,'[1]Rechner Preisliste'!E:E)</f>
        <v>130</v>
      </c>
      <c r="G39" s="3">
        <f t="shared" si="1"/>
        <v>80</v>
      </c>
      <c r="H39" s="33">
        <f t="shared" si="2"/>
        <v>0.38095238095238093</v>
      </c>
      <c r="I39" s="3">
        <v>120</v>
      </c>
    </row>
    <row r="40" spans="1:9" s="25" customFormat="1" ht="16.5" customHeight="1">
      <c r="A40" s="26" t="s">
        <v>20</v>
      </c>
      <c r="B40" s="27"/>
      <c r="C40" s="27"/>
      <c r="D40" s="28"/>
      <c r="E40" s="28"/>
      <c r="F40" s="28"/>
      <c r="G40" s="28"/>
      <c r="H40" s="29"/>
      <c r="I40" s="28"/>
    </row>
    <row r="41" spans="1:9" s="25" customFormat="1" ht="16.5" customHeight="1">
      <c r="A41" s="31">
        <v>21030003</v>
      </c>
      <c r="B41" s="31" t="str">
        <f>_xlfn.XLOOKUP(A41,[1]Artikeldaten!A:A,[1]Artikeldaten!B:B)</f>
        <v>Axkid Envirobase</v>
      </c>
      <c r="C41" s="32">
        <v>7350057588482</v>
      </c>
      <c r="D41" s="3">
        <f>_xlfn.XLOOKUP(A41,[1]Artikeldaten!A:A,[1]Artikeldaten!D:D)</f>
        <v>149.9</v>
      </c>
      <c r="E41" s="3">
        <f t="shared" ref="E41:E44" si="4">D41/1.19</f>
        <v>125.96638655462186</v>
      </c>
      <c r="F41" s="3">
        <f>_xlfn.XLOOKUP(A41,'[1]Rechner Preisliste'!A:A,'[1]Rechner Preisliste'!E:E)</f>
        <v>80</v>
      </c>
      <c r="G41" s="3">
        <f t="shared" ref="G41:G44" si="5">E41-F41</f>
        <v>45.966386554621863</v>
      </c>
      <c r="H41" s="33">
        <f t="shared" ref="H41:H44" si="6">G41/E41</f>
        <v>0.3649099399599734</v>
      </c>
      <c r="I41" s="3"/>
    </row>
    <row r="42" spans="1:9" s="25" customFormat="1" ht="16.5" customHeight="1">
      <c r="A42" s="30">
        <v>20060016</v>
      </c>
      <c r="B42" s="31" t="str">
        <f>_xlfn.XLOOKUP(A42,[1]Artikeldaten!A:A,[1]Artikeldaten!B:B)</f>
        <v>Axkid Envirobaby Tar</v>
      </c>
      <c r="C42" s="32">
        <v>7350057587812</v>
      </c>
      <c r="D42" s="3">
        <f>_xlfn.XLOOKUP(A42,[1]Artikeldaten!A:A,[1]Artikeldaten!D:D)</f>
        <v>179.9</v>
      </c>
      <c r="E42" s="3">
        <f t="shared" si="4"/>
        <v>151.1764705882353</v>
      </c>
      <c r="F42" s="3">
        <f>_xlfn.XLOOKUP(A42,'[1]Rechner Preisliste'!A:A,'[1]Rechner Preisliste'!E:E)</f>
        <v>95</v>
      </c>
      <c r="G42" s="3">
        <f t="shared" si="5"/>
        <v>56.176470588235304</v>
      </c>
      <c r="H42" s="33">
        <f t="shared" si="6"/>
        <v>0.37159533073929968</v>
      </c>
      <c r="I42" s="3">
        <v>90</v>
      </c>
    </row>
    <row r="43" spans="1:9" s="25" customFormat="1" ht="16.5" customHeight="1">
      <c r="A43" s="30">
        <v>20060017</v>
      </c>
      <c r="B43" s="31" t="str">
        <f>_xlfn.XLOOKUP(A43,[1]Artikeldaten!A:A,[1]Artikeldaten!B:B)</f>
        <v>Axkid Envirobaby Granite</v>
      </c>
      <c r="C43" s="32">
        <v>7350057588468</v>
      </c>
      <c r="D43" s="3">
        <f>_xlfn.XLOOKUP(A43,[1]Artikeldaten!A:A,[1]Artikeldaten!D:D)</f>
        <v>179.9</v>
      </c>
      <c r="E43" s="3">
        <f t="shared" si="4"/>
        <v>151.1764705882353</v>
      </c>
      <c r="F43" s="3">
        <f>_xlfn.XLOOKUP(A43,'[1]Rechner Preisliste'!A:A,'[1]Rechner Preisliste'!E:E)</f>
        <v>95</v>
      </c>
      <c r="G43" s="3">
        <f t="shared" si="5"/>
        <v>56.176470588235304</v>
      </c>
      <c r="H43" s="33">
        <f t="shared" si="6"/>
        <v>0.37159533073929968</v>
      </c>
      <c r="I43" s="3">
        <v>90</v>
      </c>
    </row>
    <row r="44" spans="1:9" s="25" customFormat="1" ht="16.5" customHeight="1">
      <c r="A44" s="30">
        <v>20060028</v>
      </c>
      <c r="B44" s="31" t="str">
        <f>_xlfn.XLOOKUP(A44,[1]Artikeldaten!A:A,[1]Artikeldaten!B:B)</f>
        <v>Axkid Envirobaby Forest</v>
      </c>
      <c r="C44" s="32">
        <v>7350057588475</v>
      </c>
      <c r="D44" s="3">
        <f>_xlfn.XLOOKUP(A44,[1]Artikeldaten!A:A,[1]Artikeldaten!D:D)</f>
        <v>179.9</v>
      </c>
      <c r="E44" s="3">
        <f t="shared" si="4"/>
        <v>151.1764705882353</v>
      </c>
      <c r="F44" s="3">
        <f>_xlfn.XLOOKUP(A44,'[1]Rechner Preisliste'!A:A,'[1]Rechner Preisliste'!E:E)</f>
        <v>95</v>
      </c>
      <c r="G44" s="3">
        <f t="shared" si="5"/>
        <v>56.176470588235304</v>
      </c>
      <c r="H44" s="33">
        <f t="shared" si="6"/>
        <v>0.37159533073929968</v>
      </c>
      <c r="I44" s="3">
        <v>90</v>
      </c>
    </row>
    <row r="45" spans="1:9" s="25" customFormat="1" ht="16.5" customHeight="1">
      <c r="A45" s="26" t="s">
        <v>21</v>
      </c>
      <c r="B45" s="27"/>
      <c r="C45" s="27"/>
      <c r="D45" s="28"/>
      <c r="E45" s="28"/>
      <c r="F45" s="28"/>
      <c r="G45" s="28"/>
      <c r="H45" s="29"/>
      <c r="I45" s="28"/>
    </row>
    <row r="46" spans="1:9" s="25" customFormat="1" ht="16.5" customHeight="1">
      <c r="A46" s="30">
        <v>24100316</v>
      </c>
      <c r="B46" s="31" t="str">
        <f>_xlfn.XLOOKUP(A46,[1]Artikeldaten!A:A,[1]Artikeldaten!B:B)</f>
        <v>Axkid Envirokid Tar</v>
      </c>
      <c r="C46" s="32">
        <v>7350057588499</v>
      </c>
      <c r="D46" s="3">
        <f>_xlfn.XLOOKUP(A46,[1]Artikeldaten!A:A,[1]Artikeldaten!D:D)</f>
        <v>319.89999999999998</v>
      </c>
      <c r="E46" s="3">
        <f t="shared" ref="E46:E48" si="7">D46/1.19</f>
        <v>268.8235294117647</v>
      </c>
      <c r="F46" s="3">
        <f>_xlfn.XLOOKUP(A46,'[1]Rechner Preisliste'!A:A,'[1]Rechner Preisliste'!E:E)</f>
        <v>170</v>
      </c>
      <c r="G46" s="3">
        <f t="shared" ref="G46:G48" si="8">E46-F46</f>
        <v>98.823529411764696</v>
      </c>
      <c r="H46" s="33">
        <f t="shared" ref="H46:H48" si="9">G46/E46</f>
        <v>0.36761487964989059</v>
      </c>
      <c r="I46" s="3">
        <v>160</v>
      </c>
    </row>
    <row r="47" spans="1:9" s="25" customFormat="1" ht="16.5" customHeight="1">
      <c r="A47" s="30">
        <v>24100317</v>
      </c>
      <c r="B47" s="31" t="str">
        <f>_xlfn.XLOOKUP(A47,[1]Artikeldaten!A:A,[1]Artikeldaten!B:B)</f>
        <v>Axkid Envirokid Granite</v>
      </c>
      <c r="C47" s="32">
        <v>7350057588505</v>
      </c>
      <c r="D47" s="3">
        <f>_xlfn.XLOOKUP(A47,[1]Artikeldaten!A:A,[1]Artikeldaten!D:D)</f>
        <v>319.89999999999998</v>
      </c>
      <c r="E47" s="3">
        <f t="shared" si="7"/>
        <v>268.8235294117647</v>
      </c>
      <c r="F47" s="3">
        <f>_xlfn.XLOOKUP(A47,'[1]Rechner Preisliste'!A:A,'[1]Rechner Preisliste'!E:E)</f>
        <v>170</v>
      </c>
      <c r="G47" s="3">
        <f t="shared" si="8"/>
        <v>98.823529411764696</v>
      </c>
      <c r="H47" s="33">
        <f t="shared" si="9"/>
        <v>0.36761487964989059</v>
      </c>
      <c r="I47" s="3">
        <v>160</v>
      </c>
    </row>
    <row r="48" spans="1:9" s="25" customFormat="1" ht="16.5" customHeight="1">
      <c r="A48" s="30">
        <v>24100328</v>
      </c>
      <c r="B48" s="31" t="str">
        <f>_xlfn.XLOOKUP(A48,[1]Artikeldaten!A:A,[1]Artikeldaten!B:B)</f>
        <v>Axkid Envirokid Forest</v>
      </c>
      <c r="C48" s="32">
        <v>7350057588512</v>
      </c>
      <c r="D48" s="3">
        <f>_xlfn.XLOOKUP(A48,[1]Artikeldaten!A:A,[1]Artikeldaten!D:D)</f>
        <v>319.89999999999998</v>
      </c>
      <c r="E48" s="3">
        <f t="shared" si="7"/>
        <v>268.8235294117647</v>
      </c>
      <c r="F48" s="3">
        <f>_xlfn.XLOOKUP(A48,'[1]Rechner Preisliste'!A:A,'[1]Rechner Preisliste'!E:E)</f>
        <v>170</v>
      </c>
      <c r="G48" s="3">
        <f t="shared" si="8"/>
        <v>98.823529411764696</v>
      </c>
      <c r="H48" s="33">
        <f t="shared" si="9"/>
        <v>0.36761487964989059</v>
      </c>
      <c r="I48" s="3">
        <v>160</v>
      </c>
    </row>
    <row r="49" spans="1:9" s="25" customFormat="1" ht="16.5" customHeight="1">
      <c r="A49" s="26" t="s">
        <v>22</v>
      </c>
      <c r="B49" s="27"/>
      <c r="C49" s="27"/>
      <c r="D49" s="28"/>
      <c r="E49" s="28"/>
      <c r="F49" s="28"/>
      <c r="G49" s="28"/>
      <c r="H49" s="29"/>
      <c r="I49" s="28"/>
    </row>
    <row r="50" spans="1:9" s="25" customFormat="1" ht="16.5" customHeight="1">
      <c r="A50" s="31">
        <v>21020003</v>
      </c>
      <c r="B50" s="31" t="str">
        <f>_xlfn.XLOOKUP(A50,[1]Artikeldaten!A:A,[1]Artikeldaten!B:B)</f>
        <v>Axkid Modukid Base Black</v>
      </c>
      <c r="C50" s="32">
        <f>_xlfn.XLOOKUP(A50,[1]Artikeldaten!A:A,[1]Artikeldaten!C:C)</f>
        <v>7350057582732</v>
      </c>
      <c r="D50" s="3">
        <f>_xlfn.XLOOKUP(A50,[1]Artikeldaten!A:A,[1]Artikeldaten!D:D)</f>
        <v>100</v>
      </c>
      <c r="E50" s="3">
        <f t="shared" si="0"/>
        <v>84.033613445378151</v>
      </c>
      <c r="F50" s="3">
        <f>_xlfn.XLOOKUP(A50,'[1]Rechner Preisliste'!A:A,'[1]Rechner Preisliste'!E:E)</f>
        <v>55</v>
      </c>
      <c r="G50" s="3">
        <f t="shared" si="1"/>
        <v>29.033613445378151</v>
      </c>
      <c r="H50" s="33">
        <f t="shared" si="2"/>
        <v>0.34549999999999997</v>
      </c>
      <c r="I50" s="3"/>
    </row>
    <row r="51" spans="1:9" s="25" customFormat="1" ht="16.5" hidden="1" customHeight="1">
      <c r="A51" s="26" t="s">
        <v>23</v>
      </c>
      <c r="B51" s="31" t="e">
        <f>_xlfn.XLOOKUP(A51,[1]Artikeldaten!A:A,[1]Artikeldaten!B:B)</f>
        <v>#N/A</v>
      </c>
      <c r="C51" s="32" t="e">
        <f>_xlfn.XLOOKUP(A51,[1]Artikeldaten!A:A,[1]Artikeldaten!C:C)</f>
        <v>#N/A</v>
      </c>
      <c r="D51" s="3" t="e">
        <f>_xlfn.XLOOKUP(A51,[1]Artikeldaten!A:A,[1]Artikeldaten!D:D)</f>
        <v>#N/A</v>
      </c>
      <c r="E51" s="3" t="e">
        <f t="shared" si="0"/>
        <v>#N/A</v>
      </c>
      <c r="F51" s="3">
        <f>_xlfn.XLOOKUP(A51,'[1]Rechner Preisliste'!A:A,'[1]Rechner Preisliste'!E:E)</f>
        <v>0</v>
      </c>
      <c r="G51" s="3" t="e">
        <f t="shared" si="1"/>
        <v>#N/A</v>
      </c>
      <c r="H51" s="33" t="e">
        <f t="shared" si="2"/>
        <v>#N/A</v>
      </c>
      <c r="I51" s="28"/>
    </row>
    <row r="52" spans="1:9" s="25" customFormat="1" ht="16.5" customHeight="1">
      <c r="A52" s="26" t="s">
        <v>24</v>
      </c>
      <c r="B52" s="27"/>
      <c r="C52" s="27"/>
      <c r="D52" s="28"/>
      <c r="E52" s="28"/>
      <c r="F52" s="28"/>
      <c r="G52" s="28"/>
      <c r="H52" s="29"/>
      <c r="I52" s="28"/>
    </row>
    <row r="53" spans="1:9" s="25" customFormat="1" ht="16.5" customHeight="1">
      <c r="A53" s="31">
        <v>24100017</v>
      </c>
      <c r="B53" s="31" t="str">
        <f>_xlfn.XLOOKUP(A53,[1]Artikeldaten!A:A,[1]Artikeldaten!B:B)</f>
        <v>Axkid Modukid Seat Granite</v>
      </c>
      <c r="C53" s="32">
        <f>_xlfn.XLOOKUP(A53,[1]Artikeldaten!A:A,[1]Artikeldaten!C:C)</f>
        <v>7350057584446</v>
      </c>
      <c r="D53" s="3">
        <f>_xlfn.XLOOKUP(A53,[1]Artikeldaten!A:A,[1]Artikeldaten!D:D)</f>
        <v>299.89999999999998</v>
      </c>
      <c r="E53" s="3">
        <f t="shared" si="0"/>
        <v>252.01680672268907</v>
      </c>
      <c r="F53" s="3">
        <f>_xlfn.XLOOKUP(A53,'[1]Rechner Preisliste'!A:A,'[1]Rechner Preisliste'!E:E)</f>
        <v>175</v>
      </c>
      <c r="G53" s="3">
        <f t="shared" si="1"/>
        <v>77.016806722689068</v>
      </c>
      <c r="H53" s="33">
        <f t="shared" si="2"/>
        <v>0.30560186728909633</v>
      </c>
      <c r="I53" s="3"/>
    </row>
    <row r="54" spans="1:9" s="25" customFormat="1" ht="16.5" customHeight="1">
      <c r="A54" s="31">
        <v>24100018</v>
      </c>
      <c r="B54" s="31" t="str">
        <f>_xlfn.XLOOKUP(A54,[1]Artikeldaten!A:A,[1]Artikeldaten!B:B)</f>
        <v>Axkid Modukid Seat Shellfish</v>
      </c>
      <c r="C54" s="32">
        <f>_xlfn.XLOOKUP(A54,[1]Artikeldaten!A:A,[1]Artikeldaten!C:C)</f>
        <v>7350057584453</v>
      </c>
      <c r="D54" s="3">
        <f>_xlfn.XLOOKUP(A54,[1]Artikeldaten!A:A,[1]Artikeldaten!D:D)</f>
        <v>299.89999999999998</v>
      </c>
      <c r="E54" s="3">
        <f t="shared" si="0"/>
        <v>252.01680672268907</v>
      </c>
      <c r="F54" s="3">
        <f>_xlfn.XLOOKUP(A54,'[1]Rechner Preisliste'!A:A,'[1]Rechner Preisliste'!E:E)</f>
        <v>175</v>
      </c>
      <c r="G54" s="3">
        <f t="shared" si="1"/>
        <v>77.016806722689068</v>
      </c>
      <c r="H54" s="33">
        <f t="shared" si="2"/>
        <v>0.30560186728909633</v>
      </c>
      <c r="I54" s="3"/>
    </row>
    <row r="55" spans="1:9" s="25" customFormat="1" ht="16.5" customHeight="1">
      <c r="A55" s="31">
        <v>24100019</v>
      </c>
      <c r="B55" s="31" t="str">
        <f>_xlfn.XLOOKUP(A55,[1]Artikeldaten!A:A,[1]Artikeldaten!B:B)</f>
        <v>Axkid Modukid Seat Sea</v>
      </c>
      <c r="C55" s="32">
        <f>_xlfn.XLOOKUP(A55,[1]Artikeldaten!A:A,[1]Artikeldaten!C:C)</f>
        <v>7350057584460</v>
      </c>
      <c r="D55" s="3">
        <f>_xlfn.XLOOKUP(A55,[1]Artikeldaten!A:A,[1]Artikeldaten!D:D)</f>
        <v>299.89999999999998</v>
      </c>
      <c r="E55" s="3">
        <f t="shared" si="0"/>
        <v>252.01680672268907</v>
      </c>
      <c r="F55" s="3">
        <f>_xlfn.XLOOKUP(A55,'[1]Rechner Preisliste'!A:A,'[1]Rechner Preisliste'!E:E)</f>
        <v>175</v>
      </c>
      <c r="G55" s="3">
        <f t="shared" si="1"/>
        <v>77.016806722689068</v>
      </c>
      <c r="H55" s="33">
        <f t="shared" si="2"/>
        <v>0.30560186728909633</v>
      </c>
      <c r="I55" s="3"/>
    </row>
    <row r="56" spans="1:9" s="25" customFormat="1" ht="16.5" customHeight="1">
      <c r="A56" s="30">
        <v>24100020</v>
      </c>
      <c r="B56" s="31" t="str">
        <f>_xlfn.XLOOKUP(A56,[1]Artikeldaten!A:A,[1]Artikeldaten!B:B)</f>
        <v>Axkid Modukid Seat Moss</v>
      </c>
      <c r="C56" s="32">
        <f>_xlfn.XLOOKUP(A56,[1]Artikeldaten!A:A,[1]Artikeldaten!C:C)</f>
        <v>7350057584477</v>
      </c>
      <c r="D56" s="3">
        <f>_xlfn.XLOOKUP(A56,[1]Artikeldaten!A:A,[1]Artikeldaten!D:D)</f>
        <v>299.89999999999998</v>
      </c>
      <c r="E56" s="3">
        <f t="shared" si="0"/>
        <v>252.01680672268907</v>
      </c>
      <c r="F56" s="3">
        <f>_xlfn.XLOOKUP(A56,'[1]Rechner Preisliste'!A:A,'[1]Rechner Preisliste'!E:E)</f>
        <v>175</v>
      </c>
      <c r="G56" s="3">
        <f t="shared" si="1"/>
        <v>77.016806722689068</v>
      </c>
      <c r="H56" s="33">
        <f t="shared" si="2"/>
        <v>0.30560186728909633</v>
      </c>
      <c r="I56" s="3"/>
    </row>
    <row r="57" spans="1:9" s="25" customFormat="1" ht="16.5" customHeight="1">
      <c r="A57" s="31">
        <v>24100021</v>
      </c>
      <c r="B57" s="31" t="str">
        <f>_xlfn.XLOOKUP(A57,[1]Artikeldaten!A:A,[1]Artikeldaten!B:B)</f>
        <v>Axkid Modukid Seat Premium Shell Black</v>
      </c>
      <c r="C57" s="32">
        <f>_xlfn.XLOOKUP(A57,[1]Artikeldaten!A:A,[1]Artikeldaten!C:C)</f>
        <v>7350057584484</v>
      </c>
      <c r="D57" s="3">
        <f>_xlfn.XLOOKUP(A57,[1]Artikeldaten!A:A,[1]Artikeldaten!D:D)</f>
        <v>299.89999999999998</v>
      </c>
      <c r="E57" s="3">
        <f t="shared" si="0"/>
        <v>252.01680672268907</v>
      </c>
      <c r="F57" s="3">
        <f>_xlfn.XLOOKUP(A57,'[1]Rechner Preisliste'!A:A,'[1]Rechner Preisliste'!E:E)</f>
        <v>175</v>
      </c>
      <c r="G57" s="3">
        <f t="shared" si="1"/>
        <v>77.016806722689068</v>
      </c>
      <c r="H57" s="33">
        <f t="shared" si="2"/>
        <v>0.30560186728909633</v>
      </c>
      <c r="I57" s="3"/>
    </row>
    <row r="58" spans="1:9" s="25" customFormat="1" ht="16.5" customHeight="1">
      <c r="A58" s="31">
        <v>24100022</v>
      </c>
      <c r="B58" s="31" t="str">
        <f>_xlfn.XLOOKUP(A58,[1]Artikeldaten!A:A,[1]Artikeldaten!B:B)</f>
        <v>Axkid Modukid Seat Premium Granite Melange</v>
      </c>
      <c r="C58" s="32">
        <f>_xlfn.XLOOKUP(A58,[1]Artikeldaten!A:A,[1]Artikeldaten!C:C)</f>
        <v>7350057584491</v>
      </c>
      <c r="D58" s="3">
        <f>_xlfn.XLOOKUP(A58,[1]Artikeldaten!A:A,[1]Artikeldaten!D:D)</f>
        <v>299.89999999999998</v>
      </c>
      <c r="E58" s="3">
        <f t="shared" si="0"/>
        <v>252.01680672268907</v>
      </c>
      <c r="F58" s="3">
        <f>_xlfn.XLOOKUP(A58,'[1]Rechner Preisliste'!A:A,'[1]Rechner Preisliste'!E:E)</f>
        <v>175</v>
      </c>
      <c r="G58" s="3">
        <f t="shared" si="1"/>
        <v>77.016806722689068</v>
      </c>
      <c r="H58" s="33">
        <f t="shared" si="2"/>
        <v>0.30560186728909633</v>
      </c>
      <c r="I58" s="3"/>
    </row>
    <row r="59" spans="1:9" s="25" customFormat="1" ht="16.5" customHeight="1">
      <c r="A59" s="31">
        <v>24100023</v>
      </c>
      <c r="B59" s="31" t="str">
        <f>_xlfn.XLOOKUP(A59,[1]Artikeldaten!A:A,[1]Artikeldaten!B:B)</f>
        <v>Axkid Modukid Seat Premium Sky Grey</v>
      </c>
      <c r="C59" s="32">
        <f>_xlfn.XLOOKUP(A59,[1]Artikeldaten!A:A,[1]Artikeldaten!C:C)</f>
        <v>7350057584507</v>
      </c>
      <c r="D59" s="3">
        <f>_xlfn.XLOOKUP(A59,[1]Artikeldaten!A:A,[1]Artikeldaten!D:D)</f>
        <v>299.89999999999998</v>
      </c>
      <c r="E59" s="3">
        <f t="shared" si="0"/>
        <v>252.01680672268907</v>
      </c>
      <c r="F59" s="3">
        <f>_xlfn.XLOOKUP(A59,'[1]Rechner Preisliste'!A:A,'[1]Rechner Preisliste'!E:E)</f>
        <v>175</v>
      </c>
      <c r="G59" s="3">
        <f t="shared" si="1"/>
        <v>77.016806722689068</v>
      </c>
      <c r="H59" s="33">
        <f t="shared" si="2"/>
        <v>0.30560186728909633</v>
      </c>
      <c r="I59" s="3"/>
    </row>
    <row r="60" spans="1:9" s="25" customFormat="1" ht="16.5" customHeight="1">
      <c r="A60" s="26" t="s">
        <v>25</v>
      </c>
      <c r="B60" s="27"/>
      <c r="C60" s="27"/>
      <c r="D60" s="28"/>
      <c r="E60" s="28"/>
      <c r="F60" s="28"/>
      <c r="G60" s="28"/>
      <c r="H60" s="29"/>
      <c r="I60" s="28"/>
    </row>
    <row r="61" spans="1:9" s="25" customFormat="1" ht="16.5" customHeight="1">
      <c r="A61" s="31">
        <v>31000016</v>
      </c>
      <c r="B61" s="31" t="str">
        <f>_xlfn.XLOOKUP(A61,[1]Artikeldaten!A:A,[1]Artikeldaten!B:B)</f>
        <v>Axkid Grand Tour Black</v>
      </c>
      <c r="C61" s="32">
        <f>_xlfn.XLOOKUP(A61,[1]Artikeldaten!A:A,[1]Artikeldaten!C:C)</f>
        <v>7350057589977</v>
      </c>
      <c r="D61" s="3">
        <f>_xlfn.XLOOKUP(A61,[1]Artikeldaten!A:A,[1]Artikeldaten!D:D)</f>
        <v>849.9</v>
      </c>
      <c r="E61" s="3">
        <f t="shared" si="0"/>
        <v>714.20168067226894</v>
      </c>
      <c r="F61" s="3">
        <f>_xlfn.XLOOKUP(A61,'[1]Rechner Preisliste'!A:A,'[1]Rechner Preisliste'!E:E)</f>
        <v>440</v>
      </c>
      <c r="G61" s="3">
        <f t="shared" si="1"/>
        <v>274.20168067226894</v>
      </c>
      <c r="H61" s="33">
        <f t="shared" si="2"/>
        <v>0.38392752088481003</v>
      </c>
      <c r="I61" s="3"/>
    </row>
    <row r="62" spans="1:9" s="25" customFormat="1" ht="16.5" customHeight="1">
      <c r="A62" s="31">
        <v>801114</v>
      </c>
      <c r="B62" s="31" t="str">
        <f>_xlfn.XLOOKUP(A62,[1]Artikeldaten!A:A,[1]Artikeldaten!B:B)</f>
        <v xml:space="preserve">Axkid Jogging-Rad - Grand Tour </v>
      </c>
      <c r="C62" s="32">
        <f>_xlfn.XLOOKUP(A62,[1]Artikeldaten!A:A,[1]Artikeldaten!C:C)</f>
        <v>7350150970009</v>
      </c>
      <c r="D62" s="3">
        <f>_xlfn.XLOOKUP(A62,[1]Artikeldaten!A:A,[1]Artikeldaten!D:D)</f>
        <v>99.9</v>
      </c>
      <c r="E62" s="3">
        <f t="shared" si="0"/>
        <v>83.94957983193278</v>
      </c>
      <c r="F62" s="3">
        <f>_xlfn.XLOOKUP(A62,'[1]Rechner Preisliste'!A:A,'[1]Rechner Preisliste'!E:E)</f>
        <v>50</v>
      </c>
      <c r="G62" s="3">
        <f t="shared" si="1"/>
        <v>33.94957983193278</v>
      </c>
      <c r="H62" s="33">
        <f t="shared" si="2"/>
        <v>0.40440440440440445</v>
      </c>
      <c r="I62" s="3"/>
    </row>
    <row r="63" spans="1:9" s="25" customFormat="1" ht="16.5" customHeight="1">
      <c r="A63" s="31">
        <v>801214</v>
      </c>
      <c r="B63" s="31" t="str">
        <f>_xlfn.XLOOKUP(A63,[1]Artikeldaten!A:A,[1]Artikeldaten!B:B)</f>
        <v>Axkid Regenschutz - Grand Tour</v>
      </c>
      <c r="C63" s="32">
        <f>_xlfn.XLOOKUP(A63,[1]Artikeldaten!A:A,[1]Artikeldaten!C:C)</f>
        <v>7350150970016</v>
      </c>
      <c r="D63" s="3">
        <f>_xlfn.XLOOKUP(A63,[1]Artikeldaten!A:A,[1]Artikeldaten!D:D)</f>
        <v>49.9</v>
      </c>
      <c r="E63" s="3">
        <f t="shared" si="0"/>
        <v>41.932773109243698</v>
      </c>
      <c r="F63" s="3">
        <f>_xlfn.XLOOKUP(A63,'[1]Rechner Preisliste'!A:A,'[1]Rechner Preisliste'!E:E)</f>
        <v>25</v>
      </c>
      <c r="G63" s="3">
        <f t="shared" si="1"/>
        <v>16.932773109243698</v>
      </c>
      <c r="H63" s="33">
        <f t="shared" si="2"/>
        <v>0.40380761523046094</v>
      </c>
      <c r="I63" s="3"/>
    </row>
    <row r="64" spans="1:9" s="25" customFormat="1" ht="16.5" customHeight="1">
      <c r="A64" s="31">
        <v>801314</v>
      </c>
      <c r="B64" s="31" t="str">
        <f>_xlfn.XLOOKUP(A64,[1]Artikeldaten!A:A,[1]Artikeldaten!B:B)</f>
        <v>Axkid Aufbewahrungshülle - Grand Tour</v>
      </c>
      <c r="C64" s="32">
        <f>_xlfn.XLOOKUP(A64,[1]Artikeldaten!A:A,[1]Artikeldaten!C:C)</f>
        <v>7350150970177</v>
      </c>
      <c r="D64" s="3">
        <f>_xlfn.XLOOKUP(A64,[1]Artikeldaten!A:A,[1]Artikeldaten!D:D)</f>
        <v>29.9</v>
      </c>
      <c r="E64" s="3">
        <f t="shared" si="0"/>
        <v>25.126050420168067</v>
      </c>
      <c r="F64" s="3">
        <f>_xlfn.XLOOKUP(A64,'[1]Rechner Preisliste'!A:A,'[1]Rechner Preisliste'!E:E)</f>
        <v>15</v>
      </c>
      <c r="G64" s="3">
        <f t="shared" si="1"/>
        <v>10.126050420168067</v>
      </c>
      <c r="H64" s="33">
        <f t="shared" si="2"/>
        <v>0.40301003344481606</v>
      </c>
      <c r="I64" s="3"/>
    </row>
    <row r="65" spans="1:9" s="25" customFormat="1" ht="16.5" customHeight="1">
      <c r="A65" s="31">
        <v>801515</v>
      </c>
      <c r="B65" s="31" t="str">
        <f>_xlfn.XLOOKUP(A65,[1]Artikeldaten!A:A,[1]Artikeldaten!B:B)</f>
        <v>Axkid Getränkehalter - Grand Tour</v>
      </c>
      <c r="C65" s="32">
        <f>_xlfn.XLOOKUP(A65,[1]Artikeldaten!A:A,[1]Artikeldaten!C:C)</f>
        <v>7350150970191</v>
      </c>
      <c r="D65" s="3">
        <f>_xlfn.XLOOKUP(A65,[1]Artikeldaten!A:A,[1]Artikeldaten!D:D)</f>
        <v>29.9</v>
      </c>
      <c r="E65" s="3">
        <f t="shared" si="0"/>
        <v>25.126050420168067</v>
      </c>
      <c r="F65" s="3">
        <f>_xlfn.XLOOKUP(A65,'[1]Rechner Preisliste'!A:A,'[1]Rechner Preisliste'!E:E)</f>
        <v>15</v>
      </c>
      <c r="G65" s="3">
        <f t="shared" si="1"/>
        <v>10.126050420168067</v>
      </c>
      <c r="H65" s="33">
        <f t="shared" si="2"/>
        <v>0.40301003344481606</v>
      </c>
      <c r="I65" s="3"/>
    </row>
    <row r="66" spans="1:9" s="25" customFormat="1" ht="16.5" hidden="1" customHeight="1">
      <c r="A66" s="31">
        <v>801414</v>
      </c>
      <c r="B66" s="31" t="str">
        <f>_xlfn.XLOOKUP(A66,[1]Artikeldaten!A:A,[1]Artikeldaten!B:B)</f>
        <v>Axkid Kleinkindeinlage - Grand Tour</v>
      </c>
      <c r="C66" s="32">
        <f>_xlfn.XLOOKUP(A66,[1]Artikeldaten!A:A,[1]Artikeldaten!C:C)</f>
        <v>7350150970184</v>
      </c>
      <c r="D66" s="3">
        <f>_xlfn.XLOOKUP(A66,[1]Artikeldaten!A:A,[1]Artikeldaten!D:D)</f>
        <v>29.9</v>
      </c>
      <c r="E66" s="3">
        <f t="shared" si="0"/>
        <v>25.126050420168067</v>
      </c>
      <c r="F66" s="3">
        <f>_xlfn.XLOOKUP(A66,'[1]Rechner Preisliste'!A:A,'[1]Rechner Preisliste'!E:E)</f>
        <v>15</v>
      </c>
      <c r="G66" s="3">
        <f t="shared" si="1"/>
        <v>10.126050420168067</v>
      </c>
      <c r="H66" s="33">
        <f t="shared" si="2"/>
        <v>0.40301003344481606</v>
      </c>
      <c r="I66" s="3"/>
    </row>
    <row r="67" spans="1:9" s="25" customFormat="1" ht="16.5" customHeight="1">
      <c r="A67" s="26" t="s">
        <v>26</v>
      </c>
      <c r="B67" s="27"/>
      <c r="C67" s="27"/>
      <c r="D67" s="28"/>
      <c r="E67" s="28"/>
      <c r="F67" s="28"/>
      <c r="G67" s="28"/>
      <c r="H67" s="29"/>
      <c r="I67" s="28" t="s">
        <v>27</v>
      </c>
    </row>
    <row r="68" spans="1:9" s="25" customFormat="1" ht="16.5" customHeight="1">
      <c r="A68" s="31">
        <v>805006</v>
      </c>
      <c r="B68" s="31" t="str">
        <f>_xlfn.XLOOKUP(A68,[1]Artikeldaten!A:A,[1]Artikeldaten!B:B)</f>
        <v>Axkid Schonbezug - Minikid 2</v>
      </c>
      <c r="C68" s="32">
        <f>_xlfn.XLOOKUP(A68,[1]Artikeldaten!A:A,[1]Artikeldaten!C:C)</f>
        <v>7350057584798</v>
      </c>
      <c r="D68" s="3">
        <f>_xlfn.XLOOKUP(A68,[1]Artikeldaten!A:A,[1]Artikeldaten!D:D)</f>
        <v>59.9</v>
      </c>
      <c r="E68" s="3">
        <f t="shared" si="0"/>
        <v>50.336134453781511</v>
      </c>
      <c r="F68" s="3">
        <f>_xlfn.XLOOKUP(A68,'[1]Rechner Preisliste'!A:A,'[1]Rechner Preisliste'!E:E)</f>
        <v>30</v>
      </c>
      <c r="G68" s="3">
        <f t="shared" si="1"/>
        <v>20.336134453781511</v>
      </c>
      <c r="H68" s="33">
        <f t="shared" si="2"/>
        <v>0.40400667779632721</v>
      </c>
      <c r="I68" s="34" t="s">
        <v>28</v>
      </c>
    </row>
    <row r="69" spans="1:9" s="25" customFormat="1" ht="16.5" customHeight="1">
      <c r="A69" s="31">
        <v>805007</v>
      </c>
      <c r="B69" s="31" t="str">
        <f>_xlfn.XLOOKUP(A69,[1]Artikeldaten!A:A,[1]Artikeldaten!B:B)</f>
        <v>Axkid Schonbezug - Axkid ONE &amp; 2</v>
      </c>
      <c r="C69" s="32">
        <f>_xlfn.XLOOKUP(A69,[1]Artikeldaten!A:A,[1]Artikeldaten!C:C)</f>
        <v>7350057587843</v>
      </c>
      <c r="D69" s="3">
        <f>_xlfn.XLOOKUP(A69,[1]Artikeldaten!A:A,[1]Artikeldaten!D:D)</f>
        <v>59.9</v>
      </c>
      <c r="E69" s="3">
        <f t="shared" si="0"/>
        <v>50.336134453781511</v>
      </c>
      <c r="F69" s="3">
        <f>_xlfn.XLOOKUP(A69,'[1]Rechner Preisliste'!A:A,'[1]Rechner Preisliste'!E:E)</f>
        <v>30</v>
      </c>
      <c r="G69" s="3">
        <f t="shared" si="1"/>
        <v>20.336134453781511</v>
      </c>
      <c r="H69" s="33">
        <f t="shared" si="2"/>
        <v>0.40400667779632721</v>
      </c>
      <c r="I69" s="34" t="s">
        <v>28</v>
      </c>
    </row>
    <row r="70" spans="1:9" s="25" customFormat="1" ht="16.5" customHeight="1">
      <c r="A70" s="31">
        <v>805008</v>
      </c>
      <c r="B70" s="31" t="str">
        <f>_xlfn.XLOOKUP(A70,[1]Artikeldaten!A:A,[1]Artikeldaten!B:B)</f>
        <v>Axkid Schonbezug - Folgesitz</v>
      </c>
      <c r="C70" s="32">
        <f>_xlfn.XLOOKUP(A70,[1]Artikeldaten!A:A,[1]Artikeldaten!C:C)</f>
        <v>7350057587850</v>
      </c>
      <c r="D70" s="3">
        <f>_xlfn.XLOOKUP(A70,[1]Artikeldaten!A:A,[1]Artikeldaten!D:D)</f>
        <v>59.9</v>
      </c>
      <c r="E70" s="3">
        <f t="shared" si="0"/>
        <v>50.336134453781511</v>
      </c>
      <c r="F70" s="3">
        <f>_xlfn.XLOOKUP(A70,'[1]Rechner Preisliste'!A:A,'[1]Rechner Preisliste'!E:E)</f>
        <v>30</v>
      </c>
      <c r="G70" s="3">
        <f t="shared" si="1"/>
        <v>20.336134453781511</v>
      </c>
      <c r="H70" s="33">
        <f t="shared" si="2"/>
        <v>0.40400667779632721</v>
      </c>
      <c r="I70" s="34" t="s">
        <v>28</v>
      </c>
    </row>
    <row r="71" spans="1:9" s="25" customFormat="1" ht="16.5" customHeight="1">
      <c r="A71" s="31">
        <v>805009</v>
      </c>
      <c r="B71" s="31" t="str">
        <f>_xlfn.XLOOKUP(A71,[1]Artikeldaten!A:A,[1]Artikeldaten!B:B)</f>
        <v>Axkid Schonbezug - Minikid 3 &amp; 4</v>
      </c>
      <c r="C71" s="32">
        <f>_xlfn.XLOOKUP(A71,[1]Artikeldaten!A:A,[1]Artikeldaten!C:C)</f>
        <v>7350057588543</v>
      </c>
      <c r="D71" s="3">
        <f>_xlfn.XLOOKUP(A71,[1]Artikeldaten!A:A,[1]Artikeldaten!D:D)</f>
        <v>59.9</v>
      </c>
      <c r="E71" s="3">
        <f t="shared" si="0"/>
        <v>50.336134453781511</v>
      </c>
      <c r="F71" s="3">
        <f>_xlfn.XLOOKUP(A71,'[1]Rechner Preisliste'!A:A,'[1]Rechner Preisliste'!E:E)</f>
        <v>30</v>
      </c>
      <c r="G71" s="3">
        <f t="shared" si="1"/>
        <v>20.336134453781511</v>
      </c>
      <c r="H71" s="33">
        <f t="shared" si="2"/>
        <v>0.40400667779632721</v>
      </c>
      <c r="I71" s="34" t="s">
        <v>28</v>
      </c>
    </row>
    <row r="72" spans="1:9" s="25" customFormat="1" ht="16.5" customHeight="1">
      <c r="A72" s="31">
        <v>805016</v>
      </c>
      <c r="B72" s="31" t="str">
        <f>_xlfn.XLOOKUP(A72,[1]Artikeldaten!A:A,[1]Artikeldaten!B:B)</f>
        <v>Axkid x Geggamoja Schonbezug Wildlife - Minikid 2</v>
      </c>
      <c r="C72" s="32">
        <f>_xlfn.XLOOKUP(A72,[1]Artikeldaten!A:A,[1]Artikeldaten!C:C)</f>
        <v>7350057589274</v>
      </c>
      <c r="D72" s="3">
        <f>_xlfn.XLOOKUP(A72,[1]Artikeldaten!A:A,[1]Artikeldaten!D:D)</f>
        <v>69.900000000000006</v>
      </c>
      <c r="E72" s="3">
        <f t="shared" si="0"/>
        <v>58.739495798319332</v>
      </c>
      <c r="F72" s="3">
        <f>_xlfn.XLOOKUP(A72,'[1]Rechner Preisliste'!A:A,'[1]Rechner Preisliste'!E:E)</f>
        <v>37</v>
      </c>
      <c r="G72" s="3">
        <f t="shared" si="1"/>
        <v>21.739495798319332</v>
      </c>
      <c r="H72" s="33">
        <f t="shared" si="2"/>
        <v>0.37010014306151651</v>
      </c>
      <c r="I72" s="34" t="s">
        <v>28</v>
      </c>
    </row>
    <row r="73" spans="1:9" s="25" customFormat="1" ht="16.5" customHeight="1">
      <c r="A73" s="31">
        <v>805017</v>
      </c>
      <c r="B73" s="31" t="str">
        <f>_xlfn.XLOOKUP(A73,[1]Artikeldaten!A:A,[1]Artikeldaten!B:B)</f>
        <v>Axkid x Geggamoja Schonbezug Wildlife - Axkid ONE &amp; 2</v>
      </c>
      <c r="C73" s="32">
        <f>_xlfn.XLOOKUP(A73,[1]Artikeldaten!A:A,[1]Artikeldaten!C:C)</f>
        <v>7350057589298</v>
      </c>
      <c r="D73" s="3">
        <f>_xlfn.XLOOKUP(A73,[1]Artikeldaten!A:A,[1]Artikeldaten!D:D)</f>
        <v>69.900000000000006</v>
      </c>
      <c r="E73" s="3">
        <f t="shared" si="0"/>
        <v>58.739495798319332</v>
      </c>
      <c r="F73" s="3">
        <f>_xlfn.XLOOKUP(A73,'[1]Rechner Preisliste'!A:A,'[1]Rechner Preisliste'!E:E)</f>
        <v>37</v>
      </c>
      <c r="G73" s="3">
        <f t="shared" si="1"/>
        <v>21.739495798319332</v>
      </c>
      <c r="H73" s="33">
        <f t="shared" si="2"/>
        <v>0.37010014306151651</v>
      </c>
      <c r="I73" s="34" t="s">
        <v>28</v>
      </c>
    </row>
    <row r="74" spans="1:9" s="25" customFormat="1" ht="16.5" customHeight="1">
      <c r="A74" s="31">
        <v>805019</v>
      </c>
      <c r="B74" s="31" t="str">
        <f>_xlfn.XLOOKUP(A74,[1]Artikeldaten!A:A,[1]Artikeldaten!B:B)</f>
        <v>Axkid x Geggamoja Schonbezug Wildlife - Minikid 3 &amp; 4</v>
      </c>
      <c r="C74" s="32">
        <f>_xlfn.XLOOKUP(A74,[1]Artikeldaten!A:A,[1]Artikeldaten!C:C)</f>
        <v>7350057589311</v>
      </c>
      <c r="D74" s="3">
        <f>_xlfn.XLOOKUP(A74,[1]Artikeldaten!A:A,[1]Artikeldaten!D:D)</f>
        <v>69.900000000000006</v>
      </c>
      <c r="E74" s="3">
        <f t="shared" si="0"/>
        <v>58.739495798319332</v>
      </c>
      <c r="F74" s="3">
        <f>_xlfn.XLOOKUP(A74,'[1]Rechner Preisliste'!A:A,'[1]Rechner Preisliste'!E:E)</f>
        <v>37</v>
      </c>
      <c r="G74" s="3">
        <f t="shared" si="1"/>
        <v>21.739495798319332</v>
      </c>
      <c r="H74" s="33">
        <f t="shared" si="2"/>
        <v>0.37010014306151651</v>
      </c>
      <c r="I74" s="34" t="s">
        <v>28</v>
      </c>
    </row>
    <row r="75" spans="1:9" s="25" customFormat="1" ht="16.5" customHeight="1">
      <c r="A75" s="31">
        <v>805026</v>
      </c>
      <c r="B75" s="31" t="str">
        <f>_xlfn.XLOOKUP(A75,[1]Artikeldaten!A:A,[1]Artikeldaten!B:B)</f>
        <v>Axkid x Geggamoja Schonbezug Dreamer - Minikid 2</v>
      </c>
      <c r="C75" s="32">
        <f>_xlfn.XLOOKUP(A75,[1]Artikeldaten!A:A,[1]Artikeldaten!C:C)</f>
        <v>7350057589281</v>
      </c>
      <c r="D75" s="3">
        <f>_xlfn.XLOOKUP(A75,[1]Artikeldaten!A:A,[1]Artikeldaten!D:D)</f>
        <v>69.900000000000006</v>
      </c>
      <c r="E75" s="3">
        <f t="shared" si="0"/>
        <v>58.739495798319332</v>
      </c>
      <c r="F75" s="3">
        <f>_xlfn.XLOOKUP(A75,'[1]Rechner Preisliste'!A:A,'[1]Rechner Preisliste'!E:E)</f>
        <v>37</v>
      </c>
      <c r="G75" s="3">
        <f t="shared" si="1"/>
        <v>21.739495798319332</v>
      </c>
      <c r="H75" s="33">
        <f t="shared" si="2"/>
        <v>0.37010014306151651</v>
      </c>
      <c r="I75" s="34" t="s">
        <v>28</v>
      </c>
    </row>
    <row r="76" spans="1:9" s="25" customFormat="1" ht="16.5" customHeight="1">
      <c r="A76" s="31">
        <v>805027</v>
      </c>
      <c r="B76" s="31" t="str">
        <f>_xlfn.XLOOKUP(A76,[1]Artikeldaten!A:A,[1]Artikeldaten!B:B)</f>
        <v>Axkid x Geggamoja Schonbezug Dreamer - Axkid ONE &amp; 2</v>
      </c>
      <c r="C76" s="32">
        <f>_xlfn.XLOOKUP(A76,[1]Artikeldaten!A:A,[1]Artikeldaten!C:C)</f>
        <v>7350057589304</v>
      </c>
      <c r="D76" s="3">
        <f>_xlfn.XLOOKUP(A76,[1]Artikeldaten!A:A,[1]Artikeldaten!D:D)</f>
        <v>69.900000000000006</v>
      </c>
      <c r="E76" s="3">
        <f t="shared" si="0"/>
        <v>58.739495798319332</v>
      </c>
      <c r="F76" s="3">
        <f>_xlfn.XLOOKUP(A76,'[1]Rechner Preisliste'!A:A,'[1]Rechner Preisliste'!E:E)</f>
        <v>37</v>
      </c>
      <c r="G76" s="3">
        <f t="shared" si="1"/>
        <v>21.739495798319332</v>
      </c>
      <c r="H76" s="33">
        <f t="shared" si="2"/>
        <v>0.37010014306151651</v>
      </c>
      <c r="I76" s="34" t="s">
        <v>28</v>
      </c>
    </row>
    <row r="77" spans="1:9" s="25" customFormat="1" ht="16.5" customHeight="1">
      <c r="A77" s="31">
        <v>805029</v>
      </c>
      <c r="B77" s="31" t="str">
        <f>_xlfn.XLOOKUP(A77,[1]Artikeldaten!A:A,[1]Artikeldaten!B:B)</f>
        <v>Axkid x Geggamoja Schonbezug Dreamer - Minikid 3 &amp; 4</v>
      </c>
      <c r="C77" s="32">
        <f>_xlfn.XLOOKUP(A77,[1]Artikeldaten!A:A,[1]Artikeldaten!C:C)</f>
        <v>7350057589328</v>
      </c>
      <c r="D77" s="3">
        <f>_xlfn.XLOOKUP(A77,[1]Artikeldaten!A:A,[1]Artikeldaten!D:D)</f>
        <v>69.900000000000006</v>
      </c>
      <c r="E77" s="3">
        <f t="shared" si="0"/>
        <v>58.739495798319332</v>
      </c>
      <c r="F77" s="3">
        <f>_xlfn.XLOOKUP(A77,'[1]Rechner Preisliste'!A:A,'[1]Rechner Preisliste'!E:E)</f>
        <v>37</v>
      </c>
      <c r="G77" s="3">
        <f t="shared" si="1"/>
        <v>21.739495798319332</v>
      </c>
      <c r="H77" s="33">
        <f t="shared" si="2"/>
        <v>0.37010014306151651</v>
      </c>
      <c r="I77" s="34" t="s">
        <v>28</v>
      </c>
    </row>
    <row r="78" spans="1:9" s="25" customFormat="1" ht="16.5" customHeight="1">
      <c r="A78" s="31">
        <v>801803</v>
      </c>
      <c r="B78" s="31" t="str">
        <f>_xlfn.XLOOKUP(A78,[1]Artikeldaten!A:A,[1]Artikeldaten!B:B)</f>
        <v>Axkid Sitzverkleinerer Premium</v>
      </c>
      <c r="C78" s="32">
        <f>_xlfn.XLOOKUP(A78,[1]Artikeldaten!A:A,[1]Artikeldaten!C:C)</f>
        <v>7350057582008</v>
      </c>
      <c r="D78" s="3">
        <f>_xlfn.XLOOKUP(A78,[1]Artikeldaten!A:A,[1]Artikeldaten!D:D)</f>
        <v>24.9</v>
      </c>
      <c r="E78" s="3">
        <f t="shared" si="0"/>
        <v>20.92436974789916</v>
      </c>
      <c r="F78" s="3">
        <v>12</v>
      </c>
      <c r="G78" s="3">
        <f t="shared" si="1"/>
        <v>8.9243697478991599</v>
      </c>
      <c r="H78" s="33">
        <f t="shared" si="2"/>
        <v>0.42650602409638555</v>
      </c>
      <c r="I78" s="34" t="s">
        <v>28</v>
      </c>
    </row>
    <row r="79" spans="1:9" s="25" customFormat="1" ht="16.5" customHeight="1">
      <c r="A79" s="31">
        <v>800803</v>
      </c>
      <c r="B79" s="31" t="str">
        <f>_xlfn.XLOOKUP(A79,[1]Artikeldaten!A:A,[1]Artikeldaten!B:B)</f>
        <v>Axkid Sitzverkleinerer</v>
      </c>
      <c r="C79" s="32">
        <f>_xlfn.XLOOKUP(A79,[1]Artikeldaten!A:A,[1]Artikeldaten!C:C)</f>
        <v>7350057580257</v>
      </c>
      <c r="D79" s="3">
        <f>_xlfn.XLOOKUP(A79,[1]Artikeldaten!A:A,[1]Artikeldaten!D:D)</f>
        <v>19.899999999999999</v>
      </c>
      <c r="E79" s="3">
        <f t="shared" si="0"/>
        <v>16.722689075630253</v>
      </c>
      <c r="F79" s="3">
        <f>_xlfn.XLOOKUP(A79,'[1]Rechner Preisliste'!A:A,'[1]Rechner Preisliste'!E:E)</f>
        <v>10</v>
      </c>
      <c r="G79" s="3">
        <f t="shared" si="1"/>
        <v>6.7226890756302531</v>
      </c>
      <c r="H79" s="33">
        <f t="shared" si="2"/>
        <v>0.4020100502512563</v>
      </c>
      <c r="I79" s="34" t="s">
        <v>28</v>
      </c>
    </row>
    <row r="80" spans="1:9" s="25" customFormat="1" ht="16.5" customHeight="1">
      <c r="A80" s="31">
        <v>803803</v>
      </c>
      <c r="B80" s="31" t="str">
        <f>_xlfn.XLOOKUP(A80,[1]Artikeldaten!A:A,[1]Artikeldaten!B:B)</f>
        <v xml:space="preserve">Axkid Sitzschutz Premium    </v>
      </c>
      <c r="C80" s="32">
        <f>_xlfn.XLOOKUP(A80,[1]Artikeldaten!A:A,[1]Artikeldaten!C:C)</f>
        <v>7350057582008</v>
      </c>
      <c r="D80" s="3">
        <f>_xlfn.XLOOKUP(A80,[1]Artikeldaten!A:A,[1]Artikeldaten!D:D)</f>
        <v>64.900000000000006</v>
      </c>
      <c r="E80" s="3">
        <f t="shared" ref="E80:E97" si="10">D80/1.19</f>
        <v>54.537815126050425</v>
      </c>
      <c r="F80" s="3">
        <f>_xlfn.XLOOKUP(A80,'[1]Rechner Preisliste'!A:A,'[1]Rechner Preisliste'!E:E)</f>
        <v>30</v>
      </c>
      <c r="G80" s="3">
        <f t="shared" ref="G80:G97" si="11">E80-F80</f>
        <v>24.537815126050425</v>
      </c>
      <c r="H80" s="33">
        <f t="shared" ref="H80:H97" si="12">G80/E80</f>
        <v>0.44992295839753471</v>
      </c>
      <c r="I80" s="34" t="s">
        <v>28</v>
      </c>
    </row>
    <row r="81" spans="1:9" s="25" customFormat="1" ht="16.5" customHeight="1">
      <c r="A81" s="31">
        <v>800003</v>
      </c>
      <c r="B81" s="31" t="str">
        <f>_xlfn.XLOOKUP(A81,[1]Artikeldaten!A:A,[1]Artikeldaten!B:B)</f>
        <v xml:space="preserve">Axkid Sitzschutz    </v>
      </c>
      <c r="C81" s="32">
        <f>_xlfn.XLOOKUP(A81,[1]Artikeldaten!A:A,[1]Artikeldaten!C:C)</f>
        <v>7350057580172</v>
      </c>
      <c r="D81" s="3">
        <f>_xlfn.XLOOKUP(A81,[1]Artikeldaten!A:A,[1]Artikeldaten!D:D)</f>
        <v>29.9</v>
      </c>
      <c r="E81" s="3">
        <f t="shared" si="10"/>
        <v>25.126050420168067</v>
      </c>
      <c r="F81" s="3">
        <f>_xlfn.XLOOKUP(A81,'[1]Rechner Preisliste'!A:A,'[1]Rechner Preisliste'!E:E)</f>
        <v>15</v>
      </c>
      <c r="G81" s="3">
        <f t="shared" si="11"/>
        <v>10.126050420168067</v>
      </c>
      <c r="H81" s="33">
        <f t="shared" si="12"/>
        <v>0.40301003344481606</v>
      </c>
      <c r="I81" s="34" t="s">
        <v>28</v>
      </c>
    </row>
    <row r="82" spans="1:9" s="25" customFormat="1" ht="16.5" customHeight="1">
      <c r="A82" s="31">
        <v>804003</v>
      </c>
      <c r="B82" s="31" t="str">
        <f>_xlfn.XLOOKUP(A82,[1]Artikeldaten!A:A,[1]Artikeldaten!B:B)</f>
        <v xml:space="preserve">Axkid Halter für Ipad             </v>
      </c>
      <c r="C82" s="32">
        <f>_xlfn.XLOOKUP(A82,[1]Artikeldaten!A:A,[1]Artikeldaten!C:C)</f>
        <v>7350057582022</v>
      </c>
      <c r="D82" s="3">
        <f>_xlfn.XLOOKUP(A82,[1]Artikeldaten!A:A,[1]Artikeldaten!D:D)</f>
        <v>19.899999999999999</v>
      </c>
      <c r="E82" s="3">
        <f t="shared" si="10"/>
        <v>16.722689075630253</v>
      </c>
      <c r="F82" s="3">
        <f>_xlfn.XLOOKUP(A82,'[1]Rechner Preisliste'!A:A,'[1]Rechner Preisliste'!E:E)</f>
        <v>11</v>
      </c>
      <c r="G82" s="3">
        <f t="shared" si="11"/>
        <v>5.7226890756302531</v>
      </c>
      <c r="H82" s="33">
        <f t="shared" si="12"/>
        <v>0.34221105527638196</v>
      </c>
      <c r="I82" s="34" t="s">
        <v>28</v>
      </c>
    </row>
    <row r="83" spans="1:9" s="25" customFormat="1" ht="16.5" customHeight="1">
      <c r="A83" s="31">
        <v>804103</v>
      </c>
      <c r="B83" s="31" t="str">
        <f>_xlfn.XLOOKUP(A83,[1]Artikeldaten!A:A,[1]Artikeldaten!B:B)</f>
        <v xml:space="preserve">Axkid Rücksitzorganizer        </v>
      </c>
      <c r="C83" s="32">
        <f>_xlfn.XLOOKUP(A83,[1]Artikeldaten!A:A,[1]Artikeldaten!C:C)</f>
        <v>7350057582039</v>
      </c>
      <c r="D83" s="3">
        <f>_xlfn.XLOOKUP(A83,[1]Artikeldaten!A:A,[1]Artikeldaten!D:D)</f>
        <v>19.95</v>
      </c>
      <c r="E83" s="3">
        <f t="shared" si="10"/>
        <v>16.764705882352942</v>
      </c>
      <c r="F83" s="3">
        <f>_xlfn.XLOOKUP(A83,'[1]Rechner Preisliste'!A:A,'[1]Rechner Preisliste'!E:E)</f>
        <v>15</v>
      </c>
      <c r="G83" s="3">
        <f t="shared" si="11"/>
        <v>1.764705882352942</v>
      </c>
      <c r="H83" s="33">
        <f t="shared" si="12"/>
        <v>0.10526315789473689</v>
      </c>
      <c r="I83" s="34" t="s">
        <v>28</v>
      </c>
    </row>
    <row r="84" spans="1:9" s="25" customFormat="1" ht="16.5" customHeight="1">
      <c r="A84" s="31">
        <v>800203</v>
      </c>
      <c r="B84" s="31" t="str">
        <f>_xlfn.XLOOKUP(A84,[1]Artikeldaten!A:A,[1]Artikeldaten!B:B)</f>
        <v xml:space="preserve">Axkid Haltegurte - Minikid &amp; Rekid                          </v>
      </c>
      <c r="C84" s="32">
        <f>_xlfn.XLOOKUP(A84,[1]Artikeldaten!A:A,[1]Artikeldaten!C:C)</f>
        <v>7350057580196</v>
      </c>
      <c r="D84" s="3">
        <f>_xlfn.XLOOKUP(A84,[1]Artikeldaten!A:A,[1]Artikeldaten!D:D)</f>
        <v>34.9</v>
      </c>
      <c r="E84" s="3">
        <f t="shared" si="10"/>
        <v>29.327731092436974</v>
      </c>
      <c r="F84" s="3">
        <f>_xlfn.XLOOKUP(A84,'[1]Rechner Preisliste'!A:A,'[1]Rechner Preisliste'!E:E)</f>
        <v>16</v>
      </c>
      <c r="G84" s="3">
        <f t="shared" si="11"/>
        <v>13.327731092436974</v>
      </c>
      <c r="H84" s="33">
        <f t="shared" si="12"/>
        <v>0.45444126074498564</v>
      </c>
      <c r="I84" s="34" t="s">
        <v>28</v>
      </c>
    </row>
    <row r="85" spans="1:9" s="25" customFormat="1" ht="16.5" customHeight="1">
      <c r="A85" s="31">
        <v>804303</v>
      </c>
      <c r="B85" s="31" t="str">
        <f>_xlfn.XLOOKUP(A85,[1]Artikeldaten!A:A,[1]Artikeldaten!B:B)</f>
        <v>Axkid Haltegurte - Move</v>
      </c>
      <c r="C85" s="32">
        <f>_xlfn.XLOOKUP(A85,[1]Artikeldaten!A:A,[1]Artikeldaten!C:C)</f>
        <v>7350057582060</v>
      </c>
      <c r="D85" s="3">
        <f>_xlfn.XLOOKUP(A85,[1]Artikeldaten!A:A,[1]Artikeldaten!D:D)</f>
        <v>34.9</v>
      </c>
      <c r="E85" s="3">
        <f t="shared" si="10"/>
        <v>29.327731092436974</v>
      </c>
      <c r="F85" s="3">
        <f>_xlfn.XLOOKUP(A85,'[1]Rechner Preisliste'!A:A,'[1]Rechner Preisliste'!E:E)</f>
        <v>18</v>
      </c>
      <c r="G85" s="3">
        <f t="shared" si="11"/>
        <v>11.327731092436974</v>
      </c>
      <c r="H85" s="33">
        <f t="shared" si="12"/>
        <v>0.38624641833810885</v>
      </c>
      <c r="I85" s="34" t="s">
        <v>28</v>
      </c>
    </row>
    <row r="86" spans="1:9" s="25" customFormat="1" ht="16.5" customHeight="1">
      <c r="A86" s="31">
        <v>804916</v>
      </c>
      <c r="B86" s="31" t="str">
        <f>_xlfn.XLOOKUP(A86,[1]Artikeldaten!A:A,[1]Artikeldaten!B:B)</f>
        <v xml:space="preserve">Axkid Connect Pad </v>
      </c>
      <c r="C86" s="32">
        <f>_xlfn.XLOOKUP(A86,[1]Artikeldaten!A:A,[1]Artikeldaten!C:C)</f>
        <v>7350057584347</v>
      </c>
      <c r="D86" s="3">
        <f>_xlfn.XLOOKUP(A86,[1]Artikeldaten!A:A,[1]Artikeldaten!D:D)</f>
        <v>99.9</v>
      </c>
      <c r="E86" s="3">
        <f t="shared" si="10"/>
        <v>83.94957983193278</v>
      </c>
      <c r="F86" s="3">
        <f>_xlfn.XLOOKUP(A86,'[1]Rechner Preisliste'!A:A,'[1]Rechner Preisliste'!E:E)</f>
        <v>50</v>
      </c>
      <c r="G86" s="3">
        <f t="shared" si="11"/>
        <v>33.94957983193278</v>
      </c>
      <c r="H86" s="33">
        <f t="shared" si="12"/>
        <v>0.40440440440440445</v>
      </c>
      <c r="I86" s="34" t="s">
        <v>28</v>
      </c>
    </row>
    <row r="87" spans="1:9" s="25" customFormat="1" ht="16.5" customHeight="1">
      <c r="A87" s="31">
        <v>805201</v>
      </c>
      <c r="B87" s="31" t="str">
        <f>_xlfn.XLOOKUP(A87,[1]Artikeldaten!A:A,[1]Artikeldaten!B:B)</f>
        <v>Axkid AeroMoov Antischwitzauflage Reboarder</v>
      </c>
      <c r="C87" s="32">
        <f>_xlfn.XLOOKUP(A87,[1]Artikeldaten!A:A,[1]Artikeldaten!C:C)</f>
        <v>5413421814456</v>
      </c>
      <c r="D87" s="3">
        <f>_xlfn.XLOOKUP(A87,[1]Artikeldaten!A:A,[1]Artikeldaten!D:D)</f>
        <v>49.9</v>
      </c>
      <c r="E87" s="3">
        <f t="shared" si="10"/>
        <v>41.932773109243698</v>
      </c>
      <c r="F87" s="3">
        <f>_xlfn.XLOOKUP(A87,'[1]Rechner Preisliste'!A:A,'[1]Rechner Preisliste'!E:E)</f>
        <v>27</v>
      </c>
      <c r="G87" s="3">
        <f t="shared" si="11"/>
        <v>14.932773109243698</v>
      </c>
      <c r="H87" s="33">
        <f t="shared" si="12"/>
        <v>0.35611222444889779</v>
      </c>
      <c r="I87" s="34" t="s">
        <v>28</v>
      </c>
    </row>
    <row r="88" spans="1:9" s="25" customFormat="1" ht="16.5" customHeight="1">
      <c r="A88" s="31">
        <v>806201</v>
      </c>
      <c r="B88" s="31" t="str">
        <f>_xlfn.XLOOKUP(A88,[1]Artikeldaten!A:A,[1]Artikeldaten!B:B)</f>
        <v>Axkid AeroMoov Antischwitzauflage Folgesitz</v>
      </c>
      <c r="C88" s="32">
        <f>_xlfn.XLOOKUP(A88,[1]Artikeldaten!A:A,[1]Artikeldaten!C:C)</f>
        <v>7350057588420</v>
      </c>
      <c r="D88" s="3">
        <f>_xlfn.XLOOKUP(A88,[1]Artikeldaten!A:A,[1]Artikeldaten!D:D)</f>
        <v>49.9</v>
      </c>
      <c r="E88" s="3">
        <f t="shared" si="10"/>
        <v>41.932773109243698</v>
      </c>
      <c r="F88" s="3">
        <f>_xlfn.XLOOKUP(A88,'[1]Rechner Preisliste'!A:A,'[1]Rechner Preisliste'!E:E)</f>
        <v>27</v>
      </c>
      <c r="G88" s="3">
        <f t="shared" si="11"/>
        <v>14.932773109243698</v>
      </c>
      <c r="H88" s="33">
        <f t="shared" si="12"/>
        <v>0.35611222444889779</v>
      </c>
      <c r="I88" s="34" t="s">
        <v>28</v>
      </c>
    </row>
    <row r="89" spans="1:9" s="25" customFormat="1" ht="16.5" customHeight="1">
      <c r="A89" s="31">
        <v>801403</v>
      </c>
      <c r="B89" s="31" t="str">
        <f>_xlfn.XLOOKUP(A89,[1]Artikeldaten!A:A,[1]Artikeldaten!B:B)</f>
        <v>Axkid Unterlegkeil</v>
      </c>
      <c r="C89" s="32">
        <f>_xlfn.XLOOKUP(A89,[1]Artikeldaten!A:A,[1]Artikeldaten!C:C)</f>
        <v>7350057581087</v>
      </c>
      <c r="D89" s="3">
        <f>_xlfn.XLOOKUP(A89,[1]Artikeldaten!A:A,[1]Artikeldaten!D:D)</f>
        <v>19.899999999999999</v>
      </c>
      <c r="E89" s="3">
        <f t="shared" si="10"/>
        <v>16.722689075630253</v>
      </c>
      <c r="F89" s="3">
        <f>_xlfn.XLOOKUP(A89,'[1]Rechner Preisliste'!A:A,'[1]Rechner Preisliste'!E:E)</f>
        <v>11</v>
      </c>
      <c r="G89" s="3">
        <f t="shared" si="11"/>
        <v>5.7226890756302531</v>
      </c>
      <c r="H89" s="33">
        <f t="shared" si="12"/>
        <v>0.34221105527638196</v>
      </c>
      <c r="I89" s="34" t="s">
        <v>28</v>
      </c>
    </row>
    <row r="90" spans="1:9" s="25" customFormat="1" ht="16.5" customHeight="1">
      <c r="A90" s="31">
        <v>800608</v>
      </c>
      <c r="B90" s="31" t="str">
        <f>_xlfn.XLOOKUP(A90,[1]Artikeldaten!A:A,[1]Artikeldaten!B:B)</f>
        <v>Axkid Befestigungsösen 70mm</v>
      </c>
      <c r="C90" s="32">
        <f>_xlfn.XLOOKUP(A90,[1]Artikeldaten!A:A,[1]Artikeldaten!C:C)</f>
        <v>7350057581889</v>
      </c>
      <c r="D90" s="3">
        <f>_xlfn.XLOOKUP(A90,[1]Artikeldaten!A:A,[1]Artikeldaten!D:D)</f>
        <v>14.9</v>
      </c>
      <c r="E90" s="3">
        <f t="shared" si="10"/>
        <v>12.521008403361346</v>
      </c>
      <c r="F90" s="3">
        <f>_xlfn.XLOOKUP(A90,'[1]Rechner Preisliste'!A:A,'[1]Rechner Preisliste'!E:E)</f>
        <v>7.5</v>
      </c>
      <c r="G90" s="3">
        <f t="shared" si="11"/>
        <v>5.0210084033613462</v>
      </c>
      <c r="H90" s="33">
        <f t="shared" si="12"/>
        <v>0.40100671140939603</v>
      </c>
      <c r="I90" s="34" t="s">
        <v>28</v>
      </c>
    </row>
    <row r="91" spans="1:9" s="25" customFormat="1" ht="16.5" customHeight="1">
      <c r="A91" s="31">
        <v>806601</v>
      </c>
      <c r="B91" s="31" t="str">
        <f>_xlfn.XLOOKUP(A91,[1]Artikeldaten!A:A,[1]Artikeldaten!B:B)</f>
        <v>Axkid Befestigungsösen 120mm</v>
      </c>
      <c r="C91" s="32">
        <f>_xlfn.XLOOKUP(A91,[1]Artikeldaten!A:A,[1]Artikeldaten!C:C)</f>
        <v>7350057589670</v>
      </c>
      <c r="D91" s="3">
        <f>_xlfn.XLOOKUP(A91,[1]Artikeldaten!A:A,[1]Artikeldaten!D:D)</f>
        <v>22.9</v>
      </c>
      <c r="E91" s="3">
        <f t="shared" si="10"/>
        <v>19.243697478991596</v>
      </c>
      <c r="F91" s="3">
        <f>_xlfn.XLOOKUP(A91,'[1]Rechner Preisliste'!A:A,'[1]Rechner Preisliste'!E:E)</f>
        <v>11.5</v>
      </c>
      <c r="G91" s="3">
        <f t="shared" si="11"/>
        <v>7.7436974789915958</v>
      </c>
      <c r="H91" s="33">
        <f t="shared" si="12"/>
        <v>0.40240174672489082</v>
      </c>
      <c r="I91" s="34" t="s">
        <v>28</v>
      </c>
    </row>
    <row r="92" spans="1:9" s="25" customFormat="1" ht="16.5" customHeight="1">
      <c r="A92" s="31">
        <v>806602</v>
      </c>
      <c r="B92" s="31" t="str">
        <f>_xlfn.XLOOKUP(A92,[1]Artikeldaten!A:A,[1]Artikeldaten!B:B)</f>
        <v>Axkid Befestigungsösen 160mm</v>
      </c>
      <c r="C92" s="32">
        <f>_xlfn.XLOOKUP(A92,[1]Artikeldaten!A:A,[1]Artikeldaten!C:C)</f>
        <v>7350057589687</v>
      </c>
      <c r="D92" s="3">
        <f>_xlfn.XLOOKUP(A92,[1]Artikeldaten!A:A,[1]Artikeldaten!D:D)</f>
        <v>24.9</v>
      </c>
      <c r="E92" s="3">
        <f t="shared" si="10"/>
        <v>20.92436974789916</v>
      </c>
      <c r="F92" s="3">
        <f>_xlfn.XLOOKUP(A92,'[1]Rechner Preisliste'!A:A,'[1]Rechner Preisliste'!E:E)</f>
        <v>12.5</v>
      </c>
      <c r="G92" s="3">
        <f t="shared" si="11"/>
        <v>8.4243697478991599</v>
      </c>
      <c r="H92" s="33">
        <f t="shared" si="12"/>
        <v>0.40261044176706828</v>
      </c>
      <c r="I92" s="34" t="s">
        <v>28</v>
      </c>
    </row>
    <row r="93" spans="1:9" s="25" customFormat="1" ht="16.5" customHeight="1">
      <c r="A93" s="31">
        <v>804403</v>
      </c>
      <c r="B93" s="31" t="str">
        <f>_xlfn.XLOOKUP(A93,[1]Artikeldaten!A:A,[1]Artikeldaten!B:B)</f>
        <v xml:space="preserve">Axkid Swedish Safety Kit	</v>
      </c>
      <c r="C93" s="32">
        <f>_xlfn.XLOOKUP(A93,[1]Artikeldaten!A:A,[1]Artikeldaten!C:C)</f>
        <v>7350057582121</v>
      </c>
      <c r="D93" s="3">
        <f>_xlfn.XLOOKUP(A93,[1]Artikeldaten!A:A,[1]Artikeldaten!D:D)</f>
        <v>49.9</v>
      </c>
      <c r="E93" s="3">
        <f t="shared" si="10"/>
        <v>41.932773109243698</v>
      </c>
      <c r="F93" s="3">
        <f>_xlfn.XLOOKUP(A93,'[1]Rechner Preisliste'!A:A,'[1]Rechner Preisliste'!E:E)</f>
        <v>26</v>
      </c>
      <c r="G93" s="3">
        <f t="shared" si="11"/>
        <v>15.932773109243698</v>
      </c>
      <c r="H93" s="33">
        <f t="shared" si="12"/>
        <v>0.37995991983967936</v>
      </c>
      <c r="I93" s="34" t="s">
        <v>28</v>
      </c>
    </row>
    <row r="94" spans="1:9" s="25" customFormat="1" ht="16.5" customHeight="1">
      <c r="A94" s="31">
        <v>800507</v>
      </c>
      <c r="B94" s="31" t="str">
        <f>_xlfn.XLOOKUP(A94,[1]Artikeldaten!A:A,[1]Artikeldaten!B:B)</f>
        <v xml:space="preserve">Axkid Schild "Baby on Board"                 </v>
      </c>
      <c r="C94" s="32">
        <f>_xlfn.XLOOKUP(A94,[1]Artikeldaten!A:A,[1]Artikeldaten!C:C)</f>
        <v>7350057580226</v>
      </c>
      <c r="D94" s="3">
        <f>_xlfn.XLOOKUP(A94,[1]Artikeldaten!A:A,[1]Artikeldaten!D:D)</f>
        <v>8.9</v>
      </c>
      <c r="E94" s="3">
        <f t="shared" si="10"/>
        <v>7.4789915966386564</v>
      </c>
      <c r="F94" s="3">
        <f>_xlfn.XLOOKUP(A94,'[1]Rechner Preisliste'!A:A,'[1]Rechner Preisliste'!E:E)</f>
        <v>4.5</v>
      </c>
      <c r="G94" s="3">
        <f t="shared" si="11"/>
        <v>2.9789915966386564</v>
      </c>
      <c r="H94" s="33">
        <f t="shared" si="12"/>
        <v>0.3983146067415731</v>
      </c>
      <c r="I94" s="34" t="s">
        <v>28</v>
      </c>
    </row>
    <row r="95" spans="1:9" s="25" customFormat="1" ht="16.5" customHeight="1">
      <c r="A95" s="31">
        <v>803303</v>
      </c>
      <c r="B95" s="31" t="str">
        <f>_xlfn.XLOOKUP(A95,[1]Artikeldaten!A:A,[1]Artikeldaten!B:B)</f>
        <v xml:space="preserve">Axkid Spiegel für den Rücksitz                         </v>
      </c>
      <c r="C95" s="32">
        <f>_xlfn.XLOOKUP(A95,[1]Artikeldaten!A:A,[1]Artikeldaten!C:C)</f>
        <v>7350057581339</v>
      </c>
      <c r="D95" s="3">
        <f>_xlfn.XLOOKUP(A95,[1]Artikeldaten!A:A,[1]Artikeldaten!D:D)</f>
        <v>29.9</v>
      </c>
      <c r="E95" s="3">
        <f t="shared" si="10"/>
        <v>25.126050420168067</v>
      </c>
      <c r="F95" s="3">
        <f>_xlfn.XLOOKUP(A95,'[1]Rechner Preisliste'!A:A,'[1]Rechner Preisliste'!E:E)</f>
        <v>15</v>
      </c>
      <c r="G95" s="3">
        <f t="shared" si="11"/>
        <v>10.126050420168067</v>
      </c>
      <c r="H95" s="33">
        <f t="shared" si="12"/>
        <v>0.40301003344481606</v>
      </c>
      <c r="I95" s="34" t="s">
        <v>28</v>
      </c>
    </row>
    <row r="96" spans="1:9" s="25" customFormat="1" ht="16.5" customHeight="1">
      <c r="A96" s="31">
        <v>804503</v>
      </c>
      <c r="B96" s="31" t="str">
        <f>_xlfn.XLOOKUP(A96,[1]Artikeldaten!A:A,[1]Artikeldaten!B:B)</f>
        <v xml:space="preserve">Axkid Sonnendach - Minikid 2 &amp; Move               </v>
      </c>
      <c r="C96" s="32">
        <f>_xlfn.XLOOKUP(A96,[1]Artikeldaten!A:A,[1]Artikeldaten!C:C)</f>
        <v>7350057582749</v>
      </c>
      <c r="D96" s="3">
        <f>_xlfn.XLOOKUP(A96,[1]Artikeldaten!A:A,[1]Artikeldaten!D:D)</f>
        <v>36.9</v>
      </c>
      <c r="E96" s="3">
        <f t="shared" si="10"/>
        <v>31.008403361344538</v>
      </c>
      <c r="F96" s="3">
        <f>_xlfn.XLOOKUP(A96,'[1]Rechner Preisliste'!A:A,'[1]Rechner Preisliste'!E:E)</f>
        <v>18</v>
      </c>
      <c r="G96" s="3">
        <f t="shared" si="11"/>
        <v>13.008403361344538</v>
      </c>
      <c r="H96" s="33">
        <f t="shared" si="12"/>
        <v>0.4195121951219512</v>
      </c>
      <c r="I96" s="34" t="s">
        <v>28</v>
      </c>
    </row>
    <row r="97" spans="1:9" s="25" customFormat="1" ht="16.5" customHeight="1">
      <c r="A97" s="31">
        <v>804603</v>
      </c>
      <c r="B97" s="31" t="str">
        <f>_xlfn.XLOOKUP(A97,[1]Artikeldaten!A:A,[1]Artikeldaten!B:B)</f>
        <v xml:space="preserve">Axkid Adapter für Stützfuß                              </v>
      </c>
      <c r="C97" s="32">
        <f>_xlfn.XLOOKUP(A97,[1]Artikeldaten!A:A,[1]Artikeldaten!C:C)</f>
        <v>7350057582756</v>
      </c>
      <c r="D97" s="3">
        <f>_xlfn.XLOOKUP(A97,[1]Artikeldaten!A:A,[1]Artikeldaten!D:D)</f>
        <v>24.9</v>
      </c>
      <c r="E97" s="3">
        <f t="shared" si="10"/>
        <v>20.92436974789916</v>
      </c>
      <c r="F97" s="3">
        <f>_xlfn.XLOOKUP(A97,'[1]Rechner Preisliste'!A:A,'[1]Rechner Preisliste'!E:E)</f>
        <v>15</v>
      </c>
      <c r="G97" s="3">
        <f t="shared" si="11"/>
        <v>5.9243697478991599</v>
      </c>
      <c r="H97" s="33">
        <f t="shared" si="12"/>
        <v>0.28313253012048195</v>
      </c>
      <c r="I97" s="34" t="s">
        <v>28</v>
      </c>
    </row>
    <row r="99" spans="1:9" s="31" customFormat="1">
      <c r="A99" s="35" t="s">
        <v>29</v>
      </c>
      <c r="B99" s="36"/>
      <c r="C99" s="37"/>
      <c r="D99" s="35" t="s">
        <v>30</v>
      </c>
      <c r="E99" s="3"/>
      <c r="F99" s="38"/>
      <c r="G99" s="38"/>
      <c r="H99" s="39"/>
    </row>
    <row r="100" spans="1:9" s="31" customFormat="1">
      <c r="A100" s="31" t="s">
        <v>31</v>
      </c>
      <c r="C100" s="32"/>
      <c r="D100" s="31" t="s">
        <v>32</v>
      </c>
      <c r="E100" s="19"/>
      <c r="F100" s="38"/>
      <c r="G100" s="38"/>
      <c r="H100" s="39"/>
    </row>
    <row r="101" spans="1:9" s="31" customFormat="1">
      <c r="A101" s="31" t="s">
        <v>33</v>
      </c>
      <c r="C101" s="32"/>
      <c r="E101" s="19"/>
      <c r="F101" s="38"/>
      <c r="G101" s="38"/>
      <c r="H101" s="39"/>
    </row>
    <row r="102" spans="1:9" s="31" customFormat="1">
      <c r="C102" s="32"/>
      <c r="E102" s="19"/>
      <c r="F102" s="38"/>
      <c r="G102" s="38"/>
      <c r="H102" s="39"/>
    </row>
    <row r="103" spans="1:9" s="31" customFormat="1">
      <c r="A103" s="35" t="s">
        <v>34</v>
      </c>
      <c r="B103" s="35"/>
      <c r="C103" s="40"/>
      <c r="D103" s="35" t="s">
        <v>35</v>
      </c>
      <c r="E103" s="41"/>
      <c r="F103" s="42"/>
      <c r="G103" s="42"/>
      <c r="H103" s="39"/>
    </row>
    <row r="104" spans="1:9" s="31" customFormat="1">
      <c r="A104" s="31" t="s">
        <v>36</v>
      </c>
      <c r="C104" s="32"/>
      <c r="D104" s="31" t="s">
        <v>37</v>
      </c>
      <c r="E104" s="41"/>
      <c r="F104" s="38"/>
      <c r="G104" s="38"/>
      <c r="H104" s="39"/>
    </row>
    <row r="105" spans="1:9" s="45" customFormat="1">
      <c r="A105" s="31"/>
      <c r="B105" s="31"/>
      <c r="C105" s="32"/>
      <c r="D105" s="31" t="s">
        <v>38</v>
      </c>
      <c r="E105" s="41"/>
      <c r="F105" s="43"/>
      <c r="G105" s="38"/>
      <c r="H105" s="44"/>
    </row>
  </sheetData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7CB1DB6AC2345AFC8C5CDEAE36552" ma:contentTypeVersion="19" ma:contentTypeDescription="Create a new document." ma:contentTypeScope="" ma:versionID="957bf1238c748988b9dff41d59c9ec0a">
  <xsd:schema xmlns:xsd="http://www.w3.org/2001/XMLSchema" xmlns:xs="http://www.w3.org/2001/XMLSchema" xmlns:p="http://schemas.microsoft.com/office/2006/metadata/properties" xmlns:ns2="88b9bdb5-febf-4db7-b7d2-3aa31c9eb32c" xmlns:ns3="4866865f-21c0-4973-9a52-0e055d02862a" targetNamespace="http://schemas.microsoft.com/office/2006/metadata/properties" ma:root="true" ma:fieldsID="5bbe13b74179121e7700647fab266712" ns2:_="" ns3:_="">
    <xsd:import namespace="88b9bdb5-febf-4db7-b7d2-3aa31c9eb32c"/>
    <xsd:import namespace="4866865f-21c0-4973-9a52-0e055d0286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Comment" minOccurs="0"/>
                <xsd:element ref="ns2:Responsibl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b9bdb5-febf-4db7-b7d2-3aa31c9eb3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be5e355-df8b-4248-815a-d40ff73ec0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Comment" ma:index="2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Responsible" ma:index="25" nillable="true" ma:displayName="Responsible" ma:format="Dropdown" ma:list="UserInfo" ma:SharePointGroup="0" ma:internalName="Responsib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66865f-21c0-4973-9a52-0e055d02862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86eb8b3-ed65-47bb-80ab-db4a28599e32}" ma:internalName="TaxCatchAll" ma:showField="CatchAllData" ma:web="4866865f-21c0-4973-9a52-0e055d0286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866865f-21c0-4973-9a52-0e055d02862a" xsi:nil="true"/>
    <lcf76f155ced4ddcb4097134ff3c332f xmlns="88b9bdb5-febf-4db7-b7d2-3aa31c9eb32c">
      <Terms xmlns="http://schemas.microsoft.com/office/infopath/2007/PartnerControls"/>
    </lcf76f155ced4ddcb4097134ff3c332f>
    <Responsible xmlns="88b9bdb5-febf-4db7-b7d2-3aa31c9eb32c">
      <UserInfo>
        <DisplayName/>
        <AccountId xsi:nil="true"/>
        <AccountType/>
      </UserInfo>
    </Responsible>
    <Comment xmlns="88b9bdb5-febf-4db7-b7d2-3aa31c9eb32c" xsi:nil="true"/>
  </documentManagement>
</p:properties>
</file>

<file path=customXml/itemProps1.xml><?xml version="1.0" encoding="utf-8"?>
<ds:datastoreItem xmlns:ds="http://schemas.openxmlformats.org/officeDocument/2006/customXml" ds:itemID="{A02246D7-CE3E-4FCC-9ABA-AF077ADB3252}"/>
</file>

<file path=customXml/itemProps2.xml><?xml version="1.0" encoding="utf-8"?>
<ds:datastoreItem xmlns:ds="http://schemas.openxmlformats.org/officeDocument/2006/customXml" ds:itemID="{7D08A6B2-0042-4965-9832-6EA2B410B4EB}"/>
</file>

<file path=customXml/itemProps3.xml><?xml version="1.0" encoding="utf-8"?>
<ds:datastoreItem xmlns:ds="http://schemas.openxmlformats.org/officeDocument/2006/customXml" ds:itemID="{173E70BD-7A0B-4F99-89F4-1A0390E19B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Ines Schubert</dc:creator>
  <cp:keywords/>
  <dc:description/>
  <cp:lastModifiedBy>Ines Schubert</cp:lastModifiedBy>
  <cp:revision/>
  <dcterms:created xsi:type="dcterms:W3CDTF">2023-11-25T08:35:37Z</dcterms:created>
  <dcterms:modified xsi:type="dcterms:W3CDTF">2023-12-04T19:32:49Z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0x010100DE17CB1DB6AC2345AFC8C5CDEAE36552</vt:lpwstr>
  </property>
  <property fmtid="{D5CDD505-2E9C-101B-9397-08002B2CF9AE}" pid="3" name="MediaServiceImageTags">
    <vt:lpwstr/>
  </property>
</Properties>
</file>