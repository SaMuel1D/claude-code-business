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goodbabyint-my.sharepoint.com/personal/monwit01_goodbabyint_com/Documents/Desktop/Preise April 2024/"/>
    </mc:Choice>
  </mc:AlternateContent>
  <xr:revisionPtr revIDLastSave="0" documentId="8_{946BEF3F-D7E6-46AB-8DCC-5511CE879618}" xr6:coauthVersionLast="47" xr6:coauthVersionMax="47" xr10:uidLastSave="{00000000-0000-0000-0000-000000000000}"/>
  <workbookProtection workbookAlgorithmName="SHA-512" workbookHashValue="ZlXPKv5Pc201xvCeBeax+UPPSTuogFkHy3kLb5Hul1yH0UdU4mXk1rCi37sAA00YMjdtBNc04OuOMOxyfo0eUA==" workbookSaltValue="OvvTIsaK04jueSzQF2RShg==" workbookSpinCount="100000" lockStructure="1"/>
  <bookViews>
    <workbookView xWindow="-108" yWindow="-108" windowWidth="23256" windowHeight="13176" firstSheet="7" activeTab="7" xr2:uid="{1CA9AA60-D25A-45F8-887E-8CBFB3753702}"/>
  </bookViews>
  <sheets>
    <sheet name="10a" sheetId="1" state="hidden" r:id="rId1"/>
    <sheet name="11a" sheetId="2" state="hidden" r:id="rId2"/>
    <sheet name="14a" sheetId="3" state="hidden" r:id="rId3"/>
    <sheet name="15a" sheetId="4" state="hidden" r:id="rId4"/>
    <sheet name="17a" sheetId="5" state="hidden" r:id="rId5"/>
    <sheet name="DESC" sheetId="9" state="hidden" r:id="rId6"/>
    <sheet name="Logo" sheetId="8" state="hidden" r:id="rId7"/>
    <sheet name="Pricelist" sheetId="6" r:id="rId8"/>
    <sheet name="Terms&amp;Cond." sheetId="7" state="hidden" r:id="rId9"/>
  </sheets>
  <definedNames>
    <definedName name="_xlnm._FilterDatabase" localSheetId="0" hidden="1">'10a'!$L$2:$L$7</definedName>
    <definedName name="_xlnm._FilterDatabase" localSheetId="1" hidden="1">'11a'!$J$1:$J$6</definedName>
    <definedName name="_xlnm._FilterDatabase" localSheetId="2" hidden="1">'14a'!$J$1:$J$6</definedName>
    <definedName name="_xlnm._FilterDatabase" localSheetId="3" hidden="1">'15a'!$J$1:$J$6</definedName>
    <definedName name="_xlnm._FilterDatabase" localSheetId="4" hidden="1">'17a'!$J$1:$J$6</definedName>
    <definedName name="_xlnm._FilterDatabase" localSheetId="5" hidden="1">DESC!$A$1:$D$5</definedName>
    <definedName name="Collection_Year">#REF!</definedName>
    <definedName name="Country">#REF!</definedName>
    <definedName name="Currency">#REF!</definedName>
    <definedName name="Currency_actual">#REF!</definedName>
    <definedName name="_xlnm.Print_Area" localSheetId="0">'10a'!$A$1:$S$91</definedName>
    <definedName name="_xlnm.Print_Area" localSheetId="1">'11a'!$A$1:$P$90</definedName>
    <definedName name="_xlnm.Print_Area" localSheetId="2">'14a'!$A$1:$P$90</definedName>
    <definedName name="_xlnm.Print_Area" localSheetId="3">'15a'!$A$1:$P$90</definedName>
    <definedName name="_xlnm.Print_Area" localSheetId="4">'17a'!$A$1:$P$90</definedName>
    <definedName name="_xlnm.Print_Area" localSheetId="7">Pricelist!$H$2:$Q$711</definedName>
    <definedName name="_xlnm.Print_Titles" localSheetId="7">Pricelist!$2:$3</definedName>
    <definedName name="Generato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9" l="1"/>
  <c r="G4" i="9"/>
  <c r="G3" i="9"/>
  <c r="G2" i="9"/>
  <c r="D2" i="9" l="1"/>
  <c r="I2" i="9"/>
  <c r="I3" i="9" l="1"/>
  <c r="I4" i="9" l="1"/>
  <c r="I5" i="9" l="1"/>
  <c r="L5" i="9"/>
  <c r="L4" i="9" l="1"/>
  <c r="L2" i="9"/>
  <c r="L3" i="9"/>
  <c r="K2" i="9" l="1"/>
  <c r="K3" i="9"/>
  <c r="K4" i="9"/>
  <c r="K5" i="9"/>
  <c r="D5" i="9" l="1"/>
  <c r="D4" i="9"/>
  <c r="D3" i="9"/>
</calcChain>
</file>

<file path=xl/sharedStrings.xml><?xml version="1.0" encoding="utf-8"?>
<sst xmlns="http://schemas.openxmlformats.org/spreadsheetml/2006/main" count="14648" uniqueCount="2358">
  <si>
    <t>Subbrand</t>
  </si>
  <si>
    <t>CoverName</t>
  </si>
  <si>
    <t>PriceListName</t>
  </si>
  <si>
    <t>Cybex</t>
  </si>
  <si>
    <t>Cybex Platinum</t>
  </si>
  <si>
    <t>11a</t>
  </si>
  <si>
    <t>11b</t>
  </si>
  <si>
    <t>Cybex Collaborations</t>
  </si>
  <si>
    <t>12a</t>
  </si>
  <si>
    <t>12b</t>
  </si>
  <si>
    <t>Cybex Fashion Edition</t>
  </si>
  <si>
    <t>13a</t>
  </si>
  <si>
    <t>13b</t>
  </si>
  <si>
    <t>Cybex Gold</t>
  </si>
  <si>
    <t>14a</t>
  </si>
  <si>
    <t>14b</t>
  </si>
  <si>
    <t>Cybex Sport</t>
  </si>
  <si>
    <t>15a</t>
  </si>
  <si>
    <t>15b</t>
  </si>
  <si>
    <t>Cybex by Marcel Wanders</t>
  </si>
  <si>
    <t>16a</t>
  </si>
  <si>
    <t>16b</t>
  </si>
  <si>
    <t>Cybex Silver</t>
  </si>
  <si>
    <t>17a</t>
  </si>
  <si>
    <t>17b</t>
  </si>
  <si>
    <t>Cybex for Scuderia Ferrari</t>
  </si>
  <si>
    <t>Cybex for Scuderia Ferrari - Premium Off Track</t>
  </si>
  <si>
    <t>51a</t>
  </si>
  <si>
    <t>51b</t>
  </si>
  <si>
    <t>Cybex for Scuderia Ferrari - Off Track</t>
  </si>
  <si>
    <t>52a</t>
  </si>
  <si>
    <t>52b</t>
  </si>
  <si>
    <t>gb</t>
  </si>
  <si>
    <t>gb Platinum</t>
  </si>
  <si>
    <t>71a</t>
  </si>
  <si>
    <t>71b</t>
  </si>
  <si>
    <t>gb Gold</t>
  </si>
  <si>
    <t>72a</t>
  </si>
  <si>
    <t>72b</t>
  </si>
  <si>
    <t>PREMIUM</t>
  </si>
  <si>
    <t>Preisliste</t>
  </si>
  <si>
    <t>KOLLEKTION 2024</t>
  </si>
  <si>
    <t>DEUTSCHLAND</t>
  </si>
  <si>
    <t>DIESE PREISLISTE IST GÜLTIG VOM 
1. APRIL 2024 BIS ZUM 30. JUNI 2024.</t>
  </si>
  <si>
    <t>COLUMBUS TRADING-PARTNERS GMBH &amp; CO. KG, RIEDINGERSTR. 18 , 95448 BAYREUTH, GERMANY
PHONE: +49 (0) 921 / 78 511-0, FAX: +49 (0) 921 / 78 511-999, EMAIL: SALES@COLUMBUSTP.COM</t>
  </si>
  <si>
    <t>Country</t>
  </si>
  <si>
    <t>Country Name</t>
  </si>
  <si>
    <t>Collection</t>
  </si>
  <si>
    <t>Address</t>
  </si>
  <si>
    <t>Note Shipping Costs</t>
  </si>
  <si>
    <t>subbrand content</t>
  </si>
  <si>
    <t>country-specifics</t>
  </si>
  <si>
    <t>Albania</t>
  </si>
  <si>
    <t>ALBANIA</t>
  </si>
  <si>
    <t>COLLECTION</t>
  </si>
  <si>
    <t>COLUMBUS TRADING-PARTNERS GMBH &amp; CO. KG, RIEDINGERSTR. 18 , 95448 BAYREUTH, GERMANY
PHONE: +49 (0) 921 / 78 511-0, EMAIL: CONTACTAL@COLUMBUSTP.COM</t>
  </si>
  <si>
    <t>Delivery free of charges from 60.000 ALL net order value. All orders below 60.000 ALL will be
charged with a 1.250 ALL shipping flat rate. Exclusive application of Columbus Trading-Partnersterms
of payment and delivery (see last page). Specifications (incl. price adjustments) and errors
subject to change without notice.</t>
  </si>
  <si>
    <t>Contains the following brands:</t>
  </si>
  <si>
    <t>Austria</t>
  </si>
  <si>
    <t>ÖSTERREICH</t>
  </si>
  <si>
    <t>KOLLEKTION</t>
  </si>
  <si>
    <t>Ab 400 € netto Warenwert Lieferung frei Haus. Unter 400 € Porto und Verpackungspauschale
von 10 € pro Sendung. Es gelten ausschließlich unsere allgemeinen Lieferungs- und Zahlungsbedingungen
(siehe letzte Seite). Änderungen (inkl. Preisanpassungen) und Irrtümer vorbehalten.</t>
  </si>
  <si>
    <t>Enthält folgende Marken:</t>
  </si>
  <si>
    <t>Belux (EN)</t>
  </si>
  <si>
    <t>BELUX</t>
  </si>
  <si>
    <t>COLUMBUS TRADING-PARTNERS GMBH &amp; CO. KG, OFFICE FRANCE
44 AVENUE DE LA MARNE, 59290 WAS QUEHAL, FRANCE
PHONE: +33 (0)3 66 32 00 90, EMAIL: SALES@COLUMBUSTP.COM</t>
  </si>
  <si>
    <t>Delivery free of charges from 400€ net order value. All orders below 400€ will be charged with a 10 €
shipping flat rate. Exclusive application of Columbus Trading-Partners-terms of payment and delivery
(see last page). Specifications (incl. price adjustments) and errors subject to change without notice.</t>
  </si>
  <si>
    <t>Belux Online (EN)</t>
  </si>
  <si>
    <t>Belux (FR)</t>
  </si>
  <si>
    <t>Le minimum de facturation et livraison Franco est de 400 Euros HT. Pour un montant inférieur, un
supplément de 10 Eur HT sera facturé. Nos Conditions Générales de Vente sont indiquées en dernière page
de ce document. Columbus Trading-Partners se réserve de modifications (adaptation des prix) ou d‘erreurs.</t>
  </si>
  <si>
    <t>Contient les marques suivantes:</t>
  </si>
  <si>
    <t>Belux Online (FR)</t>
  </si>
  <si>
    <t>Bosnia &amp; Herzegowina</t>
  </si>
  <si>
    <t>BOSNIA &amp; HERZEGOWINA</t>
  </si>
  <si>
    <t>KOLEKCIJA</t>
  </si>
  <si>
    <t>COLUMBUS TRADING-PARTNERS GMBH 6 CO. KG ZAGREB
HOTO TOWER, SAVSKA CESTA 32, ZAGREB, 10000, CROATIA
TELEFON: +385 13 000 941, EMAIL: CONTACTHR@COLUMBUSTP.COM</t>
  </si>
  <si>
    <t>Dostava je besplatna za narudžbe iznad iznosa narudžbe od 1.000 BAM. Iznos dostave za narudžbe ukupne vrijednosti ispod 1.000 BAM iznosi 20 BAM.
Ekskluzivni uvjeti plaćanja i dostave kompanije Columbus Trading-Partners (vidi posljednju stranicu).</t>
  </si>
  <si>
    <t>Sadrži sljedeće brandove:</t>
  </si>
  <si>
    <t>Bulgaria</t>
  </si>
  <si>
    <t>България</t>
  </si>
  <si>
    <t>Колекция</t>
  </si>
  <si>
    <t>COLUMBUS TRADING-PARTNERS GMBH &amp; CO. KG, RIEDINGERSTR. 18 , 95448 BAYREUTH, GERMANY
PHONE: +49 (0) 921 / 78 511-0, EMAIL: CONTACTBG@COLUMBUSTP.COM</t>
  </si>
  <si>
    <t>Безплатна доставка при нетна стойност на поръчката над 1000 лв.. Всички поръчки под 1000 лв. ще бъдат таксувани с 20 лв. фиксирана такса за доставка. Изключително приложение на условията за плащане и доставка на Columbus Trading Partners (вижте последната страница). 
Спецификации (включително корекции на цените) и грешки подлежат
на промени без предварително предизвестие.</t>
  </si>
  <si>
    <t>Съдържа следните марки</t>
  </si>
  <si>
    <t>Croatia</t>
  </si>
  <si>
    <t>HRVATSKA</t>
  </si>
  <si>
    <t>Dostava je besplatna za narudžbe iznad iznosa narudžbe od 4.000 HRK. Iznos dostave za narudžbe ukupne vrijednosti ispod
4.000 HRK iznosi 80 HRK. Ekskluzivni uvjeti plaćanja i dostave kompanije Columbus Trading-Partners (vidi posljednju stranicu).
Specifikacija (uklj. promjene cijena) i eventualne pogreške podložne su promjenama bez prethodne najave.</t>
  </si>
  <si>
    <t>Czech Republic</t>
  </si>
  <si>
    <t>ČESKÁ REPUBLIKA</t>
  </si>
  <si>
    <t>KOLEKCE</t>
  </si>
  <si>
    <t>COLUMBUS TRADING-PARTNERS GMBH &amp; CO. KG,
ODŠTĚPNÝ ZÁVOD POBŘEŽNÍ 620/3, 186 00 PRAHA 8 - KARLIN, ČESKÁ REPUBLIKA
TELEFON: +420 731 860 693, EMAIL: CONTACTCZ@COLUMBUSTP.COM</t>
  </si>
  <si>
    <t>Minimální hodnota objednávky je 10 500 Kč. Za objednávku nižší než 10 500 Kč bude účtován paušální příplatek 275 Kč.
Aplikují se výhradně Všeobecné dodací a platební podmínky společnosti Columbus Trading-Partners, které jsou uvedeny na poslední
straně tohoto ceníku. Vyhrazujeme si právo na případné změny (např. změny cen a opravy chyb) bez předchozího upozornění.</t>
  </si>
  <si>
    <t>Obsahuje následující značky:</t>
  </si>
  <si>
    <t>Denmark</t>
  </si>
  <si>
    <t>DANMARK</t>
  </si>
  <si>
    <t>COLUMBUS TRADING PARTNERS SCANDINAVIA, VIBY RINGVEJ 11, 3. SAL, 8260 VIBY J, DANMARK
TLF.: +45 89873705, E-MAIL: CONTACTDENMARK@COLUMBUSTP.COM</t>
  </si>
  <si>
    <t>Gratis levering ved nettoordrebeløb på min. 3500 DKK. Alle ordrer under 3500 DKK vil blive opkrævet et
fast leveringsgebyr på 75 DKK. Udelukkende anvendelse af Columbus‘ handelspartnerbetingelser for betaling
og levering (se sidste side). Specifikationer (inkl. prisreguleringer) og fejl kan ændres uden varsel.</t>
  </si>
  <si>
    <t>Omfatter følgende mærker:</t>
  </si>
  <si>
    <t>Denmark Online</t>
  </si>
  <si>
    <t>Finland</t>
  </si>
  <si>
    <t>FINLAND</t>
  </si>
  <si>
    <t>MALLISTO</t>
  </si>
  <si>
    <t>COLUMBUS TRADING PARTNERS SCANDINAVIA, VIBY RINGVEJ 11, 3. SAL, 8260 VIBY J, TANSKA
PUHELIN: +35 89 424 508 89, S-POSTI: CONTACTFINLAND@COLUMBUSTP.COM</t>
  </si>
  <si>
    <t>Maksuton toimitus, kun tilauksen nettoarvo on vähintään 600 €. Kaikista alle 600 €: n tilauksista
veloitetaan 10 €: n kiinteät toimituskulut. Tilauksiin sovelletaan yksinomaan Columbus Trading-Partnersin
maksu- ja toimitusehtoja (katso viimeinen sivu). Tuotetietoja (sis. hinnanmuutokset) ja virheellisiä tietoja
voidaan muuttaa ilman erillistä ilmoitusta.</t>
  </si>
  <si>
    <t>Sisältää seuraavat tuotemerkit:</t>
  </si>
  <si>
    <t>Finland Online</t>
  </si>
  <si>
    <t>France</t>
  </si>
  <si>
    <t>FRANCE</t>
  </si>
  <si>
    <t>Le minimum de facturation et livraison Franco est de 400 Euros HT. Pour un montant inférieur,
un supplément de 10 Eur HT sera facturé. Nos Conditions Générales de Vente sont indiquées en
dernière page de ce document. Columbus Trading-Partners se réserve de modifications (adaptation
des prix) ou d‘erreurs.</t>
  </si>
  <si>
    <t>Germany</t>
  </si>
  <si>
    <t>Greece</t>
  </si>
  <si>
    <t>GREECE / CYPRUS</t>
  </si>
  <si>
    <t>COLUMBUS TRADING PARTNERS GMBH &amp; CO. KG, 166A KIFISSIAS AVENUE &amp; 2 SOFOKLEOUS STREET,
ATHENS, GREECE PHONE: +30 2107264069, EMAIL: CONTACTGR@COLUMBUSTP.COM</t>
  </si>
  <si>
    <t>Delivery free of charges from 1.000€ net order value. All orders below 1.000€ will be
charged with a 10€ shipping flat rate. Exclusive application of Columbus Trading-Partners-terms
of payment and delivery (see last page). Specifications (incl. price adjustments) and errors subject
to change without notice.</t>
  </si>
  <si>
    <t>Hungary</t>
  </si>
  <si>
    <t>MAGYARORSZÁG</t>
  </si>
  <si>
    <t>KOLLEKCIÓ</t>
  </si>
  <si>
    <t>COLUMBUS TRADING-PARTNERS GMBH &amp; CO. KG, RIEDINGERSTR. 18 , 95448 BAYREUTH, GERMANY
TELEFON: +36 305 258 905, EMAIL: CONTACTHU@COLUMBUSTP.COM</t>
  </si>
  <si>
    <t>A szállítás 180.000 Ft nettó rendelési értéktől ingyenes. Minden 180.000 Ft alatti rendelésre 4.000 Ft szállítási díjat
számolunk fel. Érvényes kizárólag a Columbus Trading-Partners fizetési és szállítási feltételeivel (ld. utolsó oldal).</t>
  </si>
  <si>
    <t>A következő márkákat tartalmazza:</t>
  </si>
  <si>
    <t>Ireland</t>
  </si>
  <si>
    <t>REPUBLIC OF IRELAND</t>
  </si>
  <si>
    <t>COLUMBUS TRADING-PARTNERS GMBH &amp; CO. KG – UK BRANCH, CENTRIX HOUSE
KEYS BUSINESS VILLAGE, KEYS PARK ROAD, HEDNESFORD, STAFFORDSHIRE, WS12 2HA, UNITED KINGDOM
PHONE: +44 207 426 4937, EMAIL: EMEA-UKCONTACT@COLUMBUSTP.COM</t>
  </si>
  <si>
    <t>Delivery free of charges from 400 € net order value. All orders below 400 € will be charged with a 10 € shipping
flat rate. Exclusive application of Columbus Trading-Partners-terms of payment and delivery (see last page).
Specifications (incl. price adjustments) and errors subject to change without notice.</t>
  </si>
  <si>
    <t>This pricelist is valid only in metropolitan areas of the REPUBLIC OF IRELAND.
Please contact us for more information on your area.</t>
  </si>
  <si>
    <t>Hybride</t>
  </si>
  <si>
    <t>Italy</t>
  </si>
  <si>
    <t>ITALY</t>
  </si>
  <si>
    <t>COLLEZIONE</t>
  </si>
  <si>
    <t>COLUMBUS TRADING-PARTNERS GMBH &amp; CO. KG, SEDE SECONDARIA IN ITALIA
VIA DELLE SCIENZA 9/11, 36100 VICENZA
PHONE: +39 0444 348 108, EMAIL: CONTACTIT@COLUMBUSTP.COM</t>
  </si>
  <si>
    <t>Porto franco per ordini di importo superiore a € 400. Per ordini di importo inferiore calcolare
€ 10 di contributo spese spedizione per ciascun ordine. Si applicano esclusivamente i termini
di pagamento di Columbus Trading Partner (vedi vitima pagina). Ci riserviamo il diritto di
modificare il presente listino prezzi in caso di errori o omissioni.</t>
  </si>
  <si>
    <t>Contiene i seguenti marchi:</t>
  </si>
  <si>
    <t>Macedonia</t>
  </si>
  <si>
    <t>MAKEDONIJA</t>
  </si>
  <si>
    <t>COLUMBUS TRADING-PARTNERS GMBH &amp; CO. KG, RIEDINGERSTR. 18 , 95448 BAYREUTH, GERMANY
PHONE: +49 (0) 921 / 78 511-0, EMAIL: CONTACTMKD@COLUMBUSTP.COM</t>
  </si>
  <si>
    <t xml:space="preserve">Dostava je besplatna porudžbine neto vrednosti od MKD 30.000. Sve porudžbine u iznosu ispod MKD 30.000 će biti paušalno naplaćivane MKD 625. Ekskluzivni uslovi plaćanja i dostave kompanije Columbus Trading-Partners (vidi poslednju stranu). Specifikacija (promene cene su uključene) i eventualne greške podložne su promenama bez prethodne najave. </t>
  </si>
  <si>
    <t>Sadrži sledeće brendove</t>
  </si>
  <si>
    <t>Netherlands</t>
  </si>
  <si>
    <t>NETHERLANDS</t>
  </si>
  <si>
    <t>COLUMBUS TRADING-PARTNERS GMBH &amp; CO. KG, RIEDINGERSTR. 18 , 95448 BAYREUTH, GERMANY
PHONE: +49 (0) 921 / 78 511-0, FAX: +49 (0) 921 / 78 511-999, EMAIL: CONTACTNL@COLUMBUSTP.COM</t>
  </si>
  <si>
    <t>Netherlands Online</t>
  </si>
  <si>
    <t>Norway</t>
  </si>
  <si>
    <t>NORGE</t>
  </si>
  <si>
    <t>COLUMBUS TRADING PARTNERS SCANDINAVIA, VIBY RINGVEJ 11, 3. SAL, 8260 VIBY J, DANMARK
PHONE: +47 23961901, E-MAIL: CONTACTNORWAY@COLUMBUSTP.COM</t>
  </si>
  <si>
    <t>Levering uten kostnader fra 6000 NOK netto ordreverdi. Alle bestillinger under 6000 NOK vil få et
gebyr på 100 NOK for forsendelse. Eksklusiv bruk av Columbus Trading-Partners-vilkår for betaling og
levering (se forrige side). Spesifikasjoner (inkl. prisjusteringer) og feil kan endres uten varsel.</t>
  </si>
  <si>
    <t>Inneholder følgende merker:</t>
  </si>
  <si>
    <t>Norway Online</t>
  </si>
  <si>
    <t>Poland</t>
  </si>
  <si>
    <t>POLSKA</t>
  </si>
  <si>
    <t>KOLEKCJA</t>
  </si>
  <si>
    <t>COLUMBUS TRADING-PARTNERS GMBH &amp; CO. KG
SPÓŁKA KOMANDYTOWA ODDZIAŁ W POLSCE, UL. 6-GO SIERPNIA 88B, 90-646 ŁÓDŹ
TELEFON: +48 42 208 94 58, EMAIL: CONTACTPL@COLUMBUSTP.COM</t>
  </si>
  <si>
    <t>Minimum logistyczne 1.800 zł. Poniżej minimalnego zakupu - dodatkowa opłata 50 zł. Ogólne
warunki dostaw i płatności ujęte są w załączniku na ostatniej stronie. Zachowujemy możliwość
zmian (np. zmian cen) oraz poprawy błędów , jeśli wystąpi taka konieczność.</t>
  </si>
  <si>
    <t>Zawiera następujące marki</t>
  </si>
  <si>
    <t>Portugal</t>
  </si>
  <si>
    <t>PORTUGAL</t>
  </si>
  <si>
    <t>COLEÇÃO</t>
  </si>
  <si>
    <t>COLUMBUS TRADING-PARTNERS GMBH &amp; CO. KG, SUCURSAL EN ESPAÑA,
C/GUITARD 36, 08014 BARCELONA, ESPAÑA</t>
  </si>
  <si>
    <t>Portes pagos para encomendas superiores a 400 € liquidos. Para encomendas inferiores a 400 € liquidos,
será cobrado o valor de 10 € de transporte. Aplicam-se exclusivamente as condições comerciais da Columbus
Trading-Partners (ver última página). Reservamos o direito de alterar esta tabela em caso de erro.</t>
  </si>
  <si>
    <t>Contém as seguintes marcas:</t>
  </si>
  <si>
    <t>Romania</t>
  </si>
  <si>
    <t>ROMANIA</t>
  </si>
  <si>
    <t>COLUMBUS TRADING PARTNERS GMBH &amp; CO. KG, 166A KIFISSIAS AVENUE &amp; 2 SOFOKLEOUS STREET,
ATHENS, GREECE PHONE: +30 2107264069, EMAIL: CONTACTRO@COLUMBUSTP.COM</t>
  </si>
  <si>
    <t>Serbia</t>
  </si>
  <si>
    <t>SRBIJA</t>
  </si>
  <si>
    <t>COLUMBUS TRADING-PARTNERS GMBH 6 CO. KG ZAGREB
HOTO TOWER, SAVSKA CESTA 32, ZAGREB, 10000, CROATIA
TELEFON: +385 13 000 941, EMAIL: CONTACTSRB@COLUMBUSTP.COM</t>
  </si>
  <si>
    <t xml:space="preserve">Dostava je besplatna porudžbine neto vrednosti od RSD 58.000. Sve porudžbine u iznosu ispod RSD 58.000 će biti paušalno naplaćivane RSD 1.200. Ekskluzivni uslovi plaćanja i dostave kompanije Columbus Trading-Partners (vidi poslednju stranu). Specifikacija (promene cene su uključene) i eventualne greške podložne su promenama bez prethodne najave. </t>
  </si>
  <si>
    <t>Slovakia</t>
  </si>
  <si>
    <t>SLOVENSKO</t>
  </si>
  <si>
    <t>KOLEKCIA</t>
  </si>
  <si>
    <t>COLUMBUS TRADING-PARTNERS GMBH &amp; CO. KG,
ODŠTĚPNÝ ZÁVOD POBŘEŽNÍ 620/3, 186 00 PRAHA 8 - KARLIN, ČESKÁ REPUBLIKA
TELEFON: +420 731 860 693, EMAIL: CONTACTSK@COLUMBUSTP.COM</t>
  </si>
  <si>
    <t>Minimálna hodnota objednávky je 500 €. Za objednávku nižšiu ako 500 € bude účtovaný paušálny príplatok 10 €.
Aplikujú sa výhradne Všeobecné dodacie a platobné podmienky spoločnosti Columbus Trading-Partners, ktoré sú uvedené na poslednej
strane tohto cenníka. Vyhrazujeme si právo na prípadné zmeny (napr. zmeny cen a opravy chýb) bez predchádzajúceho upozornenia.</t>
  </si>
  <si>
    <t>Obsahuje nasledujúce značky:</t>
  </si>
  <si>
    <t>Slovenia</t>
  </si>
  <si>
    <t>SLOVENIJA</t>
  </si>
  <si>
    <t>COLUMBUS TRADING-PARTNERS GMBH &amp; CO. KG, PODRUŽNICA LJUBLJANA
TRG REPUBLIKE 3, 1000 LJUBLJANA, SLOVENIA
TELEFON: +386 8 28 80 326, EMAIL: CONTACTSI@COLUMBUSTP.COM</t>
  </si>
  <si>
    <t>Dostava je brezplačna pri naročilu v vrednosti 500€ ali več (neto vrednost).
Za naročila pod 500€ bomo dodatno zaračunali pavšalno ceno v vrednosti 10€.
Velja pogoji Columbus Trading Partners o plačilu in dostavi (glej zadnjo stran).
Specifikacije (vključno s prilagoditvami cen) in napake se lahko spremenijo brez predhodnega obvestila.</t>
  </si>
  <si>
    <t>Vsebuje naslednje blagovne znamke:</t>
  </si>
  <si>
    <t>Spain</t>
  </si>
  <si>
    <t>ESPAÑA</t>
  </si>
  <si>
    <t>COLECCIÓN</t>
  </si>
  <si>
    <t>Portes Pagados para pedidos a partir de 400 € netos. Se cargarán 10 € + IVA de portes por pedidos
inferiores a 400 €. Se aplican exclusivamente las condiciones comerciales de Columbus Trading-Partners
(ver la última página). Nos reservamos el derecho de modificar esta tarifa en caso de error.</t>
  </si>
  <si>
    <t>Contiene las siguientes marcas:</t>
  </si>
  <si>
    <t>Sweden</t>
  </si>
  <si>
    <t>SVERIGE</t>
  </si>
  <si>
    <t>KOLLEKTIONEN</t>
  </si>
  <si>
    <t>COLUMBUS TRADING PARTNERS SCANDINAVIA, HORNSBRUKSGATAN 23B; 117 34 STOCKHOLM
TLF.: +46 844689291, E-MAIL: CONTACTSWEDEN@COLUMBUSTP.COM</t>
  </si>
  <si>
    <t>Fri frakt vid beställning för ett nettobelopp på 6500 SEK. Vid alla beställningar under 6500 SEK tillkommer ett
schablonbelopp på 110 SEK för frakt. Columbus Trading-Partners villkor för betalning och leverans gäller (se sista
sidan). Specifikationer (t.ex. prisjusteringar) och felaktigheter kan ändras utan någon förvarning.</t>
  </si>
  <si>
    <t>Innehåller följande varumärken:</t>
  </si>
  <si>
    <t>Sweden Online</t>
  </si>
  <si>
    <t>Switzerland (DE)</t>
  </si>
  <si>
    <t>SCHWEIZ</t>
  </si>
  <si>
    <t>COLUMBUS TRADING-PARTNERS GMBH &amp; CO. KG, RIEDINGERSTR. 18 , 95448 BAYREUTH, GERMANY
PHONE: +41 43 5085197, E-MAIL: CONTACTCH@COLUMBUSTP.COM</t>
  </si>
  <si>
    <t>Ab 750 CHF netto Warenwert Lieferung frei Haus. Unter 750 CHF Porto und Verpackungspauschale
von 10 CHF pro Sendung. Es gelten ausschließlich unsere allgemeinen Lieferungs- und Zahlungsbedingungen
(siehe letzte Seite). Änderungen (inkl. Preisanpassungen) und Irrtümer vorbehalten.</t>
  </si>
  <si>
    <t>Switzerland Online (DE)</t>
  </si>
  <si>
    <t>Switzerland (FR)</t>
  </si>
  <si>
    <t>SUISSE</t>
  </si>
  <si>
    <t>Le minimum de facturation et livraison Franco est de 750 CHF HT. Pour un montant inférieur,
un supplément de 10 CHF HT sera facturé. Nos Conditions Générales de Vente sont indiquées en
dernière page de ce document. Columbus Trading-Partners se réserve de modifications (adaptation
des prix) ou d‘erreurs.</t>
  </si>
  <si>
    <t>Switzerland Online (FR)</t>
  </si>
  <si>
    <t>SUISEE</t>
  </si>
  <si>
    <t>Switzerland (IT)</t>
  </si>
  <si>
    <t>SVIZZERA</t>
  </si>
  <si>
    <t>Porto franco per ordini di importo superiore a CHF 750. Per ordini di importo inferiore calcolare
CHF 10 di contributo spese spedizione per ciascun ordine. Si applicano esclusivamente i termini
di pagamento di Columbus Trading Partner (vedi vitima pagina). Ci riserviamo il diritto di
modificare il presente listino prezzi in caso di errori o omissioni.</t>
  </si>
  <si>
    <t>Switzerland Online (IT)</t>
  </si>
  <si>
    <t>UK</t>
  </si>
  <si>
    <t>UNITED KINGDOM</t>
  </si>
  <si>
    <t>Delivery free of charges from £ 400 net ordervalue. All orders below £ 400 will be charged
with a £ 10 shipping flat rate. Exclusive application of Columbus Trading-Partners-terms
of payment and delivery (see last page). Specifications (incl. price adjustments) and errors subject
to change without notice.</t>
  </si>
  <si>
    <t>This pricelist is valid only in metropolitan areas of the UK.
Please contact us for more information on your area.</t>
  </si>
  <si>
    <t>Montenegro</t>
  </si>
  <si>
    <t>CRNA GORA</t>
  </si>
  <si>
    <t>ZBIRKA</t>
  </si>
  <si>
    <t>COLUMBUS TRADING-PARTNERS GMBH &amp; CO. KG, RIEDINGERSTR. 18 , 95448 BAYREUTH, GERMANY
PHONE: +41 43 5085197, E-MAIL: CONTACTME@COLUMBUSTP.COM</t>
  </si>
  <si>
    <t>Dostava je besplatna za narudžbe iznad iznosa narudžbe od 500€. Iznos dostave za narudžbe ukupne vrijednosti ispod
500€ iznosi 10€. Ekskluzivni uvjeti plaćanja i dostave kompanije Columbus Trading-Partners (vidi posljednju stranicu).
Specifikacija (uklj. promjene cijena) i eventualne pogreške podložne su promjenama bez prethodne najave.</t>
  </si>
  <si>
    <t>RRP EUR</t>
  </si>
  <si>
    <t xml:space="preserve">RRP </t>
  </si>
  <si>
    <t xml:space="preserve"> </t>
  </si>
  <si>
    <t>RRP EUR (UK)</t>
  </si>
  <si>
    <t>Midwives</t>
  </si>
  <si>
    <t>Hebammen</t>
  </si>
  <si>
    <t>Hebammen erhalten einen Rabatt in Höhe von 25% auf den UVP.</t>
  </si>
  <si>
    <t/>
  </si>
  <si>
    <t>Безплатна доставка при нетна стойност на поръчката над 1000 лв. Всички поръчки под 1000 лв. ще бъдат таксувани с 20 лв. фиксирана такса за доставка. Изключително приложение на условията за плащане и доставка на Columbus Trading Partners (вижте последната страница). Спецификации (включително корекции на цените) и грешки подлежат на промени без предварително предизвестие.</t>
  </si>
  <si>
    <t>PL Name</t>
  </si>
  <si>
    <t>MakroSVPL</t>
  </si>
  <si>
    <t>MakroCoverSelection</t>
  </si>
  <si>
    <t>vlookup</t>
  </si>
  <si>
    <t>Code</t>
  </si>
  <si>
    <t>Zähler</t>
  </si>
  <si>
    <t>Summe</t>
  </si>
  <si>
    <t>Logo</t>
  </si>
  <si>
    <t>CYBEX PLATINUM</t>
  </si>
  <si>
    <t>x</t>
  </si>
  <si>
    <t>Picture 1</t>
  </si>
  <si>
    <t>CYBEX GOLD</t>
  </si>
  <si>
    <t>CYBEX SPORT</t>
  </si>
  <si>
    <t>CYBEX SILVER</t>
  </si>
  <si>
    <t>18b</t>
  </si>
  <si>
    <t>PREMIUM PREISLISTE 2024</t>
  </si>
  <si>
    <t>Due to exceptional global economic and political circumstances, our prices are subject to change with immediate effect.</t>
  </si>
  <si>
    <t>Alle Produkte können auch als VE1 bestellt werden mit einem Aufschlag von 3,80 €.</t>
  </si>
  <si>
    <t>Diese Preisliste ist gültig vom 1. April 2024 bis zum 30. Juni 2024.  |  **EOL</t>
  </si>
  <si>
    <t>Errors and misprints reserved.</t>
  </si>
  <si>
    <t>domzie01</t>
  </si>
  <si>
    <t>Makro Hier&gt;</t>
  </si>
  <si>
    <t>Line#</t>
  </si>
  <si>
    <t>PU 1</t>
  </si>
  <si>
    <t>PU X</t>
  </si>
  <si>
    <t>BRAND</t>
  </si>
  <si>
    <t>Line</t>
  </si>
  <si>
    <t>Master data</t>
  </si>
  <si>
    <t>Master data detail</t>
  </si>
  <si>
    <t>ARTIKELBESCHREIBUNG</t>
  </si>
  <si>
    <t>DESIGN</t>
  </si>
  <si>
    <t>COLOR</t>
  </si>
  <si>
    <t>VE</t>
  </si>
  <si>
    <t>ARTIKELNR.</t>
  </si>
  <si>
    <t>EAN</t>
  </si>
  <si>
    <t>EK/STÜCK</t>
  </si>
  <si>
    <t>UVP</t>
  </si>
  <si>
    <t>Check SAP-Upload</t>
  </si>
  <si>
    <t xml:space="preserve">Check WSP - Subline Key vs. Cat. Nr. </t>
  </si>
  <si>
    <t>Bedingte Formatierung</t>
  </si>
  <si>
    <t>Norm</t>
  </si>
  <si>
    <t>Missing Price</t>
  </si>
  <si>
    <t>Access Sequence</t>
  </si>
  <si>
    <t>Check SAP Upload</t>
  </si>
  <si>
    <t>Price on Subline Key</t>
  </si>
  <si>
    <t xml:space="preserve">Price on Cat. Nr. </t>
  </si>
  <si>
    <t>Start</t>
  </si>
  <si>
    <t>EN</t>
  </si>
  <si>
    <t>Kinderwagen</t>
  </si>
  <si>
    <t>30011010</t>
  </si>
  <si>
    <t>CYBEX PLATINUM-Kinderwagen</t>
  </si>
  <si>
    <t>Priam 4 Series</t>
  </si>
  <si>
    <t>Priam 4 FrameSeat|CHBH|CPL||EN|AR||</t>
  </si>
  <si>
    <t>PRIAM Rahmen inkl. Sitz Hardpart</t>
  </si>
  <si>
    <t xml:space="preserve">PRIAM Rahmen inkl. Sitz Hardpart Chrome Black | chrome </t>
  </si>
  <si>
    <t>Chrome Black</t>
  </si>
  <si>
    <t xml:space="preserve">chrome </t>
  </si>
  <si>
    <t>4063846134700</t>
  </si>
  <si>
    <t>€</t>
  </si>
  <si>
    <t>30011010521002325</t>
  </si>
  <si>
    <t>Priam 4 FrameSeat|CHBR|CPL||EN|AR||</t>
  </si>
  <si>
    <t xml:space="preserve">PRIAM Rahmen inkl. Sitz Hardpart Chrome Brown | chrome </t>
  </si>
  <si>
    <t>Chrome Brown</t>
  </si>
  <si>
    <t>4063846134571</t>
  </si>
  <si>
    <t>30011010521002319</t>
  </si>
  <si>
    <t>Priam 4 FrameSeat|MABL|CPL||EN|AR||</t>
  </si>
  <si>
    <t xml:space="preserve">PRIAM Rahmen inkl. Sitz Hardpart Matt Black | black </t>
  </si>
  <si>
    <t>Matt Black</t>
  </si>
  <si>
    <t xml:space="preserve">black </t>
  </si>
  <si>
    <t>4063846134830</t>
  </si>
  <si>
    <t>30011010521002331</t>
  </si>
  <si>
    <t>Priam 4 FrameSeat|ROGO|CPL||EN|AR||</t>
  </si>
  <si>
    <t xml:space="preserve">PRIAM Rahmen inkl. Sitz Hardpart Rosegold | rosegold </t>
  </si>
  <si>
    <t>Rosegold</t>
  </si>
  <si>
    <t xml:space="preserve">rosegold </t>
  </si>
  <si>
    <t>4063846134960</t>
  </si>
  <si>
    <t>30011010521002337</t>
  </si>
  <si>
    <t>ePriam 4 Series</t>
  </si>
  <si>
    <t>ePriam 4 FramSeat|CHBR|CPL||EN|AR||</t>
  </si>
  <si>
    <t>ePRIAM Rahmen inkl. Sitz Hardpart</t>
  </si>
  <si>
    <t xml:space="preserve">ePRIAM Rahmen inkl. Sitz Hardpart Chrome Brown | chrome </t>
  </si>
  <si>
    <t>4063846135097</t>
  </si>
  <si>
    <t>30011010521002349</t>
  </si>
  <si>
    <t>ePriam 4 FramSeat|CHBH|CPL||EN|AR||</t>
  </si>
  <si>
    <t xml:space="preserve">ePRIAM Rahmen inkl. Sitz Hardpart Chrome Black | chrome </t>
  </si>
  <si>
    <t>4063846135233</t>
  </si>
  <si>
    <t>30011010521002357</t>
  </si>
  <si>
    <t>ePriam 4 FramSeat|MABL|CPL||EN|AR||</t>
  </si>
  <si>
    <t xml:space="preserve">ePRIAM Rahmen inkl. Sitz Hardpart Matt Black | black </t>
  </si>
  <si>
    <t>4063846135370</t>
  </si>
  <si>
    <t>30011010521002365</t>
  </si>
  <si>
    <t>ePriam 4 FramSeat|ROGO|CPL||EN|AR||</t>
  </si>
  <si>
    <t xml:space="preserve">ePRIAM Rahmen inkl. Sitz Hardpart Rosegold | rosegold </t>
  </si>
  <si>
    <t>4063846135516</t>
  </si>
  <si>
    <t>30011010521002373</t>
  </si>
  <si>
    <t>Priam 4 SeatPack||CPL||EN|NA||</t>
  </si>
  <si>
    <t>PRIAM Seat Pack</t>
  </si>
  <si>
    <t xml:space="preserve">PRIAM Seat Pack Sepia Black | black </t>
  </si>
  <si>
    <t>Sepia Black</t>
  </si>
  <si>
    <t>4063846415335</t>
  </si>
  <si>
    <t>30011010523000733</t>
  </si>
  <si>
    <t xml:space="preserve">PRIAM Seat Pack Mirage Grey | dark grey </t>
  </si>
  <si>
    <t>Mirage Grey</t>
  </si>
  <si>
    <t xml:space="preserve">dark grey </t>
  </si>
  <si>
    <t>4063846415410</t>
  </si>
  <si>
    <t>30011010523000743</t>
  </si>
  <si>
    <t xml:space="preserve">PRIAM Seat Pack Off White | light beige </t>
  </si>
  <si>
    <t>Off White</t>
  </si>
  <si>
    <t xml:space="preserve">light beige </t>
  </si>
  <si>
    <t>4063846415496</t>
  </si>
  <si>
    <t>30011010523000753</t>
  </si>
  <si>
    <t xml:space="preserve">PRIAM Seat Pack Peach Pink | light pink </t>
  </si>
  <si>
    <t>Peach Pink</t>
  </si>
  <si>
    <t xml:space="preserve">light pink </t>
  </si>
  <si>
    <t>4063846415571</t>
  </si>
  <si>
    <t>30011010523000763</t>
  </si>
  <si>
    <t xml:space="preserve">PRIAM Seat Pack Leaf Green | dark green </t>
  </si>
  <si>
    <t>Leaf Green</t>
  </si>
  <si>
    <t xml:space="preserve">dark green </t>
  </si>
  <si>
    <t>4063846415656</t>
  </si>
  <si>
    <t>30011010523000773</t>
  </si>
  <si>
    <t xml:space="preserve">PRIAM Seat Pack Cozy Beige | beige </t>
  </si>
  <si>
    <t>Cozy Beige</t>
  </si>
  <si>
    <t xml:space="preserve">beige </t>
  </si>
  <si>
    <t>4063846452514</t>
  </si>
  <si>
    <t>30011010523001261</t>
  </si>
  <si>
    <t>Priam 4 Lux CC||CPL||EN|AB||</t>
  </si>
  <si>
    <t>PRIAM Lux Kinderwagenaufsatz</t>
  </si>
  <si>
    <t xml:space="preserve">PRIAM Lux Kinderwagenaufsatz Sepia Black | black </t>
  </si>
  <si>
    <t>4063846415878</t>
  </si>
  <si>
    <t>30011010523000799</t>
  </si>
  <si>
    <t xml:space="preserve">PRIAM Lux Kinderwagenaufsatz Mirage Grey | dark grey </t>
  </si>
  <si>
    <t>4063846415953</t>
  </si>
  <si>
    <t>30011010523000809</t>
  </si>
  <si>
    <t xml:space="preserve">PRIAM Lux Kinderwagenaufsatz Off White | light beige </t>
  </si>
  <si>
    <t>4063846416035</t>
  </si>
  <si>
    <t>30011010523000819</t>
  </si>
  <si>
    <t xml:space="preserve">PRIAM Lux Kinderwagenaufsatz Peach Pink | light pink </t>
  </si>
  <si>
    <t>4063846416110</t>
  </si>
  <si>
    <t>30011010523000829</t>
  </si>
  <si>
    <t xml:space="preserve">PRIAM Lux Kinderwagenaufsatz Leaf Green | dark green </t>
  </si>
  <si>
    <t>4063846416196</t>
  </si>
  <si>
    <t>30011010523000839</t>
  </si>
  <si>
    <t xml:space="preserve">PRIAM Lux Kinderwagenaufsatz Cozy Beige | beige </t>
  </si>
  <si>
    <t>4063846452590</t>
  </si>
  <si>
    <t>30011010523001271</t>
  </si>
  <si>
    <t>Mios 3 Series</t>
  </si>
  <si>
    <t>Mios 3 FrameSeat|CHBH|CPL||EN|AR||</t>
  </si>
  <si>
    <t>MIOS Rahmen inkl. Sitz Hardpart</t>
  </si>
  <si>
    <t xml:space="preserve">MIOS Rahmen inkl. Sitz Hardpart Chrome Black | chrome </t>
  </si>
  <si>
    <t>4063846137893</t>
  </si>
  <si>
    <t>30011010521002513</t>
  </si>
  <si>
    <t>Mios 3 FrameSeat|CHBR|CPL||EN|AR||</t>
  </si>
  <si>
    <t xml:space="preserve">MIOS Rahmen inkl. Sitz Hardpart Chrome Brown | chrome </t>
  </si>
  <si>
    <t>4063846137756</t>
  </si>
  <si>
    <t>30011010521002507</t>
  </si>
  <si>
    <t>Mios 3 FrameSeat|MABL|CPL||EN|AR||</t>
  </si>
  <si>
    <t xml:space="preserve">MIOS Rahmen inkl. Sitz Hardpart Matt Black | black </t>
  </si>
  <si>
    <t>4063846138036</t>
  </si>
  <si>
    <t>30011010521002519</t>
  </si>
  <si>
    <t>Mios 3 FrameSeat|ROGO|CPL||EN|AR||</t>
  </si>
  <si>
    <t xml:space="preserve">MIOS Rahmen inkl. Sitz Hardpart Rosegold | rosegold </t>
  </si>
  <si>
    <t>4063846138173</t>
  </si>
  <si>
    <t>30011010521002525</t>
  </si>
  <si>
    <t>Mios 3 Seat Pack||CPL||EN|NA||</t>
  </si>
  <si>
    <t>MIOS Seat Pack</t>
  </si>
  <si>
    <t xml:space="preserve">MIOS Seat Pack Sepia Black | black </t>
  </si>
  <si>
    <t>4063846416417</t>
  </si>
  <si>
    <t>30011010523000865</t>
  </si>
  <si>
    <t xml:space="preserve">MIOS Seat Pack Mirage Grey | dark grey </t>
  </si>
  <si>
    <t>4063846416486</t>
  </si>
  <si>
    <t>30011010523000873</t>
  </si>
  <si>
    <t xml:space="preserve">MIOS Seat Pack Off White | light beige </t>
  </si>
  <si>
    <t>4063846416554</t>
  </si>
  <si>
    <t>30011010523000881</t>
  </si>
  <si>
    <t xml:space="preserve">MIOS Seat Pack Peach Pink | light pink </t>
  </si>
  <si>
    <t>4063846416622</t>
  </si>
  <si>
    <t>30011010523000889</t>
  </si>
  <si>
    <t xml:space="preserve">MIOS Seat Pack Leaf Green | dark green </t>
  </si>
  <si>
    <t>4063846416691</t>
  </si>
  <si>
    <t>30011010523000897</t>
  </si>
  <si>
    <t xml:space="preserve">MIOS Seat Pack Cozy Beige | beige </t>
  </si>
  <si>
    <t>4063846452675</t>
  </si>
  <si>
    <t>30011010523001281</t>
  </si>
  <si>
    <t>Mios 3 Lux CC||CPL||EN|AB||</t>
  </si>
  <si>
    <t>MIOS Lux Kinderwagenaufsatz</t>
  </si>
  <si>
    <t xml:space="preserve">MIOS Lux Kinderwagenaufsatz Sepia Black | black </t>
  </si>
  <si>
    <t>4063846416905</t>
  </si>
  <si>
    <t>30011010523000921</t>
  </si>
  <si>
    <t xml:space="preserve">MIOS Lux Kinderwagenaufsatz Mirage Grey | dark grey </t>
  </si>
  <si>
    <t>4063846416974</t>
  </si>
  <si>
    <t>30011010523000929</t>
  </si>
  <si>
    <t xml:space="preserve">MIOS Lux Kinderwagenaufsatz Off White | light beige </t>
  </si>
  <si>
    <t>4063846417049</t>
  </si>
  <si>
    <t>30011010523000937</t>
  </si>
  <si>
    <t xml:space="preserve">MIOS Lux Kinderwagenaufsatz Peach Pink | light pink </t>
  </si>
  <si>
    <t>4063846417117</t>
  </si>
  <si>
    <t>30011010523000945</t>
  </si>
  <si>
    <t xml:space="preserve">MIOS Lux Kinderwagenaufsatz Leaf Green | dark green </t>
  </si>
  <si>
    <t>4063846417186</t>
  </si>
  <si>
    <t>30011010523000953</t>
  </si>
  <si>
    <t xml:space="preserve">MIOS Lux Kinderwagenaufsatz Cozy Beige | beige </t>
  </si>
  <si>
    <t>4063846452750</t>
  </si>
  <si>
    <t>30011010523001289</t>
  </si>
  <si>
    <t>Coya Series</t>
  </si>
  <si>
    <t>Coya Chrome DB||CPL||EN|NA||</t>
  </si>
  <si>
    <t>COYA Chrome Dark Brown</t>
  </si>
  <si>
    <t xml:space="preserve">COYA Chrome Dark Brown Sepia Black | black </t>
  </si>
  <si>
    <t>4063846387502</t>
  </si>
  <si>
    <t>30011010522004385</t>
  </si>
  <si>
    <t xml:space="preserve">COYA Chrome Dark Brown Mirage Grey | dark grey </t>
  </si>
  <si>
    <t>4063846387588</t>
  </si>
  <si>
    <t>30011010522004395</t>
  </si>
  <si>
    <t>Coya MattBlack||CPL||EN|NA||</t>
  </si>
  <si>
    <t>COYA Matt Black</t>
  </si>
  <si>
    <t xml:space="preserve">COYA Matt Black Sepia Black | black </t>
  </si>
  <si>
    <t>4063846386949</t>
  </si>
  <si>
    <t>30011010522004315</t>
  </si>
  <si>
    <t xml:space="preserve">COYA Matt Black Mirage Grey | dark grey </t>
  </si>
  <si>
    <t>4063846387021</t>
  </si>
  <si>
    <t>30011010522004325</t>
  </si>
  <si>
    <t xml:space="preserve">COYA Matt Black Off White | light beige </t>
  </si>
  <si>
    <t>4063846387106</t>
  </si>
  <si>
    <t>30011010522004335</t>
  </si>
  <si>
    <t xml:space="preserve">COYA Matt Black Peach Pink | light pink </t>
  </si>
  <si>
    <t>4063846387182</t>
  </si>
  <si>
    <t>30011010522004345</t>
  </si>
  <si>
    <t xml:space="preserve">COYA Matt Black Leaf Green | dark green </t>
  </si>
  <si>
    <t>4063846387267</t>
  </si>
  <si>
    <t>30011010522004355</t>
  </si>
  <si>
    <t xml:space="preserve">COYA Matt Black Cozy Beige | beige </t>
  </si>
  <si>
    <t>4063846452941</t>
  </si>
  <si>
    <t>30011010522005197</t>
  </si>
  <si>
    <t>Coya Rosegold||CPL||EN|NA||</t>
  </si>
  <si>
    <t>COYA Rosegold</t>
  </si>
  <si>
    <t xml:space="preserve">COYA Rosegold Sepia Black | black </t>
  </si>
  <si>
    <t>4063846386383</t>
  </si>
  <si>
    <t>30011010522004245</t>
  </si>
  <si>
    <t xml:space="preserve">COYA Rosegold Mirage Grey | dark grey </t>
  </si>
  <si>
    <t>4063846386468</t>
  </si>
  <si>
    <t>30011010522004255</t>
  </si>
  <si>
    <t xml:space="preserve">COYA Rosegold Off White | light beige </t>
  </si>
  <si>
    <t>4063846386543</t>
  </si>
  <si>
    <t>30011010522004265</t>
  </si>
  <si>
    <t xml:space="preserve">COYA Rosegold Peach Pink | light pink </t>
  </si>
  <si>
    <t>4063846386628</t>
  </si>
  <si>
    <t>30011010522004275</t>
  </si>
  <si>
    <t xml:space="preserve">COYA Rosegold Leaf Green | dark green </t>
  </si>
  <si>
    <t>4063846386703</t>
  </si>
  <si>
    <t>30011010522004285</t>
  </si>
  <si>
    <t xml:space="preserve">COYA Rosegold Cozy Beige | beige </t>
  </si>
  <si>
    <t>4063846452828</t>
  </si>
  <si>
    <t>30011010522005183</t>
  </si>
  <si>
    <t>Kinderwagen Zubehör</t>
  </si>
  <si>
    <t>CYBEX PLATINUM-Kinderwagen Zubehör</t>
  </si>
  <si>
    <t>Stroller Accessory Series</t>
  </si>
  <si>
    <t>Platinum Shopper Bag</t>
  </si>
  <si>
    <t xml:space="preserve">Platinum Shopper Bag Soho Grey | mid grey </t>
  </si>
  <si>
    <t>Soho Grey</t>
  </si>
  <si>
    <t xml:space="preserve">mid grey </t>
  </si>
  <si>
    <t>4063846149957</t>
  </si>
  <si>
    <t>30011010521002942</t>
  </si>
  <si>
    <t xml:space="preserve">Platinum Shopper Bag Deep Black | black </t>
  </si>
  <si>
    <t>Deep Black</t>
  </si>
  <si>
    <t>4063846150038</t>
  </si>
  <si>
    <t>30011010521002944</t>
  </si>
  <si>
    <t>Platinum Tote Bag</t>
  </si>
  <si>
    <t xml:space="preserve">Platinum Tote Bag Soho Grey | mid grey </t>
  </si>
  <si>
    <t>4063846150403</t>
  </si>
  <si>
    <t>30011010521002956</t>
  </si>
  <si>
    <t xml:space="preserve">Platinum Tote Bag Deep Black | black </t>
  </si>
  <si>
    <t>4063846150465</t>
  </si>
  <si>
    <t>30011010521002958</t>
  </si>
  <si>
    <t>Platinum Footmuff</t>
  </si>
  <si>
    <t>Platinum Fußsack</t>
  </si>
  <si>
    <t xml:space="preserve">Platinum Fußsack Sepia Black | black </t>
  </si>
  <si>
    <t>4063846413140</t>
  </si>
  <si>
    <t>30011010523000714</t>
  </si>
  <si>
    <t xml:space="preserve">Platinum Fußsack Mirage Grey | dark grey </t>
  </si>
  <si>
    <t>4063846413164</t>
  </si>
  <si>
    <t>30011010523000716</t>
  </si>
  <si>
    <t xml:space="preserve">Platinum Fußsack Off White | light beige </t>
  </si>
  <si>
    <t>4063846413188</t>
  </si>
  <si>
    <t>30011010523000718</t>
  </si>
  <si>
    <t xml:space="preserve">Platinum Fußsack Peach Pink | light pink </t>
  </si>
  <si>
    <t>4063846413201</t>
  </si>
  <si>
    <t>30011010523000720</t>
  </si>
  <si>
    <t xml:space="preserve">Platinum Fußsack Leaf Green | dark green </t>
  </si>
  <si>
    <t>4063846413225</t>
  </si>
  <si>
    <t>30011010523000722</t>
  </si>
  <si>
    <t xml:space="preserve">Platinum Fußsack Cozy Beige | beige </t>
  </si>
  <si>
    <t>4063846453313</t>
  </si>
  <si>
    <t>30011010523001314</t>
  </si>
  <si>
    <t>Platinum Winter Footmuff</t>
  </si>
  <si>
    <t>Platinum Winter Fußsack</t>
  </si>
  <si>
    <t xml:space="preserve">Platinum Winter Fußsack Deep Black | black </t>
  </si>
  <si>
    <t>4063846074778</t>
  </si>
  <si>
    <t>30011010521000804</t>
  </si>
  <si>
    <t xml:space="preserve">Platinum Winter Fußsack Nautical Blue | navy blue </t>
  </si>
  <si>
    <t>Nautical Blue</t>
  </si>
  <si>
    <t xml:space="preserve">navy blue </t>
  </si>
  <si>
    <t>4063846074815</t>
  </si>
  <si>
    <t>30011010521000816</t>
  </si>
  <si>
    <t xml:space="preserve">Platinum Winter Fußsack Arctic Silver | silver </t>
  </si>
  <si>
    <t>Arctic Silver</t>
  </si>
  <si>
    <t xml:space="preserve">silver </t>
  </si>
  <si>
    <t>4063846074853</t>
  </si>
  <si>
    <t>30011010521000828</t>
  </si>
  <si>
    <t>Cybex General</t>
  </si>
  <si>
    <t>Newborn Nest</t>
  </si>
  <si>
    <t xml:space="preserve">Newborn Nest Black | black </t>
  </si>
  <si>
    <t>Black</t>
  </si>
  <si>
    <t>4063846311910</t>
  </si>
  <si>
    <t>30011010522002326</t>
  </si>
  <si>
    <t xml:space="preserve">Newborn Nest White | white </t>
  </si>
  <si>
    <t>White</t>
  </si>
  <si>
    <t xml:space="preserve">white </t>
  </si>
  <si>
    <t>4063846311958</t>
  </si>
  <si>
    <t>30011010522002328</t>
  </si>
  <si>
    <t>Snøgga 2</t>
  </si>
  <si>
    <t>SNØGGA*</t>
  </si>
  <si>
    <t xml:space="preserve">SNØGGA* Moon Black | black </t>
  </si>
  <si>
    <t>Moon Black</t>
  </si>
  <si>
    <t>4063846330898</t>
  </si>
  <si>
    <t>30011010522002835</t>
  </si>
  <si>
    <t xml:space="preserve">SNØGGA* Lava Grey | mid grey </t>
  </si>
  <si>
    <t>Lava Grey</t>
  </si>
  <si>
    <t>4063846330911</t>
  </si>
  <si>
    <t>30011010522002837</t>
  </si>
  <si>
    <t xml:space="preserve">SNØGGA* Ocean Blue | navy blue </t>
  </si>
  <si>
    <t>Ocean Blue</t>
  </si>
  <si>
    <t>4063846330935</t>
  </si>
  <si>
    <t>30011010522002839</t>
  </si>
  <si>
    <t xml:space="preserve">SNØGGA* Sky Blue | light blue </t>
  </si>
  <si>
    <t>Sky Blue</t>
  </si>
  <si>
    <t xml:space="preserve">light blue </t>
  </si>
  <si>
    <t>4063846330959</t>
  </si>
  <si>
    <t>30011010522002841</t>
  </si>
  <si>
    <t xml:space="preserve">SNØGGA* Seashell Beige | light beige </t>
  </si>
  <si>
    <t>Seashell Beige</t>
  </si>
  <si>
    <t>4063846330973</t>
  </si>
  <si>
    <t>30011010522002843</t>
  </si>
  <si>
    <t xml:space="preserve">SNØGGA* Powder Pink | light pink </t>
  </si>
  <si>
    <t>Powder Pink</t>
  </si>
  <si>
    <t>4063846330997</t>
  </si>
  <si>
    <t>30011010522002845</t>
  </si>
  <si>
    <t xml:space="preserve">SNØGGA* Nature Green | green </t>
  </si>
  <si>
    <t>Nature Green</t>
  </si>
  <si>
    <t xml:space="preserve">green </t>
  </si>
  <si>
    <t>4063846331017</t>
  </si>
  <si>
    <t>30011010522002847</t>
  </si>
  <si>
    <t xml:space="preserve">SNØGGA* Hibiscus Red | red </t>
  </si>
  <si>
    <t>Hibiscus Red</t>
  </si>
  <si>
    <t xml:space="preserve">red </t>
  </si>
  <si>
    <t>4063846331031</t>
  </si>
  <si>
    <t>30011010522002849</t>
  </si>
  <si>
    <t xml:space="preserve">SNØGGA* Beach Blue | turquoise </t>
  </si>
  <si>
    <t>Beach Blue</t>
  </si>
  <si>
    <t xml:space="preserve">turquoise </t>
  </si>
  <si>
    <t>4063846331055</t>
  </si>
  <si>
    <t>30011010522002851</t>
  </si>
  <si>
    <t>*Mindestbestellmenge 6 Stück (freie Farbkombination)</t>
  </si>
  <si>
    <t>ePriam Battery</t>
  </si>
  <si>
    <t>ePRIAM Batterie</t>
  </si>
  <si>
    <t xml:space="preserve">ePRIAM Batterie Black | black </t>
  </si>
  <si>
    <t>4058511597775</t>
  </si>
  <si>
    <t>30011010519002653</t>
  </si>
  <si>
    <t>Coya CS Adapter</t>
  </si>
  <si>
    <t>COYA Adapter</t>
  </si>
  <si>
    <t xml:space="preserve">COYA Adapter Black | black </t>
  </si>
  <si>
    <t>4063846380770</t>
  </si>
  <si>
    <t>30011010522004126</t>
  </si>
  <si>
    <t>PRIAM Front Wheel Set Rough Terrain</t>
  </si>
  <si>
    <t>PRIAM Vorderrad-Adapter Set für Gelände</t>
  </si>
  <si>
    <t xml:space="preserve">PRIAM Vorderrad-Adapter Set für Gelände Multicolour | multicolor </t>
  </si>
  <si>
    <t>Multicolour</t>
  </si>
  <si>
    <t xml:space="preserve">multicolor </t>
  </si>
  <si>
    <t>4058511610399</t>
  </si>
  <si>
    <t>30011010519002695</t>
  </si>
  <si>
    <t>Priam Skies</t>
  </si>
  <si>
    <t>PRIAM Skis</t>
  </si>
  <si>
    <t xml:space="preserve">PRIAM Skis Black | black </t>
  </si>
  <si>
    <t>4058511625669</t>
  </si>
  <si>
    <t>30011010519002902</t>
  </si>
  <si>
    <t>Coya Bumperbar</t>
  </si>
  <si>
    <t>COYA Spielbügel</t>
  </si>
  <si>
    <t xml:space="preserve">COYA Spielbügel Black | black </t>
  </si>
  <si>
    <t>4063846421251</t>
  </si>
  <si>
    <t>30011010522003494</t>
  </si>
  <si>
    <t xml:space="preserve">COYA Spielbügel Dark Brown | dark brown </t>
  </si>
  <si>
    <t>Dark Brown</t>
  </si>
  <si>
    <t xml:space="preserve">dark brown </t>
  </si>
  <si>
    <t>4063846421268</t>
  </si>
  <si>
    <t>30011010522003496</t>
  </si>
  <si>
    <t>Platinum Sun Sail</t>
  </si>
  <si>
    <t>Platinum Sonnensegel</t>
  </si>
  <si>
    <t xml:space="preserve">Platinum Sonnensegel Light Grey | light grey </t>
  </si>
  <si>
    <t>Light Grey</t>
  </si>
  <si>
    <t xml:space="preserve">light grey </t>
  </si>
  <si>
    <t>4063846240043</t>
  </si>
  <si>
    <t>30011010522000408</t>
  </si>
  <si>
    <t xml:space="preserve">Platinum Sonnensegel Black | black </t>
  </si>
  <si>
    <t>4063846252282</t>
  </si>
  <si>
    <t>30011010522000586</t>
  </si>
  <si>
    <t>Platinum Snack Tray</t>
  </si>
  <si>
    <t xml:space="preserve">Platinum Snack Tray Black | black </t>
  </si>
  <si>
    <t>4058511625461</t>
  </si>
  <si>
    <t>30011010519002898</t>
  </si>
  <si>
    <t>Cup Holder WG</t>
  </si>
  <si>
    <t>Flaschenhalter</t>
  </si>
  <si>
    <t xml:space="preserve">Flaschenhalter Black | black </t>
  </si>
  <si>
    <t>4058511404417</t>
  </si>
  <si>
    <t>30011010518002944</t>
  </si>
  <si>
    <t>2in1 Cup Holder WG</t>
  </si>
  <si>
    <t>2in1 Flaschenhalter</t>
  </si>
  <si>
    <t xml:space="preserve">2in1 Flaschenhalter Black | black </t>
  </si>
  <si>
    <t>4063846002528</t>
  </si>
  <si>
    <t>30011010520004450</t>
  </si>
  <si>
    <t>Kid Board</t>
  </si>
  <si>
    <t xml:space="preserve">Kid Board Black | black </t>
  </si>
  <si>
    <t>4058511411798</t>
  </si>
  <si>
    <t>30011010518002952</t>
  </si>
  <si>
    <t>Parasol Stroller</t>
  </si>
  <si>
    <t>Sonnenschirm</t>
  </si>
  <si>
    <t xml:space="preserve">Sonnenschirm Black | black </t>
  </si>
  <si>
    <t>4063846039463</t>
  </si>
  <si>
    <t>30011010520004318</t>
  </si>
  <si>
    <t>Coya Rain Cover</t>
  </si>
  <si>
    <t>COYA Regenverdeck</t>
  </si>
  <si>
    <t xml:space="preserve">COYA Regenverdeck Transparent | transparent </t>
  </si>
  <si>
    <t>Transparent</t>
  </si>
  <si>
    <t xml:space="preserve">transparent </t>
  </si>
  <si>
    <t>4063846380749</t>
  </si>
  <si>
    <t>30011010522004124</t>
  </si>
  <si>
    <t>Insect Net Lux Carry Cots</t>
  </si>
  <si>
    <t>PRIAM/MIOS Insektennetz Kinderwagenaufsatz</t>
  </si>
  <si>
    <t xml:space="preserve">PRIAM/MIOS Insektennetz Kinderwagenaufsatz Black | black </t>
  </si>
  <si>
    <t>4058511653938</t>
  </si>
  <si>
    <t>30011010519003276</t>
  </si>
  <si>
    <t>Insect Net Lux Seats</t>
  </si>
  <si>
    <t>PRIAM/MIOS Insektennetz Lux Sitz</t>
  </si>
  <si>
    <t xml:space="preserve">PRIAM/MIOS Insektennetz Lux Sitz Black | black </t>
  </si>
  <si>
    <t>4058511625560</t>
  </si>
  <si>
    <t>30011010519002900</t>
  </si>
  <si>
    <t>Coya Insect Net</t>
  </si>
  <si>
    <t>COYA Insektennetz</t>
  </si>
  <si>
    <t xml:space="preserve">COYA Insektennetz Black | black </t>
  </si>
  <si>
    <t>4063846421763</t>
  </si>
  <si>
    <t>30011010522004966</t>
  </si>
  <si>
    <t>Summer Seat Liner</t>
  </si>
  <si>
    <t>Sommer Sitzauflage</t>
  </si>
  <si>
    <t xml:space="preserve">Sommer Sitzauflage White | white </t>
  </si>
  <si>
    <t>4063846313587</t>
  </si>
  <si>
    <t>30011010522002330</t>
  </si>
  <si>
    <t xml:space="preserve">Sommer Sitzauflage Grey | grey </t>
  </si>
  <si>
    <t>Grey</t>
  </si>
  <si>
    <t xml:space="preserve">grey </t>
  </si>
  <si>
    <t>4063846313686</t>
  </si>
  <si>
    <t>30011010522002336</t>
  </si>
  <si>
    <t xml:space="preserve">Sommer Sitzauflage Beige | beige </t>
  </si>
  <si>
    <t>Beige</t>
  </si>
  <si>
    <t>4063846311996</t>
  </si>
  <si>
    <t>30011010522002342</t>
  </si>
  <si>
    <t>Kinderautositze Gruppe 0+</t>
  </si>
  <si>
    <t>CYBEX PLATINUM-Kinderautositze Gruppe 0+</t>
  </si>
  <si>
    <t>Cloud Series</t>
  </si>
  <si>
    <t>Cloud T||CPL||EX|NA||</t>
  </si>
  <si>
    <t>CLOUD T I-SIZE</t>
  </si>
  <si>
    <t xml:space="preserve">CLOUD T I-SIZE Sepia Black | black </t>
  </si>
  <si>
    <t>4063846402250</t>
  </si>
  <si>
    <t>30011010523000220</t>
  </si>
  <si>
    <t xml:space="preserve">CLOUD T I-SIZE Mirage Grey | dark grey </t>
  </si>
  <si>
    <t>4063846402410</t>
  </si>
  <si>
    <t>30011010523000226</t>
  </si>
  <si>
    <t>Cloud T Plus||CPL||EX|NA||</t>
  </si>
  <si>
    <t>CLOUD T I-SIZE PLUS</t>
  </si>
  <si>
    <t xml:space="preserve">CLOUD T I-SIZE PLUS Sepia Black | black </t>
  </si>
  <si>
    <t>4063846402571</t>
  </si>
  <si>
    <t>30011010523000232</t>
  </si>
  <si>
    <t xml:space="preserve">CLOUD T I-SIZE PLUS Mirage Grey | dark grey </t>
  </si>
  <si>
    <t>4063846402731</t>
  </si>
  <si>
    <t>30011010523000238</t>
  </si>
  <si>
    <t xml:space="preserve">CLOUD T I-SIZE PLUS Platinum White | light grey </t>
  </si>
  <si>
    <t>Platinum White</t>
  </si>
  <si>
    <t>4063846402892</t>
  </si>
  <si>
    <t>30011010523000244</t>
  </si>
  <si>
    <t xml:space="preserve">CLOUD T I-SIZE PLUS Peach Pink | light pink </t>
  </si>
  <si>
    <t>4063846403059</t>
  </si>
  <si>
    <t>30011010523000250</t>
  </si>
  <si>
    <t xml:space="preserve">CLOUD T I-SIZE PLUS Leaf Green | dark green </t>
  </si>
  <si>
    <t>4063846403219</t>
  </si>
  <si>
    <t>30011010523000256</t>
  </si>
  <si>
    <t xml:space="preserve">CLOUD T I-SIZE PLUS Cozy Beige | beige </t>
  </si>
  <si>
    <t>4063846453115</t>
  </si>
  <si>
    <t>30011010523001302</t>
  </si>
  <si>
    <t>Car Seats Base Series</t>
  </si>
  <si>
    <t>Base T</t>
  </si>
  <si>
    <t>BASE T</t>
  </si>
  <si>
    <t xml:space="preserve">BASE T Black | black </t>
  </si>
  <si>
    <t>4063846223701</t>
  </si>
  <si>
    <t>30011010522000070</t>
  </si>
  <si>
    <t>Kinderautositze Gruppe 0+/1</t>
  </si>
  <si>
    <t>CYBEX PLATINUM-Kinderautositze Gruppe 0+/1</t>
  </si>
  <si>
    <t>Sirona Series</t>
  </si>
  <si>
    <t>Sirona T||CPL||EX|NA||</t>
  </si>
  <si>
    <t>SIRONA T I-SIZE</t>
  </si>
  <si>
    <t xml:space="preserve">SIRONA T I-SIZE Sepia Black | black </t>
  </si>
  <si>
    <t>4063846404919</t>
  </si>
  <si>
    <t>30011010523000375</t>
  </si>
  <si>
    <t xml:space="preserve">SIRONA T I-SIZE Mirage Grey | dark grey </t>
  </si>
  <si>
    <t>4063846404988</t>
  </si>
  <si>
    <t>30011010523000381</t>
  </si>
  <si>
    <t>Sirona T Plus||CPL||EX|NA||</t>
  </si>
  <si>
    <t>SIRONA T I-SIZE PLUS</t>
  </si>
  <si>
    <t xml:space="preserve">SIRONA T I-SIZE PLUS Sepia Black | black </t>
  </si>
  <si>
    <t>4063846405053</t>
  </si>
  <si>
    <t>30011010523000387</t>
  </si>
  <si>
    <t xml:space="preserve">SIRONA T I-SIZE PLUS Mirage Grey | dark grey </t>
  </si>
  <si>
    <t>4063846405121</t>
  </si>
  <si>
    <t>30011010523000393</t>
  </si>
  <si>
    <t xml:space="preserve">SIRONA T I-SIZE PLUS Nautical Blue | navy blue </t>
  </si>
  <si>
    <t>4063846405190</t>
  </si>
  <si>
    <t>30011010523000399</t>
  </si>
  <si>
    <t xml:space="preserve">SIRONA T I-SIZE PLUS Platinum White | light grey </t>
  </si>
  <si>
    <t>4063846405268</t>
  </si>
  <si>
    <t>30011010523000405</t>
  </si>
  <si>
    <t xml:space="preserve">SIRONA T I-SIZE PLUS Peach Pink | light pink </t>
  </si>
  <si>
    <t>4063846405336</t>
  </si>
  <si>
    <t>30011010523000411</t>
  </si>
  <si>
    <t xml:space="preserve">SIRONA T I-SIZE PLUS Cozy Beige | beige </t>
  </si>
  <si>
    <t>4063846405404</t>
  </si>
  <si>
    <t>30011010523000417</t>
  </si>
  <si>
    <t>Sirona Zi||CPL||IE|NA||</t>
  </si>
  <si>
    <t>SIRONA Zi I-SIZE</t>
  </si>
  <si>
    <t xml:space="preserve">SIRONA Zi I-SIZE Soho Grey | mid grey </t>
  </si>
  <si>
    <t>4063486016008</t>
  </si>
  <si>
    <t>30011010520003765</t>
  </si>
  <si>
    <t xml:space="preserve">SIRONA Zi I-SIZE Deep Black | black </t>
  </si>
  <si>
    <t>4063486016145</t>
  </si>
  <si>
    <t>30011010520003767</t>
  </si>
  <si>
    <t xml:space="preserve">SIRONA Zi I-SIZE Autumn Gold | burnt red </t>
  </si>
  <si>
    <t>Autumn Gold</t>
  </si>
  <si>
    <t xml:space="preserve">burnt red </t>
  </si>
  <si>
    <t>4063486016282</t>
  </si>
  <si>
    <t>30011010520003769</t>
  </si>
  <si>
    <t>Sirona Zi Plus||CPL||IE|NA||</t>
  </si>
  <si>
    <t>SIRONA Zi I-SIZE PLUS</t>
  </si>
  <si>
    <t xml:space="preserve">SIRONA Zi I-SIZE PLUS Nautical Blue | navy blue </t>
  </si>
  <si>
    <t>4063486016879</t>
  </si>
  <si>
    <t>30011010520003783</t>
  </si>
  <si>
    <t xml:space="preserve">SIRONA Zi I-SIZE PLUS Mountain Blue | turquoise </t>
  </si>
  <si>
    <t>Mountain Blue</t>
  </si>
  <si>
    <t>4063486017012</t>
  </si>
  <si>
    <t>30011010520003785</t>
  </si>
  <si>
    <t xml:space="preserve">SIRONA Zi I-SIZE PLUS Khaki Green | khaki brown </t>
  </si>
  <si>
    <t>Khaki Green</t>
  </si>
  <si>
    <t xml:space="preserve">khaki brown </t>
  </si>
  <si>
    <t>4063486017159</t>
  </si>
  <si>
    <t>30011010520003787</t>
  </si>
  <si>
    <t xml:space="preserve">SIRONA Zi I-SIZE PLUS Mustard Yellow | yellow </t>
  </si>
  <si>
    <t>Mustard Yellow</t>
  </si>
  <si>
    <t xml:space="preserve">yellow </t>
  </si>
  <si>
    <t>4063486017296</t>
  </si>
  <si>
    <t>30011010520003789</t>
  </si>
  <si>
    <t xml:space="preserve">SIRONA Zi I-SIZE PLUS Autumn Gold | burnt red </t>
  </si>
  <si>
    <t>4063486017432</t>
  </si>
  <si>
    <t>30011010520003791</t>
  </si>
  <si>
    <t xml:space="preserve">SIRONA Zi I-SIZE PLUS Soho Grey | mid grey </t>
  </si>
  <si>
    <t>4063486017579</t>
  </si>
  <si>
    <t>30011010520003793</t>
  </si>
  <si>
    <t xml:space="preserve">SIRONA Zi I-SIZE PLUS Deep Black | black </t>
  </si>
  <si>
    <t>4063486017715</t>
  </si>
  <si>
    <t>30011010520003795</t>
  </si>
  <si>
    <t>Anoris Series</t>
  </si>
  <si>
    <t>Anoris T2||CPL||EX|NA||</t>
  </si>
  <si>
    <t>NEW as of 07/24 - ANORIS T2 I-SIZE</t>
  </si>
  <si>
    <t xml:space="preserve">NEW as of 07/24 - ANORIS T2 I-SIZE Sepia Black | black </t>
  </si>
  <si>
    <t>4063846423798</t>
  </si>
  <si>
    <t>30011010523001051</t>
  </si>
  <si>
    <t xml:space="preserve">NEW as of 07/24 - ANORIS T2 I-SIZE Mirage Grey | dark grey </t>
  </si>
  <si>
    <t>4063846423873</t>
  </si>
  <si>
    <t>30011010523001055</t>
  </si>
  <si>
    <t>Anoris T2 Plus||CPL||EX|NA||</t>
  </si>
  <si>
    <t>NEW as of 05/24 - ANORIS T2 I-SIZE PLUS</t>
  </si>
  <si>
    <t xml:space="preserve">NEW as of 05/24 - ANORIS T2 I-SIZE PLUS Sepia Black | black </t>
  </si>
  <si>
    <t>4063846423958</t>
  </si>
  <si>
    <t>30011010523001059</t>
  </si>
  <si>
    <t xml:space="preserve">NEW as of 05/24 - ANORIS T2 I-SIZE PLUS Mirage Grey | dark grey </t>
  </si>
  <si>
    <t>4063846424030</t>
  </si>
  <si>
    <t>30011010523001063</t>
  </si>
  <si>
    <t xml:space="preserve">NEW as of 05/24 - ANORIS T2 I-SIZE PLUS Nautical Blue | navy blue </t>
  </si>
  <si>
    <t>4063846424115</t>
  </si>
  <si>
    <t>30011010523001067</t>
  </si>
  <si>
    <t xml:space="preserve">NEW as of 05/24 - ANORIS T2 I-SIZE PLUS Platinum White | light grey </t>
  </si>
  <si>
    <t>4063846424191</t>
  </si>
  <si>
    <t>30011010523001071</t>
  </si>
  <si>
    <t xml:space="preserve">NEW as of 05/24 - ANORIS T2 I-SIZE PLUS Peach Pink | light pink </t>
  </si>
  <si>
    <t>4063846424276</t>
  </si>
  <si>
    <t>30011010523001075</t>
  </si>
  <si>
    <t xml:space="preserve">NEW as of 05/24 - ANORIS T2 I-SIZE PLUS Cozy Beige | beige </t>
  </si>
  <si>
    <t>4063846424351</t>
  </si>
  <si>
    <t>30011010523001079</t>
  </si>
  <si>
    <t>Kinderautositze Gruppe 2/3</t>
  </si>
  <si>
    <t>CYBEX PLATINUM-Kinderautositze Gruppe 2/3</t>
  </si>
  <si>
    <t>Solution Series</t>
  </si>
  <si>
    <t>Solution T||CPL||EX|NA||</t>
  </si>
  <si>
    <t>SOLUTION T I-FIX</t>
  </si>
  <si>
    <t xml:space="preserve">SOLUTION T I-FIX Sepia Black | black </t>
  </si>
  <si>
    <t>4063846380565</t>
  </si>
  <si>
    <t>30011010522004118</t>
  </si>
  <si>
    <t xml:space="preserve">SOLUTION T I-FIX Mirage Grey | dark grey </t>
  </si>
  <si>
    <t>4063846380626</t>
  </si>
  <si>
    <t>30011010522004120</t>
  </si>
  <si>
    <t>SolutionT Plus||CPL||EX|NA||</t>
  </si>
  <si>
    <t>SOLUTION T I-FIX PLUS</t>
  </si>
  <si>
    <t xml:space="preserve">SOLUTION T I-FIX PLUS Nautical Blue | navy blue </t>
  </si>
  <si>
    <t>4063846380145</t>
  </si>
  <si>
    <t>30011010522004104</t>
  </si>
  <si>
    <t xml:space="preserve">SOLUTION T I-FIX PLUS Sepia Black | black </t>
  </si>
  <si>
    <t>4063846380206</t>
  </si>
  <si>
    <t>30011010522004106</t>
  </si>
  <si>
    <t xml:space="preserve">SOLUTION T I-FIX PLUS Mirage Grey | dark grey </t>
  </si>
  <si>
    <t>4063846380268</t>
  </si>
  <si>
    <t>30011010522004108</t>
  </si>
  <si>
    <t xml:space="preserve">SOLUTION T I-FIX PLUS Platinum White | light grey </t>
  </si>
  <si>
    <t>4063846380329</t>
  </si>
  <si>
    <t>30011010522004110</t>
  </si>
  <si>
    <t xml:space="preserve">SOLUTION T I-FIX PLUS Peach Pink | light pink </t>
  </si>
  <si>
    <t>4063846380381</t>
  </si>
  <si>
    <t>30011010522004112</t>
  </si>
  <si>
    <t xml:space="preserve">SOLUTION T I-FIX PLUS Cozy Beige | beige </t>
  </si>
  <si>
    <t>4063846380442</t>
  </si>
  <si>
    <t>30011010522004114</t>
  </si>
  <si>
    <t>Kinderautositze Zubehör</t>
  </si>
  <si>
    <t>CYBEX PLATINUM-Kinderautositze Zubehör</t>
  </si>
  <si>
    <t>Car Seats Accessory Series</t>
  </si>
  <si>
    <t>Platinum Winter Footmuff Mini</t>
  </si>
  <si>
    <t>Platinum Winter Fußsack Mini</t>
  </si>
  <si>
    <t xml:space="preserve">Platinum Winter Fußsack Mini Deep Black | black </t>
  </si>
  <si>
    <t>4063846242955</t>
  </si>
  <si>
    <t>30011010522000442</t>
  </si>
  <si>
    <t xml:space="preserve">Platinum Winter Fußsack Mini Nautical Blue | navy blue </t>
  </si>
  <si>
    <t>4063846242979</t>
  </si>
  <si>
    <t>30011010522000444</t>
  </si>
  <si>
    <t xml:space="preserve">Platinum Winter Fußsack Mini Arctic Silver | silver </t>
  </si>
  <si>
    <t>4063846242993</t>
  </si>
  <si>
    <t>30011010522000446</t>
  </si>
  <si>
    <t>Snøgga Mini 2</t>
  </si>
  <si>
    <t>SNØGGA MINI*</t>
  </si>
  <si>
    <t xml:space="preserve">SNØGGA MINI* Moon Black | black </t>
  </si>
  <si>
    <t>4063846331437</t>
  </si>
  <si>
    <t>30011010522002889</t>
  </si>
  <si>
    <t xml:space="preserve">SNØGGA MINI* Lava Grey | mid grey </t>
  </si>
  <si>
    <t>4063846331451</t>
  </si>
  <si>
    <t>30011010522002891</t>
  </si>
  <si>
    <t xml:space="preserve">SNØGGA MINI* Ocean Blue | navy blue </t>
  </si>
  <si>
    <t>4063846331475</t>
  </si>
  <si>
    <t>30011010522002893</t>
  </si>
  <si>
    <t xml:space="preserve">SNØGGA MINI* Sky Blue | light blue </t>
  </si>
  <si>
    <t>4063846331499</t>
  </si>
  <si>
    <t>30011010522002895</t>
  </si>
  <si>
    <t xml:space="preserve">SNØGGA MINI* Seashell Beige | light beige </t>
  </si>
  <si>
    <t>4063846331512</t>
  </si>
  <si>
    <t>30011010522002897</t>
  </si>
  <si>
    <t xml:space="preserve">SNØGGA MINI* Powder Pink | light pink </t>
  </si>
  <si>
    <t>4063846331536</t>
  </si>
  <si>
    <t>30011010522002899</t>
  </si>
  <si>
    <t xml:space="preserve">SNØGGA MINI* Nature Green | green </t>
  </si>
  <si>
    <t>4063846331550</t>
  </si>
  <si>
    <t>30011010522002901</t>
  </si>
  <si>
    <t xml:space="preserve">SNØGGA MINI* Hibiscus Red | red </t>
  </si>
  <si>
    <t>4063846331574</t>
  </si>
  <si>
    <t>30011010522002903</t>
  </si>
  <si>
    <t xml:space="preserve">SNØGGA MINI* Beach Blue | turquoise </t>
  </si>
  <si>
    <t>4063846331598</t>
  </si>
  <si>
    <t>30011010522002905</t>
  </si>
  <si>
    <t>Anoris T i-Size Battery PU1</t>
  </si>
  <si>
    <t>Anoris T i-Size Batterie</t>
  </si>
  <si>
    <t xml:space="preserve">Anoris T i-Size Batterie None | none </t>
  </si>
  <si>
    <t>None</t>
  </si>
  <si>
    <t xml:space="preserve">none </t>
  </si>
  <si>
    <t>4063846286911</t>
  </si>
  <si>
    <t>30011010522001523</t>
  </si>
  <si>
    <t>Fixingbelts</t>
  </si>
  <si>
    <t>Fixiergurt</t>
  </si>
  <si>
    <t>Fixiergurt Black | black **</t>
  </si>
  <si>
    <t>black **</t>
  </si>
  <si>
    <t>4250183704110</t>
  </si>
  <si>
    <t>30011010511410002</t>
  </si>
  <si>
    <t>Latch Guides</t>
  </si>
  <si>
    <t>Isofix Einführhilfen</t>
  </si>
  <si>
    <t>Isofix Einführhilfen Black | black **</t>
  </si>
  <si>
    <t>4250183754023</t>
  </si>
  <si>
    <t>3001101050054002</t>
  </si>
  <si>
    <t>SensorSafe 4 in 1 Safety Kit Infant 3.0</t>
  </si>
  <si>
    <t xml:space="preserve">Sensor Safe 4 in 1 Sicherheitskit für Neugeborene </t>
  </si>
  <si>
    <t xml:space="preserve">Sensor Safe 4 in 1 Sicherheitskit für Neugeborene  Grey | grey </t>
  </si>
  <si>
    <t>4063846146451</t>
  </si>
  <si>
    <t>30011010521002898</t>
  </si>
  <si>
    <t>SensorSafe 4 in 1 Safety Kit Toddler 3.0</t>
  </si>
  <si>
    <t>Sensor Safe 4 in 1 Sicherheitskit für Kleinkinder</t>
  </si>
  <si>
    <t xml:space="preserve">Sensor Safe 4 in 1 Sicherheitskit für Kleinkinder Grey | grey </t>
  </si>
  <si>
    <t>4063846146512</t>
  </si>
  <si>
    <t>30011010521002900</t>
  </si>
  <si>
    <t>Cup Holder CS</t>
  </si>
  <si>
    <t>Flaschenhalter für Kinderautositz</t>
  </si>
  <si>
    <t xml:space="preserve">Flaschenhalter für Kinderautositz Black | black </t>
  </si>
  <si>
    <t>4063846427871</t>
  </si>
  <si>
    <t>30011010523001110</t>
  </si>
  <si>
    <t>Sun Shade Aton/Cloud Series</t>
  </si>
  <si>
    <t>ATON / CLOUD Sonnenschutz</t>
  </si>
  <si>
    <t xml:space="preserve">ATON / CLOUD Sonnenschutz Black | black </t>
  </si>
  <si>
    <t>4058511380728</t>
  </si>
  <si>
    <t>30011010518002928</t>
  </si>
  <si>
    <t>Insect Net Aton/Cloud Series</t>
  </si>
  <si>
    <t>ATON / CLOUD Insektennetz</t>
  </si>
  <si>
    <t xml:space="preserve">ATON / CLOUD Insektennetz Black | black </t>
  </si>
  <si>
    <t>4251158219158</t>
  </si>
  <si>
    <t>30011010516405002</t>
  </si>
  <si>
    <t>Rain cover Aton/Cloud Series</t>
  </si>
  <si>
    <t>ATON / CLOUD Regenverdeck</t>
  </si>
  <si>
    <t xml:space="preserve">ATON / CLOUD Regenverdeck Transparent | transparent </t>
  </si>
  <si>
    <t>4251158219141</t>
  </si>
  <si>
    <t>30011010516404002</t>
  </si>
  <si>
    <t>Summer Cover Cloud T/Z2</t>
  </si>
  <si>
    <t>CLOUD T Sommerbezug</t>
  </si>
  <si>
    <t xml:space="preserve">CLOUD T Sommerbezug Grey | grey </t>
  </si>
  <si>
    <t>4063846315017</t>
  </si>
  <si>
    <t>30011010522002448</t>
  </si>
  <si>
    <t>Summer Cover Sirona T / Z Line</t>
  </si>
  <si>
    <t>SIRONA T Sommerbezug</t>
  </si>
  <si>
    <t xml:space="preserve">SIRONA T Sommerbezug Grey | grey </t>
  </si>
  <si>
    <t>4063846405503</t>
  </si>
  <si>
    <t>30011010523000426</t>
  </si>
  <si>
    <t>Summer Cover Anoris T i-Size</t>
  </si>
  <si>
    <t>ANORIS T Sommerbezug</t>
  </si>
  <si>
    <t>ANORIS T Sommerbezug White | white **</t>
  </si>
  <si>
    <t>white **</t>
  </si>
  <si>
    <t>4063846116768</t>
  </si>
  <si>
    <t>30011010521002056</t>
  </si>
  <si>
    <t xml:space="preserve">ANORIS T Sommerbezug Grey | grey </t>
  </si>
  <si>
    <t>4063846116843</t>
  </si>
  <si>
    <t>30011010521002058</t>
  </si>
  <si>
    <t>ANORIS T Sommerbezug Beige | beige **</t>
  </si>
  <si>
    <t>beige **</t>
  </si>
  <si>
    <t>4063846116928</t>
  </si>
  <si>
    <t>30011010521002060</t>
  </si>
  <si>
    <t>Summer Cover Solution Z-fix</t>
  </si>
  <si>
    <t>SOLUTION T Sommerbezug</t>
  </si>
  <si>
    <t>SOLUTION T Sommerbezug White | white **</t>
  </si>
  <si>
    <t>4063846117000</t>
  </si>
  <si>
    <t>30011010521002062</t>
  </si>
  <si>
    <t xml:space="preserve">SOLUTION T Sommerbezug Grey | grey </t>
  </si>
  <si>
    <t>4063846117086</t>
  </si>
  <si>
    <t>30011010521002064</t>
  </si>
  <si>
    <t>SOLUTION T Sommerbezug Beige | beige **</t>
  </si>
  <si>
    <t>4063846117161</t>
  </si>
  <si>
    <t>30011010521002066</t>
  </si>
  <si>
    <t>Summer Cover Solution T Line / Solution</t>
  </si>
  <si>
    <t>SOLUTION T PLUS Sommerbezug</t>
  </si>
  <si>
    <t xml:space="preserve">SOLUTION T PLUS Sommerbezug Grey | grey </t>
  </si>
  <si>
    <t>4063846424511</t>
  </si>
  <si>
    <t>30011010523001086</t>
  </si>
  <si>
    <t>CYBEX GOLD-Kinderwagen</t>
  </si>
  <si>
    <t>Balios Series</t>
  </si>
  <si>
    <t>BaliosSLux BLK 1.1Plus||CGO||EN|AC||</t>
  </si>
  <si>
    <t>BALIOS S LUX BLK</t>
  </si>
  <si>
    <t xml:space="preserve">BALIOS S LUX BLK Moon Black | black </t>
  </si>
  <si>
    <t>4063846317776</t>
  </si>
  <si>
    <t>30011010522002533</t>
  </si>
  <si>
    <t>BaliosSLux SLV 1.1Plus||CGO||EN|AC||</t>
  </si>
  <si>
    <t>BALIOS S LUX SLV</t>
  </si>
  <si>
    <t xml:space="preserve">BALIOS S LUX SLV Lava Grey | mid grey </t>
  </si>
  <si>
    <t>4063846317936</t>
  </si>
  <si>
    <t>30011010522002549</t>
  </si>
  <si>
    <t xml:space="preserve">BALIOS S LUX SLV Ocean Blue | navy blue </t>
  </si>
  <si>
    <t>4063846366309</t>
  </si>
  <si>
    <t>30011010522003755</t>
  </si>
  <si>
    <t>BaliosSLux TPE 1.1Plus||CGO||EN|AC||</t>
  </si>
  <si>
    <t>BALIOS S LUX TPE</t>
  </si>
  <si>
    <t xml:space="preserve">BALIOS S LUX TPE Sky Blue | light blue </t>
  </si>
  <si>
    <t>4063846318018</t>
  </si>
  <si>
    <t>30011010522002557</t>
  </si>
  <si>
    <t xml:space="preserve">BALIOS S LUX TPE Seashell Beige | light beige </t>
  </si>
  <si>
    <t>4063846318094</t>
  </si>
  <si>
    <t>30011010522002565</t>
  </si>
  <si>
    <t xml:space="preserve">BALIOS S LUX TPE Almond Beige | beige </t>
  </si>
  <si>
    <t>Almond Beige</t>
  </si>
  <si>
    <t>4063846456338</t>
  </si>
  <si>
    <t>30011010522005233</t>
  </si>
  <si>
    <t>Talos Series</t>
  </si>
  <si>
    <t>TalosS Lux BLK 1.1 Plus||CGO||EN|AC||</t>
  </si>
  <si>
    <t>TALOS S LUX BLK</t>
  </si>
  <si>
    <t xml:space="preserve">TALOS S LUX BLK Moon Black | black </t>
  </si>
  <si>
    <t>4063846392414</t>
  </si>
  <si>
    <t>30011010522004713</t>
  </si>
  <si>
    <t>TalosS Lux SLV 1.1Plus||CGO||EN|AC||</t>
  </si>
  <si>
    <t>TALOS S LUX SLV</t>
  </si>
  <si>
    <t xml:space="preserve">TALOS S LUX SLV Lava Grey | mid grey </t>
  </si>
  <si>
    <t>4063846318339</t>
  </si>
  <si>
    <t>30011010522002589</t>
  </si>
  <si>
    <t xml:space="preserve">TALOS S LUX SLV Ocean Blue | navy blue </t>
  </si>
  <si>
    <t>4063846318377</t>
  </si>
  <si>
    <t>30011010522002593</t>
  </si>
  <si>
    <t>TalosS Lux TPE 1.1Plus||CGO||EN|AC||</t>
  </si>
  <si>
    <t>TALOS S LUX TPE</t>
  </si>
  <si>
    <t xml:space="preserve">TALOS S LUX TPE Sky Blue | light blue </t>
  </si>
  <si>
    <t>4063846318414</t>
  </si>
  <si>
    <t>30011010522002597</t>
  </si>
  <si>
    <t xml:space="preserve">TALOS S LUX TPE Seashell Beige | light beige </t>
  </si>
  <si>
    <t>4063846318490</t>
  </si>
  <si>
    <t>30011010522002605</t>
  </si>
  <si>
    <t>Cot S Series</t>
  </si>
  <si>
    <t>Cot S Lux||CGO||EN|NA||</t>
  </si>
  <si>
    <t>COT S LUX</t>
  </si>
  <si>
    <t xml:space="preserve">COT S LUX Sky Blue | light blue </t>
  </si>
  <si>
    <t>4063846318537</t>
  </si>
  <si>
    <t>30011010522002609</t>
  </si>
  <si>
    <t xml:space="preserve">COT S LUX Seashell Beige | light beige </t>
  </si>
  <si>
    <t>4063846318612</t>
  </si>
  <si>
    <t>30011010522002615</t>
  </si>
  <si>
    <t xml:space="preserve">COT S LUX Moon Black | black </t>
  </si>
  <si>
    <t>4063846318650</t>
  </si>
  <si>
    <t>30011010522002619</t>
  </si>
  <si>
    <t xml:space="preserve">COT S LUX Lava Grey | mid grey </t>
  </si>
  <si>
    <t>4063846318698</t>
  </si>
  <si>
    <t>30011010522002623</t>
  </si>
  <si>
    <t xml:space="preserve">COT S LUX Ocean Blue | navy blue </t>
  </si>
  <si>
    <t>4063846318735</t>
  </si>
  <si>
    <t>30011010522002627</t>
  </si>
  <si>
    <t xml:space="preserve">COT S LUX Almond Beige | beige </t>
  </si>
  <si>
    <t>4063846456604</t>
  </si>
  <si>
    <t>30011010522005267</t>
  </si>
  <si>
    <t>Avi Spin Series</t>
  </si>
  <si>
    <t>Avi Spin BLK||CGO||EN|NA||</t>
  </si>
  <si>
    <t>NEW as of 05/24 - AVI SPIN BLK</t>
  </si>
  <si>
    <t xml:space="preserve">NEW as of 05/24 - AVI SPIN BLK Moon Black | black </t>
  </si>
  <si>
    <t>4063846468072</t>
  </si>
  <si>
    <t>30011010524000609</t>
  </si>
  <si>
    <t xml:space="preserve">NEW as of 05/24 - AVI SPIN BLK Fog Grey | light grey </t>
  </si>
  <si>
    <t>Fog Grey</t>
  </si>
  <si>
    <t>4063846468126</t>
  </si>
  <si>
    <t>30011010524000617</t>
  </si>
  <si>
    <t xml:space="preserve">NEW as of 05/24 - AVI SPIN BLK Stormy Blue | light blue </t>
  </si>
  <si>
    <t>Stormy Blue</t>
  </si>
  <si>
    <t>4063846468171</t>
  </si>
  <si>
    <t>30011010524000625</t>
  </si>
  <si>
    <t xml:space="preserve">NEW as of 05/24 - AVI SPIN BLK Seashell Beige | light beige </t>
  </si>
  <si>
    <t>4063846472192</t>
  </si>
  <si>
    <t>30011010524000743</t>
  </si>
  <si>
    <t xml:space="preserve">NEW as of 05/24 - AVI SPIN BLK Almond Beige | beige </t>
  </si>
  <si>
    <t>4063846474820</t>
  </si>
  <si>
    <t>30011010524001009</t>
  </si>
  <si>
    <t>Cot S||CGO||EN|NA||</t>
  </si>
  <si>
    <t>NEW - COT S</t>
  </si>
  <si>
    <t xml:space="preserve">NEW - COT S Moon Black | black </t>
  </si>
  <si>
    <t>4063846452187</t>
  </si>
  <si>
    <t>30011010524000367</t>
  </si>
  <si>
    <t xml:space="preserve">NEW - COT S Fog Grey | light grey </t>
  </si>
  <si>
    <t>4063846452224</t>
  </si>
  <si>
    <t>30011010524000369</t>
  </si>
  <si>
    <t xml:space="preserve">NEW - COT S Stormy Blue | light blue </t>
  </si>
  <si>
    <t>4063846452446</t>
  </si>
  <si>
    <t>30011010524000383</t>
  </si>
  <si>
    <t xml:space="preserve">NEW - COT S Seashell Beige | light beige </t>
  </si>
  <si>
    <t>4063846478279</t>
  </si>
  <si>
    <t>30011010524001329</t>
  </si>
  <si>
    <t xml:space="preserve">NEW - COT S Almond Beige | beige </t>
  </si>
  <si>
    <t>4063846478316</t>
  </si>
  <si>
    <t>30011010524001335</t>
  </si>
  <si>
    <t>Eos Series</t>
  </si>
  <si>
    <t>Eos Lux BLK||CGO||EN|AC||</t>
  </si>
  <si>
    <t>EOS LUX BLK</t>
  </si>
  <si>
    <t xml:space="preserve">EOS LUX BLK Moon Black | black </t>
  </si>
  <si>
    <t>4063846368082</t>
  </si>
  <si>
    <t>30011010522003825</t>
  </si>
  <si>
    <t>Eos Lux SLV||CGO||EN|AC||</t>
  </si>
  <si>
    <t>EOS LUX SLV</t>
  </si>
  <si>
    <t xml:space="preserve">EOS LUX SLV Lava Grey | mid grey </t>
  </si>
  <si>
    <t>4063846368532</t>
  </si>
  <si>
    <t>30011010522003847</t>
  </si>
  <si>
    <t xml:space="preserve">EOS LUX SLV Ocean Blue | navy blue </t>
  </si>
  <si>
    <t>4063846368655</t>
  </si>
  <si>
    <t>30011010522003859</t>
  </si>
  <si>
    <t>Eos Lux TPE||CGO||EN|AC||</t>
  </si>
  <si>
    <t>EOS LUX TPE</t>
  </si>
  <si>
    <t xml:space="preserve">EOS LUX TPE Sky Blue | light blue </t>
  </si>
  <si>
    <t>4063846368129</t>
  </si>
  <si>
    <t>30011010522003829</t>
  </si>
  <si>
    <t xml:space="preserve">EOS LUX TPE Seashell Beige | light beige </t>
  </si>
  <si>
    <t>4063846368570</t>
  </si>
  <si>
    <t>30011010522003851</t>
  </si>
  <si>
    <t>Gazelle Series</t>
  </si>
  <si>
    <t>Gazelle S BLK 2 Plus||CGO||EN|BW||</t>
  </si>
  <si>
    <t>GAZELLE S BLK</t>
  </si>
  <si>
    <t xml:space="preserve">GAZELLE S BLK Moon Black | black </t>
  </si>
  <si>
    <t>4063846322435</t>
  </si>
  <si>
    <t>30011010522002703</t>
  </si>
  <si>
    <t>Gazelle S SLV 2 Plus||CGO||EN|BW||</t>
  </si>
  <si>
    <t>GAZELLE S SLV</t>
  </si>
  <si>
    <t xml:space="preserve">GAZELLE S SLV Lava Grey | mid grey </t>
  </si>
  <si>
    <t>4063846322466</t>
  </si>
  <si>
    <t>30011010522002705</t>
  </si>
  <si>
    <t xml:space="preserve">GAZELLE S SLV Ocean Blue | navy blue </t>
  </si>
  <si>
    <t>4063846322497</t>
  </si>
  <si>
    <t>30011010522002707</t>
  </si>
  <si>
    <t>Gazelle S TPE 2 Plus||CGO||EN|BW||</t>
  </si>
  <si>
    <t>GAZELLE S TPE</t>
  </si>
  <si>
    <t xml:space="preserve">GAZELLE S TPE Sky Blue | light blue </t>
  </si>
  <si>
    <t>4063846322527</t>
  </si>
  <si>
    <t>30011010522002709</t>
  </si>
  <si>
    <t xml:space="preserve">GAZELLE S TPE Seashell Beige | light beige </t>
  </si>
  <si>
    <t>4063846322589</t>
  </si>
  <si>
    <t>30011010522002713</t>
  </si>
  <si>
    <t xml:space="preserve">GAZELLE S TPE Almond Beige | beige </t>
  </si>
  <si>
    <t>4063846456420</t>
  </si>
  <si>
    <t>30011010522005243</t>
  </si>
  <si>
    <t>Gazelle S Cot 2||CGO||EN|NA||</t>
  </si>
  <si>
    <t>GAZELLE S Kinderwagenaufsatz</t>
  </si>
  <si>
    <t xml:space="preserve">GAZELLE S Kinderwagenaufsatz Moon Black | black </t>
  </si>
  <si>
    <t>4063846322855</t>
  </si>
  <si>
    <t>30011010522002731</t>
  </si>
  <si>
    <t xml:space="preserve">GAZELLE S Kinderwagenaufsatz Lava Grey | mid grey </t>
  </si>
  <si>
    <t>4063846322886</t>
  </si>
  <si>
    <t>30011010522002733</t>
  </si>
  <si>
    <t xml:space="preserve">GAZELLE S Kinderwagenaufsatz Ocean Blue | navy blue </t>
  </si>
  <si>
    <t>4063846322916</t>
  </si>
  <si>
    <t>30011010522002735</t>
  </si>
  <si>
    <t xml:space="preserve">GAZELLE S Kinderwagenaufsatz Sky Blue | light blue </t>
  </si>
  <si>
    <t>4063846322947</t>
  </si>
  <si>
    <t>30011010522002737</t>
  </si>
  <si>
    <t xml:space="preserve">GAZELLE S Kinderwagenaufsatz Seashell Beige | light beige </t>
  </si>
  <si>
    <t>4063846323005</t>
  </si>
  <si>
    <t>30011010522002741</t>
  </si>
  <si>
    <t xml:space="preserve">GAZELLE S Kinderwagenaufsatz Almond Beige | beige </t>
  </si>
  <si>
    <t>4063846456543</t>
  </si>
  <si>
    <t>30011010522005259</t>
  </si>
  <si>
    <t>GazellSSeatBLK 2 Plus||CGO||EN|AC||</t>
  </si>
  <si>
    <t>GAZELLE S Sitzeinheit BLK</t>
  </si>
  <si>
    <t xml:space="preserve">GAZELLE S Sitzeinheit BLK Moon Black | black </t>
  </si>
  <si>
    <t>4063846322671</t>
  </si>
  <si>
    <t>30011010522002719</t>
  </si>
  <si>
    <t>GazellSSeatSLV 2 Plus||CGO||EN|AC||</t>
  </si>
  <si>
    <t>GAZELLE S Sitzeinheit SLV</t>
  </si>
  <si>
    <t xml:space="preserve">GAZELLE S Sitzeinheit SLV Lava Grey | mid grey </t>
  </si>
  <si>
    <t>4063846322701</t>
  </si>
  <si>
    <t>30011010522002721</t>
  </si>
  <si>
    <t xml:space="preserve">GAZELLE S Sitzeinheit SLV Ocean Blue | navy blue </t>
  </si>
  <si>
    <t>4063846322732</t>
  </si>
  <si>
    <t>30011010522002723</t>
  </si>
  <si>
    <t>GazellSSeatTPE 2 Plus||CGO||EN|AC||</t>
  </si>
  <si>
    <t>GAZELLE S Sitzeinheit TPE</t>
  </si>
  <si>
    <t xml:space="preserve">GAZELLE S Sitzeinheit TPE Sky Blue | light blue </t>
  </si>
  <si>
    <t>4063846322763</t>
  </si>
  <si>
    <t>30011010522002725</t>
  </si>
  <si>
    <t xml:space="preserve">GAZELLE S Sitzeinheit TPE Seashell Beige | light beige </t>
  </si>
  <si>
    <t>4063846322824</t>
  </si>
  <si>
    <t>30011010522002729</t>
  </si>
  <si>
    <t xml:space="preserve">GAZELLE S Sitzeinheit TPE Almond Beige | beige </t>
  </si>
  <si>
    <t>4063846456482</t>
  </si>
  <si>
    <t>30011010522005251</t>
  </si>
  <si>
    <t>Melio Series</t>
  </si>
  <si>
    <t>Melio 2.1||CGO||EN|AC||</t>
  </si>
  <si>
    <t xml:space="preserve">MELIO </t>
  </si>
  <si>
    <t xml:space="preserve">MELIO  Almond Beige | beige </t>
  </si>
  <si>
    <t>4063846449651</t>
  </si>
  <si>
    <t>30011010524000019</t>
  </si>
  <si>
    <t xml:space="preserve">MELIO  Magic Black | black </t>
  </si>
  <si>
    <t>Magic Black</t>
  </si>
  <si>
    <t>4063846449699</t>
  </si>
  <si>
    <t>30011010524000023</t>
  </si>
  <si>
    <t xml:space="preserve">MELIO  Dark Blue | navy blue </t>
  </si>
  <si>
    <t>Dark Blue</t>
  </si>
  <si>
    <t>4063846449736</t>
  </si>
  <si>
    <t>30011010524000027</t>
  </si>
  <si>
    <t xml:space="preserve">MELIO  Stormy Blue | light blue </t>
  </si>
  <si>
    <t>4063846449774</t>
  </si>
  <si>
    <t>30011010524000031</t>
  </si>
  <si>
    <t xml:space="preserve">MELIO  Candy Pink | light pink </t>
  </si>
  <si>
    <t>Candy Pink</t>
  </si>
  <si>
    <t>4063846449811</t>
  </si>
  <si>
    <t>30011010524000035</t>
  </si>
  <si>
    <t xml:space="preserve">MELIO  Canvas White | light beige </t>
  </si>
  <si>
    <t>Canvas White</t>
  </si>
  <si>
    <t>4063846449859</t>
  </si>
  <si>
    <t>30011010524000039</t>
  </si>
  <si>
    <t xml:space="preserve">MELIO  Fog Grey | light grey </t>
  </si>
  <si>
    <t>4063846449897</t>
  </si>
  <si>
    <t>30011010524000043</t>
  </si>
  <si>
    <t>Melio Carbon 2.1||CGO||EN|AC||</t>
  </si>
  <si>
    <t>MELIO CARBON</t>
  </si>
  <si>
    <t xml:space="preserve">MELIO CARBON Magic Black | black </t>
  </si>
  <si>
    <t>4063846449606</t>
  </si>
  <si>
    <t>30011010524000013</t>
  </si>
  <si>
    <t>Melio Cot Series</t>
  </si>
  <si>
    <t>Melio Cot 2.1||CGO||EN|NA||</t>
  </si>
  <si>
    <t>MELIO Kinderwagenaufsatz</t>
  </si>
  <si>
    <t xml:space="preserve">MELIO Kinderwagenaufsatz Almond Beige | beige </t>
  </si>
  <si>
    <t>4063846449934</t>
  </si>
  <si>
    <t>30011010524000047</t>
  </si>
  <si>
    <t xml:space="preserve">MELIO Kinderwagenaufsatz Magic Black | black </t>
  </si>
  <si>
    <t>4063846449972</t>
  </si>
  <si>
    <t>30011010524000053</t>
  </si>
  <si>
    <t xml:space="preserve">MELIO Kinderwagenaufsatz Dark Blue | navy blue </t>
  </si>
  <si>
    <t>4063846450022</t>
  </si>
  <si>
    <t>30011010524000059</t>
  </si>
  <si>
    <t xml:space="preserve">MELIO Kinderwagenaufsatz Stormy Blue | light blue </t>
  </si>
  <si>
    <t>4063846450060</t>
  </si>
  <si>
    <t>30011010524000063</t>
  </si>
  <si>
    <t xml:space="preserve">MELIO Kinderwagenaufsatz Candy Pink | light pink </t>
  </si>
  <si>
    <t>4063846450107</t>
  </si>
  <si>
    <t>30011010524000069</t>
  </si>
  <si>
    <t xml:space="preserve">MELIO Kinderwagenaufsatz Canvas White | light beige </t>
  </si>
  <si>
    <t>4063846450145</t>
  </si>
  <si>
    <t>30011010524000075</t>
  </si>
  <si>
    <t xml:space="preserve">MELIO Kinderwagenaufsatz Fog Grey | light grey </t>
  </si>
  <si>
    <t>4063846450183</t>
  </si>
  <si>
    <t>30011010524000081</t>
  </si>
  <si>
    <t>Melio Street 2.1||CGO||EN|AC||</t>
  </si>
  <si>
    <t>MELIO STREET</t>
  </si>
  <si>
    <t xml:space="preserve">MELIO STREET Real Black | black </t>
  </si>
  <si>
    <t>Real Black</t>
  </si>
  <si>
    <t>4063846321582</t>
  </si>
  <si>
    <t>30011010522002631</t>
  </si>
  <si>
    <t xml:space="preserve">MELIO STREET Olive Green | khaki </t>
  </si>
  <si>
    <t>Olive Green</t>
  </si>
  <si>
    <t xml:space="preserve">khaki </t>
  </si>
  <si>
    <t>4063846321636</t>
  </si>
  <si>
    <t>30011010522002635</t>
  </si>
  <si>
    <t>MelioCotStreet 2.1||CGO||EN|NA||</t>
  </si>
  <si>
    <t>MELIO STREET Kinderwagenaufsatz</t>
  </si>
  <si>
    <t xml:space="preserve">MELIO STREET Kinderwagenaufsatz Real Black | black </t>
  </si>
  <si>
    <t>4063846322039</t>
  </si>
  <si>
    <t>30011010522002667</t>
  </si>
  <si>
    <t xml:space="preserve">MELIO STREET Kinderwagenaufsatz Olive Green | khaki </t>
  </si>
  <si>
    <t>4063846322084</t>
  </si>
  <si>
    <t>30011010522002671</t>
  </si>
  <si>
    <t>Libelle Series</t>
  </si>
  <si>
    <t>Libelle 1.2 BLK||CGO||EN|NA||</t>
  </si>
  <si>
    <t>LIBELLE BLK</t>
  </si>
  <si>
    <t xml:space="preserve">LIBELLE BLK Magic Black | black </t>
  </si>
  <si>
    <t>4063846451067</t>
  </si>
  <si>
    <t>30011010524000199</t>
  </si>
  <si>
    <t xml:space="preserve">LIBELLE BLK Candy Pink | light pink </t>
  </si>
  <si>
    <t>4063846451388</t>
  </si>
  <si>
    <t>30011010524000247</t>
  </si>
  <si>
    <t xml:space="preserve">LIBELLE BLK Canvas White | light beige </t>
  </si>
  <si>
    <t>4063846451548</t>
  </si>
  <si>
    <t>30011010524000271</t>
  </si>
  <si>
    <t>Libelle 1.2 SLV||CGO||EN|NA||</t>
  </si>
  <si>
    <t>LIBELLE SLV</t>
  </si>
  <si>
    <t xml:space="preserve">LIBELLE SLV Fog Grey | light grey </t>
  </si>
  <si>
    <t>4063846451142</t>
  </si>
  <si>
    <t>30011010524000211</t>
  </si>
  <si>
    <t xml:space="preserve">LIBELLE SLV Dark Blue | navy blue </t>
  </si>
  <si>
    <t>4063846451227</t>
  </si>
  <si>
    <t>30011010524000223</t>
  </si>
  <si>
    <t>Libelle 1.2 TPE||CGO||EN|NA||</t>
  </si>
  <si>
    <t>LIBELLE TPE</t>
  </si>
  <si>
    <t xml:space="preserve">LIBELLE TPE Stormy Blue | light blue </t>
  </si>
  <si>
    <t>4063846451302</t>
  </si>
  <si>
    <t>30011010524000235</t>
  </si>
  <si>
    <t xml:space="preserve">LIBELLE TPE Almond Beige | beige </t>
  </si>
  <si>
    <t>4063846451463</t>
  </si>
  <si>
    <t>30011010524000259</t>
  </si>
  <si>
    <t>Orfeo Series</t>
  </si>
  <si>
    <t>Orfeo BLK||CGO||EN|NA||</t>
  </si>
  <si>
    <t>ORFEO BLK</t>
  </si>
  <si>
    <t xml:space="preserve">ORFEO BLK Magic Black | black </t>
  </si>
  <si>
    <t>4063846451623</t>
  </si>
  <si>
    <t>30011010524000283</t>
  </si>
  <si>
    <t xml:space="preserve">ORFEO BLK Candy Pink | light pink </t>
  </si>
  <si>
    <t>4063846451944</t>
  </si>
  <si>
    <t>30011010524000331</t>
  </si>
  <si>
    <t xml:space="preserve">ORFEO BLK Canvas White | light beige </t>
  </si>
  <si>
    <t>4063846452101</t>
  </si>
  <si>
    <t>30011010524000355</t>
  </si>
  <si>
    <t>Orfeo SLV||CGO||EN|NA||</t>
  </si>
  <si>
    <t>ORFEO SLV</t>
  </si>
  <si>
    <t xml:space="preserve">ORFEO SLV Fog Grey | light grey </t>
  </si>
  <si>
    <t>4063846451708</t>
  </si>
  <si>
    <t>30011010524000295</t>
  </si>
  <si>
    <t xml:space="preserve">ORFEO SLV Dark Blue | navy blue </t>
  </si>
  <si>
    <t>4063846451784</t>
  </si>
  <si>
    <t>30011010524000307</t>
  </si>
  <si>
    <t>Orfeo TPE||CGO||EN|NA||</t>
  </si>
  <si>
    <t>ORFEO TPE</t>
  </si>
  <si>
    <t xml:space="preserve">ORFEO TPE Stormy Blue | light blue </t>
  </si>
  <si>
    <t>4063846451869</t>
  </si>
  <si>
    <t>30011010524000319</t>
  </si>
  <si>
    <t xml:space="preserve">ORFEO TPE Almond Beige | beige </t>
  </si>
  <si>
    <t>4063846452026</t>
  </si>
  <si>
    <t>30011010524000343</t>
  </si>
  <si>
    <t>Beezy Series</t>
  </si>
  <si>
    <t>Beezy 1.2 BLK||CGO||EN|AC||</t>
  </si>
  <si>
    <t>BEEZY BLK</t>
  </si>
  <si>
    <t xml:space="preserve">BEEZY BLK Magic Black | black </t>
  </si>
  <si>
    <t>4063846450640</t>
  </si>
  <si>
    <t>30011010524000143</t>
  </si>
  <si>
    <t xml:space="preserve">BEEZY BLK Fog Grey | light grey </t>
  </si>
  <si>
    <t>4063846450701</t>
  </si>
  <si>
    <t>30011010524000151</t>
  </si>
  <si>
    <t xml:space="preserve">BEEZY BLK Dark Blue | navy blue </t>
  </si>
  <si>
    <t>4063846450763</t>
  </si>
  <si>
    <t>30011010524000159</t>
  </si>
  <si>
    <t xml:space="preserve">BEEZY BLK Stormy Blue | light blue </t>
  </si>
  <si>
    <t>4063846450824</t>
  </si>
  <si>
    <t>30011010524000167</t>
  </si>
  <si>
    <t xml:space="preserve">BEEZY BLK Candy Pink | light pink </t>
  </si>
  <si>
    <t>4063846450886</t>
  </si>
  <si>
    <t>30011010524000175</t>
  </si>
  <si>
    <t xml:space="preserve">BEEZY BLK Almond Beige | beige </t>
  </si>
  <si>
    <t>4063846450947</t>
  </si>
  <si>
    <t>30011010524000183</t>
  </si>
  <si>
    <t xml:space="preserve">BEEZY BLK Canvas White | light beige </t>
  </si>
  <si>
    <t>4063846451005</t>
  </si>
  <si>
    <t>30011010524000191</t>
  </si>
  <si>
    <t>Eezy S Twist+ Series</t>
  </si>
  <si>
    <t>EezySTwis+2.2BLK||CGO||EN|AC||</t>
  </si>
  <si>
    <t>EEZY S TWIST+ 2 BLK</t>
  </si>
  <si>
    <t xml:space="preserve">EEZY S TWIST+ 2 BLK Magic Black | black </t>
  </si>
  <si>
    <t>4063846450220</t>
  </si>
  <si>
    <t>30011010524000087</t>
  </si>
  <si>
    <t xml:space="preserve">EEZY S TWIST+ 2 BLK Candy Pink | light pink </t>
  </si>
  <si>
    <t>4063846450466</t>
  </si>
  <si>
    <t>30011010524000119</t>
  </si>
  <si>
    <t xml:space="preserve">EEZY S TWIST+ 2 BLK Canvas White | light beige </t>
  </si>
  <si>
    <t>4063846450589</t>
  </si>
  <si>
    <t>30011010524000135</t>
  </si>
  <si>
    <t>EezySTwis+2.2SLV||CGO||EN|AC||</t>
  </si>
  <si>
    <t>EEZY S TWIST+ 2 SLV</t>
  </si>
  <si>
    <t xml:space="preserve">EEZY S TWIST+ 2 SLV Fog Grey | light grey </t>
  </si>
  <si>
    <t>4063846450282</t>
  </si>
  <si>
    <t>30011010524000095</t>
  </si>
  <si>
    <t xml:space="preserve">EEZY S TWIST+ 2 SLV Dark Blue | navy blue </t>
  </si>
  <si>
    <t>4063846450343</t>
  </si>
  <si>
    <t>30011010524000103</t>
  </si>
  <si>
    <t>EezySTwis+2.2TPE||CGO||EN|AC||</t>
  </si>
  <si>
    <t>EEZY S TWIST+ 2 TPE</t>
  </si>
  <si>
    <t xml:space="preserve">EEZY S TWIST+ 2 TPE Stormy Blue | light blue </t>
  </si>
  <si>
    <t>4063846450404</t>
  </si>
  <si>
    <t>30011010524000111</t>
  </si>
  <si>
    <t xml:space="preserve">EEZY S TWIST+ 2 TPE Almond Beige | beige </t>
  </si>
  <si>
    <t>4063846450527</t>
  </si>
  <si>
    <t>30011010524000127</t>
  </si>
  <si>
    <t>CYBEX GOLD-Kinderwagen Zubehör</t>
  </si>
  <si>
    <t>Gold Footmuff</t>
  </si>
  <si>
    <t>Gold Fußsack</t>
  </si>
  <si>
    <t xml:space="preserve">Gold Fußsack Moon Black | black </t>
  </si>
  <si>
    <t>4063846277988</t>
  </si>
  <si>
    <t>30011010522001362</t>
  </si>
  <si>
    <t xml:space="preserve">Gold Fußsack Lava Grey | mid grey </t>
  </si>
  <si>
    <t>4063846278022</t>
  </si>
  <si>
    <t>30011010522001366</t>
  </si>
  <si>
    <t xml:space="preserve">Gold Fußsack Ocean Blue | navy blue </t>
  </si>
  <si>
    <t>4063846278060</t>
  </si>
  <si>
    <t>30011010522001370</t>
  </si>
  <si>
    <t xml:space="preserve">Gold Fußsack Sky Blue | light blue </t>
  </si>
  <si>
    <t>4063846442454</t>
  </si>
  <si>
    <t>30011010522005114</t>
  </si>
  <si>
    <t>Travel Bag</t>
  </si>
  <si>
    <t>EEZY S LINE / BEEZY Reisetasche</t>
  </si>
  <si>
    <t xml:space="preserve">EEZY S LINE / BEEZY Reisetasche Black | black </t>
  </si>
  <si>
    <t>4063846098552</t>
  </si>
  <si>
    <t>30011010521001488</t>
  </si>
  <si>
    <t>Libelle Travel Bag</t>
  </si>
  <si>
    <t>LIBELLE Reisetasche</t>
  </si>
  <si>
    <t xml:space="preserve">LIBELLE Reisetasche Black | black </t>
  </si>
  <si>
    <t>4063846054978</t>
  </si>
  <si>
    <t>30011010521000718</t>
  </si>
  <si>
    <t>Adapter CS Balios S Line/Talos S Line</t>
  </si>
  <si>
    <t>BALIOS S / TALOS S Adapter</t>
  </si>
  <si>
    <t xml:space="preserve">BALIOS S / TALOS S Adapter Black | black </t>
  </si>
  <si>
    <t>4058511958279</t>
  </si>
  <si>
    <t>30011010520003354</t>
  </si>
  <si>
    <t>Adapter CS Eos Line</t>
  </si>
  <si>
    <t>EOS Adapter</t>
  </si>
  <si>
    <t xml:space="preserve">EOS Adapter Black | black </t>
  </si>
  <si>
    <t>4063846413102</t>
  </si>
  <si>
    <t>30011010522004890</t>
  </si>
  <si>
    <t>Adapter CS Gazelle S</t>
  </si>
  <si>
    <t>GAZELLE S Adapter</t>
  </si>
  <si>
    <t xml:space="preserve">GAZELLE S Adapter Black | black </t>
  </si>
  <si>
    <t>4058511958439</t>
  </si>
  <si>
    <t>30011010520003358</t>
  </si>
  <si>
    <t>Adapter CS Melio Line</t>
  </si>
  <si>
    <t>MELIO Adapter</t>
  </si>
  <si>
    <t xml:space="preserve">MELIO Adapter Black | black </t>
  </si>
  <si>
    <t>4058511958354</t>
  </si>
  <si>
    <t>30011010520003356</t>
  </si>
  <si>
    <t>Adapter CS Eezy S Line</t>
  </si>
  <si>
    <t>EEZY S LINE Adapter</t>
  </si>
  <si>
    <t xml:space="preserve">EEZY S LINE Adapter Black | black </t>
  </si>
  <si>
    <t>4058511265803</t>
  </si>
  <si>
    <t>30011010518001468</t>
  </si>
  <si>
    <t>Adapter CS Libelle/Orfeo</t>
  </si>
  <si>
    <t>LIBELLE Adapter</t>
  </si>
  <si>
    <t xml:space="preserve">LIBELLE Adapter Black | black </t>
  </si>
  <si>
    <t>4063846366521</t>
  </si>
  <si>
    <t>30011010522003780</t>
  </si>
  <si>
    <t>Adapter CS Beezy</t>
  </si>
  <si>
    <t>BEEZY Adapter</t>
  </si>
  <si>
    <t xml:space="preserve">BEEZY Adapter Black | black </t>
  </si>
  <si>
    <t>4063846054671</t>
  </si>
  <si>
    <t>30011010521000706</t>
  </si>
  <si>
    <t>Cot S Adapters Eezy S-Line</t>
  </si>
  <si>
    <t>COT S Adapter EEZY S LINE</t>
  </si>
  <si>
    <t xml:space="preserve">COT S Adapter EEZY S LINE Black | black </t>
  </si>
  <si>
    <t>4058511704265</t>
  </si>
  <si>
    <t>30011010519003400</t>
  </si>
  <si>
    <t>Cot S Adapter Avi Spin</t>
  </si>
  <si>
    <t>NEW as of 05/24 - COT S Adapter AVI SPIN</t>
  </si>
  <si>
    <t xml:space="preserve">NEW as of 05/24 - COT S Adapter AVI SPIN Black | black </t>
  </si>
  <si>
    <t>4063846473076</t>
  </si>
  <si>
    <t>30011010524000796</t>
  </si>
  <si>
    <t>Libelle Bumperbar</t>
  </si>
  <si>
    <t>LIBELLE Spielbügel</t>
  </si>
  <si>
    <t xml:space="preserve">LIBELLE Spielbügel Black | black </t>
  </si>
  <si>
    <t>4063846055067</t>
  </si>
  <si>
    <t>30011010521000722</t>
  </si>
  <si>
    <t>Gold Snack Tray</t>
  </si>
  <si>
    <t xml:space="preserve">Gold Snack Tray Black | black </t>
  </si>
  <si>
    <t>4058511625782</t>
  </si>
  <si>
    <t>30011010519002906</t>
  </si>
  <si>
    <t>Kid Board Gazelle S</t>
  </si>
  <si>
    <t xml:space="preserve">GAZELLE S Kid Board </t>
  </si>
  <si>
    <t xml:space="preserve">GAZELLE S Kid Board  Black | black </t>
  </si>
  <si>
    <t>4063846039456</t>
  </si>
  <si>
    <t>30011010520004070</t>
  </si>
  <si>
    <t>Rain cover Balios S</t>
  </si>
  <si>
    <t>BALIOS S Regenverdeck</t>
  </si>
  <si>
    <t xml:space="preserve">BALIOS S Regenverdeck Transparent | transparent </t>
  </si>
  <si>
    <t>4058511300924</t>
  </si>
  <si>
    <t>30011010518002122</t>
  </si>
  <si>
    <t>Rain cover Talos S Lux</t>
  </si>
  <si>
    <t>TALOS S LUX Regenverdeck</t>
  </si>
  <si>
    <t xml:space="preserve">TALOS S LUX Regenverdeck Transparent | transparent </t>
  </si>
  <si>
    <t>4058511958514</t>
  </si>
  <si>
    <t>30011010520003360</t>
  </si>
  <si>
    <t>Rain cover Cot S Lux</t>
  </si>
  <si>
    <t>COT S LUX Regenverdeck</t>
  </si>
  <si>
    <t xml:space="preserve">COT S LUX Regenverdeck Transparent | transparent </t>
  </si>
  <si>
    <t>4063846340897</t>
  </si>
  <si>
    <t>30011010522002960</t>
  </si>
  <si>
    <t>Rain Cover Avi Spin</t>
  </si>
  <si>
    <t>NEW as of 05/24 - AVI SPIN Regenverdeck</t>
  </si>
  <si>
    <t xml:space="preserve">NEW as of 05/24 - AVI SPIN Regenverdeck Transparent | transparent </t>
  </si>
  <si>
    <t>4063846480395</t>
  </si>
  <si>
    <t>30011010524001418</t>
  </si>
  <si>
    <t>Rain cover Cot S</t>
  </si>
  <si>
    <t>COT S Regenverdeck</t>
  </si>
  <si>
    <t xml:space="preserve">COT S Regenverdeck Transparent | transparent </t>
  </si>
  <si>
    <t>4058511344089</t>
  </si>
  <si>
    <t>30011010518002726</t>
  </si>
  <si>
    <t>Rain cover EosLuxBal2in1Tal2in1</t>
  </si>
  <si>
    <t>EOS LUX Regenverdeck</t>
  </si>
  <si>
    <t xml:space="preserve">EOS LUX Regenverdeck Transparent | transparent </t>
  </si>
  <si>
    <t>4058511958613</t>
  </si>
  <si>
    <t>30011010520003364</t>
  </si>
  <si>
    <t>Rain cover Gazelle S</t>
  </si>
  <si>
    <t>GAZELLE S Regenverdeck</t>
  </si>
  <si>
    <t xml:space="preserve">GAZELLE S Regenverdeck Transparent | transparent </t>
  </si>
  <si>
    <t>4058511958996</t>
  </si>
  <si>
    <t>30011010520003378</t>
  </si>
  <si>
    <t>Rain cover Gazelle S Cot</t>
  </si>
  <si>
    <t>GAZELLE S Kinderwagenaufsatz Regenverdeck</t>
  </si>
  <si>
    <t xml:space="preserve">GAZELLE S Kinderwagenaufsatz Regenverdeck Transparent | transparent </t>
  </si>
  <si>
    <t>4063846340934</t>
  </si>
  <si>
    <t>30011010522002962</t>
  </si>
  <si>
    <t>Rain cover Melio Line</t>
  </si>
  <si>
    <t>MELIO Regenverdeck</t>
  </si>
  <si>
    <t xml:space="preserve">MELIO Regenverdeck Transparent | transparent </t>
  </si>
  <si>
    <t>4058511958910</t>
  </si>
  <si>
    <t>30011010520003376</t>
  </si>
  <si>
    <t>Rain cover Melio Cot</t>
  </si>
  <si>
    <t>MELIO Kinderwagenaufsatz Regenverdeck</t>
  </si>
  <si>
    <t xml:space="preserve">MELIO Kinderwagenaufsatz Regenverdeck Transparent | transparent </t>
  </si>
  <si>
    <t>4063846009961</t>
  </si>
  <si>
    <t>30011010520004292</t>
  </si>
  <si>
    <t>Rain cover Libelle</t>
  </si>
  <si>
    <t>LIBELLE Regenverdeck</t>
  </si>
  <si>
    <t xml:space="preserve">LIBELLE Regenverdeck Transparent | transparent </t>
  </si>
  <si>
    <t>4063846054756</t>
  </si>
  <si>
    <t>30011010521000708</t>
  </si>
  <si>
    <t>Rain cover Orfeo</t>
  </si>
  <si>
    <t>ORFEO Regenverdeck</t>
  </si>
  <si>
    <t xml:space="preserve">ORFEO Regenverdeck Transparent | transparent </t>
  </si>
  <si>
    <t>4063846408474</t>
  </si>
  <si>
    <t>30011010522004846</t>
  </si>
  <si>
    <t>Rain cover Beezy</t>
  </si>
  <si>
    <t>BEEZY Regenverdeck</t>
  </si>
  <si>
    <t xml:space="preserve">BEEZY Regenverdeck Transparent | transparent </t>
  </si>
  <si>
    <t>4063846054879</t>
  </si>
  <si>
    <t>30011010521000714</t>
  </si>
  <si>
    <t>Rain cover Eezy S Twist 2 Line</t>
  </si>
  <si>
    <t>EEZY S TWIST 2 Regenverdeck</t>
  </si>
  <si>
    <t xml:space="preserve">EEZY S TWIST 2 Regenverdeck Transparent | transparent </t>
  </si>
  <si>
    <t>4058511958811</t>
  </si>
  <si>
    <t>30011010520003372</t>
  </si>
  <si>
    <t>CYBEX GOLD-Kinderautositze Gruppe 0+</t>
  </si>
  <si>
    <t>Aton Series</t>
  </si>
  <si>
    <t>Aton S2||CGO||EX|NA||</t>
  </si>
  <si>
    <t>ATON S2 I-SIZE</t>
  </si>
  <si>
    <t xml:space="preserve">ATON S2 I-SIZE Moon Black | black </t>
  </si>
  <si>
    <t>4063846305483</t>
  </si>
  <si>
    <t>30011010522001937</t>
  </si>
  <si>
    <t xml:space="preserve">ATON S2 I-SIZE Lava Grey | mid grey </t>
  </si>
  <si>
    <t>4063846305728</t>
  </si>
  <si>
    <t>30011010522001945</t>
  </si>
  <si>
    <t xml:space="preserve">ATON S2 I-SIZE Ocean Blue | navy blue </t>
  </si>
  <si>
    <t>4063846305841</t>
  </si>
  <si>
    <t>30011010522001949</t>
  </si>
  <si>
    <t xml:space="preserve">ATON S2 I-SIZE Beach Blue | turquoise </t>
  </si>
  <si>
    <t>4063846305964</t>
  </si>
  <si>
    <t>30011010522001953</t>
  </si>
  <si>
    <t xml:space="preserve">ATON S2 I-SIZE Seashell Beige | light beige </t>
  </si>
  <si>
    <t>4063846306084</t>
  </si>
  <si>
    <t>30011010522001957</t>
  </si>
  <si>
    <t xml:space="preserve">ATON S2 I-SIZE Hibiscus Red | red </t>
  </si>
  <si>
    <t>4063846306206</t>
  </si>
  <si>
    <t>30011010522001961</t>
  </si>
  <si>
    <t xml:space="preserve">ATON S2 I-SIZE Nature Green | green </t>
  </si>
  <si>
    <t>4063846306329</t>
  </si>
  <si>
    <t>30011010522001965</t>
  </si>
  <si>
    <t>Cloud G||CGO||EX|NA||</t>
  </si>
  <si>
    <t>CLOUD G I-SIZE</t>
  </si>
  <si>
    <t xml:space="preserve">CLOUD G I-SIZE Moon Black | black </t>
  </si>
  <si>
    <t>4063846431052</t>
  </si>
  <si>
    <t>30011010523001144</t>
  </si>
  <si>
    <t xml:space="preserve">CLOUD G I-SIZE Lava Grey | mid grey </t>
  </si>
  <si>
    <t>4063846431113</t>
  </si>
  <si>
    <t>30011010523001148</t>
  </si>
  <si>
    <t>Cloud G Plus||CGO||EX|NA||</t>
  </si>
  <si>
    <t>CLOUD G I-SIZE PLUS</t>
  </si>
  <si>
    <t xml:space="preserve">CLOUD G I-SIZE PLUS Moon Black | black </t>
  </si>
  <si>
    <t>4063846431175</t>
  </si>
  <si>
    <t>30011010523001152</t>
  </si>
  <si>
    <t xml:space="preserve">CLOUD G I-SIZE PLUS Lava Grey | mid grey </t>
  </si>
  <si>
    <t>4063846431236</t>
  </si>
  <si>
    <t>30011010523001156</t>
  </si>
  <si>
    <t xml:space="preserve">CLOUD G I-SIZE PLUS Ocean Blue | navy blue </t>
  </si>
  <si>
    <t>4063846431298</t>
  </si>
  <si>
    <t>30011010523001160</t>
  </si>
  <si>
    <t xml:space="preserve">CLOUD G I-SIZE PLUS Beach Blue | turquoise </t>
  </si>
  <si>
    <t>4063846431359</t>
  </si>
  <si>
    <t>30011010523001164</t>
  </si>
  <si>
    <t xml:space="preserve">CLOUD G I-SIZE PLUS Seashell Beige | light beige </t>
  </si>
  <si>
    <t>4063846431410</t>
  </si>
  <si>
    <t>30011010523001168</t>
  </si>
  <si>
    <t>Base One</t>
  </si>
  <si>
    <t>BASE ONE</t>
  </si>
  <si>
    <t xml:space="preserve">BASE ONE Black | black </t>
  </si>
  <si>
    <t>4063846162994</t>
  </si>
  <si>
    <t>30011010521003065</t>
  </si>
  <si>
    <t>Base G</t>
  </si>
  <si>
    <t>BASE G</t>
  </si>
  <si>
    <t xml:space="preserve">BASE G Black | black </t>
  </si>
  <si>
    <t>4063846431458</t>
  </si>
  <si>
    <t>30011010523001172</t>
  </si>
  <si>
    <t>CYBEX GOLD-Kinderautositze Gruppe 0+/1</t>
  </si>
  <si>
    <t>Sirona G||CGO||EX|NA||</t>
  </si>
  <si>
    <t>SIRONA G I-SIZE</t>
  </si>
  <si>
    <t xml:space="preserve">SIRONA G I-SIZE Moon Black | black </t>
  </si>
  <si>
    <t>4063846431694</t>
  </si>
  <si>
    <t>30011010523001203</t>
  </si>
  <si>
    <t xml:space="preserve">SIRONA G I-SIZE Lava Grey | mid grey </t>
  </si>
  <si>
    <t>4063846431717</t>
  </si>
  <si>
    <t>30011010523001205</t>
  </si>
  <si>
    <t>Sirona G Plus||CGO||EX|NA||</t>
  </si>
  <si>
    <t>SIRONA G I-SIZE PLUS</t>
  </si>
  <si>
    <t xml:space="preserve">SIRONA G I-SIZE PLUS Moon Black | black </t>
  </si>
  <si>
    <t>4063846431731</t>
  </si>
  <si>
    <t>30011010523001207</t>
  </si>
  <si>
    <t xml:space="preserve">SIRONA G I-SIZE PLUS Lava Grey | mid grey </t>
  </si>
  <si>
    <t>4063846431755</t>
  </si>
  <si>
    <t>30011010523001209</t>
  </si>
  <si>
    <t xml:space="preserve">SIRONA G I-SIZE PLUS Ocean Blue | navy blue </t>
  </si>
  <si>
    <t>4063846431779</t>
  </si>
  <si>
    <t>30011010523001211</t>
  </si>
  <si>
    <t xml:space="preserve">SIRONA G I-SIZE PLUS Beach Blue | turquoise </t>
  </si>
  <si>
    <t>4063846431793</t>
  </si>
  <si>
    <t>30011010523001213</t>
  </si>
  <si>
    <t xml:space="preserve">SIRONA G I-SIZE PLUS Hibiscus Red | red </t>
  </si>
  <si>
    <t>4063846431816</t>
  </si>
  <si>
    <t>30011010523001215</t>
  </si>
  <si>
    <t>Sirona Gi||CGO||EX|NA||</t>
  </si>
  <si>
    <t>SIRONA Gi I-SIZE</t>
  </si>
  <si>
    <t xml:space="preserve">SIRONA Gi I-SIZE Moon Black | black </t>
  </si>
  <si>
    <t>4063846300587</t>
  </si>
  <si>
    <t>30011010522001637</t>
  </si>
  <si>
    <t xml:space="preserve">SIRONA Gi I-SIZE Lava Grey | mid grey </t>
  </si>
  <si>
    <t>4063846300709</t>
  </si>
  <si>
    <t>30011010522001653</t>
  </si>
  <si>
    <t>Sirona Gi Plus||CGO||EX|NA||</t>
  </si>
  <si>
    <t>SIRONA Gi I-SIZE PLUS</t>
  </si>
  <si>
    <t xml:space="preserve">SIRONA Gi I-SIZE PLUS Ocean Blue | navy blue </t>
  </si>
  <si>
    <t>4063846300761</t>
  </si>
  <si>
    <t>30011010522001661</t>
  </si>
  <si>
    <t xml:space="preserve">SIRONA Gi I-SIZE PLUS Beach Blue | turquoise </t>
  </si>
  <si>
    <t>4063846300822</t>
  </si>
  <si>
    <t>30011010522001669</t>
  </si>
  <si>
    <t xml:space="preserve">SIRONA Gi I-SIZE PLUS Hibiscus Red | red </t>
  </si>
  <si>
    <t>4063846300945</t>
  </si>
  <si>
    <t>30011010522001685</t>
  </si>
  <si>
    <t xml:space="preserve">SIRONA Gi I-SIZE PLUS Moon Black | black </t>
  </si>
  <si>
    <t>4063846411009</t>
  </si>
  <si>
    <t>30011010522004851</t>
  </si>
  <si>
    <t xml:space="preserve">SIRONA Gi I-SIZE PLUS Lava Grey | mid grey </t>
  </si>
  <si>
    <t>4063846411061</t>
  </si>
  <si>
    <t>30011010522004859</t>
  </si>
  <si>
    <t>Kinderautositze Gruppe 1/2/3</t>
  </si>
  <si>
    <t>CYBEX GOLD-Kinderautositze Gruppe 1/2/3</t>
  </si>
  <si>
    <t>Pallas Series</t>
  </si>
  <si>
    <t>Pallas G||CGO||EX|NA||</t>
  </si>
  <si>
    <t>PALLAS G I-SIZE</t>
  </si>
  <si>
    <t xml:space="preserve">PALLAS G I-SIZE Moon Black | black </t>
  </si>
  <si>
    <t>4063846308767</t>
  </si>
  <si>
    <t>30011010522002177</t>
  </si>
  <si>
    <t xml:space="preserve">PALLAS G I-SIZE Lava Grey | mid grey </t>
  </si>
  <si>
    <t>4063846308880</t>
  </si>
  <si>
    <t>30011010522002189</t>
  </si>
  <si>
    <t>Pallas G Plus||CGO||EX|NA||</t>
  </si>
  <si>
    <t>PALLAS G I-SIZE PLUS</t>
  </si>
  <si>
    <t xml:space="preserve">PALLAS G I-SIZE PLUS Moon Black | black </t>
  </si>
  <si>
    <t>4063846425310</t>
  </si>
  <si>
    <t>30011010523001089</t>
  </si>
  <si>
    <t xml:space="preserve">PALLAS G I-SIZE PLUS Lava Grey | mid grey </t>
  </si>
  <si>
    <t>4063846425372</t>
  </si>
  <si>
    <t>30011010523001091</t>
  </si>
  <si>
    <t xml:space="preserve">PALLAS G I-SIZE PLUS Ocean Blue | navy blue </t>
  </si>
  <si>
    <t>4063846425433</t>
  </si>
  <si>
    <t>30011010523001093</t>
  </si>
  <si>
    <t xml:space="preserve">PALLAS G I-SIZE PLUS Beach Blue | turquoise </t>
  </si>
  <si>
    <t>4063846425495</t>
  </si>
  <si>
    <t>30011010523001095</t>
  </si>
  <si>
    <t xml:space="preserve">PALLAS G I-SIZE PLUS Hibiscus Red | red </t>
  </si>
  <si>
    <t>4063846425556</t>
  </si>
  <si>
    <t>30011010523001097</t>
  </si>
  <si>
    <t>CYBEX GOLD-Kinderautositze Gruppe 2/3</t>
  </si>
  <si>
    <t>Sol S2 i-Fix||CGO||EX|NA||</t>
  </si>
  <si>
    <t>SOLUTION S2 I-FIX</t>
  </si>
  <si>
    <t xml:space="preserve">SOLUTION S2 I-FIX Moon Black | black </t>
  </si>
  <si>
    <t>4063846310241</t>
  </si>
  <si>
    <t>30011010522002260</t>
  </si>
  <si>
    <t xml:space="preserve">SOLUTION S2 I-FIX Lava Grey | mid grey </t>
  </si>
  <si>
    <t>4063846310401</t>
  </si>
  <si>
    <t>30011010522002264</t>
  </si>
  <si>
    <t xml:space="preserve">SOLUTION S2 I-FIX Ocean Blue | navy blue </t>
  </si>
  <si>
    <t>4063846310487</t>
  </si>
  <si>
    <t>30011010522002266</t>
  </si>
  <si>
    <t xml:space="preserve">SOLUTION S2 I-FIX Beach Blue | turquoise </t>
  </si>
  <si>
    <t>4063846310562</t>
  </si>
  <si>
    <t>30011010522002268</t>
  </si>
  <si>
    <t xml:space="preserve">SOLUTION S2 I-FIX Seashell Beige | light beige </t>
  </si>
  <si>
    <t>4063846310647</t>
  </si>
  <si>
    <t>30011010522002270</t>
  </si>
  <si>
    <t xml:space="preserve">SOLUTION S2 I-FIX Hibiscus Red | red </t>
  </si>
  <si>
    <t>4063846310722</t>
  </si>
  <si>
    <t>30011010522002272</t>
  </si>
  <si>
    <t xml:space="preserve">SOLUTION S2 I-FIX Nature Green | green </t>
  </si>
  <si>
    <t>4063846310807</t>
  </si>
  <si>
    <t>30011010522002274</t>
  </si>
  <si>
    <t>Solution G||CGO||EX|NA||</t>
  </si>
  <si>
    <t>SOLUTION G I-FIX</t>
  </si>
  <si>
    <t xml:space="preserve">SOLUTION G I-FIX Moon Black | black </t>
  </si>
  <si>
    <t>4063846310845</t>
  </si>
  <si>
    <t>30011010522002275</t>
  </si>
  <si>
    <t xml:space="preserve">SOLUTION G I-FIX Lava Grey | mid grey </t>
  </si>
  <si>
    <t>4063846310944</t>
  </si>
  <si>
    <t>30011010522002283</t>
  </si>
  <si>
    <t>Solution G Plus||CGO||EX|NA||</t>
  </si>
  <si>
    <t>SOLUTION G I-FIX PLUS</t>
  </si>
  <si>
    <t xml:space="preserve">SOLUTION G I-FIX PLUS Moon Black | black </t>
  </si>
  <si>
    <t>4063846425617</t>
  </si>
  <si>
    <t>30011010523001099</t>
  </si>
  <si>
    <t xml:space="preserve">SOLUTION G I-FIX PLUS Lava Grey | mid grey </t>
  </si>
  <si>
    <t>4063846425679</t>
  </si>
  <si>
    <t>30011010523001101</t>
  </si>
  <si>
    <t xml:space="preserve">SOLUTION G I-FIX PLUS Ocean Blue | navy blue </t>
  </si>
  <si>
    <t>4063846425730</t>
  </si>
  <si>
    <t>30011010523001103</t>
  </si>
  <si>
    <t xml:space="preserve">SOLUTION G I-FIX PLUS Beach Blue | turquoise </t>
  </si>
  <si>
    <t>4063846425792</t>
  </si>
  <si>
    <t>30011010523001105</t>
  </si>
  <si>
    <t xml:space="preserve">SOLUTION G I-FIX PLUS Hibiscus Red | red </t>
  </si>
  <si>
    <t>4063846425853</t>
  </si>
  <si>
    <t>30011010523001107</t>
  </si>
  <si>
    <t>CYBEX GOLD-Kinderautositze Zubehör</t>
  </si>
  <si>
    <t>Summer Cover Aton M Line</t>
  </si>
  <si>
    <t>ATON S Sommerbezug</t>
  </si>
  <si>
    <t>ATON S Sommerbezug White | white **</t>
  </si>
  <si>
    <t>4063846117482</t>
  </si>
  <si>
    <t>30011010521002074</t>
  </si>
  <si>
    <t xml:space="preserve">ATON S Sommerbezug Grey | grey </t>
  </si>
  <si>
    <t>4063846117567</t>
  </si>
  <si>
    <t>30011010521002076</t>
  </si>
  <si>
    <t>ATON S Sommerbezug Beige | beige **</t>
  </si>
  <si>
    <t>4063846117642</t>
  </si>
  <si>
    <t>30011010521002078</t>
  </si>
  <si>
    <t>Summer Cover Cloud G i-Size</t>
  </si>
  <si>
    <t>CLOUD G Sommerbezug</t>
  </si>
  <si>
    <t xml:space="preserve">CLOUD G Sommerbezug Grey | grey </t>
  </si>
  <si>
    <t>4063846431687</t>
  </si>
  <si>
    <t>30011010523001202</t>
  </si>
  <si>
    <t>Summer Cover Sirona Gi</t>
  </si>
  <si>
    <t>SIRONA Gi Sommerbezug</t>
  </si>
  <si>
    <t xml:space="preserve">SIRONA Gi Sommerbezug Grey | grey </t>
  </si>
  <si>
    <t>4063846396337</t>
  </si>
  <si>
    <t>30011010522004762</t>
  </si>
  <si>
    <t>Summer Cover Pallas S-fix/Solution S-fix</t>
  </si>
  <si>
    <t>PALLAS S / SOLUTION S Sommerbezug</t>
  </si>
  <si>
    <t>PALLAS S / SOLUTION S Sommerbezug White | white **</t>
  </si>
  <si>
    <t>4063846118205</t>
  </si>
  <si>
    <t>30011010521002092</t>
  </si>
  <si>
    <t xml:space="preserve">PALLAS S / SOLUTION S Sommerbezug Grey | grey </t>
  </si>
  <si>
    <t>4063846118281</t>
  </si>
  <si>
    <t>30011010521002094</t>
  </si>
  <si>
    <t>Summer Cover Pallas G i-Size</t>
  </si>
  <si>
    <t>PALLAS G Sommerbezug</t>
  </si>
  <si>
    <t>PALLAS G Sommerbezug White | white **</t>
  </si>
  <si>
    <t>4063846118441</t>
  </si>
  <si>
    <t>30011010521002098</t>
  </si>
  <si>
    <t xml:space="preserve">PALLAS G Sommerbezug Grey | grey </t>
  </si>
  <si>
    <t>4063846118526</t>
  </si>
  <si>
    <t>30011010521002100</t>
  </si>
  <si>
    <t>PALLAS G Sommerbezug Beige | beige **</t>
  </si>
  <si>
    <t>4063846118601</t>
  </si>
  <si>
    <t>30011010521002102</t>
  </si>
  <si>
    <t>Newborn Inlay Sirona G-line</t>
  </si>
  <si>
    <t>SIRONA G Neugeboreneneinlage</t>
  </si>
  <si>
    <t xml:space="preserve">SIRONA G Neugeboreneneinlage Moon Black | black </t>
  </si>
  <si>
    <t>4063846396375</t>
  </si>
  <si>
    <t>30011010522004766</t>
  </si>
  <si>
    <t xml:space="preserve">SIRONA G Neugeboreneneinlage Lava Grey | mid grey </t>
  </si>
  <si>
    <t>4063846396399</t>
  </si>
  <si>
    <t>30011010522004768</t>
  </si>
  <si>
    <t>Möbel</t>
  </si>
  <si>
    <t>CYBEX GOLD-Möbel</t>
  </si>
  <si>
    <t>LEMO Series</t>
  </si>
  <si>
    <t>LEMO 4in1 Set||CGO||EN|AT||</t>
  </si>
  <si>
    <t>LEMO 4in1 SET</t>
  </si>
  <si>
    <t xml:space="preserve">LEMO 4in1 SET Pearl Pink | light pink </t>
  </si>
  <si>
    <t>Pearl Pink</t>
  </si>
  <si>
    <t>4063846171330</t>
  </si>
  <si>
    <t>30011010521003191</t>
  </si>
  <si>
    <t xml:space="preserve">LEMO 4in1 SET Stone Blue | mid blue </t>
  </si>
  <si>
    <t>Stone Blue</t>
  </si>
  <si>
    <t xml:space="preserve">mid blue </t>
  </si>
  <si>
    <t>4063846171415</t>
  </si>
  <si>
    <t>30011010521003199</t>
  </si>
  <si>
    <t xml:space="preserve">LEMO 4in1 SET Stunning Black | black </t>
  </si>
  <si>
    <t>Stunning Black</t>
  </si>
  <si>
    <t>4063846171491</t>
  </si>
  <si>
    <t>30011010521003207</t>
  </si>
  <si>
    <t xml:space="preserve">LEMO 4in1 SET Suede Grey | mid grey </t>
  </si>
  <si>
    <t>Suede Grey</t>
  </si>
  <si>
    <t>4063846171576</t>
  </si>
  <si>
    <t>30011010521003215</t>
  </si>
  <si>
    <t xml:space="preserve">LEMO 4in1 SET Sand White | white </t>
  </si>
  <si>
    <t>Sand White</t>
  </si>
  <si>
    <t>4063846171651</t>
  </si>
  <si>
    <t>30011010521003223</t>
  </si>
  <si>
    <t xml:space="preserve">LEMO 4in1 SET All White | white </t>
  </si>
  <si>
    <t>All White</t>
  </si>
  <si>
    <t>4063846288205</t>
  </si>
  <si>
    <t>30011010521004829</t>
  </si>
  <si>
    <t>LEMO 3in1 Set||CGO||EN|AF||</t>
  </si>
  <si>
    <t>LEMO 3in1 SET</t>
  </si>
  <si>
    <t xml:space="preserve">LEMO 3in1 SET Pearl Pink | light pink </t>
  </si>
  <si>
    <t>4063846170982</t>
  </si>
  <si>
    <t>30011010521003161</t>
  </si>
  <si>
    <t xml:space="preserve">LEMO 3in1 SET Stone Blue | mid blue </t>
  </si>
  <si>
    <t>4063846171057</t>
  </si>
  <si>
    <t>30011010521003167</t>
  </si>
  <si>
    <t xml:space="preserve">LEMO 3in1 SET Stunning Black | black </t>
  </si>
  <si>
    <t>4063846171125</t>
  </si>
  <si>
    <t>30011010521003173</t>
  </si>
  <si>
    <t xml:space="preserve">LEMO 3in1 SET Suede Grey | mid grey </t>
  </si>
  <si>
    <t>4063846171194</t>
  </si>
  <si>
    <t>30011010521003179</t>
  </si>
  <si>
    <t xml:space="preserve">LEMO 3in1 SET Sand White | white </t>
  </si>
  <si>
    <t>4063846171262</t>
  </si>
  <si>
    <t>30011010521003185</t>
  </si>
  <si>
    <t xml:space="preserve">LEMO 3in1 SET All White | white </t>
  </si>
  <si>
    <t>4063846288151</t>
  </si>
  <si>
    <t>30011010521004821</t>
  </si>
  <si>
    <t>LEMO 2.0||CGO||EN|NA||</t>
  </si>
  <si>
    <t>LEMO</t>
  </si>
  <si>
    <t xml:space="preserve">LEMO Pearl Pink | light pink </t>
  </si>
  <si>
    <t>4063846288434</t>
  </si>
  <si>
    <t>30011010522001535</t>
  </si>
  <si>
    <t xml:space="preserve">LEMO Stone Blue | mid blue </t>
  </si>
  <si>
    <t>4063846288496</t>
  </si>
  <si>
    <t>30011010522001541</t>
  </si>
  <si>
    <t xml:space="preserve">LEMO Stunning Black | black </t>
  </si>
  <si>
    <t>4063846288557</t>
  </si>
  <si>
    <t>30011010522001547</t>
  </si>
  <si>
    <t xml:space="preserve">LEMO Suede Grey | mid grey </t>
  </si>
  <si>
    <t>4063846288618</t>
  </si>
  <si>
    <t>30011010522001553</t>
  </si>
  <si>
    <t xml:space="preserve">LEMO Sand White | white </t>
  </si>
  <si>
    <t>4063846288670</t>
  </si>
  <si>
    <t>30011010522001559</t>
  </si>
  <si>
    <t xml:space="preserve">LEMO All White | white </t>
  </si>
  <si>
    <t>4063846288731</t>
  </si>
  <si>
    <t>30011010522001567</t>
  </si>
  <si>
    <t>LEMO Bouncer||CGO||EN|AL||</t>
  </si>
  <si>
    <t>LEMO Bouncer</t>
  </si>
  <si>
    <t xml:space="preserve">LEMO Bouncer Pearl Pink | light pink </t>
  </si>
  <si>
    <t>4063846171736</t>
  </si>
  <si>
    <t>30011010521003231</t>
  </si>
  <si>
    <t xml:space="preserve">LEMO Bouncer Stone Blue | mid blue </t>
  </si>
  <si>
    <t>4063846171811</t>
  </si>
  <si>
    <t>30011010521003239</t>
  </si>
  <si>
    <t xml:space="preserve">LEMO Bouncer Stunning Black | black </t>
  </si>
  <si>
    <t>4063846171897</t>
  </si>
  <si>
    <t>30011010521003247</t>
  </si>
  <si>
    <t xml:space="preserve">LEMO Bouncer Suede Grey | mid grey </t>
  </si>
  <si>
    <t>4063846171972</t>
  </si>
  <si>
    <t>30011010521003255</t>
  </si>
  <si>
    <t xml:space="preserve">LEMO Bouncer Sand White | white </t>
  </si>
  <si>
    <t>4063846172054</t>
  </si>
  <si>
    <t>30011010521003263</t>
  </si>
  <si>
    <t>Click&amp;Fold Series</t>
  </si>
  <si>
    <t>Click&amp;Fold4in1||CGO||EN|AT||</t>
  </si>
  <si>
    <t>NEW as of 06/24 - CLICK &amp; FOLD 4in1</t>
  </si>
  <si>
    <t xml:space="preserve">NEW as of 06/24 - CLICK &amp; FOLD 4in1 Stunning Black | black </t>
  </si>
  <si>
    <t>4063846473366</t>
  </si>
  <si>
    <t>30011010524000845</t>
  </si>
  <si>
    <t xml:space="preserve">NEW as of 06/24 - CLICK &amp; FOLD 4in1 All White | white </t>
  </si>
  <si>
    <t>4063846473434</t>
  </si>
  <si>
    <t>30011010524000857</t>
  </si>
  <si>
    <t xml:space="preserve">NEW as of 06/24 - CLICK &amp; FOLD 4in1 All Natural | light natural </t>
  </si>
  <si>
    <t>All Natural</t>
  </si>
  <si>
    <t xml:space="preserve">light natural </t>
  </si>
  <si>
    <t>4063846473502</t>
  </si>
  <si>
    <t>30011010524000869</t>
  </si>
  <si>
    <t xml:space="preserve">NEW as of 06/24 - CLICK &amp; FOLD 4in1 Stone Blue | mid blue </t>
  </si>
  <si>
    <t>4063846473571</t>
  </si>
  <si>
    <t>30011010524000881</t>
  </si>
  <si>
    <t>Click&amp;Fold3in1||CGO||EN|AF||</t>
  </si>
  <si>
    <t>NEW as of 06/24 - CLICK &amp; FOLD 3in1</t>
  </si>
  <si>
    <t xml:space="preserve">NEW as of 06/24 - CLICK &amp; FOLD 3in1 Stunning Black | black </t>
  </si>
  <si>
    <t>4063846473083</t>
  </si>
  <si>
    <t>30011010524000797</t>
  </si>
  <si>
    <t xml:space="preserve">NEW as of 06/24 - CLICK &amp; FOLD 3in1 All White | white </t>
  </si>
  <si>
    <t>4063846473151</t>
  </si>
  <si>
    <t>30011010524000809</t>
  </si>
  <si>
    <t xml:space="preserve">NEW as of 06/24 - CLICK &amp; FOLD 3in1 All Natural | light natural </t>
  </si>
  <si>
    <t>4063846473229</t>
  </si>
  <si>
    <t>30011010524000821</t>
  </si>
  <si>
    <t xml:space="preserve">NEW as of 06/24 - CLICK &amp; FOLD 3in1 Stone Blue | mid blue </t>
  </si>
  <si>
    <t>4063846473298</t>
  </si>
  <si>
    <t>30011010524000833</t>
  </si>
  <si>
    <t>Click&amp;Fold||CGO||EN|NA||</t>
  </si>
  <si>
    <t>NEW as of 06/24 - CLICK &amp; FOLD</t>
  </si>
  <si>
    <t xml:space="preserve">NEW as of 06/24 - CLICK &amp; FOLD Stunning Black | black </t>
  </si>
  <si>
    <t>4063846474530</t>
  </si>
  <si>
    <t>30011010524000969</t>
  </si>
  <si>
    <t xml:space="preserve">NEW as of 06/24 - CLICK &amp; FOLD All White | white </t>
  </si>
  <si>
    <t>4063846474608</t>
  </si>
  <si>
    <t>30011010524000979</t>
  </si>
  <si>
    <t xml:space="preserve">NEW as of 06/24 - CLICK &amp; FOLD All Natural | light natural </t>
  </si>
  <si>
    <t>4063846474677</t>
  </si>
  <si>
    <t>30011010524000989</t>
  </si>
  <si>
    <t xml:space="preserve">NEW as of 06/24 - CLICK &amp; FOLD Stone Blue | mid blue </t>
  </si>
  <si>
    <t>4063846474745</t>
  </si>
  <si>
    <t>30011010524000999</t>
  </si>
  <si>
    <t>Möbel Zubehör</t>
  </si>
  <si>
    <t>CYBEX GOLD-Möbel Zubehör</t>
  </si>
  <si>
    <t>Bouncer Adapter Series</t>
  </si>
  <si>
    <t>LEMO Adapter Set</t>
  </si>
  <si>
    <t xml:space="preserve">LEMO Adapter Set Light Grey | light grey </t>
  </si>
  <si>
    <t>4063846258086</t>
  </si>
  <si>
    <t>30011010522000486</t>
  </si>
  <si>
    <t>Chair Inlay Series</t>
  </si>
  <si>
    <t>LEMO Comfort Inlay</t>
  </si>
  <si>
    <t>LEMO Komforteinlage</t>
  </si>
  <si>
    <t xml:space="preserve">LEMO Komforteinlage Pearl Pink | light pink </t>
  </si>
  <si>
    <t>4063846174843</t>
  </si>
  <si>
    <t>30011010521003276</t>
  </si>
  <si>
    <t xml:space="preserve">LEMO Komforteinlage Stone Blue | mid blue </t>
  </si>
  <si>
    <t>4063846174904</t>
  </si>
  <si>
    <t>30011010521003282</t>
  </si>
  <si>
    <t xml:space="preserve">LEMO Komforteinlage Stunning Black | black </t>
  </si>
  <si>
    <t>4063846174966</t>
  </si>
  <si>
    <t>30011010521003288</t>
  </si>
  <si>
    <t xml:space="preserve">LEMO Komforteinlage Suede Grey | mid grey </t>
  </si>
  <si>
    <t>4063846175024</t>
  </si>
  <si>
    <t>30011010521003294</t>
  </si>
  <si>
    <t xml:space="preserve">LEMO Komforteinlage Sand White | white </t>
  </si>
  <si>
    <t>4063846175086</t>
  </si>
  <si>
    <t>30011010521003300</t>
  </si>
  <si>
    <t>Learning Tower Series</t>
  </si>
  <si>
    <t>LEMO Learning Tower Set</t>
  </si>
  <si>
    <t>LEMO Learning Tower</t>
  </si>
  <si>
    <t xml:space="preserve">LEMO Learning Tower Pearl Pink | light pink </t>
  </si>
  <si>
    <t>4063846445219</t>
  </si>
  <si>
    <t>30011010523001319</t>
  </si>
  <si>
    <t xml:space="preserve">LEMO Learning Tower Stone Blue | mid blue </t>
  </si>
  <si>
    <t>4063846445233</t>
  </si>
  <si>
    <t>30011010523001321</t>
  </si>
  <si>
    <t xml:space="preserve">LEMO Learning Tower Stunning Black | black </t>
  </si>
  <si>
    <t>4063846445257</t>
  </si>
  <si>
    <t>30011010523001323</t>
  </si>
  <si>
    <t xml:space="preserve">LEMO Learning Tower Suede Grey | mid grey </t>
  </si>
  <si>
    <t>4063846445271</t>
  </si>
  <si>
    <t>30011010523001325</t>
  </si>
  <si>
    <t xml:space="preserve">LEMO Learning Tower All White | white </t>
  </si>
  <si>
    <t>4063846445295</t>
  </si>
  <si>
    <t>30011010523001327</t>
  </si>
  <si>
    <t>CLICK&amp;FOLD Adapter Bouncer Series</t>
  </si>
  <si>
    <t>CLICK&amp;FOLD Adapter Set</t>
  </si>
  <si>
    <t>NEW as of 06/24 - CLICK &amp; FOLD Adapter Set</t>
  </si>
  <si>
    <t xml:space="preserve">NEW as of 06/24 - CLICK &amp; FOLD Adapter Set White | white </t>
  </si>
  <si>
    <t>4063846473977</t>
  </si>
  <si>
    <t>30011010524000926</t>
  </si>
  <si>
    <t>Click&amp;Fold Comfort Inlay Series</t>
  </si>
  <si>
    <t>CLICK&amp;FOLD Comfort Inlay</t>
  </si>
  <si>
    <t>NEW as of 06/24 - CLICK &amp; FOLD Komforteinlage</t>
  </si>
  <si>
    <t xml:space="preserve">NEW as of 06/24 - CLICK &amp; FOLD Komforteinlage Stunning Black | black </t>
  </si>
  <si>
    <t>4063846473656</t>
  </si>
  <si>
    <t>30011010524000894</t>
  </si>
  <si>
    <t xml:space="preserve">NEW as of 06/24 - CLICK &amp; FOLD Komforteinlage Stone Blue | mid blue </t>
  </si>
  <si>
    <t>4063846473731</t>
  </si>
  <si>
    <t>30011010524000902</t>
  </si>
  <si>
    <t xml:space="preserve">NEW as of 06/24 - CLICK &amp; FOLD Komforteinlage Canvas White | light beige </t>
  </si>
  <si>
    <t>4063846473816</t>
  </si>
  <si>
    <t>30011010524000910</t>
  </si>
  <si>
    <t xml:space="preserve">NEW as of 06/24 - CLICK &amp; FOLD Komforteinlage Almond Beige | beige </t>
  </si>
  <si>
    <t>4063846473892</t>
  </si>
  <si>
    <t>30011010524000918</t>
  </si>
  <si>
    <t>Harness Series</t>
  </si>
  <si>
    <t>LEMO Harness</t>
  </si>
  <si>
    <t>LEMO / CLICK &amp; FOLD Anschnallgurt</t>
  </si>
  <si>
    <t xml:space="preserve">LEMO / CLICK &amp; FOLD Anschnallgurt Light Grey | light grey </t>
  </si>
  <si>
    <t>4063846174799</t>
  </si>
  <si>
    <t>30011010521003272</t>
  </si>
  <si>
    <t>Bouncer Stand Series</t>
  </si>
  <si>
    <t>Bouncer Stand</t>
  </si>
  <si>
    <t>LEMO 2.0 / CLICK &amp; FOLD Bouncer Stand</t>
  </si>
  <si>
    <t xml:space="preserve">LEMO 2.0 / CLICK &amp; FOLD Bouncer Stand Pearl Pink | light pink </t>
  </si>
  <si>
    <t>4063846248711</t>
  </si>
  <si>
    <t>30011010522000501</t>
  </si>
  <si>
    <t xml:space="preserve">LEMO 2.0 / CLICK &amp; FOLD Bouncer Stand Stone Blue | mid blue </t>
  </si>
  <si>
    <t>4063846248773</t>
  </si>
  <si>
    <t>30011010522000507</t>
  </si>
  <si>
    <t xml:space="preserve">LEMO 2.0 / CLICK &amp; FOLD Bouncer Stand Stunning Black | black </t>
  </si>
  <si>
    <t>4063846248834</t>
  </si>
  <si>
    <t>30011010522000513</t>
  </si>
  <si>
    <t xml:space="preserve">LEMO 2.0 / CLICK &amp; FOLD Bouncer Stand Suede Grey | mid grey </t>
  </si>
  <si>
    <t>4063846248896</t>
  </si>
  <si>
    <t>30011010522000519</t>
  </si>
  <si>
    <t xml:space="preserve">LEMO 2.0 / CLICK &amp; FOLD Bouncer Stand Sand White | white </t>
  </si>
  <si>
    <t>4063846248957</t>
  </si>
  <si>
    <t>30011010522000525</t>
  </si>
  <si>
    <t>Sport</t>
  </si>
  <si>
    <t>CYBEX SPORT-Sport</t>
  </si>
  <si>
    <t>Avi Series</t>
  </si>
  <si>
    <t>Avi Frame|BLK|CGO||EN|NA||</t>
  </si>
  <si>
    <t>AVI Rahmen</t>
  </si>
  <si>
    <t xml:space="preserve">AVI Rahmen BLK | black </t>
  </si>
  <si>
    <t>BLK</t>
  </si>
  <si>
    <t>4063846035106</t>
  </si>
  <si>
    <t>30011010520004117</t>
  </si>
  <si>
    <t>Avi Frame|BLPI|CGO||EN|NA||</t>
  </si>
  <si>
    <t xml:space="preserve">AVI Rahmen BLPI | black </t>
  </si>
  <si>
    <t>BLPI</t>
  </si>
  <si>
    <t>4063846034505</t>
  </si>
  <si>
    <t>30011010520004325</t>
  </si>
  <si>
    <t>Avi Frame|CROR|CGO||EN|NA||</t>
  </si>
  <si>
    <t xml:space="preserve">AVI Rahmen CROR | light beige </t>
  </si>
  <si>
    <t>CROR</t>
  </si>
  <si>
    <t>4063846034499</t>
  </si>
  <si>
    <t>30011010520004327</t>
  </si>
  <si>
    <t>Avi Seat Pack Series</t>
  </si>
  <si>
    <t>Avi Seat Pack||CGO||EN|NA||</t>
  </si>
  <si>
    <t>AVI Seat Pack</t>
  </si>
  <si>
    <t xml:space="preserve">AVI Seat Pack All Black | black </t>
  </si>
  <si>
    <t>All Black</t>
  </si>
  <si>
    <t>4063846035083</t>
  </si>
  <si>
    <t>30011010520004165</t>
  </si>
  <si>
    <t xml:space="preserve">AVI Seat Pack Medal Grey | light grey </t>
  </si>
  <si>
    <t>Medal Grey</t>
  </si>
  <si>
    <t>4063846035076</t>
  </si>
  <si>
    <t>30011010520004167</t>
  </si>
  <si>
    <t xml:space="preserve">AVI Seat Pack Silver Pink | light pink </t>
  </si>
  <si>
    <t>Silver Pink</t>
  </si>
  <si>
    <t>4063846035069</t>
  </si>
  <si>
    <t>30011010520004169</t>
  </si>
  <si>
    <t xml:space="preserve">AVI Seat Pack Bleached Sand | light beige </t>
  </si>
  <si>
    <t>Bleached Sand</t>
  </si>
  <si>
    <t>4063846035052</t>
  </si>
  <si>
    <t>30011010520004171</t>
  </si>
  <si>
    <t xml:space="preserve">AVI Seat Pack Maliblue | mid turquoise </t>
  </si>
  <si>
    <t>Maliblue</t>
  </si>
  <si>
    <t xml:space="preserve">mid turquoise </t>
  </si>
  <si>
    <t>4063846035045</t>
  </si>
  <si>
    <t>30011010520004173</t>
  </si>
  <si>
    <t>Avi OneBox BLK||CGO||EN|AB||</t>
  </si>
  <si>
    <t>AVI ONE BOX BLK</t>
  </si>
  <si>
    <t xml:space="preserve">AVI ONE BOX BLK All Black | black </t>
  </si>
  <si>
    <t>4063846035090</t>
  </si>
  <si>
    <t>30011010520004153</t>
  </si>
  <si>
    <t>Zeno Series</t>
  </si>
  <si>
    <t>Zeno Frame|BLK|CGO||EN|NA||</t>
  </si>
  <si>
    <t>ZENO Rahmen</t>
  </si>
  <si>
    <t xml:space="preserve">ZENO Rahmen BLK | black </t>
  </si>
  <si>
    <t>4063846045402</t>
  </si>
  <si>
    <t>30011010521000289</t>
  </si>
  <si>
    <t>Zeno Frame|BLPI|CGO||EN|NA||</t>
  </si>
  <si>
    <t xml:space="preserve">ZENO Rahmen BLPI | black </t>
  </si>
  <si>
    <t>4063846045549</t>
  </si>
  <si>
    <t>30011010521000301</t>
  </si>
  <si>
    <t>Zeno Frame|CROR|CGO||EN|NA||</t>
  </si>
  <si>
    <t xml:space="preserve">ZENO Rahmen CROR | light beige </t>
  </si>
  <si>
    <t>4063846045686</t>
  </si>
  <si>
    <t>30011010521000313</t>
  </si>
  <si>
    <t>Zeno Seat Pack Series</t>
  </si>
  <si>
    <t>Zeno Seat Pack||CGO||EN|AA||</t>
  </si>
  <si>
    <t>ZENO Seat Pack</t>
  </si>
  <si>
    <t xml:space="preserve">ZENO Seat Pack All Black | black </t>
  </si>
  <si>
    <t>4063846045822</t>
  </si>
  <si>
    <t>30011010521000325</t>
  </si>
  <si>
    <t xml:space="preserve">ZENO Seat Pack Medal Grey | light grey </t>
  </si>
  <si>
    <t>4063846045891</t>
  </si>
  <si>
    <t>30011010521000327</t>
  </si>
  <si>
    <t xml:space="preserve">ZENO Seat Pack Silver Pink | light pink </t>
  </si>
  <si>
    <t>4063846045969</t>
  </si>
  <si>
    <t>30011010521000329</t>
  </si>
  <si>
    <t xml:space="preserve">ZENO Seat Pack Bleached Sand | light beige </t>
  </si>
  <si>
    <t>4063846046034</t>
  </si>
  <si>
    <t>30011010521000331</t>
  </si>
  <si>
    <t xml:space="preserve">ZENO Seat Pack Maliblue | mid turquoise </t>
  </si>
  <si>
    <t>4063846046102</t>
  </si>
  <si>
    <t>30011010521000333</t>
  </si>
  <si>
    <t>ZenoOneBox BLK||CGO||EN|NA||</t>
  </si>
  <si>
    <t>ZENO ONE BOX BLK</t>
  </si>
  <si>
    <t xml:space="preserve">ZENO ONE BOX BLK All Black | black </t>
  </si>
  <si>
    <t>4063846045259</t>
  </si>
  <si>
    <t>30011010521000275</t>
  </si>
  <si>
    <t>Zeno bike BLK||CGO||EN|AB||</t>
  </si>
  <si>
    <t>ZENO BIKE BLK</t>
  </si>
  <si>
    <t xml:space="preserve">ZENO BIKE BLK All Black | black </t>
  </si>
  <si>
    <t>4063846203284</t>
  </si>
  <si>
    <t>30011010521003697</t>
  </si>
  <si>
    <t xml:space="preserve">ZENO BIKE BLK Maliblue | mid turquoise </t>
  </si>
  <si>
    <t>4063846203390</t>
  </si>
  <si>
    <t>30011010521003711</t>
  </si>
  <si>
    <t>Zeno bike BLPI||CGO||EN|AB||</t>
  </si>
  <si>
    <t>ZENO BIKE BLPI</t>
  </si>
  <si>
    <t xml:space="preserve">ZENO BIKE BLPI Silver Pink | light pink </t>
  </si>
  <si>
    <t>4063846203505</t>
  </si>
  <si>
    <t>30011010521003725</t>
  </si>
  <si>
    <t>Cybex by Anna Lewandowska</t>
  </si>
  <si>
    <t>CYBEX BY ANNA LEWANDOWSKA</t>
  </si>
  <si>
    <t>CYBEX SPORT-CYBEX BY ANNA LEWANDOWSKA</t>
  </si>
  <si>
    <t>Avi Seat Pack||CAL||EN|NA||</t>
  </si>
  <si>
    <t xml:space="preserve">AVI Seat Pack Powdery Pink | light pink </t>
  </si>
  <si>
    <t>Powdery Pink</t>
  </si>
  <si>
    <t>4063846243105</t>
  </si>
  <si>
    <t>30011010522000453</t>
  </si>
  <si>
    <t>Zeno Seat Pack||CAL||EN|AA||</t>
  </si>
  <si>
    <t xml:space="preserve">ZENO Seat Pack Powdery Pink | light pink </t>
  </si>
  <si>
    <t>4063846243211</t>
  </si>
  <si>
    <t>30011010522000467</t>
  </si>
  <si>
    <t>Cybex by PUMA</t>
  </si>
  <si>
    <t>CYBEX BY PUMA</t>
  </si>
  <si>
    <t>CYBEX SPORT-CYBEX BY PUMA</t>
  </si>
  <si>
    <t>Cybex by Puma</t>
  </si>
  <si>
    <t>Avi One Box||CPU||EN|AB||</t>
  </si>
  <si>
    <t>AVI ONE BOX PUMA</t>
  </si>
  <si>
    <t xml:space="preserve">AVI ONE BOX PUMA Puma Black | black </t>
  </si>
  <si>
    <t>Puma Black</t>
  </si>
  <si>
    <t>4063846191734</t>
  </si>
  <si>
    <t>30011010521003449</t>
  </si>
  <si>
    <t>Zeno One Box||CPU||EN|AC||</t>
  </si>
  <si>
    <t>ZENO ONE BOX PUMA</t>
  </si>
  <si>
    <t xml:space="preserve">ZENO ONE BOX PUMA Puma Black | black </t>
  </si>
  <si>
    <t>4063846191840</t>
  </si>
  <si>
    <t>30011010521003465</t>
  </si>
  <si>
    <t>Sport Zubehör</t>
  </si>
  <si>
    <t>CYBEX SPORT-Sport Zubehör</t>
  </si>
  <si>
    <t>Sport Goods Accessory Series</t>
  </si>
  <si>
    <t>Adapter CS Avi</t>
  </si>
  <si>
    <t>AVI Adapter</t>
  </si>
  <si>
    <t xml:space="preserve">AVI Adapter Black | black </t>
  </si>
  <si>
    <t>4063846011254</t>
  </si>
  <si>
    <t>30011010520004226</t>
  </si>
  <si>
    <t>Insect Net Avi</t>
  </si>
  <si>
    <t>AVI Insektennetz</t>
  </si>
  <si>
    <t xml:space="preserve">AVI Insektennetz Black | black </t>
  </si>
  <si>
    <t>4063846011018</t>
  </si>
  <si>
    <t>30011010520004238</t>
  </si>
  <si>
    <t>Rain cover Avi</t>
  </si>
  <si>
    <t>AVI Regenverdeck</t>
  </si>
  <si>
    <t xml:space="preserve">AVI Regenverdeck Transparent | transparent </t>
  </si>
  <si>
    <t>4063846011117</t>
  </si>
  <si>
    <t>30011010520004234</t>
  </si>
  <si>
    <t>Cycling Hitch</t>
  </si>
  <si>
    <t>Anhängervorrichtung Fahrrad</t>
  </si>
  <si>
    <t xml:space="preserve">Anhängervorrichtung Fahrrad Black | black </t>
  </si>
  <si>
    <t>4063846193196</t>
  </si>
  <si>
    <t>30011010521000768</t>
  </si>
  <si>
    <t>Cycling Kit Zeno</t>
  </si>
  <si>
    <t>ZENO Radsport-Kit</t>
  </si>
  <si>
    <t xml:space="preserve">ZENO Radsport-Kit Black | black </t>
  </si>
  <si>
    <t>4063846055807</t>
  </si>
  <si>
    <t>30011010521000739</t>
  </si>
  <si>
    <t>Hands-free Running Kit Zeno</t>
  </si>
  <si>
    <t>ZENO Zuglauf-Kit</t>
  </si>
  <si>
    <t xml:space="preserve">ZENO Zuglauf-Kit Black | black </t>
  </si>
  <si>
    <t>4063846055876</t>
  </si>
  <si>
    <t>30011010521000753</t>
  </si>
  <si>
    <t>Rain cover Zeno</t>
  </si>
  <si>
    <t>ZENO Regenverdeck</t>
  </si>
  <si>
    <t xml:space="preserve">ZENO Regenverdeck Transparent | transparent </t>
  </si>
  <si>
    <t>4063846203246</t>
  </si>
  <si>
    <t>30011010521003690</t>
  </si>
  <si>
    <t>Skiing Kit</t>
  </si>
  <si>
    <t xml:space="preserve">Ski-Kit </t>
  </si>
  <si>
    <t xml:space="preserve">Ski-Kit  Black | black </t>
  </si>
  <si>
    <t>4063846055739</t>
  </si>
  <si>
    <t>30011010521000725</t>
  </si>
  <si>
    <t>Thru Axle 154 - 172mm (M12 x 1.0)</t>
  </si>
  <si>
    <t>Steckachse 154 - 172mm (M12 x 1.0)</t>
  </si>
  <si>
    <t xml:space="preserve">Steckachse 154 - 172mm (M12 x 1.0) Black | black </t>
  </si>
  <si>
    <t>4063846115686</t>
  </si>
  <si>
    <t>30011010521002011</t>
  </si>
  <si>
    <t>Thru Axle 166 - 178mm (M12 x 1.5)</t>
  </si>
  <si>
    <t>Steckachse 166 - 178mm (M12 x 1.5)</t>
  </si>
  <si>
    <t xml:space="preserve">Steckachse 166 - 178mm (M12 x 1.5) Black | black </t>
  </si>
  <si>
    <t>4063846115822</t>
  </si>
  <si>
    <t>30011010521002019</t>
  </si>
  <si>
    <t>Thru Axle 168 - 180mm (M12 x 1.75)</t>
  </si>
  <si>
    <t>Steckachse 168 - 180mm (M12 x 1.75)</t>
  </si>
  <si>
    <t xml:space="preserve">Steckachse 168 - 180mm (M12 x 1.75) Black | black </t>
  </si>
  <si>
    <t>4063846115969</t>
  </si>
  <si>
    <t>30011010521002027</t>
  </si>
  <si>
    <t>Thru Axle 169 - 184mm (M12 x 1.0)</t>
  </si>
  <si>
    <t>Steckachse 169 - 184mm (M12 x 1.0)</t>
  </si>
  <si>
    <t xml:space="preserve">Steckachse 169 - 184mm (M12 x 1.0) Black | black </t>
  </si>
  <si>
    <t>4063846116102</t>
  </si>
  <si>
    <t>30011010521002035</t>
  </si>
  <si>
    <t>CYBEX SILVER-Kinderautositze Gruppe 0+</t>
  </si>
  <si>
    <t>Aton B2||CSI||IE|NA||</t>
  </si>
  <si>
    <t>ATON B2 I-SIZE</t>
  </si>
  <si>
    <t xml:space="preserve">ATON B2 I-SIZE Volcano Black | black </t>
  </si>
  <si>
    <t>Volcano Black</t>
  </si>
  <si>
    <t>4063846200658</t>
  </si>
  <si>
    <t>30011010521003589</t>
  </si>
  <si>
    <t xml:space="preserve">ATON B2 I-SIZE Dynamic Red | mid red </t>
  </si>
  <si>
    <t>Dynamic Red</t>
  </si>
  <si>
    <t xml:space="preserve">mid red </t>
  </si>
  <si>
    <t>4063846200771</t>
  </si>
  <si>
    <t>30011010521003591</t>
  </si>
  <si>
    <t xml:space="preserve">ATON B2 I-SIZE Steel Grey | dark grey </t>
  </si>
  <si>
    <t>Steel Grey</t>
  </si>
  <si>
    <t>4063846200894</t>
  </si>
  <si>
    <t>30011010521003593</t>
  </si>
  <si>
    <t xml:space="preserve">ATON B2 I-SIZE Bay Blue | dark blue </t>
  </si>
  <si>
    <t>Bay Blue</t>
  </si>
  <si>
    <t xml:space="preserve">dark blue </t>
  </si>
  <si>
    <t>4063846201013</t>
  </si>
  <si>
    <t>30011010521003595</t>
  </si>
  <si>
    <t>Aton B2||CSI||IE|BG||</t>
  </si>
  <si>
    <t>ATON B2 I-SIZE inkl. BASE ONE</t>
  </si>
  <si>
    <t xml:space="preserve">ATON B2 I-SIZE inkl. BASE ONE Volcano Black | black </t>
  </si>
  <si>
    <t>4063846220243</t>
  </si>
  <si>
    <t>30011010521004431</t>
  </si>
  <si>
    <t xml:space="preserve">ATON B2 I-SIZE inkl. BASE ONE Dynamic Red | mid red </t>
  </si>
  <si>
    <t>4063846220304</t>
  </si>
  <si>
    <t>30011010521004433</t>
  </si>
  <si>
    <t xml:space="preserve">ATON B2 I-SIZE inkl. BASE ONE Steel Grey | dark grey </t>
  </si>
  <si>
    <t>4063846220366</t>
  </si>
  <si>
    <t>30011010521004435</t>
  </si>
  <si>
    <t xml:space="preserve">ATON B2 I-SIZE inkl. BASE ONE Bay Blue | dark blue </t>
  </si>
  <si>
    <t>4063846220427</t>
  </si>
  <si>
    <t>30011010521004437</t>
  </si>
  <si>
    <t>CYBEX SILVER-Kinderautositze Gruppe 1/2/3</t>
  </si>
  <si>
    <t>Pallas B||CSI||EX|NA||</t>
  </si>
  <si>
    <t>PALLAS B I-SIZE</t>
  </si>
  <si>
    <t xml:space="preserve">PALLAS B I-SIZE Pure Black | black </t>
  </si>
  <si>
    <t>Pure Black</t>
  </si>
  <si>
    <t>4063846431830</t>
  </si>
  <si>
    <t>30011010523001217</t>
  </si>
  <si>
    <t xml:space="preserve">PALLAS B I-SIZE Rumba Red | dark red </t>
  </si>
  <si>
    <t>Rumba Red</t>
  </si>
  <si>
    <t xml:space="preserve">dark red </t>
  </si>
  <si>
    <t>4063846431854</t>
  </si>
  <si>
    <t>30011010523001219</t>
  </si>
  <si>
    <t xml:space="preserve">PALLAS B I-SIZE Cobblestone Grey | dark grey </t>
  </si>
  <si>
    <t>Cobblestone Grey</t>
  </si>
  <si>
    <t>4063846431878</t>
  </si>
  <si>
    <t>30011010523001221</t>
  </si>
  <si>
    <t xml:space="preserve">PALLAS B I-SIZE Blue Moon | navy blue </t>
  </si>
  <si>
    <t>Blue Moon</t>
  </si>
  <si>
    <t>4063846431892</t>
  </si>
  <si>
    <t>30011010523001223</t>
  </si>
  <si>
    <t>Pallas B2||CSI||EX|NA||</t>
  </si>
  <si>
    <t>PALLAS B2 I-SIZE</t>
  </si>
  <si>
    <t>PALLAS B2 I-SIZE Pure Black | black (n/a from Stock)</t>
  </si>
  <si>
    <t>black (n/a from Stock)</t>
  </si>
  <si>
    <t>4063846431915</t>
  </si>
  <si>
    <t>30011010523001225</t>
  </si>
  <si>
    <t>PALLAS B2 I-SIZE Rumba Red | dark red (n/a from Stock)</t>
  </si>
  <si>
    <t>dark red (n/a from Stock)</t>
  </si>
  <si>
    <t>4063846431939</t>
  </si>
  <si>
    <t>30011010523001227</t>
  </si>
  <si>
    <t>PALLAS B2 I-SIZE Cobblestone Grey | dark grey (n/a from Stock)</t>
  </si>
  <si>
    <t>dark grey (n/a from Stock)</t>
  </si>
  <si>
    <t>4063846431953</t>
  </si>
  <si>
    <t>30011010523001229</t>
  </si>
  <si>
    <t>PALLAS B2 I-SIZE Blue Moon | navy blue (n/a from Stock)</t>
  </si>
  <si>
    <t>navy blue (n/a from Stock)</t>
  </si>
  <si>
    <t>4063846431977</t>
  </si>
  <si>
    <t>30011010523001231</t>
  </si>
  <si>
    <t>Pallas B3||CSI||EX|NA||</t>
  </si>
  <si>
    <t>PALLAS B3 I-SIZE</t>
  </si>
  <si>
    <t xml:space="preserve">PALLAS B3 I-SIZE Pure Black | black </t>
  </si>
  <si>
    <t>4063846431991</t>
  </si>
  <si>
    <t>30011010523001233</t>
  </si>
  <si>
    <t xml:space="preserve">PALLAS B3 I-SIZE Rumba Red | dark red </t>
  </si>
  <si>
    <t>4063846432011</t>
  </si>
  <si>
    <t>30011010523001235</t>
  </si>
  <si>
    <t xml:space="preserve">PALLAS B3 I-SIZE Cobblestone Grey | dark grey </t>
  </si>
  <si>
    <t>4063846432035</t>
  </si>
  <si>
    <t>30011010523001237</t>
  </si>
  <si>
    <t xml:space="preserve">PALLAS B3 I-SIZE Blue Moon | navy blue </t>
  </si>
  <si>
    <t>4063846432059</t>
  </si>
  <si>
    <t>30011010523001239</t>
  </si>
  <si>
    <t>Pallas B4||CSI||EX|NA||</t>
  </si>
  <si>
    <t>PALLAS B4 I-SIZE</t>
  </si>
  <si>
    <t>PALLAS B4 I-SIZE Pure Black | black (n/a from Stock)</t>
  </si>
  <si>
    <t>4063846432073</t>
  </si>
  <si>
    <t>30011010523001241</t>
  </si>
  <si>
    <t>PALLAS B4 I-SIZE Rumba Red | dark red (n/a from Stock)</t>
  </si>
  <si>
    <t>4063846432097</t>
  </si>
  <si>
    <t>30011010523001243</t>
  </si>
  <si>
    <t>PALLAS B4 I-SIZE Cobblestone Grey | dark grey (n/a from Stock)</t>
  </si>
  <si>
    <t>4063846432110</t>
  </si>
  <si>
    <t>30011010523001245</t>
  </si>
  <si>
    <t>PALLAS B4 I-SIZE Blue Moon | navy blue (n/a from Stock)</t>
  </si>
  <si>
    <t>4063846432134</t>
  </si>
  <si>
    <t>30011010523001247</t>
  </si>
  <si>
    <t>CYBEX SILVER-Kinderautositze Gruppe 2/3</t>
  </si>
  <si>
    <t>Sol B i-fix||CSI||EX|NA||</t>
  </si>
  <si>
    <t>SOLUTION B I-FIX</t>
  </si>
  <si>
    <t xml:space="preserve">SOLUTION B I-FIX Volcano Black | black </t>
  </si>
  <si>
    <t>4063846370764</t>
  </si>
  <si>
    <t>30011010522003871</t>
  </si>
  <si>
    <t xml:space="preserve">SOLUTION B I-FIX Dynamic Red | mid red </t>
  </si>
  <si>
    <t>4063846370795</t>
  </si>
  <si>
    <t>30011010522003873</t>
  </si>
  <si>
    <t xml:space="preserve">SOLUTION B I-FIX Steel Grey | dark grey </t>
  </si>
  <si>
    <t>4063846370825</t>
  </si>
  <si>
    <t>30011010522003875</t>
  </si>
  <si>
    <t xml:space="preserve">SOLUTION B I-FIX Bay Blue | dark blue </t>
  </si>
  <si>
    <t>4063846370856</t>
  </si>
  <si>
    <t>30011010522003877</t>
  </si>
  <si>
    <t>Sol B2 i-fix||CSI||EX|NA||</t>
  </si>
  <si>
    <t>SOLUTION B2 I-FIX</t>
  </si>
  <si>
    <t xml:space="preserve">SOLUTION B2 I-FIX Volcano Black | black </t>
  </si>
  <si>
    <t>4063846370887</t>
  </si>
  <si>
    <t>30011010522003879</t>
  </si>
  <si>
    <t xml:space="preserve">SOLUTION B2 I-FIX Dynamic Red | mid red </t>
  </si>
  <si>
    <t>4063846370917</t>
  </si>
  <si>
    <t>30011010522003881</t>
  </si>
  <si>
    <t xml:space="preserve">SOLUTION B2 I-FIX Steel Grey | dark grey </t>
  </si>
  <si>
    <t>4063846370948</t>
  </si>
  <si>
    <t>30011010522003883</t>
  </si>
  <si>
    <t xml:space="preserve">SOLUTION B2 I-FIX Bay Blue | dark blue </t>
  </si>
  <si>
    <t>4063846370979</t>
  </si>
  <si>
    <t>30011010522003885</t>
  </si>
  <si>
    <t>Sol B3 i-fix||CSI||EX|NA||</t>
  </si>
  <si>
    <t>SOLUTION B3 I-FIX</t>
  </si>
  <si>
    <t xml:space="preserve">SOLUTION B3 I-FIX Volcano Black | black </t>
  </si>
  <si>
    <t>4063846371006</t>
  </si>
  <si>
    <t>30011010522003887</t>
  </si>
  <si>
    <t xml:space="preserve">SOLUTION B3 I-FIX Dynamic Red | mid red </t>
  </si>
  <si>
    <t>4063846371037</t>
  </si>
  <si>
    <t>30011010522003889</t>
  </si>
  <si>
    <t xml:space="preserve">SOLUTION B3 I-FIX Steel Grey | dark grey </t>
  </si>
  <si>
    <t>4063846371068</t>
  </si>
  <si>
    <t>30011010522003891</t>
  </si>
  <si>
    <t xml:space="preserve">SOLUTION B3 I-FIX Bay Blue | dark blue </t>
  </si>
  <si>
    <t>4063846371099</t>
  </si>
  <si>
    <t>30011010522003893</t>
  </si>
  <si>
    <t>Sol B4 i-fix||CSI||EX|NA||</t>
  </si>
  <si>
    <t>SOLUTION B4 I-FIX</t>
  </si>
  <si>
    <t xml:space="preserve">SOLUTION B4 I-FIX Volcano Black | black </t>
  </si>
  <si>
    <t>4063846395460</t>
  </si>
  <si>
    <t>30011010522004735</t>
  </si>
  <si>
    <t xml:space="preserve">SOLUTION B4 I-FIX Dynamic Red | mid red </t>
  </si>
  <si>
    <t>4063846395491</t>
  </si>
  <si>
    <t>30011010522004741</t>
  </si>
  <si>
    <t xml:space="preserve">SOLUTION B4 I-FIX Steel Grey | dark grey </t>
  </si>
  <si>
    <t>4063846395521</t>
  </si>
  <si>
    <t>30011010522004747</t>
  </si>
  <si>
    <t xml:space="preserve">SOLUTION B4 I-FIX Bay Blue | dark blue </t>
  </si>
  <si>
    <t>4063846395552</t>
  </si>
  <si>
    <t>30011010522004753</t>
  </si>
  <si>
    <t>Sol X i-Fix||CSI||EX|NA||</t>
  </si>
  <si>
    <t>SOLUTION X I-FIX</t>
  </si>
  <si>
    <t xml:space="preserve">SOLUTION X I-FIX Rumba Red | dark red </t>
  </si>
  <si>
    <t>4063846375219</t>
  </si>
  <si>
    <t>30011010522003959</t>
  </si>
  <si>
    <t xml:space="preserve">SOLUTION X I-FIX Pure Black | black </t>
  </si>
  <si>
    <t>4063846375240</t>
  </si>
  <si>
    <t>30011010522003961</t>
  </si>
  <si>
    <t xml:space="preserve">SOLUTION X I-FIX Blue Moon | navy blue </t>
  </si>
  <si>
    <t>4063846375271</t>
  </si>
  <si>
    <t>30011010522003963</t>
  </si>
  <si>
    <t xml:space="preserve">SOLUTION X I-FIX Cobblestone Grey | dark grey </t>
  </si>
  <si>
    <t>4063846375332</t>
  </si>
  <si>
    <t>30011010522003967</t>
  </si>
  <si>
    <t>CYBEX SILVER-Kinderautositze Zubehör</t>
  </si>
  <si>
    <t>Summer Cover AtonM/B i-Size/AtonM ECE-44</t>
  </si>
  <si>
    <t>ATON B Sommerbezug</t>
  </si>
  <si>
    <t xml:space="preserve">ATON B Sommerbezug White | white </t>
  </si>
  <si>
    <t>4063846118922</t>
  </si>
  <si>
    <t>30011010521002110</t>
  </si>
  <si>
    <t>Summer Cover Pallas B Line / Solution B</t>
  </si>
  <si>
    <t>SOLUTION B Sommerbezug</t>
  </si>
  <si>
    <t>SOLUTION B Sommerbezug White | white **</t>
  </si>
  <si>
    <t>4063846119004</t>
  </si>
  <si>
    <t>30011010521002112</t>
  </si>
  <si>
    <t>Summer Cover Pallas Line/Solution X Line</t>
  </si>
  <si>
    <t>SOLUTION Xi Sommerbezug</t>
  </si>
  <si>
    <t xml:space="preserve">SOLUTION Xi Sommerbezug White | white </t>
  </si>
  <si>
    <t>4063846118762</t>
  </si>
  <si>
    <t>30011010521002106</t>
  </si>
  <si>
    <t>Summer Cover Pallas B i-Line</t>
  </si>
  <si>
    <t>PALLAS B Sommerbezug</t>
  </si>
  <si>
    <t xml:space="preserve">PALLAS B Sommerbezug White | white </t>
  </si>
  <si>
    <t>4063846467259</t>
  </si>
  <si>
    <t>30011010523001516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</si>
</sst>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40">
    <font>
      <sz val="11"/>
      <color theme="1"/>
      <name val="Calibri"/>
      <family val="2"/>
      <scheme val="minor"/>
    </font>
    <font>
      <sz val="11"/>
      <color theme="1"/>
      <name val="Calibri"/>
      <family val="2"/>
      <scheme val="minor"/>
    </font>
    <font>
      <sz val="11"/>
      <color rgb="FF000000"/>
      <name val="Calibri"/>
      <family val="2"/>
    </font>
    <font>
      <sz val="55"/>
      <color theme="1"/>
      <name val="HTF Didot M24 Medium"/>
      <family val="3"/>
    </font>
    <font>
      <i/>
      <sz val="55"/>
      <color theme="1"/>
      <name val="HTF Didot M24 Medium"/>
      <family val="3"/>
    </font>
    <font>
      <sz val="36"/>
      <color theme="1"/>
      <name val="HTF Didot L24 Light"/>
      <family val="3"/>
    </font>
    <font>
      <sz val="18"/>
      <color theme="1"/>
      <name val="NimbusSanExt"/>
      <family val="3"/>
    </font>
    <font>
      <sz val="16"/>
      <color theme="1"/>
      <name val="NimbusSanExt"/>
      <family val="3"/>
    </font>
    <font>
      <i/>
      <sz val="18"/>
      <color theme="1"/>
      <name val="HTF Didot M24 Medium"/>
      <family val="3"/>
    </font>
    <font>
      <i/>
      <sz val="16"/>
      <color theme="1"/>
      <name val="HTF Didot M24 Medium"/>
      <family val="3"/>
    </font>
    <font>
      <i/>
      <sz val="16"/>
      <color theme="1"/>
      <name val="Baskerville Old Face"/>
      <family val="1"/>
    </font>
    <font>
      <sz val="11"/>
      <color indexed="8"/>
      <name val="Calibri"/>
      <family val="2"/>
      <scheme val="minor"/>
    </font>
    <font>
      <sz val="10"/>
      <color theme="1"/>
      <name val="Calibri"/>
      <family val="2"/>
    </font>
    <font>
      <sz val="10"/>
      <color theme="0" tint="-0.249977111117893"/>
      <name val="Akzidenz-Grotesk Pro Regular"/>
      <family val="3"/>
    </font>
    <font>
      <sz val="10"/>
      <color theme="2" tint="-0.749992370372631"/>
      <name val="Akzidenz-Grotesk Pro Light"/>
      <family val="3"/>
    </font>
    <font>
      <sz val="10"/>
      <name val="Akzidenz-Grotesk Pro Light"/>
      <family val="3"/>
    </font>
    <font>
      <sz val="10"/>
      <color theme="1"/>
      <name val="Akzidenz-Grotesk Pro Regular"/>
      <family val="3"/>
    </font>
    <font>
      <sz val="10"/>
      <name val="Akzidenz-Grotesk Pro Regular"/>
      <family val="3"/>
    </font>
    <font>
      <b/>
      <sz val="10"/>
      <name val="Akzidenz-Grotesk Pro Regular"/>
      <family val="3"/>
    </font>
    <font>
      <sz val="20"/>
      <color theme="1"/>
      <name val="Akzidenz-Grotesk Pro Light"/>
      <family val="3"/>
    </font>
    <font>
      <b/>
      <sz val="10"/>
      <color theme="0" tint="-0.34998626667073579"/>
      <name val="Akzidenz-Grotesk Pro Regular"/>
      <family val="3"/>
    </font>
    <font>
      <b/>
      <sz val="10"/>
      <color theme="0" tint="-0.34998626667073579"/>
      <name val="Akzidenz-Grotesk Pro Light"/>
      <family val="3"/>
    </font>
    <font>
      <sz val="10"/>
      <name val="Akzidenz-Grotesk Pro Bold"/>
      <family val="3"/>
    </font>
    <font>
      <sz val="10"/>
      <color theme="0" tint="-0.249977111117893"/>
      <name val="Akzidenz-Grotesk Pro Bold"/>
      <family val="3"/>
    </font>
    <font>
      <b/>
      <sz val="10"/>
      <color theme="0" tint="-0.249977111117893"/>
      <name val="Akzidenz-Grotesk Pro Regular"/>
      <family val="3"/>
    </font>
    <font>
      <sz val="10"/>
      <color theme="0"/>
      <name val="Akzidenz-Grotesk Pro Bold"/>
      <family val="3"/>
    </font>
    <font>
      <b/>
      <sz val="10"/>
      <color theme="2" tint="-0.749992370372631"/>
      <name val="Akzidenz-Grotesk Pro Light"/>
      <family val="3"/>
    </font>
    <font>
      <sz val="8"/>
      <name val="Akzidenz-Grotesk Pro Light"/>
      <family val="3"/>
    </font>
    <font>
      <sz val="10"/>
      <color theme="1"/>
      <name val="Akzidenz-Grotesk Pro Bold"/>
      <family val="3"/>
    </font>
    <font>
      <b/>
      <sz val="10"/>
      <color rgb="FFFF0000"/>
      <name val="Akzidenz-Grotesk Pro Bold"/>
      <family val="3"/>
    </font>
    <font>
      <sz val="10"/>
      <color theme="0" tint="-0.34998626667073579"/>
      <name val="Akzidenz-Grotesk Pro Light"/>
      <family val="3"/>
    </font>
    <font>
      <sz val="10"/>
      <color theme="1"/>
      <name val="Akzidenz-Grotesk Pro Light"/>
      <family val="3"/>
    </font>
    <font>
      <sz val="9"/>
      <color theme="0" tint="-0.34998626667073579"/>
      <name val="Akzidenz-Grotesk Pro Light"/>
      <family val="3"/>
    </font>
    <font>
      <b/>
      <sz val="9"/>
      <color theme="0" tint="-0.34998626667073579"/>
      <name val="Akzidenz-Grotesk Pro Bold"/>
      <family val="3"/>
    </font>
    <font>
      <sz val="9"/>
      <color theme="0" tint="-0.34998626667073579"/>
      <name val="Akzidenz-Grotesk Pro Bold"/>
      <family val="3"/>
    </font>
    <font>
      <sz val="8"/>
      <color theme="1"/>
      <name val="Akzidenz-Grotesk Pro Light"/>
      <family val="3"/>
    </font>
    <font>
      <sz val="9"/>
      <color theme="0" tint="-0.34998626667073579"/>
      <name val="Akzidenz-Grotesk Pro Regular"/>
      <family val="3"/>
    </font>
    <font>
      <sz val="9"/>
      <color theme="0" tint="-0.34998626667073579"/>
      <name val="Calibri"/>
      <family val="2"/>
      <scheme val="minor"/>
    </font>
    <font>
      <sz val="10"/>
      <color theme="0" tint="-0.249977111117893"/>
      <name val="Akzidenz-Grotesk Pro Light"/>
      <family val="3"/>
    </font>
    <font>
      <b/>
      <sz val="14"/>
      <color rgb="FF333333"/>
      <name val="Calibri"/>
      <family val="2"/>
    </font>
  </fonts>
  <fills count="7">
    <fill>
      <patternFill patternType="none"/>
    </fill>
    <fill>
      <patternFill patternType="gray125"/>
    </fill>
    <fill>
      <patternFill patternType="solid">
        <fgColor theme="0"/>
        <bgColor indexed="64"/>
      </patternFill>
    </fill>
    <fill>
      <patternFill patternType="solid">
        <fgColor theme="0" tint="-0.49998474074526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tint="-4.9989318521683403E-2"/>
        <bgColor indexed="64"/>
      </patternFill>
    </fill>
  </fills>
  <borders count="6">
    <border>
      <left/>
      <right/>
      <top/>
      <bottom/>
      <diagonal/>
    </border>
    <border>
      <left/>
      <right/>
      <top/>
      <bottom style="medium">
        <color indexed="64"/>
      </bottom>
      <diagonal/>
    </border>
    <border>
      <left/>
      <right/>
      <top/>
      <bottom style="double">
        <color indexed="64"/>
      </bottom>
      <diagonal/>
    </border>
    <border>
      <left/>
      <right/>
      <top/>
      <bottom style="thin">
        <color theme="0" tint="-0.14996795556505021"/>
      </bottom>
      <diagonal/>
    </border>
    <border>
      <left/>
      <right/>
      <top style="thin">
        <color theme="0" tint="-0.14996795556505021"/>
      </top>
      <bottom style="dotted">
        <color theme="1"/>
      </bottom>
      <diagonal/>
    </border>
    <border>
      <left/>
      <right/>
      <top style="thin">
        <color theme="0" tint="-0.14996795556505021"/>
      </top>
      <bottom style="thin">
        <color theme="0" tint="-0.14993743705557422"/>
      </bottom>
      <diagonal/>
    </border>
  </borders>
  <cellStyleXfs count="3">
    <xf numFmtId="0" fontId="0" fillId="0" borderId="0"/>
    <xf numFmtId="164" fontId="1" fillId="0" borderId="0" applyFont="0" applyFill="0" applyBorder="0" applyAlignment="0" applyProtection="0"/>
    <xf numFmtId="0" fontId="12" fillId="0" borderId="0"/>
  </cellStyleXfs>
  <cellXfs count="106">
    <xf numFmtId="0" fontId="0" fillId="0" borderId="0" xfId="0"/>
    <xf numFmtId="0" fontId="2" fillId="0" borderId="1" xfId="0" applyFont="1" applyBorder="1" applyAlignment="1">
      <alignment vertical="center"/>
    </xf>
    <xf numFmtId="0" fontId="0" fillId="0" borderId="0" xfId="0" applyAlignment="1">
      <alignment horizontal="left"/>
    </xf>
    <xf numFmtId="0" fontId="0" fillId="0" borderId="0" xfId="0" applyAlignment="1">
      <alignment horizontal="center" vertical="center"/>
    </xf>
    <xf numFmtId="0" fontId="0" fillId="0" borderId="0" xfId="0" applyAlignment="1">
      <alignment horizontal="left" indent="2"/>
    </xf>
    <xf numFmtId="0" fontId="2" fillId="0" borderId="0" xfId="0" applyFont="1" applyAlignment="1">
      <alignment horizontal="left" vertical="center"/>
    </xf>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left" vertical="center" indent="2"/>
    </xf>
    <xf numFmtId="0" fontId="3" fillId="0" borderId="0" xfId="0" applyFont="1" applyAlignment="1">
      <alignment horizontal="center"/>
    </xf>
    <xf numFmtId="0" fontId="4" fillId="0" borderId="0" xfId="0" applyFont="1" applyAlignment="1">
      <alignment horizontal="center" vertical="center"/>
    </xf>
    <xf numFmtId="0" fontId="5" fillId="0" borderId="0" xfId="0" applyFont="1" applyAlignment="1">
      <alignment horizontal="center"/>
    </xf>
    <xf numFmtId="0" fontId="6" fillId="0" borderId="0" xfId="0" applyFont="1" applyAlignment="1">
      <alignment horizontal="center" vertical="center"/>
    </xf>
    <xf numFmtId="0" fontId="6" fillId="0" borderId="0" xfId="0" applyFont="1" applyAlignment="1">
      <alignment wrapText="1"/>
    </xf>
    <xf numFmtId="0" fontId="0" fillId="0" borderId="0" xfId="0" applyAlignment="1">
      <alignment horizontal="left" vertical="top" wrapText="1"/>
    </xf>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center" indent="1"/>
    </xf>
    <xf numFmtId="0" fontId="11" fillId="0" borderId="0" xfId="0" applyFont="1" applyAlignment="1">
      <alignment wrapText="1"/>
    </xf>
    <xf numFmtId="0" fontId="13" fillId="2" borderId="0" xfId="2" applyFont="1" applyFill="1" applyAlignment="1">
      <alignment horizontal="left" vertical="center"/>
    </xf>
    <xf numFmtId="0" fontId="14" fillId="2" borderId="0" xfId="2" applyFont="1" applyFill="1" applyAlignment="1">
      <alignment horizontal="left" vertical="center" shrinkToFit="1"/>
    </xf>
    <xf numFmtId="0" fontId="14" fillId="2" borderId="0" xfId="2" applyFont="1" applyFill="1" applyAlignment="1">
      <alignment horizontal="left" vertical="center"/>
    </xf>
    <xf numFmtId="0" fontId="14" fillId="2" borderId="0" xfId="2" applyFont="1" applyFill="1" applyAlignment="1">
      <alignment horizontal="center" vertical="center"/>
    </xf>
    <xf numFmtId="1" fontId="14" fillId="2" borderId="0" xfId="2" applyNumberFormat="1" applyFont="1" applyFill="1" applyAlignment="1">
      <alignment horizontal="left" vertical="center"/>
    </xf>
    <xf numFmtId="4" fontId="15" fillId="2" borderId="0" xfId="2" applyNumberFormat="1" applyFont="1" applyFill="1" applyAlignment="1">
      <alignment vertical="center"/>
    </xf>
    <xf numFmtId="2" fontId="15" fillId="2" borderId="0" xfId="2" applyNumberFormat="1" applyFont="1" applyFill="1" applyAlignment="1">
      <alignment horizontal="left" vertical="center"/>
    </xf>
    <xf numFmtId="4" fontId="15" fillId="2" borderId="0" xfId="2" applyNumberFormat="1" applyFont="1" applyFill="1" applyAlignment="1">
      <alignment horizontal="left" vertical="center"/>
    </xf>
    <xf numFmtId="0" fontId="16" fillId="0" borderId="0" xfId="2" applyFont="1" applyAlignment="1">
      <alignment horizontal="left" vertical="center"/>
    </xf>
    <xf numFmtId="0" fontId="16" fillId="2" borderId="0" xfId="2" applyFont="1" applyFill="1" applyAlignment="1">
      <alignment horizontal="left" vertical="center"/>
    </xf>
    <xf numFmtId="0" fontId="17" fillId="0" borderId="0" xfId="2" applyFont="1" applyAlignment="1">
      <alignment horizontal="left" vertical="center"/>
    </xf>
    <xf numFmtId="0" fontId="15" fillId="0" borderId="0" xfId="2" applyFont="1" applyAlignment="1">
      <alignment horizontal="left" vertical="center"/>
    </xf>
    <xf numFmtId="0" fontId="18" fillId="3" borderId="0" xfId="2" applyFont="1" applyFill="1" applyAlignment="1">
      <alignment horizontal="left" vertical="center"/>
    </xf>
    <xf numFmtId="0" fontId="17" fillId="3" borderId="0" xfId="2" applyFont="1" applyFill="1" applyAlignment="1">
      <alignment horizontal="left" vertical="center"/>
    </xf>
    <xf numFmtId="0" fontId="13" fillId="2" borderId="2" xfId="2" applyFont="1" applyFill="1" applyBorder="1" applyAlignment="1">
      <alignment horizontal="left" vertical="center"/>
    </xf>
    <xf numFmtId="0" fontId="14" fillId="2" borderId="3" xfId="2" applyFont="1" applyFill="1" applyBorder="1" applyAlignment="1">
      <alignment horizontal="left" vertical="center" shrinkToFit="1"/>
    </xf>
    <xf numFmtId="0" fontId="14" fillId="2" borderId="3" xfId="2" applyFont="1" applyFill="1" applyBorder="1" applyAlignment="1">
      <alignment horizontal="center" vertical="center" shrinkToFit="1"/>
    </xf>
    <xf numFmtId="4" fontId="15" fillId="2" borderId="3" xfId="2" applyNumberFormat="1" applyFont="1" applyFill="1" applyBorder="1" applyAlignment="1">
      <alignment vertical="center" shrinkToFit="1"/>
    </xf>
    <xf numFmtId="2" fontId="15" fillId="2" borderId="3" xfId="2" applyNumberFormat="1" applyFont="1" applyFill="1" applyBorder="1" applyAlignment="1">
      <alignment horizontal="left" vertical="center" shrinkToFit="1"/>
    </xf>
    <xf numFmtId="4" fontId="15" fillId="2" borderId="3" xfId="2" applyNumberFormat="1" applyFont="1" applyFill="1" applyBorder="1" applyAlignment="1">
      <alignment horizontal="left" vertical="center" shrinkToFit="1"/>
    </xf>
    <xf numFmtId="0" fontId="19" fillId="0" borderId="0" xfId="2" applyFont="1" applyAlignment="1">
      <alignment horizontal="left" vertical="center"/>
    </xf>
    <xf numFmtId="0" fontId="21" fillId="4" borderId="0" xfId="2" applyFont="1" applyFill="1" applyAlignment="1">
      <alignment horizontal="center" vertical="center"/>
    </xf>
    <xf numFmtId="0" fontId="22" fillId="0" borderId="0" xfId="2" applyFont="1" applyAlignment="1">
      <alignment horizontal="left" vertical="center"/>
    </xf>
    <xf numFmtId="0" fontId="14" fillId="2" borderId="4" xfId="2" applyFont="1" applyFill="1" applyBorder="1" applyAlignment="1">
      <alignment horizontal="left" vertical="center" shrinkToFit="1"/>
    </xf>
    <xf numFmtId="0" fontId="14" fillId="2" borderId="4" xfId="2" applyFont="1" applyFill="1" applyBorder="1" applyAlignment="1">
      <alignment horizontal="left" vertical="center"/>
    </xf>
    <xf numFmtId="0" fontId="14" fillId="2" borderId="4" xfId="2" applyFont="1" applyFill="1" applyBorder="1" applyAlignment="1">
      <alignment horizontal="center" vertical="center"/>
    </xf>
    <xf numFmtId="1" fontId="14" fillId="2" borderId="4" xfId="2" applyNumberFormat="1" applyFont="1" applyFill="1" applyBorder="1" applyAlignment="1">
      <alignment horizontal="left" vertical="center"/>
    </xf>
    <xf numFmtId="4" fontId="15" fillId="2" borderId="4" xfId="2" applyNumberFormat="1" applyFont="1" applyFill="1" applyBorder="1" applyAlignment="1">
      <alignment vertical="center"/>
    </xf>
    <xf numFmtId="2" fontId="15" fillId="2" borderId="4" xfId="2" applyNumberFormat="1" applyFont="1" applyFill="1" applyBorder="1" applyAlignment="1">
      <alignment horizontal="left" vertical="center"/>
    </xf>
    <xf numFmtId="4" fontId="15" fillId="2" borderId="4" xfId="2" applyNumberFormat="1" applyFont="1" applyFill="1" applyBorder="1" applyAlignment="1">
      <alignment horizontal="left" vertical="center"/>
    </xf>
    <xf numFmtId="0" fontId="23" fillId="2" borderId="0" xfId="2" applyFont="1" applyFill="1" applyAlignment="1">
      <alignment horizontal="left" vertical="center"/>
    </xf>
    <xf numFmtId="0" fontId="24" fillId="2" borderId="0" xfId="2" applyFont="1" applyFill="1" applyAlignment="1">
      <alignment horizontal="left" vertical="center"/>
    </xf>
    <xf numFmtId="0" fontId="25" fillId="2" borderId="0" xfId="2" applyFont="1" applyFill="1" applyAlignment="1">
      <alignment horizontal="left" vertical="center"/>
    </xf>
    <xf numFmtId="0" fontId="26" fillId="2" borderId="0" xfId="2" applyFont="1" applyFill="1" applyAlignment="1">
      <alignment horizontal="left" vertical="center" shrinkToFit="1"/>
    </xf>
    <xf numFmtId="0" fontId="14" fillId="2" borderId="0" xfId="2" applyFont="1" applyFill="1" applyAlignment="1">
      <alignment horizontal="center" vertical="center" shrinkToFit="1"/>
    </xf>
    <xf numFmtId="4" fontId="15" fillId="2" borderId="0" xfId="2" applyNumberFormat="1" applyFont="1" applyFill="1" applyAlignment="1">
      <alignment vertical="center" shrinkToFit="1"/>
    </xf>
    <xf numFmtId="2" fontId="15" fillId="2" borderId="0" xfId="2" applyNumberFormat="1" applyFont="1" applyFill="1" applyAlignment="1">
      <alignment horizontal="left" vertical="center" shrinkToFit="1"/>
    </xf>
    <xf numFmtId="0" fontId="15" fillId="2" borderId="0" xfId="2" applyFont="1" applyFill="1" applyAlignment="1">
      <alignment horizontal="left" vertical="center" shrinkToFit="1"/>
    </xf>
    <xf numFmtId="0" fontId="25" fillId="0" borderId="0" xfId="2" applyFont="1" applyAlignment="1">
      <alignment horizontal="left" vertical="center"/>
    </xf>
    <xf numFmtId="0" fontId="27" fillId="0" borderId="0" xfId="2" applyFont="1" applyAlignment="1">
      <alignment horizontal="left" vertical="center"/>
    </xf>
    <xf numFmtId="0" fontId="28" fillId="2" borderId="0" xfId="2" applyFont="1" applyFill="1" applyAlignment="1">
      <alignment horizontal="left" vertical="center"/>
    </xf>
    <xf numFmtId="164" fontId="29" fillId="2" borderId="0" xfId="1" applyFont="1" applyFill="1" applyAlignment="1">
      <alignment horizontal="left" vertical="center"/>
    </xf>
    <xf numFmtId="164" fontId="21" fillId="6" borderId="0" xfId="2" applyNumberFormat="1" applyFont="1" applyFill="1" applyAlignment="1">
      <alignment horizontal="left" vertical="center"/>
    </xf>
    <xf numFmtId="0" fontId="21" fillId="6" borderId="0" xfId="2" applyFont="1" applyFill="1" applyAlignment="1">
      <alignment horizontal="left" vertical="center"/>
    </xf>
    <xf numFmtId="0" fontId="30" fillId="6" borderId="0" xfId="2" applyFont="1" applyFill="1" applyAlignment="1">
      <alignment horizontal="left" vertical="center"/>
    </xf>
    <xf numFmtId="0" fontId="31" fillId="0" borderId="0" xfId="0" applyFont="1"/>
    <xf numFmtId="0" fontId="31" fillId="2" borderId="0" xfId="0" applyFont="1" applyFill="1"/>
    <xf numFmtId="0" fontId="32" fillId="6" borderId="0" xfId="2" applyFont="1" applyFill="1" applyAlignment="1">
      <alignment horizontal="left" vertical="center"/>
    </xf>
    <xf numFmtId="0" fontId="33" fillId="6" borderId="0" xfId="1" applyNumberFormat="1" applyFont="1" applyFill="1" applyAlignment="1">
      <alignment horizontal="left" vertical="center"/>
    </xf>
    <xf numFmtId="164" fontId="34" fillId="6" borderId="0" xfId="2" applyNumberFormat="1" applyFont="1" applyFill="1" applyAlignment="1">
      <alignment horizontal="left" vertical="center"/>
    </xf>
    <xf numFmtId="0" fontId="14" fillId="2" borderId="5" xfId="2" applyFont="1" applyFill="1" applyBorder="1" applyAlignment="1">
      <alignment horizontal="left" vertical="center" shrinkToFit="1"/>
    </xf>
    <xf numFmtId="0" fontId="14" fillId="2" borderId="5" xfId="2" applyFont="1" applyFill="1" applyBorder="1" applyAlignment="1">
      <alignment horizontal="left" vertical="center"/>
    </xf>
    <xf numFmtId="0" fontId="14" fillId="2" borderId="5" xfId="2" applyFont="1" applyFill="1" applyBorder="1" applyAlignment="1">
      <alignment horizontal="center" vertical="center"/>
    </xf>
    <xf numFmtId="1" fontId="14" fillId="2" borderId="5" xfId="2" applyNumberFormat="1" applyFont="1" applyFill="1" applyBorder="1" applyAlignment="1">
      <alignment horizontal="left" vertical="center"/>
    </xf>
    <xf numFmtId="4" fontId="15" fillId="2" borderId="5" xfId="2" applyNumberFormat="1" applyFont="1" applyFill="1" applyBorder="1" applyAlignment="1">
      <alignment vertical="center"/>
    </xf>
    <xf numFmtId="2" fontId="15" fillId="2" borderId="5" xfId="2" applyNumberFormat="1" applyFont="1" applyFill="1" applyBorder="1" applyAlignment="1">
      <alignment horizontal="left" vertical="center"/>
    </xf>
    <xf numFmtId="0" fontId="35" fillId="0" borderId="0" xfId="2" applyFont="1" applyAlignment="1">
      <alignment horizontal="left" vertical="center"/>
    </xf>
    <xf numFmtId="4" fontId="36" fillId="6" borderId="0" xfId="2" applyNumberFormat="1" applyFont="1" applyFill="1" applyAlignment="1">
      <alignment horizontal="left" vertical="center"/>
    </xf>
    <xf numFmtId="0" fontId="36" fillId="6" borderId="0" xfId="2" applyFont="1" applyFill="1" applyAlignment="1">
      <alignment horizontal="left" vertical="center"/>
    </xf>
    <xf numFmtId="164" fontId="36" fillId="6" borderId="0" xfId="2" applyNumberFormat="1" applyFont="1" applyFill="1" applyAlignment="1">
      <alignment horizontal="left" vertical="center"/>
    </xf>
    <xf numFmtId="4" fontId="37" fillId="6" borderId="0" xfId="2" applyNumberFormat="1" applyFont="1" applyFill="1" applyAlignment="1">
      <alignment horizontal="left" vertical="center"/>
    </xf>
    <xf numFmtId="4" fontId="15" fillId="2" borderId="5" xfId="2" applyNumberFormat="1" applyFont="1" applyFill="1" applyBorder="1" applyAlignment="1">
      <alignment horizontal="left" vertical="center"/>
    </xf>
    <xf numFmtId="0" fontId="26" fillId="2" borderId="5" xfId="2" applyFont="1" applyFill="1" applyBorder="1" applyAlignment="1">
      <alignment horizontal="left" vertical="center" shrinkToFit="1"/>
    </xf>
    <xf numFmtId="0" fontId="15" fillId="2" borderId="0" xfId="2" applyFont="1" applyFill="1" applyAlignment="1">
      <alignment horizontal="left" vertical="center"/>
    </xf>
    <xf numFmtId="0" fontId="15" fillId="0" borderId="0" xfId="2" applyFont="1" applyAlignment="1">
      <alignment horizontal="left" vertical="center" shrinkToFit="1"/>
    </xf>
    <xf numFmtId="0" fontId="38" fillId="0" borderId="0" xfId="2" applyFont="1" applyAlignment="1">
      <alignment horizontal="left" vertical="center"/>
    </xf>
    <xf numFmtId="0" fontId="31" fillId="0" borderId="0" xfId="2" applyFont="1" applyAlignment="1">
      <alignment horizontal="center" vertical="center"/>
    </xf>
    <xf numFmtId="1" fontId="31" fillId="0" borderId="0" xfId="2" applyNumberFormat="1" applyFont="1" applyAlignment="1">
      <alignment horizontal="left" vertical="center"/>
    </xf>
    <xf numFmtId="4" fontId="15" fillId="0" borderId="0" xfId="2" applyNumberFormat="1" applyFont="1" applyAlignment="1">
      <alignment vertical="center"/>
    </xf>
    <xf numFmtId="2" fontId="15" fillId="0" borderId="0" xfId="2" applyNumberFormat="1" applyFont="1" applyAlignment="1">
      <alignment horizontal="left" vertical="center"/>
    </xf>
    <xf numFmtId="4" fontId="15" fillId="0" borderId="0" xfId="2" applyNumberFormat="1" applyFont="1" applyAlignment="1">
      <alignment horizontal="left" vertical="center"/>
    </xf>
    <xf numFmtId="0" fontId="0" fillId="5" borderId="0" xfId="0" applyFill="1" applyAlignment="1">
      <alignment horizontal="center"/>
    </xf>
    <xf numFmtId="0" fontId="0" fillId="3" borderId="0" xfId="0" applyFill="1" applyAlignment="1">
      <alignment horizontal="left"/>
    </xf>
    <xf numFmtId="0" fontId="0" fillId="3" borderId="0" xfId="0" applyFill="1" applyAlignment="1">
      <alignment horizontal="center"/>
    </xf>
    <xf numFmtId="0" fontId="0" fillId="3" borderId="0" xfId="0" applyFill="1"/>
    <xf numFmtId="0" fontId="0" fillId="5" borderId="0" xfId="0" applyFill="1"/>
    <xf numFmtId="165" fontId="0" fillId="3" borderId="0" xfId="0" applyNumberFormat="1" applyFill="1"/>
    <xf numFmtId="0" fontId="0" fillId="0" borderId="0" xfId="0" applyAlignment="1">
      <alignment horizontal="center"/>
    </xf>
    <xf numFmtId="0" fontId="0" fillId="0" borderId="0" xfId="0" applyAlignment="1">
      <alignment horizontal="center" vertical="center"/>
    </xf>
    <xf numFmtId="0" fontId="6" fillId="0" borderId="0" xfId="0" applyFont="1" applyAlignment="1">
      <alignment horizontal="center" wrapText="1"/>
    </xf>
    <xf numFmtId="0" fontId="7" fillId="0" borderId="0" xfId="0" applyFont="1" applyAlignment="1">
      <alignment horizontal="center" vertical="center" wrapText="1"/>
    </xf>
    <xf numFmtId="0" fontId="0" fillId="0" borderId="0" xfId="0" applyAlignment="1">
      <alignment vertical="center"/>
    </xf>
    <xf numFmtId="0" fontId="8" fillId="0" borderId="0" xfId="0" applyFont="1" applyAlignment="1">
      <alignment horizontal="center" vertical="center"/>
    </xf>
    <xf numFmtId="0" fontId="9" fillId="0" borderId="0" xfId="0" applyFont="1" applyAlignment="1">
      <alignment horizontal="center" wrapText="1"/>
    </xf>
    <xf numFmtId="0" fontId="10" fillId="0" borderId="0" xfId="0" applyFont="1" applyAlignment="1">
      <alignment horizontal="center" vertical="center" wrapText="1"/>
    </xf>
    <xf numFmtId="0" fontId="20" fillId="4" borderId="0" xfId="2" applyFont="1" applyFill="1" applyAlignment="1">
      <alignment horizontal="center" vertical="center"/>
    </xf>
    <xf numFmtId="0" fontId="21" fillId="4" borderId="0" xfId="2" applyFont="1" applyFill="1" applyAlignment="1">
      <alignment horizontal="center" vertical="center"/>
    </xf>
  </cellXfs>
  <cellStyles count="3">
    <cellStyle name="Komma" xfId="1" builtinId="3"/>
    <cellStyle name="Normal 6" xfId="2" xr:uid="{4829FB1A-7483-445A-87CB-493F1D44AEDB}"/>
    <cellStyle name="Standard" xfId="0" builtinId="0"/>
  </cellStyles>
  <dxfs count="33">
    <dxf>
      <font>
        <b/>
        <i val="0"/>
        <strike val="0"/>
        <color auto="1"/>
      </font>
      <fill>
        <patternFill>
          <bgColor rgb="FFFF5050"/>
        </patternFill>
      </fill>
    </dxf>
    <dxf>
      <fill>
        <patternFill>
          <bgColor theme="0" tint="-0.14996795556505021"/>
        </patternFill>
      </fill>
      <border>
        <top style="thin">
          <color theme="0"/>
        </top>
        <bottom/>
      </border>
    </dxf>
    <dxf>
      <fill>
        <patternFill>
          <bgColor theme="0"/>
        </patternFill>
      </fill>
      <border>
        <top style="thin">
          <color theme="0" tint="-0.14993743705557422"/>
        </top>
        <bottom style="thin">
          <color theme="0" tint="-0.14996795556505021"/>
        </bottom>
      </border>
    </dxf>
    <dxf>
      <fill>
        <patternFill patternType="none">
          <bgColor auto="1"/>
        </patternFill>
      </fill>
      <border>
        <left/>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g"/><Relationship Id="rId1" Type="http://schemas.openxmlformats.org/officeDocument/2006/relationships/image" Target="../media/image5.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6</xdr:col>
      <xdr:colOff>223184</xdr:colOff>
      <xdr:row>5</xdr:row>
      <xdr:rowOff>0</xdr:rowOff>
    </xdr:from>
    <xdr:to>
      <xdr:col>12</xdr:col>
      <xdr:colOff>592854</xdr:colOff>
      <xdr:row>10</xdr:row>
      <xdr:rowOff>169215</xdr:rowOff>
    </xdr:to>
    <xdr:pic>
      <xdr:nvPicPr>
        <xdr:cNvPr id="2" name="Grafik 12">
          <a:extLst>
            <a:ext uri="{FF2B5EF4-FFF2-40B4-BE49-F238E27FC236}">
              <a16:creationId xmlns:a16="http://schemas.microsoft.com/office/drawing/2014/main" id="{8B2866CB-697A-40C3-954E-0B5F7626F9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17029" y="914400"/>
          <a:ext cx="3695800" cy="10740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31</xdr:row>
      <xdr:rowOff>0</xdr:rowOff>
    </xdr:from>
    <xdr:to>
      <xdr:col>9</xdr:col>
      <xdr:colOff>972130</xdr:colOff>
      <xdr:row>35</xdr:row>
      <xdr:rowOff>132401</xdr:rowOff>
    </xdr:to>
    <xdr:pic>
      <xdr:nvPicPr>
        <xdr:cNvPr id="2" name="Grafik 2">
          <a:extLst>
            <a:ext uri="{FF2B5EF4-FFF2-40B4-BE49-F238E27FC236}">
              <a16:creationId xmlns:a16="http://schemas.microsoft.com/office/drawing/2014/main" id="{3082C13E-A2D2-4021-9B4B-62C5192911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86275" y="5724525"/>
          <a:ext cx="2896180" cy="856301"/>
        </a:xfrm>
        <a:prstGeom prst="rect">
          <a:avLst/>
        </a:prstGeom>
      </xdr:spPr>
    </xdr:pic>
    <xdr:clientData/>
  </xdr:twoCellAnchor>
  <xdr:twoCellAnchor editAs="oneCell">
    <xdr:from>
      <xdr:col>4</xdr:col>
      <xdr:colOff>952501</xdr:colOff>
      <xdr:row>4</xdr:row>
      <xdr:rowOff>0</xdr:rowOff>
    </xdr:from>
    <xdr:to>
      <xdr:col>10</xdr:col>
      <xdr:colOff>358513</xdr:colOff>
      <xdr:row>9</xdr:row>
      <xdr:rowOff>169215</xdr:rowOff>
    </xdr:to>
    <xdr:pic>
      <xdr:nvPicPr>
        <xdr:cNvPr id="3" name="Grafik 3">
          <a:extLst>
            <a:ext uri="{FF2B5EF4-FFF2-40B4-BE49-F238E27FC236}">
              <a16:creationId xmlns:a16="http://schemas.microsoft.com/office/drawing/2014/main" id="{3F20E06A-F6C6-4AD2-BBA1-6BEBAB7B87A2}"/>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95751" y="733425"/>
          <a:ext cx="3682737" cy="10740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31</xdr:row>
      <xdr:rowOff>1</xdr:rowOff>
    </xdr:from>
    <xdr:to>
      <xdr:col>10</xdr:col>
      <xdr:colOff>19740</xdr:colOff>
      <xdr:row>35</xdr:row>
      <xdr:rowOff>95500</xdr:rowOff>
    </xdr:to>
    <xdr:pic>
      <xdr:nvPicPr>
        <xdr:cNvPr id="2" name="Grafik 3">
          <a:extLst>
            <a:ext uri="{FF2B5EF4-FFF2-40B4-BE49-F238E27FC236}">
              <a16:creationId xmlns:a16="http://schemas.microsoft.com/office/drawing/2014/main" id="{A5A15272-4CF8-4EB2-A11D-A093BC650B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6275" y="5724526"/>
          <a:ext cx="2953440" cy="819399"/>
        </a:xfrm>
        <a:prstGeom prst="rect">
          <a:avLst/>
        </a:prstGeom>
      </xdr:spPr>
    </xdr:pic>
    <xdr:clientData/>
  </xdr:twoCellAnchor>
  <xdr:twoCellAnchor editAs="oneCell">
    <xdr:from>
      <xdr:col>5</xdr:col>
      <xdr:colOff>0</xdr:colOff>
      <xdr:row>4</xdr:row>
      <xdr:rowOff>0</xdr:rowOff>
    </xdr:from>
    <xdr:to>
      <xdr:col>11</xdr:col>
      <xdr:colOff>100</xdr:colOff>
      <xdr:row>9</xdr:row>
      <xdr:rowOff>169215</xdr:rowOff>
    </xdr:to>
    <xdr:pic>
      <xdr:nvPicPr>
        <xdr:cNvPr id="3" name="Grafik 4">
          <a:extLst>
            <a:ext uri="{FF2B5EF4-FFF2-40B4-BE49-F238E27FC236}">
              <a16:creationId xmlns:a16="http://schemas.microsoft.com/office/drawing/2014/main" id="{6AE4DBF0-9812-4054-A07D-82B01C08F5A9}"/>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14800" y="733425"/>
          <a:ext cx="3667225" cy="10740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31</xdr:row>
      <xdr:rowOff>1</xdr:rowOff>
    </xdr:from>
    <xdr:to>
      <xdr:col>10</xdr:col>
      <xdr:colOff>19740</xdr:colOff>
      <xdr:row>35</xdr:row>
      <xdr:rowOff>95500</xdr:rowOff>
    </xdr:to>
    <xdr:pic>
      <xdr:nvPicPr>
        <xdr:cNvPr id="2" name="Grafik 3">
          <a:extLst>
            <a:ext uri="{FF2B5EF4-FFF2-40B4-BE49-F238E27FC236}">
              <a16:creationId xmlns:a16="http://schemas.microsoft.com/office/drawing/2014/main" id="{84F8661D-3717-4AB8-AB5F-D738B5D5D7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6275" y="5724526"/>
          <a:ext cx="2953440" cy="819399"/>
        </a:xfrm>
        <a:prstGeom prst="rect">
          <a:avLst/>
        </a:prstGeom>
      </xdr:spPr>
    </xdr:pic>
    <xdr:clientData/>
  </xdr:twoCellAnchor>
  <xdr:twoCellAnchor editAs="oneCell">
    <xdr:from>
      <xdr:col>5</xdr:col>
      <xdr:colOff>0</xdr:colOff>
      <xdr:row>4</xdr:row>
      <xdr:rowOff>0</xdr:rowOff>
    </xdr:from>
    <xdr:to>
      <xdr:col>11</xdr:col>
      <xdr:colOff>100</xdr:colOff>
      <xdr:row>9</xdr:row>
      <xdr:rowOff>169215</xdr:rowOff>
    </xdr:to>
    <xdr:pic>
      <xdr:nvPicPr>
        <xdr:cNvPr id="3" name="Grafik 4">
          <a:extLst>
            <a:ext uri="{FF2B5EF4-FFF2-40B4-BE49-F238E27FC236}">
              <a16:creationId xmlns:a16="http://schemas.microsoft.com/office/drawing/2014/main" id="{3874DEB2-CEB9-4103-8E5C-8C9580A62F03}"/>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14800" y="733425"/>
          <a:ext cx="3667225" cy="10740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31</xdr:row>
      <xdr:rowOff>0</xdr:rowOff>
    </xdr:from>
    <xdr:to>
      <xdr:col>10</xdr:col>
      <xdr:colOff>19740</xdr:colOff>
      <xdr:row>35</xdr:row>
      <xdr:rowOff>96702</xdr:rowOff>
    </xdr:to>
    <xdr:pic>
      <xdr:nvPicPr>
        <xdr:cNvPr id="2" name="Grafik 3">
          <a:extLst>
            <a:ext uri="{FF2B5EF4-FFF2-40B4-BE49-F238E27FC236}">
              <a16:creationId xmlns:a16="http://schemas.microsoft.com/office/drawing/2014/main" id="{3F7E1A6F-180D-4479-80DD-F94E2E72B5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6275" y="5724525"/>
          <a:ext cx="2953440" cy="820602"/>
        </a:xfrm>
        <a:prstGeom prst="rect">
          <a:avLst/>
        </a:prstGeom>
      </xdr:spPr>
    </xdr:pic>
    <xdr:clientData/>
  </xdr:twoCellAnchor>
  <xdr:twoCellAnchor editAs="oneCell">
    <xdr:from>
      <xdr:col>5</xdr:col>
      <xdr:colOff>0</xdr:colOff>
      <xdr:row>4</xdr:row>
      <xdr:rowOff>0</xdr:rowOff>
    </xdr:from>
    <xdr:to>
      <xdr:col>11</xdr:col>
      <xdr:colOff>100</xdr:colOff>
      <xdr:row>9</xdr:row>
      <xdr:rowOff>169215</xdr:rowOff>
    </xdr:to>
    <xdr:pic>
      <xdr:nvPicPr>
        <xdr:cNvPr id="3" name="Grafik 4">
          <a:extLst>
            <a:ext uri="{FF2B5EF4-FFF2-40B4-BE49-F238E27FC236}">
              <a16:creationId xmlns:a16="http://schemas.microsoft.com/office/drawing/2014/main" id="{FBA4C917-D9EF-4D42-9E8A-9BC52E7BBADB}"/>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14800" y="733425"/>
          <a:ext cx="3667225" cy="10740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662940</xdr:colOff>
      <xdr:row>11</xdr:row>
      <xdr:rowOff>134050</xdr:rowOff>
    </xdr:to>
    <xdr:pic>
      <xdr:nvPicPr>
        <xdr:cNvPr id="2" name="Grafik 1">
          <a:extLst>
            <a:ext uri="{FF2B5EF4-FFF2-40B4-BE49-F238E27FC236}">
              <a16:creationId xmlns:a16="http://schemas.microsoft.com/office/drawing/2014/main" id="{A0419092-8253-478A-BA4C-F05042EF5E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781925" cy="2273365"/>
        </a:xfrm>
        <a:prstGeom prst="rect">
          <a:avLst/>
        </a:prstGeom>
      </xdr:spPr>
    </xdr:pic>
    <xdr:clientData/>
  </xdr:twoCellAnchor>
  <xdr:twoCellAnchor editAs="oneCell">
    <xdr:from>
      <xdr:col>0</xdr:col>
      <xdr:colOff>0</xdr:colOff>
      <xdr:row>14</xdr:row>
      <xdr:rowOff>0</xdr:rowOff>
    </xdr:from>
    <xdr:to>
      <xdr:col>9</xdr:col>
      <xdr:colOff>454025</xdr:colOff>
      <xdr:row>55</xdr:row>
      <xdr:rowOff>149225</xdr:rowOff>
    </xdr:to>
    <xdr:pic>
      <xdr:nvPicPr>
        <xdr:cNvPr id="3" name="Grafik 2">
          <a:extLst>
            <a:ext uri="{FF2B5EF4-FFF2-40B4-BE49-F238E27FC236}">
              <a16:creationId xmlns:a16="http://schemas.microsoft.com/office/drawing/2014/main" id="{64E37CA4-FE5B-43A1-9990-99EFF667F6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686050"/>
          <a:ext cx="7569200" cy="7569200"/>
        </a:xfrm>
        <a:prstGeom prst="rect">
          <a:avLst/>
        </a:prstGeom>
      </xdr:spPr>
    </xdr:pic>
    <xdr:clientData/>
  </xdr:twoCellAnchor>
  <xdr:twoCellAnchor editAs="oneCell">
    <xdr:from>
      <xdr:col>0</xdr:col>
      <xdr:colOff>0</xdr:colOff>
      <xdr:row>59</xdr:row>
      <xdr:rowOff>0</xdr:rowOff>
    </xdr:from>
    <xdr:to>
      <xdr:col>7</xdr:col>
      <xdr:colOff>627507</xdr:colOff>
      <xdr:row>63</xdr:row>
      <xdr:rowOff>92583</xdr:rowOff>
    </xdr:to>
    <xdr:pic>
      <xdr:nvPicPr>
        <xdr:cNvPr id="4" name="Grafik 3">
          <a:extLst>
            <a:ext uri="{FF2B5EF4-FFF2-40B4-BE49-F238E27FC236}">
              <a16:creationId xmlns:a16="http://schemas.microsoft.com/office/drawing/2014/main" id="{26DF3D96-F322-425E-B6C1-C35EF750ED0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0829925"/>
          <a:ext cx="6165342" cy="82029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18</xdr:col>
          <xdr:colOff>3893820</xdr:colOff>
          <xdr:row>0</xdr:row>
          <xdr:rowOff>0</xdr:rowOff>
        </xdr:from>
        <xdr:to>
          <xdr:col>18</xdr:col>
          <xdr:colOff>6576060</xdr:colOff>
          <xdr:row>2</xdr:row>
          <xdr:rowOff>7620</xdr:rowOff>
        </xdr:to>
        <xdr:sp macro="" textlink="">
          <xdr:nvSpPr>
            <xdr:cNvPr id="6145" name="Button 1" hidden="1">
              <a:extLst>
                <a:ext uri="{63B3BB69-23CF-44E3-9099-C40C66FF867C}">
                  <a14:compatExt spid="_x0000_s6145"/>
                </a:ext>
                <a:ext uri="{FF2B5EF4-FFF2-40B4-BE49-F238E27FC236}">
                  <a16:creationId xmlns:a16="http://schemas.microsoft.com/office/drawing/2014/main" id="{00000000-0008-0000-0700-00000118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de-DE" sz="1400" b="1" i="0" u="none" strike="noStrike" baseline="0">
                  <a:solidFill>
                    <a:srgbClr val="333333"/>
                  </a:solidFill>
                  <a:latin typeface="Calibri"/>
                  <a:cs typeface="Calibri"/>
                </a:rPr>
                <a:t>Create PDF</a:t>
              </a:r>
            </a:p>
          </xdr:txBody>
        </xdr:sp>
        <xdr:clientData fPrintsWithSheet="0"/>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6.bin"/><Relationship Id="rId5" Type="http://schemas.openxmlformats.org/officeDocument/2006/relationships/ctrlProp" Target="../ctrlProps/ctrlProp1.xml"/><Relationship Id="rId4"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4DC84-36BC-4223-885C-A006834E7EBA}">
  <sheetPr codeName="Tabelle2">
    <pageSetUpPr fitToPage="1"/>
  </sheetPr>
  <dimension ref="B3:AA135"/>
  <sheetViews>
    <sheetView showGridLines="0" view="pageBreakPreview" topLeftCell="A23" zoomScale="70" zoomScaleNormal="85" zoomScaleSheetLayoutView="70" zoomScalePageLayoutView="55" workbookViewId="0"/>
  </sheetViews>
  <sheetFormatPr baseColWidth="10" defaultColWidth="11.5546875" defaultRowHeight="14.4"/>
  <cols>
    <col min="1" max="1" width="2.44140625" customWidth="1"/>
    <col min="4" max="8" width="11.44140625" customWidth="1"/>
    <col min="9" max="11" width="4.6640625" customWidth="1"/>
    <col min="19" max="19" width="2.44140625" customWidth="1"/>
    <col min="20" max="20" width="47.88671875" bestFit="1" customWidth="1"/>
    <col min="21" max="21" width="23.109375" bestFit="1" customWidth="1"/>
    <col min="22" max="22" width="23.88671875" bestFit="1" customWidth="1"/>
    <col min="23" max="23" width="16.88671875" bestFit="1" customWidth="1"/>
    <col min="24" max="27" width="40.6640625" customWidth="1"/>
  </cols>
  <sheetData>
    <row r="3" spans="7:23" ht="15" thickBot="1">
      <c r="U3" s="1" t="s">
        <v>0</v>
      </c>
      <c r="V3" s="1" t="s">
        <v>1</v>
      </c>
      <c r="W3" s="1" t="s">
        <v>2</v>
      </c>
    </row>
    <row r="4" spans="7:23">
      <c r="U4" t="s">
        <v>3</v>
      </c>
      <c r="V4" s="2">
        <v>10</v>
      </c>
    </row>
    <row r="5" spans="7:23">
      <c r="G5" s="3"/>
      <c r="U5" s="4" t="s">
        <v>4</v>
      </c>
      <c r="V5" s="5" t="s">
        <v>5</v>
      </c>
      <c r="W5" t="s">
        <v>6</v>
      </c>
    </row>
    <row r="6" spans="7:23">
      <c r="G6" s="97"/>
      <c r="H6" s="97"/>
      <c r="I6" s="97"/>
      <c r="J6" s="97"/>
      <c r="K6" s="97"/>
      <c r="L6" s="97"/>
      <c r="M6" s="97"/>
      <c r="N6" s="3"/>
      <c r="O6" s="6"/>
      <c r="P6" s="6"/>
      <c r="U6" s="4" t="s">
        <v>7</v>
      </c>
      <c r="V6" s="5" t="s">
        <v>8</v>
      </c>
      <c r="W6" t="s">
        <v>9</v>
      </c>
    </row>
    <row r="7" spans="7:23">
      <c r="G7" s="97"/>
      <c r="H7" s="97"/>
      <c r="I7" s="97"/>
      <c r="J7" s="97"/>
      <c r="K7" s="97"/>
      <c r="L7" s="97"/>
      <c r="M7" s="97"/>
      <c r="N7" s="3"/>
      <c r="O7" s="6"/>
      <c r="P7" s="6"/>
      <c r="U7" s="4" t="s">
        <v>10</v>
      </c>
      <c r="V7" s="5" t="s">
        <v>11</v>
      </c>
      <c r="W7" t="s">
        <v>12</v>
      </c>
    </row>
    <row r="8" spans="7:23">
      <c r="G8" s="97"/>
      <c r="H8" s="97"/>
      <c r="I8" s="97"/>
      <c r="J8" s="97"/>
      <c r="K8" s="97"/>
      <c r="L8" s="97"/>
      <c r="M8" s="97"/>
      <c r="N8" s="3"/>
      <c r="O8" s="6"/>
      <c r="P8" s="6"/>
      <c r="U8" s="4" t="s">
        <v>13</v>
      </c>
      <c r="V8" s="5" t="s">
        <v>14</v>
      </c>
      <c r="W8" t="s">
        <v>15</v>
      </c>
    </row>
    <row r="9" spans="7:23">
      <c r="G9" s="97"/>
      <c r="H9" s="97"/>
      <c r="I9" s="97"/>
      <c r="J9" s="97"/>
      <c r="K9" s="97"/>
      <c r="L9" s="97"/>
      <c r="M9" s="97"/>
      <c r="N9" s="3"/>
      <c r="O9" s="6"/>
      <c r="P9" s="6"/>
      <c r="U9" s="4" t="s">
        <v>16</v>
      </c>
      <c r="V9" s="5" t="s">
        <v>17</v>
      </c>
      <c r="W9" t="s">
        <v>18</v>
      </c>
    </row>
    <row r="10" spans="7:23">
      <c r="U10" s="4" t="s">
        <v>19</v>
      </c>
      <c r="V10" s="5" t="s">
        <v>20</v>
      </c>
      <c r="W10" t="s">
        <v>21</v>
      </c>
    </row>
    <row r="11" spans="7:23">
      <c r="U11" s="4" t="s">
        <v>22</v>
      </c>
      <c r="V11" s="5" t="s">
        <v>23</v>
      </c>
      <c r="W11" t="s">
        <v>24</v>
      </c>
    </row>
    <row r="12" spans="7:23">
      <c r="U12" s="7" t="s">
        <v>25</v>
      </c>
      <c r="V12" s="2">
        <v>50</v>
      </c>
    </row>
    <row r="13" spans="7:23">
      <c r="U13" s="4" t="s">
        <v>26</v>
      </c>
      <c r="V13" s="5" t="s">
        <v>27</v>
      </c>
      <c r="W13" t="s">
        <v>28</v>
      </c>
    </row>
    <row r="14" spans="7:23">
      <c r="U14" s="4" t="s">
        <v>29</v>
      </c>
      <c r="V14" s="5" t="s">
        <v>30</v>
      </c>
      <c r="W14" t="s">
        <v>31</v>
      </c>
    </row>
    <row r="15" spans="7:23">
      <c r="U15" s="7" t="s">
        <v>32</v>
      </c>
      <c r="V15" s="2">
        <v>70</v>
      </c>
    </row>
    <row r="16" spans="7:23">
      <c r="U16" s="8" t="s">
        <v>33</v>
      </c>
      <c r="V16" s="2" t="s">
        <v>34</v>
      </c>
      <c r="W16" t="s">
        <v>35</v>
      </c>
    </row>
    <row r="17" spans="10:23">
      <c r="U17" s="8" t="s">
        <v>36</v>
      </c>
      <c r="V17" s="2" t="s">
        <v>37</v>
      </c>
      <c r="W17" t="s">
        <v>38</v>
      </c>
    </row>
    <row r="22" spans="10:23" ht="69">
      <c r="J22" s="9" t="s">
        <v>39</v>
      </c>
    </row>
    <row r="23" spans="10:23" ht="69">
      <c r="J23" s="10" t="s">
        <v>40</v>
      </c>
    </row>
    <row r="30" spans="10:23" ht="45">
      <c r="J30" s="11" t="s">
        <v>41</v>
      </c>
    </row>
    <row r="36" spans="10:10" ht="22.8">
      <c r="J36" s="12" t="s">
        <v>42</v>
      </c>
    </row>
    <row r="74" spans="4:16" ht="15" customHeight="1">
      <c r="G74" s="13"/>
      <c r="H74" s="13"/>
      <c r="I74" s="13"/>
      <c r="J74" s="13"/>
      <c r="K74" s="13"/>
      <c r="L74" s="13"/>
      <c r="M74" s="13"/>
      <c r="N74" s="13"/>
    </row>
    <row r="75" spans="4:16" ht="15" customHeight="1">
      <c r="F75" s="13"/>
      <c r="G75" s="13"/>
      <c r="H75" s="13"/>
      <c r="I75" s="13"/>
      <c r="J75" s="13"/>
      <c r="K75" s="13"/>
      <c r="L75" s="13"/>
      <c r="M75" s="13"/>
      <c r="N75" s="13"/>
    </row>
    <row r="76" spans="4:16" ht="15" customHeight="1">
      <c r="G76" s="13"/>
      <c r="H76" s="13"/>
      <c r="I76" s="13"/>
      <c r="J76" s="13"/>
      <c r="K76" s="13"/>
      <c r="L76" s="13"/>
      <c r="M76" s="13"/>
      <c r="N76" s="13"/>
    </row>
    <row r="77" spans="4:16" ht="15" customHeight="1">
      <c r="D77" s="98" t="s">
        <v>43</v>
      </c>
      <c r="E77" s="98"/>
      <c r="F77" s="98"/>
      <c r="G77" s="98"/>
      <c r="H77" s="98"/>
      <c r="I77" s="98"/>
      <c r="J77" s="98"/>
      <c r="K77" s="98"/>
      <c r="L77" s="98"/>
      <c r="M77" s="98"/>
      <c r="N77" s="98"/>
      <c r="O77" s="98"/>
      <c r="P77" s="98"/>
    </row>
    <row r="78" spans="4:16" ht="15" customHeight="1">
      <c r="D78" s="98"/>
      <c r="E78" s="98"/>
      <c r="F78" s="98"/>
      <c r="G78" s="98"/>
      <c r="H78" s="98"/>
      <c r="I78" s="98"/>
      <c r="J78" s="98"/>
      <c r="K78" s="98"/>
      <c r="L78" s="98"/>
      <c r="M78" s="98"/>
      <c r="N78" s="98"/>
      <c r="O78" s="98"/>
      <c r="P78" s="98"/>
    </row>
    <row r="79" spans="4:16" ht="15" customHeight="1">
      <c r="D79" s="98"/>
      <c r="E79" s="98"/>
      <c r="F79" s="98"/>
      <c r="G79" s="98"/>
      <c r="H79" s="98"/>
      <c r="I79" s="98"/>
      <c r="J79" s="98"/>
      <c r="K79" s="98"/>
      <c r="L79" s="98"/>
      <c r="M79" s="98"/>
      <c r="N79" s="98"/>
      <c r="O79" s="98"/>
      <c r="P79" s="98"/>
    </row>
    <row r="83" spans="2:27" ht="15" customHeight="1">
      <c r="B83" s="99" t="s">
        <v>44</v>
      </c>
      <c r="C83" s="99"/>
      <c r="D83" s="99"/>
      <c r="E83" s="99"/>
      <c r="F83" s="99"/>
      <c r="G83" s="99"/>
      <c r="H83" s="99"/>
      <c r="I83" s="99"/>
      <c r="J83" s="99"/>
      <c r="K83" s="99"/>
      <c r="L83" s="99"/>
      <c r="M83" s="99"/>
      <c r="N83" s="99"/>
      <c r="O83" s="99"/>
      <c r="P83" s="99"/>
      <c r="Q83" s="99"/>
      <c r="R83" s="99"/>
    </row>
    <row r="84" spans="2:27" ht="20.25" customHeight="1">
      <c r="B84" s="99"/>
      <c r="C84" s="99"/>
      <c r="D84" s="99"/>
      <c r="E84" s="99"/>
      <c r="F84" s="99"/>
      <c r="G84" s="99"/>
      <c r="H84" s="99"/>
      <c r="I84" s="99"/>
      <c r="J84" s="99"/>
      <c r="K84" s="99"/>
      <c r="L84" s="99"/>
      <c r="M84" s="99"/>
      <c r="N84" s="99"/>
      <c r="O84" s="99"/>
      <c r="P84" s="99"/>
      <c r="Q84" s="99"/>
      <c r="R84" s="99"/>
    </row>
    <row r="85" spans="2:27" ht="20.25" customHeight="1">
      <c r="B85" s="99"/>
      <c r="C85" s="99"/>
      <c r="D85" s="99"/>
      <c r="E85" s="99"/>
      <c r="F85" s="99"/>
      <c r="G85" s="99"/>
      <c r="H85" s="99"/>
      <c r="I85" s="99"/>
      <c r="J85" s="99"/>
      <c r="K85" s="99"/>
      <c r="L85" s="99"/>
      <c r="M85" s="99"/>
      <c r="N85" s="99"/>
      <c r="O85" s="99"/>
      <c r="P85" s="99"/>
      <c r="Q85" s="99"/>
      <c r="R85" s="99"/>
    </row>
    <row r="86" spans="2:27" ht="20.25" customHeight="1">
      <c r="B86" s="99"/>
      <c r="C86" s="99"/>
      <c r="D86" s="99"/>
      <c r="E86" s="99"/>
      <c r="F86" s="99"/>
      <c r="G86" s="99"/>
      <c r="H86" s="99"/>
      <c r="I86" s="99"/>
      <c r="J86" s="99"/>
      <c r="K86" s="99"/>
      <c r="L86" s="99"/>
      <c r="M86" s="99"/>
      <c r="N86" s="99"/>
      <c r="O86" s="99"/>
      <c r="P86" s="99"/>
      <c r="Q86" s="99"/>
      <c r="R86" s="99"/>
    </row>
    <row r="89" spans="2:27" ht="15" thickBot="1">
      <c r="U89" s="1" t="s">
        <v>45</v>
      </c>
      <c r="V89" s="1" t="s">
        <v>46</v>
      </c>
      <c r="W89" s="1" t="s">
        <v>47</v>
      </c>
      <c r="X89" s="1" t="s">
        <v>48</v>
      </c>
      <c r="Y89" s="1" t="s">
        <v>49</v>
      </c>
      <c r="Z89" s="1" t="s">
        <v>50</v>
      </c>
      <c r="AA89" s="1" t="s">
        <v>51</v>
      </c>
    </row>
    <row r="90" spans="2:27">
      <c r="U90" t="s">
        <v>52</v>
      </c>
      <c r="V90" t="s">
        <v>53</v>
      </c>
      <c r="W90" t="s">
        <v>54</v>
      </c>
      <c r="X90" t="s">
        <v>55</v>
      </c>
      <c r="Y90" t="s">
        <v>56</v>
      </c>
      <c r="Z90" t="s">
        <v>57</v>
      </c>
    </row>
    <row r="91" spans="2:27" ht="14.1" customHeight="1">
      <c r="U91" t="s">
        <v>58</v>
      </c>
      <c r="V91" t="s">
        <v>59</v>
      </c>
      <c r="W91" t="s">
        <v>60</v>
      </c>
      <c r="X91" t="s">
        <v>44</v>
      </c>
      <c r="Y91" t="s">
        <v>61</v>
      </c>
      <c r="Z91" t="s">
        <v>62</v>
      </c>
    </row>
    <row r="92" spans="2:27">
      <c r="U92" t="s">
        <v>63</v>
      </c>
      <c r="V92" t="s">
        <v>64</v>
      </c>
      <c r="W92" t="s">
        <v>54</v>
      </c>
      <c r="X92" t="s">
        <v>65</v>
      </c>
      <c r="Y92" t="s">
        <v>66</v>
      </c>
      <c r="Z92" t="s">
        <v>57</v>
      </c>
    </row>
    <row r="93" spans="2:27">
      <c r="U93" t="s">
        <v>67</v>
      </c>
      <c r="V93" t="s">
        <v>64</v>
      </c>
      <c r="W93" t="s">
        <v>54</v>
      </c>
      <c r="X93" t="s">
        <v>65</v>
      </c>
      <c r="Y93" t="s">
        <v>66</v>
      </c>
      <c r="Z93" t="s">
        <v>57</v>
      </c>
    </row>
    <row r="94" spans="2:27">
      <c r="U94" t="s">
        <v>68</v>
      </c>
      <c r="V94" t="s">
        <v>64</v>
      </c>
      <c r="W94" t="s">
        <v>54</v>
      </c>
      <c r="X94" t="s">
        <v>65</v>
      </c>
      <c r="Y94" t="s">
        <v>69</v>
      </c>
      <c r="Z94" t="s">
        <v>70</v>
      </c>
    </row>
    <row r="95" spans="2:27">
      <c r="U95" t="s">
        <v>71</v>
      </c>
      <c r="V95" t="s">
        <v>64</v>
      </c>
      <c r="W95" t="s">
        <v>54</v>
      </c>
      <c r="X95" t="s">
        <v>65</v>
      </c>
      <c r="Y95" t="s">
        <v>69</v>
      </c>
      <c r="Z95" t="s">
        <v>70</v>
      </c>
    </row>
    <row r="96" spans="2:27">
      <c r="U96" t="s">
        <v>72</v>
      </c>
      <c r="V96" t="s">
        <v>73</v>
      </c>
      <c r="W96" t="s">
        <v>74</v>
      </c>
      <c r="X96" t="s">
        <v>75</v>
      </c>
      <c r="Y96" t="s">
        <v>76</v>
      </c>
      <c r="Z96" t="s">
        <v>77</v>
      </c>
    </row>
    <row r="97" spans="21:27">
      <c r="U97" t="s">
        <v>78</v>
      </c>
      <c r="V97" t="s">
        <v>79</v>
      </c>
      <c r="W97" t="s">
        <v>80</v>
      </c>
      <c r="X97" t="s">
        <v>81</v>
      </c>
      <c r="Y97" t="s">
        <v>82</v>
      </c>
      <c r="Z97" t="s">
        <v>83</v>
      </c>
    </row>
    <row r="98" spans="21:27">
      <c r="U98" t="s">
        <v>84</v>
      </c>
      <c r="V98" t="s">
        <v>85</v>
      </c>
      <c r="W98" t="s">
        <v>74</v>
      </c>
      <c r="X98" t="s">
        <v>75</v>
      </c>
      <c r="Y98" t="s">
        <v>86</v>
      </c>
      <c r="Z98" t="s">
        <v>77</v>
      </c>
    </row>
    <row r="99" spans="21:27">
      <c r="U99" t="s">
        <v>87</v>
      </c>
      <c r="V99" t="s">
        <v>88</v>
      </c>
      <c r="W99" t="s">
        <v>89</v>
      </c>
      <c r="X99" t="s">
        <v>90</v>
      </c>
      <c r="Y99" t="s">
        <v>91</v>
      </c>
      <c r="Z99" t="s">
        <v>92</v>
      </c>
    </row>
    <row r="100" spans="21:27">
      <c r="U100" t="s">
        <v>93</v>
      </c>
      <c r="V100" t="s">
        <v>94</v>
      </c>
      <c r="W100" t="s">
        <v>60</v>
      </c>
      <c r="X100" t="s">
        <v>95</v>
      </c>
      <c r="Y100" t="s">
        <v>96</v>
      </c>
      <c r="Z100" t="s">
        <v>97</v>
      </c>
    </row>
    <row r="101" spans="21:27">
      <c r="U101" t="s">
        <v>98</v>
      </c>
      <c r="V101" t="s">
        <v>94</v>
      </c>
      <c r="W101" t="s">
        <v>60</v>
      </c>
      <c r="X101" t="s">
        <v>95</v>
      </c>
      <c r="Y101" t="s">
        <v>96</v>
      </c>
      <c r="Z101" t="s">
        <v>97</v>
      </c>
    </row>
    <row r="102" spans="21:27">
      <c r="U102" t="s">
        <v>99</v>
      </c>
      <c r="V102" t="s">
        <v>100</v>
      </c>
      <c r="W102" t="s">
        <v>101</v>
      </c>
      <c r="X102" t="s">
        <v>102</v>
      </c>
      <c r="Y102" t="s">
        <v>103</v>
      </c>
      <c r="Z102" t="s">
        <v>104</v>
      </c>
    </row>
    <row r="103" spans="21:27">
      <c r="U103" t="s">
        <v>105</v>
      </c>
      <c r="V103" t="s">
        <v>100</v>
      </c>
      <c r="W103" t="s">
        <v>101</v>
      </c>
      <c r="X103" t="s">
        <v>102</v>
      </c>
      <c r="Y103" t="s">
        <v>103</v>
      </c>
      <c r="Z103" t="s">
        <v>104</v>
      </c>
    </row>
    <row r="104" spans="21:27">
      <c r="U104" t="s">
        <v>106</v>
      </c>
      <c r="V104" t="s">
        <v>107</v>
      </c>
      <c r="W104" t="s">
        <v>54</v>
      </c>
      <c r="X104" t="s">
        <v>65</v>
      </c>
      <c r="Y104" t="s">
        <v>108</v>
      </c>
      <c r="Z104" t="s">
        <v>70</v>
      </c>
    </row>
    <row r="105" spans="21:27" ht="15" customHeight="1">
      <c r="U105" t="s">
        <v>109</v>
      </c>
      <c r="V105" t="s">
        <v>42</v>
      </c>
      <c r="W105" t="s">
        <v>60</v>
      </c>
      <c r="X105" t="s">
        <v>44</v>
      </c>
      <c r="Y105" s="14" t="s">
        <v>61</v>
      </c>
      <c r="Z105" t="s">
        <v>62</v>
      </c>
    </row>
    <row r="106" spans="21:27" ht="15" customHeight="1">
      <c r="U106" t="s">
        <v>110</v>
      </c>
      <c r="V106" t="s">
        <v>111</v>
      </c>
      <c r="W106" t="s">
        <v>54</v>
      </c>
      <c r="X106" s="15" t="s">
        <v>112</v>
      </c>
      <c r="Y106" s="15" t="s">
        <v>113</v>
      </c>
      <c r="Z106" t="s">
        <v>57</v>
      </c>
    </row>
    <row r="107" spans="21:27" ht="15" customHeight="1">
      <c r="U107" t="s">
        <v>114</v>
      </c>
      <c r="V107" t="s">
        <v>115</v>
      </c>
      <c r="W107" t="s">
        <v>116</v>
      </c>
      <c r="X107" s="15" t="s">
        <v>117</v>
      </c>
      <c r="Y107" s="15" t="s">
        <v>118</v>
      </c>
      <c r="Z107" t="s">
        <v>119</v>
      </c>
    </row>
    <row r="108" spans="21:27">
      <c r="U108" t="s">
        <v>120</v>
      </c>
      <c r="V108" t="s">
        <v>121</v>
      </c>
      <c r="W108" t="s">
        <v>54</v>
      </c>
      <c r="X108" t="s">
        <v>122</v>
      </c>
      <c r="Y108" t="s">
        <v>123</v>
      </c>
      <c r="Z108" t="s">
        <v>57</v>
      </c>
      <c r="AA108" t="s">
        <v>124</v>
      </c>
    </row>
    <row r="109" spans="21:27">
      <c r="U109" t="s">
        <v>125</v>
      </c>
      <c r="V109" t="s">
        <v>42</v>
      </c>
      <c r="W109" t="s">
        <v>60</v>
      </c>
      <c r="X109" t="s">
        <v>44</v>
      </c>
      <c r="Y109" s="16" t="s">
        <v>61</v>
      </c>
      <c r="Z109" t="s">
        <v>62</v>
      </c>
    </row>
    <row r="110" spans="21:27">
      <c r="U110" t="s">
        <v>126</v>
      </c>
      <c r="V110" t="s">
        <v>127</v>
      </c>
      <c r="W110" t="s">
        <v>128</v>
      </c>
      <c r="X110" t="s">
        <v>129</v>
      </c>
      <c r="Y110" t="s">
        <v>130</v>
      </c>
      <c r="Z110" t="s">
        <v>131</v>
      </c>
    </row>
    <row r="111" spans="21:27">
      <c r="U111" t="s">
        <v>132</v>
      </c>
      <c r="V111" t="s">
        <v>133</v>
      </c>
      <c r="W111" t="s">
        <v>74</v>
      </c>
      <c r="X111" t="s">
        <v>134</v>
      </c>
      <c r="Y111" t="s">
        <v>135</v>
      </c>
      <c r="Z111" t="s">
        <v>136</v>
      </c>
    </row>
    <row r="112" spans="21:27">
      <c r="U112" t="s">
        <v>137</v>
      </c>
      <c r="V112" t="s">
        <v>138</v>
      </c>
      <c r="W112" t="s">
        <v>54</v>
      </c>
      <c r="X112" t="s">
        <v>139</v>
      </c>
      <c r="Y112" t="s">
        <v>66</v>
      </c>
      <c r="Z112" t="s">
        <v>57</v>
      </c>
    </row>
    <row r="113" spans="21:26">
      <c r="U113" t="s">
        <v>140</v>
      </c>
      <c r="V113" t="s">
        <v>138</v>
      </c>
      <c r="W113" t="s">
        <v>54</v>
      </c>
      <c r="X113" t="s">
        <v>139</v>
      </c>
      <c r="Y113" t="s">
        <v>66</v>
      </c>
      <c r="Z113" t="s">
        <v>57</v>
      </c>
    </row>
    <row r="114" spans="21:26">
      <c r="U114" t="s">
        <v>141</v>
      </c>
      <c r="V114" t="s">
        <v>142</v>
      </c>
      <c r="W114" t="s">
        <v>54</v>
      </c>
      <c r="X114" t="s">
        <v>143</v>
      </c>
      <c r="Y114" t="s">
        <v>144</v>
      </c>
      <c r="Z114" t="s">
        <v>145</v>
      </c>
    </row>
    <row r="115" spans="21:26">
      <c r="U115" t="s">
        <v>146</v>
      </c>
      <c r="V115" t="s">
        <v>142</v>
      </c>
      <c r="W115" t="s">
        <v>54</v>
      </c>
      <c r="X115" t="s">
        <v>143</v>
      </c>
      <c r="Y115" t="s">
        <v>144</v>
      </c>
      <c r="Z115" t="s">
        <v>145</v>
      </c>
    </row>
    <row r="116" spans="21:26">
      <c r="U116" t="s">
        <v>147</v>
      </c>
      <c r="V116" t="s">
        <v>148</v>
      </c>
      <c r="W116" t="s">
        <v>149</v>
      </c>
      <c r="X116" t="s">
        <v>150</v>
      </c>
      <c r="Y116" t="s">
        <v>151</v>
      </c>
      <c r="Z116" t="s">
        <v>152</v>
      </c>
    </row>
    <row r="117" spans="21:26">
      <c r="U117" t="s">
        <v>153</v>
      </c>
      <c r="V117" t="s">
        <v>154</v>
      </c>
      <c r="W117" t="s">
        <v>155</v>
      </c>
      <c r="X117" t="s">
        <v>156</v>
      </c>
      <c r="Y117" t="s">
        <v>157</v>
      </c>
      <c r="Z117" t="s">
        <v>158</v>
      </c>
    </row>
    <row r="118" spans="21:26">
      <c r="U118" t="s">
        <v>159</v>
      </c>
      <c r="V118" t="s">
        <v>160</v>
      </c>
      <c r="W118" t="s">
        <v>54</v>
      </c>
      <c r="X118" t="s">
        <v>161</v>
      </c>
      <c r="Y118" t="s">
        <v>113</v>
      </c>
      <c r="Z118" t="s">
        <v>57</v>
      </c>
    </row>
    <row r="119" spans="21:26" ht="86.4">
      <c r="U119" t="s">
        <v>162</v>
      </c>
      <c r="V119" t="s">
        <v>163</v>
      </c>
      <c r="W119" t="s">
        <v>74</v>
      </c>
      <c r="X119" s="15" t="s">
        <v>164</v>
      </c>
      <c r="Y119" s="16" t="s">
        <v>165</v>
      </c>
      <c r="Z119" t="s">
        <v>136</v>
      </c>
    </row>
    <row r="120" spans="21:26">
      <c r="U120" t="s">
        <v>166</v>
      </c>
      <c r="V120" t="s">
        <v>167</v>
      </c>
      <c r="W120" t="s">
        <v>168</v>
      </c>
      <c r="X120" t="s">
        <v>169</v>
      </c>
      <c r="Y120" t="s">
        <v>170</v>
      </c>
      <c r="Z120" t="s">
        <v>171</v>
      </c>
    </row>
    <row r="121" spans="21:26">
      <c r="U121" t="s">
        <v>172</v>
      </c>
      <c r="V121" t="s">
        <v>173</v>
      </c>
      <c r="W121" t="s">
        <v>74</v>
      </c>
      <c r="X121" t="s">
        <v>174</v>
      </c>
      <c r="Y121" t="s">
        <v>175</v>
      </c>
      <c r="Z121" t="s">
        <v>176</v>
      </c>
    </row>
    <row r="122" spans="21:26">
      <c r="U122" t="s">
        <v>177</v>
      </c>
      <c r="V122" t="s">
        <v>178</v>
      </c>
      <c r="W122" t="s">
        <v>179</v>
      </c>
      <c r="X122" t="s">
        <v>156</v>
      </c>
      <c r="Y122" t="s">
        <v>180</v>
      </c>
      <c r="Z122" t="s">
        <v>181</v>
      </c>
    </row>
    <row r="123" spans="21:26">
      <c r="U123" t="s">
        <v>182</v>
      </c>
      <c r="V123" t="s">
        <v>183</v>
      </c>
      <c r="W123" t="s">
        <v>184</v>
      </c>
      <c r="X123" t="s">
        <v>185</v>
      </c>
      <c r="Y123" t="s">
        <v>186</v>
      </c>
      <c r="Z123" t="s">
        <v>187</v>
      </c>
    </row>
    <row r="124" spans="21:26">
      <c r="U124" t="s">
        <v>188</v>
      </c>
      <c r="V124" t="s">
        <v>183</v>
      </c>
      <c r="W124" t="s">
        <v>184</v>
      </c>
      <c r="X124" t="s">
        <v>185</v>
      </c>
      <c r="Y124" t="s">
        <v>186</v>
      </c>
      <c r="Z124" t="s">
        <v>187</v>
      </c>
    </row>
    <row r="125" spans="21:26">
      <c r="U125" t="s">
        <v>189</v>
      </c>
      <c r="V125" t="s">
        <v>190</v>
      </c>
      <c r="W125" t="s">
        <v>60</v>
      </c>
      <c r="X125" t="s">
        <v>191</v>
      </c>
      <c r="Y125" t="s">
        <v>192</v>
      </c>
      <c r="Z125" t="s">
        <v>62</v>
      </c>
    </row>
    <row r="126" spans="21:26">
      <c r="U126" t="s">
        <v>193</v>
      </c>
      <c r="V126" t="s">
        <v>190</v>
      </c>
      <c r="W126" t="s">
        <v>60</v>
      </c>
      <c r="X126" t="s">
        <v>191</v>
      </c>
      <c r="Y126" t="s">
        <v>192</v>
      </c>
      <c r="Z126" t="s">
        <v>62</v>
      </c>
    </row>
    <row r="127" spans="21:26">
      <c r="U127" t="s">
        <v>194</v>
      </c>
      <c r="V127" t="s">
        <v>195</v>
      </c>
      <c r="W127" t="s">
        <v>54</v>
      </c>
      <c r="X127" t="s">
        <v>191</v>
      </c>
      <c r="Y127" t="s">
        <v>196</v>
      </c>
      <c r="Z127" t="s">
        <v>70</v>
      </c>
    </row>
    <row r="128" spans="21:26">
      <c r="U128" t="s">
        <v>197</v>
      </c>
      <c r="V128" t="s">
        <v>198</v>
      </c>
      <c r="W128" t="s">
        <v>54</v>
      </c>
      <c r="X128" t="s">
        <v>191</v>
      </c>
      <c r="Y128" t="s">
        <v>196</v>
      </c>
      <c r="Z128" t="s">
        <v>70</v>
      </c>
    </row>
    <row r="129" spans="21:27">
      <c r="U129" t="s">
        <v>199</v>
      </c>
      <c r="V129" t="s">
        <v>200</v>
      </c>
      <c r="W129" t="s">
        <v>128</v>
      </c>
      <c r="X129" t="s">
        <v>191</v>
      </c>
      <c r="Y129" t="s">
        <v>201</v>
      </c>
      <c r="Z129" t="s">
        <v>131</v>
      </c>
    </row>
    <row r="130" spans="21:27">
      <c r="U130" t="s">
        <v>202</v>
      </c>
      <c r="V130" t="s">
        <v>200</v>
      </c>
      <c r="W130" t="s">
        <v>128</v>
      </c>
      <c r="X130" t="s">
        <v>191</v>
      </c>
      <c r="Y130" t="s">
        <v>201</v>
      </c>
      <c r="Z130" t="s">
        <v>131</v>
      </c>
    </row>
    <row r="131" spans="21:27">
      <c r="U131" t="s">
        <v>203</v>
      </c>
      <c r="V131" t="s">
        <v>204</v>
      </c>
      <c r="W131" t="s">
        <v>54</v>
      </c>
      <c r="X131" t="s">
        <v>122</v>
      </c>
      <c r="Y131" t="s">
        <v>205</v>
      </c>
      <c r="Z131" t="s">
        <v>57</v>
      </c>
      <c r="AA131" t="s">
        <v>206</v>
      </c>
    </row>
    <row r="132" spans="21:27">
      <c r="U132" t="s">
        <v>207</v>
      </c>
      <c r="V132" s="15" t="s">
        <v>208</v>
      </c>
      <c r="W132" t="s">
        <v>209</v>
      </c>
      <c r="X132" t="s">
        <v>210</v>
      </c>
      <c r="Y132" s="17" t="s">
        <v>211</v>
      </c>
      <c r="Z132" t="s">
        <v>77</v>
      </c>
    </row>
    <row r="133" spans="21:27">
      <c r="U133" t="s">
        <v>212</v>
      </c>
      <c r="V133" t="s">
        <v>213</v>
      </c>
      <c r="W133" t="s">
        <v>54</v>
      </c>
      <c r="X133" t="s">
        <v>44</v>
      </c>
      <c r="Y133" t="s">
        <v>214</v>
      </c>
      <c r="Z133" t="s">
        <v>57</v>
      </c>
    </row>
    <row r="134" spans="21:27">
      <c r="U134" t="s">
        <v>215</v>
      </c>
      <c r="V134" s="15" t="s">
        <v>213</v>
      </c>
      <c r="W134" t="s">
        <v>54</v>
      </c>
      <c r="X134" t="s">
        <v>44</v>
      </c>
      <c r="Y134" t="s">
        <v>214</v>
      </c>
      <c r="Z134" t="s">
        <v>57</v>
      </c>
    </row>
    <row r="135" spans="21:27">
      <c r="U135" t="s">
        <v>216</v>
      </c>
      <c r="V135" s="15" t="s">
        <v>217</v>
      </c>
      <c r="W135" t="s">
        <v>60</v>
      </c>
      <c r="X135" t="s">
        <v>44</v>
      </c>
      <c r="Y135" t="s">
        <v>218</v>
      </c>
      <c r="Z135" t="s">
        <v>57</v>
      </c>
    </row>
  </sheetData>
  <mergeCells count="3">
    <mergeCell ref="G6:M9"/>
    <mergeCell ref="D77:P79"/>
    <mergeCell ref="B83:R86"/>
  </mergeCells>
  <conditionalFormatting sqref="U5">
    <cfRule type="duplicateValues" dxfId="32" priority="3"/>
  </conditionalFormatting>
  <conditionalFormatting sqref="U6">
    <cfRule type="duplicateValues" dxfId="31" priority="2"/>
  </conditionalFormatting>
  <conditionalFormatting sqref="U7:U8">
    <cfRule type="duplicateValues" dxfId="30" priority="1"/>
  </conditionalFormatting>
  <conditionalFormatting sqref="Y18">
    <cfRule type="duplicateValues" dxfId="29" priority="9"/>
  </conditionalFormatting>
  <conditionalFormatting sqref="Y19">
    <cfRule type="duplicateValues" dxfId="28" priority="8"/>
  </conditionalFormatting>
  <conditionalFormatting sqref="Y20">
    <cfRule type="duplicateValues" dxfId="27" priority="7"/>
  </conditionalFormatting>
  <conditionalFormatting sqref="Y21">
    <cfRule type="duplicateValues" dxfId="26" priority="6"/>
  </conditionalFormatting>
  <conditionalFormatting sqref="Y22">
    <cfRule type="duplicateValues" dxfId="25" priority="5"/>
  </conditionalFormatting>
  <conditionalFormatting sqref="Y23">
    <cfRule type="duplicateValues" dxfId="24" priority="4"/>
  </conditionalFormatting>
  <printOptions horizontalCentered="1" verticalCentered="1"/>
  <pageMargins left="0.19685039370078741" right="0.19685039370078741" top="0.27559055118110237" bottom="0.19685039370078741" header="0.31496062992125984" footer="0"/>
  <pageSetup paperSize="9" scale="54" orientation="portrait" r:id="rId1"/>
  <headerFooter>
    <oddHeader>&amp;R&amp;"Akzidenz-Grotesk Pro Light,Standard"&amp;20
&amp;"Akzidenz-Grotesk Pro Light,Standard"&amp;8</oddHeader>
    <oddFooter>&amp;C&amp;"Akzidenz-Grotesk Pro Light,Standard"&amp;8
&amp;"Akzidenz-Grotesk Pro Light,Standard"&amp;8</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FDBA-5BA6-4C26-8A31-7276C9BCE6B1}">
  <sheetPr codeName="Tabelle19"/>
  <dimension ref="A2:Y137"/>
  <sheetViews>
    <sheetView showGridLines="0" view="pageBreakPreview" topLeftCell="A39" zoomScale="70" zoomScaleNormal="85" zoomScaleSheetLayoutView="70" workbookViewId="0"/>
  </sheetViews>
  <sheetFormatPr baseColWidth="10" defaultColWidth="11.5546875" defaultRowHeight="14.4"/>
  <cols>
    <col min="3" max="4" width="11.44140625" customWidth="1"/>
    <col min="5" max="5" width="14.109375" customWidth="1"/>
    <col min="6" max="6" width="5.44140625" customWidth="1"/>
    <col min="7" max="7" width="14.6640625" customWidth="1"/>
    <col min="8" max="9" width="6.6640625" customWidth="1"/>
    <col min="10" max="10" width="14.6640625" customWidth="1"/>
    <col min="11" max="11" width="5.44140625" customWidth="1"/>
    <col min="12" max="12" width="14.109375" customWidth="1"/>
    <col min="19" max="19" width="45.109375" bestFit="1" customWidth="1"/>
    <col min="20" max="20" width="20.33203125" bestFit="1" customWidth="1"/>
    <col min="21" max="21" width="14.33203125" bestFit="1" customWidth="1"/>
    <col min="22" max="25" width="40.6640625" customWidth="1"/>
  </cols>
  <sheetData>
    <row r="2" spans="6:25" ht="15" thickBot="1">
      <c r="V2" s="1" t="s">
        <v>0</v>
      </c>
      <c r="W2" s="1" t="s">
        <v>1</v>
      </c>
      <c r="X2" s="1" t="s">
        <v>2</v>
      </c>
    </row>
    <row r="3" spans="6:25">
      <c r="V3" t="s">
        <v>3</v>
      </c>
      <c r="W3" s="2">
        <v>10</v>
      </c>
    </row>
    <row r="4" spans="6:25">
      <c r="F4" s="3"/>
      <c r="V4" s="4" t="s">
        <v>4</v>
      </c>
      <c r="W4" s="5" t="s">
        <v>5</v>
      </c>
      <c r="X4" t="s">
        <v>6</v>
      </c>
    </row>
    <row r="5" spans="6:25">
      <c r="F5" s="100"/>
      <c r="G5" s="100"/>
      <c r="H5" s="100"/>
      <c r="I5" s="100"/>
      <c r="J5" s="100"/>
      <c r="K5" s="100"/>
      <c r="L5" s="3"/>
      <c r="M5" s="6"/>
      <c r="N5" s="6"/>
      <c r="V5" s="4" t="s">
        <v>7</v>
      </c>
      <c r="W5" s="5" t="s">
        <v>8</v>
      </c>
      <c r="X5" t="s">
        <v>9</v>
      </c>
    </row>
    <row r="6" spans="6:25">
      <c r="F6" s="100"/>
      <c r="G6" s="100"/>
      <c r="H6" s="100"/>
      <c r="I6" s="100"/>
      <c r="J6" s="100"/>
      <c r="K6" s="100"/>
      <c r="L6" s="3"/>
      <c r="M6" s="6"/>
      <c r="N6" s="6"/>
      <c r="V6" s="4" t="s">
        <v>10</v>
      </c>
      <c r="W6" s="5" t="s">
        <v>11</v>
      </c>
      <c r="X6" t="s">
        <v>12</v>
      </c>
    </row>
    <row r="7" spans="6:25">
      <c r="F7" s="100"/>
      <c r="G7" s="100"/>
      <c r="H7" s="100"/>
      <c r="I7" s="100"/>
      <c r="J7" s="100"/>
      <c r="K7" s="100"/>
      <c r="L7" s="3"/>
      <c r="M7" s="6"/>
      <c r="N7" s="6"/>
      <c r="V7" s="4" t="s">
        <v>13</v>
      </c>
      <c r="W7" s="5" t="s">
        <v>14</v>
      </c>
      <c r="X7" t="s">
        <v>15</v>
      </c>
    </row>
    <row r="8" spans="6:25">
      <c r="F8" s="100"/>
      <c r="G8" s="100"/>
      <c r="H8" s="100"/>
      <c r="I8" s="100"/>
      <c r="J8" s="100"/>
      <c r="K8" s="100"/>
      <c r="L8" s="3"/>
      <c r="M8" s="6"/>
      <c r="N8" s="6"/>
      <c r="V8" s="4" t="s">
        <v>16</v>
      </c>
      <c r="W8" s="5" t="s">
        <v>17</v>
      </c>
      <c r="X8" t="s">
        <v>18</v>
      </c>
    </row>
    <row r="9" spans="6:25">
      <c r="V9" s="4" t="s">
        <v>19</v>
      </c>
      <c r="W9" s="5" t="s">
        <v>20</v>
      </c>
      <c r="X9" t="s">
        <v>21</v>
      </c>
    </row>
    <row r="10" spans="6:25">
      <c r="V10" s="4" t="s">
        <v>22</v>
      </c>
      <c r="W10" s="5" t="s">
        <v>23</v>
      </c>
      <c r="X10" t="s">
        <v>24</v>
      </c>
    </row>
    <row r="11" spans="6:25">
      <c r="V11" s="7" t="s">
        <v>25</v>
      </c>
      <c r="W11" s="2">
        <v>50</v>
      </c>
      <c r="Y11" s="7"/>
    </row>
    <row r="12" spans="6:25">
      <c r="V12" s="4" t="s">
        <v>26</v>
      </c>
      <c r="W12" s="5" t="s">
        <v>27</v>
      </c>
      <c r="X12" t="s">
        <v>28</v>
      </c>
    </row>
    <row r="13" spans="6:25">
      <c r="V13" s="4" t="s">
        <v>29</v>
      </c>
      <c r="W13" s="5" t="s">
        <v>30</v>
      </c>
      <c r="X13" t="s">
        <v>31</v>
      </c>
      <c r="Y13" s="7"/>
    </row>
    <row r="14" spans="6:25">
      <c r="V14" s="7" t="s">
        <v>32</v>
      </c>
      <c r="W14" s="2">
        <v>70</v>
      </c>
    </row>
    <row r="15" spans="6:25">
      <c r="V15" s="8" t="s">
        <v>33</v>
      </c>
      <c r="W15" s="2" t="s">
        <v>34</v>
      </c>
      <c r="X15" t="s">
        <v>35</v>
      </c>
      <c r="Y15" s="7"/>
    </row>
    <row r="16" spans="6:25">
      <c r="V16" s="8" t="s">
        <v>36</v>
      </c>
      <c r="W16" s="2" t="s">
        <v>37</v>
      </c>
      <c r="X16" t="s">
        <v>38</v>
      </c>
    </row>
    <row r="17" spans="6:25">
      <c r="Y17" s="7"/>
    </row>
    <row r="19" spans="6:25">
      <c r="Y19" s="7"/>
    </row>
    <row r="21" spans="6:25" ht="22.8">
      <c r="F21" s="101" t="s">
        <v>62</v>
      </c>
      <c r="G21" s="101"/>
      <c r="H21" s="101"/>
      <c r="I21" s="101"/>
      <c r="J21" s="101"/>
      <c r="K21" s="101"/>
      <c r="Y21" s="7"/>
    </row>
    <row r="23" spans="6:25">
      <c r="Y23" s="7"/>
    </row>
    <row r="25" spans="6:25">
      <c r="Y25" s="7"/>
    </row>
    <row r="27" spans="6:25">
      <c r="Y27" s="7"/>
    </row>
    <row r="29" spans="6:25">
      <c r="Y29" s="7"/>
    </row>
    <row r="31" spans="6:25">
      <c r="Y31" s="7"/>
    </row>
    <row r="33" spans="25:25">
      <c r="Y33" s="7"/>
    </row>
    <row r="35" spans="25:25">
      <c r="Y35" s="7"/>
    </row>
    <row r="38" spans="25:25">
      <c r="Y38" s="7"/>
    </row>
    <row r="40" spans="25:25">
      <c r="Y40" s="7"/>
    </row>
    <row r="68" spans="1:16" ht="15" customHeight="1"/>
    <row r="71" spans="1:16">
      <c r="D71" s="102" t="s">
        <v>219</v>
      </c>
      <c r="E71" s="102"/>
      <c r="F71" s="102"/>
      <c r="G71" s="102"/>
      <c r="H71" s="102"/>
      <c r="I71" s="102"/>
      <c r="J71" s="102"/>
      <c r="K71" s="102"/>
      <c r="L71" s="102"/>
      <c r="M71" s="102"/>
    </row>
    <row r="72" spans="1:16">
      <c r="D72" s="102"/>
      <c r="E72" s="102"/>
      <c r="F72" s="102"/>
      <c r="G72" s="102"/>
      <c r="H72" s="102"/>
      <c r="I72" s="102"/>
      <c r="J72" s="102"/>
      <c r="K72" s="102"/>
      <c r="L72" s="102"/>
      <c r="M72" s="102"/>
    </row>
    <row r="73" spans="1:16">
      <c r="D73" s="102"/>
      <c r="E73" s="102"/>
      <c r="F73" s="102"/>
      <c r="G73" s="102"/>
      <c r="H73" s="102"/>
      <c r="I73" s="102"/>
      <c r="J73" s="102"/>
      <c r="K73" s="102"/>
      <c r="L73" s="102"/>
      <c r="M73" s="102"/>
    </row>
    <row r="80" spans="1:16" ht="14.4" customHeight="1">
      <c r="A80" s="103" t="s">
        <v>61</v>
      </c>
      <c r="B80" s="103"/>
      <c r="C80" s="103"/>
      <c r="D80" s="103"/>
      <c r="E80" s="103"/>
      <c r="F80" s="103"/>
      <c r="G80" s="103"/>
      <c r="H80" s="103"/>
      <c r="I80" s="103"/>
      <c r="J80" s="103"/>
      <c r="K80" s="103"/>
      <c r="L80" s="103"/>
      <c r="M80" s="103"/>
      <c r="N80" s="103"/>
      <c r="O80" s="103"/>
      <c r="P80" s="103"/>
    </row>
    <row r="81" spans="1:25" ht="14.4" customHeight="1">
      <c r="A81" s="103"/>
      <c r="B81" s="103"/>
      <c r="C81" s="103"/>
      <c r="D81" s="103"/>
      <c r="E81" s="103"/>
      <c r="F81" s="103"/>
      <c r="G81" s="103"/>
      <c r="H81" s="103"/>
      <c r="I81" s="103"/>
      <c r="J81" s="103"/>
      <c r="K81" s="103"/>
      <c r="L81" s="103"/>
      <c r="M81" s="103"/>
      <c r="N81" s="103"/>
      <c r="O81" s="103"/>
      <c r="P81" s="103"/>
    </row>
    <row r="82" spans="1:25" ht="15" customHeight="1">
      <c r="A82" s="103"/>
      <c r="B82" s="103"/>
      <c r="C82" s="103"/>
      <c r="D82" s="103"/>
      <c r="E82" s="103"/>
      <c r="F82" s="103"/>
      <c r="G82" s="103"/>
      <c r="H82" s="103"/>
      <c r="I82" s="103"/>
      <c r="J82" s="103"/>
      <c r="K82" s="103"/>
      <c r="L82" s="103"/>
      <c r="M82" s="103"/>
      <c r="N82" s="103"/>
      <c r="O82" s="103"/>
      <c r="P82" s="103"/>
    </row>
    <row r="83" spans="1:25" ht="15" customHeight="1">
      <c r="A83" s="103"/>
      <c r="B83" s="103"/>
      <c r="C83" s="103"/>
      <c r="D83" s="103"/>
      <c r="E83" s="103"/>
      <c r="F83" s="103"/>
      <c r="G83" s="103"/>
      <c r="H83" s="103"/>
      <c r="I83" s="103"/>
      <c r="J83" s="103"/>
      <c r="K83" s="103"/>
      <c r="L83" s="103"/>
      <c r="M83" s="103"/>
      <c r="N83" s="103"/>
      <c r="O83" s="103"/>
      <c r="P83" s="103"/>
    </row>
    <row r="84" spans="1:25">
      <c r="A84" s="103"/>
      <c r="B84" s="103"/>
      <c r="C84" s="103"/>
      <c r="D84" s="103"/>
      <c r="E84" s="103"/>
      <c r="F84" s="103"/>
      <c r="G84" s="103"/>
      <c r="H84" s="103"/>
      <c r="I84" s="103"/>
      <c r="J84" s="103"/>
      <c r="K84" s="103"/>
      <c r="L84" s="103"/>
      <c r="M84" s="103"/>
      <c r="N84" s="103"/>
      <c r="O84" s="103"/>
      <c r="P84" s="103"/>
    </row>
    <row r="86" spans="1:25" ht="15" customHeight="1"/>
    <row r="87" spans="1:25" ht="20.25" customHeight="1"/>
    <row r="88" spans="1:25" ht="20.25" customHeight="1"/>
    <row r="91" spans="1:25" ht="15" thickBot="1">
      <c r="S91" s="1" t="s">
        <v>45</v>
      </c>
      <c r="T91" s="1" t="s">
        <v>46</v>
      </c>
      <c r="U91" s="1" t="s">
        <v>47</v>
      </c>
      <c r="V91" s="1" t="s">
        <v>48</v>
      </c>
      <c r="W91" s="1" t="s">
        <v>49</v>
      </c>
      <c r="X91" s="1" t="s">
        <v>50</v>
      </c>
      <c r="Y91" s="1" t="s">
        <v>51</v>
      </c>
    </row>
    <row r="92" spans="1:25">
      <c r="S92" t="s">
        <v>52</v>
      </c>
      <c r="T92" t="s">
        <v>53</v>
      </c>
      <c r="U92" t="s">
        <v>54</v>
      </c>
      <c r="V92" t="s">
        <v>55</v>
      </c>
      <c r="W92" t="s">
        <v>56</v>
      </c>
      <c r="X92" t="s">
        <v>57</v>
      </c>
    </row>
    <row r="93" spans="1:25">
      <c r="S93" t="s">
        <v>58</v>
      </c>
      <c r="T93" t="s">
        <v>59</v>
      </c>
      <c r="U93" t="s">
        <v>60</v>
      </c>
      <c r="V93" t="s">
        <v>44</v>
      </c>
      <c r="W93" s="16" t="s">
        <v>61</v>
      </c>
      <c r="X93" t="s">
        <v>62</v>
      </c>
    </row>
    <row r="94" spans="1:25">
      <c r="S94" t="s">
        <v>63</v>
      </c>
      <c r="T94" t="s">
        <v>64</v>
      </c>
      <c r="U94" t="s">
        <v>54</v>
      </c>
      <c r="V94" t="s">
        <v>65</v>
      </c>
      <c r="W94" t="s">
        <v>66</v>
      </c>
      <c r="X94" t="s">
        <v>57</v>
      </c>
    </row>
    <row r="95" spans="1:25">
      <c r="S95" t="s">
        <v>67</v>
      </c>
      <c r="T95" t="s">
        <v>64</v>
      </c>
      <c r="U95" t="s">
        <v>54</v>
      </c>
      <c r="V95" t="s">
        <v>65</v>
      </c>
      <c r="W95" t="s">
        <v>66</v>
      </c>
      <c r="X95" t="s">
        <v>57</v>
      </c>
    </row>
    <row r="96" spans="1:25">
      <c r="S96" t="s">
        <v>68</v>
      </c>
      <c r="T96" t="s">
        <v>64</v>
      </c>
      <c r="U96" t="s">
        <v>54</v>
      </c>
      <c r="V96" t="s">
        <v>65</v>
      </c>
      <c r="W96" t="s">
        <v>69</v>
      </c>
      <c r="X96" t="s">
        <v>70</v>
      </c>
    </row>
    <row r="97" spans="19:25">
      <c r="S97" t="s">
        <v>71</v>
      </c>
      <c r="T97" t="s">
        <v>64</v>
      </c>
      <c r="U97" t="s">
        <v>54</v>
      </c>
      <c r="V97" t="s">
        <v>65</v>
      </c>
      <c r="W97" t="s">
        <v>69</v>
      </c>
      <c r="X97" t="s">
        <v>70</v>
      </c>
    </row>
    <row r="98" spans="19:25" ht="86.4">
      <c r="S98" t="s">
        <v>72</v>
      </c>
      <c r="T98" t="s">
        <v>73</v>
      </c>
      <c r="U98" t="s">
        <v>74</v>
      </c>
      <c r="V98" s="15" t="s">
        <v>75</v>
      </c>
      <c r="W98" t="s">
        <v>76</v>
      </c>
      <c r="X98" t="s">
        <v>77</v>
      </c>
    </row>
    <row r="99" spans="19:25" ht="14.4" customHeight="1">
      <c r="S99" t="s">
        <v>78</v>
      </c>
      <c r="T99" s="15" t="s">
        <v>79</v>
      </c>
      <c r="U99" t="s">
        <v>80</v>
      </c>
      <c r="V99" s="15" t="s">
        <v>81</v>
      </c>
      <c r="W99" s="15" t="s">
        <v>220</v>
      </c>
      <c r="X99" t="s">
        <v>83</v>
      </c>
    </row>
    <row r="100" spans="19:25" ht="86.4">
      <c r="S100" t="s">
        <v>84</v>
      </c>
      <c r="T100" t="s">
        <v>85</v>
      </c>
      <c r="U100" t="s">
        <v>74</v>
      </c>
      <c r="V100" s="15" t="s">
        <v>75</v>
      </c>
      <c r="W100" t="s">
        <v>86</v>
      </c>
      <c r="X100" t="s">
        <v>77</v>
      </c>
    </row>
    <row r="101" spans="19:25">
      <c r="S101" t="s">
        <v>87</v>
      </c>
      <c r="T101" t="s">
        <v>88</v>
      </c>
      <c r="U101" t="s">
        <v>89</v>
      </c>
      <c r="V101" t="s">
        <v>90</v>
      </c>
      <c r="W101" t="s">
        <v>91</v>
      </c>
      <c r="X101" t="s">
        <v>92</v>
      </c>
    </row>
    <row r="102" spans="19:25">
      <c r="S102" t="s">
        <v>93</v>
      </c>
      <c r="T102" t="s">
        <v>94</v>
      </c>
      <c r="U102" t="s">
        <v>60</v>
      </c>
      <c r="V102" t="s">
        <v>95</v>
      </c>
      <c r="W102" t="s">
        <v>96</v>
      </c>
      <c r="X102" t="s">
        <v>97</v>
      </c>
    </row>
    <row r="103" spans="19:25">
      <c r="S103" t="s">
        <v>98</v>
      </c>
      <c r="T103" t="s">
        <v>94</v>
      </c>
      <c r="U103" t="s">
        <v>60</v>
      </c>
      <c r="V103" t="s">
        <v>95</v>
      </c>
      <c r="W103" t="s">
        <v>96</v>
      </c>
      <c r="X103" t="s">
        <v>97</v>
      </c>
    </row>
    <row r="104" spans="19:25">
      <c r="S104" t="s">
        <v>99</v>
      </c>
      <c r="T104" t="s">
        <v>100</v>
      </c>
      <c r="U104" t="s">
        <v>101</v>
      </c>
      <c r="V104" t="s">
        <v>102</v>
      </c>
      <c r="W104" t="s">
        <v>103</v>
      </c>
      <c r="X104" t="s">
        <v>104</v>
      </c>
    </row>
    <row r="105" spans="19:25">
      <c r="S105" t="s">
        <v>105</v>
      </c>
      <c r="T105" t="s">
        <v>100</v>
      </c>
      <c r="U105" t="s">
        <v>101</v>
      </c>
      <c r="V105" t="s">
        <v>102</v>
      </c>
      <c r="W105" t="s">
        <v>103</v>
      </c>
      <c r="X105" t="s">
        <v>104</v>
      </c>
    </row>
    <row r="106" spans="19:25">
      <c r="S106" t="s">
        <v>106</v>
      </c>
      <c r="T106" t="s">
        <v>107</v>
      </c>
      <c r="U106" t="s">
        <v>54</v>
      </c>
      <c r="V106" t="s">
        <v>65</v>
      </c>
      <c r="W106" t="s">
        <v>108</v>
      </c>
      <c r="X106" t="s">
        <v>70</v>
      </c>
    </row>
    <row r="107" spans="19:25" ht="15" customHeight="1">
      <c r="S107" t="s">
        <v>109</v>
      </c>
      <c r="T107" t="s">
        <v>42</v>
      </c>
      <c r="U107" t="s">
        <v>60</v>
      </c>
      <c r="V107" t="s">
        <v>44</v>
      </c>
      <c r="W107" s="14" t="s">
        <v>61</v>
      </c>
      <c r="X107" t="s">
        <v>62</v>
      </c>
    </row>
    <row r="108" spans="19:25" ht="15" customHeight="1">
      <c r="S108" t="s">
        <v>110</v>
      </c>
      <c r="T108" t="s">
        <v>111</v>
      </c>
      <c r="U108" t="s">
        <v>54</v>
      </c>
      <c r="V108" s="15" t="s">
        <v>112</v>
      </c>
      <c r="W108" s="15" t="s">
        <v>113</v>
      </c>
      <c r="X108" t="s">
        <v>57</v>
      </c>
    </row>
    <row r="109" spans="19:25" ht="15" customHeight="1">
      <c r="S109" t="s">
        <v>114</v>
      </c>
      <c r="T109" t="s">
        <v>115</v>
      </c>
      <c r="U109" t="s">
        <v>116</v>
      </c>
      <c r="V109" s="15" t="s">
        <v>117</v>
      </c>
      <c r="W109" s="15" t="s">
        <v>118</v>
      </c>
      <c r="X109" t="s">
        <v>119</v>
      </c>
    </row>
    <row r="110" spans="19:25" ht="15" customHeight="1">
      <c r="S110" t="s">
        <v>125</v>
      </c>
      <c r="T110" t="s">
        <v>42</v>
      </c>
      <c r="U110" t="s">
        <v>60</v>
      </c>
      <c r="V110" t="s">
        <v>44</v>
      </c>
      <c r="W110" s="16" t="s">
        <v>61</v>
      </c>
      <c r="X110" t="s">
        <v>62</v>
      </c>
    </row>
    <row r="111" spans="19:25">
      <c r="S111" t="s">
        <v>120</v>
      </c>
      <c r="T111" t="s">
        <v>121</v>
      </c>
      <c r="U111" t="s">
        <v>54</v>
      </c>
      <c r="V111" t="s">
        <v>122</v>
      </c>
      <c r="W111" t="s">
        <v>123</v>
      </c>
      <c r="X111" t="s">
        <v>57</v>
      </c>
      <c r="Y111" t="s">
        <v>124</v>
      </c>
    </row>
    <row r="112" spans="19:25">
      <c r="S112" t="s">
        <v>126</v>
      </c>
      <c r="T112" t="s">
        <v>127</v>
      </c>
      <c r="U112" t="s">
        <v>128</v>
      </c>
      <c r="V112" t="s">
        <v>129</v>
      </c>
      <c r="W112" t="s">
        <v>130</v>
      </c>
      <c r="X112" t="s">
        <v>131</v>
      </c>
    </row>
    <row r="113" spans="19:24" ht="15" customHeight="1">
      <c r="S113" t="s">
        <v>132</v>
      </c>
      <c r="T113" t="s">
        <v>133</v>
      </c>
      <c r="U113" t="s">
        <v>74</v>
      </c>
      <c r="V113" s="15" t="s">
        <v>134</v>
      </c>
      <c r="W113" s="15" t="s">
        <v>135</v>
      </c>
      <c r="X113" t="s">
        <v>136</v>
      </c>
    </row>
    <row r="114" spans="19:24">
      <c r="S114" t="s">
        <v>207</v>
      </c>
      <c r="T114" s="15" t="s">
        <v>208</v>
      </c>
      <c r="U114" t="s">
        <v>209</v>
      </c>
      <c r="V114" t="s">
        <v>210</v>
      </c>
      <c r="W114" s="17" t="s">
        <v>211</v>
      </c>
      <c r="X114" t="s">
        <v>77</v>
      </c>
    </row>
    <row r="115" spans="19:24">
      <c r="S115" t="s">
        <v>137</v>
      </c>
      <c r="T115" t="s">
        <v>138</v>
      </c>
      <c r="U115" t="s">
        <v>54</v>
      </c>
      <c r="V115" t="s">
        <v>139</v>
      </c>
      <c r="W115" t="s">
        <v>66</v>
      </c>
      <c r="X115" t="s">
        <v>57</v>
      </c>
    </row>
    <row r="116" spans="19:24">
      <c r="S116" t="s">
        <v>140</v>
      </c>
      <c r="T116" t="s">
        <v>138</v>
      </c>
      <c r="U116" t="s">
        <v>54</v>
      </c>
      <c r="V116" t="s">
        <v>139</v>
      </c>
      <c r="W116" t="s">
        <v>66</v>
      </c>
      <c r="X116" t="s">
        <v>57</v>
      </c>
    </row>
    <row r="117" spans="19:24">
      <c r="S117" t="s">
        <v>141</v>
      </c>
      <c r="T117" t="s">
        <v>142</v>
      </c>
      <c r="U117" t="s">
        <v>54</v>
      </c>
      <c r="V117" t="s">
        <v>143</v>
      </c>
      <c r="W117" t="s">
        <v>144</v>
      </c>
      <c r="X117" t="s">
        <v>145</v>
      </c>
    </row>
    <row r="118" spans="19:24">
      <c r="S118" t="s">
        <v>146</v>
      </c>
      <c r="T118" t="s">
        <v>142</v>
      </c>
      <c r="U118" t="s">
        <v>54</v>
      </c>
      <c r="V118" t="s">
        <v>143</v>
      </c>
      <c r="W118" t="s">
        <v>144</v>
      </c>
      <c r="X118" t="s">
        <v>145</v>
      </c>
    </row>
    <row r="119" spans="19:24">
      <c r="S119" t="s">
        <v>147</v>
      </c>
      <c r="T119" t="s">
        <v>148</v>
      </c>
      <c r="U119" t="s">
        <v>149</v>
      </c>
      <c r="V119" t="s">
        <v>150</v>
      </c>
      <c r="W119" t="s">
        <v>151</v>
      </c>
      <c r="X119" t="s">
        <v>152</v>
      </c>
    </row>
    <row r="120" spans="19:24">
      <c r="S120" t="s">
        <v>153</v>
      </c>
      <c r="T120" t="s">
        <v>154</v>
      </c>
      <c r="U120" t="s">
        <v>155</v>
      </c>
      <c r="V120" t="s">
        <v>156</v>
      </c>
      <c r="W120" t="s">
        <v>157</v>
      </c>
      <c r="X120" t="s">
        <v>158</v>
      </c>
    </row>
    <row r="121" spans="19:24">
      <c r="S121" t="s">
        <v>159</v>
      </c>
      <c r="T121" t="s">
        <v>160</v>
      </c>
      <c r="U121" t="s">
        <v>54</v>
      </c>
      <c r="V121" t="s">
        <v>161</v>
      </c>
      <c r="W121" t="s">
        <v>113</v>
      </c>
      <c r="X121" t="s">
        <v>57</v>
      </c>
    </row>
    <row r="122" spans="19:24" ht="86.4">
      <c r="S122" t="s">
        <v>162</v>
      </c>
      <c r="T122" t="s">
        <v>163</v>
      </c>
      <c r="U122" t="s">
        <v>74</v>
      </c>
      <c r="V122" s="15" t="s">
        <v>164</v>
      </c>
      <c r="W122" s="16" t="s">
        <v>165</v>
      </c>
      <c r="X122" t="s">
        <v>136</v>
      </c>
    </row>
    <row r="123" spans="19:24">
      <c r="S123" t="s">
        <v>166</v>
      </c>
      <c r="T123" t="s">
        <v>167</v>
      </c>
      <c r="U123" t="s">
        <v>168</v>
      </c>
      <c r="V123" t="s">
        <v>169</v>
      </c>
      <c r="W123" t="s">
        <v>170</v>
      </c>
      <c r="X123" t="s">
        <v>171</v>
      </c>
    </row>
    <row r="124" spans="19:24">
      <c r="S124" t="s">
        <v>172</v>
      </c>
      <c r="T124" t="s">
        <v>173</v>
      </c>
      <c r="U124" t="s">
        <v>74</v>
      </c>
      <c r="V124" t="s">
        <v>174</v>
      </c>
      <c r="W124" t="s">
        <v>175</v>
      </c>
      <c r="X124" t="s">
        <v>176</v>
      </c>
    </row>
    <row r="125" spans="19:24">
      <c r="S125" t="s">
        <v>177</v>
      </c>
      <c r="T125" t="s">
        <v>178</v>
      </c>
      <c r="U125" t="s">
        <v>179</v>
      </c>
      <c r="V125" t="s">
        <v>156</v>
      </c>
      <c r="W125" t="s">
        <v>180</v>
      </c>
      <c r="X125" t="s">
        <v>181</v>
      </c>
    </row>
    <row r="126" spans="19:24">
      <c r="S126" t="s">
        <v>182</v>
      </c>
      <c r="T126" t="s">
        <v>183</v>
      </c>
      <c r="U126" t="s">
        <v>184</v>
      </c>
      <c r="V126" t="s">
        <v>185</v>
      </c>
      <c r="W126" t="s">
        <v>186</v>
      </c>
      <c r="X126" t="s">
        <v>187</v>
      </c>
    </row>
    <row r="127" spans="19:24">
      <c r="S127" t="s">
        <v>188</v>
      </c>
      <c r="T127" t="s">
        <v>183</v>
      </c>
      <c r="U127" t="s">
        <v>184</v>
      </c>
      <c r="V127" t="s">
        <v>185</v>
      </c>
      <c r="W127" t="s">
        <v>186</v>
      </c>
      <c r="X127" t="s">
        <v>187</v>
      </c>
    </row>
    <row r="128" spans="19:24">
      <c r="S128" t="s">
        <v>189</v>
      </c>
      <c r="T128" t="s">
        <v>190</v>
      </c>
      <c r="U128" t="s">
        <v>60</v>
      </c>
      <c r="V128" t="s">
        <v>191</v>
      </c>
      <c r="W128" t="s">
        <v>192</v>
      </c>
      <c r="X128" t="s">
        <v>62</v>
      </c>
    </row>
    <row r="129" spans="19:25">
      <c r="S129" t="s">
        <v>193</v>
      </c>
      <c r="T129" t="s">
        <v>190</v>
      </c>
      <c r="U129" t="s">
        <v>60</v>
      </c>
      <c r="V129" t="s">
        <v>191</v>
      </c>
      <c r="W129" t="s">
        <v>192</v>
      </c>
      <c r="X129" t="s">
        <v>62</v>
      </c>
    </row>
    <row r="130" spans="19:25">
      <c r="S130" t="s">
        <v>194</v>
      </c>
      <c r="T130" t="s">
        <v>195</v>
      </c>
      <c r="U130" t="s">
        <v>54</v>
      </c>
      <c r="V130" t="s">
        <v>191</v>
      </c>
      <c r="W130" t="s">
        <v>196</v>
      </c>
      <c r="X130" t="s">
        <v>70</v>
      </c>
    </row>
    <row r="131" spans="19:25">
      <c r="S131" t="s">
        <v>197</v>
      </c>
      <c r="T131" t="s">
        <v>198</v>
      </c>
      <c r="U131" t="s">
        <v>54</v>
      </c>
      <c r="V131" t="s">
        <v>191</v>
      </c>
      <c r="W131" t="s">
        <v>196</v>
      </c>
      <c r="X131" t="s">
        <v>70</v>
      </c>
    </row>
    <row r="132" spans="19:25">
      <c r="S132" t="s">
        <v>199</v>
      </c>
      <c r="T132" t="s">
        <v>200</v>
      </c>
      <c r="U132" t="s">
        <v>128</v>
      </c>
      <c r="V132" t="s">
        <v>191</v>
      </c>
      <c r="W132" t="s">
        <v>201</v>
      </c>
      <c r="X132" t="s">
        <v>131</v>
      </c>
    </row>
    <row r="133" spans="19:25">
      <c r="S133" t="s">
        <v>202</v>
      </c>
      <c r="T133" t="s">
        <v>200</v>
      </c>
      <c r="U133" t="s">
        <v>128</v>
      </c>
      <c r="V133" t="s">
        <v>191</v>
      </c>
      <c r="W133" t="s">
        <v>201</v>
      </c>
      <c r="X133" t="s">
        <v>131</v>
      </c>
    </row>
    <row r="134" spans="19:25">
      <c r="S134" t="s">
        <v>203</v>
      </c>
      <c r="T134" t="s">
        <v>204</v>
      </c>
      <c r="U134" t="s">
        <v>54</v>
      </c>
      <c r="V134" t="s">
        <v>122</v>
      </c>
      <c r="W134" t="s">
        <v>205</v>
      </c>
      <c r="X134" t="s">
        <v>57</v>
      </c>
      <c r="Y134" t="s">
        <v>206</v>
      </c>
    </row>
    <row r="135" spans="19:25">
      <c r="S135" t="s">
        <v>212</v>
      </c>
      <c r="T135" t="s">
        <v>213</v>
      </c>
      <c r="U135" t="s">
        <v>54</v>
      </c>
      <c r="V135" t="s">
        <v>44</v>
      </c>
      <c r="W135" t="s">
        <v>214</v>
      </c>
      <c r="X135" t="s">
        <v>57</v>
      </c>
    </row>
    <row r="136" spans="19:25">
      <c r="S136" t="s">
        <v>215</v>
      </c>
      <c r="T136" s="15" t="s">
        <v>213</v>
      </c>
      <c r="U136" t="s">
        <v>54</v>
      </c>
      <c r="V136" t="s">
        <v>44</v>
      </c>
      <c r="W136" t="s">
        <v>214</v>
      </c>
      <c r="X136" t="s">
        <v>57</v>
      </c>
    </row>
    <row r="137" spans="19:25">
      <c r="S137" t="s">
        <v>216</v>
      </c>
      <c r="T137" s="15" t="s">
        <v>217</v>
      </c>
      <c r="U137" t="s">
        <v>60</v>
      </c>
      <c r="V137" t="s">
        <v>44</v>
      </c>
      <c r="W137" t="s">
        <v>218</v>
      </c>
      <c r="X137" t="s">
        <v>57</v>
      </c>
    </row>
  </sheetData>
  <mergeCells count="4">
    <mergeCell ref="F5:K8"/>
    <mergeCell ref="F21:K21"/>
    <mergeCell ref="D71:M73"/>
    <mergeCell ref="A80:P84"/>
  </mergeCells>
  <conditionalFormatting sqref="V4">
    <cfRule type="duplicateValues" dxfId="23" priority="3"/>
  </conditionalFormatting>
  <conditionalFormatting sqref="V5">
    <cfRule type="duplicateValues" dxfId="22" priority="2"/>
  </conditionalFormatting>
  <conditionalFormatting sqref="V6:V7">
    <cfRule type="duplicateValues" dxfId="21" priority="1"/>
  </conditionalFormatting>
  <conditionalFormatting sqref="W19">
    <cfRule type="duplicateValues" dxfId="20" priority="4"/>
  </conditionalFormatting>
  <conditionalFormatting sqref="W20:W22 W24:W27 W29:W33">
    <cfRule type="duplicateValues" dxfId="19" priority="5"/>
  </conditionalFormatting>
  <printOptions horizontalCentered="1" verticalCentered="1"/>
  <pageMargins left="0.19685039370078741" right="0.19685039370078741" top="0.27559055118110237" bottom="0.19685039370078741" header="0.31496062992125984" footer="0"/>
  <pageSetup paperSize="9" scale="56" orientation="portrait" r:id="rId1"/>
  <headerFooter>
    <oddHeader>&amp;R&amp;"Akzidenz-Grotesk Pro Light,Standard"&amp;20
&amp;"Akzidenz-Grotesk Pro Light,Standard"&amp;8</oddHeader>
    <oddFooter>&amp;C&amp;"Akzidenz-Grotesk Pro Light,Standard"&amp;8
&amp;"Akzidenz-Grotesk Pro Light,Standard"&amp;8</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287B7-C789-424D-B0EF-E6F2F3218EFA}">
  <sheetPr codeName="Tabelle12"/>
  <dimension ref="A2:Y137"/>
  <sheetViews>
    <sheetView showGridLines="0" view="pageBreakPreview" topLeftCell="A38" zoomScale="70" zoomScaleNormal="85" zoomScaleSheetLayoutView="70" workbookViewId="0"/>
  </sheetViews>
  <sheetFormatPr baseColWidth="10" defaultColWidth="11.5546875" defaultRowHeight="14.4"/>
  <cols>
    <col min="3" max="4" width="11.44140625" customWidth="1"/>
    <col min="5" max="5" width="14.109375" customWidth="1"/>
    <col min="6" max="6" width="5.44140625" customWidth="1"/>
    <col min="7" max="7" width="14.6640625" customWidth="1"/>
    <col min="8" max="9" width="6.6640625" customWidth="1"/>
    <col min="10" max="10" width="14.6640625" customWidth="1"/>
    <col min="11" max="11" width="5.44140625" customWidth="1"/>
    <col min="12" max="12" width="14.109375" customWidth="1"/>
    <col min="19" max="19" width="45.109375" bestFit="1" customWidth="1"/>
    <col min="20" max="20" width="20.33203125" bestFit="1" customWidth="1"/>
    <col min="21" max="21" width="14.33203125" bestFit="1" customWidth="1"/>
    <col min="22" max="25" width="40.6640625" customWidth="1"/>
  </cols>
  <sheetData>
    <row r="2" spans="6:25" ht="15" thickBot="1">
      <c r="V2" s="1" t="s">
        <v>0</v>
      </c>
      <c r="W2" s="1" t="s">
        <v>1</v>
      </c>
      <c r="X2" s="1" t="s">
        <v>2</v>
      </c>
    </row>
    <row r="3" spans="6:25">
      <c r="V3" t="s">
        <v>3</v>
      </c>
      <c r="W3" s="2">
        <v>10</v>
      </c>
    </row>
    <row r="4" spans="6:25">
      <c r="F4" s="3"/>
      <c r="V4" s="4" t="s">
        <v>4</v>
      </c>
      <c r="W4" s="5" t="s">
        <v>5</v>
      </c>
      <c r="X4" t="s">
        <v>6</v>
      </c>
    </row>
    <row r="5" spans="6:25">
      <c r="F5" s="100"/>
      <c r="G5" s="100"/>
      <c r="H5" s="100"/>
      <c r="I5" s="100"/>
      <c r="J5" s="100"/>
      <c r="K5" s="100"/>
      <c r="L5" s="3"/>
      <c r="M5" s="6"/>
      <c r="N5" s="6"/>
      <c r="V5" s="4" t="s">
        <v>7</v>
      </c>
      <c r="W5" s="5" t="s">
        <v>8</v>
      </c>
      <c r="X5" t="s">
        <v>9</v>
      </c>
    </row>
    <row r="6" spans="6:25">
      <c r="F6" s="100"/>
      <c r="G6" s="100"/>
      <c r="H6" s="100"/>
      <c r="I6" s="100"/>
      <c r="J6" s="100"/>
      <c r="K6" s="100"/>
      <c r="L6" s="3"/>
      <c r="M6" s="6"/>
      <c r="N6" s="6"/>
      <c r="V6" s="4" t="s">
        <v>10</v>
      </c>
      <c r="W6" s="5" t="s">
        <v>11</v>
      </c>
      <c r="X6" t="s">
        <v>12</v>
      </c>
    </row>
    <row r="7" spans="6:25">
      <c r="F7" s="100"/>
      <c r="G7" s="100"/>
      <c r="H7" s="100"/>
      <c r="I7" s="100"/>
      <c r="J7" s="100"/>
      <c r="K7" s="100"/>
      <c r="L7" s="3"/>
      <c r="M7" s="6"/>
      <c r="N7" s="6"/>
      <c r="V7" s="4" t="s">
        <v>13</v>
      </c>
      <c r="W7" s="5" t="s">
        <v>14</v>
      </c>
      <c r="X7" t="s">
        <v>15</v>
      </c>
    </row>
    <row r="8" spans="6:25">
      <c r="F8" s="100"/>
      <c r="G8" s="100"/>
      <c r="H8" s="100"/>
      <c r="I8" s="100"/>
      <c r="J8" s="100"/>
      <c r="K8" s="100"/>
      <c r="L8" s="3"/>
      <c r="M8" s="6"/>
      <c r="N8" s="6"/>
      <c r="V8" s="4" t="s">
        <v>16</v>
      </c>
      <c r="W8" s="5" t="s">
        <v>17</v>
      </c>
      <c r="X8" t="s">
        <v>18</v>
      </c>
    </row>
    <row r="9" spans="6:25">
      <c r="V9" s="4" t="s">
        <v>19</v>
      </c>
      <c r="W9" s="5" t="s">
        <v>20</v>
      </c>
      <c r="X9" t="s">
        <v>21</v>
      </c>
    </row>
    <row r="10" spans="6:25">
      <c r="V10" s="4" t="s">
        <v>22</v>
      </c>
      <c r="W10" s="5" t="s">
        <v>23</v>
      </c>
      <c r="X10" t="s">
        <v>24</v>
      </c>
    </row>
    <row r="11" spans="6:25">
      <c r="V11" s="7" t="s">
        <v>25</v>
      </c>
      <c r="W11" s="2">
        <v>50</v>
      </c>
      <c r="Y11" s="7"/>
    </row>
    <row r="12" spans="6:25">
      <c r="V12" s="4" t="s">
        <v>26</v>
      </c>
      <c r="W12" s="5" t="s">
        <v>27</v>
      </c>
      <c r="X12" t="s">
        <v>28</v>
      </c>
    </row>
    <row r="13" spans="6:25">
      <c r="V13" s="4" t="s">
        <v>29</v>
      </c>
      <c r="W13" s="5" t="s">
        <v>30</v>
      </c>
      <c r="X13" t="s">
        <v>31</v>
      </c>
      <c r="Y13" s="7"/>
    </row>
    <row r="14" spans="6:25">
      <c r="V14" s="7" t="s">
        <v>32</v>
      </c>
      <c r="W14" s="2">
        <v>70</v>
      </c>
    </row>
    <row r="15" spans="6:25">
      <c r="V15" s="8" t="s">
        <v>33</v>
      </c>
      <c r="W15" s="2" t="s">
        <v>34</v>
      </c>
      <c r="X15" t="s">
        <v>35</v>
      </c>
      <c r="Y15" s="7"/>
    </row>
    <row r="16" spans="6:25">
      <c r="V16" s="8" t="s">
        <v>36</v>
      </c>
      <c r="W16" s="2" t="s">
        <v>37</v>
      </c>
      <c r="X16" t="s">
        <v>38</v>
      </c>
    </row>
    <row r="17" spans="6:25">
      <c r="Y17" s="7"/>
    </row>
    <row r="19" spans="6:25">
      <c r="Y19" s="7"/>
    </row>
    <row r="21" spans="6:25" ht="22.8">
      <c r="F21" s="101" t="s">
        <v>62</v>
      </c>
      <c r="G21" s="101"/>
      <c r="H21" s="101"/>
      <c r="I21" s="101"/>
      <c r="J21" s="101"/>
      <c r="K21" s="101"/>
      <c r="Y21" s="7"/>
    </row>
    <row r="23" spans="6:25">
      <c r="Y23" s="7"/>
    </row>
    <row r="25" spans="6:25">
      <c r="Y25" s="7"/>
    </row>
    <row r="27" spans="6:25">
      <c r="Y27" s="7"/>
    </row>
    <row r="29" spans="6:25">
      <c r="Y29" s="7"/>
    </row>
    <row r="31" spans="6:25">
      <c r="Y31" s="7"/>
    </row>
    <row r="33" spans="25:25">
      <c r="Y33" s="7"/>
    </row>
    <row r="35" spans="25:25">
      <c r="Y35" s="7"/>
    </row>
    <row r="38" spans="25:25">
      <c r="Y38" s="7"/>
    </row>
    <row r="40" spans="25:25">
      <c r="Y40" s="7"/>
    </row>
    <row r="68" spans="1:16" ht="15" customHeight="1"/>
    <row r="71" spans="1:16">
      <c r="D71" s="102" t="s">
        <v>219</v>
      </c>
      <c r="E71" s="102"/>
      <c r="F71" s="102"/>
      <c r="G71" s="102"/>
      <c r="H71" s="102"/>
      <c r="I71" s="102"/>
      <c r="J71" s="102"/>
      <c r="K71" s="102"/>
      <c r="L71" s="102"/>
      <c r="M71" s="102"/>
    </row>
    <row r="72" spans="1:16">
      <c r="D72" s="102"/>
      <c r="E72" s="102"/>
      <c r="F72" s="102"/>
      <c r="G72" s="102"/>
      <c r="H72" s="102"/>
      <c r="I72" s="102"/>
      <c r="J72" s="102"/>
      <c r="K72" s="102"/>
      <c r="L72" s="102"/>
      <c r="M72" s="102"/>
    </row>
    <row r="73" spans="1:16">
      <c r="D73" s="102"/>
      <c r="E73" s="102"/>
      <c r="F73" s="102"/>
      <c r="G73" s="102"/>
      <c r="H73" s="102"/>
      <c r="I73" s="102"/>
      <c r="J73" s="102"/>
      <c r="K73" s="102"/>
      <c r="L73" s="102"/>
      <c r="M73" s="102"/>
    </row>
    <row r="80" spans="1:16" ht="14.4" customHeight="1">
      <c r="A80" s="103" t="s">
        <v>61</v>
      </c>
      <c r="B80" s="103"/>
      <c r="C80" s="103"/>
      <c r="D80" s="103"/>
      <c r="E80" s="103"/>
      <c r="F80" s="103"/>
      <c r="G80" s="103"/>
      <c r="H80" s="103"/>
      <c r="I80" s="103"/>
      <c r="J80" s="103"/>
      <c r="K80" s="103"/>
      <c r="L80" s="103"/>
      <c r="M80" s="103"/>
      <c r="N80" s="103"/>
      <c r="O80" s="103"/>
      <c r="P80" s="103"/>
    </row>
    <row r="81" spans="1:25" ht="14.4" customHeight="1">
      <c r="A81" s="103"/>
      <c r="B81" s="103"/>
      <c r="C81" s="103"/>
      <c r="D81" s="103"/>
      <c r="E81" s="103"/>
      <c r="F81" s="103"/>
      <c r="G81" s="103"/>
      <c r="H81" s="103"/>
      <c r="I81" s="103"/>
      <c r="J81" s="103"/>
      <c r="K81" s="103"/>
      <c r="L81" s="103"/>
      <c r="M81" s="103"/>
      <c r="N81" s="103"/>
      <c r="O81" s="103"/>
      <c r="P81" s="103"/>
    </row>
    <row r="82" spans="1:25" ht="15" customHeight="1">
      <c r="A82" s="103"/>
      <c r="B82" s="103"/>
      <c r="C82" s="103"/>
      <c r="D82" s="103"/>
      <c r="E82" s="103"/>
      <c r="F82" s="103"/>
      <c r="G82" s="103"/>
      <c r="H82" s="103"/>
      <c r="I82" s="103"/>
      <c r="J82" s="103"/>
      <c r="K82" s="103"/>
      <c r="L82" s="103"/>
      <c r="M82" s="103"/>
      <c r="N82" s="103"/>
      <c r="O82" s="103"/>
      <c r="P82" s="103"/>
    </row>
    <row r="83" spans="1:25" ht="15" customHeight="1">
      <c r="A83" s="103"/>
      <c r="B83" s="103"/>
      <c r="C83" s="103"/>
      <c r="D83" s="103"/>
      <c r="E83" s="103"/>
      <c r="F83" s="103"/>
      <c r="G83" s="103"/>
      <c r="H83" s="103"/>
      <c r="I83" s="103"/>
      <c r="J83" s="103"/>
      <c r="K83" s="103"/>
      <c r="L83" s="103"/>
      <c r="M83" s="103"/>
      <c r="N83" s="103"/>
      <c r="O83" s="103"/>
      <c r="P83" s="103"/>
    </row>
    <row r="84" spans="1:25">
      <c r="A84" s="103"/>
      <c r="B84" s="103"/>
      <c r="C84" s="103"/>
      <c r="D84" s="103"/>
      <c r="E84" s="103"/>
      <c r="F84" s="103"/>
      <c r="G84" s="103"/>
      <c r="H84" s="103"/>
      <c r="I84" s="103"/>
      <c r="J84" s="103"/>
      <c r="K84" s="103"/>
      <c r="L84" s="103"/>
      <c r="M84" s="103"/>
      <c r="N84" s="103"/>
      <c r="O84" s="103"/>
      <c r="P84" s="103"/>
    </row>
    <row r="86" spans="1:25" ht="15" customHeight="1"/>
    <row r="87" spans="1:25" ht="20.25" customHeight="1"/>
    <row r="88" spans="1:25" ht="20.25" customHeight="1"/>
    <row r="91" spans="1:25" ht="15" thickBot="1">
      <c r="S91" s="1" t="s">
        <v>45</v>
      </c>
      <c r="T91" s="1" t="s">
        <v>46</v>
      </c>
      <c r="U91" s="1" t="s">
        <v>47</v>
      </c>
      <c r="V91" s="1" t="s">
        <v>48</v>
      </c>
      <c r="W91" s="1" t="s">
        <v>49</v>
      </c>
      <c r="X91" s="1" t="s">
        <v>50</v>
      </c>
      <c r="Y91" s="1" t="s">
        <v>51</v>
      </c>
    </row>
    <row r="92" spans="1:25">
      <c r="S92" t="s">
        <v>52</v>
      </c>
      <c r="T92" t="s">
        <v>53</v>
      </c>
      <c r="U92" t="s">
        <v>54</v>
      </c>
      <c r="V92" t="s">
        <v>55</v>
      </c>
      <c r="W92" t="s">
        <v>56</v>
      </c>
      <c r="X92" t="s">
        <v>57</v>
      </c>
    </row>
    <row r="93" spans="1:25">
      <c r="S93" t="s">
        <v>58</v>
      </c>
      <c r="T93" t="s">
        <v>59</v>
      </c>
      <c r="U93" t="s">
        <v>60</v>
      </c>
      <c r="V93" t="s">
        <v>44</v>
      </c>
      <c r="W93" s="16" t="s">
        <v>61</v>
      </c>
      <c r="X93" t="s">
        <v>62</v>
      </c>
    </row>
    <row r="94" spans="1:25">
      <c r="S94" t="s">
        <v>63</v>
      </c>
      <c r="T94" t="s">
        <v>64</v>
      </c>
      <c r="U94" t="s">
        <v>54</v>
      </c>
      <c r="V94" t="s">
        <v>65</v>
      </c>
      <c r="W94" t="s">
        <v>66</v>
      </c>
      <c r="X94" t="s">
        <v>57</v>
      </c>
    </row>
    <row r="95" spans="1:25">
      <c r="S95" t="s">
        <v>67</v>
      </c>
      <c r="T95" t="s">
        <v>64</v>
      </c>
      <c r="U95" t="s">
        <v>54</v>
      </c>
      <c r="V95" t="s">
        <v>65</v>
      </c>
      <c r="W95" t="s">
        <v>66</v>
      </c>
      <c r="X95" t="s">
        <v>57</v>
      </c>
    </row>
    <row r="96" spans="1:25">
      <c r="S96" t="s">
        <v>68</v>
      </c>
      <c r="T96" t="s">
        <v>64</v>
      </c>
      <c r="U96" t="s">
        <v>54</v>
      </c>
      <c r="V96" t="s">
        <v>65</v>
      </c>
      <c r="W96" t="s">
        <v>69</v>
      </c>
      <c r="X96" t="s">
        <v>70</v>
      </c>
    </row>
    <row r="97" spans="19:25">
      <c r="S97" t="s">
        <v>71</v>
      </c>
      <c r="T97" t="s">
        <v>64</v>
      </c>
      <c r="U97" t="s">
        <v>54</v>
      </c>
      <c r="V97" t="s">
        <v>65</v>
      </c>
      <c r="W97" t="s">
        <v>69</v>
      </c>
      <c r="X97" t="s">
        <v>70</v>
      </c>
    </row>
    <row r="98" spans="19:25" ht="86.4">
      <c r="S98" t="s">
        <v>72</v>
      </c>
      <c r="T98" t="s">
        <v>73</v>
      </c>
      <c r="U98" t="s">
        <v>74</v>
      </c>
      <c r="V98" s="15" t="s">
        <v>75</v>
      </c>
      <c r="W98" t="s">
        <v>76</v>
      </c>
      <c r="X98" t="s">
        <v>77</v>
      </c>
    </row>
    <row r="99" spans="19:25" ht="14.4" customHeight="1">
      <c r="S99" t="s">
        <v>78</v>
      </c>
      <c r="T99" s="18" t="s">
        <v>79</v>
      </c>
      <c r="U99" t="s">
        <v>80</v>
      </c>
      <c r="V99" s="15" t="s">
        <v>81</v>
      </c>
      <c r="W99" s="15" t="s">
        <v>220</v>
      </c>
      <c r="X99" t="s">
        <v>83</v>
      </c>
    </row>
    <row r="100" spans="19:25" ht="86.4">
      <c r="S100" t="s">
        <v>84</v>
      </c>
      <c r="T100" t="s">
        <v>85</v>
      </c>
      <c r="U100" t="s">
        <v>74</v>
      </c>
      <c r="V100" s="15" t="s">
        <v>75</v>
      </c>
      <c r="W100" t="s">
        <v>86</v>
      </c>
      <c r="X100" t="s">
        <v>77</v>
      </c>
    </row>
    <row r="101" spans="19:25">
      <c r="S101" t="s">
        <v>87</v>
      </c>
      <c r="T101" t="s">
        <v>88</v>
      </c>
      <c r="U101" t="s">
        <v>89</v>
      </c>
      <c r="V101" t="s">
        <v>90</v>
      </c>
      <c r="W101" t="s">
        <v>91</v>
      </c>
      <c r="X101" t="s">
        <v>92</v>
      </c>
    </row>
    <row r="102" spans="19:25">
      <c r="S102" t="s">
        <v>93</v>
      </c>
      <c r="T102" t="s">
        <v>94</v>
      </c>
      <c r="U102" t="s">
        <v>60</v>
      </c>
      <c r="V102" t="s">
        <v>95</v>
      </c>
      <c r="W102" t="s">
        <v>96</v>
      </c>
      <c r="X102" t="s">
        <v>97</v>
      </c>
    </row>
    <row r="103" spans="19:25">
      <c r="S103" t="s">
        <v>98</v>
      </c>
      <c r="T103" t="s">
        <v>94</v>
      </c>
      <c r="U103" t="s">
        <v>60</v>
      </c>
      <c r="V103" t="s">
        <v>95</v>
      </c>
      <c r="W103" t="s">
        <v>96</v>
      </c>
      <c r="X103" t="s">
        <v>97</v>
      </c>
    </row>
    <row r="104" spans="19:25">
      <c r="S104" t="s">
        <v>99</v>
      </c>
      <c r="T104" t="s">
        <v>100</v>
      </c>
      <c r="U104" t="s">
        <v>101</v>
      </c>
      <c r="V104" t="s">
        <v>102</v>
      </c>
      <c r="W104" t="s">
        <v>103</v>
      </c>
      <c r="X104" t="s">
        <v>104</v>
      </c>
    </row>
    <row r="105" spans="19:25">
      <c r="S105" t="s">
        <v>105</v>
      </c>
      <c r="T105" t="s">
        <v>100</v>
      </c>
      <c r="U105" t="s">
        <v>101</v>
      </c>
      <c r="V105" t="s">
        <v>102</v>
      </c>
      <c r="W105" t="s">
        <v>103</v>
      </c>
      <c r="X105" t="s">
        <v>104</v>
      </c>
    </row>
    <row r="106" spans="19:25">
      <c r="S106" t="s">
        <v>106</v>
      </c>
      <c r="T106" t="s">
        <v>107</v>
      </c>
      <c r="U106" t="s">
        <v>54</v>
      </c>
      <c r="V106" t="s">
        <v>65</v>
      </c>
      <c r="W106" t="s">
        <v>108</v>
      </c>
      <c r="X106" t="s">
        <v>70</v>
      </c>
    </row>
    <row r="107" spans="19:25" ht="15" customHeight="1">
      <c r="S107" t="s">
        <v>109</v>
      </c>
      <c r="T107" t="s">
        <v>42</v>
      </c>
      <c r="U107" t="s">
        <v>60</v>
      </c>
      <c r="V107" t="s">
        <v>44</v>
      </c>
      <c r="W107" s="14" t="s">
        <v>61</v>
      </c>
      <c r="X107" t="s">
        <v>62</v>
      </c>
    </row>
    <row r="108" spans="19:25" ht="15" customHeight="1">
      <c r="S108" t="s">
        <v>110</v>
      </c>
      <c r="T108" t="s">
        <v>111</v>
      </c>
      <c r="U108" t="s">
        <v>54</v>
      </c>
      <c r="V108" s="15" t="s">
        <v>112</v>
      </c>
      <c r="W108" s="15" t="s">
        <v>113</v>
      </c>
      <c r="X108" t="s">
        <v>57</v>
      </c>
    </row>
    <row r="109" spans="19:25" ht="15" customHeight="1">
      <c r="S109" t="s">
        <v>114</v>
      </c>
      <c r="T109" t="s">
        <v>115</v>
      </c>
      <c r="U109" t="s">
        <v>116</v>
      </c>
      <c r="V109" s="15" t="s">
        <v>117</v>
      </c>
      <c r="W109" s="15" t="s">
        <v>118</v>
      </c>
      <c r="X109" t="s">
        <v>119</v>
      </c>
    </row>
    <row r="110" spans="19:25" ht="15" customHeight="1">
      <c r="S110" t="s">
        <v>125</v>
      </c>
      <c r="T110" t="s">
        <v>42</v>
      </c>
      <c r="U110" t="s">
        <v>60</v>
      </c>
      <c r="V110" t="s">
        <v>44</v>
      </c>
      <c r="W110" s="16" t="s">
        <v>61</v>
      </c>
      <c r="X110" t="s">
        <v>62</v>
      </c>
    </row>
    <row r="111" spans="19:25">
      <c r="S111" t="s">
        <v>120</v>
      </c>
      <c r="T111" t="s">
        <v>121</v>
      </c>
      <c r="U111" t="s">
        <v>54</v>
      </c>
      <c r="V111" t="s">
        <v>122</v>
      </c>
      <c r="W111" t="s">
        <v>123</v>
      </c>
      <c r="X111" t="s">
        <v>57</v>
      </c>
      <c r="Y111" t="s">
        <v>124</v>
      </c>
    </row>
    <row r="112" spans="19:25">
      <c r="S112" t="s">
        <v>126</v>
      </c>
      <c r="T112" t="s">
        <v>127</v>
      </c>
      <c r="U112" t="s">
        <v>128</v>
      </c>
      <c r="V112" t="s">
        <v>129</v>
      </c>
      <c r="W112" t="s">
        <v>130</v>
      </c>
      <c r="X112" t="s">
        <v>131</v>
      </c>
    </row>
    <row r="113" spans="19:24" ht="15" customHeight="1">
      <c r="S113" t="s">
        <v>132</v>
      </c>
      <c r="T113" t="s">
        <v>133</v>
      </c>
      <c r="U113" t="s">
        <v>74</v>
      </c>
      <c r="V113" s="15" t="s">
        <v>134</v>
      </c>
      <c r="W113" s="15" t="s">
        <v>135</v>
      </c>
      <c r="X113" t="s">
        <v>136</v>
      </c>
    </row>
    <row r="114" spans="19:24">
      <c r="S114" t="s">
        <v>207</v>
      </c>
      <c r="T114" s="15" t="s">
        <v>208</v>
      </c>
      <c r="U114" t="s">
        <v>209</v>
      </c>
      <c r="V114" t="s">
        <v>210</v>
      </c>
      <c r="W114" s="17" t="s">
        <v>211</v>
      </c>
      <c r="X114" t="s">
        <v>77</v>
      </c>
    </row>
    <row r="115" spans="19:24">
      <c r="S115" t="s">
        <v>137</v>
      </c>
      <c r="T115" t="s">
        <v>138</v>
      </c>
      <c r="U115" t="s">
        <v>54</v>
      </c>
      <c r="V115" t="s">
        <v>139</v>
      </c>
      <c r="W115" t="s">
        <v>66</v>
      </c>
      <c r="X115" t="s">
        <v>57</v>
      </c>
    </row>
    <row r="116" spans="19:24">
      <c r="S116" t="s">
        <v>140</v>
      </c>
      <c r="T116" t="s">
        <v>138</v>
      </c>
      <c r="U116" t="s">
        <v>54</v>
      </c>
      <c r="V116" t="s">
        <v>139</v>
      </c>
      <c r="W116" t="s">
        <v>66</v>
      </c>
      <c r="X116" t="s">
        <v>57</v>
      </c>
    </row>
    <row r="117" spans="19:24">
      <c r="S117" t="s">
        <v>141</v>
      </c>
      <c r="T117" t="s">
        <v>142</v>
      </c>
      <c r="U117" t="s">
        <v>54</v>
      </c>
      <c r="V117" t="s">
        <v>143</v>
      </c>
      <c r="W117" t="s">
        <v>144</v>
      </c>
      <c r="X117" t="s">
        <v>145</v>
      </c>
    </row>
    <row r="118" spans="19:24">
      <c r="S118" t="s">
        <v>146</v>
      </c>
      <c r="T118" t="s">
        <v>142</v>
      </c>
      <c r="U118" t="s">
        <v>54</v>
      </c>
      <c r="V118" t="s">
        <v>143</v>
      </c>
      <c r="W118" t="s">
        <v>144</v>
      </c>
      <c r="X118" t="s">
        <v>145</v>
      </c>
    </row>
    <row r="119" spans="19:24">
      <c r="S119" t="s">
        <v>147</v>
      </c>
      <c r="T119" t="s">
        <v>148</v>
      </c>
      <c r="U119" t="s">
        <v>149</v>
      </c>
      <c r="V119" t="s">
        <v>150</v>
      </c>
      <c r="W119" t="s">
        <v>151</v>
      </c>
      <c r="X119" t="s">
        <v>152</v>
      </c>
    </row>
    <row r="120" spans="19:24">
      <c r="S120" t="s">
        <v>153</v>
      </c>
      <c r="T120" t="s">
        <v>154</v>
      </c>
      <c r="U120" t="s">
        <v>155</v>
      </c>
      <c r="V120" t="s">
        <v>156</v>
      </c>
      <c r="W120" t="s">
        <v>157</v>
      </c>
      <c r="X120" t="s">
        <v>158</v>
      </c>
    </row>
    <row r="121" spans="19:24">
      <c r="S121" t="s">
        <v>159</v>
      </c>
      <c r="T121" t="s">
        <v>160</v>
      </c>
      <c r="U121" t="s">
        <v>54</v>
      </c>
      <c r="V121" t="s">
        <v>161</v>
      </c>
      <c r="W121" t="s">
        <v>113</v>
      </c>
      <c r="X121" t="s">
        <v>57</v>
      </c>
    </row>
    <row r="122" spans="19:24" ht="86.4">
      <c r="S122" t="s">
        <v>162</v>
      </c>
      <c r="T122" t="s">
        <v>163</v>
      </c>
      <c r="U122" t="s">
        <v>74</v>
      </c>
      <c r="V122" s="15" t="s">
        <v>164</v>
      </c>
      <c r="W122" s="16" t="s">
        <v>165</v>
      </c>
      <c r="X122" t="s">
        <v>136</v>
      </c>
    </row>
    <row r="123" spans="19:24">
      <c r="S123" t="s">
        <v>166</v>
      </c>
      <c r="T123" t="s">
        <v>167</v>
      </c>
      <c r="U123" t="s">
        <v>168</v>
      </c>
      <c r="V123" t="s">
        <v>169</v>
      </c>
      <c r="W123" t="s">
        <v>170</v>
      </c>
      <c r="X123" t="s">
        <v>171</v>
      </c>
    </row>
    <row r="124" spans="19:24">
      <c r="S124" t="s">
        <v>172</v>
      </c>
      <c r="T124" t="s">
        <v>173</v>
      </c>
      <c r="U124" t="s">
        <v>74</v>
      </c>
      <c r="V124" t="s">
        <v>174</v>
      </c>
      <c r="W124" t="s">
        <v>175</v>
      </c>
      <c r="X124" t="s">
        <v>176</v>
      </c>
    </row>
    <row r="125" spans="19:24">
      <c r="S125" t="s">
        <v>177</v>
      </c>
      <c r="T125" t="s">
        <v>178</v>
      </c>
      <c r="U125" t="s">
        <v>179</v>
      </c>
      <c r="V125" t="s">
        <v>156</v>
      </c>
      <c r="W125" t="s">
        <v>180</v>
      </c>
      <c r="X125" t="s">
        <v>181</v>
      </c>
    </row>
    <row r="126" spans="19:24">
      <c r="S126" t="s">
        <v>182</v>
      </c>
      <c r="T126" t="s">
        <v>183</v>
      </c>
      <c r="U126" t="s">
        <v>184</v>
      </c>
      <c r="V126" t="s">
        <v>185</v>
      </c>
      <c r="W126" t="s">
        <v>186</v>
      </c>
      <c r="X126" t="s">
        <v>187</v>
      </c>
    </row>
    <row r="127" spans="19:24">
      <c r="S127" t="s">
        <v>188</v>
      </c>
      <c r="T127" t="s">
        <v>183</v>
      </c>
      <c r="U127" t="s">
        <v>184</v>
      </c>
      <c r="V127" t="s">
        <v>185</v>
      </c>
      <c r="W127" t="s">
        <v>186</v>
      </c>
      <c r="X127" t="s">
        <v>187</v>
      </c>
    </row>
    <row r="128" spans="19:24">
      <c r="S128" t="s">
        <v>189</v>
      </c>
      <c r="T128" t="s">
        <v>190</v>
      </c>
      <c r="U128" t="s">
        <v>60</v>
      </c>
      <c r="V128" t="s">
        <v>191</v>
      </c>
      <c r="W128" t="s">
        <v>192</v>
      </c>
      <c r="X128" t="s">
        <v>62</v>
      </c>
    </row>
    <row r="129" spans="19:25">
      <c r="S129" t="s">
        <v>193</v>
      </c>
      <c r="T129" t="s">
        <v>190</v>
      </c>
      <c r="U129" t="s">
        <v>60</v>
      </c>
      <c r="V129" t="s">
        <v>191</v>
      </c>
      <c r="W129" t="s">
        <v>192</v>
      </c>
      <c r="X129" t="s">
        <v>62</v>
      </c>
    </row>
    <row r="130" spans="19:25">
      <c r="S130" t="s">
        <v>194</v>
      </c>
      <c r="T130" t="s">
        <v>195</v>
      </c>
      <c r="U130" t="s">
        <v>54</v>
      </c>
      <c r="V130" t="s">
        <v>191</v>
      </c>
      <c r="W130" t="s">
        <v>196</v>
      </c>
      <c r="X130" t="s">
        <v>70</v>
      </c>
    </row>
    <row r="131" spans="19:25">
      <c r="S131" t="s">
        <v>197</v>
      </c>
      <c r="T131" t="s">
        <v>198</v>
      </c>
      <c r="U131" t="s">
        <v>54</v>
      </c>
      <c r="V131" t="s">
        <v>191</v>
      </c>
      <c r="W131" t="s">
        <v>196</v>
      </c>
      <c r="X131" t="s">
        <v>70</v>
      </c>
    </row>
    <row r="132" spans="19:25">
      <c r="S132" t="s">
        <v>199</v>
      </c>
      <c r="T132" t="s">
        <v>200</v>
      </c>
      <c r="U132" t="s">
        <v>128</v>
      </c>
      <c r="V132" t="s">
        <v>191</v>
      </c>
      <c r="W132" t="s">
        <v>201</v>
      </c>
      <c r="X132" t="s">
        <v>131</v>
      </c>
    </row>
    <row r="133" spans="19:25">
      <c r="S133" t="s">
        <v>202</v>
      </c>
      <c r="T133" t="s">
        <v>200</v>
      </c>
      <c r="U133" t="s">
        <v>128</v>
      </c>
      <c r="V133" t="s">
        <v>191</v>
      </c>
      <c r="W133" t="s">
        <v>201</v>
      </c>
      <c r="X133" t="s">
        <v>131</v>
      </c>
    </row>
    <row r="134" spans="19:25">
      <c r="S134" t="s">
        <v>203</v>
      </c>
      <c r="T134" t="s">
        <v>204</v>
      </c>
      <c r="U134" t="s">
        <v>54</v>
      </c>
      <c r="V134" t="s">
        <v>122</v>
      </c>
      <c r="W134" t="s">
        <v>205</v>
      </c>
      <c r="X134" t="s">
        <v>57</v>
      </c>
      <c r="Y134" t="s">
        <v>206</v>
      </c>
    </row>
    <row r="135" spans="19:25">
      <c r="S135" t="s">
        <v>212</v>
      </c>
      <c r="T135" t="s">
        <v>213</v>
      </c>
      <c r="U135" t="s">
        <v>54</v>
      </c>
      <c r="V135" t="s">
        <v>44</v>
      </c>
      <c r="W135" t="s">
        <v>214</v>
      </c>
      <c r="X135" t="s">
        <v>57</v>
      </c>
    </row>
    <row r="136" spans="19:25">
      <c r="S136" t="s">
        <v>215</v>
      </c>
      <c r="T136" s="15" t="s">
        <v>213</v>
      </c>
      <c r="U136" t="s">
        <v>54</v>
      </c>
      <c r="V136" t="s">
        <v>44</v>
      </c>
      <c r="W136" t="s">
        <v>214</v>
      </c>
      <c r="X136" t="s">
        <v>57</v>
      </c>
    </row>
    <row r="137" spans="19:25">
      <c r="S137" t="s">
        <v>216</v>
      </c>
      <c r="T137" s="15" t="s">
        <v>217</v>
      </c>
      <c r="U137" t="s">
        <v>60</v>
      </c>
      <c r="V137" t="s">
        <v>44</v>
      </c>
      <c r="W137" t="s">
        <v>218</v>
      </c>
      <c r="X137" t="s">
        <v>57</v>
      </c>
    </row>
  </sheetData>
  <mergeCells count="4">
    <mergeCell ref="F5:K8"/>
    <mergeCell ref="F21:K21"/>
    <mergeCell ref="D71:M73"/>
    <mergeCell ref="A80:P84"/>
  </mergeCells>
  <conditionalFormatting sqref="V4">
    <cfRule type="duplicateValues" dxfId="18" priority="3"/>
  </conditionalFormatting>
  <conditionalFormatting sqref="V5">
    <cfRule type="duplicateValues" dxfId="17" priority="2"/>
  </conditionalFormatting>
  <conditionalFormatting sqref="V6:V7">
    <cfRule type="duplicateValues" dxfId="16" priority="1"/>
  </conditionalFormatting>
  <conditionalFormatting sqref="W19">
    <cfRule type="duplicateValues" dxfId="15" priority="4"/>
  </conditionalFormatting>
  <conditionalFormatting sqref="W20:W22 W24:W27 W29:W33">
    <cfRule type="duplicateValues" dxfId="14" priority="5"/>
  </conditionalFormatting>
  <printOptions horizontalCentered="1" verticalCentered="1"/>
  <pageMargins left="0.19685039370078741" right="0.19685039370078741" top="0.27559055118110237" bottom="0.19685039370078741" header="0.31496062992125984" footer="0"/>
  <pageSetup paperSize="9" scale="56" orientation="portrait" r:id="rId1"/>
  <headerFooter>
    <oddHeader>&amp;R&amp;"Akzidenz-Grotesk Pro Light,Standard"&amp;20
&amp;"Akzidenz-Grotesk Pro Light,Standard"&amp;8</oddHeader>
    <oddFooter>&amp;C&amp;"Akzidenz-Grotesk Pro Light,Standard"&amp;8
&amp;"Akzidenz-Grotesk Pro Light,Standard"&amp;8</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997E3-13DF-414A-930A-AA4D7893D9BA}">
  <sheetPr codeName="Tabelle13"/>
  <dimension ref="A2:Y137"/>
  <sheetViews>
    <sheetView showGridLines="0" view="pageBreakPreview" topLeftCell="A61" zoomScale="70" zoomScaleNormal="85" zoomScaleSheetLayoutView="70" workbookViewId="0"/>
  </sheetViews>
  <sheetFormatPr baseColWidth="10" defaultColWidth="11.5546875" defaultRowHeight="14.4"/>
  <cols>
    <col min="3" max="4" width="11.44140625" customWidth="1"/>
    <col min="5" max="5" width="14.109375" customWidth="1"/>
    <col min="6" max="6" width="5.44140625" customWidth="1"/>
    <col min="7" max="7" width="14.6640625" customWidth="1"/>
    <col min="8" max="9" width="6.6640625" customWidth="1"/>
    <col min="10" max="10" width="14.6640625" customWidth="1"/>
    <col min="11" max="11" width="5.44140625" customWidth="1"/>
    <col min="12" max="12" width="14.109375" customWidth="1"/>
    <col min="19" max="19" width="45.109375" bestFit="1" customWidth="1"/>
    <col min="20" max="20" width="20.33203125" bestFit="1" customWidth="1"/>
    <col min="21" max="21" width="14.33203125" bestFit="1" customWidth="1"/>
    <col min="22" max="25" width="40.6640625" customWidth="1"/>
  </cols>
  <sheetData>
    <row r="2" spans="6:25" ht="15" thickBot="1">
      <c r="V2" s="1" t="s">
        <v>0</v>
      </c>
      <c r="W2" s="1" t="s">
        <v>1</v>
      </c>
      <c r="X2" s="1" t="s">
        <v>2</v>
      </c>
    </row>
    <row r="3" spans="6:25">
      <c r="V3" t="s">
        <v>3</v>
      </c>
      <c r="W3" s="2">
        <v>10</v>
      </c>
    </row>
    <row r="4" spans="6:25">
      <c r="F4" s="3"/>
      <c r="V4" s="4" t="s">
        <v>4</v>
      </c>
      <c r="W4" s="5" t="s">
        <v>5</v>
      </c>
      <c r="X4" t="s">
        <v>6</v>
      </c>
    </row>
    <row r="5" spans="6:25">
      <c r="F5" s="100"/>
      <c r="G5" s="100"/>
      <c r="H5" s="100"/>
      <c r="I5" s="100"/>
      <c r="J5" s="100"/>
      <c r="K5" s="100"/>
      <c r="L5" s="3"/>
      <c r="M5" s="6"/>
      <c r="N5" s="6"/>
      <c r="V5" s="4" t="s">
        <v>7</v>
      </c>
      <c r="W5" s="5" t="s">
        <v>8</v>
      </c>
      <c r="X5" t="s">
        <v>9</v>
      </c>
    </row>
    <row r="6" spans="6:25">
      <c r="F6" s="100"/>
      <c r="G6" s="100"/>
      <c r="H6" s="100"/>
      <c r="I6" s="100"/>
      <c r="J6" s="100"/>
      <c r="K6" s="100"/>
      <c r="L6" s="3"/>
      <c r="M6" s="6"/>
      <c r="N6" s="6"/>
      <c r="V6" s="4" t="s">
        <v>10</v>
      </c>
      <c r="W6" s="5" t="s">
        <v>11</v>
      </c>
      <c r="X6" t="s">
        <v>12</v>
      </c>
    </row>
    <row r="7" spans="6:25">
      <c r="F7" s="100"/>
      <c r="G7" s="100"/>
      <c r="H7" s="100"/>
      <c r="I7" s="100"/>
      <c r="J7" s="100"/>
      <c r="K7" s="100"/>
      <c r="L7" s="3"/>
      <c r="M7" s="6"/>
      <c r="N7" s="6"/>
      <c r="V7" s="4" t="s">
        <v>13</v>
      </c>
      <c r="W7" s="5" t="s">
        <v>14</v>
      </c>
      <c r="X7" t="s">
        <v>15</v>
      </c>
    </row>
    <row r="8" spans="6:25">
      <c r="F8" s="100"/>
      <c r="G8" s="100"/>
      <c r="H8" s="100"/>
      <c r="I8" s="100"/>
      <c r="J8" s="100"/>
      <c r="K8" s="100"/>
      <c r="L8" s="3"/>
      <c r="M8" s="6"/>
      <c r="N8" s="6"/>
      <c r="V8" s="4" t="s">
        <v>16</v>
      </c>
      <c r="W8" s="5" t="s">
        <v>17</v>
      </c>
      <c r="X8" t="s">
        <v>18</v>
      </c>
    </row>
    <row r="9" spans="6:25">
      <c r="V9" s="4" t="s">
        <v>19</v>
      </c>
      <c r="W9" s="5" t="s">
        <v>20</v>
      </c>
      <c r="X9" t="s">
        <v>21</v>
      </c>
    </row>
    <row r="10" spans="6:25">
      <c r="V10" s="4" t="s">
        <v>22</v>
      </c>
      <c r="W10" s="5" t="s">
        <v>23</v>
      </c>
      <c r="X10" t="s">
        <v>24</v>
      </c>
    </row>
    <row r="11" spans="6:25">
      <c r="V11" s="7" t="s">
        <v>25</v>
      </c>
      <c r="W11" s="2">
        <v>50</v>
      </c>
      <c r="Y11" s="7"/>
    </row>
    <row r="12" spans="6:25">
      <c r="V12" s="4" t="s">
        <v>26</v>
      </c>
      <c r="W12" s="5" t="s">
        <v>27</v>
      </c>
      <c r="X12" t="s">
        <v>28</v>
      </c>
    </row>
    <row r="13" spans="6:25">
      <c r="V13" s="4" t="s">
        <v>29</v>
      </c>
      <c r="W13" s="5" t="s">
        <v>30</v>
      </c>
      <c r="X13" t="s">
        <v>31</v>
      </c>
      <c r="Y13" s="7"/>
    </row>
    <row r="14" spans="6:25">
      <c r="V14" s="7" t="s">
        <v>32</v>
      </c>
      <c r="W14" s="2">
        <v>70</v>
      </c>
    </row>
    <row r="15" spans="6:25">
      <c r="V15" s="8" t="s">
        <v>33</v>
      </c>
      <c r="W15" s="2" t="s">
        <v>34</v>
      </c>
      <c r="X15" t="s">
        <v>35</v>
      </c>
      <c r="Y15" s="7"/>
    </row>
    <row r="16" spans="6:25">
      <c r="V16" s="8" t="s">
        <v>36</v>
      </c>
      <c r="W16" s="2" t="s">
        <v>37</v>
      </c>
      <c r="X16" t="s">
        <v>38</v>
      </c>
    </row>
    <row r="17" spans="6:25">
      <c r="Y17" s="7"/>
    </row>
    <row r="19" spans="6:25">
      <c r="Y19" s="7"/>
    </row>
    <row r="21" spans="6:25" ht="22.8">
      <c r="F21" s="101" t="s">
        <v>62</v>
      </c>
      <c r="G21" s="101"/>
      <c r="H21" s="101"/>
      <c r="I21" s="101"/>
      <c r="J21" s="101"/>
      <c r="K21" s="101"/>
      <c r="Y21" s="7"/>
    </row>
    <row r="23" spans="6:25">
      <c r="Y23" s="7"/>
    </row>
    <row r="25" spans="6:25">
      <c r="Y25" s="7"/>
    </row>
    <row r="27" spans="6:25">
      <c r="Y27" s="7"/>
    </row>
    <row r="29" spans="6:25">
      <c r="Y29" s="7"/>
    </row>
    <row r="31" spans="6:25">
      <c r="Y31" s="7"/>
    </row>
    <row r="33" spans="25:25">
      <c r="Y33" s="7"/>
    </row>
    <row r="35" spans="25:25">
      <c r="Y35" s="7"/>
    </row>
    <row r="38" spans="25:25">
      <c r="Y38" s="7"/>
    </row>
    <row r="40" spans="25:25">
      <c r="Y40" s="7"/>
    </row>
    <row r="68" spans="1:16" ht="15" customHeight="1"/>
    <row r="71" spans="1:16">
      <c r="D71" s="102" t="s">
        <v>219</v>
      </c>
      <c r="E71" s="102"/>
      <c r="F71" s="102"/>
      <c r="G71" s="102"/>
      <c r="H71" s="102"/>
      <c r="I71" s="102"/>
      <c r="J71" s="102"/>
      <c r="K71" s="102"/>
      <c r="L71" s="102"/>
      <c r="M71" s="102"/>
    </row>
    <row r="72" spans="1:16">
      <c r="D72" s="102"/>
      <c r="E72" s="102"/>
      <c r="F72" s="102"/>
      <c r="G72" s="102"/>
      <c r="H72" s="102"/>
      <c r="I72" s="102"/>
      <c r="J72" s="102"/>
      <c r="K72" s="102"/>
      <c r="L72" s="102"/>
      <c r="M72" s="102"/>
    </row>
    <row r="73" spans="1:16">
      <c r="D73" s="102"/>
      <c r="E73" s="102"/>
      <c r="F73" s="102"/>
      <c r="G73" s="102"/>
      <c r="H73" s="102"/>
      <c r="I73" s="102"/>
      <c r="J73" s="102"/>
      <c r="K73" s="102"/>
      <c r="L73" s="102"/>
      <c r="M73" s="102"/>
    </row>
    <row r="80" spans="1:16" ht="14.4" customHeight="1">
      <c r="A80" s="103" t="s">
        <v>61</v>
      </c>
      <c r="B80" s="103"/>
      <c r="C80" s="103"/>
      <c r="D80" s="103"/>
      <c r="E80" s="103"/>
      <c r="F80" s="103"/>
      <c r="G80" s="103"/>
      <c r="H80" s="103"/>
      <c r="I80" s="103"/>
      <c r="J80" s="103"/>
      <c r="K80" s="103"/>
      <c r="L80" s="103"/>
      <c r="M80" s="103"/>
      <c r="N80" s="103"/>
      <c r="O80" s="103"/>
      <c r="P80" s="103"/>
    </row>
    <row r="81" spans="1:25" ht="14.4" customHeight="1">
      <c r="A81" s="103"/>
      <c r="B81" s="103"/>
      <c r="C81" s="103"/>
      <c r="D81" s="103"/>
      <c r="E81" s="103"/>
      <c r="F81" s="103"/>
      <c r="G81" s="103"/>
      <c r="H81" s="103"/>
      <c r="I81" s="103"/>
      <c r="J81" s="103"/>
      <c r="K81" s="103"/>
      <c r="L81" s="103"/>
      <c r="M81" s="103"/>
      <c r="N81" s="103"/>
      <c r="O81" s="103"/>
      <c r="P81" s="103"/>
    </row>
    <row r="82" spans="1:25" ht="15" customHeight="1">
      <c r="A82" s="103"/>
      <c r="B82" s="103"/>
      <c r="C82" s="103"/>
      <c r="D82" s="103"/>
      <c r="E82" s="103"/>
      <c r="F82" s="103"/>
      <c r="G82" s="103"/>
      <c r="H82" s="103"/>
      <c r="I82" s="103"/>
      <c r="J82" s="103"/>
      <c r="K82" s="103"/>
      <c r="L82" s="103"/>
      <c r="M82" s="103"/>
      <c r="N82" s="103"/>
      <c r="O82" s="103"/>
      <c r="P82" s="103"/>
    </row>
    <row r="83" spans="1:25" ht="15" customHeight="1">
      <c r="A83" s="103"/>
      <c r="B83" s="103"/>
      <c r="C83" s="103"/>
      <c r="D83" s="103"/>
      <c r="E83" s="103"/>
      <c r="F83" s="103"/>
      <c r="G83" s="103"/>
      <c r="H83" s="103"/>
      <c r="I83" s="103"/>
      <c r="J83" s="103"/>
      <c r="K83" s="103"/>
      <c r="L83" s="103"/>
      <c r="M83" s="103"/>
      <c r="N83" s="103"/>
      <c r="O83" s="103"/>
      <c r="P83" s="103"/>
    </row>
    <row r="84" spans="1:25">
      <c r="A84" s="103"/>
      <c r="B84" s="103"/>
      <c r="C84" s="103"/>
      <c r="D84" s="103"/>
      <c r="E84" s="103"/>
      <c r="F84" s="103"/>
      <c r="G84" s="103"/>
      <c r="H84" s="103"/>
      <c r="I84" s="103"/>
      <c r="J84" s="103"/>
      <c r="K84" s="103"/>
      <c r="L84" s="103"/>
      <c r="M84" s="103"/>
      <c r="N84" s="103"/>
      <c r="O84" s="103"/>
      <c r="P84" s="103"/>
    </row>
    <row r="86" spans="1:25" ht="15" customHeight="1"/>
    <row r="87" spans="1:25" ht="20.25" customHeight="1"/>
    <row r="88" spans="1:25" ht="20.25" customHeight="1"/>
    <row r="91" spans="1:25" ht="15" thickBot="1">
      <c r="S91" s="1" t="s">
        <v>45</v>
      </c>
      <c r="T91" s="1" t="s">
        <v>46</v>
      </c>
      <c r="U91" s="1" t="s">
        <v>47</v>
      </c>
      <c r="V91" s="1" t="s">
        <v>48</v>
      </c>
      <c r="W91" s="1" t="s">
        <v>49</v>
      </c>
      <c r="X91" s="1" t="s">
        <v>50</v>
      </c>
      <c r="Y91" s="1" t="s">
        <v>51</v>
      </c>
    </row>
    <row r="92" spans="1:25">
      <c r="S92" t="s">
        <v>52</v>
      </c>
      <c r="T92" t="s">
        <v>53</v>
      </c>
      <c r="U92" t="s">
        <v>54</v>
      </c>
      <c r="V92" t="s">
        <v>55</v>
      </c>
      <c r="W92" t="s">
        <v>56</v>
      </c>
      <c r="X92" t="s">
        <v>57</v>
      </c>
    </row>
    <row r="93" spans="1:25">
      <c r="S93" t="s">
        <v>58</v>
      </c>
      <c r="T93" t="s">
        <v>59</v>
      </c>
      <c r="U93" t="s">
        <v>60</v>
      </c>
      <c r="V93" t="s">
        <v>44</v>
      </c>
      <c r="W93" s="16" t="s">
        <v>61</v>
      </c>
      <c r="X93" t="s">
        <v>62</v>
      </c>
    </row>
    <row r="94" spans="1:25">
      <c r="S94" t="s">
        <v>63</v>
      </c>
      <c r="T94" t="s">
        <v>64</v>
      </c>
      <c r="U94" t="s">
        <v>54</v>
      </c>
      <c r="V94" t="s">
        <v>65</v>
      </c>
      <c r="W94" t="s">
        <v>66</v>
      </c>
      <c r="X94" t="s">
        <v>57</v>
      </c>
    </row>
    <row r="95" spans="1:25">
      <c r="S95" t="s">
        <v>67</v>
      </c>
      <c r="T95" t="s">
        <v>64</v>
      </c>
      <c r="U95" t="s">
        <v>54</v>
      </c>
      <c r="V95" t="s">
        <v>65</v>
      </c>
      <c r="W95" t="s">
        <v>66</v>
      </c>
      <c r="X95" t="s">
        <v>57</v>
      </c>
    </row>
    <row r="96" spans="1:25">
      <c r="S96" t="s">
        <v>68</v>
      </c>
      <c r="T96" t="s">
        <v>64</v>
      </c>
      <c r="U96" t="s">
        <v>54</v>
      </c>
      <c r="V96" t="s">
        <v>65</v>
      </c>
      <c r="W96" t="s">
        <v>69</v>
      </c>
      <c r="X96" t="s">
        <v>70</v>
      </c>
    </row>
    <row r="97" spans="19:25">
      <c r="S97" t="s">
        <v>71</v>
      </c>
      <c r="T97" t="s">
        <v>64</v>
      </c>
      <c r="U97" t="s">
        <v>54</v>
      </c>
      <c r="V97" t="s">
        <v>65</v>
      </c>
      <c r="W97" t="s">
        <v>69</v>
      </c>
      <c r="X97" t="s">
        <v>70</v>
      </c>
    </row>
    <row r="98" spans="19:25" ht="86.4">
      <c r="S98" t="s">
        <v>72</v>
      </c>
      <c r="T98" t="s">
        <v>73</v>
      </c>
      <c r="U98" t="s">
        <v>74</v>
      </c>
      <c r="V98" s="15" t="s">
        <v>75</v>
      </c>
      <c r="W98" t="s">
        <v>76</v>
      </c>
      <c r="X98" t="s">
        <v>77</v>
      </c>
    </row>
    <row r="99" spans="19:25" ht="14.4" customHeight="1">
      <c r="S99" t="s">
        <v>78</v>
      </c>
      <c r="T99" s="18" t="s">
        <v>79</v>
      </c>
      <c r="U99" t="s">
        <v>80</v>
      </c>
      <c r="V99" s="15" t="s">
        <v>81</v>
      </c>
      <c r="W99" s="15" t="s">
        <v>220</v>
      </c>
      <c r="X99" t="s">
        <v>83</v>
      </c>
    </row>
    <row r="100" spans="19:25" ht="86.4">
      <c r="S100" t="s">
        <v>84</v>
      </c>
      <c r="T100" t="s">
        <v>85</v>
      </c>
      <c r="U100" t="s">
        <v>74</v>
      </c>
      <c r="V100" s="15" t="s">
        <v>75</v>
      </c>
      <c r="W100" t="s">
        <v>86</v>
      </c>
      <c r="X100" t="s">
        <v>77</v>
      </c>
    </row>
    <row r="101" spans="19:25">
      <c r="S101" t="s">
        <v>87</v>
      </c>
      <c r="T101" t="s">
        <v>88</v>
      </c>
      <c r="U101" t="s">
        <v>89</v>
      </c>
      <c r="V101" t="s">
        <v>90</v>
      </c>
      <c r="W101" t="s">
        <v>91</v>
      </c>
      <c r="X101" t="s">
        <v>92</v>
      </c>
    </row>
    <row r="102" spans="19:25">
      <c r="S102" t="s">
        <v>93</v>
      </c>
      <c r="T102" t="s">
        <v>94</v>
      </c>
      <c r="U102" t="s">
        <v>60</v>
      </c>
      <c r="V102" t="s">
        <v>95</v>
      </c>
      <c r="W102" t="s">
        <v>96</v>
      </c>
      <c r="X102" t="s">
        <v>97</v>
      </c>
    </row>
    <row r="103" spans="19:25">
      <c r="S103" t="s">
        <v>98</v>
      </c>
      <c r="T103" t="s">
        <v>94</v>
      </c>
      <c r="U103" t="s">
        <v>60</v>
      </c>
      <c r="V103" t="s">
        <v>95</v>
      </c>
      <c r="W103" t="s">
        <v>96</v>
      </c>
      <c r="X103" t="s">
        <v>97</v>
      </c>
    </row>
    <row r="104" spans="19:25">
      <c r="S104" t="s">
        <v>99</v>
      </c>
      <c r="T104" t="s">
        <v>100</v>
      </c>
      <c r="U104" t="s">
        <v>101</v>
      </c>
      <c r="V104" t="s">
        <v>102</v>
      </c>
      <c r="W104" t="s">
        <v>103</v>
      </c>
      <c r="X104" t="s">
        <v>104</v>
      </c>
    </row>
    <row r="105" spans="19:25">
      <c r="S105" t="s">
        <v>105</v>
      </c>
      <c r="T105" t="s">
        <v>100</v>
      </c>
      <c r="U105" t="s">
        <v>101</v>
      </c>
      <c r="V105" t="s">
        <v>102</v>
      </c>
      <c r="W105" t="s">
        <v>103</v>
      </c>
      <c r="X105" t="s">
        <v>104</v>
      </c>
    </row>
    <row r="106" spans="19:25">
      <c r="S106" t="s">
        <v>106</v>
      </c>
      <c r="T106" t="s">
        <v>107</v>
      </c>
      <c r="U106" t="s">
        <v>54</v>
      </c>
      <c r="V106" t="s">
        <v>65</v>
      </c>
      <c r="W106" t="s">
        <v>108</v>
      </c>
      <c r="X106" t="s">
        <v>70</v>
      </c>
    </row>
    <row r="107" spans="19:25" ht="15" customHeight="1">
      <c r="S107" t="s">
        <v>109</v>
      </c>
      <c r="T107" t="s">
        <v>42</v>
      </c>
      <c r="U107" t="s">
        <v>60</v>
      </c>
      <c r="V107" t="s">
        <v>44</v>
      </c>
      <c r="W107" s="14" t="s">
        <v>61</v>
      </c>
      <c r="X107" t="s">
        <v>62</v>
      </c>
    </row>
    <row r="108" spans="19:25" ht="15" customHeight="1">
      <c r="S108" t="s">
        <v>110</v>
      </c>
      <c r="T108" t="s">
        <v>111</v>
      </c>
      <c r="U108" t="s">
        <v>54</v>
      </c>
      <c r="V108" s="15" t="s">
        <v>112</v>
      </c>
      <c r="W108" s="15" t="s">
        <v>113</v>
      </c>
      <c r="X108" t="s">
        <v>57</v>
      </c>
    </row>
    <row r="109" spans="19:25" ht="15" customHeight="1">
      <c r="S109" t="s">
        <v>114</v>
      </c>
      <c r="T109" t="s">
        <v>115</v>
      </c>
      <c r="U109" t="s">
        <v>116</v>
      </c>
      <c r="V109" s="15" t="s">
        <v>117</v>
      </c>
      <c r="W109" s="15" t="s">
        <v>118</v>
      </c>
      <c r="X109" t="s">
        <v>119</v>
      </c>
    </row>
    <row r="110" spans="19:25" ht="15" customHeight="1">
      <c r="S110" t="s">
        <v>125</v>
      </c>
      <c r="T110" t="s">
        <v>42</v>
      </c>
      <c r="U110" t="s">
        <v>60</v>
      </c>
      <c r="V110" t="s">
        <v>44</v>
      </c>
      <c r="W110" s="16" t="s">
        <v>61</v>
      </c>
      <c r="X110" t="s">
        <v>62</v>
      </c>
    </row>
    <row r="111" spans="19:25">
      <c r="S111" t="s">
        <v>120</v>
      </c>
      <c r="T111" t="s">
        <v>121</v>
      </c>
      <c r="U111" t="s">
        <v>54</v>
      </c>
      <c r="V111" t="s">
        <v>122</v>
      </c>
      <c r="W111" t="s">
        <v>123</v>
      </c>
      <c r="X111" t="s">
        <v>57</v>
      </c>
      <c r="Y111" t="s">
        <v>124</v>
      </c>
    </row>
    <row r="112" spans="19:25">
      <c r="S112" t="s">
        <v>126</v>
      </c>
      <c r="T112" t="s">
        <v>127</v>
      </c>
      <c r="U112" t="s">
        <v>128</v>
      </c>
      <c r="V112" t="s">
        <v>129</v>
      </c>
      <c r="W112" t="s">
        <v>130</v>
      </c>
      <c r="X112" t="s">
        <v>131</v>
      </c>
    </row>
    <row r="113" spans="19:24" ht="15" customHeight="1">
      <c r="S113" t="s">
        <v>132</v>
      </c>
      <c r="T113" t="s">
        <v>133</v>
      </c>
      <c r="U113" t="s">
        <v>74</v>
      </c>
      <c r="V113" s="15" t="s">
        <v>134</v>
      </c>
      <c r="W113" s="15" t="s">
        <v>135</v>
      </c>
      <c r="X113" t="s">
        <v>136</v>
      </c>
    </row>
    <row r="114" spans="19:24">
      <c r="S114" t="s">
        <v>207</v>
      </c>
      <c r="T114" s="15" t="s">
        <v>208</v>
      </c>
      <c r="U114" t="s">
        <v>209</v>
      </c>
      <c r="V114" t="s">
        <v>210</v>
      </c>
      <c r="W114" s="17" t="s">
        <v>211</v>
      </c>
      <c r="X114" t="s">
        <v>77</v>
      </c>
    </row>
    <row r="115" spans="19:24">
      <c r="S115" t="s">
        <v>137</v>
      </c>
      <c r="T115" t="s">
        <v>138</v>
      </c>
      <c r="U115" t="s">
        <v>54</v>
      </c>
      <c r="V115" t="s">
        <v>139</v>
      </c>
      <c r="W115" t="s">
        <v>66</v>
      </c>
      <c r="X115" t="s">
        <v>57</v>
      </c>
    </row>
    <row r="116" spans="19:24">
      <c r="S116" t="s">
        <v>140</v>
      </c>
      <c r="T116" t="s">
        <v>138</v>
      </c>
      <c r="U116" t="s">
        <v>54</v>
      </c>
      <c r="V116" t="s">
        <v>139</v>
      </c>
      <c r="W116" t="s">
        <v>66</v>
      </c>
      <c r="X116" t="s">
        <v>57</v>
      </c>
    </row>
    <row r="117" spans="19:24">
      <c r="S117" t="s">
        <v>141</v>
      </c>
      <c r="T117" t="s">
        <v>142</v>
      </c>
      <c r="U117" t="s">
        <v>54</v>
      </c>
      <c r="V117" t="s">
        <v>143</v>
      </c>
      <c r="W117" t="s">
        <v>144</v>
      </c>
      <c r="X117" t="s">
        <v>145</v>
      </c>
    </row>
    <row r="118" spans="19:24">
      <c r="S118" t="s">
        <v>146</v>
      </c>
      <c r="T118" t="s">
        <v>142</v>
      </c>
      <c r="U118" t="s">
        <v>54</v>
      </c>
      <c r="V118" t="s">
        <v>143</v>
      </c>
      <c r="W118" t="s">
        <v>144</v>
      </c>
      <c r="X118" t="s">
        <v>145</v>
      </c>
    </row>
    <row r="119" spans="19:24">
      <c r="S119" t="s">
        <v>147</v>
      </c>
      <c r="T119" t="s">
        <v>148</v>
      </c>
      <c r="U119" t="s">
        <v>149</v>
      </c>
      <c r="V119" t="s">
        <v>150</v>
      </c>
      <c r="W119" t="s">
        <v>151</v>
      </c>
      <c r="X119" t="s">
        <v>152</v>
      </c>
    </row>
    <row r="120" spans="19:24">
      <c r="S120" t="s">
        <v>153</v>
      </c>
      <c r="T120" t="s">
        <v>154</v>
      </c>
      <c r="U120" t="s">
        <v>155</v>
      </c>
      <c r="V120" t="s">
        <v>156</v>
      </c>
      <c r="W120" t="s">
        <v>157</v>
      </c>
      <c r="X120" t="s">
        <v>158</v>
      </c>
    </row>
    <row r="121" spans="19:24">
      <c r="S121" t="s">
        <v>159</v>
      </c>
      <c r="T121" t="s">
        <v>160</v>
      </c>
      <c r="U121" t="s">
        <v>54</v>
      </c>
      <c r="V121" t="s">
        <v>161</v>
      </c>
      <c r="W121" t="s">
        <v>113</v>
      </c>
      <c r="X121" t="s">
        <v>57</v>
      </c>
    </row>
    <row r="122" spans="19:24" ht="86.4">
      <c r="S122" t="s">
        <v>162</v>
      </c>
      <c r="T122" t="s">
        <v>163</v>
      </c>
      <c r="U122" t="s">
        <v>74</v>
      </c>
      <c r="V122" s="15" t="s">
        <v>164</v>
      </c>
      <c r="W122" s="16" t="s">
        <v>165</v>
      </c>
      <c r="X122" t="s">
        <v>136</v>
      </c>
    </row>
    <row r="123" spans="19:24">
      <c r="S123" t="s">
        <v>166</v>
      </c>
      <c r="T123" t="s">
        <v>167</v>
      </c>
      <c r="U123" t="s">
        <v>168</v>
      </c>
      <c r="V123" t="s">
        <v>169</v>
      </c>
      <c r="W123" t="s">
        <v>170</v>
      </c>
      <c r="X123" t="s">
        <v>171</v>
      </c>
    </row>
    <row r="124" spans="19:24">
      <c r="S124" t="s">
        <v>172</v>
      </c>
      <c r="T124" t="s">
        <v>173</v>
      </c>
      <c r="U124" t="s">
        <v>74</v>
      </c>
      <c r="V124" t="s">
        <v>174</v>
      </c>
      <c r="W124" t="s">
        <v>175</v>
      </c>
      <c r="X124" t="s">
        <v>176</v>
      </c>
    </row>
    <row r="125" spans="19:24">
      <c r="S125" t="s">
        <v>177</v>
      </c>
      <c r="T125" t="s">
        <v>178</v>
      </c>
      <c r="U125" t="s">
        <v>179</v>
      </c>
      <c r="V125" t="s">
        <v>156</v>
      </c>
      <c r="W125" t="s">
        <v>180</v>
      </c>
      <c r="X125" t="s">
        <v>181</v>
      </c>
    </row>
    <row r="126" spans="19:24">
      <c r="S126" t="s">
        <v>182</v>
      </c>
      <c r="T126" t="s">
        <v>183</v>
      </c>
      <c r="U126" t="s">
        <v>184</v>
      </c>
      <c r="V126" t="s">
        <v>185</v>
      </c>
      <c r="W126" t="s">
        <v>186</v>
      </c>
      <c r="X126" t="s">
        <v>187</v>
      </c>
    </row>
    <row r="127" spans="19:24">
      <c r="S127" t="s">
        <v>188</v>
      </c>
      <c r="T127" t="s">
        <v>183</v>
      </c>
      <c r="U127" t="s">
        <v>184</v>
      </c>
      <c r="V127" t="s">
        <v>185</v>
      </c>
      <c r="W127" t="s">
        <v>186</v>
      </c>
      <c r="X127" t="s">
        <v>187</v>
      </c>
    </row>
    <row r="128" spans="19:24">
      <c r="S128" t="s">
        <v>189</v>
      </c>
      <c r="T128" t="s">
        <v>190</v>
      </c>
      <c r="U128" t="s">
        <v>60</v>
      </c>
      <c r="V128" t="s">
        <v>191</v>
      </c>
      <c r="W128" t="s">
        <v>192</v>
      </c>
      <c r="X128" t="s">
        <v>62</v>
      </c>
    </row>
    <row r="129" spans="19:25">
      <c r="S129" t="s">
        <v>193</v>
      </c>
      <c r="T129" t="s">
        <v>190</v>
      </c>
      <c r="U129" t="s">
        <v>60</v>
      </c>
      <c r="V129" t="s">
        <v>191</v>
      </c>
      <c r="W129" t="s">
        <v>192</v>
      </c>
      <c r="X129" t="s">
        <v>62</v>
      </c>
    </row>
    <row r="130" spans="19:25">
      <c r="S130" t="s">
        <v>194</v>
      </c>
      <c r="T130" t="s">
        <v>195</v>
      </c>
      <c r="U130" t="s">
        <v>54</v>
      </c>
      <c r="V130" t="s">
        <v>191</v>
      </c>
      <c r="W130" t="s">
        <v>196</v>
      </c>
      <c r="X130" t="s">
        <v>70</v>
      </c>
    </row>
    <row r="131" spans="19:25">
      <c r="S131" t="s">
        <v>197</v>
      </c>
      <c r="T131" t="s">
        <v>198</v>
      </c>
      <c r="U131" t="s">
        <v>54</v>
      </c>
      <c r="V131" t="s">
        <v>191</v>
      </c>
      <c r="W131" t="s">
        <v>196</v>
      </c>
      <c r="X131" t="s">
        <v>70</v>
      </c>
    </row>
    <row r="132" spans="19:25">
      <c r="S132" t="s">
        <v>199</v>
      </c>
      <c r="T132" t="s">
        <v>200</v>
      </c>
      <c r="U132" t="s">
        <v>128</v>
      </c>
      <c r="V132" t="s">
        <v>191</v>
      </c>
      <c r="W132" t="s">
        <v>201</v>
      </c>
      <c r="X132" t="s">
        <v>131</v>
      </c>
    </row>
    <row r="133" spans="19:25">
      <c r="S133" t="s">
        <v>202</v>
      </c>
      <c r="T133" t="s">
        <v>200</v>
      </c>
      <c r="U133" t="s">
        <v>128</v>
      </c>
      <c r="V133" t="s">
        <v>191</v>
      </c>
      <c r="W133" t="s">
        <v>201</v>
      </c>
      <c r="X133" t="s">
        <v>131</v>
      </c>
    </row>
    <row r="134" spans="19:25">
      <c r="S134" t="s">
        <v>203</v>
      </c>
      <c r="T134" t="s">
        <v>204</v>
      </c>
      <c r="U134" t="s">
        <v>54</v>
      </c>
      <c r="V134" t="s">
        <v>122</v>
      </c>
      <c r="W134" t="s">
        <v>205</v>
      </c>
      <c r="X134" t="s">
        <v>57</v>
      </c>
      <c r="Y134" t="s">
        <v>206</v>
      </c>
    </row>
    <row r="135" spans="19:25">
      <c r="S135" t="s">
        <v>212</v>
      </c>
      <c r="T135" t="s">
        <v>213</v>
      </c>
      <c r="U135" t="s">
        <v>54</v>
      </c>
      <c r="V135" t="s">
        <v>44</v>
      </c>
      <c r="W135" t="s">
        <v>214</v>
      </c>
      <c r="X135" t="s">
        <v>57</v>
      </c>
    </row>
    <row r="136" spans="19:25">
      <c r="S136" t="s">
        <v>215</v>
      </c>
      <c r="T136" s="15" t="s">
        <v>213</v>
      </c>
      <c r="U136" t="s">
        <v>54</v>
      </c>
      <c r="V136" t="s">
        <v>44</v>
      </c>
      <c r="W136" t="s">
        <v>214</v>
      </c>
      <c r="X136" t="s">
        <v>57</v>
      </c>
    </row>
    <row r="137" spans="19:25">
      <c r="S137" t="s">
        <v>216</v>
      </c>
      <c r="T137" s="15" t="s">
        <v>217</v>
      </c>
      <c r="U137" t="s">
        <v>60</v>
      </c>
      <c r="V137" t="s">
        <v>44</v>
      </c>
      <c r="W137" t="s">
        <v>218</v>
      </c>
      <c r="X137" t="s">
        <v>57</v>
      </c>
    </row>
  </sheetData>
  <mergeCells count="4">
    <mergeCell ref="F5:K8"/>
    <mergeCell ref="F21:K21"/>
    <mergeCell ref="D71:M73"/>
    <mergeCell ref="A80:P84"/>
  </mergeCells>
  <conditionalFormatting sqref="V4">
    <cfRule type="duplicateValues" dxfId="13" priority="3"/>
  </conditionalFormatting>
  <conditionalFormatting sqref="V5">
    <cfRule type="duplicateValues" dxfId="12" priority="2"/>
  </conditionalFormatting>
  <conditionalFormatting sqref="V6:V7">
    <cfRule type="duplicateValues" dxfId="11" priority="1"/>
  </conditionalFormatting>
  <conditionalFormatting sqref="W19">
    <cfRule type="duplicateValues" dxfId="10" priority="4"/>
  </conditionalFormatting>
  <conditionalFormatting sqref="W20:W22 W24:W27 W29:W33">
    <cfRule type="duplicateValues" dxfId="9" priority="5"/>
  </conditionalFormatting>
  <printOptions horizontalCentered="1" verticalCentered="1"/>
  <pageMargins left="0.19685039370078741" right="0.19685039370078741" top="0.27559055118110237" bottom="0.19685039370078741" header="0.31496062992125984" footer="0"/>
  <pageSetup paperSize="9" scale="56" orientation="portrait" r:id="rId1"/>
  <headerFooter>
    <oddHeader>&amp;R&amp;"Akzidenz-Grotesk Pro Light,Standard"&amp;20
&amp;"Akzidenz-Grotesk Pro Light,Standard"&amp;8</oddHeader>
    <oddFooter>&amp;C&amp;"Akzidenz-Grotesk Pro Light,Standard"&amp;8
&amp;"Akzidenz-Grotesk Pro Light,Standard"&amp;8</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10871-61F1-411F-A0AE-CBE6578915E7}">
  <sheetPr codeName="Tabelle15"/>
  <dimension ref="A2:Y137"/>
  <sheetViews>
    <sheetView showGridLines="0" view="pageBreakPreview" zoomScale="70" zoomScaleNormal="85" zoomScaleSheetLayoutView="70" workbookViewId="0"/>
  </sheetViews>
  <sheetFormatPr baseColWidth="10" defaultColWidth="11.5546875" defaultRowHeight="14.4"/>
  <cols>
    <col min="3" max="4" width="11.44140625" customWidth="1"/>
    <col min="5" max="5" width="14.109375" customWidth="1"/>
    <col min="6" max="6" width="5.44140625" customWidth="1"/>
    <col min="7" max="7" width="14.6640625" customWidth="1"/>
    <col min="8" max="9" width="6.6640625" customWidth="1"/>
    <col min="10" max="10" width="14.6640625" customWidth="1"/>
    <col min="11" max="11" width="5.44140625" customWidth="1"/>
    <col min="12" max="12" width="14.109375" customWidth="1"/>
    <col min="19" max="19" width="45.109375" bestFit="1" customWidth="1"/>
    <col min="20" max="20" width="20.33203125" bestFit="1" customWidth="1"/>
    <col min="21" max="21" width="14.33203125" bestFit="1" customWidth="1"/>
    <col min="22" max="25" width="40.6640625" customWidth="1"/>
  </cols>
  <sheetData>
    <row r="2" spans="6:25" ht="15" thickBot="1">
      <c r="V2" s="1" t="s">
        <v>0</v>
      </c>
      <c r="W2" s="1" t="s">
        <v>1</v>
      </c>
      <c r="X2" s="1" t="s">
        <v>2</v>
      </c>
    </row>
    <row r="3" spans="6:25">
      <c r="V3" t="s">
        <v>3</v>
      </c>
      <c r="W3" s="2">
        <v>10</v>
      </c>
    </row>
    <row r="4" spans="6:25">
      <c r="F4" s="3"/>
      <c r="V4" s="4" t="s">
        <v>4</v>
      </c>
      <c r="W4" s="5" t="s">
        <v>5</v>
      </c>
      <c r="X4" t="s">
        <v>6</v>
      </c>
    </row>
    <row r="5" spans="6:25">
      <c r="F5" s="100"/>
      <c r="G5" s="100"/>
      <c r="H5" s="100"/>
      <c r="I5" s="100"/>
      <c r="J5" s="100"/>
      <c r="K5" s="100"/>
      <c r="L5" s="3"/>
      <c r="M5" s="6"/>
      <c r="N5" s="6"/>
      <c r="V5" s="4" t="s">
        <v>7</v>
      </c>
      <c r="W5" s="5" t="s">
        <v>8</v>
      </c>
      <c r="X5" t="s">
        <v>9</v>
      </c>
    </row>
    <row r="6" spans="6:25">
      <c r="F6" s="100"/>
      <c r="G6" s="100"/>
      <c r="H6" s="100"/>
      <c r="I6" s="100"/>
      <c r="J6" s="100"/>
      <c r="K6" s="100"/>
      <c r="L6" s="3"/>
      <c r="M6" s="6"/>
      <c r="N6" s="6"/>
      <c r="V6" s="4" t="s">
        <v>10</v>
      </c>
      <c r="W6" s="5" t="s">
        <v>11</v>
      </c>
      <c r="X6" t="s">
        <v>12</v>
      </c>
    </row>
    <row r="7" spans="6:25">
      <c r="F7" s="100"/>
      <c r="G7" s="100"/>
      <c r="H7" s="100"/>
      <c r="I7" s="100"/>
      <c r="J7" s="100"/>
      <c r="K7" s="100"/>
      <c r="L7" s="3"/>
      <c r="M7" s="6"/>
      <c r="N7" s="6"/>
      <c r="V7" s="4" t="s">
        <v>13</v>
      </c>
      <c r="W7" s="5" t="s">
        <v>14</v>
      </c>
      <c r="X7" t="s">
        <v>15</v>
      </c>
    </row>
    <row r="8" spans="6:25">
      <c r="F8" s="100"/>
      <c r="G8" s="100"/>
      <c r="H8" s="100"/>
      <c r="I8" s="100"/>
      <c r="J8" s="100"/>
      <c r="K8" s="100"/>
      <c r="L8" s="3"/>
      <c r="M8" s="6"/>
      <c r="N8" s="6"/>
      <c r="V8" s="4" t="s">
        <v>16</v>
      </c>
      <c r="W8" s="5" t="s">
        <v>17</v>
      </c>
      <c r="X8" t="s">
        <v>18</v>
      </c>
    </row>
    <row r="9" spans="6:25">
      <c r="V9" s="4" t="s">
        <v>19</v>
      </c>
      <c r="W9" s="5" t="s">
        <v>20</v>
      </c>
      <c r="X9" t="s">
        <v>21</v>
      </c>
    </row>
    <row r="10" spans="6:25">
      <c r="V10" s="4" t="s">
        <v>22</v>
      </c>
      <c r="W10" s="5" t="s">
        <v>23</v>
      </c>
      <c r="X10" t="s">
        <v>24</v>
      </c>
    </row>
    <row r="11" spans="6:25">
      <c r="V11" s="7" t="s">
        <v>25</v>
      </c>
      <c r="W11" s="2">
        <v>50</v>
      </c>
      <c r="Y11" s="7"/>
    </row>
    <row r="12" spans="6:25">
      <c r="V12" s="4" t="s">
        <v>26</v>
      </c>
      <c r="W12" s="5" t="s">
        <v>27</v>
      </c>
      <c r="X12" t="s">
        <v>28</v>
      </c>
    </row>
    <row r="13" spans="6:25">
      <c r="V13" s="4" t="s">
        <v>29</v>
      </c>
      <c r="W13" s="5" t="s">
        <v>30</v>
      </c>
      <c r="X13" t="s">
        <v>31</v>
      </c>
      <c r="Y13" s="7"/>
    </row>
    <row r="14" spans="6:25">
      <c r="V14" s="7" t="s">
        <v>32</v>
      </c>
      <c r="W14" s="2">
        <v>70</v>
      </c>
    </row>
    <row r="15" spans="6:25">
      <c r="V15" s="8" t="s">
        <v>33</v>
      </c>
      <c r="W15" s="2" t="s">
        <v>34</v>
      </c>
      <c r="X15" t="s">
        <v>35</v>
      </c>
      <c r="Y15" s="7"/>
    </row>
    <row r="16" spans="6:25">
      <c r="V16" s="8" t="s">
        <v>36</v>
      </c>
      <c r="W16" s="2" t="s">
        <v>37</v>
      </c>
      <c r="X16" t="s">
        <v>38</v>
      </c>
    </row>
    <row r="17" spans="6:25">
      <c r="Y17" s="7"/>
    </row>
    <row r="19" spans="6:25">
      <c r="Y19" s="7"/>
    </row>
    <row r="21" spans="6:25" ht="22.8">
      <c r="F21" s="101" t="s">
        <v>62</v>
      </c>
      <c r="G21" s="101"/>
      <c r="H21" s="101"/>
      <c r="I21" s="101"/>
      <c r="J21" s="101"/>
      <c r="K21" s="101"/>
      <c r="Y21" s="7"/>
    </row>
    <row r="23" spans="6:25">
      <c r="Y23" s="7"/>
    </row>
    <row r="25" spans="6:25">
      <c r="Y25" s="7"/>
    </row>
    <row r="27" spans="6:25">
      <c r="Y27" s="7"/>
    </row>
    <row r="29" spans="6:25">
      <c r="Y29" s="7"/>
    </row>
    <row r="31" spans="6:25">
      <c r="Y31" s="7"/>
    </row>
    <row r="33" spans="25:25">
      <c r="Y33" s="7"/>
    </row>
    <row r="35" spans="25:25">
      <c r="Y35" s="7"/>
    </row>
    <row r="38" spans="25:25">
      <c r="Y38" s="7"/>
    </row>
    <row r="40" spans="25:25">
      <c r="Y40" s="7"/>
    </row>
    <row r="68" spans="1:16" ht="15" customHeight="1"/>
    <row r="71" spans="1:16">
      <c r="D71" s="102" t="s">
        <v>219</v>
      </c>
      <c r="E71" s="102"/>
      <c r="F71" s="102"/>
      <c r="G71" s="102"/>
      <c r="H71" s="102"/>
      <c r="I71" s="102"/>
      <c r="J71" s="102"/>
      <c r="K71" s="102"/>
      <c r="L71" s="102"/>
      <c r="M71" s="102"/>
    </row>
    <row r="72" spans="1:16">
      <c r="D72" s="102"/>
      <c r="E72" s="102"/>
      <c r="F72" s="102"/>
      <c r="G72" s="102"/>
      <c r="H72" s="102"/>
      <c r="I72" s="102"/>
      <c r="J72" s="102"/>
      <c r="K72" s="102"/>
      <c r="L72" s="102"/>
      <c r="M72" s="102"/>
    </row>
    <row r="73" spans="1:16">
      <c r="D73" s="102"/>
      <c r="E73" s="102"/>
      <c r="F73" s="102"/>
      <c r="G73" s="102"/>
      <c r="H73" s="102"/>
      <c r="I73" s="102"/>
      <c r="J73" s="102"/>
      <c r="K73" s="102"/>
      <c r="L73" s="102"/>
      <c r="M73" s="102"/>
    </row>
    <row r="80" spans="1:16" ht="14.4" customHeight="1">
      <c r="A80" s="103" t="s">
        <v>61</v>
      </c>
      <c r="B80" s="103"/>
      <c r="C80" s="103"/>
      <c r="D80" s="103"/>
      <c r="E80" s="103"/>
      <c r="F80" s="103"/>
      <c r="G80" s="103"/>
      <c r="H80" s="103"/>
      <c r="I80" s="103"/>
      <c r="J80" s="103"/>
      <c r="K80" s="103"/>
      <c r="L80" s="103"/>
      <c r="M80" s="103"/>
      <c r="N80" s="103"/>
      <c r="O80" s="103"/>
      <c r="P80" s="103"/>
    </row>
    <row r="81" spans="1:25" ht="14.4" customHeight="1">
      <c r="A81" s="103"/>
      <c r="B81" s="103"/>
      <c r="C81" s="103"/>
      <c r="D81" s="103"/>
      <c r="E81" s="103"/>
      <c r="F81" s="103"/>
      <c r="G81" s="103"/>
      <c r="H81" s="103"/>
      <c r="I81" s="103"/>
      <c r="J81" s="103"/>
      <c r="K81" s="103"/>
      <c r="L81" s="103"/>
      <c r="M81" s="103"/>
      <c r="N81" s="103"/>
      <c r="O81" s="103"/>
      <c r="P81" s="103"/>
    </row>
    <row r="82" spans="1:25" ht="15" customHeight="1">
      <c r="A82" s="103"/>
      <c r="B82" s="103"/>
      <c r="C82" s="103"/>
      <c r="D82" s="103"/>
      <c r="E82" s="103"/>
      <c r="F82" s="103"/>
      <c r="G82" s="103"/>
      <c r="H82" s="103"/>
      <c r="I82" s="103"/>
      <c r="J82" s="103"/>
      <c r="K82" s="103"/>
      <c r="L82" s="103"/>
      <c r="M82" s="103"/>
      <c r="N82" s="103"/>
      <c r="O82" s="103"/>
      <c r="P82" s="103"/>
    </row>
    <row r="83" spans="1:25" ht="15" customHeight="1">
      <c r="A83" s="103"/>
      <c r="B83" s="103"/>
      <c r="C83" s="103"/>
      <c r="D83" s="103"/>
      <c r="E83" s="103"/>
      <c r="F83" s="103"/>
      <c r="G83" s="103"/>
      <c r="H83" s="103"/>
      <c r="I83" s="103"/>
      <c r="J83" s="103"/>
      <c r="K83" s="103"/>
      <c r="L83" s="103"/>
      <c r="M83" s="103"/>
      <c r="N83" s="103"/>
      <c r="O83" s="103"/>
      <c r="P83" s="103"/>
    </row>
    <row r="84" spans="1:25">
      <c r="A84" s="103"/>
      <c r="B84" s="103"/>
      <c r="C84" s="103"/>
      <c r="D84" s="103"/>
      <c r="E84" s="103"/>
      <c r="F84" s="103"/>
      <c r="G84" s="103"/>
      <c r="H84" s="103"/>
      <c r="I84" s="103"/>
      <c r="J84" s="103"/>
      <c r="K84" s="103"/>
      <c r="L84" s="103"/>
      <c r="M84" s="103"/>
      <c r="N84" s="103"/>
      <c r="O84" s="103"/>
      <c r="P84" s="103"/>
    </row>
    <row r="86" spans="1:25" ht="15" customHeight="1"/>
    <row r="87" spans="1:25" ht="20.25" customHeight="1"/>
    <row r="88" spans="1:25" ht="20.25" customHeight="1"/>
    <row r="91" spans="1:25" ht="15" thickBot="1">
      <c r="S91" s="1" t="s">
        <v>45</v>
      </c>
      <c r="T91" s="1" t="s">
        <v>46</v>
      </c>
      <c r="U91" s="1" t="s">
        <v>47</v>
      </c>
      <c r="V91" s="1" t="s">
        <v>48</v>
      </c>
      <c r="W91" s="1" t="s">
        <v>49</v>
      </c>
      <c r="X91" s="1" t="s">
        <v>50</v>
      </c>
      <c r="Y91" s="1" t="s">
        <v>51</v>
      </c>
    </row>
    <row r="92" spans="1:25">
      <c r="S92" t="s">
        <v>52</v>
      </c>
      <c r="T92" t="s">
        <v>53</v>
      </c>
      <c r="U92" t="s">
        <v>54</v>
      </c>
      <c r="V92" t="s">
        <v>55</v>
      </c>
      <c r="W92" t="s">
        <v>56</v>
      </c>
      <c r="X92" t="s">
        <v>57</v>
      </c>
    </row>
    <row r="93" spans="1:25">
      <c r="S93" t="s">
        <v>58</v>
      </c>
      <c r="T93" t="s">
        <v>59</v>
      </c>
      <c r="U93" t="s">
        <v>60</v>
      </c>
      <c r="V93" t="s">
        <v>44</v>
      </c>
      <c r="W93" s="16" t="s">
        <v>61</v>
      </c>
      <c r="X93" t="s">
        <v>62</v>
      </c>
    </row>
    <row r="94" spans="1:25">
      <c r="S94" t="s">
        <v>63</v>
      </c>
      <c r="T94" t="s">
        <v>64</v>
      </c>
      <c r="U94" t="s">
        <v>54</v>
      </c>
      <c r="V94" t="s">
        <v>65</v>
      </c>
      <c r="W94" t="s">
        <v>66</v>
      </c>
      <c r="X94" t="s">
        <v>57</v>
      </c>
    </row>
    <row r="95" spans="1:25">
      <c r="S95" t="s">
        <v>67</v>
      </c>
      <c r="T95" t="s">
        <v>64</v>
      </c>
      <c r="U95" t="s">
        <v>54</v>
      </c>
      <c r="V95" t="s">
        <v>65</v>
      </c>
      <c r="W95" t="s">
        <v>66</v>
      </c>
      <c r="X95" t="s">
        <v>57</v>
      </c>
    </row>
    <row r="96" spans="1:25">
      <c r="S96" t="s">
        <v>68</v>
      </c>
      <c r="T96" t="s">
        <v>64</v>
      </c>
      <c r="U96" t="s">
        <v>54</v>
      </c>
      <c r="V96" t="s">
        <v>65</v>
      </c>
      <c r="W96" t="s">
        <v>69</v>
      </c>
      <c r="X96" t="s">
        <v>70</v>
      </c>
    </row>
    <row r="97" spans="19:25">
      <c r="S97" t="s">
        <v>71</v>
      </c>
      <c r="T97" t="s">
        <v>64</v>
      </c>
      <c r="U97" t="s">
        <v>54</v>
      </c>
      <c r="V97" t="s">
        <v>65</v>
      </c>
      <c r="W97" t="s">
        <v>69</v>
      </c>
      <c r="X97" t="s">
        <v>70</v>
      </c>
    </row>
    <row r="98" spans="19:25" ht="86.4">
      <c r="S98" t="s">
        <v>72</v>
      </c>
      <c r="T98" t="s">
        <v>73</v>
      </c>
      <c r="U98" t="s">
        <v>74</v>
      </c>
      <c r="V98" s="15" t="s">
        <v>75</v>
      </c>
      <c r="W98" t="s">
        <v>76</v>
      </c>
      <c r="X98" t="s">
        <v>77</v>
      </c>
    </row>
    <row r="99" spans="19:25" ht="14.4" customHeight="1">
      <c r="S99" t="s">
        <v>78</v>
      </c>
      <c r="T99" s="18" t="s">
        <v>79</v>
      </c>
      <c r="U99" t="s">
        <v>80</v>
      </c>
      <c r="V99" s="15" t="s">
        <v>81</v>
      </c>
      <c r="W99" s="15" t="s">
        <v>220</v>
      </c>
      <c r="X99" t="s">
        <v>83</v>
      </c>
    </row>
    <row r="100" spans="19:25" ht="86.4">
      <c r="S100" t="s">
        <v>84</v>
      </c>
      <c r="T100" t="s">
        <v>85</v>
      </c>
      <c r="U100" t="s">
        <v>74</v>
      </c>
      <c r="V100" s="15" t="s">
        <v>75</v>
      </c>
      <c r="W100" t="s">
        <v>86</v>
      </c>
      <c r="X100" t="s">
        <v>77</v>
      </c>
    </row>
    <row r="101" spans="19:25">
      <c r="S101" t="s">
        <v>87</v>
      </c>
      <c r="T101" t="s">
        <v>88</v>
      </c>
      <c r="U101" t="s">
        <v>89</v>
      </c>
      <c r="V101" t="s">
        <v>90</v>
      </c>
      <c r="W101" t="s">
        <v>91</v>
      </c>
      <c r="X101" t="s">
        <v>92</v>
      </c>
    </row>
    <row r="102" spans="19:25">
      <c r="S102" t="s">
        <v>93</v>
      </c>
      <c r="T102" t="s">
        <v>94</v>
      </c>
      <c r="U102" t="s">
        <v>60</v>
      </c>
      <c r="V102" t="s">
        <v>95</v>
      </c>
      <c r="W102" t="s">
        <v>96</v>
      </c>
      <c r="X102" t="s">
        <v>97</v>
      </c>
    </row>
    <row r="103" spans="19:25">
      <c r="S103" t="s">
        <v>98</v>
      </c>
      <c r="T103" t="s">
        <v>94</v>
      </c>
      <c r="U103" t="s">
        <v>60</v>
      </c>
      <c r="V103" t="s">
        <v>95</v>
      </c>
      <c r="W103" t="s">
        <v>96</v>
      </c>
      <c r="X103" t="s">
        <v>97</v>
      </c>
    </row>
    <row r="104" spans="19:25">
      <c r="S104" t="s">
        <v>99</v>
      </c>
      <c r="T104" t="s">
        <v>100</v>
      </c>
      <c r="U104" t="s">
        <v>101</v>
      </c>
      <c r="V104" t="s">
        <v>102</v>
      </c>
      <c r="W104" t="s">
        <v>103</v>
      </c>
      <c r="X104" t="s">
        <v>104</v>
      </c>
    </row>
    <row r="105" spans="19:25">
      <c r="S105" t="s">
        <v>105</v>
      </c>
      <c r="T105" t="s">
        <v>100</v>
      </c>
      <c r="U105" t="s">
        <v>101</v>
      </c>
      <c r="V105" t="s">
        <v>102</v>
      </c>
      <c r="W105" t="s">
        <v>103</v>
      </c>
      <c r="X105" t="s">
        <v>104</v>
      </c>
    </row>
    <row r="106" spans="19:25">
      <c r="S106" t="s">
        <v>106</v>
      </c>
      <c r="T106" t="s">
        <v>107</v>
      </c>
      <c r="U106" t="s">
        <v>54</v>
      </c>
      <c r="V106" t="s">
        <v>65</v>
      </c>
      <c r="W106" t="s">
        <v>108</v>
      </c>
      <c r="X106" t="s">
        <v>70</v>
      </c>
    </row>
    <row r="107" spans="19:25" ht="15" customHeight="1">
      <c r="S107" t="s">
        <v>109</v>
      </c>
      <c r="T107" t="s">
        <v>42</v>
      </c>
      <c r="U107" t="s">
        <v>60</v>
      </c>
      <c r="V107" t="s">
        <v>44</v>
      </c>
      <c r="W107" s="14" t="s">
        <v>61</v>
      </c>
      <c r="X107" t="s">
        <v>62</v>
      </c>
    </row>
    <row r="108" spans="19:25" ht="15" customHeight="1">
      <c r="S108" t="s">
        <v>110</v>
      </c>
      <c r="T108" t="s">
        <v>111</v>
      </c>
      <c r="U108" t="s">
        <v>54</v>
      </c>
      <c r="V108" s="15" t="s">
        <v>112</v>
      </c>
      <c r="W108" s="15" t="s">
        <v>113</v>
      </c>
      <c r="X108" t="s">
        <v>57</v>
      </c>
    </row>
    <row r="109" spans="19:25" ht="15" customHeight="1">
      <c r="S109" t="s">
        <v>114</v>
      </c>
      <c r="T109" t="s">
        <v>115</v>
      </c>
      <c r="U109" t="s">
        <v>116</v>
      </c>
      <c r="V109" s="15" t="s">
        <v>117</v>
      </c>
      <c r="W109" s="15" t="s">
        <v>118</v>
      </c>
      <c r="X109" t="s">
        <v>119</v>
      </c>
    </row>
    <row r="110" spans="19:25" ht="15" customHeight="1">
      <c r="S110" t="s">
        <v>125</v>
      </c>
      <c r="T110" t="s">
        <v>42</v>
      </c>
      <c r="U110" t="s">
        <v>60</v>
      </c>
      <c r="V110" t="s">
        <v>44</v>
      </c>
      <c r="W110" s="16" t="s">
        <v>61</v>
      </c>
      <c r="X110" t="s">
        <v>62</v>
      </c>
    </row>
    <row r="111" spans="19:25">
      <c r="S111" t="s">
        <v>120</v>
      </c>
      <c r="T111" t="s">
        <v>121</v>
      </c>
      <c r="U111" t="s">
        <v>54</v>
      </c>
      <c r="V111" t="s">
        <v>122</v>
      </c>
      <c r="W111" t="s">
        <v>123</v>
      </c>
      <c r="X111" t="s">
        <v>57</v>
      </c>
      <c r="Y111" t="s">
        <v>124</v>
      </c>
    </row>
    <row r="112" spans="19:25">
      <c r="S112" t="s">
        <v>126</v>
      </c>
      <c r="T112" t="s">
        <v>127</v>
      </c>
      <c r="U112" t="s">
        <v>128</v>
      </c>
      <c r="V112" t="s">
        <v>129</v>
      </c>
      <c r="W112" t="s">
        <v>130</v>
      </c>
      <c r="X112" t="s">
        <v>131</v>
      </c>
    </row>
    <row r="113" spans="19:24" ht="15" customHeight="1">
      <c r="S113" t="s">
        <v>132</v>
      </c>
      <c r="T113" t="s">
        <v>133</v>
      </c>
      <c r="U113" t="s">
        <v>74</v>
      </c>
      <c r="V113" s="15" t="s">
        <v>134</v>
      </c>
      <c r="W113" s="15" t="s">
        <v>135</v>
      </c>
      <c r="X113" t="s">
        <v>136</v>
      </c>
    </row>
    <row r="114" spans="19:24">
      <c r="S114" t="s">
        <v>207</v>
      </c>
      <c r="T114" s="15" t="s">
        <v>208</v>
      </c>
      <c r="U114" t="s">
        <v>209</v>
      </c>
      <c r="V114" t="s">
        <v>210</v>
      </c>
      <c r="W114" s="17" t="s">
        <v>211</v>
      </c>
      <c r="X114" t="s">
        <v>77</v>
      </c>
    </row>
    <row r="115" spans="19:24">
      <c r="S115" t="s">
        <v>137</v>
      </c>
      <c r="T115" t="s">
        <v>138</v>
      </c>
      <c r="U115" t="s">
        <v>54</v>
      </c>
      <c r="V115" t="s">
        <v>139</v>
      </c>
      <c r="W115" t="s">
        <v>66</v>
      </c>
      <c r="X115" t="s">
        <v>57</v>
      </c>
    </row>
    <row r="116" spans="19:24">
      <c r="S116" t="s">
        <v>140</v>
      </c>
      <c r="T116" t="s">
        <v>138</v>
      </c>
      <c r="U116" t="s">
        <v>54</v>
      </c>
      <c r="V116" t="s">
        <v>139</v>
      </c>
      <c r="W116" t="s">
        <v>66</v>
      </c>
      <c r="X116" t="s">
        <v>57</v>
      </c>
    </row>
    <row r="117" spans="19:24">
      <c r="S117" t="s">
        <v>141</v>
      </c>
      <c r="T117" t="s">
        <v>142</v>
      </c>
      <c r="U117" t="s">
        <v>54</v>
      </c>
      <c r="V117" t="s">
        <v>143</v>
      </c>
      <c r="W117" t="s">
        <v>144</v>
      </c>
      <c r="X117" t="s">
        <v>145</v>
      </c>
    </row>
    <row r="118" spans="19:24">
      <c r="S118" t="s">
        <v>146</v>
      </c>
      <c r="T118" t="s">
        <v>142</v>
      </c>
      <c r="U118" t="s">
        <v>54</v>
      </c>
      <c r="V118" t="s">
        <v>143</v>
      </c>
      <c r="W118" t="s">
        <v>144</v>
      </c>
      <c r="X118" t="s">
        <v>145</v>
      </c>
    </row>
    <row r="119" spans="19:24">
      <c r="S119" t="s">
        <v>147</v>
      </c>
      <c r="T119" t="s">
        <v>148</v>
      </c>
      <c r="U119" t="s">
        <v>149</v>
      </c>
      <c r="V119" t="s">
        <v>150</v>
      </c>
      <c r="W119" t="s">
        <v>151</v>
      </c>
      <c r="X119" t="s">
        <v>152</v>
      </c>
    </row>
    <row r="120" spans="19:24">
      <c r="S120" t="s">
        <v>153</v>
      </c>
      <c r="T120" t="s">
        <v>154</v>
      </c>
      <c r="U120" t="s">
        <v>155</v>
      </c>
      <c r="V120" t="s">
        <v>156</v>
      </c>
      <c r="W120" t="s">
        <v>157</v>
      </c>
      <c r="X120" t="s">
        <v>158</v>
      </c>
    </row>
    <row r="121" spans="19:24">
      <c r="S121" t="s">
        <v>159</v>
      </c>
      <c r="T121" t="s">
        <v>160</v>
      </c>
      <c r="U121" t="s">
        <v>54</v>
      </c>
      <c r="V121" t="s">
        <v>161</v>
      </c>
      <c r="W121" t="s">
        <v>113</v>
      </c>
      <c r="X121" t="s">
        <v>57</v>
      </c>
    </row>
    <row r="122" spans="19:24" ht="86.4">
      <c r="S122" t="s">
        <v>162</v>
      </c>
      <c r="T122" t="s">
        <v>163</v>
      </c>
      <c r="U122" t="s">
        <v>74</v>
      </c>
      <c r="V122" s="15" t="s">
        <v>164</v>
      </c>
      <c r="W122" s="16" t="s">
        <v>165</v>
      </c>
      <c r="X122" t="s">
        <v>136</v>
      </c>
    </row>
    <row r="123" spans="19:24">
      <c r="S123" t="s">
        <v>166</v>
      </c>
      <c r="T123" t="s">
        <v>167</v>
      </c>
      <c r="U123" t="s">
        <v>168</v>
      </c>
      <c r="V123" t="s">
        <v>169</v>
      </c>
      <c r="W123" t="s">
        <v>170</v>
      </c>
      <c r="X123" t="s">
        <v>171</v>
      </c>
    </row>
    <row r="124" spans="19:24">
      <c r="S124" t="s">
        <v>172</v>
      </c>
      <c r="T124" t="s">
        <v>173</v>
      </c>
      <c r="U124" t="s">
        <v>74</v>
      </c>
      <c r="V124" t="s">
        <v>174</v>
      </c>
      <c r="W124" t="s">
        <v>175</v>
      </c>
      <c r="X124" t="s">
        <v>176</v>
      </c>
    </row>
    <row r="125" spans="19:24">
      <c r="S125" t="s">
        <v>177</v>
      </c>
      <c r="T125" t="s">
        <v>178</v>
      </c>
      <c r="U125" t="s">
        <v>179</v>
      </c>
      <c r="V125" t="s">
        <v>156</v>
      </c>
      <c r="W125" t="s">
        <v>180</v>
      </c>
      <c r="X125" t="s">
        <v>181</v>
      </c>
    </row>
    <row r="126" spans="19:24">
      <c r="S126" t="s">
        <v>182</v>
      </c>
      <c r="T126" t="s">
        <v>183</v>
      </c>
      <c r="U126" t="s">
        <v>184</v>
      </c>
      <c r="V126" t="s">
        <v>185</v>
      </c>
      <c r="W126" t="s">
        <v>186</v>
      </c>
      <c r="X126" t="s">
        <v>187</v>
      </c>
    </row>
    <row r="127" spans="19:24">
      <c r="S127" t="s">
        <v>188</v>
      </c>
      <c r="T127" t="s">
        <v>183</v>
      </c>
      <c r="U127" t="s">
        <v>184</v>
      </c>
      <c r="V127" t="s">
        <v>185</v>
      </c>
      <c r="W127" t="s">
        <v>186</v>
      </c>
      <c r="X127" t="s">
        <v>187</v>
      </c>
    </row>
    <row r="128" spans="19:24">
      <c r="S128" t="s">
        <v>189</v>
      </c>
      <c r="T128" t="s">
        <v>190</v>
      </c>
      <c r="U128" t="s">
        <v>60</v>
      </c>
      <c r="V128" t="s">
        <v>191</v>
      </c>
      <c r="W128" t="s">
        <v>192</v>
      </c>
      <c r="X128" t="s">
        <v>62</v>
      </c>
    </row>
    <row r="129" spans="19:25">
      <c r="S129" t="s">
        <v>193</v>
      </c>
      <c r="T129" t="s">
        <v>190</v>
      </c>
      <c r="U129" t="s">
        <v>60</v>
      </c>
      <c r="V129" t="s">
        <v>191</v>
      </c>
      <c r="W129" t="s">
        <v>192</v>
      </c>
      <c r="X129" t="s">
        <v>62</v>
      </c>
    </row>
    <row r="130" spans="19:25">
      <c r="S130" t="s">
        <v>194</v>
      </c>
      <c r="T130" t="s">
        <v>195</v>
      </c>
      <c r="U130" t="s">
        <v>54</v>
      </c>
      <c r="V130" t="s">
        <v>191</v>
      </c>
      <c r="W130" t="s">
        <v>196</v>
      </c>
      <c r="X130" t="s">
        <v>70</v>
      </c>
    </row>
    <row r="131" spans="19:25">
      <c r="S131" t="s">
        <v>197</v>
      </c>
      <c r="T131" t="s">
        <v>198</v>
      </c>
      <c r="U131" t="s">
        <v>54</v>
      </c>
      <c r="V131" t="s">
        <v>191</v>
      </c>
      <c r="W131" t="s">
        <v>196</v>
      </c>
      <c r="X131" t="s">
        <v>70</v>
      </c>
    </row>
    <row r="132" spans="19:25">
      <c r="S132" t="s">
        <v>199</v>
      </c>
      <c r="T132" t="s">
        <v>200</v>
      </c>
      <c r="U132" t="s">
        <v>128</v>
      </c>
      <c r="V132" t="s">
        <v>191</v>
      </c>
      <c r="W132" t="s">
        <v>201</v>
      </c>
      <c r="X132" t="s">
        <v>131</v>
      </c>
    </row>
    <row r="133" spans="19:25">
      <c r="S133" t="s">
        <v>202</v>
      </c>
      <c r="T133" t="s">
        <v>200</v>
      </c>
      <c r="U133" t="s">
        <v>128</v>
      </c>
      <c r="V133" t="s">
        <v>191</v>
      </c>
      <c r="W133" t="s">
        <v>201</v>
      </c>
      <c r="X133" t="s">
        <v>131</v>
      </c>
    </row>
    <row r="134" spans="19:25">
      <c r="S134" t="s">
        <v>203</v>
      </c>
      <c r="T134" t="s">
        <v>204</v>
      </c>
      <c r="U134" t="s">
        <v>54</v>
      </c>
      <c r="V134" t="s">
        <v>122</v>
      </c>
      <c r="W134" t="s">
        <v>205</v>
      </c>
      <c r="X134" t="s">
        <v>57</v>
      </c>
      <c r="Y134" t="s">
        <v>206</v>
      </c>
    </row>
    <row r="135" spans="19:25">
      <c r="S135" t="s">
        <v>212</v>
      </c>
      <c r="T135" t="s">
        <v>213</v>
      </c>
      <c r="U135" t="s">
        <v>54</v>
      </c>
      <c r="V135" t="s">
        <v>44</v>
      </c>
      <c r="W135" t="s">
        <v>214</v>
      </c>
      <c r="X135" t="s">
        <v>57</v>
      </c>
    </row>
    <row r="136" spans="19:25">
      <c r="S136" t="s">
        <v>215</v>
      </c>
      <c r="T136" s="15" t="s">
        <v>213</v>
      </c>
      <c r="U136" t="s">
        <v>54</v>
      </c>
      <c r="V136" t="s">
        <v>44</v>
      </c>
      <c r="W136" t="s">
        <v>214</v>
      </c>
      <c r="X136" t="s">
        <v>57</v>
      </c>
    </row>
    <row r="137" spans="19:25">
      <c r="S137" t="s">
        <v>216</v>
      </c>
      <c r="T137" s="15" t="s">
        <v>217</v>
      </c>
      <c r="U137" t="s">
        <v>60</v>
      </c>
      <c r="V137" t="s">
        <v>44</v>
      </c>
      <c r="W137" t="s">
        <v>218</v>
      </c>
      <c r="X137" t="s">
        <v>57</v>
      </c>
    </row>
  </sheetData>
  <mergeCells count="4">
    <mergeCell ref="F5:K8"/>
    <mergeCell ref="F21:K21"/>
    <mergeCell ref="D71:M73"/>
    <mergeCell ref="A80:P84"/>
  </mergeCells>
  <conditionalFormatting sqref="V4">
    <cfRule type="duplicateValues" dxfId="8" priority="3"/>
  </conditionalFormatting>
  <conditionalFormatting sqref="V5">
    <cfRule type="duplicateValues" dxfId="7" priority="2"/>
  </conditionalFormatting>
  <conditionalFormatting sqref="V6:V7">
    <cfRule type="duplicateValues" dxfId="6" priority="1"/>
  </conditionalFormatting>
  <conditionalFormatting sqref="W19">
    <cfRule type="duplicateValues" dxfId="5" priority="4"/>
  </conditionalFormatting>
  <conditionalFormatting sqref="W20:W22 W24:W27 W29:W33">
    <cfRule type="duplicateValues" dxfId="4" priority="5"/>
  </conditionalFormatting>
  <printOptions horizontalCentered="1" verticalCentered="1"/>
  <pageMargins left="0.19685039370078741" right="0.19685039370078741" top="0.27559055118110237" bottom="0.19685039370078741" header="0.31496062992125984" footer="0"/>
  <pageSetup paperSize="9" scale="56" orientation="portrait" r:id="rId1"/>
  <headerFooter>
    <oddHeader>&amp;R&amp;"Akzidenz-Grotesk Pro Light,Standard"&amp;20
&amp;"Akzidenz-Grotesk Pro Light,Standard"&amp;8</oddHeader>
    <oddFooter>&amp;C&amp;"Akzidenz-Grotesk Pro Light,Standard"&amp;8
&amp;"Akzidenz-Grotesk Pro Light,Standard"&amp;8</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5A088-E997-4366-B456-32D0B9697698}">
  <sheetPr codeName="Tabelle24">
    <tabColor theme="0" tint="-0.499984740745262"/>
  </sheetPr>
  <dimension ref="A1:N5"/>
  <sheetViews>
    <sheetView workbookViewId="0"/>
  </sheetViews>
  <sheetFormatPr baseColWidth="10" defaultColWidth="11.5546875" defaultRowHeight="14.4"/>
  <cols>
    <col min="1" max="1" width="47.109375" style="94" bestFit="1" customWidth="1"/>
    <col min="2" max="2" width="15.5546875" style="91" bestFit="1" customWidth="1"/>
    <col min="3" max="3" width="12.88671875" style="93" bestFit="1" customWidth="1"/>
    <col min="4" max="4" width="15" style="93" bestFit="1" customWidth="1"/>
    <col min="5" max="5" width="20.44140625" style="96" customWidth="1"/>
    <col min="6" max="6" width="41.33203125" customWidth="1"/>
    <col min="7" max="7" width="47.109375" bestFit="1" customWidth="1"/>
    <col min="10" max="10" width="6.33203125" bestFit="1" customWidth="1"/>
    <col min="11" max="11" width="7.44140625" bestFit="1" customWidth="1"/>
    <col min="12" max="12" width="1.88671875" bestFit="1" customWidth="1"/>
    <col min="13" max="13" width="4.5546875" bestFit="1" customWidth="1"/>
  </cols>
  <sheetData>
    <row r="1" spans="1:14">
      <c r="A1" s="90" t="s">
        <v>0</v>
      </c>
      <c r="B1" s="91" t="s">
        <v>1</v>
      </c>
      <c r="C1" s="92" t="s">
        <v>221</v>
      </c>
      <c r="D1" s="92" t="s">
        <v>222</v>
      </c>
      <c r="E1" s="92" t="s">
        <v>223</v>
      </c>
      <c r="F1" s="92" t="s">
        <v>224</v>
      </c>
      <c r="G1" s="92" t="s">
        <v>224</v>
      </c>
      <c r="I1" s="92" t="s">
        <v>225</v>
      </c>
      <c r="J1" s="92" t="s">
        <v>226</v>
      </c>
      <c r="K1" s="92" t="s">
        <v>227</v>
      </c>
      <c r="L1" s="93"/>
      <c r="N1" s="92" t="s">
        <v>228</v>
      </c>
    </row>
    <row r="2" spans="1:14">
      <c r="A2" s="94" t="s">
        <v>229</v>
      </c>
      <c r="B2" s="91" t="s">
        <v>5</v>
      </c>
      <c r="C2" s="95" t="s">
        <v>6</v>
      </c>
      <c r="D2" s="92" t="str">
        <f>IF(ISERROR(VLOOKUP(C2,Pricelist!BB:BB,1,0)),"","x")</f>
        <v>x</v>
      </c>
      <c r="E2" s="96" t="s">
        <v>230</v>
      </c>
      <c r="F2" t="s">
        <v>4</v>
      </c>
      <c r="G2" t="str">
        <f t="shared" ref="G2:G5" si="0">A2</f>
        <v>CYBEX PLATINUM</v>
      </c>
      <c r="I2" t="e">
        <f>IF(C2="",ADDRESS(ROW(E2),COLUMN(E2),2),#REF!)</f>
        <v>#REF!</v>
      </c>
      <c r="J2">
        <v>1</v>
      </c>
      <c r="K2">
        <f>(SUMIF(I:I,I2,J:J))</f>
        <v>4</v>
      </c>
      <c r="L2" t="str">
        <f>IF(_xlfn.IFNA(VLOOKUP(ADDRESS(ROW(E2),COLUMN(E2),2),I:K,3,0),"")="","",IF(_xlfn.IFNA(VLOOKUP(ADDRESS(ROW(E2),COLUMN(E2),2),I:K,3,0),"")&gt;0,"x",""))</f>
        <v/>
      </c>
      <c r="N2" t="s">
        <v>231</v>
      </c>
    </row>
    <row r="3" spans="1:14">
      <c r="A3" s="94" t="s">
        <v>232</v>
      </c>
      <c r="B3" s="91" t="s">
        <v>14</v>
      </c>
      <c r="C3" s="95" t="s">
        <v>15</v>
      </c>
      <c r="D3" s="92" t="str">
        <f>IF(ISERROR(VLOOKUP(C3,Pricelist!BB:BB,1,0)),"","x")</f>
        <v>x</v>
      </c>
      <c r="E3" s="96" t="s">
        <v>230</v>
      </c>
      <c r="F3" t="s">
        <v>13</v>
      </c>
      <c r="G3" t="str">
        <f t="shared" si="0"/>
        <v>CYBEX GOLD</v>
      </c>
      <c r="I3" t="e">
        <f>IF(C3="",ADDRESS(ROW(E3),COLUMN(E3),2),#REF!)</f>
        <v>#REF!</v>
      </c>
      <c r="J3">
        <v>1</v>
      </c>
      <c r="K3">
        <f>(SUMIF(I:I,I3,J:J))</f>
        <v>4</v>
      </c>
      <c r="L3" t="str">
        <f>IF(_xlfn.IFNA(VLOOKUP(ADDRESS(ROW(E3),COLUMN(E3),2),I:K,3,0),"")="","",IF(_xlfn.IFNA(VLOOKUP(ADDRESS(ROW(E3),COLUMN(E3),2),I:K,3,0),"")&gt;0,"x",""))</f>
        <v/>
      </c>
      <c r="N3" t="s">
        <v>231</v>
      </c>
    </row>
    <row r="4" spans="1:14">
      <c r="A4" s="94" t="s">
        <v>233</v>
      </c>
      <c r="B4" s="91" t="s">
        <v>17</v>
      </c>
      <c r="C4" s="95" t="s">
        <v>18</v>
      </c>
      <c r="D4" s="92" t="str">
        <f>IF(ISERROR(VLOOKUP(C4,Pricelist!BB:BB,1,0)),"","x")</f>
        <v>x</v>
      </c>
      <c r="E4" s="96" t="s">
        <v>230</v>
      </c>
      <c r="F4" t="s">
        <v>16</v>
      </c>
      <c r="G4" t="str">
        <f t="shared" si="0"/>
        <v>CYBEX SPORT</v>
      </c>
      <c r="I4" t="e">
        <f t="shared" ref="I4" si="1">IF(C4="",ADDRESS(ROW(E4),COLUMN(E4),2),I3)</f>
        <v>#REF!</v>
      </c>
      <c r="J4">
        <v>1</v>
      </c>
      <c r="K4">
        <f>(SUMIF(I:I,I4,J:J))</f>
        <v>4</v>
      </c>
      <c r="L4" t="str">
        <f>IF(_xlfn.IFNA(VLOOKUP(ADDRESS(ROW(E4),COLUMN(E4),2),I:K,3,0),"")="","",IF(_xlfn.IFNA(VLOOKUP(ADDRESS(ROW(E4),COLUMN(E4),2),I:K,3,0),"")&gt;0,"x",""))</f>
        <v/>
      </c>
      <c r="N4" t="s">
        <v>231</v>
      </c>
    </row>
    <row r="5" spans="1:14">
      <c r="A5" s="94" t="s">
        <v>234</v>
      </c>
      <c r="B5" s="91" t="s">
        <v>23</v>
      </c>
      <c r="C5" s="95" t="s">
        <v>235</v>
      </c>
      <c r="D5" s="92" t="str">
        <f>IF(ISERROR(VLOOKUP(C5,Pricelist!BB:BB,1,0)),"","x")</f>
        <v>x</v>
      </c>
      <c r="E5" s="96" t="s">
        <v>230</v>
      </c>
      <c r="F5" t="s">
        <v>22</v>
      </c>
      <c r="G5" t="str">
        <f t="shared" si="0"/>
        <v>CYBEX SILVER</v>
      </c>
      <c r="I5" t="e">
        <f>IF(C5="",ADDRESS(ROW(E5),COLUMN(E5),2),#REF!)</f>
        <v>#REF!</v>
      </c>
      <c r="J5">
        <v>1</v>
      </c>
      <c r="K5">
        <f>(SUMIF(I:I,I5,J:J))</f>
        <v>4</v>
      </c>
      <c r="L5" t="str">
        <f>IF(_xlfn.IFNA(VLOOKUP(ADDRESS(ROW(E5),COLUMN(E5),2),I:K,3,0),"")="","",IF(_xlfn.IFNA(VLOOKUP(ADDRESS(ROW(E5),COLUMN(E5),2),I:K,3,0),"")&gt;0,"x",""))</f>
        <v/>
      </c>
      <c r="N5" t="s">
        <v>231</v>
      </c>
    </row>
  </sheetData>
  <autoFilter ref="A1:D5" xr:uid="{1A522DF7-C452-409F-A78E-3326338F5F5D}"/>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E28F-FF49-4637-86E3-BB1D8E260CAA}">
  <sheetPr codeName="Tabelle26">
    <tabColor theme="0" tint="-0.499984740745262"/>
  </sheetPr>
  <dimension ref="S2:S874"/>
  <sheetViews>
    <sheetView topLeftCell="K1" zoomScaleNormal="100" workbookViewId="0"/>
  </sheetViews>
  <sheetFormatPr baseColWidth="10" defaultColWidth="11.5546875" defaultRowHeight="14.4"/>
  <cols>
    <col min="19" max="19" width="99.33203125" style="27" customWidth="1"/>
  </cols>
  <sheetData>
    <row r="2" spans="19:19" ht="25.8">
      <c r="S2" s="39" t="s">
        <v>236</v>
      </c>
    </row>
    <row r="5" spans="19:19">
      <c r="S5" s="58" t="s">
        <v>237</v>
      </c>
    </row>
    <row r="6" spans="19:19">
      <c r="S6" s="58" t="s">
        <v>238</v>
      </c>
    </row>
    <row r="7" spans="19:19">
      <c r="S7" s="75" t="s">
        <v>239</v>
      </c>
    </row>
    <row r="8" spans="19:19">
      <c r="S8" s="75" t="s">
        <v>240</v>
      </c>
    </row>
    <row r="11" spans="19:19">
      <c r="S11" s="58"/>
    </row>
    <row r="16" spans="19:19">
      <c r="S16" s="58"/>
    </row>
    <row r="24" spans="19:19">
      <c r="S24" s="58"/>
    </row>
    <row r="28" spans="19:19">
      <c r="S28" s="58"/>
    </row>
    <row r="36" spans="19:19">
      <c r="S36" s="58"/>
    </row>
    <row r="40" spans="19:19">
      <c r="S40" s="58"/>
    </row>
    <row r="45" spans="19:19">
      <c r="S45" s="58"/>
    </row>
    <row r="53" spans="19:19">
      <c r="S53" s="58"/>
    </row>
    <row r="57" spans="19:19">
      <c r="S57" s="58"/>
    </row>
    <row r="65" spans="19:19">
      <c r="S65" s="58"/>
    </row>
    <row r="69" spans="19:19">
      <c r="S69" s="58"/>
    </row>
    <row r="77" spans="19:19">
      <c r="S77" s="57"/>
    </row>
    <row r="78" spans="19:19">
      <c r="S78" s="58"/>
    </row>
    <row r="86" spans="19:19">
      <c r="S86" s="58"/>
    </row>
    <row r="94" spans="19:19">
      <c r="S94" s="58"/>
    </row>
    <row r="102" spans="19:19">
      <c r="S102" s="58"/>
    </row>
    <row r="106" spans="19:19">
      <c r="S106" s="57"/>
    </row>
    <row r="117" spans="19:19">
      <c r="S117" s="58"/>
    </row>
    <row r="132" spans="19:19">
      <c r="S132" s="58"/>
    </row>
    <row r="133" spans="19:19">
      <c r="S133" s="58"/>
    </row>
    <row r="139" spans="19:19">
      <c r="S139" s="58"/>
    </row>
    <row r="145" spans="19:19">
      <c r="S145" s="58"/>
    </row>
    <row r="147" spans="19:19">
      <c r="S147" s="58"/>
    </row>
    <row r="149" spans="19:19">
      <c r="S149" s="58"/>
    </row>
    <row r="150" spans="19:19">
      <c r="S150" s="58"/>
    </row>
    <row r="156" spans="19:19">
      <c r="S156" s="58"/>
    </row>
    <row r="164" spans="19:19">
      <c r="S164" s="58"/>
    </row>
    <row r="167" spans="19:19">
      <c r="S167" s="58"/>
    </row>
    <row r="168" spans="19:19">
      <c r="S168" s="58"/>
    </row>
    <row r="172" spans="19:19">
      <c r="S172" s="58"/>
    </row>
    <row r="180" spans="19:19">
      <c r="S180" s="58"/>
    </row>
    <row r="184" spans="19:19">
      <c r="S184" s="58"/>
    </row>
    <row r="192" spans="19:19">
      <c r="S192" s="58"/>
    </row>
    <row r="200" spans="19:19">
      <c r="S200" s="58"/>
    </row>
    <row r="201" spans="19:19">
      <c r="S201" s="58"/>
    </row>
    <row r="205" spans="19:19">
      <c r="S205" s="58"/>
    </row>
    <row r="213" spans="19:19">
      <c r="S213" s="58"/>
    </row>
    <row r="214" spans="19:19">
      <c r="S214" s="58"/>
    </row>
    <row r="218" spans="19:19">
      <c r="S218" s="58"/>
    </row>
    <row r="229" spans="19:19">
      <c r="S229" s="58"/>
    </row>
    <row r="250" spans="19:19">
      <c r="S250" s="58"/>
    </row>
    <row r="251" spans="19:19">
      <c r="S251" s="58"/>
    </row>
    <row r="252" spans="19:19">
      <c r="S252" s="58"/>
    </row>
    <row r="262" spans="19:19">
      <c r="S262" s="58"/>
    </row>
    <row r="263" spans="19:19">
      <c r="S263" s="58"/>
    </row>
    <row r="273" spans="19:19">
      <c r="S273" s="58"/>
    </row>
    <row r="274" spans="19:19">
      <c r="S274" s="58"/>
    </row>
    <row r="285" spans="19:19">
      <c r="S285" s="58"/>
    </row>
    <row r="286" spans="19:19">
      <c r="S286" s="58"/>
    </row>
    <row r="297" spans="19:19">
      <c r="S297" s="58"/>
    </row>
    <row r="298" spans="19:19">
      <c r="S298" s="58"/>
    </row>
    <row r="299" spans="19:19">
      <c r="S299" s="58"/>
    </row>
    <row r="309" spans="19:19">
      <c r="S309" s="58"/>
    </row>
    <row r="310" spans="19:19">
      <c r="S310" s="58"/>
    </row>
    <row r="320" spans="19:19">
      <c r="S320" s="58"/>
    </row>
    <row r="330" spans="19:19">
      <c r="S330" s="58"/>
    </row>
    <row r="340" spans="19:19">
      <c r="S340" s="58"/>
    </row>
    <row r="341" spans="19:19">
      <c r="S341" s="58"/>
    </row>
    <row r="352" spans="19:19">
      <c r="S352" s="58"/>
    </row>
    <row r="362" spans="19:19">
      <c r="S362" s="58"/>
    </row>
    <row r="363" spans="19:19">
      <c r="S363" s="58"/>
    </row>
    <row r="375" spans="19:19">
      <c r="S375" s="58"/>
    </row>
    <row r="376" spans="19:19">
      <c r="S376" s="58"/>
    </row>
    <row r="377" spans="19:19">
      <c r="S377" s="58"/>
    </row>
    <row r="384" spans="19:19">
      <c r="S384" s="58"/>
    </row>
    <row r="391" spans="19:19">
      <c r="S391" s="58"/>
    </row>
    <row r="398" spans="19:19">
      <c r="S398" s="58"/>
    </row>
    <row r="405" spans="19:19">
      <c r="S405" s="58"/>
    </row>
    <row r="412" spans="19:19">
      <c r="S412" s="58"/>
    </row>
    <row r="419" spans="19:19">
      <c r="S419" s="58"/>
    </row>
    <row r="424" spans="19:19">
      <c r="S424" s="58"/>
    </row>
    <row r="429" spans="19:19">
      <c r="S429" s="58"/>
    </row>
    <row r="434" spans="19:19">
      <c r="S434" s="58"/>
    </row>
    <row r="439" spans="19:19">
      <c r="S439" s="58"/>
    </row>
    <row r="444" spans="19:19">
      <c r="S444" s="58"/>
    </row>
    <row r="451" spans="19:19">
      <c r="S451" s="58"/>
    </row>
    <row r="453" spans="19:19">
      <c r="S453" s="58"/>
    </row>
    <row r="460" spans="19:19">
      <c r="S460" s="58"/>
    </row>
    <row r="463" spans="19:19">
      <c r="S463" s="58"/>
    </row>
    <row r="466" spans="19:19">
      <c r="S466" s="58"/>
    </row>
    <row r="473" spans="19:19">
      <c r="S473" s="58"/>
    </row>
    <row r="487" spans="19:19">
      <c r="S487" s="58"/>
    </row>
    <row r="494" spans="19:19">
      <c r="S494" s="58"/>
    </row>
    <row r="501" spans="19:19">
      <c r="S501" s="58"/>
    </row>
    <row r="508" spans="19:19">
      <c r="S508" s="58"/>
    </row>
    <row r="515" spans="19:19">
      <c r="S515" s="58"/>
    </row>
    <row r="522" spans="19:19">
      <c r="S522" s="58"/>
    </row>
    <row r="529" spans="19:19">
      <c r="S529" s="58"/>
    </row>
    <row r="536" spans="19:19">
      <c r="S536" s="58"/>
    </row>
    <row r="543" spans="19:19">
      <c r="S543" s="58"/>
    </row>
    <row r="544" spans="19:19">
      <c r="S544" s="58"/>
    </row>
    <row r="551" spans="19:19">
      <c r="S551" s="58"/>
    </row>
    <row r="562" spans="19:19">
      <c r="S562" s="58"/>
    </row>
    <row r="592" spans="19:19">
      <c r="S592" s="58"/>
    </row>
    <row r="593" spans="19:19">
      <c r="S593" s="58"/>
    </row>
    <row r="597" spans="19:19">
      <c r="S597" s="58"/>
    </row>
    <row r="601" spans="19:19">
      <c r="S601" s="58"/>
    </row>
    <row r="605" spans="19:19">
      <c r="S605" s="58"/>
    </row>
    <row r="606" spans="19:19">
      <c r="S606" s="58"/>
    </row>
    <row r="615" spans="19:19">
      <c r="S615" s="58"/>
    </row>
    <row r="624" spans="19:19">
      <c r="S624" s="58"/>
    </row>
    <row r="633" spans="19:19">
      <c r="S633" s="58"/>
    </row>
    <row r="634" spans="19:19">
      <c r="S634" s="58"/>
    </row>
    <row r="643" spans="19:19">
      <c r="S643" s="58"/>
    </row>
    <row r="652" spans="19:19">
      <c r="S652" s="58"/>
    </row>
    <row r="661" spans="19:19">
      <c r="S661" s="58"/>
    </row>
    <row r="670" spans="19:19">
      <c r="S670" s="58"/>
    </row>
    <row r="673" spans="19:19">
      <c r="S673" s="58"/>
    </row>
    <row r="674" spans="19:19">
      <c r="S674" s="58"/>
    </row>
    <row r="683" spans="19:19">
      <c r="S683" s="58"/>
    </row>
    <row r="692" spans="19:19">
      <c r="S692" s="58"/>
    </row>
    <row r="693" spans="19:19">
      <c r="S693" s="58"/>
    </row>
    <row r="702" spans="19:19">
      <c r="S702" s="58"/>
    </row>
    <row r="711" spans="19:19">
      <c r="S711" s="58"/>
    </row>
    <row r="712" spans="19:19">
      <c r="S712" s="58"/>
    </row>
    <row r="723" spans="19:19">
      <c r="S723" s="58"/>
    </row>
    <row r="749" spans="19:19">
      <c r="S749" s="58"/>
    </row>
    <row r="750" spans="19:19">
      <c r="S750" s="58"/>
    </row>
    <row r="757" spans="19:19">
      <c r="S757" s="58"/>
    </row>
    <row r="764" spans="19:19">
      <c r="S764" s="58"/>
    </row>
    <row r="771" spans="19:19">
      <c r="S771" s="58"/>
    </row>
    <row r="777" spans="19:19">
      <c r="S777" s="58"/>
    </row>
    <row r="778" spans="19:19">
      <c r="S778" s="58"/>
    </row>
    <row r="791" spans="19:19">
      <c r="S791" s="58"/>
    </row>
    <row r="792" spans="19:19">
      <c r="S792" s="58"/>
    </row>
    <row r="793" spans="19:19">
      <c r="S793" s="58"/>
    </row>
    <row r="797" spans="19:19">
      <c r="S797" s="58"/>
    </row>
    <row r="803" spans="19:19">
      <c r="S803" s="58"/>
    </row>
    <row r="805" spans="19:19">
      <c r="S805" s="58"/>
    </row>
    <row r="809" spans="19:19">
      <c r="S809" s="58"/>
    </row>
    <row r="815" spans="19:19">
      <c r="S815" s="58"/>
    </row>
    <row r="817" spans="19:19">
      <c r="S817" s="58"/>
    </row>
    <row r="820" spans="19:19">
      <c r="S820" s="58"/>
    </row>
    <row r="822" spans="19:19">
      <c r="S822" s="58"/>
    </row>
    <row r="823" spans="19:19">
      <c r="S823" s="58"/>
    </row>
    <row r="825" spans="19:19">
      <c r="S825" s="58"/>
    </row>
    <row r="827" spans="19:19">
      <c r="S827" s="58"/>
    </row>
    <row r="828" spans="19:19">
      <c r="S828" s="58"/>
    </row>
    <row r="830" spans="19:19">
      <c r="S830" s="58"/>
    </row>
    <row r="832" spans="19:19">
      <c r="S832" s="58"/>
    </row>
    <row r="833" spans="19:19">
      <c r="S833" s="58"/>
    </row>
    <row r="847" spans="19:19">
      <c r="S847" s="58"/>
    </row>
    <row r="848" spans="19:19">
      <c r="S848" s="58"/>
    </row>
    <row r="849" spans="19:19">
      <c r="S849" s="58"/>
    </row>
    <row r="854" spans="19:19">
      <c r="S854" s="58"/>
    </row>
    <row r="859" spans="19:19">
      <c r="S859" s="58"/>
    </row>
    <row r="864" spans="19:19">
      <c r="S864" s="58"/>
    </row>
    <row r="865" spans="19:19">
      <c r="S865" s="58"/>
    </row>
    <row r="867" spans="19:19">
      <c r="S867" s="58"/>
    </row>
    <row r="868" spans="19:19">
      <c r="S868" s="58"/>
    </row>
    <row r="874" spans="19:19">
      <c r="S874" s="58"/>
    </row>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C42A2-1E50-4FF5-BEE5-62E3C10CB35D}">
  <sheetPr codeName="Tabelle3">
    <pageSetUpPr fitToPage="1"/>
  </sheetPr>
  <dimension ref="A1:CD775"/>
  <sheetViews>
    <sheetView showGridLines="0" tabSelected="1" topLeftCell="H1" zoomScaleNormal="100" zoomScaleSheetLayoutView="85" zoomScalePageLayoutView="85" workbookViewId="0">
      <selection activeCell="S5" sqref="S5"/>
    </sheetView>
  </sheetViews>
  <sheetFormatPr baseColWidth="10" defaultColWidth="10.44140625" defaultRowHeight="13.8" outlineLevelRow="1" outlineLevelCol="1"/>
  <cols>
    <col min="1" max="1" width="6.6640625" style="19" hidden="1" customWidth="1" outlineLevel="1"/>
    <col min="2" max="3" width="11.33203125" style="19" hidden="1" customWidth="1" outlineLevel="1"/>
    <col min="4" max="4" width="27" style="19" hidden="1" customWidth="1" outlineLevel="1"/>
    <col min="5" max="5" width="33.5546875" style="19" hidden="1" customWidth="1" outlineLevel="1"/>
    <col min="6" max="6" width="34.109375" style="19" hidden="1" customWidth="1" outlineLevel="1"/>
    <col min="7" max="7" width="46.33203125" style="19" hidden="1" customWidth="1" outlineLevel="1"/>
    <col min="8" max="8" width="64.5546875" style="83" customWidth="1" collapsed="1"/>
    <col min="9" max="9" width="24.109375" style="84" hidden="1" customWidth="1" outlineLevel="1"/>
    <col min="10" max="10" width="10.5546875" style="84" hidden="1" customWidth="1" outlineLevel="1"/>
    <col min="11" max="11" width="5.88671875" style="85" customWidth="1" collapsed="1"/>
    <col min="12" max="12" width="14.6640625" style="86" customWidth="1"/>
    <col min="13" max="13" width="19.109375" style="86" customWidth="1"/>
    <col min="14" max="14" width="10.6640625" style="87" customWidth="1"/>
    <col min="15" max="15" width="4.88671875" style="88" bestFit="1" customWidth="1"/>
    <col min="16" max="16" width="10.6640625" style="87" customWidth="1"/>
    <col min="17" max="17" width="4.88671875" style="89" bestFit="1" customWidth="1"/>
    <col min="18" max="18" width="5.6640625" style="27" customWidth="1"/>
    <col min="19" max="19" width="99.33203125" style="27" customWidth="1"/>
    <col min="20" max="22" width="8.6640625" style="28" hidden="1" customWidth="1" outlineLevel="1"/>
    <col min="23" max="23" width="20.5546875" style="28" hidden="1" customWidth="1" outlineLevel="1"/>
    <col min="24" max="24" width="16.88671875" style="28" hidden="1" customWidth="1" outlineLevel="1"/>
    <col min="25" max="25" width="9.5546875" style="27" hidden="1" customWidth="1" outlineLevel="1"/>
    <col min="26" max="26" width="5.33203125" style="29" hidden="1" customWidth="1" outlineLevel="1"/>
    <col min="27" max="27" width="20.5546875" style="28" hidden="1" customWidth="1" outlineLevel="1"/>
    <col min="28" max="28" width="16.88671875" style="28" hidden="1" customWidth="1" outlineLevel="1"/>
    <col min="29" max="29" width="7.5546875" style="27" hidden="1" customWidth="1" outlineLevel="1"/>
    <col min="30" max="30" width="5.33203125" style="29" hidden="1" customWidth="1" outlineLevel="1"/>
    <col min="31" max="31" width="6.6640625" style="30" hidden="1" customWidth="1" outlineLevel="1"/>
    <col min="32" max="32" width="8.88671875" style="30" hidden="1" customWidth="1" outlineLevel="1"/>
    <col min="33" max="33" width="6.6640625" style="30" hidden="1" customWidth="1" outlineLevel="1"/>
    <col min="34" max="34" width="5.33203125" style="29" hidden="1" customWidth="1" outlineLevel="1"/>
    <col min="35" max="35" width="10.44140625" style="27" hidden="1" customWidth="1" outlineLevel="1"/>
    <col min="36" max="36" width="5.33203125" style="29" hidden="1" customWidth="1" outlineLevel="1"/>
    <col min="37" max="37" width="11.88671875" style="27" hidden="1" customWidth="1" outlineLevel="1"/>
    <col min="38" max="51" width="10.44140625" style="27" hidden="1" customWidth="1" outlineLevel="1"/>
    <col min="52" max="52" width="10.44140625" style="27" customWidth="1" collapsed="1"/>
    <col min="53" max="53" width="20.5546875" style="29" hidden="1" customWidth="1" outlineLevel="1"/>
    <col min="54" max="54" width="13.44140625" style="29" hidden="1" customWidth="1" outlineLevel="1"/>
    <col min="55" max="55" width="54.88671875" style="29" hidden="1" customWidth="1" outlineLevel="1"/>
    <col min="56" max="56" width="82.6640625" style="29" hidden="1" customWidth="1" outlineLevel="1"/>
    <col min="57" max="57" width="10.44140625" style="27" collapsed="1"/>
    <col min="58" max="16384" width="10.44140625" style="27"/>
  </cols>
  <sheetData>
    <row r="1" spans="1:82">
      <c r="F1" s="19" t="s">
        <v>109</v>
      </c>
      <c r="G1" s="19" t="s">
        <v>241</v>
      </c>
      <c r="H1" s="20"/>
      <c r="I1" s="21"/>
      <c r="J1" s="21"/>
      <c r="K1" s="22"/>
      <c r="L1" s="23"/>
      <c r="M1" s="23"/>
      <c r="N1" s="24"/>
      <c r="O1" s="25"/>
      <c r="P1" s="24"/>
      <c r="Q1" s="26"/>
      <c r="Y1" s="28"/>
      <c r="AC1" s="28"/>
      <c r="BA1" s="31" t="s">
        <v>242</v>
      </c>
      <c r="BB1" s="32"/>
      <c r="BC1" s="32"/>
      <c r="BD1" s="32"/>
    </row>
    <row r="2" spans="1:82" ht="21" customHeight="1" thickBot="1">
      <c r="A2" s="33" t="s">
        <v>243</v>
      </c>
      <c r="B2" s="33" t="s">
        <v>244</v>
      </c>
      <c r="C2" s="33" t="s">
        <v>245</v>
      </c>
      <c r="D2" s="33" t="s">
        <v>246</v>
      </c>
      <c r="E2" s="33" t="s">
        <v>247</v>
      </c>
      <c r="F2" s="33" t="s">
        <v>248</v>
      </c>
      <c r="G2" s="33" t="s">
        <v>249</v>
      </c>
      <c r="H2" s="34" t="s">
        <v>250</v>
      </c>
      <c r="I2" s="34" t="s">
        <v>251</v>
      </c>
      <c r="J2" s="34" t="s">
        <v>252</v>
      </c>
      <c r="K2" s="35" t="s">
        <v>253</v>
      </c>
      <c r="L2" s="34" t="s">
        <v>254</v>
      </c>
      <c r="M2" s="34" t="s">
        <v>255</v>
      </c>
      <c r="N2" s="36" t="s">
        <v>256</v>
      </c>
      <c r="O2" s="37"/>
      <c r="P2" s="36" t="s">
        <v>257</v>
      </c>
      <c r="Q2" s="38"/>
      <c r="S2" s="39" t="s">
        <v>236</v>
      </c>
      <c r="U2"/>
      <c r="W2" s="104" t="s">
        <v>258</v>
      </c>
      <c r="X2" s="104"/>
      <c r="Y2" s="104"/>
      <c r="AA2" s="104" t="s">
        <v>259</v>
      </c>
      <c r="AB2" s="104"/>
      <c r="AC2" s="104"/>
      <c r="AE2" s="105" t="s">
        <v>260</v>
      </c>
      <c r="AF2" s="105"/>
      <c r="AG2" s="105"/>
      <c r="AI2" s="40" t="s">
        <v>261</v>
      </c>
      <c r="AK2" s="40" t="s">
        <v>262</v>
      </c>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row>
    <row r="3" spans="1:82" ht="6" customHeight="1" thickTop="1">
      <c r="H3" s="42"/>
      <c r="I3" s="43"/>
      <c r="J3" s="43"/>
      <c r="K3" s="44"/>
      <c r="L3" s="45"/>
      <c r="M3" s="45"/>
      <c r="N3" s="46"/>
      <c r="O3" s="47"/>
      <c r="P3" s="46"/>
      <c r="Q3" s="48"/>
      <c r="Y3" s="28"/>
      <c r="AC3" s="28"/>
      <c r="BA3" s="41"/>
      <c r="BB3" s="41"/>
      <c r="BC3" s="41"/>
      <c r="BD3" s="41"/>
    </row>
    <row r="4" spans="1:82" s="57" customFormat="1" ht="27" customHeight="1" outlineLevel="1">
      <c r="A4" s="49">
        <v>-1</v>
      </c>
      <c r="B4" s="49" t="s">
        <v>219</v>
      </c>
      <c r="C4" s="49" t="s">
        <v>219</v>
      </c>
      <c r="D4" s="50" t="s">
        <v>4</v>
      </c>
      <c r="E4" s="51"/>
      <c r="F4" s="51"/>
      <c r="G4" s="19"/>
      <c r="H4" s="52" t="s">
        <v>229</v>
      </c>
      <c r="I4" s="20"/>
      <c r="J4" s="20"/>
      <c r="K4" s="53"/>
      <c r="L4" s="20"/>
      <c r="M4" s="20"/>
      <c r="N4" s="54"/>
      <c r="O4" s="55"/>
      <c r="P4" s="54"/>
      <c r="Q4" s="56"/>
      <c r="S4" s="58"/>
      <c r="T4" s="51"/>
      <c r="U4" s="59"/>
      <c r="V4" s="60"/>
      <c r="W4" s="61" t="s">
        <v>263</v>
      </c>
      <c r="X4" s="62" t="s">
        <v>264</v>
      </c>
      <c r="Y4" s="62"/>
      <c r="Z4" s="41"/>
      <c r="AA4" s="61" t="s">
        <v>265</v>
      </c>
      <c r="AB4" s="62" t="s">
        <v>266</v>
      </c>
      <c r="AC4" s="62"/>
      <c r="AD4" s="41"/>
      <c r="AE4" s="63" t="s">
        <v>267</v>
      </c>
      <c r="AF4" s="63">
        <v>0</v>
      </c>
      <c r="AG4" s="63" t="s">
        <v>219</v>
      </c>
      <c r="AH4" s="41"/>
      <c r="AI4" s="63" t="s">
        <v>268</v>
      </c>
      <c r="AJ4" s="41"/>
      <c r="BA4" s="41" t="s">
        <v>230</v>
      </c>
      <c r="BB4" s="41" t="s">
        <v>6</v>
      </c>
      <c r="BC4" s="41" t="s">
        <v>229</v>
      </c>
      <c r="BD4" s="41" t="s">
        <v>229</v>
      </c>
    </row>
    <row r="5" spans="1:82" s="57" customFormat="1" ht="27" customHeight="1" outlineLevel="1">
      <c r="A5" s="49">
        <v>0</v>
      </c>
      <c r="B5" s="19" t="s">
        <v>219</v>
      </c>
      <c r="C5" s="19" t="s">
        <v>219</v>
      </c>
      <c r="D5" s="50" t="s">
        <v>269</v>
      </c>
      <c r="E5" s="51"/>
      <c r="F5" s="51"/>
      <c r="G5" s="51"/>
      <c r="H5" s="52" t="s">
        <v>269</v>
      </c>
      <c r="I5" s="64"/>
      <c r="J5" s="65"/>
      <c r="K5" s="53"/>
      <c r="L5" s="20"/>
      <c r="M5" s="20"/>
      <c r="N5" s="54"/>
      <c r="O5" s="56"/>
      <c r="P5" s="54"/>
      <c r="Q5" s="56"/>
      <c r="S5" s="58" t="s">
        <v>237</v>
      </c>
      <c r="T5" s="51" t="s">
        <v>214</v>
      </c>
      <c r="U5" s="51"/>
      <c r="V5" s="51"/>
      <c r="W5" s="66" t="s">
        <v>270</v>
      </c>
      <c r="X5" s="67" t="s">
        <v>219</v>
      </c>
      <c r="Y5" s="68"/>
      <c r="Z5" s="41"/>
      <c r="AA5" s="66"/>
      <c r="AB5" s="68" t="s">
        <v>219</v>
      </c>
      <c r="AC5" s="68"/>
      <c r="AD5" s="41"/>
      <c r="AE5" s="63" t="s">
        <v>230</v>
      </c>
      <c r="AF5" s="63">
        <v>1</v>
      </c>
      <c r="AG5" s="63" t="s">
        <v>219</v>
      </c>
      <c r="AH5" s="41"/>
      <c r="AI5" s="63" t="s">
        <v>203</v>
      </c>
      <c r="AJ5" s="41"/>
      <c r="AK5" s="67" t="s">
        <v>219</v>
      </c>
      <c r="BA5" s="41" t="s">
        <v>230</v>
      </c>
      <c r="BB5" s="41" t="s">
        <v>6</v>
      </c>
      <c r="BC5" s="41" t="s">
        <v>229</v>
      </c>
      <c r="BD5" s="41" t="s">
        <v>271</v>
      </c>
    </row>
    <row r="6" spans="1:82" ht="18" customHeight="1" outlineLevel="1">
      <c r="A6" s="19">
        <v>1</v>
      </c>
      <c r="B6" s="19">
        <v>521002325</v>
      </c>
      <c r="C6" s="19">
        <v>521002325</v>
      </c>
      <c r="D6" s="50" t="s">
        <v>4</v>
      </c>
      <c r="E6" s="19" t="s">
        <v>272</v>
      </c>
      <c r="F6" s="19" t="s">
        <v>273</v>
      </c>
      <c r="G6" s="19" t="s">
        <v>274</v>
      </c>
      <c r="H6" s="69" t="s">
        <v>275</v>
      </c>
      <c r="I6" s="70" t="s">
        <v>276</v>
      </c>
      <c r="J6" s="70" t="s">
        <v>277</v>
      </c>
      <c r="K6" s="71">
        <v>1</v>
      </c>
      <c r="L6" s="72">
        <v>521002325</v>
      </c>
      <c r="M6" s="72" t="s">
        <v>278</v>
      </c>
      <c r="N6" s="73">
        <v>521.5</v>
      </c>
      <c r="O6" s="74" t="s">
        <v>279</v>
      </c>
      <c r="P6" s="73">
        <v>849.95</v>
      </c>
      <c r="Q6" s="74" t="s">
        <v>279</v>
      </c>
      <c r="S6" s="75" t="s">
        <v>238</v>
      </c>
      <c r="T6" s="28" t="s">
        <v>214</v>
      </c>
      <c r="U6"/>
      <c r="W6" s="76" t="s">
        <v>280</v>
      </c>
      <c r="X6" s="77">
        <v>521.5</v>
      </c>
      <c r="Y6" s="78">
        <v>0</v>
      </c>
      <c r="AA6" s="79">
        <v>521.5</v>
      </c>
      <c r="AB6" s="79">
        <v>521.5</v>
      </c>
      <c r="AC6" s="78">
        <v>0</v>
      </c>
      <c r="AE6" s="63" t="s">
        <v>219</v>
      </c>
      <c r="AF6" s="63">
        <v>1</v>
      </c>
      <c r="AG6" s="63">
        <v>1</v>
      </c>
      <c r="AK6" s="77">
        <v>0</v>
      </c>
      <c r="BA6" s="41" t="s">
        <v>230</v>
      </c>
      <c r="BB6" s="41" t="s">
        <v>6</v>
      </c>
      <c r="BC6" s="41" t="s">
        <v>229</v>
      </c>
      <c r="BD6" s="41" t="s">
        <v>271</v>
      </c>
    </row>
    <row r="7" spans="1:82" ht="18" customHeight="1" outlineLevel="1">
      <c r="A7" s="19">
        <v>2</v>
      </c>
      <c r="B7" s="19">
        <v>521002319</v>
      </c>
      <c r="C7" s="19">
        <v>521002319</v>
      </c>
      <c r="D7" s="50" t="s">
        <v>4</v>
      </c>
      <c r="E7" s="19" t="s">
        <v>272</v>
      </c>
      <c r="F7" s="19" t="s">
        <v>281</v>
      </c>
      <c r="G7" s="19" t="s">
        <v>274</v>
      </c>
      <c r="H7" s="69" t="s">
        <v>282</v>
      </c>
      <c r="I7" s="70" t="s">
        <v>283</v>
      </c>
      <c r="J7" s="70" t="s">
        <v>277</v>
      </c>
      <c r="K7" s="71">
        <v>1</v>
      </c>
      <c r="L7" s="72">
        <v>521002319</v>
      </c>
      <c r="M7" s="72" t="s">
        <v>284</v>
      </c>
      <c r="N7" s="73">
        <v>521.5</v>
      </c>
      <c r="O7" s="74" t="s">
        <v>279</v>
      </c>
      <c r="P7" s="73">
        <v>849.95</v>
      </c>
      <c r="Q7" s="80" t="s">
        <v>279</v>
      </c>
      <c r="S7" s="75" t="s">
        <v>239</v>
      </c>
      <c r="W7" s="76" t="s">
        <v>285</v>
      </c>
      <c r="X7" s="77">
        <v>521.5</v>
      </c>
      <c r="Y7" s="78">
        <v>0</v>
      </c>
      <c r="AA7" s="79">
        <v>521.5</v>
      </c>
      <c r="AB7" s="79">
        <v>521.5</v>
      </c>
      <c r="AC7" s="78">
        <v>0</v>
      </c>
      <c r="AE7" s="63" t="s">
        <v>219</v>
      </c>
      <c r="AF7" s="63">
        <v>1</v>
      </c>
      <c r="AG7" s="63">
        <v>1</v>
      </c>
      <c r="AK7" s="77">
        <v>0</v>
      </c>
      <c r="BA7" s="41" t="s">
        <v>230</v>
      </c>
      <c r="BB7" s="41" t="s">
        <v>6</v>
      </c>
      <c r="BC7" s="41" t="s">
        <v>229</v>
      </c>
      <c r="BD7" s="41" t="s">
        <v>271</v>
      </c>
    </row>
    <row r="8" spans="1:82" ht="18" customHeight="1" outlineLevel="1">
      <c r="A8" s="19">
        <v>3</v>
      </c>
      <c r="B8" s="19">
        <v>521002331</v>
      </c>
      <c r="C8" s="19">
        <v>521002331</v>
      </c>
      <c r="D8" s="50" t="s">
        <v>4</v>
      </c>
      <c r="E8" s="19" t="s">
        <v>272</v>
      </c>
      <c r="F8" s="19" t="s">
        <v>286</v>
      </c>
      <c r="G8" s="19" t="s">
        <v>274</v>
      </c>
      <c r="H8" s="69" t="s">
        <v>287</v>
      </c>
      <c r="I8" s="70" t="s">
        <v>288</v>
      </c>
      <c r="J8" s="70" t="s">
        <v>289</v>
      </c>
      <c r="K8" s="71">
        <v>1</v>
      </c>
      <c r="L8" s="72">
        <v>521002331</v>
      </c>
      <c r="M8" s="72" t="s">
        <v>290</v>
      </c>
      <c r="N8" s="73">
        <v>521.5</v>
      </c>
      <c r="O8" s="74" t="s">
        <v>279</v>
      </c>
      <c r="P8" s="73">
        <v>849.95</v>
      </c>
      <c r="Q8" s="80" t="s">
        <v>279</v>
      </c>
      <c r="S8" s="27" t="s">
        <v>240</v>
      </c>
      <c r="W8" s="76" t="s">
        <v>291</v>
      </c>
      <c r="X8" s="77">
        <v>521.5</v>
      </c>
      <c r="Y8" s="78">
        <v>0</v>
      </c>
      <c r="AA8" s="79">
        <v>521.5</v>
      </c>
      <c r="AB8" s="79">
        <v>521.5</v>
      </c>
      <c r="AC8" s="78">
        <v>0</v>
      </c>
      <c r="AE8" s="63" t="s">
        <v>219</v>
      </c>
      <c r="AF8" s="63">
        <v>1</v>
      </c>
      <c r="AG8" s="63">
        <v>1</v>
      </c>
      <c r="AK8" s="77">
        <v>0</v>
      </c>
      <c r="BA8" s="41" t="s">
        <v>230</v>
      </c>
      <c r="BB8" s="41" t="s">
        <v>6</v>
      </c>
      <c r="BC8" s="41" t="s">
        <v>229</v>
      </c>
      <c r="BD8" s="41" t="s">
        <v>271</v>
      </c>
    </row>
    <row r="9" spans="1:82" ht="18" customHeight="1" outlineLevel="1">
      <c r="A9" s="19">
        <v>4</v>
      </c>
      <c r="B9" s="19">
        <v>521002337</v>
      </c>
      <c r="C9" s="19">
        <v>521002337</v>
      </c>
      <c r="D9" s="50" t="s">
        <v>4</v>
      </c>
      <c r="E9" s="19" t="s">
        <v>272</v>
      </c>
      <c r="F9" s="19" t="s">
        <v>292</v>
      </c>
      <c r="G9" s="19" t="s">
        <v>274</v>
      </c>
      <c r="H9" s="69" t="s">
        <v>293</v>
      </c>
      <c r="I9" s="70" t="s">
        <v>294</v>
      </c>
      <c r="J9" s="70" t="s">
        <v>295</v>
      </c>
      <c r="K9" s="71">
        <v>1</v>
      </c>
      <c r="L9" s="72">
        <v>521002337</v>
      </c>
      <c r="M9" s="72" t="s">
        <v>296</v>
      </c>
      <c r="N9" s="73">
        <v>552.20000000000005</v>
      </c>
      <c r="O9" s="74" t="s">
        <v>279</v>
      </c>
      <c r="P9" s="73">
        <v>899.95</v>
      </c>
      <c r="Q9" s="80" t="s">
        <v>279</v>
      </c>
      <c r="W9" s="76" t="s">
        <v>297</v>
      </c>
      <c r="X9" s="77">
        <v>552.20000000000005</v>
      </c>
      <c r="Y9" s="78">
        <v>0</v>
      </c>
      <c r="AA9" s="79">
        <v>552.20000000000005</v>
      </c>
      <c r="AB9" s="79">
        <v>552.20000000000005</v>
      </c>
      <c r="AC9" s="78">
        <v>0</v>
      </c>
      <c r="AE9" s="63" t="s">
        <v>219</v>
      </c>
      <c r="AF9" s="63">
        <v>1</v>
      </c>
      <c r="AG9" s="63">
        <v>1</v>
      </c>
      <c r="AK9" s="77">
        <v>0</v>
      </c>
      <c r="BA9" s="41" t="s">
        <v>230</v>
      </c>
      <c r="BB9" s="41" t="s">
        <v>6</v>
      </c>
      <c r="BC9" s="41" t="s">
        <v>229</v>
      </c>
      <c r="BD9" s="41" t="s">
        <v>271</v>
      </c>
    </row>
    <row r="10" spans="1:82" s="57" customFormat="1" ht="27" customHeight="1" outlineLevel="1">
      <c r="A10" s="49">
        <v>5</v>
      </c>
      <c r="B10" s="19" t="s">
        <v>219</v>
      </c>
      <c r="C10" s="19" t="s">
        <v>219</v>
      </c>
      <c r="D10" s="50" t="s">
        <v>219</v>
      </c>
      <c r="E10" s="19" t="s">
        <v>219</v>
      </c>
      <c r="F10" s="19" t="s">
        <v>219</v>
      </c>
      <c r="G10" s="19" t="s">
        <v>219</v>
      </c>
      <c r="H10" s="52" t="s">
        <v>219</v>
      </c>
      <c r="I10" s="64" t="s">
        <v>219</v>
      </c>
      <c r="J10" s="70" t="s">
        <v>219</v>
      </c>
      <c r="K10" s="53" t="s">
        <v>219</v>
      </c>
      <c r="L10" s="20" t="s">
        <v>219</v>
      </c>
      <c r="M10" s="72" t="s">
        <v>219</v>
      </c>
      <c r="N10" s="54" t="s">
        <v>219</v>
      </c>
      <c r="O10" s="56" t="s">
        <v>219</v>
      </c>
      <c r="P10" s="54" t="s">
        <v>219</v>
      </c>
      <c r="Q10" s="56" t="s">
        <v>219</v>
      </c>
      <c r="R10" s="27"/>
      <c r="S10" s="58"/>
      <c r="T10" s="51"/>
      <c r="U10" s="51"/>
      <c r="V10" s="51"/>
      <c r="W10" s="76" t="s">
        <v>219</v>
      </c>
      <c r="X10" s="77" t="s">
        <v>219</v>
      </c>
      <c r="Y10" s="78">
        <v>0</v>
      </c>
      <c r="Z10" s="29"/>
      <c r="AA10" s="79" t="s">
        <v>219</v>
      </c>
      <c r="AB10" s="79" t="s">
        <v>219</v>
      </c>
      <c r="AC10" s="78">
        <v>0</v>
      </c>
      <c r="AD10" s="29"/>
      <c r="AE10" s="63" t="s">
        <v>230</v>
      </c>
      <c r="AF10" s="63">
        <v>0</v>
      </c>
      <c r="AG10" s="63" t="s">
        <v>219</v>
      </c>
      <c r="AH10" s="29"/>
      <c r="AI10" s="27"/>
      <c r="AJ10" s="29"/>
      <c r="AK10" s="77">
        <v>0</v>
      </c>
      <c r="BA10" s="41" t="s">
        <v>230</v>
      </c>
      <c r="BB10" s="41" t="s">
        <v>6</v>
      </c>
      <c r="BC10" s="41" t="s">
        <v>229</v>
      </c>
      <c r="BD10" s="41" t="s">
        <v>271</v>
      </c>
    </row>
    <row r="11" spans="1:82" ht="18" customHeight="1" outlineLevel="1">
      <c r="A11" s="19">
        <v>6</v>
      </c>
      <c r="B11" s="19">
        <v>521002349</v>
      </c>
      <c r="C11" s="19">
        <v>521002349</v>
      </c>
      <c r="D11" s="50" t="s">
        <v>4</v>
      </c>
      <c r="E11" s="19" t="s">
        <v>298</v>
      </c>
      <c r="F11" s="19" t="s">
        <v>299</v>
      </c>
      <c r="G11" s="19" t="s">
        <v>300</v>
      </c>
      <c r="H11" s="69" t="s">
        <v>301</v>
      </c>
      <c r="I11" s="70" t="s">
        <v>283</v>
      </c>
      <c r="J11" s="70" t="s">
        <v>277</v>
      </c>
      <c r="K11" s="71">
        <v>1</v>
      </c>
      <c r="L11" s="72">
        <v>521002349</v>
      </c>
      <c r="M11" s="72" t="s">
        <v>302</v>
      </c>
      <c r="N11" s="73">
        <v>766.9</v>
      </c>
      <c r="O11" s="74" t="s">
        <v>279</v>
      </c>
      <c r="P11" s="73">
        <v>1249.95</v>
      </c>
      <c r="Q11" s="80" t="s">
        <v>279</v>
      </c>
      <c r="W11" s="76" t="s">
        <v>303</v>
      </c>
      <c r="X11" s="77">
        <v>766.9</v>
      </c>
      <c r="Y11" s="78">
        <v>0</v>
      </c>
      <c r="AA11" s="79">
        <v>766.9</v>
      </c>
      <c r="AB11" s="79">
        <v>766.9</v>
      </c>
      <c r="AC11" s="78">
        <v>0</v>
      </c>
      <c r="AE11" s="63" t="s">
        <v>219</v>
      </c>
      <c r="AF11" s="63">
        <v>0</v>
      </c>
      <c r="AG11" s="63">
        <v>0</v>
      </c>
      <c r="AK11" s="77">
        <v>0</v>
      </c>
      <c r="BA11" s="41" t="s">
        <v>230</v>
      </c>
      <c r="BB11" s="41" t="s">
        <v>6</v>
      </c>
      <c r="BC11" s="41" t="s">
        <v>229</v>
      </c>
      <c r="BD11" s="41" t="s">
        <v>271</v>
      </c>
    </row>
    <row r="12" spans="1:82" ht="18" customHeight="1" outlineLevel="1">
      <c r="A12" s="19">
        <v>7</v>
      </c>
      <c r="B12" s="19">
        <v>521002357</v>
      </c>
      <c r="C12" s="19">
        <v>521002357</v>
      </c>
      <c r="D12" s="50" t="s">
        <v>4</v>
      </c>
      <c r="E12" s="19" t="s">
        <v>298</v>
      </c>
      <c r="F12" s="19" t="s">
        <v>304</v>
      </c>
      <c r="G12" s="19" t="s">
        <v>300</v>
      </c>
      <c r="H12" s="69" t="s">
        <v>305</v>
      </c>
      <c r="I12" s="70" t="s">
        <v>276</v>
      </c>
      <c r="J12" s="70" t="s">
        <v>277</v>
      </c>
      <c r="K12" s="71">
        <v>1</v>
      </c>
      <c r="L12" s="72">
        <v>521002357</v>
      </c>
      <c r="M12" s="72" t="s">
        <v>306</v>
      </c>
      <c r="N12" s="73">
        <v>766.9</v>
      </c>
      <c r="O12" s="74" t="s">
        <v>279</v>
      </c>
      <c r="P12" s="73">
        <v>1249.95</v>
      </c>
      <c r="Q12" s="80" t="s">
        <v>279</v>
      </c>
      <c r="W12" s="76" t="s">
        <v>307</v>
      </c>
      <c r="X12" s="77">
        <v>766.9</v>
      </c>
      <c r="Y12" s="78">
        <v>0</v>
      </c>
      <c r="AA12" s="79">
        <v>766.9</v>
      </c>
      <c r="AB12" s="79">
        <v>766.9</v>
      </c>
      <c r="AC12" s="78">
        <v>0</v>
      </c>
      <c r="AE12" s="63" t="s">
        <v>219</v>
      </c>
      <c r="AF12" s="63">
        <v>0</v>
      </c>
      <c r="AG12" s="63">
        <v>0</v>
      </c>
      <c r="AK12" s="77">
        <v>0</v>
      </c>
      <c r="BA12" s="41" t="s">
        <v>230</v>
      </c>
      <c r="BB12" s="41" t="s">
        <v>6</v>
      </c>
      <c r="BC12" s="41" t="s">
        <v>229</v>
      </c>
      <c r="BD12" s="41" t="s">
        <v>271</v>
      </c>
    </row>
    <row r="13" spans="1:82" ht="18" customHeight="1" outlineLevel="1">
      <c r="A13" s="19">
        <v>8</v>
      </c>
      <c r="B13" s="19">
        <v>521002365</v>
      </c>
      <c r="C13" s="19">
        <v>521002365</v>
      </c>
      <c r="D13" s="50" t="s">
        <v>4</v>
      </c>
      <c r="E13" s="19" t="s">
        <v>298</v>
      </c>
      <c r="F13" s="19" t="s">
        <v>308</v>
      </c>
      <c r="G13" s="19" t="s">
        <v>300</v>
      </c>
      <c r="H13" s="69" t="s">
        <v>309</v>
      </c>
      <c r="I13" s="70" t="s">
        <v>288</v>
      </c>
      <c r="J13" s="70" t="s">
        <v>289</v>
      </c>
      <c r="K13" s="71">
        <v>1</v>
      </c>
      <c r="L13" s="72">
        <v>521002365</v>
      </c>
      <c r="M13" s="72" t="s">
        <v>310</v>
      </c>
      <c r="N13" s="73">
        <v>766.9</v>
      </c>
      <c r="O13" s="74" t="s">
        <v>279</v>
      </c>
      <c r="P13" s="73">
        <v>1249.95</v>
      </c>
      <c r="Q13" s="80" t="s">
        <v>279</v>
      </c>
      <c r="W13" s="76" t="s">
        <v>311</v>
      </c>
      <c r="X13" s="77">
        <v>766.9</v>
      </c>
      <c r="Y13" s="78">
        <v>0</v>
      </c>
      <c r="AA13" s="79">
        <v>766.9</v>
      </c>
      <c r="AB13" s="79">
        <v>766.9</v>
      </c>
      <c r="AC13" s="78">
        <v>0</v>
      </c>
      <c r="AE13" s="63" t="s">
        <v>219</v>
      </c>
      <c r="AF13" s="63">
        <v>0</v>
      </c>
      <c r="AG13" s="63">
        <v>0</v>
      </c>
      <c r="AK13" s="77">
        <v>0</v>
      </c>
      <c r="BA13" s="41" t="s">
        <v>230</v>
      </c>
      <c r="BB13" s="41" t="s">
        <v>6</v>
      </c>
      <c r="BC13" s="41" t="s">
        <v>229</v>
      </c>
      <c r="BD13" s="41" t="s">
        <v>271</v>
      </c>
    </row>
    <row r="14" spans="1:82" ht="18" customHeight="1" outlineLevel="1">
      <c r="A14" s="19">
        <v>9</v>
      </c>
      <c r="B14" s="19">
        <v>521002373</v>
      </c>
      <c r="C14" s="19">
        <v>521002373</v>
      </c>
      <c r="D14" s="50" t="s">
        <v>4</v>
      </c>
      <c r="E14" s="19" t="s">
        <v>298</v>
      </c>
      <c r="F14" s="19" t="s">
        <v>312</v>
      </c>
      <c r="G14" s="19" t="s">
        <v>300</v>
      </c>
      <c r="H14" s="69" t="s">
        <v>313</v>
      </c>
      <c r="I14" s="70" t="s">
        <v>294</v>
      </c>
      <c r="J14" s="70" t="s">
        <v>295</v>
      </c>
      <c r="K14" s="71">
        <v>1</v>
      </c>
      <c r="L14" s="72">
        <v>521002373</v>
      </c>
      <c r="M14" s="72" t="s">
        <v>314</v>
      </c>
      <c r="N14" s="73">
        <v>797.6</v>
      </c>
      <c r="O14" s="74" t="s">
        <v>279</v>
      </c>
      <c r="P14" s="73">
        <v>1299.95</v>
      </c>
      <c r="Q14" s="80" t="s">
        <v>279</v>
      </c>
      <c r="W14" s="76" t="s">
        <v>315</v>
      </c>
      <c r="X14" s="77">
        <v>797.6</v>
      </c>
      <c r="Y14" s="78">
        <v>0</v>
      </c>
      <c r="AA14" s="79">
        <v>797.6</v>
      </c>
      <c r="AB14" s="79">
        <v>797.6</v>
      </c>
      <c r="AC14" s="78">
        <v>0</v>
      </c>
      <c r="AE14" s="63" t="s">
        <v>219</v>
      </c>
      <c r="AF14" s="63">
        <v>0</v>
      </c>
      <c r="AG14" s="63">
        <v>0</v>
      </c>
      <c r="AK14" s="77">
        <v>0</v>
      </c>
      <c r="BA14" s="41" t="s">
        <v>230</v>
      </c>
      <c r="BB14" s="41" t="s">
        <v>6</v>
      </c>
      <c r="BC14" s="41" t="s">
        <v>229</v>
      </c>
      <c r="BD14" s="41" t="s">
        <v>271</v>
      </c>
    </row>
    <row r="15" spans="1:82" s="57" customFormat="1" ht="27" customHeight="1" outlineLevel="1">
      <c r="A15" s="49">
        <v>10</v>
      </c>
      <c r="B15" s="19" t="s">
        <v>219</v>
      </c>
      <c r="C15" s="19" t="s">
        <v>219</v>
      </c>
      <c r="D15" s="50" t="s">
        <v>219</v>
      </c>
      <c r="E15" s="19" t="s">
        <v>219</v>
      </c>
      <c r="F15" s="19" t="s">
        <v>219</v>
      </c>
      <c r="G15" s="19" t="s">
        <v>219</v>
      </c>
      <c r="H15" s="52" t="s">
        <v>219</v>
      </c>
      <c r="I15" s="64" t="s">
        <v>219</v>
      </c>
      <c r="J15" s="70" t="s">
        <v>219</v>
      </c>
      <c r="K15" s="53" t="s">
        <v>219</v>
      </c>
      <c r="L15" s="20" t="s">
        <v>219</v>
      </c>
      <c r="M15" s="72" t="s">
        <v>219</v>
      </c>
      <c r="N15" s="54" t="s">
        <v>219</v>
      </c>
      <c r="O15" s="56" t="s">
        <v>219</v>
      </c>
      <c r="P15" s="54" t="s">
        <v>219</v>
      </c>
      <c r="Q15" s="56" t="s">
        <v>219</v>
      </c>
      <c r="R15" s="27"/>
      <c r="S15" s="58"/>
      <c r="T15" s="51"/>
      <c r="U15" s="51"/>
      <c r="V15" s="51"/>
      <c r="W15" s="76" t="s">
        <v>219</v>
      </c>
      <c r="X15" s="77" t="s">
        <v>219</v>
      </c>
      <c r="Y15" s="78">
        <v>0</v>
      </c>
      <c r="Z15" s="29"/>
      <c r="AA15" s="79" t="s">
        <v>219</v>
      </c>
      <c r="AB15" s="79" t="s">
        <v>219</v>
      </c>
      <c r="AC15" s="78">
        <v>0</v>
      </c>
      <c r="AD15" s="29"/>
      <c r="AE15" s="63" t="s">
        <v>230</v>
      </c>
      <c r="AF15" s="63">
        <v>1</v>
      </c>
      <c r="AG15" s="63" t="s">
        <v>219</v>
      </c>
      <c r="AH15" s="29"/>
      <c r="AI15" s="27"/>
      <c r="AJ15" s="29"/>
      <c r="AK15" s="77">
        <v>0</v>
      </c>
      <c r="BA15" s="41" t="s">
        <v>230</v>
      </c>
      <c r="BB15" s="41" t="s">
        <v>6</v>
      </c>
      <c r="BC15" s="41" t="s">
        <v>229</v>
      </c>
      <c r="BD15" s="41" t="s">
        <v>271</v>
      </c>
    </row>
    <row r="16" spans="1:82" ht="18" customHeight="1" outlineLevel="1">
      <c r="A16" s="19">
        <v>11</v>
      </c>
      <c r="B16" s="19">
        <v>523000733</v>
      </c>
      <c r="C16" s="19">
        <v>523000733</v>
      </c>
      <c r="D16" s="50" t="s">
        <v>4</v>
      </c>
      <c r="E16" s="19" t="s">
        <v>272</v>
      </c>
      <c r="F16" s="19" t="s">
        <v>316</v>
      </c>
      <c r="G16" s="19" t="s">
        <v>317</v>
      </c>
      <c r="H16" s="69" t="s">
        <v>318</v>
      </c>
      <c r="I16" s="70" t="s">
        <v>319</v>
      </c>
      <c r="J16" s="70" t="s">
        <v>289</v>
      </c>
      <c r="K16" s="71">
        <v>1</v>
      </c>
      <c r="L16" s="72">
        <v>523000733</v>
      </c>
      <c r="M16" s="72" t="s">
        <v>320</v>
      </c>
      <c r="N16" s="73">
        <v>122.69999999999999</v>
      </c>
      <c r="O16" s="74" t="s">
        <v>279</v>
      </c>
      <c r="P16" s="73">
        <v>199.95</v>
      </c>
      <c r="Q16" s="80" t="s">
        <v>279</v>
      </c>
      <c r="W16" s="76" t="s">
        <v>321</v>
      </c>
      <c r="X16" s="77">
        <v>122.69999999999999</v>
      </c>
      <c r="Y16" s="78">
        <v>0</v>
      </c>
      <c r="AA16" s="79">
        <v>122.69999999999999</v>
      </c>
      <c r="AB16" s="79">
        <v>122.69999999999999</v>
      </c>
      <c r="AC16" s="78">
        <v>0</v>
      </c>
      <c r="AE16" s="63" t="s">
        <v>219</v>
      </c>
      <c r="AF16" s="63">
        <v>1</v>
      </c>
      <c r="AG16" s="63">
        <v>1</v>
      </c>
      <c r="AK16" s="77">
        <v>0</v>
      </c>
      <c r="BA16" s="41" t="s">
        <v>230</v>
      </c>
      <c r="BB16" s="41" t="s">
        <v>6</v>
      </c>
      <c r="BC16" s="41" t="s">
        <v>229</v>
      </c>
      <c r="BD16" s="41" t="s">
        <v>271</v>
      </c>
    </row>
    <row r="17" spans="1:56" ht="18" customHeight="1" outlineLevel="1">
      <c r="A17" s="19">
        <v>12</v>
      </c>
      <c r="B17" s="19">
        <v>523000743</v>
      </c>
      <c r="C17" s="19">
        <v>523000743</v>
      </c>
      <c r="D17" s="50" t="s">
        <v>4</v>
      </c>
      <c r="E17" s="19" t="s">
        <v>272</v>
      </c>
      <c r="F17" s="19" t="s">
        <v>316</v>
      </c>
      <c r="G17" s="19" t="s">
        <v>317</v>
      </c>
      <c r="H17" s="69" t="s">
        <v>322</v>
      </c>
      <c r="I17" s="70" t="s">
        <v>323</v>
      </c>
      <c r="J17" s="70" t="s">
        <v>324</v>
      </c>
      <c r="K17" s="71">
        <v>1</v>
      </c>
      <c r="L17" s="72">
        <v>523000743</v>
      </c>
      <c r="M17" s="72" t="s">
        <v>325</v>
      </c>
      <c r="N17" s="73">
        <v>122.69999999999999</v>
      </c>
      <c r="O17" s="74" t="s">
        <v>279</v>
      </c>
      <c r="P17" s="73">
        <v>199.95</v>
      </c>
      <c r="Q17" s="80" t="s">
        <v>279</v>
      </c>
      <c r="W17" s="76" t="s">
        <v>326</v>
      </c>
      <c r="X17" s="77">
        <v>122.69999999999999</v>
      </c>
      <c r="Y17" s="78">
        <v>0</v>
      </c>
      <c r="AA17" s="79">
        <v>122.69999999999999</v>
      </c>
      <c r="AB17" s="79">
        <v>122.69999999999999</v>
      </c>
      <c r="AC17" s="78">
        <v>0</v>
      </c>
      <c r="AE17" s="63" t="s">
        <v>219</v>
      </c>
      <c r="AF17" s="63">
        <v>1</v>
      </c>
      <c r="AG17" s="63">
        <v>1</v>
      </c>
      <c r="AK17" s="77">
        <v>0</v>
      </c>
      <c r="BA17" s="41" t="s">
        <v>230</v>
      </c>
      <c r="BB17" s="41" t="s">
        <v>6</v>
      </c>
      <c r="BC17" s="41" t="s">
        <v>229</v>
      </c>
      <c r="BD17" s="41" t="s">
        <v>271</v>
      </c>
    </row>
    <row r="18" spans="1:56" ht="18" customHeight="1" outlineLevel="1">
      <c r="A18" s="19">
        <v>13</v>
      </c>
      <c r="B18" s="19">
        <v>523000753</v>
      </c>
      <c r="C18" s="19">
        <v>523000753</v>
      </c>
      <c r="D18" s="50" t="s">
        <v>4</v>
      </c>
      <c r="E18" s="19" t="s">
        <v>272</v>
      </c>
      <c r="F18" s="19" t="s">
        <v>316</v>
      </c>
      <c r="G18" s="19" t="s">
        <v>317</v>
      </c>
      <c r="H18" s="69" t="s">
        <v>327</v>
      </c>
      <c r="I18" s="70" t="s">
        <v>328</v>
      </c>
      <c r="J18" s="70" t="s">
        <v>329</v>
      </c>
      <c r="K18" s="71">
        <v>1</v>
      </c>
      <c r="L18" s="72">
        <v>523000753</v>
      </c>
      <c r="M18" s="72" t="s">
        <v>330</v>
      </c>
      <c r="N18" s="73">
        <v>122.69999999999999</v>
      </c>
      <c r="O18" s="74" t="s">
        <v>279</v>
      </c>
      <c r="P18" s="73">
        <v>199.95</v>
      </c>
      <c r="Q18" s="80" t="s">
        <v>279</v>
      </c>
      <c r="W18" s="76" t="s">
        <v>331</v>
      </c>
      <c r="X18" s="77">
        <v>122.69999999999999</v>
      </c>
      <c r="Y18" s="78">
        <v>0</v>
      </c>
      <c r="AA18" s="79">
        <v>122.69999999999999</v>
      </c>
      <c r="AB18" s="79">
        <v>122.69999999999999</v>
      </c>
      <c r="AC18" s="78">
        <v>0</v>
      </c>
      <c r="AE18" s="63" t="s">
        <v>219</v>
      </c>
      <c r="AF18" s="63">
        <v>1</v>
      </c>
      <c r="AG18" s="63">
        <v>1</v>
      </c>
      <c r="AK18" s="77">
        <v>0</v>
      </c>
      <c r="BA18" s="41" t="s">
        <v>230</v>
      </c>
      <c r="BB18" s="41" t="s">
        <v>6</v>
      </c>
      <c r="BC18" s="41" t="s">
        <v>229</v>
      </c>
      <c r="BD18" s="41" t="s">
        <v>271</v>
      </c>
    </row>
    <row r="19" spans="1:56" ht="18" customHeight="1" outlineLevel="1">
      <c r="A19" s="19">
        <v>14</v>
      </c>
      <c r="B19" s="19">
        <v>523000763</v>
      </c>
      <c r="C19" s="19">
        <v>523000763</v>
      </c>
      <c r="D19" s="50" t="s">
        <v>4</v>
      </c>
      <c r="E19" s="19" t="s">
        <v>272</v>
      </c>
      <c r="F19" s="19" t="s">
        <v>316</v>
      </c>
      <c r="G19" s="19" t="s">
        <v>317</v>
      </c>
      <c r="H19" s="69" t="s">
        <v>332</v>
      </c>
      <c r="I19" s="70" t="s">
        <v>333</v>
      </c>
      <c r="J19" s="70" t="s">
        <v>334</v>
      </c>
      <c r="K19" s="71">
        <v>1</v>
      </c>
      <c r="L19" s="72">
        <v>523000763</v>
      </c>
      <c r="M19" s="72" t="s">
        <v>335</v>
      </c>
      <c r="N19" s="73">
        <v>122.69999999999999</v>
      </c>
      <c r="O19" s="74" t="s">
        <v>279</v>
      </c>
      <c r="P19" s="73">
        <v>199.95</v>
      </c>
      <c r="Q19" s="80" t="s">
        <v>279</v>
      </c>
      <c r="W19" s="76" t="s">
        <v>336</v>
      </c>
      <c r="X19" s="77">
        <v>122.69999999999999</v>
      </c>
      <c r="Y19" s="78">
        <v>0</v>
      </c>
      <c r="AA19" s="79">
        <v>122.69999999999999</v>
      </c>
      <c r="AB19" s="79">
        <v>122.69999999999999</v>
      </c>
      <c r="AC19" s="78">
        <v>0</v>
      </c>
      <c r="AE19" s="63" t="s">
        <v>219</v>
      </c>
      <c r="AF19" s="63">
        <v>1</v>
      </c>
      <c r="AG19" s="63">
        <v>1</v>
      </c>
      <c r="AK19" s="77">
        <v>0</v>
      </c>
      <c r="BA19" s="41" t="s">
        <v>230</v>
      </c>
      <c r="BB19" s="41" t="s">
        <v>6</v>
      </c>
      <c r="BC19" s="41" t="s">
        <v>229</v>
      </c>
      <c r="BD19" s="41" t="s">
        <v>271</v>
      </c>
    </row>
    <row r="20" spans="1:56" ht="18" customHeight="1" outlineLevel="1">
      <c r="A20" s="19">
        <v>15</v>
      </c>
      <c r="B20" s="19">
        <v>523000773</v>
      </c>
      <c r="C20" s="19">
        <v>523000773</v>
      </c>
      <c r="D20" s="50" t="s">
        <v>4</v>
      </c>
      <c r="E20" s="19" t="s">
        <v>272</v>
      </c>
      <c r="F20" s="19" t="s">
        <v>316</v>
      </c>
      <c r="G20" s="19" t="s">
        <v>317</v>
      </c>
      <c r="H20" s="69" t="s">
        <v>337</v>
      </c>
      <c r="I20" s="70" t="s">
        <v>338</v>
      </c>
      <c r="J20" s="70" t="s">
        <v>339</v>
      </c>
      <c r="K20" s="71">
        <v>1</v>
      </c>
      <c r="L20" s="72">
        <v>523000773</v>
      </c>
      <c r="M20" s="72" t="s">
        <v>340</v>
      </c>
      <c r="N20" s="73">
        <v>122.69999999999999</v>
      </c>
      <c r="O20" s="74" t="s">
        <v>279</v>
      </c>
      <c r="P20" s="73">
        <v>199.95</v>
      </c>
      <c r="Q20" s="80" t="s">
        <v>279</v>
      </c>
      <c r="W20" s="76" t="s">
        <v>341</v>
      </c>
      <c r="X20" s="77">
        <v>122.69999999999999</v>
      </c>
      <c r="Y20" s="78">
        <v>0</v>
      </c>
      <c r="AA20" s="79">
        <v>122.69999999999999</v>
      </c>
      <c r="AB20" s="79">
        <v>122.69999999999999</v>
      </c>
      <c r="AC20" s="78">
        <v>0</v>
      </c>
      <c r="AE20" s="63" t="s">
        <v>219</v>
      </c>
      <c r="AF20" s="63">
        <v>1</v>
      </c>
      <c r="AG20" s="63">
        <v>1</v>
      </c>
      <c r="AK20" s="77">
        <v>0</v>
      </c>
      <c r="BA20" s="41" t="s">
        <v>230</v>
      </c>
      <c r="BB20" s="41" t="s">
        <v>6</v>
      </c>
      <c r="BC20" s="41" t="s">
        <v>229</v>
      </c>
      <c r="BD20" s="41" t="s">
        <v>271</v>
      </c>
    </row>
    <row r="21" spans="1:56" ht="18" customHeight="1" outlineLevel="1">
      <c r="A21" s="19">
        <v>16</v>
      </c>
      <c r="B21" s="19">
        <v>523001261</v>
      </c>
      <c r="C21" s="19">
        <v>523001261</v>
      </c>
      <c r="D21" s="50" t="s">
        <v>4</v>
      </c>
      <c r="E21" s="19" t="s">
        <v>272</v>
      </c>
      <c r="F21" s="19" t="s">
        <v>316</v>
      </c>
      <c r="G21" s="19" t="s">
        <v>317</v>
      </c>
      <c r="H21" s="69" t="s">
        <v>342</v>
      </c>
      <c r="I21" s="70" t="s">
        <v>343</v>
      </c>
      <c r="J21" s="70" t="s">
        <v>344</v>
      </c>
      <c r="K21" s="71">
        <v>1</v>
      </c>
      <c r="L21" s="72">
        <v>523001261</v>
      </c>
      <c r="M21" s="72" t="s">
        <v>345</v>
      </c>
      <c r="N21" s="73">
        <v>122.69999999999999</v>
      </c>
      <c r="O21" s="74" t="s">
        <v>279</v>
      </c>
      <c r="P21" s="73">
        <v>199.95</v>
      </c>
      <c r="Q21" s="80" t="s">
        <v>279</v>
      </c>
      <c r="W21" s="76" t="s">
        <v>346</v>
      </c>
      <c r="X21" s="77">
        <v>122.69999999999999</v>
      </c>
      <c r="Y21" s="78">
        <v>0</v>
      </c>
      <c r="AA21" s="79">
        <v>122.69999999999999</v>
      </c>
      <c r="AB21" s="79">
        <v>122.69999999999999</v>
      </c>
      <c r="AC21" s="78">
        <v>0</v>
      </c>
      <c r="AE21" s="63" t="s">
        <v>219</v>
      </c>
      <c r="AF21" s="63">
        <v>1</v>
      </c>
      <c r="AG21" s="63">
        <v>1</v>
      </c>
      <c r="AK21" s="77">
        <v>0</v>
      </c>
      <c r="BA21" s="41" t="s">
        <v>230</v>
      </c>
      <c r="BB21" s="41" t="s">
        <v>6</v>
      </c>
      <c r="BC21" s="41" t="s">
        <v>229</v>
      </c>
      <c r="BD21" s="41" t="s">
        <v>271</v>
      </c>
    </row>
    <row r="22" spans="1:56" ht="27" customHeight="1" outlineLevel="1">
      <c r="A22" s="19">
        <v>17</v>
      </c>
      <c r="B22" s="19" t="s">
        <v>219</v>
      </c>
      <c r="C22" s="19" t="s">
        <v>219</v>
      </c>
      <c r="D22" s="50" t="s">
        <v>219</v>
      </c>
      <c r="E22" s="19" t="s">
        <v>219</v>
      </c>
      <c r="F22" s="19" t="s">
        <v>219</v>
      </c>
      <c r="G22" s="19" t="s">
        <v>219</v>
      </c>
      <c r="H22" s="81" t="s">
        <v>219</v>
      </c>
      <c r="I22" s="70" t="s">
        <v>219</v>
      </c>
      <c r="J22" s="70" t="s">
        <v>219</v>
      </c>
      <c r="K22" s="71" t="s">
        <v>219</v>
      </c>
      <c r="L22" s="72" t="s">
        <v>219</v>
      </c>
      <c r="M22" s="72" t="s">
        <v>219</v>
      </c>
      <c r="N22" s="73" t="s">
        <v>219</v>
      </c>
      <c r="O22" s="74" t="s">
        <v>219</v>
      </c>
      <c r="P22" s="73" t="s">
        <v>219</v>
      </c>
      <c r="Q22" s="80" t="s">
        <v>219</v>
      </c>
      <c r="W22" s="76" t="s">
        <v>219</v>
      </c>
      <c r="X22" s="77" t="s">
        <v>219</v>
      </c>
      <c r="Y22" s="78">
        <v>0</v>
      </c>
      <c r="AA22" s="79" t="s">
        <v>219</v>
      </c>
      <c r="AB22" s="79" t="s">
        <v>219</v>
      </c>
      <c r="AC22" s="78">
        <v>0</v>
      </c>
      <c r="AE22" s="63" t="s">
        <v>230</v>
      </c>
      <c r="AF22" s="63">
        <v>0</v>
      </c>
      <c r="AG22" s="63" t="s">
        <v>219</v>
      </c>
      <c r="AK22" s="77">
        <v>0</v>
      </c>
      <c r="BA22" s="41" t="s">
        <v>230</v>
      </c>
      <c r="BB22" s="41" t="s">
        <v>6</v>
      </c>
      <c r="BC22" s="41" t="s">
        <v>229</v>
      </c>
      <c r="BD22" s="41" t="s">
        <v>271</v>
      </c>
    </row>
    <row r="23" spans="1:56" s="57" customFormat="1" ht="18" customHeight="1" outlineLevel="1">
      <c r="A23" s="49">
        <v>18</v>
      </c>
      <c r="B23" s="19">
        <v>523000799</v>
      </c>
      <c r="C23" s="19">
        <v>523000799</v>
      </c>
      <c r="D23" s="50" t="s">
        <v>4</v>
      </c>
      <c r="E23" s="19" t="s">
        <v>272</v>
      </c>
      <c r="F23" s="19" t="s">
        <v>347</v>
      </c>
      <c r="G23" s="19" t="s">
        <v>348</v>
      </c>
      <c r="H23" s="20" t="s">
        <v>349</v>
      </c>
      <c r="I23" s="64" t="s">
        <v>319</v>
      </c>
      <c r="J23" s="70" t="s">
        <v>289</v>
      </c>
      <c r="K23" s="53">
        <v>1</v>
      </c>
      <c r="L23" s="20">
        <v>523000799</v>
      </c>
      <c r="M23" s="72" t="s">
        <v>350</v>
      </c>
      <c r="N23" s="54">
        <v>245.4</v>
      </c>
      <c r="O23" s="56" t="s">
        <v>279</v>
      </c>
      <c r="P23" s="54">
        <v>399.95</v>
      </c>
      <c r="Q23" s="56" t="s">
        <v>279</v>
      </c>
      <c r="R23" s="27"/>
      <c r="S23" s="58"/>
      <c r="T23" s="51"/>
      <c r="U23" s="51"/>
      <c r="V23" s="51"/>
      <c r="W23" s="76" t="s">
        <v>351</v>
      </c>
      <c r="X23" s="77">
        <v>245.4</v>
      </c>
      <c r="Y23" s="78">
        <v>0</v>
      </c>
      <c r="Z23" s="29"/>
      <c r="AA23" s="79">
        <v>245.4</v>
      </c>
      <c r="AB23" s="79">
        <v>245.4</v>
      </c>
      <c r="AC23" s="78">
        <v>0</v>
      </c>
      <c r="AD23" s="29"/>
      <c r="AE23" s="63" t="s">
        <v>219</v>
      </c>
      <c r="AF23" s="63">
        <v>0</v>
      </c>
      <c r="AG23" s="63">
        <v>0</v>
      </c>
      <c r="AH23" s="29"/>
      <c r="AI23" s="27"/>
      <c r="AJ23" s="29"/>
      <c r="AK23" s="77">
        <v>0</v>
      </c>
      <c r="BA23" s="41" t="s">
        <v>230</v>
      </c>
      <c r="BB23" s="41" t="s">
        <v>6</v>
      </c>
      <c r="BC23" s="41" t="s">
        <v>229</v>
      </c>
      <c r="BD23" s="41" t="s">
        <v>271</v>
      </c>
    </row>
    <row r="24" spans="1:56" ht="18" customHeight="1" outlineLevel="1">
      <c r="A24" s="19">
        <v>19</v>
      </c>
      <c r="B24" s="19">
        <v>523000809</v>
      </c>
      <c r="C24" s="19">
        <v>523000809</v>
      </c>
      <c r="D24" s="50" t="s">
        <v>4</v>
      </c>
      <c r="E24" s="19" t="s">
        <v>272</v>
      </c>
      <c r="F24" s="19" t="s">
        <v>347</v>
      </c>
      <c r="G24" s="19" t="s">
        <v>348</v>
      </c>
      <c r="H24" s="69" t="s">
        <v>352</v>
      </c>
      <c r="I24" s="70" t="s">
        <v>323</v>
      </c>
      <c r="J24" s="70" t="s">
        <v>324</v>
      </c>
      <c r="K24" s="71">
        <v>1</v>
      </c>
      <c r="L24" s="72">
        <v>523000809</v>
      </c>
      <c r="M24" s="72" t="s">
        <v>353</v>
      </c>
      <c r="N24" s="73">
        <v>245.4</v>
      </c>
      <c r="O24" s="74" t="s">
        <v>279</v>
      </c>
      <c r="P24" s="73">
        <v>399.95</v>
      </c>
      <c r="Q24" s="80" t="s">
        <v>279</v>
      </c>
      <c r="W24" s="76" t="s">
        <v>354</v>
      </c>
      <c r="X24" s="77">
        <v>245.4</v>
      </c>
      <c r="Y24" s="78">
        <v>0</v>
      </c>
      <c r="AA24" s="79">
        <v>245.4</v>
      </c>
      <c r="AB24" s="79">
        <v>245.4</v>
      </c>
      <c r="AC24" s="78">
        <v>0</v>
      </c>
      <c r="AE24" s="63" t="s">
        <v>219</v>
      </c>
      <c r="AF24" s="63">
        <v>0</v>
      </c>
      <c r="AG24" s="63">
        <v>0</v>
      </c>
      <c r="AK24" s="77">
        <v>0</v>
      </c>
      <c r="BA24" s="41" t="s">
        <v>230</v>
      </c>
      <c r="BB24" s="41" t="s">
        <v>6</v>
      </c>
      <c r="BC24" s="41" t="s">
        <v>229</v>
      </c>
      <c r="BD24" s="41" t="s">
        <v>271</v>
      </c>
    </row>
    <row r="25" spans="1:56" ht="18" customHeight="1" outlineLevel="1">
      <c r="A25" s="19">
        <v>20</v>
      </c>
      <c r="B25" s="19">
        <v>523000819</v>
      </c>
      <c r="C25" s="19">
        <v>523000819</v>
      </c>
      <c r="D25" s="50" t="s">
        <v>4</v>
      </c>
      <c r="E25" s="19" t="s">
        <v>272</v>
      </c>
      <c r="F25" s="19" t="s">
        <v>347</v>
      </c>
      <c r="G25" s="19" t="s">
        <v>348</v>
      </c>
      <c r="H25" s="69" t="s">
        <v>355</v>
      </c>
      <c r="I25" s="70" t="s">
        <v>328</v>
      </c>
      <c r="J25" s="70" t="s">
        <v>329</v>
      </c>
      <c r="K25" s="71">
        <v>1</v>
      </c>
      <c r="L25" s="72">
        <v>523000819</v>
      </c>
      <c r="M25" s="72" t="s">
        <v>356</v>
      </c>
      <c r="N25" s="73">
        <v>245.4</v>
      </c>
      <c r="O25" s="74" t="s">
        <v>279</v>
      </c>
      <c r="P25" s="73">
        <v>399.95</v>
      </c>
      <c r="Q25" s="80" t="s">
        <v>279</v>
      </c>
      <c r="W25" s="76" t="s">
        <v>357</v>
      </c>
      <c r="X25" s="77">
        <v>245.4</v>
      </c>
      <c r="Y25" s="78">
        <v>0</v>
      </c>
      <c r="AA25" s="79">
        <v>245.4</v>
      </c>
      <c r="AB25" s="79">
        <v>245.4</v>
      </c>
      <c r="AC25" s="78">
        <v>0</v>
      </c>
      <c r="AE25" s="63" t="s">
        <v>219</v>
      </c>
      <c r="AF25" s="63">
        <v>0</v>
      </c>
      <c r="AG25" s="63">
        <v>0</v>
      </c>
      <c r="AK25" s="77">
        <v>0</v>
      </c>
      <c r="BA25" s="41" t="s">
        <v>230</v>
      </c>
      <c r="BB25" s="41" t="s">
        <v>6</v>
      </c>
      <c r="BC25" s="41" t="s">
        <v>229</v>
      </c>
      <c r="BD25" s="41" t="s">
        <v>271</v>
      </c>
    </row>
    <row r="26" spans="1:56" ht="18" customHeight="1" outlineLevel="1">
      <c r="A26" s="19">
        <v>21</v>
      </c>
      <c r="B26" s="19">
        <v>523000829</v>
      </c>
      <c r="C26" s="19">
        <v>523000829</v>
      </c>
      <c r="D26" s="50" t="s">
        <v>4</v>
      </c>
      <c r="E26" s="19" t="s">
        <v>272</v>
      </c>
      <c r="F26" s="19" t="s">
        <v>347</v>
      </c>
      <c r="G26" s="19" t="s">
        <v>348</v>
      </c>
      <c r="H26" s="69" t="s">
        <v>358</v>
      </c>
      <c r="I26" s="70" t="s">
        <v>333</v>
      </c>
      <c r="J26" s="70" t="s">
        <v>334</v>
      </c>
      <c r="K26" s="71">
        <v>1</v>
      </c>
      <c r="L26" s="72">
        <v>523000829</v>
      </c>
      <c r="M26" s="72" t="s">
        <v>359</v>
      </c>
      <c r="N26" s="73">
        <v>245.4</v>
      </c>
      <c r="O26" s="74" t="s">
        <v>279</v>
      </c>
      <c r="P26" s="73">
        <v>399.95</v>
      </c>
      <c r="Q26" s="80" t="s">
        <v>279</v>
      </c>
      <c r="W26" s="76" t="s">
        <v>360</v>
      </c>
      <c r="X26" s="77">
        <v>245.4</v>
      </c>
      <c r="Y26" s="78">
        <v>0</v>
      </c>
      <c r="AA26" s="79">
        <v>245.4</v>
      </c>
      <c r="AB26" s="79">
        <v>245.4</v>
      </c>
      <c r="AC26" s="78">
        <v>0</v>
      </c>
      <c r="AE26" s="63" t="s">
        <v>219</v>
      </c>
      <c r="AF26" s="63">
        <v>0</v>
      </c>
      <c r="AG26" s="63">
        <v>0</v>
      </c>
      <c r="AK26" s="77">
        <v>0</v>
      </c>
      <c r="BA26" s="41" t="s">
        <v>230</v>
      </c>
      <c r="BB26" s="41" t="s">
        <v>6</v>
      </c>
      <c r="BC26" s="41" t="s">
        <v>229</v>
      </c>
      <c r="BD26" s="41" t="s">
        <v>271</v>
      </c>
    </row>
    <row r="27" spans="1:56" s="57" customFormat="1" ht="18" customHeight="1" outlineLevel="1">
      <c r="A27" s="49">
        <v>22</v>
      </c>
      <c r="B27" s="19">
        <v>523000839</v>
      </c>
      <c r="C27" s="19">
        <v>523000839</v>
      </c>
      <c r="D27" s="50" t="s">
        <v>4</v>
      </c>
      <c r="E27" s="19" t="s">
        <v>272</v>
      </c>
      <c r="F27" s="19" t="s">
        <v>347</v>
      </c>
      <c r="G27" s="19" t="s">
        <v>348</v>
      </c>
      <c r="H27" s="20" t="s">
        <v>361</v>
      </c>
      <c r="I27" s="64" t="s">
        <v>338</v>
      </c>
      <c r="J27" s="70" t="s">
        <v>339</v>
      </c>
      <c r="K27" s="53">
        <v>1</v>
      </c>
      <c r="L27" s="20">
        <v>523000839</v>
      </c>
      <c r="M27" s="72" t="s">
        <v>362</v>
      </c>
      <c r="N27" s="54">
        <v>245.4</v>
      </c>
      <c r="O27" s="56" t="s">
        <v>279</v>
      </c>
      <c r="P27" s="54">
        <v>399.95</v>
      </c>
      <c r="Q27" s="56" t="s">
        <v>279</v>
      </c>
      <c r="R27" s="27"/>
      <c r="S27" s="58"/>
      <c r="T27" s="51"/>
      <c r="U27" s="51"/>
      <c r="V27" s="51"/>
      <c r="W27" s="76" t="s">
        <v>363</v>
      </c>
      <c r="X27" s="77">
        <v>245.4</v>
      </c>
      <c r="Y27" s="78">
        <v>0</v>
      </c>
      <c r="Z27" s="29"/>
      <c r="AA27" s="79">
        <v>245.4</v>
      </c>
      <c r="AB27" s="79">
        <v>245.4</v>
      </c>
      <c r="AC27" s="78">
        <v>0</v>
      </c>
      <c r="AD27" s="29"/>
      <c r="AE27" s="63" t="s">
        <v>219</v>
      </c>
      <c r="AF27" s="63">
        <v>0</v>
      </c>
      <c r="AG27" s="63">
        <v>0</v>
      </c>
      <c r="AH27" s="29"/>
      <c r="AI27" s="27"/>
      <c r="AJ27" s="29"/>
      <c r="AK27" s="77">
        <v>0</v>
      </c>
      <c r="BA27" s="41" t="s">
        <v>230</v>
      </c>
      <c r="BB27" s="41" t="s">
        <v>6</v>
      </c>
      <c r="BC27" s="41" t="s">
        <v>229</v>
      </c>
      <c r="BD27" s="41" t="s">
        <v>271</v>
      </c>
    </row>
    <row r="28" spans="1:56" ht="18" customHeight="1" outlineLevel="1">
      <c r="A28" s="19">
        <v>23</v>
      </c>
      <c r="B28" s="19">
        <v>523001271</v>
      </c>
      <c r="C28" s="19">
        <v>523001271</v>
      </c>
      <c r="D28" s="50" t="s">
        <v>4</v>
      </c>
      <c r="E28" s="19" t="s">
        <v>272</v>
      </c>
      <c r="F28" s="19" t="s">
        <v>347</v>
      </c>
      <c r="G28" s="19" t="s">
        <v>348</v>
      </c>
      <c r="H28" s="69" t="s">
        <v>364</v>
      </c>
      <c r="I28" s="70" t="s">
        <v>343</v>
      </c>
      <c r="J28" s="70" t="s">
        <v>344</v>
      </c>
      <c r="K28" s="71">
        <v>1</v>
      </c>
      <c r="L28" s="72">
        <v>523001271</v>
      </c>
      <c r="M28" s="72" t="s">
        <v>365</v>
      </c>
      <c r="N28" s="73">
        <v>245.4</v>
      </c>
      <c r="O28" s="74" t="s">
        <v>279</v>
      </c>
      <c r="P28" s="73">
        <v>399.95</v>
      </c>
      <c r="Q28" s="80" t="s">
        <v>279</v>
      </c>
      <c r="W28" s="76" t="s">
        <v>366</v>
      </c>
      <c r="X28" s="77">
        <v>245.4</v>
      </c>
      <c r="Y28" s="78">
        <v>0</v>
      </c>
      <c r="AA28" s="79">
        <v>245.4</v>
      </c>
      <c r="AB28" s="79">
        <v>245.4</v>
      </c>
      <c r="AC28" s="78">
        <v>0</v>
      </c>
      <c r="AE28" s="63" t="s">
        <v>219</v>
      </c>
      <c r="AF28" s="63">
        <v>0</v>
      </c>
      <c r="AG28" s="63">
        <v>0</v>
      </c>
      <c r="AK28" s="77">
        <v>0</v>
      </c>
      <c r="BA28" s="41" t="s">
        <v>230</v>
      </c>
      <c r="BB28" s="41" t="s">
        <v>6</v>
      </c>
      <c r="BC28" s="41" t="s">
        <v>229</v>
      </c>
      <c r="BD28" s="41" t="s">
        <v>271</v>
      </c>
    </row>
    <row r="29" spans="1:56" ht="27" customHeight="1" outlineLevel="1">
      <c r="A29" s="19">
        <v>24</v>
      </c>
      <c r="B29" s="19" t="s">
        <v>219</v>
      </c>
      <c r="C29" s="19" t="s">
        <v>219</v>
      </c>
      <c r="D29" s="50" t="s">
        <v>219</v>
      </c>
      <c r="E29" s="19" t="s">
        <v>219</v>
      </c>
      <c r="F29" s="19" t="s">
        <v>219</v>
      </c>
      <c r="G29" s="19" t="s">
        <v>219</v>
      </c>
      <c r="H29" s="81" t="s">
        <v>219</v>
      </c>
      <c r="I29" s="70" t="s">
        <v>219</v>
      </c>
      <c r="J29" s="70" t="s">
        <v>219</v>
      </c>
      <c r="K29" s="71" t="s">
        <v>219</v>
      </c>
      <c r="L29" s="72" t="s">
        <v>219</v>
      </c>
      <c r="M29" s="72" t="s">
        <v>219</v>
      </c>
      <c r="N29" s="73" t="s">
        <v>219</v>
      </c>
      <c r="O29" s="74" t="s">
        <v>219</v>
      </c>
      <c r="P29" s="73" t="s">
        <v>219</v>
      </c>
      <c r="Q29" s="80" t="s">
        <v>219</v>
      </c>
      <c r="W29" s="76" t="s">
        <v>219</v>
      </c>
      <c r="X29" s="77" t="s">
        <v>219</v>
      </c>
      <c r="Y29" s="78">
        <v>0</v>
      </c>
      <c r="AA29" s="79" t="s">
        <v>219</v>
      </c>
      <c r="AB29" s="79" t="s">
        <v>219</v>
      </c>
      <c r="AC29" s="78">
        <v>0</v>
      </c>
      <c r="AE29" s="63" t="s">
        <v>230</v>
      </c>
      <c r="AF29" s="63">
        <v>1</v>
      </c>
      <c r="AG29" s="63" t="s">
        <v>219</v>
      </c>
      <c r="AK29" s="77">
        <v>0</v>
      </c>
      <c r="BA29" s="41" t="s">
        <v>230</v>
      </c>
      <c r="BB29" s="41" t="s">
        <v>6</v>
      </c>
      <c r="BC29" s="41" t="s">
        <v>229</v>
      </c>
      <c r="BD29" s="41" t="s">
        <v>271</v>
      </c>
    </row>
    <row r="30" spans="1:56" ht="18" customHeight="1" outlineLevel="1">
      <c r="A30" s="19">
        <v>25</v>
      </c>
      <c r="B30" s="19">
        <v>521002513</v>
      </c>
      <c r="C30" s="19">
        <v>521002513</v>
      </c>
      <c r="D30" s="50" t="s">
        <v>4</v>
      </c>
      <c r="E30" s="19" t="s">
        <v>367</v>
      </c>
      <c r="F30" s="19" t="s">
        <v>368</v>
      </c>
      <c r="G30" s="19" t="s">
        <v>369</v>
      </c>
      <c r="H30" s="69" t="s">
        <v>370</v>
      </c>
      <c r="I30" s="70" t="s">
        <v>276</v>
      </c>
      <c r="J30" s="70" t="s">
        <v>277</v>
      </c>
      <c r="K30" s="71">
        <v>1</v>
      </c>
      <c r="L30" s="72">
        <v>521002513</v>
      </c>
      <c r="M30" s="72" t="s">
        <v>371</v>
      </c>
      <c r="N30" s="73">
        <v>337.40000000000003</v>
      </c>
      <c r="O30" s="74" t="s">
        <v>279</v>
      </c>
      <c r="P30" s="73">
        <v>549.95000000000005</v>
      </c>
      <c r="Q30" s="80" t="s">
        <v>279</v>
      </c>
      <c r="W30" s="76" t="s">
        <v>372</v>
      </c>
      <c r="X30" s="77">
        <v>337.40000000000003</v>
      </c>
      <c r="Y30" s="78">
        <v>0</v>
      </c>
      <c r="AA30" s="79">
        <v>337.40000000000003</v>
      </c>
      <c r="AB30" s="79">
        <v>337.40000000000003</v>
      </c>
      <c r="AC30" s="78">
        <v>0</v>
      </c>
      <c r="AE30" s="63" t="s">
        <v>219</v>
      </c>
      <c r="AF30" s="63">
        <v>1</v>
      </c>
      <c r="AG30" s="63">
        <v>1</v>
      </c>
      <c r="AK30" s="77">
        <v>0</v>
      </c>
      <c r="BA30" s="41" t="s">
        <v>230</v>
      </c>
      <c r="BB30" s="41" t="s">
        <v>6</v>
      </c>
      <c r="BC30" s="41" t="s">
        <v>229</v>
      </c>
      <c r="BD30" s="41" t="s">
        <v>271</v>
      </c>
    </row>
    <row r="31" spans="1:56" ht="18" customHeight="1" outlineLevel="1">
      <c r="A31" s="19">
        <v>26</v>
      </c>
      <c r="B31" s="19">
        <v>521002507</v>
      </c>
      <c r="C31" s="19">
        <v>521002507</v>
      </c>
      <c r="D31" s="50" t="s">
        <v>4</v>
      </c>
      <c r="E31" s="19" t="s">
        <v>367</v>
      </c>
      <c r="F31" s="19" t="s">
        <v>373</v>
      </c>
      <c r="G31" s="19" t="s">
        <v>369</v>
      </c>
      <c r="H31" s="69" t="s">
        <v>374</v>
      </c>
      <c r="I31" s="70" t="s">
        <v>283</v>
      </c>
      <c r="J31" s="70" t="s">
        <v>277</v>
      </c>
      <c r="K31" s="71">
        <v>1</v>
      </c>
      <c r="L31" s="72">
        <v>521002507</v>
      </c>
      <c r="M31" s="72" t="s">
        <v>375</v>
      </c>
      <c r="N31" s="73">
        <v>337.40000000000003</v>
      </c>
      <c r="O31" s="74" t="s">
        <v>279</v>
      </c>
      <c r="P31" s="73">
        <v>549.95000000000005</v>
      </c>
      <c r="Q31" s="80" t="s">
        <v>279</v>
      </c>
      <c r="W31" s="76" t="s">
        <v>376</v>
      </c>
      <c r="X31" s="77">
        <v>337.40000000000003</v>
      </c>
      <c r="Y31" s="78">
        <v>0</v>
      </c>
      <c r="AA31" s="79">
        <v>337.40000000000003</v>
      </c>
      <c r="AB31" s="79">
        <v>337.40000000000003</v>
      </c>
      <c r="AC31" s="78">
        <v>0</v>
      </c>
      <c r="AE31" s="63" t="s">
        <v>219</v>
      </c>
      <c r="AF31" s="63">
        <v>1</v>
      </c>
      <c r="AG31" s="63">
        <v>1</v>
      </c>
      <c r="AK31" s="77">
        <v>0</v>
      </c>
      <c r="BA31" s="41" t="s">
        <v>230</v>
      </c>
      <c r="BB31" s="41" t="s">
        <v>6</v>
      </c>
      <c r="BC31" s="41" t="s">
        <v>229</v>
      </c>
      <c r="BD31" s="41" t="s">
        <v>271</v>
      </c>
    </row>
    <row r="32" spans="1:56" ht="18" customHeight="1" outlineLevel="1">
      <c r="A32" s="19">
        <v>27</v>
      </c>
      <c r="B32" s="19">
        <v>521002519</v>
      </c>
      <c r="C32" s="19">
        <v>521002519</v>
      </c>
      <c r="D32" s="50" t="s">
        <v>4</v>
      </c>
      <c r="E32" s="19" t="s">
        <v>367</v>
      </c>
      <c r="F32" s="19" t="s">
        <v>377</v>
      </c>
      <c r="G32" s="19" t="s">
        <v>369</v>
      </c>
      <c r="H32" s="69" t="s">
        <v>378</v>
      </c>
      <c r="I32" s="70" t="s">
        <v>288</v>
      </c>
      <c r="J32" s="70" t="s">
        <v>289</v>
      </c>
      <c r="K32" s="71">
        <v>1</v>
      </c>
      <c r="L32" s="72">
        <v>521002519</v>
      </c>
      <c r="M32" s="72" t="s">
        <v>379</v>
      </c>
      <c r="N32" s="73">
        <v>337.40000000000003</v>
      </c>
      <c r="O32" s="74" t="s">
        <v>279</v>
      </c>
      <c r="P32" s="73">
        <v>549.95000000000005</v>
      </c>
      <c r="Q32" s="80" t="s">
        <v>279</v>
      </c>
      <c r="W32" s="76" t="s">
        <v>380</v>
      </c>
      <c r="X32" s="77">
        <v>337.40000000000003</v>
      </c>
      <c r="Y32" s="78">
        <v>0</v>
      </c>
      <c r="AA32" s="79">
        <v>337.40000000000003</v>
      </c>
      <c r="AB32" s="79">
        <v>337.40000000000003</v>
      </c>
      <c r="AC32" s="78">
        <v>0</v>
      </c>
      <c r="AE32" s="63" t="s">
        <v>219</v>
      </c>
      <c r="AF32" s="63">
        <v>1</v>
      </c>
      <c r="AG32" s="63">
        <v>1</v>
      </c>
      <c r="AK32" s="77">
        <v>0</v>
      </c>
      <c r="BA32" s="41" t="s">
        <v>230</v>
      </c>
      <c r="BB32" s="41" t="s">
        <v>6</v>
      </c>
      <c r="BC32" s="41" t="s">
        <v>229</v>
      </c>
      <c r="BD32" s="41" t="s">
        <v>271</v>
      </c>
    </row>
    <row r="33" spans="1:56" ht="18" customHeight="1" outlineLevel="1">
      <c r="A33" s="19">
        <v>28</v>
      </c>
      <c r="B33" s="19">
        <v>521002525</v>
      </c>
      <c r="C33" s="19">
        <v>521002525</v>
      </c>
      <c r="D33" s="50" t="s">
        <v>4</v>
      </c>
      <c r="E33" s="19" t="s">
        <v>367</v>
      </c>
      <c r="F33" s="19" t="s">
        <v>381</v>
      </c>
      <c r="G33" s="19" t="s">
        <v>369</v>
      </c>
      <c r="H33" s="69" t="s">
        <v>382</v>
      </c>
      <c r="I33" s="70" t="s">
        <v>294</v>
      </c>
      <c r="J33" s="70" t="s">
        <v>295</v>
      </c>
      <c r="K33" s="71">
        <v>1</v>
      </c>
      <c r="L33" s="72">
        <v>521002525</v>
      </c>
      <c r="M33" s="72" t="s">
        <v>383</v>
      </c>
      <c r="N33" s="73">
        <v>368.1</v>
      </c>
      <c r="O33" s="74" t="s">
        <v>279</v>
      </c>
      <c r="P33" s="73">
        <v>599.95000000000005</v>
      </c>
      <c r="Q33" s="80" t="s">
        <v>279</v>
      </c>
      <c r="W33" s="76" t="s">
        <v>384</v>
      </c>
      <c r="X33" s="77">
        <v>368.1</v>
      </c>
      <c r="Y33" s="78">
        <v>0</v>
      </c>
      <c r="AA33" s="79">
        <v>368.1</v>
      </c>
      <c r="AB33" s="79">
        <v>368.1</v>
      </c>
      <c r="AC33" s="78">
        <v>0</v>
      </c>
      <c r="AE33" s="63" t="s">
        <v>219</v>
      </c>
      <c r="AF33" s="63">
        <v>1</v>
      </c>
      <c r="AG33" s="63">
        <v>1</v>
      </c>
      <c r="AK33" s="77">
        <v>0</v>
      </c>
      <c r="BA33" s="41" t="s">
        <v>230</v>
      </c>
      <c r="BB33" s="41" t="s">
        <v>6</v>
      </c>
      <c r="BC33" s="41" t="s">
        <v>229</v>
      </c>
      <c r="BD33" s="41" t="s">
        <v>271</v>
      </c>
    </row>
    <row r="34" spans="1:56" ht="27" customHeight="1" outlineLevel="1">
      <c r="A34" s="19">
        <v>29</v>
      </c>
      <c r="B34" s="19" t="s">
        <v>219</v>
      </c>
      <c r="C34" s="19" t="s">
        <v>219</v>
      </c>
      <c r="D34" s="50" t="s">
        <v>219</v>
      </c>
      <c r="E34" s="19" t="s">
        <v>219</v>
      </c>
      <c r="F34" s="19" t="s">
        <v>219</v>
      </c>
      <c r="G34" s="19" t="s">
        <v>219</v>
      </c>
      <c r="H34" s="81" t="s">
        <v>219</v>
      </c>
      <c r="I34" s="70" t="s">
        <v>219</v>
      </c>
      <c r="J34" s="70" t="s">
        <v>219</v>
      </c>
      <c r="K34" s="71" t="s">
        <v>219</v>
      </c>
      <c r="L34" s="72" t="s">
        <v>219</v>
      </c>
      <c r="M34" s="72" t="s">
        <v>219</v>
      </c>
      <c r="N34" s="73" t="s">
        <v>219</v>
      </c>
      <c r="O34" s="74" t="s">
        <v>219</v>
      </c>
      <c r="P34" s="73" t="s">
        <v>219</v>
      </c>
      <c r="Q34" s="80" t="s">
        <v>219</v>
      </c>
      <c r="W34" s="76" t="s">
        <v>219</v>
      </c>
      <c r="X34" s="77" t="s">
        <v>219</v>
      </c>
      <c r="Y34" s="78">
        <v>0</v>
      </c>
      <c r="AA34" s="79" t="s">
        <v>219</v>
      </c>
      <c r="AB34" s="79" t="s">
        <v>219</v>
      </c>
      <c r="AC34" s="78">
        <v>0</v>
      </c>
      <c r="AE34" s="63" t="s">
        <v>230</v>
      </c>
      <c r="AF34" s="63">
        <v>0</v>
      </c>
      <c r="AG34" s="63" t="s">
        <v>219</v>
      </c>
      <c r="AK34" s="77">
        <v>0</v>
      </c>
      <c r="BA34" s="41" t="s">
        <v>230</v>
      </c>
      <c r="BB34" s="41" t="s">
        <v>6</v>
      </c>
      <c r="BC34" s="41" t="s">
        <v>229</v>
      </c>
      <c r="BD34" s="41" t="s">
        <v>271</v>
      </c>
    </row>
    <row r="35" spans="1:56" s="57" customFormat="1" ht="18" customHeight="1" outlineLevel="1">
      <c r="A35" s="49">
        <v>30</v>
      </c>
      <c r="B35" s="19">
        <v>523000865</v>
      </c>
      <c r="C35" s="19">
        <v>523000865</v>
      </c>
      <c r="D35" s="50" t="s">
        <v>4</v>
      </c>
      <c r="E35" s="19" t="s">
        <v>367</v>
      </c>
      <c r="F35" s="19" t="s">
        <v>385</v>
      </c>
      <c r="G35" s="19" t="s">
        <v>386</v>
      </c>
      <c r="H35" s="20" t="s">
        <v>387</v>
      </c>
      <c r="I35" s="64" t="s">
        <v>319</v>
      </c>
      <c r="J35" s="70" t="s">
        <v>289</v>
      </c>
      <c r="K35" s="53">
        <v>1</v>
      </c>
      <c r="L35" s="20">
        <v>523000865</v>
      </c>
      <c r="M35" s="72" t="s">
        <v>388</v>
      </c>
      <c r="N35" s="54">
        <v>122.69999999999999</v>
      </c>
      <c r="O35" s="56" t="s">
        <v>279</v>
      </c>
      <c r="P35" s="54">
        <v>199.95</v>
      </c>
      <c r="Q35" s="56" t="s">
        <v>279</v>
      </c>
      <c r="R35" s="27"/>
      <c r="S35" s="58"/>
      <c r="T35" s="51"/>
      <c r="U35" s="51"/>
      <c r="V35" s="51"/>
      <c r="W35" s="76" t="s">
        <v>389</v>
      </c>
      <c r="X35" s="77">
        <v>122.69999999999999</v>
      </c>
      <c r="Y35" s="78">
        <v>0</v>
      </c>
      <c r="Z35" s="29"/>
      <c r="AA35" s="79">
        <v>122.69999999999999</v>
      </c>
      <c r="AB35" s="79">
        <v>122.69999999999999</v>
      </c>
      <c r="AC35" s="78">
        <v>0</v>
      </c>
      <c r="AD35" s="29"/>
      <c r="AE35" s="63" t="s">
        <v>219</v>
      </c>
      <c r="AF35" s="63">
        <v>0</v>
      </c>
      <c r="AG35" s="63">
        <v>0</v>
      </c>
      <c r="AH35" s="29"/>
      <c r="AI35" s="27"/>
      <c r="AJ35" s="29"/>
      <c r="AK35" s="77">
        <v>0</v>
      </c>
      <c r="BA35" s="41" t="s">
        <v>230</v>
      </c>
      <c r="BB35" s="41" t="s">
        <v>6</v>
      </c>
      <c r="BC35" s="41" t="s">
        <v>229</v>
      </c>
      <c r="BD35" s="41" t="s">
        <v>271</v>
      </c>
    </row>
    <row r="36" spans="1:56" ht="18" customHeight="1" outlineLevel="1">
      <c r="A36" s="19">
        <v>31</v>
      </c>
      <c r="B36" s="19">
        <v>523000873</v>
      </c>
      <c r="C36" s="19">
        <v>523000873</v>
      </c>
      <c r="D36" s="50" t="s">
        <v>4</v>
      </c>
      <c r="E36" s="19" t="s">
        <v>367</v>
      </c>
      <c r="F36" s="19" t="s">
        <v>385</v>
      </c>
      <c r="G36" s="19" t="s">
        <v>386</v>
      </c>
      <c r="H36" s="69" t="s">
        <v>390</v>
      </c>
      <c r="I36" s="70" t="s">
        <v>323</v>
      </c>
      <c r="J36" s="70" t="s">
        <v>324</v>
      </c>
      <c r="K36" s="71">
        <v>1</v>
      </c>
      <c r="L36" s="72">
        <v>523000873</v>
      </c>
      <c r="M36" s="72" t="s">
        <v>391</v>
      </c>
      <c r="N36" s="73">
        <v>122.69999999999999</v>
      </c>
      <c r="O36" s="74" t="s">
        <v>279</v>
      </c>
      <c r="P36" s="73">
        <v>199.95</v>
      </c>
      <c r="Q36" s="80" t="s">
        <v>279</v>
      </c>
      <c r="W36" s="76" t="s">
        <v>392</v>
      </c>
      <c r="X36" s="77">
        <v>122.69999999999999</v>
      </c>
      <c r="Y36" s="78">
        <v>0</v>
      </c>
      <c r="AA36" s="79">
        <v>122.69999999999999</v>
      </c>
      <c r="AB36" s="79">
        <v>122.69999999999999</v>
      </c>
      <c r="AC36" s="78">
        <v>0</v>
      </c>
      <c r="AE36" s="63" t="s">
        <v>219</v>
      </c>
      <c r="AF36" s="63">
        <v>0</v>
      </c>
      <c r="AG36" s="63">
        <v>0</v>
      </c>
      <c r="AK36" s="77">
        <v>0</v>
      </c>
      <c r="BA36" s="41" t="s">
        <v>230</v>
      </c>
      <c r="BB36" s="41" t="s">
        <v>6</v>
      </c>
      <c r="BC36" s="41" t="s">
        <v>229</v>
      </c>
      <c r="BD36" s="41" t="s">
        <v>271</v>
      </c>
    </row>
    <row r="37" spans="1:56" ht="18" customHeight="1" outlineLevel="1">
      <c r="A37" s="19">
        <v>32</v>
      </c>
      <c r="B37" s="19">
        <v>523000881</v>
      </c>
      <c r="C37" s="19">
        <v>523000881</v>
      </c>
      <c r="D37" s="50" t="s">
        <v>4</v>
      </c>
      <c r="E37" s="19" t="s">
        <v>367</v>
      </c>
      <c r="F37" s="19" t="s">
        <v>385</v>
      </c>
      <c r="G37" s="19" t="s">
        <v>386</v>
      </c>
      <c r="H37" s="69" t="s">
        <v>393</v>
      </c>
      <c r="I37" s="70" t="s">
        <v>328</v>
      </c>
      <c r="J37" s="70" t="s">
        <v>329</v>
      </c>
      <c r="K37" s="71">
        <v>1</v>
      </c>
      <c r="L37" s="72">
        <v>523000881</v>
      </c>
      <c r="M37" s="72" t="s">
        <v>394</v>
      </c>
      <c r="N37" s="73">
        <v>122.69999999999999</v>
      </c>
      <c r="O37" s="74" t="s">
        <v>279</v>
      </c>
      <c r="P37" s="73">
        <v>199.95</v>
      </c>
      <c r="Q37" s="80" t="s">
        <v>279</v>
      </c>
      <c r="W37" s="76" t="s">
        <v>395</v>
      </c>
      <c r="X37" s="77">
        <v>122.69999999999999</v>
      </c>
      <c r="Y37" s="78">
        <v>0</v>
      </c>
      <c r="AA37" s="79">
        <v>122.69999999999999</v>
      </c>
      <c r="AB37" s="79">
        <v>122.69999999999999</v>
      </c>
      <c r="AC37" s="78">
        <v>0</v>
      </c>
      <c r="AE37" s="63" t="s">
        <v>219</v>
      </c>
      <c r="AF37" s="63">
        <v>0</v>
      </c>
      <c r="AG37" s="63">
        <v>0</v>
      </c>
      <c r="AK37" s="77">
        <v>0</v>
      </c>
      <c r="BA37" s="41" t="s">
        <v>230</v>
      </c>
      <c r="BB37" s="41" t="s">
        <v>6</v>
      </c>
      <c r="BC37" s="41" t="s">
        <v>229</v>
      </c>
      <c r="BD37" s="41" t="s">
        <v>271</v>
      </c>
    </row>
    <row r="38" spans="1:56" ht="18" customHeight="1" outlineLevel="1">
      <c r="A38" s="19">
        <v>33</v>
      </c>
      <c r="B38" s="19">
        <v>523000889</v>
      </c>
      <c r="C38" s="19">
        <v>523000889</v>
      </c>
      <c r="D38" s="50" t="s">
        <v>4</v>
      </c>
      <c r="E38" s="19" t="s">
        <v>367</v>
      </c>
      <c r="F38" s="19" t="s">
        <v>385</v>
      </c>
      <c r="G38" s="19" t="s">
        <v>386</v>
      </c>
      <c r="H38" s="69" t="s">
        <v>396</v>
      </c>
      <c r="I38" s="70" t="s">
        <v>333</v>
      </c>
      <c r="J38" s="70" t="s">
        <v>334</v>
      </c>
      <c r="K38" s="71">
        <v>1</v>
      </c>
      <c r="L38" s="72">
        <v>523000889</v>
      </c>
      <c r="M38" s="72" t="s">
        <v>397</v>
      </c>
      <c r="N38" s="73">
        <v>122.69999999999999</v>
      </c>
      <c r="O38" s="74" t="s">
        <v>279</v>
      </c>
      <c r="P38" s="73">
        <v>199.95</v>
      </c>
      <c r="Q38" s="80" t="s">
        <v>279</v>
      </c>
      <c r="W38" s="76" t="s">
        <v>398</v>
      </c>
      <c r="X38" s="77">
        <v>122.69999999999999</v>
      </c>
      <c r="Y38" s="78">
        <v>0</v>
      </c>
      <c r="AA38" s="79">
        <v>122.69999999999999</v>
      </c>
      <c r="AB38" s="79">
        <v>122.69999999999999</v>
      </c>
      <c r="AC38" s="78">
        <v>0</v>
      </c>
      <c r="AE38" s="63" t="s">
        <v>219</v>
      </c>
      <c r="AF38" s="63">
        <v>0</v>
      </c>
      <c r="AG38" s="63">
        <v>0</v>
      </c>
      <c r="AK38" s="77">
        <v>0</v>
      </c>
      <c r="BA38" s="41" t="s">
        <v>230</v>
      </c>
      <c r="BB38" s="41" t="s">
        <v>6</v>
      </c>
      <c r="BC38" s="41" t="s">
        <v>229</v>
      </c>
      <c r="BD38" s="41" t="s">
        <v>271</v>
      </c>
    </row>
    <row r="39" spans="1:56" s="57" customFormat="1" ht="18" customHeight="1" outlineLevel="1">
      <c r="A39" s="49">
        <v>34</v>
      </c>
      <c r="B39" s="19">
        <v>523000897</v>
      </c>
      <c r="C39" s="19">
        <v>523000897</v>
      </c>
      <c r="D39" s="50" t="s">
        <v>4</v>
      </c>
      <c r="E39" s="19" t="s">
        <v>367</v>
      </c>
      <c r="F39" s="19" t="s">
        <v>385</v>
      </c>
      <c r="G39" s="19" t="s">
        <v>386</v>
      </c>
      <c r="H39" s="20" t="s">
        <v>399</v>
      </c>
      <c r="I39" s="64" t="s">
        <v>338</v>
      </c>
      <c r="J39" s="70" t="s">
        <v>339</v>
      </c>
      <c r="K39" s="53">
        <v>1</v>
      </c>
      <c r="L39" s="20">
        <v>523000897</v>
      </c>
      <c r="M39" s="72" t="s">
        <v>400</v>
      </c>
      <c r="N39" s="54">
        <v>122.69999999999999</v>
      </c>
      <c r="O39" s="56" t="s">
        <v>279</v>
      </c>
      <c r="P39" s="54">
        <v>199.95</v>
      </c>
      <c r="Q39" s="56" t="s">
        <v>279</v>
      </c>
      <c r="R39" s="27"/>
      <c r="S39" s="58"/>
      <c r="T39" s="51"/>
      <c r="U39" s="51"/>
      <c r="V39" s="51"/>
      <c r="W39" s="76" t="s">
        <v>401</v>
      </c>
      <c r="X39" s="77">
        <v>122.69999999999999</v>
      </c>
      <c r="Y39" s="78">
        <v>0</v>
      </c>
      <c r="Z39" s="29"/>
      <c r="AA39" s="79">
        <v>122.69999999999999</v>
      </c>
      <c r="AB39" s="79">
        <v>122.69999999999999</v>
      </c>
      <c r="AC39" s="78">
        <v>0</v>
      </c>
      <c r="AD39" s="29"/>
      <c r="AE39" s="63" t="s">
        <v>219</v>
      </c>
      <c r="AF39" s="63">
        <v>0</v>
      </c>
      <c r="AG39" s="63">
        <v>0</v>
      </c>
      <c r="AH39" s="29"/>
      <c r="AI39" s="27"/>
      <c r="AJ39" s="29"/>
      <c r="AK39" s="77">
        <v>0</v>
      </c>
      <c r="BA39" s="41" t="s">
        <v>230</v>
      </c>
      <c r="BB39" s="41" t="s">
        <v>6</v>
      </c>
      <c r="BC39" s="41" t="s">
        <v>229</v>
      </c>
      <c r="BD39" s="41" t="s">
        <v>271</v>
      </c>
    </row>
    <row r="40" spans="1:56" ht="18" customHeight="1" outlineLevel="1">
      <c r="A40" s="19">
        <v>35</v>
      </c>
      <c r="B40" s="19">
        <v>523001281</v>
      </c>
      <c r="C40" s="19">
        <v>523001281</v>
      </c>
      <c r="D40" s="50" t="s">
        <v>4</v>
      </c>
      <c r="E40" s="19" t="s">
        <v>367</v>
      </c>
      <c r="F40" s="19" t="s">
        <v>385</v>
      </c>
      <c r="G40" s="19" t="s">
        <v>386</v>
      </c>
      <c r="H40" s="69" t="s">
        <v>402</v>
      </c>
      <c r="I40" s="70" t="s">
        <v>343</v>
      </c>
      <c r="J40" s="70" t="s">
        <v>344</v>
      </c>
      <c r="K40" s="71">
        <v>1</v>
      </c>
      <c r="L40" s="72">
        <v>523001281</v>
      </c>
      <c r="M40" s="72" t="s">
        <v>403</v>
      </c>
      <c r="N40" s="73">
        <v>122.69999999999999</v>
      </c>
      <c r="O40" s="74" t="s">
        <v>279</v>
      </c>
      <c r="P40" s="73">
        <v>199.95</v>
      </c>
      <c r="Q40" s="80" t="s">
        <v>279</v>
      </c>
      <c r="W40" s="76" t="s">
        <v>404</v>
      </c>
      <c r="X40" s="77">
        <v>122.69999999999999</v>
      </c>
      <c r="Y40" s="78">
        <v>0</v>
      </c>
      <c r="AA40" s="79">
        <v>122.69999999999999</v>
      </c>
      <c r="AB40" s="79">
        <v>122.69999999999999</v>
      </c>
      <c r="AC40" s="78">
        <v>0</v>
      </c>
      <c r="AE40" s="63" t="s">
        <v>219</v>
      </c>
      <c r="AF40" s="63">
        <v>0</v>
      </c>
      <c r="AG40" s="63">
        <v>0</v>
      </c>
      <c r="AK40" s="77">
        <v>0</v>
      </c>
      <c r="BA40" s="41" t="s">
        <v>230</v>
      </c>
      <c r="BB40" s="41" t="s">
        <v>6</v>
      </c>
      <c r="BC40" s="41" t="s">
        <v>229</v>
      </c>
      <c r="BD40" s="41" t="s">
        <v>271</v>
      </c>
    </row>
    <row r="41" spans="1:56" ht="27" customHeight="1" outlineLevel="1">
      <c r="A41" s="19">
        <v>36</v>
      </c>
      <c r="B41" s="19" t="s">
        <v>219</v>
      </c>
      <c r="C41" s="19" t="s">
        <v>219</v>
      </c>
      <c r="D41" s="50" t="s">
        <v>219</v>
      </c>
      <c r="E41" s="19" t="s">
        <v>219</v>
      </c>
      <c r="F41" s="19" t="s">
        <v>219</v>
      </c>
      <c r="G41" s="19" t="s">
        <v>219</v>
      </c>
      <c r="H41" s="81" t="s">
        <v>219</v>
      </c>
      <c r="I41" s="70" t="s">
        <v>219</v>
      </c>
      <c r="J41" s="70" t="s">
        <v>219</v>
      </c>
      <c r="K41" s="71" t="s">
        <v>219</v>
      </c>
      <c r="L41" s="72" t="s">
        <v>219</v>
      </c>
      <c r="M41" s="72" t="s">
        <v>219</v>
      </c>
      <c r="N41" s="73" t="s">
        <v>219</v>
      </c>
      <c r="O41" s="74" t="s">
        <v>219</v>
      </c>
      <c r="P41" s="73" t="s">
        <v>219</v>
      </c>
      <c r="Q41" s="80" t="s">
        <v>219</v>
      </c>
      <c r="W41" s="76" t="s">
        <v>219</v>
      </c>
      <c r="X41" s="77" t="s">
        <v>219</v>
      </c>
      <c r="Y41" s="78">
        <v>0</v>
      </c>
      <c r="AA41" s="79" t="s">
        <v>219</v>
      </c>
      <c r="AB41" s="79" t="s">
        <v>219</v>
      </c>
      <c r="AC41" s="78">
        <v>0</v>
      </c>
      <c r="AE41" s="63" t="s">
        <v>230</v>
      </c>
      <c r="AF41" s="63">
        <v>1</v>
      </c>
      <c r="AG41" s="63" t="s">
        <v>219</v>
      </c>
      <c r="AK41" s="77">
        <v>0</v>
      </c>
      <c r="BA41" s="41" t="s">
        <v>230</v>
      </c>
      <c r="BB41" s="41" t="s">
        <v>6</v>
      </c>
      <c r="BC41" s="41" t="s">
        <v>229</v>
      </c>
      <c r="BD41" s="41" t="s">
        <v>271</v>
      </c>
    </row>
    <row r="42" spans="1:56" ht="18" customHeight="1" outlineLevel="1">
      <c r="A42" s="19">
        <v>37</v>
      </c>
      <c r="B42" s="19">
        <v>523000921</v>
      </c>
      <c r="C42" s="19">
        <v>523000921</v>
      </c>
      <c r="D42" s="50" t="s">
        <v>4</v>
      </c>
      <c r="E42" s="19" t="s">
        <v>367</v>
      </c>
      <c r="F42" s="19" t="s">
        <v>405</v>
      </c>
      <c r="G42" s="19" t="s">
        <v>406</v>
      </c>
      <c r="H42" s="69" t="s">
        <v>407</v>
      </c>
      <c r="I42" s="70" t="s">
        <v>319</v>
      </c>
      <c r="J42" s="70" t="s">
        <v>289</v>
      </c>
      <c r="K42" s="71">
        <v>1</v>
      </c>
      <c r="L42" s="72">
        <v>523000921</v>
      </c>
      <c r="M42" s="72" t="s">
        <v>408</v>
      </c>
      <c r="N42" s="73">
        <v>208.6</v>
      </c>
      <c r="O42" s="74" t="s">
        <v>279</v>
      </c>
      <c r="P42" s="73">
        <v>339.95</v>
      </c>
      <c r="Q42" s="80" t="s">
        <v>279</v>
      </c>
      <c r="W42" s="76" t="s">
        <v>409</v>
      </c>
      <c r="X42" s="77">
        <v>208.6</v>
      </c>
      <c r="Y42" s="78">
        <v>0</v>
      </c>
      <c r="AA42" s="79">
        <v>208.6</v>
      </c>
      <c r="AB42" s="79">
        <v>208.6</v>
      </c>
      <c r="AC42" s="78">
        <v>0</v>
      </c>
      <c r="AE42" s="63" t="s">
        <v>219</v>
      </c>
      <c r="AF42" s="63">
        <v>1</v>
      </c>
      <c r="AG42" s="63">
        <v>1</v>
      </c>
      <c r="AK42" s="77">
        <v>0</v>
      </c>
      <c r="BA42" s="41" t="s">
        <v>230</v>
      </c>
      <c r="BB42" s="41" t="s">
        <v>6</v>
      </c>
      <c r="BC42" s="41" t="s">
        <v>229</v>
      </c>
      <c r="BD42" s="41" t="s">
        <v>271</v>
      </c>
    </row>
    <row r="43" spans="1:56" ht="18" customHeight="1" outlineLevel="1">
      <c r="A43" s="19">
        <v>38</v>
      </c>
      <c r="B43" s="19">
        <v>523000929</v>
      </c>
      <c r="C43" s="19">
        <v>523000929</v>
      </c>
      <c r="D43" s="50" t="s">
        <v>4</v>
      </c>
      <c r="E43" s="19" t="s">
        <v>367</v>
      </c>
      <c r="F43" s="19" t="s">
        <v>405</v>
      </c>
      <c r="G43" s="19" t="s">
        <v>406</v>
      </c>
      <c r="H43" s="69" t="s">
        <v>410</v>
      </c>
      <c r="I43" s="70" t="s">
        <v>323</v>
      </c>
      <c r="J43" s="70" t="s">
        <v>324</v>
      </c>
      <c r="K43" s="71">
        <v>1</v>
      </c>
      <c r="L43" s="72">
        <v>523000929</v>
      </c>
      <c r="M43" s="72" t="s">
        <v>411</v>
      </c>
      <c r="N43" s="73">
        <v>208.6</v>
      </c>
      <c r="O43" s="74" t="s">
        <v>279</v>
      </c>
      <c r="P43" s="73">
        <v>339.95</v>
      </c>
      <c r="Q43" s="80" t="s">
        <v>279</v>
      </c>
      <c r="W43" s="76" t="s">
        <v>412</v>
      </c>
      <c r="X43" s="77">
        <v>208.6</v>
      </c>
      <c r="Y43" s="78">
        <v>0</v>
      </c>
      <c r="AA43" s="79">
        <v>208.6</v>
      </c>
      <c r="AB43" s="79">
        <v>208.6</v>
      </c>
      <c r="AC43" s="78">
        <v>0</v>
      </c>
      <c r="AE43" s="63" t="s">
        <v>219</v>
      </c>
      <c r="AF43" s="63">
        <v>1</v>
      </c>
      <c r="AG43" s="63">
        <v>1</v>
      </c>
      <c r="AK43" s="77">
        <v>0</v>
      </c>
      <c r="BA43" s="41" t="s">
        <v>230</v>
      </c>
      <c r="BB43" s="41" t="s">
        <v>6</v>
      </c>
      <c r="BC43" s="41" t="s">
        <v>229</v>
      </c>
      <c r="BD43" s="41" t="s">
        <v>271</v>
      </c>
    </row>
    <row r="44" spans="1:56" s="57" customFormat="1" ht="18" customHeight="1" outlineLevel="1">
      <c r="A44" s="49">
        <v>39</v>
      </c>
      <c r="B44" s="19">
        <v>523000937</v>
      </c>
      <c r="C44" s="19">
        <v>523000937</v>
      </c>
      <c r="D44" s="50" t="s">
        <v>4</v>
      </c>
      <c r="E44" s="19" t="s">
        <v>367</v>
      </c>
      <c r="F44" s="19" t="s">
        <v>405</v>
      </c>
      <c r="G44" s="19" t="s">
        <v>406</v>
      </c>
      <c r="H44" s="20" t="s">
        <v>413</v>
      </c>
      <c r="I44" s="64" t="s">
        <v>328</v>
      </c>
      <c r="J44" s="70" t="s">
        <v>329</v>
      </c>
      <c r="K44" s="53">
        <v>1</v>
      </c>
      <c r="L44" s="20">
        <v>523000937</v>
      </c>
      <c r="M44" s="72" t="s">
        <v>414</v>
      </c>
      <c r="N44" s="54">
        <v>208.6</v>
      </c>
      <c r="O44" s="56" t="s">
        <v>279</v>
      </c>
      <c r="P44" s="54">
        <v>339.95</v>
      </c>
      <c r="Q44" s="56" t="s">
        <v>279</v>
      </c>
      <c r="R44" s="27"/>
      <c r="S44" s="58"/>
      <c r="T44" s="51"/>
      <c r="U44" s="51"/>
      <c r="V44" s="51"/>
      <c r="W44" s="76" t="s">
        <v>415</v>
      </c>
      <c r="X44" s="77">
        <v>208.6</v>
      </c>
      <c r="Y44" s="78">
        <v>0</v>
      </c>
      <c r="Z44" s="29"/>
      <c r="AA44" s="79">
        <v>208.6</v>
      </c>
      <c r="AB44" s="79">
        <v>208.6</v>
      </c>
      <c r="AC44" s="78">
        <v>0</v>
      </c>
      <c r="AD44" s="29"/>
      <c r="AE44" s="63" t="s">
        <v>219</v>
      </c>
      <c r="AF44" s="63">
        <v>1</v>
      </c>
      <c r="AG44" s="63">
        <v>1</v>
      </c>
      <c r="AH44" s="29"/>
      <c r="AI44" s="27"/>
      <c r="AJ44" s="29"/>
      <c r="AK44" s="77">
        <v>0</v>
      </c>
      <c r="BA44" s="41" t="s">
        <v>230</v>
      </c>
      <c r="BB44" s="41" t="s">
        <v>6</v>
      </c>
      <c r="BC44" s="41" t="s">
        <v>229</v>
      </c>
      <c r="BD44" s="41" t="s">
        <v>271</v>
      </c>
    </row>
    <row r="45" spans="1:56" ht="18" customHeight="1" outlineLevel="1">
      <c r="A45" s="19">
        <v>40</v>
      </c>
      <c r="B45" s="19">
        <v>523000945</v>
      </c>
      <c r="C45" s="19">
        <v>523000945</v>
      </c>
      <c r="D45" s="50" t="s">
        <v>4</v>
      </c>
      <c r="E45" s="19" t="s">
        <v>367</v>
      </c>
      <c r="F45" s="19" t="s">
        <v>405</v>
      </c>
      <c r="G45" s="19" t="s">
        <v>406</v>
      </c>
      <c r="H45" s="69" t="s">
        <v>416</v>
      </c>
      <c r="I45" s="70" t="s">
        <v>333</v>
      </c>
      <c r="J45" s="70" t="s">
        <v>334</v>
      </c>
      <c r="K45" s="71">
        <v>1</v>
      </c>
      <c r="L45" s="72">
        <v>523000945</v>
      </c>
      <c r="M45" s="72" t="s">
        <v>417</v>
      </c>
      <c r="N45" s="73">
        <v>208.6</v>
      </c>
      <c r="O45" s="74" t="s">
        <v>279</v>
      </c>
      <c r="P45" s="73">
        <v>339.95</v>
      </c>
      <c r="Q45" s="80" t="s">
        <v>279</v>
      </c>
      <c r="W45" s="76" t="s">
        <v>418</v>
      </c>
      <c r="X45" s="77">
        <v>208.6</v>
      </c>
      <c r="Y45" s="78">
        <v>0</v>
      </c>
      <c r="AA45" s="79">
        <v>208.6</v>
      </c>
      <c r="AB45" s="79">
        <v>208.6</v>
      </c>
      <c r="AC45" s="78">
        <v>0</v>
      </c>
      <c r="AE45" s="63" t="s">
        <v>219</v>
      </c>
      <c r="AF45" s="63">
        <v>1</v>
      </c>
      <c r="AG45" s="63">
        <v>1</v>
      </c>
      <c r="AK45" s="77">
        <v>0</v>
      </c>
      <c r="BA45" s="41" t="s">
        <v>230</v>
      </c>
      <c r="BB45" s="41" t="s">
        <v>6</v>
      </c>
      <c r="BC45" s="41" t="s">
        <v>229</v>
      </c>
      <c r="BD45" s="41" t="s">
        <v>271</v>
      </c>
    </row>
    <row r="46" spans="1:56" ht="18" customHeight="1" outlineLevel="1">
      <c r="A46" s="19">
        <v>41</v>
      </c>
      <c r="B46" s="19">
        <v>523000953</v>
      </c>
      <c r="C46" s="19">
        <v>523000953</v>
      </c>
      <c r="D46" s="50" t="s">
        <v>4</v>
      </c>
      <c r="E46" s="19" t="s">
        <v>367</v>
      </c>
      <c r="F46" s="19" t="s">
        <v>405</v>
      </c>
      <c r="G46" s="19" t="s">
        <v>406</v>
      </c>
      <c r="H46" s="69" t="s">
        <v>419</v>
      </c>
      <c r="I46" s="70" t="s">
        <v>338</v>
      </c>
      <c r="J46" s="70" t="s">
        <v>339</v>
      </c>
      <c r="K46" s="71">
        <v>1</v>
      </c>
      <c r="L46" s="72">
        <v>523000953</v>
      </c>
      <c r="M46" s="72" t="s">
        <v>420</v>
      </c>
      <c r="N46" s="73">
        <v>208.6</v>
      </c>
      <c r="O46" s="74" t="s">
        <v>279</v>
      </c>
      <c r="P46" s="73">
        <v>339.95</v>
      </c>
      <c r="Q46" s="80" t="s">
        <v>279</v>
      </c>
      <c r="W46" s="76" t="s">
        <v>421</v>
      </c>
      <c r="X46" s="77">
        <v>208.6</v>
      </c>
      <c r="Y46" s="78">
        <v>0</v>
      </c>
      <c r="AA46" s="79">
        <v>208.6</v>
      </c>
      <c r="AB46" s="79">
        <v>208.6</v>
      </c>
      <c r="AC46" s="78">
        <v>0</v>
      </c>
      <c r="AE46" s="63" t="s">
        <v>219</v>
      </c>
      <c r="AF46" s="63">
        <v>1</v>
      </c>
      <c r="AG46" s="63">
        <v>1</v>
      </c>
      <c r="AK46" s="77">
        <v>0</v>
      </c>
      <c r="BA46" s="41" t="s">
        <v>230</v>
      </c>
      <c r="BB46" s="41" t="s">
        <v>6</v>
      </c>
      <c r="BC46" s="41" t="s">
        <v>229</v>
      </c>
      <c r="BD46" s="41" t="s">
        <v>271</v>
      </c>
    </row>
    <row r="47" spans="1:56" ht="18" customHeight="1" outlineLevel="1">
      <c r="A47" s="19">
        <v>42</v>
      </c>
      <c r="B47" s="19">
        <v>523001289</v>
      </c>
      <c r="C47" s="19">
        <v>523001289</v>
      </c>
      <c r="D47" s="50" t="s">
        <v>4</v>
      </c>
      <c r="E47" s="19" t="s">
        <v>367</v>
      </c>
      <c r="F47" s="19" t="s">
        <v>405</v>
      </c>
      <c r="G47" s="19" t="s">
        <v>406</v>
      </c>
      <c r="H47" s="69" t="s">
        <v>422</v>
      </c>
      <c r="I47" s="70" t="s">
        <v>343</v>
      </c>
      <c r="J47" s="70" t="s">
        <v>344</v>
      </c>
      <c r="K47" s="71">
        <v>1</v>
      </c>
      <c r="L47" s="72">
        <v>523001289</v>
      </c>
      <c r="M47" s="72" t="s">
        <v>423</v>
      </c>
      <c r="N47" s="73">
        <v>208.6</v>
      </c>
      <c r="O47" s="74" t="s">
        <v>279</v>
      </c>
      <c r="P47" s="73">
        <v>339.95</v>
      </c>
      <c r="Q47" s="80" t="s">
        <v>279</v>
      </c>
      <c r="W47" s="76" t="s">
        <v>424</v>
      </c>
      <c r="X47" s="77">
        <v>208.6</v>
      </c>
      <c r="Y47" s="78">
        <v>0</v>
      </c>
      <c r="AA47" s="79">
        <v>208.6</v>
      </c>
      <c r="AB47" s="79">
        <v>208.6</v>
      </c>
      <c r="AC47" s="78">
        <v>0</v>
      </c>
      <c r="AE47" s="63" t="s">
        <v>219</v>
      </c>
      <c r="AF47" s="63">
        <v>1</v>
      </c>
      <c r="AG47" s="63">
        <v>1</v>
      </c>
      <c r="AK47" s="77">
        <v>0</v>
      </c>
      <c r="BA47" s="41" t="s">
        <v>230</v>
      </c>
      <c r="BB47" s="41" t="s">
        <v>6</v>
      </c>
      <c r="BC47" s="41" t="s">
        <v>229</v>
      </c>
      <c r="BD47" s="41" t="s">
        <v>271</v>
      </c>
    </row>
    <row r="48" spans="1:56" ht="27" customHeight="1" outlineLevel="1">
      <c r="A48" s="19">
        <v>43</v>
      </c>
      <c r="B48" s="19" t="s">
        <v>219</v>
      </c>
      <c r="C48" s="19" t="s">
        <v>219</v>
      </c>
      <c r="D48" s="50" t="s">
        <v>219</v>
      </c>
      <c r="E48" s="19" t="s">
        <v>219</v>
      </c>
      <c r="F48" s="19" t="s">
        <v>219</v>
      </c>
      <c r="G48" s="19" t="s">
        <v>219</v>
      </c>
      <c r="H48" s="81" t="s">
        <v>219</v>
      </c>
      <c r="I48" s="70" t="s">
        <v>219</v>
      </c>
      <c r="J48" s="70" t="s">
        <v>219</v>
      </c>
      <c r="K48" s="71" t="s">
        <v>219</v>
      </c>
      <c r="L48" s="72" t="s">
        <v>219</v>
      </c>
      <c r="M48" s="72" t="s">
        <v>219</v>
      </c>
      <c r="N48" s="73" t="s">
        <v>219</v>
      </c>
      <c r="O48" s="74" t="s">
        <v>219</v>
      </c>
      <c r="P48" s="73" t="s">
        <v>219</v>
      </c>
      <c r="Q48" s="80" t="s">
        <v>219</v>
      </c>
      <c r="W48" s="76" t="s">
        <v>219</v>
      </c>
      <c r="X48" s="77" t="s">
        <v>219</v>
      </c>
      <c r="Y48" s="78">
        <v>0</v>
      </c>
      <c r="AA48" s="79" t="s">
        <v>219</v>
      </c>
      <c r="AB48" s="79" t="s">
        <v>219</v>
      </c>
      <c r="AC48" s="78">
        <v>0</v>
      </c>
      <c r="AE48" s="63" t="s">
        <v>230</v>
      </c>
      <c r="AF48" s="63">
        <v>0</v>
      </c>
      <c r="AG48" s="63" t="s">
        <v>219</v>
      </c>
      <c r="AK48" s="77">
        <v>0</v>
      </c>
      <c r="BA48" s="41" t="s">
        <v>230</v>
      </c>
      <c r="BB48" s="41" t="s">
        <v>6</v>
      </c>
      <c r="BC48" s="41" t="s">
        <v>229</v>
      </c>
      <c r="BD48" s="41" t="s">
        <v>271</v>
      </c>
    </row>
    <row r="49" spans="1:56" ht="18" customHeight="1" outlineLevel="1">
      <c r="A49" s="19">
        <v>44</v>
      </c>
      <c r="B49" s="19">
        <v>522004385</v>
      </c>
      <c r="C49" s="19">
        <v>522004385</v>
      </c>
      <c r="D49" s="50" t="s">
        <v>4</v>
      </c>
      <c r="E49" s="19" t="s">
        <v>425</v>
      </c>
      <c r="F49" s="19" t="s">
        <v>426</v>
      </c>
      <c r="G49" s="19" t="s">
        <v>427</v>
      </c>
      <c r="H49" s="69" t="s">
        <v>428</v>
      </c>
      <c r="I49" s="70" t="s">
        <v>319</v>
      </c>
      <c r="J49" s="70" t="s">
        <v>289</v>
      </c>
      <c r="K49" s="71">
        <v>1</v>
      </c>
      <c r="L49" s="72">
        <v>522004385</v>
      </c>
      <c r="M49" s="72" t="s">
        <v>429</v>
      </c>
      <c r="N49" s="73">
        <v>306.8</v>
      </c>
      <c r="O49" s="74" t="s">
        <v>279</v>
      </c>
      <c r="P49" s="73">
        <v>499.95</v>
      </c>
      <c r="Q49" s="80" t="s">
        <v>279</v>
      </c>
      <c r="W49" s="76" t="s">
        <v>430</v>
      </c>
      <c r="X49" s="77">
        <v>306.8</v>
      </c>
      <c r="Y49" s="78">
        <v>0</v>
      </c>
      <c r="AA49" s="79">
        <v>306.8</v>
      </c>
      <c r="AB49" s="79">
        <v>306.8</v>
      </c>
      <c r="AC49" s="78">
        <v>0</v>
      </c>
      <c r="AE49" s="63" t="s">
        <v>219</v>
      </c>
      <c r="AF49" s="63">
        <v>0</v>
      </c>
      <c r="AG49" s="63">
        <v>0</v>
      </c>
      <c r="AK49" s="77">
        <v>0</v>
      </c>
      <c r="BA49" s="41" t="s">
        <v>230</v>
      </c>
      <c r="BB49" s="41" t="s">
        <v>6</v>
      </c>
      <c r="BC49" s="41" t="s">
        <v>229</v>
      </c>
      <c r="BD49" s="41" t="s">
        <v>271</v>
      </c>
    </row>
    <row r="50" spans="1:56" ht="18" customHeight="1" outlineLevel="1">
      <c r="A50" s="19">
        <v>45</v>
      </c>
      <c r="B50" s="19">
        <v>522004395</v>
      </c>
      <c r="C50" s="19">
        <v>522004395</v>
      </c>
      <c r="D50" s="50" t="s">
        <v>4</v>
      </c>
      <c r="E50" s="19" t="s">
        <v>425</v>
      </c>
      <c r="F50" s="19" t="s">
        <v>426</v>
      </c>
      <c r="G50" s="19" t="s">
        <v>427</v>
      </c>
      <c r="H50" s="69" t="s">
        <v>431</v>
      </c>
      <c r="I50" s="70" t="s">
        <v>323</v>
      </c>
      <c r="J50" s="70" t="s">
        <v>324</v>
      </c>
      <c r="K50" s="71">
        <v>1</v>
      </c>
      <c r="L50" s="72">
        <v>522004395</v>
      </c>
      <c r="M50" s="72" t="s">
        <v>432</v>
      </c>
      <c r="N50" s="73">
        <v>306.8</v>
      </c>
      <c r="O50" s="74" t="s">
        <v>279</v>
      </c>
      <c r="P50" s="73">
        <v>499.95</v>
      </c>
      <c r="Q50" s="80" t="s">
        <v>279</v>
      </c>
      <c r="W50" s="76" t="s">
        <v>433</v>
      </c>
      <c r="X50" s="77">
        <v>306.8</v>
      </c>
      <c r="Y50" s="78">
        <v>0</v>
      </c>
      <c r="AA50" s="79">
        <v>306.8</v>
      </c>
      <c r="AB50" s="79">
        <v>306.8</v>
      </c>
      <c r="AC50" s="78">
        <v>0</v>
      </c>
      <c r="AE50" s="63" t="s">
        <v>219</v>
      </c>
      <c r="AF50" s="63">
        <v>0</v>
      </c>
      <c r="AG50" s="63">
        <v>0</v>
      </c>
      <c r="AK50" s="77">
        <v>0</v>
      </c>
      <c r="BA50" s="41" t="s">
        <v>230</v>
      </c>
      <c r="BB50" s="41" t="s">
        <v>6</v>
      </c>
      <c r="BC50" s="41" t="s">
        <v>229</v>
      </c>
      <c r="BD50" s="41" t="s">
        <v>271</v>
      </c>
    </row>
    <row r="51" spans="1:56" ht="27" customHeight="1" outlineLevel="1">
      <c r="A51" s="19">
        <v>46</v>
      </c>
      <c r="B51" s="19" t="s">
        <v>219</v>
      </c>
      <c r="C51" s="19" t="s">
        <v>219</v>
      </c>
      <c r="D51" s="50" t="s">
        <v>219</v>
      </c>
      <c r="E51" s="19" t="s">
        <v>219</v>
      </c>
      <c r="F51" s="19" t="s">
        <v>219</v>
      </c>
      <c r="G51" s="19" t="s">
        <v>219</v>
      </c>
      <c r="H51" s="81" t="s">
        <v>219</v>
      </c>
      <c r="I51" s="70" t="s">
        <v>219</v>
      </c>
      <c r="J51" s="70" t="s">
        <v>219</v>
      </c>
      <c r="K51" s="71" t="s">
        <v>219</v>
      </c>
      <c r="L51" s="72" t="s">
        <v>219</v>
      </c>
      <c r="M51" s="72" t="s">
        <v>219</v>
      </c>
      <c r="N51" s="73" t="s">
        <v>219</v>
      </c>
      <c r="O51" s="74" t="s">
        <v>219</v>
      </c>
      <c r="P51" s="73" t="s">
        <v>219</v>
      </c>
      <c r="Q51" s="80" t="s">
        <v>219</v>
      </c>
      <c r="W51" s="76" t="s">
        <v>219</v>
      </c>
      <c r="X51" s="77" t="s">
        <v>219</v>
      </c>
      <c r="Y51" s="78">
        <v>0</v>
      </c>
      <c r="AA51" s="79" t="s">
        <v>219</v>
      </c>
      <c r="AB51" s="79" t="s">
        <v>219</v>
      </c>
      <c r="AC51" s="78">
        <v>0</v>
      </c>
      <c r="AE51" s="63" t="s">
        <v>230</v>
      </c>
      <c r="AF51" s="63">
        <v>1</v>
      </c>
      <c r="AG51" s="63" t="s">
        <v>219</v>
      </c>
      <c r="AK51" s="77">
        <v>0</v>
      </c>
      <c r="BA51" s="41" t="s">
        <v>230</v>
      </c>
      <c r="BB51" s="41" t="s">
        <v>6</v>
      </c>
      <c r="BC51" s="41" t="s">
        <v>229</v>
      </c>
      <c r="BD51" s="41" t="s">
        <v>271</v>
      </c>
    </row>
    <row r="52" spans="1:56" s="57" customFormat="1" ht="18" customHeight="1" outlineLevel="1">
      <c r="A52" s="49">
        <v>47</v>
      </c>
      <c r="B52" s="19">
        <v>522004315</v>
      </c>
      <c r="C52" s="19">
        <v>522004315</v>
      </c>
      <c r="D52" s="50" t="s">
        <v>4</v>
      </c>
      <c r="E52" s="19" t="s">
        <v>425</v>
      </c>
      <c r="F52" s="19" t="s">
        <v>434</v>
      </c>
      <c r="G52" s="19" t="s">
        <v>435</v>
      </c>
      <c r="H52" s="20" t="s">
        <v>436</v>
      </c>
      <c r="I52" s="64" t="s">
        <v>319</v>
      </c>
      <c r="J52" s="70" t="s">
        <v>289</v>
      </c>
      <c r="K52" s="53">
        <v>1</v>
      </c>
      <c r="L52" s="20">
        <v>522004315</v>
      </c>
      <c r="M52" s="72" t="s">
        <v>437</v>
      </c>
      <c r="N52" s="73">
        <v>306.8</v>
      </c>
      <c r="O52" s="56" t="s">
        <v>279</v>
      </c>
      <c r="P52" s="54">
        <v>499.95</v>
      </c>
      <c r="Q52" s="56" t="s">
        <v>279</v>
      </c>
      <c r="R52" s="27"/>
      <c r="S52" s="58"/>
      <c r="T52" s="51"/>
      <c r="U52" s="51"/>
      <c r="V52" s="51"/>
      <c r="W52" s="76" t="s">
        <v>438</v>
      </c>
      <c r="X52" s="77">
        <v>306.8</v>
      </c>
      <c r="Y52" s="78">
        <v>0</v>
      </c>
      <c r="Z52" s="29"/>
      <c r="AA52" s="79">
        <v>306.8</v>
      </c>
      <c r="AB52" s="79">
        <v>306.8</v>
      </c>
      <c r="AC52" s="78">
        <v>0</v>
      </c>
      <c r="AD52" s="29"/>
      <c r="AE52" s="63" t="s">
        <v>219</v>
      </c>
      <c r="AF52" s="63">
        <v>1</v>
      </c>
      <c r="AG52" s="63">
        <v>1</v>
      </c>
      <c r="AH52" s="29"/>
      <c r="AI52" s="27"/>
      <c r="AJ52" s="29"/>
      <c r="AK52" s="77">
        <v>0</v>
      </c>
      <c r="BA52" s="41" t="s">
        <v>230</v>
      </c>
      <c r="BB52" s="41" t="s">
        <v>6</v>
      </c>
      <c r="BC52" s="41" t="s">
        <v>229</v>
      </c>
      <c r="BD52" s="41" t="s">
        <v>271</v>
      </c>
    </row>
    <row r="53" spans="1:56" ht="18" customHeight="1" outlineLevel="1">
      <c r="A53" s="19">
        <v>48</v>
      </c>
      <c r="B53" s="19">
        <v>522004325</v>
      </c>
      <c r="C53" s="19">
        <v>522004325</v>
      </c>
      <c r="D53" s="50" t="s">
        <v>4</v>
      </c>
      <c r="E53" s="19" t="s">
        <v>425</v>
      </c>
      <c r="F53" s="19" t="s">
        <v>434</v>
      </c>
      <c r="G53" s="19" t="s">
        <v>435</v>
      </c>
      <c r="H53" s="69" t="s">
        <v>439</v>
      </c>
      <c r="I53" s="70" t="s">
        <v>323</v>
      </c>
      <c r="J53" s="70" t="s">
        <v>324</v>
      </c>
      <c r="K53" s="71">
        <v>1</v>
      </c>
      <c r="L53" s="72">
        <v>522004325</v>
      </c>
      <c r="M53" s="72" t="s">
        <v>440</v>
      </c>
      <c r="N53" s="73">
        <v>306.8</v>
      </c>
      <c r="O53" s="74" t="s">
        <v>279</v>
      </c>
      <c r="P53" s="73">
        <v>499.95</v>
      </c>
      <c r="Q53" s="80" t="s">
        <v>279</v>
      </c>
      <c r="W53" s="76" t="s">
        <v>441</v>
      </c>
      <c r="X53" s="77">
        <v>306.8</v>
      </c>
      <c r="Y53" s="78">
        <v>0</v>
      </c>
      <c r="AA53" s="79">
        <v>306.8</v>
      </c>
      <c r="AB53" s="79">
        <v>306.8</v>
      </c>
      <c r="AC53" s="78">
        <v>0</v>
      </c>
      <c r="AE53" s="63" t="s">
        <v>219</v>
      </c>
      <c r="AF53" s="63">
        <v>1</v>
      </c>
      <c r="AG53" s="63">
        <v>1</v>
      </c>
      <c r="AK53" s="77">
        <v>0</v>
      </c>
      <c r="BA53" s="41" t="s">
        <v>230</v>
      </c>
      <c r="BB53" s="41" t="s">
        <v>6</v>
      </c>
      <c r="BC53" s="41" t="s">
        <v>229</v>
      </c>
      <c r="BD53" s="41" t="s">
        <v>271</v>
      </c>
    </row>
    <row r="54" spans="1:56" ht="18" customHeight="1" outlineLevel="1">
      <c r="A54" s="19">
        <v>49</v>
      </c>
      <c r="B54" s="19">
        <v>522004335</v>
      </c>
      <c r="C54" s="19">
        <v>522004335</v>
      </c>
      <c r="D54" s="50" t="s">
        <v>4</v>
      </c>
      <c r="E54" s="19" t="s">
        <v>425</v>
      </c>
      <c r="F54" s="19" t="s">
        <v>434</v>
      </c>
      <c r="G54" s="19" t="s">
        <v>435</v>
      </c>
      <c r="H54" s="69" t="s">
        <v>442</v>
      </c>
      <c r="I54" s="70" t="s">
        <v>328</v>
      </c>
      <c r="J54" s="70" t="s">
        <v>329</v>
      </c>
      <c r="K54" s="71">
        <v>1</v>
      </c>
      <c r="L54" s="72">
        <v>522004335</v>
      </c>
      <c r="M54" s="72" t="s">
        <v>443</v>
      </c>
      <c r="N54" s="73">
        <v>306.8</v>
      </c>
      <c r="O54" s="74" t="s">
        <v>279</v>
      </c>
      <c r="P54" s="73">
        <v>499.95</v>
      </c>
      <c r="Q54" s="80" t="s">
        <v>279</v>
      </c>
      <c r="W54" s="76" t="s">
        <v>444</v>
      </c>
      <c r="X54" s="77">
        <v>306.8</v>
      </c>
      <c r="Y54" s="78">
        <v>0</v>
      </c>
      <c r="AA54" s="79">
        <v>306.8</v>
      </c>
      <c r="AB54" s="79">
        <v>306.8</v>
      </c>
      <c r="AC54" s="78">
        <v>0</v>
      </c>
      <c r="AE54" s="63" t="s">
        <v>219</v>
      </c>
      <c r="AF54" s="63">
        <v>1</v>
      </c>
      <c r="AG54" s="63">
        <v>1</v>
      </c>
      <c r="AK54" s="77">
        <v>0</v>
      </c>
      <c r="BA54" s="41" t="s">
        <v>230</v>
      </c>
      <c r="BB54" s="41" t="s">
        <v>6</v>
      </c>
      <c r="BC54" s="41" t="s">
        <v>229</v>
      </c>
      <c r="BD54" s="41" t="s">
        <v>271</v>
      </c>
    </row>
    <row r="55" spans="1:56" ht="18" customHeight="1" outlineLevel="1">
      <c r="A55" s="19">
        <v>50</v>
      </c>
      <c r="B55" s="19">
        <v>522004345</v>
      </c>
      <c r="C55" s="19">
        <v>522004345</v>
      </c>
      <c r="D55" s="50" t="s">
        <v>4</v>
      </c>
      <c r="E55" s="19" t="s">
        <v>425</v>
      </c>
      <c r="F55" s="19" t="s">
        <v>434</v>
      </c>
      <c r="G55" s="19" t="s">
        <v>435</v>
      </c>
      <c r="H55" s="69" t="s">
        <v>445</v>
      </c>
      <c r="I55" s="70" t="s">
        <v>333</v>
      </c>
      <c r="J55" s="70" t="s">
        <v>334</v>
      </c>
      <c r="K55" s="71">
        <v>1</v>
      </c>
      <c r="L55" s="72">
        <v>522004345</v>
      </c>
      <c r="M55" s="72" t="s">
        <v>446</v>
      </c>
      <c r="N55" s="73">
        <v>306.8</v>
      </c>
      <c r="O55" s="74" t="s">
        <v>279</v>
      </c>
      <c r="P55" s="73">
        <v>499.95</v>
      </c>
      <c r="Q55" s="80" t="s">
        <v>279</v>
      </c>
      <c r="W55" s="76" t="s">
        <v>447</v>
      </c>
      <c r="X55" s="77">
        <v>306.8</v>
      </c>
      <c r="Y55" s="78">
        <v>0</v>
      </c>
      <c r="AA55" s="79">
        <v>306.8</v>
      </c>
      <c r="AB55" s="79">
        <v>306.8</v>
      </c>
      <c r="AC55" s="78">
        <v>0</v>
      </c>
      <c r="AE55" s="63" t="s">
        <v>219</v>
      </c>
      <c r="AF55" s="63">
        <v>1</v>
      </c>
      <c r="AG55" s="63">
        <v>1</v>
      </c>
      <c r="AK55" s="77">
        <v>0</v>
      </c>
      <c r="BA55" s="41" t="s">
        <v>230</v>
      </c>
      <c r="BB55" s="41" t="s">
        <v>6</v>
      </c>
      <c r="BC55" s="41" t="s">
        <v>229</v>
      </c>
      <c r="BD55" s="41" t="s">
        <v>271</v>
      </c>
    </row>
    <row r="56" spans="1:56" s="57" customFormat="1" ht="18" customHeight="1" outlineLevel="1">
      <c r="A56" s="49">
        <v>51</v>
      </c>
      <c r="B56" s="19">
        <v>522004355</v>
      </c>
      <c r="C56" s="19">
        <v>522004355</v>
      </c>
      <c r="D56" s="50" t="s">
        <v>4</v>
      </c>
      <c r="E56" s="19" t="s">
        <v>425</v>
      </c>
      <c r="F56" s="19" t="s">
        <v>434</v>
      </c>
      <c r="G56" s="19" t="s">
        <v>435</v>
      </c>
      <c r="H56" s="20" t="s">
        <v>448</v>
      </c>
      <c r="I56" s="64" t="s">
        <v>338</v>
      </c>
      <c r="J56" s="70" t="s">
        <v>339</v>
      </c>
      <c r="K56" s="53">
        <v>1</v>
      </c>
      <c r="L56" s="20">
        <v>522004355</v>
      </c>
      <c r="M56" s="72" t="s">
        <v>449</v>
      </c>
      <c r="N56" s="73">
        <v>306.8</v>
      </c>
      <c r="O56" s="56" t="s">
        <v>279</v>
      </c>
      <c r="P56" s="54">
        <v>499.95</v>
      </c>
      <c r="Q56" s="56" t="s">
        <v>279</v>
      </c>
      <c r="R56" s="27"/>
      <c r="S56" s="58"/>
      <c r="T56" s="51"/>
      <c r="U56" s="51"/>
      <c r="V56" s="51"/>
      <c r="W56" s="76" t="s">
        <v>450</v>
      </c>
      <c r="X56" s="77">
        <v>306.8</v>
      </c>
      <c r="Y56" s="78">
        <v>0</v>
      </c>
      <c r="Z56" s="29"/>
      <c r="AA56" s="79">
        <v>306.8</v>
      </c>
      <c r="AB56" s="79">
        <v>306.8</v>
      </c>
      <c r="AC56" s="78">
        <v>0</v>
      </c>
      <c r="AD56" s="29"/>
      <c r="AE56" s="63" t="s">
        <v>219</v>
      </c>
      <c r="AF56" s="63">
        <v>1</v>
      </c>
      <c r="AG56" s="63">
        <v>1</v>
      </c>
      <c r="AH56" s="29"/>
      <c r="AI56" s="27"/>
      <c r="AJ56" s="29"/>
      <c r="AK56" s="77">
        <v>0</v>
      </c>
      <c r="BA56" s="41" t="s">
        <v>230</v>
      </c>
      <c r="BB56" s="41" t="s">
        <v>6</v>
      </c>
      <c r="BC56" s="41" t="s">
        <v>229</v>
      </c>
      <c r="BD56" s="41" t="s">
        <v>271</v>
      </c>
    </row>
    <row r="57" spans="1:56" ht="18" customHeight="1" outlineLevel="1">
      <c r="A57" s="19">
        <v>52</v>
      </c>
      <c r="B57" s="19">
        <v>522005197</v>
      </c>
      <c r="C57" s="19">
        <v>522005197</v>
      </c>
      <c r="D57" s="50" t="s">
        <v>4</v>
      </c>
      <c r="E57" s="19" t="s">
        <v>425</v>
      </c>
      <c r="F57" s="19" t="s">
        <v>434</v>
      </c>
      <c r="G57" s="19" t="s">
        <v>435</v>
      </c>
      <c r="H57" s="69" t="s">
        <v>451</v>
      </c>
      <c r="I57" s="70" t="s">
        <v>343</v>
      </c>
      <c r="J57" s="70" t="s">
        <v>344</v>
      </c>
      <c r="K57" s="71">
        <v>1</v>
      </c>
      <c r="L57" s="72">
        <v>522005197</v>
      </c>
      <c r="M57" s="72" t="s">
        <v>452</v>
      </c>
      <c r="N57" s="73">
        <v>306.8</v>
      </c>
      <c r="O57" s="74" t="s">
        <v>279</v>
      </c>
      <c r="P57" s="73">
        <v>499.95</v>
      </c>
      <c r="Q57" s="80" t="s">
        <v>279</v>
      </c>
      <c r="W57" s="76" t="s">
        <v>453</v>
      </c>
      <c r="X57" s="77">
        <v>306.8</v>
      </c>
      <c r="Y57" s="78">
        <v>0</v>
      </c>
      <c r="AA57" s="79">
        <v>306.8</v>
      </c>
      <c r="AB57" s="79">
        <v>306.8</v>
      </c>
      <c r="AC57" s="78">
        <v>0</v>
      </c>
      <c r="AE57" s="63" t="s">
        <v>219</v>
      </c>
      <c r="AF57" s="63">
        <v>1</v>
      </c>
      <c r="AG57" s="63">
        <v>1</v>
      </c>
      <c r="AK57" s="77">
        <v>0</v>
      </c>
      <c r="BA57" s="41" t="s">
        <v>230</v>
      </c>
      <c r="BB57" s="41" t="s">
        <v>6</v>
      </c>
      <c r="BC57" s="41" t="s">
        <v>229</v>
      </c>
      <c r="BD57" s="41" t="s">
        <v>271</v>
      </c>
    </row>
    <row r="58" spans="1:56" ht="27" customHeight="1" outlineLevel="1">
      <c r="A58" s="19">
        <v>53</v>
      </c>
      <c r="B58" s="19" t="s">
        <v>219</v>
      </c>
      <c r="C58" s="19" t="s">
        <v>219</v>
      </c>
      <c r="D58" s="50" t="s">
        <v>219</v>
      </c>
      <c r="E58" s="19" t="s">
        <v>219</v>
      </c>
      <c r="F58" s="19" t="s">
        <v>219</v>
      </c>
      <c r="G58" s="19" t="s">
        <v>219</v>
      </c>
      <c r="H58" s="81" t="s">
        <v>219</v>
      </c>
      <c r="I58" s="70" t="s">
        <v>219</v>
      </c>
      <c r="J58" s="70" t="s">
        <v>219</v>
      </c>
      <c r="K58" s="71" t="s">
        <v>219</v>
      </c>
      <c r="L58" s="72" t="s">
        <v>219</v>
      </c>
      <c r="M58" s="72" t="s">
        <v>219</v>
      </c>
      <c r="N58" s="73" t="s">
        <v>219</v>
      </c>
      <c r="O58" s="74" t="s">
        <v>219</v>
      </c>
      <c r="P58" s="73" t="s">
        <v>219</v>
      </c>
      <c r="Q58" s="80" t="s">
        <v>219</v>
      </c>
      <c r="W58" s="76" t="s">
        <v>219</v>
      </c>
      <c r="X58" s="77" t="s">
        <v>219</v>
      </c>
      <c r="Y58" s="78">
        <v>0</v>
      </c>
      <c r="AA58" s="79" t="s">
        <v>219</v>
      </c>
      <c r="AB58" s="79" t="s">
        <v>219</v>
      </c>
      <c r="AC58" s="78">
        <v>0</v>
      </c>
      <c r="AE58" s="63" t="s">
        <v>230</v>
      </c>
      <c r="AF58" s="63">
        <v>0</v>
      </c>
      <c r="AG58" s="63" t="s">
        <v>219</v>
      </c>
      <c r="AK58" s="77">
        <v>0</v>
      </c>
      <c r="BA58" s="41" t="s">
        <v>230</v>
      </c>
      <c r="BB58" s="41" t="s">
        <v>6</v>
      </c>
      <c r="BC58" s="41" t="s">
        <v>229</v>
      </c>
      <c r="BD58" s="41" t="s">
        <v>271</v>
      </c>
    </row>
    <row r="59" spans="1:56" ht="18" customHeight="1" outlineLevel="1">
      <c r="A59" s="19">
        <v>54</v>
      </c>
      <c r="B59" s="19">
        <v>522004245</v>
      </c>
      <c r="C59" s="19">
        <v>522004245</v>
      </c>
      <c r="D59" s="50" t="s">
        <v>4</v>
      </c>
      <c r="E59" s="19" t="s">
        <v>425</v>
      </c>
      <c r="F59" s="19" t="s">
        <v>454</v>
      </c>
      <c r="G59" s="19" t="s">
        <v>455</v>
      </c>
      <c r="H59" s="69" t="s">
        <v>456</v>
      </c>
      <c r="I59" s="70" t="s">
        <v>319</v>
      </c>
      <c r="J59" s="70" t="s">
        <v>289</v>
      </c>
      <c r="K59" s="71">
        <v>1</v>
      </c>
      <c r="L59" s="72">
        <v>522004245</v>
      </c>
      <c r="M59" s="72" t="s">
        <v>457</v>
      </c>
      <c r="N59" s="73">
        <v>337.40000000000003</v>
      </c>
      <c r="O59" s="74" t="s">
        <v>279</v>
      </c>
      <c r="P59" s="73">
        <v>549.95000000000005</v>
      </c>
      <c r="Q59" s="80" t="s">
        <v>279</v>
      </c>
      <c r="W59" s="76" t="s">
        <v>458</v>
      </c>
      <c r="X59" s="77">
        <v>337.40000000000003</v>
      </c>
      <c r="Y59" s="78">
        <v>0</v>
      </c>
      <c r="AA59" s="79">
        <v>337.40000000000003</v>
      </c>
      <c r="AB59" s="79">
        <v>337.40000000000003</v>
      </c>
      <c r="AC59" s="78">
        <v>0</v>
      </c>
      <c r="AE59" s="63" t="s">
        <v>219</v>
      </c>
      <c r="AF59" s="63">
        <v>0</v>
      </c>
      <c r="AG59" s="63">
        <v>0</v>
      </c>
      <c r="AK59" s="77">
        <v>0</v>
      </c>
      <c r="BA59" s="41" t="s">
        <v>230</v>
      </c>
      <c r="BB59" s="41" t="s">
        <v>6</v>
      </c>
      <c r="BC59" s="41" t="s">
        <v>229</v>
      </c>
      <c r="BD59" s="41" t="s">
        <v>271</v>
      </c>
    </row>
    <row r="60" spans="1:56" ht="18" customHeight="1" outlineLevel="1">
      <c r="A60" s="19">
        <v>55</v>
      </c>
      <c r="B60" s="19">
        <v>522004255</v>
      </c>
      <c r="C60" s="19">
        <v>522004255</v>
      </c>
      <c r="D60" s="50" t="s">
        <v>4</v>
      </c>
      <c r="E60" s="19" t="s">
        <v>425</v>
      </c>
      <c r="F60" s="19" t="s">
        <v>454</v>
      </c>
      <c r="G60" s="19" t="s">
        <v>455</v>
      </c>
      <c r="H60" s="69" t="s">
        <v>459</v>
      </c>
      <c r="I60" s="70" t="s">
        <v>323</v>
      </c>
      <c r="J60" s="70" t="s">
        <v>324</v>
      </c>
      <c r="K60" s="71">
        <v>1</v>
      </c>
      <c r="L60" s="72">
        <v>522004255</v>
      </c>
      <c r="M60" s="72" t="s">
        <v>460</v>
      </c>
      <c r="N60" s="73">
        <v>337.40000000000003</v>
      </c>
      <c r="O60" s="74" t="s">
        <v>279</v>
      </c>
      <c r="P60" s="73">
        <v>549.95000000000005</v>
      </c>
      <c r="Q60" s="80" t="s">
        <v>279</v>
      </c>
      <c r="W60" s="76" t="s">
        <v>461</v>
      </c>
      <c r="X60" s="77">
        <v>337.40000000000003</v>
      </c>
      <c r="Y60" s="78">
        <v>0</v>
      </c>
      <c r="AA60" s="79">
        <v>337.40000000000003</v>
      </c>
      <c r="AB60" s="79">
        <v>337.40000000000003</v>
      </c>
      <c r="AC60" s="78">
        <v>0</v>
      </c>
      <c r="AE60" s="63" t="s">
        <v>219</v>
      </c>
      <c r="AF60" s="63">
        <v>0</v>
      </c>
      <c r="AG60" s="63">
        <v>0</v>
      </c>
      <c r="AK60" s="77">
        <v>0</v>
      </c>
      <c r="BA60" s="41" t="s">
        <v>230</v>
      </c>
      <c r="BB60" s="41" t="s">
        <v>6</v>
      </c>
      <c r="BC60" s="41" t="s">
        <v>229</v>
      </c>
      <c r="BD60" s="41" t="s">
        <v>271</v>
      </c>
    </row>
    <row r="61" spans="1:56" ht="18" customHeight="1" outlineLevel="1">
      <c r="A61" s="19">
        <v>56</v>
      </c>
      <c r="B61" s="19">
        <v>522004265</v>
      </c>
      <c r="C61" s="19">
        <v>522004265</v>
      </c>
      <c r="D61" s="50" t="s">
        <v>4</v>
      </c>
      <c r="E61" s="19" t="s">
        <v>425</v>
      </c>
      <c r="F61" s="19" t="s">
        <v>454</v>
      </c>
      <c r="G61" s="19" t="s">
        <v>455</v>
      </c>
      <c r="H61" s="69" t="s">
        <v>462</v>
      </c>
      <c r="I61" s="70" t="s">
        <v>328</v>
      </c>
      <c r="J61" s="70" t="s">
        <v>329</v>
      </c>
      <c r="K61" s="71">
        <v>1</v>
      </c>
      <c r="L61" s="72">
        <v>522004265</v>
      </c>
      <c r="M61" s="72" t="s">
        <v>463</v>
      </c>
      <c r="N61" s="73">
        <v>337.40000000000003</v>
      </c>
      <c r="O61" s="74" t="s">
        <v>279</v>
      </c>
      <c r="P61" s="73">
        <v>549.95000000000005</v>
      </c>
      <c r="Q61" s="80" t="s">
        <v>279</v>
      </c>
      <c r="W61" s="76" t="s">
        <v>464</v>
      </c>
      <c r="X61" s="77">
        <v>337.40000000000003</v>
      </c>
      <c r="Y61" s="78">
        <v>0</v>
      </c>
      <c r="AA61" s="79">
        <v>337.40000000000003</v>
      </c>
      <c r="AB61" s="79">
        <v>337.40000000000003</v>
      </c>
      <c r="AC61" s="78">
        <v>0</v>
      </c>
      <c r="AE61" s="63" t="s">
        <v>219</v>
      </c>
      <c r="AF61" s="63">
        <v>0</v>
      </c>
      <c r="AG61" s="63">
        <v>0</v>
      </c>
      <c r="AK61" s="77">
        <v>0</v>
      </c>
      <c r="BA61" s="41" t="s">
        <v>230</v>
      </c>
      <c r="BB61" s="41" t="s">
        <v>6</v>
      </c>
      <c r="BC61" s="41" t="s">
        <v>229</v>
      </c>
      <c r="BD61" s="41" t="s">
        <v>271</v>
      </c>
    </row>
    <row r="62" spans="1:56" ht="18" customHeight="1" outlineLevel="1">
      <c r="A62" s="19">
        <v>57</v>
      </c>
      <c r="B62" s="19">
        <v>522004275</v>
      </c>
      <c r="C62" s="19">
        <v>522004275</v>
      </c>
      <c r="D62" s="50" t="s">
        <v>4</v>
      </c>
      <c r="E62" s="19" t="s">
        <v>425</v>
      </c>
      <c r="F62" s="19" t="s">
        <v>454</v>
      </c>
      <c r="G62" s="19" t="s">
        <v>455</v>
      </c>
      <c r="H62" s="69" t="s">
        <v>465</v>
      </c>
      <c r="I62" s="70" t="s">
        <v>333</v>
      </c>
      <c r="J62" s="70" t="s">
        <v>334</v>
      </c>
      <c r="K62" s="71">
        <v>1</v>
      </c>
      <c r="L62" s="72">
        <v>522004275</v>
      </c>
      <c r="M62" s="72" t="s">
        <v>466</v>
      </c>
      <c r="N62" s="73">
        <v>337.40000000000003</v>
      </c>
      <c r="O62" s="74" t="s">
        <v>279</v>
      </c>
      <c r="P62" s="73">
        <v>549.95000000000005</v>
      </c>
      <c r="Q62" s="80" t="s">
        <v>279</v>
      </c>
      <c r="W62" s="76" t="s">
        <v>467</v>
      </c>
      <c r="X62" s="77">
        <v>337.40000000000003</v>
      </c>
      <c r="Y62" s="78">
        <v>0</v>
      </c>
      <c r="AA62" s="79">
        <v>337.40000000000003</v>
      </c>
      <c r="AB62" s="79">
        <v>337.40000000000003</v>
      </c>
      <c r="AC62" s="78">
        <v>0</v>
      </c>
      <c r="AE62" s="63" t="s">
        <v>219</v>
      </c>
      <c r="AF62" s="63">
        <v>0</v>
      </c>
      <c r="AG62" s="63">
        <v>0</v>
      </c>
      <c r="AK62" s="77">
        <v>0</v>
      </c>
      <c r="BA62" s="41" t="s">
        <v>230</v>
      </c>
      <c r="BB62" s="41" t="s">
        <v>6</v>
      </c>
      <c r="BC62" s="41" t="s">
        <v>229</v>
      </c>
      <c r="BD62" s="41" t="s">
        <v>271</v>
      </c>
    </row>
    <row r="63" spans="1:56" ht="18" customHeight="1" outlineLevel="1">
      <c r="A63" s="19">
        <v>58</v>
      </c>
      <c r="B63" s="19">
        <v>522004285</v>
      </c>
      <c r="C63" s="19">
        <v>522004285</v>
      </c>
      <c r="D63" s="50" t="s">
        <v>4</v>
      </c>
      <c r="E63" s="19" t="s">
        <v>425</v>
      </c>
      <c r="F63" s="19" t="s">
        <v>454</v>
      </c>
      <c r="G63" s="19" t="s">
        <v>455</v>
      </c>
      <c r="H63" s="69" t="s">
        <v>468</v>
      </c>
      <c r="I63" s="70" t="s">
        <v>338</v>
      </c>
      <c r="J63" s="70" t="s">
        <v>339</v>
      </c>
      <c r="K63" s="71">
        <v>1</v>
      </c>
      <c r="L63" s="72">
        <v>522004285</v>
      </c>
      <c r="M63" s="72" t="s">
        <v>469</v>
      </c>
      <c r="N63" s="73">
        <v>337.40000000000003</v>
      </c>
      <c r="O63" s="74" t="s">
        <v>279</v>
      </c>
      <c r="P63" s="73">
        <v>549.95000000000005</v>
      </c>
      <c r="Q63" s="80" t="s">
        <v>279</v>
      </c>
      <c r="W63" s="76" t="s">
        <v>470</v>
      </c>
      <c r="X63" s="77">
        <v>337.40000000000003</v>
      </c>
      <c r="Y63" s="78">
        <v>0</v>
      </c>
      <c r="AA63" s="79">
        <v>337.40000000000003</v>
      </c>
      <c r="AB63" s="79">
        <v>337.40000000000003</v>
      </c>
      <c r="AC63" s="78">
        <v>0</v>
      </c>
      <c r="AE63" s="63" t="s">
        <v>219</v>
      </c>
      <c r="AF63" s="63">
        <v>0</v>
      </c>
      <c r="AG63" s="63">
        <v>0</v>
      </c>
      <c r="AK63" s="77">
        <v>0</v>
      </c>
      <c r="BA63" s="41" t="s">
        <v>230</v>
      </c>
      <c r="BB63" s="41" t="s">
        <v>6</v>
      </c>
      <c r="BC63" s="41" t="s">
        <v>229</v>
      </c>
      <c r="BD63" s="41" t="s">
        <v>271</v>
      </c>
    </row>
    <row r="64" spans="1:56" s="57" customFormat="1" ht="18" customHeight="1" outlineLevel="1">
      <c r="A64" s="49">
        <v>59</v>
      </c>
      <c r="B64" s="19">
        <v>522005183</v>
      </c>
      <c r="C64" s="19">
        <v>522005183</v>
      </c>
      <c r="D64" s="50" t="s">
        <v>4</v>
      </c>
      <c r="E64" s="19" t="s">
        <v>425</v>
      </c>
      <c r="F64" s="19" t="s">
        <v>454</v>
      </c>
      <c r="G64" s="19" t="s">
        <v>455</v>
      </c>
      <c r="H64" s="20" t="s">
        <v>471</v>
      </c>
      <c r="I64" s="64" t="s">
        <v>343</v>
      </c>
      <c r="J64" s="70" t="s">
        <v>344</v>
      </c>
      <c r="K64" s="53">
        <v>1</v>
      </c>
      <c r="L64" s="20">
        <v>522005183</v>
      </c>
      <c r="M64" s="72" t="s">
        <v>472</v>
      </c>
      <c r="N64" s="73">
        <v>337.40000000000003</v>
      </c>
      <c r="O64" s="56" t="s">
        <v>279</v>
      </c>
      <c r="P64" s="54">
        <v>549.95000000000005</v>
      </c>
      <c r="Q64" s="56" t="s">
        <v>279</v>
      </c>
      <c r="R64" s="27"/>
      <c r="S64" s="58"/>
      <c r="T64" s="51"/>
      <c r="U64" s="51"/>
      <c r="V64" s="51"/>
      <c r="W64" s="76" t="s">
        <v>473</v>
      </c>
      <c r="X64" s="77">
        <v>337.40000000000003</v>
      </c>
      <c r="Y64" s="78">
        <v>0</v>
      </c>
      <c r="Z64" s="29"/>
      <c r="AA64" s="79">
        <v>337.40000000000003</v>
      </c>
      <c r="AB64" s="79">
        <v>337.40000000000003</v>
      </c>
      <c r="AC64" s="78">
        <v>0</v>
      </c>
      <c r="AD64" s="29"/>
      <c r="AE64" s="63" t="s">
        <v>219</v>
      </c>
      <c r="AF64" s="63">
        <v>0</v>
      </c>
      <c r="AG64" s="63">
        <v>0</v>
      </c>
      <c r="AH64" s="29"/>
      <c r="AI64" s="27"/>
      <c r="AJ64" s="29"/>
      <c r="AK64" s="77">
        <v>0</v>
      </c>
      <c r="BA64" s="41" t="s">
        <v>230</v>
      </c>
      <c r="BB64" s="41" t="s">
        <v>6</v>
      </c>
      <c r="BC64" s="41" t="s">
        <v>229</v>
      </c>
      <c r="BD64" s="41" t="s">
        <v>271</v>
      </c>
    </row>
    <row r="65" spans="1:56" ht="27" customHeight="1" outlineLevel="1">
      <c r="A65" s="19">
        <v>60</v>
      </c>
      <c r="B65" s="19" t="s">
        <v>219</v>
      </c>
      <c r="C65" s="19" t="s">
        <v>219</v>
      </c>
      <c r="D65" s="50" t="s">
        <v>219</v>
      </c>
      <c r="E65" s="19" t="s">
        <v>219</v>
      </c>
      <c r="F65" s="19" t="s">
        <v>219</v>
      </c>
      <c r="G65" s="19" t="s">
        <v>219</v>
      </c>
      <c r="H65" s="81" t="s">
        <v>219</v>
      </c>
      <c r="I65" s="70" t="s">
        <v>219</v>
      </c>
      <c r="J65" s="70" t="s">
        <v>219</v>
      </c>
      <c r="K65" s="71" t="s">
        <v>219</v>
      </c>
      <c r="L65" s="72" t="s">
        <v>219</v>
      </c>
      <c r="M65" s="72" t="s">
        <v>219</v>
      </c>
      <c r="N65" s="73" t="s">
        <v>219</v>
      </c>
      <c r="O65" s="74" t="s">
        <v>219</v>
      </c>
      <c r="P65" s="73" t="s">
        <v>219</v>
      </c>
      <c r="Q65" s="80" t="s">
        <v>219</v>
      </c>
      <c r="W65" s="76" t="s">
        <v>219</v>
      </c>
      <c r="X65" s="77" t="s">
        <v>219</v>
      </c>
      <c r="Y65" s="78">
        <v>0</v>
      </c>
      <c r="AA65" s="79" t="s">
        <v>219</v>
      </c>
      <c r="AB65" s="79" t="s">
        <v>219</v>
      </c>
      <c r="AC65" s="78">
        <v>0</v>
      </c>
      <c r="AE65" s="63" t="s">
        <v>230</v>
      </c>
      <c r="AF65" s="63">
        <v>0</v>
      </c>
      <c r="AG65" s="63" t="s">
        <v>219</v>
      </c>
      <c r="AK65" s="77">
        <v>0</v>
      </c>
      <c r="BA65" s="41" t="s">
        <v>230</v>
      </c>
      <c r="BB65" s="41" t="s">
        <v>6</v>
      </c>
      <c r="BC65" s="41" t="s">
        <v>229</v>
      </c>
      <c r="BD65" s="41" t="s">
        <v>271</v>
      </c>
    </row>
    <row r="66" spans="1:56" ht="27" customHeight="1" outlineLevel="1">
      <c r="A66" s="19">
        <v>61</v>
      </c>
      <c r="B66" s="19" t="s">
        <v>219</v>
      </c>
      <c r="C66" s="19" t="s">
        <v>219</v>
      </c>
      <c r="D66" s="50" t="s">
        <v>474</v>
      </c>
      <c r="E66" s="19" t="s">
        <v>219</v>
      </c>
      <c r="F66" s="19" t="s">
        <v>219</v>
      </c>
      <c r="G66" s="19" t="s">
        <v>219</v>
      </c>
      <c r="H66" s="81" t="s">
        <v>474</v>
      </c>
      <c r="I66" s="70" t="s">
        <v>219</v>
      </c>
      <c r="J66" s="70" t="s">
        <v>219</v>
      </c>
      <c r="K66" s="71" t="s">
        <v>219</v>
      </c>
      <c r="L66" s="72" t="s">
        <v>219</v>
      </c>
      <c r="M66" s="72" t="s">
        <v>219</v>
      </c>
      <c r="N66" s="73" t="s">
        <v>219</v>
      </c>
      <c r="O66" s="74" t="s">
        <v>219</v>
      </c>
      <c r="P66" s="73" t="s">
        <v>219</v>
      </c>
      <c r="Q66" s="80" t="s">
        <v>219</v>
      </c>
      <c r="W66" s="76" t="s">
        <v>219</v>
      </c>
      <c r="X66" s="77" t="s">
        <v>219</v>
      </c>
      <c r="Y66" s="78">
        <v>0</v>
      </c>
      <c r="AA66" s="79" t="s">
        <v>219</v>
      </c>
      <c r="AB66" s="79" t="s">
        <v>219</v>
      </c>
      <c r="AC66" s="78">
        <v>0</v>
      </c>
      <c r="AE66" s="63" t="s">
        <v>230</v>
      </c>
      <c r="AF66" s="63">
        <v>1</v>
      </c>
      <c r="AG66" s="63" t="s">
        <v>219</v>
      </c>
      <c r="AK66" s="77">
        <v>0</v>
      </c>
      <c r="BA66" s="41" t="s">
        <v>230</v>
      </c>
      <c r="BB66" s="41" t="s">
        <v>6</v>
      </c>
      <c r="BC66" s="41" t="s">
        <v>229</v>
      </c>
      <c r="BD66" s="41" t="s">
        <v>475</v>
      </c>
    </row>
    <row r="67" spans="1:56" ht="18" customHeight="1" outlineLevel="1">
      <c r="A67" s="19">
        <v>62</v>
      </c>
      <c r="B67" s="19">
        <v>521002941</v>
      </c>
      <c r="C67" s="19">
        <v>521002942</v>
      </c>
      <c r="D67" s="50" t="s">
        <v>4</v>
      </c>
      <c r="E67" s="19" t="s">
        <v>476</v>
      </c>
      <c r="F67" s="19" t="s">
        <v>477</v>
      </c>
      <c r="G67" s="19" t="s">
        <v>477</v>
      </c>
      <c r="H67" s="69" t="s">
        <v>478</v>
      </c>
      <c r="I67" s="70" t="s">
        <v>479</v>
      </c>
      <c r="J67" s="70" t="s">
        <v>480</v>
      </c>
      <c r="K67" s="71">
        <v>2</v>
      </c>
      <c r="L67" s="72">
        <v>521002942</v>
      </c>
      <c r="M67" s="72" t="s">
        <v>481</v>
      </c>
      <c r="N67" s="73">
        <v>100.3</v>
      </c>
      <c r="O67" s="74" t="s">
        <v>279</v>
      </c>
      <c r="P67" s="73">
        <v>179.95</v>
      </c>
      <c r="Q67" s="80" t="s">
        <v>279</v>
      </c>
      <c r="W67" s="76" t="s">
        <v>482</v>
      </c>
      <c r="X67" s="77">
        <v>100.3</v>
      </c>
      <c r="Y67" s="78">
        <v>0</v>
      </c>
      <c r="AA67" s="79">
        <v>100.3</v>
      </c>
      <c r="AB67" s="79">
        <v>100.3</v>
      </c>
      <c r="AC67" s="78">
        <v>0</v>
      </c>
      <c r="AE67" s="63" t="s">
        <v>219</v>
      </c>
      <c r="AF67" s="63">
        <v>1</v>
      </c>
      <c r="AG67" s="63">
        <v>1</v>
      </c>
      <c r="AK67" s="77">
        <v>0</v>
      </c>
      <c r="BA67" s="41" t="s">
        <v>230</v>
      </c>
      <c r="BB67" s="41" t="s">
        <v>6</v>
      </c>
      <c r="BC67" s="41" t="s">
        <v>229</v>
      </c>
      <c r="BD67" s="41" t="s">
        <v>475</v>
      </c>
    </row>
    <row r="68" spans="1:56" s="57" customFormat="1" ht="18" customHeight="1" outlineLevel="1">
      <c r="A68" s="49">
        <v>63</v>
      </c>
      <c r="B68" s="19">
        <v>521002943</v>
      </c>
      <c r="C68" s="19">
        <v>521002944</v>
      </c>
      <c r="D68" s="50" t="s">
        <v>4</v>
      </c>
      <c r="E68" s="19" t="s">
        <v>476</v>
      </c>
      <c r="F68" s="19" t="s">
        <v>477</v>
      </c>
      <c r="G68" s="19" t="s">
        <v>477</v>
      </c>
      <c r="H68" s="20" t="s">
        <v>483</v>
      </c>
      <c r="I68" s="64" t="s">
        <v>484</v>
      </c>
      <c r="J68" s="70" t="s">
        <v>289</v>
      </c>
      <c r="K68" s="53">
        <v>2</v>
      </c>
      <c r="L68" s="20">
        <v>521002944</v>
      </c>
      <c r="M68" s="72" t="s">
        <v>485</v>
      </c>
      <c r="N68" s="54">
        <v>100.3</v>
      </c>
      <c r="O68" s="56" t="s">
        <v>279</v>
      </c>
      <c r="P68" s="54">
        <v>179.95</v>
      </c>
      <c r="Q68" s="56" t="s">
        <v>279</v>
      </c>
      <c r="R68" s="27"/>
      <c r="S68" s="58"/>
      <c r="T68" s="51"/>
      <c r="U68" s="51"/>
      <c r="V68" s="51"/>
      <c r="W68" s="76" t="s">
        <v>486</v>
      </c>
      <c r="X68" s="77">
        <v>100.3</v>
      </c>
      <c r="Y68" s="78">
        <v>0</v>
      </c>
      <c r="Z68" s="29"/>
      <c r="AA68" s="79">
        <v>100.3</v>
      </c>
      <c r="AB68" s="79">
        <v>100.3</v>
      </c>
      <c r="AC68" s="78">
        <v>0</v>
      </c>
      <c r="AD68" s="29"/>
      <c r="AE68" s="63" t="s">
        <v>219</v>
      </c>
      <c r="AF68" s="63">
        <v>1</v>
      </c>
      <c r="AG68" s="63">
        <v>1</v>
      </c>
      <c r="AH68" s="29"/>
      <c r="AI68" s="27"/>
      <c r="AJ68" s="29"/>
      <c r="AK68" s="77">
        <v>0</v>
      </c>
      <c r="BA68" s="41" t="s">
        <v>230</v>
      </c>
      <c r="BB68" s="41" t="s">
        <v>6</v>
      </c>
      <c r="BC68" s="41" t="s">
        <v>229</v>
      </c>
      <c r="BD68" s="41" t="s">
        <v>475</v>
      </c>
    </row>
    <row r="69" spans="1:56" ht="27" customHeight="1" outlineLevel="1">
      <c r="A69" s="19">
        <v>64</v>
      </c>
      <c r="B69" s="19" t="s">
        <v>219</v>
      </c>
      <c r="C69" s="19" t="s">
        <v>219</v>
      </c>
      <c r="D69" s="50" t="s">
        <v>219</v>
      </c>
      <c r="E69" s="19" t="s">
        <v>219</v>
      </c>
      <c r="F69" s="19" t="s">
        <v>219</v>
      </c>
      <c r="G69" s="19" t="s">
        <v>219</v>
      </c>
      <c r="H69" s="81" t="s">
        <v>219</v>
      </c>
      <c r="I69" s="70" t="s">
        <v>219</v>
      </c>
      <c r="J69" s="70" t="s">
        <v>219</v>
      </c>
      <c r="K69" s="71" t="s">
        <v>219</v>
      </c>
      <c r="L69" s="72" t="s">
        <v>219</v>
      </c>
      <c r="M69" s="72" t="s">
        <v>219</v>
      </c>
      <c r="N69" s="73" t="s">
        <v>219</v>
      </c>
      <c r="O69" s="74" t="s">
        <v>219</v>
      </c>
      <c r="P69" s="73" t="s">
        <v>219</v>
      </c>
      <c r="Q69" s="80" t="s">
        <v>219</v>
      </c>
      <c r="W69" s="76" t="s">
        <v>219</v>
      </c>
      <c r="X69" s="77" t="s">
        <v>219</v>
      </c>
      <c r="Y69" s="78">
        <v>0</v>
      </c>
      <c r="AA69" s="79" t="s">
        <v>219</v>
      </c>
      <c r="AB69" s="79" t="s">
        <v>219</v>
      </c>
      <c r="AC69" s="78">
        <v>0</v>
      </c>
      <c r="AE69" s="63" t="s">
        <v>230</v>
      </c>
      <c r="AF69" s="63">
        <v>0</v>
      </c>
      <c r="AG69" s="63" t="s">
        <v>219</v>
      </c>
      <c r="AK69" s="77">
        <v>0</v>
      </c>
      <c r="BA69" s="41" t="s">
        <v>230</v>
      </c>
      <c r="BB69" s="41" t="s">
        <v>6</v>
      </c>
      <c r="BC69" s="41" t="s">
        <v>229</v>
      </c>
      <c r="BD69" s="41" t="s">
        <v>475</v>
      </c>
    </row>
    <row r="70" spans="1:56" ht="18" customHeight="1" outlineLevel="1">
      <c r="A70" s="19">
        <v>65</v>
      </c>
      <c r="B70" s="19">
        <v>521002955</v>
      </c>
      <c r="C70" s="19">
        <v>521002956</v>
      </c>
      <c r="D70" s="50" t="s">
        <v>4</v>
      </c>
      <c r="E70" s="19" t="s">
        <v>476</v>
      </c>
      <c r="F70" s="19" t="s">
        <v>487</v>
      </c>
      <c r="G70" s="19" t="s">
        <v>487</v>
      </c>
      <c r="H70" s="69" t="s">
        <v>488</v>
      </c>
      <c r="I70" s="70" t="s">
        <v>479</v>
      </c>
      <c r="J70" s="70" t="s">
        <v>480</v>
      </c>
      <c r="K70" s="71">
        <v>2</v>
      </c>
      <c r="L70" s="72">
        <v>521002956</v>
      </c>
      <c r="M70" s="72" t="s">
        <v>489</v>
      </c>
      <c r="N70" s="73">
        <v>89.199999999999989</v>
      </c>
      <c r="O70" s="74" t="s">
        <v>279</v>
      </c>
      <c r="P70" s="73">
        <v>159.94999999999999</v>
      </c>
      <c r="Q70" s="80" t="s">
        <v>279</v>
      </c>
      <c r="W70" s="76" t="s">
        <v>490</v>
      </c>
      <c r="X70" s="77">
        <v>89.199999999999989</v>
      </c>
      <c r="Y70" s="78">
        <v>0</v>
      </c>
      <c r="AA70" s="79">
        <v>89.199999999999989</v>
      </c>
      <c r="AB70" s="79">
        <v>89.199999999999989</v>
      </c>
      <c r="AC70" s="78">
        <v>0</v>
      </c>
      <c r="AE70" s="63" t="s">
        <v>219</v>
      </c>
      <c r="AF70" s="63">
        <v>0</v>
      </c>
      <c r="AG70" s="63">
        <v>0</v>
      </c>
      <c r="AK70" s="77">
        <v>0</v>
      </c>
      <c r="BA70" s="41" t="s">
        <v>230</v>
      </c>
      <c r="BB70" s="41" t="s">
        <v>6</v>
      </c>
      <c r="BC70" s="41" t="s">
        <v>229</v>
      </c>
      <c r="BD70" s="41" t="s">
        <v>475</v>
      </c>
    </row>
    <row r="71" spans="1:56" ht="18" customHeight="1" outlineLevel="1">
      <c r="A71" s="19">
        <v>66</v>
      </c>
      <c r="B71" s="19">
        <v>521002957</v>
      </c>
      <c r="C71" s="19">
        <v>521002958</v>
      </c>
      <c r="D71" s="50" t="s">
        <v>4</v>
      </c>
      <c r="E71" s="19" t="s">
        <v>476</v>
      </c>
      <c r="F71" s="19" t="s">
        <v>487</v>
      </c>
      <c r="G71" s="19" t="s">
        <v>487</v>
      </c>
      <c r="H71" s="69" t="s">
        <v>491</v>
      </c>
      <c r="I71" s="70" t="s">
        <v>484</v>
      </c>
      <c r="J71" s="70" t="s">
        <v>289</v>
      </c>
      <c r="K71" s="71">
        <v>2</v>
      </c>
      <c r="L71" s="72">
        <v>521002958</v>
      </c>
      <c r="M71" s="72" t="s">
        <v>492</v>
      </c>
      <c r="N71" s="73">
        <v>89.199999999999989</v>
      </c>
      <c r="O71" s="74" t="s">
        <v>279</v>
      </c>
      <c r="P71" s="73">
        <v>159.94999999999999</v>
      </c>
      <c r="Q71" s="80" t="s">
        <v>279</v>
      </c>
      <c r="W71" s="76" t="s">
        <v>493</v>
      </c>
      <c r="X71" s="77">
        <v>89.199999999999989</v>
      </c>
      <c r="Y71" s="78">
        <v>0</v>
      </c>
      <c r="AA71" s="79">
        <v>89.199999999999989</v>
      </c>
      <c r="AB71" s="79">
        <v>89.199999999999989</v>
      </c>
      <c r="AC71" s="78">
        <v>0</v>
      </c>
      <c r="AE71" s="63" t="s">
        <v>219</v>
      </c>
      <c r="AF71" s="63">
        <v>0</v>
      </c>
      <c r="AG71" s="63">
        <v>0</v>
      </c>
      <c r="AK71" s="77">
        <v>0</v>
      </c>
      <c r="BA71" s="41" t="s">
        <v>230</v>
      </c>
      <c r="BB71" s="41" t="s">
        <v>6</v>
      </c>
      <c r="BC71" s="41" t="s">
        <v>229</v>
      </c>
      <c r="BD71" s="41" t="s">
        <v>475</v>
      </c>
    </row>
    <row r="72" spans="1:56" ht="27" customHeight="1" outlineLevel="1">
      <c r="A72" s="19">
        <v>67</v>
      </c>
      <c r="B72" s="19" t="s">
        <v>219</v>
      </c>
      <c r="C72" s="19" t="s">
        <v>219</v>
      </c>
      <c r="D72" s="50" t="s">
        <v>219</v>
      </c>
      <c r="E72" s="19" t="s">
        <v>219</v>
      </c>
      <c r="F72" s="19" t="s">
        <v>219</v>
      </c>
      <c r="G72" s="19" t="s">
        <v>219</v>
      </c>
      <c r="H72" s="81" t="s">
        <v>219</v>
      </c>
      <c r="I72" s="70" t="s">
        <v>219</v>
      </c>
      <c r="J72" s="70" t="s">
        <v>219</v>
      </c>
      <c r="K72" s="71" t="s">
        <v>219</v>
      </c>
      <c r="L72" s="72" t="s">
        <v>219</v>
      </c>
      <c r="M72" s="72" t="s">
        <v>219</v>
      </c>
      <c r="N72" s="73" t="s">
        <v>219</v>
      </c>
      <c r="O72" s="74" t="s">
        <v>219</v>
      </c>
      <c r="P72" s="73" t="s">
        <v>219</v>
      </c>
      <c r="Q72" s="80" t="s">
        <v>219</v>
      </c>
      <c r="W72" s="76" t="s">
        <v>219</v>
      </c>
      <c r="X72" s="77" t="s">
        <v>219</v>
      </c>
      <c r="Y72" s="78">
        <v>0</v>
      </c>
      <c r="AA72" s="79" t="s">
        <v>219</v>
      </c>
      <c r="AB72" s="79" t="s">
        <v>219</v>
      </c>
      <c r="AC72" s="78">
        <v>0</v>
      </c>
      <c r="AE72" s="63" t="s">
        <v>230</v>
      </c>
      <c r="AF72" s="63">
        <v>1</v>
      </c>
      <c r="AG72" s="63" t="s">
        <v>219</v>
      </c>
      <c r="AK72" s="77">
        <v>0</v>
      </c>
      <c r="BA72" s="41" t="s">
        <v>230</v>
      </c>
      <c r="BB72" s="41" t="s">
        <v>6</v>
      </c>
      <c r="BC72" s="41" t="s">
        <v>229</v>
      </c>
      <c r="BD72" s="41" t="s">
        <v>475</v>
      </c>
    </row>
    <row r="73" spans="1:56" ht="18" customHeight="1" outlineLevel="1">
      <c r="A73" s="19">
        <v>68</v>
      </c>
      <c r="B73" s="19">
        <v>523000713</v>
      </c>
      <c r="C73" s="19">
        <v>523000714</v>
      </c>
      <c r="D73" s="50" t="s">
        <v>4</v>
      </c>
      <c r="E73" s="19" t="s">
        <v>476</v>
      </c>
      <c r="F73" s="19" t="s">
        <v>494</v>
      </c>
      <c r="G73" s="19" t="s">
        <v>495</v>
      </c>
      <c r="H73" s="69" t="s">
        <v>496</v>
      </c>
      <c r="I73" s="70" t="s">
        <v>319</v>
      </c>
      <c r="J73" s="70" t="s">
        <v>289</v>
      </c>
      <c r="K73" s="71">
        <v>2</v>
      </c>
      <c r="L73" s="72">
        <v>523000714</v>
      </c>
      <c r="M73" s="72" t="s">
        <v>497</v>
      </c>
      <c r="N73" s="73">
        <v>83.6</v>
      </c>
      <c r="O73" s="74" t="s">
        <v>279</v>
      </c>
      <c r="P73" s="73">
        <v>149.94999999999999</v>
      </c>
      <c r="Q73" s="80" t="s">
        <v>279</v>
      </c>
      <c r="W73" s="76" t="s">
        <v>498</v>
      </c>
      <c r="X73" s="77">
        <v>83.6</v>
      </c>
      <c r="Y73" s="78">
        <v>0</v>
      </c>
      <c r="AA73" s="79">
        <v>83.6</v>
      </c>
      <c r="AB73" s="79">
        <v>83.6</v>
      </c>
      <c r="AC73" s="78">
        <v>0</v>
      </c>
      <c r="AE73" s="63" t="s">
        <v>219</v>
      </c>
      <c r="AF73" s="63">
        <v>1</v>
      </c>
      <c r="AG73" s="63">
        <v>1</v>
      </c>
      <c r="AK73" s="77">
        <v>0</v>
      </c>
      <c r="BA73" s="41" t="s">
        <v>230</v>
      </c>
      <c r="BB73" s="41" t="s">
        <v>6</v>
      </c>
      <c r="BC73" s="41" t="s">
        <v>229</v>
      </c>
      <c r="BD73" s="41" t="s">
        <v>475</v>
      </c>
    </row>
    <row r="74" spans="1:56" ht="18" customHeight="1" outlineLevel="1">
      <c r="A74" s="19">
        <v>69</v>
      </c>
      <c r="B74" s="19">
        <v>523000715</v>
      </c>
      <c r="C74" s="19">
        <v>523000716</v>
      </c>
      <c r="D74" s="50" t="s">
        <v>4</v>
      </c>
      <c r="E74" s="19" t="s">
        <v>476</v>
      </c>
      <c r="F74" s="19" t="s">
        <v>494</v>
      </c>
      <c r="G74" s="19" t="s">
        <v>495</v>
      </c>
      <c r="H74" s="69" t="s">
        <v>499</v>
      </c>
      <c r="I74" s="70" t="s">
        <v>323</v>
      </c>
      <c r="J74" s="70" t="s">
        <v>324</v>
      </c>
      <c r="K74" s="71">
        <v>2</v>
      </c>
      <c r="L74" s="72">
        <v>523000716</v>
      </c>
      <c r="M74" s="72" t="s">
        <v>500</v>
      </c>
      <c r="N74" s="73">
        <v>83.6</v>
      </c>
      <c r="O74" s="74" t="s">
        <v>279</v>
      </c>
      <c r="P74" s="73">
        <v>149.94999999999999</v>
      </c>
      <c r="Q74" s="80" t="s">
        <v>279</v>
      </c>
      <c r="W74" s="76" t="s">
        <v>501</v>
      </c>
      <c r="X74" s="77">
        <v>83.6</v>
      </c>
      <c r="Y74" s="78">
        <v>0</v>
      </c>
      <c r="AA74" s="79">
        <v>83.6</v>
      </c>
      <c r="AB74" s="79">
        <v>83.6</v>
      </c>
      <c r="AC74" s="78">
        <v>0</v>
      </c>
      <c r="AE74" s="63" t="s">
        <v>219</v>
      </c>
      <c r="AF74" s="63">
        <v>1</v>
      </c>
      <c r="AG74" s="63">
        <v>1</v>
      </c>
      <c r="AK74" s="77">
        <v>0</v>
      </c>
      <c r="BA74" s="41" t="s">
        <v>230</v>
      </c>
      <c r="BB74" s="41" t="s">
        <v>6</v>
      </c>
      <c r="BC74" s="41" t="s">
        <v>229</v>
      </c>
      <c r="BD74" s="41" t="s">
        <v>475</v>
      </c>
    </row>
    <row r="75" spans="1:56" ht="18" customHeight="1" outlineLevel="1">
      <c r="A75" s="19">
        <v>70</v>
      </c>
      <c r="B75" s="19">
        <v>523000717</v>
      </c>
      <c r="C75" s="19">
        <v>523000718</v>
      </c>
      <c r="D75" s="50" t="s">
        <v>4</v>
      </c>
      <c r="E75" s="19" t="s">
        <v>476</v>
      </c>
      <c r="F75" s="19" t="s">
        <v>494</v>
      </c>
      <c r="G75" s="19" t="s">
        <v>495</v>
      </c>
      <c r="H75" s="69" t="s">
        <v>502</v>
      </c>
      <c r="I75" s="70" t="s">
        <v>328</v>
      </c>
      <c r="J75" s="70" t="s">
        <v>329</v>
      </c>
      <c r="K75" s="71">
        <v>2</v>
      </c>
      <c r="L75" s="72">
        <v>523000718</v>
      </c>
      <c r="M75" s="72" t="s">
        <v>503</v>
      </c>
      <c r="N75" s="73">
        <v>83.6</v>
      </c>
      <c r="O75" s="74" t="s">
        <v>279</v>
      </c>
      <c r="P75" s="73">
        <v>149.94999999999999</v>
      </c>
      <c r="Q75" s="80" t="s">
        <v>279</v>
      </c>
      <c r="W75" s="76" t="s">
        <v>504</v>
      </c>
      <c r="X75" s="77">
        <v>83.6</v>
      </c>
      <c r="Y75" s="78">
        <v>0</v>
      </c>
      <c r="AA75" s="79">
        <v>83.6</v>
      </c>
      <c r="AB75" s="79">
        <v>83.6</v>
      </c>
      <c r="AC75" s="78">
        <v>0</v>
      </c>
      <c r="AE75" s="63" t="s">
        <v>219</v>
      </c>
      <c r="AF75" s="63">
        <v>1</v>
      </c>
      <c r="AG75" s="63">
        <v>1</v>
      </c>
      <c r="AK75" s="77">
        <v>0</v>
      </c>
      <c r="BA75" s="41" t="s">
        <v>230</v>
      </c>
      <c r="BB75" s="41" t="s">
        <v>6</v>
      </c>
      <c r="BC75" s="41" t="s">
        <v>229</v>
      </c>
      <c r="BD75" s="41" t="s">
        <v>475</v>
      </c>
    </row>
    <row r="76" spans="1:56" s="57" customFormat="1" ht="18" customHeight="1" outlineLevel="1">
      <c r="A76" s="49">
        <v>71</v>
      </c>
      <c r="B76" s="19">
        <v>523000719</v>
      </c>
      <c r="C76" s="19">
        <v>523000720</v>
      </c>
      <c r="D76" s="50" t="s">
        <v>4</v>
      </c>
      <c r="E76" s="19" t="s">
        <v>476</v>
      </c>
      <c r="F76" s="19" t="s">
        <v>494</v>
      </c>
      <c r="G76" s="19" t="s">
        <v>495</v>
      </c>
      <c r="H76" s="20" t="s">
        <v>505</v>
      </c>
      <c r="I76" s="20" t="s">
        <v>333</v>
      </c>
      <c r="J76" s="70" t="s">
        <v>334</v>
      </c>
      <c r="K76" s="53">
        <v>2</v>
      </c>
      <c r="L76" s="20">
        <v>523000720</v>
      </c>
      <c r="M76" s="72" t="s">
        <v>506</v>
      </c>
      <c r="N76" s="54">
        <v>83.6</v>
      </c>
      <c r="O76" s="56" t="s">
        <v>279</v>
      </c>
      <c r="P76" s="24">
        <v>149.94999999999999</v>
      </c>
      <c r="Q76" s="82" t="s">
        <v>279</v>
      </c>
      <c r="R76" s="27"/>
      <c r="T76" s="51"/>
      <c r="U76" s="59"/>
      <c r="V76" s="60"/>
      <c r="W76" s="76" t="s">
        <v>507</v>
      </c>
      <c r="X76" s="77">
        <v>83.6</v>
      </c>
      <c r="Y76" s="78">
        <v>0</v>
      </c>
      <c r="Z76" s="29"/>
      <c r="AA76" s="79">
        <v>83.6</v>
      </c>
      <c r="AB76" s="79">
        <v>83.6</v>
      </c>
      <c r="AC76" s="78">
        <v>0</v>
      </c>
      <c r="AD76" s="29"/>
      <c r="AE76" s="63" t="s">
        <v>219</v>
      </c>
      <c r="AF76" s="63">
        <v>1</v>
      </c>
      <c r="AG76" s="63">
        <v>1</v>
      </c>
      <c r="AH76" s="29"/>
      <c r="AI76" s="27"/>
      <c r="AJ76" s="29"/>
      <c r="AK76" s="77">
        <v>0</v>
      </c>
      <c r="BA76" s="41" t="s">
        <v>230</v>
      </c>
      <c r="BB76" s="41" t="s">
        <v>6</v>
      </c>
      <c r="BC76" s="41" t="s">
        <v>229</v>
      </c>
      <c r="BD76" s="41" t="s">
        <v>475</v>
      </c>
    </row>
    <row r="77" spans="1:56" s="57" customFormat="1" ht="18" customHeight="1" outlineLevel="1">
      <c r="A77" s="49">
        <v>72</v>
      </c>
      <c r="B77" s="19">
        <v>523000721</v>
      </c>
      <c r="C77" s="19">
        <v>523000722</v>
      </c>
      <c r="D77" s="50" t="s">
        <v>4</v>
      </c>
      <c r="E77" s="19" t="s">
        <v>476</v>
      </c>
      <c r="F77" s="19" t="s">
        <v>494</v>
      </c>
      <c r="G77" s="19" t="s">
        <v>495</v>
      </c>
      <c r="H77" s="20" t="s">
        <v>508</v>
      </c>
      <c r="I77" s="64" t="s">
        <v>338</v>
      </c>
      <c r="J77" s="70" t="s">
        <v>339</v>
      </c>
      <c r="K77" s="53">
        <v>2</v>
      </c>
      <c r="L77" s="20">
        <v>523000722</v>
      </c>
      <c r="M77" s="72" t="s">
        <v>509</v>
      </c>
      <c r="N77" s="54">
        <v>83.6</v>
      </c>
      <c r="O77" s="56" t="s">
        <v>279</v>
      </c>
      <c r="P77" s="54">
        <v>149.94999999999999</v>
      </c>
      <c r="Q77" s="56" t="s">
        <v>279</v>
      </c>
      <c r="R77" s="27"/>
      <c r="S77" s="58"/>
      <c r="T77" s="51"/>
      <c r="U77" s="51"/>
      <c r="V77" s="51"/>
      <c r="W77" s="76" t="s">
        <v>510</v>
      </c>
      <c r="X77" s="77">
        <v>83.6</v>
      </c>
      <c r="Y77" s="78">
        <v>0</v>
      </c>
      <c r="Z77" s="29"/>
      <c r="AA77" s="79">
        <v>83.6</v>
      </c>
      <c r="AB77" s="79">
        <v>83.6</v>
      </c>
      <c r="AC77" s="78">
        <v>0</v>
      </c>
      <c r="AD77" s="29"/>
      <c r="AE77" s="63" t="s">
        <v>219</v>
      </c>
      <c r="AF77" s="63">
        <v>1</v>
      </c>
      <c r="AG77" s="63">
        <v>1</v>
      </c>
      <c r="AH77" s="29"/>
      <c r="AI77" s="27"/>
      <c r="AJ77" s="29"/>
      <c r="AK77" s="77">
        <v>0</v>
      </c>
      <c r="BA77" s="41" t="s">
        <v>230</v>
      </c>
      <c r="BB77" s="41" t="s">
        <v>6</v>
      </c>
      <c r="BC77" s="41" t="s">
        <v>229</v>
      </c>
      <c r="BD77" s="41" t="s">
        <v>475</v>
      </c>
    </row>
    <row r="78" spans="1:56" ht="18" customHeight="1" outlineLevel="1">
      <c r="A78" s="19">
        <v>73</v>
      </c>
      <c r="B78" s="19">
        <v>523001313</v>
      </c>
      <c r="C78" s="19">
        <v>523001314</v>
      </c>
      <c r="D78" s="50" t="s">
        <v>4</v>
      </c>
      <c r="E78" s="19" t="s">
        <v>476</v>
      </c>
      <c r="F78" s="19" t="s">
        <v>494</v>
      </c>
      <c r="G78" s="19" t="s">
        <v>495</v>
      </c>
      <c r="H78" s="69" t="s">
        <v>511</v>
      </c>
      <c r="I78" s="70" t="s">
        <v>343</v>
      </c>
      <c r="J78" s="70" t="s">
        <v>344</v>
      </c>
      <c r="K78" s="71">
        <v>2</v>
      </c>
      <c r="L78" s="72">
        <v>523001314</v>
      </c>
      <c r="M78" s="72" t="s">
        <v>512</v>
      </c>
      <c r="N78" s="73">
        <v>83.6</v>
      </c>
      <c r="O78" s="74" t="s">
        <v>279</v>
      </c>
      <c r="P78" s="73">
        <v>149.94999999999999</v>
      </c>
      <c r="Q78" s="80" t="s">
        <v>279</v>
      </c>
      <c r="W78" s="76" t="s">
        <v>513</v>
      </c>
      <c r="X78" s="77">
        <v>83.6</v>
      </c>
      <c r="Y78" s="78">
        <v>0</v>
      </c>
      <c r="AA78" s="79">
        <v>83.6</v>
      </c>
      <c r="AB78" s="79">
        <v>83.6</v>
      </c>
      <c r="AC78" s="78">
        <v>0</v>
      </c>
      <c r="AE78" s="63" t="s">
        <v>219</v>
      </c>
      <c r="AF78" s="63">
        <v>1</v>
      </c>
      <c r="AG78" s="63">
        <v>1</v>
      </c>
      <c r="AK78" s="77">
        <v>0</v>
      </c>
      <c r="BA78" s="41" t="s">
        <v>230</v>
      </c>
      <c r="BB78" s="41" t="s">
        <v>6</v>
      </c>
      <c r="BC78" s="41" t="s">
        <v>229</v>
      </c>
      <c r="BD78" s="41" t="s">
        <v>475</v>
      </c>
    </row>
    <row r="79" spans="1:56" ht="27" customHeight="1" outlineLevel="1">
      <c r="A79" s="19">
        <v>74</v>
      </c>
      <c r="B79" s="19" t="s">
        <v>219</v>
      </c>
      <c r="C79" s="19" t="s">
        <v>219</v>
      </c>
      <c r="D79" s="50" t="s">
        <v>219</v>
      </c>
      <c r="E79" s="19" t="s">
        <v>219</v>
      </c>
      <c r="F79" s="19" t="s">
        <v>219</v>
      </c>
      <c r="G79" s="19" t="s">
        <v>219</v>
      </c>
      <c r="H79" s="81" t="s">
        <v>219</v>
      </c>
      <c r="I79" s="70" t="s">
        <v>219</v>
      </c>
      <c r="J79" s="70" t="s">
        <v>219</v>
      </c>
      <c r="K79" s="71" t="s">
        <v>219</v>
      </c>
      <c r="L79" s="72" t="s">
        <v>219</v>
      </c>
      <c r="M79" s="72" t="s">
        <v>219</v>
      </c>
      <c r="N79" s="73" t="s">
        <v>219</v>
      </c>
      <c r="O79" s="74" t="s">
        <v>219</v>
      </c>
      <c r="P79" s="73" t="s">
        <v>219</v>
      </c>
      <c r="Q79" s="80" t="s">
        <v>219</v>
      </c>
      <c r="W79" s="76" t="s">
        <v>219</v>
      </c>
      <c r="X79" s="77" t="s">
        <v>219</v>
      </c>
      <c r="Y79" s="78">
        <v>0</v>
      </c>
      <c r="AA79" s="79" t="s">
        <v>219</v>
      </c>
      <c r="AB79" s="79" t="s">
        <v>219</v>
      </c>
      <c r="AC79" s="78">
        <v>0</v>
      </c>
      <c r="AE79" s="63" t="s">
        <v>230</v>
      </c>
      <c r="AF79" s="63">
        <v>0</v>
      </c>
      <c r="AG79" s="63" t="s">
        <v>219</v>
      </c>
      <c r="AK79" s="77">
        <v>0</v>
      </c>
      <c r="BA79" s="41" t="s">
        <v>230</v>
      </c>
      <c r="BB79" s="41" t="s">
        <v>6</v>
      </c>
      <c r="BC79" s="41" t="s">
        <v>229</v>
      </c>
      <c r="BD79" s="41" t="s">
        <v>475</v>
      </c>
    </row>
    <row r="80" spans="1:56" ht="18" customHeight="1" outlineLevel="1">
      <c r="A80" s="19">
        <v>75</v>
      </c>
      <c r="B80" s="19">
        <v>521000803</v>
      </c>
      <c r="C80" s="19">
        <v>521000804</v>
      </c>
      <c r="D80" s="50" t="s">
        <v>4</v>
      </c>
      <c r="E80" s="19" t="s">
        <v>476</v>
      </c>
      <c r="F80" s="19" t="s">
        <v>514</v>
      </c>
      <c r="G80" s="19" t="s">
        <v>515</v>
      </c>
      <c r="H80" s="69" t="s">
        <v>516</v>
      </c>
      <c r="I80" s="70" t="s">
        <v>484</v>
      </c>
      <c r="J80" s="70" t="s">
        <v>289</v>
      </c>
      <c r="K80" s="71">
        <v>4</v>
      </c>
      <c r="L80" s="72">
        <v>521000804</v>
      </c>
      <c r="M80" s="72" t="s">
        <v>517</v>
      </c>
      <c r="N80" s="73">
        <v>133.69999999999999</v>
      </c>
      <c r="O80" s="74" t="s">
        <v>279</v>
      </c>
      <c r="P80" s="73">
        <v>239.95</v>
      </c>
      <c r="Q80" s="80" t="s">
        <v>279</v>
      </c>
      <c r="W80" s="76" t="s">
        <v>518</v>
      </c>
      <c r="X80" s="77">
        <v>133.69999999999999</v>
      </c>
      <c r="Y80" s="78">
        <v>0</v>
      </c>
      <c r="AA80" s="79">
        <v>133.69999999999999</v>
      </c>
      <c r="AB80" s="79">
        <v>133.69999999999999</v>
      </c>
      <c r="AC80" s="78">
        <v>0</v>
      </c>
      <c r="AE80" s="63" t="s">
        <v>219</v>
      </c>
      <c r="AF80" s="63">
        <v>0</v>
      </c>
      <c r="AG80" s="63">
        <v>0</v>
      </c>
      <c r="AK80" s="77">
        <v>0</v>
      </c>
      <c r="BA80" s="41" t="s">
        <v>230</v>
      </c>
      <c r="BB80" s="41" t="s">
        <v>6</v>
      </c>
      <c r="BC80" s="41" t="s">
        <v>229</v>
      </c>
      <c r="BD80" s="41" t="s">
        <v>475</v>
      </c>
    </row>
    <row r="81" spans="1:56" ht="18" customHeight="1" outlineLevel="1">
      <c r="A81" s="19">
        <v>76</v>
      </c>
      <c r="B81" s="19">
        <v>521000815</v>
      </c>
      <c r="C81" s="19">
        <v>521000816</v>
      </c>
      <c r="D81" s="50" t="s">
        <v>4</v>
      </c>
      <c r="E81" s="19" t="s">
        <v>476</v>
      </c>
      <c r="F81" s="19" t="s">
        <v>514</v>
      </c>
      <c r="G81" s="19" t="s">
        <v>515</v>
      </c>
      <c r="H81" s="69" t="s">
        <v>519</v>
      </c>
      <c r="I81" s="70" t="s">
        <v>520</v>
      </c>
      <c r="J81" s="70" t="s">
        <v>521</v>
      </c>
      <c r="K81" s="71">
        <v>4</v>
      </c>
      <c r="L81" s="72">
        <v>521000816</v>
      </c>
      <c r="M81" s="72" t="s">
        <v>522</v>
      </c>
      <c r="N81" s="73">
        <v>133.69999999999999</v>
      </c>
      <c r="O81" s="74" t="s">
        <v>279</v>
      </c>
      <c r="P81" s="73">
        <v>239.95</v>
      </c>
      <c r="Q81" s="80" t="s">
        <v>279</v>
      </c>
      <c r="W81" s="76" t="s">
        <v>523</v>
      </c>
      <c r="X81" s="77">
        <v>133.69999999999999</v>
      </c>
      <c r="Y81" s="78">
        <v>0</v>
      </c>
      <c r="AA81" s="79">
        <v>133.69999999999999</v>
      </c>
      <c r="AB81" s="79">
        <v>133.69999999999999</v>
      </c>
      <c r="AC81" s="78">
        <v>0</v>
      </c>
      <c r="AE81" s="63" t="s">
        <v>219</v>
      </c>
      <c r="AF81" s="63">
        <v>0</v>
      </c>
      <c r="AG81" s="63">
        <v>0</v>
      </c>
      <c r="AK81" s="77">
        <v>0</v>
      </c>
      <c r="BA81" s="41" t="s">
        <v>230</v>
      </c>
      <c r="BB81" s="41" t="s">
        <v>6</v>
      </c>
      <c r="BC81" s="41" t="s">
        <v>229</v>
      </c>
      <c r="BD81" s="41" t="s">
        <v>475</v>
      </c>
    </row>
    <row r="82" spans="1:56" ht="18" customHeight="1" outlineLevel="1">
      <c r="A82" s="19">
        <v>77</v>
      </c>
      <c r="B82" s="19">
        <v>521000827</v>
      </c>
      <c r="C82" s="19">
        <v>521000828</v>
      </c>
      <c r="D82" s="50" t="s">
        <v>4</v>
      </c>
      <c r="E82" s="19" t="s">
        <v>476</v>
      </c>
      <c r="F82" s="19" t="s">
        <v>514</v>
      </c>
      <c r="G82" s="19" t="s">
        <v>515</v>
      </c>
      <c r="H82" s="69" t="s">
        <v>524</v>
      </c>
      <c r="I82" s="70" t="s">
        <v>525</v>
      </c>
      <c r="J82" s="70" t="s">
        <v>526</v>
      </c>
      <c r="K82" s="71">
        <v>4</v>
      </c>
      <c r="L82" s="72">
        <v>521000828</v>
      </c>
      <c r="M82" s="72" t="s">
        <v>527</v>
      </c>
      <c r="N82" s="73">
        <v>133.69999999999999</v>
      </c>
      <c r="O82" s="74" t="s">
        <v>279</v>
      </c>
      <c r="P82" s="73">
        <v>239.95</v>
      </c>
      <c r="Q82" s="80" t="s">
        <v>279</v>
      </c>
      <c r="W82" s="76" t="s">
        <v>528</v>
      </c>
      <c r="X82" s="77">
        <v>133.69999999999999</v>
      </c>
      <c r="Y82" s="78">
        <v>0</v>
      </c>
      <c r="AA82" s="79">
        <v>133.69999999999999</v>
      </c>
      <c r="AB82" s="79">
        <v>133.69999999999999</v>
      </c>
      <c r="AC82" s="78">
        <v>0</v>
      </c>
      <c r="AE82" s="63" t="s">
        <v>219</v>
      </c>
      <c r="AF82" s="63">
        <v>0</v>
      </c>
      <c r="AG82" s="63">
        <v>0</v>
      </c>
      <c r="AK82" s="77">
        <v>0</v>
      </c>
      <c r="BA82" s="41" t="s">
        <v>230</v>
      </c>
      <c r="BB82" s="41" t="s">
        <v>6</v>
      </c>
      <c r="BC82" s="41" t="s">
        <v>229</v>
      </c>
      <c r="BD82" s="41" t="s">
        <v>475</v>
      </c>
    </row>
    <row r="83" spans="1:56" ht="27" customHeight="1" outlineLevel="1">
      <c r="A83" s="19">
        <v>78</v>
      </c>
      <c r="B83" s="19" t="s">
        <v>219</v>
      </c>
      <c r="C83" s="19" t="s">
        <v>219</v>
      </c>
      <c r="D83" s="50" t="s">
        <v>219</v>
      </c>
      <c r="E83" s="19" t="s">
        <v>219</v>
      </c>
      <c r="F83" s="19" t="s">
        <v>219</v>
      </c>
      <c r="G83" s="19" t="s">
        <v>219</v>
      </c>
      <c r="H83" s="81" t="s">
        <v>219</v>
      </c>
      <c r="I83" s="70" t="s">
        <v>219</v>
      </c>
      <c r="J83" s="70" t="s">
        <v>219</v>
      </c>
      <c r="K83" s="71" t="s">
        <v>219</v>
      </c>
      <c r="L83" s="72" t="s">
        <v>219</v>
      </c>
      <c r="M83" s="72" t="s">
        <v>219</v>
      </c>
      <c r="N83" s="73" t="s">
        <v>219</v>
      </c>
      <c r="O83" s="74" t="s">
        <v>219</v>
      </c>
      <c r="P83" s="73" t="s">
        <v>219</v>
      </c>
      <c r="Q83" s="80" t="s">
        <v>219</v>
      </c>
      <c r="W83" s="76" t="s">
        <v>219</v>
      </c>
      <c r="X83" s="77" t="s">
        <v>219</v>
      </c>
      <c r="Y83" s="78">
        <v>0</v>
      </c>
      <c r="AA83" s="79" t="s">
        <v>219</v>
      </c>
      <c r="AB83" s="79" t="s">
        <v>219</v>
      </c>
      <c r="AC83" s="78">
        <v>0</v>
      </c>
      <c r="AE83" s="63" t="s">
        <v>230</v>
      </c>
      <c r="AF83" s="63">
        <v>1</v>
      </c>
      <c r="AG83" s="63" t="s">
        <v>219</v>
      </c>
      <c r="AK83" s="77">
        <v>0</v>
      </c>
      <c r="BA83" s="41" t="s">
        <v>230</v>
      </c>
      <c r="BB83" s="41" t="s">
        <v>6</v>
      </c>
      <c r="BC83" s="41" t="s">
        <v>229</v>
      </c>
      <c r="BD83" s="41" t="s">
        <v>475</v>
      </c>
    </row>
    <row r="84" spans="1:56" ht="18" customHeight="1" outlineLevel="1">
      <c r="A84" s="19">
        <v>79</v>
      </c>
      <c r="B84" s="19">
        <v>522002325</v>
      </c>
      <c r="C84" s="19">
        <v>522002326</v>
      </c>
      <c r="D84" s="50" t="s">
        <v>529</v>
      </c>
      <c r="E84" s="19" t="s">
        <v>476</v>
      </c>
      <c r="F84" s="19" t="s">
        <v>530</v>
      </c>
      <c r="G84" s="19" t="s">
        <v>530</v>
      </c>
      <c r="H84" s="69" t="s">
        <v>531</v>
      </c>
      <c r="I84" s="70" t="s">
        <v>532</v>
      </c>
      <c r="J84" s="70" t="s">
        <v>289</v>
      </c>
      <c r="K84" s="71">
        <v>4</v>
      </c>
      <c r="L84" s="72">
        <v>522002326</v>
      </c>
      <c r="M84" s="72" t="s">
        <v>533</v>
      </c>
      <c r="N84" s="73">
        <v>33.4</v>
      </c>
      <c r="O84" s="74" t="s">
        <v>279</v>
      </c>
      <c r="P84" s="73">
        <v>59.95</v>
      </c>
      <c r="Q84" s="80" t="s">
        <v>279</v>
      </c>
      <c r="W84" s="76" t="s">
        <v>534</v>
      </c>
      <c r="X84" s="77">
        <v>33.4</v>
      </c>
      <c r="Y84" s="78">
        <v>0</v>
      </c>
      <c r="AA84" s="79">
        <v>33.4</v>
      </c>
      <c r="AB84" s="79">
        <v>33.4</v>
      </c>
      <c r="AC84" s="78">
        <v>0</v>
      </c>
      <c r="AE84" s="63" t="s">
        <v>219</v>
      </c>
      <c r="AF84" s="63">
        <v>1</v>
      </c>
      <c r="AG84" s="63">
        <v>1</v>
      </c>
      <c r="AK84" s="77">
        <v>0</v>
      </c>
      <c r="BA84" s="41" t="s">
        <v>230</v>
      </c>
      <c r="BB84" s="41" t="s">
        <v>6</v>
      </c>
      <c r="BC84" s="41" t="s">
        <v>229</v>
      </c>
      <c r="BD84" s="41" t="s">
        <v>475</v>
      </c>
    </row>
    <row r="85" spans="1:56" s="57" customFormat="1" ht="18" customHeight="1" outlineLevel="1">
      <c r="A85" s="49">
        <v>80</v>
      </c>
      <c r="B85" s="19">
        <v>522002327</v>
      </c>
      <c r="C85" s="19">
        <v>522002328</v>
      </c>
      <c r="D85" s="50" t="s">
        <v>529</v>
      </c>
      <c r="E85" s="19" t="s">
        <v>476</v>
      </c>
      <c r="F85" s="19" t="s">
        <v>530</v>
      </c>
      <c r="G85" s="19" t="s">
        <v>530</v>
      </c>
      <c r="H85" s="20" t="s">
        <v>535</v>
      </c>
      <c r="I85" s="64" t="s">
        <v>536</v>
      </c>
      <c r="J85" s="70" t="s">
        <v>537</v>
      </c>
      <c r="K85" s="53">
        <v>4</v>
      </c>
      <c r="L85" s="20">
        <v>522002328</v>
      </c>
      <c r="M85" s="72" t="s">
        <v>538</v>
      </c>
      <c r="N85" s="54">
        <v>33.4</v>
      </c>
      <c r="O85" s="56" t="s">
        <v>279</v>
      </c>
      <c r="P85" s="54">
        <v>59.95</v>
      </c>
      <c r="Q85" s="56" t="s">
        <v>279</v>
      </c>
      <c r="R85" s="27"/>
      <c r="S85" s="58"/>
      <c r="T85" s="51"/>
      <c r="U85" s="51"/>
      <c r="V85" s="51"/>
      <c r="W85" s="76" t="s">
        <v>539</v>
      </c>
      <c r="X85" s="77">
        <v>33.4</v>
      </c>
      <c r="Y85" s="78">
        <v>0</v>
      </c>
      <c r="Z85" s="29"/>
      <c r="AA85" s="79">
        <v>33.4</v>
      </c>
      <c r="AB85" s="79">
        <v>33.4</v>
      </c>
      <c r="AC85" s="78">
        <v>0</v>
      </c>
      <c r="AD85" s="29"/>
      <c r="AE85" s="63" t="s">
        <v>219</v>
      </c>
      <c r="AF85" s="63">
        <v>1</v>
      </c>
      <c r="AG85" s="63">
        <v>1</v>
      </c>
      <c r="AH85" s="29"/>
      <c r="AI85" s="27"/>
      <c r="AJ85" s="29"/>
      <c r="AK85" s="77">
        <v>0</v>
      </c>
      <c r="BA85" s="41" t="s">
        <v>230</v>
      </c>
      <c r="BB85" s="41" t="s">
        <v>6</v>
      </c>
      <c r="BC85" s="41" t="s">
        <v>229</v>
      </c>
      <c r="BD85" s="41" t="s">
        <v>475</v>
      </c>
    </row>
    <row r="86" spans="1:56" ht="27" customHeight="1" outlineLevel="1">
      <c r="A86" s="19">
        <v>81</v>
      </c>
      <c r="B86" s="19" t="s">
        <v>219</v>
      </c>
      <c r="C86" s="19" t="s">
        <v>219</v>
      </c>
      <c r="D86" s="50" t="s">
        <v>219</v>
      </c>
      <c r="E86" s="19" t="s">
        <v>219</v>
      </c>
      <c r="F86" s="19" t="s">
        <v>219</v>
      </c>
      <c r="G86" s="19" t="s">
        <v>219</v>
      </c>
      <c r="H86" s="81" t="s">
        <v>219</v>
      </c>
      <c r="I86" s="70" t="s">
        <v>219</v>
      </c>
      <c r="J86" s="70" t="s">
        <v>219</v>
      </c>
      <c r="K86" s="71" t="s">
        <v>219</v>
      </c>
      <c r="L86" s="72" t="s">
        <v>219</v>
      </c>
      <c r="M86" s="72" t="s">
        <v>219</v>
      </c>
      <c r="N86" s="73" t="s">
        <v>219</v>
      </c>
      <c r="O86" s="74" t="s">
        <v>219</v>
      </c>
      <c r="P86" s="73" t="s">
        <v>219</v>
      </c>
      <c r="Q86" s="80" t="s">
        <v>219</v>
      </c>
      <c r="W86" s="76" t="s">
        <v>219</v>
      </c>
      <c r="X86" s="77" t="s">
        <v>219</v>
      </c>
      <c r="Y86" s="78">
        <v>0</v>
      </c>
      <c r="AA86" s="79" t="s">
        <v>219</v>
      </c>
      <c r="AB86" s="79" t="s">
        <v>219</v>
      </c>
      <c r="AC86" s="78">
        <v>0</v>
      </c>
      <c r="AE86" s="63" t="s">
        <v>230</v>
      </c>
      <c r="AF86" s="63">
        <v>0</v>
      </c>
      <c r="AG86" s="63" t="s">
        <v>219</v>
      </c>
      <c r="AK86" s="77">
        <v>0</v>
      </c>
      <c r="BA86" s="41" t="s">
        <v>230</v>
      </c>
      <c r="BB86" s="41" t="s">
        <v>6</v>
      </c>
      <c r="BC86" s="41" t="s">
        <v>229</v>
      </c>
      <c r="BD86" s="41" t="s">
        <v>475</v>
      </c>
    </row>
    <row r="87" spans="1:56" ht="18" customHeight="1" outlineLevel="1">
      <c r="A87" s="19">
        <v>82</v>
      </c>
      <c r="B87" s="19">
        <v>522002835</v>
      </c>
      <c r="C87" s="19">
        <v>522002835</v>
      </c>
      <c r="D87" s="50" t="s">
        <v>529</v>
      </c>
      <c r="E87" s="19" t="s">
        <v>476</v>
      </c>
      <c r="F87" s="19" t="s">
        <v>540</v>
      </c>
      <c r="G87" s="19" t="s">
        <v>541</v>
      </c>
      <c r="H87" s="69" t="s">
        <v>542</v>
      </c>
      <c r="I87" s="70" t="s">
        <v>543</v>
      </c>
      <c r="J87" s="70" t="s">
        <v>289</v>
      </c>
      <c r="K87" s="71">
        <v>1</v>
      </c>
      <c r="L87" s="72">
        <v>522002835</v>
      </c>
      <c r="M87" s="72" t="s">
        <v>544</v>
      </c>
      <c r="N87" s="73">
        <v>55.7</v>
      </c>
      <c r="O87" s="74" t="s">
        <v>279</v>
      </c>
      <c r="P87" s="73">
        <v>99.95</v>
      </c>
      <c r="Q87" s="80" t="s">
        <v>279</v>
      </c>
      <c r="W87" s="76" t="s">
        <v>545</v>
      </c>
      <c r="X87" s="77">
        <v>55.7</v>
      </c>
      <c r="Y87" s="78">
        <v>0</v>
      </c>
      <c r="AA87" s="79">
        <v>55.7</v>
      </c>
      <c r="AB87" s="79">
        <v>55.7</v>
      </c>
      <c r="AC87" s="78">
        <v>0</v>
      </c>
      <c r="AE87" s="63" t="s">
        <v>219</v>
      </c>
      <c r="AF87" s="63">
        <v>0</v>
      </c>
      <c r="AG87" s="63">
        <v>0</v>
      </c>
      <c r="AK87" s="77">
        <v>0</v>
      </c>
      <c r="BA87" s="41" t="s">
        <v>230</v>
      </c>
      <c r="BB87" s="41" t="s">
        <v>6</v>
      </c>
      <c r="BC87" s="41" t="s">
        <v>229</v>
      </c>
      <c r="BD87" s="41" t="s">
        <v>475</v>
      </c>
    </row>
    <row r="88" spans="1:56" ht="18" customHeight="1" outlineLevel="1">
      <c r="A88" s="19">
        <v>83</v>
      </c>
      <c r="B88" s="19">
        <v>522002837</v>
      </c>
      <c r="C88" s="19">
        <v>522002837</v>
      </c>
      <c r="D88" s="50" t="s">
        <v>529</v>
      </c>
      <c r="E88" s="19" t="s">
        <v>476</v>
      </c>
      <c r="F88" s="19" t="s">
        <v>540</v>
      </c>
      <c r="G88" s="19" t="s">
        <v>541</v>
      </c>
      <c r="H88" s="69" t="s">
        <v>546</v>
      </c>
      <c r="I88" s="70" t="s">
        <v>547</v>
      </c>
      <c r="J88" s="70" t="s">
        <v>480</v>
      </c>
      <c r="K88" s="71">
        <v>1</v>
      </c>
      <c r="L88" s="72">
        <v>522002837</v>
      </c>
      <c r="M88" s="72" t="s">
        <v>548</v>
      </c>
      <c r="N88" s="73">
        <v>55.7</v>
      </c>
      <c r="O88" s="74" t="s">
        <v>279</v>
      </c>
      <c r="P88" s="73">
        <v>99.95</v>
      </c>
      <c r="Q88" s="80" t="s">
        <v>279</v>
      </c>
      <c r="W88" s="76" t="s">
        <v>549</v>
      </c>
      <c r="X88" s="77">
        <v>55.7</v>
      </c>
      <c r="Y88" s="78">
        <v>0</v>
      </c>
      <c r="AA88" s="79">
        <v>55.7</v>
      </c>
      <c r="AB88" s="79">
        <v>55.7</v>
      </c>
      <c r="AC88" s="78">
        <v>0</v>
      </c>
      <c r="AE88" s="63" t="s">
        <v>219</v>
      </c>
      <c r="AF88" s="63">
        <v>0</v>
      </c>
      <c r="AG88" s="63">
        <v>0</v>
      </c>
      <c r="AK88" s="77">
        <v>0</v>
      </c>
      <c r="BA88" s="41" t="s">
        <v>230</v>
      </c>
      <c r="BB88" s="41" t="s">
        <v>6</v>
      </c>
      <c r="BC88" s="41" t="s">
        <v>229</v>
      </c>
      <c r="BD88" s="41" t="s">
        <v>475</v>
      </c>
    </row>
    <row r="89" spans="1:56" ht="18" customHeight="1" outlineLevel="1">
      <c r="A89" s="19">
        <v>84</v>
      </c>
      <c r="B89" s="19">
        <v>522002839</v>
      </c>
      <c r="C89" s="19">
        <v>522002839</v>
      </c>
      <c r="D89" s="50" t="s">
        <v>529</v>
      </c>
      <c r="E89" s="19" t="s">
        <v>476</v>
      </c>
      <c r="F89" s="19" t="s">
        <v>540</v>
      </c>
      <c r="G89" s="19" t="s">
        <v>541</v>
      </c>
      <c r="H89" s="69" t="s">
        <v>550</v>
      </c>
      <c r="I89" s="70" t="s">
        <v>551</v>
      </c>
      <c r="J89" s="70" t="s">
        <v>521</v>
      </c>
      <c r="K89" s="71">
        <v>1</v>
      </c>
      <c r="L89" s="72">
        <v>522002839</v>
      </c>
      <c r="M89" s="72" t="s">
        <v>552</v>
      </c>
      <c r="N89" s="73">
        <v>55.7</v>
      </c>
      <c r="O89" s="74" t="s">
        <v>279</v>
      </c>
      <c r="P89" s="73">
        <v>99.95</v>
      </c>
      <c r="Q89" s="80" t="s">
        <v>279</v>
      </c>
      <c r="W89" s="76" t="s">
        <v>553</v>
      </c>
      <c r="X89" s="77">
        <v>55.7</v>
      </c>
      <c r="Y89" s="78">
        <v>0</v>
      </c>
      <c r="AA89" s="79">
        <v>55.7</v>
      </c>
      <c r="AB89" s="79">
        <v>55.7</v>
      </c>
      <c r="AC89" s="78">
        <v>0</v>
      </c>
      <c r="AE89" s="63" t="s">
        <v>219</v>
      </c>
      <c r="AF89" s="63">
        <v>0</v>
      </c>
      <c r="AG89" s="63">
        <v>0</v>
      </c>
      <c r="AK89" s="77">
        <v>0</v>
      </c>
      <c r="BA89" s="41" t="s">
        <v>230</v>
      </c>
      <c r="BB89" s="41" t="s">
        <v>6</v>
      </c>
      <c r="BC89" s="41" t="s">
        <v>229</v>
      </c>
      <c r="BD89" s="41" t="s">
        <v>475</v>
      </c>
    </row>
    <row r="90" spans="1:56" ht="18" customHeight="1" outlineLevel="1">
      <c r="A90" s="19">
        <v>85</v>
      </c>
      <c r="B90" s="19">
        <v>522002841</v>
      </c>
      <c r="C90" s="19">
        <v>522002841</v>
      </c>
      <c r="D90" s="50" t="s">
        <v>529</v>
      </c>
      <c r="E90" s="19" t="s">
        <v>476</v>
      </c>
      <c r="F90" s="19" t="s">
        <v>540</v>
      </c>
      <c r="G90" s="19" t="s">
        <v>541</v>
      </c>
      <c r="H90" s="69" t="s">
        <v>554</v>
      </c>
      <c r="I90" s="70" t="s">
        <v>555</v>
      </c>
      <c r="J90" s="70" t="s">
        <v>556</v>
      </c>
      <c r="K90" s="71">
        <v>1</v>
      </c>
      <c r="L90" s="72">
        <v>522002841</v>
      </c>
      <c r="M90" s="72" t="s">
        <v>557</v>
      </c>
      <c r="N90" s="73">
        <v>55.7</v>
      </c>
      <c r="O90" s="74" t="s">
        <v>279</v>
      </c>
      <c r="P90" s="73">
        <v>99.95</v>
      </c>
      <c r="Q90" s="80" t="s">
        <v>279</v>
      </c>
      <c r="W90" s="76" t="s">
        <v>558</v>
      </c>
      <c r="X90" s="77">
        <v>55.7</v>
      </c>
      <c r="Y90" s="78">
        <v>0</v>
      </c>
      <c r="AA90" s="79">
        <v>55.7</v>
      </c>
      <c r="AB90" s="79">
        <v>55.7</v>
      </c>
      <c r="AC90" s="78">
        <v>0</v>
      </c>
      <c r="AE90" s="63" t="s">
        <v>219</v>
      </c>
      <c r="AF90" s="63">
        <v>0</v>
      </c>
      <c r="AG90" s="63">
        <v>0</v>
      </c>
      <c r="AK90" s="77">
        <v>0</v>
      </c>
      <c r="BA90" s="41" t="s">
        <v>230</v>
      </c>
      <c r="BB90" s="41" t="s">
        <v>6</v>
      </c>
      <c r="BC90" s="41" t="s">
        <v>229</v>
      </c>
      <c r="BD90" s="41" t="s">
        <v>475</v>
      </c>
    </row>
    <row r="91" spans="1:56" ht="18" customHeight="1" outlineLevel="1">
      <c r="A91" s="19">
        <v>86</v>
      </c>
      <c r="B91" s="19">
        <v>522002843</v>
      </c>
      <c r="C91" s="19">
        <v>522002843</v>
      </c>
      <c r="D91" s="50" t="s">
        <v>529</v>
      </c>
      <c r="E91" s="19" t="s">
        <v>476</v>
      </c>
      <c r="F91" s="19" t="s">
        <v>540</v>
      </c>
      <c r="G91" s="19" t="s">
        <v>541</v>
      </c>
      <c r="H91" s="69" t="s">
        <v>559</v>
      </c>
      <c r="I91" s="70" t="s">
        <v>560</v>
      </c>
      <c r="J91" s="70" t="s">
        <v>329</v>
      </c>
      <c r="K91" s="71">
        <v>1</v>
      </c>
      <c r="L91" s="72">
        <v>522002843</v>
      </c>
      <c r="M91" s="72" t="s">
        <v>561</v>
      </c>
      <c r="N91" s="73">
        <v>55.7</v>
      </c>
      <c r="O91" s="74" t="s">
        <v>279</v>
      </c>
      <c r="P91" s="73">
        <v>99.95</v>
      </c>
      <c r="Q91" s="80" t="s">
        <v>279</v>
      </c>
      <c r="W91" s="76" t="s">
        <v>562</v>
      </c>
      <c r="X91" s="77">
        <v>55.7</v>
      </c>
      <c r="Y91" s="78">
        <v>0</v>
      </c>
      <c r="AA91" s="79">
        <v>55.7</v>
      </c>
      <c r="AB91" s="79">
        <v>55.7</v>
      </c>
      <c r="AC91" s="78">
        <v>0</v>
      </c>
      <c r="AE91" s="63" t="s">
        <v>219</v>
      </c>
      <c r="AF91" s="63">
        <v>0</v>
      </c>
      <c r="AG91" s="63">
        <v>0</v>
      </c>
      <c r="AK91" s="77">
        <v>0</v>
      </c>
      <c r="BA91" s="41" t="s">
        <v>230</v>
      </c>
      <c r="BB91" s="41" t="s">
        <v>6</v>
      </c>
      <c r="BC91" s="41" t="s">
        <v>229</v>
      </c>
      <c r="BD91" s="41" t="s">
        <v>475</v>
      </c>
    </row>
    <row r="92" spans="1:56" ht="18" customHeight="1" outlineLevel="1">
      <c r="A92" s="19">
        <v>87</v>
      </c>
      <c r="B92" s="19">
        <v>522002845</v>
      </c>
      <c r="C92" s="19">
        <v>522002845</v>
      </c>
      <c r="D92" s="50" t="s">
        <v>529</v>
      </c>
      <c r="E92" s="19" t="s">
        <v>476</v>
      </c>
      <c r="F92" s="19" t="s">
        <v>540</v>
      </c>
      <c r="G92" s="19" t="s">
        <v>541</v>
      </c>
      <c r="H92" s="69" t="s">
        <v>563</v>
      </c>
      <c r="I92" s="70" t="s">
        <v>564</v>
      </c>
      <c r="J92" s="70" t="s">
        <v>334</v>
      </c>
      <c r="K92" s="71">
        <v>1</v>
      </c>
      <c r="L92" s="72">
        <v>522002845</v>
      </c>
      <c r="M92" s="72" t="s">
        <v>565</v>
      </c>
      <c r="N92" s="73">
        <v>55.7</v>
      </c>
      <c r="O92" s="74" t="s">
        <v>279</v>
      </c>
      <c r="P92" s="73">
        <v>99.95</v>
      </c>
      <c r="Q92" s="80" t="s">
        <v>279</v>
      </c>
      <c r="W92" s="76" t="s">
        <v>566</v>
      </c>
      <c r="X92" s="77">
        <v>55.7</v>
      </c>
      <c r="Y92" s="78">
        <v>0</v>
      </c>
      <c r="AA92" s="79">
        <v>55.7</v>
      </c>
      <c r="AB92" s="79">
        <v>55.7</v>
      </c>
      <c r="AC92" s="78">
        <v>0</v>
      </c>
      <c r="AE92" s="63" t="s">
        <v>219</v>
      </c>
      <c r="AF92" s="63">
        <v>0</v>
      </c>
      <c r="AG92" s="63">
        <v>0</v>
      </c>
      <c r="AK92" s="77">
        <v>0</v>
      </c>
      <c r="BA92" s="41" t="s">
        <v>230</v>
      </c>
      <c r="BB92" s="41" t="s">
        <v>6</v>
      </c>
      <c r="BC92" s="41" t="s">
        <v>229</v>
      </c>
      <c r="BD92" s="41" t="s">
        <v>475</v>
      </c>
    </row>
    <row r="93" spans="1:56" s="57" customFormat="1" ht="18" customHeight="1" outlineLevel="1">
      <c r="A93" s="49">
        <v>88</v>
      </c>
      <c r="B93" s="19">
        <v>522002847</v>
      </c>
      <c r="C93" s="19">
        <v>522002847</v>
      </c>
      <c r="D93" s="50" t="s">
        <v>529</v>
      </c>
      <c r="E93" s="19" t="s">
        <v>476</v>
      </c>
      <c r="F93" s="19" t="s">
        <v>540</v>
      </c>
      <c r="G93" s="19" t="s">
        <v>541</v>
      </c>
      <c r="H93" s="20" t="s">
        <v>567</v>
      </c>
      <c r="I93" s="64" t="s">
        <v>568</v>
      </c>
      <c r="J93" s="70" t="s">
        <v>569</v>
      </c>
      <c r="K93" s="53">
        <v>1</v>
      </c>
      <c r="L93" s="20">
        <v>522002847</v>
      </c>
      <c r="M93" s="72" t="s">
        <v>570</v>
      </c>
      <c r="N93" s="54">
        <v>55.7</v>
      </c>
      <c r="O93" s="56" t="s">
        <v>279</v>
      </c>
      <c r="P93" s="54">
        <v>99.95</v>
      </c>
      <c r="Q93" s="56" t="s">
        <v>279</v>
      </c>
      <c r="R93" s="27"/>
      <c r="S93" s="58"/>
      <c r="T93" s="51"/>
      <c r="U93" s="51"/>
      <c r="V93" s="51"/>
      <c r="W93" s="76" t="s">
        <v>571</v>
      </c>
      <c r="X93" s="77">
        <v>55.7</v>
      </c>
      <c r="Y93" s="78">
        <v>0</v>
      </c>
      <c r="Z93" s="29"/>
      <c r="AA93" s="79">
        <v>55.7</v>
      </c>
      <c r="AB93" s="79">
        <v>55.7</v>
      </c>
      <c r="AC93" s="78">
        <v>0</v>
      </c>
      <c r="AD93" s="29"/>
      <c r="AE93" s="63" t="s">
        <v>219</v>
      </c>
      <c r="AF93" s="63">
        <v>0</v>
      </c>
      <c r="AG93" s="63">
        <v>0</v>
      </c>
      <c r="AH93" s="29"/>
      <c r="AI93" s="27"/>
      <c r="AJ93" s="29"/>
      <c r="AK93" s="77">
        <v>0</v>
      </c>
      <c r="BA93" s="41" t="s">
        <v>230</v>
      </c>
      <c r="BB93" s="41" t="s">
        <v>6</v>
      </c>
      <c r="BC93" s="41" t="s">
        <v>229</v>
      </c>
      <c r="BD93" s="41" t="s">
        <v>475</v>
      </c>
    </row>
    <row r="94" spans="1:56" ht="18" customHeight="1" outlineLevel="1">
      <c r="A94" s="19">
        <v>89</v>
      </c>
      <c r="B94" s="19">
        <v>522002849</v>
      </c>
      <c r="C94" s="19">
        <v>522002849</v>
      </c>
      <c r="D94" s="50" t="s">
        <v>529</v>
      </c>
      <c r="E94" s="19" t="s">
        <v>476</v>
      </c>
      <c r="F94" s="19" t="s">
        <v>540</v>
      </c>
      <c r="G94" s="19" t="s">
        <v>541</v>
      </c>
      <c r="H94" s="69" t="s">
        <v>572</v>
      </c>
      <c r="I94" s="70" t="s">
        <v>573</v>
      </c>
      <c r="J94" s="70" t="s">
        <v>574</v>
      </c>
      <c r="K94" s="71">
        <v>1</v>
      </c>
      <c r="L94" s="72">
        <v>522002849</v>
      </c>
      <c r="M94" s="72" t="s">
        <v>575</v>
      </c>
      <c r="N94" s="73">
        <v>55.7</v>
      </c>
      <c r="O94" s="74" t="s">
        <v>279</v>
      </c>
      <c r="P94" s="73">
        <v>99.95</v>
      </c>
      <c r="Q94" s="80" t="s">
        <v>279</v>
      </c>
      <c r="W94" s="76" t="s">
        <v>576</v>
      </c>
      <c r="X94" s="77">
        <v>55.7</v>
      </c>
      <c r="Y94" s="78">
        <v>0</v>
      </c>
      <c r="AA94" s="79">
        <v>55.7</v>
      </c>
      <c r="AB94" s="79">
        <v>55.7</v>
      </c>
      <c r="AC94" s="78">
        <v>0</v>
      </c>
      <c r="AE94" s="63" t="s">
        <v>219</v>
      </c>
      <c r="AF94" s="63">
        <v>0</v>
      </c>
      <c r="AG94" s="63">
        <v>0</v>
      </c>
      <c r="AK94" s="77">
        <v>0</v>
      </c>
      <c r="BA94" s="41" t="s">
        <v>230</v>
      </c>
      <c r="BB94" s="41" t="s">
        <v>6</v>
      </c>
      <c r="BC94" s="41" t="s">
        <v>229</v>
      </c>
      <c r="BD94" s="41" t="s">
        <v>475</v>
      </c>
    </row>
    <row r="95" spans="1:56" ht="18" customHeight="1" outlineLevel="1">
      <c r="A95" s="19">
        <v>90</v>
      </c>
      <c r="B95" s="19">
        <v>522002851</v>
      </c>
      <c r="C95" s="19">
        <v>522002851</v>
      </c>
      <c r="D95" s="50" t="s">
        <v>529</v>
      </c>
      <c r="E95" s="19" t="s">
        <v>476</v>
      </c>
      <c r="F95" s="19" t="s">
        <v>540</v>
      </c>
      <c r="G95" s="19" t="s">
        <v>541</v>
      </c>
      <c r="H95" s="69" t="s">
        <v>577</v>
      </c>
      <c r="I95" s="70" t="s">
        <v>578</v>
      </c>
      <c r="J95" s="70" t="s">
        <v>579</v>
      </c>
      <c r="K95" s="71">
        <v>1</v>
      </c>
      <c r="L95" s="72">
        <v>522002851</v>
      </c>
      <c r="M95" s="72" t="s">
        <v>580</v>
      </c>
      <c r="N95" s="73">
        <v>55.7</v>
      </c>
      <c r="O95" s="74" t="s">
        <v>279</v>
      </c>
      <c r="P95" s="73">
        <v>99.95</v>
      </c>
      <c r="Q95" s="80" t="s">
        <v>279</v>
      </c>
      <c r="W95" s="76" t="s">
        <v>581</v>
      </c>
      <c r="X95" s="77">
        <v>55.7</v>
      </c>
      <c r="Y95" s="78">
        <v>0</v>
      </c>
      <c r="AA95" s="79">
        <v>55.7</v>
      </c>
      <c r="AB95" s="79">
        <v>55.7</v>
      </c>
      <c r="AC95" s="78">
        <v>0</v>
      </c>
      <c r="AE95" s="63" t="s">
        <v>219</v>
      </c>
      <c r="AF95" s="63">
        <v>0</v>
      </c>
      <c r="AG95" s="63">
        <v>0</v>
      </c>
      <c r="AK95" s="77">
        <v>0</v>
      </c>
      <c r="BA95" s="41" t="s">
        <v>230</v>
      </c>
      <c r="BB95" s="41" t="s">
        <v>6</v>
      </c>
      <c r="BC95" s="41" t="s">
        <v>229</v>
      </c>
      <c r="BD95" s="41" t="s">
        <v>475</v>
      </c>
    </row>
    <row r="96" spans="1:56" ht="18" customHeight="1" outlineLevel="1">
      <c r="A96" s="19">
        <v>91</v>
      </c>
      <c r="B96" s="19">
        <v>100000000</v>
      </c>
      <c r="C96" s="19">
        <v>100000000</v>
      </c>
      <c r="D96" s="50" t="s">
        <v>4</v>
      </c>
      <c r="E96" s="19">
        <v>0</v>
      </c>
      <c r="F96" s="19" t="s">
        <v>582</v>
      </c>
      <c r="G96" s="19" t="s">
        <v>582</v>
      </c>
      <c r="H96" s="69" t="s">
        <v>582</v>
      </c>
      <c r="I96" s="70" t="s">
        <v>219</v>
      </c>
      <c r="J96" s="70" t="s">
        <v>219</v>
      </c>
      <c r="K96" s="71" t="s">
        <v>219</v>
      </c>
      <c r="L96" s="72" t="s">
        <v>219</v>
      </c>
      <c r="M96" s="72" t="s">
        <v>219</v>
      </c>
      <c r="N96" s="73" t="s">
        <v>219</v>
      </c>
      <c r="O96" s="74" t="s">
        <v>219</v>
      </c>
      <c r="P96" s="73" t="s">
        <v>219</v>
      </c>
      <c r="Q96" s="80" t="s">
        <v>219</v>
      </c>
      <c r="W96" s="76" t="s">
        <v>219</v>
      </c>
      <c r="X96" s="77" t="s">
        <v>219</v>
      </c>
      <c r="Y96" s="78">
        <v>0</v>
      </c>
      <c r="AA96" s="79" t="s">
        <v>219</v>
      </c>
      <c r="AB96" s="79" t="s">
        <v>219</v>
      </c>
      <c r="AC96" s="78">
        <v>0</v>
      </c>
      <c r="AE96" s="63" t="s">
        <v>219</v>
      </c>
      <c r="AF96" s="63">
        <v>0</v>
      </c>
      <c r="AG96" s="63">
        <v>0</v>
      </c>
      <c r="AK96" s="77">
        <v>0</v>
      </c>
      <c r="BA96" s="41" t="s">
        <v>230</v>
      </c>
      <c r="BB96" s="41" t="s">
        <v>6</v>
      </c>
      <c r="BC96" s="41" t="s">
        <v>229</v>
      </c>
      <c r="BD96" s="41" t="s">
        <v>475</v>
      </c>
    </row>
    <row r="97" spans="1:56" ht="27" customHeight="1" outlineLevel="1">
      <c r="A97" s="19">
        <v>92</v>
      </c>
      <c r="B97" s="19" t="s">
        <v>219</v>
      </c>
      <c r="C97" s="19" t="s">
        <v>219</v>
      </c>
      <c r="D97" s="50" t="s">
        <v>219</v>
      </c>
      <c r="E97" s="19" t="s">
        <v>219</v>
      </c>
      <c r="F97" s="19" t="s">
        <v>219</v>
      </c>
      <c r="G97" s="19" t="s">
        <v>219</v>
      </c>
      <c r="H97" s="81" t="s">
        <v>219</v>
      </c>
      <c r="I97" s="70" t="s">
        <v>219</v>
      </c>
      <c r="J97" s="70" t="s">
        <v>219</v>
      </c>
      <c r="K97" s="71" t="s">
        <v>219</v>
      </c>
      <c r="L97" s="72" t="s">
        <v>219</v>
      </c>
      <c r="M97" s="72" t="s">
        <v>219</v>
      </c>
      <c r="N97" s="73" t="s">
        <v>219</v>
      </c>
      <c r="O97" s="74" t="s">
        <v>219</v>
      </c>
      <c r="P97" s="73" t="s">
        <v>219</v>
      </c>
      <c r="Q97" s="80" t="s">
        <v>219</v>
      </c>
      <c r="W97" s="76" t="s">
        <v>219</v>
      </c>
      <c r="X97" s="77" t="s">
        <v>219</v>
      </c>
      <c r="Y97" s="78">
        <v>0</v>
      </c>
      <c r="AA97" s="79" t="s">
        <v>219</v>
      </c>
      <c r="AB97" s="79" t="s">
        <v>219</v>
      </c>
      <c r="AC97" s="78">
        <v>0</v>
      </c>
      <c r="AE97" s="63" t="s">
        <v>230</v>
      </c>
      <c r="AF97" s="63">
        <v>1</v>
      </c>
      <c r="AG97" s="63" t="s">
        <v>219</v>
      </c>
      <c r="AK97" s="77">
        <v>0</v>
      </c>
      <c r="BA97" s="41" t="s">
        <v>230</v>
      </c>
      <c r="BB97" s="41" t="s">
        <v>6</v>
      </c>
      <c r="BC97" s="41" t="s">
        <v>229</v>
      </c>
      <c r="BD97" s="41" t="s">
        <v>475</v>
      </c>
    </row>
    <row r="98" spans="1:56" ht="18" customHeight="1" outlineLevel="1">
      <c r="A98" s="19">
        <v>93</v>
      </c>
      <c r="B98" s="19">
        <v>519002653</v>
      </c>
      <c r="C98" s="19">
        <v>519002653</v>
      </c>
      <c r="D98" s="50" t="s">
        <v>4</v>
      </c>
      <c r="E98" s="19" t="s">
        <v>476</v>
      </c>
      <c r="F98" s="19" t="s">
        <v>583</v>
      </c>
      <c r="G98" s="19" t="s">
        <v>584</v>
      </c>
      <c r="H98" s="69" t="s">
        <v>585</v>
      </c>
      <c r="I98" s="70" t="s">
        <v>532</v>
      </c>
      <c r="J98" s="70" t="s">
        <v>289</v>
      </c>
      <c r="K98" s="71">
        <v>1</v>
      </c>
      <c r="L98" s="72">
        <v>519002653</v>
      </c>
      <c r="M98" s="72" t="s">
        <v>586</v>
      </c>
      <c r="N98" s="73">
        <v>133.69999999999999</v>
      </c>
      <c r="O98" s="74" t="s">
        <v>279</v>
      </c>
      <c r="P98" s="73">
        <v>239.95</v>
      </c>
      <c r="Q98" s="80" t="s">
        <v>279</v>
      </c>
      <c r="W98" s="76" t="s">
        <v>587</v>
      </c>
      <c r="X98" s="77">
        <v>133.69999999999999</v>
      </c>
      <c r="Y98" s="78">
        <v>0</v>
      </c>
      <c r="AA98" s="79">
        <v>133.69999999999999</v>
      </c>
      <c r="AB98" s="79">
        <v>133.69999999999999</v>
      </c>
      <c r="AC98" s="78">
        <v>0</v>
      </c>
      <c r="AE98" s="63" t="s">
        <v>219</v>
      </c>
      <c r="AF98" s="63">
        <v>1</v>
      </c>
      <c r="AG98" s="63">
        <v>1</v>
      </c>
      <c r="AK98" s="77">
        <v>0</v>
      </c>
      <c r="BA98" s="41" t="s">
        <v>230</v>
      </c>
      <c r="BB98" s="41" t="s">
        <v>6</v>
      </c>
      <c r="BC98" s="41" t="s">
        <v>229</v>
      </c>
      <c r="BD98" s="41" t="s">
        <v>475</v>
      </c>
    </row>
    <row r="99" spans="1:56" ht="18" customHeight="1" outlineLevel="1">
      <c r="A99" s="19">
        <v>94</v>
      </c>
      <c r="B99" s="19">
        <v>522004125</v>
      </c>
      <c r="C99" s="19">
        <v>522004126</v>
      </c>
      <c r="D99" s="50" t="s">
        <v>4</v>
      </c>
      <c r="E99" s="19" t="s">
        <v>476</v>
      </c>
      <c r="F99" s="19" t="s">
        <v>588</v>
      </c>
      <c r="G99" s="19" t="s">
        <v>589</v>
      </c>
      <c r="H99" s="69" t="s">
        <v>590</v>
      </c>
      <c r="I99" s="70" t="s">
        <v>532</v>
      </c>
      <c r="J99" s="70" t="s">
        <v>289</v>
      </c>
      <c r="K99" s="71">
        <v>4</v>
      </c>
      <c r="L99" s="72">
        <v>522004126</v>
      </c>
      <c r="M99" s="72" t="s">
        <v>591</v>
      </c>
      <c r="N99" s="73">
        <v>27.900000000000002</v>
      </c>
      <c r="O99" s="74" t="s">
        <v>279</v>
      </c>
      <c r="P99" s="73">
        <v>49.95</v>
      </c>
      <c r="Q99" s="80" t="s">
        <v>279</v>
      </c>
      <c r="W99" s="76" t="s">
        <v>592</v>
      </c>
      <c r="X99" s="77">
        <v>27.900000000000002</v>
      </c>
      <c r="Y99" s="78">
        <v>0</v>
      </c>
      <c r="AA99" s="79">
        <v>27.900000000000002</v>
      </c>
      <c r="AB99" s="79">
        <v>27.900000000000002</v>
      </c>
      <c r="AC99" s="78">
        <v>0</v>
      </c>
      <c r="AE99" s="63" t="s">
        <v>219</v>
      </c>
      <c r="AF99" s="63">
        <v>1</v>
      </c>
      <c r="AG99" s="63">
        <v>1</v>
      </c>
      <c r="AK99" s="77">
        <v>0</v>
      </c>
      <c r="BA99" s="41" t="s">
        <v>230</v>
      </c>
      <c r="BB99" s="41" t="s">
        <v>6</v>
      </c>
      <c r="BC99" s="41" t="s">
        <v>229</v>
      </c>
      <c r="BD99" s="41" t="s">
        <v>475</v>
      </c>
    </row>
    <row r="100" spans="1:56" ht="18" customHeight="1" outlineLevel="1">
      <c r="A100" s="19">
        <v>95</v>
      </c>
      <c r="B100" s="19">
        <v>519002695</v>
      </c>
      <c r="C100" s="19">
        <v>519002695</v>
      </c>
      <c r="D100" s="50" t="s">
        <v>4</v>
      </c>
      <c r="E100" s="19" t="s">
        <v>476</v>
      </c>
      <c r="F100" s="19" t="s">
        <v>593</v>
      </c>
      <c r="G100" s="19" t="s">
        <v>594</v>
      </c>
      <c r="H100" s="69" t="s">
        <v>595</v>
      </c>
      <c r="I100" s="70" t="s">
        <v>596</v>
      </c>
      <c r="J100" s="70" t="s">
        <v>597</v>
      </c>
      <c r="K100" s="71">
        <v>1</v>
      </c>
      <c r="L100" s="72">
        <v>519002695</v>
      </c>
      <c r="M100" s="72" t="s">
        <v>598</v>
      </c>
      <c r="N100" s="73">
        <v>66.899999999999991</v>
      </c>
      <c r="O100" s="74" t="s">
        <v>279</v>
      </c>
      <c r="P100" s="73">
        <v>119.95</v>
      </c>
      <c r="Q100" s="80" t="s">
        <v>279</v>
      </c>
      <c r="W100" s="76" t="s">
        <v>599</v>
      </c>
      <c r="X100" s="77">
        <v>66.899999999999991</v>
      </c>
      <c r="Y100" s="78">
        <v>0</v>
      </c>
      <c r="AA100" s="79">
        <v>66.899999999999991</v>
      </c>
      <c r="AB100" s="79">
        <v>66.899999999999991</v>
      </c>
      <c r="AC100" s="78">
        <v>0</v>
      </c>
      <c r="AE100" s="63" t="s">
        <v>219</v>
      </c>
      <c r="AF100" s="63">
        <v>1</v>
      </c>
      <c r="AG100" s="63">
        <v>1</v>
      </c>
      <c r="AK100" s="77">
        <v>0</v>
      </c>
      <c r="BA100" s="41" t="s">
        <v>230</v>
      </c>
      <c r="BB100" s="41" t="s">
        <v>6</v>
      </c>
      <c r="BC100" s="41" t="s">
        <v>229</v>
      </c>
      <c r="BD100" s="41" t="s">
        <v>475</v>
      </c>
    </row>
    <row r="101" spans="1:56" s="57" customFormat="1" ht="18" customHeight="1" outlineLevel="1">
      <c r="A101" s="49">
        <v>96</v>
      </c>
      <c r="B101" s="19">
        <v>519002901</v>
      </c>
      <c r="C101" s="19">
        <v>519002902</v>
      </c>
      <c r="D101" s="50" t="s">
        <v>4</v>
      </c>
      <c r="E101" s="19" t="s">
        <v>476</v>
      </c>
      <c r="F101" s="19" t="s">
        <v>600</v>
      </c>
      <c r="G101" s="19" t="s">
        <v>601</v>
      </c>
      <c r="H101" s="20" t="s">
        <v>602</v>
      </c>
      <c r="I101" s="64" t="s">
        <v>532</v>
      </c>
      <c r="J101" s="70" t="s">
        <v>289</v>
      </c>
      <c r="K101" s="53">
        <v>4</v>
      </c>
      <c r="L101" s="20">
        <v>519002902</v>
      </c>
      <c r="M101" s="72" t="s">
        <v>603</v>
      </c>
      <c r="N101" s="54">
        <v>55.7</v>
      </c>
      <c r="O101" s="56" t="s">
        <v>279</v>
      </c>
      <c r="P101" s="54">
        <v>99.95</v>
      </c>
      <c r="Q101" s="56" t="s">
        <v>279</v>
      </c>
      <c r="R101" s="27"/>
      <c r="S101" s="58"/>
      <c r="T101" s="51"/>
      <c r="U101" s="51"/>
      <c r="V101" s="51"/>
      <c r="W101" s="76" t="s">
        <v>604</v>
      </c>
      <c r="X101" s="77">
        <v>55.7</v>
      </c>
      <c r="Y101" s="78">
        <v>0</v>
      </c>
      <c r="Z101" s="29"/>
      <c r="AA101" s="79">
        <v>55.7</v>
      </c>
      <c r="AB101" s="79">
        <v>55.7</v>
      </c>
      <c r="AC101" s="78">
        <v>0</v>
      </c>
      <c r="AD101" s="29"/>
      <c r="AE101" s="63" t="s">
        <v>219</v>
      </c>
      <c r="AF101" s="63">
        <v>1</v>
      </c>
      <c r="AG101" s="63">
        <v>1</v>
      </c>
      <c r="AH101" s="29"/>
      <c r="AI101" s="27"/>
      <c r="AJ101" s="29"/>
      <c r="AK101" s="77">
        <v>0</v>
      </c>
      <c r="BA101" s="41" t="s">
        <v>230</v>
      </c>
      <c r="BB101" s="41" t="s">
        <v>6</v>
      </c>
      <c r="BC101" s="41" t="s">
        <v>229</v>
      </c>
      <c r="BD101" s="41" t="s">
        <v>475</v>
      </c>
    </row>
    <row r="102" spans="1:56" ht="18" customHeight="1" outlineLevel="1">
      <c r="A102" s="19">
        <v>97</v>
      </c>
      <c r="B102" s="19">
        <v>522003493</v>
      </c>
      <c r="C102" s="19">
        <v>522003494</v>
      </c>
      <c r="D102" s="50" t="s">
        <v>4</v>
      </c>
      <c r="E102" s="19" t="s">
        <v>476</v>
      </c>
      <c r="F102" s="19" t="s">
        <v>605</v>
      </c>
      <c r="G102" s="19" t="s">
        <v>606</v>
      </c>
      <c r="H102" s="69" t="s">
        <v>607</v>
      </c>
      <c r="I102" s="70" t="s">
        <v>532</v>
      </c>
      <c r="J102" s="70" t="s">
        <v>289</v>
      </c>
      <c r="K102" s="71">
        <v>4</v>
      </c>
      <c r="L102" s="72">
        <v>522003494</v>
      </c>
      <c r="M102" s="72" t="s">
        <v>608</v>
      </c>
      <c r="N102" s="73">
        <v>27.900000000000002</v>
      </c>
      <c r="O102" s="74" t="s">
        <v>279</v>
      </c>
      <c r="P102" s="73">
        <v>49.95</v>
      </c>
      <c r="Q102" s="80" t="s">
        <v>279</v>
      </c>
      <c r="W102" s="76" t="s">
        <v>609</v>
      </c>
      <c r="X102" s="77">
        <v>27.900000000000002</v>
      </c>
      <c r="Y102" s="78">
        <v>0</v>
      </c>
      <c r="AA102" s="79">
        <v>27.900000000000002</v>
      </c>
      <c r="AB102" s="79">
        <v>27.900000000000002</v>
      </c>
      <c r="AC102" s="78">
        <v>0</v>
      </c>
      <c r="AE102" s="63" t="s">
        <v>219</v>
      </c>
      <c r="AF102" s="63">
        <v>1</v>
      </c>
      <c r="AG102" s="63">
        <v>1</v>
      </c>
      <c r="AK102" s="77">
        <v>0</v>
      </c>
      <c r="BA102" s="41" t="s">
        <v>230</v>
      </c>
      <c r="BB102" s="41" t="s">
        <v>6</v>
      </c>
      <c r="BC102" s="41" t="s">
        <v>229</v>
      </c>
      <c r="BD102" s="41" t="s">
        <v>475</v>
      </c>
    </row>
    <row r="103" spans="1:56" ht="18" customHeight="1" outlineLevel="1">
      <c r="A103" s="19">
        <v>98</v>
      </c>
      <c r="B103" s="19">
        <v>522003495</v>
      </c>
      <c r="C103" s="19">
        <v>522003496</v>
      </c>
      <c r="D103" s="50" t="s">
        <v>4</v>
      </c>
      <c r="E103" s="19" t="s">
        <v>476</v>
      </c>
      <c r="F103" s="19" t="s">
        <v>605</v>
      </c>
      <c r="G103" s="19" t="s">
        <v>606</v>
      </c>
      <c r="H103" s="69" t="s">
        <v>610</v>
      </c>
      <c r="I103" s="70" t="s">
        <v>611</v>
      </c>
      <c r="J103" s="70" t="s">
        <v>612</v>
      </c>
      <c r="K103" s="71">
        <v>4</v>
      </c>
      <c r="L103" s="72">
        <v>522003496</v>
      </c>
      <c r="M103" s="72" t="s">
        <v>613</v>
      </c>
      <c r="N103" s="73">
        <v>27.900000000000002</v>
      </c>
      <c r="O103" s="74" t="s">
        <v>279</v>
      </c>
      <c r="P103" s="73">
        <v>49.95</v>
      </c>
      <c r="Q103" s="80" t="s">
        <v>279</v>
      </c>
      <c r="W103" s="76" t="s">
        <v>614</v>
      </c>
      <c r="X103" s="77">
        <v>27.900000000000002</v>
      </c>
      <c r="Y103" s="78">
        <v>0</v>
      </c>
      <c r="AA103" s="79">
        <v>27.900000000000002</v>
      </c>
      <c r="AB103" s="79">
        <v>27.900000000000002</v>
      </c>
      <c r="AC103" s="78">
        <v>0</v>
      </c>
      <c r="AE103" s="63" t="s">
        <v>219</v>
      </c>
      <c r="AF103" s="63">
        <v>1</v>
      </c>
      <c r="AG103" s="63">
        <v>1</v>
      </c>
      <c r="AK103" s="77">
        <v>0</v>
      </c>
      <c r="BA103" s="41" t="s">
        <v>230</v>
      </c>
      <c r="BB103" s="41" t="s">
        <v>6</v>
      </c>
      <c r="BC103" s="41" t="s">
        <v>229</v>
      </c>
      <c r="BD103" s="41" t="s">
        <v>475</v>
      </c>
    </row>
    <row r="104" spans="1:56" ht="18" customHeight="1" outlineLevel="1">
      <c r="A104" s="19">
        <v>99</v>
      </c>
      <c r="B104" s="19">
        <v>522000407</v>
      </c>
      <c r="C104" s="19">
        <v>522000408</v>
      </c>
      <c r="D104" s="50" t="s">
        <v>4</v>
      </c>
      <c r="E104" s="19" t="s">
        <v>476</v>
      </c>
      <c r="F104" s="19" t="s">
        <v>615</v>
      </c>
      <c r="G104" s="19" t="s">
        <v>616</v>
      </c>
      <c r="H104" s="69" t="s">
        <v>617</v>
      </c>
      <c r="I104" s="70" t="s">
        <v>618</v>
      </c>
      <c r="J104" s="70" t="s">
        <v>619</v>
      </c>
      <c r="K104" s="71">
        <v>4</v>
      </c>
      <c r="L104" s="72">
        <v>522000408</v>
      </c>
      <c r="M104" s="72" t="s">
        <v>620</v>
      </c>
      <c r="N104" s="73">
        <v>27.900000000000002</v>
      </c>
      <c r="O104" s="74" t="s">
        <v>279</v>
      </c>
      <c r="P104" s="73">
        <v>49.95</v>
      </c>
      <c r="Q104" s="80" t="s">
        <v>279</v>
      </c>
      <c r="W104" s="76" t="s">
        <v>621</v>
      </c>
      <c r="X104" s="77">
        <v>27.900000000000002</v>
      </c>
      <c r="Y104" s="78">
        <v>0</v>
      </c>
      <c r="AA104" s="79">
        <v>27.900000000000002</v>
      </c>
      <c r="AB104" s="79">
        <v>27.900000000000002</v>
      </c>
      <c r="AC104" s="78">
        <v>0</v>
      </c>
      <c r="AE104" s="63" t="s">
        <v>219</v>
      </c>
      <c r="AF104" s="63">
        <v>1</v>
      </c>
      <c r="AG104" s="63">
        <v>1</v>
      </c>
      <c r="AK104" s="77">
        <v>0</v>
      </c>
      <c r="BA104" s="41" t="s">
        <v>230</v>
      </c>
      <c r="BB104" s="41" t="s">
        <v>6</v>
      </c>
      <c r="BC104" s="41" t="s">
        <v>229</v>
      </c>
      <c r="BD104" s="41" t="s">
        <v>475</v>
      </c>
    </row>
    <row r="105" spans="1:56" s="57" customFormat="1" ht="18" customHeight="1" outlineLevel="1">
      <c r="A105" s="49">
        <v>100</v>
      </c>
      <c r="B105" s="19">
        <v>522000585</v>
      </c>
      <c r="C105" s="19">
        <v>522000586</v>
      </c>
      <c r="D105" s="50" t="s">
        <v>4</v>
      </c>
      <c r="E105" s="19" t="s">
        <v>476</v>
      </c>
      <c r="F105" s="19" t="s">
        <v>615</v>
      </c>
      <c r="G105" s="19" t="s">
        <v>616</v>
      </c>
      <c r="H105" s="20" t="s">
        <v>622</v>
      </c>
      <c r="I105" s="20" t="s">
        <v>532</v>
      </c>
      <c r="J105" s="70" t="s">
        <v>289</v>
      </c>
      <c r="K105" s="53">
        <v>4</v>
      </c>
      <c r="L105" s="20">
        <v>522000586</v>
      </c>
      <c r="M105" s="72" t="s">
        <v>623</v>
      </c>
      <c r="N105" s="54">
        <v>27.900000000000002</v>
      </c>
      <c r="O105" s="56" t="s">
        <v>279</v>
      </c>
      <c r="P105" s="73">
        <v>49.95</v>
      </c>
      <c r="Q105" s="82" t="s">
        <v>279</v>
      </c>
      <c r="R105" s="27"/>
      <c r="T105" s="51"/>
      <c r="U105" s="59"/>
      <c r="V105" s="60"/>
      <c r="W105" s="76" t="s">
        <v>624</v>
      </c>
      <c r="X105" s="77">
        <v>27.900000000000002</v>
      </c>
      <c r="Y105" s="78">
        <v>0</v>
      </c>
      <c r="Z105" s="29"/>
      <c r="AA105" s="79">
        <v>27.900000000000002</v>
      </c>
      <c r="AB105" s="79">
        <v>27.900000000000002</v>
      </c>
      <c r="AC105" s="78">
        <v>0</v>
      </c>
      <c r="AD105" s="29"/>
      <c r="AE105" s="63" t="s">
        <v>219</v>
      </c>
      <c r="AF105" s="63">
        <v>1</v>
      </c>
      <c r="AG105" s="63">
        <v>1</v>
      </c>
      <c r="AH105" s="29"/>
      <c r="AI105" s="27"/>
      <c r="AJ105" s="29"/>
      <c r="AK105" s="77">
        <v>0</v>
      </c>
      <c r="BA105" s="41" t="s">
        <v>230</v>
      </c>
      <c r="BB105" s="41" t="s">
        <v>6</v>
      </c>
      <c r="BC105" s="41" t="s">
        <v>229</v>
      </c>
      <c r="BD105" s="41" t="s">
        <v>475</v>
      </c>
    </row>
    <row r="106" spans="1:56" ht="18" customHeight="1" outlineLevel="1">
      <c r="A106" s="19">
        <v>101</v>
      </c>
      <c r="B106" s="19">
        <v>519002897</v>
      </c>
      <c r="C106" s="19">
        <v>519002898</v>
      </c>
      <c r="D106" s="50" t="s">
        <v>4</v>
      </c>
      <c r="E106" s="19" t="s">
        <v>476</v>
      </c>
      <c r="F106" s="19" t="s">
        <v>625</v>
      </c>
      <c r="G106" s="19" t="s">
        <v>625</v>
      </c>
      <c r="H106" s="69" t="s">
        <v>626</v>
      </c>
      <c r="I106" s="70" t="s">
        <v>532</v>
      </c>
      <c r="J106" s="70" t="s">
        <v>289</v>
      </c>
      <c r="K106" s="71">
        <v>2</v>
      </c>
      <c r="L106" s="72">
        <v>519002898</v>
      </c>
      <c r="M106" s="72" t="s">
        <v>627</v>
      </c>
      <c r="N106" s="73">
        <v>33.4</v>
      </c>
      <c r="O106" s="74" t="s">
        <v>279</v>
      </c>
      <c r="P106" s="73">
        <v>59.95</v>
      </c>
      <c r="Q106" s="80" t="s">
        <v>279</v>
      </c>
      <c r="W106" s="76" t="s">
        <v>628</v>
      </c>
      <c r="X106" s="77">
        <v>33.4</v>
      </c>
      <c r="Y106" s="78">
        <v>0</v>
      </c>
      <c r="AA106" s="79">
        <v>33.4</v>
      </c>
      <c r="AB106" s="79">
        <v>33.4</v>
      </c>
      <c r="AC106" s="78">
        <v>0</v>
      </c>
      <c r="AE106" s="63" t="s">
        <v>219</v>
      </c>
      <c r="AF106" s="63">
        <v>1</v>
      </c>
      <c r="AG106" s="63">
        <v>1</v>
      </c>
      <c r="AK106" s="77">
        <v>0</v>
      </c>
      <c r="BA106" s="41" t="s">
        <v>230</v>
      </c>
      <c r="BB106" s="41" t="s">
        <v>6</v>
      </c>
      <c r="BC106" s="41" t="s">
        <v>229</v>
      </c>
      <c r="BD106" s="41" t="s">
        <v>475</v>
      </c>
    </row>
    <row r="107" spans="1:56" ht="18" customHeight="1" outlineLevel="1">
      <c r="A107" s="19">
        <v>102</v>
      </c>
      <c r="B107" s="19">
        <v>518002943</v>
      </c>
      <c r="C107" s="19">
        <v>518002944</v>
      </c>
      <c r="D107" s="50" t="s">
        <v>529</v>
      </c>
      <c r="E107" s="19" t="s">
        <v>476</v>
      </c>
      <c r="F107" s="19" t="s">
        <v>629</v>
      </c>
      <c r="G107" s="19" t="s">
        <v>630</v>
      </c>
      <c r="H107" s="69" t="s">
        <v>631</v>
      </c>
      <c r="I107" s="70" t="s">
        <v>532</v>
      </c>
      <c r="J107" s="70" t="s">
        <v>289</v>
      </c>
      <c r="K107" s="71">
        <v>4</v>
      </c>
      <c r="L107" s="72">
        <v>518002944</v>
      </c>
      <c r="M107" s="72" t="s">
        <v>632</v>
      </c>
      <c r="N107" s="73">
        <v>16.700000000000003</v>
      </c>
      <c r="O107" s="74" t="s">
        <v>279</v>
      </c>
      <c r="P107" s="73">
        <v>29.95</v>
      </c>
      <c r="Q107" s="80" t="s">
        <v>279</v>
      </c>
      <c r="W107" s="76" t="s">
        <v>633</v>
      </c>
      <c r="X107" s="77">
        <v>16.700000000000003</v>
      </c>
      <c r="Y107" s="78">
        <v>0</v>
      </c>
      <c r="AA107" s="79">
        <v>16.700000000000003</v>
      </c>
      <c r="AB107" s="79">
        <v>16.700000000000003</v>
      </c>
      <c r="AC107" s="78">
        <v>0</v>
      </c>
      <c r="AE107" s="63" t="s">
        <v>219</v>
      </c>
      <c r="AF107" s="63">
        <v>1</v>
      </c>
      <c r="AG107" s="63">
        <v>1</v>
      </c>
      <c r="AK107" s="77">
        <v>0</v>
      </c>
      <c r="BA107" s="41" t="s">
        <v>230</v>
      </c>
      <c r="BB107" s="41" t="s">
        <v>6</v>
      </c>
      <c r="BC107" s="41" t="s">
        <v>229</v>
      </c>
      <c r="BD107" s="41" t="s">
        <v>475</v>
      </c>
    </row>
    <row r="108" spans="1:56" ht="18" customHeight="1" outlineLevel="1">
      <c r="A108" s="19">
        <v>103</v>
      </c>
      <c r="B108" s="19">
        <v>520004449</v>
      </c>
      <c r="C108" s="19">
        <v>520004450</v>
      </c>
      <c r="D108" s="50" t="s">
        <v>529</v>
      </c>
      <c r="E108" s="19" t="s">
        <v>476</v>
      </c>
      <c r="F108" s="19" t="s">
        <v>634</v>
      </c>
      <c r="G108" s="19" t="s">
        <v>635</v>
      </c>
      <c r="H108" s="69" t="s">
        <v>636</v>
      </c>
      <c r="I108" s="70" t="s">
        <v>532</v>
      </c>
      <c r="J108" s="70" t="s">
        <v>289</v>
      </c>
      <c r="K108" s="71">
        <v>4</v>
      </c>
      <c r="L108" s="72">
        <v>520004450</v>
      </c>
      <c r="M108" s="72" t="s">
        <v>637</v>
      </c>
      <c r="N108" s="73">
        <v>19.5</v>
      </c>
      <c r="O108" s="74" t="s">
        <v>279</v>
      </c>
      <c r="P108" s="73">
        <v>34.950000000000003</v>
      </c>
      <c r="Q108" s="80" t="s">
        <v>279</v>
      </c>
      <c r="W108" s="76" t="s">
        <v>638</v>
      </c>
      <c r="X108" s="77">
        <v>19.5</v>
      </c>
      <c r="Y108" s="78">
        <v>0</v>
      </c>
      <c r="AA108" s="79">
        <v>19.5</v>
      </c>
      <c r="AB108" s="79">
        <v>19.5</v>
      </c>
      <c r="AC108" s="78">
        <v>0</v>
      </c>
      <c r="AE108" s="63" t="s">
        <v>219</v>
      </c>
      <c r="AF108" s="63">
        <v>1</v>
      </c>
      <c r="AG108" s="63">
        <v>1</v>
      </c>
      <c r="AK108" s="77">
        <v>0</v>
      </c>
      <c r="BA108" s="41" t="s">
        <v>230</v>
      </c>
      <c r="BB108" s="41" t="s">
        <v>6</v>
      </c>
      <c r="BC108" s="41" t="s">
        <v>229</v>
      </c>
      <c r="BD108" s="41" t="s">
        <v>475</v>
      </c>
    </row>
    <row r="109" spans="1:56" ht="18" customHeight="1" outlineLevel="1">
      <c r="A109" s="19">
        <v>104</v>
      </c>
      <c r="B109" s="19">
        <v>518002951</v>
      </c>
      <c r="C109" s="19">
        <v>518002952</v>
      </c>
      <c r="D109" s="50" t="s">
        <v>529</v>
      </c>
      <c r="E109" s="19" t="s">
        <v>476</v>
      </c>
      <c r="F109" s="19" t="s">
        <v>639</v>
      </c>
      <c r="G109" s="19" t="s">
        <v>639</v>
      </c>
      <c r="H109" s="69" t="s">
        <v>640</v>
      </c>
      <c r="I109" s="70" t="s">
        <v>532</v>
      </c>
      <c r="J109" s="70" t="s">
        <v>289</v>
      </c>
      <c r="K109" s="71">
        <v>2</v>
      </c>
      <c r="L109" s="72">
        <v>518002952</v>
      </c>
      <c r="M109" s="72" t="s">
        <v>641</v>
      </c>
      <c r="N109" s="73">
        <v>61.300000000000004</v>
      </c>
      <c r="O109" s="74" t="s">
        <v>279</v>
      </c>
      <c r="P109" s="73">
        <v>109.95</v>
      </c>
      <c r="Q109" s="80" t="s">
        <v>279</v>
      </c>
      <c r="W109" s="76" t="s">
        <v>642</v>
      </c>
      <c r="X109" s="77">
        <v>61.300000000000004</v>
      </c>
      <c r="Y109" s="78">
        <v>0</v>
      </c>
      <c r="AA109" s="79">
        <v>61.300000000000004</v>
      </c>
      <c r="AB109" s="79">
        <v>61.300000000000004</v>
      </c>
      <c r="AC109" s="78">
        <v>0</v>
      </c>
      <c r="AE109" s="63" t="s">
        <v>219</v>
      </c>
      <c r="AF109" s="63">
        <v>1</v>
      </c>
      <c r="AG109" s="63">
        <v>1</v>
      </c>
      <c r="AK109" s="77">
        <v>0</v>
      </c>
      <c r="BA109" s="41" t="s">
        <v>230</v>
      </c>
      <c r="BB109" s="41" t="s">
        <v>6</v>
      </c>
      <c r="BC109" s="41" t="s">
        <v>229</v>
      </c>
      <c r="BD109" s="41" t="s">
        <v>475</v>
      </c>
    </row>
    <row r="110" spans="1:56" ht="18" customHeight="1" outlineLevel="1">
      <c r="A110" s="19">
        <v>105</v>
      </c>
      <c r="B110" s="19">
        <v>520004317</v>
      </c>
      <c r="C110" s="19">
        <v>520004318</v>
      </c>
      <c r="D110" s="50" t="s">
        <v>529</v>
      </c>
      <c r="E110" s="19" t="s">
        <v>476</v>
      </c>
      <c r="F110" s="19" t="s">
        <v>643</v>
      </c>
      <c r="G110" s="19" t="s">
        <v>644</v>
      </c>
      <c r="H110" s="69" t="s">
        <v>645</v>
      </c>
      <c r="I110" s="70" t="s">
        <v>532</v>
      </c>
      <c r="J110" s="70" t="s">
        <v>289</v>
      </c>
      <c r="K110" s="71">
        <v>6</v>
      </c>
      <c r="L110" s="72">
        <v>520004318</v>
      </c>
      <c r="M110" s="72" t="s">
        <v>646</v>
      </c>
      <c r="N110" s="73">
        <v>33.4</v>
      </c>
      <c r="O110" s="74" t="s">
        <v>279</v>
      </c>
      <c r="P110" s="73">
        <v>59.95</v>
      </c>
      <c r="Q110" s="80" t="s">
        <v>279</v>
      </c>
      <c r="W110" s="76" t="s">
        <v>647</v>
      </c>
      <c r="X110" s="77">
        <v>33.4</v>
      </c>
      <c r="Y110" s="78">
        <v>0</v>
      </c>
      <c r="AA110" s="79">
        <v>33.4</v>
      </c>
      <c r="AB110" s="79">
        <v>33.4</v>
      </c>
      <c r="AC110" s="78">
        <v>0</v>
      </c>
      <c r="AE110" s="63" t="s">
        <v>219</v>
      </c>
      <c r="AF110" s="63">
        <v>1</v>
      </c>
      <c r="AG110" s="63">
        <v>1</v>
      </c>
      <c r="AK110" s="77">
        <v>0</v>
      </c>
      <c r="BA110" s="41" t="s">
        <v>230</v>
      </c>
      <c r="BB110" s="41" t="s">
        <v>6</v>
      </c>
      <c r="BC110" s="41" t="s">
        <v>229</v>
      </c>
      <c r="BD110" s="41" t="s">
        <v>475</v>
      </c>
    </row>
    <row r="111" spans="1:56" ht="18" customHeight="1" outlineLevel="1">
      <c r="A111" s="19">
        <v>106</v>
      </c>
      <c r="B111" s="19">
        <v>522004123</v>
      </c>
      <c r="C111" s="19">
        <v>522004124</v>
      </c>
      <c r="D111" s="50" t="s">
        <v>4</v>
      </c>
      <c r="E111" s="19" t="s">
        <v>476</v>
      </c>
      <c r="F111" s="19" t="s">
        <v>648</v>
      </c>
      <c r="G111" s="19" t="s">
        <v>649</v>
      </c>
      <c r="H111" s="69" t="s">
        <v>650</v>
      </c>
      <c r="I111" s="70" t="s">
        <v>651</v>
      </c>
      <c r="J111" s="70" t="s">
        <v>652</v>
      </c>
      <c r="K111" s="71">
        <v>4</v>
      </c>
      <c r="L111" s="72">
        <v>522004124</v>
      </c>
      <c r="M111" s="72" t="s">
        <v>653</v>
      </c>
      <c r="N111" s="73">
        <v>27.900000000000002</v>
      </c>
      <c r="O111" s="74" t="s">
        <v>279</v>
      </c>
      <c r="P111" s="73">
        <v>49.95</v>
      </c>
      <c r="Q111" s="80" t="s">
        <v>279</v>
      </c>
      <c r="W111" s="76" t="s">
        <v>654</v>
      </c>
      <c r="X111" s="77">
        <v>27.900000000000002</v>
      </c>
      <c r="Y111" s="78">
        <v>0</v>
      </c>
      <c r="AA111" s="79">
        <v>27.900000000000002</v>
      </c>
      <c r="AB111" s="79">
        <v>27.900000000000002</v>
      </c>
      <c r="AC111" s="78">
        <v>0</v>
      </c>
      <c r="AE111" s="63" t="s">
        <v>219</v>
      </c>
      <c r="AF111" s="63">
        <v>1</v>
      </c>
      <c r="AG111" s="63">
        <v>1</v>
      </c>
      <c r="AK111" s="77">
        <v>0</v>
      </c>
      <c r="BA111" s="41" t="s">
        <v>230</v>
      </c>
      <c r="BB111" s="41" t="s">
        <v>6</v>
      </c>
      <c r="BC111" s="41" t="s">
        <v>229</v>
      </c>
      <c r="BD111" s="41" t="s">
        <v>475</v>
      </c>
    </row>
    <row r="112" spans="1:56" ht="18" customHeight="1" outlineLevel="1">
      <c r="A112" s="19">
        <v>107</v>
      </c>
      <c r="B112" s="19">
        <v>519003275</v>
      </c>
      <c r="C112" s="19">
        <v>519003276</v>
      </c>
      <c r="D112" s="50" t="s">
        <v>4</v>
      </c>
      <c r="E112" s="19" t="s">
        <v>476</v>
      </c>
      <c r="F112" s="19" t="s">
        <v>655</v>
      </c>
      <c r="G112" s="19" t="s">
        <v>656</v>
      </c>
      <c r="H112" s="69" t="s">
        <v>657</v>
      </c>
      <c r="I112" s="70" t="s">
        <v>532</v>
      </c>
      <c r="J112" s="70" t="s">
        <v>289</v>
      </c>
      <c r="K112" s="71">
        <v>10</v>
      </c>
      <c r="L112" s="72">
        <v>519003276</v>
      </c>
      <c r="M112" s="72" t="s">
        <v>658</v>
      </c>
      <c r="N112" s="73">
        <v>19.5</v>
      </c>
      <c r="O112" s="74" t="s">
        <v>279</v>
      </c>
      <c r="P112" s="73">
        <v>34.950000000000003</v>
      </c>
      <c r="Q112" s="80" t="s">
        <v>279</v>
      </c>
      <c r="W112" s="76" t="s">
        <v>659</v>
      </c>
      <c r="X112" s="77">
        <v>19.5</v>
      </c>
      <c r="Y112" s="78">
        <v>0</v>
      </c>
      <c r="AA112" s="79">
        <v>19.5</v>
      </c>
      <c r="AB112" s="79">
        <v>19.5</v>
      </c>
      <c r="AC112" s="78">
        <v>0</v>
      </c>
      <c r="AE112" s="63" t="s">
        <v>219</v>
      </c>
      <c r="AF112" s="63">
        <v>1</v>
      </c>
      <c r="AG112" s="63">
        <v>1</v>
      </c>
      <c r="AK112" s="77">
        <v>0</v>
      </c>
      <c r="BA112" s="41" t="s">
        <v>230</v>
      </c>
      <c r="BB112" s="41" t="s">
        <v>6</v>
      </c>
      <c r="BC112" s="41" t="s">
        <v>229</v>
      </c>
      <c r="BD112" s="41" t="s">
        <v>475</v>
      </c>
    </row>
    <row r="113" spans="1:56" ht="18" customHeight="1" outlineLevel="1">
      <c r="A113" s="19">
        <v>108</v>
      </c>
      <c r="B113" s="19">
        <v>519002899</v>
      </c>
      <c r="C113" s="19">
        <v>519002900</v>
      </c>
      <c r="D113" s="50" t="s">
        <v>4</v>
      </c>
      <c r="E113" s="19" t="s">
        <v>476</v>
      </c>
      <c r="F113" s="19" t="s">
        <v>660</v>
      </c>
      <c r="G113" s="19" t="s">
        <v>661</v>
      </c>
      <c r="H113" s="69" t="s">
        <v>662</v>
      </c>
      <c r="I113" s="70" t="s">
        <v>532</v>
      </c>
      <c r="J113" s="70" t="s">
        <v>289</v>
      </c>
      <c r="K113" s="71">
        <v>10</v>
      </c>
      <c r="L113" s="72">
        <v>519002900</v>
      </c>
      <c r="M113" s="72" t="s">
        <v>663</v>
      </c>
      <c r="N113" s="73">
        <v>19.5</v>
      </c>
      <c r="O113" s="74" t="s">
        <v>279</v>
      </c>
      <c r="P113" s="73">
        <v>34.950000000000003</v>
      </c>
      <c r="Q113" s="80" t="s">
        <v>279</v>
      </c>
      <c r="W113" s="76" t="s">
        <v>664</v>
      </c>
      <c r="X113" s="77">
        <v>19.5</v>
      </c>
      <c r="Y113" s="78">
        <v>0</v>
      </c>
      <c r="AA113" s="79">
        <v>19.5</v>
      </c>
      <c r="AB113" s="79">
        <v>19.5</v>
      </c>
      <c r="AC113" s="78">
        <v>0</v>
      </c>
      <c r="AE113" s="63" t="s">
        <v>219</v>
      </c>
      <c r="AF113" s="63">
        <v>1</v>
      </c>
      <c r="AG113" s="63">
        <v>1</v>
      </c>
      <c r="AK113" s="77">
        <v>0</v>
      </c>
      <c r="BA113" s="41" t="s">
        <v>230</v>
      </c>
      <c r="BB113" s="41" t="s">
        <v>6</v>
      </c>
      <c r="BC113" s="41" t="s">
        <v>229</v>
      </c>
      <c r="BD113" s="41" t="s">
        <v>475</v>
      </c>
    </row>
    <row r="114" spans="1:56" ht="18" customHeight="1" outlineLevel="1">
      <c r="A114" s="19">
        <v>109</v>
      </c>
      <c r="B114" s="19">
        <v>522004965</v>
      </c>
      <c r="C114" s="19">
        <v>522004966</v>
      </c>
      <c r="D114" s="50" t="s">
        <v>4</v>
      </c>
      <c r="E114" s="19" t="s">
        <v>476</v>
      </c>
      <c r="F114" s="19" t="s">
        <v>665</v>
      </c>
      <c r="G114" s="19" t="s">
        <v>666</v>
      </c>
      <c r="H114" s="69" t="s">
        <v>667</v>
      </c>
      <c r="I114" s="70" t="s">
        <v>532</v>
      </c>
      <c r="J114" s="70" t="s">
        <v>289</v>
      </c>
      <c r="K114" s="71">
        <v>10</v>
      </c>
      <c r="L114" s="72">
        <v>522004966</v>
      </c>
      <c r="M114" s="72" t="s">
        <v>668</v>
      </c>
      <c r="N114" s="73">
        <v>19.5</v>
      </c>
      <c r="O114" s="74" t="s">
        <v>279</v>
      </c>
      <c r="P114" s="73">
        <v>34.950000000000003</v>
      </c>
      <c r="Q114" s="80" t="s">
        <v>279</v>
      </c>
      <c r="W114" s="76" t="s">
        <v>669</v>
      </c>
      <c r="X114" s="77">
        <v>19.5</v>
      </c>
      <c r="Y114" s="78">
        <v>0</v>
      </c>
      <c r="AA114" s="79">
        <v>19.5</v>
      </c>
      <c r="AB114" s="79">
        <v>19.5</v>
      </c>
      <c r="AC114" s="78">
        <v>0</v>
      </c>
      <c r="AE114" s="63" t="s">
        <v>219</v>
      </c>
      <c r="AF114" s="63">
        <v>1</v>
      </c>
      <c r="AG114" s="63">
        <v>1</v>
      </c>
      <c r="AK114" s="77">
        <v>0</v>
      </c>
      <c r="BA114" s="41" t="s">
        <v>230</v>
      </c>
      <c r="BB114" s="41" t="s">
        <v>6</v>
      </c>
      <c r="BC114" s="41" t="s">
        <v>229</v>
      </c>
      <c r="BD114" s="41" t="s">
        <v>475</v>
      </c>
    </row>
    <row r="115" spans="1:56" ht="18" customHeight="1" outlineLevel="1">
      <c r="A115" s="19">
        <v>110</v>
      </c>
      <c r="B115" s="19">
        <v>522002329</v>
      </c>
      <c r="C115" s="19">
        <v>522002330</v>
      </c>
      <c r="D115" s="50" t="s">
        <v>529</v>
      </c>
      <c r="E115" s="19" t="s">
        <v>476</v>
      </c>
      <c r="F115" s="19" t="s">
        <v>670</v>
      </c>
      <c r="G115" s="19" t="s">
        <v>671</v>
      </c>
      <c r="H115" s="69" t="s">
        <v>672</v>
      </c>
      <c r="I115" s="70" t="s">
        <v>536</v>
      </c>
      <c r="J115" s="70" t="s">
        <v>537</v>
      </c>
      <c r="K115" s="71">
        <v>4</v>
      </c>
      <c r="L115" s="72">
        <v>522002330</v>
      </c>
      <c r="M115" s="72" t="s">
        <v>673</v>
      </c>
      <c r="N115" s="73">
        <v>27.900000000000002</v>
      </c>
      <c r="O115" s="74" t="s">
        <v>279</v>
      </c>
      <c r="P115" s="73">
        <v>49.95</v>
      </c>
      <c r="Q115" s="80" t="s">
        <v>279</v>
      </c>
      <c r="W115" s="76" t="s">
        <v>674</v>
      </c>
      <c r="X115" s="77">
        <v>27.900000000000002</v>
      </c>
      <c r="Y115" s="78">
        <v>0</v>
      </c>
      <c r="AA115" s="79">
        <v>27.900000000000002</v>
      </c>
      <c r="AB115" s="79">
        <v>27.900000000000002</v>
      </c>
      <c r="AC115" s="78">
        <v>0</v>
      </c>
      <c r="AE115" s="63" t="s">
        <v>219</v>
      </c>
      <c r="AF115" s="63">
        <v>1</v>
      </c>
      <c r="AG115" s="63">
        <v>1</v>
      </c>
      <c r="AK115" s="77">
        <v>0</v>
      </c>
      <c r="BA115" s="41" t="s">
        <v>230</v>
      </c>
      <c r="BB115" s="41" t="s">
        <v>6</v>
      </c>
      <c r="BC115" s="41" t="s">
        <v>229</v>
      </c>
      <c r="BD115" s="41" t="s">
        <v>475</v>
      </c>
    </row>
    <row r="116" spans="1:56" s="57" customFormat="1" ht="18" customHeight="1" outlineLevel="1">
      <c r="A116" s="49">
        <v>111</v>
      </c>
      <c r="B116" s="19">
        <v>522002335</v>
      </c>
      <c r="C116" s="19">
        <v>522002336</v>
      </c>
      <c r="D116" s="50" t="s">
        <v>529</v>
      </c>
      <c r="E116" s="19" t="s">
        <v>476</v>
      </c>
      <c r="F116" s="19" t="s">
        <v>670</v>
      </c>
      <c r="G116" s="19" t="s">
        <v>671</v>
      </c>
      <c r="H116" s="20" t="s">
        <v>675</v>
      </c>
      <c r="I116" s="64" t="s">
        <v>676</v>
      </c>
      <c r="J116" s="70" t="s">
        <v>677</v>
      </c>
      <c r="K116" s="53">
        <v>4</v>
      </c>
      <c r="L116" s="20">
        <v>522002336</v>
      </c>
      <c r="M116" s="72" t="s">
        <v>678</v>
      </c>
      <c r="N116" s="54">
        <v>27.900000000000002</v>
      </c>
      <c r="O116" s="56" t="s">
        <v>279</v>
      </c>
      <c r="P116" s="54">
        <v>49.95</v>
      </c>
      <c r="Q116" s="56" t="s">
        <v>279</v>
      </c>
      <c r="R116" s="27"/>
      <c r="S116" s="58"/>
      <c r="T116" s="51"/>
      <c r="U116" s="51"/>
      <c r="V116" s="51"/>
      <c r="W116" s="76" t="s">
        <v>679</v>
      </c>
      <c r="X116" s="77">
        <v>27.900000000000002</v>
      </c>
      <c r="Y116" s="78">
        <v>0</v>
      </c>
      <c r="Z116" s="29"/>
      <c r="AA116" s="79">
        <v>27.900000000000002</v>
      </c>
      <c r="AB116" s="79">
        <v>27.900000000000002</v>
      </c>
      <c r="AC116" s="78">
        <v>0</v>
      </c>
      <c r="AD116" s="29"/>
      <c r="AE116" s="63" t="s">
        <v>219</v>
      </c>
      <c r="AF116" s="63">
        <v>1</v>
      </c>
      <c r="AG116" s="63">
        <v>1</v>
      </c>
      <c r="AH116" s="29"/>
      <c r="AI116" s="27"/>
      <c r="AJ116" s="29"/>
      <c r="AK116" s="77">
        <v>0</v>
      </c>
      <c r="BA116" s="41" t="s">
        <v>230</v>
      </c>
      <c r="BB116" s="41" t="s">
        <v>6</v>
      </c>
      <c r="BC116" s="41" t="s">
        <v>229</v>
      </c>
      <c r="BD116" s="41" t="s">
        <v>475</v>
      </c>
    </row>
    <row r="117" spans="1:56" ht="18" customHeight="1" outlineLevel="1">
      <c r="A117" s="19">
        <v>112</v>
      </c>
      <c r="B117" s="19">
        <v>522002341</v>
      </c>
      <c r="C117" s="19">
        <v>522002342</v>
      </c>
      <c r="D117" s="50" t="s">
        <v>529</v>
      </c>
      <c r="E117" s="19" t="s">
        <v>476</v>
      </c>
      <c r="F117" s="19" t="s">
        <v>670</v>
      </c>
      <c r="G117" s="19" t="s">
        <v>671</v>
      </c>
      <c r="H117" s="69" t="s">
        <v>680</v>
      </c>
      <c r="I117" s="70" t="s">
        <v>681</v>
      </c>
      <c r="J117" s="70" t="s">
        <v>344</v>
      </c>
      <c r="K117" s="71">
        <v>4</v>
      </c>
      <c r="L117" s="72">
        <v>522002342</v>
      </c>
      <c r="M117" s="72" t="s">
        <v>682</v>
      </c>
      <c r="N117" s="73">
        <v>27.900000000000002</v>
      </c>
      <c r="O117" s="74" t="s">
        <v>279</v>
      </c>
      <c r="P117" s="73">
        <v>49.95</v>
      </c>
      <c r="Q117" s="80" t="s">
        <v>279</v>
      </c>
      <c r="W117" s="76" t="s">
        <v>683</v>
      </c>
      <c r="X117" s="77">
        <v>27.900000000000002</v>
      </c>
      <c r="Y117" s="78">
        <v>0</v>
      </c>
      <c r="AA117" s="79">
        <v>27.900000000000002</v>
      </c>
      <c r="AB117" s="79">
        <v>27.900000000000002</v>
      </c>
      <c r="AC117" s="78">
        <v>0</v>
      </c>
      <c r="AE117" s="63" t="s">
        <v>219</v>
      </c>
      <c r="AF117" s="63">
        <v>1</v>
      </c>
      <c r="AG117" s="63">
        <v>1</v>
      </c>
      <c r="AK117" s="77">
        <v>0</v>
      </c>
      <c r="BA117" s="41" t="s">
        <v>230</v>
      </c>
      <c r="BB117" s="41" t="s">
        <v>6</v>
      </c>
      <c r="BC117" s="41" t="s">
        <v>229</v>
      </c>
      <c r="BD117" s="41" t="s">
        <v>475</v>
      </c>
    </row>
    <row r="118" spans="1:56" ht="27" customHeight="1" outlineLevel="1">
      <c r="A118" s="19">
        <v>113</v>
      </c>
      <c r="B118" s="19" t="s">
        <v>219</v>
      </c>
      <c r="C118" s="19" t="s">
        <v>219</v>
      </c>
      <c r="D118" s="50" t="s">
        <v>219</v>
      </c>
      <c r="E118" s="19" t="s">
        <v>219</v>
      </c>
      <c r="F118" s="19" t="s">
        <v>219</v>
      </c>
      <c r="G118" s="19" t="s">
        <v>219</v>
      </c>
      <c r="H118" s="81" t="s">
        <v>219</v>
      </c>
      <c r="I118" s="70" t="s">
        <v>219</v>
      </c>
      <c r="J118" s="70" t="s">
        <v>219</v>
      </c>
      <c r="K118" s="71" t="s">
        <v>219</v>
      </c>
      <c r="L118" s="72" t="s">
        <v>219</v>
      </c>
      <c r="M118" s="72" t="s">
        <v>219</v>
      </c>
      <c r="N118" s="73" t="s">
        <v>219</v>
      </c>
      <c r="O118" s="74" t="s">
        <v>219</v>
      </c>
      <c r="P118" s="73" t="s">
        <v>219</v>
      </c>
      <c r="Q118" s="80" t="s">
        <v>219</v>
      </c>
      <c r="W118" s="76" t="s">
        <v>219</v>
      </c>
      <c r="X118" s="77" t="s">
        <v>219</v>
      </c>
      <c r="Y118" s="78">
        <v>0</v>
      </c>
      <c r="AA118" s="79" t="s">
        <v>219</v>
      </c>
      <c r="AB118" s="79" t="s">
        <v>219</v>
      </c>
      <c r="AC118" s="78">
        <v>0</v>
      </c>
      <c r="AE118" s="63" t="s">
        <v>230</v>
      </c>
      <c r="AF118" s="63">
        <v>1</v>
      </c>
      <c r="AG118" s="63" t="s">
        <v>219</v>
      </c>
      <c r="AK118" s="77">
        <v>0</v>
      </c>
      <c r="BA118" s="41" t="s">
        <v>230</v>
      </c>
      <c r="BB118" s="41" t="s">
        <v>6</v>
      </c>
      <c r="BC118" s="41" t="s">
        <v>229</v>
      </c>
      <c r="BD118" s="41" t="s">
        <v>475</v>
      </c>
    </row>
    <row r="119" spans="1:56" ht="27" customHeight="1" outlineLevel="1">
      <c r="A119" s="19">
        <v>114</v>
      </c>
      <c r="B119" s="19" t="s">
        <v>219</v>
      </c>
      <c r="C119" s="19" t="s">
        <v>219</v>
      </c>
      <c r="D119" s="50" t="s">
        <v>684</v>
      </c>
      <c r="E119" s="19" t="s">
        <v>219</v>
      </c>
      <c r="F119" s="19" t="s">
        <v>219</v>
      </c>
      <c r="G119" s="19" t="s">
        <v>219</v>
      </c>
      <c r="H119" s="81" t="s">
        <v>684</v>
      </c>
      <c r="I119" s="70" t="s">
        <v>219</v>
      </c>
      <c r="J119" s="70" t="s">
        <v>219</v>
      </c>
      <c r="K119" s="71" t="s">
        <v>219</v>
      </c>
      <c r="L119" s="72" t="s">
        <v>219</v>
      </c>
      <c r="M119" s="72" t="s">
        <v>219</v>
      </c>
      <c r="N119" s="73" t="s">
        <v>219</v>
      </c>
      <c r="O119" s="74" t="s">
        <v>219</v>
      </c>
      <c r="P119" s="73" t="s">
        <v>219</v>
      </c>
      <c r="Q119" s="80" t="s">
        <v>219</v>
      </c>
      <c r="W119" s="76" t="s">
        <v>219</v>
      </c>
      <c r="X119" s="77" t="s">
        <v>219</v>
      </c>
      <c r="Y119" s="78">
        <v>0</v>
      </c>
      <c r="AA119" s="79" t="s">
        <v>219</v>
      </c>
      <c r="AB119" s="79" t="s">
        <v>219</v>
      </c>
      <c r="AC119" s="78">
        <v>0</v>
      </c>
      <c r="AE119" s="63" t="s">
        <v>230</v>
      </c>
      <c r="AF119" s="63">
        <v>0</v>
      </c>
      <c r="AG119" s="63" t="s">
        <v>219</v>
      </c>
      <c r="AK119" s="77">
        <v>0</v>
      </c>
      <c r="BA119" s="41" t="s">
        <v>230</v>
      </c>
      <c r="BB119" s="41" t="s">
        <v>6</v>
      </c>
      <c r="BC119" s="41" t="s">
        <v>229</v>
      </c>
      <c r="BD119" s="41" t="s">
        <v>685</v>
      </c>
    </row>
    <row r="120" spans="1:56" ht="18" customHeight="1" outlineLevel="1">
      <c r="A120" s="19">
        <v>115</v>
      </c>
      <c r="B120" s="19">
        <v>523000219</v>
      </c>
      <c r="C120" s="19">
        <v>523000220</v>
      </c>
      <c r="D120" s="50" t="s">
        <v>4</v>
      </c>
      <c r="E120" s="19" t="s">
        <v>686</v>
      </c>
      <c r="F120" s="19" t="s">
        <v>687</v>
      </c>
      <c r="G120" s="19" t="s">
        <v>688</v>
      </c>
      <c r="H120" s="69" t="s">
        <v>689</v>
      </c>
      <c r="I120" s="70" t="s">
        <v>319</v>
      </c>
      <c r="J120" s="70" t="s">
        <v>289</v>
      </c>
      <c r="K120" s="71">
        <v>2</v>
      </c>
      <c r="L120" s="72">
        <v>523000220</v>
      </c>
      <c r="M120" s="72" t="s">
        <v>690</v>
      </c>
      <c r="N120" s="73">
        <v>147.5</v>
      </c>
      <c r="O120" s="74" t="s">
        <v>279</v>
      </c>
      <c r="P120" s="73">
        <v>249.95</v>
      </c>
      <c r="Q120" s="80" t="s">
        <v>279</v>
      </c>
      <c r="W120" s="76" t="s">
        <v>691</v>
      </c>
      <c r="X120" s="77">
        <v>147.5</v>
      </c>
      <c r="Y120" s="78">
        <v>0</v>
      </c>
      <c r="AA120" s="79">
        <v>147.5</v>
      </c>
      <c r="AB120" s="79">
        <v>147.5</v>
      </c>
      <c r="AC120" s="78">
        <v>0</v>
      </c>
      <c r="AE120" s="63" t="s">
        <v>219</v>
      </c>
      <c r="AF120" s="63">
        <v>0</v>
      </c>
      <c r="AG120" s="63">
        <v>0</v>
      </c>
      <c r="AK120" s="77">
        <v>0</v>
      </c>
      <c r="BA120" s="41" t="s">
        <v>230</v>
      </c>
      <c r="BB120" s="41" t="s">
        <v>6</v>
      </c>
      <c r="BC120" s="41" t="s">
        <v>229</v>
      </c>
      <c r="BD120" s="41" t="s">
        <v>685</v>
      </c>
    </row>
    <row r="121" spans="1:56" ht="18" customHeight="1" outlineLevel="1">
      <c r="A121" s="19">
        <v>116</v>
      </c>
      <c r="B121" s="19">
        <v>523000225</v>
      </c>
      <c r="C121" s="19">
        <v>523000226</v>
      </c>
      <c r="D121" s="50" t="s">
        <v>4</v>
      </c>
      <c r="E121" s="19" t="s">
        <v>686</v>
      </c>
      <c r="F121" s="19" t="s">
        <v>687</v>
      </c>
      <c r="G121" s="19" t="s">
        <v>688</v>
      </c>
      <c r="H121" s="69" t="s">
        <v>692</v>
      </c>
      <c r="I121" s="70" t="s">
        <v>323</v>
      </c>
      <c r="J121" s="70" t="s">
        <v>324</v>
      </c>
      <c r="K121" s="71">
        <v>2</v>
      </c>
      <c r="L121" s="72">
        <v>523000226</v>
      </c>
      <c r="M121" s="72" t="s">
        <v>693</v>
      </c>
      <c r="N121" s="73">
        <v>147.5</v>
      </c>
      <c r="O121" s="74" t="s">
        <v>279</v>
      </c>
      <c r="P121" s="73">
        <v>249.95</v>
      </c>
      <c r="Q121" s="80" t="s">
        <v>279</v>
      </c>
      <c r="W121" s="76" t="s">
        <v>694</v>
      </c>
      <c r="X121" s="77">
        <v>147.5</v>
      </c>
      <c r="Y121" s="78">
        <v>0</v>
      </c>
      <c r="AA121" s="79">
        <v>147.5</v>
      </c>
      <c r="AB121" s="79">
        <v>147.5</v>
      </c>
      <c r="AC121" s="78">
        <v>0</v>
      </c>
      <c r="AE121" s="63" t="s">
        <v>219</v>
      </c>
      <c r="AF121" s="63">
        <v>0</v>
      </c>
      <c r="AG121" s="63">
        <v>0</v>
      </c>
      <c r="AK121" s="77">
        <v>0</v>
      </c>
      <c r="BA121" s="41" t="s">
        <v>230</v>
      </c>
      <c r="BB121" s="41" t="s">
        <v>6</v>
      </c>
      <c r="BC121" s="41" t="s">
        <v>229</v>
      </c>
      <c r="BD121" s="41" t="s">
        <v>685</v>
      </c>
    </row>
    <row r="122" spans="1:56" ht="27" customHeight="1" outlineLevel="1">
      <c r="A122" s="19">
        <v>117</v>
      </c>
      <c r="B122" s="19" t="s">
        <v>219</v>
      </c>
      <c r="C122" s="19" t="s">
        <v>219</v>
      </c>
      <c r="D122" s="50" t="s">
        <v>219</v>
      </c>
      <c r="E122" s="19" t="s">
        <v>219</v>
      </c>
      <c r="F122" s="19" t="s">
        <v>219</v>
      </c>
      <c r="G122" s="19" t="s">
        <v>219</v>
      </c>
      <c r="H122" s="81" t="s">
        <v>219</v>
      </c>
      <c r="I122" s="70" t="s">
        <v>219</v>
      </c>
      <c r="J122" s="70" t="s">
        <v>219</v>
      </c>
      <c r="K122" s="71" t="s">
        <v>219</v>
      </c>
      <c r="L122" s="72" t="s">
        <v>219</v>
      </c>
      <c r="M122" s="72" t="s">
        <v>219</v>
      </c>
      <c r="N122" s="73" t="s">
        <v>219</v>
      </c>
      <c r="O122" s="74" t="s">
        <v>219</v>
      </c>
      <c r="P122" s="73" t="s">
        <v>219</v>
      </c>
      <c r="Q122" s="80" t="s">
        <v>219</v>
      </c>
      <c r="W122" s="76" t="s">
        <v>219</v>
      </c>
      <c r="X122" s="77" t="s">
        <v>219</v>
      </c>
      <c r="Y122" s="78">
        <v>0</v>
      </c>
      <c r="AA122" s="79" t="s">
        <v>219</v>
      </c>
      <c r="AB122" s="79" t="s">
        <v>219</v>
      </c>
      <c r="AC122" s="78">
        <v>0</v>
      </c>
      <c r="AE122" s="63" t="s">
        <v>230</v>
      </c>
      <c r="AF122" s="63">
        <v>1</v>
      </c>
      <c r="AG122" s="63" t="s">
        <v>219</v>
      </c>
      <c r="AK122" s="77">
        <v>0</v>
      </c>
      <c r="BA122" s="41" t="s">
        <v>230</v>
      </c>
      <c r="BB122" s="41" t="s">
        <v>6</v>
      </c>
      <c r="BC122" s="41" t="s">
        <v>229</v>
      </c>
      <c r="BD122" s="41" t="s">
        <v>685</v>
      </c>
    </row>
    <row r="123" spans="1:56" ht="18" customHeight="1" outlineLevel="1">
      <c r="A123" s="19">
        <v>118</v>
      </c>
      <c r="B123" s="19">
        <v>523000231</v>
      </c>
      <c r="C123" s="19">
        <v>523000232</v>
      </c>
      <c r="D123" s="50" t="s">
        <v>4</v>
      </c>
      <c r="E123" s="19" t="s">
        <v>686</v>
      </c>
      <c r="F123" s="19" t="s">
        <v>695</v>
      </c>
      <c r="G123" s="19" t="s">
        <v>696</v>
      </c>
      <c r="H123" s="69" t="s">
        <v>697</v>
      </c>
      <c r="I123" s="70" t="s">
        <v>319</v>
      </c>
      <c r="J123" s="70" t="s">
        <v>289</v>
      </c>
      <c r="K123" s="71">
        <v>2</v>
      </c>
      <c r="L123" s="72">
        <v>523000232</v>
      </c>
      <c r="M123" s="72" t="s">
        <v>698</v>
      </c>
      <c r="N123" s="73">
        <v>165.2</v>
      </c>
      <c r="O123" s="74" t="s">
        <v>279</v>
      </c>
      <c r="P123" s="73">
        <v>279.95</v>
      </c>
      <c r="Q123" s="80" t="s">
        <v>279</v>
      </c>
      <c r="W123" s="76" t="s">
        <v>699</v>
      </c>
      <c r="X123" s="77">
        <v>165.2</v>
      </c>
      <c r="Y123" s="78">
        <v>0</v>
      </c>
      <c r="AA123" s="79">
        <v>165.2</v>
      </c>
      <c r="AB123" s="79">
        <v>165.2</v>
      </c>
      <c r="AC123" s="78">
        <v>0</v>
      </c>
      <c r="AE123" s="63" t="s">
        <v>219</v>
      </c>
      <c r="AF123" s="63">
        <v>1</v>
      </c>
      <c r="AG123" s="63">
        <v>1</v>
      </c>
      <c r="AK123" s="77">
        <v>0</v>
      </c>
      <c r="BA123" s="41" t="s">
        <v>230</v>
      </c>
      <c r="BB123" s="41" t="s">
        <v>6</v>
      </c>
      <c r="BC123" s="41" t="s">
        <v>229</v>
      </c>
      <c r="BD123" s="41" t="s">
        <v>685</v>
      </c>
    </row>
    <row r="124" spans="1:56" ht="18" customHeight="1" outlineLevel="1">
      <c r="A124" s="19">
        <v>119</v>
      </c>
      <c r="B124" s="19">
        <v>523000237</v>
      </c>
      <c r="C124" s="19">
        <v>523000238</v>
      </c>
      <c r="D124" s="50" t="s">
        <v>4</v>
      </c>
      <c r="E124" s="19" t="s">
        <v>686</v>
      </c>
      <c r="F124" s="19" t="s">
        <v>695</v>
      </c>
      <c r="G124" s="19" t="s">
        <v>696</v>
      </c>
      <c r="H124" s="69" t="s">
        <v>700</v>
      </c>
      <c r="I124" s="70" t="s">
        <v>323</v>
      </c>
      <c r="J124" s="70" t="s">
        <v>324</v>
      </c>
      <c r="K124" s="71">
        <v>2</v>
      </c>
      <c r="L124" s="72">
        <v>523000238</v>
      </c>
      <c r="M124" s="72" t="s">
        <v>701</v>
      </c>
      <c r="N124" s="73">
        <v>165.2</v>
      </c>
      <c r="O124" s="74" t="s">
        <v>279</v>
      </c>
      <c r="P124" s="73">
        <v>279.95</v>
      </c>
      <c r="Q124" s="80" t="s">
        <v>279</v>
      </c>
      <c r="W124" s="76" t="s">
        <v>702</v>
      </c>
      <c r="X124" s="77">
        <v>165.2</v>
      </c>
      <c r="Y124" s="78">
        <v>0</v>
      </c>
      <c r="AA124" s="79">
        <v>165.2</v>
      </c>
      <c r="AB124" s="79">
        <v>165.2</v>
      </c>
      <c r="AC124" s="78">
        <v>0</v>
      </c>
      <c r="AE124" s="63" t="s">
        <v>219</v>
      </c>
      <c r="AF124" s="63">
        <v>1</v>
      </c>
      <c r="AG124" s="63">
        <v>1</v>
      </c>
      <c r="AK124" s="77">
        <v>0</v>
      </c>
      <c r="BA124" s="41" t="s">
        <v>230</v>
      </c>
      <c r="BB124" s="41" t="s">
        <v>6</v>
      </c>
      <c r="BC124" s="41" t="s">
        <v>229</v>
      </c>
      <c r="BD124" s="41" t="s">
        <v>685</v>
      </c>
    </row>
    <row r="125" spans="1:56" ht="18" customHeight="1" outlineLevel="1">
      <c r="A125" s="19">
        <v>120</v>
      </c>
      <c r="B125" s="19">
        <v>523000243</v>
      </c>
      <c r="C125" s="19">
        <v>523000244</v>
      </c>
      <c r="D125" s="50" t="s">
        <v>4</v>
      </c>
      <c r="E125" s="19" t="s">
        <v>686</v>
      </c>
      <c r="F125" s="19" t="s">
        <v>695</v>
      </c>
      <c r="G125" s="19" t="s">
        <v>696</v>
      </c>
      <c r="H125" s="69" t="s">
        <v>703</v>
      </c>
      <c r="I125" s="70" t="s">
        <v>704</v>
      </c>
      <c r="J125" s="70" t="s">
        <v>619</v>
      </c>
      <c r="K125" s="71">
        <v>2</v>
      </c>
      <c r="L125" s="72">
        <v>523000244</v>
      </c>
      <c r="M125" s="72" t="s">
        <v>705</v>
      </c>
      <c r="N125" s="73">
        <v>165.2</v>
      </c>
      <c r="O125" s="74" t="s">
        <v>279</v>
      </c>
      <c r="P125" s="73">
        <v>279.95</v>
      </c>
      <c r="Q125" s="80" t="s">
        <v>279</v>
      </c>
      <c r="W125" s="76" t="s">
        <v>706</v>
      </c>
      <c r="X125" s="77">
        <v>165.2</v>
      </c>
      <c r="Y125" s="78">
        <v>0</v>
      </c>
      <c r="AA125" s="79">
        <v>165.2</v>
      </c>
      <c r="AB125" s="79">
        <v>165.2</v>
      </c>
      <c r="AC125" s="78">
        <v>0</v>
      </c>
      <c r="AE125" s="63" t="s">
        <v>219</v>
      </c>
      <c r="AF125" s="63">
        <v>1</v>
      </c>
      <c r="AG125" s="63">
        <v>1</v>
      </c>
      <c r="AK125" s="77">
        <v>0</v>
      </c>
      <c r="BA125" s="41" t="s">
        <v>230</v>
      </c>
      <c r="BB125" s="41" t="s">
        <v>6</v>
      </c>
      <c r="BC125" s="41" t="s">
        <v>229</v>
      </c>
      <c r="BD125" s="41" t="s">
        <v>685</v>
      </c>
    </row>
    <row r="126" spans="1:56" ht="18" customHeight="1" outlineLevel="1">
      <c r="A126" s="19">
        <v>121</v>
      </c>
      <c r="B126" s="19">
        <v>523000249</v>
      </c>
      <c r="C126" s="19">
        <v>523000250</v>
      </c>
      <c r="D126" s="50" t="s">
        <v>4</v>
      </c>
      <c r="E126" s="19" t="s">
        <v>686</v>
      </c>
      <c r="F126" s="19" t="s">
        <v>695</v>
      </c>
      <c r="G126" s="19" t="s">
        <v>696</v>
      </c>
      <c r="H126" s="69" t="s">
        <v>707</v>
      </c>
      <c r="I126" s="70" t="s">
        <v>333</v>
      </c>
      <c r="J126" s="70" t="s">
        <v>334</v>
      </c>
      <c r="K126" s="71">
        <v>2</v>
      </c>
      <c r="L126" s="72">
        <v>523000250</v>
      </c>
      <c r="M126" s="72" t="s">
        <v>708</v>
      </c>
      <c r="N126" s="73">
        <v>165.2</v>
      </c>
      <c r="O126" s="74" t="s">
        <v>279</v>
      </c>
      <c r="P126" s="73">
        <v>279.95</v>
      </c>
      <c r="Q126" s="80" t="s">
        <v>279</v>
      </c>
      <c r="W126" s="76" t="s">
        <v>709</v>
      </c>
      <c r="X126" s="77">
        <v>165.2</v>
      </c>
      <c r="Y126" s="78">
        <v>0</v>
      </c>
      <c r="AA126" s="79">
        <v>165.2</v>
      </c>
      <c r="AB126" s="79">
        <v>165.2</v>
      </c>
      <c r="AC126" s="78">
        <v>0</v>
      </c>
      <c r="AE126" s="63" t="s">
        <v>219</v>
      </c>
      <c r="AF126" s="63">
        <v>1</v>
      </c>
      <c r="AG126" s="63">
        <v>1</v>
      </c>
      <c r="AK126" s="77">
        <v>0</v>
      </c>
      <c r="BA126" s="41" t="s">
        <v>230</v>
      </c>
      <c r="BB126" s="41" t="s">
        <v>6</v>
      </c>
      <c r="BC126" s="41" t="s">
        <v>229</v>
      </c>
      <c r="BD126" s="41" t="s">
        <v>685</v>
      </c>
    </row>
    <row r="127" spans="1:56" ht="18" customHeight="1" outlineLevel="1">
      <c r="A127" s="19">
        <v>122</v>
      </c>
      <c r="B127" s="19">
        <v>523000255</v>
      </c>
      <c r="C127" s="19">
        <v>523000256</v>
      </c>
      <c r="D127" s="50" t="s">
        <v>4</v>
      </c>
      <c r="E127" s="19" t="s">
        <v>686</v>
      </c>
      <c r="F127" s="19" t="s">
        <v>695</v>
      </c>
      <c r="G127" s="19" t="s">
        <v>696</v>
      </c>
      <c r="H127" s="69" t="s">
        <v>710</v>
      </c>
      <c r="I127" s="70" t="s">
        <v>338</v>
      </c>
      <c r="J127" s="70" t="s">
        <v>339</v>
      </c>
      <c r="K127" s="71">
        <v>2</v>
      </c>
      <c r="L127" s="72">
        <v>523000256</v>
      </c>
      <c r="M127" s="72" t="s">
        <v>711</v>
      </c>
      <c r="N127" s="73">
        <v>165.2</v>
      </c>
      <c r="O127" s="74" t="s">
        <v>279</v>
      </c>
      <c r="P127" s="73">
        <v>279.95</v>
      </c>
      <c r="Q127" s="80" t="s">
        <v>279</v>
      </c>
      <c r="W127" s="76" t="s">
        <v>712</v>
      </c>
      <c r="X127" s="77">
        <v>165.2</v>
      </c>
      <c r="Y127" s="78">
        <v>0</v>
      </c>
      <c r="AA127" s="79">
        <v>165.2</v>
      </c>
      <c r="AB127" s="79">
        <v>165.2</v>
      </c>
      <c r="AC127" s="78">
        <v>0</v>
      </c>
      <c r="AE127" s="63" t="s">
        <v>219</v>
      </c>
      <c r="AF127" s="63">
        <v>1</v>
      </c>
      <c r="AG127" s="63">
        <v>1</v>
      </c>
      <c r="AK127" s="77">
        <v>0</v>
      </c>
      <c r="BA127" s="41" t="s">
        <v>230</v>
      </c>
      <c r="BB127" s="41" t="s">
        <v>6</v>
      </c>
      <c r="BC127" s="41" t="s">
        <v>229</v>
      </c>
      <c r="BD127" s="41" t="s">
        <v>685</v>
      </c>
    </row>
    <row r="128" spans="1:56" ht="18" customHeight="1" outlineLevel="1">
      <c r="A128" s="19">
        <v>123</v>
      </c>
      <c r="B128" s="19">
        <v>523001301</v>
      </c>
      <c r="C128" s="19">
        <v>523001302</v>
      </c>
      <c r="D128" s="50" t="s">
        <v>4</v>
      </c>
      <c r="E128" s="19" t="s">
        <v>686</v>
      </c>
      <c r="F128" s="19" t="s">
        <v>695</v>
      </c>
      <c r="G128" s="19" t="s">
        <v>696</v>
      </c>
      <c r="H128" s="69" t="s">
        <v>713</v>
      </c>
      <c r="I128" s="70" t="s">
        <v>343</v>
      </c>
      <c r="J128" s="70" t="s">
        <v>344</v>
      </c>
      <c r="K128" s="71">
        <v>2</v>
      </c>
      <c r="L128" s="72">
        <v>523001302</v>
      </c>
      <c r="M128" s="72" t="s">
        <v>714</v>
      </c>
      <c r="N128" s="73">
        <v>165.2</v>
      </c>
      <c r="O128" s="74" t="s">
        <v>279</v>
      </c>
      <c r="P128" s="73">
        <v>279.95</v>
      </c>
      <c r="Q128" s="80" t="s">
        <v>279</v>
      </c>
      <c r="W128" s="76" t="s">
        <v>715</v>
      </c>
      <c r="X128" s="77">
        <v>165.2</v>
      </c>
      <c r="Y128" s="78">
        <v>0</v>
      </c>
      <c r="AA128" s="79">
        <v>165.2</v>
      </c>
      <c r="AB128" s="79">
        <v>165.2</v>
      </c>
      <c r="AC128" s="78">
        <v>0</v>
      </c>
      <c r="AE128" s="63" t="s">
        <v>219</v>
      </c>
      <c r="AF128" s="63">
        <v>1</v>
      </c>
      <c r="AG128" s="63">
        <v>1</v>
      </c>
      <c r="AK128" s="77">
        <v>0</v>
      </c>
      <c r="BA128" s="41" t="s">
        <v>230</v>
      </c>
      <c r="BB128" s="41" t="s">
        <v>6</v>
      </c>
      <c r="BC128" s="41" t="s">
        <v>229</v>
      </c>
      <c r="BD128" s="41" t="s">
        <v>685</v>
      </c>
    </row>
    <row r="129" spans="1:56" ht="27" customHeight="1" outlineLevel="1">
      <c r="A129" s="19">
        <v>124</v>
      </c>
      <c r="B129" s="19" t="s">
        <v>219</v>
      </c>
      <c r="C129" s="19" t="s">
        <v>219</v>
      </c>
      <c r="D129" s="50" t="s">
        <v>219</v>
      </c>
      <c r="E129" s="19" t="s">
        <v>219</v>
      </c>
      <c r="F129" s="19" t="s">
        <v>219</v>
      </c>
      <c r="G129" s="19" t="s">
        <v>219</v>
      </c>
      <c r="H129" s="81" t="s">
        <v>219</v>
      </c>
      <c r="I129" s="70" t="s">
        <v>219</v>
      </c>
      <c r="J129" s="70" t="s">
        <v>219</v>
      </c>
      <c r="K129" s="71" t="s">
        <v>219</v>
      </c>
      <c r="L129" s="72" t="s">
        <v>219</v>
      </c>
      <c r="M129" s="72" t="s">
        <v>219</v>
      </c>
      <c r="N129" s="73" t="s">
        <v>219</v>
      </c>
      <c r="O129" s="74" t="s">
        <v>219</v>
      </c>
      <c r="P129" s="73" t="s">
        <v>219</v>
      </c>
      <c r="Q129" s="80" t="s">
        <v>219</v>
      </c>
      <c r="W129" s="76" t="s">
        <v>219</v>
      </c>
      <c r="X129" s="77" t="s">
        <v>219</v>
      </c>
      <c r="Y129" s="78">
        <v>0</v>
      </c>
      <c r="AA129" s="79" t="s">
        <v>219</v>
      </c>
      <c r="AB129" s="79" t="s">
        <v>219</v>
      </c>
      <c r="AC129" s="78">
        <v>0</v>
      </c>
      <c r="AE129" s="63" t="s">
        <v>230</v>
      </c>
      <c r="AF129" s="63">
        <v>0</v>
      </c>
      <c r="AG129" s="63" t="s">
        <v>219</v>
      </c>
      <c r="AK129" s="77">
        <v>0</v>
      </c>
      <c r="BA129" s="41" t="s">
        <v>230</v>
      </c>
      <c r="BB129" s="41" t="s">
        <v>6</v>
      </c>
      <c r="BC129" s="41" t="s">
        <v>229</v>
      </c>
      <c r="BD129" s="41" t="s">
        <v>685</v>
      </c>
    </row>
    <row r="130" spans="1:56" ht="18" customHeight="1" outlineLevel="1">
      <c r="A130" s="19">
        <v>125</v>
      </c>
      <c r="B130" s="19">
        <v>522000069</v>
      </c>
      <c r="C130" s="19">
        <v>522000070</v>
      </c>
      <c r="D130" s="50" t="s">
        <v>529</v>
      </c>
      <c r="E130" s="19" t="s">
        <v>716</v>
      </c>
      <c r="F130" s="19" t="s">
        <v>717</v>
      </c>
      <c r="G130" s="19" t="s">
        <v>718</v>
      </c>
      <c r="H130" s="69" t="s">
        <v>719</v>
      </c>
      <c r="I130" s="70" t="s">
        <v>532</v>
      </c>
      <c r="J130" s="70" t="s">
        <v>289</v>
      </c>
      <c r="K130" s="71">
        <v>2</v>
      </c>
      <c r="L130" s="72">
        <v>522000070</v>
      </c>
      <c r="M130" s="72" t="s">
        <v>720</v>
      </c>
      <c r="N130" s="73">
        <v>156.79999999999998</v>
      </c>
      <c r="O130" s="74" t="s">
        <v>279</v>
      </c>
      <c r="P130" s="73">
        <v>249.95</v>
      </c>
      <c r="Q130" s="80" t="s">
        <v>279</v>
      </c>
      <c r="W130" s="76" t="s">
        <v>721</v>
      </c>
      <c r="X130" s="77">
        <v>156.79999999999998</v>
      </c>
      <c r="Y130" s="78">
        <v>0</v>
      </c>
      <c r="AA130" s="79">
        <v>156.79999999999998</v>
      </c>
      <c r="AB130" s="79">
        <v>156.79999999999998</v>
      </c>
      <c r="AC130" s="78">
        <v>0</v>
      </c>
      <c r="AE130" s="63" t="s">
        <v>219</v>
      </c>
      <c r="AF130" s="63">
        <v>0</v>
      </c>
      <c r="AG130" s="63">
        <v>0</v>
      </c>
      <c r="AK130" s="77">
        <v>0</v>
      </c>
      <c r="BA130" s="41" t="s">
        <v>230</v>
      </c>
      <c r="BB130" s="41" t="s">
        <v>6</v>
      </c>
      <c r="BC130" s="41" t="s">
        <v>229</v>
      </c>
      <c r="BD130" s="41" t="s">
        <v>685</v>
      </c>
    </row>
    <row r="131" spans="1:56" s="57" customFormat="1" ht="27" customHeight="1" outlineLevel="1">
      <c r="A131" s="49">
        <v>126</v>
      </c>
      <c r="B131" s="19" t="s">
        <v>219</v>
      </c>
      <c r="C131" s="19" t="s">
        <v>219</v>
      </c>
      <c r="D131" s="50" t="s">
        <v>219</v>
      </c>
      <c r="E131" s="19" t="s">
        <v>219</v>
      </c>
      <c r="F131" s="19" t="s">
        <v>219</v>
      </c>
      <c r="G131" s="19" t="s">
        <v>219</v>
      </c>
      <c r="H131" s="52" t="s">
        <v>219</v>
      </c>
      <c r="I131" s="64" t="s">
        <v>219</v>
      </c>
      <c r="J131" s="70" t="s">
        <v>219</v>
      </c>
      <c r="K131" s="53" t="s">
        <v>219</v>
      </c>
      <c r="L131" s="20" t="s">
        <v>219</v>
      </c>
      <c r="M131" s="72" t="s">
        <v>219</v>
      </c>
      <c r="N131" s="54" t="s">
        <v>219</v>
      </c>
      <c r="O131" s="56" t="s">
        <v>219</v>
      </c>
      <c r="P131" s="54" t="s">
        <v>219</v>
      </c>
      <c r="Q131" s="56" t="s">
        <v>219</v>
      </c>
      <c r="R131" s="27"/>
      <c r="S131" s="58"/>
      <c r="T131" s="51"/>
      <c r="U131" s="51"/>
      <c r="V131" s="51"/>
      <c r="W131" s="76" t="s">
        <v>219</v>
      </c>
      <c r="X131" s="77" t="s">
        <v>219</v>
      </c>
      <c r="Y131" s="78">
        <v>0</v>
      </c>
      <c r="Z131" s="29"/>
      <c r="AA131" s="79" t="s">
        <v>219</v>
      </c>
      <c r="AB131" s="79" t="s">
        <v>219</v>
      </c>
      <c r="AC131" s="78">
        <v>0</v>
      </c>
      <c r="AD131" s="29"/>
      <c r="AE131" s="63" t="s">
        <v>230</v>
      </c>
      <c r="AF131" s="63">
        <v>0</v>
      </c>
      <c r="AG131" s="63" t="s">
        <v>219</v>
      </c>
      <c r="AH131" s="29"/>
      <c r="AI131" s="27"/>
      <c r="AJ131" s="29"/>
      <c r="AK131" s="77">
        <v>0</v>
      </c>
      <c r="BA131" s="41" t="s">
        <v>230</v>
      </c>
      <c r="BB131" s="41" t="s">
        <v>6</v>
      </c>
      <c r="BC131" s="41" t="s">
        <v>229</v>
      </c>
      <c r="BD131" s="41" t="s">
        <v>685</v>
      </c>
    </row>
    <row r="132" spans="1:56" s="57" customFormat="1" ht="27" customHeight="1" outlineLevel="1">
      <c r="A132" s="49">
        <v>127</v>
      </c>
      <c r="B132" s="19" t="s">
        <v>219</v>
      </c>
      <c r="C132" s="19" t="s">
        <v>219</v>
      </c>
      <c r="D132" s="50" t="s">
        <v>722</v>
      </c>
      <c r="E132" s="19" t="s">
        <v>219</v>
      </c>
      <c r="F132" s="19" t="s">
        <v>219</v>
      </c>
      <c r="G132" s="19" t="s">
        <v>219</v>
      </c>
      <c r="H132" s="52" t="s">
        <v>722</v>
      </c>
      <c r="I132" s="64" t="s">
        <v>219</v>
      </c>
      <c r="J132" s="70" t="s">
        <v>219</v>
      </c>
      <c r="K132" s="53" t="s">
        <v>219</v>
      </c>
      <c r="L132" s="20" t="s">
        <v>219</v>
      </c>
      <c r="M132" s="72" t="s">
        <v>219</v>
      </c>
      <c r="N132" s="54" t="s">
        <v>219</v>
      </c>
      <c r="O132" s="56" t="s">
        <v>219</v>
      </c>
      <c r="P132" s="54" t="s">
        <v>219</v>
      </c>
      <c r="Q132" s="56" t="s">
        <v>219</v>
      </c>
      <c r="R132" s="27"/>
      <c r="S132" s="58"/>
      <c r="T132" s="51"/>
      <c r="U132" s="51"/>
      <c r="V132" s="51"/>
      <c r="W132" s="76" t="s">
        <v>219</v>
      </c>
      <c r="X132" s="77" t="s">
        <v>219</v>
      </c>
      <c r="Y132" s="78">
        <v>0</v>
      </c>
      <c r="Z132" s="29"/>
      <c r="AA132" s="79" t="s">
        <v>219</v>
      </c>
      <c r="AB132" s="79" t="s">
        <v>219</v>
      </c>
      <c r="AC132" s="78">
        <v>0</v>
      </c>
      <c r="AD132" s="29"/>
      <c r="AE132" s="63" t="s">
        <v>230</v>
      </c>
      <c r="AF132" s="63">
        <v>1</v>
      </c>
      <c r="AG132" s="63" t="s">
        <v>219</v>
      </c>
      <c r="AH132" s="29"/>
      <c r="AI132" s="27"/>
      <c r="AJ132" s="29"/>
      <c r="AK132" s="77">
        <v>0</v>
      </c>
      <c r="BA132" s="41" t="s">
        <v>230</v>
      </c>
      <c r="BB132" s="41" t="s">
        <v>6</v>
      </c>
      <c r="BC132" s="41" t="s">
        <v>229</v>
      </c>
      <c r="BD132" s="41" t="s">
        <v>723</v>
      </c>
    </row>
    <row r="133" spans="1:56" ht="18" customHeight="1" outlineLevel="1">
      <c r="A133" s="19">
        <v>128</v>
      </c>
      <c r="B133" s="19">
        <v>523000375</v>
      </c>
      <c r="C133" s="19">
        <v>523000375</v>
      </c>
      <c r="D133" s="50" t="s">
        <v>4</v>
      </c>
      <c r="E133" s="19" t="s">
        <v>724</v>
      </c>
      <c r="F133" s="19" t="s">
        <v>725</v>
      </c>
      <c r="G133" s="19" t="s">
        <v>726</v>
      </c>
      <c r="H133" s="69" t="s">
        <v>727</v>
      </c>
      <c r="I133" s="70" t="s">
        <v>319</v>
      </c>
      <c r="J133" s="70" t="s">
        <v>289</v>
      </c>
      <c r="K133" s="71">
        <v>1</v>
      </c>
      <c r="L133" s="72">
        <v>523000375</v>
      </c>
      <c r="M133" s="72" t="s">
        <v>728</v>
      </c>
      <c r="N133" s="73">
        <v>219.5</v>
      </c>
      <c r="O133" s="74" t="s">
        <v>279</v>
      </c>
      <c r="P133" s="73">
        <v>349.95</v>
      </c>
      <c r="Q133" s="80" t="s">
        <v>279</v>
      </c>
      <c r="W133" s="76" t="s">
        <v>729</v>
      </c>
      <c r="X133" s="77">
        <v>219.5</v>
      </c>
      <c r="Y133" s="78">
        <v>0</v>
      </c>
      <c r="AA133" s="79">
        <v>219.5</v>
      </c>
      <c r="AB133" s="79">
        <v>219.5</v>
      </c>
      <c r="AC133" s="78">
        <v>0</v>
      </c>
      <c r="AE133" s="63" t="s">
        <v>219</v>
      </c>
      <c r="AF133" s="63">
        <v>1</v>
      </c>
      <c r="AG133" s="63">
        <v>1</v>
      </c>
      <c r="AK133" s="77">
        <v>0</v>
      </c>
      <c r="BA133" s="41" t="s">
        <v>230</v>
      </c>
      <c r="BB133" s="41" t="s">
        <v>6</v>
      </c>
      <c r="BC133" s="41" t="s">
        <v>229</v>
      </c>
      <c r="BD133" s="41" t="s">
        <v>723</v>
      </c>
    </row>
    <row r="134" spans="1:56" ht="18" customHeight="1" outlineLevel="1">
      <c r="A134" s="19">
        <v>129</v>
      </c>
      <c r="B134" s="19">
        <v>523000381</v>
      </c>
      <c r="C134" s="19">
        <v>523000381</v>
      </c>
      <c r="D134" s="50" t="s">
        <v>4</v>
      </c>
      <c r="E134" s="19" t="s">
        <v>724</v>
      </c>
      <c r="F134" s="19" t="s">
        <v>725</v>
      </c>
      <c r="G134" s="19" t="s">
        <v>726</v>
      </c>
      <c r="H134" s="69" t="s">
        <v>730</v>
      </c>
      <c r="I134" s="70" t="s">
        <v>323</v>
      </c>
      <c r="J134" s="70" t="s">
        <v>324</v>
      </c>
      <c r="K134" s="71">
        <v>1</v>
      </c>
      <c r="L134" s="72">
        <v>523000381</v>
      </c>
      <c r="M134" s="72" t="s">
        <v>731</v>
      </c>
      <c r="N134" s="73">
        <v>219.5</v>
      </c>
      <c r="O134" s="74" t="s">
        <v>279</v>
      </c>
      <c r="P134" s="73">
        <v>349.95</v>
      </c>
      <c r="Q134" s="80" t="s">
        <v>279</v>
      </c>
      <c r="W134" s="76" t="s">
        <v>732</v>
      </c>
      <c r="X134" s="77">
        <v>219.5</v>
      </c>
      <c r="Y134" s="78">
        <v>0</v>
      </c>
      <c r="AA134" s="79">
        <v>219.5</v>
      </c>
      <c r="AB134" s="79">
        <v>219.5</v>
      </c>
      <c r="AC134" s="78">
        <v>0</v>
      </c>
      <c r="AE134" s="63" t="s">
        <v>219</v>
      </c>
      <c r="AF134" s="63">
        <v>1</v>
      </c>
      <c r="AG134" s="63">
        <v>1</v>
      </c>
      <c r="AK134" s="77">
        <v>0</v>
      </c>
      <c r="BA134" s="41" t="s">
        <v>230</v>
      </c>
      <c r="BB134" s="41" t="s">
        <v>6</v>
      </c>
      <c r="BC134" s="41" t="s">
        <v>229</v>
      </c>
      <c r="BD134" s="41" t="s">
        <v>723</v>
      </c>
    </row>
    <row r="135" spans="1:56" ht="27" customHeight="1" outlineLevel="1">
      <c r="A135" s="19">
        <v>130</v>
      </c>
      <c r="B135" s="19" t="s">
        <v>219</v>
      </c>
      <c r="C135" s="19" t="s">
        <v>219</v>
      </c>
      <c r="D135" s="50" t="s">
        <v>219</v>
      </c>
      <c r="E135" s="19" t="s">
        <v>219</v>
      </c>
      <c r="F135" s="19" t="s">
        <v>219</v>
      </c>
      <c r="G135" s="19" t="s">
        <v>219</v>
      </c>
      <c r="H135" s="81" t="s">
        <v>219</v>
      </c>
      <c r="I135" s="70" t="s">
        <v>219</v>
      </c>
      <c r="J135" s="70" t="s">
        <v>219</v>
      </c>
      <c r="K135" s="71" t="s">
        <v>219</v>
      </c>
      <c r="L135" s="72" t="s">
        <v>219</v>
      </c>
      <c r="M135" s="72" t="s">
        <v>219</v>
      </c>
      <c r="N135" s="73" t="s">
        <v>219</v>
      </c>
      <c r="O135" s="74" t="s">
        <v>219</v>
      </c>
      <c r="P135" s="73" t="s">
        <v>219</v>
      </c>
      <c r="Q135" s="80" t="s">
        <v>219</v>
      </c>
      <c r="W135" s="76" t="s">
        <v>219</v>
      </c>
      <c r="X135" s="77" t="s">
        <v>219</v>
      </c>
      <c r="Y135" s="78">
        <v>0</v>
      </c>
      <c r="AA135" s="79" t="s">
        <v>219</v>
      </c>
      <c r="AB135" s="79" t="s">
        <v>219</v>
      </c>
      <c r="AC135" s="78">
        <v>0</v>
      </c>
      <c r="AE135" s="63" t="s">
        <v>230</v>
      </c>
      <c r="AF135" s="63">
        <v>0</v>
      </c>
      <c r="AG135" s="63" t="s">
        <v>219</v>
      </c>
      <c r="AK135" s="77">
        <v>0</v>
      </c>
      <c r="BA135" s="41" t="s">
        <v>230</v>
      </c>
      <c r="BB135" s="41" t="s">
        <v>6</v>
      </c>
      <c r="BC135" s="41" t="s">
        <v>229</v>
      </c>
      <c r="BD135" s="41" t="s">
        <v>723</v>
      </c>
    </row>
    <row r="136" spans="1:56" ht="18" customHeight="1" outlineLevel="1">
      <c r="A136" s="19">
        <v>131</v>
      </c>
      <c r="B136" s="19">
        <v>523000387</v>
      </c>
      <c r="C136" s="19">
        <v>523000387</v>
      </c>
      <c r="D136" s="50" t="s">
        <v>4</v>
      </c>
      <c r="E136" s="19" t="s">
        <v>724</v>
      </c>
      <c r="F136" s="19" t="s">
        <v>733</v>
      </c>
      <c r="G136" s="19" t="s">
        <v>734</v>
      </c>
      <c r="H136" s="69" t="s">
        <v>735</v>
      </c>
      <c r="I136" s="70" t="s">
        <v>319</v>
      </c>
      <c r="J136" s="70" t="s">
        <v>289</v>
      </c>
      <c r="K136" s="71">
        <v>1</v>
      </c>
      <c r="L136" s="72">
        <v>523000387</v>
      </c>
      <c r="M136" s="72" t="s">
        <v>736</v>
      </c>
      <c r="N136" s="73">
        <v>250.9</v>
      </c>
      <c r="O136" s="74" t="s">
        <v>279</v>
      </c>
      <c r="P136" s="73">
        <v>399.95</v>
      </c>
      <c r="Q136" s="80" t="s">
        <v>279</v>
      </c>
      <c r="W136" s="76" t="s">
        <v>737</v>
      </c>
      <c r="X136" s="77">
        <v>250.9</v>
      </c>
      <c r="Y136" s="78">
        <v>0</v>
      </c>
      <c r="AA136" s="79">
        <v>250.9</v>
      </c>
      <c r="AB136" s="79">
        <v>250.9</v>
      </c>
      <c r="AC136" s="78">
        <v>0</v>
      </c>
      <c r="AE136" s="63" t="s">
        <v>219</v>
      </c>
      <c r="AF136" s="63">
        <v>0</v>
      </c>
      <c r="AG136" s="63">
        <v>0</v>
      </c>
      <c r="AK136" s="77">
        <v>0</v>
      </c>
      <c r="BA136" s="41" t="s">
        <v>230</v>
      </c>
      <c r="BB136" s="41" t="s">
        <v>6</v>
      </c>
      <c r="BC136" s="41" t="s">
        <v>229</v>
      </c>
      <c r="BD136" s="41" t="s">
        <v>723</v>
      </c>
    </row>
    <row r="137" spans="1:56" ht="18" customHeight="1" outlineLevel="1">
      <c r="A137" s="19">
        <v>132</v>
      </c>
      <c r="B137" s="19">
        <v>523000393</v>
      </c>
      <c r="C137" s="19">
        <v>523000393</v>
      </c>
      <c r="D137" s="50" t="s">
        <v>4</v>
      </c>
      <c r="E137" s="19" t="s">
        <v>724</v>
      </c>
      <c r="F137" s="19" t="s">
        <v>733</v>
      </c>
      <c r="G137" s="19" t="s">
        <v>734</v>
      </c>
      <c r="H137" s="69" t="s">
        <v>738</v>
      </c>
      <c r="I137" s="70" t="s">
        <v>323</v>
      </c>
      <c r="J137" s="70" t="s">
        <v>324</v>
      </c>
      <c r="K137" s="71">
        <v>1</v>
      </c>
      <c r="L137" s="72">
        <v>523000393</v>
      </c>
      <c r="M137" s="72" t="s">
        <v>739</v>
      </c>
      <c r="N137" s="73">
        <v>250.9</v>
      </c>
      <c r="O137" s="74" t="s">
        <v>279</v>
      </c>
      <c r="P137" s="73">
        <v>399.95</v>
      </c>
      <c r="Q137" s="80" t="s">
        <v>279</v>
      </c>
      <c r="W137" s="76" t="s">
        <v>740</v>
      </c>
      <c r="X137" s="77">
        <v>250.9</v>
      </c>
      <c r="Y137" s="78">
        <v>0</v>
      </c>
      <c r="AA137" s="79">
        <v>250.9</v>
      </c>
      <c r="AB137" s="79">
        <v>250.9</v>
      </c>
      <c r="AC137" s="78">
        <v>0</v>
      </c>
      <c r="AE137" s="63" t="s">
        <v>219</v>
      </c>
      <c r="AF137" s="63">
        <v>0</v>
      </c>
      <c r="AG137" s="63">
        <v>0</v>
      </c>
      <c r="AK137" s="77">
        <v>0</v>
      </c>
      <c r="BA137" s="41" t="s">
        <v>230</v>
      </c>
      <c r="BB137" s="41" t="s">
        <v>6</v>
      </c>
      <c r="BC137" s="41" t="s">
        <v>229</v>
      </c>
      <c r="BD137" s="41" t="s">
        <v>723</v>
      </c>
    </row>
    <row r="138" spans="1:56" s="57" customFormat="1" ht="18" customHeight="1" outlineLevel="1">
      <c r="A138" s="49">
        <v>133</v>
      </c>
      <c r="B138" s="19">
        <v>523000399</v>
      </c>
      <c r="C138" s="19">
        <v>523000399</v>
      </c>
      <c r="D138" s="50" t="s">
        <v>4</v>
      </c>
      <c r="E138" s="19" t="s">
        <v>724</v>
      </c>
      <c r="F138" s="19" t="s">
        <v>733</v>
      </c>
      <c r="G138" s="19" t="s">
        <v>734</v>
      </c>
      <c r="H138" s="20" t="s">
        <v>741</v>
      </c>
      <c r="I138" s="64" t="s">
        <v>520</v>
      </c>
      <c r="J138" s="70" t="s">
        <v>521</v>
      </c>
      <c r="K138" s="53">
        <v>1</v>
      </c>
      <c r="L138" s="20">
        <v>523000399</v>
      </c>
      <c r="M138" s="72" t="s">
        <v>742</v>
      </c>
      <c r="N138" s="54">
        <v>250.9</v>
      </c>
      <c r="O138" s="56" t="s">
        <v>279</v>
      </c>
      <c r="P138" s="54">
        <v>399.95</v>
      </c>
      <c r="Q138" s="56" t="s">
        <v>279</v>
      </c>
      <c r="R138" s="27"/>
      <c r="S138" s="58"/>
      <c r="T138" s="51"/>
      <c r="U138" s="51"/>
      <c r="V138" s="51"/>
      <c r="W138" s="76" t="s">
        <v>743</v>
      </c>
      <c r="X138" s="77">
        <v>250.9</v>
      </c>
      <c r="Y138" s="78">
        <v>0</v>
      </c>
      <c r="Z138" s="29"/>
      <c r="AA138" s="79">
        <v>250.9</v>
      </c>
      <c r="AB138" s="79">
        <v>250.9</v>
      </c>
      <c r="AC138" s="78">
        <v>0</v>
      </c>
      <c r="AD138" s="29"/>
      <c r="AE138" s="63" t="s">
        <v>219</v>
      </c>
      <c r="AF138" s="63">
        <v>0</v>
      </c>
      <c r="AG138" s="63">
        <v>0</v>
      </c>
      <c r="AH138" s="29"/>
      <c r="AI138" s="27"/>
      <c r="AJ138" s="29"/>
      <c r="AK138" s="77">
        <v>0</v>
      </c>
      <c r="BA138" s="41" t="s">
        <v>230</v>
      </c>
      <c r="BB138" s="41" t="s">
        <v>6</v>
      </c>
      <c r="BC138" s="41" t="s">
        <v>229</v>
      </c>
      <c r="BD138" s="41" t="s">
        <v>723</v>
      </c>
    </row>
    <row r="139" spans="1:56" ht="18" customHeight="1" outlineLevel="1">
      <c r="A139" s="19">
        <v>134</v>
      </c>
      <c r="B139" s="19">
        <v>523000405</v>
      </c>
      <c r="C139" s="19">
        <v>523000405</v>
      </c>
      <c r="D139" s="50" t="s">
        <v>4</v>
      </c>
      <c r="E139" s="19" t="s">
        <v>724</v>
      </c>
      <c r="F139" s="19" t="s">
        <v>733</v>
      </c>
      <c r="G139" s="19" t="s">
        <v>734</v>
      </c>
      <c r="H139" s="69" t="s">
        <v>744</v>
      </c>
      <c r="I139" s="70" t="s">
        <v>704</v>
      </c>
      <c r="J139" s="70" t="s">
        <v>619</v>
      </c>
      <c r="K139" s="71">
        <v>1</v>
      </c>
      <c r="L139" s="72">
        <v>523000405</v>
      </c>
      <c r="M139" s="72" t="s">
        <v>745</v>
      </c>
      <c r="N139" s="73">
        <v>250.9</v>
      </c>
      <c r="O139" s="74" t="s">
        <v>279</v>
      </c>
      <c r="P139" s="73">
        <v>399.95</v>
      </c>
      <c r="Q139" s="80" t="s">
        <v>279</v>
      </c>
      <c r="W139" s="76" t="s">
        <v>746</v>
      </c>
      <c r="X139" s="77">
        <v>250.9</v>
      </c>
      <c r="Y139" s="78">
        <v>0</v>
      </c>
      <c r="AA139" s="79">
        <v>250.9</v>
      </c>
      <c r="AB139" s="79">
        <v>250.9</v>
      </c>
      <c r="AC139" s="78">
        <v>0</v>
      </c>
      <c r="AE139" s="63" t="s">
        <v>219</v>
      </c>
      <c r="AF139" s="63">
        <v>0</v>
      </c>
      <c r="AG139" s="63">
        <v>0</v>
      </c>
      <c r="AK139" s="77">
        <v>0</v>
      </c>
      <c r="BA139" s="41" t="s">
        <v>230</v>
      </c>
      <c r="BB139" s="41" t="s">
        <v>6</v>
      </c>
      <c r="BC139" s="41" t="s">
        <v>229</v>
      </c>
      <c r="BD139" s="41" t="s">
        <v>723</v>
      </c>
    </row>
    <row r="140" spans="1:56" ht="18" customHeight="1" outlineLevel="1">
      <c r="A140" s="19">
        <v>135</v>
      </c>
      <c r="B140" s="19">
        <v>523000411</v>
      </c>
      <c r="C140" s="19">
        <v>523000411</v>
      </c>
      <c r="D140" s="50" t="s">
        <v>4</v>
      </c>
      <c r="E140" s="19" t="s">
        <v>724</v>
      </c>
      <c r="F140" s="19" t="s">
        <v>733</v>
      </c>
      <c r="G140" s="19" t="s">
        <v>734</v>
      </c>
      <c r="H140" s="69" t="s">
        <v>747</v>
      </c>
      <c r="I140" s="70" t="s">
        <v>333</v>
      </c>
      <c r="J140" s="70" t="s">
        <v>334</v>
      </c>
      <c r="K140" s="71">
        <v>1</v>
      </c>
      <c r="L140" s="72">
        <v>523000411</v>
      </c>
      <c r="M140" s="72" t="s">
        <v>748</v>
      </c>
      <c r="N140" s="73">
        <v>250.9</v>
      </c>
      <c r="O140" s="74" t="s">
        <v>279</v>
      </c>
      <c r="P140" s="73">
        <v>399.95</v>
      </c>
      <c r="Q140" s="80" t="s">
        <v>279</v>
      </c>
      <c r="W140" s="76" t="s">
        <v>749</v>
      </c>
      <c r="X140" s="77">
        <v>250.9</v>
      </c>
      <c r="Y140" s="78">
        <v>0</v>
      </c>
      <c r="AA140" s="79">
        <v>250.9</v>
      </c>
      <c r="AB140" s="79">
        <v>250.9</v>
      </c>
      <c r="AC140" s="78">
        <v>0</v>
      </c>
      <c r="AE140" s="63" t="s">
        <v>219</v>
      </c>
      <c r="AF140" s="63">
        <v>0</v>
      </c>
      <c r="AG140" s="63">
        <v>0</v>
      </c>
      <c r="AK140" s="77">
        <v>0</v>
      </c>
      <c r="BA140" s="41" t="s">
        <v>230</v>
      </c>
      <c r="BB140" s="41" t="s">
        <v>6</v>
      </c>
      <c r="BC140" s="41" t="s">
        <v>229</v>
      </c>
      <c r="BD140" s="41" t="s">
        <v>723</v>
      </c>
    </row>
    <row r="141" spans="1:56" ht="18" customHeight="1" outlineLevel="1">
      <c r="A141" s="19">
        <v>136</v>
      </c>
      <c r="B141" s="19">
        <v>523000417</v>
      </c>
      <c r="C141" s="19">
        <v>523000417</v>
      </c>
      <c r="D141" s="50" t="s">
        <v>4</v>
      </c>
      <c r="E141" s="19" t="s">
        <v>724</v>
      </c>
      <c r="F141" s="19" t="s">
        <v>733</v>
      </c>
      <c r="G141" s="19" t="s">
        <v>734</v>
      </c>
      <c r="H141" s="69" t="s">
        <v>750</v>
      </c>
      <c r="I141" s="70" t="s">
        <v>343</v>
      </c>
      <c r="J141" s="70" t="s">
        <v>344</v>
      </c>
      <c r="K141" s="71">
        <v>1</v>
      </c>
      <c r="L141" s="72">
        <v>523000417</v>
      </c>
      <c r="M141" s="72" t="s">
        <v>751</v>
      </c>
      <c r="N141" s="73">
        <v>250.9</v>
      </c>
      <c r="O141" s="74" t="s">
        <v>279</v>
      </c>
      <c r="P141" s="73">
        <v>399.95</v>
      </c>
      <c r="Q141" s="80" t="s">
        <v>279</v>
      </c>
      <c r="W141" s="76" t="s">
        <v>752</v>
      </c>
      <c r="X141" s="77">
        <v>250.9</v>
      </c>
      <c r="Y141" s="78">
        <v>0</v>
      </c>
      <c r="AA141" s="79">
        <v>250.9</v>
      </c>
      <c r="AB141" s="79">
        <v>250.9</v>
      </c>
      <c r="AC141" s="78">
        <v>0</v>
      </c>
      <c r="AE141" s="63" t="s">
        <v>219</v>
      </c>
      <c r="AF141" s="63">
        <v>0</v>
      </c>
      <c r="AG141" s="63">
        <v>0</v>
      </c>
      <c r="AK141" s="77">
        <v>0</v>
      </c>
      <c r="BA141" s="41" t="s">
        <v>230</v>
      </c>
      <c r="BB141" s="41" t="s">
        <v>6</v>
      </c>
      <c r="BC141" s="41" t="s">
        <v>229</v>
      </c>
      <c r="BD141" s="41" t="s">
        <v>723</v>
      </c>
    </row>
    <row r="142" spans="1:56" ht="27" customHeight="1" outlineLevel="1">
      <c r="A142" s="19">
        <v>137</v>
      </c>
      <c r="B142" s="19" t="s">
        <v>219</v>
      </c>
      <c r="C142" s="19" t="s">
        <v>219</v>
      </c>
      <c r="D142" s="50" t="s">
        <v>219</v>
      </c>
      <c r="E142" s="19" t="s">
        <v>219</v>
      </c>
      <c r="F142" s="19" t="s">
        <v>219</v>
      </c>
      <c r="G142" s="19" t="s">
        <v>219</v>
      </c>
      <c r="H142" s="81" t="s">
        <v>219</v>
      </c>
      <c r="I142" s="70" t="s">
        <v>219</v>
      </c>
      <c r="J142" s="70" t="s">
        <v>219</v>
      </c>
      <c r="K142" s="71" t="s">
        <v>219</v>
      </c>
      <c r="L142" s="72" t="s">
        <v>219</v>
      </c>
      <c r="M142" s="72" t="s">
        <v>219</v>
      </c>
      <c r="N142" s="73" t="s">
        <v>219</v>
      </c>
      <c r="O142" s="74" t="s">
        <v>219</v>
      </c>
      <c r="P142" s="73" t="s">
        <v>219</v>
      </c>
      <c r="Q142" s="80" t="s">
        <v>219</v>
      </c>
      <c r="W142" s="76" t="s">
        <v>219</v>
      </c>
      <c r="X142" s="77" t="s">
        <v>219</v>
      </c>
      <c r="Y142" s="78">
        <v>0</v>
      </c>
      <c r="AA142" s="79" t="s">
        <v>219</v>
      </c>
      <c r="AB142" s="79" t="s">
        <v>219</v>
      </c>
      <c r="AC142" s="78">
        <v>0</v>
      </c>
      <c r="AE142" s="63" t="s">
        <v>230</v>
      </c>
      <c r="AF142" s="63">
        <v>1</v>
      </c>
      <c r="AG142" s="63" t="s">
        <v>219</v>
      </c>
      <c r="AK142" s="77">
        <v>0</v>
      </c>
      <c r="BA142" s="41" t="s">
        <v>230</v>
      </c>
      <c r="BB142" s="41" t="s">
        <v>6</v>
      </c>
      <c r="BC142" s="41" t="s">
        <v>229</v>
      </c>
      <c r="BD142" s="41" t="s">
        <v>723</v>
      </c>
    </row>
    <row r="143" spans="1:56" ht="18" customHeight="1" outlineLevel="1">
      <c r="A143" s="19">
        <v>138</v>
      </c>
      <c r="B143" s="19">
        <v>520003765</v>
      </c>
      <c r="C143" s="19">
        <v>520003765</v>
      </c>
      <c r="D143" s="50" t="s">
        <v>4</v>
      </c>
      <c r="E143" s="19" t="s">
        <v>724</v>
      </c>
      <c r="F143" s="19" t="s">
        <v>753</v>
      </c>
      <c r="G143" s="19" t="s">
        <v>754</v>
      </c>
      <c r="H143" s="69" t="s">
        <v>755</v>
      </c>
      <c r="I143" s="70" t="s">
        <v>479</v>
      </c>
      <c r="J143" s="70" t="s">
        <v>480</v>
      </c>
      <c r="K143" s="71">
        <v>1</v>
      </c>
      <c r="L143" s="72">
        <v>520003765</v>
      </c>
      <c r="M143" s="72" t="s">
        <v>756</v>
      </c>
      <c r="N143" s="73">
        <v>313.60000000000002</v>
      </c>
      <c r="O143" s="74" t="s">
        <v>279</v>
      </c>
      <c r="P143" s="73">
        <v>499.95</v>
      </c>
      <c r="Q143" s="80" t="s">
        <v>279</v>
      </c>
      <c r="W143" s="76" t="s">
        <v>757</v>
      </c>
      <c r="X143" s="77">
        <v>313.60000000000002</v>
      </c>
      <c r="Y143" s="78">
        <v>0</v>
      </c>
      <c r="AA143" s="79">
        <v>313.60000000000002</v>
      </c>
      <c r="AB143" s="79">
        <v>313.60000000000002</v>
      </c>
      <c r="AC143" s="78">
        <v>0</v>
      </c>
      <c r="AE143" s="63" t="s">
        <v>219</v>
      </c>
      <c r="AF143" s="63">
        <v>1</v>
      </c>
      <c r="AG143" s="63">
        <v>1</v>
      </c>
      <c r="AK143" s="77">
        <v>0</v>
      </c>
      <c r="BA143" s="41" t="s">
        <v>230</v>
      </c>
      <c r="BB143" s="41" t="s">
        <v>6</v>
      </c>
      <c r="BC143" s="41" t="s">
        <v>229</v>
      </c>
      <c r="BD143" s="41" t="s">
        <v>723</v>
      </c>
    </row>
    <row r="144" spans="1:56" s="57" customFormat="1" ht="18" customHeight="1" outlineLevel="1">
      <c r="A144" s="49">
        <v>139</v>
      </c>
      <c r="B144" s="19">
        <v>520003767</v>
      </c>
      <c r="C144" s="19">
        <v>520003767</v>
      </c>
      <c r="D144" s="50" t="s">
        <v>4</v>
      </c>
      <c r="E144" s="19" t="s">
        <v>724</v>
      </c>
      <c r="F144" s="19" t="s">
        <v>753</v>
      </c>
      <c r="G144" s="19" t="s">
        <v>754</v>
      </c>
      <c r="H144" s="20" t="s">
        <v>758</v>
      </c>
      <c r="I144" s="64" t="s">
        <v>484</v>
      </c>
      <c r="J144" s="70" t="s">
        <v>289</v>
      </c>
      <c r="K144" s="53">
        <v>1</v>
      </c>
      <c r="L144" s="20">
        <v>520003767</v>
      </c>
      <c r="M144" s="72" t="s">
        <v>759</v>
      </c>
      <c r="N144" s="54">
        <v>313.60000000000002</v>
      </c>
      <c r="O144" s="56" t="s">
        <v>279</v>
      </c>
      <c r="P144" s="54">
        <v>499.95</v>
      </c>
      <c r="Q144" s="56" t="s">
        <v>279</v>
      </c>
      <c r="R144" s="27"/>
      <c r="S144" s="58"/>
      <c r="T144" s="51"/>
      <c r="U144" s="51"/>
      <c r="V144" s="51"/>
      <c r="W144" s="76" t="s">
        <v>760</v>
      </c>
      <c r="X144" s="77">
        <v>313.60000000000002</v>
      </c>
      <c r="Y144" s="78">
        <v>0</v>
      </c>
      <c r="Z144" s="29"/>
      <c r="AA144" s="79">
        <v>313.60000000000002</v>
      </c>
      <c r="AB144" s="79">
        <v>313.60000000000002</v>
      </c>
      <c r="AC144" s="78">
        <v>0</v>
      </c>
      <c r="AD144" s="29"/>
      <c r="AE144" s="63" t="s">
        <v>219</v>
      </c>
      <c r="AF144" s="63">
        <v>1</v>
      </c>
      <c r="AG144" s="63">
        <v>1</v>
      </c>
      <c r="AH144" s="29"/>
      <c r="AI144" s="27"/>
      <c r="AJ144" s="29"/>
      <c r="AK144" s="77">
        <v>0</v>
      </c>
      <c r="BA144" s="41" t="s">
        <v>230</v>
      </c>
      <c r="BB144" s="41" t="s">
        <v>6</v>
      </c>
      <c r="BC144" s="41" t="s">
        <v>229</v>
      </c>
      <c r="BD144" s="41" t="s">
        <v>723</v>
      </c>
    </row>
    <row r="145" spans="1:56" ht="18" customHeight="1" outlineLevel="1">
      <c r="A145" s="19">
        <v>140</v>
      </c>
      <c r="B145" s="19">
        <v>520003769</v>
      </c>
      <c r="C145" s="19">
        <v>520003769</v>
      </c>
      <c r="D145" s="50" t="s">
        <v>4</v>
      </c>
      <c r="E145" s="19" t="s">
        <v>724</v>
      </c>
      <c r="F145" s="19" t="s">
        <v>753</v>
      </c>
      <c r="G145" s="19" t="s">
        <v>754</v>
      </c>
      <c r="H145" s="69" t="s">
        <v>761</v>
      </c>
      <c r="I145" s="70" t="s">
        <v>762</v>
      </c>
      <c r="J145" s="70" t="s">
        <v>763</v>
      </c>
      <c r="K145" s="71">
        <v>1</v>
      </c>
      <c r="L145" s="72">
        <v>520003769</v>
      </c>
      <c r="M145" s="72" t="s">
        <v>764</v>
      </c>
      <c r="N145" s="73">
        <v>313.60000000000002</v>
      </c>
      <c r="O145" s="74" t="s">
        <v>279</v>
      </c>
      <c r="P145" s="73">
        <v>499.95</v>
      </c>
      <c r="Q145" s="80" t="s">
        <v>279</v>
      </c>
      <c r="W145" s="76" t="s">
        <v>765</v>
      </c>
      <c r="X145" s="77">
        <v>313.60000000000002</v>
      </c>
      <c r="Y145" s="78">
        <v>0</v>
      </c>
      <c r="AA145" s="79">
        <v>313.60000000000002</v>
      </c>
      <c r="AB145" s="79">
        <v>313.60000000000002</v>
      </c>
      <c r="AC145" s="78">
        <v>0</v>
      </c>
      <c r="AE145" s="63" t="s">
        <v>219</v>
      </c>
      <c r="AF145" s="63">
        <v>1</v>
      </c>
      <c r="AG145" s="63">
        <v>1</v>
      </c>
      <c r="AK145" s="77">
        <v>0</v>
      </c>
      <c r="BA145" s="41" t="s">
        <v>230</v>
      </c>
      <c r="BB145" s="41" t="s">
        <v>6</v>
      </c>
      <c r="BC145" s="41" t="s">
        <v>229</v>
      </c>
      <c r="BD145" s="41" t="s">
        <v>723</v>
      </c>
    </row>
    <row r="146" spans="1:56" s="57" customFormat="1" ht="27" customHeight="1" outlineLevel="1">
      <c r="A146" s="49">
        <v>141</v>
      </c>
      <c r="B146" s="19" t="s">
        <v>219</v>
      </c>
      <c r="C146" s="19" t="s">
        <v>219</v>
      </c>
      <c r="D146" s="50" t="s">
        <v>219</v>
      </c>
      <c r="E146" s="19" t="s">
        <v>219</v>
      </c>
      <c r="F146" s="19" t="s">
        <v>219</v>
      </c>
      <c r="G146" s="19" t="s">
        <v>219</v>
      </c>
      <c r="H146" s="52" t="s">
        <v>219</v>
      </c>
      <c r="I146" s="64" t="s">
        <v>219</v>
      </c>
      <c r="J146" s="70" t="s">
        <v>219</v>
      </c>
      <c r="K146" s="53" t="s">
        <v>219</v>
      </c>
      <c r="L146" s="20" t="s">
        <v>219</v>
      </c>
      <c r="M146" s="72" t="s">
        <v>219</v>
      </c>
      <c r="N146" s="54" t="s">
        <v>219</v>
      </c>
      <c r="O146" s="56" t="s">
        <v>219</v>
      </c>
      <c r="P146" s="54" t="s">
        <v>219</v>
      </c>
      <c r="Q146" s="56" t="s">
        <v>219</v>
      </c>
      <c r="R146" s="27"/>
      <c r="S146" s="58"/>
      <c r="T146" s="51"/>
      <c r="U146" s="51"/>
      <c r="V146" s="51"/>
      <c r="W146" s="76" t="s">
        <v>219</v>
      </c>
      <c r="X146" s="77" t="s">
        <v>219</v>
      </c>
      <c r="Y146" s="78">
        <v>0</v>
      </c>
      <c r="Z146" s="29"/>
      <c r="AA146" s="79" t="s">
        <v>219</v>
      </c>
      <c r="AB146" s="79" t="s">
        <v>219</v>
      </c>
      <c r="AC146" s="78">
        <v>0</v>
      </c>
      <c r="AD146" s="29"/>
      <c r="AE146" s="63" t="s">
        <v>230</v>
      </c>
      <c r="AF146" s="63">
        <v>0</v>
      </c>
      <c r="AG146" s="63" t="s">
        <v>219</v>
      </c>
      <c r="AH146" s="29"/>
      <c r="AI146" s="27"/>
      <c r="AJ146" s="29"/>
      <c r="AK146" s="77">
        <v>0</v>
      </c>
      <c r="BA146" s="41" t="s">
        <v>230</v>
      </c>
      <c r="BB146" s="41" t="s">
        <v>6</v>
      </c>
      <c r="BC146" s="41" t="s">
        <v>229</v>
      </c>
      <c r="BD146" s="41" t="s">
        <v>723</v>
      </c>
    </row>
    <row r="147" spans="1:56" ht="18" customHeight="1" outlineLevel="1">
      <c r="A147" s="19">
        <v>142</v>
      </c>
      <c r="B147" s="19">
        <v>520003783</v>
      </c>
      <c r="C147" s="19">
        <v>520003783</v>
      </c>
      <c r="D147" s="50" t="s">
        <v>4</v>
      </c>
      <c r="E147" s="19" t="s">
        <v>724</v>
      </c>
      <c r="F147" s="19" t="s">
        <v>766</v>
      </c>
      <c r="G147" s="19" t="s">
        <v>767</v>
      </c>
      <c r="H147" s="69" t="s">
        <v>768</v>
      </c>
      <c r="I147" s="70" t="s">
        <v>520</v>
      </c>
      <c r="J147" s="70" t="s">
        <v>521</v>
      </c>
      <c r="K147" s="71">
        <v>1</v>
      </c>
      <c r="L147" s="72">
        <v>520003783</v>
      </c>
      <c r="M147" s="72" t="s">
        <v>769</v>
      </c>
      <c r="N147" s="73">
        <v>332.40000000000003</v>
      </c>
      <c r="O147" s="74" t="s">
        <v>279</v>
      </c>
      <c r="P147" s="73">
        <v>529.95000000000005</v>
      </c>
      <c r="Q147" s="80" t="s">
        <v>279</v>
      </c>
      <c r="W147" s="76" t="s">
        <v>770</v>
      </c>
      <c r="X147" s="77">
        <v>332.40000000000003</v>
      </c>
      <c r="Y147" s="78">
        <v>0</v>
      </c>
      <c r="AA147" s="79">
        <v>332.40000000000003</v>
      </c>
      <c r="AB147" s="79">
        <v>332.40000000000003</v>
      </c>
      <c r="AC147" s="78">
        <v>0</v>
      </c>
      <c r="AE147" s="63" t="s">
        <v>219</v>
      </c>
      <c r="AF147" s="63">
        <v>0</v>
      </c>
      <c r="AG147" s="63">
        <v>0</v>
      </c>
      <c r="AK147" s="77">
        <v>0</v>
      </c>
      <c r="BA147" s="41" t="s">
        <v>230</v>
      </c>
      <c r="BB147" s="41" t="s">
        <v>6</v>
      </c>
      <c r="BC147" s="41" t="s">
        <v>229</v>
      </c>
      <c r="BD147" s="41" t="s">
        <v>723</v>
      </c>
    </row>
    <row r="148" spans="1:56" s="57" customFormat="1" ht="18" customHeight="1" outlineLevel="1">
      <c r="A148" s="49">
        <v>143</v>
      </c>
      <c r="B148" s="19">
        <v>520003785</v>
      </c>
      <c r="C148" s="19">
        <v>520003785</v>
      </c>
      <c r="D148" s="50" t="s">
        <v>4</v>
      </c>
      <c r="E148" s="19" t="s">
        <v>724</v>
      </c>
      <c r="F148" s="19" t="s">
        <v>766</v>
      </c>
      <c r="G148" s="19" t="s">
        <v>767</v>
      </c>
      <c r="H148" s="20" t="s">
        <v>771</v>
      </c>
      <c r="I148" s="64" t="s">
        <v>772</v>
      </c>
      <c r="J148" s="70" t="s">
        <v>579</v>
      </c>
      <c r="K148" s="53">
        <v>1</v>
      </c>
      <c r="L148" s="20">
        <v>520003785</v>
      </c>
      <c r="M148" s="72" t="s">
        <v>773</v>
      </c>
      <c r="N148" s="54">
        <v>332.40000000000003</v>
      </c>
      <c r="O148" s="56" t="s">
        <v>279</v>
      </c>
      <c r="P148" s="54">
        <v>529.95000000000005</v>
      </c>
      <c r="Q148" s="56" t="s">
        <v>279</v>
      </c>
      <c r="R148" s="27"/>
      <c r="S148" s="58"/>
      <c r="T148" s="51"/>
      <c r="U148" s="51"/>
      <c r="V148" s="51"/>
      <c r="W148" s="76" t="s">
        <v>774</v>
      </c>
      <c r="X148" s="77">
        <v>332.40000000000003</v>
      </c>
      <c r="Y148" s="78">
        <v>0</v>
      </c>
      <c r="Z148" s="29"/>
      <c r="AA148" s="79">
        <v>332.40000000000003</v>
      </c>
      <c r="AB148" s="79">
        <v>332.40000000000003</v>
      </c>
      <c r="AC148" s="78">
        <v>0</v>
      </c>
      <c r="AD148" s="29"/>
      <c r="AE148" s="63" t="s">
        <v>219</v>
      </c>
      <c r="AF148" s="63">
        <v>0</v>
      </c>
      <c r="AG148" s="63">
        <v>0</v>
      </c>
      <c r="AH148" s="29"/>
      <c r="AI148" s="27"/>
      <c r="AJ148" s="29"/>
      <c r="AK148" s="77">
        <v>0</v>
      </c>
      <c r="BA148" s="41" t="s">
        <v>230</v>
      </c>
      <c r="BB148" s="41" t="s">
        <v>6</v>
      </c>
      <c r="BC148" s="41" t="s">
        <v>229</v>
      </c>
      <c r="BD148" s="41" t="s">
        <v>723</v>
      </c>
    </row>
    <row r="149" spans="1:56" s="57" customFormat="1" ht="18" customHeight="1" outlineLevel="1">
      <c r="A149" s="49">
        <v>144</v>
      </c>
      <c r="B149" s="19">
        <v>520003787</v>
      </c>
      <c r="C149" s="19">
        <v>520003787</v>
      </c>
      <c r="D149" s="50" t="s">
        <v>4</v>
      </c>
      <c r="E149" s="19" t="s">
        <v>724</v>
      </c>
      <c r="F149" s="19" t="s">
        <v>766</v>
      </c>
      <c r="G149" s="19" t="s">
        <v>767</v>
      </c>
      <c r="H149" s="20" t="s">
        <v>775</v>
      </c>
      <c r="I149" s="64" t="s">
        <v>776</v>
      </c>
      <c r="J149" s="70" t="s">
        <v>777</v>
      </c>
      <c r="K149" s="53">
        <v>1</v>
      </c>
      <c r="L149" s="20">
        <v>520003787</v>
      </c>
      <c r="M149" s="72" t="s">
        <v>778</v>
      </c>
      <c r="N149" s="54">
        <v>332.40000000000003</v>
      </c>
      <c r="O149" s="56" t="s">
        <v>279</v>
      </c>
      <c r="P149" s="54">
        <v>529.95000000000005</v>
      </c>
      <c r="Q149" s="56" t="s">
        <v>279</v>
      </c>
      <c r="R149" s="27"/>
      <c r="S149" s="58"/>
      <c r="T149" s="51"/>
      <c r="U149" s="51"/>
      <c r="V149" s="51"/>
      <c r="W149" s="76" t="s">
        <v>779</v>
      </c>
      <c r="X149" s="77">
        <v>332.40000000000003</v>
      </c>
      <c r="Y149" s="78">
        <v>0</v>
      </c>
      <c r="Z149" s="29"/>
      <c r="AA149" s="79">
        <v>332.40000000000003</v>
      </c>
      <c r="AB149" s="79">
        <v>332.40000000000003</v>
      </c>
      <c r="AC149" s="78">
        <v>0</v>
      </c>
      <c r="AD149" s="29"/>
      <c r="AE149" s="63" t="s">
        <v>219</v>
      </c>
      <c r="AF149" s="63">
        <v>0</v>
      </c>
      <c r="AG149" s="63">
        <v>0</v>
      </c>
      <c r="AH149" s="29"/>
      <c r="AI149" s="27"/>
      <c r="AJ149" s="29"/>
      <c r="AK149" s="77">
        <v>0</v>
      </c>
      <c r="BA149" s="41" t="s">
        <v>230</v>
      </c>
      <c r="BB149" s="41" t="s">
        <v>6</v>
      </c>
      <c r="BC149" s="41" t="s">
        <v>229</v>
      </c>
      <c r="BD149" s="41" t="s">
        <v>723</v>
      </c>
    </row>
    <row r="150" spans="1:56" ht="18" customHeight="1" outlineLevel="1">
      <c r="A150" s="19">
        <v>145</v>
      </c>
      <c r="B150" s="19">
        <v>520003789</v>
      </c>
      <c r="C150" s="19">
        <v>520003789</v>
      </c>
      <c r="D150" s="50" t="s">
        <v>4</v>
      </c>
      <c r="E150" s="19" t="s">
        <v>724</v>
      </c>
      <c r="F150" s="19" t="s">
        <v>766</v>
      </c>
      <c r="G150" s="19" t="s">
        <v>767</v>
      </c>
      <c r="H150" s="69" t="s">
        <v>780</v>
      </c>
      <c r="I150" s="70" t="s">
        <v>781</v>
      </c>
      <c r="J150" s="70" t="s">
        <v>782</v>
      </c>
      <c r="K150" s="71">
        <v>1</v>
      </c>
      <c r="L150" s="72">
        <v>520003789</v>
      </c>
      <c r="M150" s="72" t="s">
        <v>783</v>
      </c>
      <c r="N150" s="73">
        <v>332.40000000000003</v>
      </c>
      <c r="O150" s="74" t="s">
        <v>279</v>
      </c>
      <c r="P150" s="73">
        <v>529.95000000000005</v>
      </c>
      <c r="Q150" s="80" t="s">
        <v>279</v>
      </c>
      <c r="W150" s="76" t="s">
        <v>784</v>
      </c>
      <c r="X150" s="77">
        <v>332.40000000000003</v>
      </c>
      <c r="Y150" s="78">
        <v>0</v>
      </c>
      <c r="AA150" s="79">
        <v>332.40000000000003</v>
      </c>
      <c r="AB150" s="79">
        <v>332.40000000000003</v>
      </c>
      <c r="AC150" s="78">
        <v>0</v>
      </c>
      <c r="AE150" s="63" t="s">
        <v>219</v>
      </c>
      <c r="AF150" s="63">
        <v>0</v>
      </c>
      <c r="AG150" s="63">
        <v>0</v>
      </c>
      <c r="AK150" s="77">
        <v>0</v>
      </c>
      <c r="BA150" s="41" t="s">
        <v>230</v>
      </c>
      <c r="BB150" s="41" t="s">
        <v>6</v>
      </c>
      <c r="BC150" s="41" t="s">
        <v>229</v>
      </c>
      <c r="BD150" s="41" t="s">
        <v>723</v>
      </c>
    </row>
    <row r="151" spans="1:56" ht="18" customHeight="1" outlineLevel="1">
      <c r="A151" s="19">
        <v>146</v>
      </c>
      <c r="B151" s="19">
        <v>520003791</v>
      </c>
      <c r="C151" s="19">
        <v>520003791</v>
      </c>
      <c r="D151" s="50" t="s">
        <v>4</v>
      </c>
      <c r="E151" s="19" t="s">
        <v>724</v>
      </c>
      <c r="F151" s="19" t="s">
        <v>766</v>
      </c>
      <c r="G151" s="19" t="s">
        <v>767</v>
      </c>
      <c r="H151" s="69" t="s">
        <v>785</v>
      </c>
      <c r="I151" s="70" t="s">
        <v>762</v>
      </c>
      <c r="J151" s="70" t="s">
        <v>763</v>
      </c>
      <c r="K151" s="71">
        <v>1</v>
      </c>
      <c r="L151" s="72">
        <v>520003791</v>
      </c>
      <c r="M151" s="72" t="s">
        <v>786</v>
      </c>
      <c r="N151" s="73">
        <v>332.40000000000003</v>
      </c>
      <c r="O151" s="74" t="s">
        <v>279</v>
      </c>
      <c r="P151" s="73">
        <v>529.95000000000005</v>
      </c>
      <c r="Q151" s="80" t="s">
        <v>279</v>
      </c>
      <c r="W151" s="76" t="s">
        <v>787</v>
      </c>
      <c r="X151" s="77">
        <v>332.40000000000003</v>
      </c>
      <c r="Y151" s="78">
        <v>0</v>
      </c>
      <c r="AA151" s="79">
        <v>332.40000000000003</v>
      </c>
      <c r="AB151" s="79">
        <v>332.40000000000003</v>
      </c>
      <c r="AC151" s="78">
        <v>0</v>
      </c>
      <c r="AE151" s="63" t="s">
        <v>219</v>
      </c>
      <c r="AF151" s="63">
        <v>0</v>
      </c>
      <c r="AG151" s="63">
        <v>0</v>
      </c>
      <c r="AK151" s="77">
        <v>0</v>
      </c>
      <c r="BA151" s="41" t="s">
        <v>230</v>
      </c>
      <c r="BB151" s="41" t="s">
        <v>6</v>
      </c>
      <c r="BC151" s="41" t="s">
        <v>229</v>
      </c>
      <c r="BD151" s="41" t="s">
        <v>723</v>
      </c>
    </row>
    <row r="152" spans="1:56" ht="18" customHeight="1" outlineLevel="1">
      <c r="A152" s="19">
        <v>147</v>
      </c>
      <c r="B152" s="19">
        <v>520003793</v>
      </c>
      <c r="C152" s="19">
        <v>520003793</v>
      </c>
      <c r="D152" s="50" t="s">
        <v>4</v>
      </c>
      <c r="E152" s="19" t="s">
        <v>724</v>
      </c>
      <c r="F152" s="19" t="s">
        <v>766</v>
      </c>
      <c r="G152" s="19" t="s">
        <v>767</v>
      </c>
      <c r="H152" s="69" t="s">
        <v>788</v>
      </c>
      <c r="I152" s="70" t="s">
        <v>479</v>
      </c>
      <c r="J152" s="70" t="s">
        <v>480</v>
      </c>
      <c r="K152" s="71">
        <v>1</v>
      </c>
      <c r="L152" s="72">
        <v>520003793</v>
      </c>
      <c r="M152" s="72" t="s">
        <v>789</v>
      </c>
      <c r="N152" s="73">
        <v>332.40000000000003</v>
      </c>
      <c r="O152" s="74" t="s">
        <v>279</v>
      </c>
      <c r="P152" s="73">
        <v>529.95000000000005</v>
      </c>
      <c r="Q152" s="80" t="s">
        <v>279</v>
      </c>
      <c r="W152" s="76" t="s">
        <v>790</v>
      </c>
      <c r="X152" s="77">
        <v>332.40000000000003</v>
      </c>
      <c r="Y152" s="78">
        <v>0</v>
      </c>
      <c r="AA152" s="79">
        <v>332.40000000000003</v>
      </c>
      <c r="AB152" s="79">
        <v>332.40000000000003</v>
      </c>
      <c r="AC152" s="78">
        <v>0</v>
      </c>
      <c r="AE152" s="63" t="s">
        <v>219</v>
      </c>
      <c r="AF152" s="63">
        <v>0</v>
      </c>
      <c r="AG152" s="63">
        <v>0</v>
      </c>
      <c r="AK152" s="77">
        <v>0</v>
      </c>
      <c r="BA152" s="41" t="s">
        <v>230</v>
      </c>
      <c r="BB152" s="41" t="s">
        <v>6</v>
      </c>
      <c r="BC152" s="41" t="s">
        <v>229</v>
      </c>
      <c r="BD152" s="41" t="s">
        <v>723</v>
      </c>
    </row>
    <row r="153" spans="1:56" ht="18" customHeight="1" outlineLevel="1">
      <c r="A153" s="19">
        <v>148</v>
      </c>
      <c r="B153" s="19">
        <v>520003795</v>
      </c>
      <c r="C153" s="19">
        <v>520003795</v>
      </c>
      <c r="D153" s="50" t="s">
        <v>4</v>
      </c>
      <c r="E153" s="19" t="s">
        <v>724</v>
      </c>
      <c r="F153" s="19" t="s">
        <v>766</v>
      </c>
      <c r="G153" s="19" t="s">
        <v>767</v>
      </c>
      <c r="H153" s="69" t="s">
        <v>791</v>
      </c>
      <c r="I153" s="70" t="s">
        <v>484</v>
      </c>
      <c r="J153" s="70" t="s">
        <v>289</v>
      </c>
      <c r="K153" s="71">
        <v>1</v>
      </c>
      <c r="L153" s="72">
        <v>520003795</v>
      </c>
      <c r="M153" s="72" t="s">
        <v>792</v>
      </c>
      <c r="N153" s="73">
        <v>332.40000000000003</v>
      </c>
      <c r="O153" s="74" t="s">
        <v>279</v>
      </c>
      <c r="P153" s="73">
        <v>529.95000000000005</v>
      </c>
      <c r="Q153" s="80" t="s">
        <v>279</v>
      </c>
      <c r="W153" s="76" t="s">
        <v>793</v>
      </c>
      <c r="X153" s="77">
        <v>332.40000000000003</v>
      </c>
      <c r="Y153" s="78">
        <v>0</v>
      </c>
      <c r="AA153" s="79">
        <v>332.40000000000003</v>
      </c>
      <c r="AB153" s="79">
        <v>332.40000000000003</v>
      </c>
      <c r="AC153" s="78">
        <v>0</v>
      </c>
      <c r="AE153" s="63" t="s">
        <v>219</v>
      </c>
      <c r="AF153" s="63">
        <v>0</v>
      </c>
      <c r="AG153" s="63">
        <v>0</v>
      </c>
      <c r="AK153" s="77">
        <v>0</v>
      </c>
      <c r="BA153" s="41" t="s">
        <v>230</v>
      </c>
      <c r="BB153" s="41" t="s">
        <v>6</v>
      </c>
      <c r="BC153" s="41" t="s">
        <v>229</v>
      </c>
      <c r="BD153" s="41" t="s">
        <v>723</v>
      </c>
    </row>
    <row r="154" spans="1:56" ht="27" customHeight="1" outlineLevel="1">
      <c r="A154" s="19">
        <v>149</v>
      </c>
      <c r="B154" s="19" t="s">
        <v>219</v>
      </c>
      <c r="C154" s="19" t="s">
        <v>219</v>
      </c>
      <c r="D154" s="50" t="s">
        <v>219</v>
      </c>
      <c r="E154" s="19" t="s">
        <v>219</v>
      </c>
      <c r="F154" s="19" t="s">
        <v>219</v>
      </c>
      <c r="G154" s="19" t="s">
        <v>219</v>
      </c>
      <c r="H154" s="81" t="s">
        <v>219</v>
      </c>
      <c r="I154" s="70" t="s">
        <v>219</v>
      </c>
      <c r="J154" s="70" t="s">
        <v>219</v>
      </c>
      <c r="K154" s="71" t="s">
        <v>219</v>
      </c>
      <c r="L154" s="72" t="s">
        <v>219</v>
      </c>
      <c r="M154" s="72" t="s">
        <v>219</v>
      </c>
      <c r="N154" s="73" t="s">
        <v>219</v>
      </c>
      <c r="O154" s="74" t="s">
        <v>219</v>
      </c>
      <c r="P154" s="73" t="s">
        <v>219</v>
      </c>
      <c r="Q154" s="80" t="s">
        <v>219</v>
      </c>
      <c r="W154" s="76" t="s">
        <v>219</v>
      </c>
      <c r="X154" s="77" t="s">
        <v>219</v>
      </c>
      <c r="Y154" s="78">
        <v>0</v>
      </c>
      <c r="AA154" s="79" t="s">
        <v>219</v>
      </c>
      <c r="AB154" s="79" t="s">
        <v>219</v>
      </c>
      <c r="AC154" s="78">
        <v>0</v>
      </c>
      <c r="AE154" s="63" t="s">
        <v>230</v>
      </c>
      <c r="AF154" s="63">
        <v>1</v>
      </c>
      <c r="AG154" s="63" t="s">
        <v>219</v>
      </c>
      <c r="AK154" s="77">
        <v>0</v>
      </c>
      <c r="BA154" s="41" t="s">
        <v>230</v>
      </c>
      <c r="BB154" s="41" t="s">
        <v>6</v>
      </c>
      <c r="BC154" s="41" t="s">
        <v>229</v>
      </c>
      <c r="BD154" s="41" t="s">
        <v>723</v>
      </c>
    </row>
    <row r="155" spans="1:56" s="57" customFormat="1" ht="18" customHeight="1" outlineLevel="1">
      <c r="A155" s="49">
        <v>150</v>
      </c>
      <c r="B155" s="19">
        <v>523001051</v>
      </c>
      <c r="C155" s="19">
        <v>523001051</v>
      </c>
      <c r="D155" s="50" t="s">
        <v>4</v>
      </c>
      <c r="E155" s="19" t="s">
        <v>794</v>
      </c>
      <c r="F155" s="19" t="s">
        <v>795</v>
      </c>
      <c r="G155" s="19" t="s">
        <v>796</v>
      </c>
      <c r="H155" s="20" t="s">
        <v>797</v>
      </c>
      <c r="I155" s="64" t="s">
        <v>319</v>
      </c>
      <c r="J155" s="70" t="s">
        <v>289</v>
      </c>
      <c r="K155" s="53">
        <v>1</v>
      </c>
      <c r="L155" s="20">
        <v>523001051</v>
      </c>
      <c r="M155" s="72" t="s">
        <v>798</v>
      </c>
      <c r="N155" s="54">
        <v>470.40000000000003</v>
      </c>
      <c r="O155" s="56" t="s">
        <v>279</v>
      </c>
      <c r="P155" s="54">
        <v>749.95</v>
      </c>
      <c r="Q155" s="56" t="s">
        <v>279</v>
      </c>
      <c r="R155" s="27"/>
      <c r="S155" s="58"/>
      <c r="T155" s="51"/>
      <c r="U155" s="51"/>
      <c r="V155" s="51"/>
      <c r="W155" s="76" t="s">
        <v>799</v>
      </c>
      <c r="X155" s="77">
        <v>470.40000000000003</v>
      </c>
      <c r="Y155" s="78">
        <v>0</v>
      </c>
      <c r="Z155" s="29"/>
      <c r="AA155" s="79">
        <v>470.40000000000003</v>
      </c>
      <c r="AB155" s="79">
        <v>470.40000000000003</v>
      </c>
      <c r="AC155" s="78">
        <v>0</v>
      </c>
      <c r="AD155" s="29"/>
      <c r="AE155" s="63" t="s">
        <v>219</v>
      </c>
      <c r="AF155" s="63">
        <v>1</v>
      </c>
      <c r="AG155" s="63">
        <v>1</v>
      </c>
      <c r="AH155" s="29"/>
      <c r="AI155" s="27"/>
      <c r="AJ155" s="29"/>
      <c r="AK155" s="77">
        <v>0</v>
      </c>
      <c r="BA155" s="41" t="s">
        <v>230</v>
      </c>
      <c r="BB155" s="41" t="s">
        <v>6</v>
      </c>
      <c r="BC155" s="41" t="s">
        <v>229</v>
      </c>
      <c r="BD155" s="41" t="s">
        <v>723</v>
      </c>
    </row>
    <row r="156" spans="1:56" ht="18" customHeight="1" outlineLevel="1">
      <c r="A156" s="19">
        <v>151</v>
      </c>
      <c r="B156" s="19">
        <v>523001055</v>
      </c>
      <c r="C156" s="19">
        <v>523001055</v>
      </c>
      <c r="D156" s="50" t="s">
        <v>4</v>
      </c>
      <c r="E156" s="19" t="s">
        <v>794</v>
      </c>
      <c r="F156" s="19" t="s">
        <v>795</v>
      </c>
      <c r="G156" s="19" t="s">
        <v>796</v>
      </c>
      <c r="H156" s="69" t="s">
        <v>800</v>
      </c>
      <c r="I156" s="70" t="s">
        <v>323</v>
      </c>
      <c r="J156" s="70" t="s">
        <v>324</v>
      </c>
      <c r="K156" s="71">
        <v>1</v>
      </c>
      <c r="L156" s="72">
        <v>523001055</v>
      </c>
      <c r="M156" s="72" t="s">
        <v>801</v>
      </c>
      <c r="N156" s="73">
        <v>470.40000000000003</v>
      </c>
      <c r="O156" s="74" t="s">
        <v>279</v>
      </c>
      <c r="P156" s="73">
        <v>749.95</v>
      </c>
      <c r="Q156" s="80" t="s">
        <v>279</v>
      </c>
      <c r="W156" s="76" t="s">
        <v>802</v>
      </c>
      <c r="X156" s="77">
        <v>470.40000000000003</v>
      </c>
      <c r="Y156" s="78">
        <v>0</v>
      </c>
      <c r="AA156" s="79">
        <v>470.40000000000003</v>
      </c>
      <c r="AB156" s="79">
        <v>470.40000000000003</v>
      </c>
      <c r="AC156" s="78">
        <v>0</v>
      </c>
      <c r="AE156" s="63" t="s">
        <v>219</v>
      </c>
      <c r="AF156" s="63">
        <v>1</v>
      </c>
      <c r="AG156" s="63">
        <v>1</v>
      </c>
      <c r="AK156" s="77">
        <v>0</v>
      </c>
      <c r="BA156" s="41" t="s">
        <v>230</v>
      </c>
      <c r="BB156" s="41" t="s">
        <v>6</v>
      </c>
      <c r="BC156" s="41" t="s">
        <v>229</v>
      </c>
      <c r="BD156" s="41" t="s">
        <v>723</v>
      </c>
    </row>
    <row r="157" spans="1:56" ht="27" customHeight="1" outlineLevel="1">
      <c r="A157" s="19">
        <v>152</v>
      </c>
      <c r="B157" s="19" t="s">
        <v>219</v>
      </c>
      <c r="C157" s="19" t="s">
        <v>219</v>
      </c>
      <c r="D157" s="50" t="s">
        <v>219</v>
      </c>
      <c r="E157" s="19" t="s">
        <v>219</v>
      </c>
      <c r="F157" s="19" t="s">
        <v>219</v>
      </c>
      <c r="G157" s="19" t="s">
        <v>219</v>
      </c>
      <c r="H157" s="81" t="s">
        <v>219</v>
      </c>
      <c r="I157" s="70" t="s">
        <v>219</v>
      </c>
      <c r="J157" s="70" t="s">
        <v>219</v>
      </c>
      <c r="K157" s="71" t="s">
        <v>219</v>
      </c>
      <c r="L157" s="72" t="s">
        <v>219</v>
      </c>
      <c r="M157" s="72" t="s">
        <v>219</v>
      </c>
      <c r="N157" s="73" t="s">
        <v>219</v>
      </c>
      <c r="O157" s="74" t="s">
        <v>219</v>
      </c>
      <c r="P157" s="73" t="s">
        <v>219</v>
      </c>
      <c r="Q157" s="80" t="s">
        <v>219</v>
      </c>
      <c r="W157" s="76" t="s">
        <v>219</v>
      </c>
      <c r="X157" s="77" t="s">
        <v>219</v>
      </c>
      <c r="Y157" s="78">
        <v>0</v>
      </c>
      <c r="AA157" s="79" t="s">
        <v>219</v>
      </c>
      <c r="AB157" s="79" t="s">
        <v>219</v>
      </c>
      <c r="AC157" s="78">
        <v>0</v>
      </c>
      <c r="AE157" s="63" t="s">
        <v>230</v>
      </c>
      <c r="AF157" s="63">
        <v>0</v>
      </c>
      <c r="AG157" s="63" t="s">
        <v>219</v>
      </c>
      <c r="AK157" s="77">
        <v>0</v>
      </c>
      <c r="BA157" s="41" t="s">
        <v>230</v>
      </c>
      <c r="BB157" s="41" t="s">
        <v>6</v>
      </c>
      <c r="BC157" s="41" t="s">
        <v>229</v>
      </c>
      <c r="BD157" s="41" t="s">
        <v>723</v>
      </c>
    </row>
    <row r="158" spans="1:56" ht="18" customHeight="1" outlineLevel="1">
      <c r="A158" s="19">
        <v>153</v>
      </c>
      <c r="B158" s="19">
        <v>523001059</v>
      </c>
      <c r="C158" s="19">
        <v>523001059</v>
      </c>
      <c r="D158" s="50" t="s">
        <v>4</v>
      </c>
      <c r="E158" s="19" t="s">
        <v>794</v>
      </c>
      <c r="F158" s="19" t="s">
        <v>803</v>
      </c>
      <c r="G158" s="19" t="s">
        <v>804</v>
      </c>
      <c r="H158" s="69" t="s">
        <v>805</v>
      </c>
      <c r="I158" s="70" t="s">
        <v>319</v>
      </c>
      <c r="J158" s="70" t="s">
        <v>289</v>
      </c>
      <c r="K158" s="71">
        <v>1</v>
      </c>
      <c r="L158" s="72">
        <v>523001059</v>
      </c>
      <c r="M158" s="72" t="s">
        <v>806</v>
      </c>
      <c r="N158" s="73">
        <v>501.70000000000005</v>
      </c>
      <c r="O158" s="74" t="s">
        <v>279</v>
      </c>
      <c r="P158" s="73">
        <v>799.95</v>
      </c>
      <c r="Q158" s="80" t="s">
        <v>279</v>
      </c>
      <c r="W158" s="76" t="s">
        <v>807</v>
      </c>
      <c r="X158" s="77">
        <v>501.70000000000005</v>
      </c>
      <c r="Y158" s="78">
        <v>0</v>
      </c>
      <c r="AA158" s="79">
        <v>501.70000000000005</v>
      </c>
      <c r="AB158" s="79">
        <v>501.70000000000005</v>
      </c>
      <c r="AC158" s="78">
        <v>0</v>
      </c>
      <c r="AE158" s="63" t="s">
        <v>219</v>
      </c>
      <c r="AF158" s="63">
        <v>0</v>
      </c>
      <c r="AG158" s="63">
        <v>0</v>
      </c>
      <c r="AK158" s="77">
        <v>0</v>
      </c>
      <c r="BA158" s="41" t="s">
        <v>230</v>
      </c>
      <c r="BB158" s="41" t="s">
        <v>6</v>
      </c>
      <c r="BC158" s="41" t="s">
        <v>229</v>
      </c>
      <c r="BD158" s="41" t="s">
        <v>723</v>
      </c>
    </row>
    <row r="159" spans="1:56" ht="18" customHeight="1" outlineLevel="1">
      <c r="A159" s="19">
        <v>154</v>
      </c>
      <c r="B159" s="19">
        <v>523001063</v>
      </c>
      <c r="C159" s="19">
        <v>523001063</v>
      </c>
      <c r="D159" s="50" t="s">
        <v>4</v>
      </c>
      <c r="E159" s="19" t="s">
        <v>794</v>
      </c>
      <c r="F159" s="19" t="s">
        <v>803</v>
      </c>
      <c r="G159" s="19" t="s">
        <v>804</v>
      </c>
      <c r="H159" s="69" t="s">
        <v>808</v>
      </c>
      <c r="I159" s="70" t="s">
        <v>323</v>
      </c>
      <c r="J159" s="70" t="s">
        <v>324</v>
      </c>
      <c r="K159" s="71">
        <v>1</v>
      </c>
      <c r="L159" s="72">
        <v>523001063</v>
      </c>
      <c r="M159" s="72" t="s">
        <v>809</v>
      </c>
      <c r="N159" s="73">
        <v>501.70000000000005</v>
      </c>
      <c r="O159" s="74" t="s">
        <v>279</v>
      </c>
      <c r="P159" s="73">
        <v>799.95</v>
      </c>
      <c r="Q159" s="80" t="s">
        <v>279</v>
      </c>
      <c r="W159" s="76" t="s">
        <v>810</v>
      </c>
      <c r="X159" s="77">
        <v>501.70000000000005</v>
      </c>
      <c r="Y159" s="78">
        <v>0</v>
      </c>
      <c r="AA159" s="79">
        <v>501.70000000000005</v>
      </c>
      <c r="AB159" s="79">
        <v>501.70000000000005</v>
      </c>
      <c r="AC159" s="78">
        <v>0</v>
      </c>
      <c r="AE159" s="63" t="s">
        <v>219</v>
      </c>
      <c r="AF159" s="63">
        <v>0</v>
      </c>
      <c r="AG159" s="63">
        <v>0</v>
      </c>
      <c r="AK159" s="77">
        <v>0</v>
      </c>
      <c r="BA159" s="41" t="s">
        <v>230</v>
      </c>
      <c r="BB159" s="41" t="s">
        <v>6</v>
      </c>
      <c r="BC159" s="41" t="s">
        <v>229</v>
      </c>
      <c r="BD159" s="41" t="s">
        <v>723</v>
      </c>
    </row>
    <row r="160" spans="1:56" ht="18" customHeight="1" outlineLevel="1">
      <c r="A160" s="19">
        <v>155</v>
      </c>
      <c r="B160" s="19">
        <v>523001067</v>
      </c>
      <c r="C160" s="19">
        <v>523001067</v>
      </c>
      <c r="D160" s="50" t="s">
        <v>4</v>
      </c>
      <c r="E160" s="19" t="s">
        <v>794</v>
      </c>
      <c r="F160" s="19" t="s">
        <v>803</v>
      </c>
      <c r="G160" s="19" t="s">
        <v>804</v>
      </c>
      <c r="H160" s="69" t="s">
        <v>811</v>
      </c>
      <c r="I160" s="70" t="s">
        <v>520</v>
      </c>
      <c r="J160" s="70" t="s">
        <v>521</v>
      </c>
      <c r="K160" s="71">
        <v>1</v>
      </c>
      <c r="L160" s="72">
        <v>523001067</v>
      </c>
      <c r="M160" s="72" t="s">
        <v>812</v>
      </c>
      <c r="N160" s="73">
        <v>501.70000000000005</v>
      </c>
      <c r="O160" s="74" t="s">
        <v>279</v>
      </c>
      <c r="P160" s="73">
        <v>799.95</v>
      </c>
      <c r="Q160" s="80" t="s">
        <v>279</v>
      </c>
      <c r="W160" s="76" t="s">
        <v>813</v>
      </c>
      <c r="X160" s="77">
        <v>501.70000000000005</v>
      </c>
      <c r="Y160" s="78">
        <v>0</v>
      </c>
      <c r="AA160" s="79">
        <v>501.70000000000005</v>
      </c>
      <c r="AB160" s="79">
        <v>501.70000000000005</v>
      </c>
      <c r="AC160" s="78">
        <v>0</v>
      </c>
      <c r="AE160" s="63" t="s">
        <v>219</v>
      </c>
      <c r="AF160" s="63">
        <v>0</v>
      </c>
      <c r="AG160" s="63">
        <v>0</v>
      </c>
      <c r="AK160" s="77">
        <v>0</v>
      </c>
      <c r="BA160" s="41" t="s">
        <v>230</v>
      </c>
      <c r="BB160" s="41" t="s">
        <v>6</v>
      </c>
      <c r="BC160" s="41" t="s">
        <v>229</v>
      </c>
      <c r="BD160" s="41" t="s">
        <v>723</v>
      </c>
    </row>
    <row r="161" spans="1:56" ht="18" customHeight="1" outlineLevel="1">
      <c r="A161" s="19">
        <v>156</v>
      </c>
      <c r="B161" s="19">
        <v>523001071</v>
      </c>
      <c r="C161" s="19">
        <v>523001071</v>
      </c>
      <c r="D161" s="50" t="s">
        <v>4</v>
      </c>
      <c r="E161" s="19" t="s">
        <v>794</v>
      </c>
      <c r="F161" s="19" t="s">
        <v>803</v>
      </c>
      <c r="G161" s="19" t="s">
        <v>804</v>
      </c>
      <c r="H161" s="69" t="s">
        <v>814</v>
      </c>
      <c r="I161" s="70" t="s">
        <v>704</v>
      </c>
      <c r="J161" s="70" t="s">
        <v>619</v>
      </c>
      <c r="K161" s="71">
        <v>1</v>
      </c>
      <c r="L161" s="72">
        <v>523001071</v>
      </c>
      <c r="M161" s="72" t="s">
        <v>815</v>
      </c>
      <c r="N161" s="73">
        <v>501.70000000000005</v>
      </c>
      <c r="O161" s="74" t="s">
        <v>279</v>
      </c>
      <c r="P161" s="73">
        <v>799.95</v>
      </c>
      <c r="Q161" s="80" t="s">
        <v>279</v>
      </c>
      <c r="W161" s="76" t="s">
        <v>816</v>
      </c>
      <c r="X161" s="77">
        <v>501.70000000000005</v>
      </c>
      <c r="Y161" s="78">
        <v>0</v>
      </c>
      <c r="AA161" s="79">
        <v>501.70000000000005</v>
      </c>
      <c r="AB161" s="79">
        <v>501.70000000000005</v>
      </c>
      <c r="AC161" s="78">
        <v>0</v>
      </c>
      <c r="AE161" s="63" t="s">
        <v>219</v>
      </c>
      <c r="AF161" s="63">
        <v>0</v>
      </c>
      <c r="AG161" s="63">
        <v>0</v>
      </c>
      <c r="AK161" s="77">
        <v>0</v>
      </c>
      <c r="BA161" s="41" t="s">
        <v>230</v>
      </c>
      <c r="BB161" s="41" t="s">
        <v>6</v>
      </c>
      <c r="BC161" s="41" t="s">
        <v>229</v>
      </c>
      <c r="BD161" s="41" t="s">
        <v>723</v>
      </c>
    </row>
    <row r="162" spans="1:56" ht="18" customHeight="1" outlineLevel="1">
      <c r="A162" s="19">
        <v>157</v>
      </c>
      <c r="B162" s="19">
        <v>523001075</v>
      </c>
      <c r="C162" s="19">
        <v>523001075</v>
      </c>
      <c r="D162" s="50" t="s">
        <v>4</v>
      </c>
      <c r="E162" s="19" t="s">
        <v>794</v>
      </c>
      <c r="F162" s="19" t="s">
        <v>803</v>
      </c>
      <c r="G162" s="19" t="s">
        <v>804</v>
      </c>
      <c r="H162" s="69" t="s">
        <v>817</v>
      </c>
      <c r="I162" s="70" t="s">
        <v>333</v>
      </c>
      <c r="J162" s="70" t="s">
        <v>334</v>
      </c>
      <c r="K162" s="71">
        <v>1</v>
      </c>
      <c r="L162" s="72">
        <v>523001075</v>
      </c>
      <c r="M162" s="72" t="s">
        <v>818</v>
      </c>
      <c r="N162" s="73">
        <v>501.70000000000005</v>
      </c>
      <c r="O162" s="74" t="s">
        <v>279</v>
      </c>
      <c r="P162" s="73">
        <v>799.95</v>
      </c>
      <c r="Q162" s="80" t="s">
        <v>279</v>
      </c>
      <c r="W162" s="76" t="s">
        <v>819</v>
      </c>
      <c r="X162" s="77">
        <v>501.70000000000005</v>
      </c>
      <c r="Y162" s="78">
        <v>0</v>
      </c>
      <c r="AA162" s="79">
        <v>501.70000000000005</v>
      </c>
      <c r="AB162" s="79">
        <v>501.70000000000005</v>
      </c>
      <c r="AC162" s="78">
        <v>0</v>
      </c>
      <c r="AE162" s="63" t="s">
        <v>219</v>
      </c>
      <c r="AF162" s="63">
        <v>0</v>
      </c>
      <c r="AG162" s="63">
        <v>0</v>
      </c>
      <c r="AK162" s="77">
        <v>0</v>
      </c>
      <c r="BA162" s="41" t="s">
        <v>230</v>
      </c>
      <c r="BB162" s="41" t="s">
        <v>6</v>
      </c>
      <c r="BC162" s="41" t="s">
        <v>229</v>
      </c>
      <c r="BD162" s="41" t="s">
        <v>723</v>
      </c>
    </row>
    <row r="163" spans="1:56" s="57" customFormat="1" ht="18" customHeight="1" outlineLevel="1">
      <c r="A163" s="49">
        <v>158</v>
      </c>
      <c r="B163" s="19">
        <v>523001079</v>
      </c>
      <c r="C163" s="19">
        <v>523001079</v>
      </c>
      <c r="D163" s="50" t="s">
        <v>4</v>
      </c>
      <c r="E163" s="19" t="s">
        <v>794</v>
      </c>
      <c r="F163" s="19" t="s">
        <v>803</v>
      </c>
      <c r="G163" s="19" t="s">
        <v>804</v>
      </c>
      <c r="H163" s="20" t="s">
        <v>820</v>
      </c>
      <c r="I163" s="64" t="s">
        <v>343</v>
      </c>
      <c r="J163" s="70" t="s">
        <v>344</v>
      </c>
      <c r="K163" s="53">
        <v>1</v>
      </c>
      <c r="L163" s="20">
        <v>523001079</v>
      </c>
      <c r="M163" s="72" t="s">
        <v>821</v>
      </c>
      <c r="N163" s="54">
        <v>501.70000000000005</v>
      </c>
      <c r="O163" s="56" t="s">
        <v>279</v>
      </c>
      <c r="P163" s="54">
        <v>799.95</v>
      </c>
      <c r="Q163" s="56" t="s">
        <v>279</v>
      </c>
      <c r="R163" s="27"/>
      <c r="S163" s="58"/>
      <c r="T163" s="51"/>
      <c r="U163" s="51"/>
      <c r="V163" s="51"/>
      <c r="W163" s="76" t="s">
        <v>822</v>
      </c>
      <c r="X163" s="77">
        <v>501.70000000000005</v>
      </c>
      <c r="Y163" s="78">
        <v>0</v>
      </c>
      <c r="Z163" s="29"/>
      <c r="AA163" s="79">
        <v>501.70000000000005</v>
      </c>
      <c r="AB163" s="79">
        <v>501.70000000000005</v>
      </c>
      <c r="AC163" s="78">
        <v>0</v>
      </c>
      <c r="AD163" s="29"/>
      <c r="AE163" s="63" t="s">
        <v>219</v>
      </c>
      <c r="AF163" s="63">
        <v>0</v>
      </c>
      <c r="AG163" s="63">
        <v>0</v>
      </c>
      <c r="AH163" s="29"/>
      <c r="AI163" s="27"/>
      <c r="AJ163" s="29"/>
      <c r="AK163" s="77">
        <v>0</v>
      </c>
      <c r="BA163" s="41" t="s">
        <v>230</v>
      </c>
      <c r="BB163" s="41" t="s">
        <v>6</v>
      </c>
      <c r="BC163" s="41" t="s">
        <v>229</v>
      </c>
      <c r="BD163" s="41" t="s">
        <v>723</v>
      </c>
    </row>
    <row r="164" spans="1:56" ht="27" customHeight="1" outlineLevel="1">
      <c r="A164" s="19">
        <v>159</v>
      </c>
      <c r="B164" s="19" t="s">
        <v>219</v>
      </c>
      <c r="C164" s="19" t="s">
        <v>219</v>
      </c>
      <c r="D164" s="50" t="s">
        <v>219</v>
      </c>
      <c r="E164" s="19" t="s">
        <v>219</v>
      </c>
      <c r="F164" s="19" t="s">
        <v>219</v>
      </c>
      <c r="G164" s="19" t="s">
        <v>219</v>
      </c>
      <c r="H164" s="81" t="s">
        <v>219</v>
      </c>
      <c r="I164" s="70" t="s">
        <v>219</v>
      </c>
      <c r="J164" s="70" t="s">
        <v>219</v>
      </c>
      <c r="K164" s="71" t="s">
        <v>219</v>
      </c>
      <c r="L164" s="72" t="s">
        <v>219</v>
      </c>
      <c r="M164" s="72" t="s">
        <v>219</v>
      </c>
      <c r="N164" s="73" t="s">
        <v>219</v>
      </c>
      <c r="O164" s="74" t="s">
        <v>219</v>
      </c>
      <c r="P164" s="73" t="s">
        <v>219</v>
      </c>
      <c r="Q164" s="80" t="s">
        <v>219</v>
      </c>
      <c r="W164" s="76" t="s">
        <v>219</v>
      </c>
      <c r="X164" s="77" t="s">
        <v>219</v>
      </c>
      <c r="Y164" s="78">
        <v>0</v>
      </c>
      <c r="AA164" s="79" t="s">
        <v>219</v>
      </c>
      <c r="AB164" s="79" t="s">
        <v>219</v>
      </c>
      <c r="AC164" s="78">
        <v>0</v>
      </c>
      <c r="AE164" s="63" t="s">
        <v>230</v>
      </c>
      <c r="AF164" s="63">
        <v>0</v>
      </c>
      <c r="AG164" s="63" t="s">
        <v>219</v>
      </c>
      <c r="AK164" s="77">
        <v>0</v>
      </c>
      <c r="BA164" s="41" t="s">
        <v>230</v>
      </c>
      <c r="BB164" s="41" t="s">
        <v>6</v>
      </c>
      <c r="BC164" s="41" t="s">
        <v>229</v>
      </c>
      <c r="BD164" s="41" t="s">
        <v>723</v>
      </c>
    </row>
    <row r="165" spans="1:56" ht="27" customHeight="1" outlineLevel="1">
      <c r="A165" s="19">
        <v>160</v>
      </c>
      <c r="B165" s="19" t="s">
        <v>219</v>
      </c>
      <c r="C165" s="19" t="s">
        <v>219</v>
      </c>
      <c r="D165" s="50" t="s">
        <v>823</v>
      </c>
      <c r="E165" s="19" t="s">
        <v>219</v>
      </c>
      <c r="F165" s="19" t="s">
        <v>219</v>
      </c>
      <c r="G165" s="19" t="s">
        <v>219</v>
      </c>
      <c r="H165" s="81" t="s">
        <v>823</v>
      </c>
      <c r="I165" s="70" t="s">
        <v>219</v>
      </c>
      <c r="J165" s="70" t="s">
        <v>219</v>
      </c>
      <c r="K165" s="71" t="s">
        <v>219</v>
      </c>
      <c r="L165" s="72" t="s">
        <v>219</v>
      </c>
      <c r="M165" s="72" t="s">
        <v>219</v>
      </c>
      <c r="N165" s="73" t="s">
        <v>219</v>
      </c>
      <c r="O165" s="74" t="s">
        <v>219</v>
      </c>
      <c r="P165" s="73" t="s">
        <v>219</v>
      </c>
      <c r="Q165" s="80" t="s">
        <v>219</v>
      </c>
      <c r="W165" s="76" t="s">
        <v>219</v>
      </c>
      <c r="X165" s="77" t="s">
        <v>219</v>
      </c>
      <c r="Y165" s="78">
        <v>0</v>
      </c>
      <c r="AA165" s="79" t="s">
        <v>219</v>
      </c>
      <c r="AB165" s="79" t="s">
        <v>219</v>
      </c>
      <c r="AC165" s="78">
        <v>0</v>
      </c>
      <c r="AE165" s="63" t="s">
        <v>230</v>
      </c>
      <c r="AF165" s="63">
        <v>1</v>
      </c>
      <c r="AG165" s="63" t="s">
        <v>219</v>
      </c>
      <c r="AK165" s="77">
        <v>0</v>
      </c>
      <c r="BA165" s="41" t="s">
        <v>230</v>
      </c>
      <c r="BB165" s="41" t="s">
        <v>6</v>
      </c>
      <c r="BC165" s="41" t="s">
        <v>229</v>
      </c>
      <c r="BD165" s="41" t="s">
        <v>824</v>
      </c>
    </row>
    <row r="166" spans="1:56" s="57" customFormat="1" ht="18" customHeight="1" outlineLevel="1">
      <c r="A166" s="49">
        <v>161</v>
      </c>
      <c r="B166" s="19">
        <v>522004117</v>
      </c>
      <c r="C166" s="19">
        <v>522004118</v>
      </c>
      <c r="D166" s="50" t="s">
        <v>4</v>
      </c>
      <c r="E166" s="19" t="s">
        <v>825</v>
      </c>
      <c r="F166" s="19" t="s">
        <v>826</v>
      </c>
      <c r="G166" s="19" t="s">
        <v>827</v>
      </c>
      <c r="H166" s="20" t="s">
        <v>828</v>
      </c>
      <c r="I166" s="64" t="s">
        <v>319</v>
      </c>
      <c r="J166" s="70" t="s">
        <v>289</v>
      </c>
      <c r="K166" s="53">
        <v>2</v>
      </c>
      <c r="L166" s="20">
        <v>522004118</v>
      </c>
      <c r="M166" s="72" t="s">
        <v>829</v>
      </c>
      <c r="N166" s="54">
        <v>138</v>
      </c>
      <c r="O166" s="56" t="s">
        <v>279</v>
      </c>
      <c r="P166" s="54">
        <v>219.95</v>
      </c>
      <c r="Q166" s="56" t="s">
        <v>279</v>
      </c>
      <c r="R166" s="27"/>
      <c r="S166" s="58"/>
      <c r="T166" s="51"/>
      <c r="U166" s="51"/>
      <c r="V166" s="51"/>
      <c r="W166" s="76" t="s">
        <v>830</v>
      </c>
      <c r="X166" s="77">
        <v>138</v>
      </c>
      <c r="Y166" s="78">
        <v>0</v>
      </c>
      <c r="Z166" s="29"/>
      <c r="AA166" s="79">
        <v>138</v>
      </c>
      <c r="AB166" s="79">
        <v>138</v>
      </c>
      <c r="AC166" s="78">
        <v>0</v>
      </c>
      <c r="AD166" s="29"/>
      <c r="AE166" s="63" t="s">
        <v>219</v>
      </c>
      <c r="AF166" s="63">
        <v>1</v>
      </c>
      <c r="AG166" s="63">
        <v>1</v>
      </c>
      <c r="AH166" s="29"/>
      <c r="AI166" s="27"/>
      <c r="AJ166" s="29"/>
      <c r="AK166" s="77">
        <v>0</v>
      </c>
      <c r="BA166" s="41" t="s">
        <v>230</v>
      </c>
      <c r="BB166" s="41" t="s">
        <v>6</v>
      </c>
      <c r="BC166" s="41" t="s">
        <v>229</v>
      </c>
      <c r="BD166" s="41" t="s">
        <v>824</v>
      </c>
    </row>
    <row r="167" spans="1:56" s="57" customFormat="1" ht="18" customHeight="1" outlineLevel="1">
      <c r="A167" s="49">
        <v>162</v>
      </c>
      <c r="B167" s="19">
        <v>522004119</v>
      </c>
      <c r="C167" s="19">
        <v>522004120</v>
      </c>
      <c r="D167" s="50" t="s">
        <v>4</v>
      </c>
      <c r="E167" s="19" t="s">
        <v>825</v>
      </c>
      <c r="F167" s="19" t="s">
        <v>826</v>
      </c>
      <c r="G167" s="19" t="s">
        <v>827</v>
      </c>
      <c r="H167" s="20" t="s">
        <v>831</v>
      </c>
      <c r="I167" s="64" t="s">
        <v>323</v>
      </c>
      <c r="J167" s="70" t="s">
        <v>324</v>
      </c>
      <c r="K167" s="53">
        <v>2</v>
      </c>
      <c r="L167" s="20">
        <v>522004120</v>
      </c>
      <c r="M167" s="72" t="s">
        <v>832</v>
      </c>
      <c r="N167" s="54">
        <v>138</v>
      </c>
      <c r="O167" s="56" t="s">
        <v>279</v>
      </c>
      <c r="P167" s="54">
        <v>219.95</v>
      </c>
      <c r="Q167" s="56" t="s">
        <v>279</v>
      </c>
      <c r="R167" s="27"/>
      <c r="S167" s="58"/>
      <c r="T167" s="51"/>
      <c r="U167" s="51"/>
      <c r="V167" s="51"/>
      <c r="W167" s="76" t="s">
        <v>833</v>
      </c>
      <c r="X167" s="77">
        <v>138</v>
      </c>
      <c r="Y167" s="78">
        <v>0</v>
      </c>
      <c r="Z167" s="29"/>
      <c r="AA167" s="79">
        <v>138</v>
      </c>
      <c r="AB167" s="79">
        <v>138</v>
      </c>
      <c r="AC167" s="78">
        <v>0</v>
      </c>
      <c r="AD167" s="29"/>
      <c r="AE167" s="63" t="s">
        <v>219</v>
      </c>
      <c r="AF167" s="63">
        <v>1</v>
      </c>
      <c r="AG167" s="63">
        <v>1</v>
      </c>
      <c r="AH167" s="29"/>
      <c r="AI167" s="27"/>
      <c r="AJ167" s="29"/>
      <c r="AK167" s="77">
        <v>0</v>
      </c>
      <c r="BA167" s="41" t="s">
        <v>230</v>
      </c>
      <c r="BB167" s="41" t="s">
        <v>6</v>
      </c>
      <c r="BC167" s="41" t="s">
        <v>229</v>
      </c>
      <c r="BD167" s="41" t="s">
        <v>824</v>
      </c>
    </row>
    <row r="168" spans="1:56" ht="27" customHeight="1" outlineLevel="1">
      <c r="A168" s="19">
        <v>163</v>
      </c>
      <c r="B168" s="19" t="s">
        <v>219</v>
      </c>
      <c r="C168" s="19" t="s">
        <v>219</v>
      </c>
      <c r="D168" s="50" t="s">
        <v>219</v>
      </c>
      <c r="E168" s="19" t="s">
        <v>219</v>
      </c>
      <c r="F168" s="19" t="s">
        <v>219</v>
      </c>
      <c r="G168" s="19" t="s">
        <v>219</v>
      </c>
      <c r="H168" s="81" t="s">
        <v>219</v>
      </c>
      <c r="I168" s="70" t="s">
        <v>219</v>
      </c>
      <c r="J168" s="70" t="s">
        <v>219</v>
      </c>
      <c r="K168" s="71" t="s">
        <v>219</v>
      </c>
      <c r="L168" s="72" t="s">
        <v>219</v>
      </c>
      <c r="M168" s="72" t="s">
        <v>219</v>
      </c>
      <c r="N168" s="73" t="s">
        <v>219</v>
      </c>
      <c r="O168" s="74" t="s">
        <v>219</v>
      </c>
      <c r="P168" s="73" t="s">
        <v>219</v>
      </c>
      <c r="Q168" s="80" t="s">
        <v>219</v>
      </c>
      <c r="W168" s="76" t="s">
        <v>219</v>
      </c>
      <c r="X168" s="77" t="s">
        <v>219</v>
      </c>
      <c r="Y168" s="78">
        <v>0</v>
      </c>
      <c r="AA168" s="79" t="s">
        <v>219</v>
      </c>
      <c r="AB168" s="79" t="s">
        <v>219</v>
      </c>
      <c r="AC168" s="78">
        <v>0</v>
      </c>
      <c r="AE168" s="63" t="s">
        <v>230</v>
      </c>
      <c r="AF168" s="63">
        <v>0</v>
      </c>
      <c r="AG168" s="63" t="s">
        <v>219</v>
      </c>
      <c r="AK168" s="77">
        <v>0</v>
      </c>
      <c r="BA168" s="41" t="s">
        <v>230</v>
      </c>
      <c r="BB168" s="41" t="s">
        <v>6</v>
      </c>
      <c r="BC168" s="41" t="s">
        <v>229</v>
      </c>
      <c r="BD168" s="41" t="s">
        <v>824</v>
      </c>
    </row>
    <row r="169" spans="1:56" ht="18" customHeight="1" outlineLevel="1">
      <c r="A169" s="19">
        <v>164</v>
      </c>
      <c r="B169" s="19">
        <v>522004103</v>
      </c>
      <c r="C169" s="19">
        <v>522004104</v>
      </c>
      <c r="D169" s="50" t="s">
        <v>4</v>
      </c>
      <c r="E169" s="19" t="s">
        <v>825</v>
      </c>
      <c r="F169" s="19" t="s">
        <v>834</v>
      </c>
      <c r="G169" s="19" t="s">
        <v>835</v>
      </c>
      <c r="H169" s="69" t="s">
        <v>836</v>
      </c>
      <c r="I169" s="70" t="s">
        <v>520</v>
      </c>
      <c r="J169" s="70" t="s">
        <v>521</v>
      </c>
      <c r="K169" s="71">
        <v>2</v>
      </c>
      <c r="L169" s="72">
        <v>522004104</v>
      </c>
      <c r="M169" s="72" t="s">
        <v>837</v>
      </c>
      <c r="N169" s="73">
        <v>156.79999999999998</v>
      </c>
      <c r="O169" s="74" t="s">
        <v>279</v>
      </c>
      <c r="P169" s="73">
        <v>249.95</v>
      </c>
      <c r="Q169" s="80" t="s">
        <v>279</v>
      </c>
      <c r="W169" s="76" t="s">
        <v>838</v>
      </c>
      <c r="X169" s="77">
        <v>156.79999999999998</v>
      </c>
      <c r="Y169" s="78">
        <v>0</v>
      </c>
      <c r="AA169" s="79">
        <v>156.79999999999998</v>
      </c>
      <c r="AB169" s="79">
        <v>156.79999999999998</v>
      </c>
      <c r="AC169" s="78">
        <v>0</v>
      </c>
      <c r="AE169" s="63" t="s">
        <v>219</v>
      </c>
      <c r="AF169" s="63">
        <v>0</v>
      </c>
      <c r="AG169" s="63">
        <v>0</v>
      </c>
      <c r="AK169" s="77">
        <v>0</v>
      </c>
      <c r="BA169" s="41" t="s">
        <v>230</v>
      </c>
      <c r="BB169" s="41" t="s">
        <v>6</v>
      </c>
      <c r="BC169" s="41" t="s">
        <v>229</v>
      </c>
      <c r="BD169" s="41" t="s">
        <v>824</v>
      </c>
    </row>
    <row r="170" spans="1:56" ht="18" customHeight="1" outlineLevel="1">
      <c r="A170" s="19">
        <v>165</v>
      </c>
      <c r="B170" s="19">
        <v>522004105</v>
      </c>
      <c r="C170" s="19">
        <v>522004106</v>
      </c>
      <c r="D170" s="50" t="s">
        <v>4</v>
      </c>
      <c r="E170" s="19" t="s">
        <v>825</v>
      </c>
      <c r="F170" s="19" t="s">
        <v>834</v>
      </c>
      <c r="G170" s="19" t="s">
        <v>835</v>
      </c>
      <c r="H170" s="69" t="s">
        <v>839</v>
      </c>
      <c r="I170" s="70" t="s">
        <v>319</v>
      </c>
      <c r="J170" s="70" t="s">
        <v>289</v>
      </c>
      <c r="K170" s="71">
        <v>2</v>
      </c>
      <c r="L170" s="72">
        <v>522004106</v>
      </c>
      <c r="M170" s="72" t="s">
        <v>840</v>
      </c>
      <c r="N170" s="73">
        <v>156.79999999999998</v>
      </c>
      <c r="O170" s="74" t="s">
        <v>279</v>
      </c>
      <c r="P170" s="73">
        <v>249.95</v>
      </c>
      <c r="Q170" s="80" t="s">
        <v>279</v>
      </c>
      <c r="W170" s="76" t="s">
        <v>841</v>
      </c>
      <c r="X170" s="77">
        <v>156.79999999999998</v>
      </c>
      <c r="Y170" s="78">
        <v>0</v>
      </c>
      <c r="AA170" s="79">
        <v>156.79999999999998</v>
      </c>
      <c r="AB170" s="79">
        <v>156.79999999999998</v>
      </c>
      <c r="AC170" s="78">
        <v>0</v>
      </c>
      <c r="AE170" s="63" t="s">
        <v>219</v>
      </c>
      <c r="AF170" s="63">
        <v>0</v>
      </c>
      <c r="AG170" s="63">
        <v>0</v>
      </c>
      <c r="AK170" s="77">
        <v>0</v>
      </c>
      <c r="BA170" s="41" t="s">
        <v>230</v>
      </c>
      <c r="BB170" s="41" t="s">
        <v>6</v>
      </c>
      <c r="BC170" s="41" t="s">
        <v>229</v>
      </c>
      <c r="BD170" s="41" t="s">
        <v>824</v>
      </c>
    </row>
    <row r="171" spans="1:56" s="57" customFormat="1" ht="18" customHeight="1" outlineLevel="1">
      <c r="A171" s="49">
        <v>166</v>
      </c>
      <c r="B171" s="19">
        <v>522004107</v>
      </c>
      <c r="C171" s="19">
        <v>522004108</v>
      </c>
      <c r="D171" s="50" t="s">
        <v>4</v>
      </c>
      <c r="E171" s="19" t="s">
        <v>825</v>
      </c>
      <c r="F171" s="19" t="s">
        <v>834</v>
      </c>
      <c r="G171" s="19" t="s">
        <v>835</v>
      </c>
      <c r="H171" s="20" t="s">
        <v>842</v>
      </c>
      <c r="I171" s="64" t="s">
        <v>323</v>
      </c>
      <c r="J171" s="70" t="s">
        <v>324</v>
      </c>
      <c r="K171" s="53">
        <v>2</v>
      </c>
      <c r="L171" s="20">
        <v>522004108</v>
      </c>
      <c r="M171" s="72" t="s">
        <v>843</v>
      </c>
      <c r="N171" s="54">
        <v>156.79999999999998</v>
      </c>
      <c r="O171" s="56" t="s">
        <v>279</v>
      </c>
      <c r="P171" s="54">
        <v>249.95</v>
      </c>
      <c r="Q171" s="56" t="s">
        <v>279</v>
      </c>
      <c r="R171" s="27"/>
      <c r="S171" s="58"/>
      <c r="T171" s="51"/>
      <c r="U171" s="51"/>
      <c r="V171" s="51"/>
      <c r="W171" s="76" t="s">
        <v>844</v>
      </c>
      <c r="X171" s="77">
        <v>156.79999999999998</v>
      </c>
      <c r="Y171" s="78">
        <v>0</v>
      </c>
      <c r="Z171" s="29"/>
      <c r="AA171" s="79">
        <v>156.79999999999998</v>
      </c>
      <c r="AB171" s="79">
        <v>156.79999999999998</v>
      </c>
      <c r="AC171" s="78">
        <v>0</v>
      </c>
      <c r="AD171" s="29"/>
      <c r="AE171" s="63" t="s">
        <v>219</v>
      </c>
      <c r="AF171" s="63">
        <v>0</v>
      </c>
      <c r="AG171" s="63">
        <v>0</v>
      </c>
      <c r="AH171" s="29"/>
      <c r="AI171" s="27"/>
      <c r="AJ171" s="29"/>
      <c r="AK171" s="77">
        <v>0</v>
      </c>
      <c r="BA171" s="41" t="s">
        <v>230</v>
      </c>
      <c r="BB171" s="41" t="s">
        <v>6</v>
      </c>
      <c r="BC171" s="41" t="s">
        <v>229</v>
      </c>
      <c r="BD171" s="41" t="s">
        <v>824</v>
      </c>
    </row>
    <row r="172" spans="1:56" ht="18" customHeight="1" outlineLevel="1">
      <c r="A172" s="19">
        <v>167</v>
      </c>
      <c r="B172" s="19">
        <v>522004109</v>
      </c>
      <c r="C172" s="19">
        <v>522004110</v>
      </c>
      <c r="D172" s="50" t="s">
        <v>4</v>
      </c>
      <c r="E172" s="19" t="s">
        <v>825</v>
      </c>
      <c r="F172" s="19" t="s">
        <v>834</v>
      </c>
      <c r="G172" s="19" t="s">
        <v>835</v>
      </c>
      <c r="H172" s="69" t="s">
        <v>845</v>
      </c>
      <c r="I172" s="70" t="s">
        <v>704</v>
      </c>
      <c r="J172" s="70" t="s">
        <v>619</v>
      </c>
      <c r="K172" s="71">
        <v>2</v>
      </c>
      <c r="L172" s="72">
        <v>522004110</v>
      </c>
      <c r="M172" s="72" t="s">
        <v>846</v>
      </c>
      <c r="N172" s="73">
        <v>156.79999999999998</v>
      </c>
      <c r="O172" s="74" t="s">
        <v>279</v>
      </c>
      <c r="P172" s="73">
        <v>249.95</v>
      </c>
      <c r="Q172" s="80" t="s">
        <v>279</v>
      </c>
      <c r="W172" s="76" t="s">
        <v>847</v>
      </c>
      <c r="X172" s="77">
        <v>156.79999999999998</v>
      </c>
      <c r="Y172" s="78">
        <v>0</v>
      </c>
      <c r="AA172" s="79">
        <v>156.79999999999998</v>
      </c>
      <c r="AB172" s="79">
        <v>156.79999999999998</v>
      </c>
      <c r="AC172" s="78">
        <v>0</v>
      </c>
      <c r="AE172" s="63" t="s">
        <v>219</v>
      </c>
      <c r="AF172" s="63">
        <v>0</v>
      </c>
      <c r="AG172" s="63">
        <v>0</v>
      </c>
      <c r="AK172" s="77">
        <v>0</v>
      </c>
      <c r="BA172" s="41" t="s">
        <v>230</v>
      </c>
      <c r="BB172" s="41" t="s">
        <v>6</v>
      </c>
      <c r="BC172" s="41" t="s">
        <v>229</v>
      </c>
      <c r="BD172" s="41" t="s">
        <v>824</v>
      </c>
    </row>
    <row r="173" spans="1:56" ht="18" customHeight="1" outlineLevel="1">
      <c r="A173" s="19">
        <v>168</v>
      </c>
      <c r="B173" s="19">
        <v>522004111</v>
      </c>
      <c r="C173" s="19">
        <v>522004112</v>
      </c>
      <c r="D173" s="50" t="s">
        <v>4</v>
      </c>
      <c r="E173" s="19" t="s">
        <v>825</v>
      </c>
      <c r="F173" s="19" t="s">
        <v>834</v>
      </c>
      <c r="G173" s="19" t="s">
        <v>835</v>
      </c>
      <c r="H173" s="69" t="s">
        <v>848</v>
      </c>
      <c r="I173" s="70" t="s">
        <v>333</v>
      </c>
      <c r="J173" s="70" t="s">
        <v>334</v>
      </c>
      <c r="K173" s="71">
        <v>2</v>
      </c>
      <c r="L173" s="72">
        <v>522004112</v>
      </c>
      <c r="M173" s="72" t="s">
        <v>849</v>
      </c>
      <c r="N173" s="73">
        <v>156.79999999999998</v>
      </c>
      <c r="O173" s="74" t="s">
        <v>279</v>
      </c>
      <c r="P173" s="73">
        <v>249.95</v>
      </c>
      <c r="Q173" s="80" t="s">
        <v>279</v>
      </c>
      <c r="W173" s="76" t="s">
        <v>850</v>
      </c>
      <c r="X173" s="77">
        <v>156.79999999999998</v>
      </c>
      <c r="Y173" s="78">
        <v>0</v>
      </c>
      <c r="AA173" s="79">
        <v>156.79999999999998</v>
      </c>
      <c r="AB173" s="79">
        <v>156.79999999999998</v>
      </c>
      <c r="AC173" s="78">
        <v>0</v>
      </c>
      <c r="AE173" s="63" t="s">
        <v>219</v>
      </c>
      <c r="AF173" s="63">
        <v>0</v>
      </c>
      <c r="AG173" s="63">
        <v>0</v>
      </c>
      <c r="AK173" s="77">
        <v>0</v>
      </c>
      <c r="BA173" s="41" t="s">
        <v>230</v>
      </c>
      <c r="BB173" s="41" t="s">
        <v>6</v>
      </c>
      <c r="BC173" s="41" t="s">
        <v>229</v>
      </c>
      <c r="BD173" s="41" t="s">
        <v>824</v>
      </c>
    </row>
    <row r="174" spans="1:56" ht="18" customHeight="1" outlineLevel="1">
      <c r="A174" s="19">
        <v>169</v>
      </c>
      <c r="B174" s="19">
        <v>522004113</v>
      </c>
      <c r="C174" s="19">
        <v>522004114</v>
      </c>
      <c r="D174" s="50" t="s">
        <v>4</v>
      </c>
      <c r="E174" s="19" t="s">
        <v>825</v>
      </c>
      <c r="F174" s="19" t="s">
        <v>834</v>
      </c>
      <c r="G174" s="19" t="s">
        <v>835</v>
      </c>
      <c r="H174" s="69" t="s">
        <v>851</v>
      </c>
      <c r="I174" s="70" t="s">
        <v>343</v>
      </c>
      <c r="J174" s="70" t="s">
        <v>344</v>
      </c>
      <c r="K174" s="71">
        <v>2</v>
      </c>
      <c r="L174" s="72">
        <v>522004114</v>
      </c>
      <c r="M174" s="72" t="s">
        <v>852</v>
      </c>
      <c r="N174" s="73">
        <v>156.79999999999998</v>
      </c>
      <c r="O174" s="74" t="s">
        <v>279</v>
      </c>
      <c r="P174" s="73">
        <v>249.95</v>
      </c>
      <c r="Q174" s="80" t="s">
        <v>279</v>
      </c>
      <c r="W174" s="76" t="s">
        <v>853</v>
      </c>
      <c r="X174" s="77">
        <v>156.79999999999998</v>
      </c>
      <c r="Y174" s="78">
        <v>0</v>
      </c>
      <c r="AA174" s="79">
        <v>156.79999999999998</v>
      </c>
      <c r="AB174" s="79">
        <v>156.79999999999998</v>
      </c>
      <c r="AC174" s="78">
        <v>0</v>
      </c>
      <c r="AE174" s="63" t="s">
        <v>219</v>
      </c>
      <c r="AF174" s="63">
        <v>0</v>
      </c>
      <c r="AG174" s="63">
        <v>0</v>
      </c>
      <c r="AK174" s="77">
        <v>0</v>
      </c>
      <c r="BA174" s="41" t="s">
        <v>230</v>
      </c>
      <c r="BB174" s="41" t="s">
        <v>6</v>
      </c>
      <c r="BC174" s="41" t="s">
        <v>229</v>
      </c>
      <c r="BD174" s="41" t="s">
        <v>824</v>
      </c>
    </row>
    <row r="175" spans="1:56" ht="27" customHeight="1" outlineLevel="1">
      <c r="A175" s="19">
        <v>170</v>
      </c>
      <c r="B175" s="19" t="s">
        <v>219</v>
      </c>
      <c r="C175" s="19" t="s">
        <v>219</v>
      </c>
      <c r="D175" s="50" t="s">
        <v>219</v>
      </c>
      <c r="E175" s="19" t="s">
        <v>219</v>
      </c>
      <c r="F175" s="19" t="s">
        <v>219</v>
      </c>
      <c r="G175" s="19" t="s">
        <v>219</v>
      </c>
      <c r="H175" s="81" t="s">
        <v>219</v>
      </c>
      <c r="I175" s="70" t="s">
        <v>219</v>
      </c>
      <c r="J175" s="70" t="s">
        <v>219</v>
      </c>
      <c r="K175" s="71" t="s">
        <v>219</v>
      </c>
      <c r="L175" s="72" t="s">
        <v>219</v>
      </c>
      <c r="M175" s="72" t="s">
        <v>219</v>
      </c>
      <c r="N175" s="73" t="s">
        <v>219</v>
      </c>
      <c r="O175" s="74" t="s">
        <v>219</v>
      </c>
      <c r="P175" s="73" t="s">
        <v>219</v>
      </c>
      <c r="Q175" s="80" t="s">
        <v>219</v>
      </c>
      <c r="W175" s="76" t="s">
        <v>219</v>
      </c>
      <c r="X175" s="77" t="s">
        <v>219</v>
      </c>
      <c r="Y175" s="78">
        <v>0</v>
      </c>
      <c r="AA175" s="79" t="s">
        <v>219</v>
      </c>
      <c r="AB175" s="79" t="s">
        <v>219</v>
      </c>
      <c r="AC175" s="78">
        <v>0</v>
      </c>
      <c r="AE175" s="63" t="s">
        <v>230</v>
      </c>
      <c r="AF175" s="63">
        <v>0</v>
      </c>
      <c r="AG175" s="63" t="s">
        <v>219</v>
      </c>
      <c r="AK175" s="77">
        <v>0</v>
      </c>
      <c r="BA175" s="41" t="s">
        <v>230</v>
      </c>
      <c r="BB175" s="41" t="s">
        <v>6</v>
      </c>
      <c r="BC175" s="41" t="s">
        <v>229</v>
      </c>
      <c r="BD175" s="41" t="s">
        <v>824</v>
      </c>
    </row>
    <row r="176" spans="1:56" ht="27" customHeight="1" outlineLevel="1">
      <c r="A176" s="19">
        <v>171</v>
      </c>
      <c r="B176" s="19" t="s">
        <v>219</v>
      </c>
      <c r="C176" s="19" t="s">
        <v>219</v>
      </c>
      <c r="D176" s="50" t="s">
        <v>854</v>
      </c>
      <c r="E176" s="19" t="s">
        <v>219</v>
      </c>
      <c r="F176" s="19" t="s">
        <v>219</v>
      </c>
      <c r="G176" s="19" t="s">
        <v>219</v>
      </c>
      <c r="H176" s="81" t="s">
        <v>854</v>
      </c>
      <c r="I176" s="70" t="s">
        <v>219</v>
      </c>
      <c r="J176" s="70" t="s">
        <v>219</v>
      </c>
      <c r="K176" s="71" t="s">
        <v>219</v>
      </c>
      <c r="L176" s="72" t="s">
        <v>219</v>
      </c>
      <c r="M176" s="72" t="s">
        <v>219</v>
      </c>
      <c r="N176" s="73" t="s">
        <v>219</v>
      </c>
      <c r="O176" s="74" t="s">
        <v>219</v>
      </c>
      <c r="P176" s="73" t="s">
        <v>219</v>
      </c>
      <c r="Q176" s="80" t="s">
        <v>219</v>
      </c>
      <c r="W176" s="76" t="s">
        <v>219</v>
      </c>
      <c r="X176" s="77" t="s">
        <v>219</v>
      </c>
      <c r="Y176" s="78">
        <v>0</v>
      </c>
      <c r="AA176" s="79" t="s">
        <v>219</v>
      </c>
      <c r="AB176" s="79" t="s">
        <v>219</v>
      </c>
      <c r="AC176" s="78">
        <v>0</v>
      </c>
      <c r="AE176" s="63" t="s">
        <v>230</v>
      </c>
      <c r="AF176" s="63">
        <v>1</v>
      </c>
      <c r="AG176" s="63" t="s">
        <v>219</v>
      </c>
      <c r="AK176" s="77">
        <v>0</v>
      </c>
      <c r="BA176" s="41" t="s">
        <v>230</v>
      </c>
      <c r="BB176" s="41" t="s">
        <v>6</v>
      </c>
      <c r="BC176" s="41" t="s">
        <v>229</v>
      </c>
      <c r="BD176" s="41" t="s">
        <v>855</v>
      </c>
    </row>
    <row r="177" spans="1:56" ht="18" customHeight="1" outlineLevel="1">
      <c r="A177" s="19">
        <v>172</v>
      </c>
      <c r="B177" s="19">
        <v>522000441</v>
      </c>
      <c r="C177" s="19">
        <v>522000442</v>
      </c>
      <c r="D177" s="50" t="s">
        <v>4</v>
      </c>
      <c r="E177" s="19" t="s">
        <v>856</v>
      </c>
      <c r="F177" s="19" t="s">
        <v>857</v>
      </c>
      <c r="G177" s="19" t="s">
        <v>858</v>
      </c>
      <c r="H177" s="69" t="s">
        <v>859</v>
      </c>
      <c r="I177" s="70" t="s">
        <v>484</v>
      </c>
      <c r="J177" s="70" t="s">
        <v>289</v>
      </c>
      <c r="K177" s="71">
        <v>2</v>
      </c>
      <c r="L177" s="72">
        <v>522000442</v>
      </c>
      <c r="M177" s="72" t="s">
        <v>860</v>
      </c>
      <c r="N177" s="73">
        <v>94.699999999999989</v>
      </c>
      <c r="O177" s="74" t="s">
        <v>279</v>
      </c>
      <c r="P177" s="73">
        <v>169.95</v>
      </c>
      <c r="Q177" s="80" t="s">
        <v>279</v>
      </c>
      <c r="W177" s="76" t="s">
        <v>861</v>
      </c>
      <c r="X177" s="77">
        <v>94.699999999999989</v>
      </c>
      <c r="Y177" s="78">
        <v>0</v>
      </c>
      <c r="AA177" s="79">
        <v>94.699999999999989</v>
      </c>
      <c r="AB177" s="79">
        <v>94.699999999999989</v>
      </c>
      <c r="AC177" s="78">
        <v>0</v>
      </c>
      <c r="AE177" s="63" t="s">
        <v>219</v>
      </c>
      <c r="AF177" s="63">
        <v>1</v>
      </c>
      <c r="AG177" s="63">
        <v>1</v>
      </c>
      <c r="AK177" s="77">
        <v>0</v>
      </c>
      <c r="BA177" s="41" t="s">
        <v>230</v>
      </c>
      <c r="BB177" s="41" t="s">
        <v>6</v>
      </c>
      <c r="BC177" s="41" t="s">
        <v>229</v>
      </c>
      <c r="BD177" s="41" t="s">
        <v>855</v>
      </c>
    </row>
    <row r="178" spans="1:56" ht="18" customHeight="1" outlineLevel="1">
      <c r="A178" s="19">
        <v>173</v>
      </c>
      <c r="B178" s="19">
        <v>522000443</v>
      </c>
      <c r="C178" s="19">
        <v>522000444</v>
      </c>
      <c r="D178" s="50" t="s">
        <v>4</v>
      </c>
      <c r="E178" s="19" t="s">
        <v>856</v>
      </c>
      <c r="F178" s="19" t="s">
        <v>857</v>
      </c>
      <c r="G178" s="19" t="s">
        <v>858</v>
      </c>
      <c r="H178" s="69" t="s">
        <v>862</v>
      </c>
      <c r="I178" s="70" t="s">
        <v>520</v>
      </c>
      <c r="J178" s="70" t="s">
        <v>521</v>
      </c>
      <c r="K178" s="71">
        <v>2</v>
      </c>
      <c r="L178" s="72">
        <v>522000444</v>
      </c>
      <c r="M178" s="72" t="s">
        <v>863</v>
      </c>
      <c r="N178" s="73">
        <v>94.699999999999989</v>
      </c>
      <c r="O178" s="74" t="s">
        <v>279</v>
      </c>
      <c r="P178" s="73">
        <v>169.95</v>
      </c>
      <c r="Q178" s="80" t="s">
        <v>279</v>
      </c>
      <c r="W178" s="76" t="s">
        <v>864</v>
      </c>
      <c r="X178" s="77">
        <v>94.699999999999989</v>
      </c>
      <c r="Y178" s="78">
        <v>0</v>
      </c>
      <c r="AA178" s="79">
        <v>94.699999999999989</v>
      </c>
      <c r="AB178" s="79">
        <v>94.699999999999989</v>
      </c>
      <c r="AC178" s="78">
        <v>0</v>
      </c>
      <c r="AE178" s="63" t="s">
        <v>219</v>
      </c>
      <c r="AF178" s="63">
        <v>1</v>
      </c>
      <c r="AG178" s="63">
        <v>1</v>
      </c>
      <c r="AK178" s="77">
        <v>0</v>
      </c>
      <c r="BA178" s="41" t="s">
        <v>230</v>
      </c>
      <c r="BB178" s="41" t="s">
        <v>6</v>
      </c>
      <c r="BC178" s="41" t="s">
        <v>229</v>
      </c>
      <c r="BD178" s="41" t="s">
        <v>855</v>
      </c>
    </row>
    <row r="179" spans="1:56" s="57" customFormat="1" ht="18" customHeight="1" outlineLevel="1">
      <c r="A179" s="49">
        <v>174</v>
      </c>
      <c r="B179" s="19">
        <v>522000445</v>
      </c>
      <c r="C179" s="19">
        <v>522000446</v>
      </c>
      <c r="D179" s="50" t="s">
        <v>4</v>
      </c>
      <c r="E179" s="19" t="s">
        <v>856</v>
      </c>
      <c r="F179" s="19" t="s">
        <v>857</v>
      </c>
      <c r="G179" s="19" t="s">
        <v>858</v>
      </c>
      <c r="H179" s="20" t="s">
        <v>865</v>
      </c>
      <c r="I179" s="64" t="s">
        <v>525</v>
      </c>
      <c r="J179" s="70" t="s">
        <v>526</v>
      </c>
      <c r="K179" s="53">
        <v>2</v>
      </c>
      <c r="L179" s="20">
        <v>522000446</v>
      </c>
      <c r="M179" s="72" t="s">
        <v>866</v>
      </c>
      <c r="N179" s="54">
        <v>94.699999999999989</v>
      </c>
      <c r="O179" s="56" t="s">
        <v>279</v>
      </c>
      <c r="P179" s="54">
        <v>169.95</v>
      </c>
      <c r="Q179" s="56" t="s">
        <v>279</v>
      </c>
      <c r="R179" s="27"/>
      <c r="S179" s="58"/>
      <c r="T179" s="51"/>
      <c r="U179" s="51"/>
      <c r="V179" s="51"/>
      <c r="W179" s="76" t="s">
        <v>867</v>
      </c>
      <c r="X179" s="77">
        <v>94.699999999999989</v>
      </c>
      <c r="Y179" s="78">
        <v>0</v>
      </c>
      <c r="Z179" s="29"/>
      <c r="AA179" s="79">
        <v>94.699999999999989</v>
      </c>
      <c r="AB179" s="79">
        <v>94.699999999999989</v>
      </c>
      <c r="AC179" s="78">
        <v>0</v>
      </c>
      <c r="AD179" s="29"/>
      <c r="AE179" s="63" t="s">
        <v>219</v>
      </c>
      <c r="AF179" s="63">
        <v>1</v>
      </c>
      <c r="AG179" s="63">
        <v>1</v>
      </c>
      <c r="AH179" s="29"/>
      <c r="AI179" s="27"/>
      <c r="AJ179" s="29"/>
      <c r="AK179" s="77">
        <v>0</v>
      </c>
      <c r="BA179" s="41" t="s">
        <v>230</v>
      </c>
      <c r="BB179" s="41" t="s">
        <v>6</v>
      </c>
      <c r="BC179" s="41" t="s">
        <v>229</v>
      </c>
      <c r="BD179" s="41" t="s">
        <v>855</v>
      </c>
    </row>
    <row r="180" spans="1:56" ht="27" customHeight="1" outlineLevel="1">
      <c r="A180" s="19">
        <v>175</v>
      </c>
      <c r="B180" s="19" t="s">
        <v>219</v>
      </c>
      <c r="C180" s="19" t="s">
        <v>219</v>
      </c>
      <c r="D180" s="50" t="s">
        <v>219</v>
      </c>
      <c r="E180" s="19" t="s">
        <v>219</v>
      </c>
      <c r="F180" s="19" t="s">
        <v>219</v>
      </c>
      <c r="G180" s="19" t="s">
        <v>219</v>
      </c>
      <c r="H180" s="81" t="s">
        <v>219</v>
      </c>
      <c r="I180" s="70" t="s">
        <v>219</v>
      </c>
      <c r="J180" s="70" t="s">
        <v>219</v>
      </c>
      <c r="K180" s="71" t="s">
        <v>219</v>
      </c>
      <c r="L180" s="72" t="s">
        <v>219</v>
      </c>
      <c r="M180" s="72" t="s">
        <v>219</v>
      </c>
      <c r="N180" s="73" t="s">
        <v>219</v>
      </c>
      <c r="O180" s="74" t="s">
        <v>219</v>
      </c>
      <c r="P180" s="73" t="s">
        <v>219</v>
      </c>
      <c r="Q180" s="80" t="s">
        <v>219</v>
      </c>
      <c r="W180" s="76" t="s">
        <v>219</v>
      </c>
      <c r="X180" s="77" t="s">
        <v>219</v>
      </c>
      <c r="Y180" s="78">
        <v>0</v>
      </c>
      <c r="AA180" s="79" t="s">
        <v>219</v>
      </c>
      <c r="AB180" s="79" t="s">
        <v>219</v>
      </c>
      <c r="AC180" s="78">
        <v>0</v>
      </c>
      <c r="AE180" s="63" t="s">
        <v>230</v>
      </c>
      <c r="AF180" s="63">
        <v>0</v>
      </c>
      <c r="AG180" s="63" t="s">
        <v>219</v>
      </c>
      <c r="AK180" s="77">
        <v>0</v>
      </c>
      <c r="BA180" s="41" t="s">
        <v>230</v>
      </c>
      <c r="BB180" s="41" t="s">
        <v>6</v>
      </c>
      <c r="BC180" s="41" t="s">
        <v>229</v>
      </c>
      <c r="BD180" s="41" t="s">
        <v>855</v>
      </c>
    </row>
    <row r="181" spans="1:56" ht="18" customHeight="1" outlineLevel="1">
      <c r="A181" s="19">
        <v>176</v>
      </c>
      <c r="B181" s="19">
        <v>522002889</v>
      </c>
      <c r="C181" s="19">
        <v>522002889</v>
      </c>
      <c r="D181" s="50" t="s">
        <v>529</v>
      </c>
      <c r="E181" s="19" t="s">
        <v>856</v>
      </c>
      <c r="F181" s="19" t="s">
        <v>868</v>
      </c>
      <c r="G181" s="19" t="s">
        <v>869</v>
      </c>
      <c r="H181" s="69" t="s">
        <v>870</v>
      </c>
      <c r="I181" s="70" t="s">
        <v>543</v>
      </c>
      <c r="J181" s="70" t="s">
        <v>289</v>
      </c>
      <c r="K181" s="71">
        <v>1</v>
      </c>
      <c r="L181" s="72">
        <v>522002889</v>
      </c>
      <c r="M181" s="72" t="s">
        <v>871</v>
      </c>
      <c r="N181" s="73">
        <v>44.6</v>
      </c>
      <c r="O181" s="74" t="s">
        <v>279</v>
      </c>
      <c r="P181" s="73">
        <v>79.95</v>
      </c>
      <c r="Q181" s="80" t="s">
        <v>279</v>
      </c>
      <c r="W181" s="76" t="s">
        <v>872</v>
      </c>
      <c r="X181" s="77">
        <v>44.6</v>
      </c>
      <c r="Y181" s="78">
        <v>0</v>
      </c>
      <c r="AA181" s="79">
        <v>44.6</v>
      </c>
      <c r="AB181" s="79">
        <v>44.6</v>
      </c>
      <c r="AC181" s="78">
        <v>0</v>
      </c>
      <c r="AE181" s="63" t="s">
        <v>219</v>
      </c>
      <c r="AF181" s="63">
        <v>0</v>
      </c>
      <c r="AG181" s="63">
        <v>0</v>
      </c>
      <c r="AK181" s="77">
        <v>0</v>
      </c>
      <c r="BA181" s="41" t="s">
        <v>230</v>
      </c>
      <c r="BB181" s="41" t="s">
        <v>6</v>
      </c>
      <c r="BC181" s="41" t="s">
        <v>229</v>
      </c>
      <c r="BD181" s="41" t="s">
        <v>855</v>
      </c>
    </row>
    <row r="182" spans="1:56" ht="18" customHeight="1" outlineLevel="1">
      <c r="A182" s="19">
        <v>177</v>
      </c>
      <c r="B182" s="19">
        <v>522002891</v>
      </c>
      <c r="C182" s="19">
        <v>522002891</v>
      </c>
      <c r="D182" s="50" t="s">
        <v>529</v>
      </c>
      <c r="E182" s="19" t="s">
        <v>856</v>
      </c>
      <c r="F182" s="19" t="s">
        <v>868</v>
      </c>
      <c r="G182" s="19" t="s">
        <v>869</v>
      </c>
      <c r="H182" s="69" t="s">
        <v>873</v>
      </c>
      <c r="I182" s="70" t="s">
        <v>547</v>
      </c>
      <c r="J182" s="70" t="s">
        <v>480</v>
      </c>
      <c r="K182" s="71">
        <v>1</v>
      </c>
      <c r="L182" s="72">
        <v>522002891</v>
      </c>
      <c r="M182" s="72" t="s">
        <v>874</v>
      </c>
      <c r="N182" s="73">
        <v>44.6</v>
      </c>
      <c r="O182" s="74" t="s">
        <v>279</v>
      </c>
      <c r="P182" s="73">
        <v>79.95</v>
      </c>
      <c r="Q182" s="80" t="s">
        <v>279</v>
      </c>
      <c r="W182" s="76" t="s">
        <v>875</v>
      </c>
      <c r="X182" s="77">
        <v>44.6</v>
      </c>
      <c r="Y182" s="78">
        <v>0</v>
      </c>
      <c r="AA182" s="79">
        <v>44.6</v>
      </c>
      <c r="AB182" s="79">
        <v>44.6</v>
      </c>
      <c r="AC182" s="78">
        <v>0</v>
      </c>
      <c r="AE182" s="63" t="s">
        <v>219</v>
      </c>
      <c r="AF182" s="63">
        <v>0</v>
      </c>
      <c r="AG182" s="63">
        <v>0</v>
      </c>
      <c r="AK182" s="77">
        <v>0</v>
      </c>
      <c r="BA182" s="41" t="s">
        <v>230</v>
      </c>
      <c r="BB182" s="41" t="s">
        <v>6</v>
      </c>
      <c r="BC182" s="41" t="s">
        <v>229</v>
      </c>
      <c r="BD182" s="41" t="s">
        <v>855</v>
      </c>
    </row>
    <row r="183" spans="1:56" s="57" customFormat="1" ht="18" customHeight="1" outlineLevel="1">
      <c r="A183" s="49">
        <v>178</v>
      </c>
      <c r="B183" s="19">
        <v>522002893</v>
      </c>
      <c r="C183" s="19">
        <v>522002893</v>
      </c>
      <c r="D183" s="50" t="s">
        <v>529</v>
      </c>
      <c r="E183" s="19" t="s">
        <v>856</v>
      </c>
      <c r="F183" s="19" t="s">
        <v>868</v>
      </c>
      <c r="G183" s="19" t="s">
        <v>869</v>
      </c>
      <c r="H183" s="20" t="s">
        <v>876</v>
      </c>
      <c r="I183" s="64" t="s">
        <v>551</v>
      </c>
      <c r="J183" s="70" t="s">
        <v>521</v>
      </c>
      <c r="K183" s="53">
        <v>1</v>
      </c>
      <c r="L183" s="20">
        <v>522002893</v>
      </c>
      <c r="M183" s="72" t="s">
        <v>877</v>
      </c>
      <c r="N183" s="54">
        <v>44.6</v>
      </c>
      <c r="O183" s="56" t="s">
        <v>279</v>
      </c>
      <c r="P183" s="54">
        <v>79.95</v>
      </c>
      <c r="Q183" s="56" t="s">
        <v>279</v>
      </c>
      <c r="R183" s="27"/>
      <c r="S183" s="58"/>
      <c r="T183" s="51"/>
      <c r="U183" s="51"/>
      <c r="V183" s="51"/>
      <c r="W183" s="76" t="s">
        <v>878</v>
      </c>
      <c r="X183" s="77">
        <v>44.6</v>
      </c>
      <c r="Y183" s="78">
        <v>0</v>
      </c>
      <c r="Z183" s="29"/>
      <c r="AA183" s="79">
        <v>44.6</v>
      </c>
      <c r="AB183" s="79">
        <v>44.6</v>
      </c>
      <c r="AC183" s="78">
        <v>0</v>
      </c>
      <c r="AD183" s="29"/>
      <c r="AE183" s="63" t="s">
        <v>219</v>
      </c>
      <c r="AF183" s="63">
        <v>0</v>
      </c>
      <c r="AG183" s="63">
        <v>0</v>
      </c>
      <c r="AH183" s="29"/>
      <c r="AI183" s="27"/>
      <c r="AJ183" s="29"/>
      <c r="AK183" s="77">
        <v>0</v>
      </c>
      <c r="BA183" s="41" t="s">
        <v>230</v>
      </c>
      <c r="BB183" s="41" t="s">
        <v>6</v>
      </c>
      <c r="BC183" s="41" t="s">
        <v>229</v>
      </c>
      <c r="BD183" s="41" t="s">
        <v>855</v>
      </c>
    </row>
    <row r="184" spans="1:56" ht="18" customHeight="1" outlineLevel="1">
      <c r="A184" s="19">
        <v>179</v>
      </c>
      <c r="B184" s="19">
        <v>522002895</v>
      </c>
      <c r="C184" s="19">
        <v>522002895</v>
      </c>
      <c r="D184" s="50" t="s">
        <v>529</v>
      </c>
      <c r="E184" s="19" t="s">
        <v>856</v>
      </c>
      <c r="F184" s="19" t="s">
        <v>868</v>
      </c>
      <c r="G184" s="19" t="s">
        <v>869</v>
      </c>
      <c r="H184" s="69" t="s">
        <v>879</v>
      </c>
      <c r="I184" s="70" t="s">
        <v>555</v>
      </c>
      <c r="J184" s="70" t="s">
        <v>556</v>
      </c>
      <c r="K184" s="71">
        <v>1</v>
      </c>
      <c r="L184" s="72">
        <v>522002895</v>
      </c>
      <c r="M184" s="72" t="s">
        <v>880</v>
      </c>
      <c r="N184" s="73">
        <v>44.6</v>
      </c>
      <c r="O184" s="74" t="s">
        <v>279</v>
      </c>
      <c r="P184" s="73">
        <v>79.95</v>
      </c>
      <c r="Q184" s="80" t="s">
        <v>279</v>
      </c>
      <c r="W184" s="76" t="s">
        <v>881</v>
      </c>
      <c r="X184" s="77">
        <v>44.6</v>
      </c>
      <c r="Y184" s="78">
        <v>0</v>
      </c>
      <c r="AA184" s="79">
        <v>44.6</v>
      </c>
      <c r="AB184" s="79">
        <v>44.6</v>
      </c>
      <c r="AC184" s="78">
        <v>0</v>
      </c>
      <c r="AE184" s="63" t="s">
        <v>219</v>
      </c>
      <c r="AF184" s="63">
        <v>0</v>
      </c>
      <c r="AG184" s="63">
        <v>0</v>
      </c>
      <c r="AK184" s="77">
        <v>0</v>
      </c>
      <c r="BA184" s="41" t="s">
        <v>230</v>
      </c>
      <c r="BB184" s="41" t="s">
        <v>6</v>
      </c>
      <c r="BC184" s="41" t="s">
        <v>229</v>
      </c>
      <c r="BD184" s="41" t="s">
        <v>855</v>
      </c>
    </row>
    <row r="185" spans="1:56" ht="18" customHeight="1" outlineLevel="1">
      <c r="A185" s="19">
        <v>180</v>
      </c>
      <c r="B185" s="19">
        <v>522002897</v>
      </c>
      <c r="C185" s="19">
        <v>522002897</v>
      </c>
      <c r="D185" s="50" t="s">
        <v>529</v>
      </c>
      <c r="E185" s="19" t="s">
        <v>856</v>
      </c>
      <c r="F185" s="19" t="s">
        <v>868</v>
      </c>
      <c r="G185" s="19" t="s">
        <v>869</v>
      </c>
      <c r="H185" s="69" t="s">
        <v>882</v>
      </c>
      <c r="I185" s="70" t="s">
        <v>560</v>
      </c>
      <c r="J185" s="70" t="s">
        <v>329</v>
      </c>
      <c r="K185" s="71">
        <v>1</v>
      </c>
      <c r="L185" s="72">
        <v>522002897</v>
      </c>
      <c r="M185" s="72" t="s">
        <v>883</v>
      </c>
      <c r="N185" s="73">
        <v>44.6</v>
      </c>
      <c r="O185" s="74" t="s">
        <v>279</v>
      </c>
      <c r="P185" s="73">
        <v>79.95</v>
      </c>
      <c r="Q185" s="80" t="s">
        <v>279</v>
      </c>
      <c r="W185" s="76" t="s">
        <v>884</v>
      </c>
      <c r="X185" s="77">
        <v>44.6</v>
      </c>
      <c r="Y185" s="78">
        <v>0</v>
      </c>
      <c r="AA185" s="79">
        <v>44.6</v>
      </c>
      <c r="AB185" s="79">
        <v>44.6</v>
      </c>
      <c r="AC185" s="78">
        <v>0</v>
      </c>
      <c r="AE185" s="63" t="s">
        <v>219</v>
      </c>
      <c r="AF185" s="63">
        <v>0</v>
      </c>
      <c r="AG185" s="63">
        <v>0</v>
      </c>
      <c r="AK185" s="77">
        <v>0</v>
      </c>
      <c r="BA185" s="41" t="s">
        <v>230</v>
      </c>
      <c r="BB185" s="41" t="s">
        <v>6</v>
      </c>
      <c r="BC185" s="41" t="s">
        <v>229</v>
      </c>
      <c r="BD185" s="41" t="s">
        <v>855</v>
      </c>
    </row>
    <row r="186" spans="1:56" ht="18" customHeight="1" outlineLevel="1">
      <c r="A186" s="19">
        <v>181</v>
      </c>
      <c r="B186" s="19">
        <v>522002899</v>
      </c>
      <c r="C186" s="19">
        <v>522002899</v>
      </c>
      <c r="D186" s="50" t="s">
        <v>529</v>
      </c>
      <c r="E186" s="19" t="s">
        <v>856</v>
      </c>
      <c r="F186" s="19" t="s">
        <v>868</v>
      </c>
      <c r="G186" s="19" t="s">
        <v>869</v>
      </c>
      <c r="H186" s="69" t="s">
        <v>885</v>
      </c>
      <c r="I186" s="70" t="s">
        <v>564</v>
      </c>
      <c r="J186" s="70" t="s">
        <v>334</v>
      </c>
      <c r="K186" s="71">
        <v>1</v>
      </c>
      <c r="L186" s="72">
        <v>522002899</v>
      </c>
      <c r="M186" s="72" t="s">
        <v>886</v>
      </c>
      <c r="N186" s="73">
        <v>44.6</v>
      </c>
      <c r="O186" s="74" t="s">
        <v>279</v>
      </c>
      <c r="P186" s="73">
        <v>79.95</v>
      </c>
      <c r="Q186" s="80" t="s">
        <v>279</v>
      </c>
      <c r="W186" s="76" t="s">
        <v>887</v>
      </c>
      <c r="X186" s="77">
        <v>44.6</v>
      </c>
      <c r="Y186" s="78">
        <v>0</v>
      </c>
      <c r="AA186" s="79">
        <v>44.6</v>
      </c>
      <c r="AB186" s="79">
        <v>44.6</v>
      </c>
      <c r="AC186" s="78">
        <v>0</v>
      </c>
      <c r="AE186" s="63" t="s">
        <v>219</v>
      </c>
      <c r="AF186" s="63">
        <v>0</v>
      </c>
      <c r="AG186" s="63">
        <v>0</v>
      </c>
      <c r="AK186" s="77">
        <v>0</v>
      </c>
      <c r="BA186" s="41" t="s">
        <v>230</v>
      </c>
      <c r="BB186" s="41" t="s">
        <v>6</v>
      </c>
      <c r="BC186" s="41" t="s">
        <v>229</v>
      </c>
      <c r="BD186" s="41" t="s">
        <v>855</v>
      </c>
    </row>
    <row r="187" spans="1:56" ht="18" customHeight="1" outlineLevel="1">
      <c r="A187" s="19">
        <v>182</v>
      </c>
      <c r="B187" s="19">
        <v>522002901</v>
      </c>
      <c r="C187" s="19">
        <v>522002901</v>
      </c>
      <c r="D187" s="50" t="s">
        <v>529</v>
      </c>
      <c r="E187" s="19" t="s">
        <v>856</v>
      </c>
      <c r="F187" s="19" t="s">
        <v>868</v>
      </c>
      <c r="G187" s="19" t="s">
        <v>869</v>
      </c>
      <c r="H187" s="69" t="s">
        <v>888</v>
      </c>
      <c r="I187" s="70" t="s">
        <v>568</v>
      </c>
      <c r="J187" s="70" t="s">
        <v>569</v>
      </c>
      <c r="K187" s="71">
        <v>1</v>
      </c>
      <c r="L187" s="72">
        <v>522002901</v>
      </c>
      <c r="M187" s="72" t="s">
        <v>889</v>
      </c>
      <c r="N187" s="73">
        <v>44.6</v>
      </c>
      <c r="O187" s="74" t="s">
        <v>279</v>
      </c>
      <c r="P187" s="73">
        <v>79.95</v>
      </c>
      <c r="Q187" s="80" t="s">
        <v>279</v>
      </c>
      <c r="W187" s="76" t="s">
        <v>890</v>
      </c>
      <c r="X187" s="77">
        <v>44.6</v>
      </c>
      <c r="Y187" s="78">
        <v>0</v>
      </c>
      <c r="AA187" s="79">
        <v>44.6</v>
      </c>
      <c r="AB187" s="79">
        <v>44.6</v>
      </c>
      <c r="AC187" s="78">
        <v>0</v>
      </c>
      <c r="AE187" s="63" t="s">
        <v>219</v>
      </c>
      <c r="AF187" s="63">
        <v>0</v>
      </c>
      <c r="AG187" s="63">
        <v>0</v>
      </c>
      <c r="AK187" s="77">
        <v>0</v>
      </c>
      <c r="BA187" s="41" t="s">
        <v>230</v>
      </c>
      <c r="BB187" s="41" t="s">
        <v>6</v>
      </c>
      <c r="BC187" s="41" t="s">
        <v>229</v>
      </c>
      <c r="BD187" s="41" t="s">
        <v>855</v>
      </c>
    </row>
    <row r="188" spans="1:56" ht="18" customHeight="1" outlineLevel="1">
      <c r="A188" s="19">
        <v>183</v>
      </c>
      <c r="B188" s="19">
        <v>522002903</v>
      </c>
      <c r="C188" s="19">
        <v>522002903</v>
      </c>
      <c r="D188" s="50" t="s">
        <v>529</v>
      </c>
      <c r="E188" s="19" t="s">
        <v>856</v>
      </c>
      <c r="F188" s="19" t="s">
        <v>868</v>
      </c>
      <c r="G188" s="19" t="s">
        <v>869</v>
      </c>
      <c r="H188" s="69" t="s">
        <v>891</v>
      </c>
      <c r="I188" s="70" t="s">
        <v>573</v>
      </c>
      <c r="J188" s="70" t="s">
        <v>574</v>
      </c>
      <c r="K188" s="71">
        <v>1</v>
      </c>
      <c r="L188" s="72">
        <v>522002903</v>
      </c>
      <c r="M188" s="72" t="s">
        <v>892</v>
      </c>
      <c r="N188" s="73">
        <v>44.6</v>
      </c>
      <c r="O188" s="74" t="s">
        <v>279</v>
      </c>
      <c r="P188" s="73">
        <v>79.95</v>
      </c>
      <c r="Q188" s="80" t="s">
        <v>279</v>
      </c>
      <c r="W188" s="76" t="s">
        <v>893</v>
      </c>
      <c r="X188" s="77">
        <v>44.6</v>
      </c>
      <c r="Y188" s="78">
        <v>0</v>
      </c>
      <c r="AA188" s="79">
        <v>44.6</v>
      </c>
      <c r="AB188" s="79">
        <v>44.6</v>
      </c>
      <c r="AC188" s="78">
        <v>0</v>
      </c>
      <c r="AE188" s="63" t="s">
        <v>219</v>
      </c>
      <c r="AF188" s="63">
        <v>0</v>
      </c>
      <c r="AG188" s="63">
        <v>0</v>
      </c>
      <c r="AK188" s="77">
        <v>0</v>
      </c>
      <c r="BA188" s="41" t="s">
        <v>230</v>
      </c>
      <c r="BB188" s="41" t="s">
        <v>6</v>
      </c>
      <c r="BC188" s="41" t="s">
        <v>229</v>
      </c>
      <c r="BD188" s="41" t="s">
        <v>855</v>
      </c>
    </row>
    <row r="189" spans="1:56" ht="18" customHeight="1" outlineLevel="1">
      <c r="A189" s="19">
        <v>184</v>
      </c>
      <c r="B189" s="19">
        <v>522002905</v>
      </c>
      <c r="C189" s="19">
        <v>522002905</v>
      </c>
      <c r="D189" s="50" t="s">
        <v>529</v>
      </c>
      <c r="E189" s="19" t="s">
        <v>856</v>
      </c>
      <c r="F189" s="19" t="s">
        <v>868</v>
      </c>
      <c r="G189" s="19" t="s">
        <v>869</v>
      </c>
      <c r="H189" s="69" t="s">
        <v>894</v>
      </c>
      <c r="I189" s="70" t="s">
        <v>578</v>
      </c>
      <c r="J189" s="70" t="s">
        <v>579</v>
      </c>
      <c r="K189" s="71">
        <v>1</v>
      </c>
      <c r="L189" s="72">
        <v>522002905</v>
      </c>
      <c r="M189" s="72" t="s">
        <v>895</v>
      </c>
      <c r="N189" s="73">
        <v>44.6</v>
      </c>
      <c r="O189" s="74" t="s">
        <v>279</v>
      </c>
      <c r="P189" s="73">
        <v>79.95</v>
      </c>
      <c r="Q189" s="80" t="s">
        <v>279</v>
      </c>
      <c r="W189" s="76" t="s">
        <v>896</v>
      </c>
      <c r="X189" s="77">
        <v>44.6</v>
      </c>
      <c r="Y189" s="78">
        <v>0</v>
      </c>
      <c r="AA189" s="79">
        <v>44.6</v>
      </c>
      <c r="AB189" s="79">
        <v>44.6</v>
      </c>
      <c r="AC189" s="78">
        <v>0</v>
      </c>
      <c r="AE189" s="63" t="s">
        <v>219</v>
      </c>
      <c r="AF189" s="63">
        <v>0</v>
      </c>
      <c r="AG189" s="63">
        <v>0</v>
      </c>
      <c r="AK189" s="77">
        <v>0</v>
      </c>
      <c r="BA189" s="41" t="s">
        <v>230</v>
      </c>
      <c r="BB189" s="41" t="s">
        <v>6</v>
      </c>
      <c r="BC189" s="41" t="s">
        <v>229</v>
      </c>
      <c r="BD189" s="41" t="s">
        <v>855</v>
      </c>
    </row>
    <row r="190" spans="1:56" ht="18" customHeight="1" outlineLevel="1">
      <c r="A190" s="19">
        <v>185</v>
      </c>
      <c r="B190" s="19">
        <v>100000000</v>
      </c>
      <c r="C190" s="19">
        <v>100000000</v>
      </c>
      <c r="D190" s="50" t="s">
        <v>4</v>
      </c>
      <c r="E190" s="19">
        <v>0</v>
      </c>
      <c r="F190" s="19" t="s">
        <v>582</v>
      </c>
      <c r="G190" s="19" t="s">
        <v>582</v>
      </c>
      <c r="H190" s="69" t="s">
        <v>582</v>
      </c>
      <c r="I190" s="70" t="s">
        <v>219</v>
      </c>
      <c r="J190" s="70" t="s">
        <v>219</v>
      </c>
      <c r="K190" s="71" t="s">
        <v>219</v>
      </c>
      <c r="L190" s="72" t="s">
        <v>219</v>
      </c>
      <c r="M190" s="72" t="s">
        <v>219</v>
      </c>
      <c r="N190" s="73" t="s">
        <v>219</v>
      </c>
      <c r="O190" s="74" t="s">
        <v>219</v>
      </c>
      <c r="P190" s="73" t="s">
        <v>219</v>
      </c>
      <c r="Q190" s="80" t="s">
        <v>219</v>
      </c>
      <c r="W190" s="76" t="s">
        <v>219</v>
      </c>
      <c r="X190" s="77" t="s">
        <v>219</v>
      </c>
      <c r="Y190" s="78">
        <v>0</v>
      </c>
      <c r="AA190" s="79" t="s">
        <v>219</v>
      </c>
      <c r="AB190" s="79" t="s">
        <v>219</v>
      </c>
      <c r="AC190" s="78">
        <v>0</v>
      </c>
      <c r="AE190" s="63" t="s">
        <v>219</v>
      </c>
      <c r="AF190" s="63">
        <v>0</v>
      </c>
      <c r="AG190" s="63">
        <v>0</v>
      </c>
      <c r="AK190" s="77">
        <v>0</v>
      </c>
      <c r="BA190" s="41" t="s">
        <v>230</v>
      </c>
      <c r="BB190" s="41" t="s">
        <v>6</v>
      </c>
      <c r="BC190" s="41" t="s">
        <v>229</v>
      </c>
      <c r="BD190" s="41" t="s">
        <v>855</v>
      </c>
    </row>
    <row r="191" spans="1:56" s="57" customFormat="1" ht="27" customHeight="1" outlineLevel="1">
      <c r="A191" s="49">
        <v>186</v>
      </c>
      <c r="B191" s="19" t="s">
        <v>219</v>
      </c>
      <c r="C191" s="19" t="s">
        <v>219</v>
      </c>
      <c r="D191" s="50" t="s">
        <v>219</v>
      </c>
      <c r="E191" s="19" t="s">
        <v>219</v>
      </c>
      <c r="F191" s="19" t="s">
        <v>219</v>
      </c>
      <c r="G191" s="19" t="s">
        <v>219</v>
      </c>
      <c r="H191" s="52" t="s">
        <v>219</v>
      </c>
      <c r="I191" s="64" t="s">
        <v>219</v>
      </c>
      <c r="J191" s="70" t="s">
        <v>219</v>
      </c>
      <c r="K191" s="53" t="s">
        <v>219</v>
      </c>
      <c r="L191" s="20" t="s">
        <v>219</v>
      </c>
      <c r="M191" s="72" t="s">
        <v>219</v>
      </c>
      <c r="N191" s="54" t="s">
        <v>219</v>
      </c>
      <c r="O191" s="56" t="s">
        <v>219</v>
      </c>
      <c r="P191" s="54" t="s">
        <v>219</v>
      </c>
      <c r="Q191" s="56" t="s">
        <v>219</v>
      </c>
      <c r="R191" s="27"/>
      <c r="S191" s="58"/>
      <c r="T191" s="51"/>
      <c r="U191" s="51"/>
      <c r="V191" s="51"/>
      <c r="W191" s="76" t="s">
        <v>219</v>
      </c>
      <c r="X191" s="77" t="s">
        <v>219</v>
      </c>
      <c r="Y191" s="78">
        <v>0</v>
      </c>
      <c r="Z191" s="29"/>
      <c r="AA191" s="79" t="s">
        <v>219</v>
      </c>
      <c r="AB191" s="79" t="s">
        <v>219</v>
      </c>
      <c r="AC191" s="78">
        <v>0</v>
      </c>
      <c r="AD191" s="29"/>
      <c r="AE191" s="63" t="s">
        <v>230</v>
      </c>
      <c r="AF191" s="63">
        <v>1</v>
      </c>
      <c r="AG191" s="63" t="s">
        <v>219</v>
      </c>
      <c r="AH191" s="29"/>
      <c r="AI191" s="27"/>
      <c r="AJ191" s="29"/>
      <c r="AK191" s="77">
        <v>0</v>
      </c>
      <c r="BA191" s="41" t="s">
        <v>230</v>
      </c>
      <c r="BB191" s="41" t="s">
        <v>6</v>
      </c>
      <c r="BC191" s="41" t="s">
        <v>229</v>
      </c>
      <c r="BD191" s="41" t="s">
        <v>855</v>
      </c>
    </row>
    <row r="192" spans="1:56" ht="18" customHeight="1" outlineLevel="1">
      <c r="A192" s="19">
        <v>187</v>
      </c>
      <c r="B192" s="19">
        <v>522001523</v>
      </c>
      <c r="C192" s="19">
        <v>522001523</v>
      </c>
      <c r="D192" s="50" t="s">
        <v>4</v>
      </c>
      <c r="E192" s="19" t="s">
        <v>856</v>
      </c>
      <c r="F192" s="19" t="s">
        <v>897</v>
      </c>
      <c r="G192" s="19" t="s">
        <v>898</v>
      </c>
      <c r="H192" s="69" t="s">
        <v>899</v>
      </c>
      <c r="I192" s="70" t="s">
        <v>900</v>
      </c>
      <c r="J192" s="70" t="s">
        <v>901</v>
      </c>
      <c r="K192" s="71">
        <v>1</v>
      </c>
      <c r="L192" s="72">
        <v>522001523</v>
      </c>
      <c r="M192" s="72" t="s">
        <v>902</v>
      </c>
      <c r="N192" s="73">
        <v>15</v>
      </c>
      <c r="O192" s="74" t="s">
        <v>279</v>
      </c>
      <c r="P192" s="73">
        <v>19.95</v>
      </c>
      <c r="Q192" s="80" t="s">
        <v>279</v>
      </c>
      <c r="W192" s="76" t="s">
        <v>903</v>
      </c>
      <c r="X192" s="77">
        <v>15</v>
      </c>
      <c r="Y192" s="78">
        <v>0</v>
      </c>
      <c r="AA192" s="79">
        <v>15</v>
      </c>
      <c r="AB192" s="79">
        <v>15</v>
      </c>
      <c r="AC192" s="78">
        <v>0</v>
      </c>
      <c r="AE192" s="63" t="s">
        <v>219</v>
      </c>
      <c r="AF192" s="63">
        <v>1</v>
      </c>
      <c r="AG192" s="63">
        <v>1</v>
      </c>
      <c r="AK192" s="77">
        <v>0</v>
      </c>
      <c r="BA192" s="41" t="s">
        <v>230</v>
      </c>
      <c r="BB192" s="41" t="s">
        <v>6</v>
      </c>
      <c r="BC192" s="41" t="s">
        <v>229</v>
      </c>
      <c r="BD192" s="41" t="s">
        <v>855</v>
      </c>
    </row>
    <row r="193" spans="1:56" ht="18" customHeight="1" outlineLevel="1">
      <c r="A193" s="19">
        <v>188</v>
      </c>
      <c r="B193" s="19">
        <v>511410001</v>
      </c>
      <c r="C193" s="19">
        <v>511410002</v>
      </c>
      <c r="D193" s="50" t="s">
        <v>529</v>
      </c>
      <c r="E193" s="19" t="s">
        <v>856</v>
      </c>
      <c r="F193" s="19" t="s">
        <v>904</v>
      </c>
      <c r="G193" s="19" t="s">
        <v>905</v>
      </c>
      <c r="H193" s="69" t="s">
        <v>906</v>
      </c>
      <c r="I193" s="70" t="s">
        <v>532</v>
      </c>
      <c r="J193" s="70" t="s">
        <v>907</v>
      </c>
      <c r="K193" s="71">
        <v>10</v>
      </c>
      <c r="L193" s="72">
        <v>511410002</v>
      </c>
      <c r="M193" s="72" t="s">
        <v>908</v>
      </c>
      <c r="N193" s="73">
        <v>13.9</v>
      </c>
      <c r="O193" s="74" t="s">
        <v>279</v>
      </c>
      <c r="P193" s="73">
        <v>24.95</v>
      </c>
      <c r="Q193" s="80" t="s">
        <v>279</v>
      </c>
      <c r="W193" s="76" t="s">
        <v>909</v>
      </c>
      <c r="X193" s="77">
        <v>13.9</v>
      </c>
      <c r="Y193" s="78">
        <v>0</v>
      </c>
      <c r="AA193" s="79">
        <v>13.9</v>
      </c>
      <c r="AB193" s="79">
        <v>13.9</v>
      </c>
      <c r="AC193" s="78">
        <v>0</v>
      </c>
      <c r="AE193" s="63" t="s">
        <v>219</v>
      </c>
      <c r="AF193" s="63">
        <v>1</v>
      </c>
      <c r="AG193" s="63">
        <v>1</v>
      </c>
      <c r="AK193" s="77">
        <v>0</v>
      </c>
      <c r="BA193" s="41" t="s">
        <v>230</v>
      </c>
      <c r="BB193" s="41" t="s">
        <v>6</v>
      </c>
      <c r="BC193" s="41" t="s">
        <v>229</v>
      </c>
      <c r="BD193" s="41" t="s">
        <v>855</v>
      </c>
    </row>
    <row r="194" spans="1:56" ht="18" customHeight="1" outlineLevel="1">
      <c r="A194" s="19">
        <v>189</v>
      </c>
      <c r="B194" s="19">
        <v>50054001</v>
      </c>
      <c r="C194" s="19">
        <v>50054002</v>
      </c>
      <c r="D194" s="50" t="s">
        <v>529</v>
      </c>
      <c r="E194" s="19" t="s">
        <v>856</v>
      </c>
      <c r="F194" s="19" t="s">
        <v>910</v>
      </c>
      <c r="G194" s="19" t="s">
        <v>911</v>
      </c>
      <c r="H194" s="69" t="s">
        <v>912</v>
      </c>
      <c r="I194" s="70" t="s">
        <v>532</v>
      </c>
      <c r="J194" s="70" t="s">
        <v>907</v>
      </c>
      <c r="K194" s="71">
        <v>12</v>
      </c>
      <c r="L194" s="72">
        <v>50054002</v>
      </c>
      <c r="M194" s="72" t="s">
        <v>913</v>
      </c>
      <c r="N194" s="73">
        <v>8.4</v>
      </c>
      <c r="O194" s="74" t="s">
        <v>279</v>
      </c>
      <c r="P194" s="73">
        <v>14.95</v>
      </c>
      <c r="Q194" s="80" t="s">
        <v>279</v>
      </c>
      <c r="W194" s="76" t="s">
        <v>914</v>
      </c>
      <c r="X194" s="77">
        <v>8.4</v>
      </c>
      <c r="Y194" s="78">
        <v>0</v>
      </c>
      <c r="AA194" s="79">
        <v>8.4</v>
      </c>
      <c r="AB194" s="79">
        <v>8.4</v>
      </c>
      <c r="AC194" s="78">
        <v>0</v>
      </c>
      <c r="AE194" s="63" t="s">
        <v>219</v>
      </c>
      <c r="AF194" s="63">
        <v>1</v>
      </c>
      <c r="AG194" s="63">
        <v>1</v>
      </c>
      <c r="AK194" s="77">
        <v>0</v>
      </c>
      <c r="BA194" s="41" t="s">
        <v>230</v>
      </c>
      <c r="BB194" s="41" t="s">
        <v>6</v>
      </c>
      <c r="BC194" s="41" t="s">
        <v>229</v>
      </c>
      <c r="BD194" s="41" t="s">
        <v>855</v>
      </c>
    </row>
    <row r="195" spans="1:56" ht="18" customHeight="1" outlineLevel="1">
      <c r="A195" s="19">
        <v>190</v>
      </c>
      <c r="B195" s="19">
        <v>521002897</v>
      </c>
      <c r="C195" s="19">
        <v>521002898</v>
      </c>
      <c r="D195" s="50" t="s">
        <v>529</v>
      </c>
      <c r="E195" s="19" t="s">
        <v>856</v>
      </c>
      <c r="F195" s="19" t="s">
        <v>915</v>
      </c>
      <c r="G195" s="19" t="s">
        <v>916</v>
      </c>
      <c r="H195" s="69" t="s">
        <v>917</v>
      </c>
      <c r="I195" s="70" t="s">
        <v>676</v>
      </c>
      <c r="J195" s="70" t="s">
        <v>677</v>
      </c>
      <c r="K195" s="71">
        <v>6</v>
      </c>
      <c r="L195" s="72">
        <v>521002898</v>
      </c>
      <c r="M195" s="72" t="s">
        <v>918</v>
      </c>
      <c r="N195" s="73">
        <v>33.4</v>
      </c>
      <c r="O195" s="74" t="s">
        <v>279</v>
      </c>
      <c r="P195" s="73">
        <v>59.95</v>
      </c>
      <c r="Q195" s="80" t="s">
        <v>279</v>
      </c>
      <c r="W195" s="76" t="s">
        <v>919</v>
      </c>
      <c r="X195" s="77">
        <v>33.4</v>
      </c>
      <c r="Y195" s="78">
        <v>0</v>
      </c>
      <c r="AA195" s="79">
        <v>33.4</v>
      </c>
      <c r="AB195" s="79">
        <v>33.4</v>
      </c>
      <c r="AC195" s="78">
        <v>0</v>
      </c>
      <c r="AE195" s="63" t="s">
        <v>219</v>
      </c>
      <c r="AF195" s="63">
        <v>1</v>
      </c>
      <c r="AG195" s="63">
        <v>1</v>
      </c>
      <c r="AK195" s="77">
        <v>0</v>
      </c>
      <c r="BA195" s="41" t="s">
        <v>230</v>
      </c>
      <c r="BB195" s="41" t="s">
        <v>6</v>
      </c>
      <c r="BC195" s="41" t="s">
        <v>229</v>
      </c>
      <c r="BD195" s="41" t="s">
        <v>855</v>
      </c>
    </row>
    <row r="196" spans="1:56" ht="18" customHeight="1" outlineLevel="1">
      <c r="A196" s="19">
        <v>191</v>
      </c>
      <c r="B196" s="19">
        <v>521002899</v>
      </c>
      <c r="C196" s="19">
        <v>521002900</v>
      </c>
      <c r="D196" s="50" t="s">
        <v>529</v>
      </c>
      <c r="E196" s="19" t="s">
        <v>856</v>
      </c>
      <c r="F196" s="19" t="s">
        <v>920</v>
      </c>
      <c r="G196" s="19" t="s">
        <v>921</v>
      </c>
      <c r="H196" s="69" t="s">
        <v>922</v>
      </c>
      <c r="I196" s="70" t="s">
        <v>676</v>
      </c>
      <c r="J196" s="70" t="s">
        <v>677</v>
      </c>
      <c r="K196" s="71">
        <v>6</v>
      </c>
      <c r="L196" s="72">
        <v>521002900</v>
      </c>
      <c r="M196" s="72" t="s">
        <v>923</v>
      </c>
      <c r="N196" s="73">
        <v>33.4</v>
      </c>
      <c r="O196" s="74" t="s">
        <v>279</v>
      </c>
      <c r="P196" s="73">
        <v>59.95</v>
      </c>
      <c r="Q196" s="80" t="s">
        <v>279</v>
      </c>
      <c r="W196" s="76" t="s">
        <v>924</v>
      </c>
      <c r="X196" s="77">
        <v>33.4</v>
      </c>
      <c r="Y196" s="78">
        <v>0</v>
      </c>
      <c r="AA196" s="79">
        <v>33.4</v>
      </c>
      <c r="AB196" s="79">
        <v>33.4</v>
      </c>
      <c r="AC196" s="78">
        <v>0</v>
      </c>
      <c r="AE196" s="63" t="s">
        <v>219</v>
      </c>
      <c r="AF196" s="63">
        <v>1</v>
      </c>
      <c r="AG196" s="63">
        <v>1</v>
      </c>
      <c r="AK196" s="77">
        <v>0</v>
      </c>
      <c r="BA196" s="41" t="s">
        <v>230</v>
      </c>
      <c r="BB196" s="41" t="s">
        <v>6</v>
      </c>
      <c r="BC196" s="41" t="s">
        <v>229</v>
      </c>
      <c r="BD196" s="41" t="s">
        <v>855</v>
      </c>
    </row>
    <row r="197" spans="1:56" ht="18" customHeight="1" outlineLevel="1">
      <c r="A197" s="19">
        <v>192</v>
      </c>
      <c r="B197" s="19">
        <v>523001109</v>
      </c>
      <c r="C197" s="19">
        <v>523001110</v>
      </c>
      <c r="D197" s="50" t="s">
        <v>529</v>
      </c>
      <c r="E197" s="19" t="s">
        <v>856</v>
      </c>
      <c r="F197" s="19" t="s">
        <v>925</v>
      </c>
      <c r="G197" s="19" t="s">
        <v>926</v>
      </c>
      <c r="H197" s="69" t="s">
        <v>927</v>
      </c>
      <c r="I197" s="70" t="s">
        <v>532</v>
      </c>
      <c r="J197" s="70" t="s">
        <v>289</v>
      </c>
      <c r="K197" s="71">
        <v>4</v>
      </c>
      <c r="L197" s="72">
        <v>523001110</v>
      </c>
      <c r="M197" s="72" t="s">
        <v>928</v>
      </c>
      <c r="N197" s="73">
        <v>16.700000000000003</v>
      </c>
      <c r="O197" s="74" t="s">
        <v>279</v>
      </c>
      <c r="P197" s="73">
        <v>29.95</v>
      </c>
      <c r="Q197" s="80" t="s">
        <v>279</v>
      </c>
      <c r="W197" s="76" t="s">
        <v>929</v>
      </c>
      <c r="X197" s="77">
        <v>16.700000000000003</v>
      </c>
      <c r="Y197" s="78">
        <v>0</v>
      </c>
      <c r="AA197" s="79">
        <v>16.700000000000003</v>
      </c>
      <c r="AB197" s="79">
        <v>16.700000000000003</v>
      </c>
      <c r="AC197" s="78">
        <v>0</v>
      </c>
      <c r="AE197" s="63" t="s">
        <v>219</v>
      </c>
      <c r="AF197" s="63">
        <v>1</v>
      </c>
      <c r="AG197" s="63">
        <v>1</v>
      </c>
      <c r="AK197" s="77">
        <v>0</v>
      </c>
      <c r="BA197" s="41" t="s">
        <v>230</v>
      </c>
      <c r="BB197" s="41" t="s">
        <v>6</v>
      </c>
      <c r="BC197" s="41" t="s">
        <v>229</v>
      </c>
      <c r="BD197" s="41" t="s">
        <v>855</v>
      </c>
    </row>
    <row r="198" spans="1:56" ht="18" customHeight="1" outlineLevel="1">
      <c r="A198" s="19">
        <v>193</v>
      </c>
      <c r="B198" s="19">
        <v>518002927</v>
      </c>
      <c r="C198" s="19">
        <v>518002928</v>
      </c>
      <c r="D198" s="50" t="s">
        <v>529</v>
      </c>
      <c r="E198" s="19" t="s">
        <v>856</v>
      </c>
      <c r="F198" s="19" t="s">
        <v>930</v>
      </c>
      <c r="G198" s="19" t="s">
        <v>931</v>
      </c>
      <c r="H198" s="69" t="s">
        <v>932</v>
      </c>
      <c r="I198" s="70" t="s">
        <v>532</v>
      </c>
      <c r="J198" s="70" t="s">
        <v>289</v>
      </c>
      <c r="K198" s="71">
        <v>4</v>
      </c>
      <c r="L198" s="72">
        <v>518002928</v>
      </c>
      <c r="M198" s="72" t="s">
        <v>933</v>
      </c>
      <c r="N198" s="73">
        <v>16.700000000000003</v>
      </c>
      <c r="O198" s="74" t="s">
        <v>279</v>
      </c>
      <c r="P198" s="73">
        <v>29.95</v>
      </c>
      <c r="Q198" s="80" t="s">
        <v>279</v>
      </c>
      <c r="W198" s="76" t="s">
        <v>934</v>
      </c>
      <c r="X198" s="77">
        <v>16.700000000000003</v>
      </c>
      <c r="Y198" s="78">
        <v>0</v>
      </c>
      <c r="AA198" s="79">
        <v>16.700000000000003</v>
      </c>
      <c r="AB198" s="79">
        <v>16.700000000000003</v>
      </c>
      <c r="AC198" s="78">
        <v>0</v>
      </c>
      <c r="AE198" s="63" t="s">
        <v>219</v>
      </c>
      <c r="AF198" s="63">
        <v>1</v>
      </c>
      <c r="AG198" s="63">
        <v>1</v>
      </c>
      <c r="AK198" s="77">
        <v>0</v>
      </c>
      <c r="BA198" s="41" t="s">
        <v>230</v>
      </c>
      <c r="BB198" s="41" t="s">
        <v>6</v>
      </c>
      <c r="BC198" s="41" t="s">
        <v>229</v>
      </c>
      <c r="BD198" s="41" t="s">
        <v>855</v>
      </c>
    </row>
    <row r="199" spans="1:56" s="57" customFormat="1" ht="18" customHeight="1" outlineLevel="1">
      <c r="A199" s="49">
        <v>194</v>
      </c>
      <c r="B199" s="19">
        <v>516405001</v>
      </c>
      <c r="C199" s="19">
        <v>516405002</v>
      </c>
      <c r="D199" s="50" t="s">
        <v>529</v>
      </c>
      <c r="E199" s="19" t="s">
        <v>856</v>
      </c>
      <c r="F199" s="19" t="s">
        <v>935</v>
      </c>
      <c r="G199" s="19" t="s">
        <v>936</v>
      </c>
      <c r="H199" s="20" t="s">
        <v>937</v>
      </c>
      <c r="I199" s="64" t="s">
        <v>532</v>
      </c>
      <c r="J199" s="70" t="s">
        <v>289</v>
      </c>
      <c r="K199" s="53">
        <v>4</v>
      </c>
      <c r="L199" s="20">
        <v>516405002</v>
      </c>
      <c r="M199" s="72" t="s">
        <v>938</v>
      </c>
      <c r="N199" s="54">
        <v>16.700000000000003</v>
      </c>
      <c r="O199" s="56" t="s">
        <v>279</v>
      </c>
      <c r="P199" s="54">
        <v>29.95</v>
      </c>
      <c r="Q199" s="56" t="s">
        <v>279</v>
      </c>
      <c r="R199" s="27"/>
      <c r="S199" s="58"/>
      <c r="T199" s="51"/>
      <c r="U199" s="51"/>
      <c r="V199" s="51"/>
      <c r="W199" s="76" t="s">
        <v>939</v>
      </c>
      <c r="X199" s="77">
        <v>16.700000000000003</v>
      </c>
      <c r="Y199" s="78">
        <v>0</v>
      </c>
      <c r="Z199" s="29"/>
      <c r="AA199" s="79">
        <v>16.700000000000003</v>
      </c>
      <c r="AB199" s="79">
        <v>16.700000000000003</v>
      </c>
      <c r="AC199" s="78">
        <v>0</v>
      </c>
      <c r="AD199" s="29"/>
      <c r="AE199" s="63" t="s">
        <v>219</v>
      </c>
      <c r="AF199" s="63">
        <v>1</v>
      </c>
      <c r="AG199" s="63">
        <v>1</v>
      </c>
      <c r="AH199" s="29"/>
      <c r="AI199" s="27"/>
      <c r="AJ199" s="29"/>
      <c r="AK199" s="77">
        <v>0</v>
      </c>
      <c r="BA199" s="41" t="s">
        <v>230</v>
      </c>
      <c r="BB199" s="41" t="s">
        <v>6</v>
      </c>
      <c r="BC199" s="41" t="s">
        <v>229</v>
      </c>
      <c r="BD199" s="41" t="s">
        <v>855</v>
      </c>
    </row>
    <row r="200" spans="1:56" s="57" customFormat="1" ht="18" customHeight="1" outlineLevel="1">
      <c r="A200" s="49">
        <v>195</v>
      </c>
      <c r="B200" s="19">
        <v>516404001</v>
      </c>
      <c r="C200" s="19">
        <v>516404002</v>
      </c>
      <c r="D200" s="50" t="s">
        <v>529</v>
      </c>
      <c r="E200" s="19" t="s">
        <v>856</v>
      </c>
      <c r="F200" s="19" t="s">
        <v>940</v>
      </c>
      <c r="G200" s="19" t="s">
        <v>941</v>
      </c>
      <c r="H200" s="20" t="s">
        <v>942</v>
      </c>
      <c r="I200" s="64" t="s">
        <v>651</v>
      </c>
      <c r="J200" s="70" t="s">
        <v>652</v>
      </c>
      <c r="K200" s="53">
        <v>4</v>
      </c>
      <c r="L200" s="20">
        <v>516404002</v>
      </c>
      <c r="M200" s="72" t="s">
        <v>943</v>
      </c>
      <c r="N200" s="54">
        <v>16.700000000000003</v>
      </c>
      <c r="O200" s="56" t="s">
        <v>279</v>
      </c>
      <c r="P200" s="54">
        <v>29.95</v>
      </c>
      <c r="Q200" s="56" t="s">
        <v>279</v>
      </c>
      <c r="R200" s="27"/>
      <c r="S200" s="58"/>
      <c r="T200" s="51"/>
      <c r="U200" s="51"/>
      <c r="V200" s="51"/>
      <c r="W200" s="76" t="s">
        <v>944</v>
      </c>
      <c r="X200" s="77">
        <v>16.700000000000003</v>
      </c>
      <c r="Y200" s="78">
        <v>0</v>
      </c>
      <c r="Z200" s="29"/>
      <c r="AA200" s="79">
        <v>16.700000000000003</v>
      </c>
      <c r="AB200" s="79">
        <v>16.700000000000003</v>
      </c>
      <c r="AC200" s="78">
        <v>0</v>
      </c>
      <c r="AD200" s="29"/>
      <c r="AE200" s="63" t="s">
        <v>219</v>
      </c>
      <c r="AF200" s="63">
        <v>1</v>
      </c>
      <c r="AG200" s="63">
        <v>1</v>
      </c>
      <c r="AH200" s="29"/>
      <c r="AI200" s="27"/>
      <c r="AJ200" s="29"/>
      <c r="AK200" s="77">
        <v>0</v>
      </c>
      <c r="BA200" s="41" t="s">
        <v>230</v>
      </c>
      <c r="BB200" s="41" t="s">
        <v>6</v>
      </c>
      <c r="BC200" s="41" t="s">
        <v>229</v>
      </c>
      <c r="BD200" s="41" t="s">
        <v>855</v>
      </c>
    </row>
    <row r="201" spans="1:56" ht="18" customHeight="1" outlineLevel="1">
      <c r="A201" s="19">
        <v>196</v>
      </c>
      <c r="B201" s="19">
        <v>522002447</v>
      </c>
      <c r="C201" s="19">
        <v>522002448</v>
      </c>
      <c r="D201" s="50" t="s">
        <v>4</v>
      </c>
      <c r="E201" s="19" t="s">
        <v>856</v>
      </c>
      <c r="F201" s="19" t="s">
        <v>945</v>
      </c>
      <c r="G201" s="19" t="s">
        <v>946</v>
      </c>
      <c r="H201" s="69" t="s">
        <v>947</v>
      </c>
      <c r="I201" s="70" t="s">
        <v>676</v>
      </c>
      <c r="J201" s="70" t="s">
        <v>677</v>
      </c>
      <c r="K201" s="71">
        <v>4</v>
      </c>
      <c r="L201" s="72">
        <v>522002448</v>
      </c>
      <c r="M201" s="72" t="s">
        <v>948</v>
      </c>
      <c r="N201" s="73">
        <v>33.4</v>
      </c>
      <c r="O201" s="74" t="s">
        <v>279</v>
      </c>
      <c r="P201" s="73">
        <v>59.95</v>
      </c>
      <c r="Q201" s="80" t="s">
        <v>279</v>
      </c>
      <c r="W201" s="76" t="s">
        <v>949</v>
      </c>
      <c r="X201" s="77">
        <v>33.4</v>
      </c>
      <c r="Y201" s="78">
        <v>0</v>
      </c>
      <c r="AA201" s="79">
        <v>33.4</v>
      </c>
      <c r="AB201" s="79">
        <v>33.4</v>
      </c>
      <c r="AC201" s="78">
        <v>0</v>
      </c>
      <c r="AE201" s="63" t="s">
        <v>219</v>
      </c>
      <c r="AF201" s="63">
        <v>1</v>
      </c>
      <c r="AG201" s="63">
        <v>1</v>
      </c>
      <c r="AK201" s="77">
        <v>0</v>
      </c>
      <c r="BA201" s="41" t="s">
        <v>230</v>
      </c>
      <c r="BB201" s="41" t="s">
        <v>6</v>
      </c>
      <c r="BC201" s="41" t="s">
        <v>229</v>
      </c>
      <c r="BD201" s="41" t="s">
        <v>855</v>
      </c>
    </row>
    <row r="202" spans="1:56" ht="18" customHeight="1" outlineLevel="1">
      <c r="A202" s="19">
        <v>197</v>
      </c>
      <c r="B202" s="19">
        <v>523000425</v>
      </c>
      <c r="C202" s="19">
        <v>523000426</v>
      </c>
      <c r="D202" s="50" t="s">
        <v>4</v>
      </c>
      <c r="E202" s="19" t="s">
        <v>856</v>
      </c>
      <c r="F202" s="19" t="s">
        <v>950</v>
      </c>
      <c r="G202" s="19" t="s">
        <v>951</v>
      </c>
      <c r="H202" s="69" t="s">
        <v>952</v>
      </c>
      <c r="I202" s="70" t="s">
        <v>676</v>
      </c>
      <c r="J202" s="70" t="s">
        <v>677</v>
      </c>
      <c r="K202" s="71">
        <v>4</v>
      </c>
      <c r="L202" s="72">
        <v>523000426</v>
      </c>
      <c r="M202" s="72" t="s">
        <v>953</v>
      </c>
      <c r="N202" s="73">
        <v>33.4</v>
      </c>
      <c r="O202" s="74" t="s">
        <v>279</v>
      </c>
      <c r="P202" s="73">
        <v>59.95</v>
      </c>
      <c r="Q202" s="80" t="s">
        <v>279</v>
      </c>
      <c r="W202" s="76" t="s">
        <v>954</v>
      </c>
      <c r="X202" s="77">
        <v>33.4</v>
      </c>
      <c r="Y202" s="78">
        <v>0</v>
      </c>
      <c r="AA202" s="79">
        <v>33.4</v>
      </c>
      <c r="AB202" s="79">
        <v>33.4</v>
      </c>
      <c r="AC202" s="78">
        <v>0</v>
      </c>
      <c r="AE202" s="63" t="s">
        <v>219</v>
      </c>
      <c r="AF202" s="63">
        <v>1</v>
      </c>
      <c r="AG202" s="63">
        <v>1</v>
      </c>
      <c r="AK202" s="77">
        <v>0</v>
      </c>
      <c r="BA202" s="41" t="s">
        <v>230</v>
      </c>
      <c r="BB202" s="41" t="s">
        <v>6</v>
      </c>
      <c r="BC202" s="41" t="s">
        <v>229</v>
      </c>
      <c r="BD202" s="41" t="s">
        <v>855</v>
      </c>
    </row>
    <row r="203" spans="1:56" ht="18" customHeight="1" outlineLevel="1">
      <c r="A203" s="19">
        <v>198</v>
      </c>
      <c r="B203" s="19">
        <v>521002055</v>
      </c>
      <c r="C203" s="19">
        <v>521002056</v>
      </c>
      <c r="D203" s="50" t="s">
        <v>4</v>
      </c>
      <c r="E203" s="19" t="s">
        <v>856</v>
      </c>
      <c r="F203" s="19" t="s">
        <v>955</v>
      </c>
      <c r="G203" s="19" t="s">
        <v>956</v>
      </c>
      <c r="H203" s="69" t="s">
        <v>957</v>
      </c>
      <c r="I203" s="70" t="s">
        <v>536</v>
      </c>
      <c r="J203" s="70" t="s">
        <v>958</v>
      </c>
      <c r="K203" s="71">
        <v>4</v>
      </c>
      <c r="L203" s="72">
        <v>521002056</v>
      </c>
      <c r="M203" s="72" t="s">
        <v>959</v>
      </c>
      <c r="N203" s="73">
        <v>33.4</v>
      </c>
      <c r="O203" s="74" t="s">
        <v>279</v>
      </c>
      <c r="P203" s="73">
        <v>59.95</v>
      </c>
      <c r="Q203" s="80" t="s">
        <v>279</v>
      </c>
      <c r="W203" s="76" t="s">
        <v>960</v>
      </c>
      <c r="X203" s="77">
        <v>33.4</v>
      </c>
      <c r="Y203" s="78">
        <v>0</v>
      </c>
      <c r="AA203" s="79">
        <v>33.4</v>
      </c>
      <c r="AB203" s="79">
        <v>33.4</v>
      </c>
      <c r="AC203" s="78">
        <v>0</v>
      </c>
      <c r="AE203" s="63" t="s">
        <v>219</v>
      </c>
      <c r="AF203" s="63">
        <v>1</v>
      </c>
      <c r="AG203" s="63">
        <v>1</v>
      </c>
      <c r="AK203" s="77">
        <v>0</v>
      </c>
      <c r="BA203" s="41" t="s">
        <v>230</v>
      </c>
      <c r="BB203" s="41" t="s">
        <v>6</v>
      </c>
      <c r="BC203" s="41" t="s">
        <v>229</v>
      </c>
      <c r="BD203" s="41" t="s">
        <v>855</v>
      </c>
    </row>
    <row r="204" spans="1:56" s="57" customFormat="1" ht="18" customHeight="1" outlineLevel="1">
      <c r="A204" s="49">
        <v>199</v>
      </c>
      <c r="B204" s="19">
        <v>521002057</v>
      </c>
      <c r="C204" s="19">
        <v>521002058</v>
      </c>
      <c r="D204" s="50" t="s">
        <v>4</v>
      </c>
      <c r="E204" s="19" t="s">
        <v>856</v>
      </c>
      <c r="F204" s="19" t="s">
        <v>955</v>
      </c>
      <c r="G204" s="19" t="s">
        <v>956</v>
      </c>
      <c r="H204" s="20" t="s">
        <v>961</v>
      </c>
      <c r="I204" s="64" t="s">
        <v>676</v>
      </c>
      <c r="J204" s="70" t="s">
        <v>677</v>
      </c>
      <c r="K204" s="53">
        <v>4</v>
      </c>
      <c r="L204" s="20">
        <v>521002058</v>
      </c>
      <c r="M204" s="72" t="s">
        <v>962</v>
      </c>
      <c r="N204" s="54">
        <v>33.4</v>
      </c>
      <c r="O204" s="56" t="s">
        <v>279</v>
      </c>
      <c r="P204" s="54">
        <v>59.95</v>
      </c>
      <c r="Q204" s="56" t="s">
        <v>279</v>
      </c>
      <c r="R204" s="27"/>
      <c r="S204" s="58"/>
      <c r="T204" s="51"/>
      <c r="U204" s="51"/>
      <c r="V204" s="51"/>
      <c r="W204" s="76" t="s">
        <v>963</v>
      </c>
      <c r="X204" s="77">
        <v>33.4</v>
      </c>
      <c r="Y204" s="78">
        <v>0</v>
      </c>
      <c r="Z204" s="29"/>
      <c r="AA204" s="79">
        <v>33.4</v>
      </c>
      <c r="AB204" s="79">
        <v>33.4</v>
      </c>
      <c r="AC204" s="78">
        <v>0</v>
      </c>
      <c r="AD204" s="29"/>
      <c r="AE204" s="63" t="s">
        <v>219</v>
      </c>
      <c r="AF204" s="63">
        <v>1</v>
      </c>
      <c r="AG204" s="63">
        <v>1</v>
      </c>
      <c r="AH204" s="29"/>
      <c r="AI204" s="27"/>
      <c r="AJ204" s="29"/>
      <c r="AK204" s="77">
        <v>0</v>
      </c>
      <c r="BA204" s="41" t="s">
        <v>230</v>
      </c>
      <c r="BB204" s="41" t="s">
        <v>6</v>
      </c>
      <c r="BC204" s="41" t="s">
        <v>229</v>
      </c>
      <c r="BD204" s="41" t="s">
        <v>855</v>
      </c>
    </row>
    <row r="205" spans="1:56" ht="18" customHeight="1" outlineLevel="1">
      <c r="A205" s="19">
        <v>200</v>
      </c>
      <c r="B205" s="19">
        <v>521002059</v>
      </c>
      <c r="C205" s="19">
        <v>521002060</v>
      </c>
      <c r="D205" s="50" t="s">
        <v>4</v>
      </c>
      <c r="E205" s="19" t="s">
        <v>856</v>
      </c>
      <c r="F205" s="19" t="s">
        <v>955</v>
      </c>
      <c r="G205" s="19" t="s">
        <v>956</v>
      </c>
      <c r="H205" s="69" t="s">
        <v>964</v>
      </c>
      <c r="I205" s="70" t="s">
        <v>681</v>
      </c>
      <c r="J205" s="70" t="s">
        <v>965</v>
      </c>
      <c r="K205" s="71">
        <v>4</v>
      </c>
      <c r="L205" s="72">
        <v>521002060</v>
      </c>
      <c r="M205" s="72" t="s">
        <v>966</v>
      </c>
      <c r="N205" s="73">
        <v>33.4</v>
      </c>
      <c r="O205" s="74" t="s">
        <v>279</v>
      </c>
      <c r="P205" s="73">
        <v>59.95</v>
      </c>
      <c r="Q205" s="80" t="s">
        <v>279</v>
      </c>
      <c r="W205" s="76" t="s">
        <v>967</v>
      </c>
      <c r="X205" s="77">
        <v>33.4</v>
      </c>
      <c r="Y205" s="78">
        <v>0</v>
      </c>
      <c r="AA205" s="79">
        <v>33.4</v>
      </c>
      <c r="AB205" s="79">
        <v>33.4</v>
      </c>
      <c r="AC205" s="78">
        <v>0</v>
      </c>
      <c r="AE205" s="63" t="s">
        <v>219</v>
      </c>
      <c r="AF205" s="63">
        <v>1</v>
      </c>
      <c r="AG205" s="63">
        <v>1</v>
      </c>
      <c r="AK205" s="77">
        <v>0</v>
      </c>
      <c r="BA205" s="41" t="s">
        <v>230</v>
      </c>
      <c r="BB205" s="41" t="s">
        <v>6</v>
      </c>
      <c r="BC205" s="41" t="s">
        <v>229</v>
      </c>
      <c r="BD205" s="41" t="s">
        <v>855</v>
      </c>
    </row>
    <row r="206" spans="1:56" ht="18" customHeight="1" outlineLevel="1">
      <c r="A206" s="19">
        <v>201</v>
      </c>
      <c r="B206" s="19">
        <v>521002061</v>
      </c>
      <c r="C206" s="19">
        <v>521002062</v>
      </c>
      <c r="D206" s="50" t="s">
        <v>4</v>
      </c>
      <c r="E206" s="19" t="s">
        <v>856</v>
      </c>
      <c r="F206" s="19" t="s">
        <v>968</v>
      </c>
      <c r="G206" s="19" t="s">
        <v>969</v>
      </c>
      <c r="H206" s="69" t="s">
        <v>970</v>
      </c>
      <c r="I206" s="70" t="s">
        <v>536</v>
      </c>
      <c r="J206" s="70" t="s">
        <v>958</v>
      </c>
      <c r="K206" s="71">
        <v>4</v>
      </c>
      <c r="L206" s="72">
        <v>521002062</v>
      </c>
      <c r="M206" s="72" t="s">
        <v>971</v>
      </c>
      <c r="N206" s="73">
        <v>33.4</v>
      </c>
      <c r="O206" s="74" t="s">
        <v>279</v>
      </c>
      <c r="P206" s="73">
        <v>59.95</v>
      </c>
      <c r="Q206" s="80" t="s">
        <v>279</v>
      </c>
      <c r="W206" s="76" t="s">
        <v>972</v>
      </c>
      <c r="X206" s="77">
        <v>33.4</v>
      </c>
      <c r="Y206" s="78">
        <v>0</v>
      </c>
      <c r="AA206" s="79">
        <v>33.4</v>
      </c>
      <c r="AB206" s="79">
        <v>33.4</v>
      </c>
      <c r="AC206" s="78">
        <v>0</v>
      </c>
      <c r="AE206" s="63" t="s">
        <v>219</v>
      </c>
      <c r="AF206" s="63">
        <v>1</v>
      </c>
      <c r="AG206" s="63">
        <v>1</v>
      </c>
      <c r="AK206" s="77">
        <v>0</v>
      </c>
      <c r="BA206" s="41" t="s">
        <v>230</v>
      </c>
      <c r="BB206" s="41" t="s">
        <v>6</v>
      </c>
      <c r="BC206" s="41" t="s">
        <v>229</v>
      </c>
      <c r="BD206" s="41" t="s">
        <v>855</v>
      </c>
    </row>
    <row r="207" spans="1:56" ht="18" customHeight="1" outlineLevel="1">
      <c r="A207" s="19">
        <v>202</v>
      </c>
      <c r="B207" s="19">
        <v>521002063</v>
      </c>
      <c r="C207" s="19">
        <v>521002064</v>
      </c>
      <c r="D207" s="50" t="s">
        <v>4</v>
      </c>
      <c r="E207" s="19" t="s">
        <v>856</v>
      </c>
      <c r="F207" s="19" t="s">
        <v>968</v>
      </c>
      <c r="G207" s="19" t="s">
        <v>969</v>
      </c>
      <c r="H207" s="69" t="s">
        <v>973</v>
      </c>
      <c r="I207" s="70" t="s">
        <v>676</v>
      </c>
      <c r="J207" s="70" t="s">
        <v>677</v>
      </c>
      <c r="K207" s="71">
        <v>4</v>
      </c>
      <c r="L207" s="72">
        <v>521002064</v>
      </c>
      <c r="M207" s="72" t="s">
        <v>974</v>
      </c>
      <c r="N207" s="73">
        <v>33.4</v>
      </c>
      <c r="O207" s="74" t="s">
        <v>279</v>
      </c>
      <c r="P207" s="73">
        <v>59.95</v>
      </c>
      <c r="Q207" s="80" t="s">
        <v>279</v>
      </c>
      <c r="W207" s="76" t="s">
        <v>975</v>
      </c>
      <c r="X207" s="77">
        <v>33.4</v>
      </c>
      <c r="Y207" s="78">
        <v>0</v>
      </c>
      <c r="AA207" s="79">
        <v>33.4</v>
      </c>
      <c r="AB207" s="79">
        <v>33.4</v>
      </c>
      <c r="AC207" s="78">
        <v>0</v>
      </c>
      <c r="AE207" s="63" t="s">
        <v>219</v>
      </c>
      <c r="AF207" s="63">
        <v>1</v>
      </c>
      <c r="AG207" s="63">
        <v>1</v>
      </c>
      <c r="AK207" s="77">
        <v>0</v>
      </c>
      <c r="BA207" s="41" t="s">
        <v>230</v>
      </c>
      <c r="BB207" s="41" t="s">
        <v>6</v>
      </c>
      <c r="BC207" s="41" t="s">
        <v>229</v>
      </c>
      <c r="BD207" s="41" t="s">
        <v>855</v>
      </c>
    </row>
    <row r="208" spans="1:56" ht="18" customHeight="1" outlineLevel="1">
      <c r="A208" s="19">
        <v>203</v>
      </c>
      <c r="B208" s="19">
        <v>521002065</v>
      </c>
      <c r="C208" s="19">
        <v>521002066</v>
      </c>
      <c r="D208" s="50" t="s">
        <v>4</v>
      </c>
      <c r="E208" s="19" t="s">
        <v>856</v>
      </c>
      <c r="F208" s="19" t="s">
        <v>968</v>
      </c>
      <c r="G208" s="19" t="s">
        <v>969</v>
      </c>
      <c r="H208" s="69" t="s">
        <v>976</v>
      </c>
      <c r="I208" s="70" t="s">
        <v>681</v>
      </c>
      <c r="J208" s="70" t="s">
        <v>965</v>
      </c>
      <c r="K208" s="71">
        <v>4</v>
      </c>
      <c r="L208" s="72">
        <v>521002066</v>
      </c>
      <c r="M208" s="72" t="s">
        <v>977</v>
      </c>
      <c r="N208" s="73">
        <v>33.4</v>
      </c>
      <c r="O208" s="74" t="s">
        <v>279</v>
      </c>
      <c r="P208" s="73">
        <v>59.95</v>
      </c>
      <c r="Q208" s="80" t="s">
        <v>279</v>
      </c>
      <c r="W208" s="76" t="s">
        <v>978</v>
      </c>
      <c r="X208" s="77">
        <v>33.4</v>
      </c>
      <c r="Y208" s="78">
        <v>0</v>
      </c>
      <c r="AA208" s="79">
        <v>33.4</v>
      </c>
      <c r="AB208" s="79">
        <v>33.4</v>
      </c>
      <c r="AC208" s="78">
        <v>0</v>
      </c>
      <c r="AE208" s="63" t="s">
        <v>219</v>
      </c>
      <c r="AF208" s="63">
        <v>1</v>
      </c>
      <c r="AG208" s="63">
        <v>1</v>
      </c>
      <c r="AK208" s="77">
        <v>0</v>
      </c>
      <c r="BA208" s="41" t="s">
        <v>230</v>
      </c>
      <c r="BB208" s="41" t="s">
        <v>6</v>
      </c>
      <c r="BC208" s="41" t="s">
        <v>229</v>
      </c>
      <c r="BD208" s="41" t="s">
        <v>855</v>
      </c>
    </row>
    <row r="209" spans="1:56" ht="18" customHeight="1" outlineLevel="1">
      <c r="A209" s="19">
        <v>204</v>
      </c>
      <c r="B209" s="19">
        <v>523001085</v>
      </c>
      <c r="C209" s="19">
        <v>523001086</v>
      </c>
      <c r="D209" s="50" t="s">
        <v>4</v>
      </c>
      <c r="E209" s="19" t="s">
        <v>856</v>
      </c>
      <c r="F209" s="19" t="s">
        <v>979</v>
      </c>
      <c r="G209" s="19" t="s">
        <v>980</v>
      </c>
      <c r="H209" s="69" t="s">
        <v>981</v>
      </c>
      <c r="I209" s="70" t="s">
        <v>676</v>
      </c>
      <c r="J209" s="70" t="s">
        <v>677</v>
      </c>
      <c r="K209" s="71">
        <v>4</v>
      </c>
      <c r="L209" s="72">
        <v>523001086</v>
      </c>
      <c r="M209" s="72" t="s">
        <v>982</v>
      </c>
      <c r="N209" s="73">
        <v>33.4</v>
      </c>
      <c r="O209" s="74" t="s">
        <v>279</v>
      </c>
      <c r="P209" s="73">
        <v>59.95</v>
      </c>
      <c r="Q209" s="80" t="s">
        <v>279</v>
      </c>
      <c r="W209" s="76" t="s">
        <v>983</v>
      </c>
      <c r="X209" s="77">
        <v>33.4</v>
      </c>
      <c r="Y209" s="78">
        <v>0</v>
      </c>
      <c r="AA209" s="79">
        <v>33.4</v>
      </c>
      <c r="AB209" s="79">
        <v>33.4</v>
      </c>
      <c r="AC209" s="78">
        <v>0</v>
      </c>
      <c r="AE209" s="63" t="s">
        <v>219</v>
      </c>
      <c r="AF209" s="63">
        <v>1</v>
      </c>
      <c r="AG209" s="63">
        <v>1</v>
      </c>
      <c r="AK209" s="77">
        <v>0</v>
      </c>
      <c r="BA209" s="41" t="s">
        <v>230</v>
      </c>
      <c r="BB209" s="41" t="s">
        <v>6</v>
      </c>
      <c r="BC209" s="41" t="s">
        <v>229</v>
      </c>
      <c r="BD209" s="41" t="s">
        <v>855</v>
      </c>
    </row>
    <row r="210" spans="1:56" ht="27" customHeight="1" outlineLevel="1">
      <c r="A210" s="19">
        <v>205</v>
      </c>
      <c r="B210" s="19" t="s">
        <v>219</v>
      </c>
      <c r="C210" s="19" t="s">
        <v>219</v>
      </c>
      <c r="D210" s="50" t="s">
        <v>219</v>
      </c>
      <c r="E210" s="19" t="s">
        <v>219</v>
      </c>
      <c r="F210" s="19" t="s">
        <v>219</v>
      </c>
      <c r="G210" s="19" t="s">
        <v>219</v>
      </c>
      <c r="H210" s="81" t="s">
        <v>219</v>
      </c>
      <c r="I210" s="70" t="s">
        <v>219</v>
      </c>
      <c r="J210" s="70" t="s">
        <v>219</v>
      </c>
      <c r="K210" s="71" t="s">
        <v>219</v>
      </c>
      <c r="L210" s="72" t="s">
        <v>219</v>
      </c>
      <c r="M210" s="72" t="s">
        <v>219</v>
      </c>
      <c r="N210" s="73" t="s">
        <v>219</v>
      </c>
      <c r="O210" s="74" t="s">
        <v>219</v>
      </c>
      <c r="P210" s="73" t="s">
        <v>219</v>
      </c>
      <c r="Q210" s="80" t="s">
        <v>219</v>
      </c>
      <c r="W210" s="76" t="s">
        <v>219</v>
      </c>
      <c r="X210" s="77" t="s">
        <v>219</v>
      </c>
      <c r="Y210" s="78">
        <v>0</v>
      </c>
      <c r="AA210" s="79" t="s">
        <v>219</v>
      </c>
      <c r="AB210" s="79" t="s">
        <v>219</v>
      </c>
      <c r="AC210" s="78">
        <v>0</v>
      </c>
      <c r="AE210" s="63" t="s">
        <v>230</v>
      </c>
      <c r="AF210" s="63">
        <v>0</v>
      </c>
      <c r="AG210" s="63" t="s">
        <v>219</v>
      </c>
      <c r="AK210" s="77">
        <v>0</v>
      </c>
      <c r="BA210" s="41" t="s">
        <v>230</v>
      </c>
      <c r="BB210" s="41" t="s">
        <v>6</v>
      </c>
      <c r="BC210" s="41" t="s">
        <v>229</v>
      </c>
      <c r="BD210" s="41" t="s">
        <v>855</v>
      </c>
    </row>
    <row r="211" spans="1:56" ht="27" customHeight="1" outlineLevel="1">
      <c r="A211" s="19">
        <v>339</v>
      </c>
      <c r="B211" s="19" t="s">
        <v>219</v>
      </c>
      <c r="C211" s="19" t="s">
        <v>219</v>
      </c>
      <c r="D211" s="50" t="s">
        <v>13</v>
      </c>
      <c r="E211" s="19" t="s">
        <v>219</v>
      </c>
      <c r="F211" s="19" t="s">
        <v>219</v>
      </c>
      <c r="G211" s="19" t="s">
        <v>219</v>
      </c>
      <c r="H211" s="81" t="s">
        <v>232</v>
      </c>
      <c r="I211" s="70" t="s">
        <v>219</v>
      </c>
      <c r="J211" s="70" t="s">
        <v>219</v>
      </c>
      <c r="K211" s="71" t="s">
        <v>219</v>
      </c>
      <c r="L211" s="72" t="s">
        <v>219</v>
      </c>
      <c r="M211" s="72" t="s">
        <v>219</v>
      </c>
      <c r="N211" s="73" t="s">
        <v>219</v>
      </c>
      <c r="O211" s="74" t="s">
        <v>219</v>
      </c>
      <c r="P211" s="73" t="s">
        <v>219</v>
      </c>
      <c r="Q211" s="80" t="s">
        <v>219</v>
      </c>
      <c r="W211" s="76" t="s">
        <v>219</v>
      </c>
      <c r="X211" s="77" t="s">
        <v>219</v>
      </c>
      <c r="Y211" s="78">
        <v>0</v>
      </c>
      <c r="AA211" s="79" t="s">
        <v>219</v>
      </c>
      <c r="AB211" s="79" t="s">
        <v>219</v>
      </c>
      <c r="AC211" s="78">
        <v>0</v>
      </c>
      <c r="AE211" s="63" t="s">
        <v>267</v>
      </c>
      <c r="AF211" s="63">
        <v>0</v>
      </c>
      <c r="AG211" s="63" t="s">
        <v>219</v>
      </c>
      <c r="AK211" s="77">
        <v>0</v>
      </c>
      <c r="BA211" s="41" t="s">
        <v>230</v>
      </c>
      <c r="BB211" s="41" t="s">
        <v>15</v>
      </c>
      <c r="BC211" s="41" t="s">
        <v>232</v>
      </c>
      <c r="BD211" s="41" t="s">
        <v>232</v>
      </c>
    </row>
    <row r="212" spans="1:56" ht="27" customHeight="1" outlineLevel="1">
      <c r="A212" s="19">
        <v>340</v>
      </c>
      <c r="B212" s="19" t="s">
        <v>219</v>
      </c>
      <c r="C212" s="19" t="s">
        <v>219</v>
      </c>
      <c r="D212" s="50" t="s">
        <v>269</v>
      </c>
      <c r="E212" s="19" t="s">
        <v>219</v>
      </c>
      <c r="F212" s="19" t="s">
        <v>219</v>
      </c>
      <c r="G212" s="19" t="s">
        <v>219</v>
      </c>
      <c r="H212" s="81" t="s">
        <v>269</v>
      </c>
      <c r="I212" s="70" t="s">
        <v>219</v>
      </c>
      <c r="J212" s="70" t="s">
        <v>219</v>
      </c>
      <c r="K212" s="71" t="s">
        <v>219</v>
      </c>
      <c r="L212" s="72" t="s">
        <v>219</v>
      </c>
      <c r="M212" s="72" t="s">
        <v>219</v>
      </c>
      <c r="N212" s="73" t="s">
        <v>219</v>
      </c>
      <c r="O212" s="74" t="s">
        <v>219</v>
      </c>
      <c r="P212" s="73" t="s">
        <v>219</v>
      </c>
      <c r="Q212" s="80" t="s">
        <v>219</v>
      </c>
      <c r="W212" s="76" t="s">
        <v>219</v>
      </c>
      <c r="X212" s="77" t="s">
        <v>219</v>
      </c>
      <c r="Y212" s="78">
        <v>0</v>
      </c>
      <c r="AA212" s="79" t="s">
        <v>219</v>
      </c>
      <c r="AB212" s="79" t="s">
        <v>219</v>
      </c>
      <c r="AC212" s="78">
        <v>0</v>
      </c>
      <c r="AE212" s="63" t="s">
        <v>230</v>
      </c>
      <c r="AF212" s="63">
        <v>1</v>
      </c>
      <c r="AG212" s="63" t="s">
        <v>219</v>
      </c>
      <c r="AK212" s="77">
        <v>0</v>
      </c>
      <c r="BA212" s="41" t="s">
        <v>230</v>
      </c>
      <c r="BB212" s="41" t="s">
        <v>15</v>
      </c>
      <c r="BC212" s="41" t="s">
        <v>232</v>
      </c>
      <c r="BD212" s="41" t="s">
        <v>984</v>
      </c>
    </row>
    <row r="213" spans="1:56" ht="18" customHeight="1" outlineLevel="1">
      <c r="A213" s="19">
        <v>341</v>
      </c>
      <c r="B213" s="19">
        <v>522002533</v>
      </c>
      <c r="C213" s="19">
        <v>522002533</v>
      </c>
      <c r="D213" s="50" t="s">
        <v>13</v>
      </c>
      <c r="E213" s="19" t="s">
        <v>985</v>
      </c>
      <c r="F213" s="19" t="s">
        <v>986</v>
      </c>
      <c r="G213" s="19" t="s">
        <v>987</v>
      </c>
      <c r="H213" s="69" t="s">
        <v>988</v>
      </c>
      <c r="I213" s="70" t="s">
        <v>543</v>
      </c>
      <c r="J213" s="70" t="s">
        <v>289</v>
      </c>
      <c r="K213" s="71">
        <v>1</v>
      </c>
      <c r="L213" s="72">
        <v>522002533</v>
      </c>
      <c r="M213" s="72" t="s">
        <v>989</v>
      </c>
      <c r="N213" s="73">
        <v>306.8</v>
      </c>
      <c r="O213" s="74" t="s">
        <v>279</v>
      </c>
      <c r="P213" s="73">
        <v>499.95</v>
      </c>
      <c r="Q213" s="80" t="s">
        <v>279</v>
      </c>
      <c r="W213" s="76" t="s">
        <v>990</v>
      </c>
      <c r="X213" s="77">
        <v>306.8</v>
      </c>
      <c r="Y213" s="78">
        <v>0</v>
      </c>
      <c r="AA213" s="79">
        <v>306.8</v>
      </c>
      <c r="AB213" s="79">
        <v>306.8</v>
      </c>
      <c r="AC213" s="78">
        <v>0</v>
      </c>
      <c r="AE213" s="63" t="s">
        <v>219</v>
      </c>
      <c r="AF213" s="63">
        <v>1</v>
      </c>
      <c r="AG213" s="63">
        <v>1</v>
      </c>
      <c r="AK213" s="77">
        <v>0</v>
      </c>
      <c r="BA213" s="41" t="s">
        <v>230</v>
      </c>
      <c r="BB213" s="41" t="s">
        <v>15</v>
      </c>
      <c r="BC213" s="41" t="s">
        <v>232</v>
      </c>
      <c r="BD213" s="41" t="s">
        <v>984</v>
      </c>
    </row>
    <row r="214" spans="1:56" ht="27" customHeight="1" outlineLevel="1">
      <c r="A214" s="19">
        <v>342</v>
      </c>
      <c r="B214" s="19" t="s">
        <v>219</v>
      </c>
      <c r="C214" s="19" t="s">
        <v>219</v>
      </c>
      <c r="D214" s="50" t="s">
        <v>219</v>
      </c>
      <c r="E214" s="19" t="s">
        <v>219</v>
      </c>
      <c r="F214" s="19" t="s">
        <v>219</v>
      </c>
      <c r="G214" s="19" t="s">
        <v>219</v>
      </c>
      <c r="H214" s="81" t="s">
        <v>219</v>
      </c>
      <c r="I214" s="70" t="s">
        <v>219</v>
      </c>
      <c r="J214" s="70" t="s">
        <v>219</v>
      </c>
      <c r="K214" s="71" t="s">
        <v>219</v>
      </c>
      <c r="L214" s="72" t="s">
        <v>219</v>
      </c>
      <c r="M214" s="72" t="s">
        <v>219</v>
      </c>
      <c r="N214" s="73" t="s">
        <v>219</v>
      </c>
      <c r="O214" s="74" t="s">
        <v>219</v>
      </c>
      <c r="P214" s="73" t="s">
        <v>219</v>
      </c>
      <c r="Q214" s="80" t="s">
        <v>219</v>
      </c>
      <c r="W214" s="76" t="s">
        <v>219</v>
      </c>
      <c r="X214" s="77" t="s">
        <v>219</v>
      </c>
      <c r="Y214" s="78">
        <v>0</v>
      </c>
      <c r="AA214" s="79" t="s">
        <v>219</v>
      </c>
      <c r="AB214" s="79" t="s">
        <v>219</v>
      </c>
      <c r="AC214" s="78">
        <v>0</v>
      </c>
      <c r="AE214" s="63" t="s">
        <v>230</v>
      </c>
      <c r="AF214" s="63">
        <v>0</v>
      </c>
      <c r="AG214" s="63" t="s">
        <v>219</v>
      </c>
      <c r="AK214" s="77">
        <v>0</v>
      </c>
      <c r="BA214" s="41" t="s">
        <v>230</v>
      </c>
      <c r="BB214" s="41" t="s">
        <v>15</v>
      </c>
      <c r="BC214" s="41" t="s">
        <v>232</v>
      </c>
      <c r="BD214" s="41" t="s">
        <v>984</v>
      </c>
    </row>
    <row r="215" spans="1:56" ht="18" customHeight="1" outlineLevel="1">
      <c r="A215" s="19">
        <v>343</v>
      </c>
      <c r="B215" s="19">
        <v>522002549</v>
      </c>
      <c r="C215" s="19">
        <v>522002549</v>
      </c>
      <c r="D215" s="50" t="s">
        <v>13</v>
      </c>
      <c r="E215" s="19" t="s">
        <v>985</v>
      </c>
      <c r="F215" s="19" t="s">
        <v>991</v>
      </c>
      <c r="G215" s="19" t="s">
        <v>992</v>
      </c>
      <c r="H215" s="69" t="s">
        <v>993</v>
      </c>
      <c r="I215" s="70" t="s">
        <v>547</v>
      </c>
      <c r="J215" s="70" t="s">
        <v>480</v>
      </c>
      <c r="K215" s="71">
        <v>1</v>
      </c>
      <c r="L215" s="72">
        <v>522002549</v>
      </c>
      <c r="M215" s="72" t="s">
        <v>994</v>
      </c>
      <c r="N215" s="73">
        <v>306.8</v>
      </c>
      <c r="O215" s="74" t="s">
        <v>279</v>
      </c>
      <c r="P215" s="73">
        <v>499.95</v>
      </c>
      <c r="Q215" s="80" t="s">
        <v>279</v>
      </c>
      <c r="W215" s="76" t="s">
        <v>995</v>
      </c>
      <c r="X215" s="77">
        <v>306.8</v>
      </c>
      <c r="Y215" s="78">
        <v>0</v>
      </c>
      <c r="AA215" s="79">
        <v>306.8</v>
      </c>
      <c r="AB215" s="79">
        <v>306.8</v>
      </c>
      <c r="AC215" s="78">
        <v>0</v>
      </c>
      <c r="AE215" s="63" t="s">
        <v>219</v>
      </c>
      <c r="AF215" s="63">
        <v>0</v>
      </c>
      <c r="AG215" s="63">
        <v>0</v>
      </c>
      <c r="AK215" s="77">
        <v>0</v>
      </c>
      <c r="BA215" s="41" t="s">
        <v>230</v>
      </c>
      <c r="BB215" s="41" t="s">
        <v>15</v>
      </c>
      <c r="BC215" s="41" t="s">
        <v>232</v>
      </c>
      <c r="BD215" s="41" t="s">
        <v>984</v>
      </c>
    </row>
    <row r="216" spans="1:56" ht="18" customHeight="1" outlineLevel="1">
      <c r="A216" s="19">
        <v>344</v>
      </c>
      <c r="B216" s="19">
        <v>522003755</v>
      </c>
      <c r="C216" s="19">
        <v>522003755</v>
      </c>
      <c r="D216" s="50" t="s">
        <v>13</v>
      </c>
      <c r="E216" s="19" t="s">
        <v>985</v>
      </c>
      <c r="F216" s="19" t="s">
        <v>991</v>
      </c>
      <c r="G216" s="19" t="s">
        <v>992</v>
      </c>
      <c r="H216" s="69" t="s">
        <v>996</v>
      </c>
      <c r="I216" s="70" t="s">
        <v>551</v>
      </c>
      <c r="J216" s="70" t="s">
        <v>521</v>
      </c>
      <c r="K216" s="71">
        <v>1</v>
      </c>
      <c r="L216" s="72">
        <v>522003755</v>
      </c>
      <c r="M216" s="72" t="s">
        <v>997</v>
      </c>
      <c r="N216" s="73">
        <v>306.8</v>
      </c>
      <c r="O216" s="74" t="s">
        <v>279</v>
      </c>
      <c r="P216" s="73">
        <v>499.95</v>
      </c>
      <c r="Q216" s="80" t="s">
        <v>279</v>
      </c>
      <c r="W216" s="76" t="s">
        <v>998</v>
      </c>
      <c r="X216" s="77">
        <v>306.8</v>
      </c>
      <c r="Y216" s="78">
        <v>0</v>
      </c>
      <c r="AA216" s="79">
        <v>306.8</v>
      </c>
      <c r="AB216" s="79">
        <v>306.8</v>
      </c>
      <c r="AC216" s="78">
        <v>0</v>
      </c>
      <c r="AE216" s="63" t="s">
        <v>219</v>
      </c>
      <c r="AF216" s="63">
        <v>0</v>
      </c>
      <c r="AG216" s="63">
        <v>0</v>
      </c>
      <c r="AK216" s="77">
        <v>0</v>
      </c>
      <c r="BA216" s="41" t="s">
        <v>230</v>
      </c>
      <c r="BB216" s="41" t="s">
        <v>15</v>
      </c>
      <c r="BC216" s="41" t="s">
        <v>232</v>
      </c>
      <c r="BD216" s="41" t="s">
        <v>984</v>
      </c>
    </row>
    <row r="217" spans="1:56" ht="27" customHeight="1" outlineLevel="1">
      <c r="A217" s="19">
        <v>345</v>
      </c>
      <c r="B217" s="19" t="s">
        <v>219</v>
      </c>
      <c r="C217" s="19" t="s">
        <v>219</v>
      </c>
      <c r="D217" s="50" t="s">
        <v>219</v>
      </c>
      <c r="E217" s="19" t="s">
        <v>219</v>
      </c>
      <c r="F217" s="19" t="s">
        <v>219</v>
      </c>
      <c r="G217" s="19" t="s">
        <v>219</v>
      </c>
      <c r="H217" s="81" t="s">
        <v>219</v>
      </c>
      <c r="I217" s="70" t="s">
        <v>219</v>
      </c>
      <c r="J217" s="70" t="s">
        <v>219</v>
      </c>
      <c r="K217" s="71" t="s">
        <v>219</v>
      </c>
      <c r="L217" s="72" t="s">
        <v>219</v>
      </c>
      <c r="M217" s="72" t="s">
        <v>219</v>
      </c>
      <c r="N217" s="73" t="s">
        <v>219</v>
      </c>
      <c r="O217" s="74" t="s">
        <v>219</v>
      </c>
      <c r="P217" s="73" t="s">
        <v>219</v>
      </c>
      <c r="Q217" s="80" t="s">
        <v>219</v>
      </c>
      <c r="W217" s="76" t="s">
        <v>219</v>
      </c>
      <c r="X217" s="77" t="s">
        <v>219</v>
      </c>
      <c r="Y217" s="78">
        <v>0</v>
      </c>
      <c r="AA217" s="79" t="s">
        <v>219</v>
      </c>
      <c r="AB217" s="79" t="s">
        <v>219</v>
      </c>
      <c r="AC217" s="78">
        <v>0</v>
      </c>
      <c r="AE217" s="63" t="s">
        <v>230</v>
      </c>
      <c r="AF217" s="63">
        <v>1</v>
      </c>
      <c r="AG217" s="63" t="s">
        <v>219</v>
      </c>
      <c r="AK217" s="77">
        <v>0</v>
      </c>
      <c r="BA217" s="41" t="s">
        <v>230</v>
      </c>
      <c r="BB217" s="41" t="s">
        <v>15</v>
      </c>
      <c r="BC217" s="41" t="s">
        <v>232</v>
      </c>
      <c r="BD217" s="41" t="s">
        <v>984</v>
      </c>
    </row>
    <row r="218" spans="1:56" s="57" customFormat="1" ht="18" customHeight="1" outlineLevel="1">
      <c r="A218" s="49">
        <v>346</v>
      </c>
      <c r="B218" s="19">
        <v>522002557</v>
      </c>
      <c r="C218" s="19">
        <v>522002557</v>
      </c>
      <c r="D218" s="50" t="s">
        <v>13</v>
      </c>
      <c r="E218" s="19" t="s">
        <v>985</v>
      </c>
      <c r="F218" s="19" t="s">
        <v>999</v>
      </c>
      <c r="G218" s="19" t="s">
        <v>1000</v>
      </c>
      <c r="H218" s="20" t="s">
        <v>1001</v>
      </c>
      <c r="I218" s="64" t="s">
        <v>555</v>
      </c>
      <c r="J218" s="70" t="s">
        <v>556</v>
      </c>
      <c r="K218" s="53">
        <v>1</v>
      </c>
      <c r="L218" s="20">
        <v>522002557</v>
      </c>
      <c r="M218" s="72" t="s">
        <v>1002</v>
      </c>
      <c r="N218" s="54">
        <v>306.8</v>
      </c>
      <c r="O218" s="56" t="s">
        <v>279</v>
      </c>
      <c r="P218" s="54">
        <v>499.95</v>
      </c>
      <c r="Q218" s="56" t="s">
        <v>279</v>
      </c>
      <c r="R218" s="27"/>
      <c r="S218" s="58"/>
      <c r="T218" s="51"/>
      <c r="U218" s="51"/>
      <c r="V218" s="51"/>
      <c r="W218" s="76" t="s">
        <v>1003</v>
      </c>
      <c r="X218" s="77">
        <v>306.8</v>
      </c>
      <c r="Y218" s="78">
        <v>0</v>
      </c>
      <c r="Z218" s="29"/>
      <c r="AA218" s="79">
        <v>306.8</v>
      </c>
      <c r="AB218" s="79">
        <v>306.8</v>
      </c>
      <c r="AC218" s="78">
        <v>0</v>
      </c>
      <c r="AD218" s="29"/>
      <c r="AE218" s="63" t="s">
        <v>219</v>
      </c>
      <c r="AF218" s="63">
        <v>1</v>
      </c>
      <c r="AG218" s="63">
        <v>1</v>
      </c>
      <c r="AH218" s="29"/>
      <c r="AI218" s="27"/>
      <c r="AJ218" s="29"/>
      <c r="AK218" s="77">
        <v>0</v>
      </c>
      <c r="BA218" s="41" t="s">
        <v>230</v>
      </c>
      <c r="BB218" s="41" t="s">
        <v>15</v>
      </c>
      <c r="BC218" s="41" t="s">
        <v>232</v>
      </c>
      <c r="BD218" s="41" t="s">
        <v>984</v>
      </c>
    </row>
    <row r="219" spans="1:56" ht="18" customHeight="1" outlineLevel="1">
      <c r="A219" s="19">
        <v>347</v>
      </c>
      <c r="B219" s="19">
        <v>522002565</v>
      </c>
      <c r="C219" s="19">
        <v>522002565</v>
      </c>
      <c r="D219" s="50" t="s">
        <v>13</v>
      </c>
      <c r="E219" s="19" t="s">
        <v>985</v>
      </c>
      <c r="F219" s="19" t="s">
        <v>999</v>
      </c>
      <c r="G219" s="19" t="s">
        <v>1000</v>
      </c>
      <c r="H219" s="69" t="s">
        <v>1004</v>
      </c>
      <c r="I219" s="70" t="s">
        <v>560</v>
      </c>
      <c r="J219" s="70" t="s">
        <v>329</v>
      </c>
      <c r="K219" s="71">
        <v>1</v>
      </c>
      <c r="L219" s="72">
        <v>522002565</v>
      </c>
      <c r="M219" s="72" t="s">
        <v>1005</v>
      </c>
      <c r="N219" s="73">
        <v>306.8</v>
      </c>
      <c r="O219" s="74" t="s">
        <v>279</v>
      </c>
      <c r="P219" s="73">
        <v>499.95</v>
      </c>
      <c r="Q219" s="80" t="s">
        <v>279</v>
      </c>
      <c r="W219" s="76" t="s">
        <v>1006</v>
      </c>
      <c r="X219" s="77">
        <v>306.8</v>
      </c>
      <c r="Y219" s="78">
        <v>0</v>
      </c>
      <c r="AA219" s="79">
        <v>306.8</v>
      </c>
      <c r="AB219" s="79">
        <v>306.8</v>
      </c>
      <c r="AC219" s="78">
        <v>0</v>
      </c>
      <c r="AE219" s="63" t="s">
        <v>219</v>
      </c>
      <c r="AF219" s="63">
        <v>1</v>
      </c>
      <c r="AG219" s="63">
        <v>1</v>
      </c>
      <c r="AK219" s="77">
        <v>0</v>
      </c>
      <c r="BA219" s="41" t="s">
        <v>230</v>
      </c>
      <c r="BB219" s="41" t="s">
        <v>15</v>
      </c>
      <c r="BC219" s="41" t="s">
        <v>232</v>
      </c>
      <c r="BD219" s="41" t="s">
        <v>984</v>
      </c>
    </row>
    <row r="220" spans="1:56" ht="18" customHeight="1" outlineLevel="1">
      <c r="A220" s="19">
        <v>348</v>
      </c>
      <c r="B220" s="19">
        <v>522005233</v>
      </c>
      <c r="C220" s="19">
        <v>522005233</v>
      </c>
      <c r="D220" s="50" t="s">
        <v>13</v>
      </c>
      <c r="E220" s="19" t="s">
        <v>985</v>
      </c>
      <c r="F220" s="19" t="s">
        <v>999</v>
      </c>
      <c r="G220" s="19" t="s">
        <v>1000</v>
      </c>
      <c r="H220" s="69" t="s">
        <v>1007</v>
      </c>
      <c r="I220" s="70" t="s">
        <v>1008</v>
      </c>
      <c r="J220" s="70" t="s">
        <v>344</v>
      </c>
      <c r="K220" s="71">
        <v>1</v>
      </c>
      <c r="L220" s="72">
        <v>522005233</v>
      </c>
      <c r="M220" s="72" t="s">
        <v>1009</v>
      </c>
      <c r="N220" s="73">
        <v>306.8</v>
      </c>
      <c r="O220" s="74" t="s">
        <v>279</v>
      </c>
      <c r="P220" s="73">
        <v>499.95</v>
      </c>
      <c r="Q220" s="80" t="s">
        <v>279</v>
      </c>
      <c r="W220" s="76" t="s">
        <v>1010</v>
      </c>
      <c r="X220" s="77">
        <v>306.8</v>
      </c>
      <c r="Y220" s="78">
        <v>0</v>
      </c>
      <c r="AA220" s="79">
        <v>306.8</v>
      </c>
      <c r="AB220" s="79">
        <v>306.8</v>
      </c>
      <c r="AC220" s="78">
        <v>0</v>
      </c>
      <c r="AE220" s="63" t="s">
        <v>219</v>
      </c>
      <c r="AF220" s="63">
        <v>1</v>
      </c>
      <c r="AG220" s="63">
        <v>1</v>
      </c>
      <c r="AK220" s="77">
        <v>0</v>
      </c>
      <c r="BA220" s="41" t="s">
        <v>230</v>
      </c>
      <c r="BB220" s="41" t="s">
        <v>15</v>
      </c>
      <c r="BC220" s="41" t="s">
        <v>232</v>
      </c>
      <c r="BD220" s="41" t="s">
        <v>984</v>
      </c>
    </row>
    <row r="221" spans="1:56" ht="27" customHeight="1" outlineLevel="1">
      <c r="A221" s="19">
        <v>349</v>
      </c>
      <c r="B221" s="19" t="s">
        <v>219</v>
      </c>
      <c r="C221" s="19" t="s">
        <v>219</v>
      </c>
      <c r="D221" s="50" t="s">
        <v>219</v>
      </c>
      <c r="E221" s="19" t="s">
        <v>219</v>
      </c>
      <c r="F221" s="19" t="s">
        <v>219</v>
      </c>
      <c r="G221" s="19" t="s">
        <v>219</v>
      </c>
      <c r="H221" s="81" t="s">
        <v>219</v>
      </c>
      <c r="I221" s="70" t="s">
        <v>219</v>
      </c>
      <c r="J221" s="70" t="s">
        <v>219</v>
      </c>
      <c r="K221" s="71" t="s">
        <v>219</v>
      </c>
      <c r="L221" s="72" t="s">
        <v>219</v>
      </c>
      <c r="M221" s="72" t="s">
        <v>219</v>
      </c>
      <c r="N221" s="73" t="s">
        <v>219</v>
      </c>
      <c r="O221" s="74" t="s">
        <v>219</v>
      </c>
      <c r="P221" s="73" t="s">
        <v>219</v>
      </c>
      <c r="Q221" s="80" t="s">
        <v>219</v>
      </c>
      <c r="W221" s="76" t="s">
        <v>219</v>
      </c>
      <c r="X221" s="77" t="s">
        <v>219</v>
      </c>
      <c r="Y221" s="78">
        <v>0</v>
      </c>
      <c r="AA221" s="79" t="s">
        <v>219</v>
      </c>
      <c r="AB221" s="79" t="s">
        <v>219</v>
      </c>
      <c r="AC221" s="78">
        <v>0</v>
      </c>
      <c r="AE221" s="63" t="s">
        <v>230</v>
      </c>
      <c r="AF221" s="63">
        <v>0</v>
      </c>
      <c r="AG221" s="63" t="s">
        <v>219</v>
      </c>
      <c r="AK221" s="77">
        <v>0</v>
      </c>
      <c r="BA221" s="41" t="s">
        <v>230</v>
      </c>
      <c r="BB221" s="41" t="s">
        <v>15</v>
      </c>
      <c r="BC221" s="41" t="s">
        <v>232</v>
      </c>
      <c r="BD221" s="41" t="s">
        <v>984</v>
      </c>
    </row>
    <row r="222" spans="1:56" ht="18" customHeight="1" outlineLevel="1">
      <c r="A222" s="19">
        <v>350</v>
      </c>
      <c r="B222" s="19">
        <v>522004713</v>
      </c>
      <c r="C222" s="19">
        <v>522004713</v>
      </c>
      <c r="D222" s="50" t="s">
        <v>13</v>
      </c>
      <c r="E222" s="19" t="s">
        <v>1011</v>
      </c>
      <c r="F222" s="19" t="s">
        <v>1012</v>
      </c>
      <c r="G222" s="19" t="s">
        <v>1013</v>
      </c>
      <c r="H222" s="69" t="s">
        <v>1014</v>
      </c>
      <c r="I222" s="70" t="s">
        <v>543</v>
      </c>
      <c r="J222" s="70" t="s">
        <v>289</v>
      </c>
      <c r="K222" s="71">
        <v>1</v>
      </c>
      <c r="L222" s="72">
        <v>522004713</v>
      </c>
      <c r="M222" s="72" t="s">
        <v>1015</v>
      </c>
      <c r="N222" s="73">
        <v>368.1</v>
      </c>
      <c r="O222" s="74" t="s">
        <v>279</v>
      </c>
      <c r="P222" s="73">
        <v>599.95000000000005</v>
      </c>
      <c r="Q222" s="80" t="s">
        <v>279</v>
      </c>
      <c r="W222" s="76" t="s">
        <v>1016</v>
      </c>
      <c r="X222" s="77">
        <v>368.1</v>
      </c>
      <c r="Y222" s="78">
        <v>0</v>
      </c>
      <c r="AA222" s="79">
        <v>368.1</v>
      </c>
      <c r="AB222" s="79">
        <v>368.1</v>
      </c>
      <c r="AC222" s="78">
        <v>0</v>
      </c>
      <c r="AE222" s="63" t="s">
        <v>219</v>
      </c>
      <c r="AF222" s="63">
        <v>0</v>
      </c>
      <c r="AG222" s="63">
        <v>0</v>
      </c>
      <c r="AK222" s="77">
        <v>0</v>
      </c>
      <c r="BA222" s="41" t="s">
        <v>230</v>
      </c>
      <c r="BB222" s="41" t="s">
        <v>15</v>
      </c>
      <c r="BC222" s="41" t="s">
        <v>232</v>
      </c>
      <c r="BD222" s="41" t="s">
        <v>984</v>
      </c>
    </row>
    <row r="223" spans="1:56" ht="27" customHeight="1" outlineLevel="1">
      <c r="A223" s="19">
        <v>351</v>
      </c>
      <c r="B223" s="19" t="s">
        <v>219</v>
      </c>
      <c r="C223" s="19" t="s">
        <v>219</v>
      </c>
      <c r="D223" s="50" t="s">
        <v>219</v>
      </c>
      <c r="E223" s="19" t="s">
        <v>219</v>
      </c>
      <c r="F223" s="19" t="s">
        <v>219</v>
      </c>
      <c r="G223" s="19" t="s">
        <v>219</v>
      </c>
      <c r="H223" s="81" t="s">
        <v>219</v>
      </c>
      <c r="I223" s="70" t="s">
        <v>219</v>
      </c>
      <c r="J223" s="70" t="s">
        <v>219</v>
      </c>
      <c r="K223" s="71" t="s">
        <v>219</v>
      </c>
      <c r="L223" s="72" t="s">
        <v>219</v>
      </c>
      <c r="M223" s="72" t="s">
        <v>219</v>
      </c>
      <c r="N223" s="73" t="s">
        <v>219</v>
      </c>
      <c r="O223" s="74" t="s">
        <v>219</v>
      </c>
      <c r="P223" s="73" t="s">
        <v>219</v>
      </c>
      <c r="Q223" s="80" t="s">
        <v>219</v>
      </c>
      <c r="W223" s="76" t="s">
        <v>219</v>
      </c>
      <c r="X223" s="77" t="s">
        <v>219</v>
      </c>
      <c r="Y223" s="78">
        <v>0</v>
      </c>
      <c r="AA223" s="79" t="s">
        <v>219</v>
      </c>
      <c r="AB223" s="79" t="s">
        <v>219</v>
      </c>
      <c r="AC223" s="78">
        <v>0</v>
      </c>
      <c r="AE223" s="63" t="s">
        <v>230</v>
      </c>
      <c r="AF223" s="63">
        <v>1</v>
      </c>
      <c r="AG223" s="63" t="s">
        <v>219</v>
      </c>
      <c r="AK223" s="77">
        <v>0</v>
      </c>
      <c r="BA223" s="41" t="s">
        <v>230</v>
      </c>
      <c r="BB223" s="41" t="s">
        <v>15</v>
      </c>
      <c r="BC223" s="41" t="s">
        <v>232</v>
      </c>
      <c r="BD223" s="41" t="s">
        <v>984</v>
      </c>
    </row>
    <row r="224" spans="1:56" ht="18" customHeight="1" outlineLevel="1">
      <c r="A224" s="19">
        <v>352</v>
      </c>
      <c r="B224" s="19">
        <v>522002589</v>
      </c>
      <c r="C224" s="19">
        <v>522002589</v>
      </c>
      <c r="D224" s="50" t="s">
        <v>13</v>
      </c>
      <c r="E224" s="19" t="s">
        <v>1011</v>
      </c>
      <c r="F224" s="19" t="s">
        <v>1017</v>
      </c>
      <c r="G224" s="19" t="s">
        <v>1018</v>
      </c>
      <c r="H224" s="69" t="s">
        <v>1019</v>
      </c>
      <c r="I224" s="70" t="s">
        <v>547</v>
      </c>
      <c r="J224" s="70" t="s">
        <v>480</v>
      </c>
      <c r="K224" s="71">
        <v>1</v>
      </c>
      <c r="L224" s="72">
        <v>522002589</v>
      </c>
      <c r="M224" s="72" t="s">
        <v>1020</v>
      </c>
      <c r="N224" s="73">
        <v>368.1</v>
      </c>
      <c r="O224" s="74" t="s">
        <v>279</v>
      </c>
      <c r="P224" s="73">
        <v>599.95000000000005</v>
      </c>
      <c r="Q224" s="80" t="s">
        <v>279</v>
      </c>
      <c r="W224" s="76" t="s">
        <v>1021</v>
      </c>
      <c r="X224" s="77">
        <v>368.1</v>
      </c>
      <c r="Y224" s="78">
        <v>0</v>
      </c>
      <c r="AA224" s="79">
        <v>368.1</v>
      </c>
      <c r="AB224" s="79">
        <v>368.1</v>
      </c>
      <c r="AC224" s="78">
        <v>0</v>
      </c>
      <c r="AE224" s="63" t="s">
        <v>219</v>
      </c>
      <c r="AF224" s="63">
        <v>1</v>
      </c>
      <c r="AG224" s="63">
        <v>1</v>
      </c>
      <c r="AK224" s="77">
        <v>0</v>
      </c>
      <c r="BA224" s="41" t="s">
        <v>230</v>
      </c>
      <c r="BB224" s="41" t="s">
        <v>15</v>
      </c>
      <c r="BC224" s="41" t="s">
        <v>232</v>
      </c>
      <c r="BD224" s="41" t="s">
        <v>984</v>
      </c>
    </row>
    <row r="225" spans="1:56" ht="18" customHeight="1" outlineLevel="1">
      <c r="A225" s="19">
        <v>353</v>
      </c>
      <c r="B225" s="19">
        <v>522002593</v>
      </c>
      <c r="C225" s="19">
        <v>522002593</v>
      </c>
      <c r="D225" s="50" t="s">
        <v>13</v>
      </c>
      <c r="E225" s="19" t="s">
        <v>1011</v>
      </c>
      <c r="F225" s="19" t="s">
        <v>1017</v>
      </c>
      <c r="G225" s="19" t="s">
        <v>1018</v>
      </c>
      <c r="H225" s="69" t="s">
        <v>1022</v>
      </c>
      <c r="I225" s="70" t="s">
        <v>551</v>
      </c>
      <c r="J225" s="70" t="s">
        <v>521</v>
      </c>
      <c r="K225" s="71">
        <v>1</v>
      </c>
      <c r="L225" s="72">
        <v>522002593</v>
      </c>
      <c r="M225" s="72" t="s">
        <v>1023</v>
      </c>
      <c r="N225" s="73">
        <v>368.1</v>
      </c>
      <c r="O225" s="74" t="s">
        <v>279</v>
      </c>
      <c r="P225" s="73">
        <v>599.95000000000005</v>
      </c>
      <c r="Q225" s="80" t="s">
        <v>279</v>
      </c>
      <c r="W225" s="76" t="s">
        <v>1024</v>
      </c>
      <c r="X225" s="77">
        <v>368.1</v>
      </c>
      <c r="Y225" s="78">
        <v>0</v>
      </c>
      <c r="AA225" s="79">
        <v>368.1</v>
      </c>
      <c r="AB225" s="79">
        <v>368.1</v>
      </c>
      <c r="AC225" s="78">
        <v>0</v>
      </c>
      <c r="AE225" s="63" t="s">
        <v>219</v>
      </c>
      <c r="AF225" s="63">
        <v>1</v>
      </c>
      <c r="AG225" s="63">
        <v>1</v>
      </c>
      <c r="AK225" s="77">
        <v>0</v>
      </c>
      <c r="BA225" s="41" t="s">
        <v>230</v>
      </c>
      <c r="BB225" s="41" t="s">
        <v>15</v>
      </c>
      <c r="BC225" s="41" t="s">
        <v>232</v>
      </c>
      <c r="BD225" s="41" t="s">
        <v>984</v>
      </c>
    </row>
    <row r="226" spans="1:56" ht="27" customHeight="1" outlineLevel="1">
      <c r="A226" s="19">
        <v>354</v>
      </c>
      <c r="B226" s="19" t="s">
        <v>219</v>
      </c>
      <c r="C226" s="19" t="s">
        <v>219</v>
      </c>
      <c r="D226" s="50" t="s">
        <v>219</v>
      </c>
      <c r="E226" s="19" t="s">
        <v>219</v>
      </c>
      <c r="F226" s="19" t="s">
        <v>219</v>
      </c>
      <c r="G226" s="19" t="s">
        <v>219</v>
      </c>
      <c r="H226" s="81" t="s">
        <v>219</v>
      </c>
      <c r="I226" s="70" t="s">
        <v>219</v>
      </c>
      <c r="J226" s="70" t="s">
        <v>219</v>
      </c>
      <c r="K226" s="71" t="s">
        <v>219</v>
      </c>
      <c r="L226" s="72" t="s">
        <v>219</v>
      </c>
      <c r="M226" s="72" t="s">
        <v>219</v>
      </c>
      <c r="N226" s="73" t="s">
        <v>219</v>
      </c>
      <c r="O226" s="74" t="s">
        <v>219</v>
      </c>
      <c r="P226" s="73" t="s">
        <v>219</v>
      </c>
      <c r="Q226" s="80" t="s">
        <v>219</v>
      </c>
      <c r="W226" s="76" t="s">
        <v>219</v>
      </c>
      <c r="X226" s="77" t="s">
        <v>219</v>
      </c>
      <c r="Y226" s="78">
        <v>0</v>
      </c>
      <c r="AA226" s="79" t="s">
        <v>219</v>
      </c>
      <c r="AB226" s="79" t="s">
        <v>219</v>
      </c>
      <c r="AC226" s="78">
        <v>0</v>
      </c>
      <c r="AE226" s="63" t="s">
        <v>230</v>
      </c>
      <c r="AF226" s="63">
        <v>0</v>
      </c>
      <c r="AG226" s="63" t="s">
        <v>219</v>
      </c>
      <c r="AK226" s="77">
        <v>0</v>
      </c>
      <c r="BA226" s="41" t="s">
        <v>230</v>
      </c>
      <c r="BB226" s="41" t="s">
        <v>15</v>
      </c>
      <c r="BC226" s="41" t="s">
        <v>232</v>
      </c>
      <c r="BD226" s="41" t="s">
        <v>984</v>
      </c>
    </row>
    <row r="227" spans="1:56" ht="18" customHeight="1" outlineLevel="1">
      <c r="A227" s="19">
        <v>355</v>
      </c>
      <c r="B227" s="19">
        <v>522002597</v>
      </c>
      <c r="C227" s="19">
        <v>522002597</v>
      </c>
      <c r="D227" s="50" t="s">
        <v>13</v>
      </c>
      <c r="E227" s="19" t="s">
        <v>1011</v>
      </c>
      <c r="F227" s="19" t="s">
        <v>1025</v>
      </c>
      <c r="G227" s="19" t="s">
        <v>1026</v>
      </c>
      <c r="H227" s="69" t="s">
        <v>1027</v>
      </c>
      <c r="I227" s="70" t="s">
        <v>555</v>
      </c>
      <c r="J227" s="70" t="s">
        <v>556</v>
      </c>
      <c r="K227" s="71">
        <v>1</v>
      </c>
      <c r="L227" s="72">
        <v>522002597</v>
      </c>
      <c r="M227" s="72" t="s">
        <v>1028</v>
      </c>
      <c r="N227" s="73">
        <v>368.1</v>
      </c>
      <c r="O227" s="74" t="s">
        <v>279</v>
      </c>
      <c r="P227" s="73">
        <v>599.95000000000005</v>
      </c>
      <c r="Q227" s="80" t="s">
        <v>279</v>
      </c>
      <c r="W227" s="76" t="s">
        <v>1029</v>
      </c>
      <c r="X227" s="77">
        <v>368.1</v>
      </c>
      <c r="Y227" s="78">
        <v>0</v>
      </c>
      <c r="AA227" s="79">
        <v>368.1</v>
      </c>
      <c r="AB227" s="79">
        <v>368.1</v>
      </c>
      <c r="AC227" s="78">
        <v>0</v>
      </c>
      <c r="AE227" s="63" t="s">
        <v>219</v>
      </c>
      <c r="AF227" s="63">
        <v>0</v>
      </c>
      <c r="AG227" s="63">
        <v>0</v>
      </c>
      <c r="AK227" s="77">
        <v>0</v>
      </c>
      <c r="BA227" s="41" t="s">
        <v>230</v>
      </c>
      <c r="BB227" s="41" t="s">
        <v>15</v>
      </c>
      <c r="BC227" s="41" t="s">
        <v>232</v>
      </c>
      <c r="BD227" s="41" t="s">
        <v>984</v>
      </c>
    </row>
    <row r="228" spans="1:56" s="57" customFormat="1" ht="18" customHeight="1" outlineLevel="1">
      <c r="A228" s="49">
        <v>356</v>
      </c>
      <c r="B228" s="19">
        <v>522002605</v>
      </c>
      <c r="C228" s="19">
        <v>522002605</v>
      </c>
      <c r="D228" s="50" t="s">
        <v>13</v>
      </c>
      <c r="E228" s="19" t="s">
        <v>1011</v>
      </c>
      <c r="F228" s="19" t="s">
        <v>1025</v>
      </c>
      <c r="G228" s="19" t="s">
        <v>1026</v>
      </c>
      <c r="H228" s="20" t="s">
        <v>1030</v>
      </c>
      <c r="I228" s="64" t="s">
        <v>560</v>
      </c>
      <c r="J228" s="70" t="s">
        <v>329</v>
      </c>
      <c r="K228" s="53">
        <v>1</v>
      </c>
      <c r="L228" s="20">
        <v>522002605</v>
      </c>
      <c r="M228" s="72" t="s">
        <v>1031</v>
      </c>
      <c r="N228" s="54">
        <v>368.1</v>
      </c>
      <c r="O228" s="56" t="s">
        <v>279</v>
      </c>
      <c r="P228" s="54">
        <v>599.95000000000005</v>
      </c>
      <c r="Q228" s="56" t="s">
        <v>279</v>
      </c>
      <c r="R228" s="27"/>
      <c r="S228" s="58"/>
      <c r="T228" s="51"/>
      <c r="U228" s="51"/>
      <c r="V228" s="51"/>
      <c r="W228" s="76" t="s">
        <v>1032</v>
      </c>
      <c r="X228" s="77">
        <v>368.1</v>
      </c>
      <c r="Y228" s="78">
        <v>0</v>
      </c>
      <c r="Z228" s="29"/>
      <c r="AA228" s="79">
        <v>368.1</v>
      </c>
      <c r="AB228" s="79">
        <v>368.1</v>
      </c>
      <c r="AC228" s="78">
        <v>0</v>
      </c>
      <c r="AD228" s="29"/>
      <c r="AE228" s="63" t="s">
        <v>219</v>
      </c>
      <c r="AF228" s="63">
        <v>0</v>
      </c>
      <c r="AG228" s="63">
        <v>0</v>
      </c>
      <c r="AH228" s="29"/>
      <c r="AI228" s="27"/>
      <c r="AJ228" s="29"/>
      <c r="AK228" s="77">
        <v>0</v>
      </c>
      <c r="BA228" s="41" t="s">
        <v>230</v>
      </c>
      <c r="BB228" s="41" t="s">
        <v>15</v>
      </c>
      <c r="BC228" s="41" t="s">
        <v>232</v>
      </c>
      <c r="BD228" s="41" t="s">
        <v>984</v>
      </c>
    </row>
    <row r="229" spans="1:56" s="57" customFormat="1" ht="27" customHeight="1" outlineLevel="1">
      <c r="A229" s="49">
        <v>357</v>
      </c>
      <c r="B229" s="19" t="s">
        <v>219</v>
      </c>
      <c r="C229" s="19" t="s">
        <v>219</v>
      </c>
      <c r="D229" s="50" t="s">
        <v>219</v>
      </c>
      <c r="E229" s="19" t="s">
        <v>219</v>
      </c>
      <c r="F229" s="19" t="s">
        <v>219</v>
      </c>
      <c r="G229" s="19" t="s">
        <v>219</v>
      </c>
      <c r="H229" s="52" t="s">
        <v>219</v>
      </c>
      <c r="I229" s="64" t="s">
        <v>219</v>
      </c>
      <c r="J229" s="70" t="s">
        <v>219</v>
      </c>
      <c r="K229" s="53" t="s">
        <v>219</v>
      </c>
      <c r="L229" s="20" t="s">
        <v>219</v>
      </c>
      <c r="M229" s="72" t="s">
        <v>219</v>
      </c>
      <c r="N229" s="54" t="s">
        <v>219</v>
      </c>
      <c r="O229" s="56" t="s">
        <v>219</v>
      </c>
      <c r="P229" s="54" t="s">
        <v>219</v>
      </c>
      <c r="Q229" s="56" t="s">
        <v>219</v>
      </c>
      <c r="R229" s="27"/>
      <c r="S229" s="58"/>
      <c r="T229" s="51"/>
      <c r="U229" s="51"/>
      <c r="V229" s="51"/>
      <c r="W229" s="76" t="s">
        <v>219</v>
      </c>
      <c r="X229" s="77" t="s">
        <v>219</v>
      </c>
      <c r="Y229" s="78">
        <v>0</v>
      </c>
      <c r="Z229" s="29"/>
      <c r="AA229" s="79" t="s">
        <v>219</v>
      </c>
      <c r="AB229" s="79" t="s">
        <v>219</v>
      </c>
      <c r="AC229" s="78">
        <v>0</v>
      </c>
      <c r="AD229" s="29"/>
      <c r="AE229" s="63" t="s">
        <v>230</v>
      </c>
      <c r="AF229" s="63">
        <v>1</v>
      </c>
      <c r="AG229" s="63" t="s">
        <v>219</v>
      </c>
      <c r="AH229" s="29"/>
      <c r="AI229" s="27"/>
      <c r="AJ229" s="29"/>
      <c r="AK229" s="77">
        <v>0</v>
      </c>
      <c r="BA229" s="41" t="s">
        <v>230</v>
      </c>
      <c r="BB229" s="41" t="s">
        <v>15</v>
      </c>
      <c r="BC229" s="41" t="s">
        <v>232</v>
      </c>
      <c r="BD229" s="41" t="s">
        <v>984</v>
      </c>
    </row>
    <row r="230" spans="1:56" ht="18" customHeight="1" outlineLevel="1">
      <c r="A230" s="19">
        <v>358</v>
      </c>
      <c r="B230" s="19">
        <v>522002609</v>
      </c>
      <c r="C230" s="19">
        <v>522002609</v>
      </c>
      <c r="D230" s="50" t="s">
        <v>13</v>
      </c>
      <c r="E230" s="19" t="s">
        <v>1033</v>
      </c>
      <c r="F230" s="19" t="s">
        <v>1034</v>
      </c>
      <c r="G230" s="19" t="s">
        <v>1035</v>
      </c>
      <c r="H230" s="69" t="s">
        <v>1036</v>
      </c>
      <c r="I230" s="70" t="s">
        <v>555</v>
      </c>
      <c r="J230" s="70" t="s">
        <v>556</v>
      </c>
      <c r="K230" s="71">
        <v>1</v>
      </c>
      <c r="L230" s="72">
        <v>522002609</v>
      </c>
      <c r="M230" s="72" t="s">
        <v>1037</v>
      </c>
      <c r="N230" s="73">
        <v>153.4</v>
      </c>
      <c r="O230" s="74" t="s">
        <v>279</v>
      </c>
      <c r="P230" s="73">
        <v>249.95</v>
      </c>
      <c r="Q230" s="80" t="s">
        <v>279</v>
      </c>
      <c r="W230" s="76" t="s">
        <v>1038</v>
      </c>
      <c r="X230" s="77">
        <v>153.4</v>
      </c>
      <c r="Y230" s="78">
        <v>0</v>
      </c>
      <c r="AA230" s="79">
        <v>153.4</v>
      </c>
      <c r="AB230" s="79">
        <v>153.4</v>
      </c>
      <c r="AC230" s="78">
        <v>0</v>
      </c>
      <c r="AE230" s="63" t="s">
        <v>219</v>
      </c>
      <c r="AF230" s="63">
        <v>1</v>
      </c>
      <c r="AG230" s="63">
        <v>1</v>
      </c>
      <c r="AK230" s="77">
        <v>0</v>
      </c>
      <c r="BA230" s="41" t="s">
        <v>230</v>
      </c>
      <c r="BB230" s="41" t="s">
        <v>15</v>
      </c>
      <c r="BC230" s="41" t="s">
        <v>232</v>
      </c>
      <c r="BD230" s="41" t="s">
        <v>984</v>
      </c>
    </row>
    <row r="231" spans="1:56" ht="18" customHeight="1" outlineLevel="1">
      <c r="A231" s="19">
        <v>359</v>
      </c>
      <c r="B231" s="19">
        <v>522002615</v>
      </c>
      <c r="C231" s="19">
        <v>522002615</v>
      </c>
      <c r="D231" s="50" t="s">
        <v>13</v>
      </c>
      <c r="E231" s="19" t="s">
        <v>1033</v>
      </c>
      <c r="F231" s="19" t="s">
        <v>1034</v>
      </c>
      <c r="G231" s="19" t="s">
        <v>1035</v>
      </c>
      <c r="H231" s="69" t="s">
        <v>1039</v>
      </c>
      <c r="I231" s="70" t="s">
        <v>560</v>
      </c>
      <c r="J231" s="70" t="s">
        <v>329</v>
      </c>
      <c r="K231" s="71">
        <v>1</v>
      </c>
      <c r="L231" s="72">
        <v>522002615</v>
      </c>
      <c r="M231" s="72" t="s">
        <v>1040</v>
      </c>
      <c r="N231" s="73">
        <v>153.4</v>
      </c>
      <c r="O231" s="74" t="s">
        <v>279</v>
      </c>
      <c r="P231" s="73">
        <v>249.95</v>
      </c>
      <c r="Q231" s="80" t="s">
        <v>279</v>
      </c>
      <c r="W231" s="76" t="s">
        <v>1041</v>
      </c>
      <c r="X231" s="77">
        <v>153.4</v>
      </c>
      <c r="Y231" s="78">
        <v>0</v>
      </c>
      <c r="AA231" s="79">
        <v>153.4</v>
      </c>
      <c r="AB231" s="79">
        <v>153.4</v>
      </c>
      <c r="AC231" s="78">
        <v>0</v>
      </c>
      <c r="AE231" s="63" t="s">
        <v>219</v>
      </c>
      <c r="AF231" s="63">
        <v>1</v>
      </c>
      <c r="AG231" s="63">
        <v>1</v>
      </c>
      <c r="AK231" s="77">
        <v>0</v>
      </c>
      <c r="BA231" s="41" t="s">
        <v>230</v>
      </c>
      <c r="BB231" s="41" t="s">
        <v>15</v>
      </c>
      <c r="BC231" s="41" t="s">
        <v>232</v>
      </c>
      <c r="BD231" s="41" t="s">
        <v>984</v>
      </c>
    </row>
    <row r="232" spans="1:56" ht="18" customHeight="1" outlineLevel="1">
      <c r="A232" s="19">
        <v>360</v>
      </c>
      <c r="B232" s="19">
        <v>522002619</v>
      </c>
      <c r="C232" s="19">
        <v>522002619</v>
      </c>
      <c r="D232" s="50" t="s">
        <v>13</v>
      </c>
      <c r="E232" s="19" t="s">
        <v>1033</v>
      </c>
      <c r="F232" s="19" t="s">
        <v>1034</v>
      </c>
      <c r="G232" s="19" t="s">
        <v>1035</v>
      </c>
      <c r="H232" s="69" t="s">
        <v>1042</v>
      </c>
      <c r="I232" s="70" t="s">
        <v>543</v>
      </c>
      <c r="J232" s="70" t="s">
        <v>289</v>
      </c>
      <c r="K232" s="71">
        <v>1</v>
      </c>
      <c r="L232" s="72">
        <v>522002619</v>
      </c>
      <c r="M232" s="72" t="s">
        <v>1043</v>
      </c>
      <c r="N232" s="73">
        <v>153.4</v>
      </c>
      <c r="O232" s="74" t="s">
        <v>279</v>
      </c>
      <c r="P232" s="73">
        <v>249.95</v>
      </c>
      <c r="Q232" s="80" t="s">
        <v>279</v>
      </c>
      <c r="W232" s="76" t="s">
        <v>1044</v>
      </c>
      <c r="X232" s="77">
        <v>153.4</v>
      </c>
      <c r="Y232" s="78">
        <v>0</v>
      </c>
      <c r="AA232" s="79">
        <v>153.4</v>
      </c>
      <c r="AB232" s="79">
        <v>153.4</v>
      </c>
      <c r="AC232" s="78">
        <v>0</v>
      </c>
      <c r="AE232" s="63" t="s">
        <v>219</v>
      </c>
      <c r="AF232" s="63">
        <v>1</v>
      </c>
      <c r="AG232" s="63">
        <v>1</v>
      </c>
      <c r="AK232" s="77">
        <v>0</v>
      </c>
      <c r="BA232" s="41" t="s">
        <v>230</v>
      </c>
      <c r="BB232" s="41" t="s">
        <v>15</v>
      </c>
      <c r="BC232" s="41" t="s">
        <v>232</v>
      </c>
      <c r="BD232" s="41" t="s">
        <v>984</v>
      </c>
    </row>
    <row r="233" spans="1:56" ht="18" customHeight="1" outlineLevel="1">
      <c r="A233" s="19">
        <v>361</v>
      </c>
      <c r="B233" s="19">
        <v>522002623</v>
      </c>
      <c r="C233" s="19">
        <v>522002623</v>
      </c>
      <c r="D233" s="50" t="s">
        <v>13</v>
      </c>
      <c r="E233" s="19" t="s">
        <v>1033</v>
      </c>
      <c r="F233" s="19" t="s">
        <v>1034</v>
      </c>
      <c r="G233" s="19" t="s">
        <v>1035</v>
      </c>
      <c r="H233" s="69" t="s">
        <v>1045</v>
      </c>
      <c r="I233" s="70" t="s">
        <v>547</v>
      </c>
      <c r="J233" s="70" t="s">
        <v>480</v>
      </c>
      <c r="K233" s="71">
        <v>1</v>
      </c>
      <c r="L233" s="72">
        <v>522002623</v>
      </c>
      <c r="M233" s="72" t="s">
        <v>1046</v>
      </c>
      <c r="N233" s="73">
        <v>153.4</v>
      </c>
      <c r="O233" s="74" t="s">
        <v>279</v>
      </c>
      <c r="P233" s="73">
        <v>249.95</v>
      </c>
      <c r="Q233" s="80" t="s">
        <v>279</v>
      </c>
      <c r="W233" s="76" t="s">
        <v>1047</v>
      </c>
      <c r="X233" s="77">
        <v>153.4</v>
      </c>
      <c r="Y233" s="78">
        <v>0</v>
      </c>
      <c r="AA233" s="79">
        <v>153.4</v>
      </c>
      <c r="AB233" s="79">
        <v>153.4</v>
      </c>
      <c r="AC233" s="78">
        <v>0</v>
      </c>
      <c r="AE233" s="63" t="s">
        <v>219</v>
      </c>
      <c r="AF233" s="63">
        <v>1</v>
      </c>
      <c r="AG233" s="63">
        <v>1</v>
      </c>
      <c r="AK233" s="77">
        <v>0</v>
      </c>
      <c r="BA233" s="41" t="s">
        <v>230</v>
      </c>
      <c r="BB233" s="41" t="s">
        <v>15</v>
      </c>
      <c r="BC233" s="41" t="s">
        <v>232</v>
      </c>
      <c r="BD233" s="41" t="s">
        <v>984</v>
      </c>
    </row>
    <row r="234" spans="1:56" ht="18" customHeight="1" outlineLevel="1">
      <c r="A234" s="19">
        <v>362</v>
      </c>
      <c r="B234" s="19">
        <v>522002627</v>
      </c>
      <c r="C234" s="19">
        <v>522002627</v>
      </c>
      <c r="D234" s="50" t="s">
        <v>13</v>
      </c>
      <c r="E234" s="19" t="s">
        <v>1033</v>
      </c>
      <c r="F234" s="19" t="s">
        <v>1034</v>
      </c>
      <c r="G234" s="19" t="s">
        <v>1035</v>
      </c>
      <c r="H234" s="69" t="s">
        <v>1048</v>
      </c>
      <c r="I234" s="70" t="s">
        <v>551</v>
      </c>
      <c r="J234" s="70" t="s">
        <v>521</v>
      </c>
      <c r="K234" s="71">
        <v>1</v>
      </c>
      <c r="L234" s="72">
        <v>522002627</v>
      </c>
      <c r="M234" s="72" t="s">
        <v>1049</v>
      </c>
      <c r="N234" s="73">
        <v>153.4</v>
      </c>
      <c r="O234" s="74" t="s">
        <v>279</v>
      </c>
      <c r="P234" s="73">
        <v>249.95</v>
      </c>
      <c r="Q234" s="80" t="s">
        <v>279</v>
      </c>
      <c r="W234" s="76" t="s">
        <v>1050</v>
      </c>
      <c r="X234" s="77">
        <v>153.4</v>
      </c>
      <c r="Y234" s="78">
        <v>0</v>
      </c>
      <c r="AA234" s="79">
        <v>153.4</v>
      </c>
      <c r="AB234" s="79">
        <v>153.4</v>
      </c>
      <c r="AC234" s="78">
        <v>0</v>
      </c>
      <c r="AE234" s="63" t="s">
        <v>219</v>
      </c>
      <c r="AF234" s="63">
        <v>1</v>
      </c>
      <c r="AG234" s="63">
        <v>1</v>
      </c>
      <c r="AK234" s="77">
        <v>0</v>
      </c>
      <c r="BA234" s="41" t="s">
        <v>230</v>
      </c>
      <c r="BB234" s="41" t="s">
        <v>15</v>
      </c>
      <c r="BC234" s="41" t="s">
        <v>232</v>
      </c>
      <c r="BD234" s="41" t="s">
        <v>984</v>
      </c>
    </row>
    <row r="235" spans="1:56" ht="18" customHeight="1" outlineLevel="1">
      <c r="A235" s="19">
        <v>363</v>
      </c>
      <c r="B235" s="19">
        <v>522005267</v>
      </c>
      <c r="C235" s="19">
        <v>522005267</v>
      </c>
      <c r="D235" s="50" t="s">
        <v>13</v>
      </c>
      <c r="E235" s="19" t="s">
        <v>1033</v>
      </c>
      <c r="F235" s="19" t="s">
        <v>1034</v>
      </c>
      <c r="G235" s="19" t="s">
        <v>1035</v>
      </c>
      <c r="H235" s="69" t="s">
        <v>1051</v>
      </c>
      <c r="I235" s="70" t="s">
        <v>1008</v>
      </c>
      <c r="J235" s="70" t="s">
        <v>344</v>
      </c>
      <c r="K235" s="71">
        <v>1</v>
      </c>
      <c r="L235" s="72">
        <v>522005267</v>
      </c>
      <c r="M235" s="72" t="s">
        <v>1052</v>
      </c>
      <c r="N235" s="73">
        <v>153.4</v>
      </c>
      <c r="O235" s="74" t="s">
        <v>279</v>
      </c>
      <c r="P235" s="73">
        <v>249.95</v>
      </c>
      <c r="Q235" s="80" t="s">
        <v>279</v>
      </c>
      <c r="W235" s="76" t="s">
        <v>1053</v>
      </c>
      <c r="X235" s="77">
        <v>153.4</v>
      </c>
      <c r="Y235" s="78">
        <v>0</v>
      </c>
      <c r="AA235" s="79">
        <v>153.4</v>
      </c>
      <c r="AB235" s="79">
        <v>153.4</v>
      </c>
      <c r="AC235" s="78">
        <v>0</v>
      </c>
      <c r="AE235" s="63" t="s">
        <v>219</v>
      </c>
      <c r="AF235" s="63">
        <v>1</v>
      </c>
      <c r="AG235" s="63">
        <v>1</v>
      </c>
      <c r="AK235" s="77">
        <v>0</v>
      </c>
      <c r="BA235" s="41" t="s">
        <v>230</v>
      </c>
      <c r="BB235" s="41" t="s">
        <v>15</v>
      </c>
      <c r="BC235" s="41" t="s">
        <v>232</v>
      </c>
      <c r="BD235" s="41" t="s">
        <v>984</v>
      </c>
    </row>
    <row r="236" spans="1:56" ht="27" customHeight="1" outlineLevel="1">
      <c r="A236" s="19">
        <v>364</v>
      </c>
      <c r="B236" s="19" t="s">
        <v>219</v>
      </c>
      <c r="C236" s="19" t="s">
        <v>219</v>
      </c>
      <c r="D236" s="50" t="s">
        <v>219</v>
      </c>
      <c r="E236" s="19" t="s">
        <v>219</v>
      </c>
      <c r="F236" s="19" t="s">
        <v>219</v>
      </c>
      <c r="G236" s="19" t="s">
        <v>219</v>
      </c>
      <c r="H236" s="81" t="s">
        <v>219</v>
      </c>
      <c r="I236" s="70" t="s">
        <v>219</v>
      </c>
      <c r="J236" s="70" t="s">
        <v>219</v>
      </c>
      <c r="K236" s="71" t="s">
        <v>219</v>
      </c>
      <c r="L236" s="72" t="s">
        <v>219</v>
      </c>
      <c r="M236" s="72" t="s">
        <v>219</v>
      </c>
      <c r="N236" s="73" t="s">
        <v>219</v>
      </c>
      <c r="O236" s="74" t="s">
        <v>219</v>
      </c>
      <c r="P236" s="73" t="s">
        <v>219</v>
      </c>
      <c r="Q236" s="80" t="s">
        <v>219</v>
      </c>
      <c r="W236" s="76" t="s">
        <v>219</v>
      </c>
      <c r="X236" s="77" t="s">
        <v>219</v>
      </c>
      <c r="Y236" s="78">
        <v>0</v>
      </c>
      <c r="AA236" s="79" t="s">
        <v>219</v>
      </c>
      <c r="AB236" s="79" t="s">
        <v>219</v>
      </c>
      <c r="AC236" s="78">
        <v>0</v>
      </c>
      <c r="AE236" s="63" t="s">
        <v>230</v>
      </c>
      <c r="AF236" s="63">
        <v>0</v>
      </c>
      <c r="AG236" s="63" t="s">
        <v>219</v>
      </c>
      <c r="AK236" s="77">
        <v>0</v>
      </c>
      <c r="BA236" s="41" t="s">
        <v>230</v>
      </c>
      <c r="BB236" s="41" t="s">
        <v>15</v>
      </c>
      <c r="BC236" s="41" t="s">
        <v>232</v>
      </c>
      <c r="BD236" s="41" t="s">
        <v>984</v>
      </c>
    </row>
    <row r="237" spans="1:56" ht="18" customHeight="1" outlineLevel="1">
      <c r="A237" s="19">
        <v>365</v>
      </c>
      <c r="B237" s="19">
        <v>524000609</v>
      </c>
      <c r="C237" s="19">
        <v>524000609</v>
      </c>
      <c r="D237" s="50" t="s">
        <v>13</v>
      </c>
      <c r="E237" s="19" t="s">
        <v>1054</v>
      </c>
      <c r="F237" s="19" t="s">
        <v>1055</v>
      </c>
      <c r="G237" s="19" t="s">
        <v>1056</v>
      </c>
      <c r="H237" s="69" t="s">
        <v>1057</v>
      </c>
      <c r="I237" s="70" t="s">
        <v>543</v>
      </c>
      <c r="J237" s="70" t="s">
        <v>289</v>
      </c>
      <c r="K237" s="71">
        <v>1</v>
      </c>
      <c r="L237" s="72">
        <v>524000609</v>
      </c>
      <c r="M237" s="72" t="s">
        <v>1058</v>
      </c>
      <c r="N237" s="73">
        <v>398.8</v>
      </c>
      <c r="O237" s="74" t="s">
        <v>279</v>
      </c>
      <c r="P237" s="73">
        <v>649.95000000000005</v>
      </c>
      <c r="Q237" s="80" t="s">
        <v>279</v>
      </c>
      <c r="W237" s="76" t="s">
        <v>1059</v>
      </c>
      <c r="X237" s="77">
        <v>398.8</v>
      </c>
      <c r="Y237" s="78">
        <v>0</v>
      </c>
      <c r="AA237" s="79">
        <v>398.8</v>
      </c>
      <c r="AB237" s="79">
        <v>398.8</v>
      </c>
      <c r="AC237" s="78">
        <v>0</v>
      </c>
      <c r="AE237" s="63" t="s">
        <v>219</v>
      </c>
      <c r="AF237" s="63">
        <v>0</v>
      </c>
      <c r="AG237" s="63">
        <v>0</v>
      </c>
      <c r="AK237" s="77">
        <v>0</v>
      </c>
      <c r="BA237" s="41" t="s">
        <v>230</v>
      </c>
      <c r="BB237" s="41" t="s">
        <v>15</v>
      </c>
      <c r="BC237" s="41" t="s">
        <v>232</v>
      </c>
      <c r="BD237" s="41" t="s">
        <v>984</v>
      </c>
    </row>
    <row r="238" spans="1:56" ht="18" customHeight="1" outlineLevel="1">
      <c r="A238" s="19">
        <v>366</v>
      </c>
      <c r="B238" s="19">
        <v>524000617</v>
      </c>
      <c r="C238" s="19">
        <v>524000617</v>
      </c>
      <c r="D238" s="50" t="s">
        <v>13</v>
      </c>
      <c r="E238" s="19" t="s">
        <v>1054</v>
      </c>
      <c r="F238" s="19" t="s">
        <v>1055</v>
      </c>
      <c r="G238" s="19" t="s">
        <v>1056</v>
      </c>
      <c r="H238" s="69" t="s">
        <v>1060</v>
      </c>
      <c r="I238" s="70" t="s">
        <v>1061</v>
      </c>
      <c r="J238" s="70" t="s">
        <v>619</v>
      </c>
      <c r="K238" s="71">
        <v>1</v>
      </c>
      <c r="L238" s="72">
        <v>524000617</v>
      </c>
      <c r="M238" s="72" t="s">
        <v>1062</v>
      </c>
      <c r="N238" s="73">
        <v>398.8</v>
      </c>
      <c r="O238" s="74" t="s">
        <v>279</v>
      </c>
      <c r="P238" s="73">
        <v>649.95000000000005</v>
      </c>
      <c r="Q238" s="80" t="s">
        <v>279</v>
      </c>
      <c r="W238" s="76" t="s">
        <v>1063</v>
      </c>
      <c r="X238" s="77">
        <v>398.8</v>
      </c>
      <c r="Y238" s="78">
        <v>0</v>
      </c>
      <c r="AA238" s="79">
        <v>398.8</v>
      </c>
      <c r="AB238" s="79">
        <v>398.8</v>
      </c>
      <c r="AC238" s="78">
        <v>0</v>
      </c>
      <c r="AE238" s="63" t="s">
        <v>219</v>
      </c>
      <c r="AF238" s="63">
        <v>0</v>
      </c>
      <c r="AG238" s="63">
        <v>0</v>
      </c>
      <c r="AK238" s="77">
        <v>0</v>
      </c>
      <c r="BA238" s="41" t="s">
        <v>230</v>
      </c>
      <c r="BB238" s="41" t="s">
        <v>15</v>
      </c>
      <c r="BC238" s="41" t="s">
        <v>232</v>
      </c>
      <c r="BD238" s="41" t="s">
        <v>984</v>
      </c>
    </row>
    <row r="239" spans="1:56" ht="18" customHeight="1" outlineLevel="1">
      <c r="A239" s="19">
        <v>367</v>
      </c>
      <c r="B239" s="19">
        <v>524000625</v>
      </c>
      <c r="C239" s="19">
        <v>524000625</v>
      </c>
      <c r="D239" s="50" t="s">
        <v>13</v>
      </c>
      <c r="E239" s="19" t="s">
        <v>1054</v>
      </c>
      <c r="F239" s="19" t="s">
        <v>1055</v>
      </c>
      <c r="G239" s="19" t="s">
        <v>1056</v>
      </c>
      <c r="H239" s="69" t="s">
        <v>1064</v>
      </c>
      <c r="I239" s="70" t="s">
        <v>1065</v>
      </c>
      <c r="J239" s="70" t="s">
        <v>556</v>
      </c>
      <c r="K239" s="71">
        <v>1</v>
      </c>
      <c r="L239" s="72">
        <v>524000625</v>
      </c>
      <c r="M239" s="72" t="s">
        <v>1066</v>
      </c>
      <c r="N239" s="73">
        <v>398.8</v>
      </c>
      <c r="O239" s="74" t="s">
        <v>279</v>
      </c>
      <c r="P239" s="73">
        <v>649.95000000000005</v>
      </c>
      <c r="Q239" s="80" t="s">
        <v>279</v>
      </c>
      <c r="W239" s="76" t="s">
        <v>1067</v>
      </c>
      <c r="X239" s="77">
        <v>398.8</v>
      </c>
      <c r="Y239" s="78">
        <v>0</v>
      </c>
      <c r="AA239" s="79">
        <v>398.8</v>
      </c>
      <c r="AB239" s="79">
        <v>398.8</v>
      </c>
      <c r="AC239" s="78">
        <v>0</v>
      </c>
      <c r="AE239" s="63" t="s">
        <v>219</v>
      </c>
      <c r="AF239" s="63">
        <v>0</v>
      </c>
      <c r="AG239" s="63">
        <v>0</v>
      </c>
      <c r="AK239" s="77">
        <v>0</v>
      </c>
      <c r="BA239" s="41" t="s">
        <v>230</v>
      </c>
      <c r="BB239" s="41" t="s">
        <v>15</v>
      </c>
      <c r="BC239" s="41" t="s">
        <v>232</v>
      </c>
      <c r="BD239" s="41" t="s">
        <v>984</v>
      </c>
    </row>
    <row r="240" spans="1:56" ht="18" customHeight="1" outlineLevel="1">
      <c r="A240" s="19">
        <v>368</v>
      </c>
      <c r="B240" s="19">
        <v>524000743</v>
      </c>
      <c r="C240" s="19">
        <v>524000743</v>
      </c>
      <c r="D240" s="50" t="s">
        <v>13</v>
      </c>
      <c r="E240" s="19" t="s">
        <v>1054</v>
      </c>
      <c r="F240" s="19" t="s">
        <v>1055</v>
      </c>
      <c r="G240" s="19" t="s">
        <v>1056</v>
      </c>
      <c r="H240" s="69" t="s">
        <v>1068</v>
      </c>
      <c r="I240" s="70" t="s">
        <v>560</v>
      </c>
      <c r="J240" s="70" t="s">
        <v>329</v>
      </c>
      <c r="K240" s="71">
        <v>1</v>
      </c>
      <c r="L240" s="72">
        <v>524000743</v>
      </c>
      <c r="M240" s="72" t="s">
        <v>1069</v>
      </c>
      <c r="N240" s="73">
        <v>398.8</v>
      </c>
      <c r="O240" s="74" t="s">
        <v>279</v>
      </c>
      <c r="P240" s="73">
        <v>649.95000000000005</v>
      </c>
      <c r="Q240" s="80" t="s">
        <v>279</v>
      </c>
      <c r="W240" s="76" t="s">
        <v>1070</v>
      </c>
      <c r="X240" s="77">
        <v>398.8</v>
      </c>
      <c r="Y240" s="78">
        <v>0</v>
      </c>
      <c r="AA240" s="79">
        <v>398.8</v>
      </c>
      <c r="AB240" s="79">
        <v>398.8</v>
      </c>
      <c r="AC240" s="78">
        <v>0</v>
      </c>
      <c r="AE240" s="63" t="s">
        <v>219</v>
      </c>
      <c r="AF240" s="63">
        <v>0</v>
      </c>
      <c r="AG240" s="63">
        <v>0</v>
      </c>
      <c r="AK240" s="77">
        <v>0</v>
      </c>
      <c r="BA240" s="41" t="s">
        <v>230</v>
      </c>
      <c r="BB240" s="41" t="s">
        <v>15</v>
      </c>
      <c r="BC240" s="41" t="s">
        <v>232</v>
      </c>
      <c r="BD240" s="41" t="s">
        <v>984</v>
      </c>
    </row>
    <row r="241" spans="1:56" s="57" customFormat="1" ht="18" customHeight="1" outlineLevel="1">
      <c r="A241" s="49">
        <v>369</v>
      </c>
      <c r="B241" s="19">
        <v>524001009</v>
      </c>
      <c r="C241" s="19">
        <v>524001009</v>
      </c>
      <c r="D241" s="50" t="s">
        <v>13</v>
      </c>
      <c r="E241" s="19" t="s">
        <v>1054</v>
      </c>
      <c r="F241" s="19" t="s">
        <v>1055</v>
      </c>
      <c r="G241" s="19" t="s">
        <v>1056</v>
      </c>
      <c r="H241" s="20" t="s">
        <v>1071</v>
      </c>
      <c r="I241" s="64" t="s">
        <v>1008</v>
      </c>
      <c r="J241" s="70" t="s">
        <v>344</v>
      </c>
      <c r="K241" s="53">
        <v>1</v>
      </c>
      <c r="L241" s="20">
        <v>524001009</v>
      </c>
      <c r="M241" s="72" t="s">
        <v>1072</v>
      </c>
      <c r="N241" s="54">
        <v>398.8</v>
      </c>
      <c r="O241" s="56" t="s">
        <v>279</v>
      </c>
      <c r="P241" s="54">
        <v>649.95000000000005</v>
      </c>
      <c r="Q241" s="56" t="s">
        <v>279</v>
      </c>
      <c r="R241" s="27"/>
      <c r="S241" s="58"/>
      <c r="T241" s="51"/>
      <c r="U241" s="51"/>
      <c r="V241" s="51"/>
      <c r="W241" s="76" t="s">
        <v>1073</v>
      </c>
      <c r="X241" s="77">
        <v>398.8</v>
      </c>
      <c r="Y241" s="78">
        <v>0</v>
      </c>
      <c r="Z241" s="29"/>
      <c r="AA241" s="79">
        <v>398.8</v>
      </c>
      <c r="AB241" s="79">
        <v>398.8</v>
      </c>
      <c r="AC241" s="78">
        <v>0</v>
      </c>
      <c r="AD241" s="29"/>
      <c r="AE241" s="63" t="s">
        <v>219</v>
      </c>
      <c r="AF241" s="63">
        <v>0</v>
      </c>
      <c r="AG241" s="63">
        <v>0</v>
      </c>
      <c r="AH241" s="29"/>
      <c r="AI241" s="27"/>
      <c r="AJ241" s="29"/>
      <c r="AK241" s="77">
        <v>0</v>
      </c>
      <c r="BA241" s="41" t="s">
        <v>230</v>
      </c>
      <c r="BB241" s="41" t="s">
        <v>15</v>
      </c>
      <c r="BC241" s="41" t="s">
        <v>232</v>
      </c>
      <c r="BD241" s="41" t="s">
        <v>984</v>
      </c>
    </row>
    <row r="242" spans="1:56" s="57" customFormat="1" ht="27" customHeight="1" outlineLevel="1">
      <c r="A242" s="49">
        <v>370</v>
      </c>
      <c r="B242" s="19" t="s">
        <v>219</v>
      </c>
      <c r="C242" s="19" t="s">
        <v>219</v>
      </c>
      <c r="D242" s="50" t="s">
        <v>219</v>
      </c>
      <c r="E242" s="19" t="s">
        <v>219</v>
      </c>
      <c r="F242" s="19" t="s">
        <v>219</v>
      </c>
      <c r="G242" s="19" t="s">
        <v>219</v>
      </c>
      <c r="H242" s="52" t="s">
        <v>219</v>
      </c>
      <c r="I242" s="64" t="s">
        <v>219</v>
      </c>
      <c r="J242" s="70" t="s">
        <v>219</v>
      </c>
      <c r="K242" s="53" t="s">
        <v>219</v>
      </c>
      <c r="L242" s="20" t="s">
        <v>219</v>
      </c>
      <c r="M242" s="72" t="s">
        <v>219</v>
      </c>
      <c r="N242" s="54" t="s">
        <v>219</v>
      </c>
      <c r="O242" s="56" t="s">
        <v>219</v>
      </c>
      <c r="P242" s="54" t="s">
        <v>219</v>
      </c>
      <c r="Q242" s="56" t="s">
        <v>219</v>
      </c>
      <c r="R242" s="27"/>
      <c r="S242" s="58"/>
      <c r="T242" s="51"/>
      <c r="U242" s="51"/>
      <c r="V242" s="51"/>
      <c r="W242" s="76" t="s">
        <v>219</v>
      </c>
      <c r="X242" s="77" t="s">
        <v>219</v>
      </c>
      <c r="Y242" s="78">
        <v>0</v>
      </c>
      <c r="Z242" s="29"/>
      <c r="AA242" s="79" t="s">
        <v>219</v>
      </c>
      <c r="AB242" s="79" t="s">
        <v>219</v>
      </c>
      <c r="AC242" s="78">
        <v>0</v>
      </c>
      <c r="AD242" s="29"/>
      <c r="AE242" s="63" t="s">
        <v>230</v>
      </c>
      <c r="AF242" s="63">
        <v>1</v>
      </c>
      <c r="AG242" s="63" t="s">
        <v>219</v>
      </c>
      <c r="AH242" s="29"/>
      <c r="AI242" s="27"/>
      <c r="AJ242" s="29"/>
      <c r="AK242" s="77">
        <v>0</v>
      </c>
      <c r="BA242" s="41" t="s">
        <v>230</v>
      </c>
      <c r="BB242" s="41" t="s">
        <v>15</v>
      </c>
      <c r="BC242" s="41" t="s">
        <v>232</v>
      </c>
      <c r="BD242" s="41" t="s">
        <v>984</v>
      </c>
    </row>
    <row r="243" spans="1:56" s="57" customFormat="1" ht="18" customHeight="1" outlineLevel="1">
      <c r="A243" s="49">
        <v>371</v>
      </c>
      <c r="B243" s="19">
        <v>524000367</v>
      </c>
      <c r="C243" s="19">
        <v>524000367</v>
      </c>
      <c r="D243" s="50" t="s">
        <v>13</v>
      </c>
      <c r="E243" s="19" t="s">
        <v>1033</v>
      </c>
      <c r="F243" s="19" t="s">
        <v>1074</v>
      </c>
      <c r="G243" s="19" t="s">
        <v>1075</v>
      </c>
      <c r="H243" s="20" t="s">
        <v>1076</v>
      </c>
      <c r="I243" s="64" t="s">
        <v>543</v>
      </c>
      <c r="J243" s="70" t="s">
        <v>289</v>
      </c>
      <c r="K243" s="53">
        <v>1</v>
      </c>
      <c r="L243" s="20">
        <v>524000367</v>
      </c>
      <c r="M243" s="72" t="s">
        <v>1077</v>
      </c>
      <c r="N243" s="54">
        <v>128.9</v>
      </c>
      <c r="O243" s="56" t="s">
        <v>279</v>
      </c>
      <c r="P243" s="54">
        <v>209.95</v>
      </c>
      <c r="Q243" s="56" t="s">
        <v>279</v>
      </c>
      <c r="R243" s="27"/>
      <c r="S243" s="58"/>
      <c r="T243" s="51"/>
      <c r="U243" s="51"/>
      <c r="V243" s="51"/>
      <c r="W243" s="76" t="s">
        <v>1078</v>
      </c>
      <c r="X243" s="77">
        <v>128.9</v>
      </c>
      <c r="Y243" s="78">
        <v>0</v>
      </c>
      <c r="Z243" s="29"/>
      <c r="AA243" s="79">
        <v>128.9</v>
      </c>
      <c r="AB243" s="79">
        <v>128.9</v>
      </c>
      <c r="AC243" s="78">
        <v>0</v>
      </c>
      <c r="AD243" s="29"/>
      <c r="AE243" s="63" t="s">
        <v>219</v>
      </c>
      <c r="AF243" s="63">
        <v>1</v>
      </c>
      <c r="AG243" s="63">
        <v>1</v>
      </c>
      <c r="AH243" s="29"/>
      <c r="AI243" s="27"/>
      <c r="AJ243" s="29"/>
      <c r="AK243" s="77">
        <v>0</v>
      </c>
      <c r="BA243" s="41" t="s">
        <v>230</v>
      </c>
      <c r="BB243" s="41" t="s">
        <v>15</v>
      </c>
      <c r="BC243" s="41" t="s">
        <v>232</v>
      </c>
      <c r="BD243" s="41" t="s">
        <v>984</v>
      </c>
    </row>
    <row r="244" spans="1:56" ht="18" customHeight="1" outlineLevel="1">
      <c r="A244" s="19">
        <v>372</v>
      </c>
      <c r="B244" s="19">
        <v>524000369</v>
      </c>
      <c r="C244" s="19">
        <v>524000369</v>
      </c>
      <c r="D244" s="50" t="s">
        <v>13</v>
      </c>
      <c r="E244" s="19" t="s">
        <v>1033</v>
      </c>
      <c r="F244" s="19" t="s">
        <v>1074</v>
      </c>
      <c r="G244" s="19" t="s">
        <v>1075</v>
      </c>
      <c r="H244" s="69" t="s">
        <v>1079</v>
      </c>
      <c r="I244" s="70" t="s">
        <v>1061</v>
      </c>
      <c r="J244" s="70" t="s">
        <v>619</v>
      </c>
      <c r="K244" s="71">
        <v>1</v>
      </c>
      <c r="L244" s="72">
        <v>524000369</v>
      </c>
      <c r="M244" s="72" t="s">
        <v>1080</v>
      </c>
      <c r="N244" s="73">
        <v>128.9</v>
      </c>
      <c r="O244" s="74" t="s">
        <v>279</v>
      </c>
      <c r="P244" s="73">
        <v>209.95</v>
      </c>
      <c r="Q244" s="80" t="s">
        <v>279</v>
      </c>
      <c r="W244" s="76" t="s">
        <v>1081</v>
      </c>
      <c r="X244" s="77">
        <v>128.9</v>
      </c>
      <c r="Y244" s="78">
        <v>0</v>
      </c>
      <c r="AA244" s="79">
        <v>128.9</v>
      </c>
      <c r="AB244" s="79">
        <v>128.9</v>
      </c>
      <c r="AC244" s="78">
        <v>0</v>
      </c>
      <c r="AE244" s="63" t="s">
        <v>219</v>
      </c>
      <c r="AF244" s="63">
        <v>1</v>
      </c>
      <c r="AG244" s="63">
        <v>1</v>
      </c>
      <c r="AK244" s="77">
        <v>0</v>
      </c>
      <c r="BA244" s="41" t="s">
        <v>230</v>
      </c>
      <c r="BB244" s="41" t="s">
        <v>15</v>
      </c>
      <c r="BC244" s="41" t="s">
        <v>232</v>
      </c>
      <c r="BD244" s="41" t="s">
        <v>984</v>
      </c>
    </row>
    <row r="245" spans="1:56" ht="18" customHeight="1" outlineLevel="1">
      <c r="A245" s="19">
        <v>373</v>
      </c>
      <c r="B245" s="19">
        <v>524000383</v>
      </c>
      <c r="C245" s="19">
        <v>524000383</v>
      </c>
      <c r="D245" s="50" t="s">
        <v>13</v>
      </c>
      <c r="E245" s="19" t="s">
        <v>1033</v>
      </c>
      <c r="F245" s="19" t="s">
        <v>1074</v>
      </c>
      <c r="G245" s="19" t="s">
        <v>1075</v>
      </c>
      <c r="H245" s="69" t="s">
        <v>1082</v>
      </c>
      <c r="I245" s="70" t="s">
        <v>1065</v>
      </c>
      <c r="J245" s="70" t="s">
        <v>556</v>
      </c>
      <c r="K245" s="71">
        <v>1</v>
      </c>
      <c r="L245" s="72">
        <v>524000383</v>
      </c>
      <c r="M245" s="72" t="s">
        <v>1083</v>
      </c>
      <c r="N245" s="73">
        <v>128.9</v>
      </c>
      <c r="O245" s="74" t="s">
        <v>279</v>
      </c>
      <c r="P245" s="73">
        <v>209.95</v>
      </c>
      <c r="Q245" s="80" t="s">
        <v>279</v>
      </c>
      <c r="W245" s="76" t="s">
        <v>1084</v>
      </c>
      <c r="X245" s="77">
        <v>128.9</v>
      </c>
      <c r="Y245" s="78">
        <v>0</v>
      </c>
      <c r="AA245" s="79">
        <v>128.9</v>
      </c>
      <c r="AB245" s="79">
        <v>128.9</v>
      </c>
      <c r="AC245" s="78">
        <v>0</v>
      </c>
      <c r="AE245" s="63" t="s">
        <v>219</v>
      </c>
      <c r="AF245" s="63">
        <v>1</v>
      </c>
      <c r="AG245" s="63">
        <v>1</v>
      </c>
      <c r="AK245" s="77">
        <v>0</v>
      </c>
      <c r="BA245" s="41" t="s">
        <v>230</v>
      </c>
      <c r="BB245" s="41" t="s">
        <v>15</v>
      </c>
      <c r="BC245" s="41" t="s">
        <v>232</v>
      </c>
      <c r="BD245" s="41" t="s">
        <v>984</v>
      </c>
    </row>
    <row r="246" spans="1:56" ht="18" customHeight="1" outlineLevel="1">
      <c r="A246" s="19">
        <v>374</v>
      </c>
      <c r="B246" s="19">
        <v>524001329</v>
      </c>
      <c r="C246" s="19">
        <v>524001329</v>
      </c>
      <c r="D246" s="50" t="s">
        <v>13</v>
      </c>
      <c r="E246" s="19" t="s">
        <v>1033</v>
      </c>
      <c r="F246" s="19" t="s">
        <v>1074</v>
      </c>
      <c r="G246" s="19" t="s">
        <v>1075</v>
      </c>
      <c r="H246" s="69" t="s">
        <v>1085</v>
      </c>
      <c r="I246" s="70" t="s">
        <v>560</v>
      </c>
      <c r="J246" s="70" t="s">
        <v>329</v>
      </c>
      <c r="K246" s="71">
        <v>1</v>
      </c>
      <c r="L246" s="72">
        <v>524001329</v>
      </c>
      <c r="M246" s="72" t="s">
        <v>1086</v>
      </c>
      <c r="N246" s="73">
        <v>128.9</v>
      </c>
      <c r="O246" s="74" t="s">
        <v>279</v>
      </c>
      <c r="P246" s="73">
        <v>209.95</v>
      </c>
      <c r="Q246" s="80" t="s">
        <v>279</v>
      </c>
      <c r="W246" s="76" t="s">
        <v>1087</v>
      </c>
      <c r="X246" s="77">
        <v>128.9</v>
      </c>
      <c r="Y246" s="78">
        <v>0</v>
      </c>
      <c r="AA246" s="79">
        <v>128.9</v>
      </c>
      <c r="AB246" s="79">
        <v>128.9</v>
      </c>
      <c r="AC246" s="78">
        <v>0</v>
      </c>
      <c r="AE246" s="63" t="s">
        <v>219</v>
      </c>
      <c r="AF246" s="63">
        <v>1</v>
      </c>
      <c r="AG246" s="63">
        <v>1</v>
      </c>
      <c r="AK246" s="77">
        <v>0</v>
      </c>
      <c r="BA246" s="41" t="s">
        <v>230</v>
      </c>
      <c r="BB246" s="41" t="s">
        <v>15</v>
      </c>
      <c r="BC246" s="41" t="s">
        <v>232</v>
      </c>
      <c r="BD246" s="41" t="s">
        <v>984</v>
      </c>
    </row>
    <row r="247" spans="1:56" ht="18" customHeight="1" outlineLevel="1">
      <c r="A247" s="19">
        <v>375</v>
      </c>
      <c r="B247" s="19">
        <v>524001335</v>
      </c>
      <c r="C247" s="19">
        <v>524001335</v>
      </c>
      <c r="D247" s="50" t="s">
        <v>13</v>
      </c>
      <c r="E247" s="19" t="s">
        <v>1033</v>
      </c>
      <c r="F247" s="19" t="s">
        <v>1074</v>
      </c>
      <c r="G247" s="19" t="s">
        <v>1075</v>
      </c>
      <c r="H247" s="69" t="s">
        <v>1088</v>
      </c>
      <c r="I247" s="70" t="s">
        <v>1008</v>
      </c>
      <c r="J247" s="70" t="s">
        <v>344</v>
      </c>
      <c r="K247" s="71">
        <v>1</v>
      </c>
      <c r="L247" s="72">
        <v>524001335</v>
      </c>
      <c r="M247" s="72" t="s">
        <v>1089</v>
      </c>
      <c r="N247" s="73">
        <v>128.9</v>
      </c>
      <c r="O247" s="74" t="s">
        <v>279</v>
      </c>
      <c r="P247" s="73">
        <v>209.95</v>
      </c>
      <c r="Q247" s="80" t="s">
        <v>279</v>
      </c>
      <c r="W247" s="76" t="s">
        <v>1090</v>
      </c>
      <c r="X247" s="77">
        <v>128.9</v>
      </c>
      <c r="Y247" s="78">
        <v>0</v>
      </c>
      <c r="AA247" s="79">
        <v>128.9</v>
      </c>
      <c r="AB247" s="79">
        <v>128.9</v>
      </c>
      <c r="AC247" s="78">
        <v>0</v>
      </c>
      <c r="AE247" s="63" t="s">
        <v>219</v>
      </c>
      <c r="AF247" s="63">
        <v>1</v>
      </c>
      <c r="AG247" s="63">
        <v>1</v>
      </c>
      <c r="AK247" s="77">
        <v>0</v>
      </c>
      <c r="BA247" s="41" t="s">
        <v>230</v>
      </c>
      <c r="BB247" s="41" t="s">
        <v>15</v>
      </c>
      <c r="BC247" s="41" t="s">
        <v>232</v>
      </c>
      <c r="BD247" s="41" t="s">
        <v>984</v>
      </c>
    </row>
    <row r="248" spans="1:56" ht="27" customHeight="1" outlineLevel="1">
      <c r="A248" s="19">
        <v>376</v>
      </c>
      <c r="B248" s="19" t="s">
        <v>219</v>
      </c>
      <c r="C248" s="19" t="s">
        <v>219</v>
      </c>
      <c r="D248" s="50" t="s">
        <v>219</v>
      </c>
      <c r="E248" s="19" t="s">
        <v>219</v>
      </c>
      <c r="F248" s="19" t="s">
        <v>219</v>
      </c>
      <c r="G248" s="19" t="s">
        <v>219</v>
      </c>
      <c r="H248" s="81" t="s">
        <v>219</v>
      </c>
      <c r="I248" s="70" t="s">
        <v>219</v>
      </c>
      <c r="J248" s="70" t="s">
        <v>219</v>
      </c>
      <c r="K248" s="71" t="s">
        <v>219</v>
      </c>
      <c r="L248" s="72" t="s">
        <v>219</v>
      </c>
      <c r="M248" s="72" t="s">
        <v>219</v>
      </c>
      <c r="N248" s="73" t="s">
        <v>219</v>
      </c>
      <c r="O248" s="74" t="s">
        <v>219</v>
      </c>
      <c r="P248" s="73" t="s">
        <v>219</v>
      </c>
      <c r="Q248" s="80" t="s">
        <v>219</v>
      </c>
      <c r="W248" s="76" t="s">
        <v>219</v>
      </c>
      <c r="X248" s="77" t="s">
        <v>219</v>
      </c>
      <c r="Y248" s="78">
        <v>0</v>
      </c>
      <c r="AA248" s="79" t="s">
        <v>219</v>
      </c>
      <c r="AB248" s="79" t="s">
        <v>219</v>
      </c>
      <c r="AC248" s="78">
        <v>0</v>
      </c>
      <c r="AE248" s="63" t="s">
        <v>230</v>
      </c>
      <c r="AF248" s="63">
        <v>0</v>
      </c>
      <c r="AG248" s="63" t="s">
        <v>219</v>
      </c>
      <c r="AK248" s="77">
        <v>0</v>
      </c>
      <c r="BA248" s="41" t="s">
        <v>230</v>
      </c>
      <c r="BB248" s="41" t="s">
        <v>15</v>
      </c>
      <c r="BC248" s="41" t="s">
        <v>232</v>
      </c>
      <c r="BD248" s="41" t="s">
        <v>984</v>
      </c>
    </row>
    <row r="249" spans="1:56" ht="18" customHeight="1" outlineLevel="1">
      <c r="A249" s="19">
        <v>377</v>
      </c>
      <c r="B249" s="19">
        <v>522003825</v>
      </c>
      <c r="C249" s="19">
        <v>522003825</v>
      </c>
      <c r="D249" s="50" t="s">
        <v>13</v>
      </c>
      <c r="E249" s="19" t="s">
        <v>1091</v>
      </c>
      <c r="F249" s="19" t="s">
        <v>1092</v>
      </c>
      <c r="G249" s="19" t="s">
        <v>1093</v>
      </c>
      <c r="H249" s="69" t="s">
        <v>1094</v>
      </c>
      <c r="I249" s="70" t="s">
        <v>543</v>
      </c>
      <c r="J249" s="70" t="s">
        <v>289</v>
      </c>
      <c r="K249" s="71">
        <v>1</v>
      </c>
      <c r="L249" s="72">
        <v>522003825</v>
      </c>
      <c r="M249" s="72" t="s">
        <v>1095</v>
      </c>
      <c r="N249" s="73">
        <v>355.8</v>
      </c>
      <c r="O249" s="74" t="s">
        <v>279</v>
      </c>
      <c r="P249" s="73">
        <v>579.95000000000005</v>
      </c>
      <c r="Q249" s="80" t="s">
        <v>279</v>
      </c>
      <c r="W249" s="76" t="s">
        <v>1096</v>
      </c>
      <c r="X249" s="77">
        <v>355.8</v>
      </c>
      <c r="Y249" s="78">
        <v>0</v>
      </c>
      <c r="AA249" s="79">
        <v>355.8</v>
      </c>
      <c r="AB249" s="79">
        <v>355.8</v>
      </c>
      <c r="AC249" s="78">
        <v>0</v>
      </c>
      <c r="AE249" s="63" t="s">
        <v>219</v>
      </c>
      <c r="AF249" s="63">
        <v>0</v>
      </c>
      <c r="AG249" s="63">
        <v>0</v>
      </c>
      <c r="AK249" s="77">
        <v>0</v>
      </c>
      <c r="BA249" s="41" t="s">
        <v>230</v>
      </c>
      <c r="BB249" s="41" t="s">
        <v>15</v>
      </c>
      <c r="BC249" s="41" t="s">
        <v>232</v>
      </c>
      <c r="BD249" s="41" t="s">
        <v>984</v>
      </c>
    </row>
    <row r="250" spans="1:56" s="57" customFormat="1" ht="27" customHeight="1" outlineLevel="1">
      <c r="A250" s="49">
        <v>378</v>
      </c>
      <c r="B250" s="19" t="s">
        <v>219</v>
      </c>
      <c r="C250" s="19" t="s">
        <v>219</v>
      </c>
      <c r="D250" s="50" t="s">
        <v>219</v>
      </c>
      <c r="E250" s="19" t="s">
        <v>219</v>
      </c>
      <c r="F250" s="19" t="s">
        <v>219</v>
      </c>
      <c r="G250" s="19" t="s">
        <v>219</v>
      </c>
      <c r="H250" s="52" t="s">
        <v>219</v>
      </c>
      <c r="I250" s="64" t="s">
        <v>219</v>
      </c>
      <c r="J250" s="70" t="s">
        <v>219</v>
      </c>
      <c r="K250" s="53" t="s">
        <v>219</v>
      </c>
      <c r="L250" s="20" t="s">
        <v>219</v>
      </c>
      <c r="M250" s="72" t="s">
        <v>219</v>
      </c>
      <c r="N250" s="54" t="s">
        <v>219</v>
      </c>
      <c r="O250" s="56" t="s">
        <v>219</v>
      </c>
      <c r="P250" s="54" t="s">
        <v>219</v>
      </c>
      <c r="Q250" s="56" t="s">
        <v>219</v>
      </c>
      <c r="R250" s="27"/>
      <c r="S250" s="58"/>
      <c r="T250" s="51"/>
      <c r="U250" s="51"/>
      <c r="V250" s="51"/>
      <c r="W250" s="76" t="s">
        <v>219</v>
      </c>
      <c r="X250" s="77" t="s">
        <v>219</v>
      </c>
      <c r="Y250" s="78">
        <v>0</v>
      </c>
      <c r="Z250" s="29"/>
      <c r="AA250" s="79" t="s">
        <v>219</v>
      </c>
      <c r="AB250" s="79" t="s">
        <v>219</v>
      </c>
      <c r="AC250" s="78">
        <v>0</v>
      </c>
      <c r="AD250" s="29"/>
      <c r="AE250" s="63" t="s">
        <v>230</v>
      </c>
      <c r="AF250" s="63">
        <v>1</v>
      </c>
      <c r="AG250" s="63" t="s">
        <v>219</v>
      </c>
      <c r="AH250" s="29"/>
      <c r="AI250" s="27"/>
      <c r="AJ250" s="29"/>
      <c r="AK250" s="77">
        <v>0</v>
      </c>
      <c r="BA250" s="41" t="s">
        <v>230</v>
      </c>
      <c r="BB250" s="41" t="s">
        <v>15</v>
      </c>
      <c r="BC250" s="41" t="s">
        <v>232</v>
      </c>
      <c r="BD250" s="41" t="s">
        <v>984</v>
      </c>
    </row>
    <row r="251" spans="1:56" ht="18" customHeight="1" outlineLevel="1">
      <c r="A251" s="19">
        <v>379</v>
      </c>
      <c r="B251" s="19">
        <v>522003847</v>
      </c>
      <c r="C251" s="19">
        <v>522003847</v>
      </c>
      <c r="D251" s="50" t="s">
        <v>13</v>
      </c>
      <c r="E251" s="19" t="s">
        <v>1091</v>
      </c>
      <c r="F251" s="19" t="s">
        <v>1097</v>
      </c>
      <c r="G251" s="19" t="s">
        <v>1098</v>
      </c>
      <c r="H251" s="69" t="s">
        <v>1099</v>
      </c>
      <c r="I251" s="70" t="s">
        <v>547</v>
      </c>
      <c r="J251" s="70" t="s">
        <v>480</v>
      </c>
      <c r="K251" s="71">
        <v>1</v>
      </c>
      <c r="L251" s="72">
        <v>522003847</v>
      </c>
      <c r="M251" s="72" t="s">
        <v>1100</v>
      </c>
      <c r="N251" s="73">
        <v>355.8</v>
      </c>
      <c r="O251" s="74" t="s">
        <v>279</v>
      </c>
      <c r="P251" s="73">
        <v>579.95000000000005</v>
      </c>
      <c r="Q251" s="80" t="s">
        <v>279</v>
      </c>
      <c r="W251" s="76" t="s">
        <v>1101</v>
      </c>
      <c r="X251" s="77">
        <v>355.8</v>
      </c>
      <c r="Y251" s="78">
        <v>0</v>
      </c>
      <c r="AA251" s="79">
        <v>355.8</v>
      </c>
      <c r="AB251" s="79">
        <v>355.8</v>
      </c>
      <c r="AC251" s="78">
        <v>0</v>
      </c>
      <c r="AE251" s="63" t="s">
        <v>219</v>
      </c>
      <c r="AF251" s="63">
        <v>1</v>
      </c>
      <c r="AG251" s="63">
        <v>1</v>
      </c>
      <c r="AK251" s="77">
        <v>0</v>
      </c>
      <c r="BA251" s="41" t="s">
        <v>230</v>
      </c>
      <c r="BB251" s="41" t="s">
        <v>15</v>
      </c>
      <c r="BC251" s="41" t="s">
        <v>232</v>
      </c>
      <c r="BD251" s="41" t="s">
        <v>984</v>
      </c>
    </row>
    <row r="252" spans="1:56" ht="18" customHeight="1" outlineLevel="1">
      <c r="A252" s="19">
        <v>380</v>
      </c>
      <c r="B252" s="19">
        <v>522003859</v>
      </c>
      <c r="C252" s="19">
        <v>522003859</v>
      </c>
      <c r="D252" s="50" t="s">
        <v>13</v>
      </c>
      <c r="E252" s="19" t="s">
        <v>1091</v>
      </c>
      <c r="F252" s="19" t="s">
        <v>1097</v>
      </c>
      <c r="G252" s="19" t="s">
        <v>1098</v>
      </c>
      <c r="H252" s="69" t="s">
        <v>1102</v>
      </c>
      <c r="I252" s="70" t="s">
        <v>551</v>
      </c>
      <c r="J252" s="70" t="s">
        <v>521</v>
      </c>
      <c r="K252" s="71">
        <v>1</v>
      </c>
      <c r="L252" s="72">
        <v>522003859</v>
      </c>
      <c r="M252" s="72" t="s">
        <v>1103</v>
      </c>
      <c r="N252" s="73">
        <v>355.8</v>
      </c>
      <c r="O252" s="74" t="s">
        <v>279</v>
      </c>
      <c r="P252" s="73">
        <v>579.95000000000005</v>
      </c>
      <c r="Q252" s="80" t="s">
        <v>279</v>
      </c>
      <c r="W252" s="76" t="s">
        <v>1104</v>
      </c>
      <c r="X252" s="77">
        <v>355.8</v>
      </c>
      <c r="Y252" s="78">
        <v>0</v>
      </c>
      <c r="AA252" s="79">
        <v>355.8</v>
      </c>
      <c r="AB252" s="79">
        <v>355.8</v>
      </c>
      <c r="AC252" s="78">
        <v>0</v>
      </c>
      <c r="AE252" s="63" t="s">
        <v>219</v>
      </c>
      <c r="AF252" s="63">
        <v>1</v>
      </c>
      <c r="AG252" s="63">
        <v>1</v>
      </c>
      <c r="AK252" s="77">
        <v>0</v>
      </c>
      <c r="BA252" s="41" t="s">
        <v>230</v>
      </c>
      <c r="BB252" s="41" t="s">
        <v>15</v>
      </c>
      <c r="BC252" s="41" t="s">
        <v>232</v>
      </c>
      <c r="BD252" s="41" t="s">
        <v>984</v>
      </c>
    </row>
    <row r="253" spans="1:56" ht="27" customHeight="1" outlineLevel="1">
      <c r="A253" s="19">
        <v>381</v>
      </c>
      <c r="B253" s="19" t="s">
        <v>219</v>
      </c>
      <c r="C253" s="19" t="s">
        <v>219</v>
      </c>
      <c r="D253" s="50" t="s">
        <v>219</v>
      </c>
      <c r="E253" s="19" t="s">
        <v>219</v>
      </c>
      <c r="F253" s="19" t="s">
        <v>219</v>
      </c>
      <c r="G253" s="19" t="s">
        <v>219</v>
      </c>
      <c r="H253" s="81" t="s">
        <v>219</v>
      </c>
      <c r="I253" s="70" t="s">
        <v>219</v>
      </c>
      <c r="J253" s="70" t="s">
        <v>219</v>
      </c>
      <c r="K253" s="71" t="s">
        <v>219</v>
      </c>
      <c r="L253" s="72" t="s">
        <v>219</v>
      </c>
      <c r="M253" s="72" t="s">
        <v>219</v>
      </c>
      <c r="N253" s="73" t="s">
        <v>219</v>
      </c>
      <c r="O253" s="74" t="s">
        <v>219</v>
      </c>
      <c r="P253" s="73" t="s">
        <v>219</v>
      </c>
      <c r="Q253" s="80" t="s">
        <v>219</v>
      </c>
      <c r="W253" s="76" t="s">
        <v>219</v>
      </c>
      <c r="X253" s="77" t="s">
        <v>219</v>
      </c>
      <c r="Y253" s="78">
        <v>0</v>
      </c>
      <c r="AA253" s="79" t="s">
        <v>219</v>
      </c>
      <c r="AB253" s="79" t="s">
        <v>219</v>
      </c>
      <c r="AC253" s="78">
        <v>0</v>
      </c>
      <c r="AE253" s="63" t="s">
        <v>230</v>
      </c>
      <c r="AF253" s="63">
        <v>0</v>
      </c>
      <c r="AG253" s="63" t="s">
        <v>219</v>
      </c>
      <c r="AK253" s="77">
        <v>0</v>
      </c>
      <c r="BA253" s="41" t="s">
        <v>230</v>
      </c>
      <c r="BB253" s="41" t="s">
        <v>15</v>
      </c>
      <c r="BC253" s="41" t="s">
        <v>232</v>
      </c>
      <c r="BD253" s="41" t="s">
        <v>984</v>
      </c>
    </row>
    <row r="254" spans="1:56" ht="18" customHeight="1" outlineLevel="1">
      <c r="A254" s="19">
        <v>382</v>
      </c>
      <c r="B254" s="19">
        <v>522003829</v>
      </c>
      <c r="C254" s="19">
        <v>522003829</v>
      </c>
      <c r="D254" s="50" t="s">
        <v>13</v>
      </c>
      <c r="E254" s="19" t="s">
        <v>1091</v>
      </c>
      <c r="F254" s="19" t="s">
        <v>1105</v>
      </c>
      <c r="G254" s="19" t="s">
        <v>1106</v>
      </c>
      <c r="H254" s="69" t="s">
        <v>1107</v>
      </c>
      <c r="I254" s="70" t="s">
        <v>555</v>
      </c>
      <c r="J254" s="70" t="s">
        <v>556</v>
      </c>
      <c r="K254" s="71">
        <v>1</v>
      </c>
      <c r="L254" s="72">
        <v>522003829</v>
      </c>
      <c r="M254" s="72" t="s">
        <v>1108</v>
      </c>
      <c r="N254" s="73">
        <v>355.8</v>
      </c>
      <c r="O254" s="74" t="s">
        <v>279</v>
      </c>
      <c r="P254" s="73">
        <v>579.95000000000005</v>
      </c>
      <c r="Q254" s="80" t="s">
        <v>279</v>
      </c>
      <c r="W254" s="76" t="s">
        <v>1109</v>
      </c>
      <c r="X254" s="77">
        <v>355.8</v>
      </c>
      <c r="Y254" s="78">
        <v>0</v>
      </c>
      <c r="AA254" s="79">
        <v>355.8</v>
      </c>
      <c r="AB254" s="79">
        <v>355.8</v>
      </c>
      <c r="AC254" s="78">
        <v>0</v>
      </c>
      <c r="AE254" s="63" t="s">
        <v>219</v>
      </c>
      <c r="AF254" s="63">
        <v>0</v>
      </c>
      <c r="AG254" s="63">
        <v>0</v>
      </c>
      <c r="AK254" s="77">
        <v>0</v>
      </c>
      <c r="BA254" s="41" t="s">
        <v>230</v>
      </c>
      <c r="BB254" s="41" t="s">
        <v>15</v>
      </c>
      <c r="BC254" s="41" t="s">
        <v>232</v>
      </c>
      <c r="BD254" s="41" t="s">
        <v>984</v>
      </c>
    </row>
    <row r="255" spans="1:56" ht="18" customHeight="1" outlineLevel="1">
      <c r="A255" s="19">
        <v>383</v>
      </c>
      <c r="B255" s="19">
        <v>522003851</v>
      </c>
      <c r="C255" s="19">
        <v>522003851</v>
      </c>
      <c r="D255" s="50" t="s">
        <v>13</v>
      </c>
      <c r="E255" s="19" t="s">
        <v>1091</v>
      </c>
      <c r="F255" s="19" t="s">
        <v>1105</v>
      </c>
      <c r="G255" s="19" t="s">
        <v>1106</v>
      </c>
      <c r="H255" s="69" t="s">
        <v>1110</v>
      </c>
      <c r="I255" s="70" t="s">
        <v>560</v>
      </c>
      <c r="J255" s="70" t="s">
        <v>329</v>
      </c>
      <c r="K255" s="71">
        <v>1</v>
      </c>
      <c r="L255" s="72">
        <v>522003851</v>
      </c>
      <c r="M255" s="72" t="s">
        <v>1111</v>
      </c>
      <c r="N255" s="73">
        <v>355.8</v>
      </c>
      <c r="O255" s="74" t="s">
        <v>279</v>
      </c>
      <c r="P255" s="73">
        <v>579.95000000000005</v>
      </c>
      <c r="Q255" s="80" t="s">
        <v>279</v>
      </c>
      <c r="W255" s="76" t="s">
        <v>1112</v>
      </c>
      <c r="X255" s="77">
        <v>355.8</v>
      </c>
      <c r="Y255" s="78">
        <v>0</v>
      </c>
      <c r="AA255" s="79">
        <v>355.8</v>
      </c>
      <c r="AB255" s="79">
        <v>355.8</v>
      </c>
      <c r="AC255" s="78">
        <v>0</v>
      </c>
      <c r="AE255" s="63" t="s">
        <v>219</v>
      </c>
      <c r="AF255" s="63">
        <v>0</v>
      </c>
      <c r="AG255" s="63">
        <v>0</v>
      </c>
      <c r="AK255" s="77">
        <v>0</v>
      </c>
      <c r="BA255" s="41" t="s">
        <v>230</v>
      </c>
      <c r="BB255" s="41" t="s">
        <v>15</v>
      </c>
      <c r="BC255" s="41" t="s">
        <v>232</v>
      </c>
      <c r="BD255" s="41" t="s">
        <v>984</v>
      </c>
    </row>
    <row r="256" spans="1:56" ht="27" customHeight="1" outlineLevel="1">
      <c r="A256" s="19">
        <v>384</v>
      </c>
      <c r="B256" s="19" t="s">
        <v>219</v>
      </c>
      <c r="C256" s="19" t="s">
        <v>219</v>
      </c>
      <c r="D256" s="50" t="s">
        <v>219</v>
      </c>
      <c r="E256" s="19" t="s">
        <v>219</v>
      </c>
      <c r="F256" s="19" t="s">
        <v>219</v>
      </c>
      <c r="G256" s="19" t="s">
        <v>219</v>
      </c>
      <c r="H256" s="81" t="s">
        <v>219</v>
      </c>
      <c r="I256" s="70" t="s">
        <v>219</v>
      </c>
      <c r="J256" s="70" t="s">
        <v>219</v>
      </c>
      <c r="K256" s="71" t="s">
        <v>219</v>
      </c>
      <c r="L256" s="72" t="s">
        <v>219</v>
      </c>
      <c r="M256" s="72" t="s">
        <v>219</v>
      </c>
      <c r="N256" s="73" t="s">
        <v>219</v>
      </c>
      <c r="O256" s="74" t="s">
        <v>219</v>
      </c>
      <c r="P256" s="73" t="s">
        <v>219</v>
      </c>
      <c r="Q256" s="80" t="s">
        <v>219</v>
      </c>
      <c r="W256" s="76" t="s">
        <v>219</v>
      </c>
      <c r="X256" s="77" t="s">
        <v>219</v>
      </c>
      <c r="Y256" s="78">
        <v>0</v>
      </c>
      <c r="AA256" s="79" t="s">
        <v>219</v>
      </c>
      <c r="AB256" s="79" t="s">
        <v>219</v>
      </c>
      <c r="AC256" s="78">
        <v>0</v>
      </c>
      <c r="AE256" s="63" t="s">
        <v>230</v>
      </c>
      <c r="AF256" s="63">
        <v>1</v>
      </c>
      <c r="AG256" s="63" t="s">
        <v>219</v>
      </c>
      <c r="AK256" s="77">
        <v>0</v>
      </c>
      <c r="BA256" s="41" t="s">
        <v>230</v>
      </c>
      <c r="BB256" s="41" t="s">
        <v>15</v>
      </c>
      <c r="BC256" s="41" t="s">
        <v>232</v>
      </c>
      <c r="BD256" s="41" t="s">
        <v>984</v>
      </c>
    </row>
    <row r="257" spans="1:56" s="57" customFormat="1" ht="18" customHeight="1" outlineLevel="1">
      <c r="A257" s="49">
        <v>385</v>
      </c>
      <c r="B257" s="19">
        <v>522002703</v>
      </c>
      <c r="C257" s="19">
        <v>522002703</v>
      </c>
      <c r="D257" s="50" t="s">
        <v>13</v>
      </c>
      <c r="E257" s="19" t="s">
        <v>1113</v>
      </c>
      <c r="F257" s="19" t="s">
        <v>1114</v>
      </c>
      <c r="G257" s="19" t="s">
        <v>1115</v>
      </c>
      <c r="H257" s="20" t="s">
        <v>1116</v>
      </c>
      <c r="I257" s="64" t="s">
        <v>543</v>
      </c>
      <c r="J257" s="70" t="s">
        <v>289</v>
      </c>
      <c r="K257" s="53">
        <v>1</v>
      </c>
      <c r="L257" s="20">
        <v>522002703</v>
      </c>
      <c r="M257" s="72" t="s">
        <v>1117</v>
      </c>
      <c r="N257" s="54">
        <v>460.1</v>
      </c>
      <c r="O257" s="56" t="s">
        <v>279</v>
      </c>
      <c r="P257" s="54">
        <v>749.95</v>
      </c>
      <c r="Q257" s="56" t="s">
        <v>279</v>
      </c>
      <c r="R257" s="27"/>
      <c r="S257" s="58"/>
      <c r="T257" s="51"/>
      <c r="U257" s="51"/>
      <c r="V257" s="51"/>
      <c r="W257" s="76" t="s">
        <v>1118</v>
      </c>
      <c r="X257" s="77">
        <v>460.1</v>
      </c>
      <c r="Y257" s="78">
        <v>0</v>
      </c>
      <c r="Z257" s="29"/>
      <c r="AA257" s="79">
        <v>460.1</v>
      </c>
      <c r="AB257" s="79">
        <v>460.1</v>
      </c>
      <c r="AC257" s="78">
        <v>0</v>
      </c>
      <c r="AD257" s="29"/>
      <c r="AE257" s="63" t="s">
        <v>219</v>
      </c>
      <c r="AF257" s="63">
        <v>1</v>
      </c>
      <c r="AG257" s="63">
        <v>1</v>
      </c>
      <c r="AH257" s="29"/>
      <c r="AI257" s="27"/>
      <c r="AJ257" s="29"/>
      <c r="AK257" s="77">
        <v>0</v>
      </c>
      <c r="BA257" s="41" t="s">
        <v>230</v>
      </c>
      <c r="BB257" s="41" t="s">
        <v>15</v>
      </c>
      <c r="BC257" s="41" t="s">
        <v>232</v>
      </c>
      <c r="BD257" s="41" t="s">
        <v>984</v>
      </c>
    </row>
    <row r="258" spans="1:56" ht="27" customHeight="1" outlineLevel="1">
      <c r="A258" s="19">
        <v>386</v>
      </c>
      <c r="B258" s="19" t="s">
        <v>219</v>
      </c>
      <c r="C258" s="19" t="s">
        <v>219</v>
      </c>
      <c r="D258" s="50" t="s">
        <v>219</v>
      </c>
      <c r="E258" s="19" t="s">
        <v>219</v>
      </c>
      <c r="F258" s="19" t="s">
        <v>219</v>
      </c>
      <c r="G258" s="19" t="s">
        <v>219</v>
      </c>
      <c r="H258" s="81" t="s">
        <v>219</v>
      </c>
      <c r="I258" s="70" t="s">
        <v>219</v>
      </c>
      <c r="J258" s="70" t="s">
        <v>219</v>
      </c>
      <c r="K258" s="71" t="s">
        <v>219</v>
      </c>
      <c r="L258" s="72" t="s">
        <v>219</v>
      </c>
      <c r="M258" s="72" t="s">
        <v>219</v>
      </c>
      <c r="N258" s="73" t="s">
        <v>219</v>
      </c>
      <c r="O258" s="74" t="s">
        <v>219</v>
      </c>
      <c r="P258" s="73" t="s">
        <v>219</v>
      </c>
      <c r="Q258" s="80" t="s">
        <v>219</v>
      </c>
      <c r="W258" s="76" t="s">
        <v>219</v>
      </c>
      <c r="X258" s="77" t="s">
        <v>219</v>
      </c>
      <c r="Y258" s="78">
        <v>0</v>
      </c>
      <c r="AA258" s="79" t="s">
        <v>219</v>
      </c>
      <c r="AB258" s="79" t="s">
        <v>219</v>
      </c>
      <c r="AC258" s="78">
        <v>0</v>
      </c>
      <c r="AE258" s="63" t="s">
        <v>230</v>
      </c>
      <c r="AF258" s="63">
        <v>0</v>
      </c>
      <c r="AG258" s="63" t="s">
        <v>219</v>
      </c>
      <c r="AK258" s="77">
        <v>0</v>
      </c>
      <c r="BA258" s="41" t="s">
        <v>230</v>
      </c>
      <c r="BB258" s="41" t="s">
        <v>15</v>
      </c>
      <c r="BC258" s="41" t="s">
        <v>232</v>
      </c>
      <c r="BD258" s="41" t="s">
        <v>984</v>
      </c>
    </row>
    <row r="259" spans="1:56" ht="18" customHeight="1" outlineLevel="1">
      <c r="A259" s="19">
        <v>387</v>
      </c>
      <c r="B259" s="19">
        <v>522002705</v>
      </c>
      <c r="C259" s="19">
        <v>522002705</v>
      </c>
      <c r="D259" s="50" t="s">
        <v>13</v>
      </c>
      <c r="E259" s="19" t="s">
        <v>1113</v>
      </c>
      <c r="F259" s="19" t="s">
        <v>1119</v>
      </c>
      <c r="G259" s="19" t="s">
        <v>1120</v>
      </c>
      <c r="H259" s="69" t="s">
        <v>1121</v>
      </c>
      <c r="I259" s="70" t="s">
        <v>547</v>
      </c>
      <c r="J259" s="70" t="s">
        <v>480</v>
      </c>
      <c r="K259" s="71">
        <v>1</v>
      </c>
      <c r="L259" s="72">
        <v>522002705</v>
      </c>
      <c r="M259" s="72" t="s">
        <v>1122</v>
      </c>
      <c r="N259" s="73">
        <v>460.1</v>
      </c>
      <c r="O259" s="74" t="s">
        <v>279</v>
      </c>
      <c r="P259" s="73">
        <v>749.95</v>
      </c>
      <c r="Q259" s="80" t="s">
        <v>279</v>
      </c>
      <c r="W259" s="76" t="s">
        <v>1123</v>
      </c>
      <c r="X259" s="77">
        <v>460.1</v>
      </c>
      <c r="Y259" s="78">
        <v>0</v>
      </c>
      <c r="AA259" s="79">
        <v>460.1</v>
      </c>
      <c r="AB259" s="79">
        <v>460.1</v>
      </c>
      <c r="AC259" s="78">
        <v>0</v>
      </c>
      <c r="AE259" s="63" t="s">
        <v>219</v>
      </c>
      <c r="AF259" s="63">
        <v>0</v>
      </c>
      <c r="AG259" s="63">
        <v>0</v>
      </c>
      <c r="AK259" s="77">
        <v>0</v>
      </c>
      <c r="BA259" s="41" t="s">
        <v>230</v>
      </c>
      <c r="BB259" s="41" t="s">
        <v>15</v>
      </c>
      <c r="BC259" s="41" t="s">
        <v>232</v>
      </c>
      <c r="BD259" s="41" t="s">
        <v>984</v>
      </c>
    </row>
    <row r="260" spans="1:56" ht="18" customHeight="1" outlineLevel="1">
      <c r="A260" s="19">
        <v>388</v>
      </c>
      <c r="B260" s="19">
        <v>522002707</v>
      </c>
      <c r="C260" s="19">
        <v>522002707</v>
      </c>
      <c r="D260" s="50" t="s">
        <v>13</v>
      </c>
      <c r="E260" s="19" t="s">
        <v>1113</v>
      </c>
      <c r="F260" s="19" t="s">
        <v>1119</v>
      </c>
      <c r="G260" s="19" t="s">
        <v>1120</v>
      </c>
      <c r="H260" s="69" t="s">
        <v>1124</v>
      </c>
      <c r="I260" s="70" t="s">
        <v>551</v>
      </c>
      <c r="J260" s="70" t="s">
        <v>521</v>
      </c>
      <c r="K260" s="71">
        <v>1</v>
      </c>
      <c r="L260" s="72">
        <v>522002707</v>
      </c>
      <c r="M260" s="72" t="s">
        <v>1125</v>
      </c>
      <c r="N260" s="73">
        <v>460.1</v>
      </c>
      <c r="O260" s="74" t="s">
        <v>279</v>
      </c>
      <c r="P260" s="73">
        <v>749.95</v>
      </c>
      <c r="Q260" s="80" t="s">
        <v>279</v>
      </c>
      <c r="W260" s="76" t="s">
        <v>1126</v>
      </c>
      <c r="X260" s="77">
        <v>460.1</v>
      </c>
      <c r="Y260" s="78">
        <v>0</v>
      </c>
      <c r="AA260" s="79">
        <v>460.1</v>
      </c>
      <c r="AB260" s="79">
        <v>460.1</v>
      </c>
      <c r="AC260" s="78">
        <v>0</v>
      </c>
      <c r="AE260" s="63" t="s">
        <v>219</v>
      </c>
      <c r="AF260" s="63">
        <v>0</v>
      </c>
      <c r="AG260" s="63">
        <v>0</v>
      </c>
      <c r="AK260" s="77">
        <v>0</v>
      </c>
      <c r="BA260" s="41" t="s">
        <v>230</v>
      </c>
      <c r="BB260" s="41" t="s">
        <v>15</v>
      </c>
      <c r="BC260" s="41" t="s">
        <v>232</v>
      </c>
      <c r="BD260" s="41" t="s">
        <v>984</v>
      </c>
    </row>
    <row r="261" spans="1:56" ht="27" customHeight="1" outlineLevel="1">
      <c r="A261" s="19">
        <v>389</v>
      </c>
      <c r="B261" s="19" t="s">
        <v>219</v>
      </c>
      <c r="C261" s="19" t="s">
        <v>219</v>
      </c>
      <c r="D261" s="50" t="s">
        <v>219</v>
      </c>
      <c r="E261" s="19" t="s">
        <v>219</v>
      </c>
      <c r="F261" s="19" t="s">
        <v>219</v>
      </c>
      <c r="G261" s="19" t="s">
        <v>219</v>
      </c>
      <c r="H261" s="81" t="s">
        <v>219</v>
      </c>
      <c r="I261" s="70" t="s">
        <v>219</v>
      </c>
      <c r="J261" s="70" t="s">
        <v>219</v>
      </c>
      <c r="K261" s="71" t="s">
        <v>219</v>
      </c>
      <c r="L261" s="72" t="s">
        <v>219</v>
      </c>
      <c r="M261" s="72" t="s">
        <v>219</v>
      </c>
      <c r="N261" s="73" t="s">
        <v>219</v>
      </c>
      <c r="O261" s="74" t="s">
        <v>219</v>
      </c>
      <c r="P261" s="73" t="s">
        <v>219</v>
      </c>
      <c r="Q261" s="80" t="s">
        <v>219</v>
      </c>
      <c r="W261" s="76" t="s">
        <v>219</v>
      </c>
      <c r="X261" s="77" t="s">
        <v>219</v>
      </c>
      <c r="Y261" s="78">
        <v>0</v>
      </c>
      <c r="AA261" s="79" t="s">
        <v>219</v>
      </c>
      <c r="AB261" s="79" t="s">
        <v>219</v>
      </c>
      <c r="AC261" s="78">
        <v>0</v>
      </c>
      <c r="AE261" s="63" t="s">
        <v>230</v>
      </c>
      <c r="AF261" s="63">
        <v>1</v>
      </c>
      <c r="AG261" s="63" t="s">
        <v>219</v>
      </c>
      <c r="AK261" s="77">
        <v>0</v>
      </c>
      <c r="BA261" s="41" t="s">
        <v>230</v>
      </c>
      <c r="BB261" s="41" t="s">
        <v>15</v>
      </c>
      <c r="BC261" s="41" t="s">
        <v>232</v>
      </c>
      <c r="BD261" s="41" t="s">
        <v>984</v>
      </c>
    </row>
    <row r="262" spans="1:56" ht="18" customHeight="1" outlineLevel="1">
      <c r="A262" s="19">
        <v>390</v>
      </c>
      <c r="B262" s="19">
        <v>522002709</v>
      </c>
      <c r="C262" s="19">
        <v>522002709</v>
      </c>
      <c r="D262" s="50" t="s">
        <v>13</v>
      </c>
      <c r="E262" s="19" t="s">
        <v>1113</v>
      </c>
      <c r="F262" s="19" t="s">
        <v>1127</v>
      </c>
      <c r="G262" s="19" t="s">
        <v>1128</v>
      </c>
      <c r="H262" s="69" t="s">
        <v>1129</v>
      </c>
      <c r="I262" s="70" t="s">
        <v>555</v>
      </c>
      <c r="J262" s="70" t="s">
        <v>556</v>
      </c>
      <c r="K262" s="71">
        <v>1</v>
      </c>
      <c r="L262" s="72">
        <v>522002709</v>
      </c>
      <c r="M262" s="72" t="s">
        <v>1130</v>
      </c>
      <c r="N262" s="73">
        <v>460.1</v>
      </c>
      <c r="O262" s="74" t="s">
        <v>279</v>
      </c>
      <c r="P262" s="73">
        <v>749.95</v>
      </c>
      <c r="Q262" s="80" t="s">
        <v>279</v>
      </c>
      <c r="W262" s="76" t="s">
        <v>1131</v>
      </c>
      <c r="X262" s="77">
        <v>460.1</v>
      </c>
      <c r="Y262" s="78">
        <v>0</v>
      </c>
      <c r="AA262" s="79">
        <v>460.1</v>
      </c>
      <c r="AB262" s="79">
        <v>460.1</v>
      </c>
      <c r="AC262" s="78">
        <v>0</v>
      </c>
      <c r="AE262" s="63" t="s">
        <v>219</v>
      </c>
      <c r="AF262" s="63">
        <v>1</v>
      </c>
      <c r="AG262" s="63">
        <v>1</v>
      </c>
      <c r="AK262" s="77">
        <v>0</v>
      </c>
      <c r="BA262" s="41" t="s">
        <v>230</v>
      </c>
      <c r="BB262" s="41" t="s">
        <v>15</v>
      </c>
      <c r="BC262" s="41" t="s">
        <v>232</v>
      </c>
      <c r="BD262" s="41" t="s">
        <v>984</v>
      </c>
    </row>
    <row r="263" spans="1:56" ht="18" customHeight="1" outlineLevel="1">
      <c r="A263" s="19">
        <v>391</v>
      </c>
      <c r="B263" s="19">
        <v>522002713</v>
      </c>
      <c r="C263" s="19">
        <v>522002713</v>
      </c>
      <c r="D263" s="50" t="s">
        <v>13</v>
      </c>
      <c r="E263" s="19" t="s">
        <v>1113</v>
      </c>
      <c r="F263" s="19" t="s">
        <v>1127</v>
      </c>
      <c r="G263" s="19" t="s">
        <v>1128</v>
      </c>
      <c r="H263" s="69" t="s">
        <v>1132</v>
      </c>
      <c r="I263" s="70" t="s">
        <v>560</v>
      </c>
      <c r="J263" s="70" t="s">
        <v>329</v>
      </c>
      <c r="K263" s="71">
        <v>1</v>
      </c>
      <c r="L263" s="72">
        <v>522002713</v>
      </c>
      <c r="M263" s="72" t="s">
        <v>1133</v>
      </c>
      <c r="N263" s="73">
        <v>460.1</v>
      </c>
      <c r="O263" s="74" t="s">
        <v>279</v>
      </c>
      <c r="P263" s="73">
        <v>749.95</v>
      </c>
      <c r="Q263" s="80" t="s">
        <v>279</v>
      </c>
      <c r="W263" s="76" t="s">
        <v>1134</v>
      </c>
      <c r="X263" s="77">
        <v>460.1</v>
      </c>
      <c r="Y263" s="78">
        <v>0</v>
      </c>
      <c r="AA263" s="79">
        <v>460.1</v>
      </c>
      <c r="AB263" s="79">
        <v>460.1</v>
      </c>
      <c r="AC263" s="78">
        <v>0</v>
      </c>
      <c r="AE263" s="63" t="s">
        <v>219</v>
      </c>
      <c r="AF263" s="63">
        <v>1</v>
      </c>
      <c r="AG263" s="63">
        <v>1</v>
      </c>
      <c r="AK263" s="77">
        <v>0</v>
      </c>
      <c r="BA263" s="41" t="s">
        <v>230</v>
      </c>
      <c r="BB263" s="41" t="s">
        <v>15</v>
      </c>
      <c r="BC263" s="41" t="s">
        <v>232</v>
      </c>
      <c r="BD263" s="41" t="s">
        <v>984</v>
      </c>
    </row>
    <row r="264" spans="1:56" s="57" customFormat="1" ht="18" customHeight="1" outlineLevel="1">
      <c r="A264" s="49">
        <v>392</v>
      </c>
      <c r="B264" s="19">
        <v>522005243</v>
      </c>
      <c r="C264" s="19">
        <v>522005243</v>
      </c>
      <c r="D264" s="50" t="s">
        <v>13</v>
      </c>
      <c r="E264" s="19" t="s">
        <v>1113</v>
      </c>
      <c r="F264" s="19" t="s">
        <v>1127</v>
      </c>
      <c r="G264" s="19" t="s">
        <v>1128</v>
      </c>
      <c r="H264" s="69" t="s">
        <v>1135</v>
      </c>
      <c r="I264" s="64" t="s">
        <v>1008</v>
      </c>
      <c r="J264" s="70" t="s">
        <v>344</v>
      </c>
      <c r="K264" s="53">
        <v>1</v>
      </c>
      <c r="L264" s="20">
        <v>522005243</v>
      </c>
      <c r="M264" s="72" t="s">
        <v>1136</v>
      </c>
      <c r="N264" s="54">
        <v>460.1</v>
      </c>
      <c r="O264" s="56" t="s">
        <v>279</v>
      </c>
      <c r="P264" s="54">
        <v>749.95</v>
      </c>
      <c r="Q264" s="56" t="s">
        <v>279</v>
      </c>
      <c r="R264" s="27"/>
      <c r="S264" s="58"/>
      <c r="T264" s="51"/>
      <c r="U264" s="51"/>
      <c r="V264" s="51"/>
      <c r="W264" s="76" t="s">
        <v>1137</v>
      </c>
      <c r="X264" s="77">
        <v>460.1</v>
      </c>
      <c r="Y264" s="78">
        <v>0</v>
      </c>
      <c r="Z264" s="29"/>
      <c r="AA264" s="79">
        <v>460.1</v>
      </c>
      <c r="AB264" s="79">
        <v>460.1</v>
      </c>
      <c r="AC264" s="78">
        <v>0</v>
      </c>
      <c r="AD264" s="29"/>
      <c r="AE264" s="63" t="s">
        <v>219</v>
      </c>
      <c r="AF264" s="63">
        <v>1</v>
      </c>
      <c r="AG264" s="63">
        <v>1</v>
      </c>
      <c r="AH264" s="29"/>
      <c r="AI264" s="27"/>
      <c r="AJ264" s="29"/>
      <c r="AK264" s="77">
        <v>0</v>
      </c>
      <c r="BA264" s="41" t="s">
        <v>230</v>
      </c>
      <c r="BB264" s="41" t="s">
        <v>15</v>
      </c>
      <c r="BC264" s="41" t="s">
        <v>232</v>
      </c>
      <c r="BD264" s="41" t="s">
        <v>984</v>
      </c>
    </row>
    <row r="265" spans="1:56" ht="27" customHeight="1" outlineLevel="1">
      <c r="A265" s="19">
        <v>393</v>
      </c>
      <c r="B265" s="19" t="s">
        <v>219</v>
      </c>
      <c r="C265" s="19" t="s">
        <v>219</v>
      </c>
      <c r="D265" s="50" t="s">
        <v>219</v>
      </c>
      <c r="E265" s="19" t="s">
        <v>219</v>
      </c>
      <c r="F265" s="19" t="s">
        <v>219</v>
      </c>
      <c r="G265" s="19" t="s">
        <v>219</v>
      </c>
      <c r="H265" s="81" t="s">
        <v>219</v>
      </c>
      <c r="I265" s="70" t="s">
        <v>219</v>
      </c>
      <c r="J265" s="70" t="s">
        <v>219</v>
      </c>
      <c r="K265" s="71" t="s">
        <v>219</v>
      </c>
      <c r="L265" s="72" t="s">
        <v>219</v>
      </c>
      <c r="M265" s="72" t="s">
        <v>219</v>
      </c>
      <c r="N265" s="73" t="s">
        <v>219</v>
      </c>
      <c r="O265" s="74" t="s">
        <v>219</v>
      </c>
      <c r="P265" s="73" t="s">
        <v>219</v>
      </c>
      <c r="Q265" s="80" t="s">
        <v>219</v>
      </c>
      <c r="W265" s="76" t="s">
        <v>219</v>
      </c>
      <c r="X265" s="77" t="s">
        <v>219</v>
      </c>
      <c r="Y265" s="78">
        <v>0</v>
      </c>
      <c r="AA265" s="79" t="s">
        <v>219</v>
      </c>
      <c r="AB265" s="79" t="s">
        <v>219</v>
      </c>
      <c r="AC265" s="78">
        <v>0</v>
      </c>
      <c r="AE265" s="63" t="s">
        <v>230</v>
      </c>
      <c r="AF265" s="63">
        <v>0</v>
      </c>
      <c r="AG265" s="63" t="s">
        <v>219</v>
      </c>
      <c r="AK265" s="77">
        <v>0</v>
      </c>
      <c r="BA265" s="41" t="s">
        <v>230</v>
      </c>
      <c r="BB265" s="41" t="s">
        <v>15</v>
      </c>
      <c r="BC265" s="41" t="s">
        <v>232</v>
      </c>
      <c r="BD265" s="41" t="s">
        <v>984</v>
      </c>
    </row>
    <row r="266" spans="1:56" ht="18" customHeight="1" outlineLevel="1">
      <c r="A266" s="19">
        <v>394</v>
      </c>
      <c r="B266" s="19">
        <v>522002731</v>
      </c>
      <c r="C266" s="19">
        <v>522002731</v>
      </c>
      <c r="D266" s="50" t="s">
        <v>13</v>
      </c>
      <c r="E266" s="19" t="s">
        <v>1113</v>
      </c>
      <c r="F266" s="19" t="s">
        <v>1138</v>
      </c>
      <c r="G266" s="19" t="s">
        <v>1139</v>
      </c>
      <c r="H266" s="69" t="s">
        <v>1140</v>
      </c>
      <c r="I266" s="70" t="s">
        <v>543</v>
      </c>
      <c r="J266" s="70" t="s">
        <v>289</v>
      </c>
      <c r="K266" s="71">
        <v>1</v>
      </c>
      <c r="L266" s="72">
        <v>522002731</v>
      </c>
      <c r="M266" s="72" t="s">
        <v>1141</v>
      </c>
      <c r="N266" s="73">
        <v>147.29999999999998</v>
      </c>
      <c r="O266" s="74" t="s">
        <v>279</v>
      </c>
      <c r="P266" s="73">
        <v>239.95</v>
      </c>
      <c r="Q266" s="80" t="s">
        <v>279</v>
      </c>
      <c r="W266" s="76" t="s">
        <v>1142</v>
      </c>
      <c r="X266" s="77">
        <v>147.29999999999998</v>
      </c>
      <c r="Y266" s="78">
        <v>0</v>
      </c>
      <c r="AA266" s="79">
        <v>147.29999999999998</v>
      </c>
      <c r="AB266" s="79">
        <v>147.29999999999998</v>
      </c>
      <c r="AC266" s="78">
        <v>0</v>
      </c>
      <c r="AE266" s="63" t="s">
        <v>219</v>
      </c>
      <c r="AF266" s="63">
        <v>0</v>
      </c>
      <c r="AG266" s="63">
        <v>0</v>
      </c>
      <c r="AK266" s="77">
        <v>0</v>
      </c>
      <c r="BA266" s="41" t="s">
        <v>230</v>
      </c>
      <c r="BB266" s="41" t="s">
        <v>15</v>
      </c>
      <c r="BC266" s="41" t="s">
        <v>232</v>
      </c>
      <c r="BD266" s="41" t="s">
        <v>984</v>
      </c>
    </row>
    <row r="267" spans="1:56" ht="18" customHeight="1" outlineLevel="1">
      <c r="A267" s="19">
        <v>395</v>
      </c>
      <c r="B267" s="19">
        <v>522002733</v>
      </c>
      <c r="C267" s="19">
        <v>522002733</v>
      </c>
      <c r="D267" s="50" t="s">
        <v>13</v>
      </c>
      <c r="E267" s="19" t="s">
        <v>1113</v>
      </c>
      <c r="F267" s="19" t="s">
        <v>1138</v>
      </c>
      <c r="G267" s="19" t="s">
        <v>1139</v>
      </c>
      <c r="H267" s="69" t="s">
        <v>1143</v>
      </c>
      <c r="I267" s="70" t="s">
        <v>547</v>
      </c>
      <c r="J267" s="70" t="s">
        <v>480</v>
      </c>
      <c r="K267" s="71">
        <v>1</v>
      </c>
      <c r="L267" s="72">
        <v>522002733</v>
      </c>
      <c r="M267" s="72" t="s">
        <v>1144</v>
      </c>
      <c r="N267" s="73">
        <v>147.29999999999998</v>
      </c>
      <c r="O267" s="74" t="s">
        <v>279</v>
      </c>
      <c r="P267" s="73">
        <v>239.95</v>
      </c>
      <c r="Q267" s="80" t="s">
        <v>279</v>
      </c>
      <c r="W267" s="76" t="s">
        <v>1145</v>
      </c>
      <c r="X267" s="77">
        <v>147.29999999999998</v>
      </c>
      <c r="Y267" s="78">
        <v>0</v>
      </c>
      <c r="AA267" s="79">
        <v>147.29999999999998</v>
      </c>
      <c r="AB267" s="79">
        <v>147.29999999999998</v>
      </c>
      <c r="AC267" s="78">
        <v>0</v>
      </c>
      <c r="AE267" s="63" t="s">
        <v>219</v>
      </c>
      <c r="AF267" s="63">
        <v>0</v>
      </c>
      <c r="AG267" s="63">
        <v>0</v>
      </c>
      <c r="AK267" s="77">
        <v>0</v>
      </c>
      <c r="BA267" s="41" t="s">
        <v>230</v>
      </c>
      <c r="BB267" s="41" t="s">
        <v>15</v>
      </c>
      <c r="BC267" s="41" t="s">
        <v>232</v>
      </c>
      <c r="BD267" s="41" t="s">
        <v>984</v>
      </c>
    </row>
    <row r="268" spans="1:56" ht="18" customHeight="1" outlineLevel="1">
      <c r="A268" s="19">
        <v>396</v>
      </c>
      <c r="B268" s="19">
        <v>522002735</v>
      </c>
      <c r="C268" s="19">
        <v>522002735</v>
      </c>
      <c r="D268" s="50" t="s">
        <v>13</v>
      </c>
      <c r="E268" s="19" t="s">
        <v>1113</v>
      </c>
      <c r="F268" s="19" t="s">
        <v>1138</v>
      </c>
      <c r="G268" s="19" t="s">
        <v>1139</v>
      </c>
      <c r="H268" s="69" t="s">
        <v>1146</v>
      </c>
      <c r="I268" s="70" t="s">
        <v>551</v>
      </c>
      <c r="J268" s="70" t="s">
        <v>521</v>
      </c>
      <c r="K268" s="71">
        <v>1</v>
      </c>
      <c r="L268" s="72">
        <v>522002735</v>
      </c>
      <c r="M268" s="72" t="s">
        <v>1147</v>
      </c>
      <c r="N268" s="73">
        <v>147.29999999999998</v>
      </c>
      <c r="O268" s="74" t="s">
        <v>279</v>
      </c>
      <c r="P268" s="73">
        <v>239.95</v>
      </c>
      <c r="Q268" s="80" t="s">
        <v>279</v>
      </c>
      <c r="W268" s="76" t="s">
        <v>1148</v>
      </c>
      <c r="X268" s="77">
        <v>147.29999999999998</v>
      </c>
      <c r="Y268" s="78">
        <v>0</v>
      </c>
      <c r="AA268" s="79">
        <v>147.29999999999998</v>
      </c>
      <c r="AB268" s="79">
        <v>147.29999999999998</v>
      </c>
      <c r="AC268" s="78">
        <v>0</v>
      </c>
      <c r="AE268" s="63" t="s">
        <v>219</v>
      </c>
      <c r="AF268" s="63">
        <v>0</v>
      </c>
      <c r="AG268" s="63">
        <v>0</v>
      </c>
      <c r="AK268" s="77">
        <v>0</v>
      </c>
      <c r="BA268" s="41" t="s">
        <v>230</v>
      </c>
      <c r="BB268" s="41" t="s">
        <v>15</v>
      </c>
      <c r="BC268" s="41" t="s">
        <v>232</v>
      </c>
      <c r="BD268" s="41" t="s">
        <v>984</v>
      </c>
    </row>
    <row r="269" spans="1:56" ht="18" customHeight="1" outlineLevel="1">
      <c r="A269" s="19">
        <v>397</v>
      </c>
      <c r="B269" s="19">
        <v>522002737</v>
      </c>
      <c r="C269" s="19">
        <v>522002737</v>
      </c>
      <c r="D269" s="50" t="s">
        <v>13</v>
      </c>
      <c r="E269" s="19" t="s">
        <v>1113</v>
      </c>
      <c r="F269" s="19" t="s">
        <v>1138</v>
      </c>
      <c r="G269" s="19" t="s">
        <v>1139</v>
      </c>
      <c r="H269" s="69" t="s">
        <v>1149</v>
      </c>
      <c r="I269" s="70" t="s">
        <v>555</v>
      </c>
      <c r="J269" s="70" t="s">
        <v>556</v>
      </c>
      <c r="K269" s="71">
        <v>1</v>
      </c>
      <c r="L269" s="72">
        <v>522002737</v>
      </c>
      <c r="M269" s="72" t="s">
        <v>1150</v>
      </c>
      <c r="N269" s="73">
        <v>147.29999999999998</v>
      </c>
      <c r="O269" s="74" t="s">
        <v>279</v>
      </c>
      <c r="P269" s="73">
        <v>239.95</v>
      </c>
      <c r="Q269" s="80" t="s">
        <v>279</v>
      </c>
      <c r="W269" s="76" t="s">
        <v>1151</v>
      </c>
      <c r="X269" s="77">
        <v>147.29999999999998</v>
      </c>
      <c r="Y269" s="78">
        <v>0</v>
      </c>
      <c r="AA269" s="79">
        <v>147.29999999999998</v>
      </c>
      <c r="AB269" s="79">
        <v>147.29999999999998</v>
      </c>
      <c r="AC269" s="78">
        <v>0</v>
      </c>
      <c r="AE269" s="63" t="s">
        <v>219</v>
      </c>
      <c r="AF269" s="63">
        <v>0</v>
      </c>
      <c r="AG269" s="63">
        <v>0</v>
      </c>
      <c r="AK269" s="77">
        <v>0</v>
      </c>
      <c r="BA269" s="41" t="s">
        <v>230</v>
      </c>
      <c r="BB269" s="41" t="s">
        <v>15</v>
      </c>
      <c r="BC269" s="41" t="s">
        <v>232</v>
      </c>
      <c r="BD269" s="41" t="s">
        <v>984</v>
      </c>
    </row>
    <row r="270" spans="1:56" ht="18" customHeight="1" outlineLevel="1">
      <c r="A270" s="19">
        <v>398</v>
      </c>
      <c r="B270" s="19">
        <v>522002741</v>
      </c>
      <c r="C270" s="19">
        <v>522002741</v>
      </c>
      <c r="D270" s="50" t="s">
        <v>13</v>
      </c>
      <c r="E270" s="19" t="s">
        <v>1113</v>
      </c>
      <c r="F270" s="19" t="s">
        <v>1138</v>
      </c>
      <c r="G270" s="19" t="s">
        <v>1139</v>
      </c>
      <c r="H270" s="69" t="s">
        <v>1152</v>
      </c>
      <c r="I270" s="70" t="s">
        <v>560</v>
      </c>
      <c r="J270" s="70" t="s">
        <v>329</v>
      </c>
      <c r="K270" s="71">
        <v>1</v>
      </c>
      <c r="L270" s="72">
        <v>522002741</v>
      </c>
      <c r="M270" s="72" t="s">
        <v>1153</v>
      </c>
      <c r="N270" s="73">
        <v>147.29999999999998</v>
      </c>
      <c r="O270" s="74" t="s">
        <v>279</v>
      </c>
      <c r="P270" s="73">
        <v>239.95</v>
      </c>
      <c r="Q270" s="80" t="s">
        <v>279</v>
      </c>
      <c r="W270" s="76" t="s">
        <v>1154</v>
      </c>
      <c r="X270" s="77">
        <v>147.29999999999998</v>
      </c>
      <c r="Y270" s="78">
        <v>0</v>
      </c>
      <c r="AA270" s="79">
        <v>147.29999999999998</v>
      </c>
      <c r="AB270" s="79">
        <v>147.29999999999998</v>
      </c>
      <c r="AC270" s="78">
        <v>0</v>
      </c>
      <c r="AE270" s="63" t="s">
        <v>219</v>
      </c>
      <c r="AF270" s="63">
        <v>0</v>
      </c>
      <c r="AG270" s="63">
        <v>0</v>
      </c>
      <c r="AK270" s="77">
        <v>0</v>
      </c>
      <c r="BA270" s="41" t="s">
        <v>230</v>
      </c>
      <c r="BB270" s="41" t="s">
        <v>15</v>
      </c>
      <c r="BC270" s="41" t="s">
        <v>232</v>
      </c>
      <c r="BD270" s="41" t="s">
        <v>984</v>
      </c>
    </row>
    <row r="271" spans="1:56" s="57" customFormat="1" ht="18" customHeight="1" outlineLevel="1">
      <c r="A271" s="49">
        <v>399</v>
      </c>
      <c r="B271" s="19">
        <v>522005259</v>
      </c>
      <c r="C271" s="19">
        <v>522005259</v>
      </c>
      <c r="D271" s="50" t="s">
        <v>13</v>
      </c>
      <c r="E271" s="19" t="s">
        <v>1113</v>
      </c>
      <c r="F271" s="19" t="s">
        <v>1138</v>
      </c>
      <c r="G271" s="19" t="s">
        <v>1139</v>
      </c>
      <c r="H271" s="69" t="s">
        <v>1155</v>
      </c>
      <c r="I271" s="64" t="s">
        <v>1008</v>
      </c>
      <c r="J271" s="70" t="s">
        <v>344</v>
      </c>
      <c r="K271" s="53">
        <v>1</v>
      </c>
      <c r="L271" s="20">
        <v>522005259</v>
      </c>
      <c r="M271" s="72" t="s">
        <v>1156</v>
      </c>
      <c r="N271" s="54">
        <v>147.29999999999998</v>
      </c>
      <c r="O271" s="56" t="s">
        <v>279</v>
      </c>
      <c r="P271" s="54">
        <v>239.95</v>
      </c>
      <c r="Q271" s="56" t="s">
        <v>279</v>
      </c>
      <c r="R271" s="27"/>
      <c r="S271" s="58"/>
      <c r="T271" s="51"/>
      <c r="U271" s="51"/>
      <c r="V271" s="51"/>
      <c r="W271" s="76" t="s">
        <v>1157</v>
      </c>
      <c r="X271" s="77">
        <v>147.29999999999998</v>
      </c>
      <c r="Y271" s="78">
        <v>0</v>
      </c>
      <c r="Z271" s="29"/>
      <c r="AA271" s="79">
        <v>147.29999999999998</v>
      </c>
      <c r="AB271" s="79">
        <v>147.29999999999998</v>
      </c>
      <c r="AC271" s="78">
        <v>0</v>
      </c>
      <c r="AD271" s="29"/>
      <c r="AE271" s="63" t="s">
        <v>219</v>
      </c>
      <c r="AF271" s="63">
        <v>0</v>
      </c>
      <c r="AG271" s="63">
        <v>0</v>
      </c>
      <c r="AH271" s="29"/>
      <c r="AI271" s="27"/>
      <c r="AJ271" s="29"/>
      <c r="AK271" s="77">
        <v>0</v>
      </c>
      <c r="BA271" s="41" t="s">
        <v>230</v>
      </c>
      <c r="BB271" s="41" t="s">
        <v>15</v>
      </c>
      <c r="BC271" s="41" t="s">
        <v>232</v>
      </c>
      <c r="BD271" s="41" t="s">
        <v>984</v>
      </c>
    </row>
    <row r="272" spans="1:56" ht="27" customHeight="1" outlineLevel="1">
      <c r="A272" s="19">
        <v>400</v>
      </c>
      <c r="B272" s="19" t="s">
        <v>219</v>
      </c>
      <c r="C272" s="19" t="s">
        <v>219</v>
      </c>
      <c r="D272" s="50" t="s">
        <v>219</v>
      </c>
      <c r="E272" s="19" t="s">
        <v>219</v>
      </c>
      <c r="F272" s="19" t="s">
        <v>219</v>
      </c>
      <c r="G272" s="19" t="s">
        <v>219</v>
      </c>
      <c r="H272" s="81" t="s">
        <v>219</v>
      </c>
      <c r="I272" s="70" t="s">
        <v>219</v>
      </c>
      <c r="J272" s="70" t="s">
        <v>219</v>
      </c>
      <c r="K272" s="71" t="s">
        <v>219</v>
      </c>
      <c r="L272" s="72" t="s">
        <v>219</v>
      </c>
      <c r="M272" s="72" t="s">
        <v>219</v>
      </c>
      <c r="N272" s="73" t="s">
        <v>219</v>
      </c>
      <c r="O272" s="74" t="s">
        <v>219</v>
      </c>
      <c r="P272" s="73" t="s">
        <v>219</v>
      </c>
      <c r="Q272" s="80" t="s">
        <v>219</v>
      </c>
      <c r="W272" s="76" t="s">
        <v>219</v>
      </c>
      <c r="X272" s="77" t="s">
        <v>219</v>
      </c>
      <c r="Y272" s="78">
        <v>0</v>
      </c>
      <c r="AA272" s="79" t="s">
        <v>219</v>
      </c>
      <c r="AB272" s="79" t="s">
        <v>219</v>
      </c>
      <c r="AC272" s="78">
        <v>0</v>
      </c>
      <c r="AE272" s="63" t="s">
        <v>230</v>
      </c>
      <c r="AF272" s="63">
        <v>1</v>
      </c>
      <c r="AG272" s="63" t="s">
        <v>219</v>
      </c>
      <c r="AK272" s="77">
        <v>0</v>
      </c>
      <c r="BA272" s="41" t="s">
        <v>230</v>
      </c>
      <c r="BB272" s="41" t="s">
        <v>15</v>
      </c>
      <c r="BC272" s="41" t="s">
        <v>232</v>
      </c>
      <c r="BD272" s="41" t="s">
        <v>984</v>
      </c>
    </row>
    <row r="273" spans="1:56" ht="18" customHeight="1" outlineLevel="1">
      <c r="A273" s="19">
        <v>401</v>
      </c>
      <c r="B273" s="19">
        <v>522002719</v>
      </c>
      <c r="C273" s="19">
        <v>522002719</v>
      </c>
      <c r="D273" s="50" t="s">
        <v>13</v>
      </c>
      <c r="E273" s="19" t="s">
        <v>1113</v>
      </c>
      <c r="F273" s="19" t="s">
        <v>1158</v>
      </c>
      <c r="G273" s="19" t="s">
        <v>1159</v>
      </c>
      <c r="H273" s="69" t="s">
        <v>1160</v>
      </c>
      <c r="I273" s="70" t="s">
        <v>543</v>
      </c>
      <c r="J273" s="70" t="s">
        <v>289</v>
      </c>
      <c r="K273" s="71">
        <v>1</v>
      </c>
      <c r="L273" s="72">
        <v>522002719</v>
      </c>
      <c r="M273" s="72" t="s">
        <v>1161</v>
      </c>
      <c r="N273" s="73">
        <v>177.9</v>
      </c>
      <c r="O273" s="74" t="s">
        <v>279</v>
      </c>
      <c r="P273" s="73">
        <v>289.95</v>
      </c>
      <c r="Q273" s="80" t="s">
        <v>279</v>
      </c>
      <c r="W273" s="76" t="s">
        <v>1162</v>
      </c>
      <c r="X273" s="77">
        <v>177.9</v>
      </c>
      <c r="Y273" s="78">
        <v>0</v>
      </c>
      <c r="AA273" s="79">
        <v>177.9</v>
      </c>
      <c r="AB273" s="79">
        <v>177.9</v>
      </c>
      <c r="AC273" s="78">
        <v>0</v>
      </c>
      <c r="AE273" s="63" t="s">
        <v>219</v>
      </c>
      <c r="AF273" s="63">
        <v>1</v>
      </c>
      <c r="AG273" s="63">
        <v>1</v>
      </c>
      <c r="AK273" s="77">
        <v>0</v>
      </c>
      <c r="BA273" s="41" t="s">
        <v>230</v>
      </c>
      <c r="BB273" s="41" t="s">
        <v>15</v>
      </c>
      <c r="BC273" s="41" t="s">
        <v>232</v>
      </c>
      <c r="BD273" s="41" t="s">
        <v>984</v>
      </c>
    </row>
    <row r="274" spans="1:56" ht="27" customHeight="1" outlineLevel="1">
      <c r="A274" s="19">
        <v>402</v>
      </c>
      <c r="B274" s="19" t="s">
        <v>219</v>
      </c>
      <c r="C274" s="19" t="s">
        <v>219</v>
      </c>
      <c r="D274" s="50" t="s">
        <v>219</v>
      </c>
      <c r="E274" s="19" t="s">
        <v>219</v>
      </c>
      <c r="F274" s="19" t="s">
        <v>219</v>
      </c>
      <c r="G274" s="19" t="s">
        <v>219</v>
      </c>
      <c r="H274" s="81" t="s">
        <v>219</v>
      </c>
      <c r="I274" s="70" t="s">
        <v>219</v>
      </c>
      <c r="J274" s="70" t="s">
        <v>219</v>
      </c>
      <c r="K274" s="71" t="s">
        <v>219</v>
      </c>
      <c r="L274" s="72" t="s">
        <v>219</v>
      </c>
      <c r="M274" s="72" t="s">
        <v>219</v>
      </c>
      <c r="N274" s="73" t="s">
        <v>219</v>
      </c>
      <c r="O274" s="74" t="s">
        <v>219</v>
      </c>
      <c r="P274" s="73" t="s">
        <v>219</v>
      </c>
      <c r="Q274" s="80" t="s">
        <v>219</v>
      </c>
      <c r="W274" s="76" t="s">
        <v>219</v>
      </c>
      <c r="X274" s="77" t="s">
        <v>219</v>
      </c>
      <c r="Y274" s="78">
        <v>0</v>
      </c>
      <c r="AA274" s="79" t="s">
        <v>219</v>
      </c>
      <c r="AB274" s="79" t="s">
        <v>219</v>
      </c>
      <c r="AC274" s="78">
        <v>0</v>
      </c>
      <c r="AE274" s="63" t="s">
        <v>230</v>
      </c>
      <c r="AF274" s="63">
        <v>0</v>
      </c>
      <c r="AG274" s="63" t="s">
        <v>219</v>
      </c>
      <c r="AK274" s="77">
        <v>0</v>
      </c>
      <c r="BA274" s="41" t="s">
        <v>230</v>
      </c>
      <c r="BB274" s="41" t="s">
        <v>15</v>
      </c>
      <c r="BC274" s="41" t="s">
        <v>232</v>
      </c>
      <c r="BD274" s="41" t="s">
        <v>984</v>
      </c>
    </row>
    <row r="275" spans="1:56" ht="18" customHeight="1" outlineLevel="1">
      <c r="A275" s="19">
        <v>403</v>
      </c>
      <c r="B275" s="19">
        <v>522002721</v>
      </c>
      <c r="C275" s="19">
        <v>522002721</v>
      </c>
      <c r="D275" s="50" t="s">
        <v>13</v>
      </c>
      <c r="E275" s="19" t="s">
        <v>1113</v>
      </c>
      <c r="F275" s="19" t="s">
        <v>1163</v>
      </c>
      <c r="G275" s="19" t="s">
        <v>1164</v>
      </c>
      <c r="H275" s="69" t="s">
        <v>1165</v>
      </c>
      <c r="I275" s="70" t="s">
        <v>547</v>
      </c>
      <c r="J275" s="70" t="s">
        <v>480</v>
      </c>
      <c r="K275" s="71">
        <v>1</v>
      </c>
      <c r="L275" s="72">
        <v>522002721</v>
      </c>
      <c r="M275" s="72" t="s">
        <v>1166</v>
      </c>
      <c r="N275" s="73">
        <v>177.9</v>
      </c>
      <c r="O275" s="74" t="s">
        <v>279</v>
      </c>
      <c r="P275" s="73">
        <v>289.95</v>
      </c>
      <c r="Q275" s="80" t="s">
        <v>279</v>
      </c>
      <c r="W275" s="76" t="s">
        <v>1167</v>
      </c>
      <c r="X275" s="77">
        <v>177.9</v>
      </c>
      <c r="Y275" s="78">
        <v>0</v>
      </c>
      <c r="AA275" s="79">
        <v>177.9</v>
      </c>
      <c r="AB275" s="79">
        <v>177.9</v>
      </c>
      <c r="AC275" s="78">
        <v>0</v>
      </c>
      <c r="AE275" s="63" t="s">
        <v>219</v>
      </c>
      <c r="AF275" s="63">
        <v>0</v>
      </c>
      <c r="AG275" s="63">
        <v>0</v>
      </c>
      <c r="AK275" s="77">
        <v>0</v>
      </c>
      <c r="BA275" s="41" t="s">
        <v>230</v>
      </c>
      <c r="BB275" s="41" t="s">
        <v>15</v>
      </c>
      <c r="BC275" s="41" t="s">
        <v>232</v>
      </c>
      <c r="BD275" s="41" t="s">
        <v>984</v>
      </c>
    </row>
    <row r="276" spans="1:56" ht="18" customHeight="1" outlineLevel="1">
      <c r="A276" s="19">
        <v>404</v>
      </c>
      <c r="B276" s="19">
        <v>522002723</v>
      </c>
      <c r="C276" s="19">
        <v>522002723</v>
      </c>
      <c r="D276" s="50" t="s">
        <v>13</v>
      </c>
      <c r="E276" s="19" t="s">
        <v>1113</v>
      </c>
      <c r="F276" s="19" t="s">
        <v>1163</v>
      </c>
      <c r="G276" s="19" t="s">
        <v>1164</v>
      </c>
      <c r="H276" s="69" t="s">
        <v>1168</v>
      </c>
      <c r="I276" s="70" t="s">
        <v>551</v>
      </c>
      <c r="J276" s="70" t="s">
        <v>521</v>
      </c>
      <c r="K276" s="71">
        <v>1</v>
      </c>
      <c r="L276" s="72">
        <v>522002723</v>
      </c>
      <c r="M276" s="72" t="s">
        <v>1169</v>
      </c>
      <c r="N276" s="73">
        <v>177.9</v>
      </c>
      <c r="O276" s="74" t="s">
        <v>279</v>
      </c>
      <c r="P276" s="73">
        <v>289.95</v>
      </c>
      <c r="Q276" s="80" t="s">
        <v>279</v>
      </c>
      <c r="W276" s="76" t="s">
        <v>1170</v>
      </c>
      <c r="X276" s="77">
        <v>177.9</v>
      </c>
      <c r="Y276" s="78">
        <v>0</v>
      </c>
      <c r="AA276" s="79">
        <v>177.9</v>
      </c>
      <c r="AB276" s="79">
        <v>177.9</v>
      </c>
      <c r="AC276" s="78">
        <v>0</v>
      </c>
      <c r="AE276" s="63" t="s">
        <v>219</v>
      </c>
      <c r="AF276" s="63">
        <v>0</v>
      </c>
      <c r="AG276" s="63">
        <v>0</v>
      </c>
      <c r="AK276" s="77">
        <v>0</v>
      </c>
      <c r="BA276" s="41" t="s">
        <v>230</v>
      </c>
      <c r="BB276" s="41" t="s">
        <v>15</v>
      </c>
      <c r="BC276" s="41" t="s">
        <v>232</v>
      </c>
      <c r="BD276" s="41" t="s">
        <v>984</v>
      </c>
    </row>
    <row r="277" spans="1:56" ht="27" customHeight="1" outlineLevel="1">
      <c r="A277" s="19">
        <v>405</v>
      </c>
      <c r="B277" s="19" t="s">
        <v>219</v>
      </c>
      <c r="C277" s="19" t="s">
        <v>219</v>
      </c>
      <c r="D277" s="50" t="s">
        <v>219</v>
      </c>
      <c r="E277" s="19" t="s">
        <v>219</v>
      </c>
      <c r="F277" s="19" t="s">
        <v>219</v>
      </c>
      <c r="G277" s="19" t="s">
        <v>219</v>
      </c>
      <c r="H277" s="81" t="s">
        <v>219</v>
      </c>
      <c r="I277" s="70" t="s">
        <v>219</v>
      </c>
      <c r="J277" s="70" t="s">
        <v>219</v>
      </c>
      <c r="K277" s="71" t="s">
        <v>219</v>
      </c>
      <c r="L277" s="72" t="s">
        <v>219</v>
      </c>
      <c r="M277" s="72" t="s">
        <v>219</v>
      </c>
      <c r="N277" s="73" t="s">
        <v>219</v>
      </c>
      <c r="O277" s="74" t="s">
        <v>219</v>
      </c>
      <c r="P277" s="73" t="s">
        <v>219</v>
      </c>
      <c r="Q277" s="80" t="s">
        <v>219</v>
      </c>
      <c r="W277" s="76" t="s">
        <v>219</v>
      </c>
      <c r="X277" s="77" t="s">
        <v>219</v>
      </c>
      <c r="Y277" s="78">
        <v>0</v>
      </c>
      <c r="AA277" s="79" t="s">
        <v>219</v>
      </c>
      <c r="AB277" s="79" t="s">
        <v>219</v>
      </c>
      <c r="AC277" s="78">
        <v>0</v>
      </c>
      <c r="AE277" s="63" t="s">
        <v>230</v>
      </c>
      <c r="AF277" s="63">
        <v>1</v>
      </c>
      <c r="AG277" s="63" t="s">
        <v>219</v>
      </c>
      <c r="AK277" s="77">
        <v>0</v>
      </c>
      <c r="BA277" s="41" t="s">
        <v>230</v>
      </c>
      <c r="BB277" s="41" t="s">
        <v>15</v>
      </c>
      <c r="BC277" s="41" t="s">
        <v>232</v>
      </c>
      <c r="BD277" s="41" t="s">
        <v>984</v>
      </c>
    </row>
    <row r="278" spans="1:56" s="57" customFormat="1" ht="18" customHeight="1" outlineLevel="1">
      <c r="A278" s="49">
        <v>406</v>
      </c>
      <c r="B278" s="19">
        <v>522002725</v>
      </c>
      <c r="C278" s="19">
        <v>522002725</v>
      </c>
      <c r="D278" s="50" t="s">
        <v>13</v>
      </c>
      <c r="E278" s="19" t="s">
        <v>1113</v>
      </c>
      <c r="F278" s="19" t="s">
        <v>1171</v>
      </c>
      <c r="G278" s="19" t="s">
        <v>1172</v>
      </c>
      <c r="H278" s="69" t="s">
        <v>1173</v>
      </c>
      <c r="I278" s="64" t="s">
        <v>555</v>
      </c>
      <c r="J278" s="70" t="s">
        <v>556</v>
      </c>
      <c r="K278" s="53">
        <v>1</v>
      </c>
      <c r="L278" s="20">
        <v>522002725</v>
      </c>
      <c r="M278" s="72" t="s">
        <v>1174</v>
      </c>
      <c r="N278" s="54">
        <v>177.9</v>
      </c>
      <c r="O278" s="56" t="s">
        <v>279</v>
      </c>
      <c r="P278" s="54">
        <v>289.95</v>
      </c>
      <c r="Q278" s="56" t="s">
        <v>279</v>
      </c>
      <c r="R278" s="27"/>
      <c r="S278" s="58"/>
      <c r="T278" s="51"/>
      <c r="U278" s="51"/>
      <c r="V278" s="51"/>
      <c r="W278" s="76" t="s">
        <v>1175</v>
      </c>
      <c r="X278" s="77">
        <v>177.9</v>
      </c>
      <c r="Y278" s="78">
        <v>0</v>
      </c>
      <c r="Z278" s="29"/>
      <c r="AA278" s="79">
        <v>177.9</v>
      </c>
      <c r="AB278" s="79">
        <v>177.9</v>
      </c>
      <c r="AC278" s="78">
        <v>0</v>
      </c>
      <c r="AD278" s="29"/>
      <c r="AE278" s="63" t="s">
        <v>219</v>
      </c>
      <c r="AF278" s="63">
        <v>1</v>
      </c>
      <c r="AG278" s="63">
        <v>1</v>
      </c>
      <c r="AH278" s="29"/>
      <c r="AI278" s="27"/>
      <c r="AJ278" s="29"/>
      <c r="AK278" s="77">
        <v>0</v>
      </c>
      <c r="BA278" s="41" t="s">
        <v>230</v>
      </c>
      <c r="BB278" s="41" t="s">
        <v>15</v>
      </c>
      <c r="BC278" s="41" t="s">
        <v>232</v>
      </c>
      <c r="BD278" s="41" t="s">
        <v>984</v>
      </c>
    </row>
    <row r="279" spans="1:56" ht="18" customHeight="1" outlineLevel="1">
      <c r="A279" s="19">
        <v>407</v>
      </c>
      <c r="B279" s="19">
        <v>522002729</v>
      </c>
      <c r="C279" s="19">
        <v>522002729</v>
      </c>
      <c r="D279" s="50" t="s">
        <v>13</v>
      </c>
      <c r="E279" s="19" t="s">
        <v>1113</v>
      </c>
      <c r="F279" s="19" t="s">
        <v>1171</v>
      </c>
      <c r="G279" s="19" t="s">
        <v>1172</v>
      </c>
      <c r="H279" s="69" t="s">
        <v>1176</v>
      </c>
      <c r="I279" s="70" t="s">
        <v>560</v>
      </c>
      <c r="J279" s="70" t="s">
        <v>329</v>
      </c>
      <c r="K279" s="71">
        <v>1</v>
      </c>
      <c r="L279" s="72">
        <v>522002729</v>
      </c>
      <c r="M279" s="72" t="s">
        <v>1177</v>
      </c>
      <c r="N279" s="73">
        <v>177.9</v>
      </c>
      <c r="O279" s="74" t="s">
        <v>279</v>
      </c>
      <c r="P279" s="73">
        <v>289.95</v>
      </c>
      <c r="Q279" s="80" t="s">
        <v>279</v>
      </c>
      <c r="W279" s="76" t="s">
        <v>1178</v>
      </c>
      <c r="X279" s="77">
        <v>177.9</v>
      </c>
      <c r="Y279" s="78">
        <v>0</v>
      </c>
      <c r="AA279" s="79">
        <v>177.9</v>
      </c>
      <c r="AB279" s="79">
        <v>177.9</v>
      </c>
      <c r="AC279" s="78">
        <v>0</v>
      </c>
      <c r="AE279" s="63" t="s">
        <v>219</v>
      </c>
      <c r="AF279" s="63">
        <v>1</v>
      </c>
      <c r="AG279" s="63">
        <v>1</v>
      </c>
      <c r="AK279" s="77">
        <v>0</v>
      </c>
      <c r="BA279" s="41" t="s">
        <v>230</v>
      </c>
      <c r="BB279" s="41" t="s">
        <v>15</v>
      </c>
      <c r="BC279" s="41" t="s">
        <v>232</v>
      </c>
      <c r="BD279" s="41" t="s">
        <v>984</v>
      </c>
    </row>
    <row r="280" spans="1:56" ht="18" customHeight="1" outlineLevel="1">
      <c r="A280" s="19">
        <v>408</v>
      </c>
      <c r="B280" s="19">
        <v>522005251</v>
      </c>
      <c r="C280" s="19">
        <v>522005251</v>
      </c>
      <c r="D280" s="50" t="s">
        <v>13</v>
      </c>
      <c r="E280" s="19" t="s">
        <v>1113</v>
      </c>
      <c r="F280" s="19" t="s">
        <v>1171</v>
      </c>
      <c r="G280" s="19" t="s">
        <v>1172</v>
      </c>
      <c r="H280" s="69" t="s">
        <v>1179</v>
      </c>
      <c r="I280" s="70" t="s">
        <v>1008</v>
      </c>
      <c r="J280" s="70" t="s">
        <v>344</v>
      </c>
      <c r="K280" s="71">
        <v>1</v>
      </c>
      <c r="L280" s="72">
        <v>522005251</v>
      </c>
      <c r="M280" s="72" t="s">
        <v>1180</v>
      </c>
      <c r="N280" s="73">
        <v>177.9</v>
      </c>
      <c r="O280" s="74" t="s">
        <v>279</v>
      </c>
      <c r="P280" s="73">
        <v>289.95</v>
      </c>
      <c r="Q280" s="80" t="s">
        <v>279</v>
      </c>
      <c r="W280" s="76" t="s">
        <v>1181</v>
      </c>
      <c r="X280" s="77">
        <v>177.9</v>
      </c>
      <c r="Y280" s="78">
        <v>0</v>
      </c>
      <c r="AA280" s="79">
        <v>177.9</v>
      </c>
      <c r="AB280" s="79">
        <v>177.9</v>
      </c>
      <c r="AC280" s="78">
        <v>0</v>
      </c>
      <c r="AE280" s="63" t="s">
        <v>219</v>
      </c>
      <c r="AF280" s="63">
        <v>1</v>
      </c>
      <c r="AG280" s="63">
        <v>1</v>
      </c>
      <c r="AK280" s="77">
        <v>0</v>
      </c>
      <c r="BA280" s="41" t="s">
        <v>230</v>
      </c>
      <c r="BB280" s="41" t="s">
        <v>15</v>
      </c>
      <c r="BC280" s="41" t="s">
        <v>232</v>
      </c>
      <c r="BD280" s="41" t="s">
        <v>984</v>
      </c>
    </row>
    <row r="281" spans="1:56" ht="27" customHeight="1" outlineLevel="1">
      <c r="A281" s="19">
        <v>409</v>
      </c>
      <c r="B281" s="19" t="s">
        <v>219</v>
      </c>
      <c r="C281" s="19" t="s">
        <v>219</v>
      </c>
      <c r="D281" s="50" t="s">
        <v>219</v>
      </c>
      <c r="E281" s="19" t="s">
        <v>219</v>
      </c>
      <c r="F281" s="19" t="s">
        <v>219</v>
      </c>
      <c r="G281" s="19" t="s">
        <v>219</v>
      </c>
      <c r="H281" s="81" t="s">
        <v>219</v>
      </c>
      <c r="I281" s="70" t="s">
        <v>219</v>
      </c>
      <c r="J281" s="70" t="s">
        <v>219</v>
      </c>
      <c r="K281" s="71" t="s">
        <v>219</v>
      </c>
      <c r="L281" s="72" t="s">
        <v>219</v>
      </c>
      <c r="M281" s="72" t="s">
        <v>219</v>
      </c>
      <c r="N281" s="73" t="s">
        <v>219</v>
      </c>
      <c r="O281" s="74" t="s">
        <v>219</v>
      </c>
      <c r="P281" s="73" t="s">
        <v>219</v>
      </c>
      <c r="Q281" s="80" t="s">
        <v>219</v>
      </c>
      <c r="W281" s="76" t="s">
        <v>219</v>
      </c>
      <c r="X281" s="77" t="s">
        <v>219</v>
      </c>
      <c r="Y281" s="78">
        <v>0</v>
      </c>
      <c r="AA281" s="79" t="s">
        <v>219</v>
      </c>
      <c r="AB281" s="79" t="s">
        <v>219</v>
      </c>
      <c r="AC281" s="78">
        <v>0</v>
      </c>
      <c r="AE281" s="63" t="s">
        <v>230</v>
      </c>
      <c r="AF281" s="63">
        <v>0</v>
      </c>
      <c r="AG281" s="63" t="s">
        <v>219</v>
      </c>
      <c r="AK281" s="77">
        <v>0</v>
      </c>
      <c r="BA281" s="41" t="s">
        <v>230</v>
      </c>
      <c r="BB281" s="41" t="s">
        <v>15</v>
      </c>
      <c r="BC281" s="41" t="s">
        <v>232</v>
      </c>
      <c r="BD281" s="41" t="s">
        <v>984</v>
      </c>
    </row>
    <row r="282" spans="1:56" ht="18" customHeight="1" outlineLevel="1">
      <c r="A282" s="19">
        <v>410</v>
      </c>
      <c r="B282" s="19">
        <v>524000019</v>
      </c>
      <c r="C282" s="19">
        <v>524000019</v>
      </c>
      <c r="D282" s="50" t="s">
        <v>13</v>
      </c>
      <c r="E282" s="19" t="s">
        <v>1182</v>
      </c>
      <c r="F282" s="19" t="s">
        <v>1183</v>
      </c>
      <c r="G282" s="19" t="s">
        <v>1184</v>
      </c>
      <c r="H282" s="69" t="s">
        <v>1185</v>
      </c>
      <c r="I282" s="70" t="s">
        <v>1008</v>
      </c>
      <c r="J282" s="70" t="s">
        <v>344</v>
      </c>
      <c r="K282" s="71">
        <v>1</v>
      </c>
      <c r="L282" s="72">
        <v>524000019</v>
      </c>
      <c r="M282" s="72" t="s">
        <v>1186</v>
      </c>
      <c r="N282" s="73">
        <v>306.8</v>
      </c>
      <c r="O282" s="74" t="s">
        <v>279</v>
      </c>
      <c r="P282" s="73">
        <v>499.95</v>
      </c>
      <c r="Q282" s="80" t="s">
        <v>279</v>
      </c>
      <c r="W282" s="76" t="s">
        <v>1187</v>
      </c>
      <c r="X282" s="77">
        <v>306.8</v>
      </c>
      <c r="Y282" s="78">
        <v>0</v>
      </c>
      <c r="AA282" s="79">
        <v>306.8</v>
      </c>
      <c r="AB282" s="79">
        <v>306.8</v>
      </c>
      <c r="AC282" s="78">
        <v>0</v>
      </c>
      <c r="AE282" s="63" t="s">
        <v>219</v>
      </c>
      <c r="AF282" s="63">
        <v>0</v>
      </c>
      <c r="AG282" s="63">
        <v>0</v>
      </c>
      <c r="AK282" s="77">
        <v>0</v>
      </c>
      <c r="BA282" s="41" t="s">
        <v>230</v>
      </c>
      <c r="BB282" s="41" t="s">
        <v>15</v>
      </c>
      <c r="BC282" s="41" t="s">
        <v>232</v>
      </c>
      <c r="BD282" s="41" t="s">
        <v>984</v>
      </c>
    </row>
    <row r="283" spans="1:56" ht="18" customHeight="1" outlineLevel="1">
      <c r="A283" s="19">
        <v>411</v>
      </c>
      <c r="B283" s="19">
        <v>524000023</v>
      </c>
      <c r="C283" s="19">
        <v>524000023</v>
      </c>
      <c r="D283" s="50" t="s">
        <v>13</v>
      </c>
      <c r="E283" s="19" t="s">
        <v>1182</v>
      </c>
      <c r="F283" s="19" t="s">
        <v>1183</v>
      </c>
      <c r="G283" s="19" t="s">
        <v>1184</v>
      </c>
      <c r="H283" s="69" t="s">
        <v>1188</v>
      </c>
      <c r="I283" s="70" t="s">
        <v>1189</v>
      </c>
      <c r="J283" s="70" t="s">
        <v>289</v>
      </c>
      <c r="K283" s="71">
        <v>1</v>
      </c>
      <c r="L283" s="72">
        <v>524000023</v>
      </c>
      <c r="M283" s="72" t="s">
        <v>1190</v>
      </c>
      <c r="N283" s="73">
        <v>306.8</v>
      </c>
      <c r="O283" s="74" t="s">
        <v>279</v>
      </c>
      <c r="P283" s="73">
        <v>499.95</v>
      </c>
      <c r="Q283" s="80" t="s">
        <v>279</v>
      </c>
      <c r="W283" s="76" t="s">
        <v>1191</v>
      </c>
      <c r="X283" s="77">
        <v>306.8</v>
      </c>
      <c r="Y283" s="78">
        <v>0</v>
      </c>
      <c r="AA283" s="79">
        <v>306.8</v>
      </c>
      <c r="AB283" s="79">
        <v>306.8</v>
      </c>
      <c r="AC283" s="78">
        <v>0</v>
      </c>
      <c r="AE283" s="63" t="s">
        <v>219</v>
      </c>
      <c r="AF283" s="63">
        <v>0</v>
      </c>
      <c r="AG283" s="63">
        <v>0</v>
      </c>
      <c r="AK283" s="77">
        <v>0</v>
      </c>
      <c r="BA283" s="41" t="s">
        <v>230</v>
      </c>
      <c r="BB283" s="41" t="s">
        <v>15</v>
      </c>
      <c r="BC283" s="41" t="s">
        <v>232</v>
      </c>
      <c r="BD283" s="41" t="s">
        <v>984</v>
      </c>
    </row>
    <row r="284" spans="1:56" ht="18" customHeight="1" outlineLevel="1">
      <c r="A284" s="19">
        <v>412</v>
      </c>
      <c r="B284" s="19">
        <v>524000027</v>
      </c>
      <c r="C284" s="19">
        <v>524000027</v>
      </c>
      <c r="D284" s="50" t="s">
        <v>13</v>
      </c>
      <c r="E284" s="19" t="s">
        <v>1182</v>
      </c>
      <c r="F284" s="19" t="s">
        <v>1183</v>
      </c>
      <c r="G284" s="19" t="s">
        <v>1184</v>
      </c>
      <c r="H284" s="69" t="s">
        <v>1192</v>
      </c>
      <c r="I284" s="70" t="s">
        <v>1193</v>
      </c>
      <c r="J284" s="70" t="s">
        <v>521</v>
      </c>
      <c r="K284" s="71">
        <v>1</v>
      </c>
      <c r="L284" s="72">
        <v>524000027</v>
      </c>
      <c r="M284" s="72" t="s">
        <v>1194</v>
      </c>
      <c r="N284" s="73">
        <v>306.8</v>
      </c>
      <c r="O284" s="74" t="s">
        <v>279</v>
      </c>
      <c r="P284" s="73">
        <v>499.95</v>
      </c>
      <c r="Q284" s="80" t="s">
        <v>279</v>
      </c>
      <c r="W284" s="76" t="s">
        <v>1195</v>
      </c>
      <c r="X284" s="77">
        <v>306.8</v>
      </c>
      <c r="Y284" s="78">
        <v>0</v>
      </c>
      <c r="AA284" s="79">
        <v>306.8</v>
      </c>
      <c r="AB284" s="79">
        <v>306.8</v>
      </c>
      <c r="AC284" s="78">
        <v>0</v>
      </c>
      <c r="AE284" s="63" t="s">
        <v>219</v>
      </c>
      <c r="AF284" s="63">
        <v>0</v>
      </c>
      <c r="AG284" s="63">
        <v>0</v>
      </c>
      <c r="AK284" s="77">
        <v>0</v>
      </c>
      <c r="BA284" s="41" t="s">
        <v>230</v>
      </c>
      <c r="BB284" s="41" t="s">
        <v>15</v>
      </c>
      <c r="BC284" s="41" t="s">
        <v>232</v>
      </c>
      <c r="BD284" s="41" t="s">
        <v>984</v>
      </c>
    </row>
    <row r="285" spans="1:56" s="57" customFormat="1" ht="18" customHeight="1" outlineLevel="1">
      <c r="A285" s="49">
        <v>413</v>
      </c>
      <c r="B285" s="19">
        <v>524000031</v>
      </c>
      <c r="C285" s="19">
        <v>524000031</v>
      </c>
      <c r="D285" s="50" t="s">
        <v>13</v>
      </c>
      <c r="E285" s="19" t="s">
        <v>1182</v>
      </c>
      <c r="F285" s="19" t="s">
        <v>1183</v>
      </c>
      <c r="G285" s="19" t="s">
        <v>1184</v>
      </c>
      <c r="H285" s="69" t="s">
        <v>1196</v>
      </c>
      <c r="I285" s="64" t="s">
        <v>1065</v>
      </c>
      <c r="J285" s="70" t="s">
        <v>556</v>
      </c>
      <c r="K285" s="53">
        <v>1</v>
      </c>
      <c r="L285" s="20">
        <v>524000031</v>
      </c>
      <c r="M285" s="72" t="s">
        <v>1197</v>
      </c>
      <c r="N285" s="54">
        <v>306.8</v>
      </c>
      <c r="O285" s="56" t="s">
        <v>279</v>
      </c>
      <c r="P285" s="54">
        <v>499.95</v>
      </c>
      <c r="Q285" s="56" t="s">
        <v>279</v>
      </c>
      <c r="R285" s="27"/>
      <c r="S285" s="58"/>
      <c r="T285" s="51"/>
      <c r="U285" s="51"/>
      <c r="V285" s="51"/>
      <c r="W285" s="76" t="s">
        <v>1198</v>
      </c>
      <c r="X285" s="77">
        <v>306.8</v>
      </c>
      <c r="Y285" s="78">
        <v>0</v>
      </c>
      <c r="Z285" s="29"/>
      <c r="AA285" s="79">
        <v>306.8</v>
      </c>
      <c r="AB285" s="79">
        <v>306.8</v>
      </c>
      <c r="AC285" s="78">
        <v>0</v>
      </c>
      <c r="AD285" s="29"/>
      <c r="AE285" s="63" t="s">
        <v>219</v>
      </c>
      <c r="AF285" s="63">
        <v>0</v>
      </c>
      <c r="AG285" s="63">
        <v>0</v>
      </c>
      <c r="AH285" s="29"/>
      <c r="AI285" s="27"/>
      <c r="AJ285" s="29"/>
      <c r="AK285" s="77">
        <v>0</v>
      </c>
      <c r="BA285" s="41" t="s">
        <v>230</v>
      </c>
      <c r="BB285" s="41" t="s">
        <v>15</v>
      </c>
      <c r="BC285" s="41" t="s">
        <v>232</v>
      </c>
      <c r="BD285" s="41" t="s">
        <v>984</v>
      </c>
    </row>
    <row r="286" spans="1:56" ht="18" customHeight="1" outlineLevel="1">
      <c r="A286" s="19">
        <v>414</v>
      </c>
      <c r="B286" s="19">
        <v>524000035</v>
      </c>
      <c r="C286" s="19">
        <v>524000035</v>
      </c>
      <c r="D286" s="50" t="s">
        <v>13</v>
      </c>
      <c r="E286" s="19" t="s">
        <v>1182</v>
      </c>
      <c r="F286" s="19" t="s">
        <v>1183</v>
      </c>
      <c r="G286" s="19" t="s">
        <v>1184</v>
      </c>
      <c r="H286" s="69" t="s">
        <v>1199</v>
      </c>
      <c r="I286" s="70" t="s">
        <v>1200</v>
      </c>
      <c r="J286" s="70" t="s">
        <v>334</v>
      </c>
      <c r="K286" s="71">
        <v>1</v>
      </c>
      <c r="L286" s="72">
        <v>524000035</v>
      </c>
      <c r="M286" s="72" t="s">
        <v>1201</v>
      </c>
      <c r="N286" s="73">
        <v>306.8</v>
      </c>
      <c r="O286" s="74" t="s">
        <v>279</v>
      </c>
      <c r="P286" s="73">
        <v>499.95</v>
      </c>
      <c r="Q286" s="80" t="s">
        <v>279</v>
      </c>
      <c r="W286" s="76" t="s">
        <v>1202</v>
      </c>
      <c r="X286" s="77">
        <v>306.8</v>
      </c>
      <c r="Y286" s="78">
        <v>0</v>
      </c>
      <c r="AA286" s="79">
        <v>306.8</v>
      </c>
      <c r="AB286" s="79">
        <v>306.8</v>
      </c>
      <c r="AC286" s="78">
        <v>0</v>
      </c>
      <c r="AE286" s="63" t="s">
        <v>219</v>
      </c>
      <c r="AF286" s="63">
        <v>0</v>
      </c>
      <c r="AG286" s="63">
        <v>0</v>
      </c>
      <c r="AK286" s="77">
        <v>0</v>
      </c>
      <c r="BA286" s="41" t="s">
        <v>230</v>
      </c>
      <c r="BB286" s="41" t="s">
        <v>15</v>
      </c>
      <c r="BC286" s="41" t="s">
        <v>232</v>
      </c>
      <c r="BD286" s="41" t="s">
        <v>984</v>
      </c>
    </row>
    <row r="287" spans="1:56" ht="18" customHeight="1" outlineLevel="1">
      <c r="A287" s="19">
        <v>415</v>
      </c>
      <c r="B287" s="19">
        <v>524000039</v>
      </c>
      <c r="C287" s="19">
        <v>524000039</v>
      </c>
      <c r="D287" s="50" t="s">
        <v>13</v>
      </c>
      <c r="E287" s="19" t="s">
        <v>1182</v>
      </c>
      <c r="F287" s="19" t="s">
        <v>1183</v>
      </c>
      <c r="G287" s="19" t="s">
        <v>1184</v>
      </c>
      <c r="H287" s="69" t="s">
        <v>1203</v>
      </c>
      <c r="I287" s="70" t="s">
        <v>1204</v>
      </c>
      <c r="J287" s="70" t="s">
        <v>329</v>
      </c>
      <c r="K287" s="71">
        <v>1</v>
      </c>
      <c r="L287" s="72">
        <v>524000039</v>
      </c>
      <c r="M287" s="72" t="s">
        <v>1205</v>
      </c>
      <c r="N287" s="73">
        <v>306.8</v>
      </c>
      <c r="O287" s="74" t="s">
        <v>279</v>
      </c>
      <c r="P287" s="73">
        <v>499.95</v>
      </c>
      <c r="Q287" s="80" t="s">
        <v>279</v>
      </c>
      <c r="W287" s="76" t="s">
        <v>1206</v>
      </c>
      <c r="X287" s="77">
        <v>306.8</v>
      </c>
      <c r="Y287" s="78">
        <v>0</v>
      </c>
      <c r="AA287" s="79">
        <v>306.8</v>
      </c>
      <c r="AB287" s="79">
        <v>306.8</v>
      </c>
      <c r="AC287" s="78">
        <v>0</v>
      </c>
      <c r="AE287" s="63" t="s">
        <v>219</v>
      </c>
      <c r="AF287" s="63">
        <v>0</v>
      </c>
      <c r="AG287" s="63">
        <v>0</v>
      </c>
      <c r="AK287" s="77">
        <v>0</v>
      </c>
      <c r="BA287" s="41" t="s">
        <v>230</v>
      </c>
      <c r="BB287" s="41" t="s">
        <v>15</v>
      </c>
      <c r="BC287" s="41" t="s">
        <v>232</v>
      </c>
      <c r="BD287" s="41" t="s">
        <v>984</v>
      </c>
    </row>
    <row r="288" spans="1:56" ht="18" customHeight="1" outlineLevel="1">
      <c r="A288" s="19">
        <v>416</v>
      </c>
      <c r="B288" s="19">
        <v>524000043</v>
      </c>
      <c r="C288" s="19">
        <v>524000043</v>
      </c>
      <c r="D288" s="50" t="s">
        <v>13</v>
      </c>
      <c r="E288" s="19" t="s">
        <v>1182</v>
      </c>
      <c r="F288" s="19" t="s">
        <v>1183</v>
      </c>
      <c r="G288" s="19" t="s">
        <v>1184</v>
      </c>
      <c r="H288" s="69" t="s">
        <v>1207</v>
      </c>
      <c r="I288" s="70" t="s">
        <v>1061</v>
      </c>
      <c r="J288" s="70" t="s">
        <v>619</v>
      </c>
      <c r="K288" s="71">
        <v>1</v>
      </c>
      <c r="L288" s="72">
        <v>524000043</v>
      </c>
      <c r="M288" s="72" t="s">
        <v>1208</v>
      </c>
      <c r="N288" s="73">
        <v>306.8</v>
      </c>
      <c r="O288" s="74" t="s">
        <v>279</v>
      </c>
      <c r="P288" s="73">
        <v>499.95</v>
      </c>
      <c r="Q288" s="80" t="s">
        <v>279</v>
      </c>
      <c r="W288" s="76" t="s">
        <v>1209</v>
      </c>
      <c r="X288" s="77">
        <v>306.8</v>
      </c>
      <c r="Y288" s="78">
        <v>0</v>
      </c>
      <c r="AA288" s="79">
        <v>306.8</v>
      </c>
      <c r="AB288" s="79">
        <v>306.8</v>
      </c>
      <c r="AC288" s="78">
        <v>0</v>
      </c>
      <c r="AE288" s="63" t="s">
        <v>219</v>
      </c>
      <c r="AF288" s="63">
        <v>0</v>
      </c>
      <c r="AG288" s="63">
        <v>0</v>
      </c>
      <c r="AK288" s="77">
        <v>0</v>
      </c>
      <c r="BA288" s="41" t="s">
        <v>230</v>
      </c>
      <c r="BB288" s="41" t="s">
        <v>15</v>
      </c>
      <c r="BC288" s="41" t="s">
        <v>232</v>
      </c>
      <c r="BD288" s="41" t="s">
        <v>984</v>
      </c>
    </row>
    <row r="289" spans="1:56" ht="27" customHeight="1" outlineLevel="1">
      <c r="A289" s="19">
        <v>417</v>
      </c>
      <c r="B289" s="19" t="s">
        <v>219</v>
      </c>
      <c r="C289" s="19" t="s">
        <v>219</v>
      </c>
      <c r="D289" s="50" t="s">
        <v>219</v>
      </c>
      <c r="E289" s="19" t="s">
        <v>219</v>
      </c>
      <c r="F289" s="19" t="s">
        <v>219</v>
      </c>
      <c r="G289" s="19" t="s">
        <v>219</v>
      </c>
      <c r="H289" s="81" t="s">
        <v>219</v>
      </c>
      <c r="I289" s="70" t="s">
        <v>219</v>
      </c>
      <c r="J289" s="70" t="s">
        <v>219</v>
      </c>
      <c r="K289" s="71" t="s">
        <v>219</v>
      </c>
      <c r="L289" s="72" t="s">
        <v>219</v>
      </c>
      <c r="M289" s="72" t="s">
        <v>219</v>
      </c>
      <c r="N289" s="73" t="s">
        <v>219</v>
      </c>
      <c r="O289" s="74" t="s">
        <v>219</v>
      </c>
      <c r="P289" s="73" t="s">
        <v>219</v>
      </c>
      <c r="Q289" s="80" t="s">
        <v>219</v>
      </c>
      <c r="W289" s="76" t="s">
        <v>219</v>
      </c>
      <c r="X289" s="77" t="s">
        <v>219</v>
      </c>
      <c r="Y289" s="78">
        <v>0</v>
      </c>
      <c r="AA289" s="79" t="s">
        <v>219</v>
      </c>
      <c r="AB289" s="79" t="s">
        <v>219</v>
      </c>
      <c r="AC289" s="78">
        <v>0</v>
      </c>
      <c r="AE289" s="63" t="s">
        <v>230</v>
      </c>
      <c r="AF289" s="63">
        <v>1</v>
      </c>
      <c r="AG289" s="63" t="s">
        <v>219</v>
      </c>
      <c r="AK289" s="77">
        <v>0</v>
      </c>
      <c r="BA289" s="41" t="s">
        <v>230</v>
      </c>
      <c r="BB289" s="41" t="s">
        <v>15</v>
      </c>
      <c r="BC289" s="41" t="s">
        <v>232</v>
      </c>
      <c r="BD289" s="41" t="s">
        <v>984</v>
      </c>
    </row>
    <row r="290" spans="1:56" s="57" customFormat="1" ht="18" customHeight="1" outlineLevel="1">
      <c r="A290" s="49">
        <v>418</v>
      </c>
      <c r="B290" s="19">
        <v>524000013</v>
      </c>
      <c r="C290" s="19">
        <v>524000013</v>
      </c>
      <c r="D290" s="50" t="s">
        <v>13</v>
      </c>
      <c r="E290" s="19" t="s">
        <v>1182</v>
      </c>
      <c r="F290" s="19" t="s">
        <v>1210</v>
      </c>
      <c r="G290" s="19" t="s">
        <v>1211</v>
      </c>
      <c r="H290" s="69" t="s">
        <v>1212</v>
      </c>
      <c r="I290" s="64" t="s">
        <v>1189</v>
      </c>
      <c r="J290" s="70" t="s">
        <v>289</v>
      </c>
      <c r="K290" s="53">
        <v>1</v>
      </c>
      <c r="L290" s="20">
        <v>524000013</v>
      </c>
      <c r="M290" s="72" t="s">
        <v>1213</v>
      </c>
      <c r="N290" s="54">
        <v>355.8</v>
      </c>
      <c r="O290" s="56" t="s">
        <v>279</v>
      </c>
      <c r="P290" s="54">
        <v>579.95000000000005</v>
      </c>
      <c r="Q290" s="56" t="s">
        <v>279</v>
      </c>
      <c r="R290" s="27"/>
      <c r="S290" s="58"/>
      <c r="T290" s="51"/>
      <c r="U290" s="51"/>
      <c r="V290" s="51"/>
      <c r="W290" s="76" t="s">
        <v>1214</v>
      </c>
      <c r="X290" s="77">
        <v>355.8</v>
      </c>
      <c r="Y290" s="78">
        <v>0</v>
      </c>
      <c r="Z290" s="29"/>
      <c r="AA290" s="79">
        <v>355.8</v>
      </c>
      <c r="AB290" s="79">
        <v>355.8</v>
      </c>
      <c r="AC290" s="78">
        <v>0</v>
      </c>
      <c r="AD290" s="29"/>
      <c r="AE290" s="63" t="s">
        <v>219</v>
      </c>
      <c r="AF290" s="63">
        <v>1</v>
      </c>
      <c r="AG290" s="63">
        <v>1</v>
      </c>
      <c r="AH290" s="29"/>
      <c r="AI290" s="27"/>
      <c r="AJ290" s="29"/>
      <c r="AK290" s="77">
        <v>0</v>
      </c>
      <c r="BA290" s="41" t="s">
        <v>230</v>
      </c>
      <c r="BB290" s="41" t="s">
        <v>15</v>
      </c>
      <c r="BC290" s="41" t="s">
        <v>232</v>
      </c>
      <c r="BD290" s="41" t="s">
        <v>984</v>
      </c>
    </row>
    <row r="291" spans="1:56" ht="27" customHeight="1" outlineLevel="1">
      <c r="A291" s="19">
        <v>419</v>
      </c>
      <c r="B291" s="19" t="s">
        <v>219</v>
      </c>
      <c r="C291" s="19" t="s">
        <v>219</v>
      </c>
      <c r="D291" s="50" t="s">
        <v>219</v>
      </c>
      <c r="E291" s="19" t="s">
        <v>219</v>
      </c>
      <c r="F291" s="19" t="s">
        <v>219</v>
      </c>
      <c r="G291" s="19" t="s">
        <v>219</v>
      </c>
      <c r="H291" s="81" t="s">
        <v>219</v>
      </c>
      <c r="I291" s="70" t="s">
        <v>219</v>
      </c>
      <c r="J291" s="70" t="s">
        <v>219</v>
      </c>
      <c r="K291" s="71" t="s">
        <v>219</v>
      </c>
      <c r="L291" s="72" t="s">
        <v>219</v>
      </c>
      <c r="M291" s="72" t="s">
        <v>219</v>
      </c>
      <c r="N291" s="73" t="s">
        <v>219</v>
      </c>
      <c r="O291" s="74" t="s">
        <v>219</v>
      </c>
      <c r="P291" s="73" t="s">
        <v>219</v>
      </c>
      <c r="Q291" s="80" t="s">
        <v>219</v>
      </c>
      <c r="W291" s="76" t="s">
        <v>219</v>
      </c>
      <c r="X291" s="77" t="s">
        <v>219</v>
      </c>
      <c r="Y291" s="78">
        <v>0</v>
      </c>
      <c r="AA291" s="79" t="s">
        <v>219</v>
      </c>
      <c r="AB291" s="79" t="s">
        <v>219</v>
      </c>
      <c r="AC291" s="78">
        <v>0</v>
      </c>
      <c r="AE291" s="63" t="s">
        <v>230</v>
      </c>
      <c r="AF291" s="63">
        <v>0</v>
      </c>
      <c r="AG291" s="63" t="s">
        <v>219</v>
      </c>
      <c r="AK291" s="77">
        <v>0</v>
      </c>
      <c r="BA291" s="41" t="s">
        <v>230</v>
      </c>
      <c r="BB291" s="41" t="s">
        <v>15</v>
      </c>
      <c r="BC291" s="41" t="s">
        <v>232</v>
      </c>
      <c r="BD291" s="41" t="s">
        <v>984</v>
      </c>
    </row>
    <row r="292" spans="1:56" ht="18" customHeight="1" outlineLevel="1">
      <c r="A292" s="19">
        <v>420</v>
      </c>
      <c r="B292" s="19">
        <v>524000047</v>
      </c>
      <c r="C292" s="19">
        <v>524000047</v>
      </c>
      <c r="D292" s="50" t="s">
        <v>13</v>
      </c>
      <c r="E292" s="19" t="s">
        <v>1215</v>
      </c>
      <c r="F292" s="19" t="s">
        <v>1216</v>
      </c>
      <c r="G292" s="19" t="s">
        <v>1217</v>
      </c>
      <c r="H292" s="69" t="s">
        <v>1218</v>
      </c>
      <c r="I292" s="70" t="s">
        <v>1008</v>
      </c>
      <c r="J292" s="70" t="s">
        <v>344</v>
      </c>
      <c r="K292" s="71">
        <v>1</v>
      </c>
      <c r="L292" s="72">
        <v>524000047</v>
      </c>
      <c r="M292" s="72" t="s">
        <v>1219</v>
      </c>
      <c r="N292" s="73">
        <v>122.69999999999999</v>
      </c>
      <c r="O292" s="74" t="s">
        <v>279</v>
      </c>
      <c r="P292" s="73">
        <v>199.95</v>
      </c>
      <c r="Q292" s="80" t="s">
        <v>279</v>
      </c>
      <c r="W292" s="76" t="s">
        <v>1220</v>
      </c>
      <c r="X292" s="77">
        <v>122.69999999999999</v>
      </c>
      <c r="Y292" s="78">
        <v>0</v>
      </c>
      <c r="AA292" s="79">
        <v>122.69999999999999</v>
      </c>
      <c r="AB292" s="79">
        <v>122.69999999999999</v>
      </c>
      <c r="AC292" s="78">
        <v>0</v>
      </c>
      <c r="AE292" s="63" t="s">
        <v>219</v>
      </c>
      <c r="AF292" s="63">
        <v>0</v>
      </c>
      <c r="AG292" s="63">
        <v>0</v>
      </c>
      <c r="AK292" s="77">
        <v>0</v>
      </c>
      <c r="BA292" s="41" t="s">
        <v>230</v>
      </c>
      <c r="BB292" s="41" t="s">
        <v>15</v>
      </c>
      <c r="BC292" s="41" t="s">
        <v>232</v>
      </c>
      <c r="BD292" s="41" t="s">
        <v>984</v>
      </c>
    </row>
    <row r="293" spans="1:56" ht="18" customHeight="1" outlineLevel="1">
      <c r="A293" s="19">
        <v>421</v>
      </c>
      <c r="B293" s="19">
        <v>524000053</v>
      </c>
      <c r="C293" s="19">
        <v>524000053</v>
      </c>
      <c r="D293" s="50" t="s">
        <v>13</v>
      </c>
      <c r="E293" s="19" t="s">
        <v>1215</v>
      </c>
      <c r="F293" s="19" t="s">
        <v>1216</v>
      </c>
      <c r="G293" s="19" t="s">
        <v>1217</v>
      </c>
      <c r="H293" s="69" t="s">
        <v>1221</v>
      </c>
      <c r="I293" s="70" t="s">
        <v>1189</v>
      </c>
      <c r="J293" s="70" t="s">
        <v>289</v>
      </c>
      <c r="K293" s="71">
        <v>1</v>
      </c>
      <c r="L293" s="72">
        <v>524000053</v>
      </c>
      <c r="M293" s="72" t="s">
        <v>1222</v>
      </c>
      <c r="N293" s="73">
        <v>122.69999999999999</v>
      </c>
      <c r="O293" s="74" t="s">
        <v>279</v>
      </c>
      <c r="P293" s="73">
        <v>199.95</v>
      </c>
      <c r="Q293" s="80" t="s">
        <v>279</v>
      </c>
      <c r="W293" s="76" t="s">
        <v>1223</v>
      </c>
      <c r="X293" s="77">
        <v>122.69999999999999</v>
      </c>
      <c r="Y293" s="78">
        <v>0</v>
      </c>
      <c r="AA293" s="79">
        <v>122.69999999999999</v>
      </c>
      <c r="AB293" s="79">
        <v>122.69999999999999</v>
      </c>
      <c r="AC293" s="78">
        <v>0</v>
      </c>
      <c r="AE293" s="63" t="s">
        <v>219</v>
      </c>
      <c r="AF293" s="63">
        <v>0</v>
      </c>
      <c r="AG293" s="63">
        <v>0</v>
      </c>
      <c r="AK293" s="77">
        <v>0</v>
      </c>
      <c r="BA293" s="41" t="s">
        <v>230</v>
      </c>
      <c r="BB293" s="41" t="s">
        <v>15</v>
      </c>
      <c r="BC293" s="41" t="s">
        <v>232</v>
      </c>
      <c r="BD293" s="41" t="s">
        <v>984</v>
      </c>
    </row>
    <row r="294" spans="1:56" ht="18" customHeight="1" outlineLevel="1">
      <c r="A294" s="19">
        <v>422</v>
      </c>
      <c r="B294" s="19">
        <v>524000059</v>
      </c>
      <c r="C294" s="19">
        <v>524000059</v>
      </c>
      <c r="D294" s="50" t="s">
        <v>13</v>
      </c>
      <c r="E294" s="19" t="s">
        <v>1215</v>
      </c>
      <c r="F294" s="19" t="s">
        <v>1216</v>
      </c>
      <c r="G294" s="19" t="s">
        <v>1217</v>
      </c>
      <c r="H294" s="69" t="s">
        <v>1224</v>
      </c>
      <c r="I294" s="70" t="s">
        <v>1193</v>
      </c>
      <c r="J294" s="70" t="s">
        <v>521</v>
      </c>
      <c r="K294" s="71">
        <v>1</v>
      </c>
      <c r="L294" s="72">
        <v>524000059</v>
      </c>
      <c r="M294" s="72" t="s">
        <v>1225</v>
      </c>
      <c r="N294" s="73">
        <v>122.69999999999999</v>
      </c>
      <c r="O294" s="74" t="s">
        <v>279</v>
      </c>
      <c r="P294" s="73">
        <v>199.95</v>
      </c>
      <c r="Q294" s="80" t="s">
        <v>279</v>
      </c>
      <c r="W294" s="76" t="s">
        <v>1226</v>
      </c>
      <c r="X294" s="77">
        <v>122.69999999999999</v>
      </c>
      <c r="Y294" s="78">
        <v>0</v>
      </c>
      <c r="AA294" s="79">
        <v>122.69999999999999</v>
      </c>
      <c r="AB294" s="79">
        <v>122.69999999999999</v>
      </c>
      <c r="AC294" s="78">
        <v>0</v>
      </c>
      <c r="AE294" s="63" t="s">
        <v>219</v>
      </c>
      <c r="AF294" s="63">
        <v>0</v>
      </c>
      <c r="AG294" s="63">
        <v>0</v>
      </c>
      <c r="AK294" s="77">
        <v>0</v>
      </c>
      <c r="BA294" s="41" t="s">
        <v>230</v>
      </c>
      <c r="BB294" s="41" t="s">
        <v>15</v>
      </c>
      <c r="BC294" s="41" t="s">
        <v>232</v>
      </c>
      <c r="BD294" s="41" t="s">
        <v>984</v>
      </c>
    </row>
    <row r="295" spans="1:56" s="57" customFormat="1" ht="18" customHeight="1" outlineLevel="1">
      <c r="A295" s="49">
        <v>423</v>
      </c>
      <c r="B295" s="19">
        <v>524000063</v>
      </c>
      <c r="C295" s="19">
        <v>524000063</v>
      </c>
      <c r="D295" s="50" t="s">
        <v>13</v>
      </c>
      <c r="E295" s="19" t="s">
        <v>1215</v>
      </c>
      <c r="F295" s="19" t="s">
        <v>1216</v>
      </c>
      <c r="G295" s="19" t="s">
        <v>1217</v>
      </c>
      <c r="H295" s="69" t="s">
        <v>1227</v>
      </c>
      <c r="I295" s="64" t="s">
        <v>1065</v>
      </c>
      <c r="J295" s="70" t="s">
        <v>556</v>
      </c>
      <c r="K295" s="53">
        <v>1</v>
      </c>
      <c r="L295" s="20">
        <v>524000063</v>
      </c>
      <c r="M295" s="72" t="s">
        <v>1228</v>
      </c>
      <c r="N295" s="54">
        <v>122.69999999999999</v>
      </c>
      <c r="O295" s="56" t="s">
        <v>279</v>
      </c>
      <c r="P295" s="54">
        <v>199.95</v>
      </c>
      <c r="Q295" s="56" t="s">
        <v>279</v>
      </c>
      <c r="R295" s="27"/>
      <c r="S295" s="58"/>
      <c r="T295" s="51"/>
      <c r="U295" s="51"/>
      <c r="V295" s="51"/>
      <c r="W295" s="76" t="s">
        <v>1229</v>
      </c>
      <c r="X295" s="77">
        <v>122.69999999999999</v>
      </c>
      <c r="Y295" s="78">
        <v>0</v>
      </c>
      <c r="Z295" s="29"/>
      <c r="AA295" s="79">
        <v>122.69999999999999</v>
      </c>
      <c r="AB295" s="79">
        <v>122.69999999999999</v>
      </c>
      <c r="AC295" s="78">
        <v>0</v>
      </c>
      <c r="AD295" s="29"/>
      <c r="AE295" s="63" t="s">
        <v>219</v>
      </c>
      <c r="AF295" s="63">
        <v>0</v>
      </c>
      <c r="AG295" s="63">
        <v>0</v>
      </c>
      <c r="AH295" s="29"/>
      <c r="AI295" s="27"/>
      <c r="AJ295" s="29"/>
      <c r="AK295" s="77">
        <v>0</v>
      </c>
      <c r="BA295" s="41" t="s">
        <v>230</v>
      </c>
      <c r="BB295" s="41" t="s">
        <v>15</v>
      </c>
      <c r="BC295" s="41" t="s">
        <v>232</v>
      </c>
      <c r="BD295" s="41" t="s">
        <v>984</v>
      </c>
    </row>
    <row r="296" spans="1:56" ht="18" customHeight="1" outlineLevel="1">
      <c r="A296" s="19">
        <v>424</v>
      </c>
      <c r="B296" s="19">
        <v>524000069</v>
      </c>
      <c r="C296" s="19">
        <v>524000069</v>
      </c>
      <c r="D296" s="50" t="s">
        <v>13</v>
      </c>
      <c r="E296" s="19" t="s">
        <v>1215</v>
      </c>
      <c r="F296" s="19" t="s">
        <v>1216</v>
      </c>
      <c r="G296" s="19" t="s">
        <v>1217</v>
      </c>
      <c r="H296" s="69" t="s">
        <v>1230</v>
      </c>
      <c r="I296" s="70" t="s">
        <v>1200</v>
      </c>
      <c r="J296" s="70" t="s">
        <v>334</v>
      </c>
      <c r="K296" s="71">
        <v>1</v>
      </c>
      <c r="L296" s="72">
        <v>524000069</v>
      </c>
      <c r="M296" s="72" t="s">
        <v>1231</v>
      </c>
      <c r="N296" s="73">
        <v>122.69999999999999</v>
      </c>
      <c r="O296" s="74" t="s">
        <v>279</v>
      </c>
      <c r="P296" s="73">
        <v>199.95</v>
      </c>
      <c r="Q296" s="80" t="s">
        <v>279</v>
      </c>
      <c r="W296" s="76" t="s">
        <v>1232</v>
      </c>
      <c r="X296" s="77">
        <v>122.69999999999999</v>
      </c>
      <c r="Y296" s="78">
        <v>0</v>
      </c>
      <c r="AA296" s="79">
        <v>122.69999999999999</v>
      </c>
      <c r="AB296" s="79">
        <v>122.69999999999999</v>
      </c>
      <c r="AC296" s="78">
        <v>0</v>
      </c>
      <c r="AE296" s="63" t="s">
        <v>219</v>
      </c>
      <c r="AF296" s="63">
        <v>0</v>
      </c>
      <c r="AG296" s="63">
        <v>0</v>
      </c>
      <c r="AK296" s="77">
        <v>0</v>
      </c>
      <c r="BA296" s="41" t="s">
        <v>230</v>
      </c>
      <c r="BB296" s="41" t="s">
        <v>15</v>
      </c>
      <c r="BC296" s="41" t="s">
        <v>232</v>
      </c>
      <c r="BD296" s="41" t="s">
        <v>984</v>
      </c>
    </row>
    <row r="297" spans="1:56" ht="18" customHeight="1" outlineLevel="1">
      <c r="A297" s="19">
        <v>425</v>
      </c>
      <c r="B297" s="19">
        <v>524000075</v>
      </c>
      <c r="C297" s="19">
        <v>524000075</v>
      </c>
      <c r="D297" s="50" t="s">
        <v>13</v>
      </c>
      <c r="E297" s="19" t="s">
        <v>1215</v>
      </c>
      <c r="F297" s="19" t="s">
        <v>1216</v>
      </c>
      <c r="G297" s="19" t="s">
        <v>1217</v>
      </c>
      <c r="H297" s="69" t="s">
        <v>1233</v>
      </c>
      <c r="I297" s="70" t="s">
        <v>1204</v>
      </c>
      <c r="J297" s="70" t="s">
        <v>329</v>
      </c>
      <c r="K297" s="71">
        <v>1</v>
      </c>
      <c r="L297" s="72">
        <v>524000075</v>
      </c>
      <c r="M297" s="72" t="s">
        <v>1234</v>
      </c>
      <c r="N297" s="73">
        <v>122.69999999999999</v>
      </c>
      <c r="O297" s="74" t="s">
        <v>279</v>
      </c>
      <c r="P297" s="73">
        <v>199.95</v>
      </c>
      <c r="Q297" s="80" t="s">
        <v>279</v>
      </c>
      <c r="W297" s="76" t="s">
        <v>1235</v>
      </c>
      <c r="X297" s="77">
        <v>122.69999999999999</v>
      </c>
      <c r="Y297" s="78">
        <v>0</v>
      </c>
      <c r="AA297" s="79">
        <v>122.69999999999999</v>
      </c>
      <c r="AB297" s="79">
        <v>122.69999999999999</v>
      </c>
      <c r="AC297" s="78">
        <v>0</v>
      </c>
      <c r="AE297" s="63" t="s">
        <v>219</v>
      </c>
      <c r="AF297" s="63">
        <v>0</v>
      </c>
      <c r="AG297" s="63">
        <v>0</v>
      </c>
      <c r="AK297" s="77">
        <v>0</v>
      </c>
      <c r="BA297" s="41" t="s">
        <v>230</v>
      </c>
      <c r="BB297" s="41" t="s">
        <v>15</v>
      </c>
      <c r="BC297" s="41" t="s">
        <v>232</v>
      </c>
      <c r="BD297" s="41" t="s">
        <v>984</v>
      </c>
    </row>
    <row r="298" spans="1:56" ht="18" customHeight="1" outlineLevel="1">
      <c r="A298" s="19">
        <v>426</v>
      </c>
      <c r="B298" s="19">
        <v>524000081</v>
      </c>
      <c r="C298" s="19">
        <v>524000081</v>
      </c>
      <c r="D298" s="50" t="s">
        <v>13</v>
      </c>
      <c r="E298" s="19" t="s">
        <v>1215</v>
      </c>
      <c r="F298" s="19" t="s">
        <v>1216</v>
      </c>
      <c r="G298" s="19" t="s">
        <v>1217</v>
      </c>
      <c r="H298" s="69" t="s">
        <v>1236</v>
      </c>
      <c r="I298" s="70" t="s">
        <v>1061</v>
      </c>
      <c r="J298" s="70" t="s">
        <v>619</v>
      </c>
      <c r="K298" s="71">
        <v>1</v>
      </c>
      <c r="L298" s="72">
        <v>524000081</v>
      </c>
      <c r="M298" s="72" t="s">
        <v>1237</v>
      </c>
      <c r="N298" s="73">
        <v>122.69999999999999</v>
      </c>
      <c r="O298" s="74" t="s">
        <v>279</v>
      </c>
      <c r="P298" s="73">
        <v>199.95</v>
      </c>
      <c r="Q298" s="80" t="s">
        <v>279</v>
      </c>
      <c r="W298" s="76" t="s">
        <v>1238</v>
      </c>
      <c r="X298" s="77">
        <v>122.69999999999999</v>
      </c>
      <c r="Y298" s="78">
        <v>0</v>
      </c>
      <c r="AA298" s="79">
        <v>122.69999999999999</v>
      </c>
      <c r="AB298" s="79">
        <v>122.69999999999999</v>
      </c>
      <c r="AC298" s="78">
        <v>0</v>
      </c>
      <c r="AE298" s="63" t="s">
        <v>219</v>
      </c>
      <c r="AF298" s="63">
        <v>0</v>
      </c>
      <c r="AG298" s="63">
        <v>0</v>
      </c>
      <c r="AK298" s="77">
        <v>0</v>
      </c>
      <c r="BA298" s="41" t="s">
        <v>230</v>
      </c>
      <c r="BB298" s="41" t="s">
        <v>15</v>
      </c>
      <c r="BC298" s="41" t="s">
        <v>232</v>
      </c>
      <c r="BD298" s="41" t="s">
        <v>984</v>
      </c>
    </row>
    <row r="299" spans="1:56" ht="27" customHeight="1" outlineLevel="1">
      <c r="A299" s="19">
        <v>427</v>
      </c>
      <c r="B299" s="19" t="s">
        <v>219</v>
      </c>
      <c r="C299" s="19" t="s">
        <v>219</v>
      </c>
      <c r="D299" s="50" t="s">
        <v>219</v>
      </c>
      <c r="E299" s="19" t="s">
        <v>219</v>
      </c>
      <c r="F299" s="19" t="s">
        <v>219</v>
      </c>
      <c r="G299" s="19" t="s">
        <v>219</v>
      </c>
      <c r="H299" s="81" t="s">
        <v>219</v>
      </c>
      <c r="I299" s="70" t="s">
        <v>219</v>
      </c>
      <c r="J299" s="70" t="s">
        <v>219</v>
      </c>
      <c r="K299" s="71" t="s">
        <v>219</v>
      </c>
      <c r="L299" s="72" t="s">
        <v>219</v>
      </c>
      <c r="M299" s="72" t="s">
        <v>219</v>
      </c>
      <c r="N299" s="73" t="s">
        <v>219</v>
      </c>
      <c r="O299" s="74" t="s">
        <v>219</v>
      </c>
      <c r="P299" s="73" t="s">
        <v>219</v>
      </c>
      <c r="Q299" s="80" t="s">
        <v>219</v>
      </c>
      <c r="W299" s="76" t="s">
        <v>219</v>
      </c>
      <c r="X299" s="77" t="s">
        <v>219</v>
      </c>
      <c r="Y299" s="78">
        <v>0</v>
      </c>
      <c r="AA299" s="79" t="s">
        <v>219</v>
      </c>
      <c r="AB299" s="79" t="s">
        <v>219</v>
      </c>
      <c r="AC299" s="78">
        <v>0</v>
      </c>
      <c r="AE299" s="63" t="s">
        <v>230</v>
      </c>
      <c r="AF299" s="63">
        <v>1</v>
      </c>
      <c r="AG299" s="63" t="s">
        <v>219</v>
      </c>
      <c r="AK299" s="77">
        <v>0</v>
      </c>
      <c r="BA299" s="41" t="s">
        <v>230</v>
      </c>
      <c r="BB299" s="41" t="s">
        <v>15</v>
      </c>
      <c r="BC299" s="41" t="s">
        <v>232</v>
      </c>
      <c r="BD299" s="41" t="s">
        <v>984</v>
      </c>
    </row>
    <row r="300" spans="1:56" s="57" customFormat="1" ht="18" customHeight="1" outlineLevel="1">
      <c r="A300" s="49">
        <v>428</v>
      </c>
      <c r="B300" s="19">
        <v>522002631</v>
      </c>
      <c r="C300" s="19">
        <v>522002631</v>
      </c>
      <c r="D300" s="50" t="s">
        <v>13</v>
      </c>
      <c r="E300" s="19" t="s">
        <v>1182</v>
      </c>
      <c r="F300" s="19" t="s">
        <v>1239</v>
      </c>
      <c r="G300" s="19" t="s">
        <v>1240</v>
      </c>
      <c r="H300" s="69" t="s">
        <v>1241</v>
      </c>
      <c r="I300" s="64" t="s">
        <v>1242</v>
      </c>
      <c r="J300" s="70" t="s">
        <v>289</v>
      </c>
      <c r="K300" s="53">
        <v>1</v>
      </c>
      <c r="L300" s="20">
        <v>522002631</v>
      </c>
      <c r="M300" s="72" t="s">
        <v>1243</v>
      </c>
      <c r="N300" s="54">
        <v>343.6</v>
      </c>
      <c r="O300" s="56" t="s">
        <v>279</v>
      </c>
      <c r="P300" s="54">
        <v>559.95000000000005</v>
      </c>
      <c r="Q300" s="56" t="s">
        <v>279</v>
      </c>
      <c r="R300" s="27"/>
      <c r="S300" s="58"/>
      <c r="T300" s="51"/>
      <c r="U300" s="51"/>
      <c r="V300" s="51"/>
      <c r="W300" s="76" t="s">
        <v>1244</v>
      </c>
      <c r="X300" s="77">
        <v>343.6</v>
      </c>
      <c r="Y300" s="78">
        <v>0</v>
      </c>
      <c r="Z300" s="29"/>
      <c r="AA300" s="79">
        <v>343.6</v>
      </c>
      <c r="AB300" s="79">
        <v>343.6</v>
      </c>
      <c r="AC300" s="78">
        <v>0</v>
      </c>
      <c r="AD300" s="29"/>
      <c r="AE300" s="63" t="s">
        <v>219</v>
      </c>
      <c r="AF300" s="63">
        <v>1</v>
      </c>
      <c r="AG300" s="63">
        <v>1</v>
      </c>
      <c r="AH300" s="29"/>
      <c r="AI300" s="27"/>
      <c r="AJ300" s="29"/>
      <c r="AK300" s="77">
        <v>0</v>
      </c>
      <c r="BA300" s="41" t="s">
        <v>230</v>
      </c>
      <c r="BB300" s="41" t="s">
        <v>15</v>
      </c>
      <c r="BC300" s="41" t="s">
        <v>232</v>
      </c>
      <c r="BD300" s="41" t="s">
        <v>984</v>
      </c>
    </row>
    <row r="301" spans="1:56" ht="18" customHeight="1" outlineLevel="1">
      <c r="A301" s="19">
        <v>429</v>
      </c>
      <c r="B301" s="19">
        <v>522002635</v>
      </c>
      <c r="C301" s="19">
        <v>522002635</v>
      </c>
      <c r="D301" s="50" t="s">
        <v>13</v>
      </c>
      <c r="E301" s="19" t="s">
        <v>1182</v>
      </c>
      <c r="F301" s="19" t="s">
        <v>1239</v>
      </c>
      <c r="G301" s="19" t="s">
        <v>1240</v>
      </c>
      <c r="H301" s="69" t="s">
        <v>1245</v>
      </c>
      <c r="I301" s="70" t="s">
        <v>1246</v>
      </c>
      <c r="J301" s="70" t="s">
        <v>1247</v>
      </c>
      <c r="K301" s="71">
        <v>1</v>
      </c>
      <c r="L301" s="72">
        <v>522002635</v>
      </c>
      <c r="M301" s="72" t="s">
        <v>1248</v>
      </c>
      <c r="N301" s="73">
        <v>343.6</v>
      </c>
      <c r="O301" s="74" t="s">
        <v>279</v>
      </c>
      <c r="P301" s="73">
        <v>559.95000000000005</v>
      </c>
      <c r="Q301" s="80" t="s">
        <v>279</v>
      </c>
      <c r="W301" s="76" t="s">
        <v>1249</v>
      </c>
      <c r="X301" s="77">
        <v>343.6</v>
      </c>
      <c r="Y301" s="78">
        <v>0</v>
      </c>
      <c r="AA301" s="79">
        <v>343.6</v>
      </c>
      <c r="AB301" s="79">
        <v>343.6</v>
      </c>
      <c r="AC301" s="78">
        <v>0</v>
      </c>
      <c r="AE301" s="63" t="s">
        <v>219</v>
      </c>
      <c r="AF301" s="63">
        <v>1</v>
      </c>
      <c r="AG301" s="63">
        <v>1</v>
      </c>
      <c r="AK301" s="77">
        <v>0</v>
      </c>
      <c r="BA301" s="41" t="s">
        <v>230</v>
      </c>
      <c r="BB301" s="41" t="s">
        <v>15</v>
      </c>
      <c r="BC301" s="41" t="s">
        <v>232</v>
      </c>
      <c r="BD301" s="41" t="s">
        <v>984</v>
      </c>
    </row>
    <row r="302" spans="1:56" ht="27" customHeight="1" outlineLevel="1">
      <c r="A302" s="19">
        <v>430</v>
      </c>
      <c r="B302" s="19" t="s">
        <v>219</v>
      </c>
      <c r="C302" s="19" t="s">
        <v>219</v>
      </c>
      <c r="D302" s="50" t="s">
        <v>219</v>
      </c>
      <c r="E302" s="19" t="s">
        <v>219</v>
      </c>
      <c r="F302" s="19" t="s">
        <v>219</v>
      </c>
      <c r="G302" s="19" t="s">
        <v>219</v>
      </c>
      <c r="H302" s="81" t="s">
        <v>219</v>
      </c>
      <c r="I302" s="70" t="s">
        <v>219</v>
      </c>
      <c r="J302" s="70" t="s">
        <v>219</v>
      </c>
      <c r="K302" s="71" t="s">
        <v>219</v>
      </c>
      <c r="L302" s="72" t="s">
        <v>219</v>
      </c>
      <c r="M302" s="72" t="s">
        <v>219</v>
      </c>
      <c r="N302" s="73" t="s">
        <v>219</v>
      </c>
      <c r="O302" s="74" t="s">
        <v>219</v>
      </c>
      <c r="P302" s="73" t="s">
        <v>219</v>
      </c>
      <c r="Q302" s="80" t="s">
        <v>219</v>
      </c>
      <c r="W302" s="76" t="s">
        <v>219</v>
      </c>
      <c r="X302" s="77" t="s">
        <v>219</v>
      </c>
      <c r="Y302" s="78">
        <v>0</v>
      </c>
      <c r="AA302" s="79" t="s">
        <v>219</v>
      </c>
      <c r="AB302" s="79" t="s">
        <v>219</v>
      </c>
      <c r="AC302" s="78">
        <v>0</v>
      </c>
      <c r="AE302" s="63" t="s">
        <v>230</v>
      </c>
      <c r="AF302" s="63">
        <v>0</v>
      </c>
      <c r="AG302" s="63" t="s">
        <v>219</v>
      </c>
      <c r="AK302" s="77">
        <v>0</v>
      </c>
      <c r="BA302" s="41" t="s">
        <v>230</v>
      </c>
      <c r="BB302" s="41" t="s">
        <v>15</v>
      </c>
      <c r="BC302" s="41" t="s">
        <v>232</v>
      </c>
      <c r="BD302" s="41" t="s">
        <v>984</v>
      </c>
    </row>
    <row r="303" spans="1:56" ht="18" customHeight="1" outlineLevel="1">
      <c r="A303" s="19">
        <v>431</v>
      </c>
      <c r="B303" s="19">
        <v>522002667</v>
      </c>
      <c r="C303" s="19">
        <v>522002667</v>
      </c>
      <c r="D303" s="50" t="s">
        <v>13</v>
      </c>
      <c r="E303" s="19" t="s">
        <v>1215</v>
      </c>
      <c r="F303" s="19" t="s">
        <v>1250</v>
      </c>
      <c r="G303" s="19" t="s">
        <v>1251</v>
      </c>
      <c r="H303" s="69" t="s">
        <v>1252</v>
      </c>
      <c r="I303" s="70" t="s">
        <v>1242</v>
      </c>
      <c r="J303" s="70" t="s">
        <v>289</v>
      </c>
      <c r="K303" s="71">
        <v>1</v>
      </c>
      <c r="L303" s="72">
        <v>522002667</v>
      </c>
      <c r="M303" s="72" t="s">
        <v>1253</v>
      </c>
      <c r="N303" s="73">
        <v>141.1</v>
      </c>
      <c r="O303" s="74" t="s">
        <v>279</v>
      </c>
      <c r="P303" s="73">
        <v>229.95</v>
      </c>
      <c r="Q303" s="80" t="s">
        <v>279</v>
      </c>
      <c r="W303" s="76" t="s">
        <v>1254</v>
      </c>
      <c r="X303" s="77">
        <v>141.1</v>
      </c>
      <c r="Y303" s="78">
        <v>0</v>
      </c>
      <c r="AA303" s="79">
        <v>141.1</v>
      </c>
      <c r="AB303" s="79">
        <v>141.1</v>
      </c>
      <c r="AC303" s="78">
        <v>0</v>
      </c>
      <c r="AE303" s="63" t="s">
        <v>219</v>
      </c>
      <c r="AF303" s="63">
        <v>0</v>
      </c>
      <c r="AG303" s="63">
        <v>0</v>
      </c>
      <c r="AK303" s="77">
        <v>0</v>
      </c>
      <c r="BA303" s="41" t="s">
        <v>230</v>
      </c>
      <c r="BB303" s="41" t="s">
        <v>15</v>
      </c>
      <c r="BC303" s="41" t="s">
        <v>232</v>
      </c>
      <c r="BD303" s="41" t="s">
        <v>984</v>
      </c>
    </row>
    <row r="304" spans="1:56" ht="18" customHeight="1" outlineLevel="1">
      <c r="A304" s="19">
        <v>432</v>
      </c>
      <c r="B304" s="19">
        <v>522002671</v>
      </c>
      <c r="C304" s="19">
        <v>522002671</v>
      </c>
      <c r="D304" s="50" t="s">
        <v>13</v>
      </c>
      <c r="E304" s="19" t="s">
        <v>1215</v>
      </c>
      <c r="F304" s="19" t="s">
        <v>1250</v>
      </c>
      <c r="G304" s="19" t="s">
        <v>1251</v>
      </c>
      <c r="H304" s="69" t="s">
        <v>1255</v>
      </c>
      <c r="I304" s="70" t="s">
        <v>1246</v>
      </c>
      <c r="J304" s="70" t="s">
        <v>1247</v>
      </c>
      <c r="K304" s="71">
        <v>1</v>
      </c>
      <c r="L304" s="72">
        <v>522002671</v>
      </c>
      <c r="M304" s="72" t="s">
        <v>1256</v>
      </c>
      <c r="N304" s="73">
        <v>141.1</v>
      </c>
      <c r="O304" s="74" t="s">
        <v>279</v>
      </c>
      <c r="P304" s="73">
        <v>229.95</v>
      </c>
      <c r="Q304" s="80" t="s">
        <v>279</v>
      </c>
      <c r="W304" s="76" t="s">
        <v>1257</v>
      </c>
      <c r="X304" s="77">
        <v>141.1</v>
      </c>
      <c r="Y304" s="78">
        <v>0</v>
      </c>
      <c r="AA304" s="79">
        <v>141.1</v>
      </c>
      <c r="AB304" s="79">
        <v>141.1</v>
      </c>
      <c r="AC304" s="78">
        <v>0</v>
      </c>
      <c r="AE304" s="63" t="s">
        <v>219</v>
      </c>
      <c r="AF304" s="63">
        <v>0</v>
      </c>
      <c r="AG304" s="63">
        <v>0</v>
      </c>
      <c r="AK304" s="77">
        <v>0</v>
      </c>
      <c r="BA304" s="41" t="s">
        <v>230</v>
      </c>
      <c r="BB304" s="41" t="s">
        <v>15</v>
      </c>
      <c r="BC304" s="41" t="s">
        <v>232</v>
      </c>
      <c r="BD304" s="41" t="s">
        <v>984</v>
      </c>
    </row>
    <row r="305" spans="1:56" s="57" customFormat="1" ht="27" customHeight="1" outlineLevel="1">
      <c r="A305" s="49">
        <v>433</v>
      </c>
      <c r="B305" s="19" t="s">
        <v>219</v>
      </c>
      <c r="C305" s="19" t="s">
        <v>219</v>
      </c>
      <c r="D305" s="50" t="s">
        <v>219</v>
      </c>
      <c r="E305" s="19" t="s">
        <v>219</v>
      </c>
      <c r="F305" s="19" t="s">
        <v>219</v>
      </c>
      <c r="G305" s="19" t="s">
        <v>219</v>
      </c>
      <c r="H305" s="81" t="s">
        <v>219</v>
      </c>
      <c r="I305" s="64" t="s">
        <v>219</v>
      </c>
      <c r="J305" s="70" t="s">
        <v>219</v>
      </c>
      <c r="K305" s="53" t="s">
        <v>219</v>
      </c>
      <c r="L305" s="20" t="s">
        <v>219</v>
      </c>
      <c r="M305" s="72" t="s">
        <v>219</v>
      </c>
      <c r="N305" s="54" t="s">
        <v>219</v>
      </c>
      <c r="O305" s="56" t="s">
        <v>219</v>
      </c>
      <c r="P305" s="54" t="s">
        <v>219</v>
      </c>
      <c r="Q305" s="56" t="s">
        <v>219</v>
      </c>
      <c r="R305" s="27"/>
      <c r="S305" s="58"/>
      <c r="T305" s="51"/>
      <c r="U305" s="51"/>
      <c r="V305" s="51"/>
      <c r="W305" s="76" t="s">
        <v>219</v>
      </c>
      <c r="X305" s="77" t="s">
        <v>219</v>
      </c>
      <c r="Y305" s="78">
        <v>0</v>
      </c>
      <c r="Z305" s="29"/>
      <c r="AA305" s="79" t="s">
        <v>219</v>
      </c>
      <c r="AB305" s="79" t="s">
        <v>219</v>
      </c>
      <c r="AC305" s="78">
        <v>0</v>
      </c>
      <c r="AD305" s="29"/>
      <c r="AE305" s="63" t="s">
        <v>230</v>
      </c>
      <c r="AF305" s="63">
        <v>1</v>
      </c>
      <c r="AG305" s="63" t="s">
        <v>219</v>
      </c>
      <c r="AH305" s="29"/>
      <c r="AI305" s="27"/>
      <c r="AJ305" s="29"/>
      <c r="AK305" s="77">
        <v>0</v>
      </c>
      <c r="BA305" s="41" t="s">
        <v>230</v>
      </c>
      <c r="BB305" s="41" t="s">
        <v>15</v>
      </c>
      <c r="BC305" s="41" t="s">
        <v>232</v>
      </c>
      <c r="BD305" s="41" t="s">
        <v>984</v>
      </c>
    </row>
    <row r="306" spans="1:56" ht="18" customHeight="1" outlineLevel="1">
      <c r="A306" s="19">
        <v>434</v>
      </c>
      <c r="B306" s="19">
        <v>524000199</v>
      </c>
      <c r="C306" s="19">
        <v>524000199</v>
      </c>
      <c r="D306" s="50" t="s">
        <v>13</v>
      </c>
      <c r="E306" s="19" t="s">
        <v>1258</v>
      </c>
      <c r="F306" s="19" t="s">
        <v>1259</v>
      </c>
      <c r="G306" s="19" t="s">
        <v>1260</v>
      </c>
      <c r="H306" s="69" t="s">
        <v>1261</v>
      </c>
      <c r="I306" s="70" t="s">
        <v>1189</v>
      </c>
      <c r="J306" s="70" t="s">
        <v>289</v>
      </c>
      <c r="K306" s="71">
        <v>1</v>
      </c>
      <c r="L306" s="72">
        <v>524000199</v>
      </c>
      <c r="M306" s="72" t="s">
        <v>1262</v>
      </c>
      <c r="N306" s="73">
        <v>165.7</v>
      </c>
      <c r="O306" s="74" t="s">
        <v>279</v>
      </c>
      <c r="P306" s="73">
        <v>269.95</v>
      </c>
      <c r="Q306" s="80" t="s">
        <v>279</v>
      </c>
      <c r="W306" s="76" t="s">
        <v>1263</v>
      </c>
      <c r="X306" s="77">
        <v>165.7</v>
      </c>
      <c r="Y306" s="78">
        <v>0</v>
      </c>
      <c r="AA306" s="79">
        <v>165.7</v>
      </c>
      <c r="AB306" s="79">
        <v>165.7</v>
      </c>
      <c r="AC306" s="78">
        <v>0</v>
      </c>
      <c r="AE306" s="63" t="s">
        <v>219</v>
      </c>
      <c r="AF306" s="63">
        <v>1</v>
      </c>
      <c r="AG306" s="63">
        <v>1</v>
      </c>
      <c r="AK306" s="77">
        <v>0</v>
      </c>
      <c r="BA306" s="41" t="s">
        <v>230</v>
      </c>
      <c r="BB306" s="41" t="s">
        <v>15</v>
      </c>
      <c r="BC306" s="41" t="s">
        <v>232</v>
      </c>
      <c r="BD306" s="41" t="s">
        <v>984</v>
      </c>
    </row>
    <row r="307" spans="1:56" ht="18" customHeight="1" outlineLevel="1">
      <c r="A307" s="19">
        <v>435</v>
      </c>
      <c r="B307" s="19">
        <v>524000247</v>
      </c>
      <c r="C307" s="19">
        <v>524000247</v>
      </c>
      <c r="D307" s="50" t="s">
        <v>13</v>
      </c>
      <c r="E307" s="19" t="s">
        <v>1258</v>
      </c>
      <c r="F307" s="19" t="s">
        <v>1259</v>
      </c>
      <c r="G307" s="19" t="s">
        <v>1260</v>
      </c>
      <c r="H307" s="69" t="s">
        <v>1264</v>
      </c>
      <c r="I307" s="70" t="s">
        <v>1200</v>
      </c>
      <c r="J307" s="70" t="s">
        <v>334</v>
      </c>
      <c r="K307" s="71">
        <v>1</v>
      </c>
      <c r="L307" s="72">
        <v>524000247</v>
      </c>
      <c r="M307" s="72" t="s">
        <v>1265</v>
      </c>
      <c r="N307" s="73">
        <v>165.7</v>
      </c>
      <c r="O307" s="74" t="s">
        <v>279</v>
      </c>
      <c r="P307" s="73">
        <v>269.95</v>
      </c>
      <c r="Q307" s="80" t="s">
        <v>279</v>
      </c>
      <c r="W307" s="76" t="s">
        <v>1266</v>
      </c>
      <c r="X307" s="77">
        <v>165.7</v>
      </c>
      <c r="Y307" s="78">
        <v>0</v>
      </c>
      <c r="AA307" s="79">
        <v>165.7</v>
      </c>
      <c r="AB307" s="79">
        <v>165.7</v>
      </c>
      <c r="AC307" s="78">
        <v>0</v>
      </c>
      <c r="AE307" s="63" t="s">
        <v>219</v>
      </c>
      <c r="AF307" s="63">
        <v>1</v>
      </c>
      <c r="AG307" s="63">
        <v>1</v>
      </c>
      <c r="AK307" s="77">
        <v>0</v>
      </c>
      <c r="BA307" s="41" t="s">
        <v>230</v>
      </c>
      <c r="BB307" s="41" t="s">
        <v>15</v>
      </c>
      <c r="BC307" s="41" t="s">
        <v>232</v>
      </c>
      <c r="BD307" s="41" t="s">
        <v>984</v>
      </c>
    </row>
    <row r="308" spans="1:56" ht="18" customHeight="1" outlineLevel="1">
      <c r="A308" s="19">
        <v>436</v>
      </c>
      <c r="B308" s="19">
        <v>524000271</v>
      </c>
      <c r="C308" s="19">
        <v>524000271</v>
      </c>
      <c r="D308" s="50" t="s">
        <v>13</v>
      </c>
      <c r="E308" s="19" t="s">
        <v>1258</v>
      </c>
      <c r="F308" s="19" t="s">
        <v>1259</v>
      </c>
      <c r="G308" s="19" t="s">
        <v>1260</v>
      </c>
      <c r="H308" s="69" t="s">
        <v>1267</v>
      </c>
      <c r="I308" s="70" t="s">
        <v>1204</v>
      </c>
      <c r="J308" s="70" t="s">
        <v>329</v>
      </c>
      <c r="K308" s="71">
        <v>1</v>
      </c>
      <c r="L308" s="72">
        <v>524000271</v>
      </c>
      <c r="M308" s="72" t="s">
        <v>1268</v>
      </c>
      <c r="N308" s="73">
        <v>165.7</v>
      </c>
      <c r="O308" s="74" t="s">
        <v>279</v>
      </c>
      <c r="P308" s="73">
        <v>269.95</v>
      </c>
      <c r="Q308" s="80" t="s">
        <v>279</v>
      </c>
      <c r="W308" s="76" t="s">
        <v>1269</v>
      </c>
      <c r="X308" s="77">
        <v>165.7</v>
      </c>
      <c r="Y308" s="78">
        <v>0</v>
      </c>
      <c r="AA308" s="79">
        <v>165.7</v>
      </c>
      <c r="AB308" s="79">
        <v>165.7</v>
      </c>
      <c r="AC308" s="78">
        <v>0</v>
      </c>
      <c r="AE308" s="63" t="s">
        <v>219</v>
      </c>
      <c r="AF308" s="63">
        <v>1</v>
      </c>
      <c r="AG308" s="63">
        <v>1</v>
      </c>
      <c r="AK308" s="77">
        <v>0</v>
      </c>
      <c r="BA308" s="41" t="s">
        <v>230</v>
      </c>
      <c r="BB308" s="41" t="s">
        <v>15</v>
      </c>
      <c r="BC308" s="41" t="s">
        <v>232</v>
      </c>
      <c r="BD308" s="41" t="s">
        <v>984</v>
      </c>
    </row>
    <row r="309" spans="1:56" ht="27" customHeight="1" outlineLevel="1">
      <c r="A309" s="19">
        <v>437</v>
      </c>
      <c r="B309" s="19" t="s">
        <v>219</v>
      </c>
      <c r="C309" s="19" t="s">
        <v>219</v>
      </c>
      <c r="D309" s="50" t="s">
        <v>219</v>
      </c>
      <c r="E309" s="19" t="s">
        <v>219</v>
      </c>
      <c r="F309" s="19" t="s">
        <v>219</v>
      </c>
      <c r="G309" s="19" t="s">
        <v>219</v>
      </c>
      <c r="H309" s="81" t="s">
        <v>219</v>
      </c>
      <c r="I309" s="70" t="s">
        <v>219</v>
      </c>
      <c r="J309" s="70" t="s">
        <v>219</v>
      </c>
      <c r="K309" s="71" t="s">
        <v>219</v>
      </c>
      <c r="L309" s="72" t="s">
        <v>219</v>
      </c>
      <c r="M309" s="72" t="s">
        <v>219</v>
      </c>
      <c r="N309" s="73" t="s">
        <v>219</v>
      </c>
      <c r="O309" s="74" t="s">
        <v>219</v>
      </c>
      <c r="P309" s="73" t="s">
        <v>219</v>
      </c>
      <c r="Q309" s="80" t="s">
        <v>219</v>
      </c>
      <c r="W309" s="76" t="s">
        <v>219</v>
      </c>
      <c r="X309" s="77" t="s">
        <v>219</v>
      </c>
      <c r="Y309" s="78">
        <v>0</v>
      </c>
      <c r="AA309" s="79" t="s">
        <v>219</v>
      </c>
      <c r="AB309" s="79" t="s">
        <v>219</v>
      </c>
      <c r="AC309" s="78">
        <v>0</v>
      </c>
      <c r="AE309" s="63" t="s">
        <v>230</v>
      </c>
      <c r="AF309" s="63">
        <v>0</v>
      </c>
      <c r="AG309" s="63" t="s">
        <v>219</v>
      </c>
      <c r="AK309" s="77">
        <v>0</v>
      </c>
      <c r="BA309" s="41" t="s">
        <v>230</v>
      </c>
      <c r="BB309" s="41" t="s">
        <v>15</v>
      </c>
      <c r="BC309" s="41" t="s">
        <v>232</v>
      </c>
      <c r="BD309" s="41" t="s">
        <v>984</v>
      </c>
    </row>
    <row r="310" spans="1:56" s="57" customFormat="1" ht="18" customHeight="1" outlineLevel="1">
      <c r="A310" s="49">
        <v>438</v>
      </c>
      <c r="B310" s="19">
        <v>524000211</v>
      </c>
      <c r="C310" s="19">
        <v>524000211</v>
      </c>
      <c r="D310" s="50" t="s">
        <v>13</v>
      </c>
      <c r="E310" s="19" t="s">
        <v>1258</v>
      </c>
      <c r="F310" s="19" t="s">
        <v>1270</v>
      </c>
      <c r="G310" s="19" t="s">
        <v>1271</v>
      </c>
      <c r="H310" s="69" t="s">
        <v>1272</v>
      </c>
      <c r="I310" s="64" t="s">
        <v>1061</v>
      </c>
      <c r="J310" s="70" t="s">
        <v>619</v>
      </c>
      <c r="K310" s="53">
        <v>1</v>
      </c>
      <c r="L310" s="20">
        <v>524000211</v>
      </c>
      <c r="M310" s="72" t="s">
        <v>1273</v>
      </c>
      <c r="N310" s="54">
        <v>165.7</v>
      </c>
      <c r="O310" s="56" t="s">
        <v>279</v>
      </c>
      <c r="P310" s="54">
        <v>269.95</v>
      </c>
      <c r="Q310" s="56" t="s">
        <v>279</v>
      </c>
      <c r="R310" s="27"/>
      <c r="S310" s="58"/>
      <c r="T310" s="51"/>
      <c r="U310" s="51"/>
      <c r="V310" s="51"/>
      <c r="W310" s="76" t="s">
        <v>1274</v>
      </c>
      <c r="X310" s="77">
        <v>165.7</v>
      </c>
      <c r="Y310" s="78">
        <v>0</v>
      </c>
      <c r="Z310" s="29"/>
      <c r="AA310" s="79">
        <v>165.7</v>
      </c>
      <c r="AB310" s="79">
        <v>165.7</v>
      </c>
      <c r="AC310" s="78">
        <v>0</v>
      </c>
      <c r="AD310" s="29"/>
      <c r="AE310" s="63" t="s">
        <v>219</v>
      </c>
      <c r="AF310" s="63">
        <v>0</v>
      </c>
      <c r="AG310" s="63">
        <v>0</v>
      </c>
      <c r="AH310" s="29"/>
      <c r="AI310" s="27"/>
      <c r="AJ310" s="29"/>
      <c r="AK310" s="77">
        <v>0</v>
      </c>
      <c r="BA310" s="41" t="s">
        <v>230</v>
      </c>
      <c r="BB310" s="41" t="s">
        <v>15</v>
      </c>
      <c r="BC310" s="41" t="s">
        <v>232</v>
      </c>
      <c r="BD310" s="41" t="s">
        <v>984</v>
      </c>
    </row>
    <row r="311" spans="1:56" ht="18" customHeight="1" outlineLevel="1">
      <c r="A311" s="19">
        <v>439</v>
      </c>
      <c r="B311" s="19">
        <v>524000223</v>
      </c>
      <c r="C311" s="19">
        <v>524000223</v>
      </c>
      <c r="D311" s="50" t="s">
        <v>13</v>
      </c>
      <c r="E311" s="19" t="s">
        <v>1258</v>
      </c>
      <c r="F311" s="19" t="s">
        <v>1270</v>
      </c>
      <c r="G311" s="19" t="s">
        <v>1271</v>
      </c>
      <c r="H311" s="69" t="s">
        <v>1275</v>
      </c>
      <c r="I311" s="70" t="s">
        <v>1193</v>
      </c>
      <c r="J311" s="70" t="s">
        <v>521</v>
      </c>
      <c r="K311" s="71">
        <v>1</v>
      </c>
      <c r="L311" s="72">
        <v>524000223</v>
      </c>
      <c r="M311" s="72" t="s">
        <v>1276</v>
      </c>
      <c r="N311" s="73">
        <v>165.7</v>
      </c>
      <c r="O311" s="74" t="s">
        <v>279</v>
      </c>
      <c r="P311" s="73">
        <v>269.95</v>
      </c>
      <c r="Q311" s="80" t="s">
        <v>279</v>
      </c>
      <c r="W311" s="76" t="s">
        <v>1277</v>
      </c>
      <c r="X311" s="77">
        <v>165.7</v>
      </c>
      <c r="Y311" s="78">
        <v>0</v>
      </c>
      <c r="AA311" s="79">
        <v>165.7</v>
      </c>
      <c r="AB311" s="79">
        <v>165.7</v>
      </c>
      <c r="AC311" s="78">
        <v>0</v>
      </c>
      <c r="AE311" s="63" t="s">
        <v>219</v>
      </c>
      <c r="AF311" s="63">
        <v>0</v>
      </c>
      <c r="AG311" s="63">
        <v>0</v>
      </c>
      <c r="AK311" s="77">
        <v>0</v>
      </c>
      <c r="BA311" s="41" t="s">
        <v>230</v>
      </c>
      <c r="BB311" s="41" t="s">
        <v>15</v>
      </c>
      <c r="BC311" s="41" t="s">
        <v>232</v>
      </c>
      <c r="BD311" s="41" t="s">
        <v>984</v>
      </c>
    </row>
    <row r="312" spans="1:56" ht="27" customHeight="1" outlineLevel="1">
      <c r="A312" s="19">
        <v>440</v>
      </c>
      <c r="B312" s="19" t="s">
        <v>219</v>
      </c>
      <c r="C312" s="19" t="s">
        <v>219</v>
      </c>
      <c r="D312" s="50" t="s">
        <v>219</v>
      </c>
      <c r="E312" s="19" t="s">
        <v>219</v>
      </c>
      <c r="F312" s="19" t="s">
        <v>219</v>
      </c>
      <c r="G312" s="19" t="s">
        <v>219</v>
      </c>
      <c r="H312" s="81" t="s">
        <v>219</v>
      </c>
      <c r="I312" s="70" t="s">
        <v>219</v>
      </c>
      <c r="J312" s="70" t="s">
        <v>219</v>
      </c>
      <c r="K312" s="71" t="s">
        <v>219</v>
      </c>
      <c r="L312" s="72" t="s">
        <v>219</v>
      </c>
      <c r="M312" s="72" t="s">
        <v>219</v>
      </c>
      <c r="N312" s="73" t="s">
        <v>219</v>
      </c>
      <c r="O312" s="74" t="s">
        <v>219</v>
      </c>
      <c r="P312" s="73" t="s">
        <v>219</v>
      </c>
      <c r="Q312" s="80" t="s">
        <v>219</v>
      </c>
      <c r="W312" s="76" t="s">
        <v>219</v>
      </c>
      <c r="X312" s="77" t="s">
        <v>219</v>
      </c>
      <c r="Y312" s="78">
        <v>0</v>
      </c>
      <c r="AA312" s="79" t="s">
        <v>219</v>
      </c>
      <c r="AB312" s="79" t="s">
        <v>219</v>
      </c>
      <c r="AC312" s="78">
        <v>0</v>
      </c>
      <c r="AE312" s="63" t="s">
        <v>230</v>
      </c>
      <c r="AF312" s="63">
        <v>1</v>
      </c>
      <c r="AG312" s="63" t="s">
        <v>219</v>
      </c>
      <c r="AK312" s="77">
        <v>0</v>
      </c>
      <c r="BA312" s="41" t="s">
        <v>230</v>
      </c>
      <c r="BB312" s="41" t="s">
        <v>15</v>
      </c>
      <c r="BC312" s="41" t="s">
        <v>232</v>
      </c>
      <c r="BD312" s="41" t="s">
        <v>984</v>
      </c>
    </row>
    <row r="313" spans="1:56" ht="18" customHeight="1" outlineLevel="1">
      <c r="A313" s="19">
        <v>441</v>
      </c>
      <c r="B313" s="19">
        <v>524000235</v>
      </c>
      <c r="C313" s="19">
        <v>524000235</v>
      </c>
      <c r="D313" s="50" t="s">
        <v>13</v>
      </c>
      <c r="E313" s="19" t="s">
        <v>1258</v>
      </c>
      <c r="F313" s="19" t="s">
        <v>1278</v>
      </c>
      <c r="G313" s="19" t="s">
        <v>1279</v>
      </c>
      <c r="H313" s="69" t="s">
        <v>1280</v>
      </c>
      <c r="I313" s="70" t="s">
        <v>1065</v>
      </c>
      <c r="J313" s="70" t="s">
        <v>556</v>
      </c>
      <c r="K313" s="71">
        <v>1</v>
      </c>
      <c r="L313" s="72">
        <v>524000235</v>
      </c>
      <c r="M313" s="72" t="s">
        <v>1281</v>
      </c>
      <c r="N313" s="73">
        <v>165.7</v>
      </c>
      <c r="O313" s="74" t="s">
        <v>279</v>
      </c>
      <c r="P313" s="73">
        <v>269.95</v>
      </c>
      <c r="Q313" s="80" t="s">
        <v>279</v>
      </c>
      <c r="W313" s="76" t="s">
        <v>1282</v>
      </c>
      <c r="X313" s="77">
        <v>165.7</v>
      </c>
      <c r="Y313" s="78">
        <v>0</v>
      </c>
      <c r="AA313" s="79">
        <v>165.7</v>
      </c>
      <c r="AB313" s="79">
        <v>165.7</v>
      </c>
      <c r="AC313" s="78">
        <v>0</v>
      </c>
      <c r="AE313" s="63" t="s">
        <v>219</v>
      </c>
      <c r="AF313" s="63">
        <v>1</v>
      </c>
      <c r="AG313" s="63">
        <v>1</v>
      </c>
      <c r="AK313" s="77">
        <v>0</v>
      </c>
      <c r="BA313" s="41" t="s">
        <v>230</v>
      </c>
      <c r="BB313" s="41" t="s">
        <v>15</v>
      </c>
      <c r="BC313" s="41" t="s">
        <v>232</v>
      </c>
      <c r="BD313" s="41" t="s">
        <v>984</v>
      </c>
    </row>
    <row r="314" spans="1:56" ht="18" customHeight="1" outlineLevel="1">
      <c r="A314" s="19">
        <v>442</v>
      </c>
      <c r="B314" s="19">
        <v>524000259</v>
      </c>
      <c r="C314" s="19">
        <v>524000259</v>
      </c>
      <c r="D314" s="50" t="s">
        <v>13</v>
      </c>
      <c r="E314" s="19" t="s">
        <v>1258</v>
      </c>
      <c r="F314" s="19" t="s">
        <v>1278</v>
      </c>
      <c r="G314" s="19" t="s">
        <v>1279</v>
      </c>
      <c r="H314" s="69" t="s">
        <v>1283</v>
      </c>
      <c r="I314" s="70" t="s">
        <v>1008</v>
      </c>
      <c r="J314" s="70" t="s">
        <v>344</v>
      </c>
      <c r="K314" s="71">
        <v>1</v>
      </c>
      <c r="L314" s="72">
        <v>524000259</v>
      </c>
      <c r="M314" s="72" t="s">
        <v>1284</v>
      </c>
      <c r="N314" s="73">
        <v>165.7</v>
      </c>
      <c r="O314" s="74" t="s">
        <v>279</v>
      </c>
      <c r="P314" s="73">
        <v>269.95</v>
      </c>
      <c r="Q314" s="80" t="s">
        <v>279</v>
      </c>
      <c r="W314" s="76" t="s">
        <v>1285</v>
      </c>
      <c r="X314" s="77">
        <v>165.7</v>
      </c>
      <c r="Y314" s="78">
        <v>0</v>
      </c>
      <c r="AA314" s="79">
        <v>165.7</v>
      </c>
      <c r="AB314" s="79">
        <v>165.7</v>
      </c>
      <c r="AC314" s="78">
        <v>0</v>
      </c>
      <c r="AE314" s="63" t="s">
        <v>219</v>
      </c>
      <c r="AF314" s="63">
        <v>1</v>
      </c>
      <c r="AG314" s="63">
        <v>1</v>
      </c>
      <c r="AK314" s="77">
        <v>0</v>
      </c>
      <c r="BA314" s="41" t="s">
        <v>230</v>
      </c>
      <c r="BB314" s="41" t="s">
        <v>15</v>
      </c>
      <c r="BC314" s="41" t="s">
        <v>232</v>
      </c>
      <c r="BD314" s="41" t="s">
        <v>984</v>
      </c>
    </row>
    <row r="315" spans="1:56" ht="27" customHeight="1" outlineLevel="1">
      <c r="A315" s="19">
        <v>443</v>
      </c>
      <c r="B315" s="19" t="s">
        <v>219</v>
      </c>
      <c r="C315" s="19" t="s">
        <v>219</v>
      </c>
      <c r="D315" s="50" t="s">
        <v>219</v>
      </c>
      <c r="E315" s="19" t="s">
        <v>219</v>
      </c>
      <c r="F315" s="19" t="s">
        <v>219</v>
      </c>
      <c r="G315" s="19" t="s">
        <v>219</v>
      </c>
      <c r="H315" s="81" t="s">
        <v>219</v>
      </c>
      <c r="I315" s="70" t="s">
        <v>219</v>
      </c>
      <c r="J315" s="70" t="s">
        <v>219</v>
      </c>
      <c r="K315" s="71" t="s">
        <v>219</v>
      </c>
      <c r="L315" s="72" t="s">
        <v>219</v>
      </c>
      <c r="M315" s="72" t="s">
        <v>219</v>
      </c>
      <c r="N315" s="73" t="s">
        <v>219</v>
      </c>
      <c r="O315" s="74" t="s">
        <v>219</v>
      </c>
      <c r="P315" s="73" t="s">
        <v>219</v>
      </c>
      <c r="Q315" s="80" t="s">
        <v>219</v>
      </c>
      <c r="W315" s="76" t="s">
        <v>219</v>
      </c>
      <c r="X315" s="77" t="s">
        <v>219</v>
      </c>
      <c r="Y315" s="78">
        <v>0</v>
      </c>
      <c r="AA315" s="79" t="s">
        <v>219</v>
      </c>
      <c r="AB315" s="79" t="s">
        <v>219</v>
      </c>
      <c r="AC315" s="78">
        <v>0</v>
      </c>
      <c r="AE315" s="63" t="s">
        <v>230</v>
      </c>
      <c r="AF315" s="63">
        <v>0</v>
      </c>
      <c r="AG315" s="63" t="s">
        <v>219</v>
      </c>
      <c r="AK315" s="77">
        <v>0</v>
      </c>
      <c r="BA315" s="41" t="s">
        <v>230</v>
      </c>
      <c r="BB315" s="41" t="s">
        <v>15</v>
      </c>
      <c r="BC315" s="41" t="s">
        <v>232</v>
      </c>
      <c r="BD315" s="41" t="s">
        <v>984</v>
      </c>
    </row>
    <row r="316" spans="1:56" ht="18" customHeight="1" outlineLevel="1">
      <c r="A316" s="19">
        <v>444</v>
      </c>
      <c r="B316" s="19">
        <v>524000283</v>
      </c>
      <c r="C316" s="19">
        <v>524000283</v>
      </c>
      <c r="D316" s="50" t="s">
        <v>13</v>
      </c>
      <c r="E316" s="19" t="s">
        <v>1286</v>
      </c>
      <c r="F316" s="19" t="s">
        <v>1287</v>
      </c>
      <c r="G316" s="19" t="s">
        <v>1288</v>
      </c>
      <c r="H316" s="69" t="s">
        <v>1289</v>
      </c>
      <c r="I316" s="70" t="s">
        <v>1189</v>
      </c>
      <c r="J316" s="70" t="s">
        <v>289</v>
      </c>
      <c r="K316" s="71">
        <v>1</v>
      </c>
      <c r="L316" s="72">
        <v>524000283</v>
      </c>
      <c r="M316" s="72" t="s">
        <v>1290</v>
      </c>
      <c r="N316" s="73">
        <v>190.2</v>
      </c>
      <c r="O316" s="74" t="s">
        <v>279</v>
      </c>
      <c r="P316" s="73">
        <v>309.95</v>
      </c>
      <c r="Q316" s="80" t="s">
        <v>279</v>
      </c>
      <c r="W316" s="76" t="s">
        <v>1291</v>
      </c>
      <c r="X316" s="77">
        <v>190.2</v>
      </c>
      <c r="Y316" s="78">
        <v>0</v>
      </c>
      <c r="AA316" s="79">
        <v>190.2</v>
      </c>
      <c r="AB316" s="79">
        <v>190.2</v>
      </c>
      <c r="AC316" s="78">
        <v>0</v>
      </c>
      <c r="AE316" s="63" t="s">
        <v>219</v>
      </c>
      <c r="AF316" s="63">
        <v>0</v>
      </c>
      <c r="AG316" s="63">
        <v>0</v>
      </c>
      <c r="AK316" s="77">
        <v>0</v>
      </c>
      <c r="BA316" s="41" t="s">
        <v>230</v>
      </c>
      <c r="BB316" s="41" t="s">
        <v>15</v>
      </c>
      <c r="BC316" s="41" t="s">
        <v>232</v>
      </c>
      <c r="BD316" s="41" t="s">
        <v>984</v>
      </c>
    </row>
    <row r="317" spans="1:56" s="57" customFormat="1" ht="18" customHeight="1" outlineLevel="1">
      <c r="A317" s="49">
        <v>445</v>
      </c>
      <c r="B317" s="19">
        <v>524000331</v>
      </c>
      <c r="C317" s="19">
        <v>524000331</v>
      </c>
      <c r="D317" s="50" t="s">
        <v>13</v>
      </c>
      <c r="E317" s="19" t="s">
        <v>1286</v>
      </c>
      <c r="F317" s="19" t="s">
        <v>1287</v>
      </c>
      <c r="G317" s="19" t="s">
        <v>1288</v>
      </c>
      <c r="H317" s="69" t="s">
        <v>1292</v>
      </c>
      <c r="I317" s="64" t="s">
        <v>1200</v>
      </c>
      <c r="J317" s="70" t="s">
        <v>334</v>
      </c>
      <c r="K317" s="53">
        <v>1</v>
      </c>
      <c r="L317" s="20">
        <v>524000331</v>
      </c>
      <c r="M317" s="72" t="s">
        <v>1293</v>
      </c>
      <c r="N317" s="54">
        <v>190.2</v>
      </c>
      <c r="O317" s="56" t="s">
        <v>279</v>
      </c>
      <c r="P317" s="54">
        <v>309.95</v>
      </c>
      <c r="Q317" s="56" t="s">
        <v>279</v>
      </c>
      <c r="R317" s="27"/>
      <c r="S317" s="58"/>
      <c r="T317" s="51"/>
      <c r="U317" s="51"/>
      <c r="V317" s="51"/>
      <c r="W317" s="76" t="s">
        <v>1294</v>
      </c>
      <c r="X317" s="77">
        <v>190.2</v>
      </c>
      <c r="Y317" s="78">
        <v>0</v>
      </c>
      <c r="Z317" s="29"/>
      <c r="AA317" s="79">
        <v>190.2</v>
      </c>
      <c r="AB317" s="79">
        <v>190.2</v>
      </c>
      <c r="AC317" s="78">
        <v>0</v>
      </c>
      <c r="AD317" s="29"/>
      <c r="AE317" s="63" t="s">
        <v>219</v>
      </c>
      <c r="AF317" s="63">
        <v>0</v>
      </c>
      <c r="AG317" s="63">
        <v>0</v>
      </c>
      <c r="AH317" s="29"/>
      <c r="AI317" s="27"/>
      <c r="AJ317" s="29"/>
      <c r="AK317" s="77">
        <v>0</v>
      </c>
      <c r="BA317" s="41" t="s">
        <v>230</v>
      </c>
      <c r="BB317" s="41" t="s">
        <v>15</v>
      </c>
      <c r="BC317" s="41" t="s">
        <v>232</v>
      </c>
      <c r="BD317" s="41" t="s">
        <v>984</v>
      </c>
    </row>
    <row r="318" spans="1:56" ht="18" customHeight="1" outlineLevel="1">
      <c r="A318" s="19">
        <v>446</v>
      </c>
      <c r="B318" s="19">
        <v>524000355</v>
      </c>
      <c r="C318" s="19">
        <v>524000355</v>
      </c>
      <c r="D318" s="50" t="s">
        <v>13</v>
      </c>
      <c r="E318" s="19" t="s">
        <v>1286</v>
      </c>
      <c r="F318" s="19" t="s">
        <v>1287</v>
      </c>
      <c r="G318" s="19" t="s">
        <v>1288</v>
      </c>
      <c r="H318" s="69" t="s">
        <v>1295</v>
      </c>
      <c r="I318" s="70" t="s">
        <v>1204</v>
      </c>
      <c r="J318" s="70" t="s">
        <v>329</v>
      </c>
      <c r="K318" s="71">
        <v>1</v>
      </c>
      <c r="L318" s="72">
        <v>524000355</v>
      </c>
      <c r="M318" s="72" t="s">
        <v>1296</v>
      </c>
      <c r="N318" s="73">
        <v>190.2</v>
      </c>
      <c r="O318" s="74" t="s">
        <v>279</v>
      </c>
      <c r="P318" s="73">
        <v>309.95</v>
      </c>
      <c r="Q318" s="80" t="s">
        <v>279</v>
      </c>
      <c r="W318" s="76" t="s">
        <v>1297</v>
      </c>
      <c r="X318" s="77">
        <v>190.2</v>
      </c>
      <c r="Y318" s="78">
        <v>0</v>
      </c>
      <c r="AA318" s="79">
        <v>190.2</v>
      </c>
      <c r="AB318" s="79">
        <v>190.2</v>
      </c>
      <c r="AC318" s="78">
        <v>0</v>
      </c>
      <c r="AE318" s="63" t="s">
        <v>219</v>
      </c>
      <c r="AF318" s="63">
        <v>0</v>
      </c>
      <c r="AG318" s="63">
        <v>0</v>
      </c>
      <c r="AK318" s="77">
        <v>0</v>
      </c>
      <c r="BA318" s="41" t="s">
        <v>230</v>
      </c>
      <c r="BB318" s="41" t="s">
        <v>15</v>
      </c>
      <c r="BC318" s="41" t="s">
        <v>232</v>
      </c>
      <c r="BD318" s="41" t="s">
        <v>984</v>
      </c>
    </row>
    <row r="319" spans="1:56" s="57" customFormat="1" ht="27" customHeight="1" outlineLevel="1">
      <c r="A319" s="49">
        <v>447</v>
      </c>
      <c r="B319" s="19" t="s">
        <v>219</v>
      </c>
      <c r="C319" s="19" t="s">
        <v>219</v>
      </c>
      <c r="D319" s="50" t="s">
        <v>219</v>
      </c>
      <c r="E319" s="19" t="s">
        <v>219</v>
      </c>
      <c r="F319" s="19" t="s">
        <v>219</v>
      </c>
      <c r="G319" s="19" t="s">
        <v>219</v>
      </c>
      <c r="H319" s="81" t="s">
        <v>219</v>
      </c>
      <c r="I319" s="64" t="s">
        <v>219</v>
      </c>
      <c r="J319" s="70" t="s">
        <v>219</v>
      </c>
      <c r="K319" s="53" t="s">
        <v>219</v>
      </c>
      <c r="L319" s="20" t="s">
        <v>219</v>
      </c>
      <c r="M319" s="72" t="s">
        <v>219</v>
      </c>
      <c r="N319" s="54" t="s">
        <v>219</v>
      </c>
      <c r="O319" s="56" t="s">
        <v>219</v>
      </c>
      <c r="P319" s="54" t="s">
        <v>219</v>
      </c>
      <c r="Q319" s="56" t="s">
        <v>219</v>
      </c>
      <c r="R319" s="27"/>
      <c r="S319" s="58"/>
      <c r="T319" s="51"/>
      <c r="U319" s="51"/>
      <c r="V319" s="51"/>
      <c r="W319" s="76" t="s">
        <v>219</v>
      </c>
      <c r="X319" s="77" t="s">
        <v>219</v>
      </c>
      <c r="Y319" s="78">
        <v>0</v>
      </c>
      <c r="Z319" s="29"/>
      <c r="AA319" s="79" t="s">
        <v>219</v>
      </c>
      <c r="AB319" s="79" t="s">
        <v>219</v>
      </c>
      <c r="AC319" s="78">
        <v>0</v>
      </c>
      <c r="AD319" s="29"/>
      <c r="AE319" s="63" t="s">
        <v>230</v>
      </c>
      <c r="AF319" s="63">
        <v>1</v>
      </c>
      <c r="AG319" s="63" t="s">
        <v>219</v>
      </c>
      <c r="AH319" s="29"/>
      <c r="AI319" s="27"/>
      <c r="AJ319" s="29"/>
      <c r="AK319" s="77">
        <v>0</v>
      </c>
      <c r="BA319" s="41" t="s">
        <v>230</v>
      </c>
      <c r="BB319" s="41" t="s">
        <v>15</v>
      </c>
      <c r="BC319" s="41" t="s">
        <v>232</v>
      </c>
      <c r="BD319" s="41" t="s">
        <v>984</v>
      </c>
    </row>
    <row r="320" spans="1:56" ht="18" customHeight="1" outlineLevel="1">
      <c r="A320" s="19">
        <v>448</v>
      </c>
      <c r="B320" s="19">
        <v>524000295</v>
      </c>
      <c r="C320" s="19">
        <v>524000295</v>
      </c>
      <c r="D320" s="50" t="s">
        <v>13</v>
      </c>
      <c r="E320" s="19" t="s">
        <v>1286</v>
      </c>
      <c r="F320" s="19" t="s">
        <v>1298</v>
      </c>
      <c r="G320" s="19" t="s">
        <v>1299</v>
      </c>
      <c r="H320" s="69" t="s">
        <v>1300</v>
      </c>
      <c r="I320" s="70" t="s">
        <v>1061</v>
      </c>
      <c r="J320" s="70" t="s">
        <v>619</v>
      </c>
      <c r="K320" s="71">
        <v>1</v>
      </c>
      <c r="L320" s="72">
        <v>524000295</v>
      </c>
      <c r="M320" s="72" t="s">
        <v>1301</v>
      </c>
      <c r="N320" s="73">
        <v>190.2</v>
      </c>
      <c r="O320" s="74" t="s">
        <v>279</v>
      </c>
      <c r="P320" s="73">
        <v>309.95</v>
      </c>
      <c r="Q320" s="80" t="s">
        <v>279</v>
      </c>
      <c r="W320" s="76" t="s">
        <v>1302</v>
      </c>
      <c r="X320" s="77">
        <v>190.2</v>
      </c>
      <c r="Y320" s="78">
        <v>0</v>
      </c>
      <c r="AA320" s="79">
        <v>190.2</v>
      </c>
      <c r="AB320" s="79">
        <v>190.2</v>
      </c>
      <c r="AC320" s="78">
        <v>0</v>
      </c>
      <c r="AE320" s="63" t="s">
        <v>219</v>
      </c>
      <c r="AF320" s="63">
        <v>1</v>
      </c>
      <c r="AG320" s="63">
        <v>1</v>
      </c>
      <c r="AK320" s="77">
        <v>0</v>
      </c>
      <c r="BA320" s="41" t="s">
        <v>230</v>
      </c>
      <c r="BB320" s="41" t="s">
        <v>15</v>
      </c>
      <c r="BC320" s="41" t="s">
        <v>232</v>
      </c>
      <c r="BD320" s="41" t="s">
        <v>984</v>
      </c>
    </row>
    <row r="321" spans="1:56" ht="18" customHeight="1" outlineLevel="1">
      <c r="A321" s="19">
        <v>449</v>
      </c>
      <c r="B321" s="19">
        <v>524000307</v>
      </c>
      <c r="C321" s="19">
        <v>524000307</v>
      </c>
      <c r="D321" s="50" t="s">
        <v>13</v>
      </c>
      <c r="E321" s="19" t="s">
        <v>1286</v>
      </c>
      <c r="F321" s="19" t="s">
        <v>1298</v>
      </c>
      <c r="G321" s="19" t="s">
        <v>1299</v>
      </c>
      <c r="H321" s="69" t="s">
        <v>1303</v>
      </c>
      <c r="I321" s="70" t="s">
        <v>1193</v>
      </c>
      <c r="J321" s="70" t="s">
        <v>521</v>
      </c>
      <c r="K321" s="71">
        <v>1</v>
      </c>
      <c r="L321" s="72">
        <v>524000307</v>
      </c>
      <c r="M321" s="72" t="s">
        <v>1304</v>
      </c>
      <c r="N321" s="73">
        <v>190.2</v>
      </c>
      <c r="O321" s="74" t="s">
        <v>279</v>
      </c>
      <c r="P321" s="73">
        <v>309.95</v>
      </c>
      <c r="Q321" s="80" t="s">
        <v>279</v>
      </c>
      <c r="W321" s="76" t="s">
        <v>1305</v>
      </c>
      <c r="X321" s="77">
        <v>190.2</v>
      </c>
      <c r="Y321" s="78">
        <v>0</v>
      </c>
      <c r="AA321" s="79">
        <v>190.2</v>
      </c>
      <c r="AB321" s="79">
        <v>190.2</v>
      </c>
      <c r="AC321" s="78">
        <v>0</v>
      </c>
      <c r="AE321" s="63" t="s">
        <v>219</v>
      </c>
      <c r="AF321" s="63">
        <v>1</v>
      </c>
      <c r="AG321" s="63">
        <v>1</v>
      </c>
      <c r="AK321" s="77">
        <v>0</v>
      </c>
      <c r="BA321" s="41" t="s">
        <v>230</v>
      </c>
      <c r="BB321" s="41" t="s">
        <v>15</v>
      </c>
      <c r="BC321" s="41" t="s">
        <v>232</v>
      </c>
      <c r="BD321" s="41" t="s">
        <v>984</v>
      </c>
    </row>
    <row r="322" spans="1:56" ht="27" customHeight="1" outlineLevel="1">
      <c r="A322" s="19">
        <v>450</v>
      </c>
      <c r="B322" s="19" t="s">
        <v>219</v>
      </c>
      <c r="C322" s="19" t="s">
        <v>219</v>
      </c>
      <c r="D322" s="50" t="s">
        <v>219</v>
      </c>
      <c r="E322" s="19" t="s">
        <v>219</v>
      </c>
      <c r="F322" s="19" t="s">
        <v>219</v>
      </c>
      <c r="G322" s="19" t="s">
        <v>219</v>
      </c>
      <c r="H322" s="81" t="s">
        <v>219</v>
      </c>
      <c r="I322" s="70" t="s">
        <v>219</v>
      </c>
      <c r="J322" s="70" t="s">
        <v>219</v>
      </c>
      <c r="K322" s="71" t="s">
        <v>219</v>
      </c>
      <c r="L322" s="72" t="s">
        <v>219</v>
      </c>
      <c r="M322" s="72" t="s">
        <v>219</v>
      </c>
      <c r="N322" s="73" t="s">
        <v>219</v>
      </c>
      <c r="O322" s="74" t="s">
        <v>219</v>
      </c>
      <c r="P322" s="73" t="s">
        <v>219</v>
      </c>
      <c r="Q322" s="80" t="s">
        <v>219</v>
      </c>
      <c r="W322" s="76" t="s">
        <v>219</v>
      </c>
      <c r="X322" s="77" t="s">
        <v>219</v>
      </c>
      <c r="Y322" s="78">
        <v>0</v>
      </c>
      <c r="AA322" s="79" t="s">
        <v>219</v>
      </c>
      <c r="AB322" s="79" t="s">
        <v>219</v>
      </c>
      <c r="AC322" s="78">
        <v>0</v>
      </c>
      <c r="AE322" s="63" t="s">
        <v>230</v>
      </c>
      <c r="AF322" s="63">
        <v>0</v>
      </c>
      <c r="AG322" s="63" t="s">
        <v>219</v>
      </c>
      <c r="AK322" s="77">
        <v>0</v>
      </c>
      <c r="BA322" s="41" t="s">
        <v>230</v>
      </c>
      <c r="BB322" s="41" t="s">
        <v>15</v>
      </c>
      <c r="BC322" s="41" t="s">
        <v>232</v>
      </c>
      <c r="BD322" s="41" t="s">
        <v>984</v>
      </c>
    </row>
    <row r="323" spans="1:56" ht="18" customHeight="1" outlineLevel="1">
      <c r="A323" s="19">
        <v>451</v>
      </c>
      <c r="B323" s="19">
        <v>524000319</v>
      </c>
      <c r="C323" s="19">
        <v>524000319</v>
      </c>
      <c r="D323" s="50" t="s">
        <v>13</v>
      </c>
      <c r="E323" s="19" t="s">
        <v>1286</v>
      </c>
      <c r="F323" s="19" t="s">
        <v>1306</v>
      </c>
      <c r="G323" s="19" t="s">
        <v>1307</v>
      </c>
      <c r="H323" s="69" t="s">
        <v>1308</v>
      </c>
      <c r="I323" s="70" t="s">
        <v>1065</v>
      </c>
      <c r="J323" s="70" t="s">
        <v>556</v>
      </c>
      <c r="K323" s="71">
        <v>1</v>
      </c>
      <c r="L323" s="72">
        <v>524000319</v>
      </c>
      <c r="M323" s="72" t="s">
        <v>1309</v>
      </c>
      <c r="N323" s="73">
        <v>190.2</v>
      </c>
      <c r="O323" s="74" t="s">
        <v>279</v>
      </c>
      <c r="P323" s="73">
        <v>309.95</v>
      </c>
      <c r="Q323" s="80" t="s">
        <v>279</v>
      </c>
      <c r="W323" s="76" t="s">
        <v>1310</v>
      </c>
      <c r="X323" s="77">
        <v>190.2</v>
      </c>
      <c r="Y323" s="78">
        <v>0</v>
      </c>
      <c r="AA323" s="79">
        <v>190.2</v>
      </c>
      <c r="AB323" s="79">
        <v>190.2</v>
      </c>
      <c r="AC323" s="78">
        <v>0</v>
      </c>
      <c r="AE323" s="63" t="s">
        <v>219</v>
      </c>
      <c r="AF323" s="63">
        <v>0</v>
      </c>
      <c r="AG323" s="63">
        <v>0</v>
      </c>
      <c r="AK323" s="77">
        <v>0</v>
      </c>
      <c r="BA323" s="41" t="s">
        <v>230</v>
      </c>
      <c r="BB323" s="41" t="s">
        <v>15</v>
      </c>
      <c r="BC323" s="41" t="s">
        <v>232</v>
      </c>
      <c r="BD323" s="41" t="s">
        <v>984</v>
      </c>
    </row>
    <row r="324" spans="1:56" ht="18" customHeight="1" outlineLevel="1">
      <c r="A324" s="19">
        <v>452</v>
      </c>
      <c r="B324" s="19">
        <v>524000343</v>
      </c>
      <c r="C324" s="19">
        <v>524000343</v>
      </c>
      <c r="D324" s="50" t="s">
        <v>13</v>
      </c>
      <c r="E324" s="19" t="s">
        <v>1286</v>
      </c>
      <c r="F324" s="19" t="s">
        <v>1306</v>
      </c>
      <c r="G324" s="19" t="s">
        <v>1307</v>
      </c>
      <c r="H324" s="69" t="s">
        <v>1311</v>
      </c>
      <c r="I324" s="70" t="s">
        <v>1008</v>
      </c>
      <c r="J324" s="70" t="s">
        <v>344</v>
      </c>
      <c r="K324" s="71">
        <v>1</v>
      </c>
      <c r="L324" s="72">
        <v>524000343</v>
      </c>
      <c r="M324" s="72" t="s">
        <v>1312</v>
      </c>
      <c r="N324" s="73">
        <v>190.2</v>
      </c>
      <c r="O324" s="74" t="s">
        <v>279</v>
      </c>
      <c r="P324" s="73">
        <v>309.95</v>
      </c>
      <c r="Q324" s="80" t="s">
        <v>279</v>
      </c>
      <c r="W324" s="76" t="s">
        <v>1313</v>
      </c>
      <c r="X324" s="77">
        <v>190.2</v>
      </c>
      <c r="Y324" s="78">
        <v>0</v>
      </c>
      <c r="AA324" s="79">
        <v>190.2</v>
      </c>
      <c r="AB324" s="79">
        <v>190.2</v>
      </c>
      <c r="AC324" s="78">
        <v>0</v>
      </c>
      <c r="AE324" s="63" t="s">
        <v>219</v>
      </c>
      <c r="AF324" s="63">
        <v>0</v>
      </c>
      <c r="AG324" s="63">
        <v>0</v>
      </c>
      <c r="AK324" s="77">
        <v>0</v>
      </c>
      <c r="BA324" s="41" t="s">
        <v>230</v>
      </c>
      <c r="BB324" s="41" t="s">
        <v>15</v>
      </c>
      <c r="BC324" s="41" t="s">
        <v>232</v>
      </c>
      <c r="BD324" s="41" t="s">
        <v>984</v>
      </c>
    </row>
    <row r="325" spans="1:56" ht="27" customHeight="1" outlineLevel="1">
      <c r="A325" s="19">
        <v>453</v>
      </c>
      <c r="B325" s="19" t="s">
        <v>219</v>
      </c>
      <c r="C325" s="19" t="s">
        <v>219</v>
      </c>
      <c r="D325" s="50" t="s">
        <v>219</v>
      </c>
      <c r="E325" s="19" t="s">
        <v>219</v>
      </c>
      <c r="F325" s="19" t="s">
        <v>219</v>
      </c>
      <c r="G325" s="19" t="s">
        <v>219</v>
      </c>
      <c r="H325" s="81" t="s">
        <v>219</v>
      </c>
      <c r="I325" s="70" t="s">
        <v>219</v>
      </c>
      <c r="J325" s="70" t="s">
        <v>219</v>
      </c>
      <c r="K325" s="71" t="s">
        <v>219</v>
      </c>
      <c r="L325" s="72" t="s">
        <v>219</v>
      </c>
      <c r="M325" s="72" t="s">
        <v>219</v>
      </c>
      <c r="N325" s="73" t="s">
        <v>219</v>
      </c>
      <c r="O325" s="74" t="s">
        <v>219</v>
      </c>
      <c r="P325" s="73" t="s">
        <v>219</v>
      </c>
      <c r="Q325" s="80" t="s">
        <v>219</v>
      </c>
      <c r="W325" s="76" t="s">
        <v>219</v>
      </c>
      <c r="X325" s="77" t="s">
        <v>219</v>
      </c>
      <c r="Y325" s="78">
        <v>0</v>
      </c>
      <c r="AA325" s="79" t="s">
        <v>219</v>
      </c>
      <c r="AB325" s="79" t="s">
        <v>219</v>
      </c>
      <c r="AC325" s="78">
        <v>0</v>
      </c>
      <c r="AE325" s="63" t="s">
        <v>230</v>
      </c>
      <c r="AF325" s="63">
        <v>1</v>
      </c>
      <c r="AG325" s="63" t="s">
        <v>219</v>
      </c>
      <c r="AK325" s="77">
        <v>0</v>
      </c>
      <c r="BA325" s="41" t="s">
        <v>230</v>
      </c>
      <c r="BB325" s="41" t="s">
        <v>15</v>
      </c>
      <c r="BC325" s="41" t="s">
        <v>232</v>
      </c>
      <c r="BD325" s="41" t="s">
        <v>984</v>
      </c>
    </row>
    <row r="326" spans="1:56" s="57" customFormat="1" ht="18" customHeight="1" outlineLevel="1">
      <c r="A326" s="49">
        <v>454</v>
      </c>
      <c r="B326" s="19">
        <v>524000143</v>
      </c>
      <c r="C326" s="19">
        <v>524000143</v>
      </c>
      <c r="D326" s="50" t="s">
        <v>13</v>
      </c>
      <c r="E326" s="19" t="s">
        <v>1314</v>
      </c>
      <c r="F326" s="19" t="s">
        <v>1315</v>
      </c>
      <c r="G326" s="19" t="s">
        <v>1316</v>
      </c>
      <c r="H326" s="69" t="s">
        <v>1317</v>
      </c>
      <c r="I326" s="64" t="s">
        <v>1189</v>
      </c>
      <c r="J326" s="70" t="s">
        <v>289</v>
      </c>
      <c r="K326" s="53">
        <v>1</v>
      </c>
      <c r="L326" s="20">
        <v>524000143</v>
      </c>
      <c r="M326" s="72" t="s">
        <v>1318</v>
      </c>
      <c r="N326" s="54">
        <v>184.1</v>
      </c>
      <c r="O326" s="56" t="s">
        <v>279</v>
      </c>
      <c r="P326" s="54">
        <v>299.95</v>
      </c>
      <c r="Q326" s="56" t="s">
        <v>279</v>
      </c>
      <c r="R326" s="27"/>
      <c r="S326" s="58"/>
      <c r="T326" s="51"/>
      <c r="U326" s="51"/>
      <c r="V326" s="51"/>
      <c r="W326" s="76" t="s">
        <v>1319</v>
      </c>
      <c r="X326" s="77">
        <v>184.1</v>
      </c>
      <c r="Y326" s="78">
        <v>0</v>
      </c>
      <c r="Z326" s="29"/>
      <c r="AA326" s="79">
        <v>184.1</v>
      </c>
      <c r="AB326" s="79">
        <v>184.1</v>
      </c>
      <c r="AC326" s="78">
        <v>0</v>
      </c>
      <c r="AD326" s="29"/>
      <c r="AE326" s="63" t="s">
        <v>219</v>
      </c>
      <c r="AF326" s="63">
        <v>1</v>
      </c>
      <c r="AG326" s="63">
        <v>1</v>
      </c>
      <c r="AH326" s="29"/>
      <c r="AI326" s="27"/>
      <c r="AJ326" s="29"/>
      <c r="AK326" s="77">
        <v>0</v>
      </c>
      <c r="BA326" s="41" t="s">
        <v>230</v>
      </c>
      <c r="BB326" s="41" t="s">
        <v>15</v>
      </c>
      <c r="BC326" s="41" t="s">
        <v>232</v>
      </c>
      <c r="BD326" s="41" t="s">
        <v>984</v>
      </c>
    </row>
    <row r="327" spans="1:56" ht="18" customHeight="1" outlineLevel="1">
      <c r="A327" s="19">
        <v>455</v>
      </c>
      <c r="B327" s="19">
        <v>524000151</v>
      </c>
      <c r="C327" s="19">
        <v>524000151</v>
      </c>
      <c r="D327" s="50" t="s">
        <v>13</v>
      </c>
      <c r="E327" s="19" t="s">
        <v>1314</v>
      </c>
      <c r="F327" s="19" t="s">
        <v>1315</v>
      </c>
      <c r="G327" s="19" t="s">
        <v>1316</v>
      </c>
      <c r="H327" s="69" t="s">
        <v>1320</v>
      </c>
      <c r="I327" s="70" t="s">
        <v>1061</v>
      </c>
      <c r="J327" s="70" t="s">
        <v>619</v>
      </c>
      <c r="K327" s="71">
        <v>1</v>
      </c>
      <c r="L327" s="72">
        <v>524000151</v>
      </c>
      <c r="M327" s="72" t="s">
        <v>1321</v>
      </c>
      <c r="N327" s="73">
        <v>184.1</v>
      </c>
      <c r="O327" s="74" t="s">
        <v>279</v>
      </c>
      <c r="P327" s="73">
        <v>299.95</v>
      </c>
      <c r="Q327" s="80" t="s">
        <v>279</v>
      </c>
      <c r="W327" s="76" t="s">
        <v>1322</v>
      </c>
      <c r="X327" s="77">
        <v>184.1</v>
      </c>
      <c r="Y327" s="78">
        <v>0</v>
      </c>
      <c r="AA327" s="79">
        <v>184.1</v>
      </c>
      <c r="AB327" s="79">
        <v>184.1</v>
      </c>
      <c r="AC327" s="78">
        <v>0</v>
      </c>
      <c r="AE327" s="63" t="s">
        <v>219</v>
      </c>
      <c r="AF327" s="63">
        <v>1</v>
      </c>
      <c r="AG327" s="63">
        <v>1</v>
      </c>
      <c r="AK327" s="77">
        <v>0</v>
      </c>
      <c r="BA327" s="41" t="s">
        <v>230</v>
      </c>
      <c r="BB327" s="41" t="s">
        <v>15</v>
      </c>
      <c r="BC327" s="41" t="s">
        <v>232</v>
      </c>
      <c r="BD327" s="41" t="s">
        <v>984</v>
      </c>
    </row>
    <row r="328" spans="1:56" ht="18" customHeight="1" outlineLevel="1">
      <c r="A328" s="19">
        <v>456</v>
      </c>
      <c r="B328" s="19">
        <v>524000159</v>
      </c>
      <c r="C328" s="19">
        <v>524000159</v>
      </c>
      <c r="D328" s="50" t="s">
        <v>13</v>
      </c>
      <c r="E328" s="19" t="s">
        <v>1314</v>
      </c>
      <c r="F328" s="19" t="s">
        <v>1315</v>
      </c>
      <c r="G328" s="19" t="s">
        <v>1316</v>
      </c>
      <c r="H328" s="69" t="s">
        <v>1323</v>
      </c>
      <c r="I328" s="70" t="s">
        <v>1193</v>
      </c>
      <c r="J328" s="70" t="s">
        <v>521</v>
      </c>
      <c r="K328" s="71">
        <v>1</v>
      </c>
      <c r="L328" s="72">
        <v>524000159</v>
      </c>
      <c r="M328" s="72" t="s">
        <v>1324</v>
      </c>
      <c r="N328" s="73">
        <v>184.1</v>
      </c>
      <c r="O328" s="74" t="s">
        <v>279</v>
      </c>
      <c r="P328" s="73">
        <v>299.95</v>
      </c>
      <c r="Q328" s="80" t="s">
        <v>279</v>
      </c>
      <c r="W328" s="76" t="s">
        <v>1325</v>
      </c>
      <c r="X328" s="77">
        <v>184.1</v>
      </c>
      <c r="Y328" s="78">
        <v>0</v>
      </c>
      <c r="AA328" s="79">
        <v>184.1</v>
      </c>
      <c r="AB328" s="79">
        <v>184.1</v>
      </c>
      <c r="AC328" s="78">
        <v>0</v>
      </c>
      <c r="AE328" s="63" t="s">
        <v>219</v>
      </c>
      <c r="AF328" s="63">
        <v>1</v>
      </c>
      <c r="AG328" s="63">
        <v>1</v>
      </c>
      <c r="AK328" s="77">
        <v>0</v>
      </c>
      <c r="BA328" s="41" t="s">
        <v>230</v>
      </c>
      <c r="BB328" s="41" t="s">
        <v>15</v>
      </c>
      <c r="BC328" s="41" t="s">
        <v>232</v>
      </c>
      <c r="BD328" s="41" t="s">
        <v>984</v>
      </c>
    </row>
    <row r="329" spans="1:56" s="57" customFormat="1" ht="18" customHeight="1" outlineLevel="1">
      <c r="A329" s="49">
        <v>457</v>
      </c>
      <c r="B329" s="19">
        <v>524000167</v>
      </c>
      <c r="C329" s="19">
        <v>524000167</v>
      </c>
      <c r="D329" s="50" t="s">
        <v>13</v>
      </c>
      <c r="E329" s="19" t="s">
        <v>1314</v>
      </c>
      <c r="F329" s="19" t="s">
        <v>1315</v>
      </c>
      <c r="G329" s="19" t="s">
        <v>1316</v>
      </c>
      <c r="H329" s="69" t="s">
        <v>1326</v>
      </c>
      <c r="I329" s="64" t="s">
        <v>1065</v>
      </c>
      <c r="J329" s="70" t="s">
        <v>556</v>
      </c>
      <c r="K329" s="53">
        <v>1</v>
      </c>
      <c r="L329" s="20">
        <v>524000167</v>
      </c>
      <c r="M329" s="72" t="s">
        <v>1327</v>
      </c>
      <c r="N329" s="54">
        <v>184.1</v>
      </c>
      <c r="O329" s="56" t="s">
        <v>279</v>
      </c>
      <c r="P329" s="54">
        <v>299.95</v>
      </c>
      <c r="Q329" s="56" t="s">
        <v>279</v>
      </c>
      <c r="R329" s="27"/>
      <c r="S329" s="58"/>
      <c r="T329" s="51"/>
      <c r="U329" s="51"/>
      <c r="V329" s="51"/>
      <c r="W329" s="76" t="s">
        <v>1328</v>
      </c>
      <c r="X329" s="77">
        <v>184.1</v>
      </c>
      <c r="Y329" s="78">
        <v>0</v>
      </c>
      <c r="Z329" s="29"/>
      <c r="AA329" s="79">
        <v>184.1</v>
      </c>
      <c r="AB329" s="79">
        <v>184.1</v>
      </c>
      <c r="AC329" s="78">
        <v>0</v>
      </c>
      <c r="AD329" s="29"/>
      <c r="AE329" s="63" t="s">
        <v>219</v>
      </c>
      <c r="AF329" s="63">
        <v>1</v>
      </c>
      <c r="AG329" s="63">
        <v>1</v>
      </c>
      <c r="AH329" s="29"/>
      <c r="AI329" s="27"/>
      <c r="AJ329" s="29"/>
      <c r="AK329" s="77">
        <v>0</v>
      </c>
      <c r="BA329" s="41" t="s">
        <v>230</v>
      </c>
      <c r="BB329" s="41" t="s">
        <v>15</v>
      </c>
      <c r="BC329" s="41" t="s">
        <v>232</v>
      </c>
      <c r="BD329" s="41" t="s">
        <v>984</v>
      </c>
    </row>
    <row r="330" spans="1:56" ht="18" customHeight="1" outlineLevel="1">
      <c r="A330" s="19">
        <v>458</v>
      </c>
      <c r="B330" s="19">
        <v>524000175</v>
      </c>
      <c r="C330" s="19">
        <v>524000175</v>
      </c>
      <c r="D330" s="50" t="s">
        <v>13</v>
      </c>
      <c r="E330" s="19" t="s">
        <v>1314</v>
      </c>
      <c r="F330" s="19" t="s">
        <v>1315</v>
      </c>
      <c r="G330" s="19" t="s">
        <v>1316</v>
      </c>
      <c r="H330" s="69" t="s">
        <v>1329</v>
      </c>
      <c r="I330" s="70" t="s">
        <v>1200</v>
      </c>
      <c r="J330" s="70" t="s">
        <v>334</v>
      </c>
      <c r="K330" s="71">
        <v>1</v>
      </c>
      <c r="L330" s="72">
        <v>524000175</v>
      </c>
      <c r="M330" s="72" t="s">
        <v>1330</v>
      </c>
      <c r="N330" s="73">
        <v>184.1</v>
      </c>
      <c r="O330" s="74" t="s">
        <v>279</v>
      </c>
      <c r="P330" s="73">
        <v>299.95</v>
      </c>
      <c r="Q330" s="80" t="s">
        <v>279</v>
      </c>
      <c r="W330" s="76" t="s">
        <v>1331</v>
      </c>
      <c r="X330" s="77">
        <v>184.1</v>
      </c>
      <c r="Y330" s="78">
        <v>0</v>
      </c>
      <c r="AA330" s="79">
        <v>184.1</v>
      </c>
      <c r="AB330" s="79">
        <v>184.1</v>
      </c>
      <c r="AC330" s="78">
        <v>0</v>
      </c>
      <c r="AE330" s="63" t="s">
        <v>219</v>
      </c>
      <c r="AF330" s="63">
        <v>1</v>
      </c>
      <c r="AG330" s="63">
        <v>1</v>
      </c>
      <c r="AK330" s="77">
        <v>0</v>
      </c>
      <c r="BA330" s="41" t="s">
        <v>230</v>
      </c>
      <c r="BB330" s="41" t="s">
        <v>15</v>
      </c>
      <c r="BC330" s="41" t="s">
        <v>232</v>
      </c>
      <c r="BD330" s="41" t="s">
        <v>984</v>
      </c>
    </row>
    <row r="331" spans="1:56" ht="18" customHeight="1" outlineLevel="1">
      <c r="A331" s="19">
        <v>459</v>
      </c>
      <c r="B331" s="19">
        <v>524000183</v>
      </c>
      <c r="C331" s="19">
        <v>524000183</v>
      </c>
      <c r="D331" s="50" t="s">
        <v>13</v>
      </c>
      <c r="E331" s="19" t="s">
        <v>1314</v>
      </c>
      <c r="F331" s="19" t="s">
        <v>1315</v>
      </c>
      <c r="G331" s="19" t="s">
        <v>1316</v>
      </c>
      <c r="H331" s="69" t="s">
        <v>1332</v>
      </c>
      <c r="I331" s="70" t="s">
        <v>1008</v>
      </c>
      <c r="J331" s="70" t="s">
        <v>344</v>
      </c>
      <c r="K331" s="71">
        <v>1</v>
      </c>
      <c r="L331" s="72">
        <v>524000183</v>
      </c>
      <c r="M331" s="72" t="s">
        <v>1333</v>
      </c>
      <c r="N331" s="73">
        <v>184.1</v>
      </c>
      <c r="O331" s="74" t="s">
        <v>279</v>
      </c>
      <c r="P331" s="73">
        <v>299.95</v>
      </c>
      <c r="Q331" s="80" t="s">
        <v>279</v>
      </c>
      <c r="W331" s="76" t="s">
        <v>1334</v>
      </c>
      <c r="X331" s="77">
        <v>184.1</v>
      </c>
      <c r="Y331" s="78">
        <v>0</v>
      </c>
      <c r="AA331" s="79">
        <v>184.1</v>
      </c>
      <c r="AB331" s="79">
        <v>184.1</v>
      </c>
      <c r="AC331" s="78">
        <v>0</v>
      </c>
      <c r="AE331" s="63" t="s">
        <v>219</v>
      </c>
      <c r="AF331" s="63">
        <v>1</v>
      </c>
      <c r="AG331" s="63">
        <v>1</v>
      </c>
      <c r="AK331" s="77">
        <v>0</v>
      </c>
      <c r="BA331" s="41" t="s">
        <v>230</v>
      </c>
      <c r="BB331" s="41" t="s">
        <v>15</v>
      </c>
      <c r="BC331" s="41" t="s">
        <v>232</v>
      </c>
      <c r="BD331" s="41" t="s">
        <v>984</v>
      </c>
    </row>
    <row r="332" spans="1:56" s="57" customFormat="1" ht="18" customHeight="1" outlineLevel="1">
      <c r="A332" s="49">
        <v>460</v>
      </c>
      <c r="B332" s="19">
        <v>524000191</v>
      </c>
      <c r="C332" s="19">
        <v>524000191</v>
      </c>
      <c r="D332" s="50" t="s">
        <v>13</v>
      </c>
      <c r="E332" s="19" t="s">
        <v>1314</v>
      </c>
      <c r="F332" s="19" t="s">
        <v>1315</v>
      </c>
      <c r="G332" s="19" t="s">
        <v>1316</v>
      </c>
      <c r="H332" s="69" t="s">
        <v>1335</v>
      </c>
      <c r="I332" s="64" t="s">
        <v>1204</v>
      </c>
      <c r="J332" s="70" t="s">
        <v>329</v>
      </c>
      <c r="K332" s="53">
        <v>1</v>
      </c>
      <c r="L332" s="20">
        <v>524000191</v>
      </c>
      <c r="M332" s="72" t="s">
        <v>1336</v>
      </c>
      <c r="N332" s="54">
        <v>184.1</v>
      </c>
      <c r="O332" s="56" t="s">
        <v>279</v>
      </c>
      <c r="P332" s="54">
        <v>299.95</v>
      </c>
      <c r="Q332" s="56" t="s">
        <v>279</v>
      </c>
      <c r="R332" s="27"/>
      <c r="S332" s="58"/>
      <c r="T332" s="51"/>
      <c r="U332" s="51"/>
      <c r="V332" s="51"/>
      <c r="W332" s="76" t="s">
        <v>1337</v>
      </c>
      <c r="X332" s="77">
        <v>184.1</v>
      </c>
      <c r="Y332" s="78">
        <v>0</v>
      </c>
      <c r="Z332" s="29"/>
      <c r="AA332" s="79">
        <v>184.1</v>
      </c>
      <c r="AB332" s="79">
        <v>184.1</v>
      </c>
      <c r="AC332" s="78">
        <v>0</v>
      </c>
      <c r="AD332" s="29"/>
      <c r="AE332" s="63" t="s">
        <v>219</v>
      </c>
      <c r="AF332" s="63">
        <v>1</v>
      </c>
      <c r="AG332" s="63">
        <v>1</v>
      </c>
      <c r="AH332" s="29"/>
      <c r="AI332" s="27"/>
      <c r="AJ332" s="29"/>
      <c r="AK332" s="77">
        <v>0</v>
      </c>
      <c r="BA332" s="41" t="s">
        <v>230</v>
      </c>
      <c r="BB332" s="41" t="s">
        <v>15</v>
      </c>
      <c r="BC332" s="41" t="s">
        <v>232</v>
      </c>
      <c r="BD332" s="41" t="s">
        <v>984</v>
      </c>
    </row>
    <row r="333" spans="1:56" ht="27" customHeight="1" outlineLevel="1">
      <c r="A333" s="19">
        <v>461</v>
      </c>
      <c r="B333" s="19" t="s">
        <v>219</v>
      </c>
      <c r="C333" s="19" t="s">
        <v>219</v>
      </c>
      <c r="D333" s="50" t="s">
        <v>219</v>
      </c>
      <c r="E333" s="19" t="s">
        <v>219</v>
      </c>
      <c r="F333" s="19" t="s">
        <v>219</v>
      </c>
      <c r="G333" s="19" t="s">
        <v>219</v>
      </c>
      <c r="H333" s="81" t="s">
        <v>219</v>
      </c>
      <c r="I333" s="70" t="s">
        <v>219</v>
      </c>
      <c r="J333" s="70" t="s">
        <v>219</v>
      </c>
      <c r="K333" s="71" t="s">
        <v>219</v>
      </c>
      <c r="L333" s="72" t="s">
        <v>219</v>
      </c>
      <c r="M333" s="72" t="s">
        <v>219</v>
      </c>
      <c r="N333" s="73" t="s">
        <v>219</v>
      </c>
      <c r="O333" s="74" t="s">
        <v>219</v>
      </c>
      <c r="P333" s="73" t="s">
        <v>219</v>
      </c>
      <c r="Q333" s="80" t="s">
        <v>219</v>
      </c>
      <c r="W333" s="76" t="s">
        <v>219</v>
      </c>
      <c r="X333" s="77" t="s">
        <v>219</v>
      </c>
      <c r="Y333" s="78">
        <v>0</v>
      </c>
      <c r="AA333" s="79" t="s">
        <v>219</v>
      </c>
      <c r="AB333" s="79" t="s">
        <v>219</v>
      </c>
      <c r="AC333" s="78">
        <v>0</v>
      </c>
      <c r="AE333" s="63" t="s">
        <v>230</v>
      </c>
      <c r="AF333" s="63">
        <v>0</v>
      </c>
      <c r="AG333" s="63" t="s">
        <v>219</v>
      </c>
      <c r="AK333" s="77">
        <v>0</v>
      </c>
      <c r="BA333" s="41" t="s">
        <v>230</v>
      </c>
      <c r="BB333" s="41" t="s">
        <v>15</v>
      </c>
      <c r="BC333" s="41" t="s">
        <v>232</v>
      </c>
      <c r="BD333" s="41" t="s">
        <v>984</v>
      </c>
    </row>
    <row r="334" spans="1:56" ht="18" customHeight="1" outlineLevel="1">
      <c r="A334" s="19">
        <v>462</v>
      </c>
      <c r="B334" s="19">
        <v>524000087</v>
      </c>
      <c r="C334" s="19">
        <v>524000087</v>
      </c>
      <c r="D334" s="50" t="s">
        <v>13</v>
      </c>
      <c r="E334" s="19" t="s">
        <v>1338</v>
      </c>
      <c r="F334" s="19" t="s">
        <v>1339</v>
      </c>
      <c r="G334" s="19" t="s">
        <v>1340</v>
      </c>
      <c r="H334" s="69" t="s">
        <v>1341</v>
      </c>
      <c r="I334" s="70" t="s">
        <v>1189</v>
      </c>
      <c r="J334" s="70" t="s">
        <v>289</v>
      </c>
      <c r="K334" s="71">
        <v>1</v>
      </c>
      <c r="L334" s="72">
        <v>524000087</v>
      </c>
      <c r="M334" s="72" t="s">
        <v>1342</v>
      </c>
      <c r="N334" s="73">
        <v>294.5</v>
      </c>
      <c r="O334" s="74" t="s">
        <v>279</v>
      </c>
      <c r="P334" s="73">
        <v>479.95</v>
      </c>
      <c r="Q334" s="80" t="s">
        <v>279</v>
      </c>
      <c r="W334" s="76" t="s">
        <v>1343</v>
      </c>
      <c r="X334" s="77">
        <v>294.5</v>
      </c>
      <c r="Y334" s="78">
        <v>0</v>
      </c>
      <c r="AA334" s="79">
        <v>294.5</v>
      </c>
      <c r="AB334" s="79">
        <v>294.5</v>
      </c>
      <c r="AC334" s="78">
        <v>0</v>
      </c>
      <c r="AE334" s="63" t="s">
        <v>219</v>
      </c>
      <c r="AF334" s="63">
        <v>0</v>
      </c>
      <c r="AG334" s="63">
        <v>0</v>
      </c>
      <c r="AK334" s="77">
        <v>0</v>
      </c>
      <c r="BA334" s="41" t="s">
        <v>230</v>
      </c>
      <c r="BB334" s="41" t="s">
        <v>15</v>
      </c>
      <c r="BC334" s="41" t="s">
        <v>232</v>
      </c>
      <c r="BD334" s="41" t="s">
        <v>984</v>
      </c>
    </row>
    <row r="335" spans="1:56" ht="18" customHeight="1" outlineLevel="1">
      <c r="A335" s="19">
        <v>463</v>
      </c>
      <c r="B335" s="19">
        <v>524000119</v>
      </c>
      <c r="C335" s="19">
        <v>524000119</v>
      </c>
      <c r="D335" s="50" t="s">
        <v>13</v>
      </c>
      <c r="E335" s="19" t="s">
        <v>1338</v>
      </c>
      <c r="F335" s="19" t="s">
        <v>1339</v>
      </c>
      <c r="G335" s="19" t="s">
        <v>1340</v>
      </c>
      <c r="H335" s="69" t="s">
        <v>1344</v>
      </c>
      <c r="I335" s="70" t="s">
        <v>1200</v>
      </c>
      <c r="J335" s="70" t="s">
        <v>334</v>
      </c>
      <c r="K335" s="71">
        <v>1</v>
      </c>
      <c r="L335" s="72">
        <v>524000119</v>
      </c>
      <c r="M335" s="72" t="s">
        <v>1345</v>
      </c>
      <c r="N335" s="73">
        <v>294.5</v>
      </c>
      <c r="O335" s="74" t="s">
        <v>279</v>
      </c>
      <c r="P335" s="73">
        <v>479.95</v>
      </c>
      <c r="Q335" s="80" t="s">
        <v>279</v>
      </c>
      <c r="W335" s="76" t="s">
        <v>1346</v>
      </c>
      <c r="X335" s="77">
        <v>294.5</v>
      </c>
      <c r="Y335" s="78">
        <v>0</v>
      </c>
      <c r="AA335" s="79">
        <v>294.5</v>
      </c>
      <c r="AB335" s="79">
        <v>294.5</v>
      </c>
      <c r="AC335" s="78">
        <v>0</v>
      </c>
      <c r="AE335" s="63" t="s">
        <v>219</v>
      </c>
      <c r="AF335" s="63">
        <v>0</v>
      </c>
      <c r="AG335" s="63">
        <v>0</v>
      </c>
      <c r="AK335" s="77">
        <v>0</v>
      </c>
      <c r="BA335" s="41" t="s">
        <v>230</v>
      </c>
      <c r="BB335" s="41" t="s">
        <v>15</v>
      </c>
      <c r="BC335" s="41" t="s">
        <v>232</v>
      </c>
      <c r="BD335" s="41" t="s">
        <v>984</v>
      </c>
    </row>
    <row r="336" spans="1:56" ht="18" customHeight="1" outlineLevel="1">
      <c r="A336" s="19">
        <v>464</v>
      </c>
      <c r="B336" s="19">
        <v>524000135</v>
      </c>
      <c r="C336" s="19">
        <v>524000135</v>
      </c>
      <c r="D336" s="50" t="s">
        <v>13</v>
      </c>
      <c r="E336" s="19" t="s">
        <v>1338</v>
      </c>
      <c r="F336" s="19" t="s">
        <v>1339</v>
      </c>
      <c r="G336" s="19" t="s">
        <v>1340</v>
      </c>
      <c r="H336" s="69" t="s">
        <v>1347</v>
      </c>
      <c r="I336" s="70" t="s">
        <v>1204</v>
      </c>
      <c r="J336" s="70" t="s">
        <v>329</v>
      </c>
      <c r="K336" s="71">
        <v>1</v>
      </c>
      <c r="L336" s="72">
        <v>524000135</v>
      </c>
      <c r="M336" s="72" t="s">
        <v>1348</v>
      </c>
      <c r="N336" s="73">
        <v>294.5</v>
      </c>
      <c r="O336" s="74" t="s">
        <v>279</v>
      </c>
      <c r="P336" s="73">
        <v>479.95</v>
      </c>
      <c r="Q336" s="80" t="s">
        <v>279</v>
      </c>
      <c r="W336" s="76" t="s">
        <v>1349</v>
      </c>
      <c r="X336" s="77">
        <v>294.5</v>
      </c>
      <c r="Y336" s="78">
        <v>0</v>
      </c>
      <c r="AA336" s="79">
        <v>294.5</v>
      </c>
      <c r="AB336" s="79">
        <v>294.5</v>
      </c>
      <c r="AC336" s="78">
        <v>0</v>
      </c>
      <c r="AE336" s="63" t="s">
        <v>219</v>
      </c>
      <c r="AF336" s="63">
        <v>0</v>
      </c>
      <c r="AG336" s="63">
        <v>0</v>
      </c>
      <c r="AK336" s="77">
        <v>0</v>
      </c>
      <c r="BA336" s="41" t="s">
        <v>230</v>
      </c>
      <c r="BB336" s="41" t="s">
        <v>15</v>
      </c>
      <c r="BC336" s="41" t="s">
        <v>232</v>
      </c>
      <c r="BD336" s="41" t="s">
        <v>984</v>
      </c>
    </row>
    <row r="337" spans="1:56" ht="27" customHeight="1" outlineLevel="1">
      <c r="A337" s="19">
        <v>465</v>
      </c>
      <c r="B337" s="19" t="s">
        <v>219</v>
      </c>
      <c r="C337" s="19" t="s">
        <v>219</v>
      </c>
      <c r="D337" s="50" t="s">
        <v>219</v>
      </c>
      <c r="E337" s="19" t="s">
        <v>219</v>
      </c>
      <c r="F337" s="19" t="s">
        <v>219</v>
      </c>
      <c r="G337" s="19" t="s">
        <v>219</v>
      </c>
      <c r="H337" s="81" t="s">
        <v>219</v>
      </c>
      <c r="I337" s="70" t="s">
        <v>219</v>
      </c>
      <c r="J337" s="70" t="s">
        <v>219</v>
      </c>
      <c r="K337" s="71" t="s">
        <v>219</v>
      </c>
      <c r="L337" s="72" t="s">
        <v>219</v>
      </c>
      <c r="M337" s="72" t="s">
        <v>219</v>
      </c>
      <c r="N337" s="73" t="s">
        <v>219</v>
      </c>
      <c r="O337" s="74" t="s">
        <v>219</v>
      </c>
      <c r="P337" s="73" t="s">
        <v>219</v>
      </c>
      <c r="Q337" s="80" t="s">
        <v>219</v>
      </c>
      <c r="W337" s="76" t="s">
        <v>219</v>
      </c>
      <c r="X337" s="77" t="s">
        <v>219</v>
      </c>
      <c r="Y337" s="78">
        <v>0</v>
      </c>
      <c r="AA337" s="79" t="s">
        <v>219</v>
      </c>
      <c r="AB337" s="79" t="s">
        <v>219</v>
      </c>
      <c r="AC337" s="78">
        <v>0</v>
      </c>
      <c r="AE337" s="63" t="s">
        <v>230</v>
      </c>
      <c r="AF337" s="63">
        <v>1</v>
      </c>
      <c r="AG337" s="63" t="s">
        <v>219</v>
      </c>
      <c r="AK337" s="77">
        <v>0</v>
      </c>
      <c r="BA337" s="41" t="s">
        <v>230</v>
      </c>
      <c r="BB337" s="41" t="s">
        <v>15</v>
      </c>
      <c r="BC337" s="41" t="s">
        <v>232</v>
      </c>
      <c r="BD337" s="41" t="s">
        <v>984</v>
      </c>
    </row>
    <row r="338" spans="1:56" ht="18" customHeight="1" outlineLevel="1">
      <c r="A338" s="19">
        <v>466</v>
      </c>
      <c r="B338" s="19">
        <v>524000095</v>
      </c>
      <c r="C338" s="19">
        <v>524000095</v>
      </c>
      <c r="D338" s="50" t="s">
        <v>13</v>
      </c>
      <c r="E338" s="19" t="s">
        <v>1338</v>
      </c>
      <c r="F338" s="19" t="s">
        <v>1350</v>
      </c>
      <c r="G338" s="19" t="s">
        <v>1351</v>
      </c>
      <c r="H338" s="69" t="s">
        <v>1352</v>
      </c>
      <c r="I338" s="70" t="s">
        <v>1061</v>
      </c>
      <c r="J338" s="70" t="s">
        <v>619</v>
      </c>
      <c r="K338" s="71">
        <v>1</v>
      </c>
      <c r="L338" s="72">
        <v>524000095</v>
      </c>
      <c r="M338" s="72" t="s">
        <v>1353</v>
      </c>
      <c r="N338" s="73">
        <v>294.5</v>
      </c>
      <c r="O338" s="74" t="s">
        <v>279</v>
      </c>
      <c r="P338" s="73">
        <v>479.95</v>
      </c>
      <c r="Q338" s="80" t="s">
        <v>279</v>
      </c>
      <c r="W338" s="76" t="s">
        <v>1354</v>
      </c>
      <c r="X338" s="77">
        <v>294.5</v>
      </c>
      <c r="Y338" s="78">
        <v>0</v>
      </c>
      <c r="AA338" s="79">
        <v>294.5</v>
      </c>
      <c r="AB338" s="79">
        <v>294.5</v>
      </c>
      <c r="AC338" s="78">
        <v>0</v>
      </c>
      <c r="AE338" s="63" t="s">
        <v>219</v>
      </c>
      <c r="AF338" s="63">
        <v>1</v>
      </c>
      <c r="AG338" s="63">
        <v>1</v>
      </c>
      <c r="AK338" s="77">
        <v>0</v>
      </c>
      <c r="BA338" s="41" t="s">
        <v>230</v>
      </c>
      <c r="BB338" s="41" t="s">
        <v>15</v>
      </c>
      <c r="BC338" s="41" t="s">
        <v>232</v>
      </c>
      <c r="BD338" s="41" t="s">
        <v>984</v>
      </c>
    </row>
    <row r="339" spans="1:56" s="57" customFormat="1" ht="18" customHeight="1" outlineLevel="1">
      <c r="A339" s="49">
        <v>467</v>
      </c>
      <c r="B339" s="19">
        <v>524000103</v>
      </c>
      <c r="C339" s="19">
        <v>524000103</v>
      </c>
      <c r="D339" s="50" t="s">
        <v>13</v>
      </c>
      <c r="E339" s="19" t="s">
        <v>1338</v>
      </c>
      <c r="F339" s="19" t="s">
        <v>1350</v>
      </c>
      <c r="G339" s="19" t="s">
        <v>1351</v>
      </c>
      <c r="H339" s="69" t="s">
        <v>1355</v>
      </c>
      <c r="I339" s="64" t="s">
        <v>1193</v>
      </c>
      <c r="J339" s="70" t="s">
        <v>521</v>
      </c>
      <c r="K339" s="53">
        <v>1</v>
      </c>
      <c r="L339" s="20">
        <v>524000103</v>
      </c>
      <c r="M339" s="72" t="s">
        <v>1356</v>
      </c>
      <c r="N339" s="54">
        <v>294.5</v>
      </c>
      <c r="O339" s="56" t="s">
        <v>279</v>
      </c>
      <c r="P339" s="54">
        <v>479.95</v>
      </c>
      <c r="Q339" s="56" t="s">
        <v>279</v>
      </c>
      <c r="R339" s="27"/>
      <c r="S339" s="58"/>
      <c r="T339" s="51"/>
      <c r="U339" s="51"/>
      <c r="V339" s="51"/>
      <c r="W339" s="76" t="s">
        <v>1357</v>
      </c>
      <c r="X339" s="77">
        <v>294.5</v>
      </c>
      <c r="Y339" s="78">
        <v>0</v>
      </c>
      <c r="Z339" s="29"/>
      <c r="AA339" s="79">
        <v>294.5</v>
      </c>
      <c r="AB339" s="79">
        <v>294.5</v>
      </c>
      <c r="AC339" s="78">
        <v>0</v>
      </c>
      <c r="AD339" s="29"/>
      <c r="AE339" s="63" t="s">
        <v>219</v>
      </c>
      <c r="AF339" s="63">
        <v>1</v>
      </c>
      <c r="AG339" s="63">
        <v>1</v>
      </c>
      <c r="AH339" s="29"/>
      <c r="AI339" s="27"/>
      <c r="AJ339" s="29"/>
      <c r="AK339" s="77">
        <v>0</v>
      </c>
      <c r="BA339" s="41" t="s">
        <v>230</v>
      </c>
      <c r="BB339" s="41" t="s">
        <v>15</v>
      </c>
      <c r="BC339" s="41" t="s">
        <v>232</v>
      </c>
      <c r="BD339" s="41" t="s">
        <v>984</v>
      </c>
    </row>
    <row r="340" spans="1:56" ht="27" customHeight="1" outlineLevel="1">
      <c r="A340" s="19">
        <v>468</v>
      </c>
      <c r="B340" s="19" t="s">
        <v>219</v>
      </c>
      <c r="C340" s="19" t="s">
        <v>219</v>
      </c>
      <c r="D340" s="50" t="s">
        <v>219</v>
      </c>
      <c r="E340" s="19" t="s">
        <v>219</v>
      </c>
      <c r="F340" s="19" t="s">
        <v>219</v>
      </c>
      <c r="G340" s="19" t="s">
        <v>219</v>
      </c>
      <c r="H340" s="81" t="s">
        <v>219</v>
      </c>
      <c r="I340" s="70" t="s">
        <v>219</v>
      </c>
      <c r="J340" s="70" t="s">
        <v>219</v>
      </c>
      <c r="K340" s="71" t="s">
        <v>219</v>
      </c>
      <c r="L340" s="72" t="s">
        <v>219</v>
      </c>
      <c r="M340" s="72" t="s">
        <v>219</v>
      </c>
      <c r="N340" s="73" t="s">
        <v>219</v>
      </c>
      <c r="O340" s="74" t="s">
        <v>219</v>
      </c>
      <c r="P340" s="73" t="s">
        <v>219</v>
      </c>
      <c r="Q340" s="80" t="s">
        <v>219</v>
      </c>
      <c r="W340" s="76" t="s">
        <v>219</v>
      </c>
      <c r="X340" s="77" t="s">
        <v>219</v>
      </c>
      <c r="Y340" s="78">
        <v>0</v>
      </c>
      <c r="AA340" s="79" t="s">
        <v>219</v>
      </c>
      <c r="AB340" s="79" t="s">
        <v>219</v>
      </c>
      <c r="AC340" s="78">
        <v>0</v>
      </c>
      <c r="AE340" s="63" t="s">
        <v>230</v>
      </c>
      <c r="AF340" s="63">
        <v>0</v>
      </c>
      <c r="AG340" s="63" t="s">
        <v>219</v>
      </c>
      <c r="AK340" s="77">
        <v>0</v>
      </c>
      <c r="BA340" s="41" t="s">
        <v>230</v>
      </c>
      <c r="BB340" s="41" t="s">
        <v>15</v>
      </c>
      <c r="BC340" s="41" t="s">
        <v>232</v>
      </c>
      <c r="BD340" s="41" t="s">
        <v>984</v>
      </c>
    </row>
    <row r="341" spans="1:56" ht="18" customHeight="1" outlineLevel="1">
      <c r="A341" s="19">
        <v>469</v>
      </c>
      <c r="B341" s="19">
        <v>524000111</v>
      </c>
      <c r="C341" s="19">
        <v>524000111</v>
      </c>
      <c r="D341" s="50" t="s">
        <v>13</v>
      </c>
      <c r="E341" s="19" t="s">
        <v>1338</v>
      </c>
      <c r="F341" s="19" t="s">
        <v>1358</v>
      </c>
      <c r="G341" s="19" t="s">
        <v>1359</v>
      </c>
      <c r="H341" s="69" t="s">
        <v>1360</v>
      </c>
      <c r="I341" s="70" t="s">
        <v>1065</v>
      </c>
      <c r="J341" s="70" t="s">
        <v>556</v>
      </c>
      <c r="K341" s="71">
        <v>1</v>
      </c>
      <c r="L341" s="72">
        <v>524000111</v>
      </c>
      <c r="M341" s="72" t="s">
        <v>1361</v>
      </c>
      <c r="N341" s="73">
        <v>294.5</v>
      </c>
      <c r="O341" s="74" t="s">
        <v>279</v>
      </c>
      <c r="P341" s="73">
        <v>479.95</v>
      </c>
      <c r="Q341" s="80" t="s">
        <v>279</v>
      </c>
      <c r="W341" s="76" t="s">
        <v>1362</v>
      </c>
      <c r="X341" s="77">
        <v>294.5</v>
      </c>
      <c r="Y341" s="78">
        <v>0</v>
      </c>
      <c r="AA341" s="79">
        <v>294.5</v>
      </c>
      <c r="AB341" s="79">
        <v>294.5</v>
      </c>
      <c r="AC341" s="78">
        <v>0</v>
      </c>
      <c r="AE341" s="63" t="s">
        <v>219</v>
      </c>
      <c r="AF341" s="63">
        <v>0</v>
      </c>
      <c r="AG341" s="63">
        <v>0</v>
      </c>
      <c r="AK341" s="77">
        <v>0</v>
      </c>
      <c r="BA341" s="41" t="s">
        <v>230</v>
      </c>
      <c r="BB341" s="41" t="s">
        <v>15</v>
      </c>
      <c r="BC341" s="41" t="s">
        <v>232</v>
      </c>
      <c r="BD341" s="41" t="s">
        <v>984</v>
      </c>
    </row>
    <row r="342" spans="1:56" ht="18" customHeight="1" outlineLevel="1">
      <c r="A342" s="19">
        <v>470</v>
      </c>
      <c r="B342" s="19">
        <v>524000127</v>
      </c>
      <c r="C342" s="19">
        <v>524000127</v>
      </c>
      <c r="D342" s="50" t="s">
        <v>13</v>
      </c>
      <c r="E342" s="19" t="s">
        <v>1338</v>
      </c>
      <c r="F342" s="19" t="s">
        <v>1358</v>
      </c>
      <c r="G342" s="19" t="s">
        <v>1359</v>
      </c>
      <c r="H342" s="69" t="s">
        <v>1363</v>
      </c>
      <c r="I342" s="70" t="s">
        <v>1008</v>
      </c>
      <c r="J342" s="70" t="s">
        <v>344</v>
      </c>
      <c r="K342" s="71">
        <v>1</v>
      </c>
      <c r="L342" s="72">
        <v>524000127</v>
      </c>
      <c r="M342" s="72" t="s">
        <v>1364</v>
      </c>
      <c r="N342" s="73">
        <v>294.5</v>
      </c>
      <c r="O342" s="74" t="s">
        <v>279</v>
      </c>
      <c r="P342" s="73">
        <v>479.95</v>
      </c>
      <c r="Q342" s="80" t="s">
        <v>279</v>
      </c>
      <c r="W342" s="76" t="s">
        <v>1365</v>
      </c>
      <c r="X342" s="77">
        <v>294.5</v>
      </c>
      <c r="Y342" s="78">
        <v>0</v>
      </c>
      <c r="AA342" s="79">
        <v>294.5</v>
      </c>
      <c r="AB342" s="79">
        <v>294.5</v>
      </c>
      <c r="AC342" s="78">
        <v>0</v>
      </c>
      <c r="AE342" s="63" t="s">
        <v>219</v>
      </c>
      <c r="AF342" s="63">
        <v>0</v>
      </c>
      <c r="AG342" s="63">
        <v>0</v>
      </c>
      <c r="AK342" s="77">
        <v>0</v>
      </c>
      <c r="BA342" s="41" t="s">
        <v>230</v>
      </c>
      <c r="BB342" s="41" t="s">
        <v>15</v>
      </c>
      <c r="BC342" s="41" t="s">
        <v>232</v>
      </c>
      <c r="BD342" s="41" t="s">
        <v>984</v>
      </c>
    </row>
    <row r="343" spans="1:56" ht="27" customHeight="1" outlineLevel="1">
      <c r="A343" s="19">
        <v>471</v>
      </c>
      <c r="B343" s="19" t="s">
        <v>219</v>
      </c>
      <c r="C343" s="19" t="s">
        <v>219</v>
      </c>
      <c r="D343" s="50" t="s">
        <v>219</v>
      </c>
      <c r="E343" s="19" t="s">
        <v>219</v>
      </c>
      <c r="F343" s="19" t="s">
        <v>219</v>
      </c>
      <c r="G343" s="19" t="s">
        <v>219</v>
      </c>
      <c r="H343" s="81" t="s">
        <v>219</v>
      </c>
      <c r="I343" s="70" t="s">
        <v>219</v>
      </c>
      <c r="J343" s="70" t="s">
        <v>219</v>
      </c>
      <c r="K343" s="71" t="s">
        <v>219</v>
      </c>
      <c r="L343" s="72" t="s">
        <v>219</v>
      </c>
      <c r="M343" s="72" t="s">
        <v>219</v>
      </c>
      <c r="N343" s="73" t="s">
        <v>219</v>
      </c>
      <c r="O343" s="74" t="s">
        <v>219</v>
      </c>
      <c r="P343" s="73" t="s">
        <v>219</v>
      </c>
      <c r="Q343" s="80" t="s">
        <v>219</v>
      </c>
      <c r="W343" s="76" t="s">
        <v>219</v>
      </c>
      <c r="X343" s="77" t="s">
        <v>219</v>
      </c>
      <c r="Y343" s="78">
        <v>0</v>
      </c>
      <c r="AA343" s="79" t="s">
        <v>219</v>
      </c>
      <c r="AB343" s="79" t="s">
        <v>219</v>
      </c>
      <c r="AC343" s="78">
        <v>0</v>
      </c>
      <c r="AE343" s="63" t="s">
        <v>230</v>
      </c>
      <c r="AF343" s="63">
        <v>0</v>
      </c>
      <c r="AG343" s="63" t="s">
        <v>219</v>
      </c>
      <c r="AK343" s="77">
        <v>0</v>
      </c>
      <c r="BA343" s="41" t="s">
        <v>230</v>
      </c>
      <c r="BB343" s="41" t="s">
        <v>15</v>
      </c>
      <c r="BC343" s="41" t="s">
        <v>232</v>
      </c>
      <c r="BD343" s="41" t="s">
        <v>984</v>
      </c>
    </row>
    <row r="344" spans="1:56" ht="27" customHeight="1" outlineLevel="1">
      <c r="A344" s="19">
        <v>472</v>
      </c>
      <c r="B344" s="19" t="s">
        <v>219</v>
      </c>
      <c r="C344" s="19" t="s">
        <v>219</v>
      </c>
      <c r="D344" s="50" t="s">
        <v>474</v>
      </c>
      <c r="E344" s="19" t="s">
        <v>219</v>
      </c>
      <c r="F344" s="19" t="s">
        <v>219</v>
      </c>
      <c r="G344" s="19" t="s">
        <v>219</v>
      </c>
      <c r="H344" s="81" t="s">
        <v>474</v>
      </c>
      <c r="I344" s="70" t="s">
        <v>219</v>
      </c>
      <c r="J344" s="70" t="s">
        <v>219</v>
      </c>
      <c r="K344" s="71" t="s">
        <v>219</v>
      </c>
      <c r="L344" s="72" t="s">
        <v>219</v>
      </c>
      <c r="M344" s="72" t="s">
        <v>219</v>
      </c>
      <c r="N344" s="73" t="s">
        <v>219</v>
      </c>
      <c r="O344" s="74" t="s">
        <v>219</v>
      </c>
      <c r="P344" s="73" t="s">
        <v>219</v>
      </c>
      <c r="Q344" s="80" t="s">
        <v>219</v>
      </c>
      <c r="W344" s="76" t="s">
        <v>219</v>
      </c>
      <c r="X344" s="77" t="s">
        <v>219</v>
      </c>
      <c r="Y344" s="78">
        <v>0</v>
      </c>
      <c r="AA344" s="79" t="s">
        <v>219</v>
      </c>
      <c r="AB344" s="79" t="s">
        <v>219</v>
      </c>
      <c r="AC344" s="78">
        <v>0</v>
      </c>
      <c r="AE344" s="63" t="s">
        <v>230</v>
      </c>
      <c r="AF344" s="63">
        <v>1</v>
      </c>
      <c r="AG344" s="63" t="s">
        <v>219</v>
      </c>
      <c r="AK344" s="77">
        <v>0</v>
      </c>
      <c r="BA344" s="41" t="s">
        <v>230</v>
      </c>
      <c r="BB344" s="41" t="s">
        <v>15</v>
      </c>
      <c r="BC344" s="41" t="s">
        <v>232</v>
      </c>
      <c r="BD344" s="41" t="s">
        <v>1366</v>
      </c>
    </row>
    <row r="345" spans="1:56" ht="18" customHeight="1" outlineLevel="1">
      <c r="A345" s="19">
        <v>473</v>
      </c>
      <c r="B345" s="19">
        <v>522001361</v>
      </c>
      <c r="C345" s="19">
        <v>522001362</v>
      </c>
      <c r="D345" s="50" t="s">
        <v>13</v>
      </c>
      <c r="E345" s="19" t="s">
        <v>476</v>
      </c>
      <c r="F345" s="19" t="s">
        <v>1367</v>
      </c>
      <c r="G345" s="19" t="s">
        <v>1368</v>
      </c>
      <c r="H345" s="69" t="s">
        <v>1369</v>
      </c>
      <c r="I345" s="70" t="s">
        <v>543</v>
      </c>
      <c r="J345" s="70" t="s">
        <v>289</v>
      </c>
      <c r="K345" s="71">
        <v>4</v>
      </c>
      <c r="L345" s="72">
        <v>522001362</v>
      </c>
      <c r="M345" s="72" t="s">
        <v>1370</v>
      </c>
      <c r="N345" s="73">
        <v>61.300000000000004</v>
      </c>
      <c r="O345" s="74" t="s">
        <v>279</v>
      </c>
      <c r="P345" s="73">
        <v>109.95</v>
      </c>
      <c r="Q345" s="80" t="s">
        <v>279</v>
      </c>
      <c r="W345" s="76" t="s">
        <v>1371</v>
      </c>
      <c r="X345" s="77">
        <v>61.300000000000004</v>
      </c>
      <c r="Y345" s="78">
        <v>0</v>
      </c>
      <c r="AA345" s="79">
        <v>61.300000000000004</v>
      </c>
      <c r="AB345" s="79">
        <v>61.300000000000004</v>
      </c>
      <c r="AC345" s="78">
        <v>0</v>
      </c>
      <c r="AE345" s="63" t="s">
        <v>219</v>
      </c>
      <c r="AF345" s="63">
        <v>1</v>
      </c>
      <c r="AG345" s="63">
        <v>1</v>
      </c>
      <c r="AK345" s="77">
        <v>0</v>
      </c>
      <c r="BA345" s="41" t="s">
        <v>230</v>
      </c>
      <c r="BB345" s="41" t="s">
        <v>15</v>
      </c>
      <c r="BC345" s="41" t="s">
        <v>232</v>
      </c>
      <c r="BD345" s="41" t="s">
        <v>1366</v>
      </c>
    </row>
    <row r="346" spans="1:56" ht="18" customHeight="1" outlineLevel="1">
      <c r="A346" s="19">
        <v>474</v>
      </c>
      <c r="B346" s="19">
        <v>522001365</v>
      </c>
      <c r="C346" s="19">
        <v>522001366</v>
      </c>
      <c r="D346" s="50" t="s">
        <v>13</v>
      </c>
      <c r="E346" s="19" t="s">
        <v>476</v>
      </c>
      <c r="F346" s="19" t="s">
        <v>1367</v>
      </c>
      <c r="G346" s="19" t="s">
        <v>1368</v>
      </c>
      <c r="H346" s="69" t="s">
        <v>1372</v>
      </c>
      <c r="I346" s="70" t="s">
        <v>547</v>
      </c>
      <c r="J346" s="70" t="s">
        <v>480</v>
      </c>
      <c r="K346" s="71">
        <v>4</v>
      </c>
      <c r="L346" s="72">
        <v>522001366</v>
      </c>
      <c r="M346" s="72" t="s">
        <v>1373</v>
      </c>
      <c r="N346" s="73">
        <v>61.300000000000004</v>
      </c>
      <c r="O346" s="74" t="s">
        <v>279</v>
      </c>
      <c r="P346" s="73">
        <v>109.95</v>
      </c>
      <c r="Q346" s="80" t="s">
        <v>279</v>
      </c>
      <c r="W346" s="76" t="s">
        <v>1374</v>
      </c>
      <c r="X346" s="77">
        <v>61.300000000000004</v>
      </c>
      <c r="Y346" s="78">
        <v>0</v>
      </c>
      <c r="AA346" s="79">
        <v>61.300000000000004</v>
      </c>
      <c r="AB346" s="79">
        <v>61.300000000000004</v>
      </c>
      <c r="AC346" s="78">
        <v>0</v>
      </c>
      <c r="AE346" s="63" t="s">
        <v>219</v>
      </c>
      <c r="AF346" s="63">
        <v>1</v>
      </c>
      <c r="AG346" s="63">
        <v>1</v>
      </c>
      <c r="AK346" s="77">
        <v>0</v>
      </c>
      <c r="BA346" s="41" t="s">
        <v>230</v>
      </c>
      <c r="BB346" s="41" t="s">
        <v>15</v>
      </c>
      <c r="BC346" s="41" t="s">
        <v>232</v>
      </c>
      <c r="BD346" s="41" t="s">
        <v>1366</v>
      </c>
    </row>
    <row r="347" spans="1:56" ht="18" customHeight="1" outlineLevel="1">
      <c r="A347" s="19">
        <v>475</v>
      </c>
      <c r="B347" s="19">
        <v>522001369</v>
      </c>
      <c r="C347" s="19">
        <v>522001370</v>
      </c>
      <c r="D347" s="50" t="s">
        <v>13</v>
      </c>
      <c r="E347" s="19" t="s">
        <v>476</v>
      </c>
      <c r="F347" s="19" t="s">
        <v>1367</v>
      </c>
      <c r="G347" s="19" t="s">
        <v>1368</v>
      </c>
      <c r="H347" s="69" t="s">
        <v>1375</v>
      </c>
      <c r="I347" s="70" t="s">
        <v>551</v>
      </c>
      <c r="J347" s="70" t="s">
        <v>521</v>
      </c>
      <c r="K347" s="71">
        <v>4</v>
      </c>
      <c r="L347" s="72">
        <v>522001370</v>
      </c>
      <c r="M347" s="72" t="s">
        <v>1376</v>
      </c>
      <c r="N347" s="73">
        <v>61.300000000000004</v>
      </c>
      <c r="O347" s="74" t="s">
        <v>279</v>
      </c>
      <c r="P347" s="73">
        <v>109.95</v>
      </c>
      <c r="Q347" s="80" t="s">
        <v>279</v>
      </c>
      <c r="W347" s="76" t="s">
        <v>1377</v>
      </c>
      <c r="X347" s="77">
        <v>61.300000000000004</v>
      </c>
      <c r="Y347" s="78">
        <v>0</v>
      </c>
      <c r="AA347" s="79">
        <v>61.300000000000004</v>
      </c>
      <c r="AB347" s="79">
        <v>61.300000000000004</v>
      </c>
      <c r="AC347" s="78">
        <v>0</v>
      </c>
      <c r="AE347" s="63" t="s">
        <v>219</v>
      </c>
      <c r="AF347" s="63">
        <v>1</v>
      </c>
      <c r="AG347" s="63">
        <v>1</v>
      </c>
      <c r="AK347" s="77">
        <v>0</v>
      </c>
      <c r="BA347" s="41" t="s">
        <v>230</v>
      </c>
      <c r="BB347" s="41" t="s">
        <v>15</v>
      </c>
      <c r="BC347" s="41" t="s">
        <v>232</v>
      </c>
      <c r="BD347" s="41" t="s">
        <v>1366</v>
      </c>
    </row>
    <row r="348" spans="1:56" ht="18" customHeight="1" outlineLevel="1">
      <c r="A348" s="19">
        <v>476</v>
      </c>
      <c r="B348" s="19">
        <v>522005113</v>
      </c>
      <c r="C348" s="19">
        <v>522005114</v>
      </c>
      <c r="D348" s="50" t="s">
        <v>13</v>
      </c>
      <c r="E348" s="19" t="s">
        <v>476</v>
      </c>
      <c r="F348" s="19" t="s">
        <v>1367</v>
      </c>
      <c r="G348" s="19" t="s">
        <v>1368</v>
      </c>
      <c r="H348" s="69" t="s">
        <v>1378</v>
      </c>
      <c r="I348" s="70" t="s">
        <v>555</v>
      </c>
      <c r="J348" s="70" t="s">
        <v>556</v>
      </c>
      <c r="K348" s="71">
        <v>4</v>
      </c>
      <c r="L348" s="72">
        <v>522005114</v>
      </c>
      <c r="M348" s="72" t="s">
        <v>1379</v>
      </c>
      <c r="N348" s="73">
        <v>61.300000000000004</v>
      </c>
      <c r="O348" s="74" t="s">
        <v>279</v>
      </c>
      <c r="P348" s="73">
        <v>109.95</v>
      </c>
      <c r="Q348" s="80" t="s">
        <v>279</v>
      </c>
      <c r="W348" s="76" t="s">
        <v>1380</v>
      </c>
      <c r="X348" s="77">
        <v>61.300000000000004</v>
      </c>
      <c r="Y348" s="78">
        <v>0</v>
      </c>
      <c r="AA348" s="79">
        <v>61.300000000000004</v>
      </c>
      <c r="AB348" s="79">
        <v>61.300000000000004</v>
      </c>
      <c r="AC348" s="78">
        <v>0</v>
      </c>
      <c r="AE348" s="63" t="s">
        <v>219</v>
      </c>
      <c r="AF348" s="63">
        <v>1</v>
      </c>
      <c r="AG348" s="63">
        <v>1</v>
      </c>
      <c r="AK348" s="77">
        <v>0</v>
      </c>
      <c r="BA348" s="41" t="s">
        <v>230</v>
      </c>
      <c r="BB348" s="41" t="s">
        <v>15</v>
      </c>
      <c r="BC348" s="41" t="s">
        <v>232</v>
      </c>
      <c r="BD348" s="41" t="s">
        <v>1366</v>
      </c>
    </row>
    <row r="349" spans="1:56" ht="27" customHeight="1" outlineLevel="1">
      <c r="A349" s="19">
        <v>477</v>
      </c>
      <c r="B349" s="19" t="s">
        <v>219</v>
      </c>
      <c r="C349" s="19" t="s">
        <v>219</v>
      </c>
      <c r="D349" s="50" t="s">
        <v>219</v>
      </c>
      <c r="E349" s="19" t="s">
        <v>219</v>
      </c>
      <c r="F349" s="19" t="s">
        <v>219</v>
      </c>
      <c r="G349" s="19" t="s">
        <v>219</v>
      </c>
      <c r="H349" s="81" t="s">
        <v>219</v>
      </c>
      <c r="I349" s="70" t="s">
        <v>219</v>
      </c>
      <c r="J349" s="70" t="s">
        <v>219</v>
      </c>
      <c r="K349" s="71" t="s">
        <v>219</v>
      </c>
      <c r="L349" s="72" t="s">
        <v>219</v>
      </c>
      <c r="M349" s="72" t="s">
        <v>219</v>
      </c>
      <c r="N349" s="73" t="s">
        <v>219</v>
      </c>
      <c r="O349" s="74" t="s">
        <v>219</v>
      </c>
      <c r="P349" s="73" t="s">
        <v>219</v>
      </c>
      <c r="Q349" s="80" t="s">
        <v>219</v>
      </c>
      <c r="W349" s="76" t="s">
        <v>219</v>
      </c>
      <c r="X349" s="77" t="s">
        <v>219</v>
      </c>
      <c r="Y349" s="78">
        <v>0</v>
      </c>
      <c r="AA349" s="79" t="s">
        <v>219</v>
      </c>
      <c r="AB349" s="79" t="s">
        <v>219</v>
      </c>
      <c r="AC349" s="78">
        <v>0</v>
      </c>
      <c r="AE349" s="63" t="s">
        <v>230</v>
      </c>
      <c r="AF349" s="63">
        <v>0</v>
      </c>
      <c r="AG349" s="63" t="s">
        <v>219</v>
      </c>
      <c r="AK349" s="77">
        <v>0</v>
      </c>
      <c r="BA349" s="41" t="s">
        <v>230</v>
      </c>
      <c r="BB349" s="41" t="s">
        <v>15</v>
      </c>
      <c r="BC349" s="41" t="s">
        <v>232</v>
      </c>
      <c r="BD349" s="41" t="s">
        <v>1366</v>
      </c>
    </row>
    <row r="350" spans="1:56" ht="18" customHeight="1" outlineLevel="1">
      <c r="A350" s="19">
        <v>478</v>
      </c>
      <c r="B350" s="19">
        <v>522002325</v>
      </c>
      <c r="C350" s="19">
        <v>522002326</v>
      </c>
      <c r="D350" s="50" t="s">
        <v>529</v>
      </c>
      <c r="E350" s="19" t="s">
        <v>476</v>
      </c>
      <c r="F350" s="19" t="s">
        <v>530</v>
      </c>
      <c r="G350" s="19" t="s">
        <v>530</v>
      </c>
      <c r="H350" s="69" t="s">
        <v>531</v>
      </c>
      <c r="I350" s="70" t="s">
        <v>532</v>
      </c>
      <c r="J350" s="70" t="s">
        <v>289</v>
      </c>
      <c r="K350" s="71">
        <v>4</v>
      </c>
      <c r="L350" s="72">
        <v>522002326</v>
      </c>
      <c r="M350" s="72" t="s">
        <v>533</v>
      </c>
      <c r="N350" s="73">
        <v>33.4</v>
      </c>
      <c r="O350" s="74" t="s">
        <v>279</v>
      </c>
      <c r="P350" s="73">
        <v>59.95</v>
      </c>
      <c r="Q350" s="80" t="s">
        <v>279</v>
      </c>
      <c r="W350" s="76" t="s">
        <v>534</v>
      </c>
      <c r="X350" s="77">
        <v>33.4</v>
      </c>
      <c r="Y350" s="78">
        <v>0</v>
      </c>
      <c r="AA350" s="79">
        <v>33.4</v>
      </c>
      <c r="AB350" s="79">
        <v>33.4</v>
      </c>
      <c r="AC350" s="78">
        <v>0</v>
      </c>
      <c r="AE350" s="63" t="s">
        <v>219</v>
      </c>
      <c r="AF350" s="63">
        <v>0</v>
      </c>
      <c r="AG350" s="63">
        <v>0</v>
      </c>
      <c r="AK350" s="77">
        <v>0</v>
      </c>
      <c r="BA350" s="41" t="s">
        <v>230</v>
      </c>
      <c r="BB350" s="41" t="s">
        <v>15</v>
      </c>
      <c r="BC350" s="41" t="s">
        <v>232</v>
      </c>
      <c r="BD350" s="41" t="s">
        <v>1366</v>
      </c>
    </row>
    <row r="351" spans="1:56" ht="18" customHeight="1" outlineLevel="1">
      <c r="A351" s="19">
        <v>479</v>
      </c>
      <c r="B351" s="19">
        <v>522002327</v>
      </c>
      <c r="C351" s="19">
        <v>522002328</v>
      </c>
      <c r="D351" s="50" t="s">
        <v>529</v>
      </c>
      <c r="E351" s="19" t="s">
        <v>476</v>
      </c>
      <c r="F351" s="19" t="s">
        <v>530</v>
      </c>
      <c r="G351" s="19" t="s">
        <v>530</v>
      </c>
      <c r="H351" s="69" t="s">
        <v>535</v>
      </c>
      <c r="I351" s="70" t="s">
        <v>536</v>
      </c>
      <c r="J351" s="70" t="s">
        <v>537</v>
      </c>
      <c r="K351" s="71">
        <v>4</v>
      </c>
      <c r="L351" s="72">
        <v>522002328</v>
      </c>
      <c r="M351" s="72" t="s">
        <v>538</v>
      </c>
      <c r="N351" s="73">
        <v>33.4</v>
      </c>
      <c r="O351" s="74" t="s">
        <v>279</v>
      </c>
      <c r="P351" s="73">
        <v>59.95</v>
      </c>
      <c r="Q351" s="80" t="s">
        <v>279</v>
      </c>
      <c r="W351" s="76" t="s">
        <v>539</v>
      </c>
      <c r="X351" s="77">
        <v>33.4</v>
      </c>
      <c r="Y351" s="78">
        <v>0</v>
      </c>
      <c r="AA351" s="79">
        <v>33.4</v>
      </c>
      <c r="AB351" s="79">
        <v>33.4</v>
      </c>
      <c r="AC351" s="78">
        <v>0</v>
      </c>
      <c r="AE351" s="63" t="s">
        <v>219</v>
      </c>
      <c r="AF351" s="63">
        <v>0</v>
      </c>
      <c r="AG351" s="63">
        <v>0</v>
      </c>
      <c r="AK351" s="77">
        <v>0</v>
      </c>
      <c r="BA351" s="41" t="s">
        <v>230</v>
      </c>
      <c r="BB351" s="41" t="s">
        <v>15</v>
      </c>
      <c r="BC351" s="41" t="s">
        <v>232</v>
      </c>
      <c r="BD351" s="41" t="s">
        <v>1366</v>
      </c>
    </row>
    <row r="352" spans="1:56" ht="27" customHeight="1" outlineLevel="1">
      <c r="A352" s="19">
        <v>480</v>
      </c>
      <c r="B352" s="19" t="s">
        <v>219</v>
      </c>
      <c r="C352" s="19" t="s">
        <v>219</v>
      </c>
      <c r="D352" s="50" t="s">
        <v>219</v>
      </c>
      <c r="E352" s="19" t="s">
        <v>219</v>
      </c>
      <c r="F352" s="19" t="s">
        <v>219</v>
      </c>
      <c r="G352" s="19" t="s">
        <v>219</v>
      </c>
      <c r="H352" s="81" t="s">
        <v>219</v>
      </c>
      <c r="I352" s="70" t="s">
        <v>219</v>
      </c>
      <c r="J352" s="70" t="s">
        <v>219</v>
      </c>
      <c r="K352" s="71" t="s">
        <v>219</v>
      </c>
      <c r="L352" s="72" t="s">
        <v>219</v>
      </c>
      <c r="M352" s="72" t="s">
        <v>219</v>
      </c>
      <c r="N352" s="73" t="s">
        <v>219</v>
      </c>
      <c r="O352" s="74" t="s">
        <v>219</v>
      </c>
      <c r="P352" s="73" t="s">
        <v>219</v>
      </c>
      <c r="Q352" s="80" t="s">
        <v>219</v>
      </c>
      <c r="W352" s="76" t="s">
        <v>219</v>
      </c>
      <c r="X352" s="77" t="s">
        <v>219</v>
      </c>
      <c r="Y352" s="78">
        <v>0</v>
      </c>
      <c r="AA352" s="79" t="s">
        <v>219</v>
      </c>
      <c r="AB352" s="79" t="s">
        <v>219</v>
      </c>
      <c r="AC352" s="78">
        <v>0</v>
      </c>
      <c r="AE352" s="63" t="s">
        <v>230</v>
      </c>
      <c r="AF352" s="63">
        <v>1</v>
      </c>
      <c r="AG352" s="63" t="s">
        <v>219</v>
      </c>
      <c r="AK352" s="77">
        <v>0</v>
      </c>
      <c r="BA352" s="41" t="s">
        <v>230</v>
      </c>
      <c r="BB352" s="41" t="s">
        <v>15</v>
      </c>
      <c r="BC352" s="41" t="s">
        <v>232</v>
      </c>
      <c r="BD352" s="41" t="s">
        <v>1366</v>
      </c>
    </row>
    <row r="353" spans="1:56" s="57" customFormat="1" ht="18" customHeight="1" outlineLevel="1">
      <c r="A353" s="49">
        <v>481</v>
      </c>
      <c r="B353" s="19">
        <v>522002835</v>
      </c>
      <c r="C353" s="19">
        <v>522002835</v>
      </c>
      <c r="D353" s="50" t="s">
        <v>529</v>
      </c>
      <c r="E353" s="19" t="s">
        <v>476</v>
      </c>
      <c r="F353" s="19" t="s">
        <v>540</v>
      </c>
      <c r="G353" s="19" t="s">
        <v>541</v>
      </c>
      <c r="H353" s="69" t="s">
        <v>542</v>
      </c>
      <c r="I353" s="64" t="s">
        <v>543</v>
      </c>
      <c r="J353" s="70" t="s">
        <v>289</v>
      </c>
      <c r="K353" s="53">
        <v>1</v>
      </c>
      <c r="L353" s="20">
        <v>522002835</v>
      </c>
      <c r="M353" s="72" t="s">
        <v>544</v>
      </c>
      <c r="N353" s="54">
        <v>55.7</v>
      </c>
      <c r="O353" s="56" t="s">
        <v>279</v>
      </c>
      <c r="P353" s="54">
        <v>99.95</v>
      </c>
      <c r="Q353" s="56" t="s">
        <v>279</v>
      </c>
      <c r="R353" s="27"/>
      <c r="S353" s="58"/>
      <c r="T353" s="51"/>
      <c r="U353" s="51"/>
      <c r="V353" s="51"/>
      <c r="W353" s="76" t="s">
        <v>545</v>
      </c>
      <c r="X353" s="77">
        <v>55.7</v>
      </c>
      <c r="Y353" s="78">
        <v>0</v>
      </c>
      <c r="Z353" s="29"/>
      <c r="AA353" s="79">
        <v>55.7</v>
      </c>
      <c r="AB353" s="79">
        <v>55.7</v>
      </c>
      <c r="AC353" s="78">
        <v>0</v>
      </c>
      <c r="AD353" s="29"/>
      <c r="AE353" s="63" t="s">
        <v>219</v>
      </c>
      <c r="AF353" s="63">
        <v>1</v>
      </c>
      <c r="AG353" s="63">
        <v>1</v>
      </c>
      <c r="AH353" s="29"/>
      <c r="AI353" s="27"/>
      <c r="AJ353" s="29"/>
      <c r="AK353" s="77">
        <v>0</v>
      </c>
      <c r="BA353" s="41" t="s">
        <v>230</v>
      </c>
      <c r="BB353" s="41" t="s">
        <v>15</v>
      </c>
      <c r="BC353" s="41" t="s">
        <v>232</v>
      </c>
      <c r="BD353" s="41" t="s">
        <v>1366</v>
      </c>
    </row>
    <row r="354" spans="1:56" ht="18" customHeight="1" outlineLevel="1">
      <c r="A354" s="19">
        <v>482</v>
      </c>
      <c r="B354" s="19">
        <v>522002837</v>
      </c>
      <c r="C354" s="19">
        <v>522002837</v>
      </c>
      <c r="D354" s="50" t="s">
        <v>529</v>
      </c>
      <c r="E354" s="19" t="s">
        <v>476</v>
      </c>
      <c r="F354" s="19" t="s">
        <v>540</v>
      </c>
      <c r="G354" s="19" t="s">
        <v>541</v>
      </c>
      <c r="H354" s="69" t="s">
        <v>546</v>
      </c>
      <c r="I354" s="70" t="s">
        <v>547</v>
      </c>
      <c r="J354" s="70" t="s">
        <v>480</v>
      </c>
      <c r="K354" s="71">
        <v>1</v>
      </c>
      <c r="L354" s="72">
        <v>522002837</v>
      </c>
      <c r="M354" s="72" t="s">
        <v>548</v>
      </c>
      <c r="N354" s="73">
        <v>55.7</v>
      </c>
      <c r="O354" s="74" t="s">
        <v>279</v>
      </c>
      <c r="P354" s="73">
        <v>99.95</v>
      </c>
      <c r="Q354" s="80" t="s">
        <v>279</v>
      </c>
      <c r="W354" s="76" t="s">
        <v>549</v>
      </c>
      <c r="X354" s="77">
        <v>55.7</v>
      </c>
      <c r="Y354" s="78">
        <v>0</v>
      </c>
      <c r="AA354" s="79">
        <v>55.7</v>
      </c>
      <c r="AB354" s="79">
        <v>55.7</v>
      </c>
      <c r="AC354" s="78">
        <v>0</v>
      </c>
      <c r="AE354" s="63" t="s">
        <v>219</v>
      </c>
      <c r="AF354" s="63">
        <v>1</v>
      </c>
      <c r="AG354" s="63">
        <v>1</v>
      </c>
      <c r="AK354" s="77">
        <v>0</v>
      </c>
      <c r="BA354" s="41" t="s">
        <v>230</v>
      </c>
      <c r="BB354" s="41" t="s">
        <v>15</v>
      </c>
      <c r="BC354" s="41" t="s">
        <v>232</v>
      </c>
      <c r="BD354" s="41" t="s">
        <v>1366</v>
      </c>
    </row>
    <row r="355" spans="1:56" ht="18" customHeight="1" outlineLevel="1">
      <c r="A355" s="19">
        <v>483</v>
      </c>
      <c r="B355" s="19">
        <v>522002839</v>
      </c>
      <c r="C355" s="19">
        <v>522002839</v>
      </c>
      <c r="D355" s="50" t="s">
        <v>529</v>
      </c>
      <c r="E355" s="19" t="s">
        <v>476</v>
      </c>
      <c r="F355" s="19" t="s">
        <v>540</v>
      </c>
      <c r="G355" s="19" t="s">
        <v>541</v>
      </c>
      <c r="H355" s="69" t="s">
        <v>550</v>
      </c>
      <c r="I355" s="70" t="s">
        <v>551</v>
      </c>
      <c r="J355" s="70" t="s">
        <v>521</v>
      </c>
      <c r="K355" s="71">
        <v>1</v>
      </c>
      <c r="L355" s="72">
        <v>522002839</v>
      </c>
      <c r="M355" s="72" t="s">
        <v>552</v>
      </c>
      <c r="N355" s="73">
        <v>55.7</v>
      </c>
      <c r="O355" s="74" t="s">
        <v>279</v>
      </c>
      <c r="P355" s="73">
        <v>99.95</v>
      </c>
      <c r="Q355" s="80" t="s">
        <v>279</v>
      </c>
      <c r="W355" s="76" t="s">
        <v>553</v>
      </c>
      <c r="X355" s="77">
        <v>55.7</v>
      </c>
      <c r="Y355" s="78">
        <v>0</v>
      </c>
      <c r="AA355" s="79">
        <v>55.7</v>
      </c>
      <c r="AB355" s="79">
        <v>55.7</v>
      </c>
      <c r="AC355" s="78">
        <v>0</v>
      </c>
      <c r="AE355" s="63" t="s">
        <v>219</v>
      </c>
      <c r="AF355" s="63">
        <v>1</v>
      </c>
      <c r="AG355" s="63">
        <v>1</v>
      </c>
      <c r="AK355" s="77">
        <v>0</v>
      </c>
      <c r="BA355" s="41" t="s">
        <v>230</v>
      </c>
      <c r="BB355" s="41" t="s">
        <v>15</v>
      </c>
      <c r="BC355" s="41" t="s">
        <v>232</v>
      </c>
      <c r="BD355" s="41" t="s">
        <v>1366</v>
      </c>
    </row>
    <row r="356" spans="1:56" ht="18" customHeight="1" outlineLevel="1">
      <c r="A356" s="19">
        <v>484</v>
      </c>
      <c r="B356" s="19">
        <v>522002841</v>
      </c>
      <c r="C356" s="19">
        <v>522002841</v>
      </c>
      <c r="D356" s="50" t="s">
        <v>529</v>
      </c>
      <c r="E356" s="19" t="s">
        <v>476</v>
      </c>
      <c r="F356" s="19" t="s">
        <v>540</v>
      </c>
      <c r="G356" s="19" t="s">
        <v>541</v>
      </c>
      <c r="H356" s="69" t="s">
        <v>554</v>
      </c>
      <c r="I356" s="70" t="s">
        <v>555</v>
      </c>
      <c r="J356" s="70" t="s">
        <v>556</v>
      </c>
      <c r="K356" s="71">
        <v>1</v>
      </c>
      <c r="L356" s="72">
        <v>522002841</v>
      </c>
      <c r="M356" s="72" t="s">
        <v>557</v>
      </c>
      <c r="N356" s="73">
        <v>55.7</v>
      </c>
      <c r="O356" s="74" t="s">
        <v>279</v>
      </c>
      <c r="P356" s="73">
        <v>99.95</v>
      </c>
      <c r="Q356" s="80" t="s">
        <v>279</v>
      </c>
      <c r="W356" s="76" t="s">
        <v>558</v>
      </c>
      <c r="X356" s="77">
        <v>55.7</v>
      </c>
      <c r="Y356" s="78">
        <v>0</v>
      </c>
      <c r="AA356" s="79">
        <v>55.7</v>
      </c>
      <c r="AB356" s="79">
        <v>55.7</v>
      </c>
      <c r="AC356" s="78">
        <v>0</v>
      </c>
      <c r="AE356" s="63" t="s">
        <v>219</v>
      </c>
      <c r="AF356" s="63">
        <v>1</v>
      </c>
      <c r="AG356" s="63">
        <v>1</v>
      </c>
      <c r="AK356" s="77">
        <v>0</v>
      </c>
      <c r="BA356" s="41" t="s">
        <v>230</v>
      </c>
      <c r="BB356" s="41" t="s">
        <v>15</v>
      </c>
      <c r="BC356" s="41" t="s">
        <v>232</v>
      </c>
      <c r="BD356" s="41" t="s">
        <v>1366</v>
      </c>
    </row>
    <row r="357" spans="1:56" ht="18" customHeight="1" outlineLevel="1">
      <c r="A357" s="19">
        <v>485</v>
      </c>
      <c r="B357" s="19">
        <v>522002843</v>
      </c>
      <c r="C357" s="19">
        <v>522002843</v>
      </c>
      <c r="D357" s="50" t="s">
        <v>529</v>
      </c>
      <c r="E357" s="19" t="s">
        <v>476</v>
      </c>
      <c r="F357" s="19" t="s">
        <v>540</v>
      </c>
      <c r="G357" s="19" t="s">
        <v>541</v>
      </c>
      <c r="H357" s="69" t="s">
        <v>559</v>
      </c>
      <c r="I357" s="70" t="s">
        <v>560</v>
      </c>
      <c r="J357" s="70" t="s">
        <v>329</v>
      </c>
      <c r="K357" s="71">
        <v>1</v>
      </c>
      <c r="L357" s="72">
        <v>522002843</v>
      </c>
      <c r="M357" s="72" t="s">
        <v>561</v>
      </c>
      <c r="N357" s="73">
        <v>55.7</v>
      </c>
      <c r="O357" s="74" t="s">
        <v>279</v>
      </c>
      <c r="P357" s="73">
        <v>99.95</v>
      </c>
      <c r="Q357" s="80" t="s">
        <v>279</v>
      </c>
      <c r="W357" s="76" t="s">
        <v>562</v>
      </c>
      <c r="X357" s="77">
        <v>55.7</v>
      </c>
      <c r="Y357" s="78">
        <v>0</v>
      </c>
      <c r="AA357" s="79">
        <v>55.7</v>
      </c>
      <c r="AB357" s="79">
        <v>55.7</v>
      </c>
      <c r="AC357" s="78">
        <v>0</v>
      </c>
      <c r="AE357" s="63" t="s">
        <v>219</v>
      </c>
      <c r="AF357" s="63">
        <v>1</v>
      </c>
      <c r="AG357" s="63">
        <v>1</v>
      </c>
      <c r="AK357" s="77">
        <v>0</v>
      </c>
      <c r="BA357" s="41" t="s">
        <v>230</v>
      </c>
      <c r="BB357" s="41" t="s">
        <v>15</v>
      </c>
      <c r="BC357" s="41" t="s">
        <v>232</v>
      </c>
      <c r="BD357" s="41" t="s">
        <v>1366</v>
      </c>
    </row>
    <row r="358" spans="1:56" ht="18" customHeight="1" outlineLevel="1">
      <c r="A358" s="19">
        <v>486</v>
      </c>
      <c r="B358" s="19">
        <v>522002845</v>
      </c>
      <c r="C358" s="19">
        <v>522002845</v>
      </c>
      <c r="D358" s="50" t="s">
        <v>529</v>
      </c>
      <c r="E358" s="19" t="s">
        <v>476</v>
      </c>
      <c r="F358" s="19" t="s">
        <v>540</v>
      </c>
      <c r="G358" s="19" t="s">
        <v>541</v>
      </c>
      <c r="H358" s="69" t="s">
        <v>563</v>
      </c>
      <c r="I358" s="70" t="s">
        <v>564</v>
      </c>
      <c r="J358" s="70" t="s">
        <v>334</v>
      </c>
      <c r="K358" s="71">
        <v>1</v>
      </c>
      <c r="L358" s="72">
        <v>522002845</v>
      </c>
      <c r="M358" s="72" t="s">
        <v>565</v>
      </c>
      <c r="N358" s="73">
        <v>55.7</v>
      </c>
      <c r="O358" s="74" t="s">
        <v>279</v>
      </c>
      <c r="P358" s="73">
        <v>99.95</v>
      </c>
      <c r="Q358" s="80" t="s">
        <v>279</v>
      </c>
      <c r="W358" s="76" t="s">
        <v>566</v>
      </c>
      <c r="X358" s="77">
        <v>55.7</v>
      </c>
      <c r="Y358" s="78">
        <v>0</v>
      </c>
      <c r="AA358" s="79">
        <v>55.7</v>
      </c>
      <c r="AB358" s="79">
        <v>55.7</v>
      </c>
      <c r="AC358" s="78">
        <v>0</v>
      </c>
      <c r="AE358" s="63" t="s">
        <v>219</v>
      </c>
      <c r="AF358" s="63">
        <v>1</v>
      </c>
      <c r="AG358" s="63">
        <v>1</v>
      </c>
      <c r="AK358" s="77">
        <v>0</v>
      </c>
      <c r="BA358" s="41" t="s">
        <v>230</v>
      </c>
      <c r="BB358" s="41" t="s">
        <v>15</v>
      </c>
      <c r="BC358" s="41" t="s">
        <v>232</v>
      </c>
      <c r="BD358" s="41" t="s">
        <v>1366</v>
      </c>
    </row>
    <row r="359" spans="1:56" ht="18" customHeight="1" outlineLevel="1">
      <c r="A359" s="19">
        <v>487</v>
      </c>
      <c r="B359" s="19">
        <v>522002847</v>
      </c>
      <c r="C359" s="19">
        <v>522002847</v>
      </c>
      <c r="D359" s="50" t="s">
        <v>529</v>
      </c>
      <c r="E359" s="19" t="s">
        <v>476</v>
      </c>
      <c r="F359" s="19" t="s">
        <v>540</v>
      </c>
      <c r="G359" s="19" t="s">
        <v>541</v>
      </c>
      <c r="H359" s="69" t="s">
        <v>567</v>
      </c>
      <c r="I359" s="70" t="s">
        <v>568</v>
      </c>
      <c r="J359" s="70" t="s">
        <v>569</v>
      </c>
      <c r="K359" s="71">
        <v>1</v>
      </c>
      <c r="L359" s="72">
        <v>522002847</v>
      </c>
      <c r="M359" s="72" t="s">
        <v>570</v>
      </c>
      <c r="N359" s="73">
        <v>55.7</v>
      </c>
      <c r="O359" s="74" t="s">
        <v>279</v>
      </c>
      <c r="P359" s="73">
        <v>99.95</v>
      </c>
      <c r="Q359" s="80" t="s">
        <v>279</v>
      </c>
      <c r="W359" s="76" t="s">
        <v>571</v>
      </c>
      <c r="X359" s="77">
        <v>55.7</v>
      </c>
      <c r="Y359" s="78">
        <v>0</v>
      </c>
      <c r="AA359" s="79">
        <v>55.7</v>
      </c>
      <c r="AB359" s="79">
        <v>55.7</v>
      </c>
      <c r="AC359" s="78">
        <v>0</v>
      </c>
      <c r="AE359" s="63" t="s">
        <v>219</v>
      </c>
      <c r="AF359" s="63">
        <v>1</v>
      </c>
      <c r="AG359" s="63">
        <v>1</v>
      </c>
      <c r="AK359" s="77">
        <v>0</v>
      </c>
      <c r="BA359" s="41" t="s">
        <v>230</v>
      </c>
      <c r="BB359" s="41" t="s">
        <v>15</v>
      </c>
      <c r="BC359" s="41" t="s">
        <v>232</v>
      </c>
      <c r="BD359" s="41" t="s">
        <v>1366</v>
      </c>
    </row>
    <row r="360" spans="1:56" s="57" customFormat="1" ht="18" customHeight="1" outlineLevel="1">
      <c r="A360" s="49">
        <v>488</v>
      </c>
      <c r="B360" s="19">
        <v>522002849</v>
      </c>
      <c r="C360" s="19">
        <v>522002849</v>
      </c>
      <c r="D360" s="50" t="s">
        <v>529</v>
      </c>
      <c r="E360" s="19" t="s">
        <v>476</v>
      </c>
      <c r="F360" s="19" t="s">
        <v>540</v>
      </c>
      <c r="G360" s="19" t="s">
        <v>541</v>
      </c>
      <c r="H360" s="69" t="s">
        <v>572</v>
      </c>
      <c r="I360" s="64" t="s">
        <v>573</v>
      </c>
      <c r="J360" s="70" t="s">
        <v>574</v>
      </c>
      <c r="K360" s="53">
        <v>1</v>
      </c>
      <c r="L360" s="20">
        <v>522002849</v>
      </c>
      <c r="M360" s="72" t="s">
        <v>575</v>
      </c>
      <c r="N360" s="54">
        <v>55.7</v>
      </c>
      <c r="O360" s="56" t="s">
        <v>279</v>
      </c>
      <c r="P360" s="54">
        <v>99.95</v>
      </c>
      <c r="Q360" s="56" t="s">
        <v>279</v>
      </c>
      <c r="R360" s="27"/>
      <c r="S360" s="58"/>
      <c r="T360" s="51"/>
      <c r="U360" s="51"/>
      <c r="V360" s="51"/>
      <c r="W360" s="76" t="s">
        <v>576</v>
      </c>
      <c r="X360" s="77">
        <v>55.7</v>
      </c>
      <c r="Y360" s="78">
        <v>0</v>
      </c>
      <c r="Z360" s="29"/>
      <c r="AA360" s="79">
        <v>55.7</v>
      </c>
      <c r="AB360" s="79">
        <v>55.7</v>
      </c>
      <c r="AC360" s="78">
        <v>0</v>
      </c>
      <c r="AD360" s="29"/>
      <c r="AE360" s="63" t="s">
        <v>219</v>
      </c>
      <c r="AF360" s="63">
        <v>1</v>
      </c>
      <c r="AG360" s="63">
        <v>1</v>
      </c>
      <c r="AH360" s="29"/>
      <c r="AI360" s="27"/>
      <c r="AJ360" s="29"/>
      <c r="AK360" s="77">
        <v>0</v>
      </c>
      <c r="BA360" s="41" t="s">
        <v>230</v>
      </c>
      <c r="BB360" s="41" t="s">
        <v>15</v>
      </c>
      <c r="BC360" s="41" t="s">
        <v>232</v>
      </c>
      <c r="BD360" s="41" t="s">
        <v>1366</v>
      </c>
    </row>
    <row r="361" spans="1:56" ht="18" customHeight="1" outlineLevel="1">
      <c r="A361" s="19">
        <v>489</v>
      </c>
      <c r="B361" s="19">
        <v>522002851</v>
      </c>
      <c r="C361" s="19">
        <v>522002851</v>
      </c>
      <c r="D361" s="50" t="s">
        <v>529</v>
      </c>
      <c r="E361" s="19" t="s">
        <v>476</v>
      </c>
      <c r="F361" s="19" t="s">
        <v>540</v>
      </c>
      <c r="G361" s="19" t="s">
        <v>541</v>
      </c>
      <c r="H361" s="69" t="s">
        <v>577</v>
      </c>
      <c r="I361" s="70" t="s">
        <v>578</v>
      </c>
      <c r="J361" s="70" t="s">
        <v>579</v>
      </c>
      <c r="K361" s="71">
        <v>1</v>
      </c>
      <c r="L361" s="72">
        <v>522002851</v>
      </c>
      <c r="M361" s="72" t="s">
        <v>580</v>
      </c>
      <c r="N361" s="73">
        <v>55.7</v>
      </c>
      <c r="O361" s="74" t="s">
        <v>279</v>
      </c>
      <c r="P361" s="73">
        <v>99.95</v>
      </c>
      <c r="Q361" s="80" t="s">
        <v>279</v>
      </c>
      <c r="W361" s="76" t="s">
        <v>581</v>
      </c>
      <c r="X361" s="77">
        <v>55.7</v>
      </c>
      <c r="Y361" s="78">
        <v>0</v>
      </c>
      <c r="AA361" s="79">
        <v>55.7</v>
      </c>
      <c r="AB361" s="79">
        <v>55.7</v>
      </c>
      <c r="AC361" s="78">
        <v>0</v>
      </c>
      <c r="AE361" s="63" t="s">
        <v>219</v>
      </c>
      <c r="AF361" s="63">
        <v>1</v>
      </c>
      <c r="AG361" s="63">
        <v>1</v>
      </c>
      <c r="AK361" s="77">
        <v>0</v>
      </c>
      <c r="BA361" s="41" t="s">
        <v>230</v>
      </c>
      <c r="BB361" s="41" t="s">
        <v>15</v>
      </c>
      <c r="BC361" s="41" t="s">
        <v>232</v>
      </c>
      <c r="BD361" s="41" t="s">
        <v>1366</v>
      </c>
    </row>
    <row r="362" spans="1:56" ht="18" customHeight="1" outlineLevel="1">
      <c r="A362" s="19">
        <v>490</v>
      </c>
      <c r="B362" s="19">
        <v>100000000</v>
      </c>
      <c r="C362" s="19">
        <v>100000000</v>
      </c>
      <c r="D362" s="50" t="s">
        <v>4</v>
      </c>
      <c r="E362" s="19">
        <v>0</v>
      </c>
      <c r="F362" s="19" t="s">
        <v>582</v>
      </c>
      <c r="G362" s="19" t="s">
        <v>582</v>
      </c>
      <c r="H362" s="69" t="s">
        <v>582</v>
      </c>
      <c r="I362" s="70" t="s">
        <v>219</v>
      </c>
      <c r="J362" s="70" t="s">
        <v>219</v>
      </c>
      <c r="K362" s="71" t="s">
        <v>219</v>
      </c>
      <c r="L362" s="72" t="s">
        <v>219</v>
      </c>
      <c r="M362" s="72" t="s">
        <v>219</v>
      </c>
      <c r="N362" s="73" t="s">
        <v>219</v>
      </c>
      <c r="O362" s="74" t="s">
        <v>219</v>
      </c>
      <c r="P362" s="73" t="s">
        <v>219</v>
      </c>
      <c r="Q362" s="80" t="s">
        <v>219</v>
      </c>
      <c r="W362" s="76" t="s">
        <v>219</v>
      </c>
      <c r="X362" s="77" t="s">
        <v>219</v>
      </c>
      <c r="Y362" s="78">
        <v>0</v>
      </c>
      <c r="AA362" s="79" t="s">
        <v>219</v>
      </c>
      <c r="AB362" s="79" t="s">
        <v>219</v>
      </c>
      <c r="AC362" s="78">
        <v>0</v>
      </c>
      <c r="AE362" s="63" t="s">
        <v>219</v>
      </c>
      <c r="AF362" s="63">
        <v>1</v>
      </c>
      <c r="AG362" s="63">
        <v>1</v>
      </c>
      <c r="AK362" s="77">
        <v>0</v>
      </c>
      <c r="BA362" s="41" t="s">
        <v>230</v>
      </c>
      <c r="BB362" s="41" t="s">
        <v>15</v>
      </c>
      <c r="BC362" s="41" t="s">
        <v>232</v>
      </c>
      <c r="BD362" s="41" t="s">
        <v>1366</v>
      </c>
    </row>
    <row r="363" spans="1:56" ht="27" customHeight="1" outlineLevel="1">
      <c r="A363" s="19">
        <v>491</v>
      </c>
      <c r="B363" s="19" t="s">
        <v>219</v>
      </c>
      <c r="C363" s="19" t="s">
        <v>219</v>
      </c>
      <c r="D363" s="50" t="s">
        <v>219</v>
      </c>
      <c r="E363" s="19" t="s">
        <v>219</v>
      </c>
      <c r="F363" s="19" t="s">
        <v>219</v>
      </c>
      <c r="G363" s="19" t="s">
        <v>219</v>
      </c>
      <c r="H363" s="81" t="s">
        <v>219</v>
      </c>
      <c r="I363" s="70" t="s">
        <v>219</v>
      </c>
      <c r="J363" s="70" t="s">
        <v>219</v>
      </c>
      <c r="K363" s="71" t="s">
        <v>219</v>
      </c>
      <c r="L363" s="72" t="s">
        <v>219</v>
      </c>
      <c r="M363" s="72" t="s">
        <v>219</v>
      </c>
      <c r="N363" s="73" t="s">
        <v>219</v>
      </c>
      <c r="O363" s="74" t="s">
        <v>219</v>
      </c>
      <c r="P363" s="73" t="s">
        <v>219</v>
      </c>
      <c r="Q363" s="80" t="s">
        <v>219</v>
      </c>
      <c r="W363" s="76" t="s">
        <v>219</v>
      </c>
      <c r="X363" s="77" t="s">
        <v>219</v>
      </c>
      <c r="Y363" s="78">
        <v>0</v>
      </c>
      <c r="AA363" s="79" t="s">
        <v>219</v>
      </c>
      <c r="AB363" s="79" t="s">
        <v>219</v>
      </c>
      <c r="AC363" s="78">
        <v>0</v>
      </c>
      <c r="AE363" s="63" t="s">
        <v>230</v>
      </c>
      <c r="AF363" s="63">
        <v>0</v>
      </c>
      <c r="AG363" s="63" t="s">
        <v>219</v>
      </c>
      <c r="AK363" s="77">
        <v>0</v>
      </c>
      <c r="BA363" s="41" t="s">
        <v>230</v>
      </c>
      <c r="BB363" s="41" t="s">
        <v>15</v>
      </c>
      <c r="BC363" s="41" t="s">
        <v>232</v>
      </c>
      <c r="BD363" s="41" t="s">
        <v>1366</v>
      </c>
    </row>
    <row r="364" spans="1:56" ht="18" customHeight="1" outlineLevel="1">
      <c r="A364" s="19">
        <v>492</v>
      </c>
      <c r="B364" s="19">
        <v>521001487</v>
      </c>
      <c r="C364" s="19">
        <v>521001488</v>
      </c>
      <c r="D364" s="50" t="s">
        <v>13</v>
      </c>
      <c r="E364" s="19" t="s">
        <v>476</v>
      </c>
      <c r="F364" s="19" t="s">
        <v>1381</v>
      </c>
      <c r="G364" s="19" t="s">
        <v>1382</v>
      </c>
      <c r="H364" s="69" t="s">
        <v>1383</v>
      </c>
      <c r="I364" s="70" t="s">
        <v>532</v>
      </c>
      <c r="J364" s="70" t="s">
        <v>289</v>
      </c>
      <c r="K364" s="71">
        <v>4</v>
      </c>
      <c r="L364" s="72">
        <v>521001488</v>
      </c>
      <c r="M364" s="72" t="s">
        <v>1384</v>
      </c>
      <c r="N364" s="73">
        <v>33.4</v>
      </c>
      <c r="O364" s="74" t="s">
        <v>279</v>
      </c>
      <c r="P364" s="73">
        <v>59.95</v>
      </c>
      <c r="Q364" s="80" t="s">
        <v>279</v>
      </c>
      <c r="W364" s="76" t="s">
        <v>1385</v>
      </c>
      <c r="X364" s="77">
        <v>33.4</v>
      </c>
      <c r="Y364" s="78">
        <v>0</v>
      </c>
      <c r="AA364" s="79">
        <v>33.4</v>
      </c>
      <c r="AB364" s="79">
        <v>33.4</v>
      </c>
      <c r="AC364" s="78">
        <v>0</v>
      </c>
      <c r="AE364" s="63" t="s">
        <v>219</v>
      </c>
      <c r="AF364" s="63">
        <v>0</v>
      </c>
      <c r="AG364" s="63">
        <v>0</v>
      </c>
      <c r="AK364" s="77">
        <v>0</v>
      </c>
      <c r="BA364" s="41" t="s">
        <v>230</v>
      </c>
      <c r="BB364" s="41" t="s">
        <v>15</v>
      </c>
      <c r="BC364" s="41" t="s">
        <v>232</v>
      </c>
      <c r="BD364" s="41" t="s">
        <v>1366</v>
      </c>
    </row>
    <row r="365" spans="1:56" ht="18" customHeight="1" outlineLevel="1">
      <c r="A365" s="19">
        <v>493</v>
      </c>
      <c r="B365" s="19">
        <v>521000717</v>
      </c>
      <c r="C365" s="19">
        <v>521000718</v>
      </c>
      <c r="D365" s="50" t="s">
        <v>13</v>
      </c>
      <c r="E365" s="19" t="s">
        <v>476</v>
      </c>
      <c r="F365" s="19" t="s">
        <v>1386</v>
      </c>
      <c r="G365" s="19" t="s">
        <v>1387</v>
      </c>
      <c r="H365" s="69" t="s">
        <v>1388</v>
      </c>
      <c r="I365" s="70" t="s">
        <v>532</v>
      </c>
      <c r="J365" s="70" t="s">
        <v>289</v>
      </c>
      <c r="K365" s="71">
        <v>4</v>
      </c>
      <c r="L365" s="72">
        <v>521000718</v>
      </c>
      <c r="M365" s="72" t="s">
        <v>1389</v>
      </c>
      <c r="N365" s="73">
        <v>22.3</v>
      </c>
      <c r="O365" s="74" t="s">
        <v>279</v>
      </c>
      <c r="P365" s="73">
        <v>39.950000000000003</v>
      </c>
      <c r="Q365" s="80" t="s">
        <v>279</v>
      </c>
      <c r="W365" s="76" t="s">
        <v>1390</v>
      </c>
      <c r="X365" s="77">
        <v>22.3</v>
      </c>
      <c r="Y365" s="78">
        <v>0</v>
      </c>
      <c r="AA365" s="79">
        <v>22.3</v>
      </c>
      <c r="AB365" s="79">
        <v>22.3</v>
      </c>
      <c r="AC365" s="78">
        <v>0</v>
      </c>
      <c r="AE365" s="63" t="s">
        <v>219</v>
      </c>
      <c r="AF365" s="63">
        <v>0</v>
      </c>
      <c r="AG365" s="63">
        <v>0</v>
      </c>
      <c r="AK365" s="77">
        <v>0</v>
      </c>
      <c r="BA365" s="41" t="s">
        <v>230</v>
      </c>
      <c r="BB365" s="41" t="s">
        <v>15</v>
      </c>
      <c r="BC365" s="41" t="s">
        <v>232</v>
      </c>
      <c r="BD365" s="41" t="s">
        <v>1366</v>
      </c>
    </row>
    <row r="366" spans="1:56" ht="18" customHeight="1" outlineLevel="1">
      <c r="A366" s="19">
        <v>494</v>
      </c>
      <c r="B366" s="19">
        <v>520003353</v>
      </c>
      <c r="C366" s="19">
        <v>520003354</v>
      </c>
      <c r="D366" s="50" t="s">
        <v>13</v>
      </c>
      <c r="E366" s="19" t="s">
        <v>476</v>
      </c>
      <c r="F366" s="19" t="s">
        <v>1391</v>
      </c>
      <c r="G366" s="19" t="s">
        <v>1392</v>
      </c>
      <c r="H366" s="69" t="s">
        <v>1393</v>
      </c>
      <c r="I366" s="70" t="s">
        <v>532</v>
      </c>
      <c r="J366" s="70" t="s">
        <v>289</v>
      </c>
      <c r="K366" s="71">
        <v>4</v>
      </c>
      <c r="L366" s="72">
        <v>520003354</v>
      </c>
      <c r="M366" s="72" t="s">
        <v>1394</v>
      </c>
      <c r="N366" s="73">
        <v>27.900000000000002</v>
      </c>
      <c r="O366" s="74" t="s">
        <v>279</v>
      </c>
      <c r="P366" s="73">
        <v>49.95</v>
      </c>
      <c r="Q366" s="80" t="s">
        <v>279</v>
      </c>
      <c r="W366" s="76" t="s">
        <v>1395</v>
      </c>
      <c r="X366" s="77">
        <v>27.900000000000002</v>
      </c>
      <c r="Y366" s="78">
        <v>0</v>
      </c>
      <c r="AA366" s="79">
        <v>27.900000000000002</v>
      </c>
      <c r="AB366" s="79">
        <v>27.900000000000002</v>
      </c>
      <c r="AC366" s="78">
        <v>0</v>
      </c>
      <c r="AE366" s="63" t="s">
        <v>219</v>
      </c>
      <c r="AF366" s="63">
        <v>0</v>
      </c>
      <c r="AG366" s="63">
        <v>0</v>
      </c>
      <c r="AK366" s="77">
        <v>0</v>
      </c>
      <c r="BA366" s="41" t="s">
        <v>230</v>
      </c>
      <c r="BB366" s="41" t="s">
        <v>15</v>
      </c>
      <c r="BC366" s="41" t="s">
        <v>232</v>
      </c>
      <c r="BD366" s="41" t="s">
        <v>1366</v>
      </c>
    </row>
    <row r="367" spans="1:56" s="57" customFormat="1" ht="18" customHeight="1" outlineLevel="1">
      <c r="A367" s="49">
        <v>495</v>
      </c>
      <c r="B367" s="19">
        <v>522004889</v>
      </c>
      <c r="C367" s="19">
        <v>522004890</v>
      </c>
      <c r="D367" s="50" t="s">
        <v>13</v>
      </c>
      <c r="E367" s="19" t="s">
        <v>476</v>
      </c>
      <c r="F367" s="19" t="s">
        <v>1396</v>
      </c>
      <c r="G367" s="19" t="s">
        <v>1397</v>
      </c>
      <c r="H367" s="69" t="s">
        <v>1398</v>
      </c>
      <c r="I367" s="64" t="s">
        <v>532</v>
      </c>
      <c r="J367" s="70" t="s">
        <v>289</v>
      </c>
      <c r="K367" s="53">
        <v>4</v>
      </c>
      <c r="L367" s="20">
        <v>522004890</v>
      </c>
      <c r="M367" s="72" t="s">
        <v>1399</v>
      </c>
      <c r="N367" s="54">
        <v>27.900000000000002</v>
      </c>
      <c r="O367" s="56" t="s">
        <v>279</v>
      </c>
      <c r="P367" s="54">
        <v>49.95</v>
      </c>
      <c r="Q367" s="56" t="s">
        <v>279</v>
      </c>
      <c r="R367" s="27"/>
      <c r="S367" s="58"/>
      <c r="T367" s="51"/>
      <c r="U367" s="51"/>
      <c r="V367" s="51"/>
      <c r="W367" s="76" t="s">
        <v>1400</v>
      </c>
      <c r="X367" s="77">
        <v>27.900000000000002</v>
      </c>
      <c r="Y367" s="78">
        <v>0</v>
      </c>
      <c r="Z367" s="29"/>
      <c r="AA367" s="79">
        <v>27.900000000000002</v>
      </c>
      <c r="AB367" s="79">
        <v>27.900000000000002</v>
      </c>
      <c r="AC367" s="78">
        <v>0</v>
      </c>
      <c r="AD367" s="29"/>
      <c r="AE367" s="63" t="s">
        <v>219</v>
      </c>
      <c r="AF367" s="63">
        <v>0</v>
      </c>
      <c r="AG367" s="63">
        <v>0</v>
      </c>
      <c r="AH367" s="29"/>
      <c r="AI367" s="27"/>
      <c r="AJ367" s="29"/>
      <c r="AK367" s="77">
        <v>0</v>
      </c>
      <c r="BA367" s="41" t="s">
        <v>230</v>
      </c>
      <c r="BB367" s="41" t="s">
        <v>15</v>
      </c>
      <c r="BC367" s="41" t="s">
        <v>232</v>
      </c>
      <c r="BD367" s="41" t="s">
        <v>1366</v>
      </c>
    </row>
    <row r="368" spans="1:56" ht="18" customHeight="1" outlineLevel="1">
      <c r="A368" s="19">
        <v>496</v>
      </c>
      <c r="B368" s="19">
        <v>520003357</v>
      </c>
      <c r="C368" s="19">
        <v>520003358</v>
      </c>
      <c r="D368" s="50" t="s">
        <v>13</v>
      </c>
      <c r="E368" s="19" t="s">
        <v>476</v>
      </c>
      <c r="F368" s="19" t="s">
        <v>1401</v>
      </c>
      <c r="G368" s="19" t="s">
        <v>1402</v>
      </c>
      <c r="H368" s="69" t="s">
        <v>1403</v>
      </c>
      <c r="I368" s="70" t="s">
        <v>532</v>
      </c>
      <c r="J368" s="70" t="s">
        <v>289</v>
      </c>
      <c r="K368" s="71">
        <v>4</v>
      </c>
      <c r="L368" s="72">
        <v>520003358</v>
      </c>
      <c r="M368" s="72" t="s">
        <v>1404</v>
      </c>
      <c r="N368" s="73">
        <v>27.900000000000002</v>
      </c>
      <c r="O368" s="74" t="s">
        <v>279</v>
      </c>
      <c r="P368" s="73">
        <v>49.95</v>
      </c>
      <c r="Q368" s="80" t="s">
        <v>279</v>
      </c>
      <c r="W368" s="76" t="s">
        <v>1405</v>
      </c>
      <c r="X368" s="77">
        <v>27.900000000000002</v>
      </c>
      <c r="Y368" s="78">
        <v>0</v>
      </c>
      <c r="AA368" s="79">
        <v>27.900000000000002</v>
      </c>
      <c r="AB368" s="79">
        <v>27.900000000000002</v>
      </c>
      <c r="AC368" s="78">
        <v>0</v>
      </c>
      <c r="AE368" s="63" t="s">
        <v>219</v>
      </c>
      <c r="AF368" s="63">
        <v>0</v>
      </c>
      <c r="AG368" s="63">
        <v>0</v>
      </c>
      <c r="AK368" s="77">
        <v>0</v>
      </c>
      <c r="BA368" s="41" t="s">
        <v>230</v>
      </c>
      <c r="BB368" s="41" t="s">
        <v>15</v>
      </c>
      <c r="BC368" s="41" t="s">
        <v>232</v>
      </c>
      <c r="BD368" s="41" t="s">
        <v>1366</v>
      </c>
    </row>
    <row r="369" spans="1:56" ht="18" customHeight="1" outlineLevel="1">
      <c r="A369" s="19">
        <v>497</v>
      </c>
      <c r="B369" s="19">
        <v>520003355</v>
      </c>
      <c r="C369" s="19">
        <v>520003356</v>
      </c>
      <c r="D369" s="50" t="s">
        <v>13</v>
      </c>
      <c r="E369" s="19" t="s">
        <v>476</v>
      </c>
      <c r="F369" s="19" t="s">
        <v>1406</v>
      </c>
      <c r="G369" s="19" t="s">
        <v>1407</v>
      </c>
      <c r="H369" s="69" t="s">
        <v>1408</v>
      </c>
      <c r="I369" s="70" t="s">
        <v>532</v>
      </c>
      <c r="J369" s="70" t="s">
        <v>289</v>
      </c>
      <c r="K369" s="71">
        <v>4</v>
      </c>
      <c r="L369" s="72">
        <v>520003356</v>
      </c>
      <c r="M369" s="72" t="s">
        <v>1409</v>
      </c>
      <c r="N369" s="73">
        <v>27.900000000000002</v>
      </c>
      <c r="O369" s="74" t="s">
        <v>279</v>
      </c>
      <c r="P369" s="73">
        <v>49.95</v>
      </c>
      <c r="Q369" s="80" t="s">
        <v>279</v>
      </c>
      <c r="W369" s="76" t="s">
        <v>1410</v>
      </c>
      <c r="X369" s="77">
        <v>27.900000000000002</v>
      </c>
      <c r="Y369" s="78">
        <v>0</v>
      </c>
      <c r="AA369" s="79">
        <v>27.900000000000002</v>
      </c>
      <c r="AB369" s="79">
        <v>27.900000000000002</v>
      </c>
      <c r="AC369" s="78">
        <v>0</v>
      </c>
      <c r="AE369" s="63" t="s">
        <v>219</v>
      </c>
      <c r="AF369" s="63">
        <v>0</v>
      </c>
      <c r="AG369" s="63">
        <v>0</v>
      </c>
      <c r="AK369" s="77">
        <v>0</v>
      </c>
      <c r="BA369" s="41" t="s">
        <v>230</v>
      </c>
      <c r="BB369" s="41" t="s">
        <v>15</v>
      </c>
      <c r="BC369" s="41" t="s">
        <v>232</v>
      </c>
      <c r="BD369" s="41" t="s">
        <v>1366</v>
      </c>
    </row>
    <row r="370" spans="1:56" ht="18" customHeight="1" outlineLevel="1">
      <c r="A370" s="19">
        <v>498</v>
      </c>
      <c r="B370" s="19">
        <v>518001467</v>
      </c>
      <c r="C370" s="19">
        <v>518001468</v>
      </c>
      <c r="D370" s="50" t="s">
        <v>13</v>
      </c>
      <c r="E370" s="19" t="s">
        <v>476</v>
      </c>
      <c r="F370" s="19" t="s">
        <v>1411</v>
      </c>
      <c r="G370" s="19" t="s">
        <v>1412</v>
      </c>
      <c r="H370" s="69" t="s">
        <v>1413</v>
      </c>
      <c r="I370" s="70" t="s">
        <v>532</v>
      </c>
      <c r="J370" s="70" t="s">
        <v>289</v>
      </c>
      <c r="K370" s="71">
        <v>4</v>
      </c>
      <c r="L370" s="72">
        <v>518001468</v>
      </c>
      <c r="M370" s="72" t="s">
        <v>1414</v>
      </c>
      <c r="N370" s="73">
        <v>27.900000000000002</v>
      </c>
      <c r="O370" s="74" t="s">
        <v>279</v>
      </c>
      <c r="P370" s="73">
        <v>49.95</v>
      </c>
      <c r="Q370" s="80" t="s">
        <v>279</v>
      </c>
      <c r="W370" s="76" t="s">
        <v>1415</v>
      </c>
      <c r="X370" s="77">
        <v>27.900000000000002</v>
      </c>
      <c r="Y370" s="78">
        <v>0</v>
      </c>
      <c r="AA370" s="79">
        <v>27.900000000000002</v>
      </c>
      <c r="AB370" s="79">
        <v>27.900000000000002</v>
      </c>
      <c r="AC370" s="78">
        <v>0</v>
      </c>
      <c r="AE370" s="63" t="s">
        <v>219</v>
      </c>
      <c r="AF370" s="63">
        <v>0</v>
      </c>
      <c r="AG370" s="63">
        <v>0</v>
      </c>
      <c r="AK370" s="77">
        <v>0</v>
      </c>
      <c r="BA370" s="41" t="s">
        <v>230</v>
      </c>
      <c r="BB370" s="41" t="s">
        <v>15</v>
      </c>
      <c r="BC370" s="41" t="s">
        <v>232</v>
      </c>
      <c r="BD370" s="41" t="s">
        <v>1366</v>
      </c>
    </row>
    <row r="371" spans="1:56" ht="18" customHeight="1" outlineLevel="1">
      <c r="A371" s="19">
        <v>499</v>
      </c>
      <c r="B371" s="19">
        <v>522003779</v>
      </c>
      <c r="C371" s="19">
        <v>522003780</v>
      </c>
      <c r="D371" s="50" t="s">
        <v>13</v>
      </c>
      <c r="E371" s="19" t="s">
        <v>476</v>
      </c>
      <c r="F371" s="19" t="s">
        <v>1416</v>
      </c>
      <c r="G371" s="19" t="s">
        <v>1417</v>
      </c>
      <c r="H371" s="69" t="s">
        <v>1418</v>
      </c>
      <c r="I371" s="70" t="s">
        <v>532</v>
      </c>
      <c r="J371" s="70" t="s">
        <v>289</v>
      </c>
      <c r="K371" s="71">
        <v>4</v>
      </c>
      <c r="L371" s="72">
        <v>522003780</v>
      </c>
      <c r="M371" s="72" t="s">
        <v>1419</v>
      </c>
      <c r="N371" s="73">
        <v>27.900000000000002</v>
      </c>
      <c r="O371" s="74" t="s">
        <v>279</v>
      </c>
      <c r="P371" s="73">
        <v>49.95</v>
      </c>
      <c r="Q371" s="80" t="s">
        <v>279</v>
      </c>
      <c r="W371" s="76" t="s">
        <v>1420</v>
      </c>
      <c r="X371" s="77">
        <v>27.900000000000002</v>
      </c>
      <c r="Y371" s="78">
        <v>0</v>
      </c>
      <c r="AA371" s="79">
        <v>27.900000000000002</v>
      </c>
      <c r="AB371" s="79">
        <v>27.900000000000002</v>
      </c>
      <c r="AC371" s="78">
        <v>0</v>
      </c>
      <c r="AE371" s="63" t="s">
        <v>219</v>
      </c>
      <c r="AF371" s="63">
        <v>0</v>
      </c>
      <c r="AG371" s="63">
        <v>0</v>
      </c>
      <c r="AK371" s="77">
        <v>0</v>
      </c>
      <c r="BA371" s="41" t="s">
        <v>230</v>
      </c>
      <c r="BB371" s="41" t="s">
        <v>15</v>
      </c>
      <c r="BC371" s="41" t="s">
        <v>232</v>
      </c>
      <c r="BD371" s="41" t="s">
        <v>1366</v>
      </c>
    </row>
    <row r="372" spans="1:56" ht="18" customHeight="1" outlineLevel="1">
      <c r="A372" s="19">
        <v>500</v>
      </c>
      <c r="B372" s="19">
        <v>521000705</v>
      </c>
      <c r="C372" s="19">
        <v>521000706</v>
      </c>
      <c r="D372" s="50" t="s">
        <v>13</v>
      </c>
      <c r="E372" s="19" t="s">
        <v>476</v>
      </c>
      <c r="F372" s="19" t="s">
        <v>1421</v>
      </c>
      <c r="G372" s="19" t="s">
        <v>1422</v>
      </c>
      <c r="H372" s="69" t="s">
        <v>1423</v>
      </c>
      <c r="I372" s="70" t="s">
        <v>532</v>
      </c>
      <c r="J372" s="70" t="s">
        <v>289</v>
      </c>
      <c r="K372" s="71">
        <v>4</v>
      </c>
      <c r="L372" s="72">
        <v>521000706</v>
      </c>
      <c r="M372" s="72" t="s">
        <v>1424</v>
      </c>
      <c r="N372" s="73">
        <v>27.900000000000002</v>
      </c>
      <c r="O372" s="74" t="s">
        <v>279</v>
      </c>
      <c r="P372" s="73">
        <v>49.95</v>
      </c>
      <c r="Q372" s="80" t="s">
        <v>279</v>
      </c>
      <c r="W372" s="76" t="s">
        <v>1425</v>
      </c>
      <c r="X372" s="77">
        <v>27.900000000000002</v>
      </c>
      <c r="Y372" s="78">
        <v>0</v>
      </c>
      <c r="AA372" s="79">
        <v>27.900000000000002</v>
      </c>
      <c r="AB372" s="79">
        <v>27.900000000000002</v>
      </c>
      <c r="AC372" s="78">
        <v>0</v>
      </c>
      <c r="AE372" s="63" t="s">
        <v>219</v>
      </c>
      <c r="AF372" s="63">
        <v>0</v>
      </c>
      <c r="AG372" s="63">
        <v>0</v>
      </c>
      <c r="AK372" s="77">
        <v>0</v>
      </c>
      <c r="BA372" s="41" t="s">
        <v>230</v>
      </c>
      <c r="BB372" s="41" t="s">
        <v>15</v>
      </c>
      <c r="BC372" s="41" t="s">
        <v>232</v>
      </c>
      <c r="BD372" s="41" t="s">
        <v>1366</v>
      </c>
    </row>
    <row r="373" spans="1:56" ht="18" customHeight="1" outlineLevel="1">
      <c r="A373" s="19">
        <v>501</v>
      </c>
      <c r="B373" s="19">
        <v>519003399</v>
      </c>
      <c r="C373" s="19">
        <v>519003400</v>
      </c>
      <c r="D373" s="50" t="s">
        <v>13</v>
      </c>
      <c r="E373" s="19" t="s">
        <v>476</v>
      </c>
      <c r="F373" s="19" t="s">
        <v>1426</v>
      </c>
      <c r="G373" s="19" t="s">
        <v>1427</v>
      </c>
      <c r="H373" s="69" t="s">
        <v>1428</v>
      </c>
      <c r="I373" s="70" t="s">
        <v>532</v>
      </c>
      <c r="J373" s="70" t="s">
        <v>289</v>
      </c>
      <c r="K373" s="71">
        <v>4</v>
      </c>
      <c r="L373" s="72">
        <v>519003400</v>
      </c>
      <c r="M373" s="72" t="s">
        <v>1429</v>
      </c>
      <c r="N373" s="73">
        <v>27.900000000000002</v>
      </c>
      <c r="O373" s="74" t="s">
        <v>279</v>
      </c>
      <c r="P373" s="73">
        <v>49.95</v>
      </c>
      <c r="Q373" s="80" t="s">
        <v>279</v>
      </c>
      <c r="W373" s="76" t="s">
        <v>1430</v>
      </c>
      <c r="X373" s="77">
        <v>27.900000000000002</v>
      </c>
      <c r="Y373" s="78">
        <v>0</v>
      </c>
      <c r="AA373" s="79">
        <v>27.900000000000002</v>
      </c>
      <c r="AB373" s="79">
        <v>27.900000000000002</v>
      </c>
      <c r="AC373" s="78">
        <v>0</v>
      </c>
      <c r="AE373" s="63" t="s">
        <v>219</v>
      </c>
      <c r="AF373" s="63">
        <v>0</v>
      </c>
      <c r="AG373" s="63">
        <v>0</v>
      </c>
      <c r="AK373" s="77">
        <v>0</v>
      </c>
      <c r="BA373" s="41" t="s">
        <v>230</v>
      </c>
      <c r="BB373" s="41" t="s">
        <v>15</v>
      </c>
      <c r="BC373" s="41" t="s">
        <v>232</v>
      </c>
      <c r="BD373" s="41" t="s">
        <v>1366</v>
      </c>
    </row>
    <row r="374" spans="1:56" s="57" customFormat="1" ht="18" customHeight="1" outlineLevel="1">
      <c r="A374" s="49">
        <v>502</v>
      </c>
      <c r="B374" s="19">
        <v>524000795</v>
      </c>
      <c r="C374" s="19">
        <v>524000796</v>
      </c>
      <c r="D374" s="50" t="s">
        <v>13</v>
      </c>
      <c r="E374" s="19" t="s">
        <v>476</v>
      </c>
      <c r="F374" s="19" t="s">
        <v>1431</v>
      </c>
      <c r="G374" s="19" t="s">
        <v>1432</v>
      </c>
      <c r="H374" s="69" t="s">
        <v>1433</v>
      </c>
      <c r="I374" s="64" t="s">
        <v>532</v>
      </c>
      <c r="J374" s="70" t="s">
        <v>289</v>
      </c>
      <c r="K374" s="53">
        <v>4</v>
      </c>
      <c r="L374" s="20">
        <v>524000796</v>
      </c>
      <c r="M374" s="72" t="s">
        <v>1434</v>
      </c>
      <c r="N374" s="54">
        <v>27.900000000000002</v>
      </c>
      <c r="O374" s="56" t="s">
        <v>279</v>
      </c>
      <c r="P374" s="54">
        <v>49.95</v>
      </c>
      <c r="Q374" s="56" t="s">
        <v>279</v>
      </c>
      <c r="R374" s="27"/>
      <c r="S374" s="58"/>
      <c r="T374" s="51"/>
      <c r="U374" s="51"/>
      <c r="V374" s="51"/>
      <c r="W374" s="76" t="s">
        <v>1435</v>
      </c>
      <c r="X374" s="77">
        <v>27.900000000000002</v>
      </c>
      <c r="Y374" s="78">
        <v>0</v>
      </c>
      <c r="Z374" s="29"/>
      <c r="AA374" s="79">
        <v>27.900000000000002</v>
      </c>
      <c r="AB374" s="79">
        <v>27.900000000000002</v>
      </c>
      <c r="AC374" s="78">
        <v>0</v>
      </c>
      <c r="AD374" s="29"/>
      <c r="AE374" s="63" t="s">
        <v>219</v>
      </c>
      <c r="AF374" s="63">
        <v>0</v>
      </c>
      <c r="AG374" s="63">
        <v>0</v>
      </c>
      <c r="AH374" s="29"/>
      <c r="AI374" s="27"/>
      <c r="AJ374" s="29"/>
      <c r="AK374" s="77">
        <v>0</v>
      </c>
      <c r="BA374" s="41" t="s">
        <v>230</v>
      </c>
      <c r="BB374" s="41" t="s">
        <v>15</v>
      </c>
      <c r="BC374" s="41" t="s">
        <v>232</v>
      </c>
      <c r="BD374" s="41" t="s">
        <v>1366</v>
      </c>
    </row>
    <row r="375" spans="1:56" ht="18" customHeight="1" outlineLevel="1">
      <c r="A375" s="19">
        <v>503</v>
      </c>
      <c r="B375" s="19">
        <v>521000721</v>
      </c>
      <c r="C375" s="19">
        <v>521000722</v>
      </c>
      <c r="D375" s="50" t="s">
        <v>13</v>
      </c>
      <c r="E375" s="19" t="s">
        <v>476</v>
      </c>
      <c r="F375" s="19" t="s">
        <v>1436</v>
      </c>
      <c r="G375" s="19" t="s">
        <v>1437</v>
      </c>
      <c r="H375" s="69" t="s">
        <v>1438</v>
      </c>
      <c r="I375" s="70" t="s">
        <v>532</v>
      </c>
      <c r="J375" s="70" t="s">
        <v>289</v>
      </c>
      <c r="K375" s="71">
        <v>4</v>
      </c>
      <c r="L375" s="72">
        <v>521000722</v>
      </c>
      <c r="M375" s="72" t="s">
        <v>1439</v>
      </c>
      <c r="N375" s="73">
        <v>22.3</v>
      </c>
      <c r="O375" s="74" t="s">
        <v>279</v>
      </c>
      <c r="P375" s="73">
        <v>39.950000000000003</v>
      </c>
      <c r="Q375" s="80" t="s">
        <v>279</v>
      </c>
      <c r="W375" s="76" t="s">
        <v>1440</v>
      </c>
      <c r="X375" s="77">
        <v>22.3</v>
      </c>
      <c r="Y375" s="78">
        <v>0</v>
      </c>
      <c r="AA375" s="79">
        <v>22.3</v>
      </c>
      <c r="AB375" s="79">
        <v>22.3</v>
      </c>
      <c r="AC375" s="78">
        <v>0</v>
      </c>
      <c r="AE375" s="63" t="s">
        <v>219</v>
      </c>
      <c r="AF375" s="63">
        <v>0</v>
      </c>
      <c r="AG375" s="63">
        <v>0</v>
      </c>
      <c r="AK375" s="77">
        <v>0</v>
      </c>
      <c r="BA375" s="41" t="s">
        <v>230</v>
      </c>
      <c r="BB375" s="41" t="s">
        <v>15</v>
      </c>
      <c r="BC375" s="41" t="s">
        <v>232</v>
      </c>
      <c r="BD375" s="41" t="s">
        <v>1366</v>
      </c>
    </row>
    <row r="376" spans="1:56" ht="18" customHeight="1" outlineLevel="1">
      <c r="A376" s="19">
        <v>504</v>
      </c>
      <c r="B376" s="19">
        <v>519002905</v>
      </c>
      <c r="C376" s="19">
        <v>519002906</v>
      </c>
      <c r="D376" s="50" t="s">
        <v>13</v>
      </c>
      <c r="E376" s="19" t="s">
        <v>476</v>
      </c>
      <c r="F376" s="19" t="s">
        <v>1441</v>
      </c>
      <c r="G376" s="19" t="s">
        <v>1441</v>
      </c>
      <c r="H376" s="69" t="s">
        <v>1442</v>
      </c>
      <c r="I376" s="70" t="s">
        <v>532</v>
      </c>
      <c r="J376" s="70" t="s">
        <v>289</v>
      </c>
      <c r="K376" s="71">
        <v>2</v>
      </c>
      <c r="L376" s="72">
        <v>519002906</v>
      </c>
      <c r="M376" s="72" t="s">
        <v>1443</v>
      </c>
      <c r="N376" s="73">
        <v>33.4</v>
      </c>
      <c r="O376" s="74" t="s">
        <v>279</v>
      </c>
      <c r="P376" s="73">
        <v>59.95</v>
      </c>
      <c r="Q376" s="80" t="s">
        <v>279</v>
      </c>
      <c r="W376" s="76" t="s">
        <v>1444</v>
      </c>
      <c r="X376" s="77">
        <v>33.4</v>
      </c>
      <c r="Y376" s="78">
        <v>0</v>
      </c>
      <c r="AA376" s="79">
        <v>33.4</v>
      </c>
      <c r="AB376" s="79">
        <v>33.4</v>
      </c>
      <c r="AC376" s="78">
        <v>0</v>
      </c>
      <c r="AE376" s="63" t="s">
        <v>219</v>
      </c>
      <c r="AF376" s="63">
        <v>0</v>
      </c>
      <c r="AG376" s="63">
        <v>0</v>
      </c>
      <c r="AK376" s="77">
        <v>0</v>
      </c>
      <c r="BA376" s="41" t="s">
        <v>230</v>
      </c>
      <c r="BB376" s="41" t="s">
        <v>15</v>
      </c>
      <c r="BC376" s="41" t="s">
        <v>232</v>
      </c>
      <c r="BD376" s="41" t="s">
        <v>1366</v>
      </c>
    </row>
    <row r="377" spans="1:56" ht="18" customHeight="1" outlineLevel="1">
      <c r="A377" s="19">
        <v>505</v>
      </c>
      <c r="B377" s="19">
        <v>518002943</v>
      </c>
      <c r="C377" s="19">
        <v>518002944</v>
      </c>
      <c r="D377" s="50" t="s">
        <v>529</v>
      </c>
      <c r="E377" s="19" t="s">
        <v>476</v>
      </c>
      <c r="F377" s="19" t="s">
        <v>629</v>
      </c>
      <c r="G377" s="19" t="s">
        <v>630</v>
      </c>
      <c r="H377" s="69" t="s">
        <v>631</v>
      </c>
      <c r="I377" s="70" t="s">
        <v>532</v>
      </c>
      <c r="J377" s="70" t="s">
        <v>289</v>
      </c>
      <c r="K377" s="71">
        <v>4</v>
      </c>
      <c r="L377" s="72">
        <v>518002944</v>
      </c>
      <c r="M377" s="72" t="s">
        <v>632</v>
      </c>
      <c r="N377" s="73">
        <v>16.700000000000003</v>
      </c>
      <c r="O377" s="74" t="s">
        <v>279</v>
      </c>
      <c r="P377" s="73">
        <v>29.95</v>
      </c>
      <c r="Q377" s="80" t="s">
        <v>279</v>
      </c>
      <c r="W377" s="76" t="s">
        <v>633</v>
      </c>
      <c r="X377" s="77">
        <v>16.700000000000003</v>
      </c>
      <c r="Y377" s="78">
        <v>0</v>
      </c>
      <c r="AA377" s="79">
        <v>16.700000000000003</v>
      </c>
      <c r="AB377" s="79">
        <v>16.700000000000003</v>
      </c>
      <c r="AC377" s="78">
        <v>0</v>
      </c>
      <c r="AE377" s="63" t="s">
        <v>219</v>
      </c>
      <c r="AF377" s="63">
        <v>0</v>
      </c>
      <c r="AG377" s="63">
        <v>0</v>
      </c>
      <c r="AK377" s="77">
        <v>0</v>
      </c>
      <c r="BA377" s="41" t="s">
        <v>230</v>
      </c>
      <c r="BB377" s="41" t="s">
        <v>15</v>
      </c>
      <c r="BC377" s="41" t="s">
        <v>232</v>
      </c>
      <c r="BD377" s="41" t="s">
        <v>1366</v>
      </c>
    </row>
    <row r="378" spans="1:56" ht="18" customHeight="1" outlineLevel="1">
      <c r="A378" s="19">
        <v>506</v>
      </c>
      <c r="B378" s="19">
        <v>520004449</v>
      </c>
      <c r="C378" s="19">
        <v>520004450</v>
      </c>
      <c r="D378" s="50" t="s">
        <v>529</v>
      </c>
      <c r="E378" s="19" t="s">
        <v>476</v>
      </c>
      <c r="F378" s="19" t="s">
        <v>634</v>
      </c>
      <c r="G378" s="19" t="s">
        <v>635</v>
      </c>
      <c r="H378" s="69" t="s">
        <v>636</v>
      </c>
      <c r="I378" s="70" t="s">
        <v>532</v>
      </c>
      <c r="J378" s="70" t="s">
        <v>289</v>
      </c>
      <c r="K378" s="71">
        <v>4</v>
      </c>
      <c r="L378" s="72">
        <v>520004450</v>
      </c>
      <c r="M378" s="72" t="s">
        <v>637</v>
      </c>
      <c r="N378" s="73">
        <v>19.5</v>
      </c>
      <c r="O378" s="74" t="s">
        <v>279</v>
      </c>
      <c r="P378" s="73">
        <v>34.950000000000003</v>
      </c>
      <c r="Q378" s="80" t="s">
        <v>279</v>
      </c>
      <c r="W378" s="76" t="s">
        <v>638</v>
      </c>
      <c r="X378" s="77">
        <v>19.5</v>
      </c>
      <c r="Y378" s="78">
        <v>0</v>
      </c>
      <c r="AA378" s="79">
        <v>19.5</v>
      </c>
      <c r="AB378" s="79">
        <v>19.5</v>
      </c>
      <c r="AC378" s="78">
        <v>0</v>
      </c>
      <c r="AE378" s="63" t="s">
        <v>219</v>
      </c>
      <c r="AF378" s="63">
        <v>0</v>
      </c>
      <c r="AG378" s="63">
        <v>0</v>
      </c>
      <c r="AK378" s="77">
        <v>0</v>
      </c>
      <c r="BA378" s="41" t="s">
        <v>230</v>
      </c>
      <c r="BB378" s="41" t="s">
        <v>15</v>
      </c>
      <c r="BC378" s="41" t="s">
        <v>232</v>
      </c>
      <c r="BD378" s="41" t="s">
        <v>1366</v>
      </c>
    </row>
    <row r="379" spans="1:56" ht="18" customHeight="1" outlineLevel="1">
      <c r="A379" s="19">
        <v>507</v>
      </c>
      <c r="B379" s="19">
        <v>518002951</v>
      </c>
      <c r="C379" s="19">
        <v>518002952</v>
      </c>
      <c r="D379" s="50" t="s">
        <v>529</v>
      </c>
      <c r="E379" s="19" t="s">
        <v>476</v>
      </c>
      <c r="F379" s="19" t="s">
        <v>639</v>
      </c>
      <c r="G379" s="19" t="s">
        <v>639</v>
      </c>
      <c r="H379" s="69" t="s">
        <v>640</v>
      </c>
      <c r="I379" s="70" t="s">
        <v>532</v>
      </c>
      <c r="J379" s="70" t="s">
        <v>289</v>
      </c>
      <c r="K379" s="71">
        <v>2</v>
      </c>
      <c r="L379" s="72">
        <v>518002952</v>
      </c>
      <c r="M379" s="72" t="s">
        <v>641</v>
      </c>
      <c r="N379" s="73">
        <v>61.300000000000004</v>
      </c>
      <c r="O379" s="74" t="s">
        <v>279</v>
      </c>
      <c r="P379" s="73">
        <v>109.95</v>
      </c>
      <c r="Q379" s="80" t="s">
        <v>279</v>
      </c>
      <c r="W379" s="76" t="s">
        <v>642</v>
      </c>
      <c r="X379" s="77">
        <v>61.300000000000004</v>
      </c>
      <c r="Y379" s="78">
        <v>0</v>
      </c>
      <c r="AA379" s="79">
        <v>61.300000000000004</v>
      </c>
      <c r="AB379" s="79">
        <v>61.300000000000004</v>
      </c>
      <c r="AC379" s="78">
        <v>0</v>
      </c>
      <c r="AE379" s="63" t="s">
        <v>219</v>
      </c>
      <c r="AF379" s="63">
        <v>0</v>
      </c>
      <c r="AG379" s="63">
        <v>0</v>
      </c>
      <c r="AK379" s="77">
        <v>0</v>
      </c>
      <c r="BA379" s="41" t="s">
        <v>230</v>
      </c>
      <c r="BB379" s="41" t="s">
        <v>15</v>
      </c>
      <c r="BC379" s="41" t="s">
        <v>232</v>
      </c>
      <c r="BD379" s="41" t="s">
        <v>1366</v>
      </c>
    </row>
    <row r="380" spans="1:56" ht="18" customHeight="1" outlineLevel="1">
      <c r="A380" s="19">
        <v>508</v>
      </c>
      <c r="B380" s="19">
        <v>520004069</v>
      </c>
      <c r="C380" s="19">
        <v>520004070</v>
      </c>
      <c r="D380" s="50" t="s">
        <v>13</v>
      </c>
      <c r="E380" s="19" t="s">
        <v>476</v>
      </c>
      <c r="F380" s="19" t="s">
        <v>1445</v>
      </c>
      <c r="G380" s="19" t="s">
        <v>1446</v>
      </c>
      <c r="H380" s="69" t="s">
        <v>1447</v>
      </c>
      <c r="I380" s="70" t="s">
        <v>532</v>
      </c>
      <c r="J380" s="70" t="s">
        <v>289</v>
      </c>
      <c r="K380" s="71">
        <v>2</v>
      </c>
      <c r="L380" s="72">
        <v>520004070</v>
      </c>
      <c r="M380" s="72" t="s">
        <v>1448</v>
      </c>
      <c r="N380" s="73">
        <v>61.300000000000004</v>
      </c>
      <c r="O380" s="74" t="s">
        <v>279</v>
      </c>
      <c r="P380" s="73">
        <v>109.95</v>
      </c>
      <c r="Q380" s="80" t="s">
        <v>279</v>
      </c>
      <c r="W380" s="76" t="s">
        <v>1449</v>
      </c>
      <c r="X380" s="77">
        <v>61.300000000000004</v>
      </c>
      <c r="Y380" s="78">
        <v>0</v>
      </c>
      <c r="AA380" s="79">
        <v>61.300000000000004</v>
      </c>
      <c r="AB380" s="79">
        <v>61.300000000000004</v>
      </c>
      <c r="AC380" s="78">
        <v>0</v>
      </c>
      <c r="AE380" s="63" t="s">
        <v>219</v>
      </c>
      <c r="AF380" s="63">
        <v>0</v>
      </c>
      <c r="AG380" s="63">
        <v>0</v>
      </c>
      <c r="AK380" s="77">
        <v>0</v>
      </c>
      <c r="BA380" s="41" t="s">
        <v>230</v>
      </c>
      <c r="BB380" s="41" t="s">
        <v>15</v>
      </c>
      <c r="BC380" s="41" t="s">
        <v>232</v>
      </c>
      <c r="BD380" s="41" t="s">
        <v>1366</v>
      </c>
    </row>
    <row r="381" spans="1:56" s="57" customFormat="1" ht="18" customHeight="1" outlineLevel="1">
      <c r="A381" s="49">
        <v>509</v>
      </c>
      <c r="B381" s="19">
        <v>520004317</v>
      </c>
      <c r="C381" s="19">
        <v>520004318</v>
      </c>
      <c r="D381" s="50" t="s">
        <v>529</v>
      </c>
      <c r="E381" s="19" t="s">
        <v>476</v>
      </c>
      <c r="F381" s="19" t="s">
        <v>643</v>
      </c>
      <c r="G381" s="19" t="s">
        <v>644</v>
      </c>
      <c r="H381" s="69" t="s">
        <v>645</v>
      </c>
      <c r="I381" s="64" t="s">
        <v>532</v>
      </c>
      <c r="J381" s="70" t="s">
        <v>289</v>
      </c>
      <c r="K381" s="53">
        <v>6</v>
      </c>
      <c r="L381" s="20">
        <v>520004318</v>
      </c>
      <c r="M381" s="72" t="s">
        <v>646</v>
      </c>
      <c r="N381" s="54">
        <v>33.4</v>
      </c>
      <c r="O381" s="56" t="s">
        <v>279</v>
      </c>
      <c r="P381" s="54">
        <v>59.95</v>
      </c>
      <c r="Q381" s="56" t="s">
        <v>279</v>
      </c>
      <c r="R381" s="27"/>
      <c r="S381" s="58"/>
      <c r="T381" s="51"/>
      <c r="U381" s="51"/>
      <c r="V381" s="51"/>
      <c r="W381" s="76" t="s">
        <v>647</v>
      </c>
      <c r="X381" s="77">
        <v>33.4</v>
      </c>
      <c r="Y381" s="78">
        <v>0</v>
      </c>
      <c r="Z381" s="29"/>
      <c r="AA381" s="79">
        <v>33.4</v>
      </c>
      <c r="AB381" s="79">
        <v>33.4</v>
      </c>
      <c r="AC381" s="78">
        <v>0</v>
      </c>
      <c r="AD381" s="29"/>
      <c r="AE381" s="63" t="s">
        <v>219</v>
      </c>
      <c r="AF381" s="63">
        <v>0</v>
      </c>
      <c r="AG381" s="63">
        <v>0</v>
      </c>
      <c r="AH381" s="29"/>
      <c r="AI381" s="27"/>
      <c r="AJ381" s="29"/>
      <c r="AK381" s="77">
        <v>0</v>
      </c>
      <c r="BA381" s="41" t="s">
        <v>230</v>
      </c>
      <c r="BB381" s="41" t="s">
        <v>15</v>
      </c>
      <c r="BC381" s="41" t="s">
        <v>232</v>
      </c>
      <c r="BD381" s="41" t="s">
        <v>1366</v>
      </c>
    </row>
    <row r="382" spans="1:56" ht="18" customHeight="1" outlineLevel="1">
      <c r="A382" s="19">
        <v>510</v>
      </c>
      <c r="B382" s="19">
        <v>518002121</v>
      </c>
      <c r="C382" s="19">
        <v>518002122</v>
      </c>
      <c r="D382" s="50" t="s">
        <v>13</v>
      </c>
      <c r="E382" s="19" t="s">
        <v>476</v>
      </c>
      <c r="F382" s="19" t="s">
        <v>1450</v>
      </c>
      <c r="G382" s="19" t="s">
        <v>1451</v>
      </c>
      <c r="H382" s="69" t="s">
        <v>1452</v>
      </c>
      <c r="I382" s="70" t="s">
        <v>651</v>
      </c>
      <c r="J382" s="70" t="s">
        <v>652</v>
      </c>
      <c r="K382" s="71">
        <v>4</v>
      </c>
      <c r="L382" s="72">
        <v>518002122</v>
      </c>
      <c r="M382" s="72" t="s">
        <v>1453</v>
      </c>
      <c r="N382" s="73">
        <v>27.900000000000002</v>
      </c>
      <c r="O382" s="74" t="s">
        <v>279</v>
      </c>
      <c r="P382" s="73">
        <v>49.95</v>
      </c>
      <c r="Q382" s="80" t="s">
        <v>279</v>
      </c>
      <c r="W382" s="76" t="s">
        <v>1454</v>
      </c>
      <c r="X382" s="77">
        <v>27.900000000000002</v>
      </c>
      <c r="Y382" s="78">
        <v>0</v>
      </c>
      <c r="AA382" s="79">
        <v>27.900000000000002</v>
      </c>
      <c r="AB382" s="79">
        <v>27.900000000000002</v>
      </c>
      <c r="AC382" s="78">
        <v>0</v>
      </c>
      <c r="AE382" s="63" t="s">
        <v>219</v>
      </c>
      <c r="AF382" s="63">
        <v>0</v>
      </c>
      <c r="AG382" s="63">
        <v>0</v>
      </c>
      <c r="AK382" s="77">
        <v>0</v>
      </c>
      <c r="BA382" s="41" t="s">
        <v>230</v>
      </c>
      <c r="BB382" s="41" t="s">
        <v>15</v>
      </c>
      <c r="BC382" s="41" t="s">
        <v>232</v>
      </c>
      <c r="BD382" s="41" t="s">
        <v>1366</v>
      </c>
    </row>
    <row r="383" spans="1:56" ht="18" customHeight="1" outlineLevel="1">
      <c r="A383" s="19">
        <v>511</v>
      </c>
      <c r="B383" s="19">
        <v>520003359</v>
      </c>
      <c r="C383" s="19">
        <v>520003360</v>
      </c>
      <c r="D383" s="50" t="s">
        <v>13</v>
      </c>
      <c r="E383" s="19" t="s">
        <v>476</v>
      </c>
      <c r="F383" s="19" t="s">
        <v>1455</v>
      </c>
      <c r="G383" s="19" t="s">
        <v>1456</v>
      </c>
      <c r="H383" s="69" t="s">
        <v>1457</v>
      </c>
      <c r="I383" s="70" t="s">
        <v>651</v>
      </c>
      <c r="J383" s="70" t="s">
        <v>652</v>
      </c>
      <c r="K383" s="71">
        <v>4</v>
      </c>
      <c r="L383" s="72">
        <v>520003360</v>
      </c>
      <c r="M383" s="72" t="s">
        <v>1458</v>
      </c>
      <c r="N383" s="73">
        <v>27.900000000000002</v>
      </c>
      <c r="O383" s="74" t="s">
        <v>279</v>
      </c>
      <c r="P383" s="73">
        <v>49.95</v>
      </c>
      <c r="Q383" s="80" t="s">
        <v>279</v>
      </c>
      <c r="W383" s="76" t="s">
        <v>1459</v>
      </c>
      <c r="X383" s="77">
        <v>27.900000000000002</v>
      </c>
      <c r="Y383" s="78">
        <v>0</v>
      </c>
      <c r="AA383" s="79">
        <v>27.900000000000002</v>
      </c>
      <c r="AB383" s="79">
        <v>27.900000000000002</v>
      </c>
      <c r="AC383" s="78">
        <v>0</v>
      </c>
      <c r="AE383" s="63" t="s">
        <v>219</v>
      </c>
      <c r="AF383" s="63">
        <v>0</v>
      </c>
      <c r="AG383" s="63">
        <v>0</v>
      </c>
      <c r="AK383" s="77">
        <v>0</v>
      </c>
      <c r="BA383" s="41" t="s">
        <v>230</v>
      </c>
      <c r="BB383" s="41" t="s">
        <v>15</v>
      </c>
      <c r="BC383" s="41" t="s">
        <v>232</v>
      </c>
      <c r="BD383" s="41" t="s">
        <v>1366</v>
      </c>
    </row>
    <row r="384" spans="1:56" ht="18" customHeight="1" outlineLevel="1">
      <c r="A384" s="19">
        <v>512</v>
      </c>
      <c r="B384" s="19">
        <v>522002959</v>
      </c>
      <c r="C384" s="19">
        <v>522002960</v>
      </c>
      <c r="D384" s="50" t="s">
        <v>13</v>
      </c>
      <c r="E384" s="19" t="s">
        <v>476</v>
      </c>
      <c r="F384" s="19" t="s">
        <v>1460</v>
      </c>
      <c r="G384" s="19" t="s">
        <v>1461</v>
      </c>
      <c r="H384" s="69" t="s">
        <v>1462</v>
      </c>
      <c r="I384" s="70" t="s">
        <v>651</v>
      </c>
      <c r="J384" s="70" t="s">
        <v>652</v>
      </c>
      <c r="K384" s="71">
        <v>4</v>
      </c>
      <c r="L384" s="72">
        <v>522002960</v>
      </c>
      <c r="M384" s="72" t="s">
        <v>1463</v>
      </c>
      <c r="N384" s="73">
        <v>27.900000000000002</v>
      </c>
      <c r="O384" s="74" t="s">
        <v>279</v>
      </c>
      <c r="P384" s="73">
        <v>49.95</v>
      </c>
      <c r="Q384" s="80" t="s">
        <v>279</v>
      </c>
      <c r="W384" s="76" t="s">
        <v>1464</v>
      </c>
      <c r="X384" s="77">
        <v>27.900000000000002</v>
      </c>
      <c r="Y384" s="78">
        <v>0</v>
      </c>
      <c r="AA384" s="79">
        <v>27.900000000000002</v>
      </c>
      <c r="AB384" s="79">
        <v>27.900000000000002</v>
      </c>
      <c r="AC384" s="78">
        <v>0</v>
      </c>
      <c r="AE384" s="63" t="s">
        <v>219</v>
      </c>
      <c r="AF384" s="63">
        <v>0</v>
      </c>
      <c r="AG384" s="63">
        <v>0</v>
      </c>
      <c r="AK384" s="77">
        <v>0</v>
      </c>
      <c r="BA384" s="41" t="s">
        <v>230</v>
      </c>
      <c r="BB384" s="41" t="s">
        <v>15</v>
      </c>
      <c r="BC384" s="41" t="s">
        <v>232</v>
      </c>
      <c r="BD384" s="41" t="s">
        <v>1366</v>
      </c>
    </row>
    <row r="385" spans="1:56" ht="18" customHeight="1" outlineLevel="1">
      <c r="A385" s="19">
        <v>513</v>
      </c>
      <c r="B385" s="19">
        <v>524001417</v>
      </c>
      <c r="C385" s="19">
        <v>524001418</v>
      </c>
      <c r="D385" s="50" t="s">
        <v>13</v>
      </c>
      <c r="E385" s="19" t="s">
        <v>476</v>
      </c>
      <c r="F385" s="19" t="s">
        <v>1465</v>
      </c>
      <c r="G385" s="19" t="s">
        <v>1466</v>
      </c>
      <c r="H385" s="69" t="s">
        <v>1467</v>
      </c>
      <c r="I385" s="70" t="s">
        <v>651</v>
      </c>
      <c r="J385" s="70" t="s">
        <v>652</v>
      </c>
      <c r="K385" s="71">
        <v>4</v>
      </c>
      <c r="L385" s="72">
        <v>524001418</v>
      </c>
      <c r="M385" s="72" t="s">
        <v>1468</v>
      </c>
      <c r="N385" s="73">
        <v>27.900000000000002</v>
      </c>
      <c r="O385" s="74" t="s">
        <v>279</v>
      </c>
      <c r="P385" s="73">
        <v>49.95</v>
      </c>
      <c r="Q385" s="80" t="s">
        <v>279</v>
      </c>
      <c r="W385" s="76" t="s">
        <v>1469</v>
      </c>
      <c r="X385" s="77">
        <v>27.900000000000002</v>
      </c>
      <c r="Y385" s="78">
        <v>0</v>
      </c>
      <c r="AA385" s="79">
        <v>27.900000000000002</v>
      </c>
      <c r="AB385" s="79">
        <v>27.900000000000002</v>
      </c>
      <c r="AC385" s="78">
        <v>0</v>
      </c>
      <c r="AE385" s="63" t="s">
        <v>219</v>
      </c>
      <c r="AF385" s="63">
        <v>0</v>
      </c>
      <c r="AG385" s="63">
        <v>0</v>
      </c>
      <c r="AK385" s="77">
        <v>0</v>
      </c>
      <c r="BA385" s="41" t="s">
        <v>230</v>
      </c>
      <c r="BB385" s="41" t="s">
        <v>15</v>
      </c>
      <c r="BC385" s="41" t="s">
        <v>232</v>
      </c>
      <c r="BD385" s="41" t="s">
        <v>1366</v>
      </c>
    </row>
    <row r="386" spans="1:56" ht="18" customHeight="1" outlineLevel="1">
      <c r="A386" s="19">
        <v>514</v>
      </c>
      <c r="B386" s="19">
        <v>518002725</v>
      </c>
      <c r="C386" s="19">
        <v>518002726</v>
      </c>
      <c r="D386" s="50" t="s">
        <v>13</v>
      </c>
      <c r="E386" s="19" t="s">
        <v>476</v>
      </c>
      <c r="F386" s="19" t="s">
        <v>1470</v>
      </c>
      <c r="G386" s="19" t="s">
        <v>1471</v>
      </c>
      <c r="H386" s="69" t="s">
        <v>1472</v>
      </c>
      <c r="I386" s="70" t="s">
        <v>651</v>
      </c>
      <c r="J386" s="70" t="s">
        <v>652</v>
      </c>
      <c r="K386" s="71">
        <v>4</v>
      </c>
      <c r="L386" s="72">
        <v>518002726</v>
      </c>
      <c r="M386" s="72" t="s">
        <v>1473</v>
      </c>
      <c r="N386" s="73">
        <v>27.900000000000002</v>
      </c>
      <c r="O386" s="74" t="s">
        <v>279</v>
      </c>
      <c r="P386" s="73">
        <v>49.95</v>
      </c>
      <c r="Q386" s="80" t="s">
        <v>279</v>
      </c>
      <c r="W386" s="76" t="s">
        <v>1474</v>
      </c>
      <c r="X386" s="77">
        <v>27.900000000000002</v>
      </c>
      <c r="Y386" s="78">
        <v>0</v>
      </c>
      <c r="AA386" s="79">
        <v>27.900000000000002</v>
      </c>
      <c r="AB386" s="79">
        <v>27.900000000000002</v>
      </c>
      <c r="AC386" s="78">
        <v>0</v>
      </c>
      <c r="AE386" s="63" t="s">
        <v>219</v>
      </c>
      <c r="AF386" s="63">
        <v>0</v>
      </c>
      <c r="AG386" s="63">
        <v>0</v>
      </c>
      <c r="AK386" s="77">
        <v>0</v>
      </c>
      <c r="BA386" s="41" t="s">
        <v>230</v>
      </c>
      <c r="BB386" s="41" t="s">
        <v>15</v>
      </c>
      <c r="BC386" s="41" t="s">
        <v>232</v>
      </c>
      <c r="BD386" s="41" t="s">
        <v>1366</v>
      </c>
    </row>
    <row r="387" spans="1:56" ht="18" customHeight="1" outlineLevel="1">
      <c r="A387" s="19">
        <v>515</v>
      </c>
      <c r="B387" s="19">
        <v>520003363</v>
      </c>
      <c r="C387" s="19">
        <v>520003364</v>
      </c>
      <c r="D387" s="50" t="s">
        <v>13</v>
      </c>
      <c r="E387" s="19" t="s">
        <v>476</v>
      </c>
      <c r="F387" s="19" t="s">
        <v>1475</v>
      </c>
      <c r="G387" s="19" t="s">
        <v>1476</v>
      </c>
      <c r="H387" s="69" t="s">
        <v>1477</v>
      </c>
      <c r="I387" s="70" t="s">
        <v>651</v>
      </c>
      <c r="J387" s="70" t="s">
        <v>652</v>
      </c>
      <c r="K387" s="71">
        <v>4</v>
      </c>
      <c r="L387" s="72">
        <v>520003364</v>
      </c>
      <c r="M387" s="72" t="s">
        <v>1478</v>
      </c>
      <c r="N387" s="73">
        <v>27.900000000000002</v>
      </c>
      <c r="O387" s="74" t="s">
        <v>279</v>
      </c>
      <c r="P387" s="73">
        <v>49.95</v>
      </c>
      <c r="Q387" s="80" t="s">
        <v>279</v>
      </c>
      <c r="W387" s="76" t="s">
        <v>1479</v>
      </c>
      <c r="X387" s="77">
        <v>27.900000000000002</v>
      </c>
      <c r="Y387" s="78">
        <v>0</v>
      </c>
      <c r="AA387" s="79">
        <v>27.900000000000002</v>
      </c>
      <c r="AB387" s="79">
        <v>27.900000000000002</v>
      </c>
      <c r="AC387" s="78">
        <v>0</v>
      </c>
      <c r="AE387" s="63" t="s">
        <v>219</v>
      </c>
      <c r="AF387" s="63">
        <v>0</v>
      </c>
      <c r="AG387" s="63">
        <v>0</v>
      </c>
      <c r="AK387" s="77">
        <v>0</v>
      </c>
      <c r="BA387" s="41" t="s">
        <v>230</v>
      </c>
      <c r="BB387" s="41" t="s">
        <v>15</v>
      </c>
      <c r="BC387" s="41" t="s">
        <v>232</v>
      </c>
      <c r="BD387" s="41" t="s">
        <v>1366</v>
      </c>
    </row>
    <row r="388" spans="1:56" s="57" customFormat="1" ht="18" customHeight="1" outlineLevel="1">
      <c r="A388" s="49">
        <v>516</v>
      </c>
      <c r="B388" s="19">
        <v>520003377</v>
      </c>
      <c r="C388" s="19">
        <v>520003378</v>
      </c>
      <c r="D388" s="50" t="s">
        <v>13</v>
      </c>
      <c r="E388" s="19" t="s">
        <v>476</v>
      </c>
      <c r="F388" s="19" t="s">
        <v>1480</v>
      </c>
      <c r="G388" s="19" t="s">
        <v>1481</v>
      </c>
      <c r="H388" s="69" t="s">
        <v>1482</v>
      </c>
      <c r="I388" s="64" t="s">
        <v>651</v>
      </c>
      <c r="J388" s="70" t="s">
        <v>652</v>
      </c>
      <c r="K388" s="53">
        <v>4</v>
      </c>
      <c r="L388" s="20">
        <v>520003378</v>
      </c>
      <c r="M388" s="72" t="s">
        <v>1483</v>
      </c>
      <c r="N388" s="54">
        <v>27.900000000000002</v>
      </c>
      <c r="O388" s="56" t="s">
        <v>279</v>
      </c>
      <c r="P388" s="54">
        <v>49.95</v>
      </c>
      <c r="Q388" s="56" t="s">
        <v>279</v>
      </c>
      <c r="R388" s="27"/>
      <c r="S388" s="58"/>
      <c r="T388" s="51"/>
      <c r="U388" s="51"/>
      <c r="V388" s="51"/>
      <c r="W388" s="76" t="s">
        <v>1484</v>
      </c>
      <c r="X388" s="77">
        <v>27.900000000000002</v>
      </c>
      <c r="Y388" s="78">
        <v>0</v>
      </c>
      <c r="Z388" s="29"/>
      <c r="AA388" s="79">
        <v>27.900000000000002</v>
      </c>
      <c r="AB388" s="79">
        <v>27.900000000000002</v>
      </c>
      <c r="AC388" s="78">
        <v>0</v>
      </c>
      <c r="AD388" s="29"/>
      <c r="AE388" s="63" t="s">
        <v>219</v>
      </c>
      <c r="AF388" s="63">
        <v>0</v>
      </c>
      <c r="AG388" s="63">
        <v>0</v>
      </c>
      <c r="AH388" s="29"/>
      <c r="AI388" s="27"/>
      <c r="AJ388" s="29"/>
      <c r="AK388" s="77">
        <v>0</v>
      </c>
      <c r="BA388" s="41" t="s">
        <v>230</v>
      </c>
      <c r="BB388" s="41" t="s">
        <v>15</v>
      </c>
      <c r="BC388" s="41" t="s">
        <v>232</v>
      </c>
      <c r="BD388" s="41" t="s">
        <v>1366</v>
      </c>
    </row>
    <row r="389" spans="1:56" ht="18" customHeight="1" outlineLevel="1">
      <c r="A389" s="19">
        <v>517</v>
      </c>
      <c r="B389" s="19">
        <v>522002961</v>
      </c>
      <c r="C389" s="19">
        <v>522002962</v>
      </c>
      <c r="D389" s="50" t="s">
        <v>13</v>
      </c>
      <c r="E389" s="19" t="s">
        <v>476</v>
      </c>
      <c r="F389" s="19" t="s">
        <v>1485</v>
      </c>
      <c r="G389" s="19" t="s">
        <v>1486</v>
      </c>
      <c r="H389" s="69" t="s">
        <v>1487</v>
      </c>
      <c r="I389" s="70" t="s">
        <v>651</v>
      </c>
      <c r="J389" s="70" t="s">
        <v>652</v>
      </c>
      <c r="K389" s="71">
        <v>4</v>
      </c>
      <c r="L389" s="72">
        <v>522002962</v>
      </c>
      <c r="M389" s="72" t="s">
        <v>1488</v>
      </c>
      <c r="N389" s="73">
        <v>27.900000000000002</v>
      </c>
      <c r="O389" s="74" t="s">
        <v>279</v>
      </c>
      <c r="P389" s="73">
        <v>49.95</v>
      </c>
      <c r="Q389" s="80" t="s">
        <v>279</v>
      </c>
      <c r="W389" s="76" t="s">
        <v>1489</v>
      </c>
      <c r="X389" s="77">
        <v>27.900000000000002</v>
      </c>
      <c r="Y389" s="78">
        <v>0</v>
      </c>
      <c r="AA389" s="79">
        <v>27.900000000000002</v>
      </c>
      <c r="AB389" s="79">
        <v>27.900000000000002</v>
      </c>
      <c r="AC389" s="78">
        <v>0</v>
      </c>
      <c r="AE389" s="63" t="s">
        <v>219</v>
      </c>
      <c r="AF389" s="63">
        <v>0</v>
      </c>
      <c r="AG389" s="63">
        <v>0</v>
      </c>
      <c r="AK389" s="77">
        <v>0</v>
      </c>
      <c r="BA389" s="41" t="s">
        <v>230</v>
      </c>
      <c r="BB389" s="41" t="s">
        <v>15</v>
      </c>
      <c r="BC389" s="41" t="s">
        <v>232</v>
      </c>
      <c r="BD389" s="41" t="s">
        <v>1366</v>
      </c>
    </row>
    <row r="390" spans="1:56" ht="18" customHeight="1" outlineLevel="1">
      <c r="A390" s="19">
        <v>518</v>
      </c>
      <c r="B390" s="19">
        <v>520003375</v>
      </c>
      <c r="C390" s="19">
        <v>520003376</v>
      </c>
      <c r="D390" s="50" t="s">
        <v>13</v>
      </c>
      <c r="E390" s="19" t="s">
        <v>476</v>
      </c>
      <c r="F390" s="19" t="s">
        <v>1490</v>
      </c>
      <c r="G390" s="19" t="s">
        <v>1491</v>
      </c>
      <c r="H390" s="69" t="s">
        <v>1492</v>
      </c>
      <c r="I390" s="70" t="s">
        <v>651</v>
      </c>
      <c r="J390" s="70" t="s">
        <v>652</v>
      </c>
      <c r="K390" s="71">
        <v>4</v>
      </c>
      <c r="L390" s="72">
        <v>520003376</v>
      </c>
      <c r="M390" s="72" t="s">
        <v>1493</v>
      </c>
      <c r="N390" s="73">
        <v>27.900000000000002</v>
      </c>
      <c r="O390" s="74" t="s">
        <v>279</v>
      </c>
      <c r="P390" s="73">
        <v>49.95</v>
      </c>
      <c r="Q390" s="80" t="s">
        <v>279</v>
      </c>
      <c r="W390" s="76" t="s">
        <v>1494</v>
      </c>
      <c r="X390" s="77">
        <v>27.900000000000002</v>
      </c>
      <c r="Y390" s="78">
        <v>0</v>
      </c>
      <c r="AA390" s="79">
        <v>27.900000000000002</v>
      </c>
      <c r="AB390" s="79">
        <v>27.900000000000002</v>
      </c>
      <c r="AC390" s="78">
        <v>0</v>
      </c>
      <c r="AE390" s="63" t="s">
        <v>219</v>
      </c>
      <c r="AF390" s="63">
        <v>0</v>
      </c>
      <c r="AG390" s="63">
        <v>0</v>
      </c>
      <c r="AK390" s="77">
        <v>0</v>
      </c>
      <c r="BA390" s="41" t="s">
        <v>230</v>
      </c>
      <c r="BB390" s="41" t="s">
        <v>15</v>
      </c>
      <c r="BC390" s="41" t="s">
        <v>232</v>
      </c>
      <c r="BD390" s="41" t="s">
        <v>1366</v>
      </c>
    </row>
    <row r="391" spans="1:56" ht="18" customHeight="1" outlineLevel="1">
      <c r="A391" s="19">
        <v>519</v>
      </c>
      <c r="B391" s="19">
        <v>520004291</v>
      </c>
      <c r="C391" s="19">
        <v>520004292</v>
      </c>
      <c r="D391" s="50" t="s">
        <v>13</v>
      </c>
      <c r="E391" s="19" t="s">
        <v>476</v>
      </c>
      <c r="F391" s="19" t="s">
        <v>1495</v>
      </c>
      <c r="G391" s="19" t="s">
        <v>1496</v>
      </c>
      <c r="H391" s="69" t="s">
        <v>1497</v>
      </c>
      <c r="I391" s="70" t="s">
        <v>651</v>
      </c>
      <c r="J391" s="70" t="s">
        <v>652</v>
      </c>
      <c r="K391" s="71">
        <v>4</v>
      </c>
      <c r="L391" s="72">
        <v>520004292</v>
      </c>
      <c r="M391" s="72" t="s">
        <v>1498</v>
      </c>
      <c r="N391" s="73">
        <v>27.900000000000002</v>
      </c>
      <c r="O391" s="74" t="s">
        <v>279</v>
      </c>
      <c r="P391" s="73">
        <v>49.95</v>
      </c>
      <c r="Q391" s="80" t="s">
        <v>279</v>
      </c>
      <c r="W391" s="76" t="s">
        <v>1499</v>
      </c>
      <c r="X391" s="77">
        <v>27.900000000000002</v>
      </c>
      <c r="Y391" s="78">
        <v>0</v>
      </c>
      <c r="AA391" s="79">
        <v>27.900000000000002</v>
      </c>
      <c r="AB391" s="79">
        <v>27.900000000000002</v>
      </c>
      <c r="AC391" s="78">
        <v>0</v>
      </c>
      <c r="AE391" s="63" t="s">
        <v>219</v>
      </c>
      <c r="AF391" s="63">
        <v>0</v>
      </c>
      <c r="AG391" s="63">
        <v>0</v>
      </c>
      <c r="AK391" s="77">
        <v>0</v>
      </c>
      <c r="BA391" s="41" t="s">
        <v>230</v>
      </c>
      <c r="BB391" s="41" t="s">
        <v>15</v>
      </c>
      <c r="BC391" s="41" t="s">
        <v>232</v>
      </c>
      <c r="BD391" s="41" t="s">
        <v>1366</v>
      </c>
    </row>
    <row r="392" spans="1:56" ht="18" customHeight="1" outlineLevel="1">
      <c r="A392" s="19">
        <v>520</v>
      </c>
      <c r="B392" s="19">
        <v>521000707</v>
      </c>
      <c r="C392" s="19">
        <v>521000708</v>
      </c>
      <c r="D392" s="50" t="s">
        <v>13</v>
      </c>
      <c r="E392" s="19" t="s">
        <v>476</v>
      </c>
      <c r="F392" s="19" t="s">
        <v>1500</v>
      </c>
      <c r="G392" s="19" t="s">
        <v>1501</v>
      </c>
      <c r="H392" s="69" t="s">
        <v>1502</v>
      </c>
      <c r="I392" s="70" t="s">
        <v>651</v>
      </c>
      <c r="J392" s="70" t="s">
        <v>652</v>
      </c>
      <c r="K392" s="71">
        <v>4</v>
      </c>
      <c r="L392" s="72">
        <v>521000708</v>
      </c>
      <c r="M392" s="72" t="s">
        <v>1503</v>
      </c>
      <c r="N392" s="73">
        <v>27.900000000000002</v>
      </c>
      <c r="O392" s="74" t="s">
        <v>279</v>
      </c>
      <c r="P392" s="73">
        <v>49.95</v>
      </c>
      <c r="Q392" s="80" t="s">
        <v>279</v>
      </c>
      <c r="W392" s="76" t="s">
        <v>1504</v>
      </c>
      <c r="X392" s="77">
        <v>27.900000000000002</v>
      </c>
      <c r="Y392" s="78">
        <v>0</v>
      </c>
      <c r="AA392" s="79">
        <v>27.900000000000002</v>
      </c>
      <c r="AB392" s="79">
        <v>27.900000000000002</v>
      </c>
      <c r="AC392" s="78">
        <v>0</v>
      </c>
      <c r="AE392" s="63" t="s">
        <v>219</v>
      </c>
      <c r="AF392" s="63">
        <v>0</v>
      </c>
      <c r="AG392" s="63">
        <v>0</v>
      </c>
      <c r="AK392" s="77">
        <v>0</v>
      </c>
      <c r="BA392" s="41" t="s">
        <v>230</v>
      </c>
      <c r="BB392" s="41" t="s">
        <v>15</v>
      </c>
      <c r="BC392" s="41" t="s">
        <v>232</v>
      </c>
      <c r="BD392" s="41" t="s">
        <v>1366</v>
      </c>
    </row>
    <row r="393" spans="1:56" ht="18" customHeight="1" outlineLevel="1">
      <c r="A393" s="19">
        <v>521</v>
      </c>
      <c r="B393" s="19">
        <v>522004845</v>
      </c>
      <c r="C393" s="19">
        <v>522004846</v>
      </c>
      <c r="D393" s="50" t="s">
        <v>13</v>
      </c>
      <c r="E393" s="19" t="s">
        <v>476</v>
      </c>
      <c r="F393" s="19" t="s">
        <v>1505</v>
      </c>
      <c r="G393" s="19" t="s">
        <v>1506</v>
      </c>
      <c r="H393" s="69" t="s">
        <v>1507</v>
      </c>
      <c r="I393" s="70" t="s">
        <v>651</v>
      </c>
      <c r="J393" s="70" t="s">
        <v>652</v>
      </c>
      <c r="K393" s="71">
        <v>4</v>
      </c>
      <c r="L393" s="72">
        <v>522004846</v>
      </c>
      <c r="M393" s="72" t="s">
        <v>1508</v>
      </c>
      <c r="N393" s="73">
        <v>27.900000000000002</v>
      </c>
      <c r="O393" s="74" t="s">
        <v>279</v>
      </c>
      <c r="P393" s="73">
        <v>49.95</v>
      </c>
      <c r="Q393" s="80" t="s">
        <v>279</v>
      </c>
      <c r="W393" s="76" t="s">
        <v>1509</v>
      </c>
      <c r="X393" s="77">
        <v>27.900000000000002</v>
      </c>
      <c r="Y393" s="78">
        <v>0</v>
      </c>
      <c r="AA393" s="79">
        <v>27.900000000000002</v>
      </c>
      <c r="AB393" s="79">
        <v>27.900000000000002</v>
      </c>
      <c r="AC393" s="78">
        <v>0</v>
      </c>
      <c r="AE393" s="63" t="s">
        <v>219</v>
      </c>
      <c r="AF393" s="63">
        <v>0</v>
      </c>
      <c r="AG393" s="63">
        <v>0</v>
      </c>
      <c r="AK393" s="77">
        <v>0</v>
      </c>
      <c r="BA393" s="41" t="s">
        <v>230</v>
      </c>
      <c r="BB393" s="41" t="s">
        <v>15</v>
      </c>
      <c r="BC393" s="41" t="s">
        <v>232</v>
      </c>
      <c r="BD393" s="41" t="s">
        <v>1366</v>
      </c>
    </row>
    <row r="394" spans="1:56" ht="18" customHeight="1" outlineLevel="1">
      <c r="A394" s="19">
        <v>522</v>
      </c>
      <c r="B394" s="19">
        <v>521000713</v>
      </c>
      <c r="C394" s="19">
        <v>521000714</v>
      </c>
      <c r="D394" s="50" t="s">
        <v>13</v>
      </c>
      <c r="E394" s="19" t="s">
        <v>476</v>
      </c>
      <c r="F394" s="19" t="s">
        <v>1510</v>
      </c>
      <c r="G394" s="19" t="s">
        <v>1511</v>
      </c>
      <c r="H394" s="69" t="s">
        <v>1512</v>
      </c>
      <c r="I394" s="70" t="s">
        <v>651</v>
      </c>
      <c r="J394" s="70" t="s">
        <v>652</v>
      </c>
      <c r="K394" s="71">
        <v>4</v>
      </c>
      <c r="L394" s="72">
        <v>521000714</v>
      </c>
      <c r="M394" s="72" t="s">
        <v>1513</v>
      </c>
      <c r="N394" s="73">
        <v>27.900000000000002</v>
      </c>
      <c r="O394" s="74" t="s">
        <v>279</v>
      </c>
      <c r="P394" s="73">
        <v>49.95</v>
      </c>
      <c r="Q394" s="80" t="s">
        <v>279</v>
      </c>
      <c r="W394" s="76" t="s">
        <v>1514</v>
      </c>
      <c r="X394" s="77">
        <v>27.900000000000002</v>
      </c>
      <c r="Y394" s="78">
        <v>0</v>
      </c>
      <c r="AA394" s="79">
        <v>27.900000000000002</v>
      </c>
      <c r="AB394" s="79">
        <v>27.900000000000002</v>
      </c>
      <c r="AC394" s="78">
        <v>0</v>
      </c>
      <c r="AE394" s="63" t="s">
        <v>219</v>
      </c>
      <c r="AF394" s="63">
        <v>0</v>
      </c>
      <c r="AG394" s="63">
        <v>0</v>
      </c>
      <c r="AK394" s="77">
        <v>0</v>
      </c>
      <c r="BA394" s="41" t="s">
        <v>230</v>
      </c>
      <c r="BB394" s="41" t="s">
        <v>15</v>
      </c>
      <c r="BC394" s="41" t="s">
        <v>232</v>
      </c>
      <c r="BD394" s="41" t="s">
        <v>1366</v>
      </c>
    </row>
    <row r="395" spans="1:56" s="57" customFormat="1" ht="18" customHeight="1" outlineLevel="1">
      <c r="A395" s="49">
        <v>523</v>
      </c>
      <c r="B395" s="19">
        <v>520003371</v>
      </c>
      <c r="C395" s="19">
        <v>520003372</v>
      </c>
      <c r="D395" s="50" t="s">
        <v>13</v>
      </c>
      <c r="E395" s="19" t="s">
        <v>476</v>
      </c>
      <c r="F395" s="19" t="s">
        <v>1515</v>
      </c>
      <c r="G395" s="19" t="s">
        <v>1516</v>
      </c>
      <c r="H395" s="69" t="s">
        <v>1517</v>
      </c>
      <c r="I395" s="64" t="s">
        <v>651</v>
      </c>
      <c r="J395" s="70" t="s">
        <v>652</v>
      </c>
      <c r="K395" s="53">
        <v>4</v>
      </c>
      <c r="L395" s="20">
        <v>520003372</v>
      </c>
      <c r="M395" s="72" t="s">
        <v>1518</v>
      </c>
      <c r="N395" s="54">
        <v>27.900000000000002</v>
      </c>
      <c r="O395" s="56" t="s">
        <v>279</v>
      </c>
      <c r="P395" s="54">
        <v>49.95</v>
      </c>
      <c r="Q395" s="56" t="s">
        <v>279</v>
      </c>
      <c r="R395" s="27"/>
      <c r="S395" s="58"/>
      <c r="T395" s="51"/>
      <c r="U395" s="51"/>
      <c r="V395" s="51"/>
      <c r="W395" s="76" t="s">
        <v>1519</v>
      </c>
      <c r="X395" s="77">
        <v>27.900000000000002</v>
      </c>
      <c r="Y395" s="78">
        <v>0</v>
      </c>
      <c r="Z395" s="29"/>
      <c r="AA395" s="79">
        <v>27.900000000000002</v>
      </c>
      <c r="AB395" s="79">
        <v>27.900000000000002</v>
      </c>
      <c r="AC395" s="78">
        <v>0</v>
      </c>
      <c r="AD395" s="29"/>
      <c r="AE395" s="63" t="s">
        <v>219</v>
      </c>
      <c r="AF395" s="63">
        <v>0</v>
      </c>
      <c r="AG395" s="63">
        <v>0</v>
      </c>
      <c r="AH395" s="29"/>
      <c r="AI395" s="27"/>
      <c r="AJ395" s="29"/>
      <c r="AK395" s="77">
        <v>0</v>
      </c>
      <c r="BA395" s="41" t="s">
        <v>230</v>
      </c>
      <c r="BB395" s="41" t="s">
        <v>15</v>
      </c>
      <c r="BC395" s="41" t="s">
        <v>232</v>
      </c>
      <c r="BD395" s="41" t="s">
        <v>1366</v>
      </c>
    </row>
    <row r="396" spans="1:56" ht="18" customHeight="1" outlineLevel="1">
      <c r="A396" s="19">
        <v>524</v>
      </c>
      <c r="B396" s="19">
        <v>522002329</v>
      </c>
      <c r="C396" s="19">
        <v>522002330</v>
      </c>
      <c r="D396" s="50" t="s">
        <v>529</v>
      </c>
      <c r="E396" s="19" t="s">
        <v>476</v>
      </c>
      <c r="F396" s="19" t="s">
        <v>670</v>
      </c>
      <c r="G396" s="19" t="s">
        <v>671</v>
      </c>
      <c r="H396" s="69" t="s">
        <v>672</v>
      </c>
      <c r="I396" s="70" t="s">
        <v>536</v>
      </c>
      <c r="J396" s="70" t="s">
        <v>537</v>
      </c>
      <c r="K396" s="71">
        <v>4</v>
      </c>
      <c r="L396" s="72">
        <v>522002330</v>
      </c>
      <c r="M396" s="72" t="s">
        <v>673</v>
      </c>
      <c r="N396" s="73">
        <v>27.900000000000002</v>
      </c>
      <c r="O396" s="74" t="s">
        <v>279</v>
      </c>
      <c r="P396" s="73">
        <v>49.95</v>
      </c>
      <c r="Q396" s="80" t="s">
        <v>279</v>
      </c>
      <c r="W396" s="76" t="s">
        <v>674</v>
      </c>
      <c r="X396" s="77">
        <v>27.900000000000002</v>
      </c>
      <c r="Y396" s="78">
        <v>0</v>
      </c>
      <c r="AA396" s="79">
        <v>27.900000000000002</v>
      </c>
      <c r="AB396" s="79">
        <v>27.900000000000002</v>
      </c>
      <c r="AC396" s="78">
        <v>0</v>
      </c>
      <c r="AE396" s="63" t="s">
        <v>219</v>
      </c>
      <c r="AF396" s="63">
        <v>0</v>
      </c>
      <c r="AG396" s="63">
        <v>0</v>
      </c>
      <c r="AK396" s="77">
        <v>0</v>
      </c>
      <c r="BA396" s="41" t="s">
        <v>230</v>
      </c>
      <c r="BB396" s="41" t="s">
        <v>15</v>
      </c>
      <c r="BC396" s="41" t="s">
        <v>232</v>
      </c>
      <c r="BD396" s="41" t="s">
        <v>1366</v>
      </c>
    </row>
    <row r="397" spans="1:56" ht="18" customHeight="1" outlineLevel="1">
      <c r="A397" s="19">
        <v>525</v>
      </c>
      <c r="B397" s="19">
        <v>522002335</v>
      </c>
      <c r="C397" s="19">
        <v>522002336</v>
      </c>
      <c r="D397" s="50" t="s">
        <v>529</v>
      </c>
      <c r="E397" s="19" t="s">
        <v>476</v>
      </c>
      <c r="F397" s="19" t="s">
        <v>670</v>
      </c>
      <c r="G397" s="19" t="s">
        <v>671</v>
      </c>
      <c r="H397" s="69" t="s">
        <v>675</v>
      </c>
      <c r="I397" s="70" t="s">
        <v>676</v>
      </c>
      <c r="J397" s="70" t="s">
        <v>677</v>
      </c>
      <c r="K397" s="71">
        <v>4</v>
      </c>
      <c r="L397" s="72">
        <v>522002336</v>
      </c>
      <c r="M397" s="72" t="s">
        <v>678</v>
      </c>
      <c r="N397" s="73">
        <v>27.900000000000002</v>
      </c>
      <c r="O397" s="74" t="s">
        <v>279</v>
      </c>
      <c r="P397" s="73">
        <v>49.95</v>
      </c>
      <c r="Q397" s="80" t="s">
        <v>279</v>
      </c>
      <c r="W397" s="76" t="s">
        <v>679</v>
      </c>
      <c r="X397" s="77">
        <v>27.900000000000002</v>
      </c>
      <c r="Y397" s="78">
        <v>0</v>
      </c>
      <c r="AA397" s="79">
        <v>27.900000000000002</v>
      </c>
      <c r="AB397" s="79">
        <v>27.900000000000002</v>
      </c>
      <c r="AC397" s="78">
        <v>0</v>
      </c>
      <c r="AE397" s="63" t="s">
        <v>219</v>
      </c>
      <c r="AF397" s="63">
        <v>0</v>
      </c>
      <c r="AG397" s="63">
        <v>0</v>
      </c>
      <c r="AK397" s="77">
        <v>0</v>
      </c>
      <c r="BA397" s="41" t="s">
        <v>230</v>
      </c>
      <c r="BB397" s="41" t="s">
        <v>15</v>
      </c>
      <c r="BC397" s="41" t="s">
        <v>232</v>
      </c>
      <c r="BD397" s="41" t="s">
        <v>1366</v>
      </c>
    </row>
    <row r="398" spans="1:56" ht="18" customHeight="1" outlineLevel="1">
      <c r="A398" s="19">
        <v>526</v>
      </c>
      <c r="B398" s="19">
        <v>522002341</v>
      </c>
      <c r="C398" s="19">
        <v>522002342</v>
      </c>
      <c r="D398" s="50" t="s">
        <v>529</v>
      </c>
      <c r="E398" s="19" t="s">
        <v>476</v>
      </c>
      <c r="F398" s="19" t="s">
        <v>670</v>
      </c>
      <c r="G398" s="19" t="s">
        <v>671</v>
      </c>
      <c r="H398" s="69" t="s">
        <v>680</v>
      </c>
      <c r="I398" s="70" t="s">
        <v>681</v>
      </c>
      <c r="J398" s="70" t="s">
        <v>344</v>
      </c>
      <c r="K398" s="71">
        <v>4</v>
      </c>
      <c r="L398" s="72">
        <v>522002342</v>
      </c>
      <c r="M398" s="72" t="s">
        <v>682</v>
      </c>
      <c r="N398" s="73">
        <v>27.900000000000002</v>
      </c>
      <c r="O398" s="74" t="s">
        <v>279</v>
      </c>
      <c r="P398" s="73">
        <v>49.95</v>
      </c>
      <c r="Q398" s="80" t="s">
        <v>279</v>
      </c>
      <c r="W398" s="76" t="s">
        <v>683</v>
      </c>
      <c r="X398" s="77">
        <v>27.900000000000002</v>
      </c>
      <c r="Y398" s="78">
        <v>0</v>
      </c>
      <c r="AA398" s="79">
        <v>27.900000000000002</v>
      </c>
      <c r="AB398" s="79">
        <v>27.900000000000002</v>
      </c>
      <c r="AC398" s="78">
        <v>0</v>
      </c>
      <c r="AE398" s="63" t="s">
        <v>219</v>
      </c>
      <c r="AF398" s="63">
        <v>0</v>
      </c>
      <c r="AG398" s="63">
        <v>0</v>
      </c>
      <c r="AK398" s="77">
        <v>0</v>
      </c>
      <c r="BA398" s="41" t="s">
        <v>230</v>
      </c>
      <c r="BB398" s="41" t="s">
        <v>15</v>
      </c>
      <c r="BC398" s="41" t="s">
        <v>232</v>
      </c>
      <c r="BD398" s="41" t="s">
        <v>1366</v>
      </c>
    </row>
    <row r="399" spans="1:56" ht="27" customHeight="1" outlineLevel="1">
      <c r="A399" s="19">
        <v>527</v>
      </c>
      <c r="B399" s="19" t="s">
        <v>219</v>
      </c>
      <c r="C399" s="19" t="s">
        <v>219</v>
      </c>
      <c r="D399" s="50" t="s">
        <v>219</v>
      </c>
      <c r="E399" s="19" t="s">
        <v>219</v>
      </c>
      <c r="F399" s="19" t="s">
        <v>219</v>
      </c>
      <c r="G399" s="19" t="s">
        <v>219</v>
      </c>
      <c r="H399" s="81" t="s">
        <v>219</v>
      </c>
      <c r="I399" s="70" t="s">
        <v>219</v>
      </c>
      <c r="J399" s="70" t="s">
        <v>219</v>
      </c>
      <c r="K399" s="71" t="s">
        <v>219</v>
      </c>
      <c r="L399" s="72" t="s">
        <v>219</v>
      </c>
      <c r="M399" s="72" t="s">
        <v>219</v>
      </c>
      <c r="N399" s="73" t="s">
        <v>219</v>
      </c>
      <c r="O399" s="74" t="s">
        <v>219</v>
      </c>
      <c r="P399" s="73" t="s">
        <v>219</v>
      </c>
      <c r="Q399" s="80" t="s">
        <v>219</v>
      </c>
      <c r="W399" s="76" t="s">
        <v>219</v>
      </c>
      <c r="X399" s="77" t="s">
        <v>219</v>
      </c>
      <c r="Y399" s="78">
        <v>0</v>
      </c>
      <c r="AA399" s="79" t="s">
        <v>219</v>
      </c>
      <c r="AB399" s="79" t="s">
        <v>219</v>
      </c>
      <c r="AC399" s="78">
        <v>0</v>
      </c>
      <c r="AE399" s="63" t="s">
        <v>230</v>
      </c>
      <c r="AF399" s="63">
        <v>0</v>
      </c>
      <c r="AG399" s="63" t="s">
        <v>219</v>
      </c>
      <c r="AK399" s="77">
        <v>0</v>
      </c>
      <c r="BA399" s="41" t="s">
        <v>230</v>
      </c>
      <c r="BB399" s="41" t="s">
        <v>15</v>
      </c>
      <c r="BC399" s="41" t="s">
        <v>232</v>
      </c>
      <c r="BD399" s="41" t="s">
        <v>1366</v>
      </c>
    </row>
    <row r="400" spans="1:56" ht="27" customHeight="1" outlineLevel="1">
      <c r="A400" s="19">
        <v>528</v>
      </c>
      <c r="B400" s="19" t="s">
        <v>219</v>
      </c>
      <c r="C400" s="19" t="s">
        <v>219</v>
      </c>
      <c r="D400" s="50" t="s">
        <v>684</v>
      </c>
      <c r="E400" s="19" t="s">
        <v>219</v>
      </c>
      <c r="F400" s="19" t="s">
        <v>219</v>
      </c>
      <c r="G400" s="19" t="s">
        <v>219</v>
      </c>
      <c r="H400" s="81" t="s">
        <v>684</v>
      </c>
      <c r="I400" s="70" t="s">
        <v>219</v>
      </c>
      <c r="J400" s="70" t="s">
        <v>219</v>
      </c>
      <c r="K400" s="71" t="s">
        <v>219</v>
      </c>
      <c r="L400" s="72" t="s">
        <v>219</v>
      </c>
      <c r="M400" s="72" t="s">
        <v>219</v>
      </c>
      <c r="N400" s="73" t="s">
        <v>219</v>
      </c>
      <c r="O400" s="74" t="s">
        <v>219</v>
      </c>
      <c r="P400" s="73" t="s">
        <v>219</v>
      </c>
      <c r="Q400" s="80" t="s">
        <v>219</v>
      </c>
      <c r="W400" s="76" t="s">
        <v>219</v>
      </c>
      <c r="X400" s="77" t="s">
        <v>219</v>
      </c>
      <c r="Y400" s="78">
        <v>0</v>
      </c>
      <c r="AA400" s="79" t="s">
        <v>219</v>
      </c>
      <c r="AB400" s="79" t="s">
        <v>219</v>
      </c>
      <c r="AC400" s="78">
        <v>0</v>
      </c>
      <c r="AE400" s="63" t="s">
        <v>230</v>
      </c>
      <c r="AF400" s="63">
        <v>1</v>
      </c>
      <c r="AG400" s="63" t="s">
        <v>219</v>
      </c>
      <c r="AK400" s="77">
        <v>0</v>
      </c>
      <c r="BA400" s="41" t="s">
        <v>230</v>
      </c>
      <c r="BB400" s="41" t="s">
        <v>15</v>
      </c>
      <c r="BC400" s="41" t="s">
        <v>232</v>
      </c>
      <c r="BD400" s="41" t="s">
        <v>1520</v>
      </c>
    </row>
    <row r="401" spans="1:56" ht="18" customHeight="1" outlineLevel="1">
      <c r="A401" s="19">
        <v>529</v>
      </c>
      <c r="B401" s="19">
        <v>522001937</v>
      </c>
      <c r="C401" s="19">
        <v>522001937</v>
      </c>
      <c r="D401" s="50" t="s">
        <v>13</v>
      </c>
      <c r="E401" s="19" t="s">
        <v>1521</v>
      </c>
      <c r="F401" s="19" t="s">
        <v>1522</v>
      </c>
      <c r="G401" s="19" t="s">
        <v>1523</v>
      </c>
      <c r="H401" s="69" t="s">
        <v>1524</v>
      </c>
      <c r="I401" s="70" t="s">
        <v>543</v>
      </c>
      <c r="J401" s="70" t="s">
        <v>289</v>
      </c>
      <c r="K401" s="71">
        <v>1</v>
      </c>
      <c r="L401" s="72">
        <v>522001937</v>
      </c>
      <c r="M401" s="72" t="s">
        <v>1525</v>
      </c>
      <c r="N401" s="73">
        <v>118</v>
      </c>
      <c r="O401" s="74" t="s">
        <v>279</v>
      </c>
      <c r="P401" s="73">
        <v>199.95</v>
      </c>
      <c r="Q401" s="80" t="s">
        <v>279</v>
      </c>
      <c r="W401" s="76" t="s">
        <v>1526</v>
      </c>
      <c r="X401" s="77">
        <v>118</v>
      </c>
      <c r="Y401" s="78">
        <v>0</v>
      </c>
      <c r="AA401" s="79">
        <v>118</v>
      </c>
      <c r="AB401" s="79">
        <v>118</v>
      </c>
      <c r="AC401" s="78">
        <v>0</v>
      </c>
      <c r="AE401" s="63" t="s">
        <v>219</v>
      </c>
      <c r="AF401" s="63">
        <v>1</v>
      </c>
      <c r="AG401" s="63">
        <v>1</v>
      </c>
      <c r="AK401" s="77">
        <v>0</v>
      </c>
      <c r="BA401" s="41" t="s">
        <v>230</v>
      </c>
      <c r="BB401" s="41" t="s">
        <v>15</v>
      </c>
      <c r="BC401" s="41" t="s">
        <v>232</v>
      </c>
      <c r="BD401" s="41" t="s">
        <v>1520</v>
      </c>
    </row>
    <row r="402" spans="1:56" s="57" customFormat="1" ht="18" customHeight="1" outlineLevel="1">
      <c r="A402" s="49">
        <v>530</v>
      </c>
      <c r="B402" s="19">
        <v>522001945</v>
      </c>
      <c r="C402" s="19">
        <v>522001945</v>
      </c>
      <c r="D402" s="50" t="s">
        <v>13</v>
      </c>
      <c r="E402" s="19" t="s">
        <v>1521</v>
      </c>
      <c r="F402" s="19" t="s">
        <v>1522</v>
      </c>
      <c r="G402" s="19" t="s">
        <v>1523</v>
      </c>
      <c r="H402" s="69" t="s">
        <v>1527</v>
      </c>
      <c r="I402" s="64" t="s">
        <v>547</v>
      </c>
      <c r="J402" s="70" t="s">
        <v>480</v>
      </c>
      <c r="K402" s="53">
        <v>1</v>
      </c>
      <c r="L402" s="20">
        <v>522001945</v>
      </c>
      <c r="M402" s="72" t="s">
        <v>1528</v>
      </c>
      <c r="N402" s="54">
        <v>118</v>
      </c>
      <c r="O402" s="56" t="s">
        <v>279</v>
      </c>
      <c r="P402" s="54">
        <v>199.95</v>
      </c>
      <c r="Q402" s="56" t="s">
        <v>279</v>
      </c>
      <c r="R402" s="27"/>
      <c r="S402" s="58"/>
      <c r="T402" s="51"/>
      <c r="U402" s="51"/>
      <c r="V402" s="51"/>
      <c r="W402" s="76" t="s">
        <v>1529</v>
      </c>
      <c r="X402" s="77">
        <v>118</v>
      </c>
      <c r="Y402" s="78">
        <v>0</v>
      </c>
      <c r="Z402" s="29"/>
      <c r="AA402" s="79">
        <v>118</v>
      </c>
      <c r="AB402" s="79">
        <v>118</v>
      </c>
      <c r="AC402" s="78">
        <v>0</v>
      </c>
      <c r="AD402" s="29"/>
      <c r="AE402" s="63" t="s">
        <v>219</v>
      </c>
      <c r="AF402" s="63">
        <v>1</v>
      </c>
      <c r="AG402" s="63">
        <v>1</v>
      </c>
      <c r="AH402" s="29"/>
      <c r="AI402" s="27"/>
      <c r="AJ402" s="29"/>
      <c r="AK402" s="77">
        <v>0</v>
      </c>
      <c r="BA402" s="41" t="s">
        <v>230</v>
      </c>
      <c r="BB402" s="41" t="s">
        <v>15</v>
      </c>
      <c r="BC402" s="41" t="s">
        <v>232</v>
      </c>
      <c r="BD402" s="41" t="s">
        <v>1520</v>
      </c>
    </row>
    <row r="403" spans="1:56" ht="18" customHeight="1" outlineLevel="1">
      <c r="A403" s="19">
        <v>531</v>
      </c>
      <c r="B403" s="19">
        <v>522001949</v>
      </c>
      <c r="C403" s="19">
        <v>522001949</v>
      </c>
      <c r="D403" s="50" t="s">
        <v>13</v>
      </c>
      <c r="E403" s="19" t="s">
        <v>1521</v>
      </c>
      <c r="F403" s="19" t="s">
        <v>1522</v>
      </c>
      <c r="G403" s="19" t="s">
        <v>1523</v>
      </c>
      <c r="H403" s="69" t="s">
        <v>1530</v>
      </c>
      <c r="I403" s="70" t="s">
        <v>551</v>
      </c>
      <c r="J403" s="70" t="s">
        <v>521</v>
      </c>
      <c r="K403" s="71">
        <v>1</v>
      </c>
      <c r="L403" s="72">
        <v>522001949</v>
      </c>
      <c r="M403" s="72" t="s">
        <v>1531</v>
      </c>
      <c r="N403" s="73">
        <v>118</v>
      </c>
      <c r="O403" s="74" t="s">
        <v>279</v>
      </c>
      <c r="P403" s="73">
        <v>199.95</v>
      </c>
      <c r="Q403" s="80" t="s">
        <v>279</v>
      </c>
      <c r="W403" s="76" t="s">
        <v>1532</v>
      </c>
      <c r="X403" s="77">
        <v>118</v>
      </c>
      <c r="Y403" s="78">
        <v>0</v>
      </c>
      <c r="AA403" s="79">
        <v>118</v>
      </c>
      <c r="AB403" s="79">
        <v>118</v>
      </c>
      <c r="AC403" s="78">
        <v>0</v>
      </c>
      <c r="AE403" s="63" t="s">
        <v>219</v>
      </c>
      <c r="AF403" s="63">
        <v>1</v>
      </c>
      <c r="AG403" s="63">
        <v>1</v>
      </c>
      <c r="AK403" s="77">
        <v>0</v>
      </c>
      <c r="BA403" s="41" t="s">
        <v>230</v>
      </c>
      <c r="BB403" s="41" t="s">
        <v>15</v>
      </c>
      <c r="BC403" s="41" t="s">
        <v>232</v>
      </c>
      <c r="BD403" s="41" t="s">
        <v>1520</v>
      </c>
    </row>
    <row r="404" spans="1:56" ht="18" customHeight="1" outlineLevel="1">
      <c r="A404" s="19">
        <v>532</v>
      </c>
      <c r="B404" s="19">
        <v>522001953</v>
      </c>
      <c r="C404" s="19">
        <v>522001953</v>
      </c>
      <c r="D404" s="50" t="s">
        <v>13</v>
      </c>
      <c r="E404" s="19" t="s">
        <v>1521</v>
      </c>
      <c r="F404" s="19" t="s">
        <v>1522</v>
      </c>
      <c r="G404" s="19" t="s">
        <v>1523</v>
      </c>
      <c r="H404" s="69" t="s">
        <v>1533</v>
      </c>
      <c r="I404" s="70" t="s">
        <v>578</v>
      </c>
      <c r="J404" s="70" t="s">
        <v>579</v>
      </c>
      <c r="K404" s="71">
        <v>1</v>
      </c>
      <c r="L404" s="72">
        <v>522001953</v>
      </c>
      <c r="M404" s="72" t="s">
        <v>1534</v>
      </c>
      <c r="N404" s="73">
        <v>118</v>
      </c>
      <c r="O404" s="74" t="s">
        <v>279</v>
      </c>
      <c r="P404" s="73">
        <v>199.95</v>
      </c>
      <c r="Q404" s="80" t="s">
        <v>279</v>
      </c>
      <c r="W404" s="76" t="s">
        <v>1535</v>
      </c>
      <c r="X404" s="77">
        <v>118</v>
      </c>
      <c r="Y404" s="78">
        <v>0</v>
      </c>
      <c r="AA404" s="79">
        <v>118</v>
      </c>
      <c r="AB404" s="79">
        <v>118</v>
      </c>
      <c r="AC404" s="78">
        <v>0</v>
      </c>
      <c r="AE404" s="63" t="s">
        <v>219</v>
      </c>
      <c r="AF404" s="63">
        <v>1</v>
      </c>
      <c r="AG404" s="63">
        <v>1</v>
      </c>
      <c r="AK404" s="77">
        <v>0</v>
      </c>
      <c r="BA404" s="41" t="s">
        <v>230</v>
      </c>
      <c r="BB404" s="41" t="s">
        <v>15</v>
      </c>
      <c r="BC404" s="41" t="s">
        <v>232</v>
      </c>
      <c r="BD404" s="41" t="s">
        <v>1520</v>
      </c>
    </row>
    <row r="405" spans="1:56" ht="18" customHeight="1" outlineLevel="1">
      <c r="A405" s="19">
        <v>533</v>
      </c>
      <c r="B405" s="19">
        <v>522001957</v>
      </c>
      <c r="C405" s="19">
        <v>522001957</v>
      </c>
      <c r="D405" s="50" t="s">
        <v>13</v>
      </c>
      <c r="E405" s="19" t="s">
        <v>1521</v>
      </c>
      <c r="F405" s="19" t="s">
        <v>1522</v>
      </c>
      <c r="G405" s="19" t="s">
        <v>1523</v>
      </c>
      <c r="H405" s="69" t="s">
        <v>1536</v>
      </c>
      <c r="I405" s="70" t="s">
        <v>560</v>
      </c>
      <c r="J405" s="70" t="s">
        <v>329</v>
      </c>
      <c r="K405" s="71">
        <v>1</v>
      </c>
      <c r="L405" s="72">
        <v>522001957</v>
      </c>
      <c r="M405" s="72" t="s">
        <v>1537</v>
      </c>
      <c r="N405" s="73">
        <v>118</v>
      </c>
      <c r="O405" s="74" t="s">
        <v>279</v>
      </c>
      <c r="P405" s="73">
        <v>199.95</v>
      </c>
      <c r="Q405" s="80" t="s">
        <v>279</v>
      </c>
      <c r="W405" s="76" t="s">
        <v>1538</v>
      </c>
      <c r="X405" s="77">
        <v>118</v>
      </c>
      <c r="Y405" s="78">
        <v>0</v>
      </c>
      <c r="AA405" s="79">
        <v>118</v>
      </c>
      <c r="AB405" s="79">
        <v>118</v>
      </c>
      <c r="AC405" s="78">
        <v>0</v>
      </c>
      <c r="AE405" s="63" t="s">
        <v>219</v>
      </c>
      <c r="AF405" s="63">
        <v>1</v>
      </c>
      <c r="AG405" s="63">
        <v>1</v>
      </c>
      <c r="AK405" s="77">
        <v>0</v>
      </c>
      <c r="BA405" s="41" t="s">
        <v>230</v>
      </c>
      <c r="BB405" s="41" t="s">
        <v>15</v>
      </c>
      <c r="BC405" s="41" t="s">
        <v>232</v>
      </c>
      <c r="BD405" s="41" t="s">
        <v>1520</v>
      </c>
    </row>
    <row r="406" spans="1:56" ht="18" customHeight="1" outlineLevel="1">
      <c r="A406" s="19">
        <v>534</v>
      </c>
      <c r="B406" s="19">
        <v>522001961</v>
      </c>
      <c r="C406" s="19">
        <v>522001961</v>
      </c>
      <c r="D406" s="50" t="s">
        <v>13</v>
      </c>
      <c r="E406" s="19" t="s">
        <v>1521</v>
      </c>
      <c r="F406" s="19" t="s">
        <v>1522</v>
      </c>
      <c r="G406" s="19" t="s">
        <v>1523</v>
      </c>
      <c r="H406" s="69" t="s">
        <v>1539</v>
      </c>
      <c r="I406" s="70" t="s">
        <v>573</v>
      </c>
      <c r="J406" s="70" t="s">
        <v>574</v>
      </c>
      <c r="K406" s="71">
        <v>1</v>
      </c>
      <c r="L406" s="72">
        <v>522001961</v>
      </c>
      <c r="M406" s="72" t="s">
        <v>1540</v>
      </c>
      <c r="N406" s="73">
        <v>118</v>
      </c>
      <c r="O406" s="74" t="s">
        <v>279</v>
      </c>
      <c r="P406" s="73">
        <v>199.95</v>
      </c>
      <c r="Q406" s="80" t="s">
        <v>279</v>
      </c>
      <c r="W406" s="76" t="s">
        <v>1541</v>
      </c>
      <c r="X406" s="77">
        <v>118</v>
      </c>
      <c r="Y406" s="78">
        <v>0</v>
      </c>
      <c r="AA406" s="79">
        <v>118</v>
      </c>
      <c r="AB406" s="79">
        <v>118</v>
      </c>
      <c r="AC406" s="78">
        <v>0</v>
      </c>
      <c r="AE406" s="63" t="s">
        <v>219</v>
      </c>
      <c r="AF406" s="63">
        <v>1</v>
      </c>
      <c r="AG406" s="63">
        <v>1</v>
      </c>
      <c r="AK406" s="77">
        <v>0</v>
      </c>
      <c r="BA406" s="41" t="s">
        <v>230</v>
      </c>
      <c r="BB406" s="41" t="s">
        <v>15</v>
      </c>
      <c r="BC406" s="41" t="s">
        <v>232</v>
      </c>
      <c r="BD406" s="41" t="s">
        <v>1520</v>
      </c>
    </row>
    <row r="407" spans="1:56" ht="18" customHeight="1" outlineLevel="1">
      <c r="A407" s="19">
        <v>535</v>
      </c>
      <c r="B407" s="19">
        <v>522001965</v>
      </c>
      <c r="C407" s="19">
        <v>522001965</v>
      </c>
      <c r="D407" s="50" t="s">
        <v>13</v>
      </c>
      <c r="E407" s="19" t="s">
        <v>1521</v>
      </c>
      <c r="F407" s="19" t="s">
        <v>1522</v>
      </c>
      <c r="G407" s="19" t="s">
        <v>1523</v>
      </c>
      <c r="H407" s="69" t="s">
        <v>1542</v>
      </c>
      <c r="I407" s="70" t="s">
        <v>568</v>
      </c>
      <c r="J407" s="70" t="s">
        <v>569</v>
      </c>
      <c r="K407" s="71">
        <v>1</v>
      </c>
      <c r="L407" s="72">
        <v>522001965</v>
      </c>
      <c r="M407" s="72" t="s">
        <v>1543</v>
      </c>
      <c r="N407" s="73">
        <v>118</v>
      </c>
      <c r="O407" s="74" t="s">
        <v>279</v>
      </c>
      <c r="P407" s="73">
        <v>199.95</v>
      </c>
      <c r="Q407" s="80" t="s">
        <v>279</v>
      </c>
      <c r="W407" s="76" t="s">
        <v>1544</v>
      </c>
      <c r="X407" s="77">
        <v>118</v>
      </c>
      <c r="Y407" s="78">
        <v>0</v>
      </c>
      <c r="AA407" s="79">
        <v>118</v>
      </c>
      <c r="AB407" s="79">
        <v>118</v>
      </c>
      <c r="AC407" s="78">
        <v>0</v>
      </c>
      <c r="AE407" s="63" t="s">
        <v>219</v>
      </c>
      <c r="AF407" s="63">
        <v>1</v>
      </c>
      <c r="AG407" s="63">
        <v>1</v>
      </c>
      <c r="AK407" s="77">
        <v>0</v>
      </c>
      <c r="BA407" s="41" t="s">
        <v>230</v>
      </c>
      <c r="BB407" s="41" t="s">
        <v>15</v>
      </c>
      <c r="BC407" s="41" t="s">
        <v>232</v>
      </c>
      <c r="BD407" s="41" t="s">
        <v>1520</v>
      </c>
    </row>
    <row r="408" spans="1:56" ht="27" customHeight="1" outlineLevel="1">
      <c r="A408" s="19">
        <v>536</v>
      </c>
      <c r="B408" s="19" t="s">
        <v>219</v>
      </c>
      <c r="C408" s="19" t="s">
        <v>219</v>
      </c>
      <c r="D408" s="50" t="s">
        <v>219</v>
      </c>
      <c r="E408" s="19" t="s">
        <v>219</v>
      </c>
      <c r="F408" s="19" t="s">
        <v>219</v>
      </c>
      <c r="G408" s="19" t="s">
        <v>219</v>
      </c>
      <c r="H408" s="81" t="s">
        <v>219</v>
      </c>
      <c r="I408" s="70" t="s">
        <v>219</v>
      </c>
      <c r="J408" s="70" t="s">
        <v>219</v>
      </c>
      <c r="K408" s="71" t="s">
        <v>219</v>
      </c>
      <c r="L408" s="72" t="s">
        <v>219</v>
      </c>
      <c r="M408" s="72" t="s">
        <v>219</v>
      </c>
      <c r="N408" s="73" t="s">
        <v>219</v>
      </c>
      <c r="O408" s="74" t="s">
        <v>219</v>
      </c>
      <c r="P408" s="73" t="s">
        <v>219</v>
      </c>
      <c r="Q408" s="80" t="s">
        <v>219</v>
      </c>
      <c r="W408" s="76" t="s">
        <v>219</v>
      </c>
      <c r="X408" s="77" t="s">
        <v>219</v>
      </c>
      <c r="Y408" s="78">
        <v>0</v>
      </c>
      <c r="AA408" s="79" t="s">
        <v>219</v>
      </c>
      <c r="AB408" s="79" t="s">
        <v>219</v>
      </c>
      <c r="AC408" s="78">
        <v>0</v>
      </c>
      <c r="AE408" s="63" t="s">
        <v>230</v>
      </c>
      <c r="AF408" s="63">
        <v>0</v>
      </c>
      <c r="AG408" s="63" t="s">
        <v>219</v>
      </c>
      <c r="AK408" s="77">
        <v>0</v>
      </c>
      <c r="BA408" s="41" t="s">
        <v>230</v>
      </c>
      <c r="BB408" s="41" t="s">
        <v>15</v>
      </c>
      <c r="BC408" s="41" t="s">
        <v>232</v>
      </c>
      <c r="BD408" s="41" t="s">
        <v>1520</v>
      </c>
    </row>
    <row r="409" spans="1:56" s="57" customFormat="1" ht="18" customHeight="1" outlineLevel="1">
      <c r="A409" s="49">
        <v>537</v>
      </c>
      <c r="B409" s="19">
        <v>523001143</v>
      </c>
      <c r="C409" s="19">
        <v>523001144</v>
      </c>
      <c r="D409" s="50" t="s">
        <v>13</v>
      </c>
      <c r="E409" s="19" t="s">
        <v>686</v>
      </c>
      <c r="F409" s="19" t="s">
        <v>1545</v>
      </c>
      <c r="G409" s="19" t="s">
        <v>1546</v>
      </c>
      <c r="H409" s="69" t="s">
        <v>1547</v>
      </c>
      <c r="I409" s="64" t="s">
        <v>543</v>
      </c>
      <c r="J409" s="70" t="s">
        <v>289</v>
      </c>
      <c r="K409" s="53">
        <v>2</v>
      </c>
      <c r="L409" s="20">
        <v>523001144</v>
      </c>
      <c r="M409" s="72" t="s">
        <v>1548</v>
      </c>
      <c r="N409" s="54">
        <v>135.69999999999999</v>
      </c>
      <c r="O409" s="56" t="s">
        <v>279</v>
      </c>
      <c r="P409" s="54">
        <v>229.95</v>
      </c>
      <c r="Q409" s="56" t="s">
        <v>279</v>
      </c>
      <c r="R409" s="27"/>
      <c r="S409" s="58"/>
      <c r="T409" s="51"/>
      <c r="U409" s="51"/>
      <c r="V409" s="51"/>
      <c r="W409" s="76" t="s">
        <v>1549</v>
      </c>
      <c r="X409" s="77">
        <v>135.69999999999999</v>
      </c>
      <c r="Y409" s="78">
        <v>0</v>
      </c>
      <c r="Z409" s="29"/>
      <c r="AA409" s="79">
        <v>135.69999999999999</v>
      </c>
      <c r="AB409" s="79">
        <v>135.69999999999999</v>
      </c>
      <c r="AC409" s="78">
        <v>0</v>
      </c>
      <c r="AD409" s="29"/>
      <c r="AE409" s="63" t="s">
        <v>219</v>
      </c>
      <c r="AF409" s="63">
        <v>0</v>
      </c>
      <c r="AG409" s="63">
        <v>0</v>
      </c>
      <c r="AH409" s="29"/>
      <c r="AI409" s="27"/>
      <c r="AJ409" s="29"/>
      <c r="AK409" s="77">
        <v>0</v>
      </c>
      <c r="BA409" s="41" t="s">
        <v>230</v>
      </c>
      <c r="BB409" s="41" t="s">
        <v>15</v>
      </c>
      <c r="BC409" s="41" t="s">
        <v>232</v>
      </c>
      <c r="BD409" s="41" t="s">
        <v>1520</v>
      </c>
    </row>
    <row r="410" spans="1:56" s="57" customFormat="1" ht="18" customHeight="1" outlineLevel="1">
      <c r="A410" s="49">
        <v>538</v>
      </c>
      <c r="B410" s="19">
        <v>523001147</v>
      </c>
      <c r="C410" s="19">
        <v>523001148</v>
      </c>
      <c r="D410" s="50" t="s">
        <v>13</v>
      </c>
      <c r="E410" s="19" t="s">
        <v>686</v>
      </c>
      <c r="F410" s="19" t="s">
        <v>1545</v>
      </c>
      <c r="G410" s="19" t="s">
        <v>1546</v>
      </c>
      <c r="H410" s="69" t="s">
        <v>1550</v>
      </c>
      <c r="I410" s="64" t="s">
        <v>547</v>
      </c>
      <c r="J410" s="70" t="s">
        <v>480</v>
      </c>
      <c r="K410" s="53">
        <v>2</v>
      </c>
      <c r="L410" s="20">
        <v>523001148</v>
      </c>
      <c r="M410" s="72" t="s">
        <v>1551</v>
      </c>
      <c r="N410" s="54">
        <v>135.69999999999999</v>
      </c>
      <c r="O410" s="56" t="s">
        <v>279</v>
      </c>
      <c r="P410" s="54">
        <v>229.95</v>
      </c>
      <c r="Q410" s="56" t="s">
        <v>279</v>
      </c>
      <c r="R410" s="27"/>
      <c r="S410" s="58"/>
      <c r="T410" s="51"/>
      <c r="U410" s="51"/>
      <c r="V410" s="51"/>
      <c r="W410" s="76" t="s">
        <v>1552</v>
      </c>
      <c r="X410" s="77">
        <v>135.69999999999999</v>
      </c>
      <c r="Y410" s="78">
        <v>0</v>
      </c>
      <c r="Z410" s="29"/>
      <c r="AA410" s="79">
        <v>135.69999999999999</v>
      </c>
      <c r="AB410" s="79">
        <v>135.69999999999999</v>
      </c>
      <c r="AC410" s="78">
        <v>0</v>
      </c>
      <c r="AD410" s="29"/>
      <c r="AE410" s="63" t="s">
        <v>219</v>
      </c>
      <c r="AF410" s="63">
        <v>0</v>
      </c>
      <c r="AG410" s="63">
        <v>0</v>
      </c>
      <c r="AH410" s="29"/>
      <c r="AI410" s="27"/>
      <c r="AJ410" s="29"/>
      <c r="AK410" s="77">
        <v>0</v>
      </c>
      <c r="BA410" s="41" t="s">
        <v>230</v>
      </c>
      <c r="BB410" s="41" t="s">
        <v>15</v>
      </c>
      <c r="BC410" s="41" t="s">
        <v>232</v>
      </c>
      <c r="BD410" s="41" t="s">
        <v>1520</v>
      </c>
    </row>
    <row r="411" spans="1:56" ht="27" customHeight="1" outlineLevel="1">
      <c r="A411" s="19">
        <v>539</v>
      </c>
      <c r="B411" s="19" t="s">
        <v>219</v>
      </c>
      <c r="C411" s="19" t="s">
        <v>219</v>
      </c>
      <c r="D411" s="50" t="s">
        <v>219</v>
      </c>
      <c r="E411" s="19" t="s">
        <v>219</v>
      </c>
      <c r="F411" s="19" t="s">
        <v>219</v>
      </c>
      <c r="G411" s="19" t="s">
        <v>219</v>
      </c>
      <c r="H411" s="81" t="s">
        <v>219</v>
      </c>
      <c r="I411" s="70" t="s">
        <v>219</v>
      </c>
      <c r="J411" s="70" t="s">
        <v>219</v>
      </c>
      <c r="K411" s="71" t="s">
        <v>219</v>
      </c>
      <c r="L411" s="72" t="s">
        <v>219</v>
      </c>
      <c r="M411" s="72" t="s">
        <v>219</v>
      </c>
      <c r="N411" s="73" t="s">
        <v>219</v>
      </c>
      <c r="O411" s="74" t="s">
        <v>219</v>
      </c>
      <c r="P411" s="73" t="s">
        <v>219</v>
      </c>
      <c r="Q411" s="80" t="s">
        <v>219</v>
      </c>
      <c r="W411" s="76" t="s">
        <v>219</v>
      </c>
      <c r="X411" s="77" t="s">
        <v>219</v>
      </c>
      <c r="Y411" s="78">
        <v>0</v>
      </c>
      <c r="AA411" s="79" t="s">
        <v>219</v>
      </c>
      <c r="AB411" s="79" t="s">
        <v>219</v>
      </c>
      <c r="AC411" s="78">
        <v>0</v>
      </c>
      <c r="AE411" s="63" t="s">
        <v>230</v>
      </c>
      <c r="AF411" s="63">
        <v>1</v>
      </c>
      <c r="AG411" s="63" t="s">
        <v>219</v>
      </c>
      <c r="AK411" s="77">
        <v>0</v>
      </c>
      <c r="BA411" s="41" t="s">
        <v>230</v>
      </c>
      <c r="BB411" s="41" t="s">
        <v>15</v>
      </c>
      <c r="BC411" s="41" t="s">
        <v>232</v>
      </c>
      <c r="BD411" s="41" t="s">
        <v>1520</v>
      </c>
    </row>
    <row r="412" spans="1:56" ht="18" customHeight="1" outlineLevel="1">
      <c r="A412" s="19">
        <v>540</v>
      </c>
      <c r="B412" s="19">
        <v>523001151</v>
      </c>
      <c r="C412" s="19">
        <v>523001152</v>
      </c>
      <c r="D412" s="50" t="s">
        <v>13</v>
      </c>
      <c r="E412" s="19" t="s">
        <v>686</v>
      </c>
      <c r="F412" s="19" t="s">
        <v>1553</v>
      </c>
      <c r="G412" s="19" t="s">
        <v>1554</v>
      </c>
      <c r="H412" s="69" t="s">
        <v>1555</v>
      </c>
      <c r="I412" s="70" t="s">
        <v>543</v>
      </c>
      <c r="J412" s="70" t="s">
        <v>289</v>
      </c>
      <c r="K412" s="71">
        <v>2</v>
      </c>
      <c r="L412" s="72">
        <v>523001152</v>
      </c>
      <c r="M412" s="72" t="s">
        <v>1556</v>
      </c>
      <c r="N412" s="73">
        <v>153.4</v>
      </c>
      <c r="O412" s="74" t="s">
        <v>279</v>
      </c>
      <c r="P412" s="73">
        <v>259.95</v>
      </c>
      <c r="Q412" s="80" t="s">
        <v>279</v>
      </c>
      <c r="W412" s="76" t="s">
        <v>1557</v>
      </c>
      <c r="X412" s="77">
        <v>153.4</v>
      </c>
      <c r="Y412" s="78">
        <v>0</v>
      </c>
      <c r="AA412" s="79">
        <v>153.4</v>
      </c>
      <c r="AB412" s="79">
        <v>153.4</v>
      </c>
      <c r="AC412" s="78">
        <v>0</v>
      </c>
      <c r="AE412" s="63" t="s">
        <v>219</v>
      </c>
      <c r="AF412" s="63">
        <v>1</v>
      </c>
      <c r="AG412" s="63">
        <v>1</v>
      </c>
      <c r="AK412" s="77">
        <v>0</v>
      </c>
      <c r="BA412" s="41" t="s">
        <v>230</v>
      </c>
      <c r="BB412" s="41" t="s">
        <v>15</v>
      </c>
      <c r="BC412" s="41" t="s">
        <v>232</v>
      </c>
      <c r="BD412" s="41" t="s">
        <v>1520</v>
      </c>
    </row>
    <row r="413" spans="1:56" ht="18" customHeight="1" outlineLevel="1">
      <c r="A413" s="19">
        <v>541</v>
      </c>
      <c r="B413" s="19">
        <v>523001155</v>
      </c>
      <c r="C413" s="19">
        <v>523001156</v>
      </c>
      <c r="D413" s="50" t="s">
        <v>13</v>
      </c>
      <c r="E413" s="19" t="s">
        <v>686</v>
      </c>
      <c r="F413" s="19" t="s">
        <v>1553</v>
      </c>
      <c r="G413" s="19" t="s">
        <v>1554</v>
      </c>
      <c r="H413" s="69" t="s">
        <v>1558</v>
      </c>
      <c r="I413" s="70" t="s">
        <v>547</v>
      </c>
      <c r="J413" s="70" t="s">
        <v>480</v>
      </c>
      <c r="K413" s="71">
        <v>2</v>
      </c>
      <c r="L413" s="72">
        <v>523001156</v>
      </c>
      <c r="M413" s="72" t="s">
        <v>1559</v>
      </c>
      <c r="N413" s="73">
        <v>153.4</v>
      </c>
      <c r="O413" s="74" t="s">
        <v>279</v>
      </c>
      <c r="P413" s="73">
        <v>259.95</v>
      </c>
      <c r="Q413" s="80" t="s">
        <v>279</v>
      </c>
      <c r="W413" s="76" t="s">
        <v>1560</v>
      </c>
      <c r="X413" s="77">
        <v>153.4</v>
      </c>
      <c r="Y413" s="78">
        <v>0</v>
      </c>
      <c r="AA413" s="79">
        <v>153.4</v>
      </c>
      <c r="AB413" s="79">
        <v>153.4</v>
      </c>
      <c r="AC413" s="78">
        <v>0</v>
      </c>
      <c r="AE413" s="63" t="s">
        <v>219</v>
      </c>
      <c r="AF413" s="63">
        <v>1</v>
      </c>
      <c r="AG413" s="63">
        <v>1</v>
      </c>
      <c r="AK413" s="77">
        <v>0</v>
      </c>
      <c r="BA413" s="41" t="s">
        <v>230</v>
      </c>
      <c r="BB413" s="41" t="s">
        <v>15</v>
      </c>
      <c r="BC413" s="41" t="s">
        <v>232</v>
      </c>
      <c r="BD413" s="41" t="s">
        <v>1520</v>
      </c>
    </row>
    <row r="414" spans="1:56" ht="18" customHeight="1" outlineLevel="1">
      <c r="A414" s="19">
        <v>542</v>
      </c>
      <c r="B414" s="19">
        <v>523001159</v>
      </c>
      <c r="C414" s="19">
        <v>523001160</v>
      </c>
      <c r="D414" s="50" t="s">
        <v>13</v>
      </c>
      <c r="E414" s="19" t="s">
        <v>686</v>
      </c>
      <c r="F414" s="19" t="s">
        <v>1553</v>
      </c>
      <c r="G414" s="19" t="s">
        <v>1554</v>
      </c>
      <c r="H414" s="69" t="s">
        <v>1561</v>
      </c>
      <c r="I414" s="70" t="s">
        <v>551</v>
      </c>
      <c r="J414" s="70" t="s">
        <v>521</v>
      </c>
      <c r="K414" s="71">
        <v>2</v>
      </c>
      <c r="L414" s="72">
        <v>523001160</v>
      </c>
      <c r="M414" s="72" t="s">
        <v>1562</v>
      </c>
      <c r="N414" s="73">
        <v>153.4</v>
      </c>
      <c r="O414" s="74" t="s">
        <v>279</v>
      </c>
      <c r="P414" s="73">
        <v>259.95</v>
      </c>
      <c r="Q414" s="80" t="s">
        <v>279</v>
      </c>
      <c r="W414" s="76" t="s">
        <v>1563</v>
      </c>
      <c r="X414" s="77">
        <v>153.4</v>
      </c>
      <c r="Y414" s="78">
        <v>0</v>
      </c>
      <c r="AA414" s="79">
        <v>153.4</v>
      </c>
      <c r="AB414" s="79">
        <v>153.4</v>
      </c>
      <c r="AC414" s="78">
        <v>0</v>
      </c>
      <c r="AE414" s="63" t="s">
        <v>219</v>
      </c>
      <c r="AF414" s="63">
        <v>1</v>
      </c>
      <c r="AG414" s="63">
        <v>1</v>
      </c>
      <c r="AK414" s="77">
        <v>0</v>
      </c>
      <c r="BA414" s="41" t="s">
        <v>230</v>
      </c>
      <c r="BB414" s="41" t="s">
        <v>15</v>
      </c>
      <c r="BC414" s="41" t="s">
        <v>232</v>
      </c>
      <c r="BD414" s="41" t="s">
        <v>1520</v>
      </c>
    </row>
    <row r="415" spans="1:56" ht="18" customHeight="1" outlineLevel="1">
      <c r="A415" s="19">
        <v>543</v>
      </c>
      <c r="B415" s="19">
        <v>523001163</v>
      </c>
      <c r="C415" s="19">
        <v>523001164</v>
      </c>
      <c r="D415" s="50" t="s">
        <v>13</v>
      </c>
      <c r="E415" s="19" t="s">
        <v>686</v>
      </c>
      <c r="F415" s="19" t="s">
        <v>1553</v>
      </c>
      <c r="G415" s="19" t="s">
        <v>1554</v>
      </c>
      <c r="H415" s="69" t="s">
        <v>1564</v>
      </c>
      <c r="I415" s="70" t="s">
        <v>578</v>
      </c>
      <c r="J415" s="70" t="s">
        <v>579</v>
      </c>
      <c r="K415" s="71">
        <v>2</v>
      </c>
      <c r="L415" s="72">
        <v>523001164</v>
      </c>
      <c r="M415" s="72" t="s">
        <v>1565</v>
      </c>
      <c r="N415" s="73">
        <v>153.4</v>
      </c>
      <c r="O415" s="74" t="s">
        <v>279</v>
      </c>
      <c r="P415" s="73">
        <v>259.95</v>
      </c>
      <c r="Q415" s="80" t="s">
        <v>279</v>
      </c>
      <c r="W415" s="76" t="s">
        <v>1566</v>
      </c>
      <c r="X415" s="77">
        <v>153.4</v>
      </c>
      <c r="Y415" s="78">
        <v>0</v>
      </c>
      <c r="AA415" s="79">
        <v>153.4</v>
      </c>
      <c r="AB415" s="79">
        <v>153.4</v>
      </c>
      <c r="AC415" s="78">
        <v>0</v>
      </c>
      <c r="AE415" s="63" t="s">
        <v>219</v>
      </c>
      <c r="AF415" s="63">
        <v>1</v>
      </c>
      <c r="AG415" s="63">
        <v>1</v>
      </c>
      <c r="AK415" s="77">
        <v>0</v>
      </c>
      <c r="BA415" s="41" t="s">
        <v>230</v>
      </c>
      <c r="BB415" s="41" t="s">
        <v>15</v>
      </c>
      <c r="BC415" s="41" t="s">
        <v>232</v>
      </c>
      <c r="BD415" s="41" t="s">
        <v>1520</v>
      </c>
    </row>
    <row r="416" spans="1:56" ht="18" customHeight="1" outlineLevel="1">
      <c r="A416" s="19">
        <v>544</v>
      </c>
      <c r="B416" s="19">
        <v>523001167</v>
      </c>
      <c r="C416" s="19">
        <v>523001168</v>
      </c>
      <c r="D416" s="50" t="s">
        <v>13</v>
      </c>
      <c r="E416" s="19" t="s">
        <v>686</v>
      </c>
      <c r="F416" s="19" t="s">
        <v>1553</v>
      </c>
      <c r="G416" s="19" t="s">
        <v>1554</v>
      </c>
      <c r="H416" s="69" t="s">
        <v>1567</v>
      </c>
      <c r="I416" s="70" t="s">
        <v>560</v>
      </c>
      <c r="J416" s="70" t="s">
        <v>329</v>
      </c>
      <c r="K416" s="71">
        <v>2</v>
      </c>
      <c r="L416" s="72">
        <v>523001168</v>
      </c>
      <c r="M416" s="72" t="s">
        <v>1568</v>
      </c>
      <c r="N416" s="73">
        <v>153.4</v>
      </c>
      <c r="O416" s="74" t="s">
        <v>279</v>
      </c>
      <c r="P416" s="73">
        <v>259.95</v>
      </c>
      <c r="Q416" s="80" t="s">
        <v>279</v>
      </c>
      <c r="W416" s="76" t="s">
        <v>1569</v>
      </c>
      <c r="X416" s="77">
        <v>153.4</v>
      </c>
      <c r="Y416" s="78">
        <v>0</v>
      </c>
      <c r="AA416" s="79">
        <v>153.4</v>
      </c>
      <c r="AB416" s="79">
        <v>153.4</v>
      </c>
      <c r="AC416" s="78">
        <v>0</v>
      </c>
      <c r="AE416" s="63" t="s">
        <v>219</v>
      </c>
      <c r="AF416" s="63">
        <v>1</v>
      </c>
      <c r="AG416" s="63">
        <v>1</v>
      </c>
      <c r="AK416" s="77">
        <v>0</v>
      </c>
      <c r="BA416" s="41" t="s">
        <v>230</v>
      </c>
      <c r="BB416" s="41" t="s">
        <v>15</v>
      </c>
      <c r="BC416" s="41" t="s">
        <v>232</v>
      </c>
      <c r="BD416" s="41" t="s">
        <v>1520</v>
      </c>
    </row>
    <row r="417" spans="1:56" s="57" customFormat="1" ht="27" customHeight="1" outlineLevel="1">
      <c r="A417" s="49">
        <v>545</v>
      </c>
      <c r="B417" s="19" t="s">
        <v>219</v>
      </c>
      <c r="C417" s="19" t="s">
        <v>219</v>
      </c>
      <c r="D417" s="50" t="s">
        <v>219</v>
      </c>
      <c r="E417" s="19" t="s">
        <v>219</v>
      </c>
      <c r="F417" s="19" t="s">
        <v>219</v>
      </c>
      <c r="G417" s="19" t="s">
        <v>219</v>
      </c>
      <c r="H417" s="81" t="s">
        <v>219</v>
      </c>
      <c r="I417" s="64" t="s">
        <v>219</v>
      </c>
      <c r="J417" s="70" t="s">
        <v>219</v>
      </c>
      <c r="K417" s="53" t="s">
        <v>219</v>
      </c>
      <c r="L417" s="20" t="s">
        <v>219</v>
      </c>
      <c r="M417" s="72" t="s">
        <v>219</v>
      </c>
      <c r="N417" s="54" t="s">
        <v>219</v>
      </c>
      <c r="O417" s="56" t="s">
        <v>219</v>
      </c>
      <c r="P417" s="54" t="s">
        <v>219</v>
      </c>
      <c r="Q417" s="56" t="s">
        <v>219</v>
      </c>
      <c r="R417" s="27"/>
      <c r="S417" s="58"/>
      <c r="T417" s="51"/>
      <c r="U417" s="51"/>
      <c r="V417" s="51"/>
      <c r="W417" s="76" t="s">
        <v>219</v>
      </c>
      <c r="X417" s="77" t="s">
        <v>219</v>
      </c>
      <c r="Y417" s="78">
        <v>0</v>
      </c>
      <c r="Z417" s="29"/>
      <c r="AA417" s="79" t="s">
        <v>219</v>
      </c>
      <c r="AB417" s="79" t="s">
        <v>219</v>
      </c>
      <c r="AC417" s="78">
        <v>0</v>
      </c>
      <c r="AD417" s="29"/>
      <c r="AE417" s="63" t="s">
        <v>230</v>
      </c>
      <c r="AF417" s="63">
        <v>0</v>
      </c>
      <c r="AG417" s="63" t="s">
        <v>219</v>
      </c>
      <c r="AH417" s="29"/>
      <c r="AI417" s="27"/>
      <c r="AJ417" s="29"/>
      <c r="AK417" s="77">
        <v>0</v>
      </c>
      <c r="BA417" s="41" t="s">
        <v>230</v>
      </c>
      <c r="BB417" s="41" t="s">
        <v>15</v>
      </c>
      <c r="BC417" s="41" t="s">
        <v>232</v>
      </c>
      <c r="BD417" s="41" t="s">
        <v>1520</v>
      </c>
    </row>
    <row r="418" spans="1:56" ht="18" customHeight="1" outlineLevel="1">
      <c r="A418" s="19">
        <v>546</v>
      </c>
      <c r="B418" s="19">
        <v>521003065</v>
      </c>
      <c r="C418" s="19">
        <v>521003065</v>
      </c>
      <c r="D418" s="50" t="s">
        <v>529</v>
      </c>
      <c r="E418" s="19" t="s">
        <v>716</v>
      </c>
      <c r="F418" s="19" t="s">
        <v>1570</v>
      </c>
      <c r="G418" s="19" t="s">
        <v>1571</v>
      </c>
      <c r="H418" s="69" t="s">
        <v>1572</v>
      </c>
      <c r="I418" s="70" t="s">
        <v>532</v>
      </c>
      <c r="J418" s="70" t="s">
        <v>289</v>
      </c>
      <c r="K418" s="71">
        <v>1</v>
      </c>
      <c r="L418" s="72">
        <v>521003065</v>
      </c>
      <c r="M418" s="72" t="s">
        <v>1573</v>
      </c>
      <c r="N418" s="73">
        <v>76.099999999999994</v>
      </c>
      <c r="O418" s="74" t="s">
        <v>279</v>
      </c>
      <c r="P418" s="73">
        <v>109.95</v>
      </c>
      <c r="Q418" s="80" t="s">
        <v>279</v>
      </c>
      <c r="W418" s="76" t="s">
        <v>1574</v>
      </c>
      <c r="X418" s="77">
        <v>76.099999999999994</v>
      </c>
      <c r="Y418" s="78">
        <v>0</v>
      </c>
      <c r="AA418" s="79">
        <v>76.099999999999994</v>
      </c>
      <c r="AB418" s="79">
        <v>76.099999999999994</v>
      </c>
      <c r="AC418" s="78">
        <v>0</v>
      </c>
      <c r="AE418" s="63" t="s">
        <v>219</v>
      </c>
      <c r="AF418" s="63">
        <v>0</v>
      </c>
      <c r="AG418" s="63">
        <v>0</v>
      </c>
      <c r="AK418" s="77">
        <v>0</v>
      </c>
      <c r="BA418" s="41" t="s">
        <v>230</v>
      </c>
      <c r="BB418" s="41" t="s">
        <v>15</v>
      </c>
      <c r="BC418" s="41" t="s">
        <v>232</v>
      </c>
      <c r="BD418" s="41" t="s">
        <v>1520</v>
      </c>
    </row>
    <row r="419" spans="1:56" ht="18" customHeight="1" outlineLevel="1">
      <c r="A419" s="19">
        <v>547</v>
      </c>
      <c r="B419" s="19">
        <v>523001171</v>
      </c>
      <c r="C419" s="19">
        <v>523001172</v>
      </c>
      <c r="D419" s="50" t="s">
        <v>529</v>
      </c>
      <c r="E419" s="19" t="s">
        <v>716</v>
      </c>
      <c r="F419" s="19" t="s">
        <v>1575</v>
      </c>
      <c r="G419" s="19" t="s">
        <v>1576</v>
      </c>
      <c r="H419" s="69" t="s">
        <v>1577</v>
      </c>
      <c r="I419" s="70" t="s">
        <v>532</v>
      </c>
      <c r="J419" s="70" t="s">
        <v>289</v>
      </c>
      <c r="K419" s="71">
        <v>2</v>
      </c>
      <c r="L419" s="72">
        <v>523001172</v>
      </c>
      <c r="M419" s="72" t="s">
        <v>1578</v>
      </c>
      <c r="N419" s="73">
        <v>159.19999999999999</v>
      </c>
      <c r="O419" s="74" t="s">
        <v>279</v>
      </c>
      <c r="P419" s="73">
        <v>229.95</v>
      </c>
      <c r="Q419" s="80" t="s">
        <v>279</v>
      </c>
      <c r="W419" s="76" t="s">
        <v>1579</v>
      </c>
      <c r="X419" s="77">
        <v>159.19999999999999</v>
      </c>
      <c r="Y419" s="78">
        <v>0</v>
      </c>
      <c r="AA419" s="79">
        <v>159.19999999999999</v>
      </c>
      <c r="AB419" s="79">
        <v>159.19999999999999</v>
      </c>
      <c r="AC419" s="78">
        <v>0</v>
      </c>
      <c r="AE419" s="63" t="s">
        <v>219</v>
      </c>
      <c r="AF419" s="63">
        <v>0</v>
      </c>
      <c r="AG419" s="63">
        <v>0</v>
      </c>
      <c r="AK419" s="77">
        <v>0</v>
      </c>
      <c r="BA419" s="41" t="s">
        <v>230</v>
      </c>
      <c r="BB419" s="41" t="s">
        <v>15</v>
      </c>
      <c r="BC419" s="41" t="s">
        <v>232</v>
      </c>
      <c r="BD419" s="41" t="s">
        <v>1520</v>
      </c>
    </row>
    <row r="420" spans="1:56" ht="27" customHeight="1" outlineLevel="1">
      <c r="A420" s="19">
        <v>548</v>
      </c>
      <c r="B420" s="19" t="s">
        <v>219</v>
      </c>
      <c r="C420" s="19" t="s">
        <v>219</v>
      </c>
      <c r="D420" s="50" t="s">
        <v>219</v>
      </c>
      <c r="E420" s="19" t="s">
        <v>219</v>
      </c>
      <c r="F420" s="19" t="s">
        <v>219</v>
      </c>
      <c r="G420" s="19" t="s">
        <v>219</v>
      </c>
      <c r="H420" s="81" t="s">
        <v>219</v>
      </c>
      <c r="I420" s="70" t="s">
        <v>219</v>
      </c>
      <c r="J420" s="70" t="s">
        <v>219</v>
      </c>
      <c r="K420" s="71" t="s">
        <v>219</v>
      </c>
      <c r="L420" s="72" t="s">
        <v>219</v>
      </c>
      <c r="M420" s="72" t="s">
        <v>219</v>
      </c>
      <c r="N420" s="73" t="s">
        <v>219</v>
      </c>
      <c r="O420" s="74" t="s">
        <v>219</v>
      </c>
      <c r="P420" s="73" t="s">
        <v>219</v>
      </c>
      <c r="Q420" s="80" t="s">
        <v>219</v>
      </c>
      <c r="W420" s="76" t="s">
        <v>219</v>
      </c>
      <c r="X420" s="77" t="s">
        <v>219</v>
      </c>
      <c r="Y420" s="78">
        <v>0</v>
      </c>
      <c r="AA420" s="79" t="s">
        <v>219</v>
      </c>
      <c r="AB420" s="79" t="s">
        <v>219</v>
      </c>
      <c r="AC420" s="78">
        <v>0</v>
      </c>
      <c r="AE420" s="63" t="s">
        <v>230</v>
      </c>
      <c r="AF420" s="63">
        <v>0</v>
      </c>
      <c r="AG420" s="63" t="s">
        <v>219</v>
      </c>
      <c r="AK420" s="77">
        <v>0</v>
      </c>
      <c r="BA420" s="41" t="s">
        <v>230</v>
      </c>
      <c r="BB420" s="41" t="s">
        <v>15</v>
      </c>
      <c r="BC420" s="41" t="s">
        <v>232</v>
      </c>
      <c r="BD420" s="41" t="s">
        <v>1520</v>
      </c>
    </row>
    <row r="421" spans="1:56" ht="27" customHeight="1" outlineLevel="1">
      <c r="A421" s="19">
        <v>549</v>
      </c>
      <c r="B421" s="19" t="s">
        <v>219</v>
      </c>
      <c r="C421" s="19" t="s">
        <v>219</v>
      </c>
      <c r="D421" s="50" t="s">
        <v>722</v>
      </c>
      <c r="E421" s="19" t="s">
        <v>219</v>
      </c>
      <c r="F421" s="19" t="s">
        <v>219</v>
      </c>
      <c r="G421" s="19" t="s">
        <v>219</v>
      </c>
      <c r="H421" s="81" t="s">
        <v>722</v>
      </c>
      <c r="I421" s="70" t="s">
        <v>219</v>
      </c>
      <c r="J421" s="70" t="s">
        <v>219</v>
      </c>
      <c r="K421" s="71" t="s">
        <v>219</v>
      </c>
      <c r="L421" s="72" t="s">
        <v>219</v>
      </c>
      <c r="M421" s="72" t="s">
        <v>219</v>
      </c>
      <c r="N421" s="73" t="s">
        <v>219</v>
      </c>
      <c r="O421" s="74" t="s">
        <v>219</v>
      </c>
      <c r="P421" s="73" t="s">
        <v>219</v>
      </c>
      <c r="Q421" s="80" t="s">
        <v>219</v>
      </c>
      <c r="W421" s="76" t="s">
        <v>219</v>
      </c>
      <c r="X421" s="77" t="s">
        <v>219</v>
      </c>
      <c r="Y421" s="78">
        <v>0</v>
      </c>
      <c r="AA421" s="79" t="s">
        <v>219</v>
      </c>
      <c r="AB421" s="79" t="s">
        <v>219</v>
      </c>
      <c r="AC421" s="78">
        <v>0</v>
      </c>
      <c r="AE421" s="63" t="s">
        <v>230</v>
      </c>
      <c r="AF421" s="63">
        <v>1</v>
      </c>
      <c r="AG421" s="63" t="s">
        <v>219</v>
      </c>
      <c r="AK421" s="77">
        <v>0</v>
      </c>
      <c r="BA421" s="41" t="s">
        <v>230</v>
      </c>
      <c r="BB421" s="41" t="s">
        <v>15</v>
      </c>
      <c r="BC421" s="41" t="s">
        <v>232</v>
      </c>
      <c r="BD421" s="41" t="s">
        <v>1580</v>
      </c>
    </row>
    <row r="422" spans="1:56" ht="18" customHeight="1" outlineLevel="1">
      <c r="A422" s="19">
        <v>550</v>
      </c>
      <c r="B422" s="19">
        <v>523001203</v>
      </c>
      <c r="C422" s="19">
        <v>523001203</v>
      </c>
      <c r="D422" s="50" t="s">
        <v>13</v>
      </c>
      <c r="E422" s="19" t="s">
        <v>724</v>
      </c>
      <c r="F422" s="19" t="s">
        <v>1581</v>
      </c>
      <c r="G422" s="19" t="s">
        <v>1582</v>
      </c>
      <c r="H422" s="69" t="s">
        <v>1583</v>
      </c>
      <c r="I422" s="70" t="s">
        <v>543</v>
      </c>
      <c r="J422" s="70" t="s">
        <v>289</v>
      </c>
      <c r="K422" s="71">
        <v>1</v>
      </c>
      <c r="L422" s="72">
        <v>523001203</v>
      </c>
      <c r="M422" s="72" t="s">
        <v>1584</v>
      </c>
      <c r="N422" s="73">
        <v>186.9</v>
      </c>
      <c r="O422" s="74" t="s">
        <v>279</v>
      </c>
      <c r="P422" s="73">
        <v>269.95</v>
      </c>
      <c r="Q422" s="80" t="s">
        <v>279</v>
      </c>
      <c r="W422" s="76" t="s">
        <v>1585</v>
      </c>
      <c r="X422" s="77">
        <v>186.9</v>
      </c>
      <c r="Y422" s="78">
        <v>0</v>
      </c>
      <c r="AA422" s="79">
        <v>186.9</v>
      </c>
      <c r="AB422" s="79">
        <v>186.9</v>
      </c>
      <c r="AC422" s="78">
        <v>0</v>
      </c>
      <c r="AE422" s="63" t="s">
        <v>219</v>
      </c>
      <c r="AF422" s="63">
        <v>1</v>
      </c>
      <c r="AG422" s="63">
        <v>1</v>
      </c>
      <c r="AK422" s="77">
        <v>0</v>
      </c>
      <c r="BA422" s="41" t="s">
        <v>230</v>
      </c>
      <c r="BB422" s="41" t="s">
        <v>15</v>
      </c>
      <c r="BC422" s="41" t="s">
        <v>232</v>
      </c>
      <c r="BD422" s="41" t="s">
        <v>1580</v>
      </c>
    </row>
    <row r="423" spans="1:56" ht="18" customHeight="1" outlineLevel="1">
      <c r="A423" s="19">
        <v>551</v>
      </c>
      <c r="B423" s="19">
        <v>523001205</v>
      </c>
      <c r="C423" s="19">
        <v>523001205</v>
      </c>
      <c r="D423" s="50" t="s">
        <v>13</v>
      </c>
      <c r="E423" s="19" t="s">
        <v>724</v>
      </c>
      <c r="F423" s="19" t="s">
        <v>1581</v>
      </c>
      <c r="G423" s="19" t="s">
        <v>1582</v>
      </c>
      <c r="H423" s="69" t="s">
        <v>1586</v>
      </c>
      <c r="I423" s="70" t="s">
        <v>547</v>
      </c>
      <c r="J423" s="70" t="s">
        <v>480</v>
      </c>
      <c r="K423" s="71">
        <v>1</v>
      </c>
      <c r="L423" s="72">
        <v>523001205</v>
      </c>
      <c r="M423" s="72" t="s">
        <v>1587</v>
      </c>
      <c r="N423" s="73">
        <v>186.9</v>
      </c>
      <c r="O423" s="74" t="s">
        <v>279</v>
      </c>
      <c r="P423" s="73">
        <v>269.95</v>
      </c>
      <c r="Q423" s="80" t="s">
        <v>279</v>
      </c>
      <c r="W423" s="76" t="s">
        <v>1588</v>
      </c>
      <c r="X423" s="77">
        <v>186.9</v>
      </c>
      <c r="Y423" s="78">
        <v>0</v>
      </c>
      <c r="AA423" s="79">
        <v>186.9</v>
      </c>
      <c r="AB423" s="79">
        <v>186.9</v>
      </c>
      <c r="AC423" s="78">
        <v>0</v>
      </c>
      <c r="AE423" s="63" t="s">
        <v>219</v>
      </c>
      <c r="AF423" s="63">
        <v>1</v>
      </c>
      <c r="AG423" s="63">
        <v>1</v>
      </c>
      <c r="AK423" s="77">
        <v>0</v>
      </c>
      <c r="BA423" s="41" t="s">
        <v>230</v>
      </c>
      <c r="BB423" s="41" t="s">
        <v>15</v>
      </c>
      <c r="BC423" s="41" t="s">
        <v>232</v>
      </c>
      <c r="BD423" s="41" t="s">
        <v>1580</v>
      </c>
    </row>
    <row r="424" spans="1:56" ht="27" customHeight="1" outlineLevel="1">
      <c r="A424" s="19">
        <v>552</v>
      </c>
      <c r="B424" s="19" t="s">
        <v>219</v>
      </c>
      <c r="C424" s="19" t="s">
        <v>219</v>
      </c>
      <c r="D424" s="50" t="s">
        <v>219</v>
      </c>
      <c r="E424" s="19" t="s">
        <v>219</v>
      </c>
      <c r="F424" s="19" t="s">
        <v>219</v>
      </c>
      <c r="G424" s="19" t="s">
        <v>219</v>
      </c>
      <c r="H424" s="81" t="s">
        <v>219</v>
      </c>
      <c r="I424" s="70" t="s">
        <v>219</v>
      </c>
      <c r="J424" s="70" t="s">
        <v>219</v>
      </c>
      <c r="K424" s="71" t="s">
        <v>219</v>
      </c>
      <c r="L424" s="72" t="s">
        <v>219</v>
      </c>
      <c r="M424" s="72" t="s">
        <v>219</v>
      </c>
      <c r="N424" s="73" t="s">
        <v>219</v>
      </c>
      <c r="O424" s="74" t="s">
        <v>219</v>
      </c>
      <c r="P424" s="73" t="s">
        <v>219</v>
      </c>
      <c r="Q424" s="80" t="s">
        <v>219</v>
      </c>
      <c r="W424" s="76" t="s">
        <v>219</v>
      </c>
      <c r="X424" s="77" t="s">
        <v>219</v>
      </c>
      <c r="Y424" s="78">
        <v>0</v>
      </c>
      <c r="AA424" s="79" t="s">
        <v>219</v>
      </c>
      <c r="AB424" s="79" t="s">
        <v>219</v>
      </c>
      <c r="AC424" s="78">
        <v>0</v>
      </c>
      <c r="AE424" s="63" t="s">
        <v>230</v>
      </c>
      <c r="AF424" s="63">
        <v>0</v>
      </c>
      <c r="AG424" s="63" t="s">
        <v>219</v>
      </c>
      <c r="AK424" s="77">
        <v>0</v>
      </c>
      <c r="BA424" s="41" t="s">
        <v>230</v>
      </c>
      <c r="BB424" s="41" t="s">
        <v>15</v>
      </c>
      <c r="BC424" s="41" t="s">
        <v>232</v>
      </c>
      <c r="BD424" s="41" t="s">
        <v>1580</v>
      </c>
    </row>
    <row r="425" spans="1:56" ht="18" customHeight="1" outlineLevel="1">
      <c r="A425" s="19">
        <v>553</v>
      </c>
      <c r="B425" s="19">
        <v>523001207</v>
      </c>
      <c r="C425" s="19">
        <v>523001207</v>
      </c>
      <c r="D425" s="50" t="s">
        <v>13</v>
      </c>
      <c r="E425" s="19" t="s">
        <v>724</v>
      </c>
      <c r="F425" s="19" t="s">
        <v>1589</v>
      </c>
      <c r="G425" s="19" t="s">
        <v>1590</v>
      </c>
      <c r="H425" s="69" t="s">
        <v>1591</v>
      </c>
      <c r="I425" s="70" t="s">
        <v>543</v>
      </c>
      <c r="J425" s="70" t="s">
        <v>289</v>
      </c>
      <c r="K425" s="71">
        <v>1</v>
      </c>
      <c r="L425" s="72">
        <v>523001207</v>
      </c>
      <c r="M425" s="72" t="s">
        <v>1592</v>
      </c>
      <c r="N425" s="73">
        <v>207.6</v>
      </c>
      <c r="O425" s="74" t="s">
        <v>279</v>
      </c>
      <c r="P425" s="73">
        <v>299.95</v>
      </c>
      <c r="Q425" s="80" t="s">
        <v>279</v>
      </c>
      <c r="W425" s="76" t="s">
        <v>1593</v>
      </c>
      <c r="X425" s="77">
        <v>207.6</v>
      </c>
      <c r="Y425" s="78">
        <v>0</v>
      </c>
      <c r="AA425" s="79">
        <v>207.6</v>
      </c>
      <c r="AB425" s="79">
        <v>207.6</v>
      </c>
      <c r="AC425" s="78">
        <v>0</v>
      </c>
      <c r="AE425" s="63" t="s">
        <v>219</v>
      </c>
      <c r="AF425" s="63">
        <v>0</v>
      </c>
      <c r="AG425" s="63">
        <v>0</v>
      </c>
      <c r="AK425" s="77">
        <v>0</v>
      </c>
      <c r="BA425" s="41" t="s">
        <v>230</v>
      </c>
      <c r="BB425" s="41" t="s">
        <v>15</v>
      </c>
      <c r="BC425" s="41" t="s">
        <v>232</v>
      </c>
      <c r="BD425" s="41" t="s">
        <v>1580</v>
      </c>
    </row>
    <row r="426" spans="1:56" ht="18" customHeight="1" outlineLevel="1">
      <c r="A426" s="19">
        <v>554</v>
      </c>
      <c r="B426" s="19">
        <v>523001209</v>
      </c>
      <c r="C426" s="19">
        <v>523001209</v>
      </c>
      <c r="D426" s="50" t="s">
        <v>13</v>
      </c>
      <c r="E426" s="19" t="s">
        <v>724</v>
      </c>
      <c r="F426" s="19" t="s">
        <v>1589</v>
      </c>
      <c r="G426" s="19" t="s">
        <v>1590</v>
      </c>
      <c r="H426" s="69" t="s">
        <v>1594</v>
      </c>
      <c r="I426" s="70" t="s">
        <v>547</v>
      </c>
      <c r="J426" s="70" t="s">
        <v>480</v>
      </c>
      <c r="K426" s="71">
        <v>1</v>
      </c>
      <c r="L426" s="72">
        <v>523001209</v>
      </c>
      <c r="M426" s="72" t="s">
        <v>1595</v>
      </c>
      <c r="N426" s="73">
        <v>207.6</v>
      </c>
      <c r="O426" s="74" t="s">
        <v>279</v>
      </c>
      <c r="P426" s="73">
        <v>299.95</v>
      </c>
      <c r="Q426" s="80" t="s">
        <v>279</v>
      </c>
      <c r="W426" s="76" t="s">
        <v>1596</v>
      </c>
      <c r="X426" s="77">
        <v>207.6</v>
      </c>
      <c r="Y426" s="78">
        <v>0</v>
      </c>
      <c r="AA426" s="79">
        <v>207.6</v>
      </c>
      <c r="AB426" s="79">
        <v>207.6</v>
      </c>
      <c r="AC426" s="78">
        <v>0</v>
      </c>
      <c r="AE426" s="63" t="s">
        <v>219</v>
      </c>
      <c r="AF426" s="63">
        <v>0</v>
      </c>
      <c r="AG426" s="63">
        <v>0</v>
      </c>
      <c r="AK426" s="77">
        <v>0</v>
      </c>
      <c r="BA426" s="41" t="s">
        <v>230</v>
      </c>
      <c r="BB426" s="41" t="s">
        <v>15</v>
      </c>
      <c r="BC426" s="41" t="s">
        <v>232</v>
      </c>
      <c r="BD426" s="41" t="s">
        <v>1580</v>
      </c>
    </row>
    <row r="427" spans="1:56" ht="18" customHeight="1" outlineLevel="1">
      <c r="A427" s="19">
        <v>555</v>
      </c>
      <c r="B427" s="19">
        <v>523001211</v>
      </c>
      <c r="C427" s="19">
        <v>523001211</v>
      </c>
      <c r="D427" s="50" t="s">
        <v>13</v>
      </c>
      <c r="E427" s="19" t="s">
        <v>724</v>
      </c>
      <c r="F427" s="19" t="s">
        <v>1589</v>
      </c>
      <c r="G427" s="19" t="s">
        <v>1590</v>
      </c>
      <c r="H427" s="69" t="s">
        <v>1597</v>
      </c>
      <c r="I427" s="70" t="s">
        <v>551</v>
      </c>
      <c r="J427" s="70" t="s">
        <v>521</v>
      </c>
      <c r="K427" s="71">
        <v>1</v>
      </c>
      <c r="L427" s="72">
        <v>523001211</v>
      </c>
      <c r="M427" s="72" t="s">
        <v>1598</v>
      </c>
      <c r="N427" s="73">
        <v>207.6</v>
      </c>
      <c r="O427" s="74" t="s">
        <v>279</v>
      </c>
      <c r="P427" s="73">
        <v>299.95</v>
      </c>
      <c r="Q427" s="80" t="s">
        <v>279</v>
      </c>
      <c r="W427" s="76" t="s">
        <v>1599</v>
      </c>
      <c r="X427" s="77">
        <v>207.6</v>
      </c>
      <c r="Y427" s="78">
        <v>0</v>
      </c>
      <c r="AA427" s="79">
        <v>207.6</v>
      </c>
      <c r="AB427" s="79">
        <v>207.6</v>
      </c>
      <c r="AC427" s="78">
        <v>0</v>
      </c>
      <c r="AE427" s="63" t="s">
        <v>219</v>
      </c>
      <c r="AF427" s="63">
        <v>0</v>
      </c>
      <c r="AG427" s="63">
        <v>0</v>
      </c>
      <c r="AK427" s="77">
        <v>0</v>
      </c>
      <c r="BA427" s="41" t="s">
        <v>230</v>
      </c>
      <c r="BB427" s="41" t="s">
        <v>15</v>
      </c>
      <c r="BC427" s="41" t="s">
        <v>232</v>
      </c>
      <c r="BD427" s="41" t="s">
        <v>1580</v>
      </c>
    </row>
    <row r="428" spans="1:56" s="57" customFormat="1" ht="18" customHeight="1" outlineLevel="1">
      <c r="A428" s="49">
        <v>556</v>
      </c>
      <c r="B428" s="19">
        <v>523001213</v>
      </c>
      <c r="C428" s="19">
        <v>523001213</v>
      </c>
      <c r="D428" s="50" t="s">
        <v>13</v>
      </c>
      <c r="E428" s="19" t="s">
        <v>724</v>
      </c>
      <c r="F428" s="19" t="s">
        <v>1589</v>
      </c>
      <c r="G428" s="19" t="s">
        <v>1590</v>
      </c>
      <c r="H428" s="69" t="s">
        <v>1600</v>
      </c>
      <c r="I428" s="64" t="s">
        <v>578</v>
      </c>
      <c r="J428" s="70" t="s">
        <v>579</v>
      </c>
      <c r="K428" s="53">
        <v>1</v>
      </c>
      <c r="L428" s="20">
        <v>523001213</v>
      </c>
      <c r="M428" s="72" t="s">
        <v>1601</v>
      </c>
      <c r="N428" s="54">
        <v>207.6</v>
      </c>
      <c r="O428" s="56" t="s">
        <v>279</v>
      </c>
      <c r="P428" s="54">
        <v>299.95</v>
      </c>
      <c r="Q428" s="56" t="s">
        <v>279</v>
      </c>
      <c r="R428" s="27"/>
      <c r="S428" s="58"/>
      <c r="T428" s="51"/>
      <c r="U428" s="51"/>
      <c r="V428" s="51"/>
      <c r="W428" s="76" t="s">
        <v>1602</v>
      </c>
      <c r="X428" s="77">
        <v>207.6</v>
      </c>
      <c r="Y428" s="78">
        <v>0</v>
      </c>
      <c r="Z428" s="29"/>
      <c r="AA428" s="79">
        <v>207.6</v>
      </c>
      <c r="AB428" s="79">
        <v>207.6</v>
      </c>
      <c r="AC428" s="78">
        <v>0</v>
      </c>
      <c r="AD428" s="29"/>
      <c r="AE428" s="63" t="s">
        <v>219</v>
      </c>
      <c r="AF428" s="63">
        <v>0</v>
      </c>
      <c r="AG428" s="63">
        <v>0</v>
      </c>
      <c r="AH428" s="29"/>
      <c r="AI428" s="27"/>
      <c r="AJ428" s="29"/>
      <c r="AK428" s="77">
        <v>0</v>
      </c>
      <c r="BA428" s="41" t="s">
        <v>230</v>
      </c>
      <c r="BB428" s="41" t="s">
        <v>15</v>
      </c>
      <c r="BC428" s="41" t="s">
        <v>232</v>
      </c>
      <c r="BD428" s="41" t="s">
        <v>1580</v>
      </c>
    </row>
    <row r="429" spans="1:56" ht="18" customHeight="1" outlineLevel="1">
      <c r="A429" s="19">
        <v>557</v>
      </c>
      <c r="B429" s="19">
        <v>523001215</v>
      </c>
      <c r="C429" s="19">
        <v>523001215</v>
      </c>
      <c r="D429" s="50" t="s">
        <v>13</v>
      </c>
      <c r="E429" s="19" t="s">
        <v>724</v>
      </c>
      <c r="F429" s="19" t="s">
        <v>1589</v>
      </c>
      <c r="G429" s="19" t="s">
        <v>1590</v>
      </c>
      <c r="H429" s="69" t="s">
        <v>1603</v>
      </c>
      <c r="I429" s="70" t="s">
        <v>573</v>
      </c>
      <c r="J429" s="70" t="s">
        <v>574</v>
      </c>
      <c r="K429" s="71">
        <v>1</v>
      </c>
      <c r="L429" s="72">
        <v>523001215</v>
      </c>
      <c r="M429" s="72" t="s">
        <v>1604</v>
      </c>
      <c r="N429" s="73">
        <v>207.6</v>
      </c>
      <c r="O429" s="74" t="s">
        <v>279</v>
      </c>
      <c r="P429" s="73">
        <v>299.95</v>
      </c>
      <c r="Q429" s="80" t="s">
        <v>279</v>
      </c>
      <c r="W429" s="76" t="s">
        <v>1605</v>
      </c>
      <c r="X429" s="77">
        <v>207.6</v>
      </c>
      <c r="Y429" s="78">
        <v>0</v>
      </c>
      <c r="AA429" s="79">
        <v>207.6</v>
      </c>
      <c r="AB429" s="79">
        <v>207.6</v>
      </c>
      <c r="AC429" s="78">
        <v>0</v>
      </c>
      <c r="AE429" s="63" t="s">
        <v>219</v>
      </c>
      <c r="AF429" s="63">
        <v>0</v>
      </c>
      <c r="AG429" s="63">
        <v>0</v>
      </c>
      <c r="AK429" s="77">
        <v>0</v>
      </c>
      <c r="BA429" s="41" t="s">
        <v>230</v>
      </c>
      <c r="BB429" s="41" t="s">
        <v>15</v>
      </c>
      <c r="BC429" s="41" t="s">
        <v>232</v>
      </c>
      <c r="BD429" s="41" t="s">
        <v>1580</v>
      </c>
    </row>
    <row r="430" spans="1:56" ht="27" customHeight="1" outlineLevel="1">
      <c r="A430" s="19">
        <v>558</v>
      </c>
      <c r="B430" s="19" t="s">
        <v>219</v>
      </c>
      <c r="C430" s="19" t="s">
        <v>219</v>
      </c>
      <c r="D430" s="50" t="s">
        <v>219</v>
      </c>
      <c r="E430" s="19" t="s">
        <v>219</v>
      </c>
      <c r="F430" s="19" t="s">
        <v>219</v>
      </c>
      <c r="G430" s="19" t="s">
        <v>219</v>
      </c>
      <c r="H430" s="81" t="s">
        <v>219</v>
      </c>
      <c r="I430" s="70" t="s">
        <v>219</v>
      </c>
      <c r="J430" s="70" t="s">
        <v>219</v>
      </c>
      <c r="K430" s="71" t="s">
        <v>219</v>
      </c>
      <c r="L430" s="72" t="s">
        <v>219</v>
      </c>
      <c r="M430" s="72" t="s">
        <v>219</v>
      </c>
      <c r="N430" s="73" t="s">
        <v>219</v>
      </c>
      <c r="O430" s="74" t="s">
        <v>219</v>
      </c>
      <c r="P430" s="73" t="s">
        <v>219</v>
      </c>
      <c r="Q430" s="80" t="s">
        <v>219</v>
      </c>
      <c r="W430" s="76" t="s">
        <v>219</v>
      </c>
      <c r="X430" s="77" t="s">
        <v>219</v>
      </c>
      <c r="Y430" s="78">
        <v>0</v>
      </c>
      <c r="AA430" s="79" t="s">
        <v>219</v>
      </c>
      <c r="AB430" s="79" t="s">
        <v>219</v>
      </c>
      <c r="AC430" s="78">
        <v>0</v>
      </c>
      <c r="AE430" s="63" t="s">
        <v>230</v>
      </c>
      <c r="AF430" s="63">
        <v>1</v>
      </c>
      <c r="AG430" s="63" t="s">
        <v>219</v>
      </c>
      <c r="AK430" s="77">
        <v>0</v>
      </c>
      <c r="BA430" s="41" t="s">
        <v>230</v>
      </c>
      <c r="BB430" s="41" t="s">
        <v>15</v>
      </c>
      <c r="BC430" s="41" t="s">
        <v>232</v>
      </c>
      <c r="BD430" s="41" t="s">
        <v>1580</v>
      </c>
    </row>
    <row r="431" spans="1:56" ht="18" customHeight="1" outlineLevel="1">
      <c r="A431" s="19">
        <v>559</v>
      </c>
      <c r="B431" s="19">
        <v>522001637</v>
      </c>
      <c r="C431" s="19">
        <v>522001637</v>
      </c>
      <c r="D431" s="50" t="s">
        <v>13</v>
      </c>
      <c r="E431" s="19" t="s">
        <v>724</v>
      </c>
      <c r="F431" s="19" t="s">
        <v>1606</v>
      </c>
      <c r="G431" s="19" t="s">
        <v>1607</v>
      </c>
      <c r="H431" s="69" t="s">
        <v>1608</v>
      </c>
      <c r="I431" s="70" t="s">
        <v>543</v>
      </c>
      <c r="J431" s="70" t="s">
        <v>289</v>
      </c>
      <c r="K431" s="71">
        <v>1</v>
      </c>
      <c r="L431" s="72">
        <v>522001637</v>
      </c>
      <c r="M431" s="72" t="s">
        <v>1609</v>
      </c>
      <c r="N431" s="73">
        <v>256.10000000000002</v>
      </c>
      <c r="O431" s="74" t="s">
        <v>279</v>
      </c>
      <c r="P431" s="73">
        <v>369.95</v>
      </c>
      <c r="Q431" s="80" t="s">
        <v>279</v>
      </c>
      <c r="W431" s="76" t="s">
        <v>1610</v>
      </c>
      <c r="X431" s="77">
        <v>256.10000000000002</v>
      </c>
      <c r="Y431" s="78">
        <v>0</v>
      </c>
      <c r="AA431" s="79">
        <v>256.10000000000002</v>
      </c>
      <c r="AB431" s="79">
        <v>256.10000000000002</v>
      </c>
      <c r="AC431" s="78">
        <v>0</v>
      </c>
      <c r="AE431" s="63" t="s">
        <v>219</v>
      </c>
      <c r="AF431" s="63">
        <v>1</v>
      </c>
      <c r="AG431" s="63">
        <v>1</v>
      </c>
      <c r="AK431" s="77">
        <v>0</v>
      </c>
      <c r="BA431" s="41" t="s">
        <v>230</v>
      </c>
      <c r="BB431" s="41" t="s">
        <v>15</v>
      </c>
      <c r="BC431" s="41" t="s">
        <v>232</v>
      </c>
      <c r="BD431" s="41" t="s">
        <v>1580</v>
      </c>
    </row>
    <row r="432" spans="1:56" ht="18" customHeight="1" outlineLevel="1">
      <c r="A432" s="19">
        <v>560</v>
      </c>
      <c r="B432" s="19">
        <v>522001653</v>
      </c>
      <c r="C432" s="19">
        <v>522001653</v>
      </c>
      <c r="D432" s="50" t="s">
        <v>13</v>
      </c>
      <c r="E432" s="19" t="s">
        <v>724</v>
      </c>
      <c r="F432" s="19" t="s">
        <v>1606</v>
      </c>
      <c r="G432" s="19" t="s">
        <v>1607</v>
      </c>
      <c r="H432" s="69" t="s">
        <v>1611</v>
      </c>
      <c r="I432" s="70" t="s">
        <v>547</v>
      </c>
      <c r="J432" s="70" t="s">
        <v>480</v>
      </c>
      <c r="K432" s="71">
        <v>1</v>
      </c>
      <c r="L432" s="72">
        <v>522001653</v>
      </c>
      <c r="M432" s="72" t="s">
        <v>1612</v>
      </c>
      <c r="N432" s="73">
        <v>256.10000000000002</v>
      </c>
      <c r="O432" s="74" t="s">
        <v>279</v>
      </c>
      <c r="P432" s="73">
        <v>369.95</v>
      </c>
      <c r="Q432" s="80" t="s">
        <v>279</v>
      </c>
      <c r="W432" s="76" t="s">
        <v>1613</v>
      </c>
      <c r="X432" s="77">
        <v>256.10000000000002</v>
      </c>
      <c r="Y432" s="78">
        <v>0</v>
      </c>
      <c r="AA432" s="79">
        <v>256.10000000000002</v>
      </c>
      <c r="AB432" s="79">
        <v>256.10000000000002</v>
      </c>
      <c r="AC432" s="78">
        <v>0</v>
      </c>
      <c r="AE432" s="63" t="s">
        <v>219</v>
      </c>
      <c r="AF432" s="63">
        <v>1</v>
      </c>
      <c r="AG432" s="63">
        <v>1</v>
      </c>
      <c r="AK432" s="77">
        <v>0</v>
      </c>
      <c r="BA432" s="41" t="s">
        <v>230</v>
      </c>
      <c r="BB432" s="41" t="s">
        <v>15</v>
      </c>
      <c r="BC432" s="41" t="s">
        <v>232</v>
      </c>
      <c r="BD432" s="41" t="s">
        <v>1580</v>
      </c>
    </row>
    <row r="433" spans="1:56" ht="27" customHeight="1" outlineLevel="1">
      <c r="A433" s="19">
        <v>561</v>
      </c>
      <c r="B433" s="19" t="s">
        <v>219</v>
      </c>
      <c r="C433" s="19" t="s">
        <v>219</v>
      </c>
      <c r="D433" s="50" t="s">
        <v>219</v>
      </c>
      <c r="E433" s="19" t="s">
        <v>219</v>
      </c>
      <c r="F433" s="19" t="s">
        <v>219</v>
      </c>
      <c r="G433" s="19" t="s">
        <v>219</v>
      </c>
      <c r="H433" s="81" t="s">
        <v>219</v>
      </c>
      <c r="I433" s="70" t="s">
        <v>219</v>
      </c>
      <c r="J433" s="70" t="s">
        <v>219</v>
      </c>
      <c r="K433" s="71" t="s">
        <v>219</v>
      </c>
      <c r="L433" s="72" t="s">
        <v>219</v>
      </c>
      <c r="M433" s="72" t="s">
        <v>219</v>
      </c>
      <c r="N433" s="73" t="s">
        <v>219</v>
      </c>
      <c r="O433" s="74" t="s">
        <v>219</v>
      </c>
      <c r="P433" s="73" t="s">
        <v>219</v>
      </c>
      <c r="Q433" s="80" t="s">
        <v>219</v>
      </c>
      <c r="W433" s="76" t="s">
        <v>219</v>
      </c>
      <c r="X433" s="77" t="s">
        <v>219</v>
      </c>
      <c r="Y433" s="78">
        <v>0</v>
      </c>
      <c r="AA433" s="79" t="s">
        <v>219</v>
      </c>
      <c r="AB433" s="79" t="s">
        <v>219</v>
      </c>
      <c r="AC433" s="78">
        <v>0</v>
      </c>
      <c r="AE433" s="63" t="s">
        <v>230</v>
      </c>
      <c r="AF433" s="63">
        <v>0</v>
      </c>
      <c r="AG433" s="63" t="s">
        <v>219</v>
      </c>
      <c r="AK433" s="77">
        <v>0</v>
      </c>
      <c r="BA433" s="41" t="s">
        <v>230</v>
      </c>
      <c r="BB433" s="41" t="s">
        <v>15</v>
      </c>
      <c r="BC433" s="41" t="s">
        <v>232</v>
      </c>
      <c r="BD433" s="41" t="s">
        <v>1580</v>
      </c>
    </row>
    <row r="434" spans="1:56" ht="18" customHeight="1" outlineLevel="1">
      <c r="A434" s="19">
        <v>562</v>
      </c>
      <c r="B434" s="19">
        <v>522001661</v>
      </c>
      <c r="C434" s="19">
        <v>522001661</v>
      </c>
      <c r="D434" s="50" t="s">
        <v>13</v>
      </c>
      <c r="E434" s="19" t="s">
        <v>724</v>
      </c>
      <c r="F434" s="19" t="s">
        <v>1614</v>
      </c>
      <c r="G434" s="19" t="s">
        <v>1615</v>
      </c>
      <c r="H434" s="69" t="s">
        <v>1616</v>
      </c>
      <c r="I434" s="70" t="s">
        <v>551</v>
      </c>
      <c r="J434" s="70" t="s">
        <v>521</v>
      </c>
      <c r="K434" s="71">
        <v>1</v>
      </c>
      <c r="L434" s="72">
        <v>522001661</v>
      </c>
      <c r="M434" s="72" t="s">
        <v>1617</v>
      </c>
      <c r="N434" s="73">
        <v>276.8</v>
      </c>
      <c r="O434" s="74" t="s">
        <v>279</v>
      </c>
      <c r="P434" s="73">
        <v>399.95</v>
      </c>
      <c r="Q434" s="80" t="s">
        <v>279</v>
      </c>
      <c r="W434" s="76" t="s">
        <v>1618</v>
      </c>
      <c r="X434" s="77">
        <v>276.8</v>
      </c>
      <c r="Y434" s="78">
        <v>0</v>
      </c>
      <c r="AA434" s="79">
        <v>276.8</v>
      </c>
      <c r="AB434" s="79">
        <v>276.8</v>
      </c>
      <c r="AC434" s="78">
        <v>0</v>
      </c>
      <c r="AE434" s="63" t="s">
        <v>219</v>
      </c>
      <c r="AF434" s="63">
        <v>0</v>
      </c>
      <c r="AG434" s="63">
        <v>0</v>
      </c>
      <c r="AK434" s="77">
        <v>0</v>
      </c>
      <c r="BA434" s="41" t="s">
        <v>230</v>
      </c>
      <c r="BB434" s="41" t="s">
        <v>15</v>
      </c>
      <c r="BC434" s="41" t="s">
        <v>232</v>
      </c>
      <c r="BD434" s="41" t="s">
        <v>1580</v>
      </c>
    </row>
    <row r="435" spans="1:56" ht="18" customHeight="1" outlineLevel="1">
      <c r="A435" s="19">
        <v>563</v>
      </c>
      <c r="B435" s="19">
        <v>522001669</v>
      </c>
      <c r="C435" s="19">
        <v>522001669</v>
      </c>
      <c r="D435" s="50" t="s">
        <v>13</v>
      </c>
      <c r="E435" s="19" t="s">
        <v>724</v>
      </c>
      <c r="F435" s="19" t="s">
        <v>1614</v>
      </c>
      <c r="G435" s="19" t="s">
        <v>1615</v>
      </c>
      <c r="H435" s="69" t="s">
        <v>1619</v>
      </c>
      <c r="I435" s="70" t="s">
        <v>578</v>
      </c>
      <c r="J435" s="70" t="s">
        <v>579</v>
      </c>
      <c r="K435" s="71">
        <v>1</v>
      </c>
      <c r="L435" s="72">
        <v>522001669</v>
      </c>
      <c r="M435" s="72" t="s">
        <v>1620</v>
      </c>
      <c r="N435" s="73">
        <v>276.8</v>
      </c>
      <c r="O435" s="74" t="s">
        <v>279</v>
      </c>
      <c r="P435" s="73">
        <v>399.95</v>
      </c>
      <c r="Q435" s="80" t="s">
        <v>279</v>
      </c>
      <c r="W435" s="76" t="s">
        <v>1621</v>
      </c>
      <c r="X435" s="77">
        <v>276.8</v>
      </c>
      <c r="Y435" s="78">
        <v>0</v>
      </c>
      <c r="AA435" s="79">
        <v>276.8</v>
      </c>
      <c r="AB435" s="79">
        <v>276.8</v>
      </c>
      <c r="AC435" s="78">
        <v>0</v>
      </c>
      <c r="AE435" s="63" t="s">
        <v>219</v>
      </c>
      <c r="AF435" s="63">
        <v>0</v>
      </c>
      <c r="AG435" s="63">
        <v>0</v>
      </c>
      <c r="AK435" s="77">
        <v>0</v>
      </c>
      <c r="BA435" s="41" t="s">
        <v>230</v>
      </c>
      <c r="BB435" s="41" t="s">
        <v>15</v>
      </c>
      <c r="BC435" s="41" t="s">
        <v>232</v>
      </c>
      <c r="BD435" s="41" t="s">
        <v>1580</v>
      </c>
    </row>
    <row r="436" spans="1:56" ht="18" customHeight="1" outlineLevel="1">
      <c r="A436" s="19">
        <v>564</v>
      </c>
      <c r="B436" s="19">
        <v>522001685</v>
      </c>
      <c r="C436" s="19">
        <v>522001685</v>
      </c>
      <c r="D436" s="50" t="s">
        <v>13</v>
      </c>
      <c r="E436" s="19" t="s">
        <v>724</v>
      </c>
      <c r="F436" s="19" t="s">
        <v>1614</v>
      </c>
      <c r="G436" s="19" t="s">
        <v>1615</v>
      </c>
      <c r="H436" s="69" t="s">
        <v>1622</v>
      </c>
      <c r="I436" s="70" t="s">
        <v>573</v>
      </c>
      <c r="J436" s="70" t="s">
        <v>574</v>
      </c>
      <c r="K436" s="71">
        <v>1</v>
      </c>
      <c r="L436" s="72">
        <v>522001685</v>
      </c>
      <c r="M436" s="72" t="s">
        <v>1623</v>
      </c>
      <c r="N436" s="73">
        <v>276.8</v>
      </c>
      <c r="O436" s="74" t="s">
        <v>279</v>
      </c>
      <c r="P436" s="73">
        <v>399.95</v>
      </c>
      <c r="Q436" s="80" t="s">
        <v>279</v>
      </c>
      <c r="W436" s="76" t="s">
        <v>1624</v>
      </c>
      <c r="X436" s="77">
        <v>276.8</v>
      </c>
      <c r="Y436" s="78">
        <v>0</v>
      </c>
      <c r="AA436" s="79">
        <v>276.8</v>
      </c>
      <c r="AB436" s="79">
        <v>276.8</v>
      </c>
      <c r="AC436" s="78">
        <v>0</v>
      </c>
      <c r="AE436" s="63" t="s">
        <v>219</v>
      </c>
      <c r="AF436" s="63">
        <v>0</v>
      </c>
      <c r="AG436" s="63">
        <v>0</v>
      </c>
      <c r="AK436" s="77">
        <v>0</v>
      </c>
      <c r="BA436" s="41" t="s">
        <v>230</v>
      </c>
      <c r="BB436" s="41" t="s">
        <v>15</v>
      </c>
      <c r="BC436" s="41" t="s">
        <v>232</v>
      </c>
      <c r="BD436" s="41" t="s">
        <v>1580</v>
      </c>
    </row>
    <row r="437" spans="1:56" ht="18" customHeight="1" outlineLevel="1">
      <c r="A437" s="19">
        <v>565</v>
      </c>
      <c r="B437" s="19">
        <v>522004851</v>
      </c>
      <c r="C437" s="19">
        <v>522004851</v>
      </c>
      <c r="D437" s="50" t="s">
        <v>13</v>
      </c>
      <c r="E437" s="19" t="s">
        <v>724</v>
      </c>
      <c r="F437" s="19" t="s">
        <v>1614</v>
      </c>
      <c r="G437" s="19" t="s">
        <v>1615</v>
      </c>
      <c r="H437" s="69" t="s">
        <v>1625</v>
      </c>
      <c r="I437" s="70" t="s">
        <v>543</v>
      </c>
      <c r="J437" s="70" t="s">
        <v>289</v>
      </c>
      <c r="K437" s="71">
        <v>1</v>
      </c>
      <c r="L437" s="72">
        <v>522004851</v>
      </c>
      <c r="M437" s="72" t="s">
        <v>1626</v>
      </c>
      <c r="N437" s="73">
        <v>276.8</v>
      </c>
      <c r="O437" s="74" t="s">
        <v>279</v>
      </c>
      <c r="P437" s="73">
        <v>399.95</v>
      </c>
      <c r="Q437" s="80" t="s">
        <v>279</v>
      </c>
      <c r="W437" s="76" t="s">
        <v>1627</v>
      </c>
      <c r="X437" s="77">
        <v>276.8</v>
      </c>
      <c r="Y437" s="78">
        <v>0</v>
      </c>
      <c r="AA437" s="79">
        <v>276.8</v>
      </c>
      <c r="AB437" s="79">
        <v>276.8</v>
      </c>
      <c r="AC437" s="78">
        <v>0</v>
      </c>
      <c r="AE437" s="63" t="s">
        <v>219</v>
      </c>
      <c r="AF437" s="63">
        <v>0</v>
      </c>
      <c r="AG437" s="63">
        <v>0</v>
      </c>
      <c r="AK437" s="77">
        <v>0</v>
      </c>
      <c r="BA437" s="41" t="s">
        <v>230</v>
      </c>
      <c r="BB437" s="41" t="s">
        <v>15</v>
      </c>
      <c r="BC437" s="41" t="s">
        <v>232</v>
      </c>
      <c r="BD437" s="41" t="s">
        <v>1580</v>
      </c>
    </row>
    <row r="438" spans="1:56" ht="18" customHeight="1" outlineLevel="1">
      <c r="A438" s="19">
        <v>566</v>
      </c>
      <c r="B438" s="19">
        <v>522004859</v>
      </c>
      <c r="C438" s="19">
        <v>522004859</v>
      </c>
      <c r="D438" s="50" t="s">
        <v>13</v>
      </c>
      <c r="E438" s="19" t="s">
        <v>724</v>
      </c>
      <c r="F438" s="19" t="s">
        <v>1614</v>
      </c>
      <c r="G438" s="19" t="s">
        <v>1615</v>
      </c>
      <c r="H438" s="69" t="s">
        <v>1628</v>
      </c>
      <c r="I438" s="70" t="s">
        <v>547</v>
      </c>
      <c r="J438" s="70" t="s">
        <v>480</v>
      </c>
      <c r="K438" s="71">
        <v>1</v>
      </c>
      <c r="L438" s="72">
        <v>522004859</v>
      </c>
      <c r="M438" s="72" t="s">
        <v>1629</v>
      </c>
      <c r="N438" s="73">
        <v>276.8</v>
      </c>
      <c r="O438" s="74" t="s">
        <v>279</v>
      </c>
      <c r="P438" s="73">
        <v>399.95</v>
      </c>
      <c r="Q438" s="80" t="s">
        <v>279</v>
      </c>
      <c r="W438" s="76" t="s">
        <v>1630</v>
      </c>
      <c r="X438" s="77">
        <v>276.8</v>
      </c>
      <c r="Y438" s="78">
        <v>0</v>
      </c>
      <c r="AA438" s="79">
        <v>276.8</v>
      </c>
      <c r="AB438" s="79">
        <v>276.8</v>
      </c>
      <c r="AC438" s="78">
        <v>0</v>
      </c>
      <c r="AE438" s="63" t="s">
        <v>219</v>
      </c>
      <c r="AF438" s="63">
        <v>0</v>
      </c>
      <c r="AG438" s="63">
        <v>0</v>
      </c>
      <c r="AK438" s="77">
        <v>0</v>
      </c>
      <c r="BA438" s="41" t="s">
        <v>230</v>
      </c>
      <c r="BB438" s="41" t="s">
        <v>15</v>
      </c>
      <c r="BC438" s="41" t="s">
        <v>232</v>
      </c>
      <c r="BD438" s="41" t="s">
        <v>1580</v>
      </c>
    </row>
    <row r="439" spans="1:56" ht="27" customHeight="1" outlineLevel="1">
      <c r="A439" s="19">
        <v>567</v>
      </c>
      <c r="B439" s="19" t="s">
        <v>219</v>
      </c>
      <c r="C439" s="19" t="s">
        <v>219</v>
      </c>
      <c r="D439" s="50" t="s">
        <v>219</v>
      </c>
      <c r="E439" s="19" t="s">
        <v>219</v>
      </c>
      <c r="F439" s="19" t="s">
        <v>219</v>
      </c>
      <c r="G439" s="19" t="s">
        <v>219</v>
      </c>
      <c r="H439" s="81" t="s">
        <v>219</v>
      </c>
      <c r="I439" s="70" t="s">
        <v>219</v>
      </c>
      <c r="J439" s="70" t="s">
        <v>219</v>
      </c>
      <c r="K439" s="71" t="s">
        <v>219</v>
      </c>
      <c r="L439" s="72" t="s">
        <v>219</v>
      </c>
      <c r="M439" s="72" t="s">
        <v>219</v>
      </c>
      <c r="N439" s="73" t="s">
        <v>219</v>
      </c>
      <c r="O439" s="74" t="s">
        <v>219</v>
      </c>
      <c r="P439" s="73" t="s">
        <v>219</v>
      </c>
      <c r="Q439" s="80" t="s">
        <v>219</v>
      </c>
      <c r="W439" s="76" t="s">
        <v>219</v>
      </c>
      <c r="X439" s="77" t="s">
        <v>219</v>
      </c>
      <c r="Y439" s="78">
        <v>0</v>
      </c>
      <c r="AA439" s="79" t="s">
        <v>219</v>
      </c>
      <c r="AB439" s="79" t="s">
        <v>219</v>
      </c>
      <c r="AC439" s="78">
        <v>0</v>
      </c>
      <c r="AE439" s="63" t="s">
        <v>230</v>
      </c>
      <c r="AF439" s="63">
        <v>0</v>
      </c>
      <c r="AG439" s="63" t="s">
        <v>219</v>
      </c>
      <c r="AK439" s="77">
        <v>0</v>
      </c>
      <c r="BA439" s="41" t="s">
        <v>230</v>
      </c>
      <c r="BB439" s="41" t="s">
        <v>15</v>
      </c>
      <c r="BC439" s="41" t="s">
        <v>232</v>
      </c>
      <c r="BD439" s="41" t="s">
        <v>1580</v>
      </c>
    </row>
    <row r="440" spans="1:56" ht="27" customHeight="1" outlineLevel="1">
      <c r="A440" s="19">
        <v>568</v>
      </c>
      <c r="B440" s="19" t="s">
        <v>219</v>
      </c>
      <c r="C440" s="19" t="s">
        <v>219</v>
      </c>
      <c r="D440" s="50" t="s">
        <v>1631</v>
      </c>
      <c r="E440" s="19" t="s">
        <v>219</v>
      </c>
      <c r="F440" s="19" t="s">
        <v>219</v>
      </c>
      <c r="G440" s="19" t="s">
        <v>219</v>
      </c>
      <c r="H440" s="81" t="s">
        <v>1631</v>
      </c>
      <c r="I440" s="70" t="s">
        <v>219</v>
      </c>
      <c r="J440" s="70" t="s">
        <v>219</v>
      </c>
      <c r="K440" s="71" t="s">
        <v>219</v>
      </c>
      <c r="L440" s="72" t="s">
        <v>219</v>
      </c>
      <c r="M440" s="72" t="s">
        <v>219</v>
      </c>
      <c r="N440" s="73" t="s">
        <v>219</v>
      </c>
      <c r="O440" s="74" t="s">
        <v>219</v>
      </c>
      <c r="P440" s="73" t="s">
        <v>219</v>
      </c>
      <c r="Q440" s="80" t="s">
        <v>219</v>
      </c>
      <c r="W440" s="76" t="s">
        <v>219</v>
      </c>
      <c r="X440" s="77" t="s">
        <v>219</v>
      </c>
      <c r="Y440" s="78">
        <v>0</v>
      </c>
      <c r="AA440" s="79" t="s">
        <v>219</v>
      </c>
      <c r="AB440" s="79" t="s">
        <v>219</v>
      </c>
      <c r="AC440" s="78">
        <v>0</v>
      </c>
      <c r="AE440" s="63" t="s">
        <v>230</v>
      </c>
      <c r="AF440" s="63">
        <v>1</v>
      </c>
      <c r="AG440" s="63" t="s">
        <v>219</v>
      </c>
      <c r="AK440" s="77">
        <v>0</v>
      </c>
      <c r="BA440" s="41" t="s">
        <v>230</v>
      </c>
      <c r="BB440" s="41" t="s">
        <v>15</v>
      </c>
      <c r="BC440" s="41" t="s">
        <v>232</v>
      </c>
      <c r="BD440" s="41" t="s">
        <v>1632</v>
      </c>
    </row>
    <row r="441" spans="1:56" ht="18" customHeight="1" outlineLevel="1">
      <c r="A441" s="19">
        <v>569</v>
      </c>
      <c r="B441" s="19">
        <v>522002177</v>
      </c>
      <c r="C441" s="19">
        <v>522002177</v>
      </c>
      <c r="D441" s="50" t="s">
        <v>13</v>
      </c>
      <c r="E441" s="19" t="s">
        <v>1633</v>
      </c>
      <c r="F441" s="19" t="s">
        <v>1634</v>
      </c>
      <c r="G441" s="19" t="s">
        <v>1635</v>
      </c>
      <c r="H441" s="69" t="s">
        <v>1636</v>
      </c>
      <c r="I441" s="70" t="s">
        <v>543</v>
      </c>
      <c r="J441" s="70" t="s">
        <v>289</v>
      </c>
      <c r="K441" s="71">
        <v>1</v>
      </c>
      <c r="L441" s="72">
        <v>522002177</v>
      </c>
      <c r="M441" s="72" t="s">
        <v>1637</v>
      </c>
      <c r="N441" s="73">
        <v>173</v>
      </c>
      <c r="O441" s="74" t="s">
        <v>279</v>
      </c>
      <c r="P441" s="73">
        <v>249.95</v>
      </c>
      <c r="Q441" s="80" t="s">
        <v>279</v>
      </c>
      <c r="W441" s="76" t="s">
        <v>1638</v>
      </c>
      <c r="X441" s="77">
        <v>173</v>
      </c>
      <c r="Y441" s="78">
        <v>0</v>
      </c>
      <c r="AA441" s="79">
        <v>173</v>
      </c>
      <c r="AB441" s="79">
        <v>173</v>
      </c>
      <c r="AC441" s="78">
        <v>0</v>
      </c>
      <c r="AE441" s="63" t="s">
        <v>219</v>
      </c>
      <c r="AF441" s="63">
        <v>1</v>
      </c>
      <c r="AG441" s="63">
        <v>1</v>
      </c>
      <c r="AK441" s="77">
        <v>0</v>
      </c>
      <c r="BA441" s="41" t="s">
        <v>230</v>
      </c>
      <c r="BB441" s="41" t="s">
        <v>15</v>
      </c>
      <c r="BC441" s="41" t="s">
        <v>232</v>
      </c>
      <c r="BD441" s="41" t="s">
        <v>1632</v>
      </c>
    </row>
    <row r="442" spans="1:56" ht="18" customHeight="1" outlineLevel="1">
      <c r="A442" s="19">
        <v>570</v>
      </c>
      <c r="B442" s="19">
        <v>522002189</v>
      </c>
      <c r="C442" s="19">
        <v>522002189</v>
      </c>
      <c r="D442" s="50" t="s">
        <v>13</v>
      </c>
      <c r="E442" s="19" t="s">
        <v>1633</v>
      </c>
      <c r="F442" s="19" t="s">
        <v>1634</v>
      </c>
      <c r="G442" s="19" t="s">
        <v>1635</v>
      </c>
      <c r="H442" s="69" t="s">
        <v>1639</v>
      </c>
      <c r="I442" s="70" t="s">
        <v>547</v>
      </c>
      <c r="J442" s="70" t="s">
        <v>480</v>
      </c>
      <c r="K442" s="71">
        <v>1</v>
      </c>
      <c r="L442" s="72">
        <v>522002189</v>
      </c>
      <c r="M442" s="72" t="s">
        <v>1640</v>
      </c>
      <c r="N442" s="73">
        <v>173</v>
      </c>
      <c r="O442" s="74" t="s">
        <v>279</v>
      </c>
      <c r="P442" s="73">
        <v>249.95</v>
      </c>
      <c r="Q442" s="80" t="s">
        <v>279</v>
      </c>
      <c r="W442" s="76" t="s">
        <v>1641</v>
      </c>
      <c r="X442" s="77">
        <v>173</v>
      </c>
      <c r="Y442" s="78">
        <v>0</v>
      </c>
      <c r="AA442" s="79">
        <v>173</v>
      </c>
      <c r="AB442" s="79">
        <v>173</v>
      </c>
      <c r="AC442" s="78">
        <v>0</v>
      </c>
      <c r="AE442" s="63" t="s">
        <v>219</v>
      </c>
      <c r="AF442" s="63">
        <v>1</v>
      </c>
      <c r="AG442" s="63">
        <v>1</v>
      </c>
      <c r="AK442" s="77">
        <v>0</v>
      </c>
      <c r="BA442" s="41" t="s">
        <v>230</v>
      </c>
      <c r="BB442" s="41" t="s">
        <v>15</v>
      </c>
      <c r="BC442" s="41" t="s">
        <v>232</v>
      </c>
      <c r="BD442" s="41" t="s">
        <v>1632</v>
      </c>
    </row>
    <row r="443" spans="1:56" ht="27" customHeight="1" outlineLevel="1">
      <c r="A443" s="19">
        <v>571</v>
      </c>
      <c r="B443" s="19" t="s">
        <v>219</v>
      </c>
      <c r="C443" s="19" t="s">
        <v>219</v>
      </c>
      <c r="D443" s="50" t="s">
        <v>219</v>
      </c>
      <c r="E443" s="19" t="s">
        <v>219</v>
      </c>
      <c r="F443" s="19" t="s">
        <v>219</v>
      </c>
      <c r="G443" s="19" t="s">
        <v>219</v>
      </c>
      <c r="H443" s="81" t="s">
        <v>219</v>
      </c>
      <c r="I443" s="70" t="s">
        <v>219</v>
      </c>
      <c r="J443" s="70" t="s">
        <v>219</v>
      </c>
      <c r="K443" s="71" t="s">
        <v>219</v>
      </c>
      <c r="L443" s="72" t="s">
        <v>219</v>
      </c>
      <c r="M443" s="72" t="s">
        <v>219</v>
      </c>
      <c r="N443" s="73" t="s">
        <v>219</v>
      </c>
      <c r="O443" s="74" t="s">
        <v>219</v>
      </c>
      <c r="P443" s="73" t="s">
        <v>219</v>
      </c>
      <c r="Q443" s="80" t="s">
        <v>219</v>
      </c>
      <c r="W443" s="76" t="s">
        <v>219</v>
      </c>
      <c r="X443" s="77" t="s">
        <v>219</v>
      </c>
      <c r="Y443" s="78">
        <v>0</v>
      </c>
      <c r="AA443" s="79" t="s">
        <v>219</v>
      </c>
      <c r="AB443" s="79" t="s">
        <v>219</v>
      </c>
      <c r="AC443" s="78">
        <v>0</v>
      </c>
      <c r="AE443" s="63" t="s">
        <v>230</v>
      </c>
      <c r="AF443" s="63">
        <v>0</v>
      </c>
      <c r="AG443" s="63" t="s">
        <v>219</v>
      </c>
      <c r="AK443" s="77">
        <v>0</v>
      </c>
      <c r="BA443" s="41" t="s">
        <v>230</v>
      </c>
      <c r="BB443" s="41" t="s">
        <v>15</v>
      </c>
      <c r="BC443" s="41" t="s">
        <v>232</v>
      </c>
      <c r="BD443" s="41" t="s">
        <v>1632</v>
      </c>
    </row>
    <row r="444" spans="1:56" ht="18" customHeight="1" outlineLevel="1">
      <c r="A444" s="19">
        <v>572</v>
      </c>
      <c r="B444" s="19">
        <v>523001089</v>
      </c>
      <c r="C444" s="19">
        <v>523001089</v>
      </c>
      <c r="D444" s="50" t="s">
        <v>13</v>
      </c>
      <c r="E444" s="19" t="s">
        <v>1633</v>
      </c>
      <c r="F444" s="19" t="s">
        <v>1642</v>
      </c>
      <c r="G444" s="19" t="s">
        <v>1643</v>
      </c>
      <c r="H444" s="69" t="s">
        <v>1644</v>
      </c>
      <c r="I444" s="70" t="s">
        <v>543</v>
      </c>
      <c r="J444" s="70" t="s">
        <v>289</v>
      </c>
      <c r="K444" s="71">
        <v>1</v>
      </c>
      <c r="L444" s="72">
        <v>523001089</v>
      </c>
      <c r="M444" s="72" t="s">
        <v>1645</v>
      </c>
      <c r="N444" s="73">
        <v>193.79999999999998</v>
      </c>
      <c r="O444" s="74" t="s">
        <v>279</v>
      </c>
      <c r="P444" s="73">
        <v>279.95</v>
      </c>
      <c r="Q444" s="80" t="s">
        <v>279</v>
      </c>
      <c r="W444" s="76" t="s">
        <v>1646</v>
      </c>
      <c r="X444" s="77">
        <v>193.79999999999998</v>
      </c>
      <c r="Y444" s="78">
        <v>0</v>
      </c>
      <c r="AA444" s="79">
        <v>193.79999999999998</v>
      </c>
      <c r="AB444" s="79">
        <v>193.79999999999998</v>
      </c>
      <c r="AC444" s="78">
        <v>0</v>
      </c>
      <c r="AE444" s="63" t="s">
        <v>219</v>
      </c>
      <c r="AF444" s="63">
        <v>0</v>
      </c>
      <c r="AG444" s="63">
        <v>0</v>
      </c>
      <c r="AK444" s="77">
        <v>0</v>
      </c>
      <c r="BA444" s="41" t="s">
        <v>230</v>
      </c>
      <c r="BB444" s="41" t="s">
        <v>15</v>
      </c>
      <c r="BC444" s="41" t="s">
        <v>232</v>
      </c>
      <c r="BD444" s="41" t="s">
        <v>1632</v>
      </c>
    </row>
    <row r="445" spans="1:56" ht="18" customHeight="1" outlineLevel="1">
      <c r="A445" s="19">
        <v>573</v>
      </c>
      <c r="B445" s="19">
        <v>523001091</v>
      </c>
      <c r="C445" s="19">
        <v>523001091</v>
      </c>
      <c r="D445" s="50" t="s">
        <v>13</v>
      </c>
      <c r="E445" s="19" t="s">
        <v>1633</v>
      </c>
      <c r="F445" s="19" t="s">
        <v>1642</v>
      </c>
      <c r="G445" s="19" t="s">
        <v>1643</v>
      </c>
      <c r="H445" s="69" t="s">
        <v>1647</v>
      </c>
      <c r="I445" s="70" t="s">
        <v>547</v>
      </c>
      <c r="J445" s="70" t="s">
        <v>480</v>
      </c>
      <c r="K445" s="71">
        <v>1</v>
      </c>
      <c r="L445" s="72">
        <v>523001091</v>
      </c>
      <c r="M445" s="72" t="s">
        <v>1648</v>
      </c>
      <c r="N445" s="73">
        <v>193.79999999999998</v>
      </c>
      <c r="O445" s="74" t="s">
        <v>279</v>
      </c>
      <c r="P445" s="73">
        <v>279.95</v>
      </c>
      <c r="Q445" s="80" t="s">
        <v>279</v>
      </c>
      <c r="W445" s="76" t="s">
        <v>1649</v>
      </c>
      <c r="X445" s="77">
        <v>193.79999999999998</v>
      </c>
      <c r="Y445" s="78">
        <v>0</v>
      </c>
      <c r="AA445" s="79">
        <v>193.79999999999998</v>
      </c>
      <c r="AB445" s="79">
        <v>193.79999999999998</v>
      </c>
      <c r="AC445" s="78">
        <v>0</v>
      </c>
      <c r="AE445" s="63" t="s">
        <v>219</v>
      </c>
      <c r="AF445" s="63">
        <v>0</v>
      </c>
      <c r="AG445" s="63">
        <v>0</v>
      </c>
      <c r="AK445" s="77">
        <v>0</v>
      </c>
      <c r="BA445" s="41" t="s">
        <v>230</v>
      </c>
      <c r="BB445" s="41" t="s">
        <v>15</v>
      </c>
      <c r="BC445" s="41" t="s">
        <v>232</v>
      </c>
      <c r="BD445" s="41" t="s">
        <v>1632</v>
      </c>
    </row>
    <row r="446" spans="1:56" ht="18" customHeight="1" outlineLevel="1">
      <c r="A446" s="19">
        <v>574</v>
      </c>
      <c r="B446" s="19">
        <v>523001093</v>
      </c>
      <c r="C446" s="19">
        <v>523001093</v>
      </c>
      <c r="D446" s="50" t="s">
        <v>13</v>
      </c>
      <c r="E446" s="19" t="s">
        <v>1633</v>
      </c>
      <c r="F446" s="19" t="s">
        <v>1642</v>
      </c>
      <c r="G446" s="19" t="s">
        <v>1643</v>
      </c>
      <c r="H446" s="69" t="s">
        <v>1650</v>
      </c>
      <c r="I446" s="70" t="s">
        <v>551</v>
      </c>
      <c r="J446" s="70" t="s">
        <v>521</v>
      </c>
      <c r="K446" s="71">
        <v>1</v>
      </c>
      <c r="L446" s="72">
        <v>523001093</v>
      </c>
      <c r="M446" s="72" t="s">
        <v>1651</v>
      </c>
      <c r="N446" s="73">
        <v>193.79999999999998</v>
      </c>
      <c r="O446" s="74" t="s">
        <v>279</v>
      </c>
      <c r="P446" s="73">
        <v>279.95</v>
      </c>
      <c r="Q446" s="80" t="s">
        <v>279</v>
      </c>
      <c r="W446" s="76" t="s">
        <v>1652</v>
      </c>
      <c r="X446" s="77">
        <v>193.79999999999998</v>
      </c>
      <c r="Y446" s="78">
        <v>0</v>
      </c>
      <c r="AA446" s="79">
        <v>193.79999999999998</v>
      </c>
      <c r="AB446" s="79">
        <v>193.79999999999998</v>
      </c>
      <c r="AC446" s="78">
        <v>0</v>
      </c>
      <c r="AE446" s="63" t="s">
        <v>219</v>
      </c>
      <c r="AF446" s="63">
        <v>0</v>
      </c>
      <c r="AG446" s="63">
        <v>0</v>
      </c>
      <c r="AK446" s="77">
        <v>0</v>
      </c>
      <c r="BA446" s="41" t="s">
        <v>230</v>
      </c>
      <c r="BB446" s="41" t="s">
        <v>15</v>
      </c>
      <c r="BC446" s="41" t="s">
        <v>232</v>
      </c>
      <c r="BD446" s="41" t="s">
        <v>1632</v>
      </c>
    </row>
    <row r="447" spans="1:56" ht="18" customHeight="1" outlineLevel="1">
      <c r="A447" s="19">
        <v>575</v>
      </c>
      <c r="B447" s="19">
        <v>523001095</v>
      </c>
      <c r="C447" s="19">
        <v>523001095</v>
      </c>
      <c r="D447" s="50" t="s">
        <v>13</v>
      </c>
      <c r="E447" s="19" t="s">
        <v>1633</v>
      </c>
      <c r="F447" s="19" t="s">
        <v>1642</v>
      </c>
      <c r="G447" s="19" t="s">
        <v>1643</v>
      </c>
      <c r="H447" s="69" t="s">
        <v>1653</v>
      </c>
      <c r="I447" s="70" t="s">
        <v>578</v>
      </c>
      <c r="J447" s="70" t="s">
        <v>579</v>
      </c>
      <c r="K447" s="71">
        <v>1</v>
      </c>
      <c r="L447" s="72">
        <v>523001095</v>
      </c>
      <c r="M447" s="72" t="s">
        <v>1654</v>
      </c>
      <c r="N447" s="73">
        <v>193.79999999999998</v>
      </c>
      <c r="O447" s="74" t="s">
        <v>279</v>
      </c>
      <c r="P447" s="73">
        <v>279.95</v>
      </c>
      <c r="Q447" s="80" t="s">
        <v>279</v>
      </c>
      <c r="W447" s="76" t="s">
        <v>1655</v>
      </c>
      <c r="X447" s="77">
        <v>193.79999999999998</v>
      </c>
      <c r="Y447" s="78">
        <v>0</v>
      </c>
      <c r="AA447" s="79">
        <v>193.79999999999998</v>
      </c>
      <c r="AB447" s="79">
        <v>193.79999999999998</v>
      </c>
      <c r="AC447" s="78">
        <v>0</v>
      </c>
      <c r="AE447" s="63" t="s">
        <v>219</v>
      </c>
      <c r="AF447" s="63">
        <v>0</v>
      </c>
      <c r="AG447" s="63">
        <v>0</v>
      </c>
      <c r="AK447" s="77">
        <v>0</v>
      </c>
      <c r="BA447" s="41" t="s">
        <v>230</v>
      </c>
      <c r="BB447" s="41" t="s">
        <v>15</v>
      </c>
      <c r="BC447" s="41" t="s">
        <v>232</v>
      </c>
      <c r="BD447" s="41" t="s">
        <v>1632</v>
      </c>
    </row>
    <row r="448" spans="1:56" ht="18" customHeight="1" outlineLevel="1">
      <c r="A448" s="19">
        <v>576</v>
      </c>
      <c r="B448" s="19">
        <v>523001097</v>
      </c>
      <c r="C448" s="19">
        <v>523001097</v>
      </c>
      <c r="D448" s="50" t="s">
        <v>13</v>
      </c>
      <c r="E448" s="19" t="s">
        <v>1633</v>
      </c>
      <c r="F448" s="19" t="s">
        <v>1642</v>
      </c>
      <c r="G448" s="19" t="s">
        <v>1643</v>
      </c>
      <c r="H448" s="69" t="s">
        <v>1656</v>
      </c>
      <c r="I448" s="70" t="s">
        <v>573</v>
      </c>
      <c r="J448" s="70" t="s">
        <v>574</v>
      </c>
      <c r="K448" s="71">
        <v>1</v>
      </c>
      <c r="L448" s="72">
        <v>523001097</v>
      </c>
      <c r="M448" s="72" t="s">
        <v>1657</v>
      </c>
      <c r="N448" s="73">
        <v>193.79999999999998</v>
      </c>
      <c r="O448" s="74" t="s">
        <v>279</v>
      </c>
      <c r="P448" s="73">
        <v>279.95</v>
      </c>
      <c r="Q448" s="80" t="s">
        <v>279</v>
      </c>
      <c r="W448" s="76" t="s">
        <v>1658</v>
      </c>
      <c r="X448" s="77">
        <v>193.79999999999998</v>
      </c>
      <c r="Y448" s="78">
        <v>0</v>
      </c>
      <c r="AA448" s="79">
        <v>193.79999999999998</v>
      </c>
      <c r="AB448" s="79">
        <v>193.79999999999998</v>
      </c>
      <c r="AC448" s="78">
        <v>0</v>
      </c>
      <c r="AE448" s="63" t="s">
        <v>219</v>
      </c>
      <c r="AF448" s="63">
        <v>0</v>
      </c>
      <c r="AG448" s="63">
        <v>0</v>
      </c>
      <c r="AK448" s="77">
        <v>0</v>
      </c>
      <c r="BA448" s="41" t="s">
        <v>230</v>
      </c>
      <c r="BB448" s="41" t="s">
        <v>15</v>
      </c>
      <c r="BC448" s="41" t="s">
        <v>232</v>
      </c>
      <c r="BD448" s="41" t="s">
        <v>1632</v>
      </c>
    </row>
    <row r="449" spans="1:56" ht="27" customHeight="1" outlineLevel="1">
      <c r="A449" s="19">
        <v>577</v>
      </c>
      <c r="B449" s="19" t="s">
        <v>219</v>
      </c>
      <c r="C449" s="19" t="s">
        <v>219</v>
      </c>
      <c r="D449" s="50" t="s">
        <v>219</v>
      </c>
      <c r="E449" s="19" t="s">
        <v>219</v>
      </c>
      <c r="F449" s="19" t="s">
        <v>219</v>
      </c>
      <c r="G449" s="19" t="s">
        <v>219</v>
      </c>
      <c r="H449" s="81" t="s">
        <v>219</v>
      </c>
      <c r="I449" s="70" t="s">
        <v>219</v>
      </c>
      <c r="J449" s="70" t="s">
        <v>219</v>
      </c>
      <c r="K449" s="71" t="s">
        <v>219</v>
      </c>
      <c r="L449" s="72" t="s">
        <v>219</v>
      </c>
      <c r="M449" s="72" t="s">
        <v>219</v>
      </c>
      <c r="N449" s="73" t="s">
        <v>219</v>
      </c>
      <c r="O449" s="74" t="s">
        <v>219</v>
      </c>
      <c r="P449" s="73" t="s">
        <v>219</v>
      </c>
      <c r="Q449" s="80" t="s">
        <v>219</v>
      </c>
      <c r="W449" s="76" t="s">
        <v>219</v>
      </c>
      <c r="X449" s="77" t="s">
        <v>219</v>
      </c>
      <c r="Y449" s="78">
        <v>0</v>
      </c>
      <c r="AA449" s="79" t="s">
        <v>219</v>
      </c>
      <c r="AB449" s="79" t="s">
        <v>219</v>
      </c>
      <c r="AC449" s="78">
        <v>0</v>
      </c>
      <c r="AE449" s="63" t="s">
        <v>230</v>
      </c>
      <c r="AF449" s="63">
        <v>0</v>
      </c>
      <c r="AG449" s="63" t="s">
        <v>219</v>
      </c>
      <c r="AK449" s="77">
        <v>0</v>
      </c>
      <c r="BA449" s="41" t="s">
        <v>230</v>
      </c>
      <c r="BB449" s="41" t="s">
        <v>15</v>
      </c>
      <c r="BC449" s="41" t="s">
        <v>232</v>
      </c>
      <c r="BD449" s="41" t="s">
        <v>1632</v>
      </c>
    </row>
    <row r="450" spans="1:56" ht="27" customHeight="1" outlineLevel="1">
      <c r="A450" s="19">
        <v>578</v>
      </c>
      <c r="B450" s="19" t="s">
        <v>219</v>
      </c>
      <c r="C450" s="19" t="s">
        <v>219</v>
      </c>
      <c r="D450" s="50" t="s">
        <v>823</v>
      </c>
      <c r="E450" s="19" t="s">
        <v>219</v>
      </c>
      <c r="F450" s="19" t="s">
        <v>219</v>
      </c>
      <c r="G450" s="19" t="s">
        <v>219</v>
      </c>
      <c r="H450" s="81" t="s">
        <v>823</v>
      </c>
      <c r="I450" s="70" t="s">
        <v>219</v>
      </c>
      <c r="J450" s="70" t="s">
        <v>219</v>
      </c>
      <c r="K450" s="71" t="s">
        <v>219</v>
      </c>
      <c r="L450" s="72" t="s">
        <v>219</v>
      </c>
      <c r="M450" s="72" t="s">
        <v>219</v>
      </c>
      <c r="N450" s="73" t="s">
        <v>219</v>
      </c>
      <c r="O450" s="74" t="s">
        <v>219</v>
      </c>
      <c r="P450" s="73" t="s">
        <v>219</v>
      </c>
      <c r="Q450" s="80" t="s">
        <v>219</v>
      </c>
      <c r="W450" s="76" t="s">
        <v>219</v>
      </c>
      <c r="X450" s="77" t="s">
        <v>219</v>
      </c>
      <c r="Y450" s="78">
        <v>0</v>
      </c>
      <c r="AA450" s="79" t="s">
        <v>219</v>
      </c>
      <c r="AB450" s="79" t="s">
        <v>219</v>
      </c>
      <c r="AC450" s="78">
        <v>0</v>
      </c>
      <c r="AE450" s="63" t="s">
        <v>230</v>
      </c>
      <c r="AF450" s="63">
        <v>1</v>
      </c>
      <c r="AG450" s="63" t="s">
        <v>219</v>
      </c>
      <c r="AK450" s="77">
        <v>0</v>
      </c>
      <c r="BA450" s="41" t="s">
        <v>230</v>
      </c>
      <c r="BB450" s="41" t="s">
        <v>15</v>
      </c>
      <c r="BC450" s="41" t="s">
        <v>232</v>
      </c>
      <c r="BD450" s="41" t="s">
        <v>1659</v>
      </c>
    </row>
    <row r="451" spans="1:56" ht="18" customHeight="1" outlineLevel="1">
      <c r="A451" s="19">
        <v>579</v>
      </c>
      <c r="B451" s="19">
        <v>522002259</v>
      </c>
      <c r="C451" s="19">
        <v>522002260</v>
      </c>
      <c r="D451" s="50" t="s">
        <v>13</v>
      </c>
      <c r="E451" s="19" t="s">
        <v>825</v>
      </c>
      <c r="F451" s="19" t="s">
        <v>1660</v>
      </c>
      <c r="G451" s="19" t="s">
        <v>1661</v>
      </c>
      <c r="H451" s="69" t="s">
        <v>1662</v>
      </c>
      <c r="I451" s="70" t="s">
        <v>543</v>
      </c>
      <c r="J451" s="70" t="s">
        <v>289</v>
      </c>
      <c r="K451" s="71">
        <v>2</v>
      </c>
      <c r="L451" s="72">
        <v>522002260</v>
      </c>
      <c r="M451" s="72" t="s">
        <v>1663</v>
      </c>
      <c r="N451" s="73">
        <v>124.6</v>
      </c>
      <c r="O451" s="74" t="s">
        <v>279</v>
      </c>
      <c r="P451" s="73">
        <v>179.95</v>
      </c>
      <c r="Q451" s="80" t="s">
        <v>279</v>
      </c>
      <c r="W451" s="76" t="s">
        <v>1664</v>
      </c>
      <c r="X451" s="77">
        <v>124.6</v>
      </c>
      <c r="Y451" s="78">
        <v>0</v>
      </c>
      <c r="AA451" s="79">
        <v>124.6</v>
      </c>
      <c r="AB451" s="79">
        <v>124.6</v>
      </c>
      <c r="AC451" s="78">
        <v>0</v>
      </c>
      <c r="AE451" s="63" t="s">
        <v>219</v>
      </c>
      <c r="AF451" s="63">
        <v>1</v>
      </c>
      <c r="AG451" s="63">
        <v>1</v>
      </c>
      <c r="AK451" s="77">
        <v>0</v>
      </c>
      <c r="BA451" s="41" t="s">
        <v>230</v>
      </c>
      <c r="BB451" s="41" t="s">
        <v>15</v>
      </c>
      <c r="BC451" s="41" t="s">
        <v>232</v>
      </c>
      <c r="BD451" s="41" t="s">
        <v>1659</v>
      </c>
    </row>
    <row r="452" spans="1:56" ht="18" customHeight="1" outlineLevel="1">
      <c r="A452" s="19">
        <v>580</v>
      </c>
      <c r="B452" s="19">
        <v>522002263</v>
      </c>
      <c r="C452" s="19">
        <v>522002264</v>
      </c>
      <c r="D452" s="50" t="s">
        <v>13</v>
      </c>
      <c r="E452" s="19" t="s">
        <v>825</v>
      </c>
      <c r="F452" s="19" t="s">
        <v>1660</v>
      </c>
      <c r="G452" s="19" t="s">
        <v>1661</v>
      </c>
      <c r="H452" s="69" t="s">
        <v>1665</v>
      </c>
      <c r="I452" s="70" t="s">
        <v>547</v>
      </c>
      <c r="J452" s="70" t="s">
        <v>480</v>
      </c>
      <c r="K452" s="71">
        <v>2</v>
      </c>
      <c r="L452" s="72">
        <v>522002264</v>
      </c>
      <c r="M452" s="72" t="s">
        <v>1666</v>
      </c>
      <c r="N452" s="73">
        <v>124.6</v>
      </c>
      <c r="O452" s="74" t="s">
        <v>279</v>
      </c>
      <c r="P452" s="73">
        <v>179.95</v>
      </c>
      <c r="Q452" s="80" t="s">
        <v>279</v>
      </c>
      <c r="W452" s="76" t="s">
        <v>1667</v>
      </c>
      <c r="X452" s="77">
        <v>124.6</v>
      </c>
      <c r="Y452" s="78">
        <v>0</v>
      </c>
      <c r="AA452" s="79">
        <v>124.6</v>
      </c>
      <c r="AB452" s="79">
        <v>124.6</v>
      </c>
      <c r="AC452" s="78">
        <v>0</v>
      </c>
      <c r="AE452" s="63" t="s">
        <v>219</v>
      </c>
      <c r="AF452" s="63">
        <v>1</v>
      </c>
      <c r="AG452" s="63">
        <v>1</v>
      </c>
      <c r="AK452" s="77">
        <v>0</v>
      </c>
      <c r="BA452" s="41" t="s">
        <v>230</v>
      </c>
      <c r="BB452" s="41" t="s">
        <v>15</v>
      </c>
      <c r="BC452" s="41" t="s">
        <v>232</v>
      </c>
      <c r="BD452" s="41" t="s">
        <v>1659</v>
      </c>
    </row>
    <row r="453" spans="1:56" ht="18" customHeight="1" outlineLevel="1">
      <c r="A453" s="19">
        <v>581</v>
      </c>
      <c r="B453" s="19">
        <v>522002265</v>
      </c>
      <c r="C453" s="19">
        <v>522002266</v>
      </c>
      <c r="D453" s="50" t="s">
        <v>13</v>
      </c>
      <c r="E453" s="19" t="s">
        <v>825</v>
      </c>
      <c r="F453" s="19" t="s">
        <v>1660</v>
      </c>
      <c r="G453" s="19" t="s">
        <v>1661</v>
      </c>
      <c r="H453" s="69" t="s">
        <v>1668</v>
      </c>
      <c r="I453" s="70" t="s">
        <v>551</v>
      </c>
      <c r="J453" s="70" t="s">
        <v>521</v>
      </c>
      <c r="K453" s="71">
        <v>2</v>
      </c>
      <c r="L453" s="72">
        <v>522002266</v>
      </c>
      <c r="M453" s="72" t="s">
        <v>1669</v>
      </c>
      <c r="N453" s="73">
        <v>124.6</v>
      </c>
      <c r="O453" s="74" t="s">
        <v>279</v>
      </c>
      <c r="P453" s="73">
        <v>179.95</v>
      </c>
      <c r="Q453" s="80" t="s">
        <v>279</v>
      </c>
      <c r="W453" s="76" t="s">
        <v>1670</v>
      </c>
      <c r="X453" s="77">
        <v>124.6</v>
      </c>
      <c r="Y453" s="78">
        <v>0</v>
      </c>
      <c r="AA453" s="79">
        <v>124.6</v>
      </c>
      <c r="AB453" s="79">
        <v>124.6</v>
      </c>
      <c r="AC453" s="78">
        <v>0</v>
      </c>
      <c r="AE453" s="63" t="s">
        <v>219</v>
      </c>
      <c r="AF453" s="63">
        <v>1</v>
      </c>
      <c r="AG453" s="63">
        <v>1</v>
      </c>
      <c r="AK453" s="77">
        <v>0</v>
      </c>
      <c r="BA453" s="41" t="s">
        <v>230</v>
      </c>
      <c r="BB453" s="41" t="s">
        <v>15</v>
      </c>
      <c r="BC453" s="41" t="s">
        <v>232</v>
      </c>
      <c r="BD453" s="41" t="s">
        <v>1659</v>
      </c>
    </row>
    <row r="454" spans="1:56" ht="18" customHeight="1" outlineLevel="1">
      <c r="A454" s="19">
        <v>582</v>
      </c>
      <c r="B454" s="19">
        <v>522002267</v>
      </c>
      <c r="C454" s="19">
        <v>522002268</v>
      </c>
      <c r="D454" s="50" t="s">
        <v>13</v>
      </c>
      <c r="E454" s="19" t="s">
        <v>825</v>
      </c>
      <c r="F454" s="19" t="s">
        <v>1660</v>
      </c>
      <c r="G454" s="19" t="s">
        <v>1661</v>
      </c>
      <c r="H454" s="69" t="s">
        <v>1671</v>
      </c>
      <c r="I454" s="70" t="s">
        <v>578</v>
      </c>
      <c r="J454" s="70" t="s">
        <v>579</v>
      </c>
      <c r="K454" s="71">
        <v>2</v>
      </c>
      <c r="L454" s="72">
        <v>522002268</v>
      </c>
      <c r="M454" s="72" t="s">
        <v>1672</v>
      </c>
      <c r="N454" s="73">
        <v>124.6</v>
      </c>
      <c r="O454" s="74" t="s">
        <v>279</v>
      </c>
      <c r="P454" s="73">
        <v>179.95</v>
      </c>
      <c r="Q454" s="80" t="s">
        <v>279</v>
      </c>
      <c r="W454" s="76" t="s">
        <v>1673</v>
      </c>
      <c r="X454" s="77">
        <v>124.6</v>
      </c>
      <c r="Y454" s="78">
        <v>0</v>
      </c>
      <c r="AA454" s="79">
        <v>124.6</v>
      </c>
      <c r="AB454" s="79">
        <v>124.6</v>
      </c>
      <c r="AC454" s="78">
        <v>0</v>
      </c>
      <c r="AE454" s="63" t="s">
        <v>219</v>
      </c>
      <c r="AF454" s="63">
        <v>1</v>
      </c>
      <c r="AG454" s="63">
        <v>1</v>
      </c>
      <c r="AK454" s="77">
        <v>0</v>
      </c>
      <c r="BA454" s="41" t="s">
        <v>230</v>
      </c>
      <c r="BB454" s="41" t="s">
        <v>15</v>
      </c>
      <c r="BC454" s="41" t="s">
        <v>232</v>
      </c>
      <c r="BD454" s="41" t="s">
        <v>1659</v>
      </c>
    </row>
    <row r="455" spans="1:56" ht="18" customHeight="1" outlineLevel="1">
      <c r="A455" s="19">
        <v>583</v>
      </c>
      <c r="B455" s="19">
        <v>522002269</v>
      </c>
      <c r="C455" s="19">
        <v>522002270</v>
      </c>
      <c r="D455" s="50" t="s">
        <v>13</v>
      </c>
      <c r="E455" s="19" t="s">
        <v>825</v>
      </c>
      <c r="F455" s="19" t="s">
        <v>1660</v>
      </c>
      <c r="G455" s="19" t="s">
        <v>1661</v>
      </c>
      <c r="H455" s="69" t="s">
        <v>1674</v>
      </c>
      <c r="I455" s="70" t="s">
        <v>560</v>
      </c>
      <c r="J455" s="70" t="s">
        <v>329</v>
      </c>
      <c r="K455" s="71">
        <v>2</v>
      </c>
      <c r="L455" s="72">
        <v>522002270</v>
      </c>
      <c r="M455" s="72" t="s">
        <v>1675</v>
      </c>
      <c r="N455" s="73">
        <v>124.6</v>
      </c>
      <c r="O455" s="74" t="s">
        <v>279</v>
      </c>
      <c r="P455" s="73">
        <v>179.95</v>
      </c>
      <c r="Q455" s="80" t="s">
        <v>279</v>
      </c>
      <c r="W455" s="76" t="s">
        <v>1676</v>
      </c>
      <c r="X455" s="77">
        <v>124.6</v>
      </c>
      <c r="Y455" s="78">
        <v>0</v>
      </c>
      <c r="AA455" s="79">
        <v>124.6</v>
      </c>
      <c r="AB455" s="79">
        <v>124.6</v>
      </c>
      <c r="AC455" s="78">
        <v>0</v>
      </c>
      <c r="AE455" s="63" t="s">
        <v>219</v>
      </c>
      <c r="AF455" s="63">
        <v>1</v>
      </c>
      <c r="AG455" s="63">
        <v>1</v>
      </c>
      <c r="AK455" s="77">
        <v>0</v>
      </c>
      <c r="BA455" s="41" t="s">
        <v>230</v>
      </c>
      <c r="BB455" s="41" t="s">
        <v>15</v>
      </c>
      <c r="BC455" s="41" t="s">
        <v>232</v>
      </c>
      <c r="BD455" s="41" t="s">
        <v>1659</v>
      </c>
    </row>
    <row r="456" spans="1:56" ht="18" customHeight="1" outlineLevel="1">
      <c r="A456" s="19">
        <v>584</v>
      </c>
      <c r="B456" s="19">
        <v>522002271</v>
      </c>
      <c r="C456" s="19">
        <v>522002272</v>
      </c>
      <c r="D456" s="50" t="s">
        <v>13</v>
      </c>
      <c r="E456" s="19" t="s">
        <v>825</v>
      </c>
      <c r="F456" s="19" t="s">
        <v>1660</v>
      </c>
      <c r="G456" s="19" t="s">
        <v>1661</v>
      </c>
      <c r="H456" s="69" t="s">
        <v>1677</v>
      </c>
      <c r="I456" s="70" t="s">
        <v>573</v>
      </c>
      <c r="J456" s="70" t="s">
        <v>574</v>
      </c>
      <c r="K456" s="71">
        <v>2</v>
      </c>
      <c r="L456" s="72">
        <v>522002272</v>
      </c>
      <c r="M456" s="72" t="s">
        <v>1678</v>
      </c>
      <c r="N456" s="73">
        <v>124.6</v>
      </c>
      <c r="O456" s="74" t="s">
        <v>279</v>
      </c>
      <c r="P456" s="73">
        <v>179.95</v>
      </c>
      <c r="Q456" s="80" t="s">
        <v>279</v>
      </c>
      <c r="W456" s="76" t="s">
        <v>1679</v>
      </c>
      <c r="X456" s="77">
        <v>124.6</v>
      </c>
      <c r="Y456" s="78">
        <v>0</v>
      </c>
      <c r="AA456" s="79">
        <v>124.6</v>
      </c>
      <c r="AB456" s="79">
        <v>124.6</v>
      </c>
      <c r="AC456" s="78">
        <v>0</v>
      </c>
      <c r="AE456" s="63" t="s">
        <v>219</v>
      </c>
      <c r="AF456" s="63">
        <v>1</v>
      </c>
      <c r="AG456" s="63">
        <v>1</v>
      </c>
      <c r="AK456" s="77">
        <v>0</v>
      </c>
      <c r="BA456" s="41" t="s">
        <v>230</v>
      </c>
      <c r="BB456" s="41" t="s">
        <v>15</v>
      </c>
      <c r="BC456" s="41" t="s">
        <v>232</v>
      </c>
      <c r="BD456" s="41" t="s">
        <v>1659</v>
      </c>
    </row>
    <row r="457" spans="1:56" ht="18" customHeight="1" outlineLevel="1">
      <c r="A457" s="19">
        <v>585</v>
      </c>
      <c r="B457" s="19">
        <v>522002273</v>
      </c>
      <c r="C457" s="19">
        <v>522002274</v>
      </c>
      <c r="D457" s="50" t="s">
        <v>13</v>
      </c>
      <c r="E457" s="19" t="s">
        <v>825</v>
      </c>
      <c r="F457" s="19" t="s">
        <v>1660</v>
      </c>
      <c r="G457" s="19" t="s">
        <v>1661</v>
      </c>
      <c r="H457" s="69" t="s">
        <v>1680</v>
      </c>
      <c r="I457" s="70" t="s">
        <v>568</v>
      </c>
      <c r="J457" s="70" t="s">
        <v>569</v>
      </c>
      <c r="K457" s="71">
        <v>2</v>
      </c>
      <c r="L457" s="72">
        <v>522002274</v>
      </c>
      <c r="M457" s="72" t="s">
        <v>1681</v>
      </c>
      <c r="N457" s="73">
        <v>124.6</v>
      </c>
      <c r="O457" s="74" t="s">
        <v>279</v>
      </c>
      <c r="P457" s="73">
        <v>179.95</v>
      </c>
      <c r="Q457" s="80" t="s">
        <v>279</v>
      </c>
      <c r="W457" s="76" t="s">
        <v>1682</v>
      </c>
      <c r="X457" s="77">
        <v>124.6</v>
      </c>
      <c r="Y457" s="78">
        <v>0</v>
      </c>
      <c r="AA457" s="79">
        <v>124.6</v>
      </c>
      <c r="AB457" s="79">
        <v>124.6</v>
      </c>
      <c r="AC457" s="78">
        <v>0</v>
      </c>
      <c r="AE457" s="63" t="s">
        <v>219</v>
      </c>
      <c r="AF457" s="63">
        <v>1</v>
      </c>
      <c r="AG457" s="63">
        <v>1</v>
      </c>
      <c r="AK457" s="77">
        <v>0</v>
      </c>
      <c r="BA457" s="41" t="s">
        <v>230</v>
      </c>
      <c r="BB457" s="41" t="s">
        <v>15</v>
      </c>
      <c r="BC457" s="41" t="s">
        <v>232</v>
      </c>
      <c r="BD457" s="41" t="s">
        <v>1659</v>
      </c>
    </row>
    <row r="458" spans="1:56" s="57" customFormat="1" ht="27" customHeight="1" outlineLevel="1">
      <c r="A458" s="49">
        <v>586</v>
      </c>
      <c r="B458" s="19" t="s">
        <v>219</v>
      </c>
      <c r="C458" s="19" t="s">
        <v>219</v>
      </c>
      <c r="D458" s="50" t="s">
        <v>219</v>
      </c>
      <c r="E458" s="19" t="s">
        <v>219</v>
      </c>
      <c r="F458" s="19" t="s">
        <v>219</v>
      </c>
      <c r="G458" s="19" t="s">
        <v>219</v>
      </c>
      <c r="H458" s="81" t="s">
        <v>219</v>
      </c>
      <c r="I458" s="64" t="s">
        <v>219</v>
      </c>
      <c r="J458" s="70" t="s">
        <v>219</v>
      </c>
      <c r="K458" s="53" t="s">
        <v>219</v>
      </c>
      <c r="L458" s="20" t="s">
        <v>219</v>
      </c>
      <c r="M458" s="72" t="s">
        <v>219</v>
      </c>
      <c r="N458" s="54" t="s">
        <v>219</v>
      </c>
      <c r="O458" s="56" t="s">
        <v>219</v>
      </c>
      <c r="P458" s="54" t="s">
        <v>219</v>
      </c>
      <c r="Q458" s="56" t="s">
        <v>219</v>
      </c>
      <c r="R458" s="27"/>
      <c r="S458" s="58"/>
      <c r="T458" s="51"/>
      <c r="U458" s="51"/>
      <c r="V458" s="51"/>
      <c r="W458" s="76" t="s">
        <v>219</v>
      </c>
      <c r="X458" s="77" t="s">
        <v>219</v>
      </c>
      <c r="Y458" s="78">
        <v>0</v>
      </c>
      <c r="Z458" s="29"/>
      <c r="AA458" s="79" t="s">
        <v>219</v>
      </c>
      <c r="AB458" s="79" t="s">
        <v>219</v>
      </c>
      <c r="AC458" s="78">
        <v>0</v>
      </c>
      <c r="AD458" s="29"/>
      <c r="AE458" s="63" t="s">
        <v>230</v>
      </c>
      <c r="AF458" s="63">
        <v>0</v>
      </c>
      <c r="AG458" s="63" t="s">
        <v>219</v>
      </c>
      <c r="AH458" s="29"/>
      <c r="AI458" s="27"/>
      <c r="AJ458" s="29"/>
      <c r="AK458" s="77">
        <v>0</v>
      </c>
      <c r="BA458" s="41" t="s">
        <v>230</v>
      </c>
      <c r="BB458" s="41" t="s">
        <v>15</v>
      </c>
      <c r="BC458" s="41" t="s">
        <v>232</v>
      </c>
      <c r="BD458" s="41" t="s">
        <v>1659</v>
      </c>
    </row>
    <row r="459" spans="1:56" s="57" customFormat="1" ht="18" customHeight="1" outlineLevel="1">
      <c r="A459" s="49">
        <v>587</v>
      </c>
      <c r="B459" s="19">
        <v>522002275</v>
      </c>
      <c r="C459" s="19">
        <v>522002275</v>
      </c>
      <c r="D459" s="50" t="s">
        <v>13</v>
      </c>
      <c r="E459" s="19" t="s">
        <v>825</v>
      </c>
      <c r="F459" s="19" t="s">
        <v>1683</v>
      </c>
      <c r="G459" s="19" t="s">
        <v>1684</v>
      </c>
      <c r="H459" s="69" t="s">
        <v>1685</v>
      </c>
      <c r="I459" s="64" t="s">
        <v>543</v>
      </c>
      <c r="J459" s="70" t="s">
        <v>289</v>
      </c>
      <c r="K459" s="53">
        <v>1</v>
      </c>
      <c r="L459" s="20">
        <v>522002275</v>
      </c>
      <c r="M459" s="72" t="s">
        <v>1686</v>
      </c>
      <c r="N459" s="54">
        <v>138.4</v>
      </c>
      <c r="O459" s="56" t="s">
        <v>279</v>
      </c>
      <c r="P459" s="54">
        <v>199.95</v>
      </c>
      <c r="Q459" s="56" t="s">
        <v>279</v>
      </c>
      <c r="R459" s="27"/>
      <c r="S459" s="58"/>
      <c r="T459" s="51"/>
      <c r="U459" s="51"/>
      <c r="V459" s="51"/>
      <c r="W459" s="76" t="s">
        <v>1687</v>
      </c>
      <c r="X459" s="77">
        <v>138.4</v>
      </c>
      <c r="Y459" s="78">
        <v>0</v>
      </c>
      <c r="Z459" s="29"/>
      <c r="AA459" s="79">
        <v>138.4</v>
      </c>
      <c r="AB459" s="79">
        <v>138.4</v>
      </c>
      <c r="AC459" s="78">
        <v>0</v>
      </c>
      <c r="AD459" s="29"/>
      <c r="AE459" s="63" t="s">
        <v>219</v>
      </c>
      <c r="AF459" s="63">
        <v>0</v>
      </c>
      <c r="AG459" s="63">
        <v>0</v>
      </c>
      <c r="AH459" s="29"/>
      <c r="AI459" s="27"/>
      <c r="AJ459" s="29"/>
      <c r="AK459" s="77">
        <v>0</v>
      </c>
      <c r="BA459" s="41" t="s">
        <v>230</v>
      </c>
      <c r="BB459" s="41" t="s">
        <v>15</v>
      </c>
      <c r="BC459" s="41" t="s">
        <v>232</v>
      </c>
      <c r="BD459" s="41" t="s">
        <v>1659</v>
      </c>
    </row>
    <row r="460" spans="1:56" ht="18" customHeight="1" outlineLevel="1">
      <c r="A460" s="19">
        <v>588</v>
      </c>
      <c r="B460" s="19">
        <v>522002283</v>
      </c>
      <c r="C460" s="19">
        <v>522002283</v>
      </c>
      <c r="D460" s="50" t="s">
        <v>13</v>
      </c>
      <c r="E460" s="19" t="s">
        <v>825</v>
      </c>
      <c r="F460" s="19" t="s">
        <v>1683</v>
      </c>
      <c r="G460" s="19" t="s">
        <v>1684</v>
      </c>
      <c r="H460" s="69" t="s">
        <v>1688</v>
      </c>
      <c r="I460" s="70" t="s">
        <v>547</v>
      </c>
      <c r="J460" s="70" t="s">
        <v>480</v>
      </c>
      <c r="K460" s="71">
        <v>1</v>
      </c>
      <c r="L460" s="72">
        <v>522002283</v>
      </c>
      <c r="M460" s="72" t="s">
        <v>1689</v>
      </c>
      <c r="N460" s="73">
        <v>138.4</v>
      </c>
      <c r="O460" s="74" t="s">
        <v>279</v>
      </c>
      <c r="P460" s="73">
        <v>199.95</v>
      </c>
      <c r="Q460" s="80" t="s">
        <v>279</v>
      </c>
      <c r="W460" s="76" t="s">
        <v>1690</v>
      </c>
      <c r="X460" s="77">
        <v>138.4</v>
      </c>
      <c r="Y460" s="78">
        <v>0</v>
      </c>
      <c r="AA460" s="79">
        <v>138.4</v>
      </c>
      <c r="AB460" s="79">
        <v>138.4</v>
      </c>
      <c r="AC460" s="78">
        <v>0</v>
      </c>
      <c r="AE460" s="63" t="s">
        <v>219</v>
      </c>
      <c r="AF460" s="63">
        <v>0</v>
      </c>
      <c r="AG460" s="63">
        <v>0</v>
      </c>
      <c r="AK460" s="77">
        <v>0</v>
      </c>
      <c r="BA460" s="41" t="s">
        <v>230</v>
      </c>
      <c r="BB460" s="41" t="s">
        <v>15</v>
      </c>
      <c r="BC460" s="41" t="s">
        <v>232</v>
      </c>
      <c r="BD460" s="41" t="s">
        <v>1659</v>
      </c>
    </row>
    <row r="461" spans="1:56" ht="27" customHeight="1" outlineLevel="1">
      <c r="A461" s="19">
        <v>589</v>
      </c>
      <c r="B461" s="19" t="s">
        <v>219</v>
      </c>
      <c r="C461" s="19" t="s">
        <v>219</v>
      </c>
      <c r="D461" s="50" t="s">
        <v>219</v>
      </c>
      <c r="E461" s="19" t="s">
        <v>219</v>
      </c>
      <c r="F461" s="19" t="s">
        <v>219</v>
      </c>
      <c r="G461" s="19" t="s">
        <v>219</v>
      </c>
      <c r="H461" s="81" t="s">
        <v>219</v>
      </c>
      <c r="I461" s="70" t="s">
        <v>219</v>
      </c>
      <c r="J461" s="70" t="s">
        <v>219</v>
      </c>
      <c r="K461" s="71" t="s">
        <v>219</v>
      </c>
      <c r="L461" s="72" t="s">
        <v>219</v>
      </c>
      <c r="M461" s="72" t="s">
        <v>219</v>
      </c>
      <c r="N461" s="73" t="s">
        <v>219</v>
      </c>
      <c r="O461" s="74" t="s">
        <v>219</v>
      </c>
      <c r="P461" s="73" t="s">
        <v>219</v>
      </c>
      <c r="Q461" s="80" t="s">
        <v>219</v>
      </c>
      <c r="W461" s="76" t="s">
        <v>219</v>
      </c>
      <c r="X461" s="77" t="s">
        <v>219</v>
      </c>
      <c r="Y461" s="78">
        <v>0</v>
      </c>
      <c r="AA461" s="79" t="s">
        <v>219</v>
      </c>
      <c r="AB461" s="79" t="s">
        <v>219</v>
      </c>
      <c r="AC461" s="78">
        <v>0</v>
      </c>
      <c r="AE461" s="63" t="s">
        <v>230</v>
      </c>
      <c r="AF461" s="63">
        <v>1</v>
      </c>
      <c r="AG461" s="63" t="s">
        <v>219</v>
      </c>
      <c r="AK461" s="77">
        <v>0</v>
      </c>
      <c r="BA461" s="41" t="s">
        <v>230</v>
      </c>
      <c r="BB461" s="41" t="s">
        <v>15</v>
      </c>
      <c r="BC461" s="41" t="s">
        <v>232</v>
      </c>
      <c r="BD461" s="41" t="s">
        <v>1659</v>
      </c>
    </row>
    <row r="462" spans="1:56" ht="18" customHeight="1" outlineLevel="1">
      <c r="A462" s="19">
        <v>590</v>
      </c>
      <c r="B462" s="19">
        <v>523001099</v>
      </c>
      <c r="C462" s="19">
        <v>523001099</v>
      </c>
      <c r="D462" s="50" t="s">
        <v>13</v>
      </c>
      <c r="E462" s="19" t="s">
        <v>825</v>
      </c>
      <c r="F462" s="19" t="s">
        <v>1691</v>
      </c>
      <c r="G462" s="19" t="s">
        <v>1692</v>
      </c>
      <c r="H462" s="69" t="s">
        <v>1693</v>
      </c>
      <c r="I462" s="70" t="s">
        <v>543</v>
      </c>
      <c r="J462" s="70" t="s">
        <v>289</v>
      </c>
      <c r="K462" s="71">
        <v>1</v>
      </c>
      <c r="L462" s="72">
        <v>523001099</v>
      </c>
      <c r="M462" s="72" t="s">
        <v>1694</v>
      </c>
      <c r="N462" s="73">
        <v>159.19999999999999</v>
      </c>
      <c r="O462" s="74" t="s">
        <v>279</v>
      </c>
      <c r="P462" s="73">
        <v>229.95</v>
      </c>
      <c r="Q462" s="80" t="s">
        <v>279</v>
      </c>
      <c r="W462" s="76" t="s">
        <v>1695</v>
      </c>
      <c r="X462" s="77">
        <v>159.19999999999999</v>
      </c>
      <c r="Y462" s="78">
        <v>0</v>
      </c>
      <c r="AA462" s="79">
        <v>159.19999999999999</v>
      </c>
      <c r="AB462" s="79">
        <v>159.19999999999999</v>
      </c>
      <c r="AC462" s="78">
        <v>0</v>
      </c>
      <c r="AE462" s="63" t="s">
        <v>219</v>
      </c>
      <c r="AF462" s="63">
        <v>1</v>
      </c>
      <c r="AG462" s="63">
        <v>1</v>
      </c>
      <c r="AK462" s="77">
        <v>0</v>
      </c>
      <c r="BA462" s="41" t="s">
        <v>230</v>
      </c>
      <c r="BB462" s="41" t="s">
        <v>15</v>
      </c>
      <c r="BC462" s="41" t="s">
        <v>232</v>
      </c>
      <c r="BD462" s="41" t="s">
        <v>1659</v>
      </c>
    </row>
    <row r="463" spans="1:56" s="57" customFormat="1" ht="18" customHeight="1" outlineLevel="1">
      <c r="A463" s="49">
        <v>591</v>
      </c>
      <c r="B463" s="19">
        <v>523001101</v>
      </c>
      <c r="C463" s="19">
        <v>523001101</v>
      </c>
      <c r="D463" s="50" t="s">
        <v>13</v>
      </c>
      <c r="E463" s="19" t="s">
        <v>825</v>
      </c>
      <c r="F463" s="19" t="s">
        <v>1691</v>
      </c>
      <c r="G463" s="19" t="s">
        <v>1692</v>
      </c>
      <c r="H463" s="69" t="s">
        <v>1696</v>
      </c>
      <c r="I463" s="64" t="s">
        <v>547</v>
      </c>
      <c r="J463" s="70" t="s">
        <v>480</v>
      </c>
      <c r="K463" s="53">
        <v>1</v>
      </c>
      <c r="L463" s="20">
        <v>523001101</v>
      </c>
      <c r="M463" s="72" t="s">
        <v>1697</v>
      </c>
      <c r="N463" s="54">
        <v>159.19999999999999</v>
      </c>
      <c r="O463" s="56" t="s">
        <v>279</v>
      </c>
      <c r="P463" s="54">
        <v>229.95</v>
      </c>
      <c r="Q463" s="56" t="s">
        <v>279</v>
      </c>
      <c r="R463" s="27"/>
      <c r="S463" s="58"/>
      <c r="T463" s="51"/>
      <c r="U463" s="51"/>
      <c r="V463" s="51"/>
      <c r="W463" s="76" t="s">
        <v>1698</v>
      </c>
      <c r="X463" s="77">
        <v>159.19999999999999</v>
      </c>
      <c r="Y463" s="78">
        <v>0</v>
      </c>
      <c r="Z463" s="29"/>
      <c r="AA463" s="79">
        <v>159.19999999999999</v>
      </c>
      <c r="AB463" s="79">
        <v>159.19999999999999</v>
      </c>
      <c r="AC463" s="78">
        <v>0</v>
      </c>
      <c r="AD463" s="29"/>
      <c r="AE463" s="63" t="s">
        <v>219</v>
      </c>
      <c r="AF463" s="63">
        <v>1</v>
      </c>
      <c r="AG463" s="63">
        <v>1</v>
      </c>
      <c r="AH463" s="29"/>
      <c r="AI463" s="27"/>
      <c r="AJ463" s="29"/>
      <c r="AK463" s="77">
        <v>0</v>
      </c>
      <c r="BA463" s="41" t="s">
        <v>230</v>
      </c>
      <c r="BB463" s="41" t="s">
        <v>15</v>
      </c>
      <c r="BC463" s="41" t="s">
        <v>232</v>
      </c>
      <c r="BD463" s="41" t="s">
        <v>1659</v>
      </c>
    </row>
    <row r="464" spans="1:56" ht="18" customHeight="1" outlineLevel="1">
      <c r="A464" s="19">
        <v>592</v>
      </c>
      <c r="B464" s="19">
        <v>523001103</v>
      </c>
      <c r="C464" s="19">
        <v>523001103</v>
      </c>
      <c r="D464" s="50" t="s">
        <v>13</v>
      </c>
      <c r="E464" s="19" t="s">
        <v>825</v>
      </c>
      <c r="F464" s="19" t="s">
        <v>1691</v>
      </c>
      <c r="G464" s="19" t="s">
        <v>1692</v>
      </c>
      <c r="H464" s="69" t="s">
        <v>1699</v>
      </c>
      <c r="I464" s="70" t="s">
        <v>551</v>
      </c>
      <c r="J464" s="70" t="s">
        <v>521</v>
      </c>
      <c r="K464" s="71">
        <v>1</v>
      </c>
      <c r="L464" s="72">
        <v>523001103</v>
      </c>
      <c r="M464" s="72" t="s">
        <v>1700</v>
      </c>
      <c r="N464" s="73">
        <v>159.19999999999999</v>
      </c>
      <c r="O464" s="74" t="s">
        <v>279</v>
      </c>
      <c r="P464" s="73">
        <v>229.95</v>
      </c>
      <c r="Q464" s="80" t="s">
        <v>279</v>
      </c>
      <c r="W464" s="76" t="s">
        <v>1701</v>
      </c>
      <c r="X464" s="77">
        <v>159.19999999999999</v>
      </c>
      <c r="Y464" s="78">
        <v>0</v>
      </c>
      <c r="AA464" s="79">
        <v>159.19999999999999</v>
      </c>
      <c r="AB464" s="79">
        <v>159.19999999999999</v>
      </c>
      <c r="AC464" s="78">
        <v>0</v>
      </c>
      <c r="AE464" s="63" t="s">
        <v>219</v>
      </c>
      <c r="AF464" s="63">
        <v>1</v>
      </c>
      <c r="AG464" s="63">
        <v>1</v>
      </c>
      <c r="AK464" s="77">
        <v>0</v>
      </c>
      <c r="BA464" s="41" t="s">
        <v>230</v>
      </c>
      <c r="BB464" s="41" t="s">
        <v>15</v>
      </c>
      <c r="BC464" s="41" t="s">
        <v>232</v>
      </c>
      <c r="BD464" s="41" t="s">
        <v>1659</v>
      </c>
    </row>
    <row r="465" spans="1:56" ht="18" customHeight="1" outlineLevel="1">
      <c r="A465" s="19">
        <v>593</v>
      </c>
      <c r="B465" s="19">
        <v>523001105</v>
      </c>
      <c r="C465" s="19">
        <v>523001105</v>
      </c>
      <c r="D465" s="50" t="s">
        <v>13</v>
      </c>
      <c r="E465" s="19" t="s">
        <v>825</v>
      </c>
      <c r="F465" s="19" t="s">
        <v>1691</v>
      </c>
      <c r="G465" s="19" t="s">
        <v>1692</v>
      </c>
      <c r="H465" s="69" t="s">
        <v>1702</v>
      </c>
      <c r="I465" s="70" t="s">
        <v>578</v>
      </c>
      <c r="J465" s="70" t="s">
        <v>579</v>
      </c>
      <c r="K465" s="71">
        <v>1</v>
      </c>
      <c r="L465" s="72">
        <v>523001105</v>
      </c>
      <c r="M465" s="72" t="s">
        <v>1703</v>
      </c>
      <c r="N465" s="73">
        <v>159.19999999999999</v>
      </c>
      <c r="O465" s="74" t="s">
        <v>279</v>
      </c>
      <c r="P465" s="73">
        <v>229.95</v>
      </c>
      <c r="Q465" s="80" t="s">
        <v>279</v>
      </c>
      <c r="W465" s="76" t="s">
        <v>1704</v>
      </c>
      <c r="X465" s="77">
        <v>159.19999999999999</v>
      </c>
      <c r="Y465" s="78">
        <v>0</v>
      </c>
      <c r="AA465" s="79">
        <v>159.19999999999999</v>
      </c>
      <c r="AB465" s="79">
        <v>159.19999999999999</v>
      </c>
      <c r="AC465" s="78">
        <v>0</v>
      </c>
      <c r="AE465" s="63" t="s">
        <v>219</v>
      </c>
      <c r="AF465" s="63">
        <v>1</v>
      </c>
      <c r="AG465" s="63">
        <v>1</v>
      </c>
      <c r="AK465" s="77">
        <v>0</v>
      </c>
      <c r="BA465" s="41" t="s">
        <v>230</v>
      </c>
      <c r="BB465" s="41" t="s">
        <v>15</v>
      </c>
      <c r="BC465" s="41" t="s">
        <v>232</v>
      </c>
      <c r="BD465" s="41" t="s">
        <v>1659</v>
      </c>
    </row>
    <row r="466" spans="1:56" ht="18" customHeight="1" outlineLevel="1">
      <c r="A466" s="19">
        <v>594</v>
      </c>
      <c r="B466" s="19">
        <v>523001107</v>
      </c>
      <c r="C466" s="19">
        <v>523001107</v>
      </c>
      <c r="D466" s="50" t="s">
        <v>13</v>
      </c>
      <c r="E466" s="19" t="s">
        <v>825</v>
      </c>
      <c r="F466" s="19" t="s">
        <v>1691</v>
      </c>
      <c r="G466" s="19" t="s">
        <v>1692</v>
      </c>
      <c r="H466" s="69" t="s">
        <v>1705</v>
      </c>
      <c r="I466" s="70" t="s">
        <v>573</v>
      </c>
      <c r="J466" s="70" t="s">
        <v>574</v>
      </c>
      <c r="K466" s="71">
        <v>1</v>
      </c>
      <c r="L466" s="72">
        <v>523001107</v>
      </c>
      <c r="M466" s="72" t="s">
        <v>1706</v>
      </c>
      <c r="N466" s="73">
        <v>159.19999999999999</v>
      </c>
      <c r="O466" s="74" t="s">
        <v>279</v>
      </c>
      <c r="P466" s="73">
        <v>229.95</v>
      </c>
      <c r="Q466" s="80" t="s">
        <v>279</v>
      </c>
      <c r="W466" s="76" t="s">
        <v>1707</v>
      </c>
      <c r="X466" s="77">
        <v>159.19999999999999</v>
      </c>
      <c r="Y466" s="78">
        <v>0</v>
      </c>
      <c r="AA466" s="79">
        <v>159.19999999999999</v>
      </c>
      <c r="AB466" s="79">
        <v>159.19999999999999</v>
      </c>
      <c r="AC466" s="78">
        <v>0</v>
      </c>
      <c r="AE466" s="63" t="s">
        <v>219</v>
      </c>
      <c r="AF466" s="63">
        <v>1</v>
      </c>
      <c r="AG466" s="63">
        <v>1</v>
      </c>
      <c r="AK466" s="77">
        <v>0</v>
      </c>
      <c r="BA466" s="41" t="s">
        <v>230</v>
      </c>
      <c r="BB466" s="41" t="s">
        <v>15</v>
      </c>
      <c r="BC466" s="41" t="s">
        <v>232</v>
      </c>
      <c r="BD466" s="41" t="s">
        <v>1659</v>
      </c>
    </row>
    <row r="467" spans="1:56" s="57" customFormat="1" ht="27" customHeight="1" outlineLevel="1">
      <c r="A467" s="49">
        <v>595</v>
      </c>
      <c r="B467" s="19" t="s">
        <v>219</v>
      </c>
      <c r="C467" s="19" t="s">
        <v>219</v>
      </c>
      <c r="D467" s="50" t="s">
        <v>219</v>
      </c>
      <c r="E467" s="19" t="s">
        <v>219</v>
      </c>
      <c r="F467" s="19" t="s">
        <v>219</v>
      </c>
      <c r="G467" s="19" t="s">
        <v>219</v>
      </c>
      <c r="H467" s="81" t="s">
        <v>219</v>
      </c>
      <c r="I467" s="64" t="s">
        <v>219</v>
      </c>
      <c r="J467" s="70" t="s">
        <v>219</v>
      </c>
      <c r="K467" s="53" t="s">
        <v>219</v>
      </c>
      <c r="L467" s="20" t="s">
        <v>219</v>
      </c>
      <c r="M467" s="72" t="s">
        <v>219</v>
      </c>
      <c r="N467" s="54" t="s">
        <v>219</v>
      </c>
      <c r="O467" s="56" t="s">
        <v>219</v>
      </c>
      <c r="P467" s="54" t="s">
        <v>219</v>
      </c>
      <c r="Q467" s="56" t="s">
        <v>219</v>
      </c>
      <c r="R467" s="27"/>
      <c r="S467" s="58"/>
      <c r="T467" s="51"/>
      <c r="U467" s="51"/>
      <c r="V467" s="51"/>
      <c r="W467" s="76" t="s">
        <v>219</v>
      </c>
      <c r="X467" s="77" t="s">
        <v>219</v>
      </c>
      <c r="Y467" s="78">
        <v>0</v>
      </c>
      <c r="Z467" s="29"/>
      <c r="AA467" s="79" t="s">
        <v>219</v>
      </c>
      <c r="AB467" s="79" t="s">
        <v>219</v>
      </c>
      <c r="AC467" s="78">
        <v>0</v>
      </c>
      <c r="AD467" s="29"/>
      <c r="AE467" s="63" t="s">
        <v>230</v>
      </c>
      <c r="AF467" s="63">
        <v>1</v>
      </c>
      <c r="AG467" s="63" t="s">
        <v>219</v>
      </c>
      <c r="AH467" s="29"/>
      <c r="AI467" s="27"/>
      <c r="AJ467" s="29"/>
      <c r="AK467" s="77">
        <v>0</v>
      </c>
      <c r="BA467" s="41" t="s">
        <v>230</v>
      </c>
      <c r="BB467" s="41" t="s">
        <v>15</v>
      </c>
      <c r="BC467" s="41" t="s">
        <v>232</v>
      </c>
      <c r="BD467" s="41" t="s">
        <v>1659</v>
      </c>
    </row>
    <row r="468" spans="1:56" ht="27" customHeight="1" outlineLevel="1">
      <c r="A468" s="19">
        <v>596</v>
      </c>
      <c r="B468" s="19" t="s">
        <v>219</v>
      </c>
      <c r="C468" s="19" t="s">
        <v>219</v>
      </c>
      <c r="D468" s="50" t="s">
        <v>854</v>
      </c>
      <c r="E468" s="19" t="s">
        <v>219</v>
      </c>
      <c r="F468" s="19" t="s">
        <v>219</v>
      </c>
      <c r="G468" s="19" t="s">
        <v>219</v>
      </c>
      <c r="H468" s="81" t="s">
        <v>854</v>
      </c>
      <c r="I468" s="70" t="s">
        <v>219</v>
      </c>
      <c r="J468" s="70" t="s">
        <v>219</v>
      </c>
      <c r="K468" s="71" t="s">
        <v>219</v>
      </c>
      <c r="L468" s="72" t="s">
        <v>219</v>
      </c>
      <c r="M468" s="72" t="s">
        <v>219</v>
      </c>
      <c r="N468" s="73" t="s">
        <v>219</v>
      </c>
      <c r="O468" s="74" t="s">
        <v>219</v>
      </c>
      <c r="P468" s="73" t="s">
        <v>219</v>
      </c>
      <c r="Q468" s="80" t="s">
        <v>219</v>
      </c>
      <c r="W468" s="76" t="s">
        <v>219</v>
      </c>
      <c r="X468" s="77" t="s">
        <v>219</v>
      </c>
      <c r="Y468" s="78">
        <v>0</v>
      </c>
      <c r="AA468" s="79" t="s">
        <v>219</v>
      </c>
      <c r="AB468" s="79" t="s">
        <v>219</v>
      </c>
      <c r="AC468" s="78">
        <v>0</v>
      </c>
      <c r="AE468" s="63" t="s">
        <v>230</v>
      </c>
      <c r="AF468" s="63">
        <v>0</v>
      </c>
      <c r="AG468" s="63" t="s">
        <v>219</v>
      </c>
      <c r="AK468" s="77">
        <v>0</v>
      </c>
      <c r="BA468" s="41" t="s">
        <v>230</v>
      </c>
      <c r="BB468" s="41" t="s">
        <v>15</v>
      </c>
      <c r="BC468" s="41" t="s">
        <v>232</v>
      </c>
      <c r="BD468" s="41" t="s">
        <v>1708</v>
      </c>
    </row>
    <row r="469" spans="1:56" ht="18" customHeight="1" outlineLevel="1">
      <c r="A469" s="19">
        <v>597</v>
      </c>
      <c r="B469" s="19">
        <v>522002889</v>
      </c>
      <c r="C469" s="19">
        <v>522002889</v>
      </c>
      <c r="D469" s="50" t="s">
        <v>529</v>
      </c>
      <c r="E469" s="19" t="s">
        <v>856</v>
      </c>
      <c r="F469" s="19" t="s">
        <v>868</v>
      </c>
      <c r="G469" s="19" t="s">
        <v>869</v>
      </c>
      <c r="H469" s="69" t="s">
        <v>870</v>
      </c>
      <c r="I469" s="70" t="s">
        <v>543</v>
      </c>
      <c r="J469" s="70" t="s">
        <v>289</v>
      </c>
      <c r="K469" s="71">
        <v>1</v>
      </c>
      <c r="L469" s="72">
        <v>522002889</v>
      </c>
      <c r="M469" s="72" t="s">
        <v>871</v>
      </c>
      <c r="N469" s="73">
        <v>44.6</v>
      </c>
      <c r="O469" s="74" t="s">
        <v>279</v>
      </c>
      <c r="P469" s="73">
        <v>79.95</v>
      </c>
      <c r="Q469" s="80" t="s">
        <v>279</v>
      </c>
      <c r="W469" s="76" t="s">
        <v>872</v>
      </c>
      <c r="X469" s="77">
        <v>44.6</v>
      </c>
      <c r="Y469" s="78">
        <v>0</v>
      </c>
      <c r="AA469" s="79">
        <v>44.6</v>
      </c>
      <c r="AB469" s="79">
        <v>44.6</v>
      </c>
      <c r="AC469" s="78">
        <v>0</v>
      </c>
      <c r="AE469" s="63" t="s">
        <v>219</v>
      </c>
      <c r="AF469" s="63">
        <v>0</v>
      </c>
      <c r="AG469" s="63">
        <v>0</v>
      </c>
      <c r="AK469" s="77">
        <v>0</v>
      </c>
      <c r="BA469" s="41" t="s">
        <v>230</v>
      </c>
      <c r="BB469" s="41" t="s">
        <v>15</v>
      </c>
      <c r="BC469" s="41" t="s">
        <v>232</v>
      </c>
      <c r="BD469" s="41" t="s">
        <v>1708</v>
      </c>
    </row>
    <row r="470" spans="1:56" ht="18" customHeight="1" outlineLevel="1">
      <c r="A470" s="19">
        <v>598</v>
      </c>
      <c r="B470" s="19">
        <v>522002891</v>
      </c>
      <c r="C470" s="19">
        <v>522002891</v>
      </c>
      <c r="D470" s="50" t="s">
        <v>529</v>
      </c>
      <c r="E470" s="19" t="s">
        <v>856</v>
      </c>
      <c r="F470" s="19" t="s">
        <v>868</v>
      </c>
      <c r="G470" s="19" t="s">
        <v>869</v>
      </c>
      <c r="H470" s="69" t="s">
        <v>873</v>
      </c>
      <c r="I470" s="70" t="s">
        <v>547</v>
      </c>
      <c r="J470" s="70" t="s">
        <v>480</v>
      </c>
      <c r="K470" s="71">
        <v>1</v>
      </c>
      <c r="L470" s="72">
        <v>522002891</v>
      </c>
      <c r="M470" s="72" t="s">
        <v>874</v>
      </c>
      <c r="N470" s="73">
        <v>44.6</v>
      </c>
      <c r="O470" s="74" t="s">
        <v>279</v>
      </c>
      <c r="P470" s="73">
        <v>79.95</v>
      </c>
      <c r="Q470" s="80" t="s">
        <v>279</v>
      </c>
      <c r="W470" s="76" t="s">
        <v>875</v>
      </c>
      <c r="X470" s="77">
        <v>44.6</v>
      </c>
      <c r="Y470" s="78">
        <v>0</v>
      </c>
      <c r="AA470" s="79">
        <v>44.6</v>
      </c>
      <c r="AB470" s="79">
        <v>44.6</v>
      </c>
      <c r="AC470" s="78">
        <v>0</v>
      </c>
      <c r="AE470" s="63" t="s">
        <v>219</v>
      </c>
      <c r="AF470" s="63">
        <v>0</v>
      </c>
      <c r="AG470" s="63">
        <v>0</v>
      </c>
      <c r="AK470" s="77">
        <v>0</v>
      </c>
      <c r="BA470" s="41" t="s">
        <v>230</v>
      </c>
      <c r="BB470" s="41" t="s">
        <v>15</v>
      </c>
      <c r="BC470" s="41" t="s">
        <v>232</v>
      </c>
      <c r="BD470" s="41" t="s">
        <v>1708</v>
      </c>
    </row>
    <row r="471" spans="1:56" s="57" customFormat="1" ht="18" customHeight="1" outlineLevel="1">
      <c r="A471" s="49">
        <v>599</v>
      </c>
      <c r="B471" s="19">
        <v>522002893</v>
      </c>
      <c r="C471" s="19">
        <v>522002893</v>
      </c>
      <c r="D471" s="50" t="s">
        <v>529</v>
      </c>
      <c r="E471" s="19" t="s">
        <v>856</v>
      </c>
      <c r="F471" s="19" t="s">
        <v>868</v>
      </c>
      <c r="G471" s="19" t="s">
        <v>869</v>
      </c>
      <c r="H471" s="69" t="s">
        <v>876</v>
      </c>
      <c r="I471" s="64" t="s">
        <v>551</v>
      </c>
      <c r="J471" s="70" t="s">
        <v>521</v>
      </c>
      <c r="K471" s="53">
        <v>1</v>
      </c>
      <c r="L471" s="20">
        <v>522002893</v>
      </c>
      <c r="M471" s="72" t="s">
        <v>877</v>
      </c>
      <c r="N471" s="54">
        <v>44.6</v>
      </c>
      <c r="O471" s="56" t="s">
        <v>279</v>
      </c>
      <c r="P471" s="54">
        <v>79.95</v>
      </c>
      <c r="Q471" s="56" t="s">
        <v>279</v>
      </c>
      <c r="R471" s="27"/>
      <c r="S471" s="58"/>
      <c r="T471" s="51"/>
      <c r="U471" s="51"/>
      <c r="V471" s="51"/>
      <c r="W471" s="76" t="s">
        <v>878</v>
      </c>
      <c r="X471" s="77">
        <v>44.6</v>
      </c>
      <c r="Y471" s="78">
        <v>0</v>
      </c>
      <c r="Z471" s="29"/>
      <c r="AA471" s="79">
        <v>44.6</v>
      </c>
      <c r="AB471" s="79">
        <v>44.6</v>
      </c>
      <c r="AC471" s="78">
        <v>0</v>
      </c>
      <c r="AD471" s="29"/>
      <c r="AE471" s="63" t="s">
        <v>219</v>
      </c>
      <c r="AF471" s="63">
        <v>0</v>
      </c>
      <c r="AG471" s="63">
        <v>0</v>
      </c>
      <c r="AH471" s="29"/>
      <c r="AI471" s="27"/>
      <c r="AJ471" s="29"/>
      <c r="AK471" s="77">
        <v>0</v>
      </c>
      <c r="BA471" s="41" t="s">
        <v>230</v>
      </c>
      <c r="BB471" s="41" t="s">
        <v>15</v>
      </c>
      <c r="BC471" s="41" t="s">
        <v>232</v>
      </c>
      <c r="BD471" s="41" t="s">
        <v>1708</v>
      </c>
    </row>
    <row r="472" spans="1:56" s="57" customFormat="1" ht="18" customHeight="1" outlineLevel="1">
      <c r="A472" s="49">
        <v>600</v>
      </c>
      <c r="B472" s="19">
        <v>522002895</v>
      </c>
      <c r="C472" s="19">
        <v>522002895</v>
      </c>
      <c r="D472" s="50" t="s">
        <v>529</v>
      </c>
      <c r="E472" s="19" t="s">
        <v>856</v>
      </c>
      <c r="F472" s="19" t="s">
        <v>868</v>
      </c>
      <c r="G472" s="19" t="s">
        <v>869</v>
      </c>
      <c r="H472" s="69" t="s">
        <v>879</v>
      </c>
      <c r="I472" s="64" t="s">
        <v>555</v>
      </c>
      <c r="J472" s="70" t="s">
        <v>556</v>
      </c>
      <c r="K472" s="53">
        <v>1</v>
      </c>
      <c r="L472" s="20">
        <v>522002895</v>
      </c>
      <c r="M472" s="72" t="s">
        <v>880</v>
      </c>
      <c r="N472" s="54">
        <v>44.6</v>
      </c>
      <c r="O472" s="56" t="s">
        <v>279</v>
      </c>
      <c r="P472" s="54">
        <v>79.95</v>
      </c>
      <c r="Q472" s="56" t="s">
        <v>279</v>
      </c>
      <c r="R472" s="27"/>
      <c r="S472" s="58"/>
      <c r="T472" s="51"/>
      <c r="U472" s="51"/>
      <c r="V472" s="51"/>
      <c r="W472" s="76" t="s">
        <v>881</v>
      </c>
      <c r="X472" s="77">
        <v>44.6</v>
      </c>
      <c r="Y472" s="78">
        <v>0</v>
      </c>
      <c r="Z472" s="29"/>
      <c r="AA472" s="79">
        <v>44.6</v>
      </c>
      <c r="AB472" s="79">
        <v>44.6</v>
      </c>
      <c r="AC472" s="78">
        <v>0</v>
      </c>
      <c r="AD472" s="29"/>
      <c r="AE472" s="63" t="s">
        <v>219</v>
      </c>
      <c r="AF472" s="63">
        <v>0</v>
      </c>
      <c r="AG472" s="63">
        <v>0</v>
      </c>
      <c r="AH472" s="29"/>
      <c r="AI472" s="27"/>
      <c r="AJ472" s="29"/>
      <c r="AK472" s="77">
        <v>0</v>
      </c>
      <c r="BA472" s="41" t="s">
        <v>230</v>
      </c>
      <c r="BB472" s="41" t="s">
        <v>15</v>
      </c>
      <c r="BC472" s="41" t="s">
        <v>232</v>
      </c>
      <c r="BD472" s="41" t="s">
        <v>1708</v>
      </c>
    </row>
    <row r="473" spans="1:56" ht="18" customHeight="1" outlineLevel="1">
      <c r="A473" s="19">
        <v>601</v>
      </c>
      <c r="B473" s="19">
        <v>522002897</v>
      </c>
      <c r="C473" s="19">
        <v>522002897</v>
      </c>
      <c r="D473" s="50" t="s">
        <v>529</v>
      </c>
      <c r="E473" s="19" t="s">
        <v>856</v>
      </c>
      <c r="F473" s="19" t="s">
        <v>868</v>
      </c>
      <c r="G473" s="19" t="s">
        <v>869</v>
      </c>
      <c r="H473" s="69" t="s">
        <v>882</v>
      </c>
      <c r="I473" s="70" t="s">
        <v>560</v>
      </c>
      <c r="J473" s="70" t="s">
        <v>329</v>
      </c>
      <c r="K473" s="71">
        <v>1</v>
      </c>
      <c r="L473" s="72">
        <v>522002897</v>
      </c>
      <c r="M473" s="72" t="s">
        <v>883</v>
      </c>
      <c r="N473" s="73">
        <v>44.6</v>
      </c>
      <c r="O473" s="74" t="s">
        <v>279</v>
      </c>
      <c r="P473" s="73">
        <v>79.95</v>
      </c>
      <c r="Q473" s="80" t="s">
        <v>279</v>
      </c>
      <c r="W473" s="76" t="s">
        <v>884</v>
      </c>
      <c r="X473" s="77">
        <v>44.6</v>
      </c>
      <c r="Y473" s="78">
        <v>0</v>
      </c>
      <c r="AA473" s="79">
        <v>44.6</v>
      </c>
      <c r="AB473" s="79">
        <v>44.6</v>
      </c>
      <c r="AC473" s="78">
        <v>0</v>
      </c>
      <c r="AE473" s="63" t="s">
        <v>219</v>
      </c>
      <c r="AF473" s="63">
        <v>0</v>
      </c>
      <c r="AG473" s="63">
        <v>0</v>
      </c>
      <c r="AK473" s="77">
        <v>0</v>
      </c>
      <c r="BA473" s="41" t="s">
        <v>230</v>
      </c>
      <c r="BB473" s="41" t="s">
        <v>15</v>
      </c>
      <c r="BC473" s="41" t="s">
        <v>232</v>
      </c>
      <c r="BD473" s="41" t="s">
        <v>1708</v>
      </c>
    </row>
    <row r="474" spans="1:56" ht="18" customHeight="1" outlineLevel="1">
      <c r="A474" s="19">
        <v>602</v>
      </c>
      <c r="B474" s="19">
        <v>522002899</v>
      </c>
      <c r="C474" s="19">
        <v>522002899</v>
      </c>
      <c r="D474" s="50" t="s">
        <v>529</v>
      </c>
      <c r="E474" s="19" t="s">
        <v>856</v>
      </c>
      <c r="F474" s="19" t="s">
        <v>868</v>
      </c>
      <c r="G474" s="19" t="s">
        <v>869</v>
      </c>
      <c r="H474" s="69" t="s">
        <v>885</v>
      </c>
      <c r="I474" s="70" t="s">
        <v>564</v>
      </c>
      <c r="J474" s="70" t="s">
        <v>334</v>
      </c>
      <c r="K474" s="71">
        <v>1</v>
      </c>
      <c r="L474" s="72">
        <v>522002899</v>
      </c>
      <c r="M474" s="72" t="s">
        <v>886</v>
      </c>
      <c r="N474" s="73">
        <v>44.6</v>
      </c>
      <c r="O474" s="74" t="s">
        <v>279</v>
      </c>
      <c r="P474" s="73">
        <v>79.95</v>
      </c>
      <c r="Q474" s="80" t="s">
        <v>279</v>
      </c>
      <c r="W474" s="76" t="s">
        <v>887</v>
      </c>
      <c r="X474" s="77">
        <v>44.6</v>
      </c>
      <c r="Y474" s="78">
        <v>0</v>
      </c>
      <c r="AA474" s="79">
        <v>44.6</v>
      </c>
      <c r="AB474" s="79">
        <v>44.6</v>
      </c>
      <c r="AC474" s="78">
        <v>0</v>
      </c>
      <c r="AE474" s="63" t="s">
        <v>219</v>
      </c>
      <c r="AF474" s="63">
        <v>0</v>
      </c>
      <c r="AG474" s="63">
        <v>0</v>
      </c>
      <c r="AK474" s="77">
        <v>0</v>
      </c>
      <c r="BA474" s="41" t="s">
        <v>230</v>
      </c>
      <c r="BB474" s="41" t="s">
        <v>15</v>
      </c>
      <c r="BC474" s="41" t="s">
        <v>232</v>
      </c>
      <c r="BD474" s="41" t="s">
        <v>1708</v>
      </c>
    </row>
    <row r="475" spans="1:56" ht="18" customHeight="1" outlineLevel="1">
      <c r="A475" s="19">
        <v>603</v>
      </c>
      <c r="B475" s="19">
        <v>522002901</v>
      </c>
      <c r="C475" s="19">
        <v>522002901</v>
      </c>
      <c r="D475" s="50" t="s">
        <v>529</v>
      </c>
      <c r="E475" s="19" t="s">
        <v>856</v>
      </c>
      <c r="F475" s="19" t="s">
        <v>868</v>
      </c>
      <c r="G475" s="19" t="s">
        <v>869</v>
      </c>
      <c r="H475" s="69" t="s">
        <v>888</v>
      </c>
      <c r="I475" s="70" t="s">
        <v>568</v>
      </c>
      <c r="J475" s="70" t="s">
        <v>569</v>
      </c>
      <c r="K475" s="71">
        <v>1</v>
      </c>
      <c r="L475" s="72">
        <v>522002901</v>
      </c>
      <c r="M475" s="72" t="s">
        <v>889</v>
      </c>
      <c r="N475" s="73">
        <v>44.6</v>
      </c>
      <c r="O475" s="74" t="s">
        <v>279</v>
      </c>
      <c r="P475" s="73">
        <v>79.95</v>
      </c>
      <c r="Q475" s="80" t="s">
        <v>279</v>
      </c>
      <c r="W475" s="76" t="s">
        <v>890</v>
      </c>
      <c r="X475" s="77">
        <v>44.6</v>
      </c>
      <c r="Y475" s="78">
        <v>0</v>
      </c>
      <c r="AA475" s="79">
        <v>44.6</v>
      </c>
      <c r="AB475" s="79">
        <v>44.6</v>
      </c>
      <c r="AC475" s="78">
        <v>0</v>
      </c>
      <c r="AE475" s="63" t="s">
        <v>219</v>
      </c>
      <c r="AF475" s="63">
        <v>0</v>
      </c>
      <c r="AG475" s="63">
        <v>0</v>
      </c>
      <c r="AK475" s="77">
        <v>0</v>
      </c>
      <c r="BA475" s="41" t="s">
        <v>230</v>
      </c>
      <c r="BB475" s="41" t="s">
        <v>15</v>
      </c>
      <c r="BC475" s="41" t="s">
        <v>232</v>
      </c>
      <c r="BD475" s="41" t="s">
        <v>1708</v>
      </c>
    </row>
    <row r="476" spans="1:56" ht="18" customHeight="1" outlineLevel="1">
      <c r="A476" s="19">
        <v>604</v>
      </c>
      <c r="B476" s="19">
        <v>522002903</v>
      </c>
      <c r="C476" s="19">
        <v>522002903</v>
      </c>
      <c r="D476" s="50" t="s">
        <v>529</v>
      </c>
      <c r="E476" s="19" t="s">
        <v>856</v>
      </c>
      <c r="F476" s="19" t="s">
        <v>868</v>
      </c>
      <c r="G476" s="19" t="s">
        <v>869</v>
      </c>
      <c r="H476" s="69" t="s">
        <v>891</v>
      </c>
      <c r="I476" s="70" t="s">
        <v>573</v>
      </c>
      <c r="J476" s="70" t="s">
        <v>574</v>
      </c>
      <c r="K476" s="71">
        <v>1</v>
      </c>
      <c r="L476" s="72">
        <v>522002903</v>
      </c>
      <c r="M476" s="72" t="s">
        <v>892</v>
      </c>
      <c r="N476" s="73">
        <v>44.6</v>
      </c>
      <c r="O476" s="74" t="s">
        <v>279</v>
      </c>
      <c r="P476" s="73">
        <v>79.95</v>
      </c>
      <c r="Q476" s="80" t="s">
        <v>279</v>
      </c>
      <c r="W476" s="76" t="s">
        <v>893</v>
      </c>
      <c r="X476" s="77">
        <v>44.6</v>
      </c>
      <c r="Y476" s="78">
        <v>0</v>
      </c>
      <c r="AA476" s="79">
        <v>44.6</v>
      </c>
      <c r="AB476" s="79">
        <v>44.6</v>
      </c>
      <c r="AC476" s="78">
        <v>0</v>
      </c>
      <c r="AE476" s="63" t="s">
        <v>219</v>
      </c>
      <c r="AF476" s="63">
        <v>0</v>
      </c>
      <c r="AG476" s="63">
        <v>0</v>
      </c>
      <c r="AK476" s="77">
        <v>0</v>
      </c>
      <c r="BA476" s="41" t="s">
        <v>230</v>
      </c>
      <c r="BB476" s="41" t="s">
        <v>15</v>
      </c>
      <c r="BC476" s="41" t="s">
        <v>232</v>
      </c>
      <c r="BD476" s="41" t="s">
        <v>1708</v>
      </c>
    </row>
    <row r="477" spans="1:56" ht="18" customHeight="1" outlineLevel="1">
      <c r="A477" s="19">
        <v>605</v>
      </c>
      <c r="B477" s="19">
        <v>522002905</v>
      </c>
      <c r="C477" s="19">
        <v>522002905</v>
      </c>
      <c r="D477" s="50" t="s">
        <v>529</v>
      </c>
      <c r="E477" s="19" t="s">
        <v>856</v>
      </c>
      <c r="F477" s="19" t="s">
        <v>868</v>
      </c>
      <c r="G477" s="19" t="s">
        <v>869</v>
      </c>
      <c r="H477" s="69" t="s">
        <v>894</v>
      </c>
      <c r="I477" s="70" t="s">
        <v>578</v>
      </c>
      <c r="J477" s="70" t="s">
        <v>579</v>
      </c>
      <c r="K477" s="71">
        <v>1</v>
      </c>
      <c r="L477" s="72">
        <v>522002905</v>
      </c>
      <c r="M477" s="72" t="s">
        <v>895</v>
      </c>
      <c r="N477" s="73">
        <v>44.6</v>
      </c>
      <c r="O477" s="74" t="s">
        <v>279</v>
      </c>
      <c r="P477" s="73">
        <v>79.95</v>
      </c>
      <c r="Q477" s="80" t="s">
        <v>279</v>
      </c>
      <c r="W477" s="76" t="s">
        <v>896</v>
      </c>
      <c r="X477" s="77">
        <v>44.6</v>
      </c>
      <c r="Y477" s="78">
        <v>0</v>
      </c>
      <c r="AA477" s="79">
        <v>44.6</v>
      </c>
      <c r="AB477" s="79">
        <v>44.6</v>
      </c>
      <c r="AC477" s="78">
        <v>0</v>
      </c>
      <c r="AE477" s="63" t="s">
        <v>219</v>
      </c>
      <c r="AF477" s="63">
        <v>0</v>
      </c>
      <c r="AG477" s="63">
        <v>0</v>
      </c>
      <c r="AK477" s="77">
        <v>0</v>
      </c>
      <c r="BA477" s="41" t="s">
        <v>230</v>
      </c>
      <c r="BB477" s="41" t="s">
        <v>15</v>
      </c>
      <c r="BC477" s="41" t="s">
        <v>232</v>
      </c>
      <c r="BD477" s="41" t="s">
        <v>1708</v>
      </c>
    </row>
    <row r="478" spans="1:56" ht="18" customHeight="1" outlineLevel="1">
      <c r="A478" s="19">
        <v>606</v>
      </c>
      <c r="B478" s="19">
        <v>100000000</v>
      </c>
      <c r="C478" s="19">
        <v>100000000</v>
      </c>
      <c r="D478" s="50" t="s">
        <v>4</v>
      </c>
      <c r="E478" s="19">
        <v>0</v>
      </c>
      <c r="F478" s="19" t="s">
        <v>582</v>
      </c>
      <c r="G478" s="19" t="s">
        <v>582</v>
      </c>
      <c r="H478" s="69" t="s">
        <v>582</v>
      </c>
      <c r="I478" s="70" t="s">
        <v>219</v>
      </c>
      <c r="J478" s="70" t="s">
        <v>219</v>
      </c>
      <c r="K478" s="71" t="s">
        <v>219</v>
      </c>
      <c r="L478" s="72" t="s">
        <v>219</v>
      </c>
      <c r="M478" s="72" t="s">
        <v>219</v>
      </c>
      <c r="N478" s="73" t="s">
        <v>219</v>
      </c>
      <c r="O478" s="74" t="s">
        <v>219</v>
      </c>
      <c r="P478" s="73" t="s">
        <v>219</v>
      </c>
      <c r="Q478" s="80" t="s">
        <v>219</v>
      </c>
      <c r="W478" s="76" t="s">
        <v>219</v>
      </c>
      <c r="X478" s="77" t="s">
        <v>219</v>
      </c>
      <c r="Y478" s="78">
        <v>0</v>
      </c>
      <c r="AA478" s="79" t="s">
        <v>219</v>
      </c>
      <c r="AB478" s="79" t="s">
        <v>219</v>
      </c>
      <c r="AC478" s="78">
        <v>0</v>
      </c>
      <c r="AE478" s="63" t="s">
        <v>219</v>
      </c>
      <c r="AF478" s="63">
        <v>0</v>
      </c>
      <c r="AG478" s="63">
        <v>0</v>
      </c>
      <c r="AK478" s="77">
        <v>0</v>
      </c>
      <c r="BA478" s="41" t="s">
        <v>230</v>
      </c>
      <c r="BB478" s="41" t="s">
        <v>15</v>
      </c>
      <c r="BC478" s="41" t="s">
        <v>232</v>
      </c>
      <c r="BD478" s="41" t="s">
        <v>1708</v>
      </c>
    </row>
    <row r="479" spans="1:56" ht="27" customHeight="1" outlineLevel="1">
      <c r="A479" s="19">
        <v>607</v>
      </c>
      <c r="B479" s="19" t="s">
        <v>219</v>
      </c>
      <c r="C479" s="19" t="s">
        <v>219</v>
      </c>
      <c r="D479" s="50" t="s">
        <v>219</v>
      </c>
      <c r="E479" s="19" t="s">
        <v>219</v>
      </c>
      <c r="F479" s="19" t="s">
        <v>219</v>
      </c>
      <c r="G479" s="19" t="s">
        <v>219</v>
      </c>
      <c r="H479" s="81" t="s">
        <v>219</v>
      </c>
      <c r="I479" s="70" t="s">
        <v>219</v>
      </c>
      <c r="J479" s="70" t="s">
        <v>219</v>
      </c>
      <c r="K479" s="71" t="s">
        <v>219</v>
      </c>
      <c r="L479" s="72" t="s">
        <v>219</v>
      </c>
      <c r="M479" s="72" t="s">
        <v>219</v>
      </c>
      <c r="N479" s="73" t="s">
        <v>219</v>
      </c>
      <c r="O479" s="74" t="s">
        <v>219</v>
      </c>
      <c r="P479" s="73" t="s">
        <v>219</v>
      </c>
      <c r="Q479" s="80" t="s">
        <v>219</v>
      </c>
      <c r="W479" s="76" t="s">
        <v>219</v>
      </c>
      <c r="X479" s="77" t="s">
        <v>219</v>
      </c>
      <c r="Y479" s="78">
        <v>0</v>
      </c>
      <c r="AA479" s="79" t="s">
        <v>219</v>
      </c>
      <c r="AB479" s="79" t="s">
        <v>219</v>
      </c>
      <c r="AC479" s="78">
        <v>0</v>
      </c>
      <c r="AE479" s="63" t="s">
        <v>230</v>
      </c>
      <c r="AF479" s="63">
        <v>1</v>
      </c>
      <c r="AG479" s="63" t="s">
        <v>219</v>
      </c>
      <c r="AK479" s="77">
        <v>0</v>
      </c>
      <c r="BA479" s="41" t="s">
        <v>230</v>
      </c>
      <c r="BB479" s="41" t="s">
        <v>15</v>
      </c>
      <c r="BC479" s="41" t="s">
        <v>232</v>
      </c>
      <c r="BD479" s="41" t="s">
        <v>1708</v>
      </c>
    </row>
    <row r="480" spans="1:56" ht="18" customHeight="1" outlineLevel="1">
      <c r="A480" s="19">
        <v>608</v>
      </c>
      <c r="B480" s="19">
        <v>511410001</v>
      </c>
      <c r="C480" s="19">
        <v>511410002</v>
      </c>
      <c r="D480" s="50" t="s">
        <v>529</v>
      </c>
      <c r="E480" s="19" t="s">
        <v>856</v>
      </c>
      <c r="F480" s="19" t="s">
        <v>904</v>
      </c>
      <c r="G480" s="19" t="s">
        <v>905</v>
      </c>
      <c r="H480" s="69" t="s">
        <v>906</v>
      </c>
      <c r="I480" s="70" t="s">
        <v>532</v>
      </c>
      <c r="J480" s="70" t="s">
        <v>907</v>
      </c>
      <c r="K480" s="71">
        <v>10</v>
      </c>
      <c r="L480" s="72">
        <v>511410002</v>
      </c>
      <c r="M480" s="72" t="s">
        <v>908</v>
      </c>
      <c r="N480" s="73">
        <v>13.9</v>
      </c>
      <c r="O480" s="74" t="s">
        <v>279</v>
      </c>
      <c r="P480" s="73">
        <v>24.95</v>
      </c>
      <c r="Q480" s="80" t="s">
        <v>279</v>
      </c>
      <c r="W480" s="76" t="s">
        <v>909</v>
      </c>
      <c r="X480" s="77">
        <v>13.9</v>
      </c>
      <c r="Y480" s="78">
        <v>0</v>
      </c>
      <c r="AA480" s="79">
        <v>13.9</v>
      </c>
      <c r="AB480" s="79">
        <v>13.9</v>
      </c>
      <c r="AC480" s="78">
        <v>0</v>
      </c>
      <c r="AE480" s="63" t="s">
        <v>219</v>
      </c>
      <c r="AF480" s="63">
        <v>1</v>
      </c>
      <c r="AG480" s="63">
        <v>1</v>
      </c>
      <c r="AK480" s="77">
        <v>0</v>
      </c>
      <c r="BA480" s="41" t="s">
        <v>230</v>
      </c>
      <c r="BB480" s="41" t="s">
        <v>15</v>
      </c>
      <c r="BC480" s="41" t="s">
        <v>232</v>
      </c>
      <c r="BD480" s="41" t="s">
        <v>1708</v>
      </c>
    </row>
    <row r="481" spans="1:56" s="57" customFormat="1" ht="18" customHeight="1" outlineLevel="1">
      <c r="A481" s="49">
        <v>609</v>
      </c>
      <c r="B481" s="19">
        <v>50054001</v>
      </c>
      <c r="C481" s="19">
        <v>50054002</v>
      </c>
      <c r="D481" s="50" t="s">
        <v>529</v>
      </c>
      <c r="E481" s="19" t="s">
        <v>856</v>
      </c>
      <c r="F481" s="19" t="s">
        <v>910</v>
      </c>
      <c r="G481" s="19" t="s">
        <v>911</v>
      </c>
      <c r="H481" s="69" t="s">
        <v>912</v>
      </c>
      <c r="I481" s="64" t="s">
        <v>532</v>
      </c>
      <c r="J481" s="70" t="s">
        <v>907</v>
      </c>
      <c r="K481" s="53">
        <v>12</v>
      </c>
      <c r="L481" s="20">
        <v>50054002</v>
      </c>
      <c r="M481" s="72" t="s">
        <v>913</v>
      </c>
      <c r="N481" s="54">
        <v>8.4</v>
      </c>
      <c r="O481" s="56" t="s">
        <v>279</v>
      </c>
      <c r="P481" s="54">
        <v>14.95</v>
      </c>
      <c r="Q481" s="56" t="s">
        <v>279</v>
      </c>
      <c r="R481" s="27"/>
      <c r="S481" s="58"/>
      <c r="T481" s="51"/>
      <c r="U481" s="51"/>
      <c r="V481" s="51"/>
      <c r="W481" s="76" t="s">
        <v>914</v>
      </c>
      <c r="X481" s="77">
        <v>8.4</v>
      </c>
      <c r="Y481" s="78">
        <v>0</v>
      </c>
      <c r="Z481" s="29"/>
      <c r="AA481" s="79">
        <v>8.4</v>
      </c>
      <c r="AB481" s="79">
        <v>8.4</v>
      </c>
      <c r="AC481" s="78">
        <v>0</v>
      </c>
      <c r="AD481" s="29"/>
      <c r="AE481" s="63" t="s">
        <v>219</v>
      </c>
      <c r="AF481" s="63">
        <v>1</v>
      </c>
      <c r="AG481" s="63">
        <v>1</v>
      </c>
      <c r="AH481" s="29"/>
      <c r="AI481" s="27"/>
      <c r="AJ481" s="29"/>
      <c r="AK481" s="77">
        <v>0</v>
      </c>
      <c r="BA481" s="41" t="s">
        <v>230</v>
      </c>
      <c r="BB481" s="41" t="s">
        <v>15</v>
      </c>
      <c r="BC481" s="41" t="s">
        <v>232</v>
      </c>
      <c r="BD481" s="41" t="s">
        <v>1708</v>
      </c>
    </row>
    <row r="482" spans="1:56" ht="18" customHeight="1" outlineLevel="1">
      <c r="A482" s="19">
        <v>610</v>
      </c>
      <c r="B482" s="19">
        <v>521002897</v>
      </c>
      <c r="C482" s="19">
        <v>521002898</v>
      </c>
      <c r="D482" s="50" t="s">
        <v>529</v>
      </c>
      <c r="E482" s="19" t="s">
        <v>856</v>
      </c>
      <c r="F482" s="19" t="s">
        <v>915</v>
      </c>
      <c r="G482" s="19" t="s">
        <v>916</v>
      </c>
      <c r="H482" s="69" t="s">
        <v>917</v>
      </c>
      <c r="I482" s="70" t="s">
        <v>676</v>
      </c>
      <c r="J482" s="70" t="s">
        <v>677</v>
      </c>
      <c r="K482" s="71">
        <v>6</v>
      </c>
      <c r="L482" s="72">
        <v>521002898</v>
      </c>
      <c r="M482" s="72" t="s">
        <v>918</v>
      </c>
      <c r="N482" s="73">
        <v>33.4</v>
      </c>
      <c r="O482" s="74" t="s">
        <v>279</v>
      </c>
      <c r="P482" s="73">
        <v>59.95</v>
      </c>
      <c r="Q482" s="80" t="s">
        <v>279</v>
      </c>
      <c r="W482" s="76" t="s">
        <v>919</v>
      </c>
      <c r="X482" s="77">
        <v>33.4</v>
      </c>
      <c r="Y482" s="78">
        <v>0</v>
      </c>
      <c r="AA482" s="79">
        <v>33.4</v>
      </c>
      <c r="AB482" s="79">
        <v>33.4</v>
      </c>
      <c r="AC482" s="78">
        <v>0</v>
      </c>
      <c r="AE482" s="63" t="s">
        <v>219</v>
      </c>
      <c r="AF482" s="63">
        <v>1</v>
      </c>
      <c r="AG482" s="63">
        <v>1</v>
      </c>
      <c r="AK482" s="77">
        <v>0</v>
      </c>
      <c r="BA482" s="41" t="s">
        <v>230</v>
      </c>
      <c r="BB482" s="41" t="s">
        <v>15</v>
      </c>
      <c r="BC482" s="41" t="s">
        <v>232</v>
      </c>
      <c r="BD482" s="41" t="s">
        <v>1708</v>
      </c>
    </row>
    <row r="483" spans="1:56" ht="18" customHeight="1" outlineLevel="1">
      <c r="A483" s="19">
        <v>611</v>
      </c>
      <c r="B483" s="19">
        <v>521002899</v>
      </c>
      <c r="C483" s="19">
        <v>521002900</v>
      </c>
      <c r="D483" s="50" t="s">
        <v>529</v>
      </c>
      <c r="E483" s="19" t="s">
        <v>856</v>
      </c>
      <c r="F483" s="19" t="s">
        <v>920</v>
      </c>
      <c r="G483" s="19" t="s">
        <v>921</v>
      </c>
      <c r="H483" s="69" t="s">
        <v>922</v>
      </c>
      <c r="I483" s="70" t="s">
        <v>676</v>
      </c>
      <c r="J483" s="70" t="s">
        <v>677</v>
      </c>
      <c r="K483" s="71">
        <v>6</v>
      </c>
      <c r="L483" s="72">
        <v>521002900</v>
      </c>
      <c r="M483" s="72" t="s">
        <v>923</v>
      </c>
      <c r="N483" s="73">
        <v>33.4</v>
      </c>
      <c r="O483" s="74" t="s">
        <v>279</v>
      </c>
      <c r="P483" s="73">
        <v>59.95</v>
      </c>
      <c r="Q483" s="80" t="s">
        <v>279</v>
      </c>
      <c r="W483" s="76" t="s">
        <v>924</v>
      </c>
      <c r="X483" s="77">
        <v>33.4</v>
      </c>
      <c r="Y483" s="78">
        <v>0</v>
      </c>
      <c r="AA483" s="79">
        <v>33.4</v>
      </c>
      <c r="AB483" s="79">
        <v>33.4</v>
      </c>
      <c r="AC483" s="78">
        <v>0</v>
      </c>
      <c r="AE483" s="63" t="s">
        <v>219</v>
      </c>
      <c r="AF483" s="63">
        <v>1</v>
      </c>
      <c r="AG483" s="63">
        <v>1</v>
      </c>
      <c r="AK483" s="77">
        <v>0</v>
      </c>
      <c r="BA483" s="41" t="s">
        <v>230</v>
      </c>
      <c r="BB483" s="41" t="s">
        <v>15</v>
      </c>
      <c r="BC483" s="41" t="s">
        <v>232</v>
      </c>
      <c r="BD483" s="41" t="s">
        <v>1708</v>
      </c>
    </row>
    <row r="484" spans="1:56" ht="18" customHeight="1" outlineLevel="1">
      <c r="A484" s="19">
        <v>612</v>
      </c>
      <c r="B484" s="19">
        <v>523001109</v>
      </c>
      <c r="C484" s="19">
        <v>523001110</v>
      </c>
      <c r="D484" s="50" t="s">
        <v>529</v>
      </c>
      <c r="E484" s="19" t="s">
        <v>856</v>
      </c>
      <c r="F484" s="19" t="s">
        <v>925</v>
      </c>
      <c r="G484" s="19" t="s">
        <v>926</v>
      </c>
      <c r="H484" s="69" t="s">
        <v>927</v>
      </c>
      <c r="I484" s="70" t="s">
        <v>532</v>
      </c>
      <c r="J484" s="70" t="s">
        <v>289</v>
      </c>
      <c r="K484" s="71">
        <v>4</v>
      </c>
      <c r="L484" s="72">
        <v>523001110</v>
      </c>
      <c r="M484" s="72" t="s">
        <v>928</v>
      </c>
      <c r="N484" s="73">
        <v>16.700000000000003</v>
      </c>
      <c r="O484" s="74" t="s">
        <v>279</v>
      </c>
      <c r="P484" s="73">
        <v>29.95</v>
      </c>
      <c r="Q484" s="80" t="s">
        <v>279</v>
      </c>
      <c r="W484" s="76" t="s">
        <v>929</v>
      </c>
      <c r="X484" s="77">
        <v>16.700000000000003</v>
      </c>
      <c r="Y484" s="78">
        <v>0</v>
      </c>
      <c r="AA484" s="79">
        <v>16.700000000000003</v>
      </c>
      <c r="AB484" s="79">
        <v>16.700000000000003</v>
      </c>
      <c r="AC484" s="78">
        <v>0</v>
      </c>
      <c r="AE484" s="63" t="s">
        <v>219</v>
      </c>
      <c r="AF484" s="63">
        <v>1</v>
      </c>
      <c r="AG484" s="63">
        <v>1</v>
      </c>
      <c r="AK484" s="77">
        <v>0</v>
      </c>
      <c r="BA484" s="41" t="s">
        <v>230</v>
      </c>
      <c r="BB484" s="41" t="s">
        <v>15</v>
      </c>
      <c r="BC484" s="41" t="s">
        <v>232</v>
      </c>
      <c r="BD484" s="41" t="s">
        <v>1708</v>
      </c>
    </row>
    <row r="485" spans="1:56" ht="18" customHeight="1" outlineLevel="1">
      <c r="A485" s="19">
        <v>613</v>
      </c>
      <c r="B485" s="19">
        <v>518002927</v>
      </c>
      <c r="C485" s="19">
        <v>518002928</v>
      </c>
      <c r="D485" s="50" t="s">
        <v>529</v>
      </c>
      <c r="E485" s="19" t="s">
        <v>856</v>
      </c>
      <c r="F485" s="19" t="s">
        <v>930</v>
      </c>
      <c r="G485" s="19" t="s">
        <v>931</v>
      </c>
      <c r="H485" s="69" t="s">
        <v>932</v>
      </c>
      <c r="I485" s="70" t="s">
        <v>532</v>
      </c>
      <c r="J485" s="70" t="s">
        <v>289</v>
      </c>
      <c r="K485" s="71">
        <v>4</v>
      </c>
      <c r="L485" s="72">
        <v>518002928</v>
      </c>
      <c r="M485" s="72" t="s">
        <v>933</v>
      </c>
      <c r="N485" s="73">
        <v>16.700000000000003</v>
      </c>
      <c r="O485" s="74" t="s">
        <v>279</v>
      </c>
      <c r="P485" s="73">
        <v>29.95</v>
      </c>
      <c r="Q485" s="80" t="s">
        <v>279</v>
      </c>
      <c r="W485" s="76" t="s">
        <v>934</v>
      </c>
      <c r="X485" s="77">
        <v>16.700000000000003</v>
      </c>
      <c r="Y485" s="78">
        <v>0</v>
      </c>
      <c r="AA485" s="79">
        <v>16.700000000000003</v>
      </c>
      <c r="AB485" s="79">
        <v>16.700000000000003</v>
      </c>
      <c r="AC485" s="78">
        <v>0</v>
      </c>
      <c r="AE485" s="63" t="s">
        <v>219</v>
      </c>
      <c r="AF485" s="63">
        <v>1</v>
      </c>
      <c r="AG485" s="63">
        <v>1</v>
      </c>
      <c r="AK485" s="77">
        <v>0</v>
      </c>
      <c r="BA485" s="41" t="s">
        <v>230</v>
      </c>
      <c r="BB485" s="41" t="s">
        <v>15</v>
      </c>
      <c r="BC485" s="41" t="s">
        <v>232</v>
      </c>
      <c r="BD485" s="41" t="s">
        <v>1708</v>
      </c>
    </row>
    <row r="486" spans="1:56" ht="18" customHeight="1" outlineLevel="1">
      <c r="A486" s="19">
        <v>614</v>
      </c>
      <c r="B486" s="19">
        <v>516405001</v>
      </c>
      <c r="C486" s="19">
        <v>516405002</v>
      </c>
      <c r="D486" s="50" t="s">
        <v>529</v>
      </c>
      <c r="E486" s="19" t="s">
        <v>856</v>
      </c>
      <c r="F486" s="19" t="s">
        <v>935</v>
      </c>
      <c r="G486" s="19" t="s">
        <v>936</v>
      </c>
      <c r="H486" s="69" t="s">
        <v>937</v>
      </c>
      <c r="I486" s="70" t="s">
        <v>532</v>
      </c>
      <c r="J486" s="70" t="s">
        <v>289</v>
      </c>
      <c r="K486" s="71">
        <v>4</v>
      </c>
      <c r="L486" s="72">
        <v>516405002</v>
      </c>
      <c r="M486" s="72" t="s">
        <v>938</v>
      </c>
      <c r="N486" s="73">
        <v>16.700000000000003</v>
      </c>
      <c r="O486" s="74" t="s">
        <v>279</v>
      </c>
      <c r="P486" s="73">
        <v>29.95</v>
      </c>
      <c r="Q486" s="80" t="s">
        <v>279</v>
      </c>
      <c r="W486" s="76" t="s">
        <v>939</v>
      </c>
      <c r="X486" s="77">
        <v>16.700000000000003</v>
      </c>
      <c r="Y486" s="78">
        <v>0</v>
      </c>
      <c r="AA486" s="79">
        <v>16.700000000000003</v>
      </c>
      <c r="AB486" s="79">
        <v>16.700000000000003</v>
      </c>
      <c r="AC486" s="78">
        <v>0</v>
      </c>
      <c r="AE486" s="63" t="s">
        <v>219</v>
      </c>
      <c r="AF486" s="63">
        <v>1</v>
      </c>
      <c r="AG486" s="63">
        <v>1</v>
      </c>
      <c r="AK486" s="77">
        <v>0</v>
      </c>
      <c r="BA486" s="41" t="s">
        <v>230</v>
      </c>
      <c r="BB486" s="41" t="s">
        <v>15</v>
      </c>
      <c r="BC486" s="41" t="s">
        <v>232</v>
      </c>
      <c r="BD486" s="41" t="s">
        <v>1708</v>
      </c>
    </row>
    <row r="487" spans="1:56" ht="18" customHeight="1" outlineLevel="1">
      <c r="A487" s="19">
        <v>615</v>
      </c>
      <c r="B487" s="19">
        <v>516404001</v>
      </c>
      <c r="C487" s="19">
        <v>516404002</v>
      </c>
      <c r="D487" s="50" t="s">
        <v>529</v>
      </c>
      <c r="E487" s="19" t="s">
        <v>856</v>
      </c>
      <c r="F487" s="19" t="s">
        <v>940</v>
      </c>
      <c r="G487" s="19" t="s">
        <v>941</v>
      </c>
      <c r="H487" s="69" t="s">
        <v>942</v>
      </c>
      <c r="I487" s="70" t="s">
        <v>651</v>
      </c>
      <c r="J487" s="70" t="s">
        <v>652</v>
      </c>
      <c r="K487" s="71">
        <v>4</v>
      </c>
      <c r="L487" s="72">
        <v>516404002</v>
      </c>
      <c r="M487" s="72" t="s">
        <v>943</v>
      </c>
      <c r="N487" s="73">
        <v>16.700000000000003</v>
      </c>
      <c r="O487" s="74" t="s">
        <v>279</v>
      </c>
      <c r="P487" s="73">
        <v>29.95</v>
      </c>
      <c r="Q487" s="80" t="s">
        <v>279</v>
      </c>
      <c r="W487" s="76" t="s">
        <v>944</v>
      </c>
      <c r="X487" s="77">
        <v>16.700000000000003</v>
      </c>
      <c r="Y487" s="78">
        <v>0</v>
      </c>
      <c r="AA487" s="79">
        <v>16.700000000000003</v>
      </c>
      <c r="AB487" s="79">
        <v>16.700000000000003</v>
      </c>
      <c r="AC487" s="78">
        <v>0</v>
      </c>
      <c r="AE487" s="63" t="s">
        <v>219</v>
      </c>
      <c r="AF487" s="63">
        <v>1</v>
      </c>
      <c r="AG487" s="63">
        <v>1</v>
      </c>
      <c r="AK487" s="77">
        <v>0</v>
      </c>
      <c r="BA487" s="41" t="s">
        <v>230</v>
      </c>
      <c r="BB487" s="41" t="s">
        <v>15</v>
      </c>
      <c r="BC487" s="41" t="s">
        <v>232</v>
      </c>
      <c r="BD487" s="41" t="s">
        <v>1708</v>
      </c>
    </row>
    <row r="488" spans="1:56" ht="18" customHeight="1" outlineLevel="1">
      <c r="A488" s="19">
        <v>616</v>
      </c>
      <c r="B488" s="19">
        <v>521002073</v>
      </c>
      <c r="C488" s="19">
        <v>521002074</v>
      </c>
      <c r="D488" s="50" t="s">
        <v>13</v>
      </c>
      <c r="E488" s="19" t="s">
        <v>856</v>
      </c>
      <c r="F488" s="19" t="s">
        <v>1709</v>
      </c>
      <c r="G488" s="19" t="s">
        <v>1710</v>
      </c>
      <c r="H488" s="69" t="s">
        <v>1711</v>
      </c>
      <c r="I488" s="70" t="s">
        <v>536</v>
      </c>
      <c r="J488" s="70" t="s">
        <v>958</v>
      </c>
      <c r="K488" s="71">
        <v>4</v>
      </c>
      <c r="L488" s="72">
        <v>521002074</v>
      </c>
      <c r="M488" s="72" t="s">
        <v>1712</v>
      </c>
      <c r="N488" s="73">
        <v>33.4</v>
      </c>
      <c r="O488" s="74" t="s">
        <v>279</v>
      </c>
      <c r="P488" s="73">
        <v>59.95</v>
      </c>
      <c r="Q488" s="80" t="s">
        <v>279</v>
      </c>
      <c r="W488" s="76" t="s">
        <v>1713</v>
      </c>
      <c r="X488" s="77">
        <v>33.4</v>
      </c>
      <c r="Y488" s="78">
        <v>0</v>
      </c>
      <c r="AA488" s="79">
        <v>33.4</v>
      </c>
      <c r="AB488" s="79">
        <v>33.4</v>
      </c>
      <c r="AC488" s="78">
        <v>0</v>
      </c>
      <c r="AE488" s="63" t="s">
        <v>219</v>
      </c>
      <c r="AF488" s="63">
        <v>1</v>
      </c>
      <c r="AG488" s="63">
        <v>1</v>
      </c>
      <c r="AK488" s="77">
        <v>0</v>
      </c>
      <c r="BA488" s="41" t="s">
        <v>230</v>
      </c>
      <c r="BB488" s="41" t="s">
        <v>15</v>
      </c>
      <c r="BC488" s="41" t="s">
        <v>232</v>
      </c>
      <c r="BD488" s="41" t="s">
        <v>1708</v>
      </c>
    </row>
    <row r="489" spans="1:56" ht="18" customHeight="1" outlineLevel="1">
      <c r="A489" s="19">
        <v>617</v>
      </c>
      <c r="B489" s="19">
        <v>521002075</v>
      </c>
      <c r="C489" s="19">
        <v>521002076</v>
      </c>
      <c r="D489" s="50" t="s">
        <v>13</v>
      </c>
      <c r="E489" s="19" t="s">
        <v>856</v>
      </c>
      <c r="F489" s="19" t="s">
        <v>1709</v>
      </c>
      <c r="G489" s="19" t="s">
        <v>1710</v>
      </c>
      <c r="H489" s="69" t="s">
        <v>1714</v>
      </c>
      <c r="I489" s="70" t="s">
        <v>676</v>
      </c>
      <c r="J489" s="70" t="s">
        <v>677</v>
      </c>
      <c r="K489" s="71">
        <v>4</v>
      </c>
      <c r="L489" s="72">
        <v>521002076</v>
      </c>
      <c r="M489" s="72" t="s">
        <v>1715</v>
      </c>
      <c r="N489" s="73">
        <v>33.4</v>
      </c>
      <c r="O489" s="74" t="s">
        <v>279</v>
      </c>
      <c r="P489" s="73">
        <v>59.95</v>
      </c>
      <c r="Q489" s="80" t="s">
        <v>279</v>
      </c>
      <c r="W489" s="76" t="s">
        <v>1716</v>
      </c>
      <c r="X489" s="77">
        <v>33.4</v>
      </c>
      <c r="Y489" s="78">
        <v>0</v>
      </c>
      <c r="AA489" s="79">
        <v>33.4</v>
      </c>
      <c r="AB489" s="79">
        <v>33.4</v>
      </c>
      <c r="AC489" s="78">
        <v>0</v>
      </c>
      <c r="AE489" s="63" t="s">
        <v>219</v>
      </c>
      <c r="AF489" s="63">
        <v>1</v>
      </c>
      <c r="AG489" s="63">
        <v>1</v>
      </c>
      <c r="AK489" s="77">
        <v>0</v>
      </c>
      <c r="BA489" s="41" t="s">
        <v>230</v>
      </c>
      <c r="BB489" s="41" t="s">
        <v>15</v>
      </c>
      <c r="BC489" s="41" t="s">
        <v>232</v>
      </c>
      <c r="BD489" s="41" t="s">
        <v>1708</v>
      </c>
    </row>
    <row r="490" spans="1:56" s="57" customFormat="1" ht="18" customHeight="1" outlineLevel="1">
      <c r="A490" s="49">
        <v>618</v>
      </c>
      <c r="B490" s="19">
        <v>521002077</v>
      </c>
      <c r="C490" s="19">
        <v>521002078</v>
      </c>
      <c r="D490" s="50" t="s">
        <v>13</v>
      </c>
      <c r="E490" s="19" t="s">
        <v>856</v>
      </c>
      <c r="F490" s="19" t="s">
        <v>1709</v>
      </c>
      <c r="G490" s="19" t="s">
        <v>1710</v>
      </c>
      <c r="H490" s="69" t="s">
        <v>1717</v>
      </c>
      <c r="I490" s="64" t="s">
        <v>681</v>
      </c>
      <c r="J490" s="70" t="s">
        <v>965</v>
      </c>
      <c r="K490" s="53">
        <v>4</v>
      </c>
      <c r="L490" s="20">
        <v>521002078</v>
      </c>
      <c r="M490" s="72" t="s">
        <v>1718</v>
      </c>
      <c r="N490" s="54">
        <v>33.4</v>
      </c>
      <c r="O490" s="56" t="s">
        <v>279</v>
      </c>
      <c r="P490" s="54">
        <v>59.95</v>
      </c>
      <c r="Q490" s="56" t="s">
        <v>279</v>
      </c>
      <c r="R490" s="27"/>
      <c r="S490" s="58"/>
      <c r="T490" s="51"/>
      <c r="U490" s="51"/>
      <c r="V490" s="51"/>
      <c r="W490" s="76" t="s">
        <v>1719</v>
      </c>
      <c r="X490" s="77">
        <v>33.4</v>
      </c>
      <c r="Y490" s="78">
        <v>0</v>
      </c>
      <c r="Z490" s="29"/>
      <c r="AA490" s="79">
        <v>33.4</v>
      </c>
      <c r="AB490" s="79">
        <v>33.4</v>
      </c>
      <c r="AC490" s="78">
        <v>0</v>
      </c>
      <c r="AD490" s="29"/>
      <c r="AE490" s="63" t="s">
        <v>219</v>
      </c>
      <c r="AF490" s="63">
        <v>1</v>
      </c>
      <c r="AG490" s="63">
        <v>1</v>
      </c>
      <c r="AH490" s="29"/>
      <c r="AI490" s="27"/>
      <c r="AJ490" s="29"/>
      <c r="AK490" s="77">
        <v>0</v>
      </c>
      <c r="BA490" s="41" t="s">
        <v>230</v>
      </c>
      <c r="BB490" s="41" t="s">
        <v>15</v>
      </c>
      <c r="BC490" s="41" t="s">
        <v>232</v>
      </c>
      <c r="BD490" s="41" t="s">
        <v>1708</v>
      </c>
    </row>
    <row r="491" spans="1:56" ht="18" customHeight="1" outlineLevel="1">
      <c r="A491" s="19">
        <v>619</v>
      </c>
      <c r="B491" s="19">
        <v>523001201</v>
      </c>
      <c r="C491" s="19">
        <v>523001202</v>
      </c>
      <c r="D491" s="50" t="s">
        <v>13</v>
      </c>
      <c r="E491" s="19" t="s">
        <v>856</v>
      </c>
      <c r="F491" s="19" t="s">
        <v>1720</v>
      </c>
      <c r="G491" s="19" t="s">
        <v>1721</v>
      </c>
      <c r="H491" s="69" t="s">
        <v>1722</v>
      </c>
      <c r="I491" s="70" t="s">
        <v>676</v>
      </c>
      <c r="J491" s="70" t="s">
        <v>677</v>
      </c>
      <c r="K491" s="71">
        <v>4</v>
      </c>
      <c r="L491" s="72">
        <v>523001202</v>
      </c>
      <c r="M491" s="72" t="s">
        <v>1723</v>
      </c>
      <c r="N491" s="73">
        <v>33.4</v>
      </c>
      <c r="O491" s="74" t="s">
        <v>279</v>
      </c>
      <c r="P491" s="73">
        <v>59.95</v>
      </c>
      <c r="Q491" s="80" t="s">
        <v>279</v>
      </c>
      <c r="W491" s="76" t="s">
        <v>1724</v>
      </c>
      <c r="X491" s="77">
        <v>33.4</v>
      </c>
      <c r="Y491" s="78">
        <v>0</v>
      </c>
      <c r="AA491" s="79">
        <v>33.4</v>
      </c>
      <c r="AB491" s="79">
        <v>33.4</v>
      </c>
      <c r="AC491" s="78">
        <v>0</v>
      </c>
      <c r="AE491" s="63" t="s">
        <v>219</v>
      </c>
      <c r="AF491" s="63">
        <v>1</v>
      </c>
      <c r="AG491" s="63">
        <v>1</v>
      </c>
      <c r="AK491" s="77">
        <v>0</v>
      </c>
      <c r="BA491" s="41" t="s">
        <v>230</v>
      </c>
      <c r="BB491" s="41" t="s">
        <v>15</v>
      </c>
      <c r="BC491" s="41" t="s">
        <v>232</v>
      </c>
      <c r="BD491" s="41" t="s">
        <v>1708</v>
      </c>
    </row>
    <row r="492" spans="1:56" ht="18" customHeight="1" outlineLevel="1">
      <c r="A492" s="19">
        <v>620</v>
      </c>
      <c r="B492" s="19">
        <v>522004761</v>
      </c>
      <c r="C492" s="19">
        <v>522004762</v>
      </c>
      <c r="D492" s="50" t="s">
        <v>13</v>
      </c>
      <c r="E492" s="19" t="s">
        <v>856</v>
      </c>
      <c r="F492" s="19" t="s">
        <v>1725</v>
      </c>
      <c r="G492" s="19" t="s">
        <v>1726</v>
      </c>
      <c r="H492" s="69" t="s">
        <v>1727</v>
      </c>
      <c r="I492" s="70" t="s">
        <v>676</v>
      </c>
      <c r="J492" s="70" t="s">
        <v>677</v>
      </c>
      <c r="K492" s="71">
        <v>4</v>
      </c>
      <c r="L492" s="72">
        <v>522004762</v>
      </c>
      <c r="M492" s="72" t="s">
        <v>1728</v>
      </c>
      <c r="N492" s="73">
        <v>33.4</v>
      </c>
      <c r="O492" s="74" t="s">
        <v>279</v>
      </c>
      <c r="P492" s="73">
        <v>59.95</v>
      </c>
      <c r="Q492" s="80" t="s">
        <v>279</v>
      </c>
      <c r="W492" s="76" t="s">
        <v>1729</v>
      </c>
      <c r="X492" s="77">
        <v>33.4</v>
      </c>
      <c r="Y492" s="78">
        <v>0</v>
      </c>
      <c r="AA492" s="79">
        <v>33.4</v>
      </c>
      <c r="AB492" s="79">
        <v>33.4</v>
      </c>
      <c r="AC492" s="78">
        <v>0</v>
      </c>
      <c r="AE492" s="63" t="s">
        <v>219</v>
      </c>
      <c r="AF492" s="63">
        <v>1</v>
      </c>
      <c r="AG492" s="63">
        <v>1</v>
      </c>
      <c r="AK492" s="77">
        <v>0</v>
      </c>
      <c r="BA492" s="41" t="s">
        <v>230</v>
      </c>
      <c r="BB492" s="41" t="s">
        <v>15</v>
      </c>
      <c r="BC492" s="41" t="s">
        <v>232</v>
      </c>
      <c r="BD492" s="41" t="s">
        <v>1708</v>
      </c>
    </row>
    <row r="493" spans="1:56" ht="18" customHeight="1" outlineLevel="1">
      <c r="A493" s="19">
        <v>621</v>
      </c>
      <c r="B493" s="19">
        <v>521002091</v>
      </c>
      <c r="C493" s="19">
        <v>521002092</v>
      </c>
      <c r="D493" s="50" t="s">
        <v>13</v>
      </c>
      <c r="E493" s="19" t="s">
        <v>856</v>
      </c>
      <c r="F493" s="19" t="s">
        <v>1730</v>
      </c>
      <c r="G493" s="19" t="s">
        <v>1731</v>
      </c>
      <c r="H493" s="69" t="s">
        <v>1732</v>
      </c>
      <c r="I493" s="70" t="s">
        <v>536</v>
      </c>
      <c r="J493" s="70" t="s">
        <v>958</v>
      </c>
      <c r="K493" s="71">
        <v>4</v>
      </c>
      <c r="L493" s="72">
        <v>521002092</v>
      </c>
      <c r="M493" s="72" t="s">
        <v>1733</v>
      </c>
      <c r="N493" s="73">
        <v>33.4</v>
      </c>
      <c r="O493" s="74" t="s">
        <v>279</v>
      </c>
      <c r="P493" s="73">
        <v>59.95</v>
      </c>
      <c r="Q493" s="80" t="s">
        <v>279</v>
      </c>
      <c r="W493" s="76" t="s">
        <v>1734</v>
      </c>
      <c r="X493" s="77">
        <v>33.4</v>
      </c>
      <c r="Y493" s="78">
        <v>0</v>
      </c>
      <c r="AA493" s="79">
        <v>33.4</v>
      </c>
      <c r="AB493" s="79">
        <v>33.4</v>
      </c>
      <c r="AC493" s="78">
        <v>0</v>
      </c>
      <c r="AE493" s="63" t="s">
        <v>219</v>
      </c>
      <c r="AF493" s="63">
        <v>1</v>
      </c>
      <c r="AG493" s="63">
        <v>1</v>
      </c>
      <c r="AK493" s="77">
        <v>0</v>
      </c>
      <c r="BA493" s="41" t="s">
        <v>230</v>
      </c>
      <c r="BB493" s="41" t="s">
        <v>15</v>
      </c>
      <c r="BC493" s="41" t="s">
        <v>232</v>
      </c>
      <c r="BD493" s="41" t="s">
        <v>1708</v>
      </c>
    </row>
    <row r="494" spans="1:56" ht="18" customHeight="1" outlineLevel="1">
      <c r="A494" s="19">
        <v>622</v>
      </c>
      <c r="B494" s="19">
        <v>521002093</v>
      </c>
      <c r="C494" s="19">
        <v>521002094</v>
      </c>
      <c r="D494" s="50" t="s">
        <v>13</v>
      </c>
      <c r="E494" s="19" t="s">
        <v>856</v>
      </c>
      <c r="F494" s="19" t="s">
        <v>1730</v>
      </c>
      <c r="G494" s="19" t="s">
        <v>1731</v>
      </c>
      <c r="H494" s="69" t="s">
        <v>1735</v>
      </c>
      <c r="I494" s="70" t="s">
        <v>676</v>
      </c>
      <c r="J494" s="70" t="s">
        <v>677</v>
      </c>
      <c r="K494" s="71">
        <v>4</v>
      </c>
      <c r="L494" s="72">
        <v>521002094</v>
      </c>
      <c r="M494" s="72" t="s">
        <v>1736</v>
      </c>
      <c r="N494" s="73">
        <v>33.4</v>
      </c>
      <c r="O494" s="74" t="s">
        <v>279</v>
      </c>
      <c r="P494" s="73">
        <v>59.95</v>
      </c>
      <c r="Q494" s="80" t="s">
        <v>279</v>
      </c>
      <c r="W494" s="76" t="s">
        <v>1737</v>
      </c>
      <c r="X494" s="77">
        <v>33.4</v>
      </c>
      <c r="Y494" s="78">
        <v>0</v>
      </c>
      <c r="AA494" s="79">
        <v>33.4</v>
      </c>
      <c r="AB494" s="79">
        <v>33.4</v>
      </c>
      <c r="AC494" s="78">
        <v>0</v>
      </c>
      <c r="AE494" s="63" t="s">
        <v>219</v>
      </c>
      <c r="AF494" s="63">
        <v>1</v>
      </c>
      <c r="AG494" s="63">
        <v>1</v>
      </c>
      <c r="AK494" s="77">
        <v>0</v>
      </c>
      <c r="BA494" s="41" t="s">
        <v>230</v>
      </c>
      <c r="BB494" s="41" t="s">
        <v>15</v>
      </c>
      <c r="BC494" s="41" t="s">
        <v>232</v>
      </c>
      <c r="BD494" s="41" t="s">
        <v>1708</v>
      </c>
    </row>
    <row r="495" spans="1:56" ht="18" customHeight="1" outlineLevel="1">
      <c r="A495" s="19">
        <v>623</v>
      </c>
      <c r="B495" s="19">
        <v>521002097</v>
      </c>
      <c r="C495" s="19">
        <v>521002098</v>
      </c>
      <c r="D495" s="50" t="s">
        <v>13</v>
      </c>
      <c r="E495" s="19" t="s">
        <v>856</v>
      </c>
      <c r="F495" s="19" t="s">
        <v>1738</v>
      </c>
      <c r="G495" s="19" t="s">
        <v>1739</v>
      </c>
      <c r="H495" s="69" t="s">
        <v>1740</v>
      </c>
      <c r="I495" s="70" t="s">
        <v>536</v>
      </c>
      <c r="J495" s="70" t="s">
        <v>958</v>
      </c>
      <c r="K495" s="71">
        <v>4</v>
      </c>
      <c r="L495" s="72">
        <v>521002098</v>
      </c>
      <c r="M495" s="72" t="s">
        <v>1741</v>
      </c>
      <c r="N495" s="73">
        <v>33.4</v>
      </c>
      <c r="O495" s="74" t="s">
        <v>279</v>
      </c>
      <c r="P495" s="73">
        <v>59.95</v>
      </c>
      <c r="Q495" s="80" t="s">
        <v>279</v>
      </c>
      <c r="W495" s="76" t="s">
        <v>1742</v>
      </c>
      <c r="X495" s="77">
        <v>33.4</v>
      </c>
      <c r="Y495" s="78">
        <v>0</v>
      </c>
      <c r="AA495" s="79">
        <v>33.4</v>
      </c>
      <c r="AB495" s="79">
        <v>33.4</v>
      </c>
      <c r="AC495" s="78">
        <v>0</v>
      </c>
      <c r="AE495" s="63" t="s">
        <v>219</v>
      </c>
      <c r="AF495" s="63">
        <v>1</v>
      </c>
      <c r="AG495" s="63">
        <v>1</v>
      </c>
      <c r="AK495" s="77">
        <v>0</v>
      </c>
      <c r="BA495" s="41" t="s">
        <v>230</v>
      </c>
      <c r="BB495" s="41" t="s">
        <v>15</v>
      </c>
      <c r="BC495" s="41" t="s">
        <v>232</v>
      </c>
      <c r="BD495" s="41" t="s">
        <v>1708</v>
      </c>
    </row>
    <row r="496" spans="1:56" ht="18" customHeight="1" outlineLevel="1">
      <c r="A496" s="19">
        <v>624</v>
      </c>
      <c r="B496" s="19">
        <v>521002099</v>
      </c>
      <c r="C496" s="19">
        <v>521002100</v>
      </c>
      <c r="D496" s="50" t="s">
        <v>13</v>
      </c>
      <c r="E496" s="19" t="s">
        <v>856</v>
      </c>
      <c r="F496" s="19" t="s">
        <v>1738</v>
      </c>
      <c r="G496" s="19" t="s">
        <v>1739</v>
      </c>
      <c r="H496" s="69" t="s">
        <v>1743</v>
      </c>
      <c r="I496" s="70" t="s">
        <v>676</v>
      </c>
      <c r="J496" s="70" t="s">
        <v>677</v>
      </c>
      <c r="K496" s="71">
        <v>4</v>
      </c>
      <c r="L496" s="72">
        <v>521002100</v>
      </c>
      <c r="M496" s="72" t="s">
        <v>1744</v>
      </c>
      <c r="N496" s="73">
        <v>33.4</v>
      </c>
      <c r="O496" s="74" t="s">
        <v>279</v>
      </c>
      <c r="P496" s="73">
        <v>59.95</v>
      </c>
      <c r="Q496" s="80" t="s">
        <v>279</v>
      </c>
      <c r="W496" s="76" t="s">
        <v>1745</v>
      </c>
      <c r="X496" s="77">
        <v>33.4</v>
      </c>
      <c r="Y496" s="78">
        <v>0</v>
      </c>
      <c r="AA496" s="79">
        <v>33.4</v>
      </c>
      <c r="AB496" s="79">
        <v>33.4</v>
      </c>
      <c r="AC496" s="78">
        <v>0</v>
      </c>
      <c r="AE496" s="63" t="s">
        <v>219</v>
      </c>
      <c r="AF496" s="63">
        <v>1</v>
      </c>
      <c r="AG496" s="63">
        <v>1</v>
      </c>
      <c r="AK496" s="77">
        <v>0</v>
      </c>
      <c r="BA496" s="41" t="s">
        <v>230</v>
      </c>
      <c r="BB496" s="41" t="s">
        <v>15</v>
      </c>
      <c r="BC496" s="41" t="s">
        <v>232</v>
      </c>
      <c r="BD496" s="41" t="s">
        <v>1708</v>
      </c>
    </row>
    <row r="497" spans="1:56" ht="18" customHeight="1" outlineLevel="1">
      <c r="A497" s="19">
        <v>625</v>
      </c>
      <c r="B497" s="19">
        <v>521002101</v>
      </c>
      <c r="C497" s="19">
        <v>521002102</v>
      </c>
      <c r="D497" s="50" t="s">
        <v>13</v>
      </c>
      <c r="E497" s="19" t="s">
        <v>856</v>
      </c>
      <c r="F497" s="19" t="s">
        <v>1738</v>
      </c>
      <c r="G497" s="19" t="s">
        <v>1739</v>
      </c>
      <c r="H497" s="69" t="s">
        <v>1746</v>
      </c>
      <c r="I497" s="70" t="s">
        <v>681</v>
      </c>
      <c r="J497" s="70" t="s">
        <v>965</v>
      </c>
      <c r="K497" s="71">
        <v>4</v>
      </c>
      <c r="L497" s="72">
        <v>521002102</v>
      </c>
      <c r="M497" s="72" t="s">
        <v>1747</v>
      </c>
      <c r="N497" s="73">
        <v>33.4</v>
      </c>
      <c r="O497" s="74" t="s">
        <v>279</v>
      </c>
      <c r="P497" s="73">
        <v>59.95</v>
      </c>
      <c r="Q497" s="80" t="s">
        <v>279</v>
      </c>
      <c r="W497" s="76" t="s">
        <v>1748</v>
      </c>
      <c r="X497" s="77">
        <v>33.4</v>
      </c>
      <c r="Y497" s="78">
        <v>0</v>
      </c>
      <c r="AA497" s="79">
        <v>33.4</v>
      </c>
      <c r="AB497" s="79">
        <v>33.4</v>
      </c>
      <c r="AC497" s="78">
        <v>0</v>
      </c>
      <c r="AE497" s="63" t="s">
        <v>219</v>
      </c>
      <c r="AF497" s="63">
        <v>1</v>
      </c>
      <c r="AG497" s="63">
        <v>1</v>
      </c>
      <c r="AK497" s="77">
        <v>0</v>
      </c>
      <c r="BA497" s="41" t="s">
        <v>230</v>
      </c>
      <c r="BB497" s="41" t="s">
        <v>15</v>
      </c>
      <c r="BC497" s="41" t="s">
        <v>232</v>
      </c>
      <c r="BD497" s="41" t="s">
        <v>1708</v>
      </c>
    </row>
    <row r="498" spans="1:56" ht="18" customHeight="1" outlineLevel="1">
      <c r="A498" s="19">
        <v>626</v>
      </c>
      <c r="B498" s="19">
        <v>522004765</v>
      </c>
      <c r="C498" s="19">
        <v>522004766</v>
      </c>
      <c r="D498" s="50" t="s">
        <v>13</v>
      </c>
      <c r="E498" s="19" t="s">
        <v>856</v>
      </c>
      <c r="F498" s="19" t="s">
        <v>1749</v>
      </c>
      <c r="G498" s="19" t="s">
        <v>1750</v>
      </c>
      <c r="H498" s="69" t="s">
        <v>1751</v>
      </c>
      <c r="I498" s="70" t="s">
        <v>543</v>
      </c>
      <c r="J498" s="70" t="s">
        <v>289</v>
      </c>
      <c r="K498" s="71">
        <v>4</v>
      </c>
      <c r="L498" s="72">
        <v>522004766</v>
      </c>
      <c r="M498" s="72" t="s">
        <v>1752</v>
      </c>
      <c r="N498" s="73">
        <v>27.900000000000002</v>
      </c>
      <c r="O498" s="74" t="s">
        <v>279</v>
      </c>
      <c r="P498" s="73">
        <v>49.95</v>
      </c>
      <c r="Q498" s="80" t="s">
        <v>279</v>
      </c>
      <c r="W498" s="76" t="s">
        <v>1753</v>
      </c>
      <c r="X498" s="77">
        <v>27.900000000000002</v>
      </c>
      <c r="Y498" s="78">
        <v>0</v>
      </c>
      <c r="AA498" s="79">
        <v>27.900000000000002</v>
      </c>
      <c r="AB498" s="79">
        <v>27.900000000000002</v>
      </c>
      <c r="AC498" s="78">
        <v>0</v>
      </c>
      <c r="AE498" s="63" t="s">
        <v>219</v>
      </c>
      <c r="AF498" s="63">
        <v>1</v>
      </c>
      <c r="AG498" s="63">
        <v>1</v>
      </c>
      <c r="AK498" s="77">
        <v>0</v>
      </c>
      <c r="BA498" s="41" t="s">
        <v>230</v>
      </c>
      <c r="BB498" s="41" t="s">
        <v>15</v>
      </c>
      <c r="BC498" s="41" t="s">
        <v>232</v>
      </c>
      <c r="BD498" s="41" t="s">
        <v>1708</v>
      </c>
    </row>
    <row r="499" spans="1:56" s="57" customFormat="1" ht="18" customHeight="1" outlineLevel="1">
      <c r="A499" s="49">
        <v>627</v>
      </c>
      <c r="B499" s="19">
        <v>522004767</v>
      </c>
      <c r="C499" s="19">
        <v>522004768</v>
      </c>
      <c r="D499" s="50" t="s">
        <v>13</v>
      </c>
      <c r="E499" s="19" t="s">
        <v>856</v>
      </c>
      <c r="F499" s="19" t="s">
        <v>1749</v>
      </c>
      <c r="G499" s="19" t="s">
        <v>1750</v>
      </c>
      <c r="H499" s="69" t="s">
        <v>1754</v>
      </c>
      <c r="I499" s="64" t="s">
        <v>547</v>
      </c>
      <c r="J499" s="70" t="s">
        <v>480</v>
      </c>
      <c r="K499" s="53">
        <v>4</v>
      </c>
      <c r="L499" s="20">
        <v>522004768</v>
      </c>
      <c r="M499" s="72" t="s">
        <v>1755</v>
      </c>
      <c r="N499" s="54">
        <v>27.900000000000002</v>
      </c>
      <c r="O499" s="56" t="s">
        <v>279</v>
      </c>
      <c r="P499" s="54">
        <v>49.95</v>
      </c>
      <c r="Q499" s="56" t="s">
        <v>279</v>
      </c>
      <c r="R499" s="27"/>
      <c r="S499" s="58"/>
      <c r="T499" s="51"/>
      <c r="U499" s="51"/>
      <c r="V499" s="51"/>
      <c r="W499" s="76" t="s">
        <v>1756</v>
      </c>
      <c r="X499" s="77">
        <v>27.900000000000002</v>
      </c>
      <c r="Y499" s="78">
        <v>0</v>
      </c>
      <c r="Z499" s="29"/>
      <c r="AA499" s="79">
        <v>27.900000000000002</v>
      </c>
      <c r="AB499" s="79">
        <v>27.900000000000002</v>
      </c>
      <c r="AC499" s="78">
        <v>0</v>
      </c>
      <c r="AD499" s="29"/>
      <c r="AE499" s="63" t="s">
        <v>219</v>
      </c>
      <c r="AF499" s="63">
        <v>1</v>
      </c>
      <c r="AG499" s="63">
        <v>1</v>
      </c>
      <c r="AH499" s="29"/>
      <c r="AI499" s="27"/>
      <c r="AJ499" s="29"/>
      <c r="AK499" s="77">
        <v>0</v>
      </c>
      <c r="BA499" s="41" t="s">
        <v>230</v>
      </c>
      <c r="BB499" s="41" t="s">
        <v>15</v>
      </c>
      <c r="BC499" s="41" t="s">
        <v>232</v>
      </c>
      <c r="BD499" s="41" t="s">
        <v>1708</v>
      </c>
    </row>
    <row r="500" spans="1:56" s="57" customFormat="1" ht="27" customHeight="1" outlineLevel="1">
      <c r="A500" s="49">
        <v>628</v>
      </c>
      <c r="B500" s="19" t="s">
        <v>219</v>
      </c>
      <c r="C500" s="19" t="s">
        <v>219</v>
      </c>
      <c r="D500" s="50" t="s">
        <v>219</v>
      </c>
      <c r="E500" s="19" t="s">
        <v>219</v>
      </c>
      <c r="F500" s="19" t="s">
        <v>219</v>
      </c>
      <c r="G500" s="19" t="s">
        <v>219</v>
      </c>
      <c r="H500" s="81" t="s">
        <v>219</v>
      </c>
      <c r="I500" s="64" t="s">
        <v>219</v>
      </c>
      <c r="J500" s="70" t="s">
        <v>219</v>
      </c>
      <c r="K500" s="53" t="s">
        <v>219</v>
      </c>
      <c r="L500" s="20" t="s">
        <v>219</v>
      </c>
      <c r="M500" s="72" t="s">
        <v>219</v>
      </c>
      <c r="N500" s="54" t="s">
        <v>219</v>
      </c>
      <c r="O500" s="56" t="s">
        <v>219</v>
      </c>
      <c r="P500" s="54" t="s">
        <v>219</v>
      </c>
      <c r="Q500" s="56" t="s">
        <v>219</v>
      </c>
      <c r="R500" s="27"/>
      <c r="S500" s="58"/>
      <c r="T500" s="51"/>
      <c r="U500" s="51"/>
      <c r="V500" s="51"/>
      <c r="W500" s="76" t="s">
        <v>219</v>
      </c>
      <c r="X500" s="77" t="s">
        <v>219</v>
      </c>
      <c r="Y500" s="78">
        <v>0</v>
      </c>
      <c r="Z500" s="29"/>
      <c r="AA500" s="79" t="s">
        <v>219</v>
      </c>
      <c r="AB500" s="79" t="s">
        <v>219</v>
      </c>
      <c r="AC500" s="78">
        <v>0</v>
      </c>
      <c r="AD500" s="29"/>
      <c r="AE500" s="63" t="s">
        <v>230</v>
      </c>
      <c r="AF500" s="63">
        <v>1</v>
      </c>
      <c r="AG500" s="63" t="s">
        <v>219</v>
      </c>
      <c r="AH500" s="29"/>
      <c r="AI500" s="27"/>
      <c r="AJ500" s="29"/>
      <c r="AK500" s="77">
        <v>0</v>
      </c>
      <c r="BA500" s="41" t="s">
        <v>230</v>
      </c>
      <c r="BB500" s="41" t="s">
        <v>15</v>
      </c>
      <c r="BC500" s="41" t="s">
        <v>232</v>
      </c>
      <c r="BD500" s="41" t="s">
        <v>1708</v>
      </c>
    </row>
    <row r="501" spans="1:56" ht="27" customHeight="1" outlineLevel="1">
      <c r="A501" s="19">
        <v>629</v>
      </c>
      <c r="B501" s="19" t="s">
        <v>219</v>
      </c>
      <c r="C501" s="19" t="s">
        <v>219</v>
      </c>
      <c r="D501" s="50" t="s">
        <v>1757</v>
      </c>
      <c r="E501" s="19" t="s">
        <v>219</v>
      </c>
      <c r="F501" s="19" t="s">
        <v>219</v>
      </c>
      <c r="G501" s="19" t="s">
        <v>219</v>
      </c>
      <c r="H501" s="81" t="s">
        <v>1757</v>
      </c>
      <c r="I501" s="70" t="s">
        <v>219</v>
      </c>
      <c r="J501" s="70" t="s">
        <v>219</v>
      </c>
      <c r="K501" s="71" t="s">
        <v>219</v>
      </c>
      <c r="L501" s="72" t="s">
        <v>219</v>
      </c>
      <c r="M501" s="72" t="s">
        <v>219</v>
      </c>
      <c r="N501" s="73" t="s">
        <v>219</v>
      </c>
      <c r="O501" s="74" t="s">
        <v>219</v>
      </c>
      <c r="P501" s="73" t="s">
        <v>219</v>
      </c>
      <c r="Q501" s="80" t="s">
        <v>219</v>
      </c>
      <c r="W501" s="76" t="s">
        <v>219</v>
      </c>
      <c r="X501" s="77" t="s">
        <v>219</v>
      </c>
      <c r="Y501" s="78">
        <v>0</v>
      </c>
      <c r="AA501" s="79" t="s">
        <v>219</v>
      </c>
      <c r="AB501" s="79" t="s">
        <v>219</v>
      </c>
      <c r="AC501" s="78">
        <v>0</v>
      </c>
      <c r="AE501" s="63" t="s">
        <v>230</v>
      </c>
      <c r="AF501" s="63">
        <v>0</v>
      </c>
      <c r="AG501" s="63" t="s">
        <v>219</v>
      </c>
      <c r="AK501" s="77">
        <v>0</v>
      </c>
      <c r="BA501" s="41" t="s">
        <v>230</v>
      </c>
      <c r="BB501" s="41" t="s">
        <v>15</v>
      </c>
      <c r="BC501" s="41" t="s">
        <v>232</v>
      </c>
      <c r="BD501" s="41" t="s">
        <v>1758</v>
      </c>
    </row>
    <row r="502" spans="1:56" ht="18" customHeight="1" outlineLevel="1">
      <c r="A502" s="19">
        <v>630</v>
      </c>
      <c r="B502" s="19">
        <v>521003191</v>
      </c>
      <c r="C502" s="19">
        <v>521003191</v>
      </c>
      <c r="D502" s="50" t="s">
        <v>13</v>
      </c>
      <c r="E502" s="19" t="s">
        <v>1759</v>
      </c>
      <c r="F502" s="19" t="s">
        <v>1760</v>
      </c>
      <c r="G502" s="19" t="s">
        <v>1761</v>
      </c>
      <c r="H502" s="69" t="s">
        <v>1762</v>
      </c>
      <c r="I502" s="70" t="s">
        <v>1763</v>
      </c>
      <c r="J502" s="70" t="s">
        <v>334</v>
      </c>
      <c r="K502" s="71">
        <v>1</v>
      </c>
      <c r="L502" s="72">
        <v>521003191</v>
      </c>
      <c r="M502" s="72" t="s">
        <v>1764</v>
      </c>
      <c r="N502" s="73">
        <v>236</v>
      </c>
      <c r="O502" s="74" t="s">
        <v>279</v>
      </c>
      <c r="P502" s="73">
        <v>399.95</v>
      </c>
      <c r="Q502" s="80" t="s">
        <v>279</v>
      </c>
      <c r="W502" s="76" t="s">
        <v>1765</v>
      </c>
      <c r="X502" s="77">
        <v>236</v>
      </c>
      <c r="Y502" s="78">
        <v>0</v>
      </c>
      <c r="AA502" s="79">
        <v>236</v>
      </c>
      <c r="AB502" s="79">
        <v>236</v>
      </c>
      <c r="AC502" s="78">
        <v>0</v>
      </c>
      <c r="AE502" s="63" t="s">
        <v>219</v>
      </c>
      <c r="AF502" s="63">
        <v>0</v>
      </c>
      <c r="AG502" s="63">
        <v>0</v>
      </c>
      <c r="AK502" s="77">
        <v>0</v>
      </c>
      <c r="BA502" s="41" t="s">
        <v>230</v>
      </c>
      <c r="BB502" s="41" t="s">
        <v>15</v>
      </c>
      <c r="BC502" s="41" t="s">
        <v>232</v>
      </c>
      <c r="BD502" s="41" t="s">
        <v>1758</v>
      </c>
    </row>
    <row r="503" spans="1:56" ht="18" customHeight="1" outlineLevel="1">
      <c r="A503" s="19">
        <v>631</v>
      </c>
      <c r="B503" s="19">
        <v>521003199</v>
      </c>
      <c r="C503" s="19">
        <v>521003199</v>
      </c>
      <c r="D503" s="50" t="s">
        <v>13</v>
      </c>
      <c r="E503" s="19" t="s">
        <v>1759</v>
      </c>
      <c r="F503" s="19" t="s">
        <v>1760</v>
      </c>
      <c r="G503" s="19" t="s">
        <v>1761</v>
      </c>
      <c r="H503" s="69" t="s">
        <v>1766</v>
      </c>
      <c r="I503" s="70" t="s">
        <v>1767</v>
      </c>
      <c r="J503" s="70" t="s">
        <v>1768</v>
      </c>
      <c r="K503" s="71">
        <v>1</v>
      </c>
      <c r="L503" s="72">
        <v>521003199</v>
      </c>
      <c r="M503" s="72" t="s">
        <v>1769</v>
      </c>
      <c r="N503" s="73">
        <v>236</v>
      </c>
      <c r="O503" s="74" t="s">
        <v>279</v>
      </c>
      <c r="P503" s="73">
        <v>399.95</v>
      </c>
      <c r="Q503" s="80" t="s">
        <v>279</v>
      </c>
      <c r="W503" s="76" t="s">
        <v>1770</v>
      </c>
      <c r="X503" s="77">
        <v>236</v>
      </c>
      <c r="Y503" s="78">
        <v>0</v>
      </c>
      <c r="AA503" s="79">
        <v>236</v>
      </c>
      <c r="AB503" s="79">
        <v>236</v>
      </c>
      <c r="AC503" s="78">
        <v>0</v>
      </c>
      <c r="AE503" s="63" t="s">
        <v>219</v>
      </c>
      <c r="AF503" s="63">
        <v>0</v>
      </c>
      <c r="AG503" s="63">
        <v>0</v>
      </c>
      <c r="AK503" s="77">
        <v>0</v>
      </c>
      <c r="BA503" s="41" t="s">
        <v>230</v>
      </c>
      <c r="BB503" s="41" t="s">
        <v>15</v>
      </c>
      <c r="BC503" s="41" t="s">
        <v>232</v>
      </c>
      <c r="BD503" s="41" t="s">
        <v>1758</v>
      </c>
    </row>
    <row r="504" spans="1:56" ht="18" customHeight="1" outlineLevel="1">
      <c r="A504" s="19">
        <v>632</v>
      </c>
      <c r="B504" s="19">
        <v>521003207</v>
      </c>
      <c r="C504" s="19">
        <v>521003207</v>
      </c>
      <c r="D504" s="50" t="s">
        <v>13</v>
      </c>
      <c r="E504" s="19" t="s">
        <v>1759</v>
      </c>
      <c r="F504" s="19" t="s">
        <v>1760</v>
      </c>
      <c r="G504" s="19" t="s">
        <v>1761</v>
      </c>
      <c r="H504" s="69" t="s">
        <v>1771</v>
      </c>
      <c r="I504" s="70" t="s">
        <v>1772</v>
      </c>
      <c r="J504" s="70" t="s">
        <v>289</v>
      </c>
      <c r="K504" s="71">
        <v>1</v>
      </c>
      <c r="L504" s="72">
        <v>521003207</v>
      </c>
      <c r="M504" s="72" t="s">
        <v>1773</v>
      </c>
      <c r="N504" s="73">
        <v>236</v>
      </c>
      <c r="O504" s="74" t="s">
        <v>279</v>
      </c>
      <c r="P504" s="73">
        <v>399.95</v>
      </c>
      <c r="Q504" s="80" t="s">
        <v>279</v>
      </c>
      <c r="W504" s="76" t="s">
        <v>1774</v>
      </c>
      <c r="X504" s="77">
        <v>236</v>
      </c>
      <c r="Y504" s="78">
        <v>0</v>
      </c>
      <c r="AA504" s="79">
        <v>236</v>
      </c>
      <c r="AB504" s="79">
        <v>236</v>
      </c>
      <c r="AC504" s="78">
        <v>0</v>
      </c>
      <c r="AE504" s="63" t="s">
        <v>219</v>
      </c>
      <c r="AF504" s="63">
        <v>0</v>
      </c>
      <c r="AG504" s="63">
        <v>0</v>
      </c>
      <c r="AK504" s="77">
        <v>0</v>
      </c>
      <c r="BA504" s="41" t="s">
        <v>230</v>
      </c>
      <c r="BB504" s="41" t="s">
        <v>15</v>
      </c>
      <c r="BC504" s="41" t="s">
        <v>232</v>
      </c>
      <c r="BD504" s="41" t="s">
        <v>1758</v>
      </c>
    </row>
    <row r="505" spans="1:56" ht="18" customHeight="1" outlineLevel="1">
      <c r="A505" s="19">
        <v>633</v>
      </c>
      <c r="B505" s="19">
        <v>521003215</v>
      </c>
      <c r="C505" s="19">
        <v>521003215</v>
      </c>
      <c r="D505" s="50" t="s">
        <v>13</v>
      </c>
      <c r="E505" s="19" t="s">
        <v>1759</v>
      </c>
      <c r="F505" s="19" t="s">
        <v>1760</v>
      </c>
      <c r="G505" s="19" t="s">
        <v>1761</v>
      </c>
      <c r="H505" s="69" t="s">
        <v>1775</v>
      </c>
      <c r="I505" s="70" t="s">
        <v>1776</v>
      </c>
      <c r="J505" s="70" t="s">
        <v>480</v>
      </c>
      <c r="K505" s="71">
        <v>1</v>
      </c>
      <c r="L505" s="72">
        <v>521003215</v>
      </c>
      <c r="M505" s="72" t="s">
        <v>1777</v>
      </c>
      <c r="N505" s="73">
        <v>236</v>
      </c>
      <c r="O505" s="74" t="s">
        <v>279</v>
      </c>
      <c r="P505" s="73">
        <v>399.95</v>
      </c>
      <c r="Q505" s="80" t="s">
        <v>279</v>
      </c>
      <c r="W505" s="76" t="s">
        <v>1778</v>
      </c>
      <c r="X505" s="77">
        <v>236</v>
      </c>
      <c r="Y505" s="78">
        <v>0</v>
      </c>
      <c r="AA505" s="79">
        <v>236</v>
      </c>
      <c r="AB505" s="79">
        <v>236</v>
      </c>
      <c r="AC505" s="78">
        <v>0</v>
      </c>
      <c r="AE505" s="63" t="s">
        <v>219</v>
      </c>
      <c r="AF505" s="63">
        <v>0</v>
      </c>
      <c r="AG505" s="63">
        <v>0</v>
      </c>
      <c r="AK505" s="77">
        <v>0</v>
      </c>
      <c r="BA505" s="41" t="s">
        <v>230</v>
      </c>
      <c r="BB505" s="41" t="s">
        <v>15</v>
      </c>
      <c r="BC505" s="41" t="s">
        <v>232</v>
      </c>
      <c r="BD505" s="41" t="s">
        <v>1758</v>
      </c>
    </row>
    <row r="506" spans="1:56" ht="18" customHeight="1" outlineLevel="1">
      <c r="A506" s="19">
        <v>634</v>
      </c>
      <c r="B506" s="19">
        <v>521003223</v>
      </c>
      <c r="C506" s="19">
        <v>521003223</v>
      </c>
      <c r="D506" s="50" t="s">
        <v>13</v>
      </c>
      <c r="E506" s="19" t="s">
        <v>1759</v>
      </c>
      <c r="F506" s="19" t="s">
        <v>1760</v>
      </c>
      <c r="G506" s="19" t="s">
        <v>1761</v>
      </c>
      <c r="H506" s="69" t="s">
        <v>1779</v>
      </c>
      <c r="I506" s="70" t="s">
        <v>1780</v>
      </c>
      <c r="J506" s="70" t="s">
        <v>537</v>
      </c>
      <c r="K506" s="71">
        <v>1</v>
      </c>
      <c r="L506" s="72">
        <v>521003223</v>
      </c>
      <c r="M506" s="72" t="s">
        <v>1781</v>
      </c>
      <c r="N506" s="73">
        <v>236</v>
      </c>
      <c r="O506" s="74" t="s">
        <v>279</v>
      </c>
      <c r="P506" s="73">
        <v>399.95</v>
      </c>
      <c r="Q506" s="80" t="s">
        <v>279</v>
      </c>
      <c r="W506" s="76" t="s">
        <v>1782</v>
      </c>
      <c r="X506" s="77">
        <v>236</v>
      </c>
      <c r="Y506" s="78">
        <v>0</v>
      </c>
      <c r="AA506" s="79">
        <v>236</v>
      </c>
      <c r="AB506" s="79">
        <v>236</v>
      </c>
      <c r="AC506" s="78">
        <v>0</v>
      </c>
      <c r="AE506" s="63" t="s">
        <v>219</v>
      </c>
      <c r="AF506" s="63">
        <v>0</v>
      </c>
      <c r="AG506" s="63">
        <v>0</v>
      </c>
      <c r="AK506" s="77">
        <v>0</v>
      </c>
      <c r="BA506" s="41" t="s">
        <v>230</v>
      </c>
      <c r="BB506" s="41" t="s">
        <v>15</v>
      </c>
      <c r="BC506" s="41" t="s">
        <v>232</v>
      </c>
      <c r="BD506" s="41" t="s">
        <v>1758</v>
      </c>
    </row>
    <row r="507" spans="1:56" ht="18" customHeight="1" outlineLevel="1">
      <c r="A507" s="19">
        <v>635</v>
      </c>
      <c r="B507" s="19">
        <v>521004829</v>
      </c>
      <c r="C507" s="19">
        <v>521004829</v>
      </c>
      <c r="D507" s="50" t="s">
        <v>13</v>
      </c>
      <c r="E507" s="19" t="s">
        <v>1759</v>
      </c>
      <c r="F507" s="19" t="s">
        <v>1760</v>
      </c>
      <c r="G507" s="19" t="s">
        <v>1761</v>
      </c>
      <c r="H507" s="69" t="s">
        <v>1783</v>
      </c>
      <c r="I507" s="70" t="s">
        <v>1784</v>
      </c>
      <c r="J507" s="70" t="s">
        <v>537</v>
      </c>
      <c r="K507" s="71">
        <v>1</v>
      </c>
      <c r="L507" s="72">
        <v>521004829</v>
      </c>
      <c r="M507" s="72" t="s">
        <v>1785</v>
      </c>
      <c r="N507" s="73">
        <v>236</v>
      </c>
      <c r="O507" s="74" t="s">
        <v>279</v>
      </c>
      <c r="P507" s="73">
        <v>399.95</v>
      </c>
      <c r="Q507" s="80" t="s">
        <v>279</v>
      </c>
      <c r="W507" s="76" t="s">
        <v>1786</v>
      </c>
      <c r="X507" s="77">
        <v>236</v>
      </c>
      <c r="Y507" s="78">
        <v>0</v>
      </c>
      <c r="AA507" s="79">
        <v>236</v>
      </c>
      <c r="AB507" s="79">
        <v>236</v>
      </c>
      <c r="AC507" s="78">
        <v>0</v>
      </c>
      <c r="AE507" s="63" t="s">
        <v>219</v>
      </c>
      <c r="AF507" s="63">
        <v>0</v>
      </c>
      <c r="AG507" s="63">
        <v>0</v>
      </c>
      <c r="AK507" s="77">
        <v>0</v>
      </c>
      <c r="BA507" s="41" t="s">
        <v>230</v>
      </c>
      <c r="BB507" s="41" t="s">
        <v>15</v>
      </c>
      <c r="BC507" s="41" t="s">
        <v>232</v>
      </c>
      <c r="BD507" s="41" t="s">
        <v>1758</v>
      </c>
    </row>
    <row r="508" spans="1:56" ht="27" customHeight="1" outlineLevel="1">
      <c r="A508" s="19">
        <v>636</v>
      </c>
      <c r="B508" s="19" t="s">
        <v>219</v>
      </c>
      <c r="C508" s="19" t="s">
        <v>219</v>
      </c>
      <c r="D508" s="50" t="s">
        <v>219</v>
      </c>
      <c r="E508" s="19" t="s">
        <v>219</v>
      </c>
      <c r="F508" s="19" t="s">
        <v>219</v>
      </c>
      <c r="G508" s="19" t="s">
        <v>219</v>
      </c>
      <c r="H508" s="81" t="s">
        <v>219</v>
      </c>
      <c r="I508" s="70" t="s">
        <v>219</v>
      </c>
      <c r="J508" s="70" t="s">
        <v>219</v>
      </c>
      <c r="K508" s="71" t="s">
        <v>219</v>
      </c>
      <c r="L508" s="72" t="s">
        <v>219</v>
      </c>
      <c r="M508" s="72" t="s">
        <v>219</v>
      </c>
      <c r="N508" s="73" t="s">
        <v>219</v>
      </c>
      <c r="O508" s="74" t="s">
        <v>219</v>
      </c>
      <c r="P508" s="73" t="s">
        <v>219</v>
      </c>
      <c r="Q508" s="80" t="s">
        <v>219</v>
      </c>
      <c r="W508" s="76" t="s">
        <v>219</v>
      </c>
      <c r="X508" s="77" t="s">
        <v>219</v>
      </c>
      <c r="Y508" s="78">
        <v>0</v>
      </c>
      <c r="AA508" s="79" t="s">
        <v>219</v>
      </c>
      <c r="AB508" s="79" t="s">
        <v>219</v>
      </c>
      <c r="AC508" s="78">
        <v>0</v>
      </c>
      <c r="AE508" s="63" t="s">
        <v>230</v>
      </c>
      <c r="AF508" s="63">
        <v>1</v>
      </c>
      <c r="AG508" s="63" t="s">
        <v>219</v>
      </c>
      <c r="AK508" s="77">
        <v>0</v>
      </c>
      <c r="BA508" s="41" t="s">
        <v>230</v>
      </c>
      <c r="BB508" s="41" t="s">
        <v>15</v>
      </c>
      <c r="BC508" s="41" t="s">
        <v>232</v>
      </c>
      <c r="BD508" s="41" t="s">
        <v>1758</v>
      </c>
    </row>
    <row r="509" spans="1:56" s="57" customFormat="1" ht="18" customHeight="1" outlineLevel="1">
      <c r="A509" s="49">
        <v>637</v>
      </c>
      <c r="B509" s="19">
        <v>521003161</v>
      </c>
      <c r="C509" s="19">
        <v>521003161</v>
      </c>
      <c r="D509" s="50" t="s">
        <v>13</v>
      </c>
      <c r="E509" s="19" t="s">
        <v>1759</v>
      </c>
      <c r="F509" s="19" t="s">
        <v>1787</v>
      </c>
      <c r="G509" s="19" t="s">
        <v>1788</v>
      </c>
      <c r="H509" s="69" t="s">
        <v>1789</v>
      </c>
      <c r="I509" s="64" t="s">
        <v>1763</v>
      </c>
      <c r="J509" s="70" t="s">
        <v>334</v>
      </c>
      <c r="K509" s="53">
        <v>1</v>
      </c>
      <c r="L509" s="20">
        <v>521003161</v>
      </c>
      <c r="M509" s="72" t="s">
        <v>1790</v>
      </c>
      <c r="N509" s="54">
        <v>177</v>
      </c>
      <c r="O509" s="56" t="s">
        <v>279</v>
      </c>
      <c r="P509" s="54">
        <v>299.95</v>
      </c>
      <c r="Q509" s="56" t="s">
        <v>279</v>
      </c>
      <c r="R509" s="27"/>
      <c r="S509" s="58"/>
      <c r="T509" s="51"/>
      <c r="U509" s="51"/>
      <c r="V509" s="51"/>
      <c r="W509" s="76" t="s">
        <v>1791</v>
      </c>
      <c r="X509" s="77">
        <v>177</v>
      </c>
      <c r="Y509" s="78">
        <v>0</v>
      </c>
      <c r="Z509" s="29"/>
      <c r="AA509" s="79">
        <v>177</v>
      </c>
      <c r="AB509" s="79">
        <v>177</v>
      </c>
      <c r="AC509" s="78">
        <v>0</v>
      </c>
      <c r="AD509" s="29"/>
      <c r="AE509" s="63" t="s">
        <v>219</v>
      </c>
      <c r="AF509" s="63">
        <v>1</v>
      </c>
      <c r="AG509" s="63">
        <v>1</v>
      </c>
      <c r="AH509" s="29"/>
      <c r="AI509" s="27"/>
      <c r="AJ509" s="29"/>
      <c r="AK509" s="77">
        <v>0</v>
      </c>
      <c r="BA509" s="41" t="s">
        <v>230</v>
      </c>
      <c r="BB509" s="41" t="s">
        <v>15</v>
      </c>
      <c r="BC509" s="41" t="s">
        <v>232</v>
      </c>
      <c r="BD509" s="41" t="s">
        <v>1758</v>
      </c>
    </row>
    <row r="510" spans="1:56" ht="18" customHeight="1" outlineLevel="1">
      <c r="A510" s="19">
        <v>638</v>
      </c>
      <c r="B510" s="19">
        <v>521003167</v>
      </c>
      <c r="C510" s="19">
        <v>521003167</v>
      </c>
      <c r="D510" s="50" t="s">
        <v>13</v>
      </c>
      <c r="E510" s="19" t="s">
        <v>1759</v>
      </c>
      <c r="F510" s="19" t="s">
        <v>1787</v>
      </c>
      <c r="G510" s="19" t="s">
        <v>1788</v>
      </c>
      <c r="H510" s="69" t="s">
        <v>1792</v>
      </c>
      <c r="I510" s="70" t="s">
        <v>1767</v>
      </c>
      <c r="J510" s="70" t="s">
        <v>1768</v>
      </c>
      <c r="K510" s="71">
        <v>1</v>
      </c>
      <c r="L510" s="72">
        <v>521003167</v>
      </c>
      <c r="M510" s="72" t="s">
        <v>1793</v>
      </c>
      <c r="N510" s="73">
        <v>177</v>
      </c>
      <c r="O510" s="74" t="s">
        <v>279</v>
      </c>
      <c r="P510" s="73">
        <v>299.95</v>
      </c>
      <c r="Q510" s="80" t="s">
        <v>279</v>
      </c>
      <c r="W510" s="76" t="s">
        <v>1794</v>
      </c>
      <c r="X510" s="77">
        <v>177</v>
      </c>
      <c r="Y510" s="78">
        <v>0</v>
      </c>
      <c r="AA510" s="79">
        <v>177</v>
      </c>
      <c r="AB510" s="79">
        <v>177</v>
      </c>
      <c r="AC510" s="78">
        <v>0</v>
      </c>
      <c r="AE510" s="63" t="s">
        <v>219</v>
      </c>
      <c r="AF510" s="63">
        <v>1</v>
      </c>
      <c r="AG510" s="63">
        <v>1</v>
      </c>
      <c r="AK510" s="77">
        <v>0</v>
      </c>
      <c r="BA510" s="41" t="s">
        <v>230</v>
      </c>
      <c r="BB510" s="41" t="s">
        <v>15</v>
      </c>
      <c r="BC510" s="41" t="s">
        <v>232</v>
      </c>
      <c r="BD510" s="41" t="s">
        <v>1758</v>
      </c>
    </row>
    <row r="511" spans="1:56" ht="18" customHeight="1" outlineLevel="1">
      <c r="A511" s="19">
        <v>639</v>
      </c>
      <c r="B511" s="19">
        <v>521003173</v>
      </c>
      <c r="C511" s="19">
        <v>521003173</v>
      </c>
      <c r="D511" s="50" t="s">
        <v>13</v>
      </c>
      <c r="E511" s="19" t="s">
        <v>1759</v>
      </c>
      <c r="F511" s="19" t="s">
        <v>1787</v>
      </c>
      <c r="G511" s="19" t="s">
        <v>1788</v>
      </c>
      <c r="H511" s="69" t="s">
        <v>1795</v>
      </c>
      <c r="I511" s="70" t="s">
        <v>1772</v>
      </c>
      <c r="J511" s="70" t="s">
        <v>289</v>
      </c>
      <c r="K511" s="71">
        <v>1</v>
      </c>
      <c r="L511" s="72">
        <v>521003173</v>
      </c>
      <c r="M511" s="72" t="s">
        <v>1796</v>
      </c>
      <c r="N511" s="73">
        <v>177</v>
      </c>
      <c r="O511" s="74" t="s">
        <v>279</v>
      </c>
      <c r="P511" s="73">
        <v>299.95</v>
      </c>
      <c r="Q511" s="80" t="s">
        <v>279</v>
      </c>
      <c r="W511" s="76" t="s">
        <v>1797</v>
      </c>
      <c r="X511" s="77">
        <v>177</v>
      </c>
      <c r="Y511" s="78">
        <v>0</v>
      </c>
      <c r="AA511" s="79">
        <v>177</v>
      </c>
      <c r="AB511" s="79">
        <v>177</v>
      </c>
      <c r="AC511" s="78">
        <v>0</v>
      </c>
      <c r="AE511" s="63" t="s">
        <v>219</v>
      </c>
      <c r="AF511" s="63">
        <v>1</v>
      </c>
      <c r="AG511" s="63">
        <v>1</v>
      </c>
      <c r="AK511" s="77">
        <v>0</v>
      </c>
      <c r="BA511" s="41" t="s">
        <v>230</v>
      </c>
      <c r="BB511" s="41" t="s">
        <v>15</v>
      </c>
      <c r="BC511" s="41" t="s">
        <v>232</v>
      </c>
      <c r="BD511" s="41" t="s">
        <v>1758</v>
      </c>
    </row>
    <row r="512" spans="1:56" ht="18" customHeight="1" outlineLevel="1">
      <c r="A512" s="19">
        <v>640</v>
      </c>
      <c r="B512" s="19">
        <v>521003179</v>
      </c>
      <c r="C512" s="19">
        <v>521003179</v>
      </c>
      <c r="D512" s="50" t="s">
        <v>13</v>
      </c>
      <c r="E512" s="19" t="s">
        <v>1759</v>
      </c>
      <c r="F512" s="19" t="s">
        <v>1787</v>
      </c>
      <c r="G512" s="19" t="s">
        <v>1788</v>
      </c>
      <c r="H512" s="69" t="s">
        <v>1798</v>
      </c>
      <c r="I512" s="70" t="s">
        <v>1776</v>
      </c>
      <c r="J512" s="70" t="s">
        <v>480</v>
      </c>
      <c r="K512" s="71">
        <v>1</v>
      </c>
      <c r="L512" s="72">
        <v>521003179</v>
      </c>
      <c r="M512" s="72" t="s">
        <v>1799</v>
      </c>
      <c r="N512" s="73">
        <v>177</v>
      </c>
      <c r="O512" s="74" t="s">
        <v>279</v>
      </c>
      <c r="P512" s="73">
        <v>299.95</v>
      </c>
      <c r="Q512" s="80" t="s">
        <v>279</v>
      </c>
      <c r="W512" s="76" t="s">
        <v>1800</v>
      </c>
      <c r="X512" s="77">
        <v>177</v>
      </c>
      <c r="Y512" s="78">
        <v>0</v>
      </c>
      <c r="AA512" s="79">
        <v>177</v>
      </c>
      <c r="AB512" s="79">
        <v>177</v>
      </c>
      <c r="AC512" s="78">
        <v>0</v>
      </c>
      <c r="AE512" s="63" t="s">
        <v>219</v>
      </c>
      <c r="AF512" s="63">
        <v>1</v>
      </c>
      <c r="AG512" s="63">
        <v>1</v>
      </c>
      <c r="AK512" s="77">
        <v>0</v>
      </c>
      <c r="BA512" s="41" t="s">
        <v>230</v>
      </c>
      <c r="BB512" s="41" t="s">
        <v>15</v>
      </c>
      <c r="BC512" s="41" t="s">
        <v>232</v>
      </c>
      <c r="BD512" s="41" t="s">
        <v>1758</v>
      </c>
    </row>
    <row r="513" spans="1:56" ht="18" customHeight="1" outlineLevel="1">
      <c r="A513" s="19">
        <v>641</v>
      </c>
      <c r="B513" s="19">
        <v>521003185</v>
      </c>
      <c r="C513" s="19">
        <v>521003185</v>
      </c>
      <c r="D513" s="50" t="s">
        <v>13</v>
      </c>
      <c r="E513" s="19" t="s">
        <v>1759</v>
      </c>
      <c r="F513" s="19" t="s">
        <v>1787</v>
      </c>
      <c r="G513" s="19" t="s">
        <v>1788</v>
      </c>
      <c r="H513" s="69" t="s">
        <v>1801</v>
      </c>
      <c r="I513" s="70" t="s">
        <v>1780</v>
      </c>
      <c r="J513" s="70" t="s">
        <v>537</v>
      </c>
      <c r="K513" s="71">
        <v>1</v>
      </c>
      <c r="L513" s="72">
        <v>521003185</v>
      </c>
      <c r="M513" s="72" t="s">
        <v>1802</v>
      </c>
      <c r="N513" s="73">
        <v>177</v>
      </c>
      <c r="O513" s="74" t="s">
        <v>279</v>
      </c>
      <c r="P513" s="73">
        <v>299.95</v>
      </c>
      <c r="Q513" s="80" t="s">
        <v>279</v>
      </c>
      <c r="W513" s="76" t="s">
        <v>1803</v>
      </c>
      <c r="X513" s="77">
        <v>177</v>
      </c>
      <c r="Y513" s="78">
        <v>0</v>
      </c>
      <c r="AA513" s="79">
        <v>177</v>
      </c>
      <c r="AB513" s="79">
        <v>177</v>
      </c>
      <c r="AC513" s="78">
        <v>0</v>
      </c>
      <c r="AE513" s="63" t="s">
        <v>219</v>
      </c>
      <c r="AF513" s="63">
        <v>1</v>
      </c>
      <c r="AG513" s="63">
        <v>1</v>
      </c>
      <c r="AK513" s="77">
        <v>0</v>
      </c>
      <c r="BA513" s="41" t="s">
        <v>230</v>
      </c>
      <c r="BB513" s="41" t="s">
        <v>15</v>
      </c>
      <c r="BC513" s="41" t="s">
        <v>232</v>
      </c>
      <c r="BD513" s="41" t="s">
        <v>1758</v>
      </c>
    </row>
    <row r="514" spans="1:56" ht="18" customHeight="1" outlineLevel="1">
      <c r="A514" s="19">
        <v>642</v>
      </c>
      <c r="B514" s="19">
        <v>521004821</v>
      </c>
      <c r="C514" s="19">
        <v>521004821</v>
      </c>
      <c r="D514" s="50" t="s">
        <v>13</v>
      </c>
      <c r="E514" s="19" t="s">
        <v>1759</v>
      </c>
      <c r="F514" s="19" t="s">
        <v>1787</v>
      </c>
      <c r="G514" s="19" t="s">
        <v>1788</v>
      </c>
      <c r="H514" s="69" t="s">
        <v>1804</v>
      </c>
      <c r="I514" s="70" t="s">
        <v>1784</v>
      </c>
      <c r="J514" s="70" t="s">
        <v>537</v>
      </c>
      <c r="K514" s="71">
        <v>1</v>
      </c>
      <c r="L514" s="72">
        <v>521004821</v>
      </c>
      <c r="M514" s="72" t="s">
        <v>1805</v>
      </c>
      <c r="N514" s="73">
        <v>177</v>
      </c>
      <c r="O514" s="74" t="s">
        <v>279</v>
      </c>
      <c r="P514" s="73">
        <v>299.95</v>
      </c>
      <c r="Q514" s="80" t="s">
        <v>279</v>
      </c>
      <c r="W514" s="76" t="s">
        <v>1806</v>
      </c>
      <c r="X514" s="77">
        <v>177</v>
      </c>
      <c r="Y514" s="78">
        <v>0</v>
      </c>
      <c r="AA514" s="79">
        <v>177</v>
      </c>
      <c r="AB514" s="79">
        <v>177</v>
      </c>
      <c r="AC514" s="78">
        <v>0</v>
      </c>
      <c r="AE514" s="63" t="s">
        <v>219</v>
      </c>
      <c r="AF514" s="63">
        <v>1</v>
      </c>
      <c r="AG514" s="63">
        <v>1</v>
      </c>
      <c r="AK514" s="77">
        <v>0</v>
      </c>
      <c r="BA514" s="41" t="s">
        <v>230</v>
      </c>
      <c r="BB514" s="41" t="s">
        <v>15</v>
      </c>
      <c r="BC514" s="41" t="s">
        <v>232</v>
      </c>
      <c r="BD514" s="41" t="s">
        <v>1758</v>
      </c>
    </row>
    <row r="515" spans="1:56" ht="27" customHeight="1" outlineLevel="1">
      <c r="A515" s="19">
        <v>643</v>
      </c>
      <c r="B515" s="19" t="s">
        <v>219</v>
      </c>
      <c r="C515" s="19" t="s">
        <v>219</v>
      </c>
      <c r="D515" s="50" t="s">
        <v>219</v>
      </c>
      <c r="E515" s="19" t="s">
        <v>219</v>
      </c>
      <c r="F515" s="19" t="s">
        <v>219</v>
      </c>
      <c r="G515" s="19" t="s">
        <v>219</v>
      </c>
      <c r="H515" s="81" t="s">
        <v>219</v>
      </c>
      <c r="I515" s="70" t="s">
        <v>219</v>
      </c>
      <c r="J515" s="70" t="s">
        <v>219</v>
      </c>
      <c r="K515" s="71" t="s">
        <v>219</v>
      </c>
      <c r="L515" s="72" t="s">
        <v>219</v>
      </c>
      <c r="M515" s="72" t="s">
        <v>219</v>
      </c>
      <c r="N515" s="73" t="s">
        <v>219</v>
      </c>
      <c r="O515" s="74" t="s">
        <v>219</v>
      </c>
      <c r="P515" s="73" t="s">
        <v>219</v>
      </c>
      <c r="Q515" s="80" t="s">
        <v>219</v>
      </c>
      <c r="W515" s="76" t="s">
        <v>219</v>
      </c>
      <c r="X515" s="77" t="s">
        <v>219</v>
      </c>
      <c r="Y515" s="78">
        <v>0</v>
      </c>
      <c r="AA515" s="79" t="s">
        <v>219</v>
      </c>
      <c r="AB515" s="79" t="s">
        <v>219</v>
      </c>
      <c r="AC515" s="78">
        <v>0</v>
      </c>
      <c r="AE515" s="63" t="s">
        <v>230</v>
      </c>
      <c r="AF515" s="63">
        <v>0</v>
      </c>
      <c r="AG515" s="63" t="s">
        <v>219</v>
      </c>
      <c r="AK515" s="77">
        <v>0</v>
      </c>
      <c r="BA515" s="41" t="s">
        <v>230</v>
      </c>
      <c r="BB515" s="41" t="s">
        <v>15</v>
      </c>
      <c r="BC515" s="41" t="s">
        <v>232</v>
      </c>
      <c r="BD515" s="41" t="s">
        <v>1758</v>
      </c>
    </row>
    <row r="516" spans="1:56" ht="18" customHeight="1" outlineLevel="1">
      <c r="A516" s="19">
        <v>644</v>
      </c>
      <c r="B516" s="19">
        <v>522001535</v>
      </c>
      <c r="C516" s="19">
        <v>522001535</v>
      </c>
      <c r="D516" s="50" t="s">
        <v>13</v>
      </c>
      <c r="E516" s="19" t="s">
        <v>1759</v>
      </c>
      <c r="F516" s="19" t="s">
        <v>1807</v>
      </c>
      <c r="G516" s="19" t="s">
        <v>1808</v>
      </c>
      <c r="H516" s="69" t="s">
        <v>1809</v>
      </c>
      <c r="I516" s="70" t="s">
        <v>1763</v>
      </c>
      <c r="J516" s="70" t="s">
        <v>334</v>
      </c>
      <c r="K516" s="71">
        <v>1</v>
      </c>
      <c r="L516" s="72">
        <v>522001535</v>
      </c>
      <c r="M516" s="72" t="s">
        <v>1810</v>
      </c>
      <c r="N516" s="73">
        <v>141.6</v>
      </c>
      <c r="O516" s="74" t="s">
        <v>279</v>
      </c>
      <c r="P516" s="73">
        <v>239.95</v>
      </c>
      <c r="Q516" s="80" t="s">
        <v>279</v>
      </c>
      <c r="W516" s="76" t="s">
        <v>1811</v>
      </c>
      <c r="X516" s="77">
        <v>141.6</v>
      </c>
      <c r="Y516" s="78">
        <v>0</v>
      </c>
      <c r="AA516" s="79">
        <v>141.6</v>
      </c>
      <c r="AB516" s="79">
        <v>141.6</v>
      </c>
      <c r="AC516" s="78">
        <v>0</v>
      </c>
      <c r="AE516" s="63" t="s">
        <v>219</v>
      </c>
      <c r="AF516" s="63">
        <v>0</v>
      </c>
      <c r="AG516" s="63">
        <v>0</v>
      </c>
      <c r="AK516" s="77">
        <v>0</v>
      </c>
      <c r="BA516" s="41" t="s">
        <v>230</v>
      </c>
      <c r="BB516" s="41" t="s">
        <v>15</v>
      </c>
      <c r="BC516" s="41" t="s">
        <v>232</v>
      </c>
      <c r="BD516" s="41" t="s">
        <v>1758</v>
      </c>
    </row>
    <row r="517" spans="1:56" ht="18" customHeight="1" outlineLevel="1">
      <c r="A517" s="19">
        <v>645</v>
      </c>
      <c r="B517" s="19">
        <v>522001541</v>
      </c>
      <c r="C517" s="19">
        <v>522001541</v>
      </c>
      <c r="D517" s="50" t="s">
        <v>13</v>
      </c>
      <c r="E517" s="19" t="s">
        <v>1759</v>
      </c>
      <c r="F517" s="19" t="s">
        <v>1807</v>
      </c>
      <c r="G517" s="19" t="s">
        <v>1808</v>
      </c>
      <c r="H517" s="69" t="s">
        <v>1812</v>
      </c>
      <c r="I517" s="70" t="s">
        <v>1767</v>
      </c>
      <c r="J517" s="70" t="s">
        <v>1768</v>
      </c>
      <c r="K517" s="71">
        <v>1</v>
      </c>
      <c r="L517" s="72">
        <v>522001541</v>
      </c>
      <c r="M517" s="72" t="s">
        <v>1813</v>
      </c>
      <c r="N517" s="73">
        <v>141.6</v>
      </c>
      <c r="O517" s="74" t="s">
        <v>279</v>
      </c>
      <c r="P517" s="73">
        <v>239.95</v>
      </c>
      <c r="Q517" s="80" t="s">
        <v>279</v>
      </c>
      <c r="W517" s="76" t="s">
        <v>1814</v>
      </c>
      <c r="X517" s="77">
        <v>141.6</v>
      </c>
      <c r="Y517" s="78">
        <v>0</v>
      </c>
      <c r="AA517" s="79">
        <v>141.6</v>
      </c>
      <c r="AB517" s="79">
        <v>141.6</v>
      </c>
      <c r="AC517" s="78">
        <v>0</v>
      </c>
      <c r="AE517" s="63" t="s">
        <v>219</v>
      </c>
      <c r="AF517" s="63">
        <v>0</v>
      </c>
      <c r="AG517" s="63">
        <v>0</v>
      </c>
      <c r="AK517" s="77">
        <v>0</v>
      </c>
      <c r="BA517" s="41" t="s">
        <v>230</v>
      </c>
      <c r="BB517" s="41" t="s">
        <v>15</v>
      </c>
      <c r="BC517" s="41" t="s">
        <v>232</v>
      </c>
      <c r="BD517" s="41" t="s">
        <v>1758</v>
      </c>
    </row>
    <row r="518" spans="1:56" s="57" customFormat="1" ht="18" customHeight="1" outlineLevel="1">
      <c r="A518" s="49">
        <v>646</v>
      </c>
      <c r="B518" s="19">
        <v>522001547</v>
      </c>
      <c r="C518" s="19">
        <v>522001547</v>
      </c>
      <c r="D518" s="50" t="s">
        <v>13</v>
      </c>
      <c r="E518" s="19" t="s">
        <v>1759</v>
      </c>
      <c r="F518" s="19" t="s">
        <v>1807</v>
      </c>
      <c r="G518" s="19" t="s">
        <v>1808</v>
      </c>
      <c r="H518" s="69" t="s">
        <v>1815</v>
      </c>
      <c r="I518" s="64" t="s">
        <v>1772</v>
      </c>
      <c r="J518" s="70" t="s">
        <v>289</v>
      </c>
      <c r="K518" s="53">
        <v>1</v>
      </c>
      <c r="L518" s="20">
        <v>522001547</v>
      </c>
      <c r="M518" s="72" t="s">
        <v>1816</v>
      </c>
      <c r="N518" s="54">
        <v>141.6</v>
      </c>
      <c r="O518" s="56" t="s">
        <v>279</v>
      </c>
      <c r="P518" s="54">
        <v>239.95</v>
      </c>
      <c r="Q518" s="56" t="s">
        <v>279</v>
      </c>
      <c r="R518" s="27"/>
      <c r="S518" s="58"/>
      <c r="T518" s="51"/>
      <c r="U518" s="51"/>
      <c r="V518" s="51"/>
      <c r="W518" s="76" t="s">
        <v>1817</v>
      </c>
      <c r="X518" s="77">
        <v>141.6</v>
      </c>
      <c r="Y518" s="78">
        <v>0</v>
      </c>
      <c r="Z518" s="29"/>
      <c r="AA518" s="79">
        <v>141.6</v>
      </c>
      <c r="AB518" s="79">
        <v>141.6</v>
      </c>
      <c r="AC518" s="78">
        <v>0</v>
      </c>
      <c r="AD518" s="29"/>
      <c r="AE518" s="63" t="s">
        <v>219</v>
      </c>
      <c r="AF518" s="63">
        <v>0</v>
      </c>
      <c r="AG518" s="63">
        <v>0</v>
      </c>
      <c r="AH518" s="29"/>
      <c r="AI518" s="27"/>
      <c r="AJ518" s="29"/>
      <c r="AK518" s="77">
        <v>0</v>
      </c>
      <c r="BA518" s="41" t="s">
        <v>230</v>
      </c>
      <c r="BB518" s="41" t="s">
        <v>15</v>
      </c>
      <c r="BC518" s="41" t="s">
        <v>232</v>
      </c>
      <c r="BD518" s="41" t="s">
        <v>1758</v>
      </c>
    </row>
    <row r="519" spans="1:56" ht="18" customHeight="1" outlineLevel="1">
      <c r="A519" s="19">
        <v>647</v>
      </c>
      <c r="B519" s="19">
        <v>522001553</v>
      </c>
      <c r="C519" s="19">
        <v>522001553</v>
      </c>
      <c r="D519" s="50" t="s">
        <v>13</v>
      </c>
      <c r="E519" s="19" t="s">
        <v>1759</v>
      </c>
      <c r="F519" s="19" t="s">
        <v>1807</v>
      </c>
      <c r="G519" s="19" t="s">
        <v>1808</v>
      </c>
      <c r="H519" s="69" t="s">
        <v>1818</v>
      </c>
      <c r="I519" s="70" t="s">
        <v>1776</v>
      </c>
      <c r="J519" s="70" t="s">
        <v>480</v>
      </c>
      <c r="K519" s="71">
        <v>1</v>
      </c>
      <c r="L519" s="72">
        <v>522001553</v>
      </c>
      <c r="M519" s="72" t="s">
        <v>1819</v>
      </c>
      <c r="N519" s="73">
        <v>141.6</v>
      </c>
      <c r="O519" s="74" t="s">
        <v>279</v>
      </c>
      <c r="P519" s="73">
        <v>239.95</v>
      </c>
      <c r="Q519" s="80" t="s">
        <v>279</v>
      </c>
      <c r="W519" s="76" t="s">
        <v>1820</v>
      </c>
      <c r="X519" s="77">
        <v>141.6</v>
      </c>
      <c r="Y519" s="78">
        <v>0</v>
      </c>
      <c r="AA519" s="79">
        <v>141.6</v>
      </c>
      <c r="AB519" s="79">
        <v>141.6</v>
      </c>
      <c r="AC519" s="78">
        <v>0</v>
      </c>
      <c r="AE519" s="63" t="s">
        <v>219</v>
      </c>
      <c r="AF519" s="63">
        <v>0</v>
      </c>
      <c r="AG519" s="63">
        <v>0</v>
      </c>
      <c r="AK519" s="77">
        <v>0</v>
      </c>
      <c r="BA519" s="41" t="s">
        <v>230</v>
      </c>
      <c r="BB519" s="41" t="s">
        <v>15</v>
      </c>
      <c r="BC519" s="41" t="s">
        <v>232</v>
      </c>
      <c r="BD519" s="41" t="s">
        <v>1758</v>
      </c>
    </row>
    <row r="520" spans="1:56" ht="18" customHeight="1" outlineLevel="1">
      <c r="A520" s="19">
        <v>648</v>
      </c>
      <c r="B520" s="19">
        <v>522001559</v>
      </c>
      <c r="C520" s="19">
        <v>522001559</v>
      </c>
      <c r="D520" s="50" t="s">
        <v>13</v>
      </c>
      <c r="E520" s="19" t="s">
        <v>1759</v>
      </c>
      <c r="F520" s="19" t="s">
        <v>1807</v>
      </c>
      <c r="G520" s="19" t="s">
        <v>1808</v>
      </c>
      <c r="H520" s="69" t="s">
        <v>1821</v>
      </c>
      <c r="I520" s="70" t="s">
        <v>1780</v>
      </c>
      <c r="J520" s="70" t="s">
        <v>537</v>
      </c>
      <c r="K520" s="71">
        <v>1</v>
      </c>
      <c r="L520" s="72">
        <v>522001559</v>
      </c>
      <c r="M520" s="72" t="s">
        <v>1822</v>
      </c>
      <c r="N520" s="73">
        <v>141.6</v>
      </c>
      <c r="O520" s="74" t="s">
        <v>279</v>
      </c>
      <c r="P520" s="73">
        <v>239.95</v>
      </c>
      <c r="Q520" s="80" t="s">
        <v>279</v>
      </c>
      <c r="W520" s="76" t="s">
        <v>1823</v>
      </c>
      <c r="X520" s="77">
        <v>141.6</v>
      </c>
      <c r="Y520" s="78">
        <v>0</v>
      </c>
      <c r="AA520" s="79">
        <v>141.6</v>
      </c>
      <c r="AB520" s="79">
        <v>141.6</v>
      </c>
      <c r="AC520" s="78">
        <v>0</v>
      </c>
      <c r="AE520" s="63" t="s">
        <v>219</v>
      </c>
      <c r="AF520" s="63">
        <v>0</v>
      </c>
      <c r="AG520" s="63">
        <v>0</v>
      </c>
      <c r="AK520" s="77">
        <v>0</v>
      </c>
      <c r="BA520" s="41" t="s">
        <v>230</v>
      </c>
      <c r="BB520" s="41" t="s">
        <v>15</v>
      </c>
      <c r="BC520" s="41" t="s">
        <v>232</v>
      </c>
      <c r="BD520" s="41" t="s">
        <v>1758</v>
      </c>
    </row>
    <row r="521" spans="1:56" ht="18" customHeight="1" outlineLevel="1">
      <c r="A521" s="19">
        <v>649</v>
      </c>
      <c r="B521" s="19">
        <v>522001567</v>
      </c>
      <c r="C521" s="19">
        <v>522001567</v>
      </c>
      <c r="D521" s="50" t="s">
        <v>13</v>
      </c>
      <c r="E521" s="19" t="s">
        <v>1759</v>
      </c>
      <c r="F521" s="19" t="s">
        <v>1807</v>
      </c>
      <c r="G521" s="19" t="s">
        <v>1808</v>
      </c>
      <c r="H521" s="69" t="s">
        <v>1824</v>
      </c>
      <c r="I521" s="70" t="s">
        <v>1784</v>
      </c>
      <c r="J521" s="70" t="s">
        <v>537</v>
      </c>
      <c r="K521" s="71">
        <v>1</v>
      </c>
      <c r="L521" s="72">
        <v>522001567</v>
      </c>
      <c r="M521" s="72" t="s">
        <v>1825</v>
      </c>
      <c r="N521" s="73">
        <v>141.6</v>
      </c>
      <c r="O521" s="74" t="s">
        <v>279</v>
      </c>
      <c r="P521" s="73">
        <v>239.95</v>
      </c>
      <c r="Q521" s="80" t="s">
        <v>279</v>
      </c>
      <c r="W521" s="76" t="s">
        <v>1826</v>
      </c>
      <c r="X521" s="77">
        <v>141.6</v>
      </c>
      <c r="Y521" s="78">
        <v>0</v>
      </c>
      <c r="AA521" s="79">
        <v>141.6</v>
      </c>
      <c r="AB521" s="79">
        <v>141.6</v>
      </c>
      <c r="AC521" s="78">
        <v>0</v>
      </c>
      <c r="AE521" s="63" t="s">
        <v>219</v>
      </c>
      <c r="AF521" s="63">
        <v>0</v>
      </c>
      <c r="AG521" s="63">
        <v>0</v>
      </c>
      <c r="AK521" s="77">
        <v>0</v>
      </c>
      <c r="BA521" s="41" t="s">
        <v>230</v>
      </c>
      <c r="BB521" s="41" t="s">
        <v>15</v>
      </c>
      <c r="BC521" s="41" t="s">
        <v>232</v>
      </c>
      <c r="BD521" s="41" t="s">
        <v>1758</v>
      </c>
    </row>
    <row r="522" spans="1:56" ht="27" customHeight="1" outlineLevel="1">
      <c r="A522" s="19">
        <v>650</v>
      </c>
      <c r="B522" s="19" t="s">
        <v>219</v>
      </c>
      <c r="C522" s="19" t="s">
        <v>219</v>
      </c>
      <c r="D522" s="50" t="s">
        <v>219</v>
      </c>
      <c r="E522" s="19" t="s">
        <v>219</v>
      </c>
      <c r="F522" s="19" t="s">
        <v>219</v>
      </c>
      <c r="G522" s="19" t="s">
        <v>219</v>
      </c>
      <c r="H522" s="81" t="s">
        <v>219</v>
      </c>
      <c r="I522" s="70" t="s">
        <v>219</v>
      </c>
      <c r="J522" s="70" t="s">
        <v>219</v>
      </c>
      <c r="K522" s="71" t="s">
        <v>219</v>
      </c>
      <c r="L522" s="72" t="s">
        <v>219</v>
      </c>
      <c r="M522" s="72" t="s">
        <v>219</v>
      </c>
      <c r="N522" s="73" t="s">
        <v>219</v>
      </c>
      <c r="O522" s="74" t="s">
        <v>219</v>
      </c>
      <c r="P522" s="73" t="s">
        <v>219</v>
      </c>
      <c r="Q522" s="80" t="s">
        <v>219</v>
      </c>
      <c r="W522" s="76" t="s">
        <v>219</v>
      </c>
      <c r="X522" s="77" t="s">
        <v>219</v>
      </c>
      <c r="Y522" s="78">
        <v>0</v>
      </c>
      <c r="AA522" s="79" t="s">
        <v>219</v>
      </c>
      <c r="AB522" s="79" t="s">
        <v>219</v>
      </c>
      <c r="AC522" s="78">
        <v>0</v>
      </c>
      <c r="AE522" s="63" t="s">
        <v>230</v>
      </c>
      <c r="AF522" s="63">
        <v>1</v>
      </c>
      <c r="AG522" s="63" t="s">
        <v>219</v>
      </c>
      <c r="AK522" s="77">
        <v>0</v>
      </c>
      <c r="BA522" s="41" t="s">
        <v>230</v>
      </c>
      <c r="BB522" s="41" t="s">
        <v>15</v>
      </c>
      <c r="BC522" s="41" t="s">
        <v>232</v>
      </c>
      <c r="BD522" s="41" t="s">
        <v>1758</v>
      </c>
    </row>
    <row r="523" spans="1:56" ht="18" customHeight="1" outlineLevel="1">
      <c r="A523" s="19">
        <v>651</v>
      </c>
      <c r="B523" s="19">
        <v>521003231</v>
      </c>
      <c r="C523" s="19">
        <v>521003231</v>
      </c>
      <c r="D523" s="50" t="s">
        <v>13</v>
      </c>
      <c r="E523" s="19" t="s">
        <v>1759</v>
      </c>
      <c r="F523" s="19" t="s">
        <v>1827</v>
      </c>
      <c r="G523" s="19" t="s">
        <v>1828</v>
      </c>
      <c r="H523" s="69" t="s">
        <v>1829</v>
      </c>
      <c r="I523" s="70" t="s">
        <v>1763</v>
      </c>
      <c r="J523" s="70" t="s">
        <v>334</v>
      </c>
      <c r="K523" s="71">
        <v>1</v>
      </c>
      <c r="L523" s="72">
        <v>521003231</v>
      </c>
      <c r="M523" s="72" t="s">
        <v>1830</v>
      </c>
      <c r="N523" s="73">
        <v>129.79999999999998</v>
      </c>
      <c r="O523" s="74" t="s">
        <v>279</v>
      </c>
      <c r="P523" s="73">
        <v>219.95</v>
      </c>
      <c r="Q523" s="80" t="s">
        <v>279</v>
      </c>
      <c r="W523" s="76" t="s">
        <v>1831</v>
      </c>
      <c r="X523" s="77">
        <v>129.79999999999998</v>
      </c>
      <c r="Y523" s="78">
        <v>0</v>
      </c>
      <c r="AA523" s="79">
        <v>129.79999999999998</v>
      </c>
      <c r="AB523" s="79">
        <v>129.79999999999998</v>
      </c>
      <c r="AC523" s="78">
        <v>0</v>
      </c>
      <c r="AE523" s="63" t="s">
        <v>219</v>
      </c>
      <c r="AF523" s="63">
        <v>1</v>
      </c>
      <c r="AG523" s="63">
        <v>1</v>
      </c>
      <c r="AK523" s="77">
        <v>0</v>
      </c>
      <c r="BA523" s="41" t="s">
        <v>230</v>
      </c>
      <c r="BB523" s="41" t="s">
        <v>15</v>
      </c>
      <c r="BC523" s="41" t="s">
        <v>232</v>
      </c>
      <c r="BD523" s="41" t="s">
        <v>1758</v>
      </c>
    </row>
    <row r="524" spans="1:56" ht="18" customHeight="1" outlineLevel="1">
      <c r="A524" s="19">
        <v>652</v>
      </c>
      <c r="B524" s="19">
        <v>521003239</v>
      </c>
      <c r="C524" s="19">
        <v>521003239</v>
      </c>
      <c r="D524" s="50" t="s">
        <v>13</v>
      </c>
      <c r="E524" s="19" t="s">
        <v>1759</v>
      </c>
      <c r="F524" s="19" t="s">
        <v>1827</v>
      </c>
      <c r="G524" s="19" t="s">
        <v>1828</v>
      </c>
      <c r="H524" s="69" t="s">
        <v>1832</v>
      </c>
      <c r="I524" s="70" t="s">
        <v>1767</v>
      </c>
      <c r="J524" s="70" t="s">
        <v>1768</v>
      </c>
      <c r="K524" s="71">
        <v>1</v>
      </c>
      <c r="L524" s="72">
        <v>521003239</v>
      </c>
      <c r="M524" s="72" t="s">
        <v>1833</v>
      </c>
      <c r="N524" s="73">
        <v>129.79999999999998</v>
      </c>
      <c r="O524" s="74" t="s">
        <v>279</v>
      </c>
      <c r="P524" s="73">
        <v>219.95</v>
      </c>
      <c r="Q524" s="80" t="s">
        <v>279</v>
      </c>
      <c r="W524" s="76" t="s">
        <v>1834</v>
      </c>
      <c r="X524" s="77">
        <v>129.79999999999998</v>
      </c>
      <c r="Y524" s="78">
        <v>0</v>
      </c>
      <c r="AA524" s="79">
        <v>129.79999999999998</v>
      </c>
      <c r="AB524" s="79">
        <v>129.79999999999998</v>
      </c>
      <c r="AC524" s="78">
        <v>0</v>
      </c>
      <c r="AE524" s="63" t="s">
        <v>219</v>
      </c>
      <c r="AF524" s="63">
        <v>1</v>
      </c>
      <c r="AG524" s="63">
        <v>1</v>
      </c>
      <c r="AK524" s="77">
        <v>0</v>
      </c>
      <c r="BA524" s="41" t="s">
        <v>230</v>
      </c>
      <c r="BB524" s="41" t="s">
        <v>15</v>
      </c>
      <c r="BC524" s="41" t="s">
        <v>232</v>
      </c>
      <c r="BD524" s="41" t="s">
        <v>1758</v>
      </c>
    </row>
    <row r="525" spans="1:56" ht="18" customHeight="1" outlineLevel="1">
      <c r="A525" s="19">
        <v>653</v>
      </c>
      <c r="B525" s="19">
        <v>521003247</v>
      </c>
      <c r="C525" s="19">
        <v>521003247</v>
      </c>
      <c r="D525" s="50" t="s">
        <v>13</v>
      </c>
      <c r="E525" s="19" t="s">
        <v>1759</v>
      </c>
      <c r="F525" s="19" t="s">
        <v>1827</v>
      </c>
      <c r="G525" s="19" t="s">
        <v>1828</v>
      </c>
      <c r="H525" s="69" t="s">
        <v>1835</v>
      </c>
      <c r="I525" s="70" t="s">
        <v>1772</v>
      </c>
      <c r="J525" s="70" t="s">
        <v>289</v>
      </c>
      <c r="K525" s="71">
        <v>1</v>
      </c>
      <c r="L525" s="72">
        <v>521003247</v>
      </c>
      <c r="M525" s="72" t="s">
        <v>1836</v>
      </c>
      <c r="N525" s="73">
        <v>129.79999999999998</v>
      </c>
      <c r="O525" s="74" t="s">
        <v>279</v>
      </c>
      <c r="P525" s="73">
        <v>219.95</v>
      </c>
      <c r="Q525" s="80" t="s">
        <v>279</v>
      </c>
      <c r="W525" s="76" t="s">
        <v>1837</v>
      </c>
      <c r="X525" s="77">
        <v>129.79999999999998</v>
      </c>
      <c r="Y525" s="78">
        <v>0</v>
      </c>
      <c r="AA525" s="79">
        <v>129.79999999999998</v>
      </c>
      <c r="AB525" s="79">
        <v>129.79999999999998</v>
      </c>
      <c r="AC525" s="78">
        <v>0</v>
      </c>
      <c r="AE525" s="63" t="s">
        <v>219</v>
      </c>
      <c r="AF525" s="63">
        <v>1</v>
      </c>
      <c r="AG525" s="63">
        <v>1</v>
      </c>
      <c r="AK525" s="77">
        <v>0</v>
      </c>
      <c r="BA525" s="41" t="s">
        <v>230</v>
      </c>
      <c r="BB525" s="41" t="s">
        <v>15</v>
      </c>
      <c r="BC525" s="41" t="s">
        <v>232</v>
      </c>
      <c r="BD525" s="41" t="s">
        <v>1758</v>
      </c>
    </row>
    <row r="526" spans="1:56" ht="18" customHeight="1" outlineLevel="1">
      <c r="A526" s="19">
        <v>654</v>
      </c>
      <c r="B526" s="19">
        <v>521003255</v>
      </c>
      <c r="C526" s="19">
        <v>521003255</v>
      </c>
      <c r="D526" s="50" t="s">
        <v>13</v>
      </c>
      <c r="E526" s="19" t="s">
        <v>1759</v>
      </c>
      <c r="F526" s="19" t="s">
        <v>1827</v>
      </c>
      <c r="G526" s="19" t="s">
        <v>1828</v>
      </c>
      <c r="H526" s="69" t="s">
        <v>1838</v>
      </c>
      <c r="I526" s="70" t="s">
        <v>1776</v>
      </c>
      <c r="J526" s="70" t="s">
        <v>480</v>
      </c>
      <c r="K526" s="71">
        <v>1</v>
      </c>
      <c r="L526" s="72">
        <v>521003255</v>
      </c>
      <c r="M526" s="72" t="s">
        <v>1839</v>
      </c>
      <c r="N526" s="73">
        <v>129.79999999999998</v>
      </c>
      <c r="O526" s="74" t="s">
        <v>279</v>
      </c>
      <c r="P526" s="73">
        <v>219.95</v>
      </c>
      <c r="Q526" s="80" t="s">
        <v>279</v>
      </c>
      <c r="W526" s="76" t="s">
        <v>1840</v>
      </c>
      <c r="X526" s="77">
        <v>129.79999999999998</v>
      </c>
      <c r="Y526" s="78">
        <v>0</v>
      </c>
      <c r="AA526" s="79">
        <v>129.79999999999998</v>
      </c>
      <c r="AB526" s="79">
        <v>129.79999999999998</v>
      </c>
      <c r="AC526" s="78">
        <v>0</v>
      </c>
      <c r="AE526" s="63" t="s">
        <v>219</v>
      </c>
      <c r="AF526" s="63">
        <v>1</v>
      </c>
      <c r="AG526" s="63">
        <v>1</v>
      </c>
      <c r="AK526" s="77">
        <v>0</v>
      </c>
      <c r="BA526" s="41" t="s">
        <v>230</v>
      </c>
      <c r="BB526" s="41" t="s">
        <v>15</v>
      </c>
      <c r="BC526" s="41" t="s">
        <v>232</v>
      </c>
      <c r="BD526" s="41" t="s">
        <v>1758</v>
      </c>
    </row>
    <row r="527" spans="1:56" s="57" customFormat="1" ht="18" customHeight="1" outlineLevel="1">
      <c r="A527" s="49">
        <v>655</v>
      </c>
      <c r="B527" s="19">
        <v>521003263</v>
      </c>
      <c r="C527" s="19">
        <v>521003263</v>
      </c>
      <c r="D527" s="50" t="s">
        <v>13</v>
      </c>
      <c r="E527" s="19" t="s">
        <v>1759</v>
      </c>
      <c r="F527" s="19" t="s">
        <v>1827</v>
      </c>
      <c r="G527" s="19" t="s">
        <v>1828</v>
      </c>
      <c r="H527" s="69" t="s">
        <v>1841</v>
      </c>
      <c r="I527" s="64" t="s">
        <v>1780</v>
      </c>
      <c r="J527" s="70" t="s">
        <v>537</v>
      </c>
      <c r="K527" s="53">
        <v>1</v>
      </c>
      <c r="L527" s="20">
        <v>521003263</v>
      </c>
      <c r="M527" s="72" t="s">
        <v>1842</v>
      </c>
      <c r="N527" s="54">
        <v>129.79999999999998</v>
      </c>
      <c r="O527" s="56" t="s">
        <v>279</v>
      </c>
      <c r="P527" s="54">
        <v>219.95</v>
      </c>
      <c r="Q527" s="56" t="s">
        <v>279</v>
      </c>
      <c r="R527" s="27"/>
      <c r="S527" s="58"/>
      <c r="T527" s="51"/>
      <c r="U527" s="51"/>
      <c r="V527" s="51"/>
      <c r="W527" s="76" t="s">
        <v>1843</v>
      </c>
      <c r="X527" s="77">
        <v>129.79999999999998</v>
      </c>
      <c r="Y527" s="78">
        <v>0</v>
      </c>
      <c r="Z527" s="29"/>
      <c r="AA527" s="79">
        <v>129.79999999999998</v>
      </c>
      <c r="AB527" s="79">
        <v>129.79999999999998</v>
      </c>
      <c r="AC527" s="78">
        <v>0</v>
      </c>
      <c r="AD527" s="29"/>
      <c r="AE527" s="63" t="s">
        <v>219</v>
      </c>
      <c r="AF527" s="63">
        <v>1</v>
      </c>
      <c r="AG527" s="63">
        <v>1</v>
      </c>
      <c r="AH527" s="29"/>
      <c r="AI527" s="27"/>
      <c r="AJ527" s="29"/>
      <c r="AK527" s="77">
        <v>0</v>
      </c>
      <c r="BA527" s="41" t="s">
        <v>230</v>
      </c>
      <c r="BB527" s="41" t="s">
        <v>15</v>
      </c>
      <c r="BC527" s="41" t="s">
        <v>232</v>
      </c>
      <c r="BD527" s="41" t="s">
        <v>1758</v>
      </c>
    </row>
    <row r="528" spans="1:56" ht="27" customHeight="1" outlineLevel="1">
      <c r="A528" s="19">
        <v>656</v>
      </c>
      <c r="B528" s="19" t="s">
        <v>219</v>
      </c>
      <c r="C528" s="19" t="s">
        <v>219</v>
      </c>
      <c r="D528" s="50" t="s">
        <v>219</v>
      </c>
      <c r="E528" s="19" t="s">
        <v>219</v>
      </c>
      <c r="F528" s="19" t="s">
        <v>219</v>
      </c>
      <c r="G528" s="19" t="s">
        <v>219</v>
      </c>
      <c r="H528" s="81" t="s">
        <v>219</v>
      </c>
      <c r="I528" s="70" t="s">
        <v>219</v>
      </c>
      <c r="J528" s="70" t="s">
        <v>219</v>
      </c>
      <c r="K528" s="71" t="s">
        <v>219</v>
      </c>
      <c r="L528" s="72" t="s">
        <v>219</v>
      </c>
      <c r="M528" s="72" t="s">
        <v>219</v>
      </c>
      <c r="N528" s="73" t="s">
        <v>219</v>
      </c>
      <c r="O528" s="74" t="s">
        <v>219</v>
      </c>
      <c r="P528" s="73" t="s">
        <v>219</v>
      </c>
      <c r="Q528" s="80" t="s">
        <v>219</v>
      </c>
      <c r="W528" s="76" t="s">
        <v>219</v>
      </c>
      <c r="X528" s="77" t="s">
        <v>219</v>
      </c>
      <c r="Y528" s="78">
        <v>0</v>
      </c>
      <c r="AA528" s="79" t="s">
        <v>219</v>
      </c>
      <c r="AB528" s="79" t="s">
        <v>219</v>
      </c>
      <c r="AC528" s="78">
        <v>0</v>
      </c>
      <c r="AE528" s="63" t="s">
        <v>230</v>
      </c>
      <c r="AF528" s="63">
        <v>0</v>
      </c>
      <c r="AG528" s="63" t="s">
        <v>219</v>
      </c>
      <c r="AK528" s="77">
        <v>0</v>
      </c>
      <c r="BA528" s="41" t="s">
        <v>230</v>
      </c>
      <c r="BB528" s="41" t="s">
        <v>15</v>
      </c>
      <c r="BC528" s="41" t="s">
        <v>232</v>
      </c>
      <c r="BD528" s="41" t="s">
        <v>1758</v>
      </c>
    </row>
    <row r="529" spans="1:56" ht="18" customHeight="1" outlineLevel="1">
      <c r="A529" s="19">
        <v>657</v>
      </c>
      <c r="B529" s="19">
        <v>524000845</v>
      </c>
      <c r="C529" s="19">
        <v>524000845</v>
      </c>
      <c r="D529" s="50" t="s">
        <v>13</v>
      </c>
      <c r="E529" s="19" t="s">
        <v>1844</v>
      </c>
      <c r="F529" s="19" t="s">
        <v>1845</v>
      </c>
      <c r="G529" s="19" t="s">
        <v>1846</v>
      </c>
      <c r="H529" s="69" t="s">
        <v>1847</v>
      </c>
      <c r="I529" s="70" t="s">
        <v>1772</v>
      </c>
      <c r="J529" s="70" t="s">
        <v>289</v>
      </c>
      <c r="K529" s="71">
        <v>1</v>
      </c>
      <c r="L529" s="72">
        <v>524000845</v>
      </c>
      <c r="M529" s="72" t="s">
        <v>1848</v>
      </c>
      <c r="N529" s="73">
        <v>236</v>
      </c>
      <c r="O529" s="74" t="s">
        <v>279</v>
      </c>
      <c r="P529" s="73">
        <v>399.95</v>
      </c>
      <c r="Q529" s="80" t="s">
        <v>279</v>
      </c>
      <c r="W529" s="76" t="s">
        <v>1849</v>
      </c>
      <c r="X529" s="77">
        <v>236</v>
      </c>
      <c r="Y529" s="78">
        <v>0</v>
      </c>
      <c r="AA529" s="79">
        <v>236</v>
      </c>
      <c r="AB529" s="79">
        <v>236</v>
      </c>
      <c r="AC529" s="78">
        <v>0</v>
      </c>
      <c r="AE529" s="63" t="s">
        <v>219</v>
      </c>
      <c r="AF529" s="63">
        <v>0</v>
      </c>
      <c r="AG529" s="63">
        <v>0</v>
      </c>
      <c r="AK529" s="77">
        <v>0</v>
      </c>
      <c r="BA529" s="41" t="s">
        <v>230</v>
      </c>
      <c r="BB529" s="41" t="s">
        <v>15</v>
      </c>
      <c r="BC529" s="41" t="s">
        <v>232</v>
      </c>
      <c r="BD529" s="41" t="s">
        <v>1758</v>
      </c>
    </row>
    <row r="530" spans="1:56" ht="18" customHeight="1" outlineLevel="1">
      <c r="A530" s="19">
        <v>658</v>
      </c>
      <c r="B530" s="19">
        <v>524000857</v>
      </c>
      <c r="C530" s="19">
        <v>524000857</v>
      </c>
      <c r="D530" s="50" t="s">
        <v>13</v>
      </c>
      <c r="E530" s="19" t="s">
        <v>1844</v>
      </c>
      <c r="F530" s="19" t="s">
        <v>1845</v>
      </c>
      <c r="G530" s="19" t="s">
        <v>1846</v>
      </c>
      <c r="H530" s="69" t="s">
        <v>1850</v>
      </c>
      <c r="I530" s="70" t="s">
        <v>1784</v>
      </c>
      <c r="J530" s="70" t="s">
        <v>537</v>
      </c>
      <c r="K530" s="71">
        <v>1</v>
      </c>
      <c r="L530" s="72">
        <v>524000857</v>
      </c>
      <c r="M530" s="72" t="s">
        <v>1851</v>
      </c>
      <c r="N530" s="73">
        <v>236</v>
      </c>
      <c r="O530" s="74" t="s">
        <v>279</v>
      </c>
      <c r="P530" s="73">
        <v>399.95</v>
      </c>
      <c r="Q530" s="80" t="s">
        <v>279</v>
      </c>
      <c r="W530" s="76" t="s">
        <v>1852</v>
      </c>
      <c r="X530" s="77">
        <v>236</v>
      </c>
      <c r="Y530" s="78">
        <v>0</v>
      </c>
      <c r="AA530" s="79">
        <v>236</v>
      </c>
      <c r="AB530" s="79">
        <v>236</v>
      </c>
      <c r="AC530" s="78">
        <v>0</v>
      </c>
      <c r="AE530" s="63" t="s">
        <v>219</v>
      </c>
      <c r="AF530" s="63">
        <v>0</v>
      </c>
      <c r="AG530" s="63">
        <v>0</v>
      </c>
      <c r="AK530" s="77">
        <v>0</v>
      </c>
      <c r="BA530" s="41" t="s">
        <v>230</v>
      </c>
      <c r="BB530" s="41" t="s">
        <v>15</v>
      </c>
      <c r="BC530" s="41" t="s">
        <v>232</v>
      </c>
      <c r="BD530" s="41" t="s">
        <v>1758</v>
      </c>
    </row>
    <row r="531" spans="1:56" ht="18" customHeight="1" outlineLevel="1">
      <c r="A531" s="19">
        <v>659</v>
      </c>
      <c r="B531" s="19">
        <v>524000869</v>
      </c>
      <c r="C531" s="19">
        <v>524000869</v>
      </c>
      <c r="D531" s="50" t="s">
        <v>13</v>
      </c>
      <c r="E531" s="19" t="s">
        <v>1844</v>
      </c>
      <c r="F531" s="19" t="s">
        <v>1845</v>
      </c>
      <c r="G531" s="19" t="s">
        <v>1846</v>
      </c>
      <c r="H531" s="69" t="s">
        <v>1853</v>
      </c>
      <c r="I531" s="70" t="s">
        <v>1854</v>
      </c>
      <c r="J531" s="70" t="s">
        <v>1855</v>
      </c>
      <c r="K531" s="71">
        <v>1</v>
      </c>
      <c r="L531" s="72">
        <v>524000869</v>
      </c>
      <c r="M531" s="72" t="s">
        <v>1856</v>
      </c>
      <c r="N531" s="73">
        <v>236</v>
      </c>
      <c r="O531" s="74" t="s">
        <v>279</v>
      </c>
      <c r="P531" s="73">
        <v>399.95</v>
      </c>
      <c r="Q531" s="80" t="s">
        <v>279</v>
      </c>
      <c r="W531" s="76" t="s">
        <v>1857</v>
      </c>
      <c r="X531" s="77">
        <v>236</v>
      </c>
      <c r="Y531" s="78">
        <v>0</v>
      </c>
      <c r="AA531" s="79">
        <v>236</v>
      </c>
      <c r="AB531" s="79">
        <v>236</v>
      </c>
      <c r="AC531" s="78">
        <v>0</v>
      </c>
      <c r="AE531" s="63" t="s">
        <v>219</v>
      </c>
      <c r="AF531" s="63">
        <v>0</v>
      </c>
      <c r="AG531" s="63">
        <v>0</v>
      </c>
      <c r="AK531" s="77">
        <v>0</v>
      </c>
      <c r="BA531" s="41" t="s">
        <v>230</v>
      </c>
      <c r="BB531" s="41" t="s">
        <v>15</v>
      </c>
      <c r="BC531" s="41" t="s">
        <v>232</v>
      </c>
      <c r="BD531" s="41" t="s">
        <v>1758</v>
      </c>
    </row>
    <row r="532" spans="1:56" ht="18" customHeight="1" outlineLevel="1">
      <c r="A532" s="19">
        <v>660</v>
      </c>
      <c r="B532" s="19">
        <v>524000881</v>
      </c>
      <c r="C532" s="19">
        <v>524000881</v>
      </c>
      <c r="D532" s="50" t="s">
        <v>13</v>
      </c>
      <c r="E532" s="19" t="s">
        <v>1844</v>
      </c>
      <c r="F532" s="19" t="s">
        <v>1845</v>
      </c>
      <c r="G532" s="19" t="s">
        <v>1846</v>
      </c>
      <c r="H532" s="69" t="s">
        <v>1858</v>
      </c>
      <c r="I532" s="70" t="s">
        <v>1767</v>
      </c>
      <c r="J532" s="70" t="s">
        <v>1768</v>
      </c>
      <c r="K532" s="71">
        <v>1</v>
      </c>
      <c r="L532" s="72">
        <v>524000881</v>
      </c>
      <c r="M532" s="72" t="s">
        <v>1859</v>
      </c>
      <c r="N532" s="73">
        <v>236</v>
      </c>
      <c r="O532" s="74" t="s">
        <v>279</v>
      </c>
      <c r="P532" s="73">
        <v>399.95</v>
      </c>
      <c r="Q532" s="80" t="s">
        <v>279</v>
      </c>
      <c r="W532" s="76" t="s">
        <v>1860</v>
      </c>
      <c r="X532" s="77">
        <v>236</v>
      </c>
      <c r="Y532" s="78">
        <v>0</v>
      </c>
      <c r="AA532" s="79">
        <v>236</v>
      </c>
      <c r="AB532" s="79">
        <v>236</v>
      </c>
      <c r="AC532" s="78">
        <v>0</v>
      </c>
      <c r="AE532" s="63" t="s">
        <v>219</v>
      </c>
      <c r="AF532" s="63">
        <v>0</v>
      </c>
      <c r="AG532" s="63">
        <v>0</v>
      </c>
      <c r="AK532" s="77">
        <v>0</v>
      </c>
      <c r="BA532" s="41" t="s">
        <v>230</v>
      </c>
      <c r="BB532" s="41" t="s">
        <v>15</v>
      </c>
      <c r="BC532" s="41" t="s">
        <v>232</v>
      </c>
      <c r="BD532" s="41" t="s">
        <v>1758</v>
      </c>
    </row>
    <row r="533" spans="1:56" ht="27" customHeight="1" outlineLevel="1">
      <c r="A533" s="19">
        <v>661</v>
      </c>
      <c r="B533" s="19" t="s">
        <v>219</v>
      </c>
      <c r="C533" s="19" t="s">
        <v>219</v>
      </c>
      <c r="D533" s="50" t="s">
        <v>219</v>
      </c>
      <c r="E533" s="19" t="s">
        <v>219</v>
      </c>
      <c r="F533" s="19" t="s">
        <v>219</v>
      </c>
      <c r="G533" s="19" t="s">
        <v>219</v>
      </c>
      <c r="H533" s="81" t="s">
        <v>219</v>
      </c>
      <c r="I533" s="70" t="s">
        <v>219</v>
      </c>
      <c r="J533" s="70" t="s">
        <v>219</v>
      </c>
      <c r="K533" s="71" t="s">
        <v>219</v>
      </c>
      <c r="L533" s="72" t="s">
        <v>219</v>
      </c>
      <c r="M533" s="72" t="s">
        <v>219</v>
      </c>
      <c r="N533" s="73" t="s">
        <v>219</v>
      </c>
      <c r="O533" s="74" t="s">
        <v>219</v>
      </c>
      <c r="P533" s="73" t="s">
        <v>219</v>
      </c>
      <c r="Q533" s="80" t="s">
        <v>219</v>
      </c>
      <c r="W533" s="76" t="s">
        <v>219</v>
      </c>
      <c r="X533" s="77" t="s">
        <v>219</v>
      </c>
      <c r="Y533" s="78">
        <v>0</v>
      </c>
      <c r="AA533" s="79" t="s">
        <v>219</v>
      </c>
      <c r="AB533" s="79" t="s">
        <v>219</v>
      </c>
      <c r="AC533" s="78">
        <v>0</v>
      </c>
      <c r="AE533" s="63" t="s">
        <v>230</v>
      </c>
      <c r="AF533" s="63">
        <v>1</v>
      </c>
      <c r="AG533" s="63" t="s">
        <v>219</v>
      </c>
      <c r="AK533" s="77">
        <v>0</v>
      </c>
      <c r="BA533" s="41" t="s">
        <v>230</v>
      </c>
      <c r="BB533" s="41" t="s">
        <v>15</v>
      </c>
      <c r="BC533" s="41" t="s">
        <v>232</v>
      </c>
      <c r="BD533" s="41" t="s">
        <v>1758</v>
      </c>
    </row>
    <row r="534" spans="1:56" ht="18" customHeight="1" outlineLevel="1">
      <c r="A534" s="19">
        <v>662</v>
      </c>
      <c r="B534" s="19">
        <v>524000797</v>
      </c>
      <c r="C534" s="19">
        <v>524000797</v>
      </c>
      <c r="D534" s="50" t="s">
        <v>13</v>
      </c>
      <c r="E534" s="19" t="s">
        <v>1844</v>
      </c>
      <c r="F534" s="19" t="s">
        <v>1861</v>
      </c>
      <c r="G534" s="19" t="s">
        <v>1862</v>
      </c>
      <c r="H534" s="69" t="s">
        <v>1863</v>
      </c>
      <c r="I534" s="70" t="s">
        <v>1772</v>
      </c>
      <c r="J534" s="70" t="s">
        <v>289</v>
      </c>
      <c r="K534" s="71">
        <v>1</v>
      </c>
      <c r="L534" s="72">
        <v>524000797</v>
      </c>
      <c r="M534" s="72" t="s">
        <v>1864</v>
      </c>
      <c r="N534" s="73">
        <v>177</v>
      </c>
      <c r="O534" s="74" t="s">
        <v>279</v>
      </c>
      <c r="P534" s="73">
        <v>299.95</v>
      </c>
      <c r="Q534" s="80" t="s">
        <v>279</v>
      </c>
      <c r="W534" s="76" t="s">
        <v>1865</v>
      </c>
      <c r="X534" s="77">
        <v>177</v>
      </c>
      <c r="Y534" s="78">
        <v>0</v>
      </c>
      <c r="AA534" s="79">
        <v>177</v>
      </c>
      <c r="AB534" s="79">
        <v>177</v>
      </c>
      <c r="AC534" s="78">
        <v>0</v>
      </c>
      <c r="AE534" s="63" t="s">
        <v>219</v>
      </c>
      <c r="AF534" s="63">
        <v>1</v>
      </c>
      <c r="AG534" s="63">
        <v>1</v>
      </c>
      <c r="AK534" s="77">
        <v>0</v>
      </c>
      <c r="BA534" s="41" t="s">
        <v>230</v>
      </c>
      <c r="BB534" s="41" t="s">
        <v>15</v>
      </c>
      <c r="BC534" s="41" t="s">
        <v>232</v>
      </c>
      <c r="BD534" s="41" t="s">
        <v>1758</v>
      </c>
    </row>
    <row r="535" spans="1:56" ht="18" customHeight="1" outlineLevel="1">
      <c r="A535" s="19">
        <v>663</v>
      </c>
      <c r="B535" s="19">
        <v>524000809</v>
      </c>
      <c r="C535" s="19">
        <v>524000809</v>
      </c>
      <c r="D535" s="50" t="s">
        <v>13</v>
      </c>
      <c r="E535" s="19" t="s">
        <v>1844</v>
      </c>
      <c r="F535" s="19" t="s">
        <v>1861</v>
      </c>
      <c r="G535" s="19" t="s">
        <v>1862</v>
      </c>
      <c r="H535" s="69" t="s">
        <v>1866</v>
      </c>
      <c r="I535" s="70" t="s">
        <v>1784</v>
      </c>
      <c r="J535" s="70" t="s">
        <v>537</v>
      </c>
      <c r="K535" s="71">
        <v>1</v>
      </c>
      <c r="L535" s="72">
        <v>524000809</v>
      </c>
      <c r="M535" s="72" t="s">
        <v>1867</v>
      </c>
      <c r="N535" s="73">
        <v>177</v>
      </c>
      <c r="O535" s="74" t="s">
        <v>279</v>
      </c>
      <c r="P535" s="73">
        <v>299.95</v>
      </c>
      <c r="Q535" s="80" t="s">
        <v>279</v>
      </c>
      <c r="W535" s="76" t="s">
        <v>1868</v>
      </c>
      <c r="X535" s="77">
        <v>177</v>
      </c>
      <c r="Y535" s="78">
        <v>0</v>
      </c>
      <c r="AA535" s="79">
        <v>177</v>
      </c>
      <c r="AB535" s="79">
        <v>177</v>
      </c>
      <c r="AC535" s="78">
        <v>0</v>
      </c>
      <c r="AE535" s="63" t="s">
        <v>219</v>
      </c>
      <c r="AF535" s="63">
        <v>1</v>
      </c>
      <c r="AG535" s="63">
        <v>1</v>
      </c>
      <c r="AK535" s="77">
        <v>0</v>
      </c>
      <c r="BA535" s="41" t="s">
        <v>230</v>
      </c>
      <c r="BB535" s="41" t="s">
        <v>15</v>
      </c>
      <c r="BC535" s="41" t="s">
        <v>232</v>
      </c>
      <c r="BD535" s="41" t="s">
        <v>1758</v>
      </c>
    </row>
    <row r="536" spans="1:56" s="57" customFormat="1" ht="18" customHeight="1" outlineLevel="1">
      <c r="A536" s="49">
        <v>664</v>
      </c>
      <c r="B536" s="19">
        <v>524000821</v>
      </c>
      <c r="C536" s="19">
        <v>524000821</v>
      </c>
      <c r="D536" s="50" t="s">
        <v>13</v>
      </c>
      <c r="E536" s="19" t="s">
        <v>1844</v>
      </c>
      <c r="F536" s="19" t="s">
        <v>1861</v>
      </c>
      <c r="G536" s="19" t="s">
        <v>1862</v>
      </c>
      <c r="H536" s="69" t="s">
        <v>1869</v>
      </c>
      <c r="I536" s="64" t="s">
        <v>1854</v>
      </c>
      <c r="J536" s="70" t="s">
        <v>1855</v>
      </c>
      <c r="K536" s="53">
        <v>1</v>
      </c>
      <c r="L536" s="20">
        <v>524000821</v>
      </c>
      <c r="M536" s="72" t="s">
        <v>1870</v>
      </c>
      <c r="N536" s="54">
        <v>177</v>
      </c>
      <c r="O536" s="56" t="s">
        <v>279</v>
      </c>
      <c r="P536" s="54">
        <v>299.95</v>
      </c>
      <c r="Q536" s="56" t="s">
        <v>279</v>
      </c>
      <c r="R536" s="27"/>
      <c r="S536" s="58"/>
      <c r="T536" s="51"/>
      <c r="U536" s="51"/>
      <c r="V536" s="51"/>
      <c r="W536" s="76" t="s">
        <v>1871</v>
      </c>
      <c r="X536" s="77">
        <v>177</v>
      </c>
      <c r="Y536" s="78">
        <v>0</v>
      </c>
      <c r="Z536" s="29"/>
      <c r="AA536" s="79">
        <v>177</v>
      </c>
      <c r="AB536" s="79">
        <v>177</v>
      </c>
      <c r="AC536" s="78">
        <v>0</v>
      </c>
      <c r="AD536" s="29"/>
      <c r="AE536" s="63" t="s">
        <v>219</v>
      </c>
      <c r="AF536" s="63">
        <v>1</v>
      </c>
      <c r="AG536" s="63">
        <v>1</v>
      </c>
      <c r="AH536" s="29"/>
      <c r="AI536" s="27"/>
      <c r="AJ536" s="29"/>
      <c r="AK536" s="77">
        <v>0</v>
      </c>
      <c r="BA536" s="41" t="s">
        <v>230</v>
      </c>
      <c r="BB536" s="41" t="s">
        <v>15</v>
      </c>
      <c r="BC536" s="41" t="s">
        <v>232</v>
      </c>
      <c r="BD536" s="41" t="s">
        <v>1758</v>
      </c>
    </row>
    <row r="537" spans="1:56" ht="18" customHeight="1" outlineLevel="1">
      <c r="A537" s="19">
        <v>665</v>
      </c>
      <c r="B537" s="19">
        <v>524000833</v>
      </c>
      <c r="C537" s="19">
        <v>524000833</v>
      </c>
      <c r="D537" s="50" t="s">
        <v>13</v>
      </c>
      <c r="E537" s="19" t="s">
        <v>1844</v>
      </c>
      <c r="F537" s="19" t="s">
        <v>1861</v>
      </c>
      <c r="G537" s="19" t="s">
        <v>1862</v>
      </c>
      <c r="H537" s="69" t="s">
        <v>1872</v>
      </c>
      <c r="I537" s="70" t="s">
        <v>1767</v>
      </c>
      <c r="J537" s="70" t="s">
        <v>1768</v>
      </c>
      <c r="K537" s="71">
        <v>1</v>
      </c>
      <c r="L537" s="72">
        <v>524000833</v>
      </c>
      <c r="M537" s="72" t="s">
        <v>1873</v>
      </c>
      <c r="N537" s="73">
        <v>177</v>
      </c>
      <c r="O537" s="74" t="s">
        <v>279</v>
      </c>
      <c r="P537" s="73">
        <v>299.95</v>
      </c>
      <c r="Q537" s="80" t="s">
        <v>279</v>
      </c>
      <c r="W537" s="76" t="s">
        <v>1874</v>
      </c>
      <c r="X537" s="77">
        <v>177</v>
      </c>
      <c r="Y537" s="78">
        <v>0</v>
      </c>
      <c r="AA537" s="79">
        <v>177</v>
      </c>
      <c r="AB537" s="79">
        <v>177</v>
      </c>
      <c r="AC537" s="78">
        <v>0</v>
      </c>
      <c r="AE537" s="63" t="s">
        <v>219</v>
      </c>
      <c r="AF537" s="63">
        <v>1</v>
      </c>
      <c r="AG537" s="63">
        <v>1</v>
      </c>
      <c r="AK537" s="77">
        <v>0</v>
      </c>
      <c r="BA537" s="41" t="s">
        <v>230</v>
      </c>
      <c r="BB537" s="41" t="s">
        <v>15</v>
      </c>
      <c r="BC537" s="41" t="s">
        <v>232</v>
      </c>
      <c r="BD537" s="41" t="s">
        <v>1758</v>
      </c>
    </row>
    <row r="538" spans="1:56" ht="27" customHeight="1" outlineLevel="1">
      <c r="A538" s="19">
        <v>666</v>
      </c>
      <c r="B538" s="19" t="s">
        <v>219</v>
      </c>
      <c r="C538" s="19" t="s">
        <v>219</v>
      </c>
      <c r="D538" s="50" t="s">
        <v>219</v>
      </c>
      <c r="E538" s="19" t="s">
        <v>219</v>
      </c>
      <c r="F538" s="19" t="s">
        <v>219</v>
      </c>
      <c r="G538" s="19" t="s">
        <v>219</v>
      </c>
      <c r="H538" s="81" t="s">
        <v>219</v>
      </c>
      <c r="I538" s="70" t="s">
        <v>219</v>
      </c>
      <c r="J538" s="70" t="s">
        <v>219</v>
      </c>
      <c r="K538" s="71" t="s">
        <v>219</v>
      </c>
      <c r="L538" s="72" t="s">
        <v>219</v>
      </c>
      <c r="M538" s="72" t="s">
        <v>219</v>
      </c>
      <c r="N538" s="73" t="s">
        <v>219</v>
      </c>
      <c r="O538" s="74" t="s">
        <v>219</v>
      </c>
      <c r="P538" s="73" t="s">
        <v>219</v>
      </c>
      <c r="Q538" s="80" t="s">
        <v>219</v>
      </c>
      <c r="W538" s="76" t="s">
        <v>219</v>
      </c>
      <c r="X538" s="77" t="s">
        <v>219</v>
      </c>
      <c r="Y538" s="78">
        <v>0</v>
      </c>
      <c r="AA538" s="79" t="s">
        <v>219</v>
      </c>
      <c r="AB538" s="79" t="s">
        <v>219</v>
      </c>
      <c r="AC538" s="78">
        <v>0</v>
      </c>
      <c r="AE538" s="63" t="s">
        <v>230</v>
      </c>
      <c r="AF538" s="63">
        <v>0</v>
      </c>
      <c r="AG538" s="63" t="s">
        <v>219</v>
      </c>
      <c r="AK538" s="77">
        <v>0</v>
      </c>
      <c r="BA538" s="41" t="s">
        <v>230</v>
      </c>
      <c r="BB538" s="41" t="s">
        <v>15</v>
      </c>
      <c r="BC538" s="41" t="s">
        <v>232</v>
      </c>
      <c r="BD538" s="41" t="s">
        <v>1758</v>
      </c>
    </row>
    <row r="539" spans="1:56" s="57" customFormat="1" ht="18" customHeight="1" outlineLevel="1">
      <c r="A539" s="49">
        <v>667</v>
      </c>
      <c r="B539" s="19">
        <v>524000969</v>
      </c>
      <c r="C539" s="19">
        <v>524000969</v>
      </c>
      <c r="D539" s="50" t="s">
        <v>13</v>
      </c>
      <c r="E539" s="19" t="s">
        <v>1844</v>
      </c>
      <c r="F539" s="19" t="s">
        <v>1875</v>
      </c>
      <c r="G539" s="19" t="s">
        <v>1876</v>
      </c>
      <c r="H539" s="69" t="s">
        <v>1877</v>
      </c>
      <c r="I539" s="64" t="s">
        <v>1772</v>
      </c>
      <c r="J539" s="70" t="s">
        <v>289</v>
      </c>
      <c r="K539" s="53">
        <v>1</v>
      </c>
      <c r="L539" s="20">
        <v>524000969</v>
      </c>
      <c r="M539" s="72" t="s">
        <v>1878</v>
      </c>
      <c r="N539" s="54">
        <v>141.6</v>
      </c>
      <c r="O539" s="56" t="s">
        <v>279</v>
      </c>
      <c r="P539" s="54">
        <v>239.95</v>
      </c>
      <c r="Q539" s="56" t="s">
        <v>279</v>
      </c>
      <c r="R539" s="27"/>
      <c r="S539" s="58"/>
      <c r="T539" s="51"/>
      <c r="U539" s="51"/>
      <c r="V539" s="51"/>
      <c r="W539" s="76" t="s">
        <v>1879</v>
      </c>
      <c r="X539" s="77">
        <v>141.6</v>
      </c>
      <c r="Y539" s="78">
        <v>0</v>
      </c>
      <c r="Z539" s="29"/>
      <c r="AA539" s="79">
        <v>141.6</v>
      </c>
      <c r="AB539" s="79">
        <v>141.6</v>
      </c>
      <c r="AC539" s="78">
        <v>0</v>
      </c>
      <c r="AD539" s="29"/>
      <c r="AE539" s="63" t="s">
        <v>219</v>
      </c>
      <c r="AF539" s="63">
        <v>0</v>
      </c>
      <c r="AG539" s="63">
        <v>0</v>
      </c>
      <c r="AH539" s="29"/>
      <c r="AI539" s="27"/>
      <c r="AJ539" s="29"/>
      <c r="AK539" s="77">
        <v>0</v>
      </c>
      <c r="BA539" s="41" t="s">
        <v>230</v>
      </c>
      <c r="BB539" s="41" t="s">
        <v>15</v>
      </c>
      <c r="BC539" s="41" t="s">
        <v>232</v>
      </c>
      <c r="BD539" s="41" t="s">
        <v>1758</v>
      </c>
    </row>
    <row r="540" spans="1:56" s="57" customFormat="1" ht="18" customHeight="1" outlineLevel="1">
      <c r="A540" s="49">
        <v>668</v>
      </c>
      <c r="B540" s="19">
        <v>524000979</v>
      </c>
      <c r="C540" s="19">
        <v>524000979</v>
      </c>
      <c r="D540" s="50" t="s">
        <v>13</v>
      </c>
      <c r="E540" s="19" t="s">
        <v>1844</v>
      </c>
      <c r="F540" s="19" t="s">
        <v>1875</v>
      </c>
      <c r="G540" s="19" t="s">
        <v>1876</v>
      </c>
      <c r="H540" s="69" t="s">
        <v>1880</v>
      </c>
      <c r="I540" s="64" t="s">
        <v>1784</v>
      </c>
      <c r="J540" s="70" t="s">
        <v>537</v>
      </c>
      <c r="K540" s="53">
        <v>1</v>
      </c>
      <c r="L540" s="20">
        <v>524000979</v>
      </c>
      <c r="M540" s="72" t="s">
        <v>1881</v>
      </c>
      <c r="N540" s="54">
        <v>141.6</v>
      </c>
      <c r="O540" s="56" t="s">
        <v>279</v>
      </c>
      <c r="P540" s="54">
        <v>239.95</v>
      </c>
      <c r="Q540" s="56" t="s">
        <v>279</v>
      </c>
      <c r="R540" s="27"/>
      <c r="S540" s="58"/>
      <c r="T540" s="51"/>
      <c r="U540" s="51"/>
      <c r="V540" s="51"/>
      <c r="W540" s="76" t="s">
        <v>1882</v>
      </c>
      <c r="X540" s="77">
        <v>141.6</v>
      </c>
      <c r="Y540" s="78">
        <v>0</v>
      </c>
      <c r="Z540" s="29"/>
      <c r="AA540" s="79">
        <v>141.6</v>
      </c>
      <c r="AB540" s="79">
        <v>141.6</v>
      </c>
      <c r="AC540" s="78">
        <v>0</v>
      </c>
      <c r="AD540" s="29"/>
      <c r="AE540" s="63" t="s">
        <v>219</v>
      </c>
      <c r="AF540" s="63">
        <v>0</v>
      </c>
      <c r="AG540" s="63">
        <v>0</v>
      </c>
      <c r="AH540" s="29"/>
      <c r="AI540" s="27"/>
      <c r="AJ540" s="29"/>
      <c r="AK540" s="77">
        <v>0</v>
      </c>
      <c r="BA540" s="41" t="s">
        <v>230</v>
      </c>
      <c r="BB540" s="41" t="s">
        <v>15</v>
      </c>
      <c r="BC540" s="41" t="s">
        <v>232</v>
      </c>
      <c r="BD540" s="41" t="s">
        <v>1758</v>
      </c>
    </row>
    <row r="541" spans="1:56" ht="18" customHeight="1" outlineLevel="1">
      <c r="A541" s="19">
        <v>669</v>
      </c>
      <c r="B541" s="19">
        <v>524000989</v>
      </c>
      <c r="C541" s="19">
        <v>524000989</v>
      </c>
      <c r="D541" s="50" t="s">
        <v>13</v>
      </c>
      <c r="E541" s="19" t="s">
        <v>1844</v>
      </c>
      <c r="F541" s="19" t="s">
        <v>1875</v>
      </c>
      <c r="G541" s="19" t="s">
        <v>1876</v>
      </c>
      <c r="H541" s="69" t="s">
        <v>1883</v>
      </c>
      <c r="I541" s="70" t="s">
        <v>1854</v>
      </c>
      <c r="J541" s="70" t="s">
        <v>1855</v>
      </c>
      <c r="K541" s="71">
        <v>1</v>
      </c>
      <c r="L541" s="72">
        <v>524000989</v>
      </c>
      <c r="M541" s="72" t="s">
        <v>1884</v>
      </c>
      <c r="N541" s="73">
        <v>141.6</v>
      </c>
      <c r="O541" s="74" t="s">
        <v>279</v>
      </c>
      <c r="P541" s="73">
        <v>239.95</v>
      </c>
      <c r="Q541" s="80" t="s">
        <v>279</v>
      </c>
      <c r="W541" s="76" t="s">
        <v>1885</v>
      </c>
      <c r="X541" s="77">
        <v>141.6</v>
      </c>
      <c r="Y541" s="78">
        <v>0</v>
      </c>
      <c r="AA541" s="79">
        <v>141.6</v>
      </c>
      <c r="AB541" s="79">
        <v>141.6</v>
      </c>
      <c r="AC541" s="78">
        <v>0</v>
      </c>
      <c r="AE541" s="63" t="s">
        <v>219</v>
      </c>
      <c r="AF541" s="63">
        <v>0</v>
      </c>
      <c r="AG541" s="63">
        <v>0</v>
      </c>
      <c r="AK541" s="77">
        <v>0</v>
      </c>
      <c r="BA541" s="41" t="s">
        <v>230</v>
      </c>
      <c r="BB541" s="41" t="s">
        <v>15</v>
      </c>
      <c r="BC541" s="41" t="s">
        <v>232</v>
      </c>
      <c r="BD541" s="41" t="s">
        <v>1758</v>
      </c>
    </row>
    <row r="542" spans="1:56" ht="18" customHeight="1" outlineLevel="1">
      <c r="A542" s="19">
        <v>670</v>
      </c>
      <c r="B542" s="19">
        <v>524000999</v>
      </c>
      <c r="C542" s="19">
        <v>524000999</v>
      </c>
      <c r="D542" s="50" t="s">
        <v>13</v>
      </c>
      <c r="E542" s="19" t="s">
        <v>1844</v>
      </c>
      <c r="F542" s="19" t="s">
        <v>1875</v>
      </c>
      <c r="G542" s="19" t="s">
        <v>1876</v>
      </c>
      <c r="H542" s="69" t="s">
        <v>1886</v>
      </c>
      <c r="I542" s="70" t="s">
        <v>1767</v>
      </c>
      <c r="J542" s="70" t="s">
        <v>1768</v>
      </c>
      <c r="K542" s="71">
        <v>1</v>
      </c>
      <c r="L542" s="72">
        <v>524000999</v>
      </c>
      <c r="M542" s="72" t="s">
        <v>1887</v>
      </c>
      <c r="N542" s="73">
        <v>141.6</v>
      </c>
      <c r="O542" s="74" t="s">
        <v>279</v>
      </c>
      <c r="P542" s="73">
        <v>239.95</v>
      </c>
      <c r="Q542" s="80" t="s">
        <v>279</v>
      </c>
      <c r="W542" s="76" t="s">
        <v>1888</v>
      </c>
      <c r="X542" s="77">
        <v>141.6</v>
      </c>
      <c r="Y542" s="78">
        <v>0</v>
      </c>
      <c r="AA542" s="79">
        <v>141.6</v>
      </c>
      <c r="AB542" s="79">
        <v>141.6</v>
      </c>
      <c r="AC542" s="78">
        <v>0</v>
      </c>
      <c r="AE542" s="63" t="s">
        <v>219</v>
      </c>
      <c r="AF542" s="63">
        <v>0</v>
      </c>
      <c r="AG542" s="63">
        <v>0</v>
      </c>
      <c r="AK542" s="77">
        <v>0</v>
      </c>
      <c r="BA542" s="41" t="s">
        <v>230</v>
      </c>
      <c r="BB542" s="41" t="s">
        <v>15</v>
      </c>
      <c r="BC542" s="41" t="s">
        <v>232</v>
      </c>
      <c r="BD542" s="41" t="s">
        <v>1758</v>
      </c>
    </row>
    <row r="543" spans="1:56" ht="27" customHeight="1" outlineLevel="1">
      <c r="A543" s="19">
        <v>671</v>
      </c>
      <c r="B543" s="19" t="s">
        <v>219</v>
      </c>
      <c r="C543" s="19" t="s">
        <v>219</v>
      </c>
      <c r="D543" s="50" t="s">
        <v>219</v>
      </c>
      <c r="E543" s="19" t="s">
        <v>219</v>
      </c>
      <c r="F543" s="19" t="s">
        <v>219</v>
      </c>
      <c r="G543" s="19" t="s">
        <v>219</v>
      </c>
      <c r="H543" s="81" t="s">
        <v>219</v>
      </c>
      <c r="I543" s="70" t="s">
        <v>219</v>
      </c>
      <c r="J543" s="70" t="s">
        <v>219</v>
      </c>
      <c r="K543" s="71" t="s">
        <v>219</v>
      </c>
      <c r="L543" s="72" t="s">
        <v>219</v>
      </c>
      <c r="M543" s="72" t="s">
        <v>219</v>
      </c>
      <c r="N543" s="73" t="s">
        <v>219</v>
      </c>
      <c r="O543" s="74" t="s">
        <v>219</v>
      </c>
      <c r="P543" s="73" t="s">
        <v>219</v>
      </c>
      <c r="Q543" s="80" t="s">
        <v>219</v>
      </c>
      <c r="W543" s="76" t="s">
        <v>219</v>
      </c>
      <c r="X543" s="77" t="s">
        <v>219</v>
      </c>
      <c r="Y543" s="78">
        <v>0</v>
      </c>
      <c r="AA543" s="79" t="s">
        <v>219</v>
      </c>
      <c r="AB543" s="79" t="s">
        <v>219</v>
      </c>
      <c r="AC543" s="78">
        <v>0</v>
      </c>
      <c r="AE543" s="63" t="s">
        <v>230</v>
      </c>
      <c r="AF543" s="63">
        <v>0</v>
      </c>
      <c r="AG543" s="63" t="s">
        <v>219</v>
      </c>
      <c r="AK543" s="77">
        <v>0</v>
      </c>
      <c r="BA543" s="41" t="s">
        <v>230</v>
      </c>
      <c r="BB543" s="41" t="s">
        <v>15</v>
      </c>
      <c r="BC543" s="41" t="s">
        <v>232</v>
      </c>
      <c r="BD543" s="41" t="s">
        <v>1758</v>
      </c>
    </row>
    <row r="544" spans="1:56" ht="27" customHeight="1" outlineLevel="1">
      <c r="A544" s="19">
        <v>672</v>
      </c>
      <c r="B544" s="19" t="s">
        <v>219</v>
      </c>
      <c r="C544" s="19" t="s">
        <v>219</v>
      </c>
      <c r="D544" s="50" t="s">
        <v>1889</v>
      </c>
      <c r="E544" s="19" t="s">
        <v>219</v>
      </c>
      <c r="F544" s="19" t="s">
        <v>219</v>
      </c>
      <c r="G544" s="19" t="s">
        <v>219</v>
      </c>
      <c r="H544" s="81" t="s">
        <v>1889</v>
      </c>
      <c r="I544" s="70" t="s">
        <v>219</v>
      </c>
      <c r="J544" s="70" t="s">
        <v>219</v>
      </c>
      <c r="K544" s="71" t="s">
        <v>219</v>
      </c>
      <c r="L544" s="72" t="s">
        <v>219</v>
      </c>
      <c r="M544" s="72" t="s">
        <v>219</v>
      </c>
      <c r="N544" s="73" t="s">
        <v>219</v>
      </c>
      <c r="O544" s="74" t="s">
        <v>219</v>
      </c>
      <c r="P544" s="73" t="s">
        <v>219</v>
      </c>
      <c r="Q544" s="80" t="s">
        <v>219</v>
      </c>
      <c r="W544" s="76" t="s">
        <v>219</v>
      </c>
      <c r="X544" s="77" t="s">
        <v>219</v>
      </c>
      <c r="Y544" s="78">
        <v>0</v>
      </c>
      <c r="AA544" s="79" t="s">
        <v>219</v>
      </c>
      <c r="AB544" s="79" t="s">
        <v>219</v>
      </c>
      <c r="AC544" s="78">
        <v>0</v>
      </c>
      <c r="AE544" s="63" t="s">
        <v>230</v>
      </c>
      <c r="AF544" s="63">
        <v>1</v>
      </c>
      <c r="AG544" s="63" t="s">
        <v>219</v>
      </c>
      <c r="AK544" s="77">
        <v>0</v>
      </c>
      <c r="BA544" s="41" t="s">
        <v>230</v>
      </c>
      <c r="BB544" s="41" t="s">
        <v>15</v>
      </c>
      <c r="BC544" s="41" t="s">
        <v>232</v>
      </c>
      <c r="BD544" s="41" t="s">
        <v>1890</v>
      </c>
    </row>
    <row r="545" spans="1:56" ht="18" customHeight="1" outlineLevel="1">
      <c r="A545" s="19">
        <v>673</v>
      </c>
      <c r="B545" s="19">
        <v>522000485</v>
      </c>
      <c r="C545" s="19">
        <v>522000486</v>
      </c>
      <c r="D545" s="50" t="s">
        <v>13</v>
      </c>
      <c r="E545" s="19" t="s">
        <v>1891</v>
      </c>
      <c r="F545" s="19" t="s">
        <v>1892</v>
      </c>
      <c r="G545" s="19" t="s">
        <v>1892</v>
      </c>
      <c r="H545" s="69" t="s">
        <v>1893</v>
      </c>
      <c r="I545" s="70" t="s">
        <v>618</v>
      </c>
      <c r="J545" s="70" t="s">
        <v>619</v>
      </c>
      <c r="K545" s="71">
        <v>4</v>
      </c>
      <c r="L545" s="72">
        <v>522000486</v>
      </c>
      <c r="M545" s="72" t="s">
        <v>1894</v>
      </c>
      <c r="N545" s="73">
        <v>13.9</v>
      </c>
      <c r="O545" s="74" t="s">
        <v>279</v>
      </c>
      <c r="P545" s="73">
        <v>24.95</v>
      </c>
      <c r="Q545" s="80" t="s">
        <v>279</v>
      </c>
      <c r="W545" s="76" t="s">
        <v>1895</v>
      </c>
      <c r="X545" s="77">
        <v>13.9</v>
      </c>
      <c r="Y545" s="78">
        <v>0</v>
      </c>
      <c r="AA545" s="79">
        <v>13.9</v>
      </c>
      <c r="AB545" s="79">
        <v>13.9</v>
      </c>
      <c r="AC545" s="78">
        <v>0</v>
      </c>
      <c r="AE545" s="63" t="s">
        <v>219</v>
      </c>
      <c r="AF545" s="63">
        <v>1</v>
      </c>
      <c r="AG545" s="63">
        <v>1</v>
      </c>
      <c r="AK545" s="77">
        <v>0</v>
      </c>
      <c r="BA545" s="41" t="s">
        <v>230</v>
      </c>
      <c r="BB545" s="41" t="s">
        <v>15</v>
      </c>
      <c r="BC545" s="41" t="s">
        <v>232</v>
      </c>
      <c r="BD545" s="41" t="s">
        <v>1890</v>
      </c>
    </row>
    <row r="546" spans="1:56" ht="27" customHeight="1" outlineLevel="1">
      <c r="A546" s="19">
        <v>674</v>
      </c>
      <c r="B546" s="19" t="s">
        <v>219</v>
      </c>
      <c r="C546" s="19" t="s">
        <v>219</v>
      </c>
      <c r="D546" s="50" t="s">
        <v>219</v>
      </c>
      <c r="E546" s="19" t="s">
        <v>219</v>
      </c>
      <c r="F546" s="19" t="s">
        <v>219</v>
      </c>
      <c r="G546" s="19" t="s">
        <v>219</v>
      </c>
      <c r="H546" s="81" t="s">
        <v>219</v>
      </c>
      <c r="I546" s="70" t="s">
        <v>219</v>
      </c>
      <c r="J546" s="70" t="s">
        <v>219</v>
      </c>
      <c r="K546" s="71" t="s">
        <v>219</v>
      </c>
      <c r="L546" s="72" t="s">
        <v>219</v>
      </c>
      <c r="M546" s="72" t="s">
        <v>219</v>
      </c>
      <c r="N546" s="73" t="s">
        <v>219</v>
      </c>
      <c r="O546" s="74" t="s">
        <v>219</v>
      </c>
      <c r="P546" s="73" t="s">
        <v>219</v>
      </c>
      <c r="Q546" s="80" t="s">
        <v>219</v>
      </c>
      <c r="W546" s="76" t="s">
        <v>219</v>
      </c>
      <c r="X546" s="77" t="s">
        <v>219</v>
      </c>
      <c r="Y546" s="78">
        <v>0</v>
      </c>
      <c r="AA546" s="79" t="s">
        <v>219</v>
      </c>
      <c r="AB546" s="79" t="s">
        <v>219</v>
      </c>
      <c r="AC546" s="78">
        <v>0</v>
      </c>
      <c r="AE546" s="63" t="s">
        <v>230</v>
      </c>
      <c r="AF546" s="63">
        <v>0</v>
      </c>
      <c r="AG546" s="63" t="s">
        <v>219</v>
      </c>
      <c r="AK546" s="77">
        <v>0</v>
      </c>
      <c r="BA546" s="41" t="s">
        <v>230</v>
      </c>
      <c r="BB546" s="41" t="s">
        <v>15</v>
      </c>
      <c r="BC546" s="41" t="s">
        <v>232</v>
      </c>
      <c r="BD546" s="41" t="s">
        <v>1890</v>
      </c>
    </row>
    <row r="547" spans="1:56" ht="18" customHeight="1" outlineLevel="1">
      <c r="A547" s="19">
        <v>675</v>
      </c>
      <c r="B547" s="19">
        <v>521003275</v>
      </c>
      <c r="C547" s="19">
        <v>521003276</v>
      </c>
      <c r="D547" s="50" t="s">
        <v>13</v>
      </c>
      <c r="E547" s="19" t="s">
        <v>1896</v>
      </c>
      <c r="F547" s="19" t="s">
        <v>1897</v>
      </c>
      <c r="G547" s="19" t="s">
        <v>1898</v>
      </c>
      <c r="H547" s="69" t="s">
        <v>1899</v>
      </c>
      <c r="I547" s="70" t="s">
        <v>1763</v>
      </c>
      <c r="J547" s="70" t="s">
        <v>334</v>
      </c>
      <c r="K547" s="71">
        <v>4</v>
      </c>
      <c r="L547" s="72">
        <v>521003276</v>
      </c>
      <c r="M547" s="72" t="s">
        <v>1900</v>
      </c>
      <c r="N547" s="73">
        <v>27.900000000000002</v>
      </c>
      <c r="O547" s="74" t="s">
        <v>279</v>
      </c>
      <c r="P547" s="73">
        <v>49.95</v>
      </c>
      <c r="Q547" s="80" t="s">
        <v>279</v>
      </c>
      <c r="W547" s="76" t="s">
        <v>1901</v>
      </c>
      <c r="X547" s="77">
        <v>27.900000000000002</v>
      </c>
      <c r="Y547" s="78">
        <v>0</v>
      </c>
      <c r="AA547" s="79">
        <v>27.900000000000002</v>
      </c>
      <c r="AB547" s="79">
        <v>27.900000000000002</v>
      </c>
      <c r="AC547" s="78">
        <v>0</v>
      </c>
      <c r="AE547" s="63" t="s">
        <v>219</v>
      </c>
      <c r="AF547" s="63">
        <v>0</v>
      </c>
      <c r="AG547" s="63">
        <v>0</v>
      </c>
      <c r="AK547" s="77">
        <v>0</v>
      </c>
      <c r="BA547" s="41" t="s">
        <v>230</v>
      </c>
      <c r="BB547" s="41" t="s">
        <v>15</v>
      </c>
      <c r="BC547" s="41" t="s">
        <v>232</v>
      </c>
      <c r="BD547" s="41" t="s">
        <v>1890</v>
      </c>
    </row>
    <row r="548" spans="1:56" ht="18" customHeight="1" outlineLevel="1">
      <c r="A548" s="19">
        <v>676</v>
      </c>
      <c r="B548" s="19">
        <v>521003281</v>
      </c>
      <c r="C548" s="19">
        <v>521003282</v>
      </c>
      <c r="D548" s="50" t="s">
        <v>13</v>
      </c>
      <c r="E548" s="19" t="s">
        <v>1896</v>
      </c>
      <c r="F548" s="19" t="s">
        <v>1897</v>
      </c>
      <c r="G548" s="19" t="s">
        <v>1898</v>
      </c>
      <c r="H548" s="69" t="s">
        <v>1902</v>
      </c>
      <c r="I548" s="70" t="s">
        <v>1767</v>
      </c>
      <c r="J548" s="70" t="s">
        <v>1768</v>
      </c>
      <c r="K548" s="71">
        <v>4</v>
      </c>
      <c r="L548" s="72">
        <v>521003282</v>
      </c>
      <c r="M548" s="72" t="s">
        <v>1903</v>
      </c>
      <c r="N548" s="73">
        <v>27.900000000000002</v>
      </c>
      <c r="O548" s="74" t="s">
        <v>279</v>
      </c>
      <c r="P548" s="73">
        <v>49.95</v>
      </c>
      <c r="Q548" s="80" t="s">
        <v>279</v>
      </c>
      <c r="W548" s="76" t="s">
        <v>1904</v>
      </c>
      <c r="X548" s="77">
        <v>27.900000000000002</v>
      </c>
      <c r="Y548" s="78">
        <v>0</v>
      </c>
      <c r="AA548" s="79">
        <v>27.900000000000002</v>
      </c>
      <c r="AB548" s="79">
        <v>27.900000000000002</v>
      </c>
      <c r="AC548" s="78">
        <v>0</v>
      </c>
      <c r="AE548" s="63" t="s">
        <v>219</v>
      </c>
      <c r="AF548" s="63">
        <v>0</v>
      </c>
      <c r="AG548" s="63">
        <v>0</v>
      </c>
      <c r="AK548" s="77">
        <v>0</v>
      </c>
      <c r="BA548" s="41" t="s">
        <v>230</v>
      </c>
      <c r="BB548" s="41" t="s">
        <v>15</v>
      </c>
      <c r="BC548" s="41" t="s">
        <v>232</v>
      </c>
      <c r="BD548" s="41" t="s">
        <v>1890</v>
      </c>
    </row>
    <row r="549" spans="1:56" s="57" customFormat="1" ht="18" customHeight="1" outlineLevel="1">
      <c r="A549" s="49">
        <v>677</v>
      </c>
      <c r="B549" s="19">
        <v>521003287</v>
      </c>
      <c r="C549" s="19">
        <v>521003288</v>
      </c>
      <c r="D549" s="50" t="s">
        <v>13</v>
      </c>
      <c r="E549" s="19" t="s">
        <v>1896</v>
      </c>
      <c r="F549" s="19" t="s">
        <v>1897</v>
      </c>
      <c r="G549" s="19" t="s">
        <v>1898</v>
      </c>
      <c r="H549" s="69" t="s">
        <v>1905</v>
      </c>
      <c r="I549" s="64" t="s">
        <v>1772</v>
      </c>
      <c r="J549" s="70" t="s">
        <v>289</v>
      </c>
      <c r="K549" s="53">
        <v>4</v>
      </c>
      <c r="L549" s="20">
        <v>521003288</v>
      </c>
      <c r="M549" s="72" t="s">
        <v>1906</v>
      </c>
      <c r="N549" s="54">
        <v>27.900000000000002</v>
      </c>
      <c r="O549" s="56" t="s">
        <v>279</v>
      </c>
      <c r="P549" s="54">
        <v>49.95</v>
      </c>
      <c r="Q549" s="56" t="s">
        <v>279</v>
      </c>
      <c r="R549" s="27"/>
      <c r="S549" s="58"/>
      <c r="T549" s="51"/>
      <c r="U549" s="51"/>
      <c r="V549" s="51"/>
      <c r="W549" s="76" t="s">
        <v>1907</v>
      </c>
      <c r="X549" s="77">
        <v>27.900000000000002</v>
      </c>
      <c r="Y549" s="78">
        <v>0</v>
      </c>
      <c r="Z549" s="29"/>
      <c r="AA549" s="79">
        <v>27.900000000000002</v>
      </c>
      <c r="AB549" s="79">
        <v>27.900000000000002</v>
      </c>
      <c r="AC549" s="78">
        <v>0</v>
      </c>
      <c r="AD549" s="29"/>
      <c r="AE549" s="63" t="s">
        <v>219</v>
      </c>
      <c r="AF549" s="63">
        <v>0</v>
      </c>
      <c r="AG549" s="63">
        <v>0</v>
      </c>
      <c r="AH549" s="29"/>
      <c r="AI549" s="27"/>
      <c r="AJ549" s="29"/>
      <c r="AK549" s="77">
        <v>0</v>
      </c>
      <c r="BA549" s="41" t="s">
        <v>230</v>
      </c>
      <c r="BB549" s="41" t="s">
        <v>15</v>
      </c>
      <c r="BC549" s="41" t="s">
        <v>232</v>
      </c>
      <c r="BD549" s="41" t="s">
        <v>1890</v>
      </c>
    </row>
    <row r="550" spans="1:56" ht="18" customHeight="1" outlineLevel="1">
      <c r="A550" s="19">
        <v>678</v>
      </c>
      <c r="B550" s="19">
        <v>521003293</v>
      </c>
      <c r="C550" s="19">
        <v>521003294</v>
      </c>
      <c r="D550" s="50" t="s">
        <v>13</v>
      </c>
      <c r="E550" s="19" t="s">
        <v>1896</v>
      </c>
      <c r="F550" s="19" t="s">
        <v>1897</v>
      </c>
      <c r="G550" s="19" t="s">
        <v>1898</v>
      </c>
      <c r="H550" s="69" t="s">
        <v>1908</v>
      </c>
      <c r="I550" s="70" t="s">
        <v>1776</v>
      </c>
      <c r="J550" s="70" t="s">
        <v>480</v>
      </c>
      <c r="K550" s="71">
        <v>4</v>
      </c>
      <c r="L550" s="72">
        <v>521003294</v>
      </c>
      <c r="M550" s="72" t="s">
        <v>1909</v>
      </c>
      <c r="N550" s="73">
        <v>27.900000000000002</v>
      </c>
      <c r="O550" s="74" t="s">
        <v>279</v>
      </c>
      <c r="P550" s="73">
        <v>49.95</v>
      </c>
      <c r="Q550" s="80" t="s">
        <v>279</v>
      </c>
      <c r="W550" s="76" t="s">
        <v>1910</v>
      </c>
      <c r="X550" s="77">
        <v>27.900000000000002</v>
      </c>
      <c r="Y550" s="78">
        <v>0</v>
      </c>
      <c r="AA550" s="79">
        <v>27.900000000000002</v>
      </c>
      <c r="AB550" s="79">
        <v>27.900000000000002</v>
      </c>
      <c r="AC550" s="78">
        <v>0</v>
      </c>
      <c r="AE550" s="63" t="s">
        <v>219</v>
      </c>
      <c r="AF550" s="63">
        <v>0</v>
      </c>
      <c r="AG550" s="63">
        <v>0</v>
      </c>
      <c r="AK550" s="77">
        <v>0</v>
      </c>
      <c r="BA550" s="41" t="s">
        <v>230</v>
      </c>
      <c r="BB550" s="41" t="s">
        <v>15</v>
      </c>
      <c r="BC550" s="41" t="s">
        <v>232</v>
      </c>
      <c r="BD550" s="41" t="s">
        <v>1890</v>
      </c>
    </row>
    <row r="551" spans="1:56" ht="18" customHeight="1" outlineLevel="1">
      <c r="A551" s="19">
        <v>679</v>
      </c>
      <c r="B551" s="19">
        <v>521003299</v>
      </c>
      <c r="C551" s="19">
        <v>521003300</v>
      </c>
      <c r="D551" s="50" t="s">
        <v>13</v>
      </c>
      <c r="E551" s="19" t="s">
        <v>1896</v>
      </c>
      <c r="F551" s="19" t="s">
        <v>1897</v>
      </c>
      <c r="G551" s="19" t="s">
        <v>1898</v>
      </c>
      <c r="H551" s="69" t="s">
        <v>1911</v>
      </c>
      <c r="I551" s="70" t="s">
        <v>1780</v>
      </c>
      <c r="J551" s="70" t="s">
        <v>537</v>
      </c>
      <c r="K551" s="71">
        <v>4</v>
      </c>
      <c r="L551" s="72">
        <v>521003300</v>
      </c>
      <c r="M551" s="72" t="s">
        <v>1912</v>
      </c>
      <c r="N551" s="73">
        <v>27.900000000000002</v>
      </c>
      <c r="O551" s="74" t="s">
        <v>279</v>
      </c>
      <c r="P551" s="73">
        <v>49.95</v>
      </c>
      <c r="Q551" s="80" t="s">
        <v>279</v>
      </c>
      <c r="W551" s="76" t="s">
        <v>1913</v>
      </c>
      <c r="X551" s="77">
        <v>27.900000000000002</v>
      </c>
      <c r="Y551" s="78">
        <v>0</v>
      </c>
      <c r="AA551" s="79">
        <v>27.900000000000002</v>
      </c>
      <c r="AB551" s="79">
        <v>27.900000000000002</v>
      </c>
      <c r="AC551" s="78">
        <v>0</v>
      </c>
      <c r="AE551" s="63" t="s">
        <v>219</v>
      </c>
      <c r="AF551" s="63">
        <v>0</v>
      </c>
      <c r="AG551" s="63">
        <v>0</v>
      </c>
      <c r="AK551" s="77">
        <v>0</v>
      </c>
      <c r="BA551" s="41" t="s">
        <v>230</v>
      </c>
      <c r="BB551" s="41" t="s">
        <v>15</v>
      </c>
      <c r="BC551" s="41" t="s">
        <v>232</v>
      </c>
      <c r="BD551" s="41" t="s">
        <v>1890</v>
      </c>
    </row>
    <row r="552" spans="1:56" ht="27" customHeight="1" outlineLevel="1">
      <c r="A552" s="19">
        <v>680</v>
      </c>
      <c r="B552" s="19" t="s">
        <v>219</v>
      </c>
      <c r="C552" s="19" t="s">
        <v>219</v>
      </c>
      <c r="D552" s="50" t="s">
        <v>219</v>
      </c>
      <c r="E552" s="19" t="s">
        <v>219</v>
      </c>
      <c r="F552" s="19" t="s">
        <v>219</v>
      </c>
      <c r="G552" s="19" t="s">
        <v>219</v>
      </c>
      <c r="H552" s="81" t="s">
        <v>219</v>
      </c>
      <c r="I552" s="70" t="s">
        <v>219</v>
      </c>
      <c r="J552" s="70" t="s">
        <v>219</v>
      </c>
      <c r="K552" s="71" t="s">
        <v>219</v>
      </c>
      <c r="L552" s="72" t="s">
        <v>219</v>
      </c>
      <c r="M552" s="72" t="s">
        <v>219</v>
      </c>
      <c r="N552" s="73" t="s">
        <v>219</v>
      </c>
      <c r="O552" s="74" t="s">
        <v>219</v>
      </c>
      <c r="P552" s="73" t="s">
        <v>219</v>
      </c>
      <c r="Q552" s="80" t="s">
        <v>219</v>
      </c>
      <c r="W552" s="76" t="s">
        <v>219</v>
      </c>
      <c r="X552" s="77" t="s">
        <v>219</v>
      </c>
      <c r="Y552" s="78">
        <v>0</v>
      </c>
      <c r="AA552" s="79" t="s">
        <v>219</v>
      </c>
      <c r="AB552" s="79" t="s">
        <v>219</v>
      </c>
      <c r="AC552" s="78">
        <v>0</v>
      </c>
      <c r="AE552" s="63" t="s">
        <v>230</v>
      </c>
      <c r="AF552" s="63">
        <v>1</v>
      </c>
      <c r="AG552" s="63" t="s">
        <v>219</v>
      </c>
      <c r="AK552" s="77">
        <v>0</v>
      </c>
      <c r="BA552" s="41" t="s">
        <v>230</v>
      </c>
      <c r="BB552" s="41" t="s">
        <v>15</v>
      </c>
      <c r="BC552" s="41" t="s">
        <v>232</v>
      </c>
      <c r="BD552" s="41" t="s">
        <v>1890</v>
      </c>
    </row>
    <row r="553" spans="1:56" ht="18" customHeight="1" outlineLevel="1">
      <c r="A553" s="19">
        <v>681</v>
      </c>
      <c r="B553" s="19">
        <v>523001319</v>
      </c>
      <c r="C553" s="19">
        <v>523001319</v>
      </c>
      <c r="D553" s="50" t="s">
        <v>13</v>
      </c>
      <c r="E553" s="19" t="s">
        <v>1914</v>
      </c>
      <c r="F553" s="19" t="s">
        <v>1915</v>
      </c>
      <c r="G553" s="19" t="s">
        <v>1916</v>
      </c>
      <c r="H553" s="69" t="s">
        <v>1917</v>
      </c>
      <c r="I553" s="70" t="s">
        <v>1763</v>
      </c>
      <c r="J553" s="70" t="s">
        <v>334</v>
      </c>
      <c r="K553" s="71">
        <v>1</v>
      </c>
      <c r="L553" s="72">
        <v>523001319</v>
      </c>
      <c r="M553" s="72" t="s">
        <v>1918</v>
      </c>
      <c r="N553" s="73">
        <v>44.6</v>
      </c>
      <c r="O553" s="74" t="s">
        <v>279</v>
      </c>
      <c r="P553" s="73">
        <v>79.95</v>
      </c>
      <c r="Q553" s="80" t="s">
        <v>279</v>
      </c>
      <c r="W553" s="76" t="s">
        <v>1919</v>
      </c>
      <c r="X553" s="77">
        <v>44.6</v>
      </c>
      <c r="Y553" s="78">
        <v>0</v>
      </c>
      <c r="AA553" s="79">
        <v>44.6</v>
      </c>
      <c r="AB553" s="79">
        <v>44.6</v>
      </c>
      <c r="AC553" s="78">
        <v>0</v>
      </c>
      <c r="AE553" s="63" t="s">
        <v>219</v>
      </c>
      <c r="AF553" s="63">
        <v>1</v>
      </c>
      <c r="AG553" s="63">
        <v>1</v>
      </c>
      <c r="AK553" s="77">
        <v>0</v>
      </c>
      <c r="BA553" s="41" t="s">
        <v>230</v>
      </c>
      <c r="BB553" s="41" t="s">
        <v>15</v>
      </c>
      <c r="BC553" s="41" t="s">
        <v>232</v>
      </c>
      <c r="BD553" s="41" t="s">
        <v>1890</v>
      </c>
    </row>
    <row r="554" spans="1:56" ht="18" customHeight="1" outlineLevel="1">
      <c r="A554" s="19">
        <v>682</v>
      </c>
      <c r="B554" s="19">
        <v>523001321</v>
      </c>
      <c r="C554" s="19">
        <v>523001321</v>
      </c>
      <c r="D554" s="50" t="s">
        <v>13</v>
      </c>
      <c r="E554" s="19" t="s">
        <v>1914</v>
      </c>
      <c r="F554" s="19" t="s">
        <v>1915</v>
      </c>
      <c r="G554" s="19" t="s">
        <v>1916</v>
      </c>
      <c r="H554" s="69" t="s">
        <v>1920</v>
      </c>
      <c r="I554" s="70" t="s">
        <v>1767</v>
      </c>
      <c r="J554" s="70" t="s">
        <v>1768</v>
      </c>
      <c r="K554" s="71">
        <v>1</v>
      </c>
      <c r="L554" s="72">
        <v>523001321</v>
      </c>
      <c r="M554" s="72" t="s">
        <v>1921</v>
      </c>
      <c r="N554" s="73">
        <v>44.6</v>
      </c>
      <c r="O554" s="74" t="s">
        <v>279</v>
      </c>
      <c r="P554" s="73">
        <v>79.95</v>
      </c>
      <c r="Q554" s="80" t="s">
        <v>279</v>
      </c>
      <c r="W554" s="76" t="s">
        <v>1922</v>
      </c>
      <c r="X554" s="77">
        <v>44.6</v>
      </c>
      <c r="Y554" s="78">
        <v>0</v>
      </c>
      <c r="AA554" s="79">
        <v>44.6</v>
      </c>
      <c r="AB554" s="79">
        <v>44.6</v>
      </c>
      <c r="AC554" s="78">
        <v>0</v>
      </c>
      <c r="AE554" s="63" t="s">
        <v>219</v>
      </c>
      <c r="AF554" s="63">
        <v>1</v>
      </c>
      <c r="AG554" s="63">
        <v>1</v>
      </c>
      <c r="AK554" s="77">
        <v>0</v>
      </c>
      <c r="BA554" s="41" t="s">
        <v>230</v>
      </c>
      <c r="BB554" s="41" t="s">
        <v>15</v>
      </c>
      <c r="BC554" s="41" t="s">
        <v>232</v>
      </c>
      <c r="BD554" s="41" t="s">
        <v>1890</v>
      </c>
    </row>
    <row r="555" spans="1:56" ht="18" customHeight="1" outlineLevel="1">
      <c r="A555" s="19">
        <v>683</v>
      </c>
      <c r="B555" s="19">
        <v>523001323</v>
      </c>
      <c r="C555" s="19">
        <v>523001323</v>
      </c>
      <c r="D555" s="50" t="s">
        <v>13</v>
      </c>
      <c r="E555" s="19" t="s">
        <v>1914</v>
      </c>
      <c r="F555" s="19" t="s">
        <v>1915</v>
      </c>
      <c r="G555" s="19" t="s">
        <v>1916</v>
      </c>
      <c r="H555" s="69" t="s">
        <v>1923</v>
      </c>
      <c r="I555" s="70" t="s">
        <v>1772</v>
      </c>
      <c r="J555" s="70" t="s">
        <v>289</v>
      </c>
      <c r="K555" s="71">
        <v>1</v>
      </c>
      <c r="L555" s="72">
        <v>523001323</v>
      </c>
      <c r="M555" s="72" t="s">
        <v>1924</v>
      </c>
      <c r="N555" s="73">
        <v>44.6</v>
      </c>
      <c r="O555" s="74" t="s">
        <v>279</v>
      </c>
      <c r="P555" s="73">
        <v>79.95</v>
      </c>
      <c r="Q555" s="80" t="s">
        <v>279</v>
      </c>
      <c r="W555" s="76" t="s">
        <v>1925</v>
      </c>
      <c r="X555" s="77">
        <v>44.6</v>
      </c>
      <c r="Y555" s="78">
        <v>0</v>
      </c>
      <c r="AA555" s="79">
        <v>44.6</v>
      </c>
      <c r="AB555" s="79">
        <v>44.6</v>
      </c>
      <c r="AC555" s="78">
        <v>0</v>
      </c>
      <c r="AE555" s="63" t="s">
        <v>219</v>
      </c>
      <c r="AF555" s="63">
        <v>1</v>
      </c>
      <c r="AG555" s="63">
        <v>1</v>
      </c>
      <c r="AK555" s="77">
        <v>0</v>
      </c>
      <c r="BA555" s="41" t="s">
        <v>230</v>
      </c>
      <c r="BB555" s="41" t="s">
        <v>15</v>
      </c>
      <c r="BC555" s="41" t="s">
        <v>232</v>
      </c>
      <c r="BD555" s="41" t="s">
        <v>1890</v>
      </c>
    </row>
    <row r="556" spans="1:56" ht="18" customHeight="1" outlineLevel="1">
      <c r="A556" s="19">
        <v>684</v>
      </c>
      <c r="B556" s="19">
        <v>523001325</v>
      </c>
      <c r="C556" s="19">
        <v>523001325</v>
      </c>
      <c r="D556" s="50" t="s">
        <v>13</v>
      </c>
      <c r="E556" s="19" t="s">
        <v>1914</v>
      </c>
      <c r="F556" s="19" t="s">
        <v>1915</v>
      </c>
      <c r="G556" s="19" t="s">
        <v>1916</v>
      </c>
      <c r="H556" s="69" t="s">
        <v>1926</v>
      </c>
      <c r="I556" s="70" t="s">
        <v>1776</v>
      </c>
      <c r="J556" s="70" t="s">
        <v>480</v>
      </c>
      <c r="K556" s="71">
        <v>1</v>
      </c>
      <c r="L556" s="72">
        <v>523001325</v>
      </c>
      <c r="M556" s="72" t="s">
        <v>1927</v>
      </c>
      <c r="N556" s="73">
        <v>44.6</v>
      </c>
      <c r="O556" s="74" t="s">
        <v>279</v>
      </c>
      <c r="P556" s="73">
        <v>79.95</v>
      </c>
      <c r="Q556" s="80" t="s">
        <v>279</v>
      </c>
      <c r="W556" s="76" t="s">
        <v>1928</v>
      </c>
      <c r="X556" s="77">
        <v>44.6</v>
      </c>
      <c r="Y556" s="78">
        <v>0</v>
      </c>
      <c r="AA556" s="79">
        <v>44.6</v>
      </c>
      <c r="AB556" s="79">
        <v>44.6</v>
      </c>
      <c r="AC556" s="78">
        <v>0</v>
      </c>
      <c r="AE556" s="63" t="s">
        <v>219</v>
      </c>
      <c r="AF556" s="63">
        <v>1</v>
      </c>
      <c r="AG556" s="63">
        <v>1</v>
      </c>
      <c r="AK556" s="77">
        <v>0</v>
      </c>
      <c r="BA556" s="41" t="s">
        <v>230</v>
      </c>
      <c r="BB556" s="41" t="s">
        <v>15</v>
      </c>
      <c r="BC556" s="41" t="s">
        <v>232</v>
      </c>
      <c r="BD556" s="41" t="s">
        <v>1890</v>
      </c>
    </row>
    <row r="557" spans="1:56" ht="18" customHeight="1" outlineLevel="1">
      <c r="A557" s="19">
        <v>685</v>
      </c>
      <c r="B557" s="19">
        <v>523001327</v>
      </c>
      <c r="C557" s="19">
        <v>523001327</v>
      </c>
      <c r="D557" s="50" t="s">
        <v>13</v>
      </c>
      <c r="E557" s="19" t="s">
        <v>1914</v>
      </c>
      <c r="F557" s="19" t="s">
        <v>1915</v>
      </c>
      <c r="G557" s="19" t="s">
        <v>1916</v>
      </c>
      <c r="H557" s="69" t="s">
        <v>1929</v>
      </c>
      <c r="I557" s="70" t="s">
        <v>1784</v>
      </c>
      <c r="J557" s="70" t="s">
        <v>537</v>
      </c>
      <c r="K557" s="71">
        <v>1</v>
      </c>
      <c r="L557" s="72">
        <v>523001327</v>
      </c>
      <c r="M557" s="72" t="s">
        <v>1930</v>
      </c>
      <c r="N557" s="73">
        <v>44.6</v>
      </c>
      <c r="O557" s="74" t="s">
        <v>279</v>
      </c>
      <c r="P557" s="73">
        <v>79.95</v>
      </c>
      <c r="Q557" s="80" t="s">
        <v>279</v>
      </c>
      <c r="W557" s="76" t="s">
        <v>1931</v>
      </c>
      <c r="X557" s="77">
        <v>44.6</v>
      </c>
      <c r="Y557" s="78">
        <v>0</v>
      </c>
      <c r="AA557" s="79">
        <v>44.6</v>
      </c>
      <c r="AB557" s="79">
        <v>44.6</v>
      </c>
      <c r="AC557" s="78">
        <v>0</v>
      </c>
      <c r="AE557" s="63" t="s">
        <v>219</v>
      </c>
      <c r="AF557" s="63">
        <v>1</v>
      </c>
      <c r="AG557" s="63">
        <v>1</v>
      </c>
      <c r="AK557" s="77">
        <v>0</v>
      </c>
      <c r="BA557" s="41" t="s">
        <v>230</v>
      </c>
      <c r="BB557" s="41" t="s">
        <v>15</v>
      </c>
      <c r="BC557" s="41" t="s">
        <v>232</v>
      </c>
      <c r="BD557" s="41" t="s">
        <v>1890</v>
      </c>
    </row>
    <row r="558" spans="1:56" s="57" customFormat="1" ht="27" customHeight="1" outlineLevel="1">
      <c r="A558" s="49">
        <v>686</v>
      </c>
      <c r="B558" s="19" t="s">
        <v>219</v>
      </c>
      <c r="C558" s="19" t="s">
        <v>219</v>
      </c>
      <c r="D558" s="50" t="s">
        <v>219</v>
      </c>
      <c r="E558" s="19" t="s">
        <v>219</v>
      </c>
      <c r="F558" s="19" t="s">
        <v>219</v>
      </c>
      <c r="G558" s="19" t="s">
        <v>219</v>
      </c>
      <c r="H558" s="81" t="s">
        <v>219</v>
      </c>
      <c r="I558" s="64" t="s">
        <v>219</v>
      </c>
      <c r="J558" s="70" t="s">
        <v>219</v>
      </c>
      <c r="K558" s="53" t="s">
        <v>219</v>
      </c>
      <c r="L558" s="20" t="s">
        <v>219</v>
      </c>
      <c r="M558" s="72" t="s">
        <v>219</v>
      </c>
      <c r="N558" s="54" t="s">
        <v>219</v>
      </c>
      <c r="O558" s="56" t="s">
        <v>219</v>
      </c>
      <c r="P558" s="54" t="s">
        <v>219</v>
      </c>
      <c r="Q558" s="56" t="s">
        <v>219</v>
      </c>
      <c r="R558" s="27"/>
      <c r="S558" s="58"/>
      <c r="T558" s="51"/>
      <c r="U558" s="51"/>
      <c r="V558" s="51"/>
      <c r="W558" s="76" t="s">
        <v>219</v>
      </c>
      <c r="X558" s="77" t="s">
        <v>219</v>
      </c>
      <c r="Y558" s="78">
        <v>0</v>
      </c>
      <c r="Z558" s="29"/>
      <c r="AA558" s="79" t="s">
        <v>219</v>
      </c>
      <c r="AB558" s="79" t="s">
        <v>219</v>
      </c>
      <c r="AC558" s="78">
        <v>0</v>
      </c>
      <c r="AD558" s="29"/>
      <c r="AE558" s="63" t="s">
        <v>230</v>
      </c>
      <c r="AF558" s="63">
        <v>0</v>
      </c>
      <c r="AG558" s="63" t="s">
        <v>219</v>
      </c>
      <c r="AH558" s="29"/>
      <c r="AI558" s="27"/>
      <c r="AJ558" s="29"/>
      <c r="AK558" s="77">
        <v>0</v>
      </c>
      <c r="BA558" s="41" t="s">
        <v>230</v>
      </c>
      <c r="BB558" s="41" t="s">
        <v>15</v>
      </c>
      <c r="BC558" s="41" t="s">
        <v>232</v>
      </c>
      <c r="BD558" s="41" t="s">
        <v>1890</v>
      </c>
    </row>
    <row r="559" spans="1:56" s="57" customFormat="1" ht="18" customHeight="1" outlineLevel="1">
      <c r="A559" s="49">
        <v>687</v>
      </c>
      <c r="B559" s="19">
        <v>524000925</v>
      </c>
      <c r="C559" s="19">
        <v>524000926</v>
      </c>
      <c r="D559" s="50" t="s">
        <v>13</v>
      </c>
      <c r="E559" s="19" t="s">
        <v>1932</v>
      </c>
      <c r="F559" s="19" t="s">
        <v>1933</v>
      </c>
      <c r="G559" s="19" t="s">
        <v>1934</v>
      </c>
      <c r="H559" s="69" t="s">
        <v>1935</v>
      </c>
      <c r="I559" s="64" t="s">
        <v>536</v>
      </c>
      <c r="J559" s="70" t="s">
        <v>537</v>
      </c>
      <c r="K559" s="53">
        <v>4</v>
      </c>
      <c r="L559" s="20">
        <v>524000926</v>
      </c>
      <c r="M559" s="72" t="s">
        <v>1936</v>
      </c>
      <c r="N559" s="54">
        <v>13.9</v>
      </c>
      <c r="O559" s="56" t="s">
        <v>279</v>
      </c>
      <c r="P559" s="54">
        <v>24.95</v>
      </c>
      <c r="Q559" s="56" t="s">
        <v>279</v>
      </c>
      <c r="R559" s="27"/>
      <c r="S559" s="58"/>
      <c r="T559" s="51"/>
      <c r="U559" s="51"/>
      <c r="V559" s="51"/>
      <c r="W559" s="76" t="s">
        <v>1937</v>
      </c>
      <c r="X559" s="77">
        <v>13.9</v>
      </c>
      <c r="Y559" s="78">
        <v>0</v>
      </c>
      <c r="Z559" s="29"/>
      <c r="AA559" s="79">
        <v>13.9</v>
      </c>
      <c r="AB559" s="79">
        <v>13.9</v>
      </c>
      <c r="AC559" s="78">
        <v>0</v>
      </c>
      <c r="AD559" s="29"/>
      <c r="AE559" s="63" t="s">
        <v>219</v>
      </c>
      <c r="AF559" s="63">
        <v>0</v>
      </c>
      <c r="AG559" s="63">
        <v>0</v>
      </c>
      <c r="AH559" s="29"/>
      <c r="AI559" s="27"/>
      <c r="AJ559" s="29"/>
      <c r="AK559" s="77">
        <v>0</v>
      </c>
      <c r="BA559" s="41" t="s">
        <v>230</v>
      </c>
      <c r="BB559" s="41" t="s">
        <v>15</v>
      </c>
      <c r="BC559" s="41" t="s">
        <v>232</v>
      </c>
      <c r="BD559" s="41" t="s">
        <v>1890</v>
      </c>
    </row>
    <row r="560" spans="1:56" ht="27" customHeight="1" outlineLevel="1">
      <c r="A560" s="19">
        <v>688</v>
      </c>
      <c r="B560" s="19" t="s">
        <v>219</v>
      </c>
      <c r="C560" s="19" t="s">
        <v>219</v>
      </c>
      <c r="D560" s="50" t="s">
        <v>219</v>
      </c>
      <c r="E560" s="19" t="s">
        <v>219</v>
      </c>
      <c r="F560" s="19" t="s">
        <v>219</v>
      </c>
      <c r="G560" s="19" t="s">
        <v>219</v>
      </c>
      <c r="H560" s="81" t="s">
        <v>219</v>
      </c>
      <c r="I560" s="70" t="s">
        <v>219</v>
      </c>
      <c r="J560" s="70" t="s">
        <v>219</v>
      </c>
      <c r="K560" s="71" t="s">
        <v>219</v>
      </c>
      <c r="L560" s="72" t="s">
        <v>219</v>
      </c>
      <c r="M560" s="72" t="s">
        <v>219</v>
      </c>
      <c r="N560" s="73" t="s">
        <v>219</v>
      </c>
      <c r="O560" s="74" t="s">
        <v>219</v>
      </c>
      <c r="P560" s="73" t="s">
        <v>219</v>
      </c>
      <c r="Q560" s="80" t="s">
        <v>219</v>
      </c>
      <c r="W560" s="76" t="s">
        <v>219</v>
      </c>
      <c r="X560" s="77" t="s">
        <v>219</v>
      </c>
      <c r="Y560" s="78">
        <v>0</v>
      </c>
      <c r="AA560" s="79" t="s">
        <v>219</v>
      </c>
      <c r="AB560" s="79" t="s">
        <v>219</v>
      </c>
      <c r="AC560" s="78">
        <v>0</v>
      </c>
      <c r="AE560" s="63" t="s">
        <v>230</v>
      </c>
      <c r="AF560" s="63">
        <v>1</v>
      </c>
      <c r="AG560" s="63" t="s">
        <v>219</v>
      </c>
      <c r="AK560" s="77">
        <v>0</v>
      </c>
      <c r="BA560" s="41" t="s">
        <v>230</v>
      </c>
      <c r="BB560" s="41" t="s">
        <v>15</v>
      </c>
      <c r="BC560" s="41" t="s">
        <v>232</v>
      </c>
      <c r="BD560" s="41" t="s">
        <v>1890</v>
      </c>
    </row>
    <row r="561" spans="1:56" ht="18" customHeight="1" outlineLevel="1">
      <c r="A561" s="19">
        <v>689</v>
      </c>
      <c r="B561" s="19">
        <v>524000893</v>
      </c>
      <c r="C561" s="19">
        <v>524000894</v>
      </c>
      <c r="D561" s="50" t="s">
        <v>13</v>
      </c>
      <c r="E561" s="19" t="s">
        <v>1938</v>
      </c>
      <c r="F561" s="19" t="s">
        <v>1939</v>
      </c>
      <c r="G561" s="19" t="s">
        <v>1940</v>
      </c>
      <c r="H561" s="69" t="s">
        <v>1941</v>
      </c>
      <c r="I561" s="70" t="s">
        <v>1772</v>
      </c>
      <c r="J561" s="70" t="s">
        <v>289</v>
      </c>
      <c r="K561" s="71">
        <v>4</v>
      </c>
      <c r="L561" s="72">
        <v>524000894</v>
      </c>
      <c r="M561" s="72" t="s">
        <v>1942</v>
      </c>
      <c r="N561" s="73">
        <v>27.900000000000002</v>
      </c>
      <c r="O561" s="74" t="s">
        <v>279</v>
      </c>
      <c r="P561" s="73">
        <v>49.95</v>
      </c>
      <c r="Q561" s="80" t="s">
        <v>279</v>
      </c>
      <c r="W561" s="76" t="s">
        <v>1943</v>
      </c>
      <c r="X561" s="77">
        <v>27.900000000000002</v>
      </c>
      <c r="Y561" s="78">
        <v>0</v>
      </c>
      <c r="AA561" s="79">
        <v>27.900000000000002</v>
      </c>
      <c r="AB561" s="79">
        <v>27.900000000000002</v>
      </c>
      <c r="AC561" s="78">
        <v>0</v>
      </c>
      <c r="AE561" s="63" t="s">
        <v>219</v>
      </c>
      <c r="AF561" s="63">
        <v>1</v>
      </c>
      <c r="AG561" s="63">
        <v>1</v>
      </c>
      <c r="AK561" s="77">
        <v>0</v>
      </c>
      <c r="BA561" s="41" t="s">
        <v>230</v>
      </c>
      <c r="BB561" s="41" t="s">
        <v>15</v>
      </c>
      <c r="BC561" s="41" t="s">
        <v>232</v>
      </c>
      <c r="BD561" s="41" t="s">
        <v>1890</v>
      </c>
    </row>
    <row r="562" spans="1:56" ht="18" customHeight="1" outlineLevel="1">
      <c r="A562" s="19">
        <v>690</v>
      </c>
      <c r="B562" s="19">
        <v>524000901</v>
      </c>
      <c r="C562" s="19">
        <v>524000902</v>
      </c>
      <c r="D562" s="50" t="s">
        <v>13</v>
      </c>
      <c r="E562" s="19" t="s">
        <v>1938</v>
      </c>
      <c r="F562" s="19" t="s">
        <v>1939</v>
      </c>
      <c r="G562" s="19" t="s">
        <v>1940</v>
      </c>
      <c r="H562" s="69" t="s">
        <v>1944</v>
      </c>
      <c r="I562" s="70" t="s">
        <v>1767</v>
      </c>
      <c r="J562" s="70" t="s">
        <v>1768</v>
      </c>
      <c r="K562" s="71">
        <v>4</v>
      </c>
      <c r="L562" s="72">
        <v>524000902</v>
      </c>
      <c r="M562" s="72" t="s">
        <v>1945</v>
      </c>
      <c r="N562" s="73">
        <v>27.900000000000002</v>
      </c>
      <c r="O562" s="74" t="s">
        <v>279</v>
      </c>
      <c r="P562" s="73">
        <v>49.95</v>
      </c>
      <c r="Q562" s="80" t="s">
        <v>279</v>
      </c>
      <c r="W562" s="76" t="s">
        <v>1946</v>
      </c>
      <c r="X562" s="77">
        <v>27.900000000000002</v>
      </c>
      <c r="Y562" s="78">
        <v>0</v>
      </c>
      <c r="AA562" s="79">
        <v>27.900000000000002</v>
      </c>
      <c r="AB562" s="79">
        <v>27.900000000000002</v>
      </c>
      <c r="AC562" s="78">
        <v>0</v>
      </c>
      <c r="AE562" s="63" t="s">
        <v>219</v>
      </c>
      <c r="AF562" s="63">
        <v>1</v>
      </c>
      <c r="AG562" s="63">
        <v>1</v>
      </c>
      <c r="AK562" s="77">
        <v>0</v>
      </c>
      <c r="BA562" s="41" t="s">
        <v>230</v>
      </c>
      <c r="BB562" s="41" t="s">
        <v>15</v>
      </c>
      <c r="BC562" s="41" t="s">
        <v>232</v>
      </c>
      <c r="BD562" s="41" t="s">
        <v>1890</v>
      </c>
    </row>
    <row r="563" spans="1:56" ht="18" customHeight="1" outlineLevel="1">
      <c r="A563" s="19">
        <v>691</v>
      </c>
      <c r="B563" s="19">
        <v>524000909</v>
      </c>
      <c r="C563" s="19">
        <v>524000910</v>
      </c>
      <c r="D563" s="50" t="s">
        <v>13</v>
      </c>
      <c r="E563" s="19" t="s">
        <v>1938</v>
      </c>
      <c r="F563" s="19" t="s">
        <v>1939</v>
      </c>
      <c r="G563" s="19" t="s">
        <v>1940</v>
      </c>
      <c r="H563" s="69" t="s">
        <v>1947</v>
      </c>
      <c r="I563" s="70" t="s">
        <v>1204</v>
      </c>
      <c r="J563" s="70" t="s">
        <v>329</v>
      </c>
      <c r="K563" s="71">
        <v>4</v>
      </c>
      <c r="L563" s="72">
        <v>524000910</v>
      </c>
      <c r="M563" s="72" t="s">
        <v>1948</v>
      </c>
      <c r="N563" s="73">
        <v>27.900000000000002</v>
      </c>
      <c r="O563" s="74" t="s">
        <v>279</v>
      </c>
      <c r="P563" s="73">
        <v>49.95</v>
      </c>
      <c r="Q563" s="80" t="s">
        <v>279</v>
      </c>
      <c r="W563" s="76" t="s">
        <v>1949</v>
      </c>
      <c r="X563" s="77">
        <v>27.900000000000002</v>
      </c>
      <c r="Y563" s="78">
        <v>0</v>
      </c>
      <c r="AA563" s="79">
        <v>27.900000000000002</v>
      </c>
      <c r="AB563" s="79">
        <v>27.900000000000002</v>
      </c>
      <c r="AC563" s="78">
        <v>0</v>
      </c>
      <c r="AE563" s="63" t="s">
        <v>219</v>
      </c>
      <c r="AF563" s="63">
        <v>1</v>
      </c>
      <c r="AG563" s="63">
        <v>1</v>
      </c>
      <c r="AK563" s="77">
        <v>0</v>
      </c>
      <c r="BA563" s="41" t="s">
        <v>230</v>
      </c>
      <c r="BB563" s="41" t="s">
        <v>15</v>
      </c>
      <c r="BC563" s="41" t="s">
        <v>232</v>
      </c>
      <c r="BD563" s="41" t="s">
        <v>1890</v>
      </c>
    </row>
    <row r="564" spans="1:56" ht="18" customHeight="1" outlineLevel="1">
      <c r="A564" s="19">
        <v>692</v>
      </c>
      <c r="B564" s="19">
        <v>524000917</v>
      </c>
      <c r="C564" s="19">
        <v>524000918</v>
      </c>
      <c r="D564" s="50" t="s">
        <v>13</v>
      </c>
      <c r="E564" s="19" t="s">
        <v>1938</v>
      </c>
      <c r="F564" s="19" t="s">
        <v>1939</v>
      </c>
      <c r="G564" s="19" t="s">
        <v>1940</v>
      </c>
      <c r="H564" s="69" t="s">
        <v>1950</v>
      </c>
      <c r="I564" s="70" t="s">
        <v>1008</v>
      </c>
      <c r="J564" s="70" t="s">
        <v>344</v>
      </c>
      <c r="K564" s="71">
        <v>4</v>
      </c>
      <c r="L564" s="72">
        <v>524000918</v>
      </c>
      <c r="M564" s="72" t="s">
        <v>1951</v>
      </c>
      <c r="N564" s="73">
        <v>27.900000000000002</v>
      </c>
      <c r="O564" s="74" t="s">
        <v>279</v>
      </c>
      <c r="P564" s="73">
        <v>49.95</v>
      </c>
      <c r="Q564" s="80" t="s">
        <v>279</v>
      </c>
      <c r="W564" s="76" t="s">
        <v>1952</v>
      </c>
      <c r="X564" s="77">
        <v>27.900000000000002</v>
      </c>
      <c r="Y564" s="78">
        <v>0</v>
      </c>
      <c r="AA564" s="79">
        <v>27.900000000000002</v>
      </c>
      <c r="AB564" s="79">
        <v>27.900000000000002</v>
      </c>
      <c r="AC564" s="78">
        <v>0</v>
      </c>
      <c r="AE564" s="63" t="s">
        <v>219</v>
      </c>
      <c r="AF564" s="63">
        <v>1</v>
      </c>
      <c r="AG564" s="63">
        <v>1</v>
      </c>
      <c r="AK564" s="77">
        <v>0</v>
      </c>
      <c r="BA564" s="41" t="s">
        <v>230</v>
      </c>
      <c r="BB564" s="41" t="s">
        <v>15</v>
      </c>
      <c r="BC564" s="41" t="s">
        <v>232</v>
      </c>
      <c r="BD564" s="41" t="s">
        <v>1890</v>
      </c>
    </row>
    <row r="565" spans="1:56" ht="27" customHeight="1" outlineLevel="1">
      <c r="A565" s="19">
        <v>693</v>
      </c>
      <c r="B565" s="19" t="s">
        <v>219</v>
      </c>
      <c r="C565" s="19" t="s">
        <v>219</v>
      </c>
      <c r="D565" s="50" t="s">
        <v>219</v>
      </c>
      <c r="E565" s="19" t="s">
        <v>219</v>
      </c>
      <c r="F565" s="19" t="s">
        <v>219</v>
      </c>
      <c r="G565" s="19" t="s">
        <v>219</v>
      </c>
      <c r="H565" s="81" t="s">
        <v>219</v>
      </c>
      <c r="I565" s="70" t="s">
        <v>219</v>
      </c>
      <c r="J565" s="70" t="s">
        <v>219</v>
      </c>
      <c r="K565" s="71" t="s">
        <v>219</v>
      </c>
      <c r="L565" s="72" t="s">
        <v>219</v>
      </c>
      <c r="M565" s="72" t="s">
        <v>219</v>
      </c>
      <c r="N565" s="73" t="s">
        <v>219</v>
      </c>
      <c r="O565" s="74" t="s">
        <v>219</v>
      </c>
      <c r="P565" s="73" t="s">
        <v>219</v>
      </c>
      <c r="Q565" s="80" t="s">
        <v>219</v>
      </c>
      <c r="W565" s="76" t="s">
        <v>219</v>
      </c>
      <c r="X565" s="77" t="s">
        <v>219</v>
      </c>
      <c r="Y565" s="78">
        <v>0</v>
      </c>
      <c r="AA565" s="79" t="s">
        <v>219</v>
      </c>
      <c r="AB565" s="79" t="s">
        <v>219</v>
      </c>
      <c r="AC565" s="78">
        <v>0</v>
      </c>
      <c r="AE565" s="63" t="s">
        <v>230</v>
      </c>
      <c r="AF565" s="63">
        <v>0</v>
      </c>
      <c r="AG565" s="63" t="s">
        <v>219</v>
      </c>
      <c r="AK565" s="77">
        <v>0</v>
      </c>
      <c r="BA565" s="41" t="s">
        <v>230</v>
      </c>
      <c r="BB565" s="41" t="s">
        <v>15</v>
      </c>
      <c r="BC565" s="41" t="s">
        <v>232</v>
      </c>
      <c r="BD565" s="41" t="s">
        <v>1890</v>
      </c>
    </row>
    <row r="566" spans="1:56" ht="18" customHeight="1" outlineLevel="1">
      <c r="A566" s="19">
        <v>694</v>
      </c>
      <c r="B566" s="19">
        <v>521003271</v>
      </c>
      <c r="C566" s="19">
        <v>521003272</v>
      </c>
      <c r="D566" s="50" t="s">
        <v>13</v>
      </c>
      <c r="E566" s="19" t="s">
        <v>1953</v>
      </c>
      <c r="F566" s="19" t="s">
        <v>1954</v>
      </c>
      <c r="G566" s="19" t="s">
        <v>1955</v>
      </c>
      <c r="H566" s="69" t="s">
        <v>1956</v>
      </c>
      <c r="I566" s="70" t="s">
        <v>618</v>
      </c>
      <c r="J566" s="70" t="s">
        <v>619</v>
      </c>
      <c r="K566" s="71">
        <v>4</v>
      </c>
      <c r="L566" s="72">
        <v>521003272</v>
      </c>
      <c r="M566" s="72" t="s">
        <v>1957</v>
      </c>
      <c r="N566" s="73">
        <v>25.1</v>
      </c>
      <c r="O566" s="74" t="s">
        <v>279</v>
      </c>
      <c r="P566" s="73">
        <v>44.95</v>
      </c>
      <c r="Q566" s="80" t="s">
        <v>279</v>
      </c>
      <c r="W566" s="76" t="s">
        <v>1958</v>
      </c>
      <c r="X566" s="77">
        <v>25.1</v>
      </c>
      <c r="Y566" s="78">
        <v>0</v>
      </c>
      <c r="AA566" s="79">
        <v>25.1</v>
      </c>
      <c r="AB566" s="79">
        <v>25.1</v>
      </c>
      <c r="AC566" s="78">
        <v>0</v>
      </c>
      <c r="AE566" s="63" t="s">
        <v>219</v>
      </c>
      <c r="AF566" s="63">
        <v>0</v>
      </c>
      <c r="AG566" s="63">
        <v>0</v>
      </c>
      <c r="AK566" s="77">
        <v>0</v>
      </c>
      <c r="BA566" s="41" t="s">
        <v>230</v>
      </c>
      <c r="BB566" s="41" t="s">
        <v>15</v>
      </c>
      <c r="BC566" s="41" t="s">
        <v>232</v>
      </c>
      <c r="BD566" s="41" t="s">
        <v>1890</v>
      </c>
    </row>
    <row r="567" spans="1:56" ht="27" customHeight="1" outlineLevel="1">
      <c r="A567" s="19">
        <v>695</v>
      </c>
      <c r="B567" s="19" t="s">
        <v>219</v>
      </c>
      <c r="C567" s="19" t="s">
        <v>219</v>
      </c>
      <c r="D567" s="50" t="s">
        <v>219</v>
      </c>
      <c r="E567" s="19" t="s">
        <v>219</v>
      </c>
      <c r="F567" s="19" t="s">
        <v>219</v>
      </c>
      <c r="G567" s="19" t="s">
        <v>219</v>
      </c>
      <c r="H567" s="81" t="s">
        <v>219</v>
      </c>
      <c r="I567" s="70" t="s">
        <v>219</v>
      </c>
      <c r="J567" s="70" t="s">
        <v>219</v>
      </c>
      <c r="K567" s="71" t="s">
        <v>219</v>
      </c>
      <c r="L567" s="72" t="s">
        <v>219</v>
      </c>
      <c r="M567" s="72" t="s">
        <v>219</v>
      </c>
      <c r="N567" s="73" t="s">
        <v>219</v>
      </c>
      <c r="O567" s="74" t="s">
        <v>219</v>
      </c>
      <c r="P567" s="73" t="s">
        <v>219</v>
      </c>
      <c r="Q567" s="80" t="s">
        <v>219</v>
      </c>
      <c r="W567" s="76" t="s">
        <v>219</v>
      </c>
      <c r="X567" s="77" t="s">
        <v>219</v>
      </c>
      <c r="Y567" s="78">
        <v>0</v>
      </c>
      <c r="AA567" s="79" t="s">
        <v>219</v>
      </c>
      <c r="AB567" s="79" t="s">
        <v>219</v>
      </c>
      <c r="AC567" s="78">
        <v>0</v>
      </c>
      <c r="AE567" s="63" t="s">
        <v>230</v>
      </c>
      <c r="AF567" s="63">
        <v>1</v>
      </c>
      <c r="AG567" s="63" t="s">
        <v>219</v>
      </c>
      <c r="AK567" s="77">
        <v>0</v>
      </c>
      <c r="BA567" s="41" t="s">
        <v>230</v>
      </c>
      <c r="BB567" s="41" t="s">
        <v>15</v>
      </c>
      <c r="BC567" s="41" t="s">
        <v>232</v>
      </c>
      <c r="BD567" s="41" t="s">
        <v>1890</v>
      </c>
    </row>
    <row r="568" spans="1:56" s="57" customFormat="1" ht="18" customHeight="1" outlineLevel="1">
      <c r="A568" s="49">
        <v>696</v>
      </c>
      <c r="B568" s="19">
        <v>522000501</v>
      </c>
      <c r="C568" s="19">
        <v>522000501</v>
      </c>
      <c r="D568" s="50" t="s">
        <v>13</v>
      </c>
      <c r="E568" s="19" t="s">
        <v>1959</v>
      </c>
      <c r="F568" s="19" t="s">
        <v>1960</v>
      </c>
      <c r="G568" s="19" t="s">
        <v>1961</v>
      </c>
      <c r="H568" s="69" t="s">
        <v>1962</v>
      </c>
      <c r="I568" s="64" t="s">
        <v>1763</v>
      </c>
      <c r="J568" s="70" t="s">
        <v>334</v>
      </c>
      <c r="K568" s="53">
        <v>1</v>
      </c>
      <c r="L568" s="20">
        <v>522000501</v>
      </c>
      <c r="M568" s="72" t="s">
        <v>1963</v>
      </c>
      <c r="N568" s="54">
        <v>55.7</v>
      </c>
      <c r="O568" s="56" t="s">
        <v>279</v>
      </c>
      <c r="P568" s="54">
        <v>99.95</v>
      </c>
      <c r="Q568" s="56" t="s">
        <v>279</v>
      </c>
      <c r="R568" s="27"/>
      <c r="S568" s="58"/>
      <c r="T568" s="51"/>
      <c r="U568" s="51"/>
      <c r="V568" s="51"/>
      <c r="W568" s="76" t="s">
        <v>1964</v>
      </c>
      <c r="X568" s="77">
        <v>55.7</v>
      </c>
      <c r="Y568" s="78">
        <v>0</v>
      </c>
      <c r="Z568" s="29"/>
      <c r="AA568" s="79">
        <v>55.7</v>
      </c>
      <c r="AB568" s="79">
        <v>55.7</v>
      </c>
      <c r="AC568" s="78">
        <v>0</v>
      </c>
      <c r="AD568" s="29"/>
      <c r="AE568" s="63" t="s">
        <v>219</v>
      </c>
      <c r="AF568" s="63">
        <v>1</v>
      </c>
      <c r="AG568" s="63">
        <v>1</v>
      </c>
      <c r="AH568" s="29"/>
      <c r="AI568" s="27"/>
      <c r="AJ568" s="29"/>
      <c r="AK568" s="77">
        <v>0</v>
      </c>
      <c r="BA568" s="41" t="s">
        <v>230</v>
      </c>
      <c r="BB568" s="41" t="s">
        <v>15</v>
      </c>
      <c r="BC568" s="41" t="s">
        <v>232</v>
      </c>
      <c r="BD568" s="41" t="s">
        <v>1890</v>
      </c>
    </row>
    <row r="569" spans="1:56" ht="18" customHeight="1" outlineLevel="1">
      <c r="A569" s="19">
        <v>697</v>
      </c>
      <c r="B569" s="19">
        <v>522000507</v>
      </c>
      <c r="C569" s="19">
        <v>522000507</v>
      </c>
      <c r="D569" s="50" t="s">
        <v>13</v>
      </c>
      <c r="E569" s="19" t="s">
        <v>1959</v>
      </c>
      <c r="F569" s="19" t="s">
        <v>1960</v>
      </c>
      <c r="G569" s="19" t="s">
        <v>1961</v>
      </c>
      <c r="H569" s="69" t="s">
        <v>1965</v>
      </c>
      <c r="I569" s="70" t="s">
        <v>1767</v>
      </c>
      <c r="J569" s="70" t="s">
        <v>1768</v>
      </c>
      <c r="K569" s="71">
        <v>1</v>
      </c>
      <c r="L569" s="72">
        <v>522000507</v>
      </c>
      <c r="M569" s="72" t="s">
        <v>1966</v>
      </c>
      <c r="N569" s="73">
        <v>55.7</v>
      </c>
      <c r="O569" s="74" t="s">
        <v>279</v>
      </c>
      <c r="P569" s="73">
        <v>99.95</v>
      </c>
      <c r="Q569" s="80" t="s">
        <v>279</v>
      </c>
      <c r="W569" s="76" t="s">
        <v>1967</v>
      </c>
      <c r="X569" s="77">
        <v>55.7</v>
      </c>
      <c r="Y569" s="78">
        <v>0</v>
      </c>
      <c r="AA569" s="79">
        <v>55.7</v>
      </c>
      <c r="AB569" s="79">
        <v>55.7</v>
      </c>
      <c r="AC569" s="78">
        <v>0</v>
      </c>
      <c r="AE569" s="63" t="s">
        <v>219</v>
      </c>
      <c r="AF569" s="63">
        <v>1</v>
      </c>
      <c r="AG569" s="63">
        <v>1</v>
      </c>
      <c r="AK569" s="77">
        <v>0</v>
      </c>
      <c r="BA569" s="41" t="s">
        <v>230</v>
      </c>
      <c r="BB569" s="41" t="s">
        <v>15</v>
      </c>
      <c r="BC569" s="41" t="s">
        <v>232</v>
      </c>
      <c r="BD569" s="41" t="s">
        <v>1890</v>
      </c>
    </row>
    <row r="570" spans="1:56" ht="18" customHeight="1" outlineLevel="1">
      <c r="A570" s="19">
        <v>698</v>
      </c>
      <c r="B570" s="19">
        <v>522000513</v>
      </c>
      <c r="C570" s="19">
        <v>522000513</v>
      </c>
      <c r="D570" s="50" t="s">
        <v>13</v>
      </c>
      <c r="E570" s="19" t="s">
        <v>1959</v>
      </c>
      <c r="F570" s="19" t="s">
        <v>1960</v>
      </c>
      <c r="G570" s="19" t="s">
        <v>1961</v>
      </c>
      <c r="H570" s="69" t="s">
        <v>1968</v>
      </c>
      <c r="I570" s="70" t="s">
        <v>1772</v>
      </c>
      <c r="J570" s="70" t="s">
        <v>289</v>
      </c>
      <c r="K570" s="71">
        <v>1</v>
      </c>
      <c r="L570" s="72">
        <v>522000513</v>
      </c>
      <c r="M570" s="72" t="s">
        <v>1969</v>
      </c>
      <c r="N570" s="73">
        <v>55.7</v>
      </c>
      <c r="O570" s="74" t="s">
        <v>279</v>
      </c>
      <c r="P570" s="73">
        <v>99.95</v>
      </c>
      <c r="Q570" s="80" t="s">
        <v>279</v>
      </c>
      <c r="W570" s="76" t="s">
        <v>1970</v>
      </c>
      <c r="X570" s="77">
        <v>55.7</v>
      </c>
      <c r="Y570" s="78">
        <v>0</v>
      </c>
      <c r="AA570" s="79">
        <v>55.7</v>
      </c>
      <c r="AB570" s="79">
        <v>55.7</v>
      </c>
      <c r="AC570" s="78">
        <v>0</v>
      </c>
      <c r="AE570" s="63" t="s">
        <v>219</v>
      </c>
      <c r="AF570" s="63">
        <v>1</v>
      </c>
      <c r="AG570" s="63">
        <v>1</v>
      </c>
      <c r="AK570" s="77">
        <v>0</v>
      </c>
      <c r="BA570" s="41" t="s">
        <v>230</v>
      </c>
      <c r="BB570" s="41" t="s">
        <v>15</v>
      </c>
      <c r="BC570" s="41" t="s">
        <v>232</v>
      </c>
      <c r="BD570" s="41" t="s">
        <v>1890</v>
      </c>
    </row>
    <row r="571" spans="1:56" ht="18" customHeight="1" outlineLevel="1">
      <c r="A571" s="19">
        <v>699</v>
      </c>
      <c r="B571" s="19">
        <v>522000519</v>
      </c>
      <c r="C571" s="19">
        <v>522000519</v>
      </c>
      <c r="D571" s="50" t="s">
        <v>13</v>
      </c>
      <c r="E571" s="19" t="s">
        <v>1959</v>
      </c>
      <c r="F571" s="19" t="s">
        <v>1960</v>
      </c>
      <c r="G571" s="19" t="s">
        <v>1961</v>
      </c>
      <c r="H571" s="69" t="s">
        <v>1971</v>
      </c>
      <c r="I571" s="70" t="s">
        <v>1776</v>
      </c>
      <c r="J571" s="70" t="s">
        <v>480</v>
      </c>
      <c r="K571" s="71">
        <v>1</v>
      </c>
      <c r="L571" s="72">
        <v>522000519</v>
      </c>
      <c r="M571" s="72" t="s">
        <v>1972</v>
      </c>
      <c r="N571" s="73">
        <v>55.7</v>
      </c>
      <c r="O571" s="74" t="s">
        <v>279</v>
      </c>
      <c r="P571" s="73">
        <v>99.95</v>
      </c>
      <c r="Q571" s="80" t="s">
        <v>279</v>
      </c>
      <c r="W571" s="76" t="s">
        <v>1973</v>
      </c>
      <c r="X571" s="77">
        <v>55.7</v>
      </c>
      <c r="Y571" s="78">
        <v>0</v>
      </c>
      <c r="AA571" s="79">
        <v>55.7</v>
      </c>
      <c r="AB571" s="79">
        <v>55.7</v>
      </c>
      <c r="AC571" s="78">
        <v>0</v>
      </c>
      <c r="AE571" s="63" t="s">
        <v>219</v>
      </c>
      <c r="AF571" s="63">
        <v>1</v>
      </c>
      <c r="AG571" s="63">
        <v>1</v>
      </c>
      <c r="AK571" s="77">
        <v>0</v>
      </c>
      <c r="BA571" s="41" t="s">
        <v>230</v>
      </c>
      <c r="BB571" s="41" t="s">
        <v>15</v>
      </c>
      <c r="BC571" s="41" t="s">
        <v>232</v>
      </c>
      <c r="BD571" s="41" t="s">
        <v>1890</v>
      </c>
    </row>
    <row r="572" spans="1:56" ht="18" customHeight="1" outlineLevel="1">
      <c r="A572" s="19">
        <v>700</v>
      </c>
      <c r="B572" s="19">
        <v>522000525</v>
      </c>
      <c r="C572" s="19">
        <v>522000525</v>
      </c>
      <c r="D572" s="50" t="s">
        <v>13</v>
      </c>
      <c r="E572" s="19" t="s">
        <v>1959</v>
      </c>
      <c r="F572" s="19" t="s">
        <v>1960</v>
      </c>
      <c r="G572" s="19" t="s">
        <v>1961</v>
      </c>
      <c r="H572" s="69" t="s">
        <v>1974</v>
      </c>
      <c r="I572" s="70" t="s">
        <v>1780</v>
      </c>
      <c r="J572" s="70" t="s">
        <v>537</v>
      </c>
      <c r="K572" s="71">
        <v>1</v>
      </c>
      <c r="L572" s="72">
        <v>522000525</v>
      </c>
      <c r="M572" s="72" t="s">
        <v>1975</v>
      </c>
      <c r="N572" s="73">
        <v>55.7</v>
      </c>
      <c r="O572" s="74" t="s">
        <v>279</v>
      </c>
      <c r="P572" s="73">
        <v>99.95</v>
      </c>
      <c r="Q572" s="80" t="s">
        <v>279</v>
      </c>
      <c r="W572" s="76" t="s">
        <v>1976</v>
      </c>
      <c r="X572" s="77">
        <v>55.7</v>
      </c>
      <c r="Y572" s="78">
        <v>0</v>
      </c>
      <c r="AA572" s="79">
        <v>55.7</v>
      </c>
      <c r="AB572" s="79">
        <v>55.7</v>
      </c>
      <c r="AC572" s="78">
        <v>0</v>
      </c>
      <c r="AE572" s="63" t="s">
        <v>219</v>
      </c>
      <c r="AF572" s="63">
        <v>1</v>
      </c>
      <c r="AG572" s="63">
        <v>1</v>
      </c>
      <c r="AK572" s="77">
        <v>0</v>
      </c>
      <c r="BA572" s="41" t="s">
        <v>230</v>
      </c>
      <c r="BB572" s="41" t="s">
        <v>15</v>
      </c>
      <c r="BC572" s="41" t="s">
        <v>232</v>
      </c>
      <c r="BD572" s="41" t="s">
        <v>1890</v>
      </c>
    </row>
    <row r="573" spans="1:56" ht="27" customHeight="1" outlineLevel="1">
      <c r="A573" s="19">
        <v>701</v>
      </c>
      <c r="B573" s="19" t="s">
        <v>219</v>
      </c>
      <c r="C573" s="19" t="s">
        <v>219</v>
      </c>
      <c r="D573" s="50" t="s">
        <v>219</v>
      </c>
      <c r="E573" s="19" t="s">
        <v>219</v>
      </c>
      <c r="F573" s="19" t="s">
        <v>219</v>
      </c>
      <c r="G573" s="19" t="s">
        <v>219</v>
      </c>
      <c r="H573" s="81" t="s">
        <v>219</v>
      </c>
      <c r="I573" s="70" t="s">
        <v>219</v>
      </c>
      <c r="J573" s="70" t="s">
        <v>219</v>
      </c>
      <c r="K573" s="71" t="s">
        <v>219</v>
      </c>
      <c r="L573" s="72" t="s">
        <v>219</v>
      </c>
      <c r="M573" s="72" t="s">
        <v>219</v>
      </c>
      <c r="N573" s="73" t="s">
        <v>219</v>
      </c>
      <c r="O573" s="74" t="s">
        <v>219</v>
      </c>
      <c r="P573" s="73" t="s">
        <v>219</v>
      </c>
      <c r="Q573" s="80" t="s">
        <v>219</v>
      </c>
      <c r="W573" s="76" t="s">
        <v>219</v>
      </c>
      <c r="X573" s="77" t="s">
        <v>219</v>
      </c>
      <c r="Y573" s="78">
        <v>0</v>
      </c>
      <c r="AA573" s="79" t="s">
        <v>219</v>
      </c>
      <c r="AB573" s="79" t="s">
        <v>219</v>
      </c>
      <c r="AC573" s="78">
        <v>0</v>
      </c>
      <c r="AE573" s="63" t="s">
        <v>230</v>
      </c>
      <c r="AF573" s="63">
        <v>0</v>
      </c>
      <c r="AG573" s="63" t="s">
        <v>219</v>
      </c>
      <c r="AK573" s="77">
        <v>0</v>
      </c>
      <c r="BA573" s="41" t="s">
        <v>230</v>
      </c>
      <c r="BB573" s="41" t="s">
        <v>15</v>
      </c>
      <c r="BC573" s="41" t="s">
        <v>232</v>
      </c>
      <c r="BD573" s="41" t="s">
        <v>1890</v>
      </c>
    </row>
    <row r="574" spans="1:56" ht="27" customHeight="1" outlineLevel="1">
      <c r="A574" s="19">
        <v>702</v>
      </c>
      <c r="B574" s="19" t="s">
        <v>219</v>
      </c>
      <c r="C574" s="19" t="s">
        <v>219</v>
      </c>
      <c r="D574" s="50" t="s">
        <v>16</v>
      </c>
      <c r="E574" s="19" t="s">
        <v>219</v>
      </c>
      <c r="F574" s="19" t="s">
        <v>219</v>
      </c>
      <c r="G574" s="19" t="s">
        <v>219</v>
      </c>
      <c r="H574" s="81" t="s">
        <v>233</v>
      </c>
      <c r="I574" s="70" t="s">
        <v>219</v>
      </c>
      <c r="J574" s="70" t="s">
        <v>219</v>
      </c>
      <c r="K574" s="71" t="s">
        <v>219</v>
      </c>
      <c r="L574" s="72" t="s">
        <v>219</v>
      </c>
      <c r="M574" s="72" t="s">
        <v>219</v>
      </c>
      <c r="N574" s="73" t="s">
        <v>219</v>
      </c>
      <c r="O574" s="74" t="s">
        <v>219</v>
      </c>
      <c r="P574" s="73" t="s">
        <v>219</v>
      </c>
      <c r="Q574" s="80" t="s">
        <v>219</v>
      </c>
      <c r="W574" s="76" t="s">
        <v>219</v>
      </c>
      <c r="X574" s="77" t="s">
        <v>219</v>
      </c>
      <c r="Y574" s="78">
        <v>0</v>
      </c>
      <c r="AA574" s="79" t="s">
        <v>219</v>
      </c>
      <c r="AB574" s="79" t="s">
        <v>219</v>
      </c>
      <c r="AC574" s="78">
        <v>0</v>
      </c>
      <c r="AE574" s="63" t="s">
        <v>267</v>
      </c>
      <c r="AF574" s="63">
        <v>0</v>
      </c>
      <c r="AG574" s="63" t="s">
        <v>219</v>
      </c>
      <c r="AK574" s="77">
        <v>0</v>
      </c>
      <c r="BA574" s="41" t="s">
        <v>230</v>
      </c>
      <c r="BB574" s="41" t="s">
        <v>18</v>
      </c>
      <c r="BC574" s="41" t="s">
        <v>233</v>
      </c>
      <c r="BD574" s="41" t="s">
        <v>233</v>
      </c>
    </row>
    <row r="575" spans="1:56" ht="27" customHeight="1" outlineLevel="1">
      <c r="A575" s="19">
        <v>703</v>
      </c>
      <c r="B575" s="19" t="s">
        <v>219</v>
      </c>
      <c r="C575" s="19" t="s">
        <v>219</v>
      </c>
      <c r="D575" s="50" t="s">
        <v>1977</v>
      </c>
      <c r="E575" s="19" t="s">
        <v>219</v>
      </c>
      <c r="F575" s="19" t="s">
        <v>219</v>
      </c>
      <c r="G575" s="19" t="s">
        <v>219</v>
      </c>
      <c r="H575" s="81" t="s">
        <v>1977</v>
      </c>
      <c r="I575" s="70" t="s">
        <v>219</v>
      </c>
      <c r="J575" s="70" t="s">
        <v>219</v>
      </c>
      <c r="K575" s="71" t="s">
        <v>219</v>
      </c>
      <c r="L575" s="72" t="s">
        <v>219</v>
      </c>
      <c r="M575" s="72" t="s">
        <v>219</v>
      </c>
      <c r="N575" s="73" t="s">
        <v>219</v>
      </c>
      <c r="O575" s="74" t="s">
        <v>219</v>
      </c>
      <c r="P575" s="73" t="s">
        <v>219</v>
      </c>
      <c r="Q575" s="80" t="s">
        <v>219</v>
      </c>
      <c r="W575" s="76" t="s">
        <v>219</v>
      </c>
      <c r="X575" s="77" t="s">
        <v>219</v>
      </c>
      <c r="Y575" s="78">
        <v>0</v>
      </c>
      <c r="AA575" s="79" t="s">
        <v>219</v>
      </c>
      <c r="AB575" s="79" t="s">
        <v>219</v>
      </c>
      <c r="AC575" s="78">
        <v>0</v>
      </c>
      <c r="AE575" s="63" t="s">
        <v>230</v>
      </c>
      <c r="AF575" s="63">
        <v>1</v>
      </c>
      <c r="AG575" s="63" t="s">
        <v>219</v>
      </c>
      <c r="AK575" s="77">
        <v>0</v>
      </c>
      <c r="BA575" s="41" t="s">
        <v>230</v>
      </c>
      <c r="BB575" s="41" t="s">
        <v>18</v>
      </c>
      <c r="BC575" s="41" t="s">
        <v>233</v>
      </c>
      <c r="BD575" s="41" t="s">
        <v>1978</v>
      </c>
    </row>
    <row r="576" spans="1:56" ht="18" customHeight="1" outlineLevel="1">
      <c r="A576" s="19">
        <v>704</v>
      </c>
      <c r="B576" s="19">
        <v>520004117</v>
      </c>
      <c r="C576" s="19">
        <v>520004117</v>
      </c>
      <c r="D576" s="50" t="s">
        <v>13</v>
      </c>
      <c r="E576" s="19" t="s">
        <v>1979</v>
      </c>
      <c r="F576" s="19" t="s">
        <v>1980</v>
      </c>
      <c r="G576" s="19" t="s">
        <v>1981</v>
      </c>
      <c r="H576" s="69" t="s">
        <v>1982</v>
      </c>
      <c r="I576" s="70" t="s">
        <v>1983</v>
      </c>
      <c r="J576" s="70" t="s">
        <v>289</v>
      </c>
      <c r="K576" s="71">
        <v>1</v>
      </c>
      <c r="L576" s="72">
        <v>520004117</v>
      </c>
      <c r="M576" s="72" t="s">
        <v>1984</v>
      </c>
      <c r="N576" s="73">
        <v>251.6</v>
      </c>
      <c r="O576" s="74" t="s">
        <v>279</v>
      </c>
      <c r="P576" s="73">
        <v>409.95</v>
      </c>
      <c r="Q576" s="80" t="s">
        <v>279</v>
      </c>
      <c r="W576" s="76" t="s">
        <v>1985</v>
      </c>
      <c r="X576" s="77">
        <v>251.6</v>
      </c>
      <c r="Y576" s="78">
        <v>0</v>
      </c>
      <c r="AA576" s="79">
        <v>251.6</v>
      </c>
      <c r="AB576" s="79">
        <v>251.6</v>
      </c>
      <c r="AC576" s="78">
        <v>0</v>
      </c>
      <c r="AE576" s="63" t="s">
        <v>219</v>
      </c>
      <c r="AF576" s="63">
        <v>1</v>
      </c>
      <c r="AG576" s="63">
        <v>1</v>
      </c>
      <c r="AK576" s="77">
        <v>0</v>
      </c>
      <c r="BA576" s="41" t="s">
        <v>230</v>
      </c>
      <c r="BB576" s="41" t="s">
        <v>18</v>
      </c>
      <c r="BC576" s="41" t="s">
        <v>233</v>
      </c>
      <c r="BD576" s="41" t="s">
        <v>1978</v>
      </c>
    </row>
    <row r="577" spans="1:56" s="57" customFormat="1" ht="18" customHeight="1" outlineLevel="1">
      <c r="A577" s="49">
        <v>705</v>
      </c>
      <c r="B577" s="19">
        <v>520004325</v>
      </c>
      <c r="C577" s="19">
        <v>520004325</v>
      </c>
      <c r="D577" s="50" t="s">
        <v>13</v>
      </c>
      <c r="E577" s="19" t="s">
        <v>1979</v>
      </c>
      <c r="F577" s="19" t="s">
        <v>1986</v>
      </c>
      <c r="G577" s="19" t="s">
        <v>1981</v>
      </c>
      <c r="H577" s="69" t="s">
        <v>1987</v>
      </c>
      <c r="I577" s="64" t="s">
        <v>1988</v>
      </c>
      <c r="J577" s="70" t="s">
        <v>289</v>
      </c>
      <c r="K577" s="53">
        <v>1</v>
      </c>
      <c r="L577" s="20">
        <v>520004325</v>
      </c>
      <c r="M577" s="72" t="s">
        <v>1989</v>
      </c>
      <c r="N577" s="54">
        <v>251.6</v>
      </c>
      <c r="O577" s="56" t="s">
        <v>279</v>
      </c>
      <c r="P577" s="54">
        <v>409.95</v>
      </c>
      <c r="Q577" s="56" t="s">
        <v>279</v>
      </c>
      <c r="R577" s="27"/>
      <c r="S577" s="58"/>
      <c r="T577" s="51"/>
      <c r="U577" s="51"/>
      <c r="V577" s="51"/>
      <c r="W577" s="76" t="s">
        <v>1990</v>
      </c>
      <c r="X577" s="77">
        <v>251.6</v>
      </c>
      <c r="Y577" s="78">
        <v>0</v>
      </c>
      <c r="Z577" s="29"/>
      <c r="AA577" s="79">
        <v>251.6</v>
      </c>
      <c r="AB577" s="79">
        <v>251.6</v>
      </c>
      <c r="AC577" s="78">
        <v>0</v>
      </c>
      <c r="AD577" s="29"/>
      <c r="AE577" s="63" t="s">
        <v>219</v>
      </c>
      <c r="AF577" s="63">
        <v>1</v>
      </c>
      <c r="AG577" s="63">
        <v>1</v>
      </c>
      <c r="AH577" s="29"/>
      <c r="AI577" s="27"/>
      <c r="AJ577" s="29"/>
      <c r="AK577" s="77">
        <v>0</v>
      </c>
      <c r="BA577" s="41" t="s">
        <v>230</v>
      </c>
      <c r="BB577" s="41" t="s">
        <v>18</v>
      </c>
      <c r="BC577" s="41" t="s">
        <v>233</v>
      </c>
      <c r="BD577" s="41" t="s">
        <v>1978</v>
      </c>
    </row>
    <row r="578" spans="1:56" s="57" customFormat="1" ht="18" customHeight="1" outlineLevel="1">
      <c r="A578" s="49">
        <v>706</v>
      </c>
      <c r="B578" s="19">
        <v>520004327</v>
      </c>
      <c r="C578" s="19">
        <v>520004327</v>
      </c>
      <c r="D578" s="50" t="s">
        <v>13</v>
      </c>
      <c r="E578" s="19" t="s">
        <v>1979</v>
      </c>
      <c r="F578" s="19" t="s">
        <v>1991</v>
      </c>
      <c r="G578" s="19" t="s">
        <v>1981</v>
      </c>
      <c r="H578" s="69" t="s">
        <v>1992</v>
      </c>
      <c r="I578" s="64" t="s">
        <v>1993</v>
      </c>
      <c r="J578" s="70" t="s">
        <v>329</v>
      </c>
      <c r="K578" s="53">
        <v>1</v>
      </c>
      <c r="L578" s="20">
        <v>520004327</v>
      </c>
      <c r="M578" s="72" t="s">
        <v>1994</v>
      </c>
      <c r="N578" s="54">
        <v>251.6</v>
      </c>
      <c r="O578" s="56" t="s">
        <v>279</v>
      </c>
      <c r="P578" s="54">
        <v>409.95</v>
      </c>
      <c r="Q578" s="56" t="s">
        <v>279</v>
      </c>
      <c r="R578" s="27"/>
      <c r="S578" s="58"/>
      <c r="T578" s="51"/>
      <c r="U578" s="51"/>
      <c r="V578" s="51"/>
      <c r="W578" s="76" t="s">
        <v>1995</v>
      </c>
      <c r="X578" s="77">
        <v>251.6</v>
      </c>
      <c r="Y578" s="78">
        <v>0</v>
      </c>
      <c r="Z578" s="29"/>
      <c r="AA578" s="79">
        <v>251.6</v>
      </c>
      <c r="AB578" s="79">
        <v>251.6</v>
      </c>
      <c r="AC578" s="78">
        <v>0</v>
      </c>
      <c r="AD578" s="29"/>
      <c r="AE578" s="63" t="s">
        <v>219</v>
      </c>
      <c r="AF578" s="63">
        <v>1</v>
      </c>
      <c r="AG578" s="63">
        <v>1</v>
      </c>
      <c r="AH578" s="29"/>
      <c r="AI578" s="27"/>
      <c r="AJ578" s="29"/>
      <c r="AK578" s="77">
        <v>0</v>
      </c>
      <c r="BA578" s="41" t="s">
        <v>230</v>
      </c>
      <c r="BB578" s="41" t="s">
        <v>18</v>
      </c>
      <c r="BC578" s="41" t="s">
        <v>233</v>
      </c>
      <c r="BD578" s="41" t="s">
        <v>1978</v>
      </c>
    </row>
    <row r="579" spans="1:56" ht="27" customHeight="1" outlineLevel="1">
      <c r="A579" s="19">
        <v>707</v>
      </c>
      <c r="B579" s="19" t="s">
        <v>219</v>
      </c>
      <c r="C579" s="19" t="s">
        <v>219</v>
      </c>
      <c r="D579" s="50" t="s">
        <v>219</v>
      </c>
      <c r="E579" s="19" t="s">
        <v>219</v>
      </c>
      <c r="F579" s="19" t="s">
        <v>219</v>
      </c>
      <c r="G579" s="19" t="s">
        <v>219</v>
      </c>
      <c r="H579" s="81" t="s">
        <v>219</v>
      </c>
      <c r="I579" s="70" t="s">
        <v>219</v>
      </c>
      <c r="J579" s="70" t="s">
        <v>219</v>
      </c>
      <c r="K579" s="71" t="s">
        <v>219</v>
      </c>
      <c r="L579" s="72" t="s">
        <v>219</v>
      </c>
      <c r="M579" s="72" t="s">
        <v>219</v>
      </c>
      <c r="N579" s="73" t="s">
        <v>219</v>
      </c>
      <c r="O579" s="74" t="s">
        <v>219</v>
      </c>
      <c r="P579" s="73" t="s">
        <v>219</v>
      </c>
      <c r="Q579" s="80" t="s">
        <v>219</v>
      </c>
      <c r="W579" s="76" t="s">
        <v>219</v>
      </c>
      <c r="X579" s="77" t="s">
        <v>219</v>
      </c>
      <c r="Y579" s="78">
        <v>0</v>
      </c>
      <c r="AA579" s="79" t="s">
        <v>219</v>
      </c>
      <c r="AB579" s="79" t="s">
        <v>219</v>
      </c>
      <c r="AC579" s="78">
        <v>0</v>
      </c>
      <c r="AE579" s="63" t="s">
        <v>230</v>
      </c>
      <c r="AF579" s="63">
        <v>0</v>
      </c>
      <c r="AG579" s="63" t="s">
        <v>219</v>
      </c>
      <c r="AK579" s="77">
        <v>0</v>
      </c>
      <c r="BA579" s="41" t="s">
        <v>230</v>
      </c>
      <c r="BB579" s="41" t="s">
        <v>18</v>
      </c>
      <c r="BC579" s="41" t="s">
        <v>233</v>
      </c>
      <c r="BD579" s="41" t="s">
        <v>1978</v>
      </c>
    </row>
    <row r="580" spans="1:56" ht="18" customHeight="1" outlineLevel="1">
      <c r="A580" s="19">
        <v>708</v>
      </c>
      <c r="B580" s="19">
        <v>520004165</v>
      </c>
      <c r="C580" s="19">
        <v>520004165</v>
      </c>
      <c r="D580" s="50" t="s">
        <v>13</v>
      </c>
      <c r="E580" s="19" t="s">
        <v>1996</v>
      </c>
      <c r="F580" s="19" t="s">
        <v>1997</v>
      </c>
      <c r="G580" s="19" t="s">
        <v>1998</v>
      </c>
      <c r="H580" s="69" t="s">
        <v>1999</v>
      </c>
      <c r="I580" s="70" t="s">
        <v>2000</v>
      </c>
      <c r="J580" s="70" t="s">
        <v>289</v>
      </c>
      <c r="K580" s="71">
        <v>1</v>
      </c>
      <c r="L580" s="72">
        <v>520004165</v>
      </c>
      <c r="M580" s="72" t="s">
        <v>2001</v>
      </c>
      <c r="N580" s="73">
        <v>104.3</v>
      </c>
      <c r="O580" s="74" t="s">
        <v>279</v>
      </c>
      <c r="P580" s="73">
        <v>169.95</v>
      </c>
      <c r="Q580" s="80" t="s">
        <v>279</v>
      </c>
      <c r="W580" s="76" t="s">
        <v>2002</v>
      </c>
      <c r="X580" s="77">
        <v>104.3</v>
      </c>
      <c r="Y580" s="78">
        <v>0</v>
      </c>
      <c r="AA580" s="79">
        <v>104.3</v>
      </c>
      <c r="AB580" s="79">
        <v>104.3</v>
      </c>
      <c r="AC580" s="78">
        <v>0</v>
      </c>
      <c r="AE580" s="63" t="s">
        <v>219</v>
      </c>
      <c r="AF580" s="63">
        <v>0</v>
      </c>
      <c r="AG580" s="63">
        <v>0</v>
      </c>
      <c r="AK580" s="77">
        <v>0</v>
      </c>
      <c r="BA580" s="41" t="s">
        <v>230</v>
      </c>
      <c r="BB580" s="41" t="s">
        <v>18</v>
      </c>
      <c r="BC580" s="41" t="s">
        <v>233</v>
      </c>
      <c r="BD580" s="41" t="s">
        <v>1978</v>
      </c>
    </row>
    <row r="581" spans="1:56" ht="18" customHeight="1" outlineLevel="1">
      <c r="A581" s="19">
        <v>709</v>
      </c>
      <c r="B581" s="19">
        <v>520004167</v>
      </c>
      <c r="C581" s="19">
        <v>520004167</v>
      </c>
      <c r="D581" s="50" t="s">
        <v>13</v>
      </c>
      <c r="E581" s="19" t="s">
        <v>1996</v>
      </c>
      <c r="F581" s="19" t="s">
        <v>1997</v>
      </c>
      <c r="G581" s="19" t="s">
        <v>1998</v>
      </c>
      <c r="H581" s="69" t="s">
        <v>2003</v>
      </c>
      <c r="I581" s="70" t="s">
        <v>2004</v>
      </c>
      <c r="J581" s="70" t="s">
        <v>619</v>
      </c>
      <c r="K581" s="71">
        <v>1</v>
      </c>
      <c r="L581" s="72">
        <v>520004167</v>
      </c>
      <c r="M581" s="72" t="s">
        <v>2005</v>
      </c>
      <c r="N581" s="73">
        <v>104.3</v>
      </c>
      <c r="O581" s="74" t="s">
        <v>279</v>
      </c>
      <c r="P581" s="73">
        <v>169.95</v>
      </c>
      <c r="Q581" s="80" t="s">
        <v>279</v>
      </c>
      <c r="W581" s="76" t="s">
        <v>2006</v>
      </c>
      <c r="X581" s="77">
        <v>104.3</v>
      </c>
      <c r="Y581" s="78">
        <v>0</v>
      </c>
      <c r="AA581" s="79">
        <v>104.3</v>
      </c>
      <c r="AB581" s="79">
        <v>104.3</v>
      </c>
      <c r="AC581" s="78">
        <v>0</v>
      </c>
      <c r="AE581" s="63" t="s">
        <v>219</v>
      </c>
      <c r="AF581" s="63">
        <v>0</v>
      </c>
      <c r="AG581" s="63">
        <v>0</v>
      </c>
      <c r="AK581" s="77">
        <v>0</v>
      </c>
      <c r="BA581" s="41" t="s">
        <v>230</v>
      </c>
      <c r="BB581" s="41" t="s">
        <v>18</v>
      </c>
      <c r="BC581" s="41" t="s">
        <v>233</v>
      </c>
      <c r="BD581" s="41" t="s">
        <v>1978</v>
      </c>
    </row>
    <row r="582" spans="1:56" ht="18" customHeight="1" outlineLevel="1">
      <c r="A582" s="19">
        <v>710</v>
      </c>
      <c r="B582" s="19">
        <v>520004169</v>
      </c>
      <c r="C582" s="19">
        <v>520004169</v>
      </c>
      <c r="D582" s="50" t="s">
        <v>13</v>
      </c>
      <c r="E582" s="19" t="s">
        <v>1996</v>
      </c>
      <c r="F582" s="19" t="s">
        <v>1997</v>
      </c>
      <c r="G582" s="19" t="s">
        <v>1998</v>
      </c>
      <c r="H582" s="69" t="s">
        <v>2007</v>
      </c>
      <c r="I582" s="70" t="s">
        <v>2008</v>
      </c>
      <c r="J582" s="70" t="s">
        <v>334</v>
      </c>
      <c r="K582" s="71">
        <v>1</v>
      </c>
      <c r="L582" s="72">
        <v>520004169</v>
      </c>
      <c r="M582" s="72" t="s">
        <v>2009</v>
      </c>
      <c r="N582" s="73">
        <v>104.3</v>
      </c>
      <c r="O582" s="74" t="s">
        <v>279</v>
      </c>
      <c r="P582" s="73">
        <v>169.95</v>
      </c>
      <c r="Q582" s="80" t="s">
        <v>279</v>
      </c>
      <c r="W582" s="76" t="s">
        <v>2010</v>
      </c>
      <c r="X582" s="77">
        <v>104.3</v>
      </c>
      <c r="Y582" s="78">
        <v>0</v>
      </c>
      <c r="AA582" s="79">
        <v>104.3</v>
      </c>
      <c r="AB582" s="79">
        <v>104.3</v>
      </c>
      <c r="AC582" s="78">
        <v>0</v>
      </c>
      <c r="AE582" s="63" t="s">
        <v>219</v>
      </c>
      <c r="AF582" s="63">
        <v>0</v>
      </c>
      <c r="AG582" s="63">
        <v>0</v>
      </c>
      <c r="AK582" s="77">
        <v>0</v>
      </c>
      <c r="BA582" s="41" t="s">
        <v>230</v>
      </c>
      <c r="BB582" s="41" t="s">
        <v>18</v>
      </c>
      <c r="BC582" s="41" t="s">
        <v>233</v>
      </c>
      <c r="BD582" s="41" t="s">
        <v>1978</v>
      </c>
    </row>
    <row r="583" spans="1:56" ht="18" customHeight="1" outlineLevel="1">
      <c r="A583" s="19">
        <v>711</v>
      </c>
      <c r="B583" s="19">
        <v>520004171</v>
      </c>
      <c r="C583" s="19">
        <v>520004171</v>
      </c>
      <c r="D583" s="50" t="s">
        <v>13</v>
      </c>
      <c r="E583" s="19" t="s">
        <v>1996</v>
      </c>
      <c r="F583" s="19" t="s">
        <v>1997</v>
      </c>
      <c r="G583" s="19" t="s">
        <v>1998</v>
      </c>
      <c r="H583" s="69" t="s">
        <v>2011</v>
      </c>
      <c r="I583" s="70" t="s">
        <v>2012</v>
      </c>
      <c r="J583" s="70" t="s">
        <v>329</v>
      </c>
      <c r="K583" s="71">
        <v>1</v>
      </c>
      <c r="L583" s="72">
        <v>520004171</v>
      </c>
      <c r="M583" s="72" t="s">
        <v>2013</v>
      </c>
      <c r="N583" s="73">
        <v>104.3</v>
      </c>
      <c r="O583" s="74" t="s">
        <v>279</v>
      </c>
      <c r="P583" s="73">
        <v>169.95</v>
      </c>
      <c r="Q583" s="80" t="s">
        <v>279</v>
      </c>
      <c r="W583" s="76" t="s">
        <v>2014</v>
      </c>
      <c r="X583" s="77">
        <v>104.3</v>
      </c>
      <c r="Y583" s="78">
        <v>0</v>
      </c>
      <c r="AA583" s="79">
        <v>104.3</v>
      </c>
      <c r="AB583" s="79">
        <v>104.3</v>
      </c>
      <c r="AC583" s="78">
        <v>0</v>
      </c>
      <c r="AE583" s="63" t="s">
        <v>219</v>
      </c>
      <c r="AF583" s="63">
        <v>0</v>
      </c>
      <c r="AG583" s="63">
        <v>0</v>
      </c>
      <c r="AK583" s="77">
        <v>0</v>
      </c>
      <c r="BA583" s="41" t="s">
        <v>230</v>
      </c>
      <c r="BB583" s="41" t="s">
        <v>18</v>
      </c>
      <c r="BC583" s="41" t="s">
        <v>233</v>
      </c>
      <c r="BD583" s="41" t="s">
        <v>1978</v>
      </c>
    </row>
    <row r="584" spans="1:56" ht="18" customHeight="1" outlineLevel="1">
      <c r="A584" s="19">
        <v>712</v>
      </c>
      <c r="B584" s="19">
        <v>520004173</v>
      </c>
      <c r="C584" s="19">
        <v>520004173</v>
      </c>
      <c r="D584" s="50" t="s">
        <v>13</v>
      </c>
      <c r="E584" s="19" t="s">
        <v>1996</v>
      </c>
      <c r="F584" s="19" t="s">
        <v>1997</v>
      </c>
      <c r="G584" s="19" t="s">
        <v>1998</v>
      </c>
      <c r="H584" s="69" t="s">
        <v>2015</v>
      </c>
      <c r="I584" s="70" t="s">
        <v>2016</v>
      </c>
      <c r="J584" s="70" t="s">
        <v>2017</v>
      </c>
      <c r="K584" s="71">
        <v>1</v>
      </c>
      <c r="L584" s="72">
        <v>520004173</v>
      </c>
      <c r="M584" s="72" t="s">
        <v>2018</v>
      </c>
      <c r="N584" s="73">
        <v>104.3</v>
      </c>
      <c r="O584" s="74" t="s">
        <v>279</v>
      </c>
      <c r="P584" s="73">
        <v>169.95</v>
      </c>
      <c r="Q584" s="80" t="s">
        <v>279</v>
      </c>
      <c r="W584" s="76" t="s">
        <v>2019</v>
      </c>
      <c r="X584" s="77">
        <v>104.3</v>
      </c>
      <c r="Y584" s="78">
        <v>0</v>
      </c>
      <c r="AA584" s="79">
        <v>104.3</v>
      </c>
      <c r="AB584" s="79">
        <v>104.3</v>
      </c>
      <c r="AC584" s="78">
        <v>0</v>
      </c>
      <c r="AE584" s="63" t="s">
        <v>219</v>
      </c>
      <c r="AF584" s="63">
        <v>0</v>
      </c>
      <c r="AG584" s="63">
        <v>0</v>
      </c>
      <c r="AK584" s="77">
        <v>0</v>
      </c>
      <c r="BA584" s="41" t="s">
        <v>230</v>
      </c>
      <c r="BB584" s="41" t="s">
        <v>18</v>
      </c>
      <c r="BC584" s="41" t="s">
        <v>233</v>
      </c>
      <c r="BD584" s="41" t="s">
        <v>1978</v>
      </c>
    </row>
    <row r="585" spans="1:56" ht="27" customHeight="1" outlineLevel="1">
      <c r="A585" s="19">
        <v>713</v>
      </c>
      <c r="B585" s="19" t="s">
        <v>219</v>
      </c>
      <c r="C585" s="19" t="s">
        <v>219</v>
      </c>
      <c r="D585" s="50" t="s">
        <v>219</v>
      </c>
      <c r="E585" s="19" t="s">
        <v>219</v>
      </c>
      <c r="F585" s="19" t="s">
        <v>219</v>
      </c>
      <c r="G585" s="19" t="s">
        <v>219</v>
      </c>
      <c r="H585" s="81" t="s">
        <v>219</v>
      </c>
      <c r="I585" s="70" t="s">
        <v>219</v>
      </c>
      <c r="J585" s="70" t="s">
        <v>219</v>
      </c>
      <c r="K585" s="71" t="s">
        <v>219</v>
      </c>
      <c r="L585" s="72" t="s">
        <v>219</v>
      </c>
      <c r="M585" s="72" t="s">
        <v>219</v>
      </c>
      <c r="N585" s="73" t="s">
        <v>219</v>
      </c>
      <c r="O585" s="74" t="s">
        <v>219</v>
      </c>
      <c r="P585" s="73" t="s">
        <v>219</v>
      </c>
      <c r="Q585" s="80" t="s">
        <v>219</v>
      </c>
      <c r="W585" s="76" t="s">
        <v>219</v>
      </c>
      <c r="X585" s="77" t="s">
        <v>219</v>
      </c>
      <c r="Y585" s="78">
        <v>0</v>
      </c>
      <c r="AA585" s="79" t="s">
        <v>219</v>
      </c>
      <c r="AB585" s="79" t="s">
        <v>219</v>
      </c>
      <c r="AC585" s="78">
        <v>0</v>
      </c>
      <c r="AE585" s="63" t="s">
        <v>230</v>
      </c>
      <c r="AF585" s="63">
        <v>1</v>
      </c>
      <c r="AG585" s="63" t="s">
        <v>219</v>
      </c>
      <c r="AK585" s="77">
        <v>0</v>
      </c>
      <c r="BA585" s="41" t="s">
        <v>230</v>
      </c>
      <c r="BB585" s="41" t="s">
        <v>18</v>
      </c>
      <c r="BC585" s="41" t="s">
        <v>233</v>
      </c>
      <c r="BD585" s="41" t="s">
        <v>1978</v>
      </c>
    </row>
    <row r="586" spans="1:56" ht="18" customHeight="1" outlineLevel="1">
      <c r="A586" s="19">
        <v>714</v>
      </c>
      <c r="B586" s="19">
        <v>520004153</v>
      </c>
      <c r="C586" s="19">
        <v>520004153</v>
      </c>
      <c r="D586" s="50" t="s">
        <v>13</v>
      </c>
      <c r="E586" s="19" t="s">
        <v>1979</v>
      </c>
      <c r="F586" s="19" t="s">
        <v>2020</v>
      </c>
      <c r="G586" s="19" t="s">
        <v>2021</v>
      </c>
      <c r="H586" s="69" t="s">
        <v>2022</v>
      </c>
      <c r="I586" s="70" t="s">
        <v>2000</v>
      </c>
      <c r="J586" s="70" t="s">
        <v>289</v>
      </c>
      <c r="K586" s="71">
        <v>1</v>
      </c>
      <c r="L586" s="72">
        <v>520004153</v>
      </c>
      <c r="M586" s="72" t="s">
        <v>2023</v>
      </c>
      <c r="N586" s="73">
        <v>343.6</v>
      </c>
      <c r="O586" s="74" t="s">
        <v>279</v>
      </c>
      <c r="P586" s="73">
        <v>559.95000000000005</v>
      </c>
      <c r="Q586" s="80" t="s">
        <v>279</v>
      </c>
      <c r="W586" s="76" t="s">
        <v>2024</v>
      </c>
      <c r="X586" s="77">
        <v>343.6</v>
      </c>
      <c r="Y586" s="78">
        <v>0</v>
      </c>
      <c r="AA586" s="79">
        <v>343.6</v>
      </c>
      <c r="AB586" s="79">
        <v>343.6</v>
      </c>
      <c r="AC586" s="78">
        <v>0</v>
      </c>
      <c r="AE586" s="63" t="s">
        <v>219</v>
      </c>
      <c r="AF586" s="63">
        <v>1</v>
      </c>
      <c r="AG586" s="63">
        <v>1</v>
      </c>
      <c r="AK586" s="77">
        <v>0</v>
      </c>
      <c r="BA586" s="41" t="s">
        <v>230</v>
      </c>
      <c r="BB586" s="41" t="s">
        <v>18</v>
      </c>
      <c r="BC586" s="41" t="s">
        <v>233</v>
      </c>
      <c r="BD586" s="41" t="s">
        <v>1978</v>
      </c>
    </row>
    <row r="587" spans="1:56" ht="27" customHeight="1" outlineLevel="1">
      <c r="A587" s="19">
        <v>715</v>
      </c>
      <c r="B587" s="19" t="s">
        <v>219</v>
      </c>
      <c r="C587" s="19" t="s">
        <v>219</v>
      </c>
      <c r="D587" s="50" t="s">
        <v>219</v>
      </c>
      <c r="E587" s="19" t="s">
        <v>219</v>
      </c>
      <c r="F587" s="19" t="s">
        <v>219</v>
      </c>
      <c r="G587" s="19" t="s">
        <v>219</v>
      </c>
      <c r="H587" s="81" t="s">
        <v>219</v>
      </c>
      <c r="I587" s="70" t="s">
        <v>219</v>
      </c>
      <c r="J587" s="70" t="s">
        <v>219</v>
      </c>
      <c r="K587" s="71" t="s">
        <v>219</v>
      </c>
      <c r="L587" s="72" t="s">
        <v>219</v>
      </c>
      <c r="M587" s="72" t="s">
        <v>219</v>
      </c>
      <c r="N587" s="73" t="s">
        <v>219</v>
      </c>
      <c r="O587" s="74" t="s">
        <v>219</v>
      </c>
      <c r="P587" s="73" t="s">
        <v>219</v>
      </c>
      <c r="Q587" s="80" t="s">
        <v>219</v>
      </c>
      <c r="W587" s="76" t="s">
        <v>219</v>
      </c>
      <c r="X587" s="77" t="s">
        <v>219</v>
      </c>
      <c r="Y587" s="78">
        <v>0</v>
      </c>
      <c r="AA587" s="79" t="s">
        <v>219</v>
      </c>
      <c r="AB587" s="79" t="s">
        <v>219</v>
      </c>
      <c r="AC587" s="78">
        <v>0</v>
      </c>
      <c r="AE587" s="63" t="s">
        <v>230</v>
      </c>
      <c r="AF587" s="63">
        <v>0</v>
      </c>
      <c r="AG587" s="63" t="s">
        <v>219</v>
      </c>
      <c r="AK587" s="77">
        <v>0</v>
      </c>
      <c r="BA587" s="41" t="s">
        <v>230</v>
      </c>
      <c r="BB587" s="41" t="s">
        <v>18</v>
      </c>
      <c r="BC587" s="41" t="s">
        <v>233</v>
      </c>
      <c r="BD587" s="41" t="s">
        <v>1978</v>
      </c>
    </row>
    <row r="588" spans="1:56" ht="18" customHeight="1" outlineLevel="1">
      <c r="A588" s="19">
        <v>716</v>
      </c>
      <c r="B588" s="19">
        <v>521000289</v>
      </c>
      <c r="C588" s="19">
        <v>521000289</v>
      </c>
      <c r="D588" s="50" t="s">
        <v>13</v>
      </c>
      <c r="E588" s="19" t="s">
        <v>2025</v>
      </c>
      <c r="F588" s="19" t="s">
        <v>2026</v>
      </c>
      <c r="G588" s="19" t="s">
        <v>2027</v>
      </c>
      <c r="H588" s="69" t="s">
        <v>2028</v>
      </c>
      <c r="I588" s="70" t="s">
        <v>1983</v>
      </c>
      <c r="J588" s="70" t="s">
        <v>289</v>
      </c>
      <c r="K588" s="71">
        <v>1</v>
      </c>
      <c r="L588" s="72">
        <v>521000289</v>
      </c>
      <c r="M588" s="72" t="s">
        <v>2029</v>
      </c>
      <c r="N588" s="73">
        <v>355.8</v>
      </c>
      <c r="O588" s="74" t="s">
        <v>279</v>
      </c>
      <c r="P588" s="73">
        <v>579.95000000000005</v>
      </c>
      <c r="Q588" s="80" t="s">
        <v>279</v>
      </c>
      <c r="W588" s="76" t="s">
        <v>2030</v>
      </c>
      <c r="X588" s="77">
        <v>355.8</v>
      </c>
      <c r="Y588" s="78">
        <v>0</v>
      </c>
      <c r="AA588" s="79">
        <v>355.8</v>
      </c>
      <c r="AB588" s="79">
        <v>355.8</v>
      </c>
      <c r="AC588" s="78">
        <v>0</v>
      </c>
      <c r="AE588" s="63" t="s">
        <v>219</v>
      </c>
      <c r="AF588" s="63">
        <v>0</v>
      </c>
      <c r="AG588" s="63">
        <v>0</v>
      </c>
      <c r="AK588" s="77">
        <v>0</v>
      </c>
      <c r="BA588" s="41" t="s">
        <v>230</v>
      </c>
      <c r="BB588" s="41" t="s">
        <v>18</v>
      </c>
      <c r="BC588" s="41" t="s">
        <v>233</v>
      </c>
      <c r="BD588" s="41" t="s">
        <v>1978</v>
      </c>
    </row>
    <row r="589" spans="1:56" s="57" customFormat="1" ht="18" customHeight="1" outlineLevel="1">
      <c r="A589" s="49">
        <v>717</v>
      </c>
      <c r="B589" s="19">
        <v>521000301</v>
      </c>
      <c r="C589" s="19">
        <v>521000301</v>
      </c>
      <c r="D589" s="50" t="s">
        <v>13</v>
      </c>
      <c r="E589" s="19" t="s">
        <v>2025</v>
      </c>
      <c r="F589" s="19" t="s">
        <v>2031</v>
      </c>
      <c r="G589" s="19" t="s">
        <v>2027</v>
      </c>
      <c r="H589" s="69" t="s">
        <v>2032</v>
      </c>
      <c r="I589" s="64" t="s">
        <v>1988</v>
      </c>
      <c r="J589" s="70" t="s">
        <v>289</v>
      </c>
      <c r="K589" s="53">
        <v>1</v>
      </c>
      <c r="L589" s="20">
        <v>521000301</v>
      </c>
      <c r="M589" s="72" t="s">
        <v>2033</v>
      </c>
      <c r="N589" s="54">
        <v>355.8</v>
      </c>
      <c r="O589" s="56" t="s">
        <v>279</v>
      </c>
      <c r="P589" s="54">
        <v>579.95000000000005</v>
      </c>
      <c r="Q589" s="56" t="s">
        <v>279</v>
      </c>
      <c r="R589" s="27"/>
      <c r="S589" s="58"/>
      <c r="T589" s="51"/>
      <c r="U589" s="51"/>
      <c r="V589" s="51"/>
      <c r="W589" s="76" t="s">
        <v>2034</v>
      </c>
      <c r="X589" s="77">
        <v>355.8</v>
      </c>
      <c r="Y589" s="78">
        <v>0</v>
      </c>
      <c r="Z589" s="29"/>
      <c r="AA589" s="79">
        <v>355.8</v>
      </c>
      <c r="AB589" s="79">
        <v>355.8</v>
      </c>
      <c r="AC589" s="78">
        <v>0</v>
      </c>
      <c r="AD589" s="29"/>
      <c r="AE589" s="63" t="s">
        <v>219</v>
      </c>
      <c r="AF589" s="63">
        <v>0</v>
      </c>
      <c r="AG589" s="63">
        <v>0</v>
      </c>
      <c r="AH589" s="29"/>
      <c r="AI589" s="27"/>
      <c r="AJ589" s="29"/>
      <c r="AK589" s="77">
        <v>0</v>
      </c>
      <c r="BA589" s="41" t="s">
        <v>230</v>
      </c>
      <c r="BB589" s="41" t="s">
        <v>18</v>
      </c>
      <c r="BC589" s="41" t="s">
        <v>233</v>
      </c>
      <c r="BD589" s="41" t="s">
        <v>1978</v>
      </c>
    </row>
    <row r="590" spans="1:56" ht="18" customHeight="1" outlineLevel="1">
      <c r="A590" s="19">
        <v>718</v>
      </c>
      <c r="B590" s="19">
        <v>521000313</v>
      </c>
      <c r="C590" s="19">
        <v>521000313</v>
      </c>
      <c r="D590" s="50" t="s">
        <v>13</v>
      </c>
      <c r="E590" s="19" t="s">
        <v>2025</v>
      </c>
      <c r="F590" s="19" t="s">
        <v>2035</v>
      </c>
      <c r="G590" s="19" t="s">
        <v>2027</v>
      </c>
      <c r="H590" s="69" t="s">
        <v>2036</v>
      </c>
      <c r="I590" s="70" t="s">
        <v>1993</v>
      </c>
      <c r="J590" s="70" t="s">
        <v>329</v>
      </c>
      <c r="K590" s="71">
        <v>1</v>
      </c>
      <c r="L590" s="72">
        <v>521000313</v>
      </c>
      <c r="M590" s="72" t="s">
        <v>2037</v>
      </c>
      <c r="N590" s="73">
        <v>355.8</v>
      </c>
      <c r="O590" s="74" t="s">
        <v>279</v>
      </c>
      <c r="P590" s="73">
        <v>579.95000000000005</v>
      </c>
      <c r="Q590" s="80" t="s">
        <v>279</v>
      </c>
      <c r="W590" s="76" t="s">
        <v>2038</v>
      </c>
      <c r="X590" s="77">
        <v>355.8</v>
      </c>
      <c r="Y590" s="78">
        <v>0</v>
      </c>
      <c r="AA590" s="79">
        <v>355.8</v>
      </c>
      <c r="AB590" s="79">
        <v>355.8</v>
      </c>
      <c r="AC590" s="78">
        <v>0</v>
      </c>
      <c r="AE590" s="63" t="s">
        <v>219</v>
      </c>
      <c r="AF590" s="63">
        <v>0</v>
      </c>
      <c r="AG590" s="63">
        <v>0</v>
      </c>
      <c r="AK590" s="77">
        <v>0</v>
      </c>
      <c r="BA590" s="41" t="s">
        <v>230</v>
      </c>
      <c r="BB590" s="41" t="s">
        <v>18</v>
      </c>
      <c r="BC590" s="41" t="s">
        <v>233</v>
      </c>
      <c r="BD590" s="41" t="s">
        <v>1978</v>
      </c>
    </row>
    <row r="591" spans="1:56" ht="27" customHeight="1" outlineLevel="1">
      <c r="A591" s="19">
        <v>719</v>
      </c>
      <c r="B591" s="19" t="s">
        <v>219</v>
      </c>
      <c r="C591" s="19" t="s">
        <v>219</v>
      </c>
      <c r="D591" s="50" t="s">
        <v>219</v>
      </c>
      <c r="E591" s="19" t="s">
        <v>219</v>
      </c>
      <c r="F591" s="19" t="s">
        <v>219</v>
      </c>
      <c r="G591" s="19" t="s">
        <v>219</v>
      </c>
      <c r="H591" s="81" t="s">
        <v>219</v>
      </c>
      <c r="I591" s="70" t="s">
        <v>219</v>
      </c>
      <c r="J591" s="70" t="s">
        <v>219</v>
      </c>
      <c r="K591" s="71" t="s">
        <v>219</v>
      </c>
      <c r="L591" s="72" t="s">
        <v>219</v>
      </c>
      <c r="M591" s="72" t="s">
        <v>219</v>
      </c>
      <c r="N591" s="73" t="s">
        <v>219</v>
      </c>
      <c r="O591" s="74" t="s">
        <v>219</v>
      </c>
      <c r="P591" s="73" t="s">
        <v>219</v>
      </c>
      <c r="Q591" s="80" t="s">
        <v>219</v>
      </c>
      <c r="W591" s="76" t="s">
        <v>219</v>
      </c>
      <c r="X591" s="77" t="s">
        <v>219</v>
      </c>
      <c r="Y591" s="78">
        <v>0</v>
      </c>
      <c r="AA591" s="79" t="s">
        <v>219</v>
      </c>
      <c r="AB591" s="79" t="s">
        <v>219</v>
      </c>
      <c r="AC591" s="78">
        <v>0</v>
      </c>
      <c r="AE591" s="63" t="s">
        <v>230</v>
      </c>
      <c r="AF591" s="63">
        <v>1</v>
      </c>
      <c r="AG591" s="63" t="s">
        <v>219</v>
      </c>
      <c r="AK591" s="77">
        <v>0</v>
      </c>
      <c r="BA591" s="41" t="s">
        <v>230</v>
      </c>
      <c r="BB591" s="41" t="s">
        <v>18</v>
      </c>
      <c r="BC591" s="41" t="s">
        <v>233</v>
      </c>
      <c r="BD591" s="41" t="s">
        <v>1978</v>
      </c>
    </row>
    <row r="592" spans="1:56" ht="18" customHeight="1" outlineLevel="1">
      <c r="A592" s="19">
        <v>720</v>
      </c>
      <c r="B592" s="19">
        <v>521000325</v>
      </c>
      <c r="C592" s="19">
        <v>521000325</v>
      </c>
      <c r="D592" s="50" t="s">
        <v>13</v>
      </c>
      <c r="E592" s="19" t="s">
        <v>2039</v>
      </c>
      <c r="F592" s="19" t="s">
        <v>2040</v>
      </c>
      <c r="G592" s="19" t="s">
        <v>2041</v>
      </c>
      <c r="H592" s="69" t="s">
        <v>2042</v>
      </c>
      <c r="I592" s="70" t="s">
        <v>2000</v>
      </c>
      <c r="J592" s="70" t="s">
        <v>289</v>
      </c>
      <c r="K592" s="71">
        <v>1</v>
      </c>
      <c r="L592" s="72">
        <v>521000325</v>
      </c>
      <c r="M592" s="72" t="s">
        <v>2043</v>
      </c>
      <c r="N592" s="73">
        <v>165.7</v>
      </c>
      <c r="O592" s="74" t="s">
        <v>279</v>
      </c>
      <c r="P592" s="73">
        <v>269.95</v>
      </c>
      <c r="Q592" s="80" t="s">
        <v>279</v>
      </c>
      <c r="W592" s="76" t="s">
        <v>2044</v>
      </c>
      <c r="X592" s="77">
        <v>165.7</v>
      </c>
      <c r="Y592" s="78">
        <v>0</v>
      </c>
      <c r="AA592" s="79">
        <v>165.7</v>
      </c>
      <c r="AB592" s="79">
        <v>165.7</v>
      </c>
      <c r="AC592" s="78">
        <v>0</v>
      </c>
      <c r="AE592" s="63" t="s">
        <v>219</v>
      </c>
      <c r="AF592" s="63">
        <v>1</v>
      </c>
      <c r="AG592" s="63">
        <v>1</v>
      </c>
      <c r="AK592" s="77">
        <v>0</v>
      </c>
      <c r="BA592" s="41" t="s">
        <v>230</v>
      </c>
      <c r="BB592" s="41" t="s">
        <v>18</v>
      </c>
      <c r="BC592" s="41" t="s">
        <v>233</v>
      </c>
      <c r="BD592" s="41" t="s">
        <v>1978</v>
      </c>
    </row>
    <row r="593" spans="1:56" ht="18" customHeight="1" outlineLevel="1">
      <c r="A593" s="19">
        <v>721</v>
      </c>
      <c r="B593" s="19">
        <v>521000327</v>
      </c>
      <c r="C593" s="19">
        <v>521000327</v>
      </c>
      <c r="D593" s="50" t="s">
        <v>13</v>
      </c>
      <c r="E593" s="19" t="s">
        <v>2039</v>
      </c>
      <c r="F593" s="19" t="s">
        <v>2040</v>
      </c>
      <c r="G593" s="19" t="s">
        <v>2041</v>
      </c>
      <c r="H593" s="69" t="s">
        <v>2045</v>
      </c>
      <c r="I593" s="70" t="s">
        <v>2004</v>
      </c>
      <c r="J593" s="70" t="s">
        <v>619</v>
      </c>
      <c r="K593" s="71">
        <v>1</v>
      </c>
      <c r="L593" s="72">
        <v>521000327</v>
      </c>
      <c r="M593" s="72" t="s">
        <v>2046</v>
      </c>
      <c r="N593" s="73">
        <v>165.7</v>
      </c>
      <c r="O593" s="74" t="s">
        <v>279</v>
      </c>
      <c r="P593" s="73">
        <v>269.95</v>
      </c>
      <c r="Q593" s="80" t="s">
        <v>279</v>
      </c>
      <c r="W593" s="76" t="s">
        <v>2047</v>
      </c>
      <c r="X593" s="77">
        <v>165.7</v>
      </c>
      <c r="Y593" s="78">
        <v>0</v>
      </c>
      <c r="AA593" s="79">
        <v>165.7</v>
      </c>
      <c r="AB593" s="79">
        <v>165.7</v>
      </c>
      <c r="AC593" s="78">
        <v>0</v>
      </c>
      <c r="AE593" s="63" t="s">
        <v>219</v>
      </c>
      <c r="AF593" s="63">
        <v>1</v>
      </c>
      <c r="AG593" s="63">
        <v>1</v>
      </c>
      <c r="AK593" s="77">
        <v>0</v>
      </c>
      <c r="BA593" s="41" t="s">
        <v>230</v>
      </c>
      <c r="BB593" s="41" t="s">
        <v>18</v>
      </c>
      <c r="BC593" s="41" t="s">
        <v>233</v>
      </c>
      <c r="BD593" s="41" t="s">
        <v>1978</v>
      </c>
    </row>
    <row r="594" spans="1:56" ht="18" customHeight="1" outlineLevel="1">
      <c r="A594" s="19">
        <v>722</v>
      </c>
      <c r="B594" s="19">
        <v>521000329</v>
      </c>
      <c r="C594" s="19">
        <v>521000329</v>
      </c>
      <c r="D594" s="50" t="s">
        <v>13</v>
      </c>
      <c r="E594" s="19" t="s">
        <v>2039</v>
      </c>
      <c r="F594" s="19" t="s">
        <v>2040</v>
      </c>
      <c r="G594" s="19" t="s">
        <v>2041</v>
      </c>
      <c r="H594" s="69" t="s">
        <v>2048</v>
      </c>
      <c r="I594" s="70" t="s">
        <v>2008</v>
      </c>
      <c r="J594" s="70" t="s">
        <v>334</v>
      </c>
      <c r="K594" s="71">
        <v>1</v>
      </c>
      <c r="L594" s="72">
        <v>521000329</v>
      </c>
      <c r="M594" s="72" t="s">
        <v>2049</v>
      </c>
      <c r="N594" s="73">
        <v>165.7</v>
      </c>
      <c r="O594" s="74" t="s">
        <v>279</v>
      </c>
      <c r="P594" s="73">
        <v>269.95</v>
      </c>
      <c r="Q594" s="80" t="s">
        <v>279</v>
      </c>
      <c r="W594" s="76" t="s">
        <v>2050</v>
      </c>
      <c r="X594" s="77">
        <v>165.7</v>
      </c>
      <c r="Y594" s="78">
        <v>0</v>
      </c>
      <c r="AA594" s="79">
        <v>165.7</v>
      </c>
      <c r="AB594" s="79">
        <v>165.7</v>
      </c>
      <c r="AC594" s="78">
        <v>0</v>
      </c>
      <c r="AE594" s="63" t="s">
        <v>219</v>
      </c>
      <c r="AF594" s="63">
        <v>1</v>
      </c>
      <c r="AG594" s="63">
        <v>1</v>
      </c>
      <c r="AK594" s="77">
        <v>0</v>
      </c>
      <c r="BA594" s="41" t="s">
        <v>230</v>
      </c>
      <c r="BB594" s="41" t="s">
        <v>18</v>
      </c>
      <c r="BC594" s="41" t="s">
        <v>233</v>
      </c>
      <c r="BD594" s="41" t="s">
        <v>1978</v>
      </c>
    </row>
    <row r="595" spans="1:56" ht="18" customHeight="1" outlineLevel="1">
      <c r="A595" s="19">
        <v>723</v>
      </c>
      <c r="B595" s="19">
        <v>521000331</v>
      </c>
      <c r="C595" s="19">
        <v>521000331</v>
      </c>
      <c r="D595" s="50" t="s">
        <v>13</v>
      </c>
      <c r="E595" s="19" t="s">
        <v>2039</v>
      </c>
      <c r="F595" s="19" t="s">
        <v>2040</v>
      </c>
      <c r="G595" s="19" t="s">
        <v>2041</v>
      </c>
      <c r="H595" s="69" t="s">
        <v>2051</v>
      </c>
      <c r="I595" s="70" t="s">
        <v>2012</v>
      </c>
      <c r="J595" s="70" t="s">
        <v>329</v>
      </c>
      <c r="K595" s="71">
        <v>1</v>
      </c>
      <c r="L595" s="72">
        <v>521000331</v>
      </c>
      <c r="M595" s="72" t="s">
        <v>2052</v>
      </c>
      <c r="N595" s="73">
        <v>165.7</v>
      </c>
      <c r="O595" s="74" t="s">
        <v>279</v>
      </c>
      <c r="P595" s="73">
        <v>269.95</v>
      </c>
      <c r="Q595" s="80" t="s">
        <v>279</v>
      </c>
      <c r="W595" s="76" t="s">
        <v>2053</v>
      </c>
      <c r="X595" s="77">
        <v>165.7</v>
      </c>
      <c r="Y595" s="78">
        <v>0</v>
      </c>
      <c r="AA595" s="79">
        <v>165.7</v>
      </c>
      <c r="AB595" s="79">
        <v>165.7</v>
      </c>
      <c r="AC595" s="78">
        <v>0</v>
      </c>
      <c r="AE595" s="63" t="s">
        <v>219</v>
      </c>
      <c r="AF595" s="63">
        <v>1</v>
      </c>
      <c r="AG595" s="63">
        <v>1</v>
      </c>
      <c r="AK595" s="77">
        <v>0</v>
      </c>
      <c r="BA595" s="41" t="s">
        <v>230</v>
      </c>
      <c r="BB595" s="41" t="s">
        <v>18</v>
      </c>
      <c r="BC595" s="41" t="s">
        <v>233</v>
      </c>
      <c r="BD595" s="41" t="s">
        <v>1978</v>
      </c>
    </row>
    <row r="596" spans="1:56" ht="18" customHeight="1" outlineLevel="1">
      <c r="A596" s="19">
        <v>724</v>
      </c>
      <c r="B596" s="19">
        <v>521000333</v>
      </c>
      <c r="C596" s="19">
        <v>521000333</v>
      </c>
      <c r="D596" s="50" t="s">
        <v>13</v>
      </c>
      <c r="E596" s="19" t="s">
        <v>2039</v>
      </c>
      <c r="F596" s="19" t="s">
        <v>2040</v>
      </c>
      <c r="G596" s="19" t="s">
        <v>2041</v>
      </c>
      <c r="H596" s="69" t="s">
        <v>2054</v>
      </c>
      <c r="I596" s="70" t="s">
        <v>2016</v>
      </c>
      <c r="J596" s="70" t="s">
        <v>2017</v>
      </c>
      <c r="K596" s="71">
        <v>1</v>
      </c>
      <c r="L596" s="72">
        <v>521000333</v>
      </c>
      <c r="M596" s="72" t="s">
        <v>2055</v>
      </c>
      <c r="N596" s="73">
        <v>165.7</v>
      </c>
      <c r="O596" s="74" t="s">
        <v>279</v>
      </c>
      <c r="P596" s="73">
        <v>269.95</v>
      </c>
      <c r="Q596" s="80" t="s">
        <v>279</v>
      </c>
      <c r="W596" s="76" t="s">
        <v>2056</v>
      </c>
      <c r="X596" s="77">
        <v>165.7</v>
      </c>
      <c r="Y596" s="78">
        <v>0</v>
      </c>
      <c r="AA596" s="79">
        <v>165.7</v>
      </c>
      <c r="AB596" s="79">
        <v>165.7</v>
      </c>
      <c r="AC596" s="78">
        <v>0</v>
      </c>
      <c r="AE596" s="63" t="s">
        <v>219</v>
      </c>
      <c r="AF596" s="63">
        <v>1</v>
      </c>
      <c r="AG596" s="63">
        <v>1</v>
      </c>
      <c r="AK596" s="77">
        <v>0</v>
      </c>
      <c r="BA596" s="41" t="s">
        <v>230</v>
      </c>
      <c r="BB596" s="41" t="s">
        <v>18</v>
      </c>
      <c r="BC596" s="41" t="s">
        <v>233</v>
      </c>
      <c r="BD596" s="41" t="s">
        <v>1978</v>
      </c>
    </row>
    <row r="597" spans="1:56" ht="27" customHeight="1" outlineLevel="1">
      <c r="A597" s="19">
        <v>725</v>
      </c>
      <c r="B597" s="19" t="s">
        <v>219</v>
      </c>
      <c r="C597" s="19" t="s">
        <v>219</v>
      </c>
      <c r="D597" s="50" t="s">
        <v>219</v>
      </c>
      <c r="E597" s="19" t="s">
        <v>219</v>
      </c>
      <c r="F597" s="19" t="s">
        <v>219</v>
      </c>
      <c r="G597" s="19" t="s">
        <v>219</v>
      </c>
      <c r="H597" s="81" t="s">
        <v>219</v>
      </c>
      <c r="I597" s="70" t="s">
        <v>219</v>
      </c>
      <c r="J597" s="70" t="s">
        <v>219</v>
      </c>
      <c r="K597" s="71" t="s">
        <v>219</v>
      </c>
      <c r="L597" s="72" t="s">
        <v>219</v>
      </c>
      <c r="M597" s="72" t="s">
        <v>219</v>
      </c>
      <c r="N597" s="73" t="s">
        <v>219</v>
      </c>
      <c r="O597" s="74" t="s">
        <v>219</v>
      </c>
      <c r="P597" s="73" t="s">
        <v>219</v>
      </c>
      <c r="Q597" s="80" t="s">
        <v>219</v>
      </c>
      <c r="W597" s="76" t="s">
        <v>219</v>
      </c>
      <c r="X597" s="77" t="s">
        <v>219</v>
      </c>
      <c r="Y597" s="78">
        <v>0</v>
      </c>
      <c r="AA597" s="79" t="s">
        <v>219</v>
      </c>
      <c r="AB597" s="79" t="s">
        <v>219</v>
      </c>
      <c r="AC597" s="78">
        <v>0</v>
      </c>
      <c r="AE597" s="63" t="s">
        <v>230</v>
      </c>
      <c r="AF597" s="63">
        <v>0</v>
      </c>
      <c r="AG597" s="63" t="s">
        <v>219</v>
      </c>
      <c r="AK597" s="77">
        <v>0</v>
      </c>
      <c r="BA597" s="41" t="s">
        <v>230</v>
      </c>
      <c r="BB597" s="41" t="s">
        <v>18</v>
      </c>
      <c r="BC597" s="41" t="s">
        <v>233</v>
      </c>
      <c r="BD597" s="41" t="s">
        <v>1978</v>
      </c>
    </row>
    <row r="598" spans="1:56" ht="18" customHeight="1" outlineLevel="1">
      <c r="A598" s="19">
        <v>726</v>
      </c>
      <c r="B598" s="19">
        <v>521000275</v>
      </c>
      <c r="C598" s="19">
        <v>521000275</v>
      </c>
      <c r="D598" s="50" t="s">
        <v>13</v>
      </c>
      <c r="E598" s="19" t="s">
        <v>2025</v>
      </c>
      <c r="F598" s="19" t="s">
        <v>2057</v>
      </c>
      <c r="G598" s="19" t="s">
        <v>2058</v>
      </c>
      <c r="H598" s="69" t="s">
        <v>2059</v>
      </c>
      <c r="I598" s="70" t="s">
        <v>2000</v>
      </c>
      <c r="J598" s="70" t="s">
        <v>289</v>
      </c>
      <c r="K598" s="71">
        <v>1</v>
      </c>
      <c r="L598" s="72">
        <v>521000275</v>
      </c>
      <c r="M598" s="72" t="s">
        <v>2060</v>
      </c>
      <c r="N598" s="73">
        <v>509.20000000000005</v>
      </c>
      <c r="O598" s="74" t="s">
        <v>279</v>
      </c>
      <c r="P598" s="73">
        <v>829.95</v>
      </c>
      <c r="Q598" s="80" t="s">
        <v>279</v>
      </c>
      <c r="W598" s="76" t="s">
        <v>2061</v>
      </c>
      <c r="X598" s="77">
        <v>509.20000000000005</v>
      </c>
      <c r="Y598" s="78">
        <v>0</v>
      </c>
      <c r="AA598" s="79">
        <v>509.20000000000005</v>
      </c>
      <c r="AB598" s="79">
        <v>509.20000000000005</v>
      </c>
      <c r="AC598" s="78">
        <v>0</v>
      </c>
      <c r="AE598" s="63" t="s">
        <v>219</v>
      </c>
      <c r="AF598" s="63">
        <v>0</v>
      </c>
      <c r="AG598" s="63">
        <v>0</v>
      </c>
      <c r="AK598" s="77">
        <v>0</v>
      </c>
      <c r="BA598" s="41" t="s">
        <v>230</v>
      </c>
      <c r="BB598" s="41" t="s">
        <v>18</v>
      </c>
      <c r="BC598" s="41" t="s">
        <v>233</v>
      </c>
      <c r="BD598" s="41" t="s">
        <v>1978</v>
      </c>
    </row>
    <row r="599" spans="1:56" ht="27" customHeight="1" outlineLevel="1">
      <c r="A599" s="19">
        <v>727</v>
      </c>
      <c r="B599" s="19" t="s">
        <v>219</v>
      </c>
      <c r="C599" s="19" t="s">
        <v>219</v>
      </c>
      <c r="D599" s="50" t="s">
        <v>219</v>
      </c>
      <c r="E599" s="19" t="s">
        <v>219</v>
      </c>
      <c r="F599" s="19" t="s">
        <v>219</v>
      </c>
      <c r="G599" s="19" t="s">
        <v>219</v>
      </c>
      <c r="H599" s="81" t="s">
        <v>219</v>
      </c>
      <c r="I599" s="70" t="s">
        <v>219</v>
      </c>
      <c r="J599" s="70" t="s">
        <v>219</v>
      </c>
      <c r="K599" s="71" t="s">
        <v>219</v>
      </c>
      <c r="L599" s="72" t="s">
        <v>219</v>
      </c>
      <c r="M599" s="72" t="s">
        <v>219</v>
      </c>
      <c r="N599" s="73" t="s">
        <v>219</v>
      </c>
      <c r="O599" s="74" t="s">
        <v>219</v>
      </c>
      <c r="P599" s="73" t="s">
        <v>219</v>
      </c>
      <c r="Q599" s="80" t="s">
        <v>219</v>
      </c>
      <c r="W599" s="76" t="s">
        <v>219</v>
      </c>
      <c r="X599" s="77" t="s">
        <v>219</v>
      </c>
      <c r="Y599" s="78">
        <v>0</v>
      </c>
      <c r="AA599" s="79" t="s">
        <v>219</v>
      </c>
      <c r="AB599" s="79" t="s">
        <v>219</v>
      </c>
      <c r="AC599" s="78">
        <v>0</v>
      </c>
      <c r="AE599" s="63" t="s">
        <v>230</v>
      </c>
      <c r="AF599" s="63">
        <v>1</v>
      </c>
      <c r="AG599" s="63" t="s">
        <v>219</v>
      </c>
      <c r="AK599" s="77">
        <v>0</v>
      </c>
      <c r="BA599" s="41" t="s">
        <v>230</v>
      </c>
      <c r="BB599" s="41" t="s">
        <v>18</v>
      </c>
      <c r="BC599" s="41" t="s">
        <v>233</v>
      </c>
      <c r="BD599" s="41" t="s">
        <v>1978</v>
      </c>
    </row>
    <row r="600" spans="1:56" ht="18" customHeight="1" outlineLevel="1">
      <c r="A600" s="19">
        <v>728</v>
      </c>
      <c r="B600" s="19">
        <v>521003697</v>
      </c>
      <c r="C600" s="19">
        <v>521003697</v>
      </c>
      <c r="D600" s="50" t="s">
        <v>13</v>
      </c>
      <c r="E600" s="19" t="s">
        <v>2025</v>
      </c>
      <c r="F600" s="19" t="s">
        <v>2062</v>
      </c>
      <c r="G600" s="19" t="s">
        <v>2063</v>
      </c>
      <c r="H600" s="69" t="s">
        <v>2064</v>
      </c>
      <c r="I600" s="70" t="s">
        <v>2000</v>
      </c>
      <c r="J600" s="70" t="s">
        <v>289</v>
      </c>
      <c r="K600" s="71">
        <v>1</v>
      </c>
      <c r="L600" s="72">
        <v>521003697</v>
      </c>
      <c r="M600" s="72" t="s">
        <v>2065</v>
      </c>
      <c r="N600" s="73">
        <v>429.5</v>
      </c>
      <c r="O600" s="74" t="s">
        <v>279</v>
      </c>
      <c r="P600" s="73">
        <v>699.95</v>
      </c>
      <c r="Q600" s="80" t="s">
        <v>279</v>
      </c>
      <c r="W600" s="76" t="s">
        <v>2066</v>
      </c>
      <c r="X600" s="77">
        <v>429.5</v>
      </c>
      <c r="Y600" s="78">
        <v>0</v>
      </c>
      <c r="AA600" s="79">
        <v>429.5</v>
      </c>
      <c r="AB600" s="79">
        <v>429.5</v>
      </c>
      <c r="AC600" s="78">
        <v>0</v>
      </c>
      <c r="AE600" s="63" t="s">
        <v>219</v>
      </c>
      <c r="AF600" s="63">
        <v>1</v>
      </c>
      <c r="AG600" s="63">
        <v>1</v>
      </c>
      <c r="AK600" s="77">
        <v>0</v>
      </c>
      <c r="BA600" s="41" t="s">
        <v>230</v>
      </c>
      <c r="BB600" s="41" t="s">
        <v>18</v>
      </c>
      <c r="BC600" s="41" t="s">
        <v>233</v>
      </c>
      <c r="BD600" s="41" t="s">
        <v>1978</v>
      </c>
    </row>
    <row r="601" spans="1:56" ht="18" customHeight="1" outlineLevel="1">
      <c r="A601" s="19">
        <v>729</v>
      </c>
      <c r="B601" s="19">
        <v>521003711</v>
      </c>
      <c r="C601" s="19">
        <v>521003711</v>
      </c>
      <c r="D601" s="50" t="s">
        <v>13</v>
      </c>
      <c r="E601" s="19" t="s">
        <v>2025</v>
      </c>
      <c r="F601" s="19" t="s">
        <v>2062</v>
      </c>
      <c r="G601" s="19" t="s">
        <v>2063</v>
      </c>
      <c r="H601" s="69" t="s">
        <v>2067</v>
      </c>
      <c r="I601" s="70" t="s">
        <v>2016</v>
      </c>
      <c r="J601" s="70" t="s">
        <v>2017</v>
      </c>
      <c r="K601" s="71">
        <v>1</v>
      </c>
      <c r="L601" s="72">
        <v>521003711</v>
      </c>
      <c r="M601" s="72" t="s">
        <v>2068</v>
      </c>
      <c r="N601" s="73">
        <v>429.5</v>
      </c>
      <c r="O601" s="74" t="s">
        <v>279</v>
      </c>
      <c r="P601" s="73">
        <v>699.95</v>
      </c>
      <c r="Q601" s="80" t="s">
        <v>279</v>
      </c>
      <c r="W601" s="76" t="s">
        <v>2069</v>
      </c>
      <c r="X601" s="77">
        <v>429.5</v>
      </c>
      <c r="Y601" s="78">
        <v>0</v>
      </c>
      <c r="AA601" s="79">
        <v>429.5</v>
      </c>
      <c r="AB601" s="79">
        <v>429.5</v>
      </c>
      <c r="AC601" s="78">
        <v>0</v>
      </c>
      <c r="AE601" s="63" t="s">
        <v>219</v>
      </c>
      <c r="AF601" s="63">
        <v>1</v>
      </c>
      <c r="AG601" s="63">
        <v>1</v>
      </c>
      <c r="AK601" s="77">
        <v>0</v>
      </c>
      <c r="BA601" s="41" t="s">
        <v>230</v>
      </c>
      <c r="BB601" s="41" t="s">
        <v>18</v>
      </c>
      <c r="BC601" s="41" t="s">
        <v>233</v>
      </c>
      <c r="BD601" s="41" t="s">
        <v>1978</v>
      </c>
    </row>
    <row r="602" spans="1:56" ht="27" customHeight="1" outlineLevel="1">
      <c r="A602" s="19">
        <v>730</v>
      </c>
      <c r="B602" s="19" t="s">
        <v>219</v>
      </c>
      <c r="C602" s="19" t="s">
        <v>219</v>
      </c>
      <c r="D602" s="50" t="s">
        <v>219</v>
      </c>
      <c r="E602" s="19" t="s">
        <v>219</v>
      </c>
      <c r="F602" s="19" t="s">
        <v>219</v>
      </c>
      <c r="G602" s="19" t="s">
        <v>219</v>
      </c>
      <c r="H602" s="81" t="s">
        <v>219</v>
      </c>
      <c r="I602" s="70" t="s">
        <v>219</v>
      </c>
      <c r="J602" s="70" t="s">
        <v>219</v>
      </c>
      <c r="K602" s="71" t="s">
        <v>219</v>
      </c>
      <c r="L602" s="72" t="s">
        <v>219</v>
      </c>
      <c r="M602" s="72" t="s">
        <v>219</v>
      </c>
      <c r="N602" s="73" t="s">
        <v>219</v>
      </c>
      <c r="O602" s="74" t="s">
        <v>219</v>
      </c>
      <c r="P602" s="73" t="s">
        <v>219</v>
      </c>
      <c r="Q602" s="80" t="s">
        <v>219</v>
      </c>
      <c r="W602" s="76" t="s">
        <v>219</v>
      </c>
      <c r="X602" s="77" t="s">
        <v>219</v>
      </c>
      <c r="Y602" s="78">
        <v>0</v>
      </c>
      <c r="AA602" s="79" t="s">
        <v>219</v>
      </c>
      <c r="AB602" s="79" t="s">
        <v>219</v>
      </c>
      <c r="AC602" s="78">
        <v>0</v>
      </c>
      <c r="AE602" s="63" t="s">
        <v>230</v>
      </c>
      <c r="AF602" s="63">
        <v>0</v>
      </c>
      <c r="AG602" s="63" t="s">
        <v>219</v>
      </c>
      <c r="AK602" s="77">
        <v>0</v>
      </c>
      <c r="BA602" s="41" t="s">
        <v>230</v>
      </c>
      <c r="BB602" s="41" t="s">
        <v>18</v>
      </c>
      <c r="BC602" s="41" t="s">
        <v>233</v>
      </c>
      <c r="BD602" s="41" t="s">
        <v>1978</v>
      </c>
    </row>
    <row r="603" spans="1:56" ht="18" customHeight="1" outlineLevel="1">
      <c r="A603" s="19">
        <v>731</v>
      </c>
      <c r="B603" s="19">
        <v>521003725</v>
      </c>
      <c r="C603" s="19">
        <v>521003725</v>
      </c>
      <c r="D603" s="50" t="s">
        <v>13</v>
      </c>
      <c r="E603" s="19" t="s">
        <v>2025</v>
      </c>
      <c r="F603" s="19" t="s">
        <v>2070</v>
      </c>
      <c r="G603" s="19" t="s">
        <v>2071</v>
      </c>
      <c r="H603" s="69" t="s">
        <v>2072</v>
      </c>
      <c r="I603" s="70" t="s">
        <v>2008</v>
      </c>
      <c r="J603" s="70" t="s">
        <v>334</v>
      </c>
      <c r="K603" s="71">
        <v>1</v>
      </c>
      <c r="L603" s="72">
        <v>521003725</v>
      </c>
      <c r="M603" s="72" t="s">
        <v>2073</v>
      </c>
      <c r="N603" s="73">
        <v>429.5</v>
      </c>
      <c r="O603" s="74" t="s">
        <v>279</v>
      </c>
      <c r="P603" s="73">
        <v>699.95</v>
      </c>
      <c r="Q603" s="80" t="s">
        <v>279</v>
      </c>
      <c r="W603" s="76" t="s">
        <v>2074</v>
      </c>
      <c r="X603" s="77">
        <v>429.5</v>
      </c>
      <c r="Y603" s="78">
        <v>0</v>
      </c>
      <c r="AA603" s="79">
        <v>429.5</v>
      </c>
      <c r="AB603" s="79">
        <v>429.5</v>
      </c>
      <c r="AC603" s="78">
        <v>0</v>
      </c>
      <c r="AE603" s="63" t="s">
        <v>219</v>
      </c>
      <c r="AF603" s="63">
        <v>0</v>
      </c>
      <c r="AG603" s="63">
        <v>0</v>
      </c>
      <c r="AK603" s="77">
        <v>0</v>
      </c>
      <c r="BA603" s="41" t="s">
        <v>230</v>
      </c>
      <c r="BB603" s="41" t="s">
        <v>18</v>
      </c>
      <c r="BC603" s="41" t="s">
        <v>233</v>
      </c>
      <c r="BD603" s="41" t="s">
        <v>1978</v>
      </c>
    </row>
    <row r="604" spans="1:56" ht="27" customHeight="1" outlineLevel="1">
      <c r="A604" s="19">
        <v>732</v>
      </c>
      <c r="B604" s="19" t="s">
        <v>219</v>
      </c>
      <c r="C604" s="19" t="s">
        <v>219</v>
      </c>
      <c r="D604" s="50" t="s">
        <v>219</v>
      </c>
      <c r="E604" s="19" t="s">
        <v>219</v>
      </c>
      <c r="F604" s="19" t="s">
        <v>219</v>
      </c>
      <c r="G604" s="19" t="s">
        <v>219</v>
      </c>
      <c r="H604" s="81" t="s">
        <v>219</v>
      </c>
      <c r="I604" s="70" t="s">
        <v>219</v>
      </c>
      <c r="J604" s="70" t="s">
        <v>219</v>
      </c>
      <c r="K604" s="71" t="s">
        <v>219</v>
      </c>
      <c r="L604" s="72" t="s">
        <v>219</v>
      </c>
      <c r="M604" s="72" t="s">
        <v>219</v>
      </c>
      <c r="N604" s="73" t="s">
        <v>219</v>
      </c>
      <c r="O604" s="74" t="s">
        <v>219</v>
      </c>
      <c r="P604" s="73" t="s">
        <v>219</v>
      </c>
      <c r="Q604" s="80" t="s">
        <v>219</v>
      </c>
      <c r="W604" s="76" t="s">
        <v>219</v>
      </c>
      <c r="X604" s="77" t="s">
        <v>219</v>
      </c>
      <c r="Y604" s="78">
        <v>0</v>
      </c>
      <c r="AA604" s="79" t="s">
        <v>219</v>
      </c>
      <c r="AB604" s="79" t="s">
        <v>219</v>
      </c>
      <c r="AC604" s="78">
        <v>0</v>
      </c>
      <c r="AE604" s="63" t="s">
        <v>230</v>
      </c>
      <c r="AF604" s="63">
        <v>0</v>
      </c>
      <c r="AG604" s="63" t="s">
        <v>219</v>
      </c>
      <c r="AK604" s="77">
        <v>0</v>
      </c>
      <c r="BA604" s="41" t="s">
        <v>230</v>
      </c>
      <c r="BB604" s="41" t="s">
        <v>18</v>
      </c>
      <c r="BC604" s="41" t="s">
        <v>233</v>
      </c>
      <c r="BD604" s="41" t="s">
        <v>1978</v>
      </c>
    </row>
    <row r="605" spans="1:56" ht="27" customHeight="1" outlineLevel="1">
      <c r="A605" s="19">
        <v>733</v>
      </c>
      <c r="B605" s="19" t="s">
        <v>219</v>
      </c>
      <c r="C605" s="19" t="s">
        <v>219</v>
      </c>
      <c r="D605" s="50" t="s">
        <v>2075</v>
      </c>
      <c r="E605" s="19" t="s">
        <v>219</v>
      </c>
      <c r="F605" s="19" t="s">
        <v>219</v>
      </c>
      <c r="G605" s="19" t="s">
        <v>219</v>
      </c>
      <c r="H605" s="81" t="s">
        <v>2076</v>
      </c>
      <c r="I605" s="70" t="s">
        <v>219</v>
      </c>
      <c r="J605" s="70" t="s">
        <v>219</v>
      </c>
      <c r="K605" s="71" t="s">
        <v>219</v>
      </c>
      <c r="L605" s="72" t="s">
        <v>219</v>
      </c>
      <c r="M605" s="72" t="s">
        <v>219</v>
      </c>
      <c r="N605" s="73" t="s">
        <v>219</v>
      </c>
      <c r="O605" s="74" t="s">
        <v>219</v>
      </c>
      <c r="P605" s="73" t="s">
        <v>219</v>
      </c>
      <c r="Q605" s="80" t="s">
        <v>219</v>
      </c>
      <c r="W605" s="76" t="s">
        <v>219</v>
      </c>
      <c r="X605" s="77" t="s">
        <v>219</v>
      </c>
      <c r="Y605" s="78">
        <v>0</v>
      </c>
      <c r="AA605" s="79" t="s">
        <v>219</v>
      </c>
      <c r="AB605" s="79" t="s">
        <v>219</v>
      </c>
      <c r="AC605" s="78">
        <v>0</v>
      </c>
      <c r="AE605" s="63" t="s">
        <v>230</v>
      </c>
      <c r="AF605" s="63">
        <v>1</v>
      </c>
      <c r="AG605" s="63" t="s">
        <v>219</v>
      </c>
      <c r="AK605" s="77">
        <v>0</v>
      </c>
      <c r="BA605" s="41" t="s">
        <v>230</v>
      </c>
      <c r="BB605" s="41" t="s">
        <v>18</v>
      </c>
      <c r="BC605" s="41" t="s">
        <v>233</v>
      </c>
      <c r="BD605" s="41" t="s">
        <v>2077</v>
      </c>
    </row>
    <row r="606" spans="1:56" ht="18" customHeight="1" outlineLevel="1">
      <c r="A606" s="19">
        <v>734</v>
      </c>
      <c r="B606" s="19">
        <v>522000453</v>
      </c>
      <c r="C606" s="19">
        <v>522000453</v>
      </c>
      <c r="D606" s="50" t="s">
        <v>2075</v>
      </c>
      <c r="E606" s="19" t="s">
        <v>1996</v>
      </c>
      <c r="F606" s="19" t="s">
        <v>2078</v>
      </c>
      <c r="G606" s="19" t="s">
        <v>1998</v>
      </c>
      <c r="H606" s="69" t="s">
        <v>2079</v>
      </c>
      <c r="I606" s="70" t="s">
        <v>2080</v>
      </c>
      <c r="J606" s="70" t="s">
        <v>334</v>
      </c>
      <c r="K606" s="71">
        <v>1</v>
      </c>
      <c r="L606" s="72">
        <v>522000453</v>
      </c>
      <c r="M606" s="72" t="s">
        <v>2081</v>
      </c>
      <c r="N606" s="73">
        <v>141.1</v>
      </c>
      <c r="O606" s="74" t="s">
        <v>279</v>
      </c>
      <c r="P606" s="73">
        <v>229.95</v>
      </c>
      <c r="Q606" s="80" t="s">
        <v>279</v>
      </c>
      <c r="W606" s="76" t="s">
        <v>2082</v>
      </c>
      <c r="X606" s="77">
        <v>141.1</v>
      </c>
      <c r="Y606" s="78">
        <v>0</v>
      </c>
      <c r="AA606" s="79">
        <v>141.1</v>
      </c>
      <c r="AB606" s="79">
        <v>141.1</v>
      </c>
      <c r="AC606" s="78">
        <v>0</v>
      </c>
      <c r="AE606" s="63" t="s">
        <v>219</v>
      </c>
      <c r="AF606" s="63">
        <v>1</v>
      </c>
      <c r="AG606" s="63">
        <v>1</v>
      </c>
      <c r="AK606" s="77">
        <v>0</v>
      </c>
      <c r="BA606" s="41" t="s">
        <v>230</v>
      </c>
      <c r="BB606" s="41" t="s">
        <v>18</v>
      </c>
      <c r="BC606" s="41" t="s">
        <v>233</v>
      </c>
      <c r="BD606" s="41" t="s">
        <v>2077</v>
      </c>
    </row>
    <row r="607" spans="1:56" ht="27" customHeight="1" outlineLevel="1">
      <c r="A607" s="19">
        <v>735</v>
      </c>
      <c r="B607" s="19" t="s">
        <v>219</v>
      </c>
      <c r="C607" s="19" t="s">
        <v>219</v>
      </c>
      <c r="D607" s="50" t="s">
        <v>219</v>
      </c>
      <c r="E607" s="19" t="s">
        <v>219</v>
      </c>
      <c r="F607" s="19" t="s">
        <v>219</v>
      </c>
      <c r="G607" s="19" t="s">
        <v>219</v>
      </c>
      <c r="H607" s="81" t="s">
        <v>219</v>
      </c>
      <c r="I607" s="70" t="s">
        <v>219</v>
      </c>
      <c r="J607" s="70" t="s">
        <v>219</v>
      </c>
      <c r="K607" s="71" t="s">
        <v>219</v>
      </c>
      <c r="L607" s="72" t="s">
        <v>219</v>
      </c>
      <c r="M607" s="72" t="s">
        <v>219</v>
      </c>
      <c r="N607" s="73" t="s">
        <v>219</v>
      </c>
      <c r="O607" s="74" t="s">
        <v>219</v>
      </c>
      <c r="P607" s="73" t="s">
        <v>219</v>
      </c>
      <c r="Q607" s="80" t="s">
        <v>219</v>
      </c>
      <c r="W607" s="76" t="s">
        <v>219</v>
      </c>
      <c r="X607" s="77" t="s">
        <v>219</v>
      </c>
      <c r="Y607" s="78">
        <v>0</v>
      </c>
      <c r="AA607" s="79" t="s">
        <v>219</v>
      </c>
      <c r="AB607" s="79" t="s">
        <v>219</v>
      </c>
      <c r="AC607" s="78">
        <v>0</v>
      </c>
      <c r="AE607" s="63" t="s">
        <v>230</v>
      </c>
      <c r="AF607" s="63">
        <v>0</v>
      </c>
      <c r="AG607" s="63" t="s">
        <v>219</v>
      </c>
      <c r="AK607" s="77">
        <v>0</v>
      </c>
      <c r="BA607" s="41" t="s">
        <v>230</v>
      </c>
      <c r="BB607" s="41" t="s">
        <v>18</v>
      </c>
      <c r="BC607" s="41" t="s">
        <v>233</v>
      </c>
      <c r="BD607" s="41" t="s">
        <v>2077</v>
      </c>
    </row>
    <row r="608" spans="1:56" ht="18" customHeight="1" outlineLevel="1">
      <c r="A608" s="19">
        <v>736</v>
      </c>
      <c r="B608" s="19">
        <v>522000467</v>
      </c>
      <c r="C608" s="19">
        <v>522000467</v>
      </c>
      <c r="D608" s="50" t="s">
        <v>2075</v>
      </c>
      <c r="E608" s="19" t="s">
        <v>2039</v>
      </c>
      <c r="F608" s="19" t="s">
        <v>2083</v>
      </c>
      <c r="G608" s="19" t="s">
        <v>2041</v>
      </c>
      <c r="H608" s="69" t="s">
        <v>2084</v>
      </c>
      <c r="I608" s="70" t="s">
        <v>2080</v>
      </c>
      <c r="J608" s="70" t="s">
        <v>334</v>
      </c>
      <c r="K608" s="71">
        <v>1</v>
      </c>
      <c r="L608" s="72">
        <v>522000467</v>
      </c>
      <c r="M608" s="72" t="s">
        <v>2085</v>
      </c>
      <c r="N608" s="73">
        <v>227</v>
      </c>
      <c r="O608" s="74" t="s">
        <v>279</v>
      </c>
      <c r="P608" s="73">
        <v>369.95</v>
      </c>
      <c r="Q608" s="80" t="s">
        <v>279</v>
      </c>
      <c r="W608" s="76" t="s">
        <v>2086</v>
      </c>
      <c r="X608" s="77">
        <v>227</v>
      </c>
      <c r="Y608" s="78">
        <v>0</v>
      </c>
      <c r="AA608" s="79">
        <v>227</v>
      </c>
      <c r="AB608" s="79">
        <v>227</v>
      </c>
      <c r="AC608" s="78">
        <v>0</v>
      </c>
      <c r="AE608" s="63" t="s">
        <v>219</v>
      </c>
      <c r="AF608" s="63">
        <v>0</v>
      </c>
      <c r="AG608" s="63">
        <v>0</v>
      </c>
      <c r="AK608" s="77">
        <v>0</v>
      </c>
      <c r="BA608" s="41" t="s">
        <v>230</v>
      </c>
      <c r="BB608" s="41" t="s">
        <v>18</v>
      </c>
      <c r="BC608" s="41" t="s">
        <v>233</v>
      </c>
      <c r="BD608" s="41" t="s">
        <v>2077</v>
      </c>
    </row>
    <row r="609" spans="1:56" ht="27" customHeight="1" outlineLevel="1">
      <c r="A609" s="19">
        <v>737</v>
      </c>
      <c r="B609" s="19" t="s">
        <v>219</v>
      </c>
      <c r="C609" s="19" t="s">
        <v>219</v>
      </c>
      <c r="D609" s="50" t="s">
        <v>219</v>
      </c>
      <c r="E609" s="19" t="s">
        <v>219</v>
      </c>
      <c r="F609" s="19" t="s">
        <v>219</v>
      </c>
      <c r="G609" s="19" t="s">
        <v>219</v>
      </c>
      <c r="H609" s="81" t="s">
        <v>219</v>
      </c>
      <c r="I609" s="70" t="s">
        <v>219</v>
      </c>
      <c r="J609" s="70" t="s">
        <v>219</v>
      </c>
      <c r="K609" s="71" t="s">
        <v>219</v>
      </c>
      <c r="L609" s="72" t="s">
        <v>219</v>
      </c>
      <c r="M609" s="72" t="s">
        <v>219</v>
      </c>
      <c r="N609" s="73" t="s">
        <v>219</v>
      </c>
      <c r="O609" s="74" t="s">
        <v>219</v>
      </c>
      <c r="P609" s="73" t="s">
        <v>219</v>
      </c>
      <c r="Q609" s="80" t="s">
        <v>219</v>
      </c>
      <c r="W609" s="76" t="s">
        <v>219</v>
      </c>
      <c r="X609" s="77" t="s">
        <v>219</v>
      </c>
      <c r="Y609" s="78">
        <v>0</v>
      </c>
      <c r="AA609" s="79" t="s">
        <v>219</v>
      </c>
      <c r="AB609" s="79" t="s">
        <v>219</v>
      </c>
      <c r="AC609" s="78">
        <v>0</v>
      </c>
      <c r="AE609" s="63" t="s">
        <v>230</v>
      </c>
      <c r="AF609" s="63">
        <v>0</v>
      </c>
      <c r="AG609" s="63" t="s">
        <v>219</v>
      </c>
      <c r="AK609" s="77">
        <v>0</v>
      </c>
      <c r="BA609" s="41" t="s">
        <v>230</v>
      </c>
      <c r="BB609" s="41" t="s">
        <v>18</v>
      </c>
      <c r="BC609" s="41" t="s">
        <v>233</v>
      </c>
      <c r="BD609" s="41" t="s">
        <v>2077</v>
      </c>
    </row>
    <row r="610" spans="1:56" ht="27" customHeight="1" outlineLevel="1">
      <c r="A610" s="19">
        <v>738</v>
      </c>
      <c r="B610" s="19" t="s">
        <v>219</v>
      </c>
      <c r="C610" s="19" t="s">
        <v>219</v>
      </c>
      <c r="D610" s="50" t="s">
        <v>2087</v>
      </c>
      <c r="E610" s="19" t="s">
        <v>219</v>
      </c>
      <c r="F610" s="19" t="s">
        <v>219</v>
      </c>
      <c r="G610" s="19" t="s">
        <v>219</v>
      </c>
      <c r="H610" s="81" t="s">
        <v>2088</v>
      </c>
      <c r="I610" s="70" t="s">
        <v>219</v>
      </c>
      <c r="J610" s="70" t="s">
        <v>219</v>
      </c>
      <c r="K610" s="71" t="s">
        <v>219</v>
      </c>
      <c r="L610" s="72" t="s">
        <v>219</v>
      </c>
      <c r="M610" s="72" t="s">
        <v>219</v>
      </c>
      <c r="N610" s="73" t="s">
        <v>219</v>
      </c>
      <c r="O610" s="74" t="s">
        <v>219</v>
      </c>
      <c r="P610" s="73" t="s">
        <v>219</v>
      </c>
      <c r="Q610" s="80" t="s">
        <v>219</v>
      </c>
      <c r="W610" s="76" t="s">
        <v>219</v>
      </c>
      <c r="X610" s="77" t="s">
        <v>219</v>
      </c>
      <c r="Y610" s="78">
        <v>0</v>
      </c>
      <c r="AA610" s="79" t="s">
        <v>219</v>
      </c>
      <c r="AB610" s="79" t="s">
        <v>219</v>
      </c>
      <c r="AC610" s="78">
        <v>0</v>
      </c>
      <c r="AE610" s="63" t="s">
        <v>230</v>
      </c>
      <c r="AF610" s="63">
        <v>1</v>
      </c>
      <c r="AG610" s="63" t="s">
        <v>219</v>
      </c>
      <c r="AK610" s="77">
        <v>0</v>
      </c>
      <c r="BA610" s="41" t="s">
        <v>230</v>
      </c>
      <c r="BB610" s="41" t="s">
        <v>18</v>
      </c>
      <c r="BC610" s="41" t="s">
        <v>233</v>
      </c>
      <c r="BD610" s="41" t="s">
        <v>2089</v>
      </c>
    </row>
    <row r="611" spans="1:56" ht="18" customHeight="1" outlineLevel="1">
      <c r="A611" s="19">
        <v>739</v>
      </c>
      <c r="B611" s="19">
        <v>521003449</v>
      </c>
      <c r="C611" s="19">
        <v>521003449</v>
      </c>
      <c r="D611" s="50" t="s">
        <v>2090</v>
      </c>
      <c r="E611" s="19" t="s">
        <v>1979</v>
      </c>
      <c r="F611" s="19" t="s">
        <v>2091</v>
      </c>
      <c r="G611" s="19" t="s">
        <v>2092</v>
      </c>
      <c r="H611" s="69" t="s">
        <v>2093</v>
      </c>
      <c r="I611" s="70" t="s">
        <v>2094</v>
      </c>
      <c r="J611" s="70" t="s">
        <v>289</v>
      </c>
      <c r="K611" s="71">
        <v>1</v>
      </c>
      <c r="L611" s="72">
        <v>521003449</v>
      </c>
      <c r="M611" s="72" t="s">
        <v>2095</v>
      </c>
      <c r="N611" s="73">
        <v>392.70000000000005</v>
      </c>
      <c r="O611" s="74" t="s">
        <v>279</v>
      </c>
      <c r="P611" s="73">
        <v>639.95000000000005</v>
      </c>
      <c r="Q611" s="80" t="s">
        <v>279</v>
      </c>
      <c r="W611" s="76" t="s">
        <v>2096</v>
      </c>
      <c r="X611" s="77">
        <v>392.70000000000005</v>
      </c>
      <c r="Y611" s="78">
        <v>0</v>
      </c>
      <c r="AA611" s="79">
        <v>392.70000000000005</v>
      </c>
      <c r="AB611" s="79">
        <v>392.70000000000005</v>
      </c>
      <c r="AC611" s="78">
        <v>0</v>
      </c>
      <c r="AE611" s="63" t="s">
        <v>219</v>
      </c>
      <c r="AF611" s="63">
        <v>1</v>
      </c>
      <c r="AG611" s="63">
        <v>1</v>
      </c>
      <c r="AK611" s="77">
        <v>0</v>
      </c>
      <c r="BA611" s="41" t="s">
        <v>230</v>
      </c>
      <c r="BB611" s="41" t="s">
        <v>18</v>
      </c>
      <c r="BC611" s="41" t="s">
        <v>233</v>
      </c>
      <c r="BD611" s="41" t="s">
        <v>2089</v>
      </c>
    </row>
    <row r="612" spans="1:56" ht="27" customHeight="1" outlineLevel="1">
      <c r="A612" s="19">
        <v>740</v>
      </c>
      <c r="B612" s="19" t="s">
        <v>219</v>
      </c>
      <c r="C612" s="19" t="s">
        <v>219</v>
      </c>
      <c r="D612" s="50" t="s">
        <v>219</v>
      </c>
      <c r="E612" s="19" t="s">
        <v>219</v>
      </c>
      <c r="F612" s="19" t="s">
        <v>219</v>
      </c>
      <c r="G612" s="19" t="s">
        <v>219</v>
      </c>
      <c r="H612" s="81" t="s">
        <v>219</v>
      </c>
      <c r="I612" s="70" t="s">
        <v>219</v>
      </c>
      <c r="J612" s="70" t="s">
        <v>219</v>
      </c>
      <c r="K612" s="71" t="s">
        <v>219</v>
      </c>
      <c r="L612" s="72" t="s">
        <v>219</v>
      </c>
      <c r="M612" s="72" t="s">
        <v>219</v>
      </c>
      <c r="N612" s="73" t="s">
        <v>219</v>
      </c>
      <c r="O612" s="74" t="s">
        <v>219</v>
      </c>
      <c r="P612" s="73" t="s">
        <v>219</v>
      </c>
      <c r="Q612" s="80" t="s">
        <v>219</v>
      </c>
      <c r="W612" s="76" t="s">
        <v>219</v>
      </c>
      <c r="X612" s="77" t="s">
        <v>219</v>
      </c>
      <c r="Y612" s="78">
        <v>0</v>
      </c>
      <c r="AA612" s="79" t="s">
        <v>219</v>
      </c>
      <c r="AB612" s="79" t="s">
        <v>219</v>
      </c>
      <c r="AC612" s="78">
        <v>0</v>
      </c>
      <c r="AE612" s="63" t="s">
        <v>230</v>
      </c>
      <c r="AF612" s="63">
        <v>0</v>
      </c>
      <c r="AG612" s="63" t="s">
        <v>219</v>
      </c>
      <c r="AK612" s="77">
        <v>0</v>
      </c>
      <c r="BA612" s="41" t="s">
        <v>230</v>
      </c>
      <c r="BB612" s="41" t="s">
        <v>18</v>
      </c>
      <c r="BC612" s="41" t="s">
        <v>233</v>
      </c>
      <c r="BD612" s="41" t="s">
        <v>2089</v>
      </c>
    </row>
    <row r="613" spans="1:56" ht="18" customHeight="1" outlineLevel="1">
      <c r="A613" s="19">
        <v>741</v>
      </c>
      <c r="B613" s="19">
        <v>521003465</v>
      </c>
      <c r="C613" s="19">
        <v>521003465</v>
      </c>
      <c r="D613" s="50" t="s">
        <v>2090</v>
      </c>
      <c r="E613" s="19" t="s">
        <v>2025</v>
      </c>
      <c r="F613" s="19" t="s">
        <v>2097</v>
      </c>
      <c r="G613" s="19" t="s">
        <v>2098</v>
      </c>
      <c r="H613" s="69" t="s">
        <v>2099</v>
      </c>
      <c r="I613" s="70" t="s">
        <v>2094</v>
      </c>
      <c r="J613" s="70" t="s">
        <v>289</v>
      </c>
      <c r="K613" s="71">
        <v>1</v>
      </c>
      <c r="L613" s="72">
        <v>521003465</v>
      </c>
      <c r="M613" s="72" t="s">
        <v>2100</v>
      </c>
      <c r="N613" s="73">
        <v>582.80000000000007</v>
      </c>
      <c r="O613" s="74" t="s">
        <v>279</v>
      </c>
      <c r="P613" s="73">
        <v>949.95</v>
      </c>
      <c r="Q613" s="80" t="s">
        <v>279</v>
      </c>
      <c r="W613" s="76" t="s">
        <v>2101</v>
      </c>
      <c r="X613" s="77">
        <v>582.80000000000007</v>
      </c>
      <c r="Y613" s="78">
        <v>0</v>
      </c>
      <c r="AA613" s="79">
        <v>582.80000000000007</v>
      </c>
      <c r="AB613" s="79">
        <v>582.80000000000007</v>
      </c>
      <c r="AC613" s="78">
        <v>0</v>
      </c>
      <c r="AE613" s="63" t="s">
        <v>219</v>
      </c>
      <c r="AF613" s="63">
        <v>0</v>
      </c>
      <c r="AG613" s="63">
        <v>0</v>
      </c>
      <c r="AK613" s="77">
        <v>0</v>
      </c>
      <c r="BA613" s="41" t="s">
        <v>230</v>
      </c>
      <c r="BB613" s="41" t="s">
        <v>18</v>
      </c>
      <c r="BC613" s="41" t="s">
        <v>233</v>
      </c>
      <c r="BD613" s="41" t="s">
        <v>2089</v>
      </c>
    </row>
    <row r="614" spans="1:56" ht="27" customHeight="1" outlineLevel="1">
      <c r="A614" s="19">
        <v>742</v>
      </c>
      <c r="B614" s="19" t="s">
        <v>219</v>
      </c>
      <c r="C614" s="19" t="s">
        <v>219</v>
      </c>
      <c r="D614" s="50" t="s">
        <v>219</v>
      </c>
      <c r="E614" s="19" t="s">
        <v>219</v>
      </c>
      <c r="F614" s="19" t="s">
        <v>219</v>
      </c>
      <c r="G614" s="19" t="s">
        <v>219</v>
      </c>
      <c r="H614" s="81" t="s">
        <v>219</v>
      </c>
      <c r="I614" s="70" t="s">
        <v>219</v>
      </c>
      <c r="J614" s="70" t="s">
        <v>219</v>
      </c>
      <c r="K614" s="71" t="s">
        <v>219</v>
      </c>
      <c r="L614" s="72" t="s">
        <v>219</v>
      </c>
      <c r="M614" s="72" t="s">
        <v>219</v>
      </c>
      <c r="N614" s="73" t="s">
        <v>219</v>
      </c>
      <c r="O614" s="74" t="s">
        <v>219</v>
      </c>
      <c r="P614" s="73" t="s">
        <v>219</v>
      </c>
      <c r="Q614" s="80" t="s">
        <v>219</v>
      </c>
      <c r="W614" s="76" t="s">
        <v>219</v>
      </c>
      <c r="X614" s="77" t="s">
        <v>219</v>
      </c>
      <c r="Y614" s="78">
        <v>0</v>
      </c>
      <c r="AA614" s="79" t="s">
        <v>219</v>
      </c>
      <c r="AB614" s="79" t="s">
        <v>219</v>
      </c>
      <c r="AC614" s="78">
        <v>0</v>
      </c>
      <c r="AE614" s="63" t="s">
        <v>230</v>
      </c>
      <c r="AF614" s="63">
        <v>0</v>
      </c>
      <c r="AG614" s="63" t="s">
        <v>219</v>
      </c>
      <c r="AK614" s="77">
        <v>0</v>
      </c>
      <c r="BA614" s="41" t="s">
        <v>230</v>
      </c>
      <c r="BB614" s="41" t="s">
        <v>18</v>
      </c>
      <c r="BC614" s="41" t="s">
        <v>233</v>
      </c>
      <c r="BD614" s="41" t="s">
        <v>2089</v>
      </c>
    </row>
    <row r="615" spans="1:56" s="57" customFormat="1" ht="27" customHeight="1" outlineLevel="1">
      <c r="A615" s="49">
        <v>743</v>
      </c>
      <c r="B615" s="19" t="s">
        <v>219</v>
      </c>
      <c r="C615" s="19" t="s">
        <v>219</v>
      </c>
      <c r="D615" s="50" t="s">
        <v>2102</v>
      </c>
      <c r="E615" s="19" t="s">
        <v>219</v>
      </c>
      <c r="F615" s="19" t="s">
        <v>219</v>
      </c>
      <c r="G615" s="19" t="s">
        <v>219</v>
      </c>
      <c r="H615" s="81" t="s">
        <v>2102</v>
      </c>
      <c r="I615" s="64" t="s">
        <v>219</v>
      </c>
      <c r="J615" s="70" t="s">
        <v>219</v>
      </c>
      <c r="K615" s="53" t="s">
        <v>219</v>
      </c>
      <c r="L615" s="20" t="s">
        <v>219</v>
      </c>
      <c r="M615" s="72" t="s">
        <v>219</v>
      </c>
      <c r="N615" s="54" t="s">
        <v>219</v>
      </c>
      <c r="O615" s="56" t="s">
        <v>219</v>
      </c>
      <c r="P615" s="54" t="s">
        <v>219</v>
      </c>
      <c r="Q615" s="56" t="s">
        <v>219</v>
      </c>
      <c r="R615" s="27"/>
      <c r="S615" s="58"/>
      <c r="T615" s="51"/>
      <c r="U615" s="51"/>
      <c r="V615" s="51"/>
      <c r="W615" s="76" t="s">
        <v>219</v>
      </c>
      <c r="X615" s="77" t="s">
        <v>219</v>
      </c>
      <c r="Y615" s="78">
        <v>0</v>
      </c>
      <c r="Z615" s="29"/>
      <c r="AA615" s="79" t="s">
        <v>219</v>
      </c>
      <c r="AB615" s="79" t="s">
        <v>219</v>
      </c>
      <c r="AC615" s="78">
        <v>0</v>
      </c>
      <c r="AD615" s="29"/>
      <c r="AE615" s="63" t="s">
        <v>230</v>
      </c>
      <c r="AF615" s="63">
        <v>1</v>
      </c>
      <c r="AG615" s="63" t="s">
        <v>219</v>
      </c>
      <c r="AH615" s="29"/>
      <c r="AI615" s="27"/>
      <c r="AJ615" s="29"/>
      <c r="AK615" s="77">
        <v>0</v>
      </c>
      <c r="BA615" s="41" t="s">
        <v>230</v>
      </c>
      <c r="BB615" s="41" t="s">
        <v>18</v>
      </c>
      <c r="BC615" s="41" t="s">
        <v>233</v>
      </c>
      <c r="BD615" s="41" t="s">
        <v>2103</v>
      </c>
    </row>
    <row r="616" spans="1:56" s="57" customFormat="1" ht="18" customHeight="1" outlineLevel="1">
      <c r="A616" s="49">
        <v>744</v>
      </c>
      <c r="B616" s="19">
        <v>520004225</v>
      </c>
      <c r="C616" s="19">
        <v>520004226</v>
      </c>
      <c r="D616" s="50" t="s">
        <v>13</v>
      </c>
      <c r="E616" s="19" t="s">
        <v>2104</v>
      </c>
      <c r="F616" s="19" t="s">
        <v>2105</v>
      </c>
      <c r="G616" s="19" t="s">
        <v>2106</v>
      </c>
      <c r="H616" s="69" t="s">
        <v>2107</v>
      </c>
      <c r="I616" s="64" t="s">
        <v>532</v>
      </c>
      <c r="J616" s="70" t="s">
        <v>289</v>
      </c>
      <c r="K616" s="53">
        <v>4</v>
      </c>
      <c r="L616" s="20">
        <v>520004226</v>
      </c>
      <c r="M616" s="72" t="s">
        <v>2108</v>
      </c>
      <c r="N616" s="54">
        <v>27.900000000000002</v>
      </c>
      <c r="O616" s="56" t="s">
        <v>279</v>
      </c>
      <c r="P616" s="54">
        <v>49.95</v>
      </c>
      <c r="Q616" s="56" t="s">
        <v>279</v>
      </c>
      <c r="R616" s="27"/>
      <c r="S616" s="58"/>
      <c r="T616" s="51"/>
      <c r="U616" s="51"/>
      <c r="V616" s="51"/>
      <c r="W616" s="76" t="s">
        <v>2109</v>
      </c>
      <c r="X616" s="77">
        <v>27.900000000000002</v>
      </c>
      <c r="Y616" s="78">
        <v>0</v>
      </c>
      <c r="Z616" s="29"/>
      <c r="AA616" s="79">
        <v>27.900000000000002</v>
      </c>
      <c r="AB616" s="79">
        <v>27.900000000000002</v>
      </c>
      <c r="AC616" s="78">
        <v>0</v>
      </c>
      <c r="AD616" s="29"/>
      <c r="AE616" s="63" t="s">
        <v>219</v>
      </c>
      <c r="AF616" s="63">
        <v>1</v>
      </c>
      <c r="AG616" s="63">
        <v>1</v>
      </c>
      <c r="AH616" s="29"/>
      <c r="AI616" s="27"/>
      <c r="AJ616" s="29"/>
      <c r="AK616" s="77">
        <v>0</v>
      </c>
      <c r="BA616" s="41" t="s">
        <v>230</v>
      </c>
      <c r="BB616" s="41" t="s">
        <v>18</v>
      </c>
      <c r="BC616" s="41" t="s">
        <v>233</v>
      </c>
      <c r="BD616" s="41" t="s">
        <v>2103</v>
      </c>
    </row>
    <row r="617" spans="1:56" ht="18" customHeight="1" outlineLevel="1">
      <c r="A617" s="19">
        <v>745</v>
      </c>
      <c r="B617" s="19">
        <v>520004237</v>
      </c>
      <c r="C617" s="19">
        <v>520004238</v>
      </c>
      <c r="D617" s="50" t="s">
        <v>13</v>
      </c>
      <c r="E617" s="19" t="s">
        <v>2104</v>
      </c>
      <c r="F617" s="19" t="s">
        <v>2110</v>
      </c>
      <c r="G617" s="19" t="s">
        <v>2111</v>
      </c>
      <c r="H617" s="69" t="s">
        <v>2112</v>
      </c>
      <c r="I617" s="70" t="s">
        <v>532</v>
      </c>
      <c r="J617" s="70" t="s">
        <v>289</v>
      </c>
      <c r="K617" s="71">
        <v>4</v>
      </c>
      <c r="L617" s="72">
        <v>520004238</v>
      </c>
      <c r="M617" s="72" t="s">
        <v>2113</v>
      </c>
      <c r="N617" s="73">
        <v>27.900000000000002</v>
      </c>
      <c r="O617" s="74" t="s">
        <v>279</v>
      </c>
      <c r="P617" s="73">
        <v>49.95</v>
      </c>
      <c r="Q617" s="80" t="s">
        <v>279</v>
      </c>
      <c r="W617" s="76" t="s">
        <v>2114</v>
      </c>
      <c r="X617" s="77">
        <v>27.900000000000002</v>
      </c>
      <c r="Y617" s="78">
        <v>0</v>
      </c>
      <c r="AA617" s="79">
        <v>27.900000000000002</v>
      </c>
      <c r="AB617" s="79">
        <v>27.900000000000002</v>
      </c>
      <c r="AC617" s="78">
        <v>0</v>
      </c>
      <c r="AE617" s="63" t="s">
        <v>219</v>
      </c>
      <c r="AF617" s="63">
        <v>1</v>
      </c>
      <c r="AG617" s="63">
        <v>1</v>
      </c>
      <c r="AK617" s="77">
        <v>0</v>
      </c>
      <c r="BA617" s="41" t="s">
        <v>230</v>
      </c>
      <c r="BB617" s="41" t="s">
        <v>18</v>
      </c>
      <c r="BC617" s="41" t="s">
        <v>233</v>
      </c>
      <c r="BD617" s="41" t="s">
        <v>2103</v>
      </c>
    </row>
    <row r="618" spans="1:56" ht="18" customHeight="1" outlineLevel="1">
      <c r="A618" s="19">
        <v>746</v>
      </c>
      <c r="B618" s="19">
        <v>520004233</v>
      </c>
      <c r="C618" s="19">
        <v>520004234</v>
      </c>
      <c r="D618" s="50" t="s">
        <v>13</v>
      </c>
      <c r="E618" s="19" t="s">
        <v>2104</v>
      </c>
      <c r="F618" s="19" t="s">
        <v>2115</v>
      </c>
      <c r="G618" s="19" t="s">
        <v>2116</v>
      </c>
      <c r="H618" s="69" t="s">
        <v>2117</v>
      </c>
      <c r="I618" s="70" t="s">
        <v>651</v>
      </c>
      <c r="J618" s="70" t="s">
        <v>652</v>
      </c>
      <c r="K618" s="71">
        <v>4</v>
      </c>
      <c r="L618" s="72">
        <v>520004234</v>
      </c>
      <c r="M618" s="72" t="s">
        <v>2118</v>
      </c>
      <c r="N618" s="73">
        <v>27.900000000000002</v>
      </c>
      <c r="O618" s="74" t="s">
        <v>279</v>
      </c>
      <c r="P618" s="73">
        <v>49.95</v>
      </c>
      <c r="Q618" s="80" t="s">
        <v>279</v>
      </c>
      <c r="W618" s="76" t="s">
        <v>2119</v>
      </c>
      <c r="X618" s="77">
        <v>27.900000000000002</v>
      </c>
      <c r="Y618" s="78">
        <v>0</v>
      </c>
      <c r="AA618" s="79">
        <v>27.900000000000002</v>
      </c>
      <c r="AB618" s="79">
        <v>27.900000000000002</v>
      </c>
      <c r="AC618" s="78">
        <v>0</v>
      </c>
      <c r="AE618" s="63" t="s">
        <v>219</v>
      </c>
      <c r="AF618" s="63">
        <v>1</v>
      </c>
      <c r="AG618" s="63">
        <v>1</v>
      </c>
      <c r="AK618" s="77">
        <v>0</v>
      </c>
      <c r="BA618" s="41" t="s">
        <v>230</v>
      </c>
      <c r="BB618" s="41" t="s">
        <v>18</v>
      </c>
      <c r="BC618" s="41" t="s">
        <v>233</v>
      </c>
      <c r="BD618" s="41" t="s">
        <v>2103</v>
      </c>
    </row>
    <row r="619" spans="1:56" ht="18" customHeight="1" outlineLevel="1">
      <c r="A619" s="19">
        <v>747</v>
      </c>
      <c r="B619" s="19">
        <v>521000767</v>
      </c>
      <c r="C619" s="19">
        <v>521000768</v>
      </c>
      <c r="D619" s="50" t="s">
        <v>13</v>
      </c>
      <c r="E619" s="19" t="s">
        <v>2104</v>
      </c>
      <c r="F619" s="19" t="s">
        <v>2120</v>
      </c>
      <c r="G619" s="19" t="s">
        <v>2121</v>
      </c>
      <c r="H619" s="69" t="s">
        <v>2122</v>
      </c>
      <c r="I619" s="70" t="s">
        <v>532</v>
      </c>
      <c r="J619" s="70" t="s">
        <v>289</v>
      </c>
      <c r="K619" s="71">
        <v>4</v>
      </c>
      <c r="L619" s="72">
        <v>521000768</v>
      </c>
      <c r="M619" s="72" t="s">
        <v>2123</v>
      </c>
      <c r="N619" s="73">
        <v>19.5</v>
      </c>
      <c r="O619" s="74" t="s">
        <v>279</v>
      </c>
      <c r="P619" s="73">
        <v>34.950000000000003</v>
      </c>
      <c r="Q619" s="80" t="s">
        <v>279</v>
      </c>
      <c r="W619" s="76" t="s">
        <v>2124</v>
      </c>
      <c r="X619" s="77">
        <v>19.5</v>
      </c>
      <c r="Y619" s="78">
        <v>0</v>
      </c>
      <c r="AA619" s="79">
        <v>19.5</v>
      </c>
      <c r="AB619" s="79">
        <v>19.5</v>
      </c>
      <c r="AC619" s="78">
        <v>0</v>
      </c>
      <c r="AE619" s="63" t="s">
        <v>219</v>
      </c>
      <c r="AF619" s="63">
        <v>1</v>
      </c>
      <c r="AG619" s="63">
        <v>1</v>
      </c>
      <c r="AK619" s="77">
        <v>0</v>
      </c>
      <c r="BA619" s="41" t="s">
        <v>230</v>
      </c>
      <c r="BB619" s="41" t="s">
        <v>18</v>
      </c>
      <c r="BC619" s="41" t="s">
        <v>233</v>
      </c>
      <c r="BD619" s="41" t="s">
        <v>2103</v>
      </c>
    </row>
    <row r="620" spans="1:56" ht="18" customHeight="1" outlineLevel="1">
      <c r="A620" s="19">
        <v>748</v>
      </c>
      <c r="B620" s="19">
        <v>521000739</v>
      </c>
      <c r="C620" s="19">
        <v>521000739</v>
      </c>
      <c r="D620" s="50" t="s">
        <v>13</v>
      </c>
      <c r="E620" s="19" t="s">
        <v>2104</v>
      </c>
      <c r="F620" s="19" t="s">
        <v>2125</v>
      </c>
      <c r="G620" s="19" t="s">
        <v>2126</v>
      </c>
      <c r="H620" s="69" t="s">
        <v>2127</v>
      </c>
      <c r="I620" s="70" t="s">
        <v>532</v>
      </c>
      <c r="J620" s="70" t="s">
        <v>289</v>
      </c>
      <c r="K620" s="71">
        <v>1</v>
      </c>
      <c r="L620" s="72">
        <v>521000739</v>
      </c>
      <c r="M620" s="72" t="s">
        <v>2128</v>
      </c>
      <c r="N620" s="73">
        <v>83.6</v>
      </c>
      <c r="O620" s="74" t="s">
        <v>279</v>
      </c>
      <c r="P620" s="73">
        <v>149.94999999999999</v>
      </c>
      <c r="Q620" s="80" t="s">
        <v>279</v>
      </c>
      <c r="W620" s="76" t="s">
        <v>2129</v>
      </c>
      <c r="X620" s="77">
        <v>83.6</v>
      </c>
      <c r="Y620" s="78">
        <v>0</v>
      </c>
      <c r="AA620" s="79">
        <v>83.6</v>
      </c>
      <c r="AB620" s="79">
        <v>83.6</v>
      </c>
      <c r="AC620" s="78">
        <v>0</v>
      </c>
      <c r="AE620" s="63" t="s">
        <v>219</v>
      </c>
      <c r="AF620" s="63">
        <v>1</v>
      </c>
      <c r="AG620" s="63">
        <v>1</v>
      </c>
      <c r="AK620" s="77">
        <v>0</v>
      </c>
      <c r="BA620" s="41" t="s">
        <v>230</v>
      </c>
      <c r="BB620" s="41" t="s">
        <v>18</v>
      </c>
      <c r="BC620" s="41" t="s">
        <v>233</v>
      </c>
      <c r="BD620" s="41" t="s">
        <v>2103</v>
      </c>
    </row>
    <row r="621" spans="1:56" ht="18" customHeight="1" outlineLevel="1">
      <c r="A621" s="19">
        <v>749</v>
      </c>
      <c r="B621" s="19">
        <v>521000753</v>
      </c>
      <c r="C621" s="19">
        <v>521000753</v>
      </c>
      <c r="D621" s="50" t="s">
        <v>13</v>
      </c>
      <c r="E621" s="19" t="s">
        <v>2104</v>
      </c>
      <c r="F621" s="19" t="s">
        <v>2130</v>
      </c>
      <c r="G621" s="19" t="s">
        <v>2131</v>
      </c>
      <c r="H621" s="69" t="s">
        <v>2132</v>
      </c>
      <c r="I621" s="70" t="s">
        <v>532</v>
      </c>
      <c r="J621" s="70" t="s">
        <v>289</v>
      </c>
      <c r="K621" s="71">
        <v>1</v>
      </c>
      <c r="L621" s="72">
        <v>521000753</v>
      </c>
      <c r="M621" s="72" t="s">
        <v>2133</v>
      </c>
      <c r="N621" s="73">
        <v>111.39999999999999</v>
      </c>
      <c r="O621" s="74" t="s">
        <v>279</v>
      </c>
      <c r="P621" s="73">
        <v>199.95</v>
      </c>
      <c r="Q621" s="80" t="s">
        <v>279</v>
      </c>
      <c r="W621" s="76" t="s">
        <v>2134</v>
      </c>
      <c r="X621" s="77">
        <v>111.39999999999999</v>
      </c>
      <c r="Y621" s="78">
        <v>0</v>
      </c>
      <c r="AA621" s="79">
        <v>111.39999999999999</v>
      </c>
      <c r="AB621" s="79">
        <v>111.39999999999999</v>
      </c>
      <c r="AC621" s="78">
        <v>0</v>
      </c>
      <c r="AE621" s="63" t="s">
        <v>219</v>
      </c>
      <c r="AF621" s="63">
        <v>1</v>
      </c>
      <c r="AG621" s="63">
        <v>1</v>
      </c>
      <c r="AK621" s="77">
        <v>0</v>
      </c>
      <c r="BA621" s="41" t="s">
        <v>230</v>
      </c>
      <c r="BB621" s="41" t="s">
        <v>18</v>
      </c>
      <c r="BC621" s="41" t="s">
        <v>233</v>
      </c>
      <c r="BD621" s="41" t="s">
        <v>2103</v>
      </c>
    </row>
    <row r="622" spans="1:56" ht="18" customHeight="1" outlineLevel="1">
      <c r="A622" s="19">
        <v>750</v>
      </c>
      <c r="B622" s="19">
        <v>521003689</v>
      </c>
      <c r="C622" s="19">
        <v>521003690</v>
      </c>
      <c r="D622" s="50" t="s">
        <v>13</v>
      </c>
      <c r="E622" s="19" t="s">
        <v>2104</v>
      </c>
      <c r="F622" s="19" t="s">
        <v>2135</v>
      </c>
      <c r="G622" s="19" t="s">
        <v>2136</v>
      </c>
      <c r="H622" s="69" t="s">
        <v>2137</v>
      </c>
      <c r="I622" s="70" t="s">
        <v>651</v>
      </c>
      <c r="J622" s="70" t="s">
        <v>652</v>
      </c>
      <c r="K622" s="71">
        <v>4</v>
      </c>
      <c r="L622" s="72">
        <v>521003690</v>
      </c>
      <c r="M622" s="72" t="s">
        <v>2138</v>
      </c>
      <c r="N622" s="73">
        <v>27.900000000000002</v>
      </c>
      <c r="O622" s="74" t="s">
        <v>279</v>
      </c>
      <c r="P622" s="73">
        <v>49.95</v>
      </c>
      <c r="Q622" s="80" t="s">
        <v>279</v>
      </c>
      <c r="W622" s="76" t="s">
        <v>2139</v>
      </c>
      <c r="X622" s="77">
        <v>27.900000000000002</v>
      </c>
      <c r="Y622" s="78">
        <v>0</v>
      </c>
      <c r="AA622" s="79">
        <v>27.900000000000002</v>
      </c>
      <c r="AB622" s="79">
        <v>27.900000000000002</v>
      </c>
      <c r="AC622" s="78">
        <v>0</v>
      </c>
      <c r="AE622" s="63" t="s">
        <v>219</v>
      </c>
      <c r="AF622" s="63">
        <v>1</v>
      </c>
      <c r="AG622" s="63">
        <v>1</v>
      </c>
      <c r="AK622" s="77">
        <v>0</v>
      </c>
      <c r="BA622" s="41" t="s">
        <v>230</v>
      </c>
      <c r="BB622" s="41" t="s">
        <v>18</v>
      </c>
      <c r="BC622" s="41" t="s">
        <v>233</v>
      </c>
      <c r="BD622" s="41" t="s">
        <v>2103</v>
      </c>
    </row>
    <row r="623" spans="1:56" s="57" customFormat="1" ht="18" customHeight="1" outlineLevel="1">
      <c r="A623" s="49">
        <v>751</v>
      </c>
      <c r="B623" s="19">
        <v>520004449</v>
      </c>
      <c r="C623" s="19">
        <v>520004450</v>
      </c>
      <c r="D623" s="50" t="s">
        <v>529</v>
      </c>
      <c r="E623" s="19" t="s">
        <v>476</v>
      </c>
      <c r="F623" s="19" t="s">
        <v>634</v>
      </c>
      <c r="G623" s="19" t="s">
        <v>635</v>
      </c>
      <c r="H623" s="69" t="s">
        <v>636</v>
      </c>
      <c r="I623" s="64" t="s">
        <v>532</v>
      </c>
      <c r="J623" s="70" t="s">
        <v>289</v>
      </c>
      <c r="K623" s="53">
        <v>4</v>
      </c>
      <c r="L623" s="20">
        <v>520004450</v>
      </c>
      <c r="M623" s="72" t="s">
        <v>637</v>
      </c>
      <c r="N623" s="54">
        <v>19.5</v>
      </c>
      <c r="O623" s="56" t="s">
        <v>279</v>
      </c>
      <c r="P623" s="54">
        <v>34.950000000000003</v>
      </c>
      <c r="Q623" s="56" t="s">
        <v>279</v>
      </c>
      <c r="R623" s="27"/>
      <c r="S623" s="58"/>
      <c r="T623" s="51"/>
      <c r="U623" s="51"/>
      <c r="V623" s="51"/>
      <c r="W623" s="76" t="s">
        <v>638</v>
      </c>
      <c r="X623" s="77">
        <v>19.5</v>
      </c>
      <c r="Y623" s="78">
        <v>0</v>
      </c>
      <c r="Z623" s="29"/>
      <c r="AA623" s="79">
        <v>19.5</v>
      </c>
      <c r="AB623" s="79">
        <v>19.5</v>
      </c>
      <c r="AC623" s="78">
        <v>0</v>
      </c>
      <c r="AD623" s="29"/>
      <c r="AE623" s="63" t="s">
        <v>219</v>
      </c>
      <c r="AF623" s="63">
        <v>1</v>
      </c>
      <c r="AG623" s="63">
        <v>1</v>
      </c>
      <c r="AH623" s="29"/>
      <c r="AI623" s="27"/>
      <c r="AJ623" s="29"/>
      <c r="AK623" s="77">
        <v>0</v>
      </c>
      <c r="BA623" s="41" t="s">
        <v>230</v>
      </c>
      <c r="BB623" s="41" t="s">
        <v>18</v>
      </c>
      <c r="BC623" s="41" t="s">
        <v>233</v>
      </c>
      <c r="BD623" s="41" t="s">
        <v>2103</v>
      </c>
    </row>
    <row r="624" spans="1:56" ht="18" customHeight="1" outlineLevel="1">
      <c r="A624" s="19">
        <v>752</v>
      </c>
      <c r="B624" s="19">
        <v>521000725</v>
      </c>
      <c r="C624" s="19">
        <v>521000725</v>
      </c>
      <c r="D624" s="50" t="s">
        <v>13</v>
      </c>
      <c r="E624" s="19" t="s">
        <v>2104</v>
      </c>
      <c r="F624" s="19" t="s">
        <v>2140</v>
      </c>
      <c r="G624" s="19" t="s">
        <v>2141</v>
      </c>
      <c r="H624" s="69" t="s">
        <v>2142</v>
      </c>
      <c r="I624" s="70" t="s">
        <v>532</v>
      </c>
      <c r="J624" s="70" t="s">
        <v>289</v>
      </c>
      <c r="K624" s="71">
        <v>1</v>
      </c>
      <c r="L624" s="72">
        <v>521000725</v>
      </c>
      <c r="M624" s="72" t="s">
        <v>2143</v>
      </c>
      <c r="N624" s="73">
        <v>178.29999999999998</v>
      </c>
      <c r="O624" s="74" t="s">
        <v>279</v>
      </c>
      <c r="P624" s="73">
        <v>319.95</v>
      </c>
      <c r="Q624" s="80" t="s">
        <v>279</v>
      </c>
      <c r="W624" s="76" t="s">
        <v>2144</v>
      </c>
      <c r="X624" s="77">
        <v>178.29999999999998</v>
      </c>
      <c r="Y624" s="78">
        <v>0</v>
      </c>
      <c r="AA624" s="79">
        <v>178.29999999999998</v>
      </c>
      <c r="AB624" s="79">
        <v>178.29999999999998</v>
      </c>
      <c r="AC624" s="78">
        <v>0</v>
      </c>
      <c r="AE624" s="63" t="s">
        <v>219</v>
      </c>
      <c r="AF624" s="63">
        <v>1</v>
      </c>
      <c r="AG624" s="63">
        <v>1</v>
      </c>
      <c r="AK624" s="77">
        <v>0</v>
      </c>
      <c r="BA624" s="41" t="s">
        <v>230</v>
      </c>
      <c r="BB624" s="41" t="s">
        <v>18</v>
      </c>
      <c r="BC624" s="41" t="s">
        <v>233</v>
      </c>
      <c r="BD624" s="41" t="s">
        <v>2103</v>
      </c>
    </row>
    <row r="625" spans="1:56" ht="18" customHeight="1" outlineLevel="1">
      <c r="A625" s="19">
        <v>753</v>
      </c>
      <c r="B625" s="19">
        <v>521002011</v>
      </c>
      <c r="C625" s="19">
        <v>521002011</v>
      </c>
      <c r="D625" s="50" t="s">
        <v>13</v>
      </c>
      <c r="E625" s="19" t="s">
        <v>2104</v>
      </c>
      <c r="F625" s="19" t="s">
        <v>2145</v>
      </c>
      <c r="G625" s="19" t="s">
        <v>2146</v>
      </c>
      <c r="H625" s="69" t="s">
        <v>2147</v>
      </c>
      <c r="I625" s="70" t="s">
        <v>532</v>
      </c>
      <c r="J625" s="70" t="s">
        <v>289</v>
      </c>
      <c r="K625" s="71">
        <v>1</v>
      </c>
      <c r="L625" s="72">
        <v>521002011</v>
      </c>
      <c r="M625" s="72" t="s">
        <v>2148</v>
      </c>
      <c r="N625" s="73">
        <v>48.4</v>
      </c>
      <c r="O625" s="74" t="s">
        <v>279</v>
      </c>
      <c r="P625" s="73">
        <v>79.95</v>
      </c>
      <c r="Q625" s="80" t="s">
        <v>279</v>
      </c>
      <c r="W625" s="76" t="s">
        <v>2149</v>
      </c>
      <c r="X625" s="77">
        <v>48.4</v>
      </c>
      <c r="Y625" s="78">
        <v>0</v>
      </c>
      <c r="AA625" s="79">
        <v>48.4</v>
      </c>
      <c r="AB625" s="79">
        <v>48.4</v>
      </c>
      <c r="AC625" s="78">
        <v>0</v>
      </c>
      <c r="AE625" s="63" t="s">
        <v>219</v>
      </c>
      <c r="AF625" s="63">
        <v>1</v>
      </c>
      <c r="AG625" s="63">
        <v>1</v>
      </c>
      <c r="AK625" s="77">
        <v>0</v>
      </c>
      <c r="BA625" s="41" t="s">
        <v>230</v>
      </c>
      <c r="BB625" s="41" t="s">
        <v>18</v>
      </c>
      <c r="BC625" s="41" t="s">
        <v>233</v>
      </c>
      <c r="BD625" s="41" t="s">
        <v>2103</v>
      </c>
    </row>
    <row r="626" spans="1:56" ht="18" customHeight="1" outlineLevel="1">
      <c r="A626" s="19">
        <v>754</v>
      </c>
      <c r="B626" s="19">
        <v>521002019</v>
      </c>
      <c r="C626" s="19">
        <v>521002019</v>
      </c>
      <c r="D626" s="50" t="s">
        <v>13</v>
      </c>
      <c r="E626" s="19" t="s">
        <v>2104</v>
      </c>
      <c r="F626" s="19" t="s">
        <v>2150</v>
      </c>
      <c r="G626" s="19" t="s">
        <v>2151</v>
      </c>
      <c r="H626" s="69" t="s">
        <v>2152</v>
      </c>
      <c r="I626" s="70" t="s">
        <v>532</v>
      </c>
      <c r="J626" s="70" t="s">
        <v>289</v>
      </c>
      <c r="K626" s="71">
        <v>1</v>
      </c>
      <c r="L626" s="72">
        <v>521002019</v>
      </c>
      <c r="M626" s="72" t="s">
        <v>2153</v>
      </c>
      <c r="N626" s="73">
        <v>48.4</v>
      </c>
      <c r="O626" s="74" t="s">
        <v>279</v>
      </c>
      <c r="P626" s="73">
        <v>79.95</v>
      </c>
      <c r="Q626" s="80" t="s">
        <v>279</v>
      </c>
      <c r="W626" s="76" t="s">
        <v>2154</v>
      </c>
      <c r="X626" s="77">
        <v>48.4</v>
      </c>
      <c r="Y626" s="78">
        <v>0</v>
      </c>
      <c r="AA626" s="79">
        <v>48.4</v>
      </c>
      <c r="AB626" s="79">
        <v>48.4</v>
      </c>
      <c r="AC626" s="78">
        <v>0</v>
      </c>
      <c r="AE626" s="63" t="s">
        <v>219</v>
      </c>
      <c r="AF626" s="63">
        <v>1</v>
      </c>
      <c r="AG626" s="63">
        <v>1</v>
      </c>
      <c r="AK626" s="77">
        <v>0</v>
      </c>
      <c r="BA626" s="41" t="s">
        <v>230</v>
      </c>
      <c r="BB626" s="41" t="s">
        <v>18</v>
      </c>
      <c r="BC626" s="41" t="s">
        <v>233</v>
      </c>
      <c r="BD626" s="41" t="s">
        <v>2103</v>
      </c>
    </row>
    <row r="627" spans="1:56" ht="18" customHeight="1" outlineLevel="1">
      <c r="A627" s="19">
        <v>755</v>
      </c>
      <c r="B627" s="19">
        <v>521002027</v>
      </c>
      <c r="C627" s="19">
        <v>521002027</v>
      </c>
      <c r="D627" s="50" t="s">
        <v>13</v>
      </c>
      <c r="E627" s="19" t="s">
        <v>2104</v>
      </c>
      <c r="F627" s="19" t="s">
        <v>2155</v>
      </c>
      <c r="G627" s="19" t="s">
        <v>2156</v>
      </c>
      <c r="H627" s="69" t="s">
        <v>2157</v>
      </c>
      <c r="I627" s="70" t="s">
        <v>532</v>
      </c>
      <c r="J627" s="70" t="s">
        <v>289</v>
      </c>
      <c r="K627" s="71">
        <v>1</v>
      </c>
      <c r="L627" s="72">
        <v>521002027</v>
      </c>
      <c r="M627" s="72" t="s">
        <v>2158</v>
      </c>
      <c r="N627" s="73">
        <v>48.4</v>
      </c>
      <c r="O627" s="74" t="s">
        <v>279</v>
      </c>
      <c r="P627" s="73">
        <v>79.95</v>
      </c>
      <c r="Q627" s="80" t="s">
        <v>279</v>
      </c>
      <c r="W627" s="76" t="s">
        <v>2159</v>
      </c>
      <c r="X627" s="77">
        <v>48.4</v>
      </c>
      <c r="Y627" s="78">
        <v>0</v>
      </c>
      <c r="AA627" s="79">
        <v>48.4</v>
      </c>
      <c r="AB627" s="79">
        <v>48.4</v>
      </c>
      <c r="AC627" s="78">
        <v>0</v>
      </c>
      <c r="AE627" s="63" t="s">
        <v>219</v>
      </c>
      <c r="AF627" s="63">
        <v>1</v>
      </c>
      <c r="AG627" s="63">
        <v>1</v>
      </c>
      <c r="AK627" s="77">
        <v>0</v>
      </c>
      <c r="BA627" s="41" t="s">
        <v>230</v>
      </c>
      <c r="BB627" s="41" t="s">
        <v>18</v>
      </c>
      <c r="BC627" s="41" t="s">
        <v>233</v>
      </c>
      <c r="BD627" s="41" t="s">
        <v>2103</v>
      </c>
    </row>
    <row r="628" spans="1:56" ht="18" customHeight="1" outlineLevel="1">
      <c r="A628" s="19">
        <v>756</v>
      </c>
      <c r="B628" s="19">
        <v>521002035</v>
      </c>
      <c r="C628" s="19">
        <v>521002035</v>
      </c>
      <c r="D628" s="50" t="s">
        <v>13</v>
      </c>
      <c r="E628" s="19" t="s">
        <v>2104</v>
      </c>
      <c r="F628" s="19" t="s">
        <v>2160</v>
      </c>
      <c r="G628" s="19" t="s">
        <v>2161</v>
      </c>
      <c r="H628" s="69" t="s">
        <v>2162</v>
      </c>
      <c r="I628" s="70" t="s">
        <v>532</v>
      </c>
      <c r="J628" s="70" t="s">
        <v>289</v>
      </c>
      <c r="K628" s="71">
        <v>1</v>
      </c>
      <c r="L628" s="72">
        <v>521002035</v>
      </c>
      <c r="M628" s="72" t="s">
        <v>2163</v>
      </c>
      <c r="N628" s="73">
        <v>48.4</v>
      </c>
      <c r="O628" s="74" t="s">
        <v>279</v>
      </c>
      <c r="P628" s="73">
        <v>79.95</v>
      </c>
      <c r="Q628" s="80" t="s">
        <v>279</v>
      </c>
      <c r="W628" s="76" t="s">
        <v>2164</v>
      </c>
      <c r="X628" s="77">
        <v>48.4</v>
      </c>
      <c r="Y628" s="78">
        <v>0</v>
      </c>
      <c r="AA628" s="79">
        <v>48.4</v>
      </c>
      <c r="AB628" s="79">
        <v>48.4</v>
      </c>
      <c r="AC628" s="78">
        <v>0</v>
      </c>
      <c r="AE628" s="63" t="s">
        <v>219</v>
      </c>
      <c r="AF628" s="63">
        <v>1</v>
      </c>
      <c r="AG628" s="63">
        <v>1</v>
      </c>
      <c r="AK628" s="77">
        <v>0</v>
      </c>
      <c r="BA628" s="41" t="s">
        <v>230</v>
      </c>
      <c r="BB628" s="41" t="s">
        <v>18</v>
      </c>
      <c r="BC628" s="41" t="s">
        <v>233</v>
      </c>
      <c r="BD628" s="41" t="s">
        <v>2103</v>
      </c>
    </row>
    <row r="629" spans="1:56" ht="27" customHeight="1" outlineLevel="1">
      <c r="A629" s="19">
        <v>757</v>
      </c>
      <c r="B629" s="19" t="s">
        <v>219</v>
      </c>
      <c r="C629" s="19" t="s">
        <v>219</v>
      </c>
      <c r="D629" s="50" t="s">
        <v>219</v>
      </c>
      <c r="E629" s="19" t="s">
        <v>219</v>
      </c>
      <c r="F629" s="19" t="s">
        <v>219</v>
      </c>
      <c r="G629" s="19" t="s">
        <v>219</v>
      </c>
      <c r="H629" s="81" t="s">
        <v>219</v>
      </c>
      <c r="I629" s="70" t="s">
        <v>219</v>
      </c>
      <c r="J629" s="70" t="s">
        <v>219</v>
      </c>
      <c r="K629" s="71" t="s">
        <v>219</v>
      </c>
      <c r="L629" s="72" t="s">
        <v>219</v>
      </c>
      <c r="M629" s="72" t="s">
        <v>219</v>
      </c>
      <c r="N629" s="73" t="s">
        <v>219</v>
      </c>
      <c r="O629" s="74" t="s">
        <v>219</v>
      </c>
      <c r="P629" s="73" t="s">
        <v>219</v>
      </c>
      <c r="Q629" s="80" t="s">
        <v>219</v>
      </c>
      <c r="W629" s="76" t="s">
        <v>219</v>
      </c>
      <c r="X629" s="77" t="s">
        <v>219</v>
      </c>
      <c r="Y629" s="78">
        <v>0</v>
      </c>
      <c r="AA629" s="79" t="s">
        <v>219</v>
      </c>
      <c r="AB629" s="79" t="s">
        <v>219</v>
      </c>
      <c r="AC629" s="78">
        <v>0</v>
      </c>
      <c r="AE629" s="63" t="s">
        <v>230</v>
      </c>
      <c r="AF629" s="63">
        <v>0</v>
      </c>
      <c r="AG629" s="63" t="s">
        <v>219</v>
      </c>
      <c r="AK629" s="77">
        <v>0</v>
      </c>
      <c r="BA629" s="41" t="s">
        <v>230</v>
      </c>
      <c r="BB629" s="41" t="s">
        <v>18</v>
      </c>
      <c r="BC629" s="41" t="s">
        <v>233</v>
      </c>
      <c r="BD629" s="41" t="s">
        <v>2103</v>
      </c>
    </row>
    <row r="630" spans="1:56" ht="27" customHeight="1" outlineLevel="1">
      <c r="A630" s="19">
        <v>788</v>
      </c>
      <c r="B630" s="19" t="s">
        <v>219</v>
      </c>
      <c r="C630" s="19" t="s">
        <v>219</v>
      </c>
      <c r="D630" s="50" t="s">
        <v>22</v>
      </c>
      <c r="E630" s="19" t="s">
        <v>219</v>
      </c>
      <c r="F630" s="19" t="s">
        <v>219</v>
      </c>
      <c r="G630" s="19" t="s">
        <v>219</v>
      </c>
      <c r="H630" s="81" t="s">
        <v>234</v>
      </c>
      <c r="I630" s="70" t="s">
        <v>219</v>
      </c>
      <c r="J630" s="70" t="s">
        <v>219</v>
      </c>
      <c r="K630" s="71" t="s">
        <v>219</v>
      </c>
      <c r="L630" s="72" t="s">
        <v>219</v>
      </c>
      <c r="M630" s="72" t="s">
        <v>219</v>
      </c>
      <c r="N630" s="73" t="s">
        <v>219</v>
      </c>
      <c r="O630" s="74" t="s">
        <v>219</v>
      </c>
      <c r="P630" s="73" t="s">
        <v>219</v>
      </c>
      <c r="Q630" s="80" t="s">
        <v>219</v>
      </c>
      <c r="W630" s="76" t="s">
        <v>219</v>
      </c>
      <c r="X630" s="77" t="s">
        <v>219</v>
      </c>
      <c r="Y630" s="78">
        <v>0</v>
      </c>
      <c r="AA630" s="79" t="s">
        <v>219</v>
      </c>
      <c r="AB630" s="79" t="s">
        <v>219</v>
      </c>
      <c r="AC630" s="78">
        <v>0</v>
      </c>
      <c r="AE630" s="63" t="s">
        <v>267</v>
      </c>
      <c r="AF630" s="63">
        <v>0</v>
      </c>
      <c r="AG630" s="63" t="s">
        <v>219</v>
      </c>
      <c r="AK630" s="77">
        <v>0</v>
      </c>
      <c r="BA630" s="41" t="s">
        <v>230</v>
      </c>
      <c r="BB630" s="41" t="s">
        <v>235</v>
      </c>
      <c r="BC630" s="41" t="s">
        <v>234</v>
      </c>
      <c r="BD630" s="41" t="s">
        <v>234</v>
      </c>
    </row>
    <row r="631" spans="1:56" ht="27" customHeight="1" outlineLevel="1">
      <c r="A631" s="19">
        <v>789</v>
      </c>
      <c r="B631" s="19" t="s">
        <v>219</v>
      </c>
      <c r="C631" s="19" t="s">
        <v>219</v>
      </c>
      <c r="D631" s="50" t="s">
        <v>684</v>
      </c>
      <c r="E631" s="19" t="s">
        <v>219</v>
      </c>
      <c r="F631" s="19" t="s">
        <v>219</v>
      </c>
      <c r="G631" s="19" t="s">
        <v>219</v>
      </c>
      <c r="H631" s="81" t="s">
        <v>684</v>
      </c>
      <c r="I631" s="70" t="s">
        <v>219</v>
      </c>
      <c r="J631" s="70" t="s">
        <v>219</v>
      </c>
      <c r="K631" s="71" t="s">
        <v>219</v>
      </c>
      <c r="L631" s="72" t="s">
        <v>219</v>
      </c>
      <c r="M631" s="72" t="s">
        <v>219</v>
      </c>
      <c r="N631" s="73" t="s">
        <v>219</v>
      </c>
      <c r="O631" s="74" t="s">
        <v>219</v>
      </c>
      <c r="P631" s="73" t="s">
        <v>219</v>
      </c>
      <c r="Q631" s="80" t="s">
        <v>219</v>
      </c>
      <c r="W631" s="76" t="s">
        <v>219</v>
      </c>
      <c r="X631" s="77" t="s">
        <v>219</v>
      </c>
      <c r="Y631" s="78">
        <v>0</v>
      </c>
      <c r="AA631" s="79" t="s">
        <v>219</v>
      </c>
      <c r="AB631" s="79" t="s">
        <v>219</v>
      </c>
      <c r="AC631" s="78">
        <v>0</v>
      </c>
      <c r="AE631" s="63" t="s">
        <v>230</v>
      </c>
      <c r="AF631" s="63">
        <v>1</v>
      </c>
      <c r="AG631" s="63" t="s">
        <v>219</v>
      </c>
      <c r="AK631" s="77">
        <v>0</v>
      </c>
      <c r="BA631" s="41" t="s">
        <v>230</v>
      </c>
      <c r="BB631" s="41" t="s">
        <v>235</v>
      </c>
      <c r="BC631" s="41" t="s">
        <v>234</v>
      </c>
      <c r="BD631" s="41" t="s">
        <v>2165</v>
      </c>
    </row>
    <row r="632" spans="1:56" ht="18" customHeight="1" outlineLevel="1">
      <c r="A632" s="19">
        <v>790</v>
      </c>
      <c r="B632" s="19">
        <v>521003589</v>
      </c>
      <c r="C632" s="19">
        <v>521003589</v>
      </c>
      <c r="D632" s="50" t="s">
        <v>22</v>
      </c>
      <c r="E632" s="19" t="s">
        <v>1521</v>
      </c>
      <c r="F632" s="19" t="s">
        <v>2166</v>
      </c>
      <c r="G632" s="19" t="s">
        <v>2167</v>
      </c>
      <c r="H632" s="69" t="s">
        <v>2168</v>
      </c>
      <c r="I632" s="70" t="s">
        <v>2169</v>
      </c>
      <c r="J632" s="70" t="s">
        <v>289</v>
      </c>
      <c r="K632" s="71">
        <v>1</v>
      </c>
      <c r="L632" s="72">
        <v>521003589</v>
      </c>
      <c r="M632" s="72" t="s">
        <v>2170</v>
      </c>
      <c r="N632" s="73">
        <v>100.3</v>
      </c>
      <c r="O632" s="74" t="s">
        <v>279</v>
      </c>
      <c r="P632" s="73">
        <v>169.95</v>
      </c>
      <c r="Q632" s="80" t="s">
        <v>279</v>
      </c>
      <c r="W632" s="76" t="s">
        <v>2171</v>
      </c>
      <c r="X632" s="77">
        <v>100.3</v>
      </c>
      <c r="Y632" s="78">
        <v>0</v>
      </c>
      <c r="AA632" s="79">
        <v>100.3</v>
      </c>
      <c r="AB632" s="79">
        <v>100.3</v>
      </c>
      <c r="AC632" s="78">
        <v>0</v>
      </c>
      <c r="AE632" s="63" t="s">
        <v>219</v>
      </c>
      <c r="AF632" s="63">
        <v>1</v>
      </c>
      <c r="AG632" s="63">
        <v>1</v>
      </c>
      <c r="AK632" s="77">
        <v>0</v>
      </c>
      <c r="BA632" s="41" t="s">
        <v>230</v>
      </c>
      <c r="BB632" s="41" t="s">
        <v>235</v>
      </c>
      <c r="BC632" s="41" t="s">
        <v>234</v>
      </c>
      <c r="BD632" s="41" t="s">
        <v>2165</v>
      </c>
    </row>
    <row r="633" spans="1:56" s="57" customFormat="1" ht="18" customHeight="1" outlineLevel="1">
      <c r="A633" s="49">
        <v>791</v>
      </c>
      <c r="B633" s="19">
        <v>521003591</v>
      </c>
      <c r="C633" s="19">
        <v>521003591</v>
      </c>
      <c r="D633" s="50" t="s">
        <v>22</v>
      </c>
      <c r="E633" s="19" t="s">
        <v>1521</v>
      </c>
      <c r="F633" s="19" t="s">
        <v>2166</v>
      </c>
      <c r="G633" s="19" t="s">
        <v>2167</v>
      </c>
      <c r="H633" s="69" t="s">
        <v>2172</v>
      </c>
      <c r="I633" s="64" t="s">
        <v>2173</v>
      </c>
      <c r="J633" s="70" t="s">
        <v>2174</v>
      </c>
      <c r="K633" s="53">
        <v>1</v>
      </c>
      <c r="L633" s="20">
        <v>521003591</v>
      </c>
      <c r="M633" s="72" t="s">
        <v>2175</v>
      </c>
      <c r="N633" s="54">
        <v>100.3</v>
      </c>
      <c r="O633" s="56" t="s">
        <v>279</v>
      </c>
      <c r="P633" s="54">
        <v>169.95</v>
      </c>
      <c r="Q633" s="56" t="s">
        <v>279</v>
      </c>
      <c r="R633" s="27"/>
      <c r="S633" s="58"/>
      <c r="T633" s="51"/>
      <c r="U633" s="51"/>
      <c r="V633" s="51"/>
      <c r="W633" s="76" t="s">
        <v>2176</v>
      </c>
      <c r="X633" s="77">
        <v>100.3</v>
      </c>
      <c r="Y633" s="78">
        <v>0</v>
      </c>
      <c r="Z633" s="29"/>
      <c r="AA633" s="79">
        <v>100.3</v>
      </c>
      <c r="AB633" s="79">
        <v>100.3</v>
      </c>
      <c r="AC633" s="78">
        <v>0</v>
      </c>
      <c r="AD633" s="29"/>
      <c r="AE633" s="63" t="s">
        <v>219</v>
      </c>
      <c r="AF633" s="63">
        <v>1</v>
      </c>
      <c r="AG633" s="63">
        <v>1</v>
      </c>
      <c r="AH633" s="29"/>
      <c r="AI633" s="27"/>
      <c r="AJ633" s="29"/>
      <c r="AK633" s="77">
        <v>0</v>
      </c>
      <c r="BA633" s="41" t="s">
        <v>230</v>
      </c>
      <c r="BB633" s="41" t="s">
        <v>235</v>
      </c>
      <c r="BC633" s="41" t="s">
        <v>234</v>
      </c>
      <c r="BD633" s="41" t="s">
        <v>2165</v>
      </c>
    </row>
    <row r="634" spans="1:56" ht="18" customHeight="1" outlineLevel="1">
      <c r="A634" s="19">
        <v>792</v>
      </c>
      <c r="B634" s="19">
        <v>521003593</v>
      </c>
      <c r="C634" s="19">
        <v>521003593</v>
      </c>
      <c r="D634" s="50" t="s">
        <v>22</v>
      </c>
      <c r="E634" s="19" t="s">
        <v>1521</v>
      </c>
      <c r="F634" s="19" t="s">
        <v>2166</v>
      </c>
      <c r="G634" s="19" t="s">
        <v>2167</v>
      </c>
      <c r="H634" s="69" t="s">
        <v>2177</v>
      </c>
      <c r="I634" s="70" t="s">
        <v>2178</v>
      </c>
      <c r="J634" s="70" t="s">
        <v>324</v>
      </c>
      <c r="K634" s="71">
        <v>1</v>
      </c>
      <c r="L634" s="72">
        <v>521003593</v>
      </c>
      <c r="M634" s="72" t="s">
        <v>2179</v>
      </c>
      <c r="N634" s="73">
        <v>100.3</v>
      </c>
      <c r="O634" s="74" t="s">
        <v>279</v>
      </c>
      <c r="P634" s="73">
        <v>169.95</v>
      </c>
      <c r="Q634" s="80" t="s">
        <v>279</v>
      </c>
      <c r="W634" s="76" t="s">
        <v>2180</v>
      </c>
      <c r="X634" s="77">
        <v>100.3</v>
      </c>
      <c r="Y634" s="78">
        <v>0</v>
      </c>
      <c r="AA634" s="79">
        <v>100.3</v>
      </c>
      <c r="AB634" s="79">
        <v>100.3</v>
      </c>
      <c r="AC634" s="78">
        <v>0</v>
      </c>
      <c r="AE634" s="63" t="s">
        <v>219</v>
      </c>
      <c r="AF634" s="63">
        <v>1</v>
      </c>
      <c r="AG634" s="63">
        <v>1</v>
      </c>
      <c r="AK634" s="77">
        <v>0</v>
      </c>
      <c r="BA634" s="41" t="s">
        <v>230</v>
      </c>
      <c r="BB634" s="41" t="s">
        <v>235</v>
      </c>
      <c r="BC634" s="41" t="s">
        <v>234</v>
      </c>
      <c r="BD634" s="41" t="s">
        <v>2165</v>
      </c>
    </row>
    <row r="635" spans="1:56" ht="18" customHeight="1" outlineLevel="1">
      <c r="A635" s="19">
        <v>793</v>
      </c>
      <c r="B635" s="19">
        <v>521003595</v>
      </c>
      <c r="C635" s="19">
        <v>521003595</v>
      </c>
      <c r="D635" s="50" t="s">
        <v>22</v>
      </c>
      <c r="E635" s="19" t="s">
        <v>1521</v>
      </c>
      <c r="F635" s="19" t="s">
        <v>2166</v>
      </c>
      <c r="G635" s="19" t="s">
        <v>2167</v>
      </c>
      <c r="H635" s="69" t="s">
        <v>2181</v>
      </c>
      <c r="I635" s="70" t="s">
        <v>2182</v>
      </c>
      <c r="J635" s="70" t="s">
        <v>2183</v>
      </c>
      <c r="K635" s="71">
        <v>1</v>
      </c>
      <c r="L635" s="72">
        <v>521003595</v>
      </c>
      <c r="M635" s="72" t="s">
        <v>2184</v>
      </c>
      <c r="N635" s="73">
        <v>100.3</v>
      </c>
      <c r="O635" s="74" t="s">
        <v>279</v>
      </c>
      <c r="P635" s="73">
        <v>169.95</v>
      </c>
      <c r="Q635" s="80" t="s">
        <v>279</v>
      </c>
      <c r="W635" s="76" t="s">
        <v>2185</v>
      </c>
      <c r="X635" s="77">
        <v>100.3</v>
      </c>
      <c r="Y635" s="78">
        <v>0</v>
      </c>
      <c r="AA635" s="79">
        <v>100.3</v>
      </c>
      <c r="AB635" s="79">
        <v>100.3</v>
      </c>
      <c r="AC635" s="78">
        <v>0</v>
      </c>
      <c r="AE635" s="63" t="s">
        <v>219</v>
      </c>
      <c r="AF635" s="63">
        <v>1</v>
      </c>
      <c r="AG635" s="63">
        <v>1</v>
      </c>
      <c r="AK635" s="77">
        <v>0</v>
      </c>
      <c r="BA635" s="41" t="s">
        <v>230</v>
      </c>
      <c r="BB635" s="41" t="s">
        <v>235</v>
      </c>
      <c r="BC635" s="41" t="s">
        <v>234</v>
      </c>
      <c r="BD635" s="41" t="s">
        <v>2165</v>
      </c>
    </row>
    <row r="636" spans="1:56" ht="27" customHeight="1" outlineLevel="1">
      <c r="A636" s="19">
        <v>794</v>
      </c>
      <c r="B636" s="19" t="s">
        <v>219</v>
      </c>
      <c r="C636" s="19" t="s">
        <v>219</v>
      </c>
      <c r="D636" s="50" t="s">
        <v>219</v>
      </c>
      <c r="E636" s="19" t="s">
        <v>219</v>
      </c>
      <c r="F636" s="19" t="s">
        <v>219</v>
      </c>
      <c r="G636" s="19" t="s">
        <v>219</v>
      </c>
      <c r="H636" s="81" t="s">
        <v>219</v>
      </c>
      <c r="I636" s="70" t="s">
        <v>219</v>
      </c>
      <c r="J636" s="70" t="s">
        <v>219</v>
      </c>
      <c r="K636" s="71" t="s">
        <v>219</v>
      </c>
      <c r="L636" s="72" t="s">
        <v>219</v>
      </c>
      <c r="M636" s="72" t="s">
        <v>219</v>
      </c>
      <c r="N636" s="73" t="s">
        <v>219</v>
      </c>
      <c r="O636" s="74" t="s">
        <v>219</v>
      </c>
      <c r="P636" s="73" t="s">
        <v>219</v>
      </c>
      <c r="Q636" s="80" t="s">
        <v>219</v>
      </c>
      <c r="W636" s="76" t="s">
        <v>219</v>
      </c>
      <c r="X636" s="77" t="s">
        <v>219</v>
      </c>
      <c r="Y636" s="78">
        <v>0</v>
      </c>
      <c r="AA636" s="79" t="s">
        <v>219</v>
      </c>
      <c r="AB636" s="79" t="s">
        <v>219</v>
      </c>
      <c r="AC636" s="78">
        <v>0</v>
      </c>
      <c r="AE636" s="63" t="s">
        <v>230</v>
      </c>
      <c r="AF636" s="63">
        <v>0</v>
      </c>
      <c r="AG636" s="63" t="s">
        <v>219</v>
      </c>
      <c r="AK636" s="77">
        <v>0</v>
      </c>
      <c r="BA636" s="41" t="s">
        <v>230</v>
      </c>
      <c r="BB636" s="41" t="s">
        <v>235</v>
      </c>
      <c r="BC636" s="41" t="s">
        <v>234</v>
      </c>
      <c r="BD636" s="41" t="s">
        <v>2165</v>
      </c>
    </row>
    <row r="637" spans="1:56" ht="18" customHeight="1" outlineLevel="1">
      <c r="A637" s="19">
        <v>795</v>
      </c>
      <c r="B637" s="19">
        <v>521004431</v>
      </c>
      <c r="C637" s="19">
        <v>521004431</v>
      </c>
      <c r="D637" s="50" t="s">
        <v>22</v>
      </c>
      <c r="E637" s="19" t="s">
        <v>1521</v>
      </c>
      <c r="F637" s="19" t="s">
        <v>2186</v>
      </c>
      <c r="G637" s="19" t="s">
        <v>2187</v>
      </c>
      <c r="H637" s="69" t="s">
        <v>2188</v>
      </c>
      <c r="I637" s="70" t="s">
        <v>2169</v>
      </c>
      <c r="J637" s="70" t="s">
        <v>289</v>
      </c>
      <c r="K637" s="71">
        <v>1</v>
      </c>
      <c r="L637" s="72">
        <v>521004431</v>
      </c>
      <c r="M637" s="72" t="s">
        <v>2189</v>
      </c>
      <c r="N637" s="73">
        <v>153.4</v>
      </c>
      <c r="O637" s="74" t="s">
        <v>279</v>
      </c>
      <c r="P637" s="73">
        <v>259.95</v>
      </c>
      <c r="Q637" s="80" t="s">
        <v>279</v>
      </c>
      <c r="W637" s="76" t="s">
        <v>2190</v>
      </c>
      <c r="X637" s="77">
        <v>153.4</v>
      </c>
      <c r="Y637" s="78">
        <v>0</v>
      </c>
      <c r="AA637" s="79">
        <v>153.4</v>
      </c>
      <c r="AB637" s="79">
        <v>153.4</v>
      </c>
      <c r="AC637" s="78">
        <v>0</v>
      </c>
      <c r="AE637" s="63" t="s">
        <v>219</v>
      </c>
      <c r="AF637" s="63">
        <v>0</v>
      </c>
      <c r="AG637" s="63">
        <v>0</v>
      </c>
      <c r="AK637" s="77">
        <v>0</v>
      </c>
      <c r="BA637" s="41" t="s">
        <v>230</v>
      </c>
      <c r="BB637" s="41" t="s">
        <v>235</v>
      </c>
      <c r="BC637" s="41" t="s">
        <v>234</v>
      </c>
      <c r="BD637" s="41" t="s">
        <v>2165</v>
      </c>
    </row>
    <row r="638" spans="1:56" ht="18" customHeight="1" outlineLevel="1">
      <c r="A638" s="19">
        <v>796</v>
      </c>
      <c r="B638" s="19">
        <v>521004433</v>
      </c>
      <c r="C638" s="19">
        <v>521004433</v>
      </c>
      <c r="D638" s="50" t="s">
        <v>22</v>
      </c>
      <c r="E638" s="19" t="s">
        <v>1521</v>
      </c>
      <c r="F638" s="19" t="s">
        <v>2186</v>
      </c>
      <c r="G638" s="19" t="s">
        <v>2187</v>
      </c>
      <c r="H638" s="69" t="s">
        <v>2191</v>
      </c>
      <c r="I638" s="70" t="s">
        <v>2173</v>
      </c>
      <c r="J638" s="70" t="s">
        <v>2174</v>
      </c>
      <c r="K638" s="71">
        <v>1</v>
      </c>
      <c r="L638" s="72">
        <v>521004433</v>
      </c>
      <c r="M638" s="72" t="s">
        <v>2192</v>
      </c>
      <c r="N638" s="73">
        <v>153.4</v>
      </c>
      <c r="O638" s="74" t="s">
        <v>279</v>
      </c>
      <c r="P638" s="73">
        <v>259.95</v>
      </c>
      <c r="Q638" s="80" t="s">
        <v>279</v>
      </c>
      <c r="W638" s="76" t="s">
        <v>2193</v>
      </c>
      <c r="X638" s="77">
        <v>153.4</v>
      </c>
      <c r="Y638" s="78">
        <v>0</v>
      </c>
      <c r="AA638" s="79">
        <v>153.4</v>
      </c>
      <c r="AB638" s="79">
        <v>153.4</v>
      </c>
      <c r="AC638" s="78">
        <v>0</v>
      </c>
      <c r="AE638" s="63" t="s">
        <v>219</v>
      </c>
      <c r="AF638" s="63">
        <v>0</v>
      </c>
      <c r="AG638" s="63">
        <v>0</v>
      </c>
      <c r="AK638" s="77">
        <v>0</v>
      </c>
      <c r="BA638" s="41" t="s">
        <v>230</v>
      </c>
      <c r="BB638" s="41" t="s">
        <v>235</v>
      </c>
      <c r="BC638" s="41" t="s">
        <v>234</v>
      </c>
      <c r="BD638" s="41" t="s">
        <v>2165</v>
      </c>
    </row>
    <row r="639" spans="1:56" s="57" customFormat="1" ht="18" customHeight="1" outlineLevel="1">
      <c r="A639" s="49">
        <v>797</v>
      </c>
      <c r="B639" s="19">
        <v>521004435</v>
      </c>
      <c r="C639" s="19">
        <v>521004435</v>
      </c>
      <c r="D639" s="50" t="s">
        <v>22</v>
      </c>
      <c r="E639" s="19" t="s">
        <v>1521</v>
      </c>
      <c r="F639" s="19" t="s">
        <v>2186</v>
      </c>
      <c r="G639" s="19" t="s">
        <v>2187</v>
      </c>
      <c r="H639" s="69" t="s">
        <v>2194</v>
      </c>
      <c r="I639" s="64" t="s">
        <v>2178</v>
      </c>
      <c r="J639" s="70" t="s">
        <v>324</v>
      </c>
      <c r="K639" s="53">
        <v>1</v>
      </c>
      <c r="L639" s="20">
        <v>521004435</v>
      </c>
      <c r="M639" s="72" t="s">
        <v>2195</v>
      </c>
      <c r="N639" s="54">
        <v>153.4</v>
      </c>
      <c r="O639" s="56" t="s">
        <v>279</v>
      </c>
      <c r="P639" s="54">
        <v>259.95</v>
      </c>
      <c r="Q639" s="56" t="s">
        <v>279</v>
      </c>
      <c r="R639" s="27"/>
      <c r="S639" s="58"/>
      <c r="T639" s="51"/>
      <c r="U639" s="51"/>
      <c r="V639" s="51"/>
      <c r="W639" s="76" t="s">
        <v>2196</v>
      </c>
      <c r="X639" s="77">
        <v>153.4</v>
      </c>
      <c r="Y639" s="78">
        <v>0</v>
      </c>
      <c r="Z639" s="29"/>
      <c r="AA639" s="79">
        <v>153.4</v>
      </c>
      <c r="AB639" s="79">
        <v>153.4</v>
      </c>
      <c r="AC639" s="78">
        <v>0</v>
      </c>
      <c r="AD639" s="29"/>
      <c r="AE639" s="63" t="s">
        <v>219</v>
      </c>
      <c r="AF639" s="63">
        <v>0</v>
      </c>
      <c r="AG639" s="63">
        <v>0</v>
      </c>
      <c r="AH639" s="29"/>
      <c r="AI639" s="27"/>
      <c r="AJ639" s="29"/>
      <c r="AK639" s="77">
        <v>0</v>
      </c>
      <c r="BA639" s="41" t="s">
        <v>230</v>
      </c>
      <c r="BB639" s="41" t="s">
        <v>235</v>
      </c>
      <c r="BC639" s="41" t="s">
        <v>234</v>
      </c>
      <c r="BD639" s="41" t="s">
        <v>2165</v>
      </c>
    </row>
    <row r="640" spans="1:56" ht="18" customHeight="1" outlineLevel="1">
      <c r="A640" s="19">
        <v>798</v>
      </c>
      <c r="B640" s="19">
        <v>521004437</v>
      </c>
      <c r="C640" s="19">
        <v>521004437</v>
      </c>
      <c r="D640" s="50" t="s">
        <v>22</v>
      </c>
      <c r="E640" s="19" t="s">
        <v>1521</v>
      </c>
      <c r="F640" s="19" t="s">
        <v>2186</v>
      </c>
      <c r="G640" s="19" t="s">
        <v>2187</v>
      </c>
      <c r="H640" s="69" t="s">
        <v>2197</v>
      </c>
      <c r="I640" s="70" t="s">
        <v>2182</v>
      </c>
      <c r="J640" s="70" t="s">
        <v>2183</v>
      </c>
      <c r="K640" s="71">
        <v>1</v>
      </c>
      <c r="L640" s="72">
        <v>521004437</v>
      </c>
      <c r="M640" s="72" t="s">
        <v>2198</v>
      </c>
      <c r="N640" s="73">
        <v>153.4</v>
      </c>
      <c r="O640" s="74" t="s">
        <v>279</v>
      </c>
      <c r="P640" s="73">
        <v>259.95</v>
      </c>
      <c r="Q640" s="80" t="s">
        <v>279</v>
      </c>
      <c r="W640" s="76" t="s">
        <v>2199</v>
      </c>
      <c r="X640" s="77">
        <v>153.4</v>
      </c>
      <c r="Y640" s="78">
        <v>0</v>
      </c>
      <c r="AA640" s="79">
        <v>153.4</v>
      </c>
      <c r="AB640" s="79">
        <v>153.4</v>
      </c>
      <c r="AC640" s="78">
        <v>0</v>
      </c>
      <c r="AE640" s="63" t="s">
        <v>219</v>
      </c>
      <c r="AF640" s="63">
        <v>0</v>
      </c>
      <c r="AG640" s="63">
        <v>0</v>
      </c>
      <c r="AK640" s="77">
        <v>0</v>
      </c>
      <c r="BA640" s="41" t="s">
        <v>230</v>
      </c>
      <c r="BB640" s="41" t="s">
        <v>235</v>
      </c>
      <c r="BC640" s="41" t="s">
        <v>234</v>
      </c>
      <c r="BD640" s="41" t="s">
        <v>2165</v>
      </c>
    </row>
    <row r="641" spans="1:56" s="57" customFormat="1" ht="27" customHeight="1" outlineLevel="1">
      <c r="A641" s="49">
        <v>799</v>
      </c>
      <c r="B641" s="19" t="s">
        <v>219</v>
      </c>
      <c r="C641" s="19" t="s">
        <v>219</v>
      </c>
      <c r="D641" s="50" t="s">
        <v>219</v>
      </c>
      <c r="E641" s="19" t="s">
        <v>219</v>
      </c>
      <c r="F641" s="19" t="s">
        <v>219</v>
      </c>
      <c r="G641" s="19" t="s">
        <v>219</v>
      </c>
      <c r="H641" s="81" t="s">
        <v>219</v>
      </c>
      <c r="I641" s="64" t="s">
        <v>219</v>
      </c>
      <c r="J641" s="70" t="s">
        <v>219</v>
      </c>
      <c r="K641" s="53" t="s">
        <v>219</v>
      </c>
      <c r="L641" s="20" t="s">
        <v>219</v>
      </c>
      <c r="M641" s="72" t="s">
        <v>219</v>
      </c>
      <c r="N641" s="54" t="s">
        <v>219</v>
      </c>
      <c r="O641" s="56" t="s">
        <v>219</v>
      </c>
      <c r="P641" s="54" t="s">
        <v>219</v>
      </c>
      <c r="Q641" s="56" t="s">
        <v>219</v>
      </c>
      <c r="R641" s="27"/>
      <c r="S641" s="58"/>
      <c r="T641" s="51"/>
      <c r="U641" s="51"/>
      <c r="V641" s="51"/>
      <c r="W641" s="76" t="s">
        <v>219</v>
      </c>
      <c r="X641" s="77" t="s">
        <v>219</v>
      </c>
      <c r="Y641" s="78">
        <v>0</v>
      </c>
      <c r="Z641" s="29"/>
      <c r="AA641" s="79" t="s">
        <v>219</v>
      </c>
      <c r="AB641" s="79" t="s">
        <v>219</v>
      </c>
      <c r="AC641" s="78">
        <v>0</v>
      </c>
      <c r="AD641" s="29"/>
      <c r="AE641" s="63" t="s">
        <v>230</v>
      </c>
      <c r="AF641" s="63">
        <v>1</v>
      </c>
      <c r="AG641" s="63" t="s">
        <v>219</v>
      </c>
      <c r="AH641" s="29"/>
      <c r="AI641" s="27"/>
      <c r="AJ641" s="29"/>
      <c r="AK641" s="77">
        <v>0</v>
      </c>
      <c r="AL641" s="27"/>
      <c r="AM641" s="27"/>
      <c r="AN641" s="27"/>
      <c r="AO641" s="27"/>
      <c r="AP641" s="27"/>
      <c r="AQ641" s="27"/>
      <c r="AR641" s="27"/>
      <c r="AS641" s="27"/>
      <c r="AT641" s="27"/>
      <c r="AU641" s="27"/>
      <c r="AV641" s="27"/>
      <c r="AW641" s="27"/>
      <c r="AX641" s="27"/>
      <c r="AY641" s="27"/>
      <c r="AZ641" s="27"/>
      <c r="BA641" s="41" t="s">
        <v>230</v>
      </c>
      <c r="BB641" s="41" t="s">
        <v>235</v>
      </c>
      <c r="BC641" s="41" t="s">
        <v>234</v>
      </c>
      <c r="BD641" s="41" t="s">
        <v>2165</v>
      </c>
    </row>
    <row r="642" spans="1:56" ht="18" customHeight="1" outlineLevel="1">
      <c r="A642" s="19">
        <v>800</v>
      </c>
      <c r="B642" s="19">
        <v>521003065</v>
      </c>
      <c r="C642" s="19">
        <v>521003065</v>
      </c>
      <c r="D642" s="50" t="s">
        <v>529</v>
      </c>
      <c r="E642" s="19" t="s">
        <v>716</v>
      </c>
      <c r="F642" s="19" t="s">
        <v>1570</v>
      </c>
      <c r="G642" s="19" t="s">
        <v>1571</v>
      </c>
      <c r="H642" s="69" t="s">
        <v>1572</v>
      </c>
      <c r="I642" s="70" t="s">
        <v>532</v>
      </c>
      <c r="J642" s="70" t="s">
        <v>289</v>
      </c>
      <c r="K642" s="71">
        <v>1</v>
      </c>
      <c r="L642" s="72">
        <v>521003065</v>
      </c>
      <c r="M642" s="72" t="s">
        <v>1573</v>
      </c>
      <c r="N642" s="73">
        <v>76.099999999999994</v>
      </c>
      <c r="O642" s="74" t="s">
        <v>279</v>
      </c>
      <c r="P642" s="73">
        <v>109.95</v>
      </c>
      <c r="Q642" s="80" t="s">
        <v>279</v>
      </c>
      <c r="W642" s="76" t="s">
        <v>1574</v>
      </c>
      <c r="X642" s="77">
        <v>76.099999999999994</v>
      </c>
      <c r="Y642" s="78">
        <v>0</v>
      </c>
      <c r="AA642" s="79">
        <v>76.099999999999994</v>
      </c>
      <c r="AB642" s="79">
        <v>76.099999999999994</v>
      </c>
      <c r="AC642" s="78">
        <v>0</v>
      </c>
      <c r="AE642" s="63" t="s">
        <v>219</v>
      </c>
      <c r="AF642" s="63">
        <v>1</v>
      </c>
      <c r="AG642" s="63">
        <v>1</v>
      </c>
      <c r="AK642" s="77">
        <v>0</v>
      </c>
      <c r="BA642" s="41" t="s">
        <v>230</v>
      </c>
      <c r="BB642" s="41" t="s">
        <v>235</v>
      </c>
      <c r="BC642" s="41" t="s">
        <v>234</v>
      </c>
      <c r="BD642" s="41" t="s">
        <v>2165</v>
      </c>
    </row>
    <row r="643" spans="1:56" ht="27" customHeight="1" outlineLevel="1">
      <c r="A643" s="19">
        <v>801</v>
      </c>
      <c r="B643" s="19" t="s">
        <v>219</v>
      </c>
      <c r="C643" s="19" t="s">
        <v>219</v>
      </c>
      <c r="D643" s="50" t="s">
        <v>219</v>
      </c>
      <c r="E643" s="19" t="s">
        <v>219</v>
      </c>
      <c r="F643" s="19" t="s">
        <v>219</v>
      </c>
      <c r="G643" s="19" t="s">
        <v>219</v>
      </c>
      <c r="H643" s="81" t="s">
        <v>219</v>
      </c>
      <c r="I643" s="70" t="s">
        <v>219</v>
      </c>
      <c r="J643" s="70" t="s">
        <v>219</v>
      </c>
      <c r="K643" s="71" t="s">
        <v>219</v>
      </c>
      <c r="L643" s="72" t="s">
        <v>219</v>
      </c>
      <c r="M643" s="72" t="s">
        <v>219</v>
      </c>
      <c r="N643" s="73" t="s">
        <v>219</v>
      </c>
      <c r="O643" s="74" t="s">
        <v>219</v>
      </c>
      <c r="P643" s="73" t="s">
        <v>219</v>
      </c>
      <c r="Q643" s="80" t="s">
        <v>219</v>
      </c>
      <c r="W643" s="76" t="s">
        <v>219</v>
      </c>
      <c r="X643" s="77" t="s">
        <v>219</v>
      </c>
      <c r="Y643" s="78">
        <v>0</v>
      </c>
      <c r="AA643" s="79" t="s">
        <v>219</v>
      </c>
      <c r="AB643" s="79" t="s">
        <v>219</v>
      </c>
      <c r="AC643" s="78">
        <v>0</v>
      </c>
      <c r="AE643" s="63" t="s">
        <v>230</v>
      </c>
      <c r="AF643" s="63">
        <v>1</v>
      </c>
      <c r="AG643" s="63" t="s">
        <v>219</v>
      </c>
      <c r="AK643" s="77">
        <v>0</v>
      </c>
      <c r="BA643" s="41" t="s">
        <v>230</v>
      </c>
      <c r="BB643" s="41" t="s">
        <v>235</v>
      </c>
      <c r="BC643" s="41" t="s">
        <v>234</v>
      </c>
      <c r="BD643" s="41" t="s">
        <v>2165</v>
      </c>
    </row>
    <row r="644" spans="1:56" ht="27" customHeight="1" outlineLevel="1">
      <c r="A644" s="19">
        <v>802</v>
      </c>
      <c r="B644" s="19" t="s">
        <v>219</v>
      </c>
      <c r="C644" s="19" t="s">
        <v>219</v>
      </c>
      <c r="D644" s="50" t="s">
        <v>1631</v>
      </c>
      <c r="E644" s="19" t="s">
        <v>219</v>
      </c>
      <c r="F644" s="19" t="s">
        <v>219</v>
      </c>
      <c r="G644" s="19" t="s">
        <v>219</v>
      </c>
      <c r="H644" s="81" t="s">
        <v>1631</v>
      </c>
      <c r="I644" s="70" t="s">
        <v>219</v>
      </c>
      <c r="J644" s="70" t="s">
        <v>219</v>
      </c>
      <c r="K644" s="71" t="s">
        <v>219</v>
      </c>
      <c r="L644" s="72" t="s">
        <v>219</v>
      </c>
      <c r="M644" s="72" t="s">
        <v>219</v>
      </c>
      <c r="N644" s="73" t="s">
        <v>219</v>
      </c>
      <c r="O644" s="74" t="s">
        <v>219</v>
      </c>
      <c r="P644" s="73" t="s">
        <v>219</v>
      </c>
      <c r="Q644" s="80" t="s">
        <v>219</v>
      </c>
      <c r="W644" s="76" t="s">
        <v>219</v>
      </c>
      <c r="X644" s="77" t="s">
        <v>219</v>
      </c>
      <c r="Y644" s="78">
        <v>0</v>
      </c>
      <c r="AA644" s="79" t="s">
        <v>219</v>
      </c>
      <c r="AB644" s="79" t="s">
        <v>219</v>
      </c>
      <c r="AC644" s="78">
        <v>0</v>
      </c>
      <c r="AE644" s="63" t="s">
        <v>230</v>
      </c>
      <c r="AF644" s="63">
        <v>0</v>
      </c>
      <c r="AG644" s="63" t="s">
        <v>219</v>
      </c>
      <c r="AK644" s="77">
        <v>0</v>
      </c>
      <c r="BA644" s="41" t="s">
        <v>230</v>
      </c>
      <c r="BB644" s="41" t="s">
        <v>235</v>
      </c>
      <c r="BC644" s="41" t="s">
        <v>234</v>
      </c>
      <c r="BD644" s="41" t="s">
        <v>2200</v>
      </c>
    </row>
    <row r="645" spans="1:56" s="57" customFormat="1" ht="18" customHeight="1" outlineLevel="1">
      <c r="A645" s="49">
        <v>803</v>
      </c>
      <c r="B645" s="19">
        <v>523001217</v>
      </c>
      <c r="C645" s="19">
        <v>523001217</v>
      </c>
      <c r="D645" s="50" t="s">
        <v>22</v>
      </c>
      <c r="E645" s="19" t="s">
        <v>1633</v>
      </c>
      <c r="F645" s="19" t="s">
        <v>2201</v>
      </c>
      <c r="G645" s="19" t="s">
        <v>2202</v>
      </c>
      <c r="H645" s="69" t="s">
        <v>2203</v>
      </c>
      <c r="I645" s="64" t="s">
        <v>2204</v>
      </c>
      <c r="J645" s="70" t="s">
        <v>289</v>
      </c>
      <c r="K645" s="53">
        <v>1</v>
      </c>
      <c r="L645" s="20">
        <v>523001217</v>
      </c>
      <c r="M645" s="72" t="s">
        <v>2205</v>
      </c>
      <c r="N645" s="54">
        <v>161.19999999999999</v>
      </c>
      <c r="O645" s="56" t="s">
        <v>279</v>
      </c>
      <c r="P645" s="54">
        <v>249.95</v>
      </c>
      <c r="Q645" s="56" t="s">
        <v>279</v>
      </c>
      <c r="R645" s="27"/>
      <c r="S645" s="58"/>
      <c r="T645" s="51"/>
      <c r="U645" s="51"/>
      <c r="V645" s="51"/>
      <c r="W645" s="76" t="s">
        <v>2206</v>
      </c>
      <c r="X645" s="77">
        <v>161.19999999999999</v>
      </c>
      <c r="Y645" s="78">
        <v>0</v>
      </c>
      <c r="Z645" s="29"/>
      <c r="AA645" s="79">
        <v>161.19999999999999</v>
      </c>
      <c r="AB645" s="79">
        <v>161.19999999999999</v>
      </c>
      <c r="AC645" s="78">
        <v>0</v>
      </c>
      <c r="AD645" s="29"/>
      <c r="AE645" s="63" t="s">
        <v>219</v>
      </c>
      <c r="AF645" s="63">
        <v>0</v>
      </c>
      <c r="AG645" s="63">
        <v>0</v>
      </c>
      <c r="AH645" s="29"/>
      <c r="AI645" s="27"/>
      <c r="AJ645" s="29"/>
      <c r="AK645" s="77">
        <v>0</v>
      </c>
      <c r="AL645" s="27"/>
      <c r="AM645" s="27"/>
      <c r="AN645" s="27"/>
      <c r="AO645" s="27"/>
      <c r="AP645" s="27"/>
      <c r="AQ645" s="27"/>
      <c r="AR645" s="27"/>
      <c r="AS645" s="27"/>
      <c r="AT645" s="27"/>
      <c r="AU645" s="27"/>
      <c r="AV645" s="27"/>
      <c r="AW645" s="27"/>
      <c r="AX645" s="27"/>
      <c r="AY645" s="27"/>
      <c r="AZ645" s="27"/>
      <c r="BA645" s="41" t="s">
        <v>230</v>
      </c>
      <c r="BB645" s="41" t="s">
        <v>235</v>
      </c>
      <c r="BC645" s="41" t="s">
        <v>234</v>
      </c>
      <c r="BD645" s="41" t="s">
        <v>2200</v>
      </c>
    </row>
    <row r="646" spans="1:56" ht="18" customHeight="1" outlineLevel="1">
      <c r="A646" s="19">
        <v>804</v>
      </c>
      <c r="B646" s="19">
        <v>523001219</v>
      </c>
      <c r="C646" s="19">
        <v>523001219</v>
      </c>
      <c r="D646" s="50" t="s">
        <v>22</v>
      </c>
      <c r="E646" s="19" t="s">
        <v>1633</v>
      </c>
      <c r="F646" s="19" t="s">
        <v>2201</v>
      </c>
      <c r="G646" s="19" t="s">
        <v>2202</v>
      </c>
      <c r="H646" s="69" t="s">
        <v>2207</v>
      </c>
      <c r="I646" s="70" t="s">
        <v>2208</v>
      </c>
      <c r="J646" s="70" t="s">
        <v>2209</v>
      </c>
      <c r="K646" s="71">
        <v>1</v>
      </c>
      <c r="L646" s="72">
        <v>523001219</v>
      </c>
      <c r="M646" s="72" t="s">
        <v>2210</v>
      </c>
      <c r="N646" s="73">
        <v>161.19999999999999</v>
      </c>
      <c r="O646" s="74" t="s">
        <v>279</v>
      </c>
      <c r="P646" s="73">
        <v>249.95</v>
      </c>
      <c r="Q646" s="80" t="s">
        <v>279</v>
      </c>
      <c r="W646" s="76" t="s">
        <v>2211</v>
      </c>
      <c r="X646" s="77">
        <v>161.19999999999999</v>
      </c>
      <c r="Y646" s="78">
        <v>0</v>
      </c>
      <c r="AA646" s="79">
        <v>161.19999999999999</v>
      </c>
      <c r="AB646" s="79">
        <v>161.19999999999999</v>
      </c>
      <c r="AC646" s="78">
        <v>0</v>
      </c>
      <c r="AE646" s="63" t="s">
        <v>219</v>
      </c>
      <c r="AF646" s="63">
        <v>0</v>
      </c>
      <c r="AG646" s="63">
        <v>0</v>
      </c>
      <c r="AK646" s="77">
        <v>0</v>
      </c>
      <c r="BA646" s="41" t="s">
        <v>230</v>
      </c>
      <c r="BB646" s="41" t="s">
        <v>235</v>
      </c>
      <c r="BC646" s="41" t="s">
        <v>234</v>
      </c>
      <c r="BD646" s="41" t="s">
        <v>2200</v>
      </c>
    </row>
    <row r="647" spans="1:56" ht="18" customHeight="1" outlineLevel="1">
      <c r="A647" s="19">
        <v>805</v>
      </c>
      <c r="B647" s="19">
        <v>523001221</v>
      </c>
      <c r="C647" s="19">
        <v>523001221</v>
      </c>
      <c r="D647" s="50" t="s">
        <v>22</v>
      </c>
      <c r="E647" s="19" t="s">
        <v>1633</v>
      </c>
      <c r="F647" s="19" t="s">
        <v>2201</v>
      </c>
      <c r="G647" s="19" t="s">
        <v>2202</v>
      </c>
      <c r="H647" s="69" t="s">
        <v>2212</v>
      </c>
      <c r="I647" s="70" t="s">
        <v>2213</v>
      </c>
      <c r="J647" s="70" t="s">
        <v>324</v>
      </c>
      <c r="K647" s="71">
        <v>1</v>
      </c>
      <c r="L647" s="72">
        <v>523001221</v>
      </c>
      <c r="M647" s="72" t="s">
        <v>2214</v>
      </c>
      <c r="N647" s="73">
        <v>161.19999999999999</v>
      </c>
      <c r="O647" s="74" t="s">
        <v>279</v>
      </c>
      <c r="P647" s="73">
        <v>249.95</v>
      </c>
      <c r="Q647" s="80" t="s">
        <v>279</v>
      </c>
      <c r="W647" s="76" t="s">
        <v>2215</v>
      </c>
      <c r="X647" s="77">
        <v>161.19999999999999</v>
      </c>
      <c r="Y647" s="78">
        <v>0</v>
      </c>
      <c r="AA647" s="79">
        <v>161.19999999999999</v>
      </c>
      <c r="AB647" s="79">
        <v>161.19999999999999</v>
      </c>
      <c r="AC647" s="78">
        <v>0</v>
      </c>
      <c r="AE647" s="63" t="s">
        <v>219</v>
      </c>
      <c r="AF647" s="63">
        <v>0</v>
      </c>
      <c r="AG647" s="63">
        <v>0</v>
      </c>
      <c r="AK647" s="77">
        <v>0</v>
      </c>
      <c r="BA647" s="41" t="s">
        <v>230</v>
      </c>
      <c r="BB647" s="41" t="s">
        <v>235</v>
      </c>
      <c r="BC647" s="41" t="s">
        <v>234</v>
      </c>
      <c r="BD647" s="41" t="s">
        <v>2200</v>
      </c>
    </row>
    <row r="648" spans="1:56" ht="18" customHeight="1" outlineLevel="1">
      <c r="A648" s="19">
        <v>806</v>
      </c>
      <c r="B648" s="19">
        <v>523001223</v>
      </c>
      <c r="C648" s="19">
        <v>523001223</v>
      </c>
      <c r="D648" s="50" t="s">
        <v>22</v>
      </c>
      <c r="E648" s="19" t="s">
        <v>1633</v>
      </c>
      <c r="F648" s="19" t="s">
        <v>2201</v>
      </c>
      <c r="G648" s="19" t="s">
        <v>2202</v>
      </c>
      <c r="H648" s="69" t="s">
        <v>2216</v>
      </c>
      <c r="I648" s="70" t="s">
        <v>2217</v>
      </c>
      <c r="J648" s="70" t="s">
        <v>521</v>
      </c>
      <c r="K648" s="71">
        <v>1</v>
      </c>
      <c r="L648" s="72">
        <v>523001223</v>
      </c>
      <c r="M648" s="72" t="s">
        <v>2218</v>
      </c>
      <c r="N648" s="73">
        <v>161.19999999999999</v>
      </c>
      <c r="O648" s="74" t="s">
        <v>279</v>
      </c>
      <c r="P648" s="73">
        <v>249.95</v>
      </c>
      <c r="Q648" s="80" t="s">
        <v>279</v>
      </c>
      <c r="W648" s="76" t="s">
        <v>2219</v>
      </c>
      <c r="X648" s="77">
        <v>161.19999999999999</v>
      </c>
      <c r="Y648" s="78">
        <v>0</v>
      </c>
      <c r="AA648" s="79">
        <v>161.19999999999999</v>
      </c>
      <c r="AB648" s="79">
        <v>161.19999999999999</v>
      </c>
      <c r="AC648" s="78">
        <v>0</v>
      </c>
      <c r="AE648" s="63" t="s">
        <v>219</v>
      </c>
      <c r="AF648" s="63">
        <v>0</v>
      </c>
      <c r="AG648" s="63">
        <v>0</v>
      </c>
      <c r="AK648" s="77">
        <v>0</v>
      </c>
      <c r="BA648" s="41" t="s">
        <v>230</v>
      </c>
      <c r="BB648" s="41" t="s">
        <v>235</v>
      </c>
      <c r="BC648" s="41" t="s">
        <v>234</v>
      </c>
      <c r="BD648" s="41" t="s">
        <v>2200</v>
      </c>
    </row>
    <row r="649" spans="1:56" ht="27" customHeight="1" outlineLevel="1">
      <c r="A649" s="19">
        <v>807</v>
      </c>
      <c r="B649" s="19" t="s">
        <v>219</v>
      </c>
      <c r="C649" s="19" t="s">
        <v>219</v>
      </c>
      <c r="D649" s="50" t="s">
        <v>219</v>
      </c>
      <c r="E649" s="19" t="s">
        <v>219</v>
      </c>
      <c r="F649" s="19" t="s">
        <v>219</v>
      </c>
      <c r="G649" s="19" t="s">
        <v>219</v>
      </c>
      <c r="H649" s="81" t="s">
        <v>219</v>
      </c>
      <c r="I649" s="70" t="s">
        <v>219</v>
      </c>
      <c r="J649" s="70" t="s">
        <v>219</v>
      </c>
      <c r="K649" s="71" t="s">
        <v>219</v>
      </c>
      <c r="L649" s="72" t="s">
        <v>219</v>
      </c>
      <c r="M649" s="72" t="s">
        <v>219</v>
      </c>
      <c r="N649" s="73" t="s">
        <v>219</v>
      </c>
      <c r="O649" s="74" t="s">
        <v>219</v>
      </c>
      <c r="P649" s="73" t="s">
        <v>219</v>
      </c>
      <c r="Q649" s="80" t="s">
        <v>219</v>
      </c>
      <c r="W649" s="76" t="s">
        <v>219</v>
      </c>
      <c r="X649" s="77" t="s">
        <v>219</v>
      </c>
      <c r="Y649" s="78">
        <v>0</v>
      </c>
      <c r="AA649" s="79" t="s">
        <v>219</v>
      </c>
      <c r="AB649" s="79" t="s">
        <v>219</v>
      </c>
      <c r="AC649" s="78">
        <v>0</v>
      </c>
      <c r="AE649" s="63" t="s">
        <v>230</v>
      </c>
      <c r="AF649" s="63">
        <v>1</v>
      </c>
      <c r="AG649" s="63" t="s">
        <v>219</v>
      </c>
      <c r="AK649" s="77">
        <v>0</v>
      </c>
      <c r="BA649" s="41" t="s">
        <v>230</v>
      </c>
      <c r="BB649" s="41" t="s">
        <v>235</v>
      </c>
      <c r="BC649" s="41" t="s">
        <v>234</v>
      </c>
      <c r="BD649" s="41" t="s">
        <v>2200</v>
      </c>
    </row>
    <row r="650" spans="1:56" ht="18" customHeight="1" outlineLevel="1">
      <c r="A650" s="19">
        <v>808</v>
      </c>
      <c r="B650" s="19">
        <v>523001225</v>
      </c>
      <c r="C650" s="19">
        <v>523001225</v>
      </c>
      <c r="D650" s="50" t="s">
        <v>22</v>
      </c>
      <c r="E650" s="19" t="s">
        <v>1633</v>
      </c>
      <c r="F650" s="19" t="s">
        <v>2220</v>
      </c>
      <c r="G650" s="19" t="s">
        <v>2221</v>
      </c>
      <c r="H650" s="69" t="s">
        <v>2222</v>
      </c>
      <c r="I650" s="70" t="s">
        <v>2204</v>
      </c>
      <c r="J650" s="70" t="s">
        <v>2223</v>
      </c>
      <c r="K650" s="71">
        <v>1</v>
      </c>
      <c r="L650" s="72">
        <v>523001225</v>
      </c>
      <c r="M650" s="72" t="s">
        <v>2224</v>
      </c>
      <c r="N650" s="73">
        <v>167.7</v>
      </c>
      <c r="O650" s="74" t="s">
        <v>279</v>
      </c>
      <c r="P650" s="73">
        <v>259.95</v>
      </c>
      <c r="Q650" s="80" t="s">
        <v>279</v>
      </c>
      <c r="W650" s="76" t="s">
        <v>2225</v>
      </c>
      <c r="X650" s="77">
        <v>167.7</v>
      </c>
      <c r="Y650" s="78">
        <v>0</v>
      </c>
      <c r="AA650" s="79">
        <v>167.7</v>
      </c>
      <c r="AB650" s="79">
        <v>167.7</v>
      </c>
      <c r="AC650" s="78">
        <v>0</v>
      </c>
      <c r="AE650" s="63" t="s">
        <v>219</v>
      </c>
      <c r="AF650" s="63">
        <v>1</v>
      </c>
      <c r="AG650" s="63">
        <v>1</v>
      </c>
      <c r="AK650" s="77">
        <v>0</v>
      </c>
      <c r="BA650" s="41" t="s">
        <v>230</v>
      </c>
      <c r="BB650" s="41" t="s">
        <v>235</v>
      </c>
      <c r="BC650" s="41" t="s">
        <v>234</v>
      </c>
      <c r="BD650" s="41" t="s">
        <v>2200</v>
      </c>
    </row>
    <row r="651" spans="1:56" s="57" customFormat="1" ht="18" customHeight="1" outlineLevel="1">
      <c r="A651" s="49">
        <v>809</v>
      </c>
      <c r="B651" s="19">
        <v>523001227</v>
      </c>
      <c r="C651" s="19">
        <v>523001227</v>
      </c>
      <c r="D651" s="50" t="s">
        <v>22</v>
      </c>
      <c r="E651" s="19" t="s">
        <v>1633</v>
      </c>
      <c r="F651" s="19" t="s">
        <v>2220</v>
      </c>
      <c r="G651" s="19" t="s">
        <v>2221</v>
      </c>
      <c r="H651" s="69" t="s">
        <v>2226</v>
      </c>
      <c r="I651" s="64" t="s">
        <v>2208</v>
      </c>
      <c r="J651" s="70" t="s">
        <v>2227</v>
      </c>
      <c r="K651" s="53">
        <v>1</v>
      </c>
      <c r="L651" s="20">
        <v>523001227</v>
      </c>
      <c r="M651" s="72" t="s">
        <v>2228</v>
      </c>
      <c r="N651" s="54">
        <v>167.7</v>
      </c>
      <c r="O651" s="56" t="s">
        <v>279</v>
      </c>
      <c r="P651" s="54">
        <v>259.95</v>
      </c>
      <c r="Q651" s="56" t="s">
        <v>279</v>
      </c>
      <c r="R651" s="27"/>
      <c r="S651" s="58"/>
      <c r="T651" s="51"/>
      <c r="U651" s="51"/>
      <c r="V651" s="51"/>
      <c r="W651" s="76" t="s">
        <v>2229</v>
      </c>
      <c r="X651" s="77">
        <v>167.7</v>
      </c>
      <c r="Y651" s="78">
        <v>0</v>
      </c>
      <c r="Z651" s="29"/>
      <c r="AA651" s="79">
        <v>167.7</v>
      </c>
      <c r="AB651" s="79">
        <v>167.7</v>
      </c>
      <c r="AC651" s="78">
        <v>0</v>
      </c>
      <c r="AD651" s="29"/>
      <c r="AE651" s="63" t="s">
        <v>219</v>
      </c>
      <c r="AF651" s="63">
        <v>1</v>
      </c>
      <c r="AG651" s="63">
        <v>1</v>
      </c>
      <c r="AH651" s="29"/>
      <c r="AI651" s="27"/>
      <c r="AJ651" s="29"/>
      <c r="AK651" s="77">
        <v>0</v>
      </c>
      <c r="AL651" s="27"/>
      <c r="AM651" s="27"/>
      <c r="AN651" s="27"/>
      <c r="AO651" s="27"/>
      <c r="AP651" s="27"/>
      <c r="AQ651" s="27"/>
      <c r="AR651" s="27"/>
      <c r="AS651" s="27"/>
      <c r="AT651" s="27"/>
      <c r="AU651" s="27"/>
      <c r="AV651" s="27"/>
      <c r="AW651" s="27"/>
      <c r="AX651" s="27"/>
      <c r="AY651" s="27"/>
      <c r="AZ651" s="27"/>
      <c r="BA651" s="41" t="s">
        <v>230</v>
      </c>
      <c r="BB651" s="41" t="s">
        <v>235</v>
      </c>
      <c r="BC651" s="41" t="s">
        <v>234</v>
      </c>
      <c r="BD651" s="41" t="s">
        <v>2200</v>
      </c>
    </row>
    <row r="652" spans="1:56" ht="18" customHeight="1" outlineLevel="1">
      <c r="A652" s="19">
        <v>810</v>
      </c>
      <c r="B652" s="19">
        <v>523001229</v>
      </c>
      <c r="C652" s="19">
        <v>523001229</v>
      </c>
      <c r="D652" s="50" t="s">
        <v>22</v>
      </c>
      <c r="E652" s="19" t="s">
        <v>1633</v>
      </c>
      <c r="F652" s="19" t="s">
        <v>2220</v>
      </c>
      <c r="G652" s="19" t="s">
        <v>2221</v>
      </c>
      <c r="H652" s="69" t="s">
        <v>2230</v>
      </c>
      <c r="I652" s="70" t="s">
        <v>2213</v>
      </c>
      <c r="J652" s="70" t="s">
        <v>2231</v>
      </c>
      <c r="K652" s="71">
        <v>1</v>
      </c>
      <c r="L652" s="72">
        <v>523001229</v>
      </c>
      <c r="M652" s="72" t="s">
        <v>2232</v>
      </c>
      <c r="N652" s="73">
        <v>167.7</v>
      </c>
      <c r="O652" s="74" t="s">
        <v>279</v>
      </c>
      <c r="P652" s="73">
        <v>259.95</v>
      </c>
      <c r="Q652" s="80" t="s">
        <v>279</v>
      </c>
      <c r="W652" s="76" t="s">
        <v>2233</v>
      </c>
      <c r="X652" s="77">
        <v>167.7</v>
      </c>
      <c r="Y652" s="78">
        <v>0</v>
      </c>
      <c r="AA652" s="79">
        <v>167.7</v>
      </c>
      <c r="AB652" s="79">
        <v>167.7</v>
      </c>
      <c r="AC652" s="78">
        <v>0</v>
      </c>
      <c r="AE652" s="63" t="s">
        <v>219</v>
      </c>
      <c r="AF652" s="63">
        <v>1</v>
      </c>
      <c r="AG652" s="63">
        <v>1</v>
      </c>
      <c r="AK652" s="77">
        <v>0</v>
      </c>
      <c r="BA652" s="41" t="s">
        <v>230</v>
      </c>
      <c r="BB652" s="41" t="s">
        <v>235</v>
      </c>
      <c r="BC652" s="41" t="s">
        <v>234</v>
      </c>
      <c r="BD652" s="41" t="s">
        <v>2200</v>
      </c>
    </row>
    <row r="653" spans="1:56" s="57" customFormat="1" ht="18" customHeight="1" outlineLevel="1">
      <c r="A653" s="49">
        <v>811</v>
      </c>
      <c r="B653" s="19">
        <v>523001231</v>
      </c>
      <c r="C653" s="19">
        <v>523001231</v>
      </c>
      <c r="D653" s="50" t="s">
        <v>22</v>
      </c>
      <c r="E653" s="19" t="s">
        <v>1633</v>
      </c>
      <c r="F653" s="19" t="s">
        <v>2220</v>
      </c>
      <c r="G653" s="19" t="s">
        <v>2221</v>
      </c>
      <c r="H653" s="69" t="s">
        <v>2234</v>
      </c>
      <c r="I653" s="64" t="s">
        <v>2217</v>
      </c>
      <c r="J653" s="70" t="s">
        <v>2235</v>
      </c>
      <c r="K653" s="53">
        <v>1</v>
      </c>
      <c r="L653" s="20">
        <v>523001231</v>
      </c>
      <c r="M653" s="72" t="s">
        <v>2236</v>
      </c>
      <c r="N653" s="54">
        <v>167.7</v>
      </c>
      <c r="O653" s="56" t="s">
        <v>279</v>
      </c>
      <c r="P653" s="54">
        <v>259.95</v>
      </c>
      <c r="Q653" s="56" t="s">
        <v>279</v>
      </c>
      <c r="R653" s="27"/>
      <c r="S653" s="58"/>
      <c r="T653" s="51"/>
      <c r="U653" s="51"/>
      <c r="V653" s="51"/>
      <c r="W653" s="76" t="s">
        <v>2237</v>
      </c>
      <c r="X653" s="77">
        <v>167.7</v>
      </c>
      <c r="Y653" s="78">
        <v>0</v>
      </c>
      <c r="Z653" s="29"/>
      <c r="AA653" s="79">
        <v>167.7</v>
      </c>
      <c r="AB653" s="79">
        <v>167.7</v>
      </c>
      <c r="AC653" s="78">
        <v>0</v>
      </c>
      <c r="AD653" s="29"/>
      <c r="AE653" s="63" t="s">
        <v>219</v>
      </c>
      <c r="AF653" s="63">
        <v>1</v>
      </c>
      <c r="AG653" s="63">
        <v>1</v>
      </c>
      <c r="AH653" s="29"/>
      <c r="AI653" s="27"/>
      <c r="AJ653" s="29"/>
      <c r="AK653" s="77">
        <v>0</v>
      </c>
      <c r="AL653" s="27"/>
      <c r="AM653" s="27"/>
      <c r="AN653" s="27"/>
      <c r="AO653" s="27"/>
      <c r="AP653" s="27"/>
      <c r="AQ653" s="27"/>
      <c r="AR653" s="27"/>
      <c r="AS653" s="27"/>
      <c r="AT653" s="27"/>
      <c r="AU653" s="27"/>
      <c r="AV653" s="27"/>
      <c r="AW653" s="27"/>
      <c r="AX653" s="27"/>
      <c r="AY653" s="27"/>
      <c r="AZ653" s="27"/>
      <c r="BA653" s="41" t="s">
        <v>230</v>
      </c>
      <c r="BB653" s="41" t="s">
        <v>235</v>
      </c>
      <c r="BC653" s="41" t="s">
        <v>234</v>
      </c>
      <c r="BD653" s="41" t="s">
        <v>2200</v>
      </c>
    </row>
    <row r="654" spans="1:56" ht="27" customHeight="1" outlineLevel="1">
      <c r="A654" s="19">
        <v>812</v>
      </c>
      <c r="B654" s="19" t="s">
        <v>219</v>
      </c>
      <c r="C654" s="19" t="s">
        <v>219</v>
      </c>
      <c r="D654" s="50" t="s">
        <v>219</v>
      </c>
      <c r="E654" s="19" t="s">
        <v>219</v>
      </c>
      <c r="F654" s="19" t="s">
        <v>219</v>
      </c>
      <c r="G654" s="19" t="s">
        <v>219</v>
      </c>
      <c r="H654" s="81" t="s">
        <v>219</v>
      </c>
      <c r="I654" s="70" t="s">
        <v>219</v>
      </c>
      <c r="J654" s="70" t="s">
        <v>219</v>
      </c>
      <c r="K654" s="71" t="s">
        <v>219</v>
      </c>
      <c r="L654" s="72" t="s">
        <v>219</v>
      </c>
      <c r="M654" s="72" t="s">
        <v>219</v>
      </c>
      <c r="N654" s="73" t="s">
        <v>219</v>
      </c>
      <c r="O654" s="74" t="s">
        <v>219</v>
      </c>
      <c r="P654" s="73" t="s">
        <v>219</v>
      </c>
      <c r="Q654" s="80" t="s">
        <v>219</v>
      </c>
      <c r="W654" s="76" t="s">
        <v>219</v>
      </c>
      <c r="X654" s="77" t="s">
        <v>219</v>
      </c>
      <c r="Y654" s="78">
        <v>0</v>
      </c>
      <c r="AA654" s="79" t="s">
        <v>219</v>
      </c>
      <c r="AB654" s="79" t="s">
        <v>219</v>
      </c>
      <c r="AC654" s="78">
        <v>0</v>
      </c>
      <c r="AE654" s="63" t="s">
        <v>230</v>
      </c>
      <c r="AF654" s="63">
        <v>0</v>
      </c>
      <c r="AG654" s="63" t="s">
        <v>219</v>
      </c>
      <c r="AK654" s="77">
        <v>0</v>
      </c>
      <c r="BA654" s="41" t="s">
        <v>230</v>
      </c>
      <c r="BB654" s="41" t="s">
        <v>235</v>
      </c>
      <c r="BC654" s="41" t="s">
        <v>234</v>
      </c>
      <c r="BD654" s="41" t="s">
        <v>2200</v>
      </c>
    </row>
    <row r="655" spans="1:56" ht="18" customHeight="1" outlineLevel="1">
      <c r="A655" s="19">
        <v>813</v>
      </c>
      <c r="B655" s="19">
        <v>523001233</v>
      </c>
      <c r="C655" s="19">
        <v>523001233</v>
      </c>
      <c r="D655" s="50" t="s">
        <v>22</v>
      </c>
      <c r="E655" s="19" t="s">
        <v>1633</v>
      </c>
      <c r="F655" s="19" t="s">
        <v>2238</v>
      </c>
      <c r="G655" s="19" t="s">
        <v>2239</v>
      </c>
      <c r="H655" s="69" t="s">
        <v>2240</v>
      </c>
      <c r="I655" s="70" t="s">
        <v>2204</v>
      </c>
      <c r="J655" s="70" t="s">
        <v>289</v>
      </c>
      <c r="K655" s="71">
        <v>1</v>
      </c>
      <c r="L655" s="72">
        <v>523001233</v>
      </c>
      <c r="M655" s="72" t="s">
        <v>2241</v>
      </c>
      <c r="N655" s="73">
        <v>174.1</v>
      </c>
      <c r="O655" s="74" t="s">
        <v>279</v>
      </c>
      <c r="P655" s="73">
        <v>269.95</v>
      </c>
      <c r="Q655" s="80" t="s">
        <v>279</v>
      </c>
      <c r="W655" s="76" t="s">
        <v>2242</v>
      </c>
      <c r="X655" s="77">
        <v>174.1</v>
      </c>
      <c r="Y655" s="78">
        <v>0</v>
      </c>
      <c r="AA655" s="79">
        <v>174.1</v>
      </c>
      <c r="AB655" s="79">
        <v>174.1</v>
      </c>
      <c r="AC655" s="78">
        <v>0</v>
      </c>
      <c r="AE655" s="63" t="s">
        <v>219</v>
      </c>
      <c r="AF655" s="63">
        <v>0</v>
      </c>
      <c r="AG655" s="63">
        <v>0</v>
      </c>
      <c r="AK655" s="77">
        <v>0</v>
      </c>
      <c r="BA655" s="41" t="s">
        <v>230</v>
      </c>
      <c r="BB655" s="41" t="s">
        <v>235</v>
      </c>
      <c r="BC655" s="41" t="s">
        <v>234</v>
      </c>
      <c r="BD655" s="41" t="s">
        <v>2200</v>
      </c>
    </row>
    <row r="656" spans="1:56" s="57" customFormat="1" ht="18" customHeight="1" outlineLevel="1">
      <c r="A656" s="49">
        <v>814</v>
      </c>
      <c r="B656" s="19">
        <v>523001235</v>
      </c>
      <c r="C656" s="19">
        <v>523001235</v>
      </c>
      <c r="D656" s="50" t="s">
        <v>22</v>
      </c>
      <c r="E656" s="19" t="s">
        <v>1633</v>
      </c>
      <c r="F656" s="19" t="s">
        <v>2238</v>
      </c>
      <c r="G656" s="19" t="s">
        <v>2239</v>
      </c>
      <c r="H656" s="69" t="s">
        <v>2243</v>
      </c>
      <c r="I656" s="64" t="s">
        <v>2208</v>
      </c>
      <c r="J656" s="70" t="s">
        <v>2209</v>
      </c>
      <c r="K656" s="53">
        <v>1</v>
      </c>
      <c r="L656" s="20">
        <v>523001235</v>
      </c>
      <c r="M656" s="72" t="s">
        <v>2244</v>
      </c>
      <c r="N656" s="54">
        <v>174.1</v>
      </c>
      <c r="O656" s="56" t="s">
        <v>279</v>
      </c>
      <c r="P656" s="54">
        <v>269.95</v>
      </c>
      <c r="Q656" s="56" t="s">
        <v>279</v>
      </c>
      <c r="R656" s="27"/>
      <c r="S656" s="58"/>
      <c r="T656" s="51"/>
      <c r="U656" s="51"/>
      <c r="V656" s="51"/>
      <c r="W656" s="76" t="s">
        <v>2245</v>
      </c>
      <c r="X656" s="77">
        <v>174.1</v>
      </c>
      <c r="Y656" s="78">
        <v>0</v>
      </c>
      <c r="Z656" s="29"/>
      <c r="AA656" s="79">
        <v>174.1</v>
      </c>
      <c r="AB656" s="79">
        <v>174.1</v>
      </c>
      <c r="AC656" s="78">
        <v>0</v>
      </c>
      <c r="AD656" s="29"/>
      <c r="AE656" s="63" t="s">
        <v>219</v>
      </c>
      <c r="AF656" s="63">
        <v>0</v>
      </c>
      <c r="AG656" s="63">
        <v>0</v>
      </c>
      <c r="AH656" s="29"/>
      <c r="AI656" s="27"/>
      <c r="AJ656" s="29"/>
      <c r="AK656" s="77">
        <v>0</v>
      </c>
      <c r="AL656" s="27"/>
      <c r="AM656" s="27"/>
      <c r="AN656" s="27"/>
      <c r="AO656" s="27"/>
      <c r="AP656" s="27"/>
      <c r="AQ656" s="27"/>
      <c r="AR656" s="27"/>
      <c r="AS656" s="27"/>
      <c r="AT656" s="27"/>
      <c r="AU656" s="27"/>
      <c r="AV656" s="27"/>
      <c r="AW656" s="27"/>
      <c r="AX656" s="27"/>
      <c r="AY656" s="27"/>
      <c r="AZ656" s="27"/>
      <c r="BA656" s="41" t="s">
        <v>230</v>
      </c>
      <c r="BB656" s="41" t="s">
        <v>235</v>
      </c>
      <c r="BC656" s="41" t="s">
        <v>234</v>
      </c>
      <c r="BD656" s="41" t="s">
        <v>2200</v>
      </c>
    </row>
    <row r="657" spans="1:56" ht="18" customHeight="1" outlineLevel="1">
      <c r="A657" s="19">
        <v>815</v>
      </c>
      <c r="B657" s="19">
        <v>523001237</v>
      </c>
      <c r="C657" s="19">
        <v>523001237</v>
      </c>
      <c r="D657" s="50" t="s">
        <v>22</v>
      </c>
      <c r="E657" s="19" t="s">
        <v>1633</v>
      </c>
      <c r="F657" s="19" t="s">
        <v>2238</v>
      </c>
      <c r="G657" s="19" t="s">
        <v>2239</v>
      </c>
      <c r="H657" s="69" t="s">
        <v>2246</v>
      </c>
      <c r="I657" s="70" t="s">
        <v>2213</v>
      </c>
      <c r="J657" s="70" t="s">
        <v>324</v>
      </c>
      <c r="K657" s="71">
        <v>1</v>
      </c>
      <c r="L657" s="72">
        <v>523001237</v>
      </c>
      <c r="M657" s="72" t="s">
        <v>2247</v>
      </c>
      <c r="N657" s="73">
        <v>174.1</v>
      </c>
      <c r="O657" s="74" t="s">
        <v>279</v>
      </c>
      <c r="P657" s="73">
        <v>269.95</v>
      </c>
      <c r="Q657" s="80" t="s">
        <v>279</v>
      </c>
      <c r="W657" s="76" t="s">
        <v>2248</v>
      </c>
      <c r="X657" s="77">
        <v>174.1</v>
      </c>
      <c r="Y657" s="78">
        <v>0</v>
      </c>
      <c r="AA657" s="79">
        <v>174.1</v>
      </c>
      <c r="AB657" s="79">
        <v>174.1</v>
      </c>
      <c r="AC657" s="78">
        <v>0</v>
      </c>
      <c r="AE657" s="63" t="s">
        <v>219</v>
      </c>
      <c r="AF657" s="63">
        <v>0</v>
      </c>
      <c r="AG657" s="63">
        <v>0</v>
      </c>
      <c r="AK657" s="77">
        <v>0</v>
      </c>
      <c r="BA657" s="41" t="s">
        <v>230</v>
      </c>
      <c r="BB657" s="41" t="s">
        <v>235</v>
      </c>
      <c r="BC657" s="41" t="s">
        <v>234</v>
      </c>
      <c r="BD657" s="41" t="s">
        <v>2200</v>
      </c>
    </row>
    <row r="658" spans="1:56" s="57" customFormat="1" ht="18" customHeight="1" outlineLevel="1">
      <c r="A658" s="49">
        <v>816</v>
      </c>
      <c r="B658" s="19">
        <v>523001239</v>
      </c>
      <c r="C658" s="19">
        <v>523001239</v>
      </c>
      <c r="D658" s="50" t="s">
        <v>22</v>
      </c>
      <c r="E658" s="19" t="s">
        <v>1633</v>
      </c>
      <c r="F658" s="19" t="s">
        <v>2238</v>
      </c>
      <c r="G658" s="19" t="s">
        <v>2239</v>
      </c>
      <c r="H658" s="69" t="s">
        <v>2249</v>
      </c>
      <c r="I658" s="64" t="s">
        <v>2217</v>
      </c>
      <c r="J658" s="70" t="s">
        <v>521</v>
      </c>
      <c r="K658" s="53">
        <v>1</v>
      </c>
      <c r="L658" s="20">
        <v>523001239</v>
      </c>
      <c r="M658" s="72" t="s">
        <v>2250</v>
      </c>
      <c r="N658" s="54">
        <v>174.1</v>
      </c>
      <c r="O658" s="56" t="s">
        <v>279</v>
      </c>
      <c r="P658" s="54">
        <v>269.95</v>
      </c>
      <c r="Q658" s="56" t="s">
        <v>279</v>
      </c>
      <c r="R658" s="27"/>
      <c r="S658" s="58"/>
      <c r="T658" s="51"/>
      <c r="U658" s="51"/>
      <c r="V658" s="51"/>
      <c r="W658" s="76" t="s">
        <v>2251</v>
      </c>
      <c r="X658" s="77">
        <v>174.1</v>
      </c>
      <c r="Y658" s="78">
        <v>0</v>
      </c>
      <c r="Z658" s="29"/>
      <c r="AA658" s="79">
        <v>174.1</v>
      </c>
      <c r="AB658" s="79">
        <v>174.1</v>
      </c>
      <c r="AC658" s="78">
        <v>0</v>
      </c>
      <c r="AD658" s="29"/>
      <c r="AE658" s="63" t="s">
        <v>219</v>
      </c>
      <c r="AF658" s="63">
        <v>0</v>
      </c>
      <c r="AG658" s="63">
        <v>0</v>
      </c>
      <c r="AH658" s="29"/>
      <c r="AI658" s="27"/>
      <c r="AJ658" s="29"/>
      <c r="AK658" s="77">
        <v>0</v>
      </c>
      <c r="AL658" s="27"/>
      <c r="AM658" s="27"/>
      <c r="AN658" s="27"/>
      <c r="AO658" s="27"/>
      <c r="AP658" s="27"/>
      <c r="AQ658" s="27"/>
      <c r="AR658" s="27"/>
      <c r="AS658" s="27"/>
      <c r="AT658" s="27"/>
      <c r="AU658" s="27"/>
      <c r="AV658" s="27"/>
      <c r="AW658" s="27"/>
      <c r="AX658" s="27"/>
      <c r="AY658" s="27"/>
      <c r="AZ658" s="27"/>
      <c r="BA658" s="41" t="s">
        <v>230</v>
      </c>
      <c r="BB658" s="41" t="s">
        <v>235</v>
      </c>
      <c r="BC658" s="41" t="s">
        <v>234</v>
      </c>
      <c r="BD658" s="41" t="s">
        <v>2200</v>
      </c>
    </row>
    <row r="659" spans="1:56" s="57" customFormat="1" ht="27" customHeight="1" outlineLevel="1">
      <c r="A659" s="49">
        <v>817</v>
      </c>
      <c r="B659" s="19" t="s">
        <v>219</v>
      </c>
      <c r="C659" s="19" t="s">
        <v>219</v>
      </c>
      <c r="D659" s="50" t="s">
        <v>219</v>
      </c>
      <c r="E659" s="19" t="s">
        <v>219</v>
      </c>
      <c r="F659" s="19" t="s">
        <v>219</v>
      </c>
      <c r="G659" s="19" t="s">
        <v>219</v>
      </c>
      <c r="H659" s="81" t="s">
        <v>219</v>
      </c>
      <c r="I659" s="64" t="s">
        <v>219</v>
      </c>
      <c r="J659" s="70" t="s">
        <v>219</v>
      </c>
      <c r="K659" s="53" t="s">
        <v>219</v>
      </c>
      <c r="L659" s="20" t="s">
        <v>219</v>
      </c>
      <c r="M659" s="72" t="s">
        <v>219</v>
      </c>
      <c r="N659" s="54" t="s">
        <v>219</v>
      </c>
      <c r="O659" s="56" t="s">
        <v>219</v>
      </c>
      <c r="P659" s="54" t="s">
        <v>219</v>
      </c>
      <c r="Q659" s="56" t="s">
        <v>219</v>
      </c>
      <c r="R659" s="27"/>
      <c r="S659" s="58"/>
      <c r="T659" s="51"/>
      <c r="U659" s="51"/>
      <c r="V659" s="51"/>
      <c r="W659" s="76" t="s">
        <v>219</v>
      </c>
      <c r="X659" s="77" t="s">
        <v>219</v>
      </c>
      <c r="Y659" s="78">
        <v>0</v>
      </c>
      <c r="Z659" s="29"/>
      <c r="AA659" s="79" t="s">
        <v>219</v>
      </c>
      <c r="AB659" s="79" t="s">
        <v>219</v>
      </c>
      <c r="AC659" s="78">
        <v>0</v>
      </c>
      <c r="AD659" s="29"/>
      <c r="AE659" s="63" t="s">
        <v>230</v>
      </c>
      <c r="AF659" s="63">
        <v>1</v>
      </c>
      <c r="AG659" s="63" t="s">
        <v>219</v>
      </c>
      <c r="AH659" s="29"/>
      <c r="AI659" s="27"/>
      <c r="AJ659" s="29"/>
      <c r="AK659" s="77">
        <v>0</v>
      </c>
      <c r="AL659" s="27"/>
      <c r="AM659" s="27"/>
      <c r="AN659" s="27"/>
      <c r="AO659" s="27"/>
      <c r="AP659" s="27"/>
      <c r="AQ659" s="27"/>
      <c r="AR659" s="27"/>
      <c r="AS659" s="27"/>
      <c r="AT659" s="27"/>
      <c r="AU659" s="27"/>
      <c r="AV659" s="27"/>
      <c r="AW659" s="27"/>
      <c r="AX659" s="27"/>
      <c r="AY659" s="27"/>
      <c r="AZ659" s="27"/>
      <c r="BA659" s="41" t="s">
        <v>230</v>
      </c>
      <c r="BB659" s="41" t="s">
        <v>235</v>
      </c>
      <c r="BC659" s="41" t="s">
        <v>234</v>
      </c>
      <c r="BD659" s="41" t="s">
        <v>2200</v>
      </c>
    </row>
    <row r="660" spans="1:56" ht="18" customHeight="1" outlineLevel="1">
      <c r="A660" s="19">
        <v>818</v>
      </c>
      <c r="B660" s="19">
        <v>523001241</v>
      </c>
      <c r="C660" s="19">
        <v>523001241</v>
      </c>
      <c r="D660" s="50" t="s">
        <v>22</v>
      </c>
      <c r="E660" s="19" t="s">
        <v>1633</v>
      </c>
      <c r="F660" s="19" t="s">
        <v>2252</v>
      </c>
      <c r="G660" s="19" t="s">
        <v>2253</v>
      </c>
      <c r="H660" s="69" t="s">
        <v>2254</v>
      </c>
      <c r="I660" s="70" t="s">
        <v>2204</v>
      </c>
      <c r="J660" s="70" t="s">
        <v>2223</v>
      </c>
      <c r="K660" s="71">
        <v>1</v>
      </c>
      <c r="L660" s="72">
        <v>523001241</v>
      </c>
      <c r="M660" s="72" t="s">
        <v>2255</v>
      </c>
      <c r="N660" s="73">
        <v>180.5</v>
      </c>
      <c r="O660" s="74" t="s">
        <v>279</v>
      </c>
      <c r="P660" s="73">
        <v>279.95</v>
      </c>
      <c r="Q660" s="80" t="s">
        <v>279</v>
      </c>
      <c r="W660" s="76" t="s">
        <v>2256</v>
      </c>
      <c r="X660" s="77">
        <v>180.5</v>
      </c>
      <c r="Y660" s="78">
        <v>0</v>
      </c>
      <c r="AA660" s="79">
        <v>180.5</v>
      </c>
      <c r="AB660" s="79">
        <v>180.5</v>
      </c>
      <c r="AC660" s="78">
        <v>0</v>
      </c>
      <c r="AE660" s="63" t="s">
        <v>219</v>
      </c>
      <c r="AF660" s="63">
        <v>1</v>
      </c>
      <c r="AG660" s="63">
        <v>1</v>
      </c>
      <c r="AK660" s="77">
        <v>0</v>
      </c>
      <c r="BA660" s="41" t="s">
        <v>230</v>
      </c>
      <c r="BB660" s="41" t="s">
        <v>235</v>
      </c>
      <c r="BC660" s="41" t="s">
        <v>234</v>
      </c>
      <c r="BD660" s="41" t="s">
        <v>2200</v>
      </c>
    </row>
    <row r="661" spans="1:56" s="57" customFormat="1" ht="18" customHeight="1" outlineLevel="1">
      <c r="A661" s="49">
        <v>819</v>
      </c>
      <c r="B661" s="19">
        <v>523001243</v>
      </c>
      <c r="C661" s="19">
        <v>523001243</v>
      </c>
      <c r="D661" s="50" t="s">
        <v>22</v>
      </c>
      <c r="E661" s="19" t="s">
        <v>1633</v>
      </c>
      <c r="F661" s="19" t="s">
        <v>2252</v>
      </c>
      <c r="G661" s="19" t="s">
        <v>2253</v>
      </c>
      <c r="H661" s="69" t="s">
        <v>2257</v>
      </c>
      <c r="I661" s="64" t="s">
        <v>2208</v>
      </c>
      <c r="J661" s="70" t="s">
        <v>2227</v>
      </c>
      <c r="K661" s="53">
        <v>1</v>
      </c>
      <c r="L661" s="20">
        <v>523001243</v>
      </c>
      <c r="M661" s="72" t="s">
        <v>2258</v>
      </c>
      <c r="N661" s="54">
        <v>180.5</v>
      </c>
      <c r="O661" s="56" t="s">
        <v>279</v>
      </c>
      <c r="P661" s="54">
        <v>279.95</v>
      </c>
      <c r="Q661" s="56" t="s">
        <v>279</v>
      </c>
      <c r="R661" s="27"/>
      <c r="S661" s="58"/>
      <c r="T661" s="51"/>
      <c r="U661" s="51"/>
      <c r="V661" s="51"/>
      <c r="W661" s="76" t="s">
        <v>2259</v>
      </c>
      <c r="X661" s="77">
        <v>180.5</v>
      </c>
      <c r="Y661" s="78">
        <v>0</v>
      </c>
      <c r="Z661" s="29"/>
      <c r="AA661" s="79">
        <v>180.5</v>
      </c>
      <c r="AB661" s="79">
        <v>180.5</v>
      </c>
      <c r="AC661" s="78">
        <v>0</v>
      </c>
      <c r="AD661" s="29"/>
      <c r="AE661" s="63" t="s">
        <v>219</v>
      </c>
      <c r="AF661" s="63">
        <v>1</v>
      </c>
      <c r="AG661" s="63">
        <v>1</v>
      </c>
      <c r="AH661" s="29"/>
      <c r="AI661" s="27"/>
      <c r="AJ661" s="29"/>
      <c r="AK661" s="77">
        <v>0</v>
      </c>
      <c r="AL661" s="27"/>
      <c r="AM661" s="27"/>
      <c r="AN661" s="27"/>
      <c r="AO661" s="27"/>
      <c r="AP661" s="27"/>
      <c r="AQ661" s="27"/>
      <c r="AR661" s="27"/>
      <c r="AS661" s="27"/>
      <c r="AT661" s="27"/>
      <c r="AU661" s="27"/>
      <c r="AV661" s="27"/>
      <c r="AW661" s="27"/>
      <c r="AX661" s="27"/>
      <c r="AY661" s="27"/>
      <c r="AZ661" s="27"/>
      <c r="BA661" s="41" t="s">
        <v>230</v>
      </c>
      <c r="BB661" s="41" t="s">
        <v>235</v>
      </c>
      <c r="BC661" s="41" t="s">
        <v>234</v>
      </c>
      <c r="BD661" s="41" t="s">
        <v>2200</v>
      </c>
    </row>
    <row r="662" spans="1:56" ht="18" customHeight="1" outlineLevel="1">
      <c r="A662" s="19">
        <v>820</v>
      </c>
      <c r="B662" s="19">
        <v>523001245</v>
      </c>
      <c r="C662" s="19">
        <v>523001245</v>
      </c>
      <c r="D662" s="50" t="s">
        <v>22</v>
      </c>
      <c r="E662" s="19" t="s">
        <v>1633</v>
      </c>
      <c r="F662" s="19" t="s">
        <v>2252</v>
      </c>
      <c r="G662" s="19" t="s">
        <v>2253</v>
      </c>
      <c r="H662" s="69" t="s">
        <v>2260</v>
      </c>
      <c r="I662" s="70" t="s">
        <v>2213</v>
      </c>
      <c r="J662" s="70" t="s">
        <v>2231</v>
      </c>
      <c r="K662" s="71">
        <v>1</v>
      </c>
      <c r="L662" s="72">
        <v>523001245</v>
      </c>
      <c r="M662" s="72" t="s">
        <v>2261</v>
      </c>
      <c r="N662" s="73">
        <v>180.5</v>
      </c>
      <c r="O662" s="74" t="s">
        <v>279</v>
      </c>
      <c r="P662" s="73">
        <v>279.95</v>
      </c>
      <c r="Q662" s="80" t="s">
        <v>279</v>
      </c>
      <c r="W662" s="76" t="s">
        <v>2262</v>
      </c>
      <c r="X662" s="77">
        <v>180.5</v>
      </c>
      <c r="Y662" s="78">
        <v>0</v>
      </c>
      <c r="AA662" s="79">
        <v>180.5</v>
      </c>
      <c r="AB662" s="79">
        <v>180.5</v>
      </c>
      <c r="AC662" s="78">
        <v>0</v>
      </c>
      <c r="AE662" s="63" t="s">
        <v>219</v>
      </c>
      <c r="AF662" s="63">
        <v>1</v>
      </c>
      <c r="AG662" s="63">
        <v>1</v>
      </c>
      <c r="AK662" s="77">
        <v>0</v>
      </c>
      <c r="BA662" s="41" t="s">
        <v>230</v>
      </c>
      <c r="BB662" s="41" t="s">
        <v>235</v>
      </c>
      <c r="BC662" s="41" t="s">
        <v>234</v>
      </c>
      <c r="BD662" s="41" t="s">
        <v>2200</v>
      </c>
    </row>
    <row r="663" spans="1:56" s="57" customFormat="1" ht="18" customHeight="1" outlineLevel="1">
      <c r="A663" s="49">
        <v>821</v>
      </c>
      <c r="B663" s="19">
        <v>523001247</v>
      </c>
      <c r="C663" s="19">
        <v>523001247</v>
      </c>
      <c r="D663" s="50" t="s">
        <v>22</v>
      </c>
      <c r="E663" s="19" t="s">
        <v>1633</v>
      </c>
      <c r="F663" s="19" t="s">
        <v>2252</v>
      </c>
      <c r="G663" s="19" t="s">
        <v>2253</v>
      </c>
      <c r="H663" s="69" t="s">
        <v>2263</v>
      </c>
      <c r="I663" s="64" t="s">
        <v>2217</v>
      </c>
      <c r="J663" s="70" t="s">
        <v>2235</v>
      </c>
      <c r="K663" s="53">
        <v>1</v>
      </c>
      <c r="L663" s="20">
        <v>523001247</v>
      </c>
      <c r="M663" s="72" t="s">
        <v>2264</v>
      </c>
      <c r="N663" s="54">
        <v>180.5</v>
      </c>
      <c r="O663" s="56" t="s">
        <v>279</v>
      </c>
      <c r="P663" s="54">
        <v>279.95</v>
      </c>
      <c r="Q663" s="56" t="s">
        <v>279</v>
      </c>
      <c r="R663" s="27"/>
      <c r="S663" s="58"/>
      <c r="T663" s="51"/>
      <c r="U663" s="51"/>
      <c r="V663" s="51"/>
      <c r="W663" s="76" t="s">
        <v>2265</v>
      </c>
      <c r="X663" s="77">
        <v>180.5</v>
      </c>
      <c r="Y663" s="78">
        <v>0</v>
      </c>
      <c r="Z663" s="29"/>
      <c r="AA663" s="79">
        <v>180.5</v>
      </c>
      <c r="AB663" s="79">
        <v>180.5</v>
      </c>
      <c r="AC663" s="78">
        <v>0</v>
      </c>
      <c r="AD663" s="29"/>
      <c r="AE663" s="63" t="s">
        <v>219</v>
      </c>
      <c r="AF663" s="63">
        <v>1</v>
      </c>
      <c r="AG663" s="63">
        <v>1</v>
      </c>
      <c r="AH663" s="29"/>
      <c r="AI663" s="27"/>
      <c r="AJ663" s="29"/>
      <c r="AK663" s="77">
        <v>0</v>
      </c>
      <c r="AL663" s="27"/>
      <c r="AM663" s="27"/>
      <c r="AN663" s="27"/>
      <c r="AO663" s="27"/>
      <c r="AP663" s="27"/>
      <c r="AQ663" s="27"/>
      <c r="AR663" s="27"/>
      <c r="AS663" s="27"/>
      <c r="AT663" s="27"/>
      <c r="AU663" s="27"/>
      <c r="AV663" s="27"/>
      <c r="AW663" s="27"/>
      <c r="AX663" s="27"/>
      <c r="AY663" s="27"/>
      <c r="AZ663" s="27"/>
      <c r="BA663" s="41" t="s">
        <v>230</v>
      </c>
      <c r="BB663" s="41" t="s">
        <v>235</v>
      </c>
      <c r="BC663" s="41" t="s">
        <v>234</v>
      </c>
      <c r="BD663" s="41" t="s">
        <v>2200</v>
      </c>
    </row>
    <row r="664" spans="1:56" s="57" customFormat="1" ht="27" customHeight="1" outlineLevel="1">
      <c r="A664" s="49">
        <v>822</v>
      </c>
      <c r="B664" s="19" t="s">
        <v>219</v>
      </c>
      <c r="C664" s="19" t="s">
        <v>219</v>
      </c>
      <c r="D664" s="50" t="s">
        <v>219</v>
      </c>
      <c r="E664" s="19" t="s">
        <v>219</v>
      </c>
      <c r="F664" s="19" t="s">
        <v>219</v>
      </c>
      <c r="G664" s="19" t="s">
        <v>219</v>
      </c>
      <c r="H664" s="81" t="s">
        <v>219</v>
      </c>
      <c r="I664" s="64" t="s">
        <v>219</v>
      </c>
      <c r="J664" s="70" t="s">
        <v>219</v>
      </c>
      <c r="K664" s="53" t="s">
        <v>219</v>
      </c>
      <c r="L664" s="20" t="s">
        <v>219</v>
      </c>
      <c r="M664" s="72" t="s">
        <v>219</v>
      </c>
      <c r="N664" s="54" t="s">
        <v>219</v>
      </c>
      <c r="O664" s="56" t="s">
        <v>219</v>
      </c>
      <c r="P664" s="54" t="s">
        <v>219</v>
      </c>
      <c r="Q664" s="56" t="s">
        <v>219</v>
      </c>
      <c r="R664" s="27"/>
      <c r="S664" s="58"/>
      <c r="T664" s="51"/>
      <c r="U664" s="51"/>
      <c r="V664" s="51"/>
      <c r="W664" s="76" t="s">
        <v>219</v>
      </c>
      <c r="X664" s="77" t="s">
        <v>219</v>
      </c>
      <c r="Y664" s="78">
        <v>0</v>
      </c>
      <c r="Z664" s="29"/>
      <c r="AA664" s="79" t="s">
        <v>219</v>
      </c>
      <c r="AB664" s="79" t="s">
        <v>219</v>
      </c>
      <c r="AC664" s="78">
        <v>0</v>
      </c>
      <c r="AD664" s="29"/>
      <c r="AE664" s="63" t="s">
        <v>230</v>
      </c>
      <c r="AF664" s="63">
        <v>1</v>
      </c>
      <c r="AG664" s="63" t="s">
        <v>219</v>
      </c>
      <c r="AH664" s="29"/>
      <c r="AI664" s="27"/>
      <c r="AJ664" s="29"/>
      <c r="AK664" s="77">
        <v>0</v>
      </c>
      <c r="AL664" s="27"/>
      <c r="AM664" s="27"/>
      <c r="AN664" s="27"/>
      <c r="AO664" s="27"/>
      <c r="AP664" s="27"/>
      <c r="AQ664" s="27"/>
      <c r="AR664" s="27"/>
      <c r="AS664" s="27"/>
      <c r="AT664" s="27"/>
      <c r="AU664" s="27"/>
      <c r="AV664" s="27"/>
      <c r="AW664" s="27"/>
      <c r="AX664" s="27"/>
      <c r="AY664" s="27"/>
      <c r="AZ664" s="27"/>
      <c r="BA664" s="41" t="s">
        <v>230</v>
      </c>
      <c r="BB664" s="41" t="s">
        <v>235</v>
      </c>
      <c r="BC664" s="41" t="s">
        <v>234</v>
      </c>
      <c r="BD664" s="41" t="s">
        <v>2200</v>
      </c>
    </row>
    <row r="665" spans="1:56" ht="27" customHeight="1" outlineLevel="1">
      <c r="A665" s="19">
        <v>823</v>
      </c>
      <c r="B665" s="19" t="s">
        <v>219</v>
      </c>
      <c r="C665" s="19" t="s">
        <v>219</v>
      </c>
      <c r="D665" s="50" t="s">
        <v>823</v>
      </c>
      <c r="E665" s="19" t="s">
        <v>219</v>
      </c>
      <c r="F665" s="19" t="s">
        <v>219</v>
      </c>
      <c r="G665" s="19" t="s">
        <v>219</v>
      </c>
      <c r="H665" s="81" t="s">
        <v>823</v>
      </c>
      <c r="I665" s="70" t="s">
        <v>219</v>
      </c>
      <c r="J665" s="70" t="s">
        <v>219</v>
      </c>
      <c r="K665" s="71" t="s">
        <v>219</v>
      </c>
      <c r="L665" s="72" t="s">
        <v>219</v>
      </c>
      <c r="M665" s="72" t="s">
        <v>219</v>
      </c>
      <c r="N665" s="73" t="s">
        <v>219</v>
      </c>
      <c r="O665" s="74" t="s">
        <v>219</v>
      </c>
      <c r="P665" s="73" t="s">
        <v>219</v>
      </c>
      <c r="Q665" s="80" t="s">
        <v>219</v>
      </c>
      <c r="W665" s="76" t="s">
        <v>219</v>
      </c>
      <c r="X665" s="77" t="s">
        <v>219</v>
      </c>
      <c r="Y665" s="78">
        <v>0</v>
      </c>
      <c r="AA665" s="79" t="s">
        <v>219</v>
      </c>
      <c r="AB665" s="79" t="s">
        <v>219</v>
      </c>
      <c r="AC665" s="78">
        <v>0</v>
      </c>
      <c r="AE665" s="63" t="s">
        <v>230</v>
      </c>
      <c r="AF665" s="63">
        <v>0</v>
      </c>
      <c r="AG665" s="63" t="s">
        <v>219</v>
      </c>
      <c r="AK665" s="77">
        <v>0</v>
      </c>
      <c r="BA665" s="41" t="s">
        <v>230</v>
      </c>
      <c r="BB665" s="41" t="s">
        <v>235</v>
      </c>
      <c r="BC665" s="41" t="s">
        <v>234</v>
      </c>
      <c r="BD665" s="41" t="s">
        <v>2266</v>
      </c>
    </row>
    <row r="666" spans="1:56" s="57" customFormat="1" ht="18" customHeight="1" outlineLevel="1">
      <c r="A666" s="49">
        <v>824</v>
      </c>
      <c r="B666" s="19">
        <v>522003871</v>
      </c>
      <c r="C666" s="19">
        <v>522003871</v>
      </c>
      <c r="D666" s="50" t="s">
        <v>22</v>
      </c>
      <c r="E666" s="19" t="s">
        <v>825</v>
      </c>
      <c r="F666" s="19" t="s">
        <v>2267</v>
      </c>
      <c r="G666" s="19" t="s">
        <v>2268</v>
      </c>
      <c r="H666" s="69" t="s">
        <v>2269</v>
      </c>
      <c r="I666" s="64" t="s">
        <v>2169</v>
      </c>
      <c r="J666" s="70" t="s">
        <v>289</v>
      </c>
      <c r="K666" s="53">
        <v>1</v>
      </c>
      <c r="L666" s="20">
        <v>522003871</v>
      </c>
      <c r="M666" s="72" t="s">
        <v>2270</v>
      </c>
      <c r="N666" s="54">
        <v>116.1</v>
      </c>
      <c r="O666" s="56" t="s">
        <v>279</v>
      </c>
      <c r="P666" s="54">
        <v>179.95</v>
      </c>
      <c r="Q666" s="56" t="s">
        <v>279</v>
      </c>
      <c r="R666" s="27"/>
      <c r="S666" s="58"/>
      <c r="T666" s="51"/>
      <c r="U666" s="51"/>
      <c r="V666" s="51"/>
      <c r="W666" s="76" t="s">
        <v>2271</v>
      </c>
      <c r="X666" s="77">
        <v>116.1</v>
      </c>
      <c r="Y666" s="78">
        <v>0</v>
      </c>
      <c r="Z666" s="29"/>
      <c r="AA666" s="79">
        <v>116.1</v>
      </c>
      <c r="AB666" s="79">
        <v>116.1</v>
      </c>
      <c r="AC666" s="78">
        <v>0</v>
      </c>
      <c r="AD666" s="29"/>
      <c r="AE666" s="63" t="s">
        <v>219</v>
      </c>
      <c r="AF666" s="63">
        <v>0</v>
      </c>
      <c r="AG666" s="63">
        <v>0</v>
      </c>
      <c r="AH666" s="29"/>
      <c r="AI666" s="27"/>
      <c r="AJ666" s="29"/>
      <c r="AK666" s="77">
        <v>0</v>
      </c>
      <c r="AL666" s="27"/>
      <c r="AM666" s="27"/>
      <c r="AN666" s="27"/>
      <c r="AO666" s="27"/>
      <c r="AP666" s="27"/>
      <c r="AQ666" s="27"/>
      <c r="AR666" s="27"/>
      <c r="AS666" s="27"/>
      <c r="AT666" s="27"/>
      <c r="AU666" s="27"/>
      <c r="AV666" s="27"/>
      <c r="AW666" s="27"/>
      <c r="AX666" s="27"/>
      <c r="AY666" s="27"/>
      <c r="AZ666" s="27"/>
      <c r="BA666" s="41" t="s">
        <v>230</v>
      </c>
      <c r="BB666" s="41" t="s">
        <v>235</v>
      </c>
      <c r="BC666" s="41" t="s">
        <v>234</v>
      </c>
      <c r="BD666" s="41" t="s">
        <v>2266</v>
      </c>
    </row>
    <row r="667" spans="1:56" ht="18" customHeight="1" outlineLevel="1">
      <c r="A667" s="19">
        <v>825</v>
      </c>
      <c r="B667" s="19">
        <v>522003873</v>
      </c>
      <c r="C667" s="19">
        <v>522003873</v>
      </c>
      <c r="D667" s="50" t="s">
        <v>22</v>
      </c>
      <c r="E667" s="19" t="s">
        <v>825</v>
      </c>
      <c r="F667" s="19" t="s">
        <v>2267</v>
      </c>
      <c r="G667" s="19" t="s">
        <v>2268</v>
      </c>
      <c r="H667" s="69" t="s">
        <v>2272</v>
      </c>
      <c r="I667" s="70" t="s">
        <v>2173</v>
      </c>
      <c r="J667" s="70" t="s">
        <v>2174</v>
      </c>
      <c r="K667" s="71">
        <v>1</v>
      </c>
      <c r="L667" s="72">
        <v>522003873</v>
      </c>
      <c r="M667" s="72" t="s">
        <v>2273</v>
      </c>
      <c r="N667" s="73">
        <v>116.1</v>
      </c>
      <c r="O667" s="74" t="s">
        <v>279</v>
      </c>
      <c r="P667" s="73">
        <v>179.95</v>
      </c>
      <c r="Q667" s="80" t="s">
        <v>279</v>
      </c>
      <c r="W667" s="76" t="s">
        <v>2274</v>
      </c>
      <c r="X667" s="77">
        <v>116.1</v>
      </c>
      <c r="Y667" s="78">
        <v>0</v>
      </c>
      <c r="AA667" s="79">
        <v>116.1</v>
      </c>
      <c r="AB667" s="79">
        <v>116.1</v>
      </c>
      <c r="AC667" s="78">
        <v>0</v>
      </c>
      <c r="AE667" s="63" t="s">
        <v>219</v>
      </c>
      <c r="AF667" s="63">
        <v>0</v>
      </c>
      <c r="AG667" s="63">
        <v>0</v>
      </c>
      <c r="AK667" s="77">
        <v>0</v>
      </c>
      <c r="BA667" s="41" t="s">
        <v>230</v>
      </c>
      <c r="BB667" s="41" t="s">
        <v>235</v>
      </c>
      <c r="BC667" s="41" t="s">
        <v>234</v>
      </c>
      <c r="BD667" s="41" t="s">
        <v>2266</v>
      </c>
    </row>
    <row r="668" spans="1:56" s="57" customFormat="1" ht="18" customHeight="1" outlineLevel="1">
      <c r="A668" s="49">
        <v>826</v>
      </c>
      <c r="B668" s="19">
        <v>522003875</v>
      </c>
      <c r="C668" s="19">
        <v>522003875</v>
      </c>
      <c r="D668" s="50" t="s">
        <v>22</v>
      </c>
      <c r="E668" s="19" t="s">
        <v>825</v>
      </c>
      <c r="F668" s="19" t="s">
        <v>2267</v>
      </c>
      <c r="G668" s="19" t="s">
        <v>2268</v>
      </c>
      <c r="H668" s="69" t="s">
        <v>2275</v>
      </c>
      <c r="I668" s="64" t="s">
        <v>2178</v>
      </c>
      <c r="J668" s="70" t="s">
        <v>324</v>
      </c>
      <c r="K668" s="53">
        <v>1</v>
      </c>
      <c r="L668" s="20">
        <v>522003875</v>
      </c>
      <c r="M668" s="72" t="s">
        <v>2276</v>
      </c>
      <c r="N668" s="54">
        <v>116.1</v>
      </c>
      <c r="O668" s="56" t="s">
        <v>279</v>
      </c>
      <c r="P668" s="54">
        <v>179.95</v>
      </c>
      <c r="Q668" s="56" t="s">
        <v>279</v>
      </c>
      <c r="R668" s="27"/>
      <c r="S668" s="58"/>
      <c r="T668" s="51"/>
      <c r="U668" s="51"/>
      <c r="V668" s="51"/>
      <c r="W668" s="76" t="s">
        <v>2277</v>
      </c>
      <c r="X668" s="77">
        <v>116.1</v>
      </c>
      <c r="Y668" s="78">
        <v>0</v>
      </c>
      <c r="Z668" s="29"/>
      <c r="AA668" s="79">
        <v>116.1</v>
      </c>
      <c r="AB668" s="79">
        <v>116.1</v>
      </c>
      <c r="AC668" s="78">
        <v>0</v>
      </c>
      <c r="AD668" s="29"/>
      <c r="AE668" s="63" t="s">
        <v>219</v>
      </c>
      <c r="AF668" s="63">
        <v>0</v>
      </c>
      <c r="AG668" s="63">
        <v>0</v>
      </c>
      <c r="AH668" s="29"/>
      <c r="AI668" s="27"/>
      <c r="AJ668" s="29"/>
      <c r="AK668" s="77">
        <v>0</v>
      </c>
      <c r="AL668" s="27"/>
      <c r="AM668" s="27"/>
      <c r="AN668" s="27"/>
      <c r="AO668" s="27"/>
      <c r="AP668" s="27"/>
      <c r="AQ668" s="27"/>
      <c r="AR668" s="27"/>
      <c r="AS668" s="27"/>
      <c r="AT668" s="27"/>
      <c r="AU668" s="27"/>
      <c r="AV668" s="27"/>
      <c r="AW668" s="27"/>
      <c r="AX668" s="27"/>
      <c r="AY668" s="27"/>
      <c r="AZ668" s="27"/>
      <c r="BA668" s="41" t="s">
        <v>230</v>
      </c>
      <c r="BB668" s="41" t="s">
        <v>235</v>
      </c>
      <c r="BC668" s="41" t="s">
        <v>234</v>
      </c>
      <c r="BD668" s="41" t="s">
        <v>2266</v>
      </c>
    </row>
    <row r="669" spans="1:56" s="57" customFormat="1" ht="18" customHeight="1" outlineLevel="1">
      <c r="A669" s="49">
        <v>827</v>
      </c>
      <c r="B669" s="19">
        <v>522003877</v>
      </c>
      <c r="C669" s="19">
        <v>522003877</v>
      </c>
      <c r="D669" s="50" t="s">
        <v>22</v>
      </c>
      <c r="E669" s="19" t="s">
        <v>825</v>
      </c>
      <c r="F669" s="19" t="s">
        <v>2267</v>
      </c>
      <c r="G669" s="19" t="s">
        <v>2268</v>
      </c>
      <c r="H669" s="69" t="s">
        <v>2278</v>
      </c>
      <c r="I669" s="64" t="s">
        <v>2182</v>
      </c>
      <c r="J669" s="70" t="s">
        <v>2183</v>
      </c>
      <c r="K669" s="53">
        <v>1</v>
      </c>
      <c r="L669" s="20">
        <v>522003877</v>
      </c>
      <c r="M669" s="72" t="s">
        <v>2279</v>
      </c>
      <c r="N669" s="54">
        <v>116.1</v>
      </c>
      <c r="O669" s="56" t="s">
        <v>279</v>
      </c>
      <c r="P669" s="54">
        <v>179.95</v>
      </c>
      <c r="Q669" s="56" t="s">
        <v>279</v>
      </c>
      <c r="R669" s="27"/>
      <c r="S669" s="58"/>
      <c r="T669" s="51"/>
      <c r="U669" s="51"/>
      <c r="V669" s="51"/>
      <c r="W669" s="76" t="s">
        <v>2280</v>
      </c>
      <c r="X669" s="77">
        <v>116.1</v>
      </c>
      <c r="Y669" s="78">
        <v>0</v>
      </c>
      <c r="Z669" s="29"/>
      <c r="AA669" s="79">
        <v>116.1</v>
      </c>
      <c r="AB669" s="79">
        <v>116.1</v>
      </c>
      <c r="AC669" s="78">
        <v>0</v>
      </c>
      <c r="AD669" s="29"/>
      <c r="AE669" s="63" t="s">
        <v>219</v>
      </c>
      <c r="AF669" s="63">
        <v>0</v>
      </c>
      <c r="AG669" s="63">
        <v>0</v>
      </c>
      <c r="AH669" s="29"/>
      <c r="AI669" s="27"/>
      <c r="AJ669" s="29"/>
      <c r="AK669" s="77">
        <v>0</v>
      </c>
      <c r="AL669" s="27"/>
      <c r="AM669" s="27"/>
      <c r="AN669" s="27"/>
      <c r="AO669" s="27"/>
      <c r="AP669" s="27"/>
      <c r="AQ669" s="27"/>
      <c r="AR669" s="27"/>
      <c r="AS669" s="27"/>
      <c r="AT669" s="27"/>
      <c r="AU669" s="27"/>
      <c r="AV669" s="27"/>
      <c r="AW669" s="27"/>
      <c r="AX669" s="27"/>
      <c r="AY669" s="27"/>
      <c r="AZ669" s="27"/>
      <c r="BA669" s="41" t="s">
        <v>230</v>
      </c>
      <c r="BB669" s="41" t="s">
        <v>235</v>
      </c>
      <c r="BC669" s="41" t="s">
        <v>234</v>
      </c>
      <c r="BD669" s="41" t="s">
        <v>2266</v>
      </c>
    </row>
    <row r="670" spans="1:56" ht="27" customHeight="1" outlineLevel="1">
      <c r="A670" s="19">
        <v>828</v>
      </c>
      <c r="B670" s="19" t="s">
        <v>219</v>
      </c>
      <c r="C670" s="19" t="s">
        <v>219</v>
      </c>
      <c r="D670" s="50" t="s">
        <v>219</v>
      </c>
      <c r="E670" s="19" t="s">
        <v>219</v>
      </c>
      <c r="F670" s="19" t="s">
        <v>219</v>
      </c>
      <c r="G670" s="19" t="s">
        <v>219</v>
      </c>
      <c r="H670" s="81" t="s">
        <v>219</v>
      </c>
      <c r="I670" s="70" t="s">
        <v>219</v>
      </c>
      <c r="J670" s="70" t="s">
        <v>219</v>
      </c>
      <c r="K670" s="71" t="s">
        <v>219</v>
      </c>
      <c r="L670" s="72" t="s">
        <v>219</v>
      </c>
      <c r="M670" s="72" t="s">
        <v>219</v>
      </c>
      <c r="N670" s="73" t="s">
        <v>219</v>
      </c>
      <c r="O670" s="74" t="s">
        <v>219</v>
      </c>
      <c r="P670" s="73" t="s">
        <v>219</v>
      </c>
      <c r="Q670" s="80" t="s">
        <v>219</v>
      </c>
      <c r="W670" s="76" t="s">
        <v>219</v>
      </c>
      <c r="X670" s="77" t="s">
        <v>219</v>
      </c>
      <c r="Y670" s="78">
        <v>0</v>
      </c>
      <c r="AA670" s="79" t="s">
        <v>219</v>
      </c>
      <c r="AB670" s="79" t="s">
        <v>219</v>
      </c>
      <c r="AC670" s="78">
        <v>0</v>
      </c>
      <c r="AE670" s="63" t="s">
        <v>230</v>
      </c>
      <c r="AF670" s="63">
        <v>1</v>
      </c>
      <c r="AG670" s="63" t="s">
        <v>219</v>
      </c>
      <c r="AK670" s="77">
        <v>0</v>
      </c>
      <c r="BA670" s="41" t="s">
        <v>230</v>
      </c>
      <c r="BB670" s="41" t="s">
        <v>235</v>
      </c>
      <c r="BC670" s="41" t="s">
        <v>234</v>
      </c>
      <c r="BD670" s="41" t="s">
        <v>2266</v>
      </c>
    </row>
    <row r="671" spans="1:56" ht="18" customHeight="1" outlineLevel="1">
      <c r="A671" s="19">
        <v>829</v>
      </c>
      <c r="B671" s="19">
        <v>522003879</v>
      </c>
      <c r="C671" s="19">
        <v>522003879</v>
      </c>
      <c r="D671" s="50" t="s">
        <v>22</v>
      </c>
      <c r="E671" s="19" t="s">
        <v>825</v>
      </c>
      <c r="F671" s="19" t="s">
        <v>2281</v>
      </c>
      <c r="G671" s="19" t="s">
        <v>2282</v>
      </c>
      <c r="H671" s="69" t="s">
        <v>2283</v>
      </c>
      <c r="I671" s="70" t="s">
        <v>2169</v>
      </c>
      <c r="J671" s="70" t="s">
        <v>289</v>
      </c>
      <c r="K671" s="71">
        <v>1</v>
      </c>
      <c r="L671" s="72">
        <v>522003879</v>
      </c>
      <c r="M671" s="72" t="s">
        <v>2284</v>
      </c>
      <c r="N671" s="73">
        <v>122.5</v>
      </c>
      <c r="O671" s="74" t="s">
        <v>279</v>
      </c>
      <c r="P671" s="73">
        <v>189.95</v>
      </c>
      <c r="Q671" s="80" t="s">
        <v>279</v>
      </c>
      <c r="W671" s="76" t="s">
        <v>2285</v>
      </c>
      <c r="X671" s="77">
        <v>122.5</v>
      </c>
      <c r="Y671" s="78">
        <v>0</v>
      </c>
      <c r="AA671" s="79">
        <v>122.5</v>
      </c>
      <c r="AB671" s="79">
        <v>122.5</v>
      </c>
      <c r="AC671" s="78">
        <v>0</v>
      </c>
      <c r="AE671" s="63" t="s">
        <v>219</v>
      </c>
      <c r="AF671" s="63">
        <v>1</v>
      </c>
      <c r="AG671" s="63">
        <v>1</v>
      </c>
      <c r="AK671" s="77">
        <v>0</v>
      </c>
      <c r="BA671" s="41" t="s">
        <v>230</v>
      </c>
      <c r="BB671" s="41" t="s">
        <v>235</v>
      </c>
      <c r="BC671" s="41" t="s">
        <v>234</v>
      </c>
      <c r="BD671" s="41" t="s">
        <v>2266</v>
      </c>
    </row>
    <row r="672" spans="1:56" ht="18" customHeight="1" outlineLevel="1">
      <c r="A672" s="19">
        <v>830</v>
      </c>
      <c r="B672" s="19">
        <v>522003881</v>
      </c>
      <c r="C672" s="19">
        <v>522003881</v>
      </c>
      <c r="D672" s="50" t="s">
        <v>22</v>
      </c>
      <c r="E672" s="19" t="s">
        <v>825</v>
      </c>
      <c r="F672" s="19" t="s">
        <v>2281</v>
      </c>
      <c r="G672" s="19" t="s">
        <v>2282</v>
      </c>
      <c r="H672" s="69" t="s">
        <v>2286</v>
      </c>
      <c r="I672" s="70" t="s">
        <v>2173</v>
      </c>
      <c r="J672" s="70" t="s">
        <v>2174</v>
      </c>
      <c r="K672" s="71">
        <v>1</v>
      </c>
      <c r="L672" s="72">
        <v>522003881</v>
      </c>
      <c r="M672" s="72" t="s">
        <v>2287</v>
      </c>
      <c r="N672" s="73">
        <v>122.5</v>
      </c>
      <c r="O672" s="74" t="s">
        <v>279</v>
      </c>
      <c r="P672" s="73">
        <v>189.95</v>
      </c>
      <c r="Q672" s="80" t="s">
        <v>279</v>
      </c>
      <c r="W672" s="76" t="s">
        <v>2288</v>
      </c>
      <c r="X672" s="77">
        <v>122.5</v>
      </c>
      <c r="Y672" s="78">
        <v>0</v>
      </c>
      <c r="AA672" s="79">
        <v>122.5</v>
      </c>
      <c r="AB672" s="79">
        <v>122.5</v>
      </c>
      <c r="AC672" s="78">
        <v>0</v>
      </c>
      <c r="AE672" s="63" t="s">
        <v>219</v>
      </c>
      <c r="AF672" s="63">
        <v>1</v>
      </c>
      <c r="AG672" s="63">
        <v>1</v>
      </c>
      <c r="AK672" s="77">
        <v>0</v>
      </c>
      <c r="BA672" s="41" t="s">
        <v>230</v>
      </c>
      <c r="BB672" s="41" t="s">
        <v>235</v>
      </c>
      <c r="BC672" s="41" t="s">
        <v>234</v>
      </c>
      <c r="BD672" s="41" t="s">
        <v>2266</v>
      </c>
    </row>
    <row r="673" spans="1:56" ht="18" customHeight="1" outlineLevel="1">
      <c r="A673" s="19">
        <v>831</v>
      </c>
      <c r="B673" s="19">
        <v>522003883</v>
      </c>
      <c r="C673" s="19">
        <v>522003883</v>
      </c>
      <c r="D673" s="50" t="s">
        <v>22</v>
      </c>
      <c r="E673" s="19" t="s">
        <v>825</v>
      </c>
      <c r="F673" s="19" t="s">
        <v>2281</v>
      </c>
      <c r="G673" s="19" t="s">
        <v>2282</v>
      </c>
      <c r="H673" s="69" t="s">
        <v>2289</v>
      </c>
      <c r="I673" s="70" t="s">
        <v>2178</v>
      </c>
      <c r="J673" s="70" t="s">
        <v>324</v>
      </c>
      <c r="K673" s="71">
        <v>1</v>
      </c>
      <c r="L673" s="72">
        <v>522003883</v>
      </c>
      <c r="M673" s="72" t="s">
        <v>2290</v>
      </c>
      <c r="N673" s="73">
        <v>122.5</v>
      </c>
      <c r="O673" s="74" t="s">
        <v>279</v>
      </c>
      <c r="P673" s="73">
        <v>189.95</v>
      </c>
      <c r="Q673" s="80" t="s">
        <v>279</v>
      </c>
      <c r="W673" s="76" t="s">
        <v>2291</v>
      </c>
      <c r="X673" s="77">
        <v>122.5</v>
      </c>
      <c r="Y673" s="78">
        <v>0</v>
      </c>
      <c r="AA673" s="79">
        <v>122.5</v>
      </c>
      <c r="AB673" s="79">
        <v>122.5</v>
      </c>
      <c r="AC673" s="78">
        <v>0</v>
      </c>
      <c r="AE673" s="63" t="s">
        <v>219</v>
      </c>
      <c r="AF673" s="63">
        <v>1</v>
      </c>
      <c r="AG673" s="63">
        <v>1</v>
      </c>
      <c r="AK673" s="77">
        <v>0</v>
      </c>
      <c r="BA673" s="41" t="s">
        <v>230</v>
      </c>
      <c r="BB673" s="41" t="s">
        <v>235</v>
      </c>
      <c r="BC673" s="41" t="s">
        <v>234</v>
      </c>
      <c r="BD673" s="41" t="s">
        <v>2266</v>
      </c>
    </row>
    <row r="674" spans="1:56" ht="18" customHeight="1" outlineLevel="1">
      <c r="A674" s="19">
        <v>832</v>
      </c>
      <c r="B674" s="19">
        <v>522003885</v>
      </c>
      <c r="C674" s="19">
        <v>522003885</v>
      </c>
      <c r="D674" s="50" t="s">
        <v>22</v>
      </c>
      <c r="E674" s="19" t="s">
        <v>825</v>
      </c>
      <c r="F674" s="19" t="s">
        <v>2281</v>
      </c>
      <c r="G674" s="19" t="s">
        <v>2282</v>
      </c>
      <c r="H674" s="69" t="s">
        <v>2292</v>
      </c>
      <c r="I674" s="70" t="s">
        <v>2182</v>
      </c>
      <c r="J674" s="70" t="s">
        <v>2183</v>
      </c>
      <c r="K674" s="71">
        <v>1</v>
      </c>
      <c r="L674" s="72">
        <v>522003885</v>
      </c>
      <c r="M674" s="72" t="s">
        <v>2293</v>
      </c>
      <c r="N674" s="73">
        <v>122.5</v>
      </c>
      <c r="O674" s="74" t="s">
        <v>279</v>
      </c>
      <c r="P674" s="73">
        <v>189.95</v>
      </c>
      <c r="Q674" s="80" t="s">
        <v>279</v>
      </c>
      <c r="W674" s="76" t="s">
        <v>2294</v>
      </c>
      <c r="X674" s="77">
        <v>122.5</v>
      </c>
      <c r="Y674" s="78">
        <v>0</v>
      </c>
      <c r="AA674" s="79">
        <v>122.5</v>
      </c>
      <c r="AB674" s="79">
        <v>122.5</v>
      </c>
      <c r="AC674" s="78">
        <v>0</v>
      </c>
      <c r="AE674" s="63" t="s">
        <v>219</v>
      </c>
      <c r="AF674" s="63">
        <v>1</v>
      </c>
      <c r="AG674" s="63">
        <v>1</v>
      </c>
      <c r="AK674" s="77">
        <v>0</v>
      </c>
      <c r="BA674" s="41" t="s">
        <v>230</v>
      </c>
      <c r="BB674" s="41" t="s">
        <v>235</v>
      </c>
      <c r="BC674" s="41" t="s">
        <v>234</v>
      </c>
      <c r="BD674" s="41" t="s">
        <v>2266</v>
      </c>
    </row>
    <row r="675" spans="1:56" ht="27" customHeight="1" outlineLevel="1">
      <c r="A675" s="19">
        <v>833</v>
      </c>
      <c r="B675" s="19" t="s">
        <v>219</v>
      </c>
      <c r="C675" s="19" t="s">
        <v>219</v>
      </c>
      <c r="D675" s="50" t="s">
        <v>219</v>
      </c>
      <c r="E675" s="19" t="s">
        <v>219</v>
      </c>
      <c r="F675" s="19" t="s">
        <v>219</v>
      </c>
      <c r="G675" s="19" t="s">
        <v>219</v>
      </c>
      <c r="H675" s="81" t="s">
        <v>219</v>
      </c>
      <c r="I675" s="70" t="s">
        <v>219</v>
      </c>
      <c r="J675" s="70" t="s">
        <v>219</v>
      </c>
      <c r="K675" s="71" t="s">
        <v>219</v>
      </c>
      <c r="L675" s="72" t="s">
        <v>219</v>
      </c>
      <c r="M675" s="72" t="s">
        <v>219</v>
      </c>
      <c r="N675" s="73" t="s">
        <v>219</v>
      </c>
      <c r="O675" s="74" t="s">
        <v>219</v>
      </c>
      <c r="P675" s="73" t="s">
        <v>219</v>
      </c>
      <c r="Q675" s="80" t="s">
        <v>219</v>
      </c>
      <c r="W675" s="76" t="s">
        <v>219</v>
      </c>
      <c r="X675" s="77" t="s">
        <v>219</v>
      </c>
      <c r="Y675" s="78">
        <v>0</v>
      </c>
      <c r="AA675" s="79" t="s">
        <v>219</v>
      </c>
      <c r="AB675" s="79" t="s">
        <v>219</v>
      </c>
      <c r="AC675" s="78">
        <v>0</v>
      </c>
      <c r="AE675" s="63" t="s">
        <v>230</v>
      </c>
      <c r="AF675" s="63">
        <v>0</v>
      </c>
      <c r="AG675" s="63" t="s">
        <v>219</v>
      </c>
      <c r="AK675" s="77">
        <v>0</v>
      </c>
      <c r="BA675" s="41" t="s">
        <v>230</v>
      </c>
      <c r="BB675" s="41" t="s">
        <v>235</v>
      </c>
      <c r="BC675" s="41" t="s">
        <v>234</v>
      </c>
      <c r="BD675" s="41" t="s">
        <v>2266</v>
      </c>
    </row>
    <row r="676" spans="1:56" ht="18" customHeight="1" outlineLevel="1">
      <c r="A676" s="19">
        <v>834</v>
      </c>
      <c r="B676" s="19">
        <v>522003887</v>
      </c>
      <c r="C676" s="19">
        <v>522003887</v>
      </c>
      <c r="D676" s="50" t="s">
        <v>22</v>
      </c>
      <c r="E676" s="19" t="s">
        <v>825</v>
      </c>
      <c r="F676" s="19" t="s">
        <v>2295</v>
      </c>
      <c r="G676" s="19" t="s">
        <v>2296</v>
      </c>
      <c r="H676" s="69" t="s">
        <v>2297</v>
      </c>
      <c r="I676" s="70" t="s">
        <v>2169</v>
      </c>
      <c r="J676" s="70" t="s">
        <v>289</v>
      </c>
      <c r="K676" s="71">
        <v>1</v>
      </c>
      <c r="L676" s="72">
        <v>522003887</v>
      </c>
      <c r="M676" s="72" t="s">
        <v>2298</v>
      </c>
      <c r="N676" s="73">
        <v>129</v>
      </c>
      <c r="O676" s="74" t="s">
        <v>279</v>
      </c>
      <c r="P676" s="73">
        <v>199.95</v>
      </c>
      <c r="Q676" s="80" t="s">
        <v>279</v>
      </c>
      <c r="W676" s="76" t="s">
        <v>2299</v>
      </c>
      <c r="X676" s="77">
        <v>129</v>
      </c>
      <c r="Y676" s="78">
        <v>0</v>
      </c>
      <c r="AA676" s="79">
        <v>129</v>
      </c>
      <c r="AB676" s="79">
        <v>129</v>
      </c>
      <c r="AC676" s="78">
        <v>0</v>
      </c>
      <c r="AE676" s="63" t="s">
        <v>219</v>
      </c>
      <c r="AF676" s="63">
        <v>0</v>
      </c>
      <c r="AG676" s="63">
        <v>0</v>
      </c>
      <c r="AK676" s="77">
        <v>0</v>
      </c>
      <c r="BA676" s="41" t="s">
        <v>230</v>
      </c>
      <c r="BB676" s="41" t="s">
        <v>235</v>
      </c>
      <c r="BC676" s="41" t="s">
        <v>234</v>
      </c>
      <c r="BD676" s="41" t="s">
        <v>2266</v>
      </c>
    </row>
    <row r="677" spans="1:56" ht="18" customHeight="1" outlineLevel="1">
      <c r="A677" s="19">
        <v>835</v>
      </c>
      <c r="B677" s="19">
        <v>522003889</v>
      </c>
      <c r="C677" s="19">
        <v>522003889</v>
      </c>
      <c r="D677" s="50" t="s">
        <v>22</v>
      </c>
      <c r="E677" s="19" t="s">
        <v>825</v>
      </c>
      <c r="F677" s="19" t="s">
        <v>2295</v>
      </c>
      <c r="G677" s="19" t="s">
        <v>2296</v>
      </c>
      <c r="H677" s="69" t="s">
        <v>2300</v>
      </c>
      <c r="I677" s="70" t="s">
        <v>2173</v>
      </c>
      <c r="J677" s="70" t="s">
        <v>2174</v>
      </c>
      <c r="K677" s="71">
        <v>1</v>
      </c>
      <c r="L677" s="72">
        <v>522003889</v>
      </c>
      <c r="M677" s="72" t="s">
        <v>2301</v>
      </c>
      <c r="N677" s="73">
        <v>129</v>
      </c>
      <c r="O677" s="74" t="s">
        <v>279</v>
      </c>
      <c r="P677" s="73">
        <v>199.95</v>
      </c>
      <c r="Q677" s="80" t="s">
        <v>279</v>
      </c>
      <c r="W677" s="76" t="s">
        <v>2302</v>
      </c>
      <c r="X677" s="77">
        <v>129</v>
      </c>
      <c r="Y677" s="78">
        <v>0</v>
      </c>
      <c r="AA677" s="79">
        <v>129</v>
      </c>
      <c r="AB677" s="79">
        <v>129</v>
      </c>
      <c r="AC677" s="78">
        <v>0</v>
      </c>
      <c r="AE677" s="63" t="s">
        <v>219</v>
      </c>
      <c r="AF677" s="63">
        <v>0</v>
      </c>
      <c r="AG677" s="63">
        <v>0</v>
      </c>
      <c r="AK677" s="77">
        <v>0</v>
      </c>
      <c r="BA677" s="41" t="s">
        <v>230</v>
      </c>
      <c r="BB677" s="41" t="s">
        <v>235</v>
      </c>
      <c r="BC677" s="41" t="s">
        <v>234</v>
      </c>
      <c r="BD677" s="41" t="s">
        <v>2266</v>
      </c>
    </row>
    <row r="678" spans="1:56" ht="18" customHeight="1" outlineLevel="1">
      <c r="A678" s="19">
        <v>836</v>
      </c>
      <c r="B678" s="19">
        <v>522003891</v>
      </c>
      <c r="C678" s="19">
        <v>522003891</v>
      </c>
      <c r="D678" s="50" t="s">
        <v>22</v>
      </c>
      <c r="E678" s="19" t="s">
        <v>825</v>
      </c>
      <c r="F678" s="19" t="s">
        <v>2295</v>
      </c>
      <c r="G678" s="19" t="s">
        <v>2296</v>
      </c>
      <c r="H678" s="69" t="s">
        <v>2303</v>
      </c>
      <c r="I678" s="70" t="s">
        <v>2178</v>
      </c>
      <c r="J678" s="70" t="s">
        <v>324</v>
      </c>
      <c r="K678" s="71">
        <v>1</v>
      </c>
      <c r="L678" s="72">
        <v>522003891</v>
      </c>
      <c r="M678" s="72" t="s">
        <v>2304</v>
      </c>
      <c r="N678" s="73">
        <v>129</v>
      </c>
      <c r="O678" s="74" t="s">
        <v>279</v>
      </c>
      <c r="P678" s="73">
        <v>199.95</v>
      </c>
      <c r="Q678" s="80" t="s">
        <v>279</v>
      </c>
      <c r="W678" s="76" t="s">
        <v>2305</v>
      </c>
      <c r="X678" s="77">
        <v>129</v>
      </c>
      <c r="Y678" s="78">
        <v>0</v>
      </c>
      <c r="AA678" s="79">
        <v>129</v>
      </c>
      <c r="AB678" s="79">
        <v>129</v>
      </c>
      <c r="AC678" s="78">
        <v>0</v>
      </c>
      <c r="AE678" s="63" t="s">
        <v>219</v>
      </c>
      <c r="AF678" s="63">
        <v>0</v>
      </c>
      <c r="AG678" s="63">
        <v>0</v>
      </c>
      <c r="AK678" s="77">
        <v>0</v>
      </c>
      <c r="BA678" s="41" t="s">
        <v>230</v>
      </c>
      <c r="BB678" s="41" t="s">
        <v>235</v>
      </c>
      <c r="BC678" s="41" t="s">
        <v>234</v>
      </c>
      <c r="BD678" s="41" t="s">
        <v>2266</v>
      </c>
    </row>
    <row r="679" spans="1:56" ht="18" customHeight="1" outlineLevel="1">
      <c r="A679" s="19">
        <v>837</v>
      </c>
      <c r="B679" s="19">
        <v>522003893</v>
      </c>
      <c r="C679" s="19">
        <v>522003893</v>
      </c>
      <c r="D679" s="50" t="s">
        <v>22</v>
      </c>
      <c r="E679" s="19" t="s">
        <v>825</v>
      </c>
      <c r="F679" s="19" t="s">
        <v>2295</v>
      </c>
      <c r="G679" s="19" t="s">
        <v>2296</v>
      </c>
      <c r="H679" s="69" t="s">
        <v>2306</v>
      </c>
      <c r="I679" s="70" t="s">
        <v>2182</v>
      </c>
      <c r="J679" s="70" t="s">
        <v>2183</v>
      </c>
      <c r="K679" s="71">
        <v>1</v>
      </c>
      <c r="L679" s="72">
        <v>522003893</v>
      </c>
      <c r="M679" s="72" t="s">
        <v>2307</v>
      </c>
      <c r="N679" s="73">
        <v>129</v>
      </c>
      <c r="O679" s="74" t="s">
        <v>279</v>
      </c>
      <c r="P679" s="73">
        <v>199.95</v>
      </c>
      <c r="Q679" s="80" t="s">
        <v>279</v>
      </c>
      <c r="W679" s="76" t="s">
        <v>2308</v>
      </c>
      <c r="X679" s="77">
        <v>129</v>
      </c>
      <c r="Y679" s="78">
        <v>0</v>
      </c>
      <c r="AA679" s="79">
        <v>129</v>
      </c>
      <c r="AB679" s="79">
        <v>129</v>
      </c>
      <c r="AC679" s="78">
        <v>0</v>
      </c>
      <c r="AE679" s="63" t="s">
        <v>219</v>
      </c>
      <c r="AF679" s="63">
        <v>0</v>
      </c>
      <c r="AG679" s="63">
        <v>0</v>
      </c>
      <c r="AK679" s="77">
        <v>0</v>
      </c>
      <c r="BA679" s="41" t="s">
        <v>230</v>
      </c>
      <c r="BB679" s="41" t="s">
        <v>235</v>
      </c>
      <c r="BC679" s="41" t="s">
        <v>234</v>
      </c>
      <c r="BD679" s="41" t="s">
        <v>2266</v>
      </c>
    </row>
    <row r="680" spans="1:56" ht="27" customHeight="1" outlineLevel="1">
      <c r="A680" s="19">
        <v>838</v>
      </c>
      <c r="B680" s="19" t="s">
        <v>219</v>
      </c>
      <c r="C680" s="19" t="s">
        <v>219</v>
      </c>
      <c r="D680" s="50" t="s">
        <v>219</v>
      </c>
      <c r="E680" s="19" t="s">
        <v>219</v>
      </c>
      <c r="F680" s="19" t="s">
        <v>219</v>
      </c>
      <c r="G680" s="19" t="s">
        <v>219</v>
      </c>
      <c r="H680" s="81" t="s">
        <v>219</v>
      </c>
      <c r="I680" s="70" t="s">
        <v>219</v>
      </c>
      <c r="J680" s="70" t="s">
        <v>219</v>
      </c>
      <c r="K680" s="71" t="s">
        <v>219</v>
      </c>
      <c r="L680" s="72" t="s">
        <v>219</v>
      </c>
      <c r="M680" s="72" t="s">
        <v>219</v>
      </c>
      <c r="N680" s="73" t="s">
        <v>219</v>
      </c>
      <c r="O680" s="74" t="s">
        <v>219</v>
      </c>
      <c r="P680" s="73" t="s">
        <v>219</v>
      </c>
      <c r="Q680" s="80" t="s">
        <v>219</v>
      </c>
      <c r="W680" s="76" t="s">
        <v>219</v>
      </c>
      <c r="X680" s="77" t="s">
        <v>219</v>
      </c>
      <c r="Y680" s="78">
        <v>0</v>
      </c>
      <c r="AA680" s="79" t="s">
        <v>219</v>
      </c>
      <c r="AB680" s="79" t="s">
        <v>219</v>
      </c>
      <c r="AC680" s="78">
        <v>0</v>
      </c>
      <c r="AE680" s="63" t="s">
        <v>230</v>
      </c>
      <c r="AF680" s="63">
        <v>1</v>
      </c>
      <c r="AG680" s="63" t="s">
        <v>219</v>
      </c>
      <c r="AK680" s="77">
        <v>0</v>
      </c>
      <c r="BA680" s="41" t="s">
        <v>230</v>
      </c>
      <c r="BB680" s="41" t="s">
        <v>235</v>
      </c>
      <c r="BC680" s="41" t="s">
        <v>234</v>
      </c>
      <c r="BD680" s="41" t="s">
        <v>2266</v>
      </c>
    </row>
    <row r="681" spans="1:56" ht="18" customHeight="1" outlineLevel="1">
      <c r="A681" s="19">
        <v>839</v>
      </c>
      <c r="B681" s="19">
        <v>522004735</v>
      </c>
      <c r="C681" s="19">
        <v>522004735</v>
      </c>
      <c r="D681" s="50" t="s">
        <v>22</v>
      </c>
      <c r="E681" s="19" t="s">
        <v>825</v>
      </c>
      <c r="F681" s="19" t="s">
        <v>2309</v>
      </c>
      <c r="G681" s="19" t="s">
        <v>2310</v>
      </c>
      <c r="H681" s="69" t="s">
        <v>2311</v>
      </c>
      <c r="I681" s="70" t="s">
        <v>2169</v>
      </c>
      <c r="J681" s="70" t="s">
        <v>289</v>
      </c>
      <c r="K681" s="71">
        <v>1</v>
      </c>
      <c r="L681" s="72">
        <v>522004735</v>
      </c>
      <c r="M681" s="72" t="s">
        <v>2312</v>
      </c>
      <c r="N681" s="73">
        <v>135.4</v>
      </c>
      <c r="O681" s="74" t="s">
        <v>279</v>
      </c>
      <c r="P681" s="73">
        <v>209.95</v>
      </c>
      <c r="Q681" s="80" t="s">
        <v>279</v>
      </c>
      <c r="W681" s="76" t="s">
        <v>2313</v>
      </c>
      <c r="X681" s="77">
        <v>135.4</v>
      </c>
      <c r="Y681" s="78">
        <v>0</v>
      </c>
      <c r="AA681" s="79">
        <v>135.4</v>
      </c>
      <c r="AB681" s="79">
        <v>135.4</v>
      </c>
      <c r="AC681" s="78">
        <v>0</v>
      </c>
      <c r="AE681" s="63" t="s">
        <v>219</v>
      </c>
      <c r="AF681" s="63">
        <v>1</v>
      </c>
      <c r="AG681" s="63">
        <v>1</v>
      </c>
      <c r="AK681" s="77">
        <v>0</v>
      </c>
      <c r="BA681" s="41" t="s">
        <v>230</v>
      </c>
      <c r="BB681" s="41" t="s">
        <v>235</v>
      </c>
      <c r="BC681" s="41" t="s">
        <v>234</v>
      </c>
      <c r="BD681" s="41" t="s">
        <v>2266</v>
      </c>
    </row>
    <row r="682" spans="1:56" ht="18" customHeight="1" outlineLevel="1">
      <c r="A682" s="19">
        <v>840</v>
      </c>
      <c r="B682" s="19">
        <v>522004741</v>
      </c>
      <c r="C682" s="19">
        <v>522004741</v>
      </c>
      <c r="D682" s="50" t="s">
        <v>22</v>
      </c>
      <c r="E682" s="19" t="s">
        <v>825</v>
      </c>
      <c r="F682" s="19" t="s">
        <v>2309</v>
      </c>
      <c r="G682" s="19" t="s">
        <v>2310</v>
      </c>
      <c r="H682" s="69" t="s">
        <v>2314</v>
      </c>
      <c r="I682" s="70" t="s">
        <v>2173</v>
      </c>
      <c r="J682" s="70" t="s">
        <v>2174</v>
      </c>
      <c r="K682" s="71">
        <v>1</v>
      </c>
      <c r="L682" s="72">
        <v>522004741</v>
      </c>
      <c r="M682" s="72" t="s">
        <v>2315</v>
      </c>
      <c r="N682" s="73">
        <v>135.4</v>
      </c>
      <c r="O682" s="74" t="s">
        <v>279</v>
      </c>
      <c r="P682" s="73">
        <v>209.95</v>
      </c>
      <c r="Q682" s="80" t="s">
        <v>279</v>
      </c>
      <c r="W682" s="76" t="s">
        <v>2316</v>
      </c>
      <c r="X682" s="77">
        <v>135.4</v>
      </c>
      <c r="Y682" s="78">
        <v>0</v>
      </c>
      <c r="AA682" s="79">
        <v>135.4</v>
      </c>
      <c r="AB682" s="79">
        <v>135.4</v>
      </c>
      <c r="AC682" s="78">
        <v>0</v>
      </c>
      <c r="AE682" s="63" t="s">
        <v>219</v>
      </c>
      <c r="AF682" s="63">
        <v>1</v>
      </c>
      <c r="AG682" s="63">
        <v>1</v>
      </c>
      <c r="AK682" s="77">
        <v>0</v>
      </c>
      <c r="BA682" s="41" t="s">
        <v>230</v>
      </c>
      <c r="BB682" s="41" t="s">
        <v>235</v>
      </c>
      <c r="BC682" s="41" t="s">
        <v>234</v>
      </c>
      <c r="BD682" s="41" t="s">
        <v>2266</v>
      </c>
    </row>
    <row r="683" spans="1:56" s="57" customFormat="1" ht="18" customHeight="1" outlineLevel="1">
      <c r="A683" s="49">
        <v>841</v>
      </c>
      <c r="B683" s="19">
        <v>522004747</v>
      </c>
      <c r="C683" s="19">
        <v>522004747</v>
      </c>
      <c r="D683" s="50" t="s">
        <v>22</v>
      </c>
      <c r="E683" s="19" t="s">
        <v>825</v>
      </c>
      <c r="F683" s="19" t="s">
        <v>2309</v>
      </c>
      <c r="G683" s="19" t="s">
        <v>2310</v>
      </c>
      <c r="H683" s="69" t="s">
        <v>2317</v>
      </c>
      <c r="I683" s="64" t="s">
        <v>2178</v>
      </c>
      <c r="J683" s="70" t="s">
        <v>324</v>
      </c>
      <c r="K683" s="53">
        <v>1</v>
      </c>
      <c r="L683" s="20">
        <v>522004747</v>
      </c>
      <c r="M683" s="72" t="s">
        <v>2318</v>
      </c>
      <c r="N683" s="54">
        <v>135.4</v>
      </c>
      <c r="O683" s="56" t="s">
        <v>279</v>
      </c>
      <c r="P683" s="54">
        <v>209.95</v>
      </c>
      <c r="Q683" s="56" t="s">
        <v>279</v>
      </c>
      <c r="R683" s="27"/>
      <c r="S683" s="58"/>
      <c r="T683" s="51"/>
      <c r="U683" s="51"/>
      <c r="V683" s="51"/>
      <c r="W683" s="76" t="s">
        <v>2319</v>
      </c>
      <c r="X683" s="77">
        <v>135.4</v>
      </c>
      <c r="Y683" s="78">
        <v>0</v>
      </c>
      <c r="Z683" s="29"/>
      <c r="AA683" s="79">
        <v>135.4</v>
      </c>
      <c r="AB683" s="79">
        <v>135.4</v>
      </c>
      <c r="AC683" s="78">
        <v>0</v>
      </c>
      <c r="AD683" s="29"/>
      <c r="AE683" s="63" t="s">
        <v>219</v>
      </c>
      <c r="AF683" s="63">
        <v>1</v>
      </c>
      <c r="AG683" s="63">
        <v>1</v>
      </c>
      <c r="AH683" s="29"/>
      <c r="AI683" s="27"/>
      <c r="AJ683" s="29"/>
      <c r="AK683" s="77">
        <v>0</v>
      </c>
      <c r="AL683" s="27"/>
      <c r="AM683" s="27"/>
      <c r="AN683" s="27"/>
      <c r="AO683" s="27"/>
      <c r="AP683" s="27"/>
      <c r="AQ683" s="27"/>
      <c r="AR683" s="27"/>
      <c r="AS683" s="27"/>
      <c r="AT683" s="27"/>
      <c r="AU683" s="27"/>
      <c r="AV683" s="27"/>
      <c r="AW683" s="27"/>
      <c r="AX683" s="27"/>
      <c r="AY683" s="27"/>
      <c r="AZ683" s="27"/>
      <c r="BA683" s="41" t="s">
        <v>230</v>
      </c>
      <c r="BB683" s="41" t="s">
        <v>235</v>
      </c>
      <c r="BC683" s="41" t="s">
        <v>234</v>
      </c>
      <c r="BD683" s="41" t="s">
        <v>2266</v>
      </c>
    </row>
    <row r="684" spans="1:56" s="57" customFormat="1" ht="18" customHeight="1" outlineLevel="1">
      <c r="A684" s="49">
        <v>842</v>
      </c>
      <c r="B684" s="19">
        <v>522004753</v>
      </c>
      <c r="C684" s="19">
        <v>522004753</v>
      </c>
      <c r="D684" s="50" t="s">
        <v>22</v>
      </c>
      <c r="E684" s="19" t="s">
        <v>825</v>
      </c>
      <c r="F684" s="19" t="s">
        <v>2309</v>
      </c>
      <c r="G684" s="19" t="s">
        <v>2310</v>
      </c>
      <c r="H684" s="69" t="s">
        <v>2320</v>
      </c>
      <c r="I684" s="64" t="s">
        <v>2182</v>
      </c>
      <c r="J684" s="70" t="s">
        <v>2183</v>
      </c>
      <c r="K684" s="53">
        <v>1</v>
      </c>
      <c r="L684" s="20">
        <v>522004753</v>
      </c>
      <c r="M684" s="72" t="s">
        <v>2321</v>
      </c>
      <c r="N684" s="54">
        <v>135.4</v>
      </c>
      <c r="O684" s="56" t="s">
        <v>279</v>
      </c>
      <c r="P684" s="54">
        <v>209.95</v>
      </c>
      <c r="Q684" s="56" t="s">
        <v>279</v>
      </c>
      <c r="R684" s="27"/>
      <c r="S684" s="58"/>
      <c r="T684" s="51"/>
      <c r="U684" s="51"/>
      <c r="V684" s="51"/>
      <c r="W684" s="76" t="s">
        <v>2322</v>
      </c>
      <c r="X684" s="77">
        <v>135.4</v>
      </c>
      <c r="Y684" s="78">
        <v>0</v>
      </c>
      <c r="Z684" s="29"/>
      <c r="AA684" s="79">
        <v>135.4</v>
      </c>
      <c r="AB684" s="79">
        <v>135.4</v>
      </c>
      <c r="AC684" s="78">
        <v>0</v>
      </c>
      <c r="AD684" s="29"/>
      <c r="AE684" s="63" t="s">
        <v>219</v>
      </c>
      <c r="AF684" s="63">
        <v>1</v>
      </c>
      <c r="AG684" s="63">
        <v>1</v>
      </c>
      <c r="AH684" s="29"/>
      <c r="AI684" s="27"/>
      <c r="AJ684" s="29"/>
      <c r="AK684" s="77">
        <v>0</v>
      </c>
      <c r="AL684" s="27"/>
      <c r="AM684" s="27"/>
      <c r="AN684" s="27"/>
      <c r="AO684" s="27"/>
      <c r="AP684" s="27"/>
      <c r="AQ684" s="27"/>
      <c r="AR684" s="27"/>
      <c r="AS684" s="27"/>
      <c r="AT684" s="27"/>
      <c r="AU684" s="27"/>
      <c r="AV684" s="27"/>
      <c r="AW684" s="27"/>
      <c r="AX684" s="27"/>
      <c r="AY684" s="27"/>
      <c r="AZ684" s="27"/>
      <c r="BA684" s="41" t="s">
        <v>230</v>
      </c>
      <c r="BB684" s="41" t="s">
        <v>235</v>
      </c>
      <c r="BC684" s="41" t="s">
        <v>234</v>
      </c>
      <c r="BD684" s="41" t="s">
        <v>2266</v>
      </c>
    </row>
    <row r="685" spans="1:56" s="57" customFormat="1" ht="27" customHeight="1" outlineLevel="1">
      <c r="A685" s="49">
        <v>843</v>
      </c>
      <c r="B685" s="19" t="s">
        <v>219</v>
      </c>
      <c r="C685" s="19" t="s">
        <v>219</v>
      </c>
      <c r="D685" s="50" t="s">
        <v>219</v>
      </c>
      <c r="E685" s="19" t="s">
        <v>219</v>
      </c>
      <c r="F685" s="19" t="s">
        <v>219</v>
      </c>
      <c r="G685" s="19" t="s">
        <v>219</v>
      </c>
      <c r="H685" s="81" t="s">
        <v>219</v>
      </c>
      <c r="I685" s="64" t="s">
        <v>219</v>
      </c>
      <c r="J685" s="70" t="s">
        <v>219</v>
      </c>
      <c r="K685" s="53" t="s">
        <v>219</v>
      </c>
      <c r="L685" s="20" t="s">
        <v>219</v>
      </c>
      <c r="M685" s="72" t="s">
        <v>219</v>
      </c>
      <c r="N685" s="54" t="s">
        <v>219</v>
      </c>
      <c r="O685" s="56" t="s">
        <v>219</v>
      </c>
      <c r="P685" s="54" t="s">
        <v>219</v>
      </c>
      <c r="Q685" s="56" t="s">
        <v>219</v>
      </c>
      <c r="R685" s="27"/>
      <c r="S685" s="58"/>
      <c r="T685" s="51"/>
      <c r="U685" s="51"/>
      <c r="V685" s="51"/>
      <c r="W685" s="76" t="s">
        <v>219</v>
      </c>
      <c r="X685" s="77" t="s">
        <v>219</v>
      </c>
      <c r="Y685" s="78">
        <v>0</v>
      </c>
      <c r="Z685" s="29"/>
      <c r="AA685" s="79" t="s">
        <v>219</v>
      </c>
      <c r="AB685" s="79" t="s">
        <v>219</v>
      </c>
      <c r="AC685" s="78">
        <v>0</v>
      </c>
      <c r="AD685" s="29"/>
      <c r="AE685" s="63" t="s">
        <v>230</v>
      </c>
      <c r="AF685" s="63">
        <v>0</v>
      </c>
      <c r="AG685" s="63" t="s">
        <v>219</v>
      </c>
      <c r="AH685" s="29"/>
      <c r="AI685" s="27"/>
      <c r="AJ685" s="29"/>
      <c r="AK685" s="77">
        <v>0</v>
      </c>
      <c r="AL685" s="27"/>
      <c r="AM685" s="27"/>
      <c r="AN685" s="27"/>
      <c r="AO685" s="27"/>
      <c r="AP685" s="27"/>
      <c r="AQ685" s="27"/>
      <c r="AR685" s="27"/>
      <c r="AS685" s="27"/>
      <c r="AT685" s="27"/>
      <c r="AU685" s="27"/>
      <c r="AV685" s="27"/>
      <c r="AW685" s="27"/>
      <c r="AX685" s="27"/>
      <c r="AY685" s="27"/>
      <c r="AZ685" s="27"/>
      <c r="BA685" s="41" t="s">
        <v>230</v>
      </c>
      <c r="BB685" s="41" t="s">
        <v>235</v>
      </c>
      <c r="BC685" s="41" t="s">
        <v>234</v>
      </c>
      <c r="BD685" s="41" t="s">
        <v>2266</v>
      </c>
    </row>
    <row r="686" spans="1:56" ht="18" customHeight="1" outlineLevel="1">
      <c r="A686" s="19">
        <v>844</v>
      </c>
      <c r="B686" s="19">
        <v>522003959</v>
      </c>
      <c r="C686" s="19">
        <v>522003959</v>
      </c>
      <c r="D686" s="50" t="s">
        <v>22</v>
      </c>
      <c r="E686" s="19" t="s">
        <v>825</v>
      </c>
      <c r="F686" s="19" t="s">
        <v>2323</v>
      </c>
      <c r="G686" s="19" t="s">
        <v>2324</v>
      </c>
      <c r="H686" s="69" t="s">
        <v>2325</v>
      </c>
      <c r="I686" s="70" t="s">
        <v>2208</v>
      </c>
      <c r="J686" s="70" t="s">
        <v>2209</v>
      </c>
      <c r="K686" s="71">
        <v>1</v>
      </c>
      <c r="L686" s="72">
        <v>522003959</v>
      </c>
      <c r="M686" s="72" t="s">
        <v>2326</v>
      </c>
      <c r="N686" s="73">
        <v>133</v>
      </c>
      <c r="O686" s="74" t="s">
        <v>279</v>
      </c>
      <c r="P686" s="73">
        <v>229.95</v>
      </c>
      <c r="Q686" s="80" t="s">
        <v>279</v>
      </c>
      <c r="W686" s="76" t="s">
        <v>2327</v>
      </c>
      <c r="X686" s="77">
        <v>133</v>
      </c>
      <c r="Y686" s="78">
        <v>0</v>
      </c>
      <c r="AA686" s="79">
        <v>133</v>
      </c>
      <c r="AB686" s="79">
        <v>133</v>
      </c>
      <c r="AC686" s="78">
        <v>0</v>
      </c>
      <c r="AE686" s="63" t="s">
        <v>219</v>
      </c>
      <c r="AF686" s="63">
        <v>0</v>
      </c>
      <c r="AG686" s="63">
        <v>0</v>
      </c>
      <c r="AK686" s="77">
        <v>0</v>
      </c>
      <c r="BA686" s="41" t="s">
        <v>230</v>
      </c>
      <c r="BB686" s="41" t="s">
        <v>235</v>
      </c>
      <c r="BC686" s="41" t="s">
        <v>234</v>
      </c>
      <c r="BD686" s="41" t="s">
        <v>2266</v>
      </c>
    </row>
    <row r="687" spans="1:56" ht="18" customHeight="1" outlineLevel="1">
      <c r="A687" s="19">
        <v>845</v>
      </c>
      <c r="B687" s="19">
        <v>522003961</v>
      </c>
      <c r="C687" s="19">
        <v>522003961</v>
      </c>
      <c r="D687" s="50" t="s">
        <v>22</v>
      </c>
      <c r="E687" s="19" t="s">
        <v>825</v>
      </c>
      <c r="F687" s="19" t="s">
        <v>2323</v>
      </c>
      <c r="G687" s="19" t="s">
        <v>2324</v>
      </c>
      <c r="H687" s="69" t="s">
        <v>2328</v>
      </c>
      <c r="I687" s="70" t="s">
        <v>2204</v>
      </c>
      <c r="J687" s="70" t="s">
        <v>289</v>
      </c>
      <c r="K687" s="71">
        <v>1</v>
      </c>
      <c r="L687" s="72">
        <v>522003961</v>
      </c>
      <c r="M687" s="72" t="s">
        <v>2329</v>
      </c>
      <c r="N687" s="73">
        <v>133</v>
      </c>
      <c r="O687" s="74" t="s">
        <v>279</v>
      </c>
      <c r="P687" s="73">
        <v>229.95</v>
      </c>
      <c r="Q687" s="80" t="s">
        <v>279</v>
      </c>
      <c r="W687" s="76" t="s">
        <v>2330</v>
      </c>
      <c r="X687" s="77">
        <v>133</v>
      </c>
      <c r="Y687" s="78">
        <v>0</v>
      </c>
      <c r="AA687" s="79">
        <v>133</v>
      </c>
      <c r="AB687" s="79">
        <v>133</v>
      </c>
      <c r="AC687" s="78">
        <v>0</v>
      </c>
      <c r="AE687" s="63" t="s">
        <v>219</v>
      </c>
      <c r="AF687" s="63">
        <v>0</v>
      </c>
      <c r="AG687" s="63">
        <v>0</v>
      </c>
      <c r="AK687" s="77">
        <v>0</v>
      </c>
      <c r="BA687" s="41" t="s">
        <v>230</v>
      </c>
      <c r="BB687" s="41" t="s">
        <v>235</v>
      </c>
      <c r="BC687" s="41" t="s">
        <v>234</v>
      </c>
      <c r="BD687" s="41" t="s">
        <v>2266</v>
      </c>
    </row>
    <row r="688" spans="1:56" ht="18" customHeight="1" outlineLevel="1">
      <c r="A688" s="19">
        <v>846</v>
      </c>
      <c r="B688" s="19">
        <v>522003963</v>
      </c>
      <c r="C688" s="19">
        <v>522003963</v>
      </c>
      <c r="D688" s="50" t="s">
        <v>22</v>
      </c>
      <c r="E688" s="19" t="s">
        <v>825</v>
      </c>
      <c r="F688" s="19" t="s">
        <v>2323</v>
      </c>
      <c r="G688" s="19" t="s">
        <v>2324</v>
      </c>
      <c r="H688" s="69" t="s">
        <v>2331</v>
      </c>
      <c r="I688" s="70" t="s">
        <v>2217</v>
      </c>
      <c r="J688" s="70" t="s">
        <v>521</v>
      </c>
      <c r="K688" s="71">
        <v>1</v>
      </c>
      <c r="L688" s="72">
        <v>522003963</v>
      </c>
      <c r="M688" s="72" t="s">
        <v>2332</v>
      </c>
      <c r="N688" s="73">
        <v>133</v>
      </c>
      <c r="O688" s="74" t="s">
        <v>279</v>
      </c>
      <c r="P688" s="73">
        <v>229.95</v>
      </c>
      <c r="Q688" s="80" t="s">
        <v>279</v>
      </c>
      <c r="W688" s="76" t="s">
        <v>2333</v>
      </c>
      <c r="X688" s="77">
        <v>133</v>
      </c>
      <c r="Y688" s="78">
        <v>0</v>
      </c>
      <c r="AA688" s="79">
        <v>133</v>
      </c>
      <c r="AB688" s="79">
        <v>133</v>
      </c>
      <c r="AC688" s="78">
        <v>0</v>
      </c>
      <c r="AE688" s="63" t="s">
        <v>219</v>
      </c>
      <c r="AF688" s="63">
        <v>0</v>
      </c>
      <c r="AG688" s="63">
        <v>0</v>
      </c>
      <c r="AK688" s="77">
        <v>0</v>
      </c>
      <c r="BA688" s="41" t="s">
        <v>230</v>
      </c>
      <c r="BB688" s="41" t="s">
        <v>235</v>
      </c>
      <c r="BC688" s="41" t="s">
        <v>234</v>
      </c>
      <c r="BD688" s="41" t="s">
        <v>2266</v>
      </c>
    </row>
    <row r="689" spans="1:56" ht="18" customHeight="1" outlineLevel="1">
      <c r="A689" s="19">
        <v>847</v>
      </c>
      <c r="B689" s="19">
        <v>522003967</v>
      </c>
      <c r="C689" s="19">
        <v>522003967</v>
      </c>
      <c r="D689" s="50" t="s">
        <v>22</v>
      </c>
      <c r="E689" s="19" t="s">
        <v>825</v>
      </c>
      <c r="F689" s="19" t="s">
        <v>2323</v>
      </c>
      <c r="G689" s="19" t="s">
        <v>2324</v>
      </c>
      <c r="H689" s="69" t="s">
        <v>2334</v>
      </c>
      <c r="I689" s="70" t="s">
        <v>2213</v>
      </c>
      <c r="J689" s="70" t="s">
        <v>324</v>
      </c>
      <c r="K689" s="71">
        <v>1</v>
      </c>
      <c r="L689" s="72">
        <v>522003967</v>
      </c>
      <c r="M689" s="72" t="s">
        <v>2335</v>
      </c>
      <c r="N689" s="73">
        <v>133</v>
      </c>
      <c r="O689" s="74" t="s">
        <v>279</v>
      </c>
      <c r="P689" s="73">
        <v>229.95</v>
      </c>
      <c r="Q689" s="80" t="s">
        <v>279</v>
      </c>
      <c r="W689" s="76" t="s">
        <v>2336</v>
      </c>
      <c r="X689" s="77">
        <v>133</v>
      </c>
      <c r="Y689" s="78">
        <v>0</v>
      </c>
      <c r="AA689" s="79">
        <v>133</v>
      </c>
      <c r="AB689" s="79">
        <v>133</v>
      </c>
      <c r="AC689" s="78">
        <v>0</v>
      </c>
      <c r="AE689" s="63" t="s">
        <v>219</v>
      </c>
      <c r="AF689" s="63">
        <v>0</v>
      </c>
      <c r="AG689" s="63">
        <v>0</v>
      </c>
      <c r="AK689" s="77">
        <v>0</v>
      </c>
      <c r="BA689" s="41" t="s">
        <v>230</v>
      </c>
      <c r="BB689" s="41" t="s">
        <v>235</v>
      </c>
      <c r="BC689" s="41" t="s">
        <v>234</v>
      </c>
      <c r="BD689" s="41" t="s">
        <v>2266</v>
      </c>
    </row>
    <row r="690" spans="1:56" s="57" customFormat="1" ht="27" customHeight="1" outlineLevel="1">
      <c r="A690" s="49">
        <v>848</v>
      </c>
      <c r="B690" s="19" t="s">
        <v>219</v>
      </c>
      <c r="C690" s="19" t="s">
        <v>219</v>
      </c>
      <c r="D690" s="50" t="s">
        <v>219</v>
      </c>
      <c r="E690" s="19" t="s">
        <v>219</v>
      </c>
      <c r="F690" s="19" t="s">
        <v>219</v>
      </c>
      <c r="G690" s="19" t="s">
        <v>219</v>
      </c>
      <c r="H690" s="81" t="s">
        <v>219</v>
      </c>
      <c r="I690" s="64" t="s">
        <v>219</v>
      </c>
      <c r="J690" s="70" t="s">
        <v>219</v>
      </c>
      <c r="K690" s="53" t="s">
        <v>219</v>
      </c>
      <c r="L690" s="20" t="s">
        <v>219</v>
      </c>
      <c r="M690" s="72" t="s">
        <v>219</v>
      </c>
      <c r="N690" s="54" t="s">
        <v>219</v>
      </c>
      <c r="O690" s="56" t="s">
        <v>219</v>
      </c>
      <c r="P690" s="54" t="s">
        <v>219</v>
      </c>
      <c r="Q690" s="56" t="s">
        <v>219</v>
      </c>
      <c r="R690" s="27"/>
      <c r="S690" s="58"/>
      <c r="T690" s="51"/>
      <c r="U690" s="51"/>
      <c r="V690" s="51"/>
      <c r="W690" s="76" t="s">
        <v>219</v>
      </c>
      <c r="X690" s="77" t="s">
        <v>219</v>
      </c>
      <c r="Y690" s="78">
        <v>0</v>
      </c>
      <c r="Z690" s="29"/>
      <c r="AA690" s="79" t="s">
        <v>219</v>
      </c>
      <c r="AB690" s="79" t="s">
        <v>219</v>
      </c>
      <c r="AC690" s="78">
        <v>0</v>
      </c>
      <c r="AD690" s="29"/>
      <c r="AE690" s="63" t="s">
        <v>230</v>
      </c>
      <c r="AF690" s="63">
        <v>0</v>
      </c>
      <c r="AG690" s="63" t="s">
        <v>219</v>
      </c>
      <c r="AH690" s="29"/>
      <c r="AI690" s="27"/>
      <c r="AJ690" s="29"/>
      <c r="AK690" s="77">
        <v>0</v>
      </c>
      <c r="AL690" s="27"/>
      <c r="AM690" s="27"/>
      <c r="AN690" s="27"/>
      <c r="AO690" s="27"/>
      <c r="AP690" s="27"/>
      <c r="AQ690" s="27"/>
      <c r="AR690" s="27"/>
      <c r="AS690" s="27"/>
      <c r="AT690" s="27"/>
      <c r="AU690" s="27"/>
      <c r="AV690" s="27"/>
      <c r="AW690" s="27"/>
      <c r="AX690" s="27"/>
      <c r="AY690" s="27"/>
      <c r="AZ690" s="27"/>
      <c r="BA690" s="41" t="s">
        <v>230</v>
      </c>
      <c r="BB690" s="41" t="s">
        <v>235</v>
      </c>
      <c r="BC690" s="41" t="s">
        <v>234</v>
      </c>
      <c r="BD690" s="41" t="s">
        <v>2266</v>
      </c>
    </row>
    <row r="691" spans="1:56" ht="27" customHeight="1" outlineLevel="1">
      <c r="A691" s="19">
        <v>849</v>
      </c>
      <c r="B691" s="19" t="s">
        <v>219</v>
      </c>
      <c r="C691" s="19" t="s">
        <v>219</v>
      </c>
      <c r="D691" s="50" t="s">
        <v>854</v>
      </c>
      <c r="E691" s="19" t="s">
        <v>219</v>
      </c>
      <c r="F691" s="19" t="s">
        <v>219</v>
      </c>
      <c r="G691" s="19" t="s">
        <v>219</v>
      </c>
      <c r="H691" s="81" t="s">
        <v>854</v>
      </c>
      <c r="I691" s="70" t="s">
        <v>219</v>
      </c>
      <c r="J691" s="70" t="s">
        <v>219</v>
      </c>
      <c r="K691" s="71" t="s">
        <v>219</v>
      </c>
      <c r="L691" s="72" t="s">
        <v>219</v>
      </c>
      <c r="M691" s="72" t="s">
        <v>219</v>
      </c>
      <c r="N691" s="73" t="s">
        <v>219</v>
      </c>
      <c r="O691" s="74" t="s">
        <v>219</v>
      </c>
      <c r="P691" s="73" t="s">
        <v>219</v>
      </c>
      <c r="Q691" s="80" t="s">
        <v>219</v>
      </c>
      <c r="W691" s="76" t="s">
        <v>219</v>
      </c>
      <c r="X691" s="77" t="s">
        <v>219</v>
      </c>
      <c r="Y691" s="78">
        <v>0</v>
      </c>
      <c r="AA691" s="79" t="s">
        <v>219</v>
      </c>
      <c r="AB691" s="79" t="s">
        <v>219</v>
      </c>
      <c r="AC691" s="78">
        <v>0</v>
      </c>
      <c r="AE691" s="63" t="s">
        <v>230</v>
      </c>
      <c r="AF691" s="63">
        <v>1</v>
      </c>
      <c r="AG691" s="63" t="s">
        <v>219</v>
      </c>
      <c r="AK691" s="77">
        <v>0</v>
      </c>
      <c r="BA691" s="41" t="s">
        <v>230</v>
      </c>
      <c r="BB691" s="41" t="s">
        <v>235</v>
      </c>
      <c r="BC691" s="41" t="s">
        <v>234</v>
      </c>
      <c r="BD691" s="41" t="s">
        <v>2337</v>
      </c>
    </row>
    <row r="692" spans="1:56" ht="18" customHeight="1" outlineLevel="1">
      <c r="A692" s="19">
        <v>850</v>
      </c>
      <c r="B692" s="19">
        <v>511410001</v>
      </c>
      <c r="C692" s="19">
        <v>511410002</v>
      </c>
      <c r="D692" s="50" t="s">
        <v>529</v>
      </c>
      <c r="E692" s="19" t="s">
        <v>856</v>
      </c>
      <c r="F692" s="19" t="s">
        <v>904</v>
      </c>
      <c r="G692" s="19" t="s">
        <v>905</v>
      </c>
      <c r="H692" s="69" t="s">
        <v>906</v>
      </c>
      <c r="I692" s="70" t="s">
        <v>532</v>
      </c>
      <c r="J692" s="70" t="s">
        <v>907</v>
      </c>
      <c r="K692" s="71">
        <v>10</v>
      </c>
      <c r="L692" s="72">
        <v>511410002</v>
      </c>
      <c r="M692" s="72" t="s">
        <v>908</v>
      </c>
      <c r="N692" s="73">
        <v>13.9</v>
      </c>
      <c r="O692" s="74" t="s">
        <v>279</v>
      </c>
      <c r="P692" s="73">
        <v>24.95</v>
      </c>
      <c r="Q692" s="80" t="s">
        <v>279</v>
      </c>
      <c r="W692" s="76" t="s">
        <v>909</v>
      </c>
      <c r="X692" s="77">
        <v>13.9</v>
      </c>
      <c r="Y692" s="78">
        <v>0</v>
      </c>
      <c r="AA692" s="79">
        <v>13.9</v>
      </c>
      <c r="AB692" s="79">
        <v>13.9</v>
      </c>
      <c r="AC692" s="78">
        <v>0</v>
      </c>
      <c r="AE692" s="63" t="s">
        <v>219</v>
      </c>
      <c r="AF692" s="63">
        <v>1</v>
      </c>
      <c r="AG692" s="63">
        <v>1</v>
      </c>
      <c r="AK692" s="77">
        <v>0</v>
      </c>
      <c r="BA692" s="41" t="s">
        <v>230</v>
      </c>
      <c r="BB692" s="41" t="s">
        <v>235</v>
      </c>
      <c r="BC692" s="41" t="s">
        <v>234</v>
      </c>
      <c r="BD692" s="41" t="s">
        <v>2337</v>
      </c>
    </row>
    <row r="693" spans="1:56" ht="18" customHeight="1" outlineLevel="1">
      <c r="A693" s="19">
        <v>851</v>
      </c>
      <c r="B693" s="19">
        <v>50054001</v>
      </c>
      <c r="C693" s="19">
        <v>50054002</v>
      </c>
      <c r="D693" s="50" t="s">
        <v>529</v>
      </c>
      <c r="E693" s="19" t="s">
        <v>856</v>
      </c>
      <c r="F693" s="19" t="s">
        <v>910</v>
      </c>
      <c r="G693" s="19" t="s">
        <v>911</v>
      </c>
      <c r="H693" s="69" t="s">
        <v>912</v>
      </c>
      <c r="I693" s="70" t="s">
        <v>532</v>
      </c>
      <c r="J693" s="70" t="s">
        <v>907</v>
      </c>
      <c r="K693" s="71">
        <v>12</v>
      </c>
      <c r="L693" s="72">
        <v>50054002</v>
      </c>
      <c r="M693" s="72" t="s">
        <v>913</v>
      </c>
      <c r="N693" s="73">
        <v>8.4</v>
      </c>
      <c r="O693" s="74" t="s">
        <v>279</v>
      </c>
      <c r="P693" s="73">
        <v>14.95</v>
      </c>
      <c r="Q693" s="80" t="s">
        <v>279</v>
      </c>
      <c r="W693" s="76" t="s">
        <v>914</v>
      </c>
      <c r="X693" s="77">
        <v>8.4</v>
      </c>
      <c r="Y693" s="78">
        <v>0</v>
      </c>
      <c r="AA693" s="79">
        <v>8.4</v>
      </c>
      <c r="AB693" s="79">
        <v>8.4</v>
      </c>
      <c r="AC693" s="78">
        <v>0</v>
      </c>
      <c r="AE693" s="63" t="s">
        <v>219</v>
      </c>
      <c r="AF693" s="63">
        <v>1</v>
      </c>
      <c r="AG693" s="63">
        <v>1</v>
      </c>
      <c r="AK693" s="77">
        <v>0</v>
      </c>
      <c r="BA693" s="41" t="s">
        <v>230</v>
      </c>
      <c r="BB693" s="41" t="s">
        <v>235</v>
      </c>
      <c r="BC693" s="41" t="s">
        <v>234</v>
      </c>
      <c r="BD693" s="41" t="s">
        <v>2337</v>
      </c>
    </row>
    <row r="694" spans="1:56" ht="18" customHeight="1" outlineLevel="1">
      <c r="A694" s="19">
        <v>852</v>
      </c>
      <c r="B694" s="19">
        <v>521002897</v>
      </c>
      <c r="C694" s="19">
        <v>521002898</v>
      </c>
      <c r="D694" s="50" t="s">
        <v>529</v>
      </c>
      <c r="E694" s="19" t="s">
        <v>856</v>
      </c>
      <c r="F694" s="19" t="s">
        <v>915</v>
      </c>
      <c r="G694" s="19" t="s">
        <v>916</v>
      </c>
      <c r="H694" s="69" t="s">
        <v>917</v>
      </c>
      <c r="I694" s="70" t="s">
        <v>676</v>
      </c>
      <c r="J694" s="70" t="s">
        <v>677</v>
      </c>
      <c r="K694" s="71">
        <v>6</v>
      </c>
      <c r="L694" s="72">
        <v>521002898</v>
      </c>
      <c r="M694" s="72" t="s">
        <v>918</v>
      </c>
      <c r="N694" s="73">
        <v>33.4</v>
      </c>
      <c r="O694" s="74" t="s">
        <v>279</v>
      </c>
      <c r="P694" s="73">
        <v>59.95</v>
      </c>
      <c r="Q694" s="80" t="s">
        <v>279</v>
      </c>
      <c r="W694" s="76" t="s">
        <v>919</v>
      </c>
      <c r="X694" s="77">
        <v>33.4</v>
      </c>
      <c r="Y694" s="78">
        <v>0</v>
      </c>
      <c r="AA694" s="79">
        <v>33.4</v>
      </c>
      <c r="AB694" s="79">
        <v>33.4</v>
      </c>
      <c r="AC694" s="78">
        <v>0</v>
      </c>
      <c r="AE694" s="63" t="s">
        <v>219</v>
      </c>
      <c r="AF694" s="63">
        <v>1</v>
      </c>
      <c r="AG694" s="63">
        <v>1</v>
      </c>
      <c r="AK694" s="77">
        <v>0</v>
      </c>
      <c r="BA694" s="41" t="s">
        <v>230</v>
      </c>
      <c r="BB694" s="41" t="s">
        <v>235</v>
      </c>
      <c r="BC694" s="41" t="s">
        <v>234</v>
      </c>
      <c r="BD694" s="41" t="s">
        <v>2337</v>
      </c>
    </row>
    <row r="695" spans="1:56" s="57" customFormat="1" ht="18" customHeight="1" outlineLevel="1">
      <c r="A695" s="49">
        <v>853</v>
      </c>
      <c r="B695" s="19">
        <v>521002899</v>
      </c>
      <c r="C695" s="19">
        <v>521002900</v>
      </c>
      <c r="D695" s="50" t="s">
        <v>529</v>
      </c>
      <c r="E695" s="19" t="s">
        <v>856</v>
      </c>
      <c r="F695" s="19" t="s">
        <v>920</v>
      </c>
      <c r="G695" s="19" t="s">
        <v>921</v>
      </c>
      <c r="H695" s="69" t="s">
        <v>922</v>
      </c>
      <c r="I695" s="64" t="s">
        <v>676</v>
      </c>
      <c r="J695" s="70" t="s">
        <v>677</v>
      </c>
      <c r="K695" s="53">
        <v>6</v>
      </c>
      <c r="L695" s="20">
        <v>521002900</v>
      </c>
      <c r="M695" s="72" t="s">
        <v>923</v>
      </c>
      <c r="N695" s="54">
        <v>33.4</v>
      </c>
      <c r="O695" s="56" t="s">
        <v>279</v>
      </c>
      <c r="P695" s="54">
        <v>59.95</v>
      </c>
      <c r="Q695" s="56" t="s">
        <v>279</v>
      </c>
      <c r="R695" s="27"/>
      <c r="S695" s="58"/>
      <c r="T695" s="51"/>
      <c r="U695" s="51"/>
      <c r="V695" s="51"/>
      <c r="W695" s="76" t="s">
        <v>924</v>
      </c>
      <c r="X695" s="77">
        <v>33.4</v>
      </c>
      <c r="Y695" s="78">
        <v>0</v>
      </c>
      <c r="Z695" s="29"/>
      <c r="AA695" s="79">
        <v>33.4</v>
      </c>
      <c r="AB695" s="79">
        <v>33.4</v>
      </c>
      <c r="AC695" s="78">
        <v>0</v>
      </c>
      <c r="AD695" s="29"/>
      <c r="AE695" s="63" t="s">
        <v>219</v>
      </c>
      <c r="AF695" s="63">
        <v>1</v>
      </c>
      <c r="AG695" s="63">
        <v>1</v>
      </c>
      <c r="AH695" s="29"/>
      <c r="AI695" s="27"/>
      <c r="AJ695" s="29"/>
      <c r="AK695" s="77">
        <v>0</v>
      </c>
      <c r="AL695" s="27"/>
      <c r="AM695" s="27"/>
      <c r="AN695" s="27"/>
      <c r="AO695" s="27"/>
      <c r="AP695" s="27"/>
      <c r="AQ695" s="27"/>
      <c r="AR695" s="27"/>
      <c r="AS695" s="27"/>
      <c r="AT695" s="27"/>
      <c r="AU695" s="27"/>
      <c r="AV695" s="27"/>
      <c r="AW695" s="27"/>
      <c r="AX695" s="27"/>
      <c r="AY695" s="27"/>
      <c r="AZ695" s="27"/>
      <c r="BA695" s="41" t="s">
        <v>230</v>
      </c>
      <c r="BB695" s="41" t="s">
        <v>235</v>
      </c>
      <c r="BC695" s="41" t="s">
        <v>234</v>
      </c>
      <c r="BD695" s="41" t="s">
        <v>2337</v>
      </c>
    </row>
    <row r="696" spans="1:56" ht="18" customHeight="1" outlineLevel="1">
      <c r="A696" s="19">
        <v>854</v>
      </c>
      <c r="B696" s="19">
        <v>523001109</v>
      </c>
      <c r="C696" s="19">
        <v>523001110</v>
      </c>
      <c r="D696" s="50" t="s">
        <v>529</v>
      </c>
      <c r="E696" s="19" t="s">
        <v>856</v>
      </c>
      <c r="F696" s="19" t="s">
        <v>925</v>
      </c>
      <c r="G696" s="19" t="s">
        <v>926</v>
      </c>
      <c r="H696" s="69" t="s">
        <v>927</v>
      </c>
      <c r="I696" s="70" t="s">
        <v>532</v>
      </c>
      <c r="J696" s="70" t="s">
        <v>289</v>
      </c>
      <c r="K696" s="71">
        <v>4</v>
      </c>
      <c r="L696" s="72">
        <v>523001110</v>
      </c>
      <c r="M696" s="72" t="s">
        <v>928</v>
      </c>
      <c r="N696" s="73">
        <v>16.700000000000003</v>
      </c>
      <c r="O696" s="74" t="s">
        <v>279</v>
      </c>
      <c r="P696" s="73">
        <v>29.95</v>
      </c>
      <c r="Q696" s="80" t="s">
        <v>279</v>
      </c>
      <c r="W696" s="76" t="s">
        <v>929</v>
      </c>
      <c r="X696" s="77">
        <v>16.700000000000003</v>
      </c>
      <c r="Y696" s="78">
        <v>0</v>
      </c>
      <c r="AA696" s="79">
        <v>16.700000000000003</v>
      </c>
      <c r="AB696" s="79">
        <v>16.700000000000003</v>
      </c>
      <c r="AC696" s="78">
        <v>0</v>
      </c>
      <c r="AE696" s="63" t="s">
        <v>219</v>
      </c>
      <c r="AF696" s="63">
        <v>1</v>
      </c>
      <c r="AG696" s="63">
        <v>1</v>
      </c>
      <c r="AK696" s="77">
        <v>0</v>
      </c>
      <c r="BA696" s="41" t="s">
        <v>230</v>
      </c>
      <c r="BB696" s="41" t="s">
        <v>235</v>
      </c>
      <c r="BC696" s="41" t="s">
        <v>234</v>
      </c>
      <c r="BD696" s="41" t="s">
        <v>2337</v>
      </c>
    </row>
    <row r="697" spans="1:56" ht="18" customHeight="1" outlineLevel="1">
      <c r="A697" s="19">
        <v>855</v>
      </c>
      <c r="B697" s="19">
        <v>521002109</v>
      </c>
      <c r="C697" s="19">
        <v>521002110</v>
      </c>
      <c r="D697" s="50" t="s">
        <v>22</v>
      </c>
      <c r="E697" s="19" t="s">
        <v>856</v>
      </c>
      <c r="F697" s="19" t="s">
        <v>2338</v>
      </c>
      <c r="G697" s="19" t="s">
        <v>2339</v>
      </c>
      <c r="H697" s="69" t="s">
        <v>2340</v>
      </c>
      <c r="I697" s="70" t="s">
        <v>536</v>
      </c>
      <c r="J697" s="70" t="s">
        <v>537</v>
      </c>
      <c r="K697" s="71">
        <v>4</v>
      </c>
      <c r="L697" s="72">
        <v>521002110</v>
      </c>
      <c r="M697" s="72" t="s">
        <v>2341</v>
      </c>
      <c r="N697" s="73">
        <v>27.900000000000002</v>
      </c>
      <c r="O697" s="74" t="s">
        <v>279</v>
      </c>
      <c r="P697" s="73">
        <v>49.95</v>
      </c>
      <c r="Q697" s="80" t="s">
        <v>279</v>
      </c>
      <c r="W697" s="76" t="s">
        <v>2342</v>
      </c>
      <c r="X697" s="77">
        <v>27.900000000000002</v>
      </c>
      <c r="Y697" s="78">
        <v>0</v>
      </c>
      <c r="AA697" s="79">
        <v>27.900000000000002</v>
      </c>
      <c r="AB697" s="79">
        <v>27.900000000000002</v>
      </c>
      <c r="AC697" s="78">
        <v>0</v>
      </c>
      <c r="AE697" s="63" t="s">
        <v>219</v>
      </c>
      <c r="AF697" s="63">
        <v>1</v>
      </c>
      <c r="AG697" s="63">
        <v>1</v>
      </c>
      <c r="AK697" s="77">
        <v>0</v>
      </c>
      <c r="BA697" s="41" t="s">
        <v>230</v>
      </c>
      <c r="BB697" s="41" t="s">
        <v>235</v>
      </c>
      <c r="BC697" s="41" t="s">
        <v>234</v>
      </c>
      <c r="BD697" s="41" t="s">
        <v>2337</v>
      </c>
    </row>
    <row r="698" spans="1:56" ht="18" customHeight="1" outlineLevel="1">
      <c r="A698" s="19">
        <v>856</v>
      </c>
      <c r="B698" s="19">
        <v>521002111</v>
      </c>
      <c r="C698" s="19">
        <v>521002112</v>
      </c>
      <c r="D698" s="50" t="s">
        <v>22</v>
      </c>
      <c r="E698" s="19" t="s">
        <v>856</v>
      </c>
      <c r="F698" s="19" t="s">
        <v>2343</v>
      </c>
      <c r="G698" s="19" t="s">
        <v>2344</v>
      </c>
      <c r="H698" s="69" t="s">
        <v>2345</v>
      </c>
      <c r="I698" s="70" t="s">
        <v>536</v>
      </c>
      <c r="J698" s="70" t="s">
        <v>958</v>
      </c>
      <c r="K698" s="71">
        <v>4</v>
      </c>
      <c r="L698" s="72">
        <v>521002112</v>
      </c>
      <c r="M698" s="72" t="s">
        <v>2346</v>
      </c>
      <c r="N698" s="73">
        <v>27.900000000000002</v>
      </c>
      <c r="O698" s="74" t="s">
        <v>279</v>
      </c>
      <c r="P698" s="73">
        <v>49.95</v>
      </c>
      <c r="Q698" s="80" t="s">
        <v>279</v>
      </c>
      <c r="W698" s="76" t="s">
        <v>2347</v>
      </c>
      <c r="X698" s="77">
        <v>27.900000000000002</v>
      </c>
      <c r="Y698" s="78">
        <v>0</v>
      </c>
      <c r="AA698" s="79">
        <v>27.900000000000002</v>
      </c>
      <c r="AB698" s="79">
        <v>27.900000000000002</v>
      </c>
      <c r="AC698" s="78">
        <v>0</v>
      </c>
      <c r="AE698" s="63" t="s">
        <v>219</v>
      </c>
      <c r="AF698" s="63">
        <v>1</v>
      </c>
      <c r="AG698" s="63">
        <v>1</v>
      </c>
      <c r="AK698" s="77">
        <v>0</v>
      </c>
      <c r="BA698" s="41" t="s">
        <v>230</v>
      </c>
      <c r="BB698" s="41" t="s">
        <v>235</v>
      </c>
      <c r="BC698" s="41" t="s">
        <v>234</v>
      </c>
      <c r="BD698" s="41" t="s">
        <v>2337</v>
      </c>
    </row>
    <row r="699" spans="1:56" ht="18" customHeight="1" outlineLevel="1">
      <c r="A699" s="19">
        <v>857</v>
      </c>
      <c r="B699" s="19">
        <v>521002105</v>
      </c>
      <c r="C699" s="19">
        <v>521002106</v>
      </c>
      <c r="D699" s="50" t="s">
        <v>22</v>
      </c>
      <c r="E699" s="19" t="s">
        <v>856</v>
      </c>
      <c r="F699" s="19" t="s">
        <v>2348</v>
      </c>
      <c r="G699" s="19" t="s">
        <v>2349</v>
      </c>
      <c r="H699" s="69" t="s">
        <v>2350</v>
      </c>
      <c r="I699" s="70" t="s">
        <v>536</v>
      </c>
      <c r="J699" s="70" t="s">
        <v>537</v>
      </c>
      <c r="K699" s="71">
        <v>4</v>
      </c>
      <c r="L699" s="72">
        <v>521002106</v>
      </c>
      <c r="M699" s="72" t="s">
        <v>2351</v>
      </c>
      <c r="N699" s="73">
        <v>27.900000000000002</v>
      </c>
      <c r="O699" s="74" t="s">
        <v>279</v>
      </c>
      <c r="P699" s="73">
        <v>49.95</v>
      </c>
      <c r="Q699" s="80" t="s">
        <v>279</v>
      </c>
      <c r="W699" s="76" t="s">
        <v>2352</v>
      </c>
      <c r="X699" s="77">
        <v>27.900000000000002</v>
      </c>
      <c r="Y699" s="78">
        <v>0</v>
      </c>
      <c r="AA699" s="79">
        <v>27.900000000000002</v>
      </c>
      <c r="AB699" s="79">
        <v>27.900000000000002</v>
      </c>
      <c r="AC699" s="78">
        <v>0</v>
      </c>
      <c r="AE699" s="63" t="s">
        <v>219</v>
      </c>
      <c r="AF699" s="63">
        <v>1</v>
      </c>
      <c r="AG699" s="63">
        <v>1</v>
      </c>
      <c r="AK699" s="77">
        <v>0</v>
      </c>
      <c r="BA699" s="41" t="s">
        <v>230</v>
      </c>
      <c r="BB699" s="41" t="s">
        <v>235</v>
      </c>
      <c r="BC699" s="41" t="s">
        <v>234</v>
      </c>
      <c r="BD699" s="41" t="s">
        <v>2337</v>
      </c>
    </row>
    <row r="700" spans="1:56" s="57" customFormat="1" ht="18" customHeight="1" outlineLevel="1">
      <c r="A700" s="49">
        <v>858</v>
      </c>
      <c r="B700" s="19">
        <v>523001515</v>
      </c>
      <c r="C700" s="19">
        <v>523001516</v>
      </c>
      <c r="D700" s="50" t="s">
        <v>22</v>
      </c>
      <c r="E700" s="19" t="s">
        <v>856</v>
      </c>
      <c r="F700" s="19" t="s">
        <v>2353</v>
      </c>
      <c r="G700" s="19" t="s">
        <v>2354</v>
      </c>
      <c r="H700" s="69" t="s">
        <v>2355</v>
      </c>
      <c r="I700" s="64" t="s">
        <v>536</v>
      </c>
      <c r="J700" s="70" t="s">
        <v>537</v>
      </c>
      <c r="K700" s="53">
        <v>4</v>
      </c>
      <c r="L700" s="20">
        <v>523001516</v>
      </c>
      <c r="M700" s="72" t="s">
        <v>2356</v>
      </c>
      <c r="N700" s="54">
        <v>27.900000000000002</v>
      </c>
      <c r="O700" s="56" t="s">
        <v>279</v>
      </c>
      <c r="P700" s="54">
        <v>49.95</v>
      </c>
      <c r="Q700" s="56" t="s">
        <v>279</v>
      </c>
      <c r="R700" s="27"/>
      <c r="S700" s="58"/>
      <c r="T700" s="51"/>
      <c r="U700" s="51"/>
      <c r="V700" s="51"/>
      <c r="W700" s="76" t="s">
        <v>2357</v>
      </c>
      <c r="X700" s="77">
        <v>27.900000000000002</v>
      </c>
      <c r="Y700" s="78">
        <v>0</v>
      </c>
      <c r="Z700" s="29"/>
      <c r="AA700" s="79">
        <v>27.900000000000002</v>
      </c>
      <c r="AB700" s="79">
        <v>27.900000000000002</v>
      </c>
      <c r="AC700" s="78">
        <v>0</v>
      </c>
      <c r="AD700" s="29"/>
      <c r="AE700" s="63" t="s">
        <v>219</v>
      </c>
      <c r="AF700" s="63">
        <v>1</v>
      </c>
      <c r="AG700" s="63">
        <v>1</v>
      </c>
      <c r="AH700" s="29"/>
      <c r="AI700" s="27"/>
      <c r="AJ700" s="29"/>
      <c r="AK700" s="77">
        <v>0</v>
      </c>
      <c r="AL700" s="27"/>
      <c r="AM700" s="27"/>
      <c r="AN700" s="27"/>
      <c r="AO700" s="27"/>
      <c r="AP700" s="27"/>
      <c r="AQ700" s="27"/>
      <c r="AR700" s="27"/>
      <c r="AS700" s="27"/>
      <c r="AT700" s="27"/>
      <c r="AU700" s="27"/>
      <c r="AV700" s="27"/>
      <c r="AW700" s="27"/>
      <c r="AX700" s="27"/>
      <c r="AY700" s="27"/>
      <c r="AZ700" s="27"/>
      <c r="BA700" s="41" t="s">
        <v>230</v>
      </c>
      <c r="BB700" s="41" t="s">
        <v>235</v>
      </c>
      <c r="BC700" s="41" t="s">
        <v>234</v>
      </c>
      <c r="BD700" s="41" t="s">
        <v>2337</v>
      </c>
    </row>
    <row r="701" spans="1:56" s="57" customFormat="1" ht="27" customHeight="1" outlineLevel="1">
      <c r="A701" s="49">
        <v>859</v>
      </c>
      <c r="B701" s="19" t="s">
        <v>219</v>
      </c>
      <c r="C701" s="19" t="s">
        <v>219</v>
      </c>
      <c r="D701" s="50" t="s">
        <v>219</v>
      </c>
      <c r="E701" s="19" t="s">
        <v>219</v>
      </c>
      <c r="F701" s="19" t="s">
        <v>219</v>
      </c>
      <c r="G701" s="19" t="s">
        <v>219</v>
      </c>
      <c r="H701" s="81" t="s">
        <v>219</v>
      </c>
      <c r="I701" s="64" t="s">
        <v>219</v>
      </c>
      <c r="J701" s="70" t="s">
        <v>219</v>
      </c>
      <c r="K701" s="53" t="s">
        <v>219</v>
      </c>
      <c r="L701" s="20" t="s">
        <v>219</v>
      </c>
      <c r="M701" s="72" t="s">
        <v>219</v>
      </c>
      <c r="N701" s="54" t="s">
        <v>219</v>
      </c>
      <c r="O701" s="56" t="s">
        <v>219</v>
      </c>
      <c r="P701" s="54" t="s">
        <v>219</v>
      </c>
      <c r="Q701" s="56" t="s">
        <v>219</v>
      </c>
      <c r="R701" s="27"/>
      <c r="S701" s="58"/>
      <c r="T701" s="51"/>
      <c r="U701" s="51"/>
      <c r="V701" s="51"/>
      <c r="W701" s="76" t="s">
        <v>219</v>
      </c>
      <c r="X701" s="77" t="s">
        <v>219</v>
      </c>
      <c r="Y701" s="78">
        <v>0</v>
      </c>
      <c r="Z701" s="29"/>
      <c r="AA701" s="79" t="s">
        <v>219</v>
      </c>
      <c r="AB701" s="79" t="s">
        <v>219</v>
      </c>
      <c r="AC701" s="78">
        <v>0</v>
      </c>
      <c r="AD701" s="29"/>
      <c r="AE701" s="63" t="s">
        <v>230</v>
      </c>
      <c r="AF701" s="63">
        <v>1</v>
      </c>
      <c r="AG701" s="63" t="s">
        <v>219</v>
      </c>
      <c r="AH701" s="29"/>
      <c r="AI701" s="27"/>
      <c r="AJ701" s="29"/>
      <c r="AK701" s="77">
        <v>0</v>
      </c>
      <c r="AL701" s="27"/>
      <c r="AM701" s="27"/>
      <c r="AN701" s="27"/>
      <c r="AO701" s="27"/>
      <c r="AP701" s="27"/>
      <c r="AQ701" s="27"/>
      <c r="AR701" s="27"/>
      <c r="AS701" s="27"/>
      <c r="AT701" s="27"/>
      <c r="AU701" s="27"/>
      <c r="AV701" s="27"/>
      <c r="AW701" s="27"/>
      <c r="AX701" s="27"/>
      <c r="AY701" s="27"/>
      <c r="AZ701" s="27"/>
      <c r="BA701" s="41" t="s">
        <v>230</v>
      </c>
      <c r="BB701" s="41" t="s">
        <v>235</v>
      </c>
      <c r="BC701" s="41" t="s">
        <v>234</v>
      </c>
      <c r="BD701" s="41" t="s">
        <v>2337</v>
      </c>
    </row>
    <row r="702" spans="1:56" ht="27" customHeight="1" outlineLevel="1">
      <c r="A702" s="19">
        <v>860</v>
      </c>
      <c r="B702" s="19" t="s">
        <v>219</v>
      </c>
      <c r="C702" s="19" t="s">
        <v>219</v>
      </c>
      <c r="D702" s="50" t="s">
        <v>219</v>
      </c>
      <c r="E702" s="19" t="s">
        <v>219</v>
      </c>
      <c r="F702" s="19" t="s">
        <v>219</v>
      </c>
      <c r="G702" s="19" t="s">
        <v>219</v>
      </c>
      <c r="H702" s="81" t="s">
        <v>219</v>
      </c>
      <c r="I702" s="70" t="s">
        <v>219</v>
      </c>
      <c r="J702" s="70" t="s">
        <v>219</v>
      </c>
      <c r="K702" s="71" t="s">
        <v>219</v>
      </c>
      <c r="L702" s="72" t="s">
        <v>219</v>
      </c>
      <c r="M702" s="72" t="s">
        <v>219</v>
      </c>
      <c r="N702" s="73" t="s">
        <v>219</v>
      </c>
      <c r="O702" s="74" t="s">
        <v>219</v>
      </c>
      <c r="P702" s="73" t="s">
        <v>219</v>
      </c>
      <c r="Q702" s="80" t="s">
        <v>219</v>
      </c>
      <c r="W702" s="76" t="s">
        <v>219</v>
      </c>
      <c r="X702" s="77" t="s">
        <v>219</v>
      </c>
      <c r="Y702" s="78">
        <v>0</v>
      </c>
      <c r="AA702" s="79" t="s">
        <v>219</v>
      </c>
      <c r="AB702" s="79" t="s">
        <v>219</v>
      </c>
      <c r="AC702" s="78">
        <v>0</v>
      </c>
      <c r="AE702" s="63" t="s">
        <v>230</v>
      </c>
      <c r="AF702" s="63">
        <v>1</v>
      </c>
      <c r="AG702" s="63" t="s">
        <v>219</v>
      </c>
      <c r="AK702" s="77">
        <v>0</v>
      </c>
      <c r="BA702" s="41" t="s">
        <v>230</v>
      </c>
      <c r="BB702" s="41" t="s">
        <v>235</v>
      </c>
      <c r="BC702" s="41" t="s">
        <v>234</v>
      </c>
      <c r="BD702" s="41" t="s">
        <v>2337</v>
      </c>
    </row>
    <row r="703" spans="1:56" s="57" customFormat="1" ht="27" customHeight="1" outlineLevel="1">
      <c r="A703" s="49">
        <v>861</v>
      </c>
      <c r="B703" s="19" t="s">
        <v>219</v>
      </c>
      <c r="C703" s="19" t="s">
        <v>219</v>
      </c>
      <c r="D703" s="50" t="s">
        <v>219</v>
      </c>
      <c r="E703" s="19" t="s">
        <v>219</v>
      </c>
      <c r="F703" s="19" t="s">
        <v>219</v>
      </c>
      <c r="G703" s="19" t="s">
        <v>219</v>
      </c>
      <c r="H703" s="81" t="s">
        <v>219</v>
      </c>
      <c r="I703" s="64" t="s">
        <v>219</v>
      </c>
      <c r="J703" s="70" t="s">
        <v>219</v>
      </c>
      <c r="K703" s="53" t="s">
        <v>219</v>
      </c>
      <c r="L703" s="20" t="s">
        <v>219</v>
      </c>
      <c r="M703" s="72" t="s">
        <v>219</v>
      </c>
      <c r="N703" s="54" t="s">
        <v>219</v>
      </c>
      <c r="O703" s="56" t="s">
        <v>219</v>
      </c>
      <c r="P703" s="54" t="s">
        <v>219</v>
      </c>
      <c r="Q703" s="56" t="s">
        <v>219</v>
      </c>
      <c r="R703" s="27"/>
      <c r="S703" s="58"/>
      <c r="T703" s="51"/>
      <c r="U703" s="51"/>
      <c r="V703" s="51"/>
      <c r="W703" s="76" t="s">
        <v>219</v>
      </c>
      <c r="X703" s="77" t="s">
        <v>219</v>
      </c>
      <c r="Y703" s="78">
        <v>0</v>
      </c>
      <c r="Z703" s="29"/>
      <c r="AA703" s="79" t="s">
        <v>219</v>
      </c>
      <c r="AB703" s="79" t="s">
        <v>219</v>
      </c>
      <c r="AC703" s="78">
        <v>0</v>
      </c>
      <c r="AD703" s="29"/>
      <c r="AE703" s="63" t="s">
        <v>230</v>
      </c>
      <c r="AF703" s="63">
        <v>1</v>
      </c>
      <c r="AG703" s="63" t="s">
        <v>219</v>
      </c>
      <c r="AH703" s="29"/>
      <c r="AI703" s="27"/>
      <c r="AJ703" s="29"/>
      <c r="AK703" s="77">
        <v>0</v>
      </c>
      <c r="AL703" s="27"/>
      <c r="AM703" s="27"/>
      <c r="AN703" s="27"/>
      <c r="AO703" s="27"/>
      <c r="AP703" s="27"/>
      <c r="AQ703" s="27"/>
      <c r="AR703" s="27"/>
      <c r="AS703" s="27"/>
      <c r="AT703" s="27"/>
      <c r="AU703" s="27"/>
      <c r="AV703" s="27"/>
      <c r="AW703" s="27"/>
      <c r="AX703" s="27"/>
      <c r="AY703" s="27"/>
      <c r="AZ703" s="27"/>
      <c r="BA703" s="41" t="s">
        <v>230</v>
      </c>
      <c r="BB703" s="41" t="s">
        <v>235</v>
      </c>
      <c r="BC703" s="41" t="s">
        <v>234</v>
      </c>
      <c r="BD703" s="41" t="s">
        <v>2337</v>
      </c>
    </row>
    <row r="704" spans="1:56" s="57" customFormat="1" ht="27" customHeight="1" outlineLevel="1">
      <c r="A704" s="49">
        <v>862</v>
      </c>
      <c r="B704" s="19" t="s">
        <v>219</v>
      </c>
      <c r="C704" s="19" t="s">
        <v>219</v>
      </c>
      <c r="D704" s="50" t="s">
        <v>219</v>
      </c>
      <c r="E704" s="19" t="s">
        <v>219</v>
      </c>
      <c r="F704" s="19" t="s">
        <v>219</v>
      </c>
      <c r="G704" s="19" t="s">
        <v>219</v>
      </c>
      <c r="H704" s="81" t="s">
        <v>219</v>
      </c>
      <c r="I704" s="64" t="s">
        <v>219</v>
      </c>
      <c r="J704" s="70" t="s">
        <v>219</v>
      </c>
      <c r="K704" s="53" t="s">
        <v>219</v>
      </c>
      <c r="L704" s="20" t="s">
        <v>219</v>
      </c>
      <c r="M704" s="72" t="s">
        <v>219</v>
      </c>
      <c r="N704" s="54" t="s">
        <v>219</v>
      </c>
      <c r="O704" s="56" t="s">
        <v>219</v>
      </c>
      <c r="P704" s="54" t="s">
        <v>219</v>
      </c>
      <c r="Q704" s="56" t="s">
        <v>219</v>
      </c>
      <c r="R704" s="27"/>
      <c r="S704" s="58"/>
      <c r="T704" s="51"/>
      <c r="U704" s="51"/>
      <c r="V704" s="51"/>
      <c r="W704" s="76" t="s">
        <v>219</v>
      </c>
      <c r="X704" s="77" t="s">
        <v>219</v>
      </c>
      <c r="Y704" s="78">
        <v>0</v>
      </c>
      <c r="Z704" s="29"/>
      <c r="AA704" s="79" t="s">
        <v>219</v>
      </c>
      <c r="AB704" s="79" t="s">
        <v>219</v>
      </c>
      <c r="AC704" s="78">
        <v>0</v>
      </c>
      <c r="AD704" s="29"/>
      <c r="AE704" s="63" t="s">
        <v>230</v>
      </c>
      <c r="AF704" s="63">
        <v>1</v>
      </c>
      <c r="AG704" s="63" t="s">
        <v>219</v>
      </c>
      <c r="AH704" s="29"/>
      <c r="AI704" s="27"/>
      <c r="AJ704" s="29"/>
      <c r="AK704" s="77">
        <v>0</v>
      </c>
      <c r="AL704" s="27"/>
      <c r="AM704" s="27"/>
      <c r="AN704" s="27"/>
      <c r="AO704" s="27"/>
      <c r="AP704" s="27"/>
      <c r="AQ704" s="27"/>
      <c r="AR704" s="27"/>
      <c r="AS704" s="27"/>
      <c r="AT704" s="27"/>
      <c r="AU704" s="27"/>
      <c r="AV704" s="27"/>
      <c r="AW704" s="27"/>
      <c r="AX704" s="27"/>
      <c r="AY704" s="27"/>
      <c r="AZ704" s="27"/>
      <c r="BA704" s="41" t="s">
        <v>230</v>
      </c>
      <c r="BB704" s="41" t="s">
        <v>235</v>
      </c>
      <c r="BC704" s="41" t="s">
        <v>234</v>
      </c>
      <c r="BD704" s="41" t="s">
        <v>2337</v>
      </c>
    </row>
    <row r="705" spans="1:82" ht="27" customHeight="1" outlineLevel="1">
      <c r="A705" s="19">
        <v>863</v>
      </c>
      <c r="B705" s="19" t="s">
        <v>219</v>
      </c>
      <c r="C705" s="19" t="s">
        <v>219</v>
      </c>
      <c r="D705" s="50" t="s">
        <v>219</v>
      </c>
      <c r="E705" s="19" t="s">
        <v>219</v>
      </c>
      <c r="F705" s="19" t="s">
        <v>219</v>
      </c>
      <c r="G705" s="19" t="s">
        <v>219</v>
      </c>
      <c r="H705" s="81" t="s">
        <v>219</v>
      </c>
      <c r="I705" s="70" t="s">
        <v>219</v>
      </c>
      <c r="J705" s="70" t="s">
        <v>219</v>
      </c>
      <c r="K705" s="71" t="s">
        <v>219</v>
      </c>
      <c r="L705" s="72" t="s">
        <v>219</v>
      </c>
      <c r="M705" s="72" t="s">
        <v>219</v>
      </c>
      <c r="N705" s="73" t="s">
        <v>219</v>
      </c>
      <c r="O705" s="74" t="s">
        <v>219</v>
      </c>
      <c r="P705" s="73" t="s">
        <v>219</v>
      </c>
      <c r="Q705" s="80" t="s">
        <v>219</v>
      </c>
      <c r="W705" s="76" t="s">
        <v>219</v>
      </c>
      <c r="X705" s="77" t="s">
        <v>219</v>
      </c>
      <c r="Y705" s="78">
        <v>0</v>
      </c>
      <c r="AA705" s="79" t="s">
        <v>219</v>
      </c>
      <c r="AB705" s="79" t="s">
        <v>219</v>
      </c>
      <c r="AC705" s="78">
        <v>0</v>
      </c>
      <c r="AE705" s="63" t="s">
        <v>230</v>
      </c>
      <c r="AF705" s="63">
        <v>1</v>
      </c>
      <c r="AG705" s="63" t="s">
        <v>219</v>
      </c>
      <c r="AK705" s="77">
        <v>0</v>
      </c>
      <c r="BA705" s="41" t="s">
        <v>230</v>
      </c>
      <c r="BB705" s="41" t="s">
        <v>235</v>
      </c>
      <c r="BC705" s="41" t="s">
        <v>234</v>
      </c>
      <c r="BD705" s="41" t="s">
        <v>2337</v>
      </c>
    </row>
    <row r="706" spans="1:82" ht="27" customHeight="1" outlineLevel="1">
      <c r="A706" s="19">
        <v>864</v>
      </c>
      <c r="B706" s="19" t="s">
        <v>219</v>
      </c>
      <c r="C706" s="19" t="s">
        <v>219</v>
      </c>
      <c r="D706" s="50" t="s">
        <v>219</v>
      </c>
      <c r="E706" s="19" t="s">
        <v>219</v>
      </c>
      <c r="F706" s="19" t="s">
        <v>219</v>
      </c>
      <c r="G706" s="19" t="s">
        <v>219</v>
      </c>
      <c r="H706" s="81" t="s">
        <v>219</v>
      </c>
      <c r="I706" s="70" t="s">
        <v>219</v>
      </c>
      <c r="J706" s="70" t="s">
        <v>219</v>
      </c>
      <c r="K706" s="71" t="s">
        <v>219</v>
      </c>
      <c r="L706" s="72" t="s">
        <v>219</v>
      </c>
      <c r="M706" s="72" t="s">
        <v>219</v>
      </c>
      <c r="N706" s="73" t="s">
        <v>219</v>
      </c>
      <c r="O706" s="74" t="s">
        <v>219</v>
      </c>
      <c r="P706" s="73" t="s">
        <v>219</v>
      </c>
      <c r="Q706" s="80" t="s">
        <v>219</v>
      </c>
      <c r="W706" s="76" t="s">
        <v>219</v>
      </c>
      <c r="X706" s="77" t="s">
        <v>219</v>
      </c>
      <c r="Y706" s="78">
        <v>0</v>
      </c>
      <c r="AA706" s="79" t="s">
        <v>219</v>
      </c>
      <c r="AB706" s="79" t="s">
        <v>219</v>
      </c>
      <c r="AC706" s="78">
        <v>0</v>
      </c>
      <c r="AE706" s="63" t="s">
        <v>230</v>
      </c>
      <c r="AF706" s="63">
        <v>1</v>
      </c>
      <c r="AG706" s="63" t="s">
        <v>219</v>
      </c>
      <c r="AK706" s="77">
        <v>0</v>
      </c>
      <c r="BA706" s="41" t="s">
        <v>230</v>
      </c>
      <c r="BB706" s="41" t="s">
        <v>235</v>
      </c>
      <c r="BC706" s="41" t="s">
        <v>234</v>
      </c>
      <c r="BD706" s="41" t="s">
        <v>2337</v>
      </c>
    </row>
    <row r="707" spans="1:82" ht="27" customHeight="1" outlineLevel="1">
      <c r="A707" s="19">
        <v>865</v>
      </c>
      <c r="B707" s="19" t="s">
        <v>219</v>
      </c>
      <c r="C707" s="19" t="s">
        <v>219</v>
      </c>
      <c r="D707" s="50" t="s">
        <v>219</v>
      </c>
      <c r="E707" s="19" t="s">
        <v>219</v>
      </c>
      <c r="F707" s="19" t="s">
        <v>219</v>
      </c>
      <c r="G707" s="19" t="s">
        <v>219</v>
      </c>
      <c r="H707" s="81" t="s">
        <v>219</v>
      </c>
      <c r="I707" s="70" t="s">
        <v>219</v>
      </c>
      <c r="J707" s="70" t="s">
        <v>219</v>
      </c>
      <c r="K707" s="71" t="s">
        <v>219</v>
      </c>
      <c r="L707" s="72" t="s">
        <v>219</v>
      </c>
      <c r="M707" s="72" t="s">
        <v>219</v>
      </c>
      <c r="N707" s="73" t="s">
        <v>219</v>
      </c>
      <c r="O707" s="74" t="s">
        <v>219</v>
      </c>
      <c r="P707" s="73" t="s">
        <v>219</v>
      </c>
      <c r="Q707" s="80" t="s">
        <v>219</v>
      </c>
      <c r="W707" s="76" t="s">
        <v>219</v>
      </c>
      <c r="X707" s="77" t="s">
        <v>219</v>
      </c>
      <c r="Y707" s="78">
        <v>0</v>
      </c>
      <c r="AA707" s="79" t="s">
        <v>219</v>
      </c>
      <c r="AB707" s="79" t="s">
        <v>219</v>
      </c>
      <c r="AC707" s="78">
        <v>0</v>
      </c>
      <c r="AE707" s="63" t="s">
        <v>230</v>
      </c>
      <c r="AF707" s="63">
        <v>1</v>
      </c>
      <c r="AG707" s="63" t="s">
        <v>219</v>
      </c>
      <c r="AK707" s="77">
        <v>0</v>
      </c>
      <c r="BA707" s="41" t="s">
        <v>230</v>
      </c>
      <c r="BB707" s="41" t="s">
        <v>235</v>
      </c>
      <c r="BC707" s="41" t="s">
        <v>234</v>
      </c>
      <c r="BD707" s="41" t="s">
        <v>2337</v>
      </c>
    </row>
    <row r="708" spans="1:82" ht="27" customHeight="1" outlineLevel="1">
      <c r="A708" s="19">
        <v>866</v>
      </c>
      <c r="B708" s="19" t="s">
        <v>219</v>
      </c>
      <c r="C708" s="19" t="s">
        <v>219</v>
      </c>
      <c r="D708" s="50" t="s">
        <v>219</v>
      </c>
      <c r="E708" s="19" t="s">
        <v>219</v>
      </c>
      <c r="F708" s="19" t="s">
        <v>219</v>
      </c>
      <c r="G708" s="19" t="s">
        <v>219</v>
      </c>
      <c r="H708" s="81" t="s">
        <v>219</v>
      </c>
      <c r="I708" s="70" t="s">
        <v>219</v>
      </c>
      <c r="J708" s="70" t="s">
        <v>219</v>
      </c>
      <c r="K708" s="71" t="s">
        <v>219</v>
      </c>
      <c r="L708" s="72" t="s">
        <v>219</v>
      </c>
      <c r="M708" s="72" t="s">
        <v>219</v>
      </c>
      <c r="N708" s="73" t="s">
        <v>219</v>
      </c>
      <c r="O708" s="74" t="s">
        <v>219</v>
      </c>
      <c r="P708" s="73" t="s">
        <v>219</v>
      </c>
      <c r="Q708" s="80" t="s">
        <v>219</v>
      </c>
      <c r="W708" s="76" t="s">
        <v>219</v>
      </c>
      <c r="X708" s="77" t="s">
        <v>219</v>
      </c>
      <c r="Y708" s="78">
        <v>0</v>
      </c>
      <c r="AA708" s="79" t="s">
        <v>219</v>
      </c>
      <c r="AB708" s="79" t="s">
        <v>219</v>
      </c>
      <c r="AC708" s="78">
        <v>0</v>
      </c>
      <c r="AE708" s="63" t="s">
        <v>230</v>
      </c>
      <c r="AF708" s="63">
        <v>1</v>
      </c>
      <c r="AG708" s="63" t="s">
        <v>219</v>
      </c>
      <c r="AK708" s="77">
        <v>0</v>
      </c>
      <c r="BA708" s="41" t="s">
        <v>230</v>
      </c>
      <c r="BB708" s="41" t="s">
        <v>235</v>
      </c>
      <c r="BC708" s="41" t="s">
        <v>234</v>
      </c>
      <c r="BD708" s="41" t="s">
        <v>2337</v>
      </c>
    </row>
    <row r="709" spans="1:82" ht="27" customHeight="1" outlineLevel="1">
      <c r="A709" s="19">
        <v>867</v>
      </c>
      <c r="B709" s="19" t="s">
        <v>219</v>
      </c>
      <c r="C709" s="19" t="s">
        <v>219</v>
      </c>
      <c r="D709" s="50" t="s">
        <v>219</v>
      </c>
      <c r="E709" s="19" t="s">
        <v>219</v>
      </c>
      <c r="F709" s="19" t="s">
        <v>219</v>
      </c>
      <c r="G709" s="19" t="s">
        <v>219</v>
      </c>
      <c r="H709" s="81" t="s">
        <v>219</v>
      </c>
      <c r="I709" s="70" t="s">
        <v>219</v>
      </c>
      <c r="J709" s="70" t="s">
        <v>219</v>
      </c>
      <c r="K709" s="71" t="s">
        <v>219</v>
      </c>
      <c r="L709" s="72" t="s">
        <v>219</v>
      </c>
      <c r="M709" s="72" t="s">
        <v>219</v>
      </c>
      <c r="N709" s="73" t="s">
        <v>219</v>
      </c>
      <c r="O709" s="74" t="s">
        <v>219</v>
      </c>
      <c r="P709" s="73" t="s">
        <v>219</v>
      </c>
      <c r="Q709" s="80" t="s">
        <v>219</v>
      </c>
      <c r="W709" s="76" t="s">
        <v>219</v>
      </c>
      <c r="X709" s="77" t="s">
        <v>219</v>
      </c>
      <c r="Y709" s="78">
        <v>0</v>
      </c>
      <c r="AA709" s="79" t="s">
        <v>219</v>
      </c>
      <c r="AB709" s="79" t="s">
        <v>219</v>
      </c>
      <c r="AC709" s="78">
        <v>0</v>
      </c>
      <c r="AE709" s="63" t="s">
        <v>230</v>
      </c>
      <c r="AF709" s="63">
        <v>1</v>
      </c>
      <c r="AG709" s="63" t="s">
        <v>219</v>
      </c>
      <c r="AK709" s="77">
        <v>0</v>
      </c>
      <c r="BA709" s="41" t="s">
        <v>230</v>
      </c>
      <c r="BB709" s="41" t="s">
        <v>235</v>
      </c>
      <c r="BC709" s="41" t="s">
        <v>234</v>
      </c>
      <c r="BD709" s="41" t="s">
        <v>2337</v>
      </c>
    </row>
    <row r="710" spans="1:82" s="57" customFormat="1" ht="27" customHeight="1" outlineLevel="1">
      <c r="A710" s="49">
        <v>868</v>
      </c>
      <c r="B710" s="19" t="s">
        <v>219</v>
      </c>
      <c r="C710" s="19" t="s">
        <v>219</v>
      </c>
      <c r="D710" s="50" t="s">
        <v>219</v>
      </c>
      <c r="E710" s="19" t="s">
        <v>219</v>
      </c>
      <c r="F710" s="19" t="s">
        <v>219</v>
      </c>
      <c r="G710" s="19" t="s">
        <v>219</v>
      </c>
      <c r="H710" s="81" t="s">
        <v>219</v>
      </c>
      <c r="I710" s="64" t="s">
        <v>219</v>
      </c>
      <c r="J710" s="70" t="s">
        <v>219</v>
      </c>
      <c r="K710" s="53" t="s">
        <v>219</v>
      </c>
      <c r="L710" s="20" t="s">
        <v>219</v>
      </c>
      <c r="M710" s="72" t="s">
        <v>219</v>
      </c>
      <c r="N710" s="54" t="s">
        <v>219</v>
      </c>
      <c r="O710" s="56" t="s">
        <v>219</v>
      </c>
      <c r="P710" s="54" t="s">
        <v>219</v>
      </c>
      <c r="Q710" s="56" t="s">
        <v>219</v>
      </c>
      <c r="R710" s="27"/>
      <c r="S710" s="58"/>
      <c r="T710" s="51"/>
      <c r="U710" s="51"/>
      <c r="V710" s="51"/>
      <c r="W710" s="76" t="s">
        <v>219</v>
      </c>
      <c r="X710" s="77" t="s">
        <v>219</v>
      </c>
      <c r="Y710" s="78">
        <v>0</v>
      </c>
      <c r="Z710" s="29"/>
      <c r="AA710" s="79" t="s">
        <v>219</v>
      </c>
      <c r="AB710" s="79" t="s">
        <v>219</v>
      </c>
      <c r="AC710" s="78">
        <v>0</v>
      </c>
      <c r="AD710" s="29"/>
      <c r="AE710" s="63" t="s">
        <v>230</v>
      </c>
      <c r="AF710" s="63">
        <v>1</v>
      </c>
      <c r="AG710" s="63" t="s">
        <v>219</v>
      </c>
      <c r="AH710" s="29"/>
      <c r="AI710" s="27"/>
      <c r="AJ710" s="29"/>
      <c r="AK710" s="77">
        <v>0</v>
      </c>
      <c r="AL710" s="27"/>
      <c r="AM710" s="27"/>
      <c r="AN710" s="27"/>
      <c r="AO710" s="27"/>
      <c r="AP710" s="27"/>
      <c r="AQ710" s="27"/>
      <c r="AR710" s="27"/>
      <c r="AS710" s="27"/>
      <c r="AT710" s="27"/>
      <c r="AU710" s="27"/>
      <c r="AV710" s="27"/>
      <c r="AW710" s="27"/>
      <c r="AX710" s="27"/>
      <c r="AY710" s="27"/>
      <c r="AZ710" s="27"/>
      <c r="BA710" s="41" t="s">
        <v>230</v>
      </c>
      <c r="BB710" s="41" t="s">
        <v>235</v>
      </c>
      <c r="BC710" s="41" t="s">
        <v>234</v>
      </c>
      <c r="BD710" s="41" t="s">
        <v>2337</v>
      </c>
    </row>
    <row r="711" spans="1:82" ht="27" customHeight="1" outlineLevel="1">
      <c r="A711" s="19">
        <v>869</v>
      </c>
      <c r="B711" s="19" t="s">
        <v>219</v>
      </c>
      <c r="C711" s="19" t="s">
        <v>219</v>
      </c>
      <c r="D711" s="50" t="s">
        <v>219</v>
      </c>
      <c r="E711" s="19" t="s">
        <v>219</v>
      </c>
      <c r="F711" s="19" t="s">
        <v>219</v>
      </c>
      <c r="G711" s="19" t="s">
        <v>219</v>
      </c>
      <c r="H711" s="81" t="s">
        <v>219</v>
      </c>
      <c r="I711" s="70" t="s">
        <v>219</v>
      </c>
      <c r="J711" s="70" t="s">
        <v>219</v>
      </c>
      <c r="K711" s="71" t="s">
        <v>219</v>
      </c>
      <c r="L711" s="72" t="s">
        <v>219</v>
      </c>
      <c r="M711" s="72" t="s">
        <v>219</v>
      </c>
      <c r="N711" s="73" t="s">
        <v>219</v>
      </c>
      <c r="O711" s="74" t="s">
        <v>219</v>
      </c>
      <c r="P711" s="73" t="s">
        <v>219</v>
      </c>
      <c r="Q711" s="80" t="s">
        <v>219</v>
      </c>
      <c r="W711" s="76" t="s">
        <v>219</v>
      </c>
      <c r="X711" s="77" t="s">
        <v>219</v>
      </c>
      <c r="Y711" s="78">
        <v>0</v>
      </c>
      <c r="AA711" s="79" t="s">
        <v>219</v>
      </c>
      <c r="AB711" s="79" t="s">
        <v>219</v>
      </c>
      <c r="AC711" s="78">
        <v>0</v>
      </c>
      <c r="AE711" s="63" t="s">
        <v>230</v>
      </c>
      <c r="AF711" s="63">
        <v>0</v>
      </c>
      <c r="AG711" s="63" t="s">
        <v>219</v>
      </c>
      <c r="AK711" s="77">
        <v>0</v>
      </c>
      <c r="BA711" s="41" t="s">
        <v>230</v>
      </c>
      <c r="BB711" s="41" t="s">
        <v>235</v>
      </c>
      <c r="BC711" s="41" t="s">
        <v>234</v>
      </c>
      <c r="BD711" s="41" t="s">
        <v>2337</v>
      </c>
    </row>
    <row r="712" spans="1:82" s="29" customFormat="1">
      <c r="A712" s="19"/>
      <c r="B712" s="19"/>
      <c r="C712" s="19"/>
      <c r="D712" s="19"/>
      <c r="E712" s="19"/>
      <c r="F712" s="19"/>
      <c r="G712" s="19"/>
      <c r="H712" s="83"/>
      <c r="I712" s="84"/>
      <c r="J712" s="84"/>
      <c r="K712" s="85"/>
      <c r="L712" s="86"/>
      <c r="M712" s="86"/>
      <c r="N712" s="87"/>
      <c r="O712" s="88"/>
      <c r="P712" s="87"/>
      <c r="Q712" s="89"/>
      <c r="R712" s="27"/>
      <c r="S712" s="27"/>
      <c r="T712" s="28"/>
      <c r="U712" s="28"/>
      <c r="V712" s="28"/>
      <c r="W712" s="28"/>
      <c r="X712" s="28"/>
      <c r="Y712" s="27"/>
      <c r="AA712" s="28"/>
      <c r="AB712" s="28"/>
      <c r="AC712" s="27"/>
      <c r="AE712" s="30"/>
      <c r="AF712" s="30"/>
      <c r="AG712" s="30"/>
      <c r="AI712" s="27"/>
      <c r="AK712" s="27"/>
      <c r="AL712" s="27"/>
      <c r="AM712" s="27"/>
      <c r="AN712" s="27"/>
      <c r="AO712" s="27"/>
      <c r="AP712" s="27"/>
      <c r="AQ712" s="27"/>
      <c r="AR712" s="27"/>
      <c r="AS712" s="27"/>
      <c r="AT712" s="27"/>
      <c r="AU712" s="27"/>
      <c r="AV712" s="27"/>
      <c r="AW712" s="27"/>
      <c r="AX712" s="27"/>
      <c r="AY712" s="27"/>
      <c r="AZ712" s="27"/>
      <c r="BC712" s="41"/>
      <c r="BE712" s="27"/>
      <c r="BF712" s="27"/>
      <c r="BG712" s="27"/>
      <c r="BH712" s="27"/>
      <c r="BI712" s="27"/>
      <c r="BJ712" s="27"/>
      <c r="BK712" s="27"/>
      <c r="BL712" s="27"/>
      <c r="BM712" s="27"/>
      <c r="BN712" s="27"/>
      <c r="BO712" s="27"/>
      <c r="BP712" s="27"/>
      <c r="BQ712" s="27"/>
      <c r="BR712" s="27"/>
      <c r="BS712" s="27"/>
      <c r="BT712" s="27"/>
      <c r="BU712" s="27"/>
      <c r="BV712" s="27"/>
      <c r="BW712" s="27"/>
      <c r="BX712" s="27"/>
      <c r="BY712" s="27"/>
      <c r="BZ712" s="27"/>
      <c r="CA712" s="27"/>
      <c r="CB712" s="27"/>
      <c r="CC712" s="27"/>
      <c r="CD712" s="27"/>
    </row>
    <row r="713" spans="1:82" s="29" customFormat="1">
      <c r="A713" s="19"/>
      <c r="B713" s="19"/>
      <c r="C713" s="19"/>
      <c r="D713" s="19"/>
      <c r="E713" s="19"/>
      <c r="F713" s="19"/>
      <c r="G713" s="19"/>
      <c r="H713" s="83"/>
      <c r="I713" s="84"/>
      <c r="J713" s="84"/>
      <c r="K713" s="85"/>
      <c r="L713" s="86"/>
      <c r="M713" s="86"/>
      <c r="N713" s="87"/>
      <c r="O713" s="88"/>
      <c r="P713" s="87"/>
      <c r="Q713" s="89"/>
      <c r="R713" s="27"/>
      <c r="S713" s="27"/>
      <c r="T713" s="28"/>
      <c r="U713" s="28"/>
      <c r="V713" s="28"/>
      <c r="W713" s="28"/>
      <c r="X713" s="28"/>
      <c r="Y713" s="27"/>
      <c r="AA713" s="28"/>
      <c r="AB713" s="28"/>
      <c r="AC713" s="27"/>
      <c r="AE713" s="30"/>
      <c r="AF713" s="30"/>
      <c r="AG713" s="30"/>
      <c r="AI713" s="27"/>
      <c r="AK713" s="27"/>
      <c r="AL713" s="27"/>
      <c r="AM713" s="27"/>
      <c r="AN713" s="27"/>
      <c r="AO713" s="27"/>
      <c r="AP713" s="27"/>
      <c r="AQ713" s="27"/>
      <c r="AR713" s="27"/>
      <c r="AS713" s="27"/>
      <c r="AT713" s="27"/>
      <c r="AU713" s="27"/>
      <c r="AV713" s="27"/>
      <c r="AW713" s="27"/>
      <c r="AX713" s="27"/>
      <c r="AY713" s="27"/>
      <c r="AZ713" s="27"/>
      <c r="BC713" s="41"/>
      <c r="BE713" s="27"/>
      <c r="BF713" s="27"/>
      <c r="BG713" s="27"/>
      <c r="BH713" s="27"/>
      <c r="BI713" s="27"/>
      <c r="BJ713" s="27"/>
      <c r="BK713" s="27"/>
      <c r="BL713" s="27"/>
      <c r="BM713" s="27"/>
      <c r="BN713" s="27"/>
      <c r="BO713" s="27"/>
      <c r="BP713" s="27"/>
      <c r="BQ713" s="27"/>
      <c r="BR713" s="27"/>
      <c r="BS713" s="27"/>
      <c r="BT713" s="27"/>
      <c r="BU713" s="27"/>
      <c r="BV713" s="27"/>
      <c r="BW713" s="27"/>
      <c r="BX713" s="27"/>
      <c r="BY713" s="27"/>
      <c r="BZ713" s="27"/>
      <c r="CA713" s="27"/>
      <c r="CB713" s="27"/>
      <c r="CC713" s="27"/>
      <c r="CD713" s="27"/>
    </row>
    <row r="714" spans="1:82" s="29" customFormat="1">
      <c r="A714" s="19"/>
      <c r="B714" s="19"/>
      <c r="C714" s="19"/>
      <c r="D714" s="19"/>
      <c r="E714" s="19"/>
      <c r="F714" s="19"/>
      <c r="G714" s="19"/>
      <c r="H714" s="83"/>
      <c r="I714" s="84"/>
      <c r="J714" s="84"/>
      <c r="K714" s="85"/>
      <c r="L714" s="86"/>
      <c r="M714" s="86"/>
      <c r="N714" s="87"/>
      <c r="O714" s="88"/>
      <c r="P714" s="87"/>
      <c r="Q714" s="89"/>
      <c r="R714" s="27"/>
      <c r="S714" s="27"/>
      <c r="T714" s="28"/>
      <c r="U714" s="28"/>
      <c r="V714" s="28"/>
      <c r="W714" s="28"/>
      <c r="X714" s="28"/>
      <c r="Y714" s="27"/>
      <c r="AA714" s="28"/>
      <c r="AB714" s="28"/>
      <c r="AC714" s="27"/>
      <c r="AE714" s="30"/>
      <c r="AF714" s="30"/>
      <c r="AG714" s="30"/>
      <c r="AI714" s="27"/>
      <c r="AK714" s="27"/>
      <c r="AL714" s="27"/>
      <c r="AM714" s="27"/>
      <c r="AN714" s="27"/>
      <c r="AO714" s="27"/>
      <c r="AP714" s="27"/>
      <c r="AQ714" s="27"/>
      <c r="AR714" s="27"/>
      <c r="AS714" s="27"/>
      <c r="AT714" s="27"/>
      <c r="AU714" s="27"/>
      <c r="AV714" s="27"/>
      <c r="AW714" s="27"/>
      <c r="AX714" s="27"/>
      <c r="AY714" s="27"/>
      <c r="AZ714" s="27"/>
      <c r="BC714" s="41"/>
      <c r="BE714" s="27"/>
      <c r="BF714" s="27"/>
      <c r="BG714" s="27"/>
      <c r="BH714" s="27"/>
      <c r="BI714" s="27"/>
      <c r="BJ714" s="27"/>
      <c r="BK714" s="27"/>
      <c r="BL714" s="27"/>
      <c r="BM714" s="27"/>
      <c r="BN714" s="27"/>
      <c r="BO714" s="27"/>
      <c r="BP714" s="27"/>
      <c r="BQ714" s="27"/>
      <c r="BR714" s="27"/>
      <c r="BS714" s="27"/>
      <c r="BT714" s="27"/>
      <c r="BU714" s="27"/>
      <c r="BV714" s="27"/>
      <c r="BW714" s="27"/>
      <c r="BX714" s="27"/>
      <c r="BY714" s="27"/>
      <c r="BZ714" s="27"/>
      <c r="CA714" s="27"/>
      <c r="CB714" s="27"/>
      <c r="CC714" s="27"/>
      <c r="CD714" s="27"/>
    </row>
    <row r="715" spans="1:82" s="29" customFormat="1">
      <c r="A715" s="19"/>
      <c r="B715" s="19"/>
      <c r="C715" s="19"/>
      <c r="D715" s="19"/>
      <c r="E715" s="19"/>
      <c r="F715" s="19"/>
      <c r="G715" s="19"/>
      <c r="H715" s="83"/>
      <c r="I715" s="84"/>
      <c r="J715" s="84"/>
      <c r="K715" s="85"/>
      <c r="L715" s="86"/>
      <c r="M715" s="86"/>
      <c r="N715" s="87"/>
      <c r="O715" s="88"/>
      <c r="P715" s="87"/>
      <c r="Q715" s="89"/>
      <c r="R715" s="27"/>
      <c r="S715" s="27"/>
      <c r="T715" s="28"/>
      <c r="U715" s="28"/>
      <c r="V715" s="28"/>
      <c r="W715" s="28"/>
      <c r="X715" s="28"/>
      <c r="Y715" s="27"/>
      <c r="AA715" s="28"/>
      <c r="AB715" s="28"/>
      <c r="AC715" s="27"/>
      <c r="AE715" s="30"/>
      <c r="AF715" s="30"/>
      <c r="AG715" s="30"/>
      <c r="AI715" s="27"/>
      <c r="AK715" s="27"/>
      <c r="AL715" s="27"/>
      <c r="AM715" s="27"/>
      <c r="AN715" s="27"/>
      <c r="AO715" s="27"/>
      <c r="AP715" s="27"/>
      <c r="AQ715" s="27"/>
      <c r="AR715" s="27"/>
      <c r="AS715" s="27"/>
      <c r="AT715" s="27"/>
      <c r="AU715" s="27"/>
      <c r="AV715" s="27"/>
      <c r="AW715" s="27"/>
      <c r="AX715" s="27"/>
      <c r="AY715" s="27"/>
      <c r="AZ715" s="27"/>
      <c r="BC715" s="41"/>
      <c r="BE715" s="27"/>
      <c r="BF715" s="27"/>
      <c r="BG715" s="27"/>
      <c r="BH715" s="27"/>
      <c r="BI715" s="27"/>
      <c r="BJ715" s="27"/>
      <c r="BK715" s="27"/>
      <c r="BL715" s="27"/>
      <c r="BM715" s="27"/>
      <c r="BN715" s="27"/>
      <c r="BO715" s="27"/>
      <c r="BP715" s="27"/>
      <c r="BQ715" s="27"/>
      <c r="BR715" s="27"/>
      <c r="BS715" s="27"/>
      <c r="BT715" s="27"/>
      <c r="BU715" s="27"/>
      <c r="BV715" s="27"/>
      <c r="BW715" s="27"/>
      <c r="BX715" s="27"/>
      <c r="BY715" s="27"/>
      <c r="BZ715" s="27"/>
      <c r="CA715" s="27"/>
      <c r="CB715" s="27"/>
      <c r="CC715" s="27"/>
      <c r="CD715" s="27"/>
    </row>
    <row r="716" spans="1:82" s="29" customFormat="1">
      <c r="A716" s="19"/>
      <c r="B716" s="19"/>
      <c r="C716" s="19"/>
      <c r="D716" s="19"/>
      <c r="E716" s="19"/>
      <c r="F716" s="19"/>
      <c r="G716" s="19"/>
      <c r="H716" s="83"/>
      <c r="I716" s="84"/>
      <c r="J716" s="84"/>
      <c r="K716" s="85"/>
      <c r="L716" s="86"/>
      <c r="M716" s="86"/>
      <c r="N716" s="87"/>
      <c r="O716" s="88"/>
      <c r="P716" s="87"/>
      <c r="Q716" s="89"/>
      <c r="R716" s="27"/>
      <c r="S716" s="27"/>
      <c r="T716" s="28"/>
      <c r="U716" s="28"/>
      <c r="V716" s="28"/>
      <c r="W716" s="28"/>
      <c r="X716" s="28"/>
      <c r="Y716" s="27"/>
      <c r="AA716" s="28"/>
      <c r="AB716" s="28"/>
      <c r="AC716" s="27"/>
      <c r="AE716" s="30"/>
      <c r="AF716" s="30"/>
      <c r="AG716" s="30"/>
      <c r="AI716" s="27"/>
      <c r="AK716" s="27"/>
      <c r="AL716" s="27"/>
      <c r="AM716" s="27"/>
      <c r="AN716" s="27"/>
      <c r="AO716" s="27"/>
      <c r="AP716" s="27"/>
      <c r="AQ716" s="27"/>
      <c r="AR716" s="27"/>
      <c r="AS716" s="27"/>
      <c r="AT716" s="27"/>
      <c r="AU716" s="27"/>
      <c r="AV716" s="27"/>
      <c r="AW716" s="27"/>
      <c r="AX716" s="27"/>
      <c r="AY716" s="27"/>
      <c r="AZ716" s="27"/>
      <c r="BC716" s="41"/>
      <c r="BE716" s="27"/>
      <c r="BF716" s="27"/>
      <c r="BG716" s="27"/>
      <c r="BH716" s="27"/>
      <c r="BI716" s="27"/>
      <c r="BJ716" s="27"/>
      <c r="BK716" s="27"/>
      <c r="BL716" s="27"/>
      <c r="BM716" s="27"/>
      <c r="BN716" s="27"/>
      <c r="BO716" s="27"/>
      <c r="BP716" s="27"/>
      <c r="BQ716" s="27"/>
      <c r="BR716" s="27"/>
      <c r="BS716" s="27"/>
      <c r="BT716" s="27"/>
      <c r="BU716" s="27"/>
      <c r="BV716" s="27"/>
      <c r="BW716" s="27"/>
      <c r="BX716" s="27"/>
      <c r="BY716" s="27"/>
      <c r="BZ716" s="27"/>
      <c r="CA716" s="27"/>
      <c r="CB716" s="27"/>
      <c r="CC716" s="27"/>
      <c r="CD716" s="27"/>
    </row>
    <row r="717" spans="1:82" s="29" customFormat="1">
      <c r="A717" s="19"/>
      <c r="B717" s="19"/>
      <c r="C717" s="19"/>
      <c r="D717" s="19"/>
      <c r="E717" s="19"/>
      <c r="F717" s="19"/>
      <c r="G717" s="19"/>
      <c r="H717" s="83"/>
      <c r="I717" s="84"/>
      <c r="J717" s="84"/>
      <c r="K717" s="85"/>
      <c r="L717" s="86"/>
      <c r="M717" s="86"/>
      <c r="N717" s="87"/>
      <c r="O717" s="88"/>
      <c r="P717" s="87"/>
      <c r="Q717" s="89"/>
      <c r="R717" s="27"/>
      <c r="S717" s="27"/>
      <c r="T717" s="28"/>
      <c r="U717" s="28"/>
      <c r="V717" s="28"/>
      <c r="W717" s="28"/>
      <c r="X717" s="28"/>
      <c r="Y717" s="27"/>
      <c r="AA717" s="28"/>
      <c r="AB717" s="28"/>
      <c r="AC717" s="27"/>
      <c r="AE717" s="30"/>
      <c r="AF717" s="30"/>
      <c r="AG717" s="30"/>
      <c r="AI717" s="27"/>
      <c r="AK717" s="27"/>
      <c r="AL717" s="27"/>
      <c r="AM717" s="27"/>
      <c r="AN717" s="27"/>
      <c r="AO717" s="27"/>
      <c r="AP717" s="27"/>
      <c r="AQ717" s="27"/>
      <c r="AR717" s="27"/>
      <c r="AS717" s="27"/>
      <c r="AT717" s="27"/>
      <c r="AU717" s="27"/>
      <c r="AV717" s="27"/>
      <c r="AW717" s="27"/>
      <c r="AX717" s="27"/>
      <c r="AY717" s="27"/>
      <c r="AZ717" s="27"/>
      <c r="BC717" s="41"/>
      <c r="BE717" s="27"/>
      <c r="BF717" s="27"/>
      <c r="BG717" s="27"/>
      <c r="BH717" s="27"/>
      <c r="BI717" s="27"/>
      <c r="BJ717" s="27"/>
      <c r="BK717" s="27"/>
      <c r="BL717" s="27"/>
      <c r="BM717" s="27"/>
      <c r="BN717" s="27"/>
      <c r="BO717" s="27"/>
      <c r="BP717" s="27"/>
      <c r="BQ717" s="27"/>
      <c r="BR717" s="27"/>
      <c r="BS717" s="27"/>
      <c r="BT717" s="27"/>
      <c r="BU717" s="27"/>
      <c r="BV717" s="27"/>
      <c r="BW717" s="27"/>
      <c r="BX717" s="27"/>
      <c r="BY717" s="27"/>
      <c r="BZ717" s="27"/>
      <c r="CA717" s="27"/>
      <c r="CB717" s="27"/>
      <c r="CC717" s="27"/>
      <c r="CD717" s="27"/>
    </row>
    <row r="718" spans="1:82" s="29" customFormat="1">
      <c r="A718" s="19"/>
      <c r="B718" s="19"/>
      <c r="C718" s="19"/>
      <c r="D718" s="19"/>
      <c r="E718" s="19"/>
      <c r="F718" s="19"/>
      <c r="G718" s="19"/>
      <c r="H718" s="83"/>
      <c r="I718" s="84"/>
      <c r="J718" s="84"/>
      <c r="K718" s="85"/>
      <c r="L718" s="86"/>
      <c r="M718" s="86"/>
      <c r="N718" s="87"/>
      <c r="O718" s="88"/>
      <c r="P718" s="87"/>
      <c r="Q718" s="89"/>
      <c r="R718" s="27"/>
      <c r="S718" s="27"/>
      <c r="T718" s="28"/>
      <c r="U718" s="28"/>
      <c r="V718" s="28"/>
      <c r="W718" s="28"/>
      <c r="X718" s="28"/>
      <c r="Y718" s="27"/>
      <c r="AA718" s="28"/>
      <c r="AB718" s="28"/>
      <c r="AC718" s="27"/>
      <c r="AE718" s="30"/>
      <c r="AF718" s="30"/>
      <c r="AG718" s="30"/>
      <c r="AI718" s="27"/>
      <c r="AK718" s="27"/>
      <c r="AL718" s="27"/>
      <c r="AM718" s="27"/>
      <c r="AN718" s="27"/>
      <c r="AO718" s="27"/>
      <c r="AP718" s="27"/>
      <c r="AQ718" s="27"/>
      <c r="AR718" s="27"/>
      <c r="AS718" s="27"/>
      <c r="AT718" s="27"/>
      <c r="AU718" s="27"/>
      <c r="AV718" s="27"/>
      <c r="AW718" s="27"/>
      <c r="AX718" s="27"/>
      <c r="AY718" s="27"/>
      <c r="AZ718" s="27"/>
      <c r="BC718" s="41"/>
      <c r="BE718" s="27"/>
      <c r="BF718" s="27"/>
      <c r="BG718" s="27"/>
      <c r="BH718" s="27"/>
      <c r="BI718" s="27"/>
      <c r="BJ718" s="27"/>
      <c r="BK718" s="27"/>
      <c r="BL718" s="27"/>
      <c r="BM718" s="27"/>
      <c r="BN718" s="27"/>
      <c r="BO718" s="27"/>
      <c r="BP718" s="27"/>
      <c r="BQ718" s="27"/>
      <c r="BR718" s="27"/>
      <c r="BS718" s="27"/>
      <c r="BT718" s="27"/>
      <c r="BU718" s="27"/>
      <c r="BV718" s="27"/>
      <c r="BW718" s="27"/>
      <c r="BX718" s="27"/>
      <c r="BY718" s="27"/>
      <c r="BZ718" s="27"/>
      <c r="CA718" s="27"/>
      <c r="CB718" s="27"/>
      <c r="CC718" s="27"/>
      <c r="CD718" s="27"/>
    </row>
    <row r="719" spans="1:82" s="29" customFormat="1">
      <c r="A719" s="19"/>
      <c r="B719" s="19"/>
      <c r="C719" s="19"/>
      <c r="D719" s="19"/>
      <c r="E719" s="19"/>
      <c r="F719" s="19"/>
      <c r="G719" s="19"/>
      <c r="H719" s="83"/>
      <c r="I719" s="84"/>
      <c r="J719" s="84"/>
      <c r="K719" s="85"/>
      <c r="L719" s="86"/>
      <c r="M719" s="86"/>
      <c r="N719" s="87"/>
      <c r="O719" s="88"/>
      <c r="P719" s="87"/>
      <c r="Q719" s="89"/>
      <c r="R719" s="27"/>
      <c r="S719" s="27"/>
      <c r="T719" s="28"/>
      <c r="U719" s="28"/>
      <c r="V719" s="28"/>
      <c r="W719" s="28"/>
      <c r="X719" s="28"/>
      <c r="Y719" s="27"/>
      <c r="AA719" s="28"/>
      <c r="AB719" s="28"/>
      <c r="AC719" s="27"/>
      <c r="AE719" s="30"/>
      <c r="AF719" s="30"/>
      <c r="AG719" s="30"/>
      <c r="AI719" s="27"/>
      <c r="AK719" s="27"/>
      <c r="AL719" s="27"/>
      <c r="AM719" s="27"/>
      <c r="AN719" s="27"/>
      <c r="AO719" s="27"/>
      <c r="AP719" s="27"/>
      <c r="AQ719" s="27"/>
      <c r="AR719" s="27"/>
      <c r="AS719" s="27"/>
      <c r="AT719" s="27"/>
      <c r="AU719" s="27"/>
      <c r="AV719" s="27"/>
      <c r="AW719" s="27"/>
      <c r="AX719" s="27"/>
      <c r="AY719" s="27"/>
      <c r="AZ719" s="27"/>
      <c r="BC719" s="41"/>
      <c r="BE719" s="27"/>
      <c r="BF719" s="27"/>
      <c r="BG719" s="27"/>
      <c r="BH719" s="27"/>
      <c r="BI719" s="27"/>
      <c r="BJ719" s="27"/>
      <c r="BK719" s="27"/>
      <c r="BL719" s="27"/>
      <c r="BM719" s="27"/>
      <c r="BN719" s="27"/>
      <c r="BO719" s="27"/>
      <c r="BP719" s="27"/>
      <c r="BQ719" s="27"/>
      <c r="BR719" s="27"/>
      <c r="BS719" s="27"/>
      <c r="BT719" s="27"/>
      <c r="BU719" s="27"/>
      <c r="BV719" s="27"/>
      <c r="BW719" s="27"/>
      <c r="BX719" s="27"/>
      <c r="BY719" s="27"/>
      <c r="BZ719" s="27"/>
      <c r="CA719" s="27"/>
      <c r="CB719" s="27"/>
      <c r="CC719" s="27"/>
      <c r="CD719" s="27"/>
    </row>
    <row r="720" spans="1:82" s="29" customFormat="1">
      <c r="A720" s="19"/>
      <c r="B720" s="19"/>
      <c r="C720" s="19"/>
      <c r="D720" s="19"/>
      <c r="E720" s="19"/>
      <c r="F720" s="19"/>
      <c r="G720" s="19"/>
      <c r="H720" s="83"/>
      <c r="I720" s="84"/>
      <c r="J720" s="84"/>
      <c r="K720" s="85"/>
      <c r="L720" s="86"/>
      <c r="M720" s="86"/>
      <c r="N720" s="87"/>
      <c r="O720" s="88"/>
      <c r="P720" s="87"/>
      <c r="Q720" s="89"/>
      <c r="R720" s="27"/>
      <c r="S720" s="27"/>
      <c r="T720" s="28"/>
      <c r="U720" s="28"/>
      <c r="V720" s="28"/>
      <c r="W720" s="28"/>
      <c r="X720" s="28"/>
      <c r="Y720" s="27"/>
      <c r="AA720" s="28"/>
      <c r="AB720" s="28"/>
      <c r="AC720" s="27"/>
      <c r="AE720" s="30"/>
      <c r="AF720" s="30"/>
      <c r="AG720" s="30"/>
      <c r="AI720" s="27"/>
      <c r="AK720" s="27"/>
      <c r="AL720" s="27"/>
      <c r="AM720" s="27"/>
      <c r="AN720" s="27"/>
      <c r="AO720" s="27"/>
      <c r="AP720" s="27"/>
      <c r="AQ720" s="27"/>
      <c r="AR720" s="27"/>
      <c r="AS720" s="27"/>
      <c r="AT720" s="27"/>
      <c r="AU720" s="27"/>
      <c r="AV720" s="27"/>
      <c r="AW720" s="27"/>
      <c r="AX720" s="27"/>
      <c r="AY720" s="27"/>
      <c r="AZ720" s="27"/>
      <c r="BC720" s="41"/>
      <c r="BE720" s="27"/>
      <c r="BF720" s="27"/>
      <c r="BG720" s="27"/>
      <c r="BH720" s="27"/>
      <c r="BI720" s="27"/>
      <c r="BJ720" s="27"/>
      <c r="BK720" s="27"/>
      <c r="BL720" s="27"/>
      <c r="BM720" s="27"/>
      <c r="BN720" s="27"/>
      <c r="BO720" s="27"/>
      <c r="BP720" s="27"/>
      <c r="BQ720" s="27"/>
      <c r="BR720" s="27"/>
      <c r="BS720" s="27"/>
      <c r="BT720" s="27"/>
      <c r="BU720" s="27"/>
      <c r="BV720" s="27"/>
      <c r="BW720" s="27"/>
      <c r="BX720" s="27"/>
      <c r="BY720" s="27"/>
      <c r="BZ720" s="27"/>
      <c r="CA720" s="27"/>
      <c r="CB720" s="27"/>
      <c r="CC720" s="27"/>
      <c r="CD720" s="27"/>
    </row>
    <row r="721" spans="1:82" s="29" customFormat="1">
      <c r="A721" s="19"/>
      <c r="B721" s="19"/>
      <c r="C721" s="19"/>
      <c r="D721" s="19"/>
      <c r="E721" s="19"/>
      <c r="F721" s="19"/>
      <c r="G721" s="19"/>
      <c r="H721" s="83"/>
      <c r="I721" s="84"/>
      <c r="J721" s="84"/>
      <c r="K721" s="85"/>
      <c r="L721" s="86"/>
      <c r="M721" s="86"/>
      <c r="N721" s="87"/>
      <c r="O721" s="88"/>
      <c r="P721" s="87"/>
      <c r="Q721" s="89"/>
      <c r="R721" s="27"/>
      <c r="S721" s="27"/>
      <c r="T721" s="28"/>
      <c r="U721" s="28"/>
      <c r="V721" s="28"/>
      <c r="W721" s="28"/>
      <c r="X721" s="28"/>
      <c r="Y721" s="27"/>
      <c r="AA721" s="28"/>
      <c r="AB721" s="28"/>
      <c r="AC721" s="27"/>
      <c r="AE721" s="30"/>
      <c r="AF721" s="30"/>
      <c r="AG721" s="30"/>
      <c r="AI721" s="27"/>
      <c r="AK721" s="27"/>
      <c r="AL721" s="27"/>
      <c r="AM721" s="27"/>
      <c r="AN721" s="27"/>
      <c r="AO721" s="27"/>
      <c r="AP721" s="27"/>
      <c r="AQ721" s="27"/>
      <c r="AR721" s="27"/>
      <c r="AS721" s="27"/>
      <c r="AT721" s="27"/>
      <c r="AU721" s="27"/>
      <c r="AV721" s="27"/>
      <c r="AW721" s="27"/>
      <c r="AX721" s="27"/>
      <c r="AY721" s="27"/>
      <c r="AZ721" s="27"/>
      <c r="BC721" s="41"/>
      <c r="BE721" s="27"/>
      <c r="BF721" s="27"/>
      <c r="BG721" s="27"/>
      <c r="BH721" s="27"/>
      <c r="BI721" s="27"/>
      <c r="BJ721" s="27"/>
      <c r="BK721" s="27"/>
      <c r="BL721" s="27"/>
      <c r="BM721" s="27"/>
      <c r="BN721" s="27"/>
      <c r="BO721" s="27"/>
      <c r="BP721" s="27"/>
      <c r="BQ721" s="27"/>
      <c r="BR721" s="27"/>
      <c r="BS721" s="27"/>
      <c r="BT721" s="27"/>
      <c r="BU721" s="27"/>
      <c r="BV721" s="27"/>
      <c r="BW721" s="27"/>
      <c r="BX721" s="27"/>
      <c r="BY721" s="27"/>
      <c r="BZ721" s="27"/>
      <c r="CA721" s="27"/>
      <c r="CB721" s="27"/>
      <c r="CC721" s="27"/>
      <c r="CD721" s="27"/>
    </row>
    <row r="722" spans="1:82" s="29" customFormat="1">
      <c r="A722" s="19"/>
      <c r="B722" s="19"/>
      <c r="C722" s="19"/>
      <c r="D722" s="19"/>
      <c r="E722" s="19"/>
      <c r="F722" s="19"/>
      <c r="G722" s="19"/>
      <c r="H722" s="83"/>
      <c r="I722" s="84"/>
      <c r="J722" s="84"/>
      <c r="K722" s="85"/>
      <c r="L722" s="86"/>
      <c r="M722" s="86"/>
      <c r="N722" s="87"/>
      <c r="O722" s="88"/>
      <c r="P722" s="87"/>
      <c r="Q722" s="89"/>
      <c r="R722" s="27"/>
      <c r="S722" s="27"/>
      <c r="T722" s="28"/>
      <c r="U722" s="28"/>
      <c r="V722" s="28"/>
      <c r="W722" s="28"/>
      <c r="X722" s="28"/>
      <c r="Y722" s="27"/>
      <c r="AA722" s="28"/>
      <c r="AB722" s="28"/>
      <c r="AC722" s="27"/>
      <c r="AE722" s="30"/>
      <c r="AF722" s="30"/>
      <c r="AG722" s="30"/>
      <c r="AI722" s="27"/>
      <c r="AK722" s="27"/>
      <c r="AL722" s="27"/>
      <c r="AM722" s="27"/>
      <c r="AN722" s="27"/>
      <c r="AO722" s="27"/>
      <c r="AP722" s="27"/>
      <c r="AQ722" s="27"/>
      <c r="AR722" s="27"/>
      <c r="AS722" s="27"/>
      <c r="AT722" s="27"/>
      <c r="AU722" s="27"/>
      <c r="AV722" s="27"/>
      <c r="AW722" s="27"/>
      <c r="AX722" s="27"/>
      <c r="AY722" s="27"/>
      <c r="AZ722" s="27"/>
      <c r="BC722" s="41"/>
      <c r="BE722" s="27"/>
      <c r="BF722" s="27"/>
      <c r="BG722" s="27"/>
      <c r="BH722" s="27"/>
      <c r="BI722" s="27"/>
      <c r="BJ722" s="27"/>
      <c r="BK722" s="27"/>
      <c r="BL722" s="27"/>
      <c r="BM722" s="27"/>
      <c r="BN722" s="27"/>
      <c r="BO722" s="27"/>
      <c r="BP722" s="27"/>
      <c r="BQ722" s="27"/>
      <c r="BR722" s="27"/>
      <c r="BS722" s="27"/>
      <c r="BT722" s="27"/>
      <c r="BU722" s="27"/>
      <c r="BV722" s="27"/>
      <c r="BW722" s="27"/>
      <c r="BX722" s="27"/>
      <c r="BY722" s="27"/>
      <c r="BZ722" s="27"/>
      <c r="CA722" s="27"/>
      <c r="CB722" s="27"/>
      <c r="CC722" s="27"/>
      <c r="CD722" s="27"/>
    </row>
    <row r="723" spans="1:82" s="29" customFormat="1">
      <c r="A723" s="19"/>
      <c r="B723" s="19"/>
      <c r="C723" s="19"/>
      <c r="D723" s="19"/>
      <c r="E723" s="19"/>
      <c r="F723" s="19"/>
      <c r="G723" s="19"/>
      <c r="H723" s="83"/>
      <c r="I723" s="84"/>
      <c r="J723" s="84"/>
      <c r="K723" s="85"/>
      <c r="L723" s="86"/>
      <c r="M723" s="86"/>
      <c r="N723" s="87"/>
      <c r="O723" s="88"/>
      <c r="P723" s="87"/>
      <c r="Q723" s="89"/>
      <c r="R723" s="27"/>
      <c r="S723" s="27"/>
      <c r="T723" s="28"/>
      <c r="U723" s="28"/>
      <c r="V723" s="28"/>
      <c r="W723" s="28"/>
      <c r="X723" s="28"/>
      <c r="Y723" s="27"/>
      <c r="AA723" s="28"/>
      <c r="AB723" s="28"/>
      <c r="AC723" s="27"/>
      <c r="AE723" s="30"/>
      <c r="AF723" s="30"/>
      <c r="AG723" s="30"/>
      <c r="AI723" s="27"/>
      <c r="AK723" s="27"/>
      <c r="AL723" s="27"/>
      <c r="AM723" s="27"/>
      <c r="AN723" s="27"/>
      <c r="AO723" s="27"/>
      <c r="AP723" s="27"/>
      <c r="AQ723" s="27"/>
      <c r="AR723" s="27"/>
      <c r="AS723" s="27"/>
      <c r="AT723" s="27"/>
      <c r="AU723" s="27"/>
      <c r="AV723" s="27"/>
      <c r="AW723" s="27"/>
      <c r="AX723" s="27"/>
      <c r="AY723" s="27"/>
      <c r="AZ723" s="27"/>
      <c r="BC723" s="41"/>
      <c r="BE723" s="27"/>
      <c r="BF723" s="27"/>
      <c r="BG723" s="27"/>
      <c r="BH723" s="27"/>
      <c r="BI723" s="27"/>
      <c r="BJ723" s="27"/>
      <c r="BK723" s="27"/>
      <c r="BL723" s="27"/>
      <c r="BM723" s="27"/>
      <c r="BN723" s="27"/>
      <c r="BO723" s="27"/>
      <c r="BP723" s="27"/>
      <c r="BQ723" s="27"/>
      <c r="BR723" s="27"/>
      <c r="BS723" s="27"/>
      <c r="BT723" s="27"/>
      <c r="BU723" s="27"/>
      <c r="BV723" s="27"/>
      <c r="BW723" s="27"/>
      <c r="BX723" s="27"/>
      <c r="BY723" s="27"/>
      <c r="BZ723" s="27"/>
      <c r="CA723" s="27"/>
      <c r="CB723" s="27"/>
      <c r="CC723" s="27"/>
      <c r="CD723" s="27"/>
    </row>
    <row r="724" spans="1:82" s="29" customFormat="1">
      <c r="A724" s="19"/>
      <c r="B724" s="19"/>
      <c r="C724" s="19"/>
      <c r="D724" s="19"/>
      <c r="E724" s="19"/>
      <c r="F724" s="19"/>
      <c r="G724" s="19"/>
      <c r="H724" s="83"/>
      <c r="I724" s="84"/>
      <c r="J724" s="84"/>
      <c r="K724" s="85"/>
      <c r="L724" s="86"/>
      <c r="M724" s="86"/>
      <c r="N724" s="87"/>
      <c r="O724" s="88"/>
      <c r="P724" s="87"/>
      <c r="Q724" s="89"/>
      <c r="R724" s="27"/>
      <c r="S724" s="27"/>
      <c r="T724" s="28"/>
      <c r="U724" s="28"/>
      <c r="V724" s="28"/>
      <c r="W724" s="28"/>
      <c r="X724" s="28"/>
      <c r="Y724" s="27"/>
      <c r="AA724" s="28"/>
      <c r="AB724" s="28"/>
      <c r="AC724" s="27"/>
      <c r="AE724" s="30"/>
      <c r="AF724" s="30"/>
      <c r="AG724" s="30"/>
      <c r="AI724" s="27"/>
      <c r="AK724" s="27"/>
      <c r="AL724" s="27"/>
      <c r="AM724" s="27"/>
      <c r="AN724" s="27"/>
      <c r="AO724" s="27"/>
      <c r="AP724" s="27"/>
      <c r="AQ724" s="27"/>
      <c r="AR724" s="27"/>
      <c r="AS724" s="27"/>
      <c r="AT724" s="27"/>
      <c r="AU724" s="27"/>
      <c r="AV724" s="27"/>
      <c r="AW724" s="27"/>
      <c r="AX724" s="27"/>
      <c r="AY724" s="27"/>
      <c r="AZ724" s="27"/>
      <c r="BC724" s="41"/>
      <c r="BE724" s="27"/>
      <c r="BF724" s="27"/>
      <c r="BG724" s="27"/>
      <c r="BH724" s="27"/>
      <c r="BI724" s="27"/>
      <c r="BJ724" s="27"/>
      <c r="BK724" s="27"/>
      <c r="BL724" s="27"/>
      <c r="BM724" s="27"/>
      <c r="BN724" s="27"/>
      <c r="BO724" s="27"/>
      <c r="BP724" s="27"/>
      <c r="BQ724" s="27"/>
      <c r="BR724" s="27"/>
      <c r="BS724" s="27"/>
      <c r="BT724" s="27"/>
      <c r="BU724" s="27"/>
      <c r="BV724" s="27"/>
      <c r="BW724" s="27"/>
      <c r="BX724" s="27"/>
      <c r="BY724" s="27"/>
      <c r="BZ724" s="27"/>
      <c r="CA724" s="27"/>
      <c r="CB724" s="27"/>
      <c r="CC724" s="27"/>
      <c r="CD724" s="27"/>
    </row>
    <row r="725" spans="1:82" s="29" customFormat="1">
      <c r="A725" s="19"/>
      <c r="B725" s="19"/>
      <c r="C725" s="19"/>
      <c r="D725" s="19"/>
      <c r="E725" s="19"/>
      <c r="F725" s="19"/>
      <c r="G725" s="19"/>
      <c r="H725" s="83"/>
      <c r="I725" s="84"/>
      <c r="J725" s="84"/>
      <c r="K725" s="85"/>
      <c r="L725" s="86"/>
      <c r="M725" s="86"/>
      <c r="N725" s="87"/>
      <c r="O725" s="88"/>
      <c r="P725" s="87"/>
      <c r="Q725" s="89"/>
      <c r="R725" s="27"/>
      <c r="S725" s="27"/>
      <c r="T725" s="28"/>
      <c r="U725" s="28"/>
      <c r="V725" s="28"/>
      <c r="W725" s="28"/>
      <c r="X725" s="28"/>
      <c r="Y725" s="27"/>
      <c r="AA725" s="28"/>
      <c r="AB725" s="28"/>
      <c r="AC725" s="27"/>
      <c r="AE725" s="30"/>
      <c r="AF725" s="30"/>
      <c r="AG725" s="30"/>
      <c r="AI725" s="27"/>
      <c r="AK725" s="27"/>
      <c r="AL725" s="27"/>
      <c r="AM725" s="27"/>
      <c r="AN725" s="27"/>
      <c r="AO725" s="27"/>
      <c r="AP725" s="27"/>
      <c r="AQ725" s="27"/>
      <c r="AR725" s="27"/>
      <c r="AS725" s="27"/>
      <c r="AT725" s="27"/>
      <c r="AU725" s="27"/>
      <c r="AV725" s="27"/>
      <c r="AW725" s="27"/>
      <c r="AX725" s="27"/>
      <c r="AY725" s="27"/>
      <c r="AZ725" s="27"/>
      <c r="BC725" s="41"/>
      <c r="BE725" s="27"/>
      <c r="BF725" s="27"/>
      <c r="BG725" s="27"/>
      <c r="BH725" s="27"/>
      <c r="BI725" s="27"/>
      <c r="BJ725" s="27"/>
      <c r="BK725" s="27"/>
      <c r="BL725" s="27"/>
      <c r="BM725" s="27"/>
      <c r="BN725" s="27"/>
      <c r="BO725" s="27"/>
      <c r="BP725" s="27"/>
      <c r="BQ725" s="27"/>
      <c r="BR725" s="27"/>
      <c r="BS725" s="27"/>
      <c r="BT725" s="27"/>
      <c r="BU725" s="27"/>
      <c r="BV725" s="27"/>
      <c r="BW725" s="27"/>
      <c r="BX725" s="27"/>
      <c r="BY725" s="27"/>
      <c r="BZ725" s="27"/>
      <c r="CA725" s="27"/>
      <c r="CB725" s="27"/>
      <c r="CC725" s="27"/>
      <c r="CD725" s="27"/>
    </row>
    <row r="726" spans="1:82" s="29" customFormat="1">
      <c r="A726" s="19"/>
      <c r="B726" s="19"/>
      <c r="C726" s="19"/>
      <c r="D726" s="19"/>
      <c r="E726" s="19"/>
      <c r="F726" s="19"/>
      <c r="G726" s="19"/>
      <c r="H726" s="83"/>
      <c r="I726" s="84"/>
      <c r="J726" s="84"/>
      <c r="K726" s="85"/>
      <c r="L726" s="86"/>
      <c r="M726" s="86"/>
      <c r="N726" s="87"/>
      <c r="O726" s="88"/>
      <c r="P726" s="87"/>
      <c r="Q726" s="89"/>
      <c r="R726" s="27"/>
      <c r="S726" s="27"/>
      <c r="T726" s="28"/>
      <c r="U726" s="28"/>
      <c r="V726" s="28"/>
      <c r="W726" s="28"/>
      <c r="X726" s="28"/>
      <c r="Y726" s="27"/>
      <c r="AA726" s="28"/>
      <c r="AB726" s="28"/>
      <c r="AC726" s="27"/>
      <c r="AE726" s="30"/>
      <c r="AF726" s="30"/>
      <c r="AG726" s="30"/>
      <c r="AI726" s="27"/>
      <c r="AK726" s="27"/>
      <c r="AL726" s="27"/>
      <c r="AM726" s="27"/>
      <c r="AN726" s="27"/>
      <c r="AO726" s="27"/>
      <c r="AP726" s="27"/>
      <c r="AQ726" s="27"/>
      <c r="AR726" s="27"/>
      <c r="AS726" s="27"/>
      <c r="AT726" s="27"/>
      <c r="AU726" s="27"/>
      <c r="AV726" s="27"/>
      <c r="AW726" s="27"/>
      <c r="AX726" s="27"/>
      <c r="AY726" s="27"/>
      <c r="AZ726" s="27"/>
      <c r="BC726" s="41"/>
      <c r="BE726" s="27"/>
      <c r="BF726" s="27"/>
      <c r="BG726" s="27"/>
      <c r="BH726" s="27"/>
      <c r="BI726" s="27"/>
      <c r="BJ726" s="27"/>
      <c r="BK726" s="27"/>
      <c r="BL726" s="27"/>
      <c r="BM726" s="27"/>
      <c r="BN726" s="27"/>
      <c r="BO726" s="27"/>
      <c r="BP726" s="27"/>
      <c r="BQ726" s="27"/>
      <c r="BR726" s="27"/>
      <c r="BS726" s="27"/>
      <c r="BT726" s="27"/>
      <c r="BU726" s="27"/>
      <c r="BV726" s="27"/>
      <c r="BW726" s="27"/>
      <c r="BX726" s="27"/>
      <c r="BY726" s="27"/>
      <c r="BZ726" s="27"/>
      <c r="CA726" s="27"/>
      <c r="CB726" s="27"/>
      <c r="CC726" s="27"/>
      <c r="CD726" s="27"/>
    </row>
    <row r="727" spans="1:82" s="29" customFormat="1">
      <c r="A727" s="19"/>
      <c r="B727" s="19"/>
      <c r="C727" s="19"/>
      <c r="D727" s="19"/>
      <c r="E727" s="19"/>
      <c r="F727" s="19"/>
      <c r="G727" s="19"/>
      <c r="H727" s="83"/>
      <c r="I727" s="84"/>
      <c r="J727" s="84"/>
      <c r="K727" s="85"/>
      <c r="L727" s="86"/>
      <c r="M727" s="86"/>
      <c r="N727" s="87"/>
      <c r="O727" s="88"/>
      <c r="P727" s="87"/>
      <c r="Q727" s="89"/>
      <c r="R727" s="27"/>
      <c r="S727" s="27"/>
      <c r="T727" s="28"/>
      <c r="U727" s="28"/>
      <c r="V727" s="28"/>
      <c r="W727" s="28"/>
      <c r="X727" s="28"/>
      <c r="Y727" s="27"/>
      <c r="AA727" s="28"/>
      <c r="AB727" s="28"/>
      <c r="AC727" s="27"/>
      <c r="AE727" s="30"/>
      <c r="AF727" s="30"/>
      <c r="AG727" s="30"/>
      <c r="AI727" s="27"/>
      <c r="AK727" s="27"/>
      <c r="AL727" s="27"/>
      <c r="AM727" s="27"/>
      <c r="AN727" s="27"/>
      <c r="AO727" s="27"/>
      <c r="AP727" s="27"/>
      <c r="AQ727" s="27"/>
      <c r="AR727" s="27"/>
      <c r="AS727" s="27"/>
      <c r="AT727" s="27"/>
      <c r="AU727" s="27"/>
      <c r="AV727" s="27"/>
      <c r="AW727" s="27"/>
      <c r="AX727" s="27"/>
      <c r="AY727" s="27"/>
      <c r="AZ727" s="27"/>
      <c r="BC727" s="41"/>
      <c r="BE727" s="27"/>
      <c r="BF727" s="27"/>
      <c r="BG727" s="27"/>
      <c r="BH727" s="27"/>
      <c r="BI727" s="27"/>
      <c r="BJ727" s="27"/>
      <c r="BK727" s="27"/>
      <c r="BL727" s="27"/>
      <c r="BM727" s="27"/>
      <c r="BN727" s="27"/>
      <c r="BO727" s="27"/>
      <c r="BP727" s="27"/>
      <c r="BQ727" s="27"/>
      <c r="BR727" s="27"/>
      <c r="BS727" s="27"/>
      <c r="BT727" s="27"/>
      <c r="BU727" s="27"/>
      <c r="BV727" s="27"/>
      <c r="BW727" s="27"/>
      <c r="BX727" s="27"/>
      <c r="BY727" s="27"/>
      <c r="BZ727" s="27"/>
      <c r="CA727" s="27"/>
      <c r="CB727" s="27"/>
      <c r="CC727" s="27"/>
      <c r="CD727" s="27"/>
    </row>
    <row r="728" spans="1:82" s="29" customFormat="1">
      <c r="A728" s="19"/>
      <c r="B728" s="19"/>
      <c r="C728" s="19"/>
      <c r="D728" s="19"/>
      <c r="E728" s="19"/>
      <c r="F728" s="19"/>
      <c r="G728" s="19"/>
      <c r="H728" s="83"/>
      <c r="I728" s="84"/>
      <c r="J728" s="84"/>
      <c r="K728" s="85"/>
      <c r="L728" s="86"/>
      <c r="M728" s="86"/>
      <c r="N728" s="87"/>
      <c r="O728" s="88"/>
      <c r="P728" s="87"/>
      <c r="Q728" s="89"/>
      <c r="R728" s="27"/>
      <c r="S728" s="27"/>
      <c r="T728" s="28"/>
      <c r="U728" s="28"/>
      <c r="V728" s="28"/>
      <c r="W728" s="28"/>
      <c r="X728" s="28"/>
      <c r="Y728" s="27"/>
      <c r="AA728" s="28"/>
      <c r="AB728" s="28"/>
      <c r="AC728" s="27"/>
      <c r="AE728" s="30"/>
      <c r="AF728" s="30"/>
      <c r="AG728" s="30"/>
      <c r="AI728" s="27"/>
      <c r="AK728" s="27"/>
      <c r="AL728" s="27"/>
      <c r="AM728" s="27"/>
      <c r="AN728" s="27"/>
      <c r="AO728" s="27"/>
      <c r="AP728" s="27"/>
      <c r="AQ728" s="27"/>
      <c r="AR728" s="27"/>
      <c r="AS728" s="27"/>
      <c r="AT728" s="27"/>
      <c r="AU728" s="27"/>
      <c r="AV728" s="27"/>
      <c r="AW728" s="27"/>
      <c r="AX728" s="27"/>
      <c r="AY728" s="27"/>
      <c r="AZ728" s="27"/>
      <c r="BC728" s="41"/>
      <c r="BE728" s="27"/>
      <c r="BF728" s="27"/>
      <c r="BG728" s="27"/>
      <c r="BH728" s="27"/>
      <c r="BI728" s="27"/>
      <c r="BJ728" s="27"/>
      <c r="BK728" s="27"/>
      <c r="BL728" s="27"/>
      <c r="BM728" s="27"/>
      <c r="BN728" s="27"/>
      <c r="BO728" s="27"/>
      <c r="BP728" s="27"/>
      <c r="BQ728" s="27"/>
      <c r="BR728" s="27"/>
      <c r="BS728" s="27"/>
      <c r="BT728" s="27"/>
      <c r="BU728" s="27"/>
      <c r="BV728" s="27"/>
      <c r="BW728" s="27"/>
      <c r="BX728" s="27"/>
      <c r="BY728" s="27"/>
      <c r="BZ728" s="27"/>
      <c r="CA728" s="27"/>
      <c r="CB728" s="27"/>
      <c r="CC728" s="27"/>
      <c r="CD728" s="27"/>
    </row>
    <row r="729" spans="1:82" s="29" customFormat="1">
      <c r="A729" s="19"/>
      <c r="B729" s="19"/>
      <c r="C729" s="19"/>
      <c r="D729" s="19"/>
      <c r="E729" s="19"/>
      <c r="F729" s="19"/>
      <c r="G729" s="19"/>
      <c r="H729" s="83"/>
      <c r="I729" s="84"/>
      <c r="J729" s="84"/>
      <c r="K729" s="85"/>
      <c r="L729" s="86"/>
      <c r="M729" s="86"/>
      <c r="N729" s="87"/>
      <c r="O729" s="88"/>
      <c r="P729" s="87"/>
      <c r="Q729" s="89"/>
      <c r="R729" s="27"/>
      <c r="S729" s="27"/>
      <c r="T729" s="28"/>
      <c r="U729" s="28"/>
      <c r="V729" s="28"/>
      <c r="W729" s="28"/>
      <c r="X729" s="28"/>
      <c r="Y729" s="27"/>
      <c r="AA729" s="28"/>
      <c r="AB729" s="28"/>
      <c r="AC729" s="27"/>
      <c r="AE729" s="30"/>
      <c r="AF729" s="30"/>
      <c r="AG729" s="30"/>
      <c r="AI729" s="27"/>
      <c r="AK729" s="27"/>
      <c r="AL729" s="27"/>
      <c r="AM729" s="27"/>
      <c r="AN729" s="27"/>
      <c r="AO729" s="27"/>
      <c r="AP729" s="27"/>
      <c r="AQ729" s="27"/>
      <c r="AR729" s="27"/>
      <c r="AS729" s="27"/>
      <c r="AT729" s="27"/>
      <c r="AU729" s="27"/>
      <c r="AV729" s="27"/>
      <c r="AW729" s="27"/>
      <c r="AX729" s="27"/>
      <c r="AY729" s="27"/>
      <c r="AZ729" s="27"/>
      <c r="BC729" s="41"/>
      <c r="BE729" s="27"/>
      <c r="BF729" s="27"/>
      <c r="BG729" s="27"/>
      <c r="BH729" s="27"/>
      <c r="BI729" s="27"/>
      <c r="BJ729" s="27"/>
      <c r="BK729" s="27"/>
      <c r="BL729" s="27"/>
      <c r="BM729" s="27"/>
      <c r="BN729" s="27"/>
      <c r="BO729" s="27"/>
      <c r="BP729" s="27"/>
      <c r="BQ729" s="27"/>
      <c r="BR729" s="27"/>
      <c r="BS729" s="27"/>
      <c r="BT729" s="27"/>
      <c r="BU729" s="27"/>
      <c r="BV729" s="27"/>
      <c r="BW729" s="27"/>
      <c r="BX729" s="27"/>
      <c r="BY729" s="27"/>
      <c r="BZ729" s="27"/>
      <c r="CA729" s="27"/>
      <c r="CB729" s="27"/>
      <c r="CC729" s="27"/>
      <c r="CD729" s="27"/>
    </row>
    <row r="730" spans="1:82" s="29" customFormat="1">
      <c r="A730" s="19"/>
      <c r="B730" s="19"/>
      <c r="C730" s="19"/>
      <c r="D730" s="19"/>
      <c r="E730" s="19"/>
      <c r="F730" s="19"/>
      <c r="G730" s="19"/>
      <c r="H730" s="83"/>
      <c r="I730" s="84"/>
      <c r="J730" s="84"/>
      <c r="K730" s="85"/>
      <c r="L730" s="86"/>
      <c r="M730" s="86"/>
      <c r="N730" s="87"/>
      <c r="O730" s="88"/>
      <c r="P730" s="87"/>
      <c r="Q730" s="89"/>
      <c r="R730" s="27"/>
      <c r="S730" s="27"/>
      <c r="T730" s="28"/>
      <c r="U730" s="28"/>
      <c r="V730" s="28"/>
      <c r="W730" s="28"/>
      <c r="X730" s="28"/>
      <c r="Y730" s="27"/>
      <c r="AA730" s="28"/>
      <c r="AB730" s="28"/>
      <c r="AC730" s="27"/>
      <c r="AE730" s="30"/>
      <c r="AF730" s="30"/>
      <c r="AG730" s="30"/>
      <c r="AI730" s="27"/>
      <c r="AK730" s="27"/>
      <c r="AL730" s="27"/>
      <c r="AM730" s="27"/>
      <c r="AN730" s="27"/>
      <c r="AO730" s="27"/>
      <c r="AP730" s="27"/>
      <c r="AQ730" s="27"/>
      <c r="AR730" s="27"/>
      <c r="AS730" s="27"/>
      <c r="AT730" s="27"/>
      <c r="AU730" s="27"/>
      <c r="AV730" s="27"/>
      <c r="AW730" s="27"/>
      <c r="AX730" s="27"/>
      <c r="AY730" s="27"/>
      <c r="AZ730" s="27"/>
      <c r="BC730" s="41"/>
      <c r="BE730" s="27"/>
      <c r="BF730" s="27"/>
      <c r="BG730" s="27"/>
      <c r="BH730" s="27"/>
      <c r="BI730" s="27"/>
      <c r="BJ730" s="27"/>
      <c r="BK730" s="27"/>
      <c r="BL730" s="27"/>
      <c r="BM730" s="27"/>
      <c r="BN730" s="27"/>
      <c r="BO730" s="27"/>
      <c r="BP730" s="27"/>
      <c r="BQ730" s="27"/>
      <c r="BR730" s="27"/>
      <c r="BS730" s="27"/>
      <c r="BT730" s="27"/>
      <c r="BU730" s="27"/>
      <c r="BV730" s="27"/>
      <c r="BW730" s="27"/>
      <c r="BX730" s="27"/>
      <c r="BY730" s="27"/>
      <c r="BZ730" s="27"/>
      <c r="CA730" s="27"/>
      <c r="CB730" s="27"/>
      <c r="CC730" s="27"/>
      <c r="CD730" s="27"/>
    </row>
    <row r="731" spans="1:82" s="29" customFormat="1">
      <c r="A731" s="19"/>
      <c r="B731" s="19"/>
      <c r="C731" s="19"/>
      <c r="D731" s="19"/>
      <c r="E731" s="19"/>
      <c r="F731" s="19"/>
      <c r="G731" s="19"/>
      <c r="H731" s="83"/>
      <c r="I731" s="84"/>
      <c r="J731" s="84"/>
      <c r="K731" s="85"/>
      <c r="L731" s="86"/>
      <c r="M731" s="86"/>
      <c r="N731" s="87"/>
      <c r="O731" s="88"/>
      <c r="P731" s="87"/>
      <c r="Q731" s="89"/>
      <c r="R731" s="27"/>
      <c r="S731" s="27"/>
      <c r="T731" s="28"/>
      <c r="U731" s="28"/>
      <c r="V731" s="28"/>
      <c r="W731" s="28"/>
      <c r="X731" s="28"/>
      <c r="Y731" s="27"/>
      <c r="AA731" s="28"/>
      <c r="AB731" s="28"/>
      <c r="AC731" s="27"/>
      <c r="AE731" s="30"/>
      <c r="AF731" s="30"/>
      <c r="AG731" s="30"/>
      <c r="AI731" s="27"/>
      <c r="AK731" s="27"/>
      <c r="AL731" s="27"/>
      <c r="AM731" s="27"/>
      <c r="AN731" s="27"/>
      <c r="AO731" s="27"/>
      <c r="AP731" s="27"/>
      <c r="AQ731" s="27"/>
      <c r="AR731" s="27"/>
      <c r="AS731" s="27"/>
      <c r="AT731" s="27"/>
      <c r="AU731" s="27"/>
      <c r="AV731" s="27"/>
      <c r="AW731" s="27"/>
      <c r="AX731" s="27"/>
      <c r="AY731" s="27"/>
      <c r="AZ731" s="27"/>
      <c r="BC731" s="41"/>
      <c r="BE731" s="27"/>
      <c r="BF731" s="27"/>
      <c r="BG731" s="27"/>
      <c r="BH731" s="27"/>
      <c r="BI731" s="27"/>
      <c r="BJ731" s="27"/>
      <c r="BK731" s="27"/>
      <c r="BL731" s="27"/>
      <c r="BM731" s="27"/>
      <c r="BN731" s="27"/>
      <c r="BO731" s="27"/>
      <c r="BP731" s="27"/>
      <c r="BQ731" s="27"/>
      <c r="BR731" s="27"/>
      <c r="BS731" s="27"/>
      <c r="BT731" s="27"/>
      <c r="BU731" s="27"/>
      <c r="BV731" s="27"/>
      <c r="BW731" s="27"/>
      <c r="BX731" s="27"/>
      <c r="BY731" s="27"/>
      <c r="BZ731" s="27"/>
      <c r="CA731" s="27"/>
      <c r="CB731" s="27"/>
      <c r="CC731" s="27"/>
      <c r="CD731" s="27"/>
    </row>
    <row r="732" spans="1:82" s="29" customFormat="1">
      <c r="A732" s="19"/>
      <c r="B732" s="19"/>
      <c r="C732" s="19"/>
      <c r="D732" s="19"/>
      <c r="E732" s="19"/>
      <c r="F732" s="19"/>
      <c r="G732" s="19"/>
      <c r="H732" s="83"/>
      <c r="I732" s="84"/>
      <c r="J732" s="84"/>
      <c r="K732" s="85"/>
      <c r="L732" s="86"/>
      <c r="M732" s="86"/>
      <c r="N732" s="87"/>
      <c r="O732" s="88"/>
      <c r="P732" s="87"/>
      <c r="Q732" s="89"/>
      <c r="R732" s="27"/>
      <c r="S732" s="27"/>
      <c r="T732" s="28"/>
      <c r="U732" s="28"/>
      <c r="V732" s="28"/>
      <c r="W732" s="28"/>
      <c r="X732" s="28"/>
      <c r="Y732" s="27"/>
      <c r="AA732" s="28"/>
      <c r="AB732" s="28"/>
      <c r="AC732" s="27"/>
      <c r="AE732" s="30"/>
      <c r="AF732" s="30"/>
      <c r="AG732" s="30"/>
      <c r="AI732" s="27"/>
      <c r="AK732" s="27"/>
      <c r="AL732" s="27"/>
      <c r="AM732" s="27"/>
      <c r="AN732" s="27"/>
      <c r="AO732" s="27"/>
      <c r="AP732" s="27"/>
      <c r="AQ732" s="27"/>
      <c r="AR732" s="27"/>
      <c r="AS732" s="27"/>
      <c r="AT732" s="27"/>
      <c r="AU732" s="27"/>
      <c r="AV732" s="27"/>
      <c r="AW732" s="27"/>
      <c r="AX732" s="27"/>
      <c r="AY732" s="27"/>
      <c r="AZ732" s="27"/>
      <c r="BC732" s="41"/>
      <c r="BE732" s="27"/>
      <c r="BF732" s="27"/>
      <c r="BG732" s="27"/>
      <c r="BH732" s="27"/>
      <c r="BI732" s="27"/>
      <c r="BJ732" s="27"/>
      <c r="BK732" s="27"/>
      <c r="BL732" s="27"/>
      <c r="BM732" s="27"/>
      <c r="BN732" s="27"/>
      <c r="BO732" s="27"/>
      <c r="BP732" s="27"/>
      <c r="BQ732" s="27"/>
      <c r="BR732" s="27"/>
      <c r="BS732" s="27"/>
      <c r="BT732" s="27"/>
      <c r="BU732" s="27"/>
      <c r="BV732" s="27"/>
      <c r="BW732" s="27"/>
      <c r="BX732" s="27"/>
      <c r="BY732" s="27"/>
      <c r="BZ732" s="27"/>
      <c r="CA732" s="27"/>
      <c r="CB732" s="27"/>
      <c r="CC732" s="27"/>
      <c r="CD732" s="27"/>
    </row>
    <row r="733" spans="1:82" s="29" customFormat="1">
      <c r="A733" s="19"/>
      <c r="B733" s="19"/>
      <c r="C733" s="19"/>
      <c r="D733" s="19"/>
      <c r="E733" s="19"/>
      <c r="F733" s="19"/>
      <c r="G733" s="19"/>
      <c r="H733" s="83"/>
      <c r="I733" s="84"/>
      <c r="J733" s="84"/>
      <c r="K733" s="85"/>
      <c r="L733" s="86"/>
      <c r="M733" s="86"/>
      <c r="N733" s="87"/>
      <c r="O733" s="88"/>
      <c r="P733" s="87"/>
      <c r="Q733" s="89"/>
      <c r="R733" s="27"/>
      <c r="S733" s="27"/>
      <c r="T733" s="28"/>
      <c r="U733" s="28"/>
      <c r="V733" s="28"/>
      <c r="W733" s="28"/>
      <c r="X733" s="28"/>
      <c r="Y733" s="27"/>
      <c r="AA733" s="28"/>
      <c r="AB733" s="28"/>
      <c r="AC733" s="27"/>
      <c r="AE733" s="30"/>
      <c r="AF733" s="30"/>
      <c r="AG733" s="30"/>
      <c r="AI733" s="27"/>
      <c r="AK733" s="27"/>
      <c r="AL733" s="27"/>
      <c r="AM733" s="27"/>
      <c r="AN733" s="27"/>
      <c r="AO733" s="27"/>
      <c r="AP733" s="27"/>
      <c r="AQ733" s="27"/>
      <c r="AR733" s="27"/>
      <c r="AS733" s="27"/>
      <c r="AT733" s="27"/>
      <c r="AU733" s="27"/>
      <c r="AV733" s="27"/>
      <c r="AW733" s="27"/>
      <c r="AX733" s="27"/>
      <c r="AY733" s="27"/>
      <c r="AZ733" s="27"/>
      <c r="BC733" s="41"/>
      <c r="BE733" s="27"/>
      <c r="BF733" s="27"/>
      <c r="BG733" s="27"/>
      <c r="BH733" s="27"/>
      <c r="BI733" s="27"/>
      <c r="BJ733" s="27"/>
      <c r="BK733" s="27"/>
      <c r="BL733" s="27"/>
      <c r="BM733" s="27"/>
      <c r="BN733" s="27"/>
      <c r="BO733" s="27"/>
      <c r="BP733" s="27"/>
      <c r="BQ733" s="27"/>
      <c r="BR733" s="27"/>
      <c r="BS733" s="27"/>
      <c r="BT733" s="27"/>
      <c r="BU733" s="27"/>
      <c r="BV733" s="27"/>
      <c r="BW733" s="27"/>
      <c r="BX733" s="27"/>
      <c r="BY733" s="27"/>
      <c r="BZ733" s="27"/>
      <c r="CA733" s="27"/>
      <c r="CB733" s="27"/>
      <c r="CC733" s="27"/>
      <c r="CD733" s="27"/>
    </row>
    <row r="734" spans="1:82" s="29" customFormat="1">
      <c r="A734" s="19"/>
      <c r="B734" s="19"/>
      <c r="C734" s="19"/>
      <c r="D734" s="19"/>
      <c r="E734" s="19"/>
      <c r="F734" s="19"/>
      <c r="G734" s="19"/>
      <c r="H734" s="83"/>
      <c r="I734" s="84"/>
      <c r="J734" s="84"/>
      <c r="K734" s="85"/>
      <c r="L734" s="86"/>
      <c r="M734" s="86"/>
      <c r="N734" s="87"/>
      <c r="O734" s="88"/>
      <c r="P734" s="87"/>
      <c r="Q734" s="89"/>
      <c r="R734" s="27"/>
      <c r="S734" s="27"/>
      <c r="T734" s="28"/>
      <c r="U734" s="28"/>
      <c r="V734" s="28"/>
      <c r="W734" s="28"/>
      <c r="X734" s="28"/>
      <c r="Y734" s="27"/>
      <c r="AA734" s="28"/>
      <c r="AB734" s="28"/>
      <c r="AC734" s="27"/>
      <c r="AE734" s="30"/>
      <c r="AF734" s="30"/>
      <c r="AG734" s="30"/>
      <c r="AI734" s="27"/>
      <c r="AK734" s="27"/>
      <c r="AL734" s="27"/>
      <c r="AM734" s="27"/>
      <c r="AN734" s="27"/>
      <c r="AO734" s="27"/>
      <c r="AP734" s="27"/>
      <c r="AQ734" s="27"/>
      <c r="AR734" s="27"/>
      <c r="AS734" s="27"/>
      <c r="AT734" s="27"/>
      <c r="AU734" s="27"/>
      <c r="AV734" s="27"/>
      <c r="AW734" s="27"/>
      <c r="AX734" s="27"/>
      <c r="AY734" s="27"/>
      <c r="AZ734" s="27"/>
      <c r="BC734" s="41"/>
      <c r="BE734" s="27"/>
      <c r="BF734" s="27"/>
      <c r="BG734" s="27"/>
      <c r="BH734" s="27"/>
      <c r="BI734" s="27"/>
      <c r="BJ734" s="27"/>
      <c r="BK734" s="27"/>
      <c r="BL734" s="27"/>
      <c r="BM734" s="27"/>
      <c r="BN734" s="27"/>
      <c r="BO734" s="27"/>
      <c r="BP734" s="27"/>
      <c r="BQ734" s="27"/>
      <c r="BR734" s="27"/>
      <c r="BS734" s="27"/>
      <c r="BT734" s="27"/>
      <c r="BU734" s="27"/>
      <c r="BV734" s="27"/>
      <c r="BW734" s="27"/>
      <c r="BX734" s="27"/>
      <c r="BY734" s="27"/>
      <c r="BZ734" s="27"/>
      <c r="CA734" s="27"/>
      <c r="CB734" s="27"/>
      <c r="CC734" s="27"/>
      <c r="CD734" s="27"/>
    </row>
    <row r="735" spans="1:82" s="29" customFormat="1">
      <c r="A735" s="19"/>
      <c r="B735" s="19"/>
      <c r="C735" s="19"/>
      <c r="D735" s="19"/>
      <c r="E735" s="19"/>
      <c r="F735" s="19"/>
      <c r="G735" s="19"/>
      <c r="H735" s="83"/>
      <c r="I735" s="84"/>
      <c r="J735" s="84"/>
      <c r="K735" s="85"/>
      <c r="L735" s="86"/>
      <c r="M735" s="86"/>
      <c r="N735" s="87"/>
      <c r="O735" s="88"/>
      <c r="P735" s="87"/>
      <c r="Q735" s="89"/>
      <c r="R735" s="27"/>
      <c r="S735" s="27"/>
      <c r="T735" s="28"/>
      <c r="U735" s="28"/>
      <c r="V735" s="28"/>
      <c r="W735" s="28"/>
      <c r="X735" s="28"/>
      <c r="Y735" s="27"/>
      <c r="AA735" s="28"/>
      <c r="AB735" s="28"/>
      <c r="AC735" s="27"/>
      <c r="AE735" s="30"/>
      <c r="AF735" s="30"/>
      <c r="AG735" s="30"/>
      <c r="AI735" s="27"/>
      <c r="AK735" s="27"/>
      <c r="AL735" s="27"/>
      <c r="AM735" s="27"/>
      <c r="AN735" s="27"/>
      <c r="AO735" s="27"/>
      <c r="AP735" s="27"/>
      <c r="AQ735" s="27"/>
      <c r="AR735" s="27"/>
      <c r="AS735" s="27"/>
      <c r="AT735" s="27"/>
      <c r="AU735" s="27"/>
      <c r="AV735" s="27"/>
      <c r="AW735" s="27"/>
      <c r="AX735" s="27"/>
      <c r="AY735" s="27"/>
      <c r="AZ735" s="27"/>
      <c r="BC735" s="41"/>
      <c r="BE735" s="27"/>
      <c r="BF735" s="27"/>
      <c r="BG735" s="27"/>
      <c r="BH735" s="27"/>
      <c r="BI735" s="27"/>
      <c r="BJ735" s="27"/>
      <c r="BK735" s="27"/>
      <c r="BL735" s="27"/>
      <c r="BM735" s="27"/>
      <c r="BN735" s="27"/>
      <c r="BO735" s="27"/>
      <c r="BP735" s="27"/>
      <c r="BQ735" s="27"/>
      <c r="BR735" s="27"/>
      <c r="BS735" s="27"/>
      <c r="BT735" s="27"/>
      <c r="BU735" s="27"/>
      <c r="BV735" s="27"/>
      <c r="BW735" s="27"/>
      <c r="BX735" s="27"/>
      <c r="BY735" s="27"/>
      <c r="BZ735" s="27"/>
      <c r="CA735" s="27"/>
      <c r="CB735" s="27"/>
      <c r="CC735" s="27"/>
      <c r="CD735" s="27"/>
    </row>
    <row r="736" spans="1:82" s="29" customFormat="1">
      <c r="A736" s="19"/>
      <c r="B736" s="19"/>
      <c r="C736" s="19"/>
      <c r="D736" s="19"/>
      <c r="E736" s="19"/>
      <c r="F736" s="19"/>
      <c r="G736" s="19"/>
      <c r="H736" s="83"/>
      <c r="I736" s="84"/>
      <c r="J736" s="84"/>
      <c r="K736" s="85"/>
      <c r="L736" s="86"/>
      <c r="M736" s="86"/>
      <c r="N736" s="87"/>
      <c r="O736" s="88"/>
      <c r="P736" s="87"/>
      <c r="Q736" s="89"/>
      <c r="R736" s="27"/>
      <c r="S736" s="27"/>
      <c r="T736" s="28"/>
      <c r="U736" s="28"/>
      <c r="V736" s="28"/>
      <c r="W736" s="28"/>
      <c r="X736" s="28"/>
      <c r="Y736" s="27"/>
      <c r="AA736" s="28"/>
      <c r="AB736" s="28"/>
      <c r="AC736" s="27"/>
      <c r="AE736" s="30"/>
      <c r="AF736" s="30"/>
      <c r="AG736" s="30"/>
      <c r="AI736" s="27"/>
      <c r="AK736" s="27"/>
      <c r="AL736" s="27"/>
      <c r="AM736" s="27"/>
      <c r="AN736" s="27"/>
      <c r="AO736" s="27"/>
      <c r="AP736" s="27"/>
      <c r="AQ736" s="27"/>
      <c r="AR736" s="27"/>
      <c r="AS736" s="27"/>
      <c r="AT736" s="27"/>
      <c r="AU736" s="27"/>
      <c r="AV736" s="27"/>
      <c r="AW736" s="27"/>
      <c r="AX736" s="27"/>
      <c r="AY736" s="27"/>
      <c r="AZ736" s="27"/>
      <c r="BC736" s="41"/>
      <c r="BE736" s="27"/>
      <c r="BF736" s="27"/>
      <c r="BG736" s="27"/>
      <c r="BH736" s="27"/>
      <c r="BI736" s="27"/>
      <c r="BJ736" s="27"/>
      <c r="BK736" s="27"/>
      <c r="BL736" s="27"/>
      <c r="BM736" s="27"/>
      <c r="BN736" s="27"/>
      <c r="BO736" s="27"/>
      <c r="BP736" s="27"/>
      <c r="BQ736" s="27"/>
      <c r="BR736" s="27"/>
      <c r="BS736" s="27"/>
      <c r="BT736" s="27"/>
      <c r="BU736" s="27"/>
      <c r="BV736" s="27"/>
      <c r="BW736" s="27"/>
      <c r="BX736" s="27"/>
      <c r="BY736" s="27"/>
      <c r="BZ736" s="27"/>
      <c r="CA736" s="27"/>
      <c r="CB736" s="27"/>
      <c r="CC736" s="27"/>
      <c r="CD736" s="27"/>
    </row>
    <row r="737" spans="1:82" s="29" customFormat="1">
      <c r="A737" s="19"/>
      <c r="B737" s="19"/>
      <c r="C737" s="19"/>
      <c r="D737" s="19"/>
      <c r="E737" s="19"/>
      <c r="F737" s="19"/>
      <c r="G737" s="19"/>
      <c r="H737" s="83"/>
      <c r="I737" s="84"/>
      <c r="J737" s="84"/>
      <c r="K737" s="85"/>
      <c r="L737" s="86"/>
      <c r="M737" s="86"/>
      <c r="N737" s="87"/>
      <c r="O737" s="88"/>
      <c r="P737" s="87"/>
      <c r="Q737" s="89"/>
      <c r="R737" s="27"/>
      <c r="S737" s="27"/>
      <c r="T737" s="28"/>
      <c r="U737" s="28"/>
      <c r="V737" s="28"/>
      <c r="W737" s="28"/>
      <c r="X737" s="28"/>
      <c r="Y737" s="27"/>
      <c r="AA737" s="28"/>
      <c r="AB737" s="28"/>
      <c r="AC737" s="27"/>
      <c r="AE737" s="30"/>
      <c r="AF737" s="30"/>
      <c r="AG737" s="30"/>
      <c r="AI737" s="27"/>
      <c r="AK737" s="27"/>
      <c r="AL737" s="27"/>
      <c r="AM737" s="27"/>
      <c r="AN737" s="27"/>
      <c r="AO737" s="27"/>
      <c r="AP737" s="27"/>
      <c r="AQ737" s="27"/>
      <c r="AR737" s="27"/>
      <c r="AS737" s="27"/>
      <c r="AT737" s="27"/>
      <c r="AU737" s="27"/>
      <c r="AV737" s="27"/>
      <c r="AW737" s="27"/>
      <c r="AX737" s="27"/>
      <c r="AY737" s="27"/>
      <c r="AZ737" s="27"/>
      <c r="BC737" s="41"/>
      <c r="BE737" s="27"/>
      <c r="BF737" s="27"/>
      <c r="BG737" s="27"/>
      <c r="BH737" s="27"/>
      <c r="BI737" s="27"/>
      <c r="BJ737" s="27"/>
      <c r="BK737" s="27"/>
      <c r="BL737" s="27"/>
      <c r="BM737" s="27"/>
      <c r="BN737" s="27"/>
      <c r="BO737" s="27"/>
      <c r="BP737" s="27"/>
      <c r="BQ737" s="27"/>
      <c r="BR737" s="27"/>
      <c r="BS737" s="27"/>
      <c r="BT737" s="27"/>
      <c r="BU737" s="27"/>
      <c r="BV737" s="27"/>
      <c r="BW737" s="27"/>
      <c r="BX737" s="27"/>
      <c r="BY737" s="27"/>
      <c r="BZ737" s="27"/>
      <c r="CA737" s="27"/>
      <c r="CB737" s="27"/>
      <c r="CC737" s="27"/>
      <c r="CD737" s="27"/>
    </row>
    <row r="738" spans="1:82" s="29" customFormat="1">
      <c r="A738" s="19"/>
      <c r="B738" s="19"/>
      <c r="C738" s="19"/>
      <c r="D738" s="19"/>
      <c r="E738" s="19"/>
      <c r="F738" s="19"/>
      <c r="G738" s="19"/>
      <c r="H738" s="83"/>
      <c r="I738" s="84"/>
      <c r="J738" s="84"/>
      <c r="K738" s="85"/>
      <c r="L738" s="86"/>
      <c r="M738" s="86"/>
      <c r="N738" s="87"/>
      <c r="O738" s="88"/>
      <c r="P738" s="87"/>
      <c r="Q738" s="89"/>
      <c r="R738" s="27"/>
      <c r="S738" s="27"/>
      <c r="T738" s="28"/>
      <c r="U738" s="28"/>
      <c r="V738" s="28"/>
      <c r="W738" s="28"/>
      <c r="X738" s="28"/>
      <c r="Y738" s="27"/>
      <c r="AA738" s="28"/>
      <c r="AB738" s="28"/>
      <c r="AC738" s="27"/>
      <c r="AE738" s="30"/>
      <c r="AF738" s="30"/>
      <c r="AG738" s="30"/>
      <c r="AI738" s="27"/>
      <c r="AK738" s="27"/>
      <c r="AL738" s="27"/>
      <c r="AM738" s="27"/>
      <c r="AN738" s="27"/>
      <c r="AO738" s="27"/>
      <c r="AP738" s="27"/>
      <c r="AQ738" s="27"/>
      <c r="AR738" s="27"/>
      <c r="AS738" s="27"/>
      <c r="AT738" s="27"/>
      <c r="AU738" s="27"/>
      <c r="AV738" s="27"/>
      <c r="AW738" s="27"/>
      <c r="AX738" s="27"/>
      <c r="AY738" s="27"/>
      <c r="AZ738" s="27"/>
      <c r="BC738" s="41"/>
      <c r="BE738" s="27"/>
      <c r="BF738" s="27"/>
      <c r="BG738" s="27"/>
      <c r="BH738" s="27"/>
      <c r="BI738" s="27"/>
      <c r="BJ738" s="27"/>
      <c r="BK738" s="27"/>
      <c r="BL738" s="27"/>
      <c r="BM738" s="27"/>
      <c r="BN738" s="27"/>
      <c r="BO738" s="27"/>
      <c r="BP738" s="27"/>
      <c r="BQ738" s="27"/>
      <c r="BR738" s="27"/>
      <c r="BS738" s="27"/>
      <c r="BT738" s="27"/>
      <c r="BU738" s="27"/>
      <c r="BV738" s="27"/>
      <c r="BW738" s="27"/>
      <c r="BX738" s="27"/>
      <c r="BY738" s="27"/>
      <c r="BZ738" s="27"/>
      <c r="CA738" s="27"/>
      <c r="CB738" s="27"/>
      <c r="CC738" s="27"/>
      <c r="CD738" s="27"/>
    </row>
    <row r="739" spans="1:82" s="29" customFormat="1">
      <c r="A739" s="19"/>
      <c r="B739" s="19"/>
      <c r="C739" s="19"/>
      <c r="D739" s="19"/>
      <c r="E739" s="19"/>
      <c r="F739" s="19"/>
      <c r="G739" s="19"/>
      <c r="H739" s="83"/>
      <c r="I739" s="84"/>
      <c r="J739" s="84"/>
      <c r="K739" s="85"/>
      <c r="L739" s="86"/>
      <c r="M739" s="86"/>
      <c r="N739" s="87"/>
      <c r="O739" s="88"/>
      <c r="P739" s="87"/>
      <c r="Q739" s="89"/>
      <c r="R739" s="27"/>
      <c r="S739" s="27"/>
      <c r="T739" s="28"/>
      <c r="U739" s="28"/>
      <c r="V739" s="28"/>
      <c r="W739" s="28"/>
      <c r="X739" s="28"/>
      <c r="Y739" s="27"/>
      <c r="AA739" s="28"/>
      <c r="AB739" s="28"/>
      <c r="AC739" s="27"/>
      <c r="AE739" s="30"/>
      <c r="AF739" s="30"/>
      <c r="AG739" s="30"/>
      <c r="AI739" s="27"/>
      <c r="AK739" s="27"/>
      <c r="AL739" s="27"/>
      <c r="AM739" s="27"/>
      <c r="AN739" s="27"/>
      <c r="AO739" s="27"/>
      <c r="AP739" s="27"/>
      <c r="AQ739" s="27"/>
      <c r="AR739" s="27"/>
      <c r="AS739" s="27"/>
      <c r="AT739" s="27"/>
      <c r="AU739" s="27"/>
      <c r="AV739" s="27"/>
      <c r="AW739" s="27"/>
      <c r="AX739" s="27"/>
      <c r="AY739" s="27"/>
      <c r="AZ739" s="27"/>
      <c r="BC739" s="41"/>
      <c r="BE739" s="27"/>
      <c r="BF739" s="27"/>
      <c r="BG739" s="27"/>
      <c r="BH739" s="27"/>
      <c r="BI739" s="27"/>
      <c r="BJ739" s="27"/>
      <c r="BK739" s="27"/>
      <c r="BL739" s="27"/>
      <c r="BM739" s="27"/>
      <c r="BN739" s="27"/>
      <c r="BO739" s="27"/>
      <c r="BP739" s="27"/>
      <c r="BQ739" s="27"/>
      <c r="BR739" s="27"/>
      <c r="BS739" s="27"/>
      <c r="BT739" s="27"/>
      <c r="BU739" s="27"/>
      <c r="BV739" s="27"/>
      <c r="BW739" s="27"/>
      <c r="BX739" s="27"/>
      <c r="BY739" s="27"/>
      <c r="BZ739" s="27"/>
      <c r="CA739" s="27"/>
      <c r="CB739" s="27"/>
      <c r="CC739" s="27"/>
      <c r="CD739" s="27"/>
    </row>
    <row r="740" spans="1:82" s="29" customFormat="1">
      <c r="A740" s="19"/>
      <c r="B740" s="19"/>
      <c r="C740" s="19"/>
      <c r="D740" s="19"/>
      <c r="E740" s="19"/>
      <c r="F740" s="19"/>
      <c r="G740" s="19"/>
      <c r="H740" s="83"/>
      <c r="I740" s="84"/>
      <c r="J740" s="84"/>
      <c r="K740" s="85"/>
      <c r="L740" s="86"/>
      <c r="M740" s="86"/>
      <c r="N740" s="87"/>
      <c r="O740" s="88"/>
      <c r="P740" s="87"/>
      <c r="Q740" s="89"/>
      <c r="R740" s="27"/>
      <c r="S740" s="27"/>
      <c r="T740" s="28"/>
      <c r="U740" s="28"/>
      <c r="V740" s="28"/>
      <c r="W740" s="28"/>
      <c r="X740" s="28"/>
      <c r="Y740" s="27"/>
      <c r="AA740" s="28"/>
      <c r="AB740" s="28"/>
      <c r="AC740" s="27"/>
      <c r="AE740" s="30"/>
      <c r="AF740" s="30"/>
      <c r="AG740" s="30"/>
      <c r="AI740" s="27"/>
      <c r="AK740" s="27"/>
      <c r="AL740" s="27"/>
      <c r="AM740" s="27"/>
      <c r="AN740" s="27"/>
      <c r="AO740" s="27"/>
      <c r="AP740" s="27"/>
      <c r="AQ740" s="27"/>
      <c r="AR740" s="27"/>
      <c r="AS740" s="27"/>
      <c r="AT740" s="27"/>
      <c r="AU740" s="27"/>
      <c r="AV740" s="27"/>
      <c r="AW740" s="27"/>
      <c r="AX740" s="27"/>
      <c r="AY740" s="27"/>
      <c r="AZ740" s="27"/>
      <c r="BC740" s="41"/>
      <c r="BE740" s="27"/>
      <c r="BF740" s="27"/>
      <c r="BG740" s="27"/>
      <c r="BH740" s="27"/>
      <c r="BI740" s="27"/>
      <c r="BJ740" s="27"/>
      <c r="BK740" s="27"/>
      <c r="BL740" s="27"/>
      <c r="BM740" s="27"/>
      <c r="BN740" s="27"/>
      <c r="BO740" s="27"/>
      <c r="BP740" s="27"/>
      <c r="BQ740" s="27"/>
      <c r="BR740" s="27"/>
      <c r="BS740" s="27"/>
      <c r="BT740" s="27"/>
      <c r="BU740" s="27"/>
      <c r="BV740" s="27"/>
      <c r="BW740" s="27"/>
      <c r="BX740" s="27"/>
      <c r="BY740" s="27"/>
      <c r="BZ740" s="27"/>
      <c r="CA740" s="27"/>
      <c r="CB740" s="27"/>
      <c r="CC740" s="27"/>
      <c r="CD740" s="27"/>
    </row>
    <row r="741" spans="1:82" s="29" customFormat="1">
      <c r="A741" s="19"/>
      <c r="B741" s="19"/>
      <c r="C741" s="19"/>
      <c r="D741" s="19"/>
      <c r="E741" s="19"/>
      <c r="F741" s="19"/>
      <c r="G741" s="19"/>
      <c r="H741" s="83"/>
      <c r="I741" s="84"/>
      <c r="J741" s="84"/>
      <c r="K741" s="85"/>
      <c r="L741" s="86"/>
      <c r="M741" s="86"/>
      <c r="N741" s="87"/>
      <c r="O741" s="88"/>
      <c r="P741" s="87"/>
      <c r="Q741" s="89"/>
      <c r="R741" s="27"/>
      <c r="S741" s="27"/>
      <c r="T741" s="28"/>
      <c r="U741" s="28"/>
      <c r="V741" s="28"/>
      <c r="W741" s="28"/>
      <c r="X741" s="28"/>
      <c r="Y741" s="27"/>
      <c r="AA741" s="28"/>
      <c r="AB741" s="28"/>
      <c r="AC741" s="27"/>
      <c r="AE741" s="30"/>
      <c r="AF741" s="30"/>
      <c r="AG741" s="30"/>
      <c r="AI741" s="27"/>
      <c r="AK741" s="27"/>
      <c r="AL741" s="27"/>
      <c r="AM741" s="27"/>
      <c r="AN741" s="27"/>
      <c r="AO741" s="27"/>
      <c r="AP741" s="27"/>
      <c r="AQ741" s="27"/>
      <c r="AR741" s="27"/>
      <c r="AS741" s="27"/>
      <c r="AT741" s="27"/>
      <c r="AU741" s="27"/>
      <c r="AV741" s="27"/>
      <c r="AW741" s="27"/>
      <c r="AX741" s="27"/>
      <c r="AY741" s="27"/>
      <c r="AZ741" s="27"/>
      <c r="BC741" s="41"/>
      <c r="BE741" s="27"/>
      <c r="BF741" s="27"/>
      <c r="BG741" s="27"/>
      <c r="BH741" s="27"/>
      <c r="BI741" s="27"/>
      <c r="BJ741" s="27"/>
      <c r="BK741" s="27"/>
      <c r="BL741" s="27"/>
      <c r="BM741" s="27"/>
      <c r="BN741" s="27"/>
      <c r="BO741" s="27"/>
      <c r="BP741" s="27"/>
      <c r="BQ741" s="27"/>
      <c r="BR741" s="27"/>
      <c r="BS741" s="27"/>
      <c r="BT741" s="27"/>
      <c r="BU741" s="27"/>
      <c r="BV741" s="27"/>
      <c r="BW741" s="27"/>
      <c r="BX741" s="27"/>
      <c r="BY741" s="27"/>
      <c r="BZ741" s="27"/>
      <c r="CA741" s="27"/>
      <c r="CB741" s="27"/>
      <c r="CC741" s="27"/>
      <c r="CD741" s="27"/>
    </row>
    <row r="742" spans="1:82" s="29" customFormat="1">
      <c r="A742" s="19"/>
      <c r="B742" s="19"/>
      <c r="C742" s="19"/>
      <c r="D742" s="19"/>
      <c r="E742" s="19"/>
      <c r="F742" s="19"/>
      <c r="G742" s="19"/>
      <c r="H742" s="83"/>
      <c r="I742" s="84"/>
      <c r="J742" s="84"/>
      <c r="K742" s="85"/>
      <c r="L742" s="86"/>
      <c r="M742" s="86"/>
      <c r="N742" s="87"/>
      <c r="O742" s="88"/>
      <c r="P742" s="87"/>
      <c r="Q742" s="89"/>
      <c r="R742" s="27"/>
      <c r="S742" s="27"/>
      <c r="T742" s="28"/>
      <c r="U742" s="28"/>
      <c r="V742" s="28"/>
      <c r="W742" s="28"/>
      <c r="X742" s="28"/>
      <c r="Y742" s="27"/>
      <c r="AA742" s="28"/>
      <c r="AB742" s="28"/>
      <c r="AC742" s="27"/>
      <c r="AE742" s="30"/>
      <c r="AF742" s="30"/>
      <c r="AG742" s="30"/>
      <c r="AI742" s="27"/>
      <c r="AK742" s="27"/>
      <c r="AL742" s="27"/>
      <c r="AM742" s="27"/>
      <c r="AN742" s="27"/>
      <c r="AO742" s="27"/>
      <c r="AP742" s="27"/>
      <c r="AQ742" s="27"/>
      <c r="AR742" s="27"/>
      <c r="AS742" s="27"/>
      <c r="AT742" s="27"/>
      <c r="AU742" s="27"/>
      <c r="AV742" s="27"/>
      <c r="AW742" s="27"/>
      <c r="AX742" s="27"/>
      <c r="AY742" s="27"/>
      <c r="AZ742" s="27"/>
      <c r="BC742" s="41"/>
      <c r="BE742" s="27"/>
      <c r="BF742" s="27"/>
      <c r="BG742" s="27"/>
      <c r="BH742" s="27"/>
      <c r="BI742" s="27"/>
      <c r="BJ742" s="27"/>
      <c r="BK742" s="27"/>
      <c r="BL742" s="27"/>
      <c r="BM742" s="27"/>
      <c r="BN742" s="27"/>
      <c r="BO742" s="27"/>
      <c r="BP742" s="27"/>
      <c r="BQ742" s="27"/>
      <c r="BR742" s="27"/>
      <c r="BS742" s="27"/>
      <c r="BT742" s="27"/>
      <c r="BU742" s="27"/>
      <c r="BV742" s="27"/>
      <c r="BW742" s="27"/>
      <c r="BX742" s="27"/>
      <c r="BY742" s="27"/>
      <c r="BZ742" s="27"/>
      <c r="CA742" s="27"/>
      <c r="CB742" s="27"/>
      <c r="CC742" s="27"/>
      <c r="CD742" s="27"/>
    </row>
    <row r="743" spans="1:82" s="29" customFormat="1">
      <c r="A743" s="19"/>
      <c r="B743" s="19"/>
      <c r="C743" s="19"/>
      <c r="D743" s="19"/>
      <c r="E743" s="19"/>
      <c r="F743" s="19"/>
      <c r="G743" s="19"/>
      <c r="H743" s="83"/>
      <c r="I743" s="84"/>
      <c r="J743" s="84"/>
      <c r="K743" s="85"/>
      <c r="L743" s="86"/>
      <c r="M743" s="86"/>
      <c r="N743" s="87"/>
      <c r="O743" s="88"/>
      <c r="P743" s="87"/>
      <c r="Q743" s="89"/>
      <c r="R743" s="27"/>
      <c r="S743" s="27"/>
      <c r="T743" s="28"/>
      <c r="U743" s="28"/>
      <c r="V743" s="28"/>
      <c r="W743" s="28"/>
      <c r="X743" s="28"/>
      <c r="Y743" s="27"/>
      <c r="AA743" s="28"/>
      <c r="AB743" s="28"/>
      <c r="AC743" s="27"/>
      <c r="AE743" s="30"/>
      <c r="AF743" s="30"/>
      <c r="AG743" s="30"/>
      <c r="AI743" s="27"/>
      <c r="AK743" s="27"/>
      <c r="AL743" s="27"/>
      <c r="AM743" s="27"/>
      <c r="AN743" s="27"/>
      <c r="AO743" s="27"/>
      <c r="AP743" s="27"/>
      <c r="AQ743" s="27"/>
      <c r="AR743" s="27"/>
      <c r="AS743" s="27"/>
      <c r="AT743" s="27"/>
      <c r="AU743" s="27"/>
      <c r="AV743" s="27"/>
      <c r="AW743" s="27"/>
      <c r="AX743" s="27"/>
      <c r="AY743" s="27"/>
      <c r="AZ743" s="27"/>
      <c r="BC743" s="41"/>
      <c r="BE743" s="27"/>
      <c r="BF743" s="27"/>
      <c r="BG743" s="27"/>
      <c r="BH743" s="27"/>
      <c r="BI743" s="27"/>
      <c r="BJ743" s="27"/>
      <c r="BK743" s="27"/>
      <c r="BL743" s="27"/>
      <c r="BM743" s="27"/>
      <c r="BN743" s="27"/>
      <c r="BO743" s="27"/>
      <c r="BP743" s="27"/>
      <c r="BQ743" s="27"/>
      <c r="BR743" s="27"/>
      <c r="BS743" s="27"/>
      <c r="BT743" s="27"/>
      <c r="BU743" s="27"/>
      <c r="BV743" s="27"/>
      <c r="BW743" s="27"/>
      <c r="BX743" s="27"/>
      <c r="BY743" s="27"/>
      <c r="BZ743" s="27"/>
      <c r="CA743" s="27"/>
      <c r="CB743" s="27"/>
      <c r="CC743" s="27"/>
      <c r="CD743" s="27"/>
    </row>
    <row r="744" spans="1:82" s="29" customFormat="1">
      <c r="A744" s="19"/>
      <c r="B744" s="19"/>
      <c r="C744" s="19"/>
      <c r="D744" s="19"/>
      <c r="E744" s="19"/>
      <c r="F744" s="19"/>
      <c r="G744" s="19"/>
      <c r="H744" s="83"/>
      <c r="I744" s="84"/>
      <c r="J744" s="84"/>
      <c r="K744" s="85"/>
      <c r="L744" s="86"/>
      <c r="M744" s="86"/>
      <c r="N744" s="87"/>
      <c r="O744" s="88"/>
      <c r="P744" s="87"/>
      <c r="Q744" s="89"/>
      <c r="R744" s="27"/>
      <c r="S744" s="27"/>
      <c r="T744" s="28"/>
      <c r="U744" s="28"/>
      <c r="V744" s="28"/>
      <c r="W744" s="28"/>
      <c r="X744" s="28"/>
      <c r="Y744" s="27"/>
      <c r="AA744" s="28"/>
      <c r="AB744" s="28"/>
      <c r="AC744" s="27"/>
      <c r="AE744" s="30"/>
      <c r="AF744" s="30"/>
      <c r="AG744" s="30"/>
      <c r="AI744" s="27"/>
      <c r="AK744" s="27"/>
      <c r="AL744" s="27"/>
      <c r="AM744" s="27"/>
      <c r="AN744" s="27"/>
      <c r="AO744" s="27"/>
      <c r="AP744" s="27"/>
      <c r="AQ744" s="27"/>
      <c r="AR744" s="27"/>
      <c r="AS744" s="27"/>
      <c r="AT744" s="27"/>
      <c r="AU744" s="27"/>
      <c r="AV744" s="27"/>
      <c r="AW744" s="27"/>
      <c r="AX744" s="27"/>
      <c r="AY744" s="27"/>
      <c r="AZ744" s="27"/>
      <c r="BC744" s="41"/>
      <c r="BE744" s="27"/>
      <c r="BF744" s="27"/>
      <c r="BG744" s="27"/>
      <c r="BH744" s="27"/>
      <c r="BI744" s="27"/>
      <c r="BJ744" s="27"/>
      <c r="BK744" s="27"/>
      <c r="BL744" s="27"/>
      <c r="BM744" s="27"/>
      <c r="BN744" s="27"/>
      <c r="BO744" s="27"/>
      <c r="BP744" s="27"/>
      <c r="BQ744" s="27"/>
      <c r="BR744" s="27"/>
      <c r="BS744" s="27"/>
      <c r="BT744" s="27"/>
      <c r="BU744" s="27"/>
      <c r="BV744" s="27"/>
      <c r="BW744" s="27"/>
      <c r="BX744" s="27"/>
      <c r="BY744" s="27"/>
      <c r="BZ744" s="27"/>
      <c r="CA744" s="27"/>
      <c r="CB744" s="27"/>
      <c r="CC744" s="27"/>
      <c r="CD744" s="27"/>
    </row>
    <row r="745" spans="1:82" s="29" customFormat="1">
      <c r="A745" s="19"/>
      <c r="B745" s="19"/>
      <c r="C745" s="19"/>
      <c r="D745" s="19"/>
      <c r="E745" s="19"/>
      <c r="F745" s="19"/>
      <c r="G745" s="19"/>
      <c r="H745" s="83"/>
      <c r="I745" s="84"/>
      <c r="J745" s="84"/>
      <c r="K745" s="85"/>
      <c r="L745" s="86"/>
      <c r="M745" s="86"/>
      <c r="N745" s="87"/>
      <c r="O745" s="88"/>
      <c r="P745" s="87"/>
      <c r="Q745" s="89"/>
      <c r="R745" s="27"/>
      <c r="S745" s="27"/>
      <c r="T745" s="28"/>
      <c r="U745" s="28"/>
      <c r="V745" s="28"/>
      <c r="W745" s="28"/>
      <c r="X745" s="28"/>
      <c r="Y745" s="27"/>
      <c r="AA745" s="28"/>
      <c r="AB745" s="28"/>
      <c r="AC745" s="27"/>
      <c r="AE745" s="30"/>
      <c r="AF745" s="30"/>
      <c r="AG745" s="30"/>
      <c r="AI745" s="27"/>
      <c r="AK745" s="27"/>
      <c r="AL745" s="27"/>
      <c r="AM745" s="27"/>
      <c r="AN745" s="27"/>
      <c r="AO745" s="27"/>
      <c r="AP745" s="27"/>
      <c r="AQ745" s="27"/>
      <c r="AR745" s="27"/>
      <c r="AS745" s="27"/>
      <c r="AT745" s="27"/>
      <c r="AU745" s="27"/>
      <c r="AV745" s="27"/>
      <c r="AW745" s="27"/>
      <c r="AX745" s="27"/>
      <c r="AY745" s="27"/>
      <c r="AZ745" s="27"/>
      <c r="BC745" s="41"/>
      <c r="BE745" s="27"/>
      <c r="BF745" s="27"/>
      <c r="BG745" s="27"/>
      <c r="BH745" s="27"/>
      <c r="BI745" s="27"/>
      <c r="BJ745" s="27"/>
      <c r="BK745" s="27"/>
      <c r="BL745" s="27"/>
      <c r="BM745" s="27"/>
      <c r="BN745" s="27"/>
      <c r="BO745" s="27"/>
      <c r="BP745" s="27"/>
      <c r="BQ745" s="27"/>
      <c r="BR745" s="27"/>
      <c r="BS745" s="27"/>
      <c r="BT745" s="27"/>
      <c r="BU745" s="27"/>
      <c r="BV745" s="27"/>
      <c r="BW745" s="27"/>
      <c r="BX745" s="27"/>
      <c r="BY745" s="27"/>
      <c r="BZ745" s="27"/>
      <c r="CA745" s="27"/>
      <c r="CB745" s="27"/>
      <c r="CC745" s="27"/>
      <c r="CD745" s="27"/>
    </row>
    <row r="746" spans="1:82" s="29" customFormat="1">
      <c r="A746" s="19"/>
      <c r="B746" s="19"/>
      <c r="C746" s="19"/>
      <c r="D746" s="19"/>
      <c r="E746" s="19"/>
      <c r="F746" s="19"/>
      <c r="G746" s="19"/>
      <c r="H746" s="83"/>
      <c r="I746" s="84"/>
      <c r="J746" s="84"/>
      <c r="K746" s="85"/>
      <c r="L746" s="86"/>
      <c r="M746" s="86"/>
      <c r="N746" s="87"/>
      <c r="O746" s="88"/>
      <c r="P746" s="87"/>
      <c r="Q746" s="89"/>
      <c r="R746" s="27"/>
      <c r="S746" s="27"/>
      <c r="T746" s="28"/>
      <c r="U746" s="28"/>
      <c r="V746" s="28"/>
      <c r="W746" s="28"/>
      <c r="X746" s="28"/>
      <c r="Y746" s="27"/>
      <c r="AA746" s="28"/>
      <c r="AB746" s="28"/>
      <c r="AC746" s="27"/>
      <c r="AE746" s="30"/>
      <c r="AF746" s="30"/>
      <c r="AG746" s="30"/>
      <c r="AI746" s="27"/>
      <c r="AK746" s="27"/>
      <c r="AL746" s="27"/>
      <c r="AM746" s="27"/>
      <c r="AN746" s="27"/>
      <c r="AO746" s="27"/>
      <c r="AP746" s="27"/>
      <c r="AQ746" s="27"/>
      <c r="AR746" s="27"/>
      <c r="AS746" s="27"/>
      <c r="AT746" s="27"/>
      <c r="AU746" s="27"/>
      <c r="AV746" s="27"/>
      <c r="AW746" s="27"/>
      <c r="AX746" s="27"/>
      <c r="AY746" s="27"/>
      <c r="AZ746" s="27"/>
      <c r="BC746" s="41"/>
      <c r="BE746" s="27"/>
      <c r="BF746" s="27"/>
      <c r="BG746" s="27"/>
      <c r="BH746" s="27"/>
      <c r="BI746" s="27"/>
      <c r="BJ746" s="27"/>
      <c r="BK746" s="27"/>
      <c r="BL746" s="27"/>
      <c r="BM746" s="27"/>
      <c r="BN746" s="27"/>
      <c r="BO746" s="27"/>
      <c r="BP746" s="27"/>
      <c r="BQ746" s="27"/>
      <c r="BR746" s="27"/>
      <c r="BS746" s="27"/>
      <c r="BT746" s="27"/>
      <c r="BU746" s="27"/>
      <c r="BV746" s="27"/>
      <c r="BW746" s="27"/>
      <c r="BX746" s="27"/>
      <c r="BY746" s="27"/>
      <c r="BZ746" s="27"/>
      <c r="CA746" s="27"/>
      <c r="CB746" s="27"/>
      <c r="CC746" s="27"/>
      <c r="CD746" s="27"/>
    </row>
    <row r="747" spans="1:82" s="29" customFormat="1">
      <c r="A747" s="19"/>
      <c r="B747" s="19"/>
      <c r="C747" s="19"/>
      <c r="D747" s="19"/>
      <c r="E747" s="19"/>
      <c r="F747" s="19"/>
      <c r="G747" s="19"/>
      <c r="H747" s="83"/>
      <c r="I747" s="84"/>
      <c r="J747" s="84"/>
      <c r="K747" s="85"/>
      <c r="L747" s="86"/>
      <c r="M747" s="86"/>
      <c r="N747" s="87"/>
      <c r="O747" s="88"/>
      <c r="P747" s="87"/>
      <c r="Q747" s="89"/>
      <c r="R747" s="27"/>
      <c r="S747" s="27"/>
      <c r="T747" s="28"/>
      <c r="U747" s="28"/>
      <c r="V747" s="28"/>
      <c r="W747" s="28"/>
      <c r="X747" s="28"/>
      <c r="Y747" s="27"/>
      <c r="AA747" s="28"/>
      <c r="AB747" s="28"/>
      <c r="AC747" s="27"/>
      <c r="AE747" s="30"/>
      <c r="AF747" s="30"/>
      <c r="AG747" s="30"/>
      <c r="AI747" s="27"/>
      <c r="AK747" s="27"/>
      <c r="AL747" s="27"/>
      <c r="AM747" s="27"/>
      <c r="AN747" s="27"/>
      <c r="AO747" s="27"/>
      <c r="AP747" s="27"/>
      <c r="AQ747" s="27"/>
      <c r="AR747" s="27"/>
      <c r="AS747" s="27"/>
      <c r="AT747" s="27"/>
      <c r="AU747" s="27"/>
      <c r="AV747" s="27"/>
      <c r="AW747" s="27"/>
      <c r="AX747" s="27"/>
      <c r="AY747" s="27"/>
      <c r="AZ747" s="27"/>
      <c r="BC747" s="41"/>
      <c r="BE747" s="27"/>
      <c r="BF747" s="27"/>
      <c r="BG747" s="27"/>
      <c r="BH747" s="27"/>
      <c r="BI747" s="27"/>
      <c r="BJ747" s="27"/>
      <c r="BK747" s="27"/>
      <c r="BL747" s="27"/>
      <c r="BM747" s="27"/>
      <c r="BN747" s="27"/>
      <c r="BO747" s="27"/>
      <c r="BP747" s="27"/>
      <c r="BQ747" s="27"/>
      <c r="BR747" s="27"/>
      <c r="BS747" s="27"/>
      <c r="BT747" s="27"/>
      <c r="BU747" s="27"/>
      <c r="BV747" s="27"/>
      <c r="BW747" s="27"/>
      <c r="BX747" s="27"/>
      <c r="BY747" s="27"/>
      <c r="BZ747" s="27"/>
      <c r="CA747" s="27"/>
      <c r="CB747" s="27"/>
      <c r="CC747" s="27"/>
      <c r="CD747" s="27"/>
    </row>
    <row r="748" spans="1:82" s="29" customFormat="1">
      <c r="A748" s="19"/>
      <c r="B748" s="19"/>
      <c r="C748" s="19"/>
      <c r="D748" s="19"/>
      <c r="E748" s="19"/>
      <c r="F748" s="19"/>
      <c r="G748" s="19"/>
      <c r="H748" s="83"/>
      <c r="I748" s="84"/>
      <c r="J748" s="84"/>
      <c r="K748" s="85"/>
      <c r="L748" s="86"/>
      <c r="M748" s="86"/>
      <c r="N748" s="87"/>
      <c r="O748" s="88"/>
      <c r="P748" s="87"/>
      <c r="Q748" s="89"/>
      <c r="R748" s="27"/>
      <c r="S748" s="27"/>
      <c r="T748" s="28"/>
      <c r="U748" s="28"/>
      <c r="V748" s="28"/>
      <c r="W748" s="28"/>
      <c r="X748" s="28"/>
      <c r="Y748" s="27"/>
      <c r="AA748" s="28"/>
      <c r="AB748" s="28"/>
      <c r="AC748" s="27"/>
      <c r="AE748" s="30"/>
      <c r="AF748" s="30"/>
      <c r="AG748" s="30"/>
      <c r="AI748" s="27"/>
      <c r="AK748" s="27"/>
      <c r="AL748" s="27"/>
      <c r="AM748" s="27"/>
      <c r="AN748" s="27"/>
      <c r="AO748" s="27"/>
      <c r="AP748" s="27"/>
      <c r="AQ748" s="27"/>
      <c r="AR748" s="27"/>
      <c r="AS748" s="27"/>
      <c r="AT748" s="27"/>
      <c r="AU748" s="27"/>
      <c r="AV748" s="27"/>
      <c r="AW748" s="27"/>
      <c r="AX748" s="27"/>
      <c r="AY748" s="27"/>
      <c r="AZ748" s="27"/>
      <c r="BC748" s="41"/>
      <c r="BE748" s="27"/>
      <c r="BF748" s="27"/>
      <c r="BG748" s="27"/>
      <c r="BH748" s="27"/>
      <c r="BI748" s="27"/>
      <c r="BJ748" s="27"/>
      <c r="BK748" s="27"/>
      <c r="BL748" s="27"/>
      <c r="BM748" s="27"/>
      <c r="BN748" s="27"/>
      <c r="BO748" s="27"/>
      <c r="BP748" s="27"/>
      <c r="BQ748" s="27"/>
      <c r="BR748" s="27"/>
      <c r="BS748" s="27"/>
      <c r="BT748" s="27"/>
      <c r="BU748" s="27"/>
      <c r="BV748" s="27"/>
      <c r="BW748" s="27"/>
      <c r="BX748" s="27"/>
      <c r="BY748" s="27"/>
      <c r="BZ748" s="27"/>
      <c r="CA748" s="27"/>
      <c r="CB748" s="27"/>
      <c r="CC748" s="27"/>
      <c r="CD748" s="27"/>
    </row>
    <row r="749" spans="1:82" s="29" customFormat="1">
      <c r="A749" s="19"/>
      <c r="B749" s="19"/>
      <c r="C749" s="19"/>
      <c r="D749" s="19"/>
      <c r="E749" s="19"/>
      <c r="F749" s="19"/>
      <c r="G749" s="19"/>
      <c r="H749" s="83"/>
      <c r="I749" s="84"/>
      <c r="J749" s="84"/>
      <c r="K749" s="85"/>
      <c r="L749" s="86"/>
      <c r="M749" s="86"/>
      <c r="N749" s="87"/>
      <c r="O749" s="88"/>
      <c r="P749" s="87"/>
      <c r="Q749" s="89"/>
      <c r="R749" s="27"/>
      <c r="S749" s="27"/>
      <c r="T749" s="28"/>
      <c r="U749" s="28"/>
      <c r="V749" s="28"/>
      <c r="W749" s="28"/>
      <c r="X749" s="28"/>
      <c r="Y749" s="27"/>
      <c r="AA749" s="28"/>
      <c r="AB749" s="28"/>
      <c r="AC749" s="27"/>
      <c r="AE749" s="30"/>
      <c r="AF749" s="30"/>
      <c r="AG749" s="30"/>
      <c r="AI749" s="27"/>
      <c r="AK749" s="27"/>
      <c r="AL749" s="27"/>
      <c r="AM749" s="27"/>
      <c r="AN749" s="27"/>
      <c r="AO749" s="27"/>
      <c r="AP749" s="27"/>
      <c r="AQ749" s="27"/>
      <c r="AR749" s="27"/>
      <c r="AS749" s="27"/>
      <c r="AT749" s="27"/>
      <c r="AU749" s="27"/>
      <c r="AV749" s="27"/>
      <c r="AW749" s="27"/>
      <c r="AX749" s="27"/>
      <c r="AY749" s="27"/>
      <c r="AZ749" s="27"/>
      <c r="BC749" s="41"/>
      <c r="BE749" s="27"/>
      <c r="BF749" s="27"/>
      <c r="BG749" s="27"/>
      <c r="BH749" s="27"/>
      <c r="BI749" s="27"/>
      <c r="BJ749" s="27"/>
      <c r="BK749" s="27"/>
      <c r="BL749" s="27"/>
      <c r="BM749" s="27"/>
      <c r="BN749" s="27"/>
      <c r="BO749" s="27"/>
      <c r="BP749" s="27"/>
      <c r="BQ749" s="27"/>
      <c r="BR749" s="27"/>
      <c r="BS749" s="27"/>
      <c r="BT749" s="27"/>
      <c r="BU749" s="27"/>
      <c r="BV749" s="27"/>
      <c r="BW749" s="27"/>
      <c r="BX749" s="27"/>
      <c r="BY749" s="27"/>
      <c r="BZ749" s="27"/>
      <c r="CA749" s="27"/>
      <c r="CB749" s="27"/>
      <c r="CC749" s="27"/>
      <c r="CD749" s="27"/>
    </row>
    <row r="750" spans="1:82" s="29" customFormat="1">
      <c r="A750" s="19"/>
      <c r="B750" s="19"/>
      <c r="C750" s="19"/>
      <c r="D750" s="19"/>
      <c r="E750" s="19"/>
      <c r="F750" s="19"/>
      <c r="G750" s="19"/>
      <c r="H750" s="83"/>
      <c r="I750" s="84"/>
      <c r="J750" s="84"/>
      <c r="K750" s="85"/>
      <c r="L750" s="86"/>
      <c r="M750" s="86"/>
      <c r="N750" s="87"/>
      <c r="O750" s="88"/>
      <c r="P750" s="87"/>
      <c r="Q750" s="89"/>
      <c r="R750" s="27"/>
      <c r="S750" s="27"/>
      <c r="T750" s="28"/>
      <c r="U750" s="28"/>
      <c r="V750" s="28"/>
      <c r="W750" s="28"/>
      <c r="X750" s="28"/>
      <c r="Y750" s="27"/>
      <c r="AA750" s="28"/>
      <c r="AB750" s="28"/>
      <c r="AC750" s="27"/>
      <c r="AE750" s="30"/>
      <c r="AF750" s="30"/>
      <c r="AG750" s="30"/>
      <c r="AI750" s="27"/>
      <c r="AK750" s="27"/>
      <c r="AL750" s="27"/>
      <c r="AM750" s="27"/>
      <c r="AN750" s="27"/>
      <c r="AO750" s="27"/>
      <c r="AP750" s="27"/>
      <c r="AQ750" s="27"/>
      <c r="AR750" s="27"/>
      <c r="AS750" s="27"/>
      <c r="AT750" s="27"/>
      <c r="AU750" s="27"/>
      <c r="AV750" s="27"/>
      <c r="AW750" s="27"/>
      <c r="AX750" s="27"/>
      <c r="AY750" s="27"/>
      <c r="AZ750" s="27"/>
      <c r="BC750" s="41"/>
      <c r="BE750" s="27"/>
      <c r="BF750" s="27"/>
      <c r="BG750" s="27"/>
      <c r="BH750" s="27"/>
      <c r="BI750" s="27"/>
      <c r="BJ750" s="27"/>
      <c r="BK750" s="27"/>
      <c r="BL750" s="27"/>
      <c r="BM750" s="27"/>
      <c r="BN750" s="27"/>
      <c r="BO750" s="27"/>
      <c r="BP750" s="27"/>
      <c r="BQ750" s="27"/>
      <c r="BR750" s="27"/>
      <c r="BS750" s="27"/>
      <c r="BT750" s="27"/>
      <c r="BU750" s="27"/>
      <c r="BV750" s="27"/>
      <c r="BW750" s="27"/>
      <c r="BX750" s="27"/>
      <c r="BY750" s="27"/>
      <c r="BZ750" s="27"/>
      <c r="CA750" s="27"/>
      <c r="CB750" s="27"/>
      <c r="CC750" s="27"/>
      <c r="CD750" s="27"/>
    </row>
    <row r="751" spans="1:82" s="29" customFormat="1">
      <c r="A751" s="19"/>
      <c r="B751" s="19"/>
      <c r="C751" s="19"/>
      <c r="D751" s="19"/>
      <c r="E751" s="19"/>
      <c r="F751" s="19"/>
      <c r="G751" s="19"/>
      <c r="H751" s="83"/>
      <c r="I751" s="84"/>
      <c r="J751" s="84"/>
      <c r="K751" s="85"/>
      <c r="L751" s="86"/>
      <c r="M751" s="86"/>
      <c r="N751" s="87"/>
      <c r="O751" s="88"/>
      <c r="P751" s="87"/>
      <c r="Q751" s="89"/>
      <c r="R751" s="27"/>
      <c r="S751" s="27"/>
      <c r="T751" s="28"/>
      <c r="U751" s="28"/>
      <c r="V751" s="28"/>
      <c r="W751" s="28"/>
      <c r="X751" s="28"/>
      <c r="Y751" s="27"/>
      <c r="AA751" s="28"/>
      <c r="AB751" s="28"/>
      <c r="AC751" s="27"/>
      <c r="AE751" s="30"/>
      <c r="AF751" s="30"/>
      <c r="AG751" s="30"/>
      <c r="AI751" s="27"/>
      <c r="AK751" s="27"/>
      <c r="AL751" s="27"/>
      <c r="AM751" s="27"/>
      <c r="AN751" s="27"/>
      <c r="AO751" s="27"/>
      <c r="AP751" s="27"/>
      <c r="AQ751" s="27"/>
      <c r="AR751" s="27"/>
      <c r="AS751" s="27"/>
      <c r="AT751" s="27"/>
      <c r="AU751" s="27"/>
      <c r="AV751" s="27"/>
      <c r="AW751" s="27"/>
      <c r="AX751" s="27"/>
      <c r="AY751" s="27"/>
      <c r="AZ751" s="27"/>
      <c r="BC751" s="41"/>
      <c r="BE751" s="27"/>
      <c r="BF751" s="27"/>
      <c r="BG751" s="27"/>
      <c r="BH751" s="27"/>
      <c r="BI751" s="27"/>
      <c r="BJ751" s="27"/>
      <c r="BK751" s="27"/>
      <c r="BL751" s="27"/>
      <c r="BM751" s="27"/>
      <c r="BN751" s="27"/>
      <c r="BO751" s="27"/>
      <c r="BP751" s="27"/>
      <c r="BQ751" s="27"/>
      <c r="BR751" s="27"/>
      <c r="BS751" s="27"/>
      <c r="BT751" s="27"/>
      <c r="BU751" s="27"/>
      <c r="BV751" s="27"/>
      <c r="BW751" s="27"/>
      <c r="BX751" s="27"/>
      <c r="BY751" s="27"/>
      <c r="BZ751" s="27"/>
      <c r="CA751" s="27"/>
      <c r="CB751" s="27"/>
      <c r="CC751" s="27"/>
      <c r="CD751" s="27"/>
    </row>
    <row r="752" spans="1:82" s="29" customFormat="1">
      <c r="A752" s="19"/>
      <c r="B752" s="19"/>
      <c r="C752" s="19"/>
      <c r="D752" s="19"/>
      <c r="E752" s="19"/>
      <c r="F752" s="19"/>
      <c r="G752" s="19"/>
      <c r="H752" s="83"/>
      <c r="I752" s="84"/>
      <c r="J752" s="84"/>
      <c r="K752" s="85"/>
      <c r="L752" s="86"/>
      <c r="M752" s="86"/>
      <c r="N752" s="87"/>
      <c r="O752" s="88"/>
      <c r="P752" s="87"/>
      <c r="Q752" s="89"/>
      <c r="R752" s="27"/>
      <c r="S752" s="27"/>
      <c r="T752" s="28"/>
      <c r="U752" s="28"/>
      <c r="V752" s="28"/>
      <c r="W752" s="28"/>
      <c r="X752" s="28"/>
      <c r="Y752" s="27"/>
      <c r="AA752" s="28"/>
      <c r="AB752" s="28"/>
      <c r="AC752" s="27"/>
      <c r="AE752" s="30"/>
      <c r="AF752" s="30"/>
      <c r="AG752" s="30"/>
      <c r="AI752" s="27"/>
      <c r="AK752" s="27"/>
      <c r="AL752" s="27"/>
      <c r="AM752" s="27"/>
      <c r="AN752" s="27"/>
      <c r="AO752" s="27"/>
      <c r="AP752" s="27"/>
      <c r="AQ752" s="27"/>
      <c r="AR752" s="27"/>
      <c r="AS752" s="27"/>
      <c r="AT752" s="27"/>
      <c r="AU752" s="27"/>
      <c r="AV752" s="27"/>
      <c r="AW752" s="27"/>
      <c r="AX752" s="27"/>
      <c r="AY752" s="27"/>
      <c r="AZ752" s="27"/>
      <c r="BC752" s="41"/>
      <c r="BE752" s="27"/>
      <c r="BF752" s="27"/>
      <c r="BG752" s="27"/>
      <c r="BH752" s="27"/>
      <c r="BI752" s="27"/>
      <c r="BJ752" s="27"/>
      <c r="BK752" s="27"/>
      <c r="BL752" s="27"/>
      <c r="BM752" s="27"/>
      <c r="BN752" s="27"/>
      <c r="BO752" s="27"/>
      <c r="BP752" s="27"/>
      <c r="BQ752" s="27"/>
      <c r="BR752" s="27"/>
      <c r="BS752" s="27"/>
      <c r="BT752" s="27"/>
      <c r="BU752" s="27"/>
      <c r="BV752" s="27"/>
      <c r="BW752" s="27"/>
      <c r="BX752" s="27"/>
      <c r="BY752" s="27"/>
      <c r="BZ752" s="27"/>
      <c r="CA752" s="27"/>
      <c r="CB752" s="27"/>
      <c r="CC752" s="27"/>
      <c r="CD752" s="27"/>
    </row>
    <row r="753" spans="1:82" s="29" customFormat="1">
      <c r="A753" s="19"/>
      <c r="B753" s="19"/>
      <c r="C753" s="19"/>
      <c r="D753" s="19"/>
      <c r="E753" s="19"/>
      <c r="F753" s="19"/>
      <c r="G753" s="19"/>
      <c r="H753" s="83"/>
      <c r="I753" s="84"/>
      <c r="J753" s="84"/>
      <c r="K753" s="85"/>
      <c r="L753" s="86"/>
      <c r="M753" s="86"/>
      <c r="N753" s="87"/>
      <c r="O753" s="88"/>
      <c r="P753" s="87"/>
      <c r="Q753" s="89"/>
      <c r="R753" s="27"/>
      <c r="S753" s="27"/>
      <c r="T753" s="28"/>
      <c r="U753" s="28"/>
      <c r="V753" s="28"/>
      <c r="W753" s="28"/>
      <c r="X753" s="28"/>
      <c r="Y753" s="27"/>
      <c r="AA753" s="28"/>
      <c r="AB753" s="28"/>
      <c r="AC753" s="27"/>
      <c r="AE753" s="30"/>
      <c r="AF753" s="30"/>
      <c r="AG753" s="30"/>
      <c r="AI753" s="27"/>
      <c r="AK753" s="27"/>
      <c r="AL753" s="27"/>
      <c r="AM753" s="27"/>
      <c r="AN753" s="27"/>
      <c r="AO753" s="27"/>
      <c r="AP753" s="27"/>
      <c r="AQ753" s="27"/>
      <c r="AR753" s="27"/>
      <c r="AS753" s="27"/>
      <c r="AT753" s="27"/>
      <c r="AU753" s="27"/>
      <c r="AV753" s="27"/>
      <c r="AW753" s="27"/>
      <c r="AX753" s="27"/>
      <c r="AY753" s="27"/>
      <c r="AZ753" s="27"/>
      <c r="BC753" s="41"/>
      <c r="BE753" s="27"/>
      <c r="BF753" s="27"/>
      <c r="BG753" s="27"/>
      <c r="BH753" s="27"/>
      <c r="BI753" s="27"/>
      <c r="BJ753" s="27"/>
      <c r="BK753" s="27"/>
      <c r="BL753" s="27"/>
      <c r="BM753" s="27"/>
      <c r="BN753" s="27"/>
      <c r="BO753" s="27"/>
      <c r="BP753" s="27"/>
      <c r="BQ753" s="27"/>
      <c r="BR753" s="27"/>
      <c r="BS753" s="27"/>
      <c r="BT753" s="27"/>
      <c r="BU753" s="27"/>
      <c r="BV753" s="27"/>
      <c r="BW753" s="27"/>
      <c r="BX753" s="27"/>
      <c r="BY753" s="27"/>
      <c r="BZ753" s="27"/>
      <c r="CA753" s="27"/>
      <c r="CB753" s="27"/>
      <c r="CC753" s="27"/>
      <c r="CD753" s="27"/>
    </row>
    <row r="754" spans="1:82" s="29" customFormat="1">
      <c r="A754" s="19"/>
      <c r="B754" s="19"/>
      <c r="C754" s="19"/>
      <c r="D754" s="19"/>
      <c r="E754" s="19"/>
      <c r="F754" s="19"/>
      <c r="G754" s="19"/>
      <c r="H754" s="83"/>
      <c r="I754" s="84"/>
      <c r="J754" s="84"/>
      <c r="K754" s="85"/>
      <c r="L754" s="86"/>
      <c r="M754" s="86"/>
      <c r="N754" s="87"/>
      <c r="O754" s="88"/>
      <c r="P754" s="87"/>
      <c r="Q754" s="89"/>
      <c r="R754" s="27"/>
      <c r="S754" s="27"/>
      <c r="T754" s="28"/>
      <c r="U754" s="28"/>
      <c r="V754" s="28"/>
      <c r="W754" s="28"/>
      <c r="X754" s="28"/>
      <c r="Y754" s="27"/>
      <c r="AA754" s="28"/>
      <c r="AB754" s="28"/>
      <c r="AC754" s="27"/>
      <c r="AE754" s="30"/>
      <c r="AF754" s="30"/>
      <c r="AG754" s="30"/>
      <c r="AI754" s="27"/>
      <c r="AK754" s="27"/>
      <c r="AL754" s="27"/>
      <c r="AM754" s="27"/>
      <c r="AN754" s="27"/>
      <c r="AO754" s="27"/>
      <c r="AP754" s="27"/>
      <c r="AQ754" s="27"/>
      <c r="AR754" s="27"/>
      <c r="AS754" s="27"/>
      <c r="AT754" s="27"/>
      <c r="AU754" s="27"/>
      <c r="AV754" s="27"/>
      <c r="AW754" s="27"/>
      <c r="AX754" s="27"/>
      <c r="AY754" s="27"/>
      <c r="AZ754" s="27"/>
      <c r="BC754" s="41"/>
      <c r="BE754" s="27"/>
      <c r="BF754" s="27"/>
      <c r="BG754" s="27"/>
      <c r="BH754" s="27"/>
      <c r="BI754" s="27"/>
      <c r="BJ754" s="27"/>
      <c r="BK754" s="27"/>
      <c r="BL754" s="27"/>
      <c r="BM754" s="27"/>
      <c r="BN754" s="27"/>
      <c r="BO754" s="27"/>
      <c r="BP754" s="27"/>
      <c r="BQ754" s="27"/>
      <c r="BR754" s="27"/>
      <c r="BS754" s="27"/>
      <c r="BT754" s="27"/>
      <c r="BU754" s="27"/>
      <c r="BV754" s="27"/>
      <c r="BW754" s="27"/>
      <c r="BX754" s="27"/>
      <c r="BY754" s="27"/>
      <c r="BZ754" s="27"/>
      <c r="CA754" s="27"/>
      <c r="CB754" s="27"/>
      <c r="CC754" s="27"/>
      <c r="CD754" s="27"/>
    </row>
    <row r="755" spans="1:82" s="29" customFormat="1">
      <c r="A755" s="19"/>
      <c r="B755" s="19"/>
      <c r="C755" s="19"/>
      <c r="D755" s="19"/>
      <c r="E755" s="19"/>
      <c r="F755" s="19"/>
      <c r="G755" s="19"/>
      <c r="H755" s="83"/>
      <c r="I755" s="84"/>
      <c r="J755" s="84"/>
      <c r="K755" s="85"/>
      <c r="L755" s="86"/>
      <c r="M755" s="86"/>
      <c r="N755" s="87"/>
      <c r="O755" s="88"/>
      <c r="P755" s="87"/>
      <c r="Q755" s="89"/>
      <c r="R755" s="27"/>
      <c r="S755" s="27"/>
      <c r="T755" s="28"/>
      <c r="U755" s="28"/>
      <c r="V755" s="28"/>
      <c r="W755" s="28"/>
      <c r="X755" s="28"/>
      <c r="Y755" s="27"/>
      <c r="AA755" s="28"/>
      <c r="AB755" s="28"/>
      <c r="AC755" s="27"/>
      <c r="AE755" s="30"/>
      <c r="AF755" s="30"/>
      <c r="AG755" s="30"/>
      <c r="AI755" s="27"/>
      <c r="AK755" s="27"/>
      <c r="AL755" s="27"/>
      <c r="AM755" s="27"/>
      <c r="AN755" s="27"/>
      <c r="AO755" s="27"/>
      <c r="AP755" s="27"/>
      <c r="AQ755" s="27"/>
      <c r="AR755" s="27"/>
      <c r="AS755" s="27"/>
      <c r="AT755" s="27"/>
      <c r="AU755" s="27"/>
      <c r="AV755" s="27"/>
      <c r="AW755" s="27"/>
      <c r="AX755" s="27"/>
      <c r="AY755" s="27"/>
      <c r="AZ755" s="27"/>
      <c r="BC755" s="41"/>
      <c r="BE755" s="27"/>
      <c r="BF755" s="27"/>
      <c r="BG755" s="27"/>
      <c r="BH755" s="27"/>
      <c r="BI755" s="27"/>
      <c r="BJ755" s="27"/>
      <c r="BK755" s="27"/>
      <c r="BL755" s="27"/>
      <c r="BM755" s="27"/>
      <c r="BN755" s="27"/>
      <c r="BO755" s="27"/>
      <c r="BP755" s="27"/>
      <c r="BQ755" s="27"/>
      <c r="BR755" s="27"/>
      <c r="BS755" s="27"/>
      <c r="BT755" s="27"/>
      <c r="BU755" s="27"/>
      <c r="BV755" s="27"/>
      <c r="BW755" s="27"/>
      <c r="BX755" s="27"/>
      <c r="BY755" s="27"/>
      <c r="BZ755" s="27"/>
      <c r="CA755" s="27"/>
      <c r="CB755" s="27"/>
      <c r="CC755" s="27"/>
      <c r="CD755" s="27"/>
    </row>
    <row r="756" spans="1:82" s="29" customFormat="1">
      <c r="A756" s="19"/>
      <c r="B756" s="19"/>
      <c r="C756" s="19"/>
      <c r="D756" s="19"/>
      <c r="E756" s="19"/>
      <c r="F756" s="19"/>
      <c r="G756" s="19"/>
      <c r="H756" s="83"/>
      <c r="I756" s="84"/>
      <c r="J756" s="84"/>
      <c r="K756" s="85"/>
      <c r="L756" s="86"/>
      <c r="M756" s="86"/>
      <c r="N756" s="87"/>
      <c r="O756" s="88"/>
      <c r="P756" s="87"/>
      <c r="Q756" s="89"/>
      <c r="R756" s="27"/>
      <c r="S756" s="27"/>
      <c r="T756" s="28"/>
      <c r="U756" s="28"/>
      <c r="V756" s="28"/>
      <c r="W756" s="28"/>
      <c r="X756" s="28"/>
      <c r="Y756" s="27"/>
      <c r="AA756" s="28"/>
      <c r="AB756" s="28"/>
      <c r="AC756" s="27"/>
      <c r="AE756" s="30"/>
      <c r="AF756" s="30"/>
      <c r="AG756" s="30"/>
      <c r="AI756" s="27"/>
      <c r="AK756" s="27"/>
      <c r="AL756" s="27"/>
      <c r="AM756" s="27"/>
      <c r="AN756" s="27"/>
      <c r="AO756" s="27"/>
      <c r="AP756" s="27"/>
      <c r="AQ756" s="27"/>
      <c r="AR756" s="27"/>
      <c r="AS756" s="27"/>
      <c r="AT756" s="27"/>
      <c r="AU756" s="27"/>
      <c r="AV756" s="27"/>
      <c r="AW756" s="27"/>
      <c r="AX756" s="27"/>
      <c r="AY756" s="27"/>
      <c r="AZ756" s="27"/>
      <c r="BC756" s="41"/>
      <c r="BE756" s="27"/>
      <c r="BF756" s="27"/>
      <c r="BG756" s="27"/>
      <c r="BH756" s="27"/>
      <c r="BI756" s="27"/>
      <c r="BJ756" s="27"/>
      <c r="BK756" s="27"/>
      <c r="BL756" s="27"/>
      <c r="BM756" s="27"/>
      <c r="BN756" s="27"/>
      <c r="BO756" s="27"/>
      <c r="BP756" s="27"/>
      <c r="BQ756" s="27"/>
      <c r="BR756" s="27"/>
      <c r="BS756" s="27"/>
      <c r="BT756" s="27"/>
      <c r="BU756" s="27"/>
      <c r="BV756" s="27"/>
      <c r="BW756" s="27"/>
      <c r="BX756" s="27"/>
      <c r="BY756" s="27"/>
      <c r="BZ756" s="27"/>
      <c r="CA756" s="27"/>
      <c r="CB756" s="27"/>
      <c r="CC756" s="27"/>
      <c r="CD756" s="27"/>
    </row>
    <row r="757" spans="1:82" s="29" customFormat="1">
      <c r="A757" s="19"/>
      <c r="B757" s="19"/>
      <c r="C757" s="19"/>
      <c r="D757" s="19"/>
      <c r="E757" s="19"/>
      <c r="F757" s="19"/>
      <c r="G757" s="19"/>
      <c r="H757" s="83"/>
      <c r="I757" s="84"/>
      <c r="J757" s="84"/>
      <c r="K757" s="85"/>
      <c r="L757" s="86"/>
      <c r="M757" s="86"/>
      <c r="N757" s="87"/>
      <c r="O757" s="88"/>
      <c r="P757" s="87"/>
      <c r="Q757" s="89"/>
      <c r="R757" s="27"/>
      <c r="S757" s="27"/>
      <c r="T757" s="28"/>
      <c r="U757" s="28"/>
      <c r="V757" s="28"/>
      <c r="W757" s="28"/>
      <c r="X757" s="28"/>
      <c r="Y757" s="27"/>
      <c r="AA757" s="28"/>
      <c r="AB757" s="28"/>
      <c r="AC757" s="27"/>
      <c r="AE757" s="30"/>
      <c r="AF757" s="30"/>
      <c r="AG757" s="30"/>
      <c r="AI757" s="27"/>
      <c r="AK757" s="27"/>
      <c r="AL757" s="27"/>
      <c r="AM757" s="27"/>
      <c r="AN757" s="27"/>
      <c r="AO757" s="27"/>
      <c r="AP757" s="27"/>
      <c r="AQ757" s="27"/>
      <c r="AR757" s="27"/>
      <c r="AS757" s="27"/>
      <c r="AT757" s="27"/>
      <c r="AU757" s="27"/>
      <c r="AV757" s="27"/>
      <c r="AW757" s="27"/>
      <c r="AX757" s="27"/>
      <c r="AY757" s="27"/>
      <c r="AZ757" s="27"/>
      <c r="BC757" s="41"/>
      <c r="BE757" s="27"/>
      <c r="BF757" s="27"/>
      <c r="BG757" s="27"/>
      <c r="BH757" s="27"/>
      <c r="BI757" s="27"/>
      <c r="BJ757" s="27"/>
      <c r="BK757" s="27"/>
      <c r="BL757" s="27"/>
      <c r="BM757" s="27"/>
      <c r="BN757" s="27"/>
      <c r="BO757" s="27"/>
      <c r="BP757" s="27"/>
      <c r="BQ757" s="27"/>
      <c r="BR757" s="27"/>
      <c r="BS757" s="27"/>
      <c r="BT757" s="27"/>
      <c r="BU757" s="27"/>
      <c r="BV757" s="27"/>
      <c r="BW757" s="27"/>
      <c r="BX757" s="27"/>
      <c r="BY757" s="27"/>
      <c r="BZ757" s="27"/>
      <c r="CA757" s="27"/>
      <c r="CB757" s="27"/>
      <c r="CC757" s="27"/>
      <c r="CD757" s="27"/>
    </row>
    <row r="758" spans="1:82" s="29" customFormat="1">
      <c r="A758" s="19"/>
      <c r="B758" s="19"/>
      <c r="C758" s="19"/>
      <c r="D758" s="19"/>
      <c r="E758" s="19"/>
      <c r="F758" s="19"/>
      <c r="G758" s="19"/>
      <c r="H758" s="83"/>
      <c r="I758" s="84"/>
      <c r="J758" s="84"/>
      <c r="K758" s="85"/>
      <c r="L758" s="86"/>
      <c r="M758" s="86"/>
      <c r="N758" s="87"/>
      <c r="O758" s="88"/>
      <c r="P758" s="87"/>
      <c r="Q758" s="89"/>
      <c r="R758" s="27"/>
      <c r="S758" s="27"/>
      <c r="T758" s="28"/>
      <c r="U758" s="28"/>
      <c r="V758" s="28"/>
      <c r="W758" s="28"/>
      <c r="X758" s="28"/>
      <c r="Y758" s="27"/>
      <c r="AA758" s="28"/>
      <c r="AB758" s="28"/>
      <c r="AC758" s="27"/>
      <c r="AE758" s="30"/>
      <c r="AF758" s="30"/>
      <c r="AG758" s="30"/>
      <c r="AI758" s="27"/>
      <c r="AK758" s="27"/>
      <c r="AL758" s="27"/>
      <c r="AM758" s="27"/>
      <c r="AN758" s="27"/>
      <c r="AO758" s="27"/>
      <c r="AP758" s="27"/>
      <c r="AQ758" s="27"/>
      <c r="AR758" s="27"/>
      <c r="AS758" s="27"/>
      <c r="AT758" s="27"/>
      <c r="AU758" s="27"/>
      <c r="AV758" s="27"/>
      <c r="AW758" s="27"/>
      <c r="AX758" s="27"/>
      <c r="AY758" s="27"/>
      <c r="AZ758" s="27"/>
      <c r="BC758" s="41"/>
      <c r="BE758" s="27"/>
      <c r="BF758" s="27"/>
      <c r="BG758" s="27"/>
      <c r="BH758" s="27"/>
      <c r="BI758" s="27"/>
      <c r="BJ758" s="27"/>
      <c r="BK758" s="27"/>
      <c r="BL758" s="27"/>
      <c r="BM758" s="27"/>
      <c r="BN758" s="27"/>
      <c r="BO758" s="27"/>
      <c r="BP758" s="27"/>
      <c r="BQ758" s="27"/>
      <c r="BR758" s="27"/>
      <c r="BS758" s="27"/>
      <c r="BT758" s="27"/>
      <c r="BU758" s="27"/>
      <c r="BV758" s="27"/>
      <c r="BW758" s="27"/>
      <c r="BX758" s="27"/>
      <c r="BY758" s="27"/>
      <c r="BZ758" s="27"/>
      <c r="CA758" s="27"/>
      <c r="CB758" s="27"/>
      <c r="CC758" s="27"/>
      <c r="CD758" s="27"/>
    </row>
    <row r="759" spans="1:82" s="29" customFormat="1">
      <c r="A759" s="19"/>
      <c r="B759" s="19"/>
      <c r="C759" s="19"/>
      <c r="D759" s="19"/>
      <c r="E759" s="19"/>
      <c r="F759" s="19"/>
      <c r="G759" s="19"/>
      <c r="H759" s="83"/>
      <c r="I759" s="84"/>
      <c r="J759" s="84"/>
      <c r="K759" s="85"/>
      <c r="L759" s="86"/>
      <c r="M759" s="86"/>
      <c r="N759" s="87"/>
      <c r="O759" s="88"/>
      <c r="P759" s="87"/>
      <c r="Q759" s="89"/>
      <c r="R759" s="27"/>
      <c r="S759" s="27"/>
      <c r="T759" s="28"/>
      <c r="U759" s="28"/>
      <c r="V759" s="28"/>
      <c r="W759" s="28"/>
      <c r="X759" s="28"/>
      <c r="Y759" s="27"/>
      <c r="AA759" s="28"/>
      <c r="AB759" s="28"/>
      <c r="AC759" s="27"/>
      <c r="AE759" s="30"/>
      <c r="AF759" s="30"/>
      <c r="AG759" s="30"/>
      <c r="AI759" s="27"/>
      <c r="AK759" s="27"/>
      <c r="AL759" s="27"/>
      <c r="AM759" s="27"/>
      <c r="AN759" s="27"/>
      <c r="AO759" s="27"/>
      <c r="AP759" s="27"/>
      <c r="AQ759" s="27"/>
      <c r="AR759" s="27"/>
      <c r="AS759" s="27"/>
      <c r="AT759" s="27"/>
      <c r="AU759" s="27"/>
      <c r="AV759" s="27"/>
      <c r="AW759" s="27"/>
      <c r="AX759" s="27"/>
      <c r="AY759" s="27"/>
      <c r="AZ759" s="27"/>
      <c r="BC759" s="41"/>
      <c r="BE759" s="27"/>
      <c r="BF759" s="27"/>
      <c r="BG759" s="27"/>
      <c r="BH759" s="27"/>
      <c r="BI759" s="27"/>
      <c r="BJ759" s="27"/>
      <c r="BK759" s="27"/>
      <c r="BL759" s="27"/>
      <c r="BM759" s="27"/>
      <c r="BN759" s="27"/>
      <c r="BO759" s="27"/>
      <c r="BP759" s="27"/>
      <c r="BQ759" s="27"/>
      <c r="BR759" s="27"/>
      <c r="BS759" s="27"/>
      <c r="BT759" s="27"/>
      <c r="BU759" s="27"/>
      <c r="BV759" s="27"/>
      <c r="BW759" s="27"/>
      <c r="BX759" s="27"/>
      <c r="BY759" s="27"/>
      <c r="BZ759" s="27"/>
      <c r="CA759" s="27"/>
      <c r="CB759" s="27"/>
      <c r="CC759" s="27"/>
      <c r="CD759" s="27"/>
    </row>
    <row r="760" spans="1:82">
      <c r="BC760" s="41"/>
    </row>
    <row r="761" spans="1:82">
      <c r="BC761" s="41"/>
    </row>
    <row r="762" spans="1:82">
      <c r="BC762" s="41"/>
    </row>
    <row r="763" spans="1:82">
      <c r="BC763" s="41"/>
    </row>
    <row r="764" spans="1:82">
      <c r="BC764" s="41"/>
    </row>
    <row r="765" spans="1:82">
      <c r="BC765" s="41"/>
    </row>
    <row r="766" spans="1:82">
      <c r="BC766" s="41"/>
    </row>
    <row r="767" spans="1:82">
      <c r="BC767" s="41"/>
    </row>
    <row r="768" spans="1:82">
      <c r="BC768" s="41"/>
    </row>
    <row r="769" spans="53:56">
      <c r="BC769" s="41"/>
    </row>
    <row r="770" spans="53:56">
      <c r="BC770" s="41"/>
    </row>
    <row r="771" spans="53:56">
      <c r="BC771" s="41"/>
    </row>
    <row r="772" spans="53:56">
      <c r="BC772" s="41"/>
    </row>
    <row r="773" spans="53:56">
      <c r="BC773" s="41"/>
    </row>
    <row r="774" spans="53:56">
      <c r="BC774" s="41"/>
    </row>
    <row r="775" spans="53:56">
      <c r="BA775" s="41"/>
      <c r="BB775" s="41"/>
      <c r="BC775" s="41"/>
      <c r="BD775" s="41"/>
    </row>
  </sheetData>
  <sheetProtection algorithmName="SHA-512" hashValue="pOltAeHljNUpMVHSI+qVMgWQnJU7GSe4DVPE20pR3EA4F93gyPjMdqbdC6GaYBw/6xWb9pgy414jSI/blMJnJQ==" saltValue="USimc2MjNNBRAjzTxeoAMA==" spinCount="100000" sheet="1" objects="1" scenarios="1"/>
  <mergeCells count="3">
    <mergeCell ref="W2:Y2"/>
    <mergeCell ref="AA2:AC2"/>
    <mergeCell ref="AE2:AG2"/>
  </mergeCells>
  <conditionalFormatting sqref="H4:Q1300">
    <cfRule type="expression" dxfId="3" priority="1">
      <formula>IF($AG4="",TRUE,FALSE)</formula>
    </cfRule>
    <cfRule type="expression" dxfId="2" priority="2">
      <formula>IF($AG4=1,TRUE,FALSE)</formula>
    </cfRule>
    <cfRule type="expression" dxfId="1" priority="3">
      <formula>IF($AG4=0,TRUE,FALSE)</formula>
    </cfRule>
  </conditionalFormatting>
  <conditionalFormatting sqref="AB5">
    <cfRule type="expression" dxfId="0" priority="4">
      <formula>IF($AB$5="ERROR",TRUE,FALSE)</formula>
    </cfRule>
  </conditionalFormatting>
  <pageMargins left="0.51181102362204722" right="0.51181102362204722" top="1.1417322834645669" bottom="0.74803149606299213" header="0.51181102362204722" footer="0.51181102362204722"/>
  <pageSetup paperSize="9" scale="68" fitToHeight="0" orientation="portrait" horizontalDpi="4294967293" verticalDpi="4294967293" r:id="rId1"/>
  <headerFooter>
    <oddHeader>&amp;L&amp;G&amp;R&amp;"Akzidenz-Grotesk Pro Light,Standard"&amp;20PREMIUM PREISLISTE 2024
&amp;"Akzidenz-Grotesk Pro Light,Standard"&amp;8Due to exceptional global economic and political circumstances, our prices are subject to change with immediate effect.</oddHeader>
    <oddFooter>&amp;C&amp;"Arial,Standard"&amp;8Alle Produkte können auch als VE1 bestellt werden mit einem Aufschlag von 3,80 €.
&amp;"Arial,Standard"&amp;8Diese Preisliste ist gültig vom 1. April 2024 bis zum 30. Juni 2024.  |  **EOL</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6145" r:id="rId5" name="Button 1">
              <controlPr defaultSize="0" print="0" autoFill="0" autoPict="0" macro="[0]!Tabelle3.A_SplitToSheetandPrintPDF">
                <anchor moveWithCells="1" sizeWithCells="1">
                  <from>
                    <xdr:col>18</xdr:col>
                    <xdr:colOff>3893820</xdr:colOff>
                    <xdr:row>0</xdr:row>
                    <xdr:rowOff>0</xdr:rowOff>
                  </from>
                  <to>
                    <xdr:col>18</xdr:col>
                    <xdr:colOff>6576060</xdr:colOff>
                    <xdr:row>2</xdr:row>
                    <xdr:rowOff>7620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E2C09-3BD7-44F4-AD1D-0FF55550EE4F}">
  <sheetPr codeName="Tabelle4"/>
  <dimension ref="A1"/>
  <sheetViews>
    <sheetView workbookViewId="0"/>
  </sheetViews>
  <sheetFormatPr baseColWidth="10" defaultColWidth="11.5546875" defaultRowHeight="14.4"/>
  <sheetData/>
  <pageMargins left="0.7" right="0.7" top="0.78740157499999996" bottom="0.78740157499999996"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7bb89b9-6f30-4d66-964b-f2fce4660dfe">
      <Terms xmlns="http://schemas.microsoft.com/office/infopath/2007/PartnerControls"/>
    </lcf76f155ced4ddcb4097134ff3c332f>
    <TaxCatchAll xmlns="da270195-1d27-4d5f-9f6e-36c29aafbd9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CAA4C14FA25BC42A9B41EA455F27A2A" ma:contentTypeVersion="15" ma:contentTypeDescription="Create a new document." ma:contentTypeScope="" ma:versionID="53847dd34ed277450930ecc211a65c96">
  <xsd:schema xmlns:xsd="http://www.w3.org/2001/XMLSchema" xmlns:xs="http://www.w3.org/2001/XMLSchema" xmlns:p="http://schemas.microsoft.com/office/2006/metadata/properties" xmlns:ns2="97bb89b9-6f30-4d66-964b-f2fce4660dfe" xmlns:ns3="da270195-1d27-4d5f-9f6e-36c29aafbd90" targetNamespace="http://schemas.microsoft.com/office/2006/metadata/properties" ma:root="true" ma:fieldsID="3c513b27fc6ba3d6f9ad62a32a61fa2f" ns2:_="" ns3:_="">
    <xsd:import namespace="97bb89b9-6f30-4d66-964b-f2fce4660dfe"/>
    <xsd:import namespace="da270195-1d27-4d5f-9f6e-36c29aafbd9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bb89b9-6f30-4d66-964b-f2fce4660d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2c56305-3300-4a16-9201-5533435f095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270195-1d27-4d5f-9f6e-36c29aafbd9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3598912-eca8-4156-9557-e9a7c5fb82e9}" ma:internalName="TaxCatchAll" ma:showField="CatchAllData" ma:web="da270195-1d27-4d5f-9f6e-36c29aafbd9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1166A3-4E54-46DE-91E7-2A4BB9DD0658}">
  <ds:schemaRefs>
    <ds:schemaRef ds:uri="http://schemas.microsoft.com/office/2006/metadata/properties"/>
    <ds:schemaRef ds:uri="http://schemas.microsoft.com/office/infopath/2007/PartnerControls"/>
    <ds:schemaRef ds:uri="97bb89b9-6f30-4d66-964b-f2fce4660dfe"/>
    <ds:schemaRef ds:uri="da270195-1d27-4d5f-9f6e-36c29aafbd90"/>
  </ds:schemaRefs>
</ds:datastoreItem>
</file>

<file path=customXml/itemProps2.xml><?xml version="1.0" encoding="utf-8"?>
<ds:datastoreItem xmlns:ds="http://schemas.openxmlformats.org/officeDocument/2006/customXml" ds:itemID="{959D0F79-3F88-45D9-9BC3-7B2FE790BC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bb89b9-6f30-4d66-964b-f2fce4660dfe"/>
    <ds:schemaRef ds:uri="da270195-1d27-4d5f-9f6e-36c29aafbd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F454D7-3102-4C2F-9A87-8CC4FE12172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7</vt:i4>
      </vt:variant>
    </vt:vector>
  </HeadingPairs>
  <TitlesOfParts>
    <vt:vector size="16" baseType="lpstr">
      <vt:lpstr>10a</vt:lpstr>
      <vt:lpstr>11a</vt:lpstr>
      <vt:lpstr>14a</vt:lpstr>
      <vt:lpstr>15a</vt:lpstr>
      <vt:lpstr>17a</vt:lpstr>
      <vt:lpstr>DESC</vt:lpstr>
      <vt:lpstr>Logo</vt:lpstr>
      <vt:lpstr>Pricelist</vt:lpstr>
      <vt:lpstr>Terms&amp;Cond.</vt:lpstr>
      <vt:lpstr>'10a'!Druckbereich</vt:lpstr>
      <vt:lpstr>'11a'!Druckbereich</vt:lpstr>
      <vt:lpstr>'14a'!Druckbereich</vt:lpstr>
      <vt:lpstr>'15a'!Druckbereich</vt:lpstr>
      <vt:lpstr>'17a'!Druckbereich</vt:lpstr>
      <vt:lpstr>Pricelist!Druckbereich</vt:lpstr>
      <vt:lpstr>Pricelist!Drucktitel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Dominik Ziebis</dc:creator>
  <cp:keywords/>
  <dc:description/>
  <cp:lastModifiedBy>Monika Witt</cp:lastModifiedBy>
  <cp:revision/>
  <dcterms:created xsi:type="dcterms:W3CDTF">2024-04-04T12:44:17Z</dcterms:created>
  <dcterms:modified xsi:type="dcterms:W3CDTF">2024-04-05T15:47:09Z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0x010100FCAA4C14FA25BC42A9B41EA455F27A2A</vt:lpwstr>
  </property>
</Properties>
</file>