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05"/>
  <workbookPr/>
  <mc:AlternateContent xmlns:mc="http://schemas.openxmlformats.org/markup-compatibility/2006">
    <mc:Choice Requires="x15">
      <x15ac:absPath xmlns:x15ac="http://schemas.microsoft.com/office/spreadsheetml/2010/11/ac" url="D:\kerstin\Desktop\"/>
    </mc:Choice>
  </mc:AlternateContent>
  <xr:revisionPtr revIDLastSave="0" documentId="8_{7C24E5E0-E392-43B0-986F-88C74745C9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luster A - DE" sheetId="2" r:id="rId1"/>
  </sheets>
  <externalReferences>
    <externalReference r:id="rId2"/>
  </externalReferences>
  <definedNames>
    <definedName name="_xlnm._FilterDatabase" localSheetId="0" hidden="1">'Cluster A - DE'!$A$1:$I$935</definedName>
    <definedName name="_xlnm.Print_Area" localSheetId="0">'Cluster A - DE'!$A$1:$I$935</definedName>
    <definedName name="_xlnm.Print_Titles" localSheetId="0">'Cluster A - DE'!$1:$1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35" i="2" l="1"/>
  <c r="H935" i="2"/>
  <c r="F935" i="2"/>
  <c r="C935" i="2"/>
  <c r="I934" i="2"/>
  <c r="H934" i="2"/>
  <c r="F934" i="2"/>
  <c r="C934" i="2"/>
  <c r="I933" i="2"/>
  <c r="H933" i="2"/>
  <c r="F933" i="2"/>
  <c r="C933" i="2"/>
  <c r="I932" i="2"/>
  <c r="H932" i="2"/>
  <c r="F932" i="2"/>
  <c r="C932" i="2"/>
  <c r="I931" i="2"/>
  <c r="H931" i="2"/>
  <c r="F931" i="2"/>
  <c r="C931" i="2"/>
  <c r="I930" i="2"/>
  <c r="H930" i="2"/>
  <c r="F930" i="2"/>
  <c r="C930" i="2"/>
  <c r="I929" i="2"/>
  <c r="H929" i="2"/>
  <c r="F929" i="2"/>
  <c r="C929" i="2"/>
  <c r="I928" i="2"/>
  <c r="H928" i="2"/>
  <c r="F928" i="2"/>
  <c r="C928" i="2"/>
  <c r="I927" i="2"/>
  <c r="H927" i="2"/>
  <c r="F927" i="2"/>
  <c r="C927" i="2"/>
  <c r="I926" i="2"/>
  <c r="H926" i="2"/>
  <c r="F926" i="2"/>
  <c r="C926" i="2"/>
  <c r="I925" i="2"/>
  <c r="H925" i="2"/>
  <c r="F925" i="2"/>
  <c r="C925" i="2"/>
  <c r="I924" i="2"/>
  <c r="H924" i="2"/>
  <c r="F924" i="2"/>
  <c r="C924" i="2"/>
  <c r="I923" i="2"/>
  <c r="H923" i="2"/>
  <c r="F923" i="2"/>
  <c r="C923" i="2"/>
  <c r="I922" i="2"/>
  <c r="H922" i="2"/>
  <c r="F922" i="2"/>
  <c r="C922" i="2"/>
  <c r="I921" i="2"/>
  <c r="H921" i="2"/>
  <c r="F921" i="2"/>
  <c r="C921" i="2"/>
  <c r="I920" i="2"/>
  <c r="H920" i="2"/>
  <c r="F920" i="2"/>
  <c r="C920" i="2"/>
  <c r="I919" i="2"/>
  <c r="H919" i="2"/>
  <c r="F919" i="2"/>
  <c r="C919" i="2"/>
  <c r="I918" i="2"/>
  <c r="H918" i="2"/>
  <c r="F918" i="2"/>
  <c r="C918" i="2"/>
  <c r="I917" i="2"/>
  <c r="H917" i="2"/>
  <c r="F917" i="2"/>
  <c r="C917" i="2"/>
  <c r="I916" i="2"/>
  <c r="H916" i="2"/>
  <c r="F916" i="2"/>
  <c r="C916" i="2"/>
  <c r="I915" i="2"/>
  <c r="H915" i="2"/>
  <c r="F915" i="2"/>
  <c r="C915" i="2"/>
  <c r="I914" i="2"/>
  <c r="H914" i="2"/>
  <c r="F914" i="2"/>
  <c r="C914" i="2"/>
  <c r="I913" i="2"/>
  <c r="H913" i="2"/>
  <c r="F913" i="2"/>
  <c r="C913" i="2"/>
  <c r="I912" i="2"/>
  <c r="H912" i="2"/>
  <c r="F912" i="2"/>
  <c r="C912" i="2"/>
  <c r="I911" i="2"/>
  <c r="H911" i="2"/>
  <c r="F911" i="2"/>
  <c r="C911" i="2"/>
  <c r="I910" i="2"/>
  <c r="H910" i="2"/>
  <c r="F910" i="2"/>
  <c r="C910" i="2"/>
  <c r="I909" i="2"/>
  <c r="H909" i="2"/>
  <c r="F909" i="2"/>
  <c r="C909" i="2"/>
  <c r="I908" i="2"/>
  <c r="H908" i="2"/>
  <c r="F908" i="2"/>
  <c r="C908" i="2"/>
  <c r="I907" i="2"/>
  <c r="H907" i="2"/>
  <c r="F907" i="2"/>
  <c r="C907" i="2"/>
  <c r="I906" i="2"/>
  <c r="H906" i="2"/>
  <c r="F906" i="2"/>
  <c r="C906" i="2"/>
  <c r="I905" i="2"/>
  <c r="H905" i="2"/>
  <c r="F905" i="2"/>
  <c r="C905" i="2"/>
  <c r="I904" i="2"/>
  <c r="H904" i="2"/>
  <c r="F904" i="2"/>
  <c r="C904" i="2"/>
  <c r="I903" i="2"/>
  <c r="H903" i="2"/>
  <c r="F903" i="2"/>
  <c r="C903" i="2"/>
  <c r="I902" i="2"/>
  <c r="H902" i="2"/>
  <c r="F902" i="2"/>
  <c r="C902" i="2"/>
  <c r="I901" i="2"/>
  <c r="H901" i="2"/>
  <c r="F901" i="2"/>
  <c r="C901" i="2"/>
  <c r="I900" i="2"/>
  <c r="H900" i="2"/>
  <c r="F900" i="2"/>
  <c r="C900" i="2"/>
  <c r="I899" i="2"/>
  <c r="H899" i="2"/>
  <c r="F899" i="2"/>
  <c r="C899" i="2"/>
  <c r="I898" i="2"/>
  <c r="H898" i="2"/>
  <c r="F898" i="2"/>
  <c r="C898" i="2"/>
  <c r="I897" i="2"/>
  <c r="H897" i="2"/>
  <c r="F897" i="2"/>
  <c r="C897" i="2"/>
  <c r="I896" i="2"/>
  <c r="H896" i="2"/>
  <c r="F896" i="2"/>
  <c r="C896" i="2"/>
  <c r="I895" i="2"/>
  <c r="H895" i="2"/>
  <c r="F895" i="2"/>
  <c r="C895" i="2"/>
  <c r="I894" i="2"/>
  <c r="H894" i="2"/>
  <c r="F894" i="2"/>
  <c r="C894" i="2"/>
  <c r="I893" i="2"/>
  <c r="H893" i="2"/>
  <c r="F893" i="2"/>
  <c r="C893" i="2"/>
  <c r="I892" i="2"/>
  <c r="H892" i="2"/>
  <c r="F892" i="2"/>
  <c r="C892" i="2"/>
  <c r="I891" i="2"/>
  <c r="H891" i="2"/>
  <c r="F891" i="2"/>
  <c r="C891" i="2"/>
  <c r="I890" i="2"/>
  <c r="H890" i="2"/>
  <c r="F890" i="2"/>
  <c r="C890" i="2"/>
  <c r="I889" i="2"/>
  <c r="H889" i="2"/>
  <c r="F889" i="2"/>
  <c r="C889" i="2"/>
  <c r="I888" i="2"/>
  <c r="H888" i="2"/>
  <c r="F888" i="2"/>
  <c r="C888" i="2"/>
  <c r="I887" i="2"/>
  <c r="H887" i="2"/>
  <c r="F887" i="2"/>
  <c r="C887" i="2"/>
  <c r="I886" i="2"/>
  <c r="H886" i="2"/>
  <c r="F886" i="2"/>
  <c r="C886" i="2"/>
  <c r="I885" i="2"/>
  <c r="H885" i="2"/>
  <c r="F885" i="2"/>
  <c r="C885" i="2"/>
  <c r="I884" i="2"/>
  <c r="H884" i="2"/>
  <c r="F884" i="2"/>
  <c r="C884" i="2"/>
  <c r="I883" i="2"/>
  <c r="H883" i="2"/>
  <c r="F883" i="2"/>
  <c r="C883" i="2"/>
  <c r="I882" i="2"/>
  <c r="H882" i="2"/>
  <c r="F882" i="2"/>
  <c r="C882" i="2"/>
  <c r="I881" i="2"/>
  <c r="H881" i="2"/>
  <c r="F881" i="2"/>
  <c r="C881" i="2"/>
  <c r="I880" i="2"/>
  <c r="H880" i="2"/>
  <c r="F880" i="2"/>
  <c r="C880" i="2"/>
  <c r="I879" i="2"/>
  <c r="H879" i="2"/>
  <c r="F879" i="2"/>
  <c r="C879" i="2"/>
  <c r="I878" i="2"/>
  <c r="H878" i="2"/>
  <c r="F878" i="2"/>
  <c r="C878" i="2"/>
  <c r="I877" i="2"/>
  <c r="H877" i="2"/>
  <c r="F877" i="2"/>
  <c r="C877" i="2"/>
  <c r="I876" i="2"/>
  <c r="H876" i="2"/>
  <c r="F876" i="2"/>
  <c r="C876" i="2"/>
  <c r="I875" i="2"/>
  <c r="H875" i="2"/>
  <c r="F875" i="2"/>
  <c r="C875" i="2"/>
  <c r="I874" i="2"/>
  <c r="H874" i="2"/>
  <c r="F874" i="2"/>
  <c r="C874" i="2"/>
  <c r="I873" i="2"/>
  <c r="H873" i="2"/>
  <c r="F873" i="2"/>
  <c r="C873" i="2"/>
  <c r="I872" i="2"/>
  <c r="H872" i="2"/>
  <c r="F872" i="2"/>
  <c r="C872" i="2"/>
  <c r="I871" i="2"/>
  <c r="H871" i="2"/>
  <c r="F871" i="2"/>
  <c r="C871" i="2"/>
  <c r="I870" i="2"/>
  <c r="H870" i="2"/>
  <c r="F870" i="2"/>
  <c r="C870" i="2"/>
  <c r="I869" i="2"/>
  <c r="H869" i="2"/>
  <c r="F869" i="2"/>
  <c r="C869" i="2"/>
  <c r="I868" i="2"/>
  <c r="H868" i="2"/>
  <c r="F868" i="2"/>
  <c r="C868" i="2"/>
  <c r="I867" i="2"/>
  <c r="H867" i="2"/>
  <c r="F867" i="2"/>
  <c r="C867" i="2"/>
  <c r="I866" i="2"/>
  <c r="H866" i="2"/>
  <c r="F866" i="2"/>
  <c r="C866" i="2"/>
  <c r="I865" i="2"/>
  <c r="H865" i="2"/>
  <c r="F865" i="2"/>
  <c r="C865" i="2"/>
  <c r="I864" i="2"/>
  <c r="H864" i="2"/>
  <c r="F864" i="2"/>
  <c r="C864" i="2"/>
  <c r="I863" i="2"/>
  <c r="H863" i="2"/>
  <c r="F863" i="2"/>
  <c r="C863" i="2"/>
  <c r="I862" i="2"/>
  <c r="H862" i="2"/>
  <c r="F862" i="2"/>
  <c r="C862" i="2"/>
  <c r="I861" i="2"/>
  <c r="H861" i="2"/>
  <c r="F861" i="2"/>
  <c r="C861" i="2"/>
  <c r="I860" i="2"/>
  <c r="H860" i="2"/>
  <c r="F860" i="2"/>
  <c r="C860" i="2"/>
  <c r="I859" i="2"/>
  <c r="H859" i="2"/>
  <c r="F859" i="2"/>
  <c r="C859" i="2"/>
  <c r="I858" i="2"/>
  <c r="H858" i="2"/>
  <c r="F858" i="2"/>
  <c r="C858" i="2"/>
  <c r="I857" i="2"/>
  <c r="H857" i="2"/>
  <c r="F857" i="2"/>
  <c r="C857" i="2"/>
  <c r="I856" i="2"/>
  <c r="H856" i="2"/>
  <c r="F856" i="2"/>
  <c r="C856" i="2"/>
  <c r="I855" i="2"/>
  <c r="H855" i="2"/>
  <c r="F855" i="2"/>
  <c r="C855" i="2"/>
  <c r="I854" i="2"/>
  <c r="H854" i="2"/>
  <c r="F854" i="2"/>
  <c r="C854" i="2"/>
  <c r="I853" i="2"/>
  <c r="H853" i="2"/>
  <c r="F853" i="2"/>
  <c r="C853" i="2"/>
  <c r="I852" i="2"/>
  <c r="H852" i="2"/>
  <c r="F852" i="2"/>
  <c r="C852" i="2"/>
  <c r="I851" i="2"/>
  <c r="H851" i="2"/>
  <c r="F851" i="2"/>
  <c r="C851" i="2"/>
  <c r="I850" i="2"/>
  <c r="H850" i="2"/>
  <c r="F850" i="2"/>
  <c r="C850" i="2"/>
  <c r="I849" i="2"/>
  <c r="H849" i="2"/>
  <c r="F849" i="2"/>
  <c r="C849" i="2"/>
  <c r="I848" i="2"/>
  <c r="H848" i="2"/>
  <c r="F848" i="2"/>
  <c r="C848" i="2"/>
  <c r="I847" i="2"/>
  <c r="H847" i="2"/>
  <c r="F847" i="2"/>
  <c r="C847" i="2"/>
  <c r="I846" i="2"/>
  <c r="H846" i="2"/>
  <c r="F846" i="2"/>
  <c r="C846" i="2"/>
  <c r="I845" i="2"/>
  <c r="H845" i="2"/>
  <c r="F845" i="2"/>
  <c r="C845" i="2"/>
  <c r="I844" i="2"/>
  <c r="H844" i="2"/>
  <c r="F844" i="2"/>
  <c r="C844" i="2"/>
  <c r="I843" i="2"/>
  <c r="H843" i="2"/>
  <c r="F843" i="2"/>
  <c r="C843" i="2"/>
  <c r="I842" i="2"/>
  <c r="H842" i="2"/>
  <c r="F842" i="2"/>
  <c r="C842" i="2"/>
  <c r="I841" i="2"/>
  <c r="H841" i="2"/>
  <c r="F841" i="2"/>
  <c r="C841" i="2"/>
  <c r="I840" i="2"/>
  <c r="H840" i="2"/>
  <c r="F840" i="2"/>
  <c r="C840" i="2"/>
  <c r="I839" i="2"/>
  <c r="H839" i="2"/>
  <c r="F839" i="2"/>
  <c r="C839" i="2"/>
  <c r="I838" i="2"/>
  <c r="H838" i="2"/>
  <c r="F838" i="2"/>
  <c r="C838" i="2"/>
  <c r="I837" i="2"/>
  <c r="H837" i="2"/>
  <c r="F837" i="2"/>
  <c r="C837" i="2"/>
  <c r="I836" i="2"/>
  <c r="H836" i="2"/>
  <c r="F836" i="2"/>
  <c r="C836" i="2"/>
  <c r="I835" i="2"/>
  <c r="H835" i="2"/>
  <c r="F835" i="2"/>
  <c r="C835" i="2"/>
  <c r="I834" i="2"/>
  <c r="H834" i="2"/>
  <c r="F834" i="2"/>
  <c r="C834" i="2"/>
  <c r="I833" i="2"/>
  <c r="H833" i="2"/>
  <c r="F833" i="2"/>
  <c r="C833" i="2"/>
  <c r="I832" i="2"/>
  <c r="H832" i="2"/>
  <c r="F832" i="2"/>
  <c r="C832" i="2"/>
  <c r="I831" i="2"/>
  <c r="H831" i="2"/>
  <c r="F831" i="2"/>
  <c r="C831" i="2"/>
  <c r="I830" i="2"/>
  <c r="H830" i="2"/>
  <c r="F830" i="2"/>
  <c r="C830" i="2"/>
  <c r="I829" i="2"/>
  <c r="H829" i="2"/>
  <c r="F829" i="2"/>
  <c r="C829" i="2"/>
  <c r="I828" i="2"/>
  <c r="H828" i="2"/>
  <c r="F828" i="2"/>
  <c r="C828" i="2"/>
  <c r="I827" i="2"/>
  <c r="H827" i="2"/>
  <c r="F827" i="2"/>
  <c r="C827" i="2"/>
  <c r="I826" i="2"/>
  <c r="H826" i="2"/>
  <c r="F826" i="2"/>
  <c r="C826" i="2"/>
  <c r="I825" i="2"/>
  <c r="H825" i="2"/>
  <c r="F825" i="2"/>
  <c r="C825" i="2"/>
  <c r="I824" i="2"/>
  <c r="H824" i="2"/>
  <c r="F824" i="2"/>
  <c r="C824" i="2"/>
  <c r="I823" i="2"/>
  <c r="H823" i="2"/>
  <c r="F823" i="2"/>
  <c r="C823" i="2"/>
  <c r="I822" i="2"/>
  <c r="H822" i="2"/>
  <c r="F822" i="2"/>
  <c r="C822" i="2"/>
  <c r="I821" i="2"/>
  <c r="H821" i="2"/>
  <c r="F821" i="2"/>
  <c r="C821" i="2"/>
  <c r="I820" i="2"/>
  <c r="H820" i="2"/>
  <c r="F820" i="2"/>
  <c r="C820" i="2"/>
  <c r="I819" i="2"/>
  <c r="H819" i="2"/>
  <c r="F819" i="2"/>
  <c r="C819" i="2"/>
  <c r="I818" i="2"/>
  <c r="H818" i="2"/>
  <c r="F818" i="2"/>
  <c r="C818" i="2"/>
  <c r="I817" i="2"/>
  <c r="H817" i="2"/>
  <c r="F817" i="2"/>
  <c r="C817" i="2"/>
  <c r="I816" i="2"/>
  <c r="H816" i="2"/>
  <c r="F816" i="2"/>
  <c r="C816" i="2"/>
  <c r="I815" i="2"/>
  <c r="H815" i="2"/>
  <c r="F815" i="2"/>
  <c r="C815" i="2"/>
  <c r="I814" i="2"/>
  <c r="H814" i="2"/>
  <c r="F814" i="2"/>
  <c r="C814" i="2"/>
  <c r="I813" i="2"/>
  <c r="H813" i="2"/>
  <c r="F813" i="2"/>
  <c r="C813" i="2"/>
  <c r="I812" i="2"/>
  <c r="H812" i="2"/>
  <c r="F812" i="2"/>
  <c r="C812" i="2"/>
  <c r="I811" i="2"/>
  <c r="H811" i="2"/>
  <c r="F811" i="2"/>
  <c r="C811" i="2"/>
  <c r="I810" i="2"/>
  <c r="H810" i="2"/>
  <c r="F810" i="2"/>
  <c r="C810" i="2"/>
  <c r="I809" i="2"/>
  <c r="H809" i="2"/>
  <c r="F809" i="2"/>
  <c r="C809" i="2"/>
  <c r="I808" i="2"/>
  <c r="H808" i="2"/>
  <c r="F808" i="2"/>
  <c r="C808" i="2"/>
  <c r="I807" i="2"/>
  <c r="H807" i="2"/>
  <c r="F807" i="2"/>
  <c r="C807" i="2"/>
  <c r="I806" i="2"/>
  <c r="H806" i="2"/>
  <c r="F806" i="2"/>
  <c r="C806" i="2"/>
  <c r="I805" i="2"/>
  <c r="H805" i="2"/>
  <c r="F805" i="2"/>
  <c r="C805" i="2"/>
  <c r="I804" i="2"/>
  <c r="H804" i="2"/>
  <c r="F804" i="2"/>
  <c r="C804" i="2"/>
  <c r="I803" i="2"/>
  <c r="H803" i="2"/>
  <c r="F803" i="2"/>
  <c r="C803" i="2"/>
  <c r="I802" i="2"/>
  <c r="H802" i="2"/>
  <c r="F802" i="2"/>
  <c r="C802" i="2"/>
  <c r="I801" i="2"/>
  <c r="H801" i="2"/>
  <c r="F801" i="2"/>
  <c r="C801" i="2"/>
  <c r="I800" i="2"/>
  <c r="H800" i="2"/>
  <c r="F800" i="2"/>
  <c r="C800" i="2"/>
  <c r="I799" i="2"/>
  <c r="H799" i="2"/>
  <c r="F799" i="2"/>
  <c r="C799" i="2"/>
  <c r="I798" i="2"/>
  <c r="H798" i="2"/>
  <c r="F798" i="2"/>
  <c r="C798" i="2"/>
  <c r="I797" i="2"/>
  <c r="H797" i="2"/>
  <c r="F797" i="2"/>
  <c r="C797" i="2"/>
  <c r="I796" i="2"/>
  <c r="H796" i="2"/>
  <c r="F796" i="2"/>
  <c r="C796" i="2"/>
  <c r="I795" i="2"/>
  <c r="H795" i="2"/>
  <c r="F795" i="2"/>
  <c r="C795" i="2"/>
  <c r="I794" i="2"/>
  <c r="H794" i="2"/>
  <c r="F794" i="2"/>
  <c r="C794" i="2"/>
  <c r="I793" i="2"/>
  <c r="H793" i="2"/>
  <c r="F793" i="2"/>
  <c r="C793" i="2"/>
  <c r="I792" i="2"/>
  <c r="H792" i="2"/>
  <c r="F792" i="2"/>
  <c r="C792" i="2"/>
  <c r="I791" i="2"/>
  <c r="H791" i="2"/>
  <c r="F791" i="2"/>
  <c r="C791" i="2"/>
  <c r="I790" i="2"/>
  <c r="H790" i="2"/>
  <c r="F790" i="2"/>
  <c r="C790" i="2"/>
  <c r="I789" i="2"/>
  <c r="H789" i="2"/>
  <c r="F789" i="2"/>
  <c r="C789" i="2"/>
  <c r="I788" i="2"/>
  <c r="H788" i="2"/>
  <c r="F788" i="2"/>
  <c r="C788" i="2"/>
  <c r="I787" i="2"/>
  <c r="H787" i="2"/>
  <c r="F787" i="2"/>
  <c r="C787" i="2"/>
  <c r="I786" i="2"/>
  <c r="H786" i="2"/>
  <c r="F786" i="2"/>
  <c r="C786" i="2"/>
  <c r="I785" i="2"/>
  <c r="H785" i="2"/>
  <c r="F785" i="2"/>
  <c r="C785" i="2"/>
  <c r="I784" i="2"/>
  <c r="H784" i="2"/>
  <c r="F784" i="2"/>
  <c r="C784" i="2"/>
  <c r="I783" i="2"/>
  <c r="H783" i="2"/>
  <c r="F783" i="2"/>
  <c r="C783" i="2"/>
  <c r="I782" i="2"/>
  <c r="H782" i="2"/>
  <c r="F782" i="2"/>
  <c r="C782" i="2"/>
  <c r="I781" i="2"/>
  <c r="H781" i="2"/>
  <c r="F781" i="2"/>
  <c r="C781" i="2"/>
  <c r="I780" i="2"/>
  <c r="H780" i="2"/>
  <c r="F780" i="2"/>
  <c r="C780" i="2"/>
  <c r="I779" i="2"/>
  <c r="H779" i="2"/>
  <c r="F779" i="2"/>
  <c r="C779" i="2"/>
  <c r="I778" i="2"/>
  <c r="H778" i="2"/>
  <c r="F778" i="2"/>
  <c r="C778" i="2"/>
  <c r="I777" i="2"/>
  <c r="H777" i="2"/>
  <c r="F777" i="2"/>
  <c r="C777" i="2"/>
  <c r="I776" i="2"/>
  <c r="H776" i="2"/>
  <c r="F776" i="2"/>
  <c r="C776" i="2"/>
  <c r="I775" i="2"/>
  <c r="H775" i="2"/>
  <c r="F775" i="2"/>
  <c r="C775" i="2"/>
  <c r="I774" i="2"/>
  <c r="H774" i="2"/>
  <c r="F774" i="2"/>
  <c r="C774" i="2"/>
  <c r="I773" i="2"/>
  <c r="H773" i="2"/>
  <c r="F773" i="2"/>
  <c r="C773" i="2"/>
  <c r="I772" i="2"/>
  <c r="H772" i="2"/>
  <c r="F772" i="2"/>
  <c r="C772" i="2"/>
  <c r="I771" i="2"/>
  <c r="H771" i="2"/>
  <c r="F771" i="2"/>
  <c r="C771" i="2"/>
  <c r="I770" i="2"/>
  <c r="H770" i="2"/>
  <c r="F770" i="2"/>
  <c r="C770" i="2"/>
  <c r="I769" i="2"/>
  <c r="H769" i="2"/>
  <c r="F769" i="2"/>
  <c r="C769" i="2"/>
  <c r="I768" i="2"/>
  <c r="H768" i="2"/>
  <c r="F768" i="2"/>
  <c r="C768" i="2"/>
  <c r="I767" i="2"/>
  <c r="H767" i="2"/>
  <c r="F767" i="2"/>
  <c r="C767" i="2"/>
  <c r="I766" i="2"/>
  <c r="H766" i="2"/>
  <c r="F766" i="2"/>
  <c r="C766" i="2"/>
  <c r="I765" i="2"/>
  <c r="H765" i="2"/>
  <c r="F765" i="2"/>
  <c r="C765" i="2"/>
  <c r="I764" i="2"/>
  <c r="H764" i="2"/>
  <c r="F764" i="2"/>
  <c r="C764" i="2"/>
  <c r="I763" i="2"/>
  <c r="H763" i="2"/>
  <c r="F763" i="2"/>
  <c r="C763" i="2"/>
  <c r="I762" i="2"/>
  <c r="H762" i="2"/>
  <c r="F762" i="2"/>
  <c r="C762" i="2"/>
  <c r="I761" i="2"/>
  <c r="H761" i="2"/>
  <c r="F761" i="2"/>
  <c r="C761" i="2"/>
  <c r="I760" i="2"/>
  <c r="H760" i="2"/>
  <c r="F760" i="2"/>
  <c r="C760" i="2"/>
  <c r="I759" i="2"/>
  <c r="H759" i="2"/>
  <c r="F759" i="2"/>
  <c r="C759" i="2"/>
  <c r="I758" i="2"/>
  <c r="H758" i="2"/>
  <c r="F758" i="2"/>
  <c r="C758" i="2"/>
  <c r="I757" i="2"/>
  <c r="H757" i="2"/>
  <c r="F757" i="2"/>
  <c r="C757" i="2"/>
  <c r="I756" i="2"/>
  <c r="H756" i="2"/>
  <c r="F756" i="2"/>
  <c r="C756" i="2"/>
  <c r="I755" i="2"/>
  <c r="H755" i="2"/>
  <c r="F755" i="2"/>
  <c r="C755" i="2"/>
  <c r="I754" i="2"/>
  <c r="H754" i="2"/>
  <c r="F754" i="2"/>
  <c r="C754" i="2"/>
  <c r="I753" i="2"/>
  <c r="H753" i="2"/>
  <c r="F753" i="2"/>
  <c r="C753" i="2"/>
  <c r="I752" i="2"/>
  <c r="H752" i="2"/>
  <c r="F752" i="2"/>
  <c r="C752" i="2"/>
  <c r="I751" i="2"/>
  <c r="H751" i="2"/>
  <c r="F751" i="2"/>
  <c r="C751" i="2"/>
  <c r="I750" i="2"/>
  <c r="H750" i="2"/>
  <c r="F750" i="2"/>
  <c r="C750" i="2"/>
  <c r="I749" i="2"/>
  <c r="H749" i="2"/>
  <c r="F749" i="2"/>
  <c r="C749" i="2"/>
  <c r="I748" i="2"/>
  <c r="H748" i="2"/>
  <c r="F748" i="2"/>
  <c r="C748" i="2"/>
  <c r="I747" i="2"/>
  <c r="H747" i="2"/>
  <c r="F747" i="2"/>
  <c r="C747" i="2"/>
  <c r="I746" i="2"/>
  <c r="H746" i="2"/>
  <c r="F746" i="2"/>
  <c r="C746" i="2"/>
  <c r="I745" i="2"/>
  <c r="H745" i="2"/>
  <c r="F745" i="2"/>
  <c r="C745" i="2"/>
  <c r="I744" i="2"/>
  <c r="H744" i="2"/>
  <c r="F744" i="2"/>
  <c r="C744" i="2"/>
  <c r="I743" i="2"/>
  <c r="H743" i="2"/>
  <c r="F743" i="2"/>
  <c r="C743" i="2"/>
  <c r="I742" i="2"/>
  <c r="H742" i="2"/>
  <c r="F742" i="2"/>
  <c r="C742" i="2"/>
  <c r="I741" i="2"/>
  <c r="H741" i="2"/>
  <c r="F741" i="2"/>
  <c r="C741" i="2"/>
  <c r="I740" i="2"/>
  <c r="H740" i="2"/>
  <c r="F740" i="2"/>
  <c r="C740" i="2"/>
  <c r="I739" i="2"/>
  <c r="H739" i="2"/>
  <c r="F739" i="2"/>
  <c r="C739" i="2"/>
  <c r="I738" i="2"/>
  <c r="H738" i="2"/>
  <c r="F738" i="2"/>
  <c r="C738" i="2"/>
  <c r="I737" i="2"/>
  <c r="H737" i="2"/>
  <c r="F737" i="2"/>
  <c r="C737" i="2"/>
  <c r="I736" i="2"/>
  <c r="H736" i="2"/>
  <c r="F736" i="2"/>
  <c r="C736" i="2"/>
  <c r="I735" i="2"/>
  <c r="H735" i="2"/>
  <c r="F735" i="2"/>
  <c r="C735" i="2"/>
  <c r="I734" i="2"/>
  <c r="H734" i="2"/>
  <c r="F734" i="2"/>
  <c r="C734" i="2"/>
  <c r="I733" i="2"/>
  <c r="H733" i="2"/>
  <c r="F733" i="2"/>
  <c r="C733" i="2"/>
  <c r="I732" i="2"/>
  <c r="H732" i="2"/>
  <c r="F732" i="2"/>
  <c r="C732" i="2"/>
  <c r="I731" i="2"/>
  <c r="H731" i="2"/>
  <c r="F731" i="2"/>
  <c r="C731" i="2"/>
  <c r="I730" i="2"/>
  <c r="H730" i="2"/>
  <c r="F730" i="2"/>
  <c r="C730" i="2"/>
  <c r="I729" i="2"/>
  <c r="H729" i="2"/>
  <c r="F729" i="2"/>
  <c r="C729" i="2"/>
  <c r="I728" i="2"/>
  <c r="H728" i="2"/>
  <c r="F728" i="2"/>
  <c r="C728" i="2"/>
  <c r="I727" i="2"/>
  <c r="H727" i="2"/>
  <c r="F727" i="2"/>
  <c r="C727" i="2"/>
  <c r="I726" i="2"/>
  <c r="H726" i="2"/>
  <c r="F726" i="2"/>
  <c r="C726" i="2"/>
  <c r="I725" i="2"/>
  <c r="H725" i="2"/>
  <c r="F725" i="2"/>
  <c r="C725" i="2"/>
  <c r="I724" i="2"/>
  <c r="H724" i="2"/>
  <c r="F724" i="2"/>
  <c r="C724" i="2"/>
  <c r="I723" i="2"/>
  <c r="H723" i="2"/>
  <c r="F723" i="2"/>
  <c r="C723" i="2"/>
  <c r="I722" i="2"/>
  <c r="H722" i="2"/>
  <c r="F722" i="2"/>
  <c r="C722" i="2"/>
  <c r="I721" i="2"/>
  <c r="H721" i="2"/>
  <c r="F721" i="2"/>
  <c r="C721" i="2"/>
  <c r="I720" i="2"/>
  <c r="H720" i="2"/>
  <c r="F720" i="2"/>
  <c r="C720" i="2"/>
  <c r="I719" i="2"/>
  <c r="H719" i="2"/>
  <c r="F719" i="2"/>
  <c r="C719" i="2"/>
  <c r="I718" i="2"/>
  <c r="H718" i="2"/>
  <c r="F718" i="2"/>
  <c r="C718" i="2"/>
  <c r="I717" i="2"/>
  <c r="H717" i="2"/>
  <c r="F717" i="2"/>
  <c r="C717" i="2"/>
  <c r="I716" i="2"/>
  <c r="H716" i="2"/>
  <c r="F716" i="2"/>
  <c r="C716" i="2"/>
  <c r="I715" i="2"/>
  <c r="H715" i="2"/>
  <c r="F715" i="2"/>
  <c r="C715" i="2"/>
  <c r="I714" i="2"/>
  <c r="H714" i="2"/>
  <c r="F714" i="2"/>
  <c r="C714" i="2"/>
  <c r="I713" i="2"/>
  <c r="H713" i="2"/>
  <c r="F713" i="2"/>
  <c r="C713" i="2"/>
  <c r="I712" i="2"/>
  <c r="H712" i="2"/>
  <c r="F712" i="2"/>
  <c r="C712" i="2"/>
  <c r="I711" i="2"/>
  <c r="H711" i="2"/>
  <c r="F711" i="2"/>
  <c r="C711" i="2"/>
  <c r="I710" i="2"/>
  <c r="H710" i="2"/>
  <c r="F710" i="2"/>
  <c r="C710" i="2"/>
  <c r="I709" i="2"/>
  <c r="H709" i="2"/>
  <c r="F709" i="2"/>
  <c r="C709" i="2"/>
  <c r="I708" i="2"/>
  <c r="H708" i="2"/>
  <c r="F708" i="2"/>
  <c r="C708" i="2"/>
  <c r="I707" i="2"/>
  <c r="H707" i="2"/>
  <c r="F707" i="2"/>
  <c r="C707" i="2"/>
  <c r="I706" i="2"/>
  <c r="H706" i="2"/>
  <c r="F706" i="2"/>
  <c r="C706" i="2"/>
  <c r="I705" i="2"/>
  <c r="H705" i="2"/>
  <c r="F705" i="2"/>
  <c r="C705" i="2"/>
  <c r="I704" i="2"/>
  <c r="H704" i="2"/>
  <c r="F704" i="2"/>
  <c r="C704" i="2"/>
  <c r="I703" i="2"/>
  <c r="H703" i="2"/>
  <c r="F703" i="2"/>
  <c r="C703" i="2"/>
  <c r="I702" i="2"/>
  <c r="H702" i="2"/>
  <c r="F702" i="2"/>
  <c r="C702" i="2"/>
  <c r="I701" i="2"/>
  <c r="H701" i="2"/>
  <c r="F701" i="2"/>
  <c r="C701" i="2"/>
  <c r="I700" i="2"/>
  <c r="H700" i="2"/>
  <c r="F700" i="2"/>
  <c r="C700" i="2"/>
  <c r="I699" i="2"/>
  <c r="H699" i="2"/>
  <c r="F699" i="2"/>
  <c r="C699" i="2"/>
  <c r="I698" i="2"/>
  <c r="H698" i="2"/>
  <c r="F698" i="2"/>
  <c r="C698" i="2"/>
  <c r="I697" i="2"/>
  <c r="H697" i="2"/>
  <c r="F697" i="2"/>
  <c r="C697" i="2"/>
  <c r="I696" i="2"/>
  <c r="H696" i="2"/>
  <c r="F696" i="2"/>
  <c r="C696" i="2"/>
  <c r="I695" i="2"/>
  <c r="H695" i="2"/>
  <c r="F695" i="2"/>
  <c r="C695" i="2"/>
  <c r="I694" i="2"/>
  <c r="H694" i="2"/>
  <c r="F694" i="2"/>
  <c r="C694" i="2"/>
  <c r="I693" i="2"/>
  <c r="H693" i="2"/>
  <c r="F693" i="2"/>
  <c r="C693" i="2"/>
  <c r="I692" i="2"/>
  <c r="H692" i="2"/>
  <c r="F692" i="2"/>
  <c r="C692" i="2"/>
  <c r="I691" i="2"/>
  <c r="H691" i="2"/>
  <c r="F691" i="2"/>
  <c r="C691" i="2"/>
  <c r="I690" i="2"/>
  <c r="H690" i="2"/>
  <c r="F690" i="2"/>
  <c r="C690" i="2"/>
  <c r="I689" i="2"/>
  <c r="H689" i="2"/>
  <c r="F689" i="2"/>
  <c r="C689" i="2"/>
  <c r="I688" i="2"/>
  <c r="H688" i="2"/>
  <c r="F688" i="2"/>
  <c r="C688" i="2"/>
  <c r="I687" i="2"/>
  <c r="H687" i="2"/>
  <c r="F687" i="2"/>
  <c r="C687" i="2"/>
  <c r="I686" i="2"/>
  <c r="H686" i="2"/>
  <c r="F686" i="2"/>
  <c r="C686" i="2"/>
  <c r="I685" i="2"/>
  <c r="H685" i="2"/>
  <c r="F685" i="2"/>
  <c r="C685" i="2"/>
  <c r="I684" i="2"/>
  <c r="H684" i="2"/>
  <c r="F684" i="2"/>
  <c r="C684" i="2"/>
  <c r="I683" i="2"/>
  <c r="H683" i="2"/>
  <c r="F683" i="2"/>
  <c r="C683" i="2"/>
  <c r="I682" i="2"/>
  <c r="H682" i="2"/>
  <c r="F682" i="2"/>
  <c r="C682" i="2"/>
  <c r="I681" i="2"/>
  <c r="H681" i="2"/>
  <c r="F681" i="2"/>
  <c r="C681" i="2"/>
  <c r="I680" i="2"/>
  <c r="H680" i="2"/>
  <c r="F680" i="2"/>
  <c r="C680" i="2"/>
  <c r="I679" i="2"/>
  <c r="H679" i="2"/>
  <c r="F679" i="2"/>
  <c r="C679" i="2"/>
  <c r="I678" i="2"/>
  <c r="H678" i="2"/>
  <c r="F678" i="2"/>
  <c r="C678" i="2"/>
  <c r="I677" i="2"/>
  <c r="H677" i="2"/>
  <c r="F677" i="2"/>
  <c r="C677" i="2"/>
  <c r="I676" i="2"/>
  <c r="H676" i="2"/>
  <c r="F676" i="2"/>
  <c r="C676" i="2"/>
  <c r="I675" i="2"/>
  <c r="H675" i="2"/>
  <c r="F675" i="2"/>
  <c r="C675" i="2"/>
  <c r="I674" i="2"/>
  <c r="H674" i="2"/>
  <c r="F674" i="2"/>
  <c r="C674" i="2"/>
  <c r="I673" i="2"/>
  <c r="H673" i="2"/>
  <c r="F673" i="2"/>
  <c r="C673" i="2"/>
  <c r="I672" i="2"/>
  <c r="H672" i="2"/>
  <c r="F672" i="2"/>
  <c r="C672" i="2"/>
  <c r="I671" i="2"/>
  <c r="H671" i="2"/>
  <c r="F671" i="2"/>
  <c r="C671" i="2"/>
  <c r="I670" i="2"/>
  <c r="H670" i="2"/>
  <c r="F670" i="2"/>
  <c r="C670" i="2"/>
  <c r="I669" i="2"/>
  <c r="H669" i="2"/>
  <c r="F669" i="2"/>
  <c r="C669" i="2"/>
  <c r="I668" i="2"/>
  <c r="H668" i="2"/>
  <c r="F668" i="2"/>
  <c r="C668" i="2"/>
  <c r="I667" i="2"/>
  <c r="H667" i="2"/>
  <c r="F667" i="2"/>
  <c r="C667" i="2"/>
  <c r="I666" i="2"/>
  <c r="H666" i="2"/>
  <c r="F666" i="2"/>
  <c r="C666" i="2"/>
  <c r="I665" i="2"/>
  <c r="H665" i="2"/>
  <c r="F665" i="2"/>
  <c r="C665" i="2"/>
  <c r="I664" i="2"/>
  <c r="H664" i="2"/>
  <c r="F664" i="2"/>
  <c r="C664" i="2"/>
  <c r="I663" i="2"/>
  <c r="H663" i="2"/>
  <c r="F663" i="2"/>
  <c r="C663" i="2"/>
  <c r="I662" i="2"/>
  <c r="H662" i="2"/>
  <c r="F662" i="2"/>
  <c r="C662" i="2"/>
  <c r="I661" i="2"/>
  <c r="H661" i="2"/>
  <c r="F661" i="2"/>
  <c r="C661" i="2"/>
  <c r="I660" i="2"/>
  <c r="H660" i="2"/>
  <c r="F660" i="2"/>
  <c r="C660" i="2"/>
  <c r="I659" i="2"/>
  <c r="H659" i="2"/>
  <c r="F659" i="2"/>
  <c r="C659" i="2"/>
  <c r="I658" i="2"/>
  <c r="H658" i="2"/>
  <c r="F658" i="2"/>
  <c r="C658" i="2"/>
  <c r="I657" i="2"/>
  <c r="H657" i="2"/>
  <c r="F657" i="2"/>
  <c r="C657" i="2"/>
  <c r="I656" i="2"/>
  <c r="H656" i="2"/>
  <c r="F656" i="2"/>
  <c r="C656" i="2"/>
  <c r="I655" i="2"/>
  <c r="H655" i="2"/>
  <c r="F655" i="2"/>
  <c r="C655" i="2"/>
  <c r="I654" i="2"/>
  <c r="H654" i="2"/>
  <c r="F654" i="2"/>
  <c r="C654" i="2"/>
  <c r="I653" i="2"/>
  <c r="H653" i="2"/>
  <c r="F653" i="2"/>
  <c r="C653" i="2"/>
  <c r="I652" i="2"/>
  <c r="H652" i="2"/>
  <c r="F652" i="2"/>
  <c r="C652" i="2"/>
  <c r="I651" i="2"/>
  <c r="H651" i="2"/>
  <c r="F651" i="2"/>
  <c r="C651" i="2"/>
  <c r="I650" i="2"/>
  <c r="H650" i="2"/>
  <c r="F650" i="2"/>
  <c r="C650" i="2"/>
  <c r="I649" i="2"/>
  <c r="H649" i="2"/>
  <c r="F649" i="2"/>
  <c r="C649" i="2"/>
  <c r="I648" i="2"/>
  <c r="H648" i="2"/>
  <c r="F648" i="2"/>
  <c r="C648" i="2"/>
  <c r="I647" i="2"/>
  <c r="H647" i="2"/>
  <c r="F647" i="2"/>
  <c r="C647" i="2"/>
  <c r="I646" i="2"/>
  <c r="H646" i="2"/>
  <c r="F646" i="2"/>
  <c r="C646" i="2"/>
  <c r="I645" i="2"/>
  <c r="H645" i="2"/>
  <c r="F645" i="2"/>
  <c r="C645" i="2"/>
  <c r="I644" i="2"/>
  <c r="H644" i="2"/>
  <c r="F644" i="2"/>
  <c r="C644" i="2"/>
  <c r="I643" i="2"/>
  <c r="H643" i="2"/>
  <c r="F643" i="2"/>
  <c r="C643" i="2"/>
  <c r="I642" i="2"/>
  <c r="H642" i="2"/>
  <c r="F642" i="2"/>
  <c r="C642" i="2"/>
  <c r="I641" i="2"/>
  <c r="H641" i="2"/>
  <c r="F641" i="2"/>
  <c r="C641" i="2"/>
  <c r="I640" i="2"/>
  <c r="H640" i="2"/>
  <c r="F640" i="2"/>
  <c r="C640" i="2"/>
  <c r="I639" i="2"/>
  <c r="H639" i="2"/>
  <c r="F639" i="2"/>
  <c r="C639" i="2"/>
  <c r="I638" i="2"/>
  <c r="H638" i="2"/>
  <c r="F638" i="2"/>
  <c r="C638" i="2"/>
  <c r="I637" i="2"/>
  <c r="H637" i="2"/>
  <c r="F637" i="2"/>
  <c r="C637" i="2"/>
  <c r="I636" i="2"/>
  <c r="H636" i="2"/>
  <c r="F636" i="2"/>
  <c r="C636" i="2"/>
  <c r="I635" i="2"/>
  <c r="H635" i="2"/>
  <c r="F635" i="2"/>
  <c r="C635" i="2"/>
  <c r="I634" i="2"/>
  <c r="H634" i="2"/>
  <c r="F634" i="2"/>
  <c r="C634" i="2"/>
  <c r="I633" i="2"/>
  <c r="H633" i="2"/>
  <c r="F633" i="2"/>
  <c r="C633" i="2"/>
  <c r="I632" i="2"/>
  <c r="H632" i="2"/>
  <c r="F632" i="2"/>
  <c r="C632" i="2"/>
  <c r="I631" i="2"/>
  <c r="H631" i="2"/>
  <c r="F631" i="2"/>
  <c r="C631" i="2"/>
  <c r="I630" i="2"/>
  <c r="H630" i="2"/>
  <c r="F630" i="2"/>
  <c r="C630" i="2"/>
  <c r="I629" i="2"/>
  <c r="H629" i="2"/>
  <c r="F629" i="2"/>
  <c r="C629" i="2"/>
  <c r="I628" i="2"/>
  <c r="H628" i="2"/>
  <c r="F628" i="2"/>
  <c r="C628" i="2"/>
  <c r="I627" i="2"/>
  <c r="H627" i="2"/>
  <c r="F627" i="2"/>
  <c r="C627" i="2"/>
  <c r="I626" i="2"/>
  <c r="H626" i="2"/>
  <c r="F626" i="2"/>
  <c r="C626" i="2"/>
  <c r="I625" i="2"/>
  <c r="H625" i="2"/>
  <c r="F625" i="2"/>
  <c r="C625" i="2"/>
  <c r="I624" i="2"/>
  <c r="H624" i="2"/>
  <c r="F624" i="2"/>
  <c r="C624" i="2"/>
  <c r="I623" i="2"/>
  <c r="H623" i="2"/>
  <c r="F623" i="2"/>
  <c r="C623" i="2"/>
  <c r="I622" i="2"/>
  <c r="H622" i="2"/>
  <c r="F622" i="2"/>
  <c r="C622" i="2"/>
  <c r="I621" i="2"/>
  <c r="H621" i="2"/>
  <c r="F621" i="2"/>
  <c r="C621" i="2"/>
  <c r="I620" i="2"/>
  <c r="H620" i="2"/>
  <c r="F620" i="2"/>
  <c r="C620" i="2"/>
  <c r="I619" i="2"/>
  <c r="H619" i="2"/>
  <c r="F619" i="2"/>
  <c r="C619" i="2"/>
  <c r="I618" i="2"/>
  <c r="H618" i="2"/>
  <c r="F618" i="2"/>
  <c r="C618" i="2"/>
  <c r="I617" i="2"/>
  <c r="H617" i="2"/>
  <c r="F617" i="2"/>
  <c r="C617" i="2"/>
  <c r="I616" i="2"/>
  <c r="H616" i="2"/>
  <c r="F616" i="2"/>
  <c r="C616" i="2"/>
  <c r="I615" i="2"/>
  <c r="H615" i="2"/>
  <c r="F615" i="2"/>
  <c r="C615" i="2"/>
  <c r="I614" i="2"/>
  <c r="H614" i="2"/>
  <c r="F614" i="2"/>
  <c r="C614" i="2"/>
  <c r="I613" i="2"/>
  <c r="H613" i="2"/>
  <c r="F613" i="2"/>
  <c r="C613" i="2"/>
  <c r="I612" i="2"/>
  <c r="H612" i="2"/>
  <c r="F612" i="2"/>
  <c r="C612" i="2"/>
  <c r="I611" i="2"/>
  <c r="H611" i="2"/>
  <c r="F611" i="2"/>
  <c r="C611" i="2"/>
  <c r="I610" i="2"/>
  <c r="H610" i="2"/>
  <c r="F610" i="2"/>
  <c r="C610" i="2"/>
  <c r="I609" i="2"/>
  <c r="H609" i="2"/>
  <c r="F609" i="2"/>
  <c r="C609" i="2"/>
  <c r="I608" i="2"/>
  <c r="H608" i="2"/>
  <c r="F608" i="2"/>
  <c r="C608" i="2"/>
  <c r="I607" i="2"/>
  <c r="H607" i="2"/>
  <c r="F607" i="2"/>
  <c r="C607" i="2"/>
  <c r="I606" i="2"/>
  <c r="H606" i="2"/>
  <c r="F606" i="2"/>
  <c r="C606" i="2"/>
  <c r="I605" i="2"/>
  <c r="H605" i="2"/>
  <c r="F605" i="2"/>
  <c r="C605" i="2"/>
  <c r="I604" i="2"/>
  <c r="H604" i="2"/>
  <c r="F604" i="2"/>
  <c r="C604" i="2"/>
  <c r="I603" i="2"/>
  <c r="H603" i="2"/>
  <c r="F603" i="2"/>
  <c r="C603" i="2"/>
  <c r="I602" i="2"/>
  <c r="H602" i="2"/>
  <c r="F602" i="2"/>
  <c r="C602" i="2"/>
  <c r="I601" i="2"/>
  <c r="H601" i="2"/>
  <c r="F601" i="2"/>
  <c r="C601" i="2"/>
  <c r="I600" i="2"/>
  <c r="H600" i="2"/>
  <c r="F600" i="2"/>
  <c r="C600" i="2"/>
  <c r="I599" i="2"/>
  <c r="H599" i="2"/>
  <c r="F599" i="2"/>
  <c r="C599" i="2"/>
  <c r="I598" i="2"/>
  <c r="H598" i="2"/>
  <c r="F598" i="2"/>
  <c r="C598" i="2"/>
  <c r="I597" i="2"/>
  <c r="H597" i="2"/>
  <c r="F597" i="2"/>
  <c r="C597" i="2"/>
  <c r="I596" i="2"/>
  <c r="H596" i="2"/>
  <c r="F596" i="2"/>
  <c r="C596" i="2"/>
  <c r="I595" i="2"/>
  <c r="H595" i="2"/>
  <c r="F595" i="2"/>
  <c r="C595" i="2"/>
  <c r="I594" i="2"/>
  <c r="H594" i="2"/>
  <c r="F594" i="2"/>
  <c r="C594" i="2"/>
  <c r="I593" i="2"/>
  <c r="H593" i="2"/>
  <c r="F593" i="2"/>
  <c r="C593" i="2"/>
  <c r="I592" i="2"/>
  <c r="H592" i="2"/>
  <c r="F592" i="2"/>
  <c r="C592" i="2"/>
  <c r="I591" i="2"/>
  <c r="H591" i="2"/>
  <c r="F591" i="2"/>
  <c r="C591" i="2"/>
  <c r="I590" i="2"/>
  <c r="H590" i="2"/>
  <c r="F590" i="2"/>
  <c r="C590" i="2"/>
  <c r="I589" i="2"/>
  <c r="H589" i="2"/>
  <c r="F589" i="2"/>
  <c r="C589" i="2"/>
  <c r="I588" i="2"/>
  <c r="H588" i="2"/>
  <c r="F588" i="2"/>
  <c r="C588" i="2"/>
  <c r="I587" i="2"/>
  <c r="H587" i="2"/>
  <c r="F587" i="2"/>
  <c r="C587" i="2"/>
  <c r="I586" i="2"/>
  <c r="H586" i="2"/>
  <c r="F586" i="2"/>
  <c r="C586" i="2"/>
  <c r="I585" i="2"/>
  <c r="H585" i="2"/>
  <c r="F585" i="2"/>
  <c r="C585" i="2"/>
  <c r="I584" i="2"/>
  <c r="H584" i="2"/>
  <c r="F584" i="2"/>
  <c r="C584" i="2"/>
  <c r="I583" i="2"/>
  <c r="H583" i="2"/>
  <c r="F583" i="2"/>
  <c r="C583" i="2"/>
  <c r="I582" i="2"/>
  <c r="H582" i="2"/>
  <c r="F582" i="2"/>
  <c r="C582" i="2"/>
  <c r="I581" i="2"/>
  <c r="H581" i="2"/>
  <c r="F581" i="2"/>
  <c r="C581" i="2"/>
  <c r="I580" i="2"/>
  <c r="H580" i="2"/>
  <c r="F580" i="2"/>
  <c r="C580" i="2"/>
  <c r="I579" i="2"/>
  <c r="H579" i="2"/>
  <c r="F579" i="2"/>
  <c r="C579" i="2"/>
  <c r="I578" i="2"/>
  <c r="H578" i="2"/>
  <c r="F578" i="2"/>
  <c r="C578" i="2"/>
  <c r="I577" i="2"/>
  <c r="H577" i="2"/>
  <c r="F577" i="2"/>
  <c r="C577" i="2"/>
  <c r="I576" i="2"/>
  <c r="H576" i="2"/>
  <c r="F576" i="2"/>
  <c r="C576" i="2"/>
  <c r="I575" i="2"/>
  <c r="H575" i="2"/>
  <c r="F575" i="2"/>
  <c r="C575" i="2"/>
  <c r="I574" i="2"/>
  <c r="H574" i="2"/>
  <c r="F574" i="2"/>
  <c r="C574" i="2"/>
  <c r="I573" i="2"/>
  <c r="H573" i="2"/>
  <c r="F573" i="2"/>
  <c r="C573" i="2"/>
  <c r="I572" i="2"/>
  <c r="H572" i="2"/>
  <c r="F572" i="2"/>
  <c r="C572" i="2"/>
  <c r="I571" i="2"/>
  <c r="H571" i="2"/>
  <c r="F571" i="2"/>
  <c r="C571" i="2"/>
  <c r="I570" i="2"/>
  <c r="H570" i="2"/>
  <c r="F570" i="2"/>
  <c r="C570" i="2"/>
  <c r="I569" i="2"/>
  <c r="H569" i="2"/>
  <c r="F569" i="2"/>
  <c r="C569" i="2"/>
  <c r="I568" i="2"/>
  <c r="H568" i="2"/>
  <c r="F568" i="2"/>
  <c r="C568" i="2"/>
  <c r="I567" i="2"/>
  <c r="H567" i="2"/>
  <c r="F567" i="2"/>
  <c r="C567" i="2"/>
  <c r="I566" i="2"/>
  <c r="H566" i="2"/>
  <c r="F566" i="2"/>
  <c r="C566" i="2"/>
  <c r="I565" i="2"/>
  <c r="H565" i="2"/>
  <c r="F565" i="2"/>
  <c r="C565" i="2"/>
  <c r="I564" i="2"/>
  <c r="H564" i="2"/>
  <c r="F564" i="2"/>
  <c r="C564" i="2"/>
  <c r="I563" i="2"/>
  <c r="H563" i="2"/>
  <c r="F563" i="2"/>
  <c r="C563" i="2"/>
  <c r="I562" i="2"/>
  <c r="H562" i="2"/>
  <c r="F562" i="2"/>
  <c r="C562" i="2"/>
  <c r="I561" i="2"/>
  <c r="H561" i="2"/>
  <c r="F561" i="2"/>
  <c r="C561" i="2"/>
  <c r="I560" i="2"/>
  <c r="H560" i="2"/>
  <c r="F560" i="2"/>
  <c r="C560" i="2"/>
  <c r="I559" i="2"/>
  <c r="H559" i="2"/>
  <c r="F559" i="2"/>
  <c r="C559" i="2"/>
  <c r="I558" i="2"/>
  <c r="H558" i="2"/>
  <c r="F558" i="2"/>
  <c r="C558" i="2"/>
  <c r="I557" i="2"/>
  <c r="H557" i="2"/>
  <c r="F557" i="2"/>
  <c r="C557" i="2"/>
  <c r="I556" i="2"/>
  <c r="H556" i="2"/>
  <c r="F556" i="2"/>
  <c r="C556" i="2"/>
  <c r="I555" i="2"/>
  <c r="H555" i="2"/>
  <c r="F555" i="2"/>
  <c r="C555" i="2"/>
  <c r="I554" i="2"/>
  <c r="H554" i="2"/>
  <c r="F554" i="2"/>
  <c r="C554" i="2"/>
  <c r="I553" i="2"/>
  <c r="H553" i="2"/>
  <c r="F553" i="2"/>
  <c r="C553" i="2"/>
  <c r="I552" i="2"/>
  <c r="H552" i="2"/>
  <c r="F552" i="2"/>
  <c r="C552" i="2"/>
  <c r="I551" i="2"/>
  <c r="H551" i="2"/>
  <c r="F551" i="2"/>
  <c r="C551" i="2"/>
  <c r="I550" i="2"/>
  <c r="H550" i="2"/>
  <c r="F550" i="2"/>
  <c r="C550" i="2"/>
  <c r="I549" i="2"/>
  <c r="H549" i="2"/>
  <c r="F549" i="2"/>
  <c r="C549" i="2"/>
  <c r="I548" i="2"/>
  <c r="H548" i="2"/>
  <c r="F548" i="2"/>
  <c r="C548" i="2"/>
  <c r="I547" i="2"/>
  <c r="H547" i="2"/>
  <c r="F547" i="2"/>
  <c r="C547" i="2"/>
  <c r="I546" i="2"/>
  <c r="H546" i="2"/>
  <c r="F546" i="2"/>
  <c r="C546" i="2"/>
  <c r="I545" i="2"/>
  <c r="H545" i="2"/>
  <c r="F545" i="2"/>
  <c r="C545" i="2"/>
  <c r="I544" i="2"/>
  <c r="H544" i="2"/>
  <c r="F544" i="2"/>
  <c r="C544" i="2"/>
  <c r="I543" i="2"/>
  <c r="H543" i="2"/>
  <c r="F543" i="2"/>
  <c r="C543" i="2"/>
  <c r="I542" i="2"/>
  <c r="H542" i="2"/>
  <c r="F542" i="2"/>
  <c r="C542" i="2"/>
  <c r="I541" i="2"/>
  <c r="H541" i="2"/>
  <c r="F541" i="2"/>
  <c r="C541" i="2"/>
  <c r="I540" i="2"/>
  <c r="H540" i="2"/>
  <c r="F540" i="2"/>
  <c r="C540" i="2"/>
  <c r="I539" i="2"/>
  <c r="H539" i="2"/>
  <c r="F539" i="2"/>
  <c r="C539" i="2"/>
  <c r="I538" i="2"/>
  <c r="H538" i="2"/>
  <c r="F538" i="2"/>
  <c r="C538" i="2"/>
  <c r="I537" i="2"/>
  <c r="H537" i="2"/>
  <c r="F537" i="2"/>
  <c r="C537" i="2"/>
  <c r="I536" i="2"/>
  <c r="H536" i="2"/>
  <c r="F536" i="2"/>
  <c r="C536" i="2"/>
  <c r="I535" i="2"/>
  <c r="H535" i="2"/>
  <c r="F535" i="2"/>
  <c r="C535" i="2"/>
  <c r="I534" i="2"/>
  <c r="H534" i="2"/>
  <c r="F534" i="2"/>
  <c r="C534" i="2"/>
  <c r="I533" i="2"/>
  <c r="H533" i="2"/>
  <c r="F533" i="2"/>
  <c r="C533" i="2"/>
  <c r="I532" i="2"/>
  <c r="H532" i="2"/>
  <c r="F532" i="2"/>
  <c r="C532" i="2"/>
  <c r="I531" i="2"/>
  <c r="H531" i="2"/>
  <c r="F531" i="2"/>
  <c r="C531" i="2"/>
  <c r="I530" i="2"/>
  <c r="H530" i="2"/>
  <c r="F530" i="2"/>
  <c r="C530" i="2"/>
  <c r="I529" i="2"/>
  <c r="H529" i="2"/>
  <c r="F529" i="2"/>
  <c r="C529" i="2"/>
  <c r="I528" i="2"/>
  <c r="H528" i="2"/>
  <c r="F528" i="2"/>
  <c r="C528" i="2"/>
  <c r="I527" i="2"/>
  <c r="H527" i="2"/>
  <c r="F527" i="2"/>
  <c r="C527" i="2"/>
  <c r="I526" i="2"/>
  <c r="H526" i="2"/>
  <c r="F526" i="2"/>
  <c r="C526" i="2"/>
  <c r="I525" i="2"/>
  <c r="H525" i="2"/>
  <c r="F525" i="2"/>
  <c r="C525" i="2"/>
  <c r="I524" i="2"/>
  <c r="H524" i="2"/>
  <c r="F524" i="2"/>
  <c r="C524" i="2"/>
  <c r="I523" i="2"/>
  <c r="H523" i="2"/>
  <c r="F523" i="2"/>
  <c r="C523" i="2"/>
  <c r="I522" i="2"/>
  <c r="H522" i="2"/>
  <c r="F522" i="2"/>
  <c r="C522" i="2"/>
  <c r="I521" i="2"/>
  <c r="H521" i="2"/>
  <c r="F521" i="2"/>
  <c r="C521" i="2"/>
  <c r="I520" i="2"/>
  <c r="H520" i="2"/>
  <c r="F520" i="2"/>
  <c r="C520" i="2"/>
  <c r="I519" i="2"/>
  <c r="H519" i="2"/>
  <c r="F519" i="2"/>
  <c r="C519" i="2"/>
  <c r="I518" i="2"/>
  <c r="H518" i="2"/>
  <c r="F518" i="2"/>
  <c r="C518" i="2"/>
  <c r="I517" i="2"/>
  <c r="H517" i="2"/>
  <c r="F517" i="2"/>
  <c r="C517" i="2"/>
  <c r="I516" i="2"/>
  <c r="H516" i="2"/>
  <c r="F516" i="2"/>
  <c r="C516" i="2"/>
  <c r="I515" i="2"/>
  <c r="H515" i="2"/>
  <c r="F515" i="2"/>
  <c r="C515" i="2"/>
  <c r="I514" i="2"/>
  <c r="H514" i="2"/>
  <c r="F514" i="2"/>
  <c r="C514" i="2"/>
  <c r="I513" i="2"/>
  <c r="H513" i="2"/>
  <c r="F513" i="2"/>
  <c r="C513" i="2"/>
  <c r="I512" i="2"/>
  <c r="H512" i="2"/>
  <c r="F512" i="2"/>
  <c r="C512" i="2"/>
  <c r="I511" i="2"/>
  <c r="H511" i="2"/>
  <c r="F511" i="2"/>
  <c r="C511" i="2"/>
  <c r="I510" i="2"/>
  <c r="H510" i="2"/>
  <c r="F510" i="2"/>
  <c r="C510" i="2"/>
  <c r="I509" i="2"/>
  <c r="H509" i="2"/>
  <c r="F509" i="2"/>
  <c r="C509" i="2"/>
  <c r="I508" i="2"/>
  <c r="H508" i="2"/>
  <c r="F508" i="2"/>
  <c r="C508" i="2"/>
  <c r="I507" i="2"/>
  <c r="H507" i="2"/>
  <c r="F507" i="2"/>
  <c r="C507" i="2"/>
  <c r="I506" i="2"/>
  <c r="H506" i="2"/>
  <c r="F506" i="2"/>
  <c r="C506" i="2"/>
  <c r="I505" i="2"/>
  <c r="H505" i="2"/>
  <c r="F505" i="2"/>
  <c r="C505" i="2"/>
  <c r="I504" i="2"/>
  <c r="H504" i="2"/>
  <c r="F504" i="2"/>
  <c r="C504" i="2"/>
  <c r="I503" i="2"/>
  <c r="H503" i="2"/>
  <c r="F503" i="2"/>
  <c r="C503" i="2"/>
  <c r="I502" i="2"/>
  <c r="H502" i="2"/>
  <c r="F502" i="2"/>
  <c r="C502" i="2"/>
  <c r="I501" i="2"/>
  <c r="H501" i="2"/>
  <c r="F501" i="2"/>
  <c r="C501" i="2"/>
  <c r="I500" i="2"/>
  <c r="H500" i="2"/>
  <c r="F500" i="2"/>
  <c r="C500" i="2"/>
  <c r="I499" i="2"/>
  <c r="H499" i="2"/>
  <c r="F499" i="2"/>
  <c r="C499" i="2"/>
  <c r="I498" i="2"/>
  <c r="H498" i="2"/>
  <c r="F498" i="2"/>
  <c r="C498" i="2"/>
  <c r="I497" i="2"/>
  <c r="H497" i="2"/>
  <c r="F497" i="2"/>
  <c r="C497" i="2"/>
  <c r="I496" i="2"/>
  <c r="H496" i="2"/>
  <c r="F496" i="2"/>
  <c r="C496" i="2"/>
  <c r="I495" i="2"/>
  <c r="H495" i="2"/>
  <c r="F495" i="2"/>
  <c r="C495" i="2"/>
  <c r="I494" i="2"/>
  <c r="H494" i="2"/>
  <c r="F494" i="2"/>
  <c r="C494" i="2"/>
  <c r="I493" i="2"/>
  <c r="H493" i="2"/>
  <c r="F493" i="2"/>
  <c r="C493" i="2"/>
  <c r="I492" i="2"/>
  <c r="H492" i="2"/>
  <c r="F492" i="2"/>
  <c r="C492" i="2"/>
  <c r="I491" i="2"/>
  <c r="H491" i="2"/>
  <c r="F491" i="2"/>
  <c r="C491" i="2"/>
  <c r="I490" i="2"/>
  <c r="H490" i="2"/>
  <c r="F490" i="2"/>
  <c r="C490" i="2"/>
  <c r="I489" i="2"/>
  <c r="H489" i="2"/>
  <c r="F489" i="2"/>
  <c r="C489" i="2"/>
  <c r="I488" i="2"/>
  <c r="H488" i="2"/>
  <c r="F488" i="2"/>
  <c r="C488" i="2"/>
  <c r="I487" i="2"/>
  <c r="H487" i="2"/>
  <c r="F487" i="2"/>
  <c r="C487" i="2"/>
  <c r="I486" i="2"/>
  <c r="H486" i="2"/>
  <c r="F486" i="2"/>
  <c r="C486" i="2"/>
  <c r="I485" i="2"/>
  <c r="H485" i="2"/>
  <c r="F485" i="2"/>
  <c r="C485" i="2"/>
  <c r="I484" i="2"/>
  <c r="H484" i="2"/>
  <c r="F484" i="2"/>
  <c r="C484" i="2"/>
  <c r="I483" i="2"/>
  <c r="H483" i="2"/>
  <c r="F483" i="2"/>
  <c r="C483" i="2"/>
  <c r="I482" i="2"/>
  <c r="H482" i="2"/>
  <c r="F482" i="2"/>
  <c r="C482" i="2"/>
  <c r="I481" i="2"/>
  <c r="H481" i="2"/>
  <c r="F481" i="2"/>
  <c r="C481" i="2"/>
  <c r="I480" i="2"/>
  <c r="H480" i="2"/>
  <c r="F480" i="2"/>
  <c r="C480" i="2"/>
  <c r="I479" i="2"/>
  <c r="H479" i="2"/>
  <c r="F479" i="2"/>
  <c r="C479" i="2"/>
  <c r="I478" i="2"/>
  <c r="H478" i="2"/>
  <c r="F478" i="2"/>
  <c r="C478" i="2"/>
  <c r="I477" i="2"/>
  <c r="H477" i="2"/>
  <c r="F477" i="2"/>
  <c r="C477" i="2"/>
  <c r="I476" i="2"/>
  <c r="H476" i="2"/>
  <c r="F476" i="2"/>
  <c r="C476" i="2"/>
  <c r="I475" i="2"/>
  <c r="H475" i="2"/>
  <c r="F475" i="2"/>
  <c r="C475" i="2"/>
  <c r="I474" i="2"/>
  <c r="H474" i="2"/>
  <c r="F474" i="2"/>
  <c r="C474" i="2"/>
  <c r="I473" i="2"/>
  <c r="H473" i="2"/>
  <c r="F473" i="2"/>
  <c r="C473" i="2"/>
  <c r="I472" i="2"/>
  <c r="H472" i="2"/>
  <c r="F472" i="2"/>
  <c r="C472" i="2"/>
  <c r="I471" i="2"/>
  <c r="H471" i="2"/>
  <c r="F471" i="2"/>
  <c r="C471" i="2"/>
  <c r="I470" i="2"/>
  <c r="H470" i="2"/>
  <c r="F470" i="2"/>
  <c r="C470" i="2"/>
  <c r="I469" i="2"/>
  <c r="H469" i="2"/>
  <c r="F469" i="2"/>
  <c r="C469" i="2"/>
  <c r="I468" i="2"/>
  <c r="H468" i="2"/>
  <c r="F468" i="2"/>
  <c r="C468" i="2"/>
  <c r="I467" i="2"/>
  <c r="H467" i="2"/>
  <c r="F467" i="2"/>
  <c r="C467" i="2"/>
  <c r="I466" i="2"/>
  <c r="H466" i="2"/>
  <c r="F466" i="2"/>
  <c r="C466" i="2"/>
  <c r="I465" i="2"/>
  <c r="H465" i="2"/>
  <c r="F465" i="2"/>
  <c r="C465" i="2"/>
  <c r="I464" i="2"/>
  <c r="H464" i="2"/>
  <c r="F464" i="2"/>
  <c r="C464" i="2"/>
  <c r="I463" i="2"/>
  <c r="H463" i="2"/>
  <c r="F463" i="2"/>
  <c r="C463" i="2"/>
  <c r="I462" i="2"/>
  <c r="H462" i="2"/>
  <c r="F462" i="2"/>
  <c r="C462" i="2"/>
  <c r="I461" i="2"/>
  <c r="H461" i="2"/>
  <c r="F461" i="2"/>
  <c r="C461" i="2"/>
  <c r="I460" i="2"/>
  <c r="H460" i="2"/>
  <c r="F460" i="2"/>
  <c r="C460" i="2"/>
  <c r="I459" i="2"/>
  <c r="H459" i="2"/>
  <c r="F459" i="2"/>
  <c r="C459" i="2"/>
  <c r="I458" i="2"/>
  <c r="H458" i="2"/>
  <c r="F458" i="2"/>
  <c r="C458" i="2"/>
  <c r="I457" i="2"/>
  <c r="H457" i="2"/>
  <c r="F457" i="2"/>
  <c r="C457" i="2"/>
  <c r="I456" i="2"/>
  <c r="H456" i="2"/>
  <c r="F456" i="2"/>
  <c r="C456" i="2"/>
  <c r="I455" i="2"/>
  <c r="H455" i="2"/>
  <c r="F455" i="2"/>
  <c r="C455" i="2"/>
  <c r="I454" i="2"/>
  <c r="H454" i="2"/>
  <c r="F454" i="2"/>
  <c r="C454" i="2"/>
  <c r="I453" i="2"/>
  <c r="H453" i="2"/>
  <c r="F453" i="2"/>
  <c r="C453" i="2"/>
  <c r="I452" i="2"/>
  <c r="H452" i="2"/>
  <c r="F452" i="2"/>
  <c r="C452" i="2"/>
  <c r="I451" i="2"/>
  <c r="H451" i="2"/>
  <c r="F451" i="2"/>
  <c r="C451" i="2"/>
  <c r="I450" i="2"/>
  <c r="H450" i="2"/>
  <c r="F450" i="2"/>
  <c r="C450" i="2"/>
  <c r="I449" i="2"/>
  <c r="H449" i="2"/>
  <c r="F449" i="2"/>
  <c r="C449" i="2"/>
  <c r="I448" i="2"/>
  <c r="H448" i="2"/>
  <c r="F448" i="2"/>
  <c r="C448" i="2"/>
  <c r="I447" i="2"/>
  <c r="H447" i="2"/>
  <c r="F447" i="2"/>
  <c r="C447" i="2"/>
  <c r="I446" i="2"/>
  <c r="H446" i="2"/>
  <c r="F446" i="2"/>
  <c r="C446" i="2"/>
  <c r="I445" i="2"/>
  <c r="H445" i="2"/>
  <c r="F445" i="2"/>
  <c r="C445" i="2"/>
  <c r="I444" i="2"/>
  <c r="H444" i="2"/>
  <c r="F444" i="2"/>
  <c r="C444" i="2"/>
  <c r="I443" i="2"/>
  <c r="H443" i="2"/>
  <c r="F443" i="2"/>
  <c r="C443" i="2"/>
  <c r="I442" i="2"/>
  <c r="H442" i="2"/>
  <c r="F442" i="2"/>
  <c r="C442" i="2"/>
  <c r="I441" i="2"/>
  <c r="H441" i="2"/>
  <c r="F441" i="2"/>
  <c r="C441" i="2"/>
  <c r="I440" i="2"/>
  <c r="H440" i="2"/>
  <c r="F440" i="2"/>
  <c r="C440" i="2"/>
  <c r="I439" i="2"/>
  <c r="H439" i="2"/>
  <c r="F439" i="2"/>
  <c r="C439" i="2"/>
  <c r="I438" i="2"/>
  <c r="H438" i="2"/>
  <c r="F438" i="2"/>
  <c r="C438" i="2"/>
  <c r="I437" i="2"/>
  <c r="H437" i="2"/>
  <c r="F437" i="2"/>
  <c r="C437" i="2"/>
  <c r="I436" i="2"/>
  <c r="H436" i="2"/>
  <c r="F436" i="2"/>
  <c r="C436" i="2"/>
  <c r="I435" i="2"/>
  <c r="H435" i="2"/>
  <c r="F435" i="2"/>
  <c r="C435" i="2"/>
  <c r="I434" i="2"/>
  <c r="H434" i="2"/>
  <c r="F434" i="2"/>
  <c r="C434" i="2"/>
  <c r="I433" i="2"/>
  <c r="H433" i="2"/>
  <c r="F433" i="2"/>
  <c r="C433" i="2"/>
  <c r="I432" i="2"/>
  <c r="H432" i="2"/>
  <c r="F432" i="2"/>
  <c r="C432" i="2"/>
  <c r="I431" i="2"/>
  <c r="H431" i="2"/>
  <c r="F431" i="2"/>
  <c r="C431" i="2"/>
  <c r="I430" i="2"/>
  <c r="H430" i="2"/>
  <c r="F430" i="2"/>
  <c r="C430" i="2"/>
  <c r="I429" i="2"/>
  <c r="H429" i="2"/>
  <c r="F429" i="2"/>
  <c r="C429" i="2"/>
  <c r="I428" i="2"/>
  <c r="H428" i="2"/>
  <c r="F428" i="2"/>
  <c r="C428" i="2"/>
  <c r="I427" i="2"/>
  <c r="H427" i="2"/>
  <c r="F427" i="2"/>
  <c r="C427" i="2"/>
  <c r="I426" i="2"/>
  <c r="H426" i="2"/>
  <c r="F426" i="2"/>
  <c r="C426" i="2"/>
  <c r="I425" i="2"/>
  <c r="H425" i="2"/>
  <c r="F425" i="2"/>
  <c r="C425" i="2"/>
  <c r="I424" i="2"/>
  <c r="H424" i="2"/>
  <c r="F424" i="2"/>
  <c r="C424" i="2"/>
  <c r="I423" i="2"/>
  <c r="H423" i="2"/>
  <c r="F423" i="2"/>
  <c r="C423" i="2"/>
  <c r="I422" i="2"/>
  <c r="H422" i="2"/>
  <c r="F422" i="2"/>
  <c r="C422" i="2"/>
  <c r="I421" i="2"/>
  <c r="H421" i="2"/>
  <c r="F421" i="2"/>
  <c r="C421" i="2"/>
  <c r="I420" i="2"/>
  <c r="H420" i="2"/>
  <c r="F420" i="2"/>
  <c r="C420" i="2"/>
  <c r="I419" i="2"/>
  <c r="H419" i="2"/>
  <c r="F419" i="2"/>
  <c r="C419" i="2"/>
  <c r="I418" i="2"/>
  <c r="H418" i="2"/>
  <c r="F418" i="2"/>
  <c r="C418" i="2"/>
  <c r="I417" i="2"/>
  <c r="H417" i="2"/>
  <c r="F417" i="2"/>
  <c r="C417" i="2"/>
  <c r="I416" i="2"/>
  <c r="H416" i="2"/>
  <c r="F416" i="2"/>
  <c r="C416" i="2"/>
  <c r="I415" i="2"/>
  <c r="H415" i="2"/>
  <c r="F415" i="2"/>
  <c r="C415" i="2"/>
  <c r="I414" i="2"/>
  <c r="H414" i="2"/>
  <c r="F414" i="2"/>
  <c r="C414" i="2"/>
  <c r="I413" i="2"/>
  <c r="H413" i="2"/>
  <c r="F413" i="2"/>
  <c r="C413" i="2"/>
  <c r="I412" i="2"/>
  <c r="H412" i="2"/>
  <c r="F412" i="2"/>
  <c r="C412" i="2"/>
  <c r="I411" i="2"/>
  <c r="H411" i="2"/>
  <c r="F411" i="2"/>
  <c r="C411" i="2"/>
  <c r="I410" i="2"/>
  <c r="H410" i="2"/>
  <c r="F410" i="2"/>
  <c r="C410" i="2"/>
  <c r="I409" i="2"/>
  <c r="H409" i="2"/>
  <c r="F409" i="2"/>
  <c r="C409" i="2"/>
  <c r="I408" i="2"/>
  <c r="H408" i="2"/>
  <c r="F408" i="2"/>
  <c r="C408" i="2"/>
  <c r="I407" i="2"/>
  <c r="H407" i="2"/>
  <c r="F407" i="2"/>
  <c r="C407" i="2"/>
  <c r="I406" i="2"/>
  <c r="H406" i="2"/>
  <c r="F406" i="2"/>
  <c r="C406" i="2"/>
  <c r="I405" i="2"/>
  <c r="H405" i="2"/>
  <c r="F405" i="2"/>
  <c r="C405" i="2"/>
  <c r="I404" i="2"/>
  <c r="H404" i="2"/>
  <c r="F404" i="2"/>
  <c r="C404" i="2"/>
  <c r="I403" i="2"/>
  <c r="H403" i="2"/>
  <c r="F403" i="2"/>
  <c r="C403" i="2"/>
  <c r="I402" i="2"/>
  <c r="H402" i="2"/>
  <c r="F402" i="2"/>
  <c r="C402" i="2"/>
  <c r="I401" i="2"/>
  <c r="H401" i="2"/>
  <c r="F401" i="2"/>
  <c r="C401" i="2"/>
  <c r="I400" i="2"/>
  <c r="H400" i="2"/>
  <c r="F400" i="2"/>
  <c r="C400" i="2"/>
  <c r="I399" i="2"/>
  <c r="H399" i="2"/>
  <c r="F399" i="2"/>
  <c r="C399" i="2"/>
  <c r="I398" i="2"/>
  <c r="H398" i="2"/>
  <c r="F398" i="2"/>
  <c r="C398" i="2"/>
  <c r="I397" i="2"/>
  <c r="H397" i="2"/>
  <c r="F397" i="2"/>
  <c r="C397" i="2"/>
  <c r="I396" i="2"/>
  <c r="H396" i="2"/>
  <c r="F396" i="2"/>
  <c r="C396" i="2"/>
  <c r="I395" i="2"/>
  <c r="H395" i="2"/>
  <c r="F395" i="2"/>
  <c r="C395" i="2"/>
  <c r="I394" i="2"/>
  <c r="H394" i="2"/>
  <c r="F394" i="2"/>
  <c r="C394" i="2"/>
  <c r="I393" i="2"/>
  <c r="H393" i="2"/>
  <c r="F393" i="2"/>
  <c r="C393" i="2"/>
  <c r="I392" i="2"/>
  <c r="H392" i="2"/>
  <c r="F392" i="2"/>
  <c r="C392" i="2"/>
  <c r="I391" i="2"/>
  <c r="H391" i="2"/>
  <c r="F391" i="2"/>
  <c r="C391" i="2"/>
  <c r="I390" i="2"/>
  <c r="H390" i="2"/>
  <c r="F390" i="2"/>
  <c r="C390" i="2"/>
  <c r="I389" i="2"/>
  <c r="H389" i="2"/>
  <c r="F389" i="2"/>
  <c r="C389" i="2"/>
  <c r="I388" i="2"/>
  <c r="H388" i="2"/>
  <c r="F388" i="2"/>
  <c r="C388" i="2"/>
  <c r="I387" i="2"/>
  <c r="H387" i="2"/>
  <c r="F387" i="2"/>
  <c r="C387" i="2"/>
  <c r="I386" i="2"/>
  <c r="H386" i="2"/>
  <c r="F386" i="2"/>
  <c r="C386" i="2"/>
  <c r="I385" i="2"/>
  <c r="H385" i="2"/>
  <c r="F385" i="2"/>
  <c r="C385" i="2"/>
  <c r="I384" i="2"/>
  <c r="H384" i="2"/>
  <c r="F384" i="2"/>
  <c r="C384" i="2"/>
  <c r="I383" i="2"/>
  <c r="H383" i="2"/>
  <c r="F383" i="2"/>
  <c r="C383" i="2"/>
  <c r="I382" i="2"/>
  <c r="H382" i="2"/>
  <c r="F382" i="2"/>
  <c r="C382" i="2"/>
  <c r="I381" i="2"/>
  <c r="H381" i="2"/>
  <c r="F381" i="2"/>
  <c r="C381" i="2"/>
  <c r="I380" i="2"/>
  <c r="H380" i="2"/>
  <c r="F380" i="2"/>
  <c r="C380" i="2"/>
  <c r="I379" i="2"/>
  <c r="H379" i="2"/>
  <c r="F379" i="2"/>
  <c r="C379" i="2"/>
  <c r="I378" i="2"/>
  <c r="H378" i="2"/>
  <c r="F378" i="2"/>
  <c r="C378" i="2"/>
  <c r="I377" i="2"/>
  <c r="H377" i="2"/>
  <c r="F377" i="2"/>
  <c r="C377" i="2"/>
  <c r="I376" i="2"/>
  <c r="H376" i="2"/>
  <c r="F376" i="2"/>
  <c r="C376" i="2"/>
  <c r="I375" i="2"/>
  <c r="H375" i="2"/>
  <c r="F375" i="2"/>
  <c r="C375" i="2"/>
  <c r="I374" i="2"/>
  <c r="H374" i="2"/>
  <c r="F374" i="2"/>
  <c r="C374" i="2"/>
  <c r="I373" i="2"/>
  <c r="H373" i="2"/>
  <c r="F373" i="2"/>
  <c r="C373" i="2"/>
  <c r="I372" i="2"/>
  <c r="H372" i="2"/>
  <c r="F372" i="2"/>
  <c r="C372" i="2"/>
  <c r="I371" i="2"/>
  <c r="H371" i="2"/>
  <c r="F371" i="2"/>
  <c r="C371" i="2"/>
  <c r="I370" i="2"/>
  <c r="H370" i="2"/>
  <c r="F370" i="2"/>
  <c r="C370" i="2"/>
  <c r="I369" i="2"/>
  <c r="H369" i="2"/>
  <c r="F369" i="2"/>
  <c r="C369" i="2"/>
  <c r="I368" i="2"/>
  <c r="H368" i="2"/>
  <c r="F368" i="2"/>
  <c r="C368" i="2"/>
  <c r="I367" i="2"/>
  <c r="H367" i="2"/>
  <c r="F367" i="2"/>
  <c r="C367" i="2"/>
  <c r="I366" i="2"/>
  <c r="H366" i="2"/>
  <c r="F366" i="2"/>
  <c r="C366" i="2"/>
  <c r="I365" i="2"/>
  <c r="H365" i="2"/>
  <c r="F365" i="2"/>
  <c r="C365" i="2"/>
  <c r="I364" i="2"/>
  <c r="H364" i="2"/>
  <c r="F364" i="2"/>
  <c r="C364" i="2"/>
  <c r="I363" i="2"/>
  <c r="H363" i="2"/>
  <c r="F363" i="2"/>
  <c r="C363" i="2"/>
  <c r="I362" i="2"/>
  <c r="H362" i="2"/>
  <c r="F362" i="2"/>
  <c r="C362" i="2"/>
  <c r="I361" i="2"/>
  <c r="H361" i="2"/>
  <c r="F361" i="2"/>
  <c r="C361" i="2"/>
  <c r="I360" i="2"/>
  <c r="H360" i="2"/>
  <c r="F360" i="2"/>
  <c r="C360" i="2"/>
  <c r="I359" i="2"/>
  <c r="H359" i="2"/>
  <c r="F359" i="2"/>
  <c r="C359" i="2"/>
  <c r="I358" i="2"/>
  <c r="H358" i="2"/>
  <c r="F358" i="2"/>
  <c r="C358" i="2"/>
  <c r="I357" i="2"/>
  <c r="H357" i="2"/>
  <c r="F357" i="2"/>
  <c r="C357" i="2"/>
  <c r="I356" i="2"/>
  <c r="H356" i="2"/>
  <c r="F356" i="2"/>
  <c r="C356" i="2"/>
  <c r="I355" i="2"/>
  <c r="H355" i="2"/>
  <c r="F355" i="2"/>
  <c r="C355" i="2"/>
  <c r="I354" i="2"/>
  <c r="H354" i="2"/>
  <c r="F354" i="2"/>
  <c r="C354" i="2"/>
  <c r="I353" i="2"/>
  <c r="H353" i="2"/>
  <c r="F353" i="2"/>
  <c r="C353" i="2"/>
  <c r="I352" i="2"/>
  <c r="H352" i="2"/>
  <c r="F352" i="2"/>
  <c r="C352" i="2"/>
  <c r="I351" i="2"/>
  <c r="H351" i="2"/>
  <c r="F351" i="2"/>
  <c r="C351" i="2"/>
  <c r="I350" i="2"/>
  <c r="H350" i="2"/>
  <c r="F350" i="2"/>
  <c r="C350" i="2"/>
  <c r="I349" i="2"/>
  <c r="H349" i="2"/>
  <c r="F349" i="2"/>
  <c r="C349" i="2"/>
  <c r="I348" i="2"/>
  <c r="H348" i="2"/>
  <c r="F348" i="2"/>
  <c r="C348" i="2"/>
  <c r="I347" i="2"/>
  <c r="H347" i="2"/>
  <c r="F347" i="2"/>
  <c r="C347" i="2"/>
  <c r="I346" i="2"/>
  <c r="H346" i="2"/>
  <c r="F346" i="2"/>
  <c r="C346" i="2"/>
  <c r="I345" i="2"/>
  <c r="H345" i="2"/>
  <c r="F345" i="2"/>
  <c r="C345" i="2"/>
  <c r="I344" i="2"/>
  <c r="H344" i="2"/>
  <c r="F344" i="2"/>
  <c r="C344" i="2"/>
  <c r="I343" i="2"/>
  <c r="H343" i="2"/>
  <c r="F343" i="2"/>
  <c r="C343" i="2"/>
  <c r="I342" i="2"/>
  <c r="H342" i="2"/>
  <c r="F342" i="2"/>
  <c r="C342" i="2"/>
  <c r="I341" i="2"/>
  <c r="H341" i="2"/>
  <c r="F341" i="2"/>
  <c r="C341" i="2"/>
  <c r="I340" i="2"/>
  <c r="H340" i="2"/>
  <c r="F340" i="2"/>
  <c r="C340" i="2"/>
  <c r="I339" i="2"/>
  <c r="H339" i="2"/>
  <c r="F339" i="2"/>
  <c r="C339" i="2"/>
  <c r="I338" i="2"/>
  <c r="H338" i="2"/>
  <c r="F338" i="2"/>
  <c r="C338" i="2"/>
  <c r="I337" i="2"/>
  <c r="H337" i="2"/>
  <c r="F337" i="2"/>
  <c r="C337" i="2"/>
  <c r="I336" i="2"/>
  <c r="H336" i="2"/>
  <c r="F336" i="2"/>
  <c r="C336" i="2"/>
  <c r="I335" i="2"/>
  <c r="H335" i="2"/>
  <c r="F335" i="2"/>
  <c r="C335" i="2"/>
  <c r="I334" i="2"/>
  <c r="H334" i="2"/>
  <c r="F334" i="2"/>
  <c r="C334" i="2"/>
  <c r="I333" i="2"/>
  <c r="H333" i="2"/>
  <c r="F333" i="2"/>
  <c r="C333" i="2"/>
  <c r="I332" i="2"/>
  <c r="H332" i="2"/>
  <c r="F332" i="2"/>
  <c r="C332" i="2"/>
  <c r="I331" i="2"/>
  <c r="H331" i="2"/>
  <c r="F331" i="2"/>
  <c r="C331" i="2"/>
  <c r="I330" i="2"/>
  <c r="H330" i="2"/>
  <c r="F330" i="2"/>
  <c r="C330" i="2"/>
  <c r="I329" i="2"/>
  <c r="H329" i="2"/>
  <c r="F329" i="2"/>
  <c r="C329" i="2"/>
  <c r="I328" i="2"/>
  <c r="H328" i="2"/>
  <c r="F328" i="2"/>
  <c r="C328" i="2"/>
  <c r="I327" i="2"/>
  <c r="H327" i="2"/>
  <c r="F327" i="2"/>
  <c r="C327" i="2"/>
  <c r="I326" i="2"/>
  <c r="H326" i="2"/>
  <c r="F326" i="2"/>
  <c r="C326" i="2"/>
  <c r="I325" i="2"/>
  <c r="H325" i="2"/>
  <c r="F325" i="2"/>
  <c r="C325" i="2"/>
  <c r="I324" i="2"/>
  <c r="H324" i="2"/>
  <c r="F324" i="2"/>
  <c r="C324" i="2"/>
  <c r="I323" i="2"/>
  <c r="H323" i="2"/>
  <c r="F323" i="2"/>
  <c r="C323" i="2"/>
  <c r="I322" i="2"/>
  <c r="H322" i="2"/>
  <c r="F322" i="2"/>
  <c r="C322" i="2"/>
  <c r="I321" i="2"/>
  <c r="H321" i="2"/>
  <c r="F321" i="2"/>
  <c r="C321" i="2"/>
  <c r="I320" i="2"/>
  <c r="H320" i="2"/>
  <c r="F320" i="2"/>
  <c r="C320" i="2"/>
  <c r="I319" i="2"/>
  <c r="H319" i="2"/>
  <c r="F319" i="2"/>
  <c r="C319" i="2"/>
  <c r="I318" i="2"/>
  <c r="H318" i="2"/>
  <c r="F318" i="2"/>
  <c r="C318" i="2"/>
  <c r="I317" i="2"/>
  <c r="H317" i="2"/>
  <c r="F317" i="2"/>
  <c r="C317" i="2"/>
  <c r="I316" i="2"/>
  <c r="H316" i="2"/>
  <c r="F316" i="2"/>
  <c r="C316" i="2"/>
  <c r="I315" i="2"/>
  <c r="H315" i="2"/>
  <c r="F315" i="2"/>
  <c r="C315" i="2"/>
  <c r="I314" i="2"/>
  <c r="H314" i="2"/>
  <c r="F314" i="2"/>
  <c r="C314" i="2"/>
  <c r="I313" i="2"/>
  <c r="H313" i="2"/>
  <c r="F313" i="2"/>
  <c r="C313" i="2"/>
  <c r="I312" i="2"/>
  <c r="H312" i="2"/>
  <c r="F312" i="2"/>
  <c r="C312" i="2"/>
  <c r="I311" i="2"/>
  <c r="H311" i="2"/>
  <c r="F311" i="2"/>
  <c r="C311" i="2"/>
  <c r="I310" i="2"/>
  <c r="H310" i="2"/>
  <c r="F310" i="2"/>
  <c r="C310" i="2"/>
  <c r="I309" i="2"/>
  <c r="H309" i="2"/>
  <c r="F309" i="2"/>
  <c r="C309" i="2"/>
  <c r="I308" i="2"/>
  <c r="H308" i="2"/>
  <c r="F308" i="2"/>
  <c r="C308" i="2"/>
  <c r="I307" i="2"/>
  <c r="H307" i="2"/>
  <c r="F307" i="2"/>
  <c r="C307" i="2"/>
  <c r="I306" i="2"/>
  <c r="H306" i="2"/>
  <c r="F306" i="2"/>
  <c r="C306" i="2"/>
  <c r="I305" i="2"/>
  <c r="H305" i="2"/>
  <c r="F305" i="2"/>
  <c r="C305" i="2"/>
  <c r="I304" i="2"/>
  <c r="H304" i="2"/>
  <c r="F304" i="2"/>
  <c r="C304" i="2"/>
  <c r="I303" i="2"/>
  <c r="H303" i="2"/>
  <c r="F303" i="2"/>
  <c r="C303" i="2"/>
  <c r="I302" i="2"/>
  <c r="H302" i="2"/>
  <c r="F302" i="2"/>
  <c r="C302" i="2"/>
  <c r="I301" i="2"/>
  <c r="H301" i="2"/>
  <c r="F301" i="2"/>
  <c r="C301" i="2"/>
  <c r="I300" i="2"/>
  <c r="H300" i="2"/>
  <c r="F300" i="2"/>
  <c r="C300" i="2"/>
  <c r="I299" i="2"/>
  <c r="H299" i="2"/>
  <c r="F299" i="2"/>
  <c r="C299" i="2"/>
  <c r="I298" i="2"/>
  <c r="H298" i="2"/>
  <c r="F298" i="2"/>
  <c r="C298" i="2"/>
  <c r="I297" i="2"/>
  <c r="H297" i="2"/>
  <c r="F297" i="2"/>
  <c r="C297" i="2"/>
  <c r="I296" i="2"/>
  <c r="H296" i="2"/>
  <c r="F296" i="2"/>
  <c r="C296" i="2"/>
  <c r="I295" i="2"/>
  <c r="H295" i="2"/>
  <c r="F295" i="2"/>
  <c r="C295" i="2"/>
  <c r="I294" i="2"/>
  <c r="H294" i="2"/>
  <c r="F294" i="2"/>
  <c r="C294" i="2"/>
  <c r="I293" i="2"/>
  <c r="H293" i="2"/>
  <c r="F293" i="2"/>
  <c r="C293" i="2"/>
  <c r="I292" i="2"/>
  <c r="H292" i="2"/>
  <c r="F292" i="2"/>
  <c r="C292" i="2"/>
  <c r="I291" i="2"/>
  <c r="H291" i="2"/>
  <c r="F291" i="2"/>
  <c r="C291" i="2"/>
  <c r="I290" i="2"/>
  <c r="H290" i="2"/>
  <c r="F290" i="2"/>
  <c r="C290" i="2"/>
  <c r="I289" i="2"/>
  <c r="H289" i="2"/>
  <c r="F289" i="2"/>
  <c r="C289" i="2"/>
  <c r="I288" i="2"/>
  <c r="H288" i="2"/>
  <c r="F288" i="2"/>
  <c r="C288" i="2"/>
  <c r="I287" i="2"/>
  <c r="H287" i="2"/>
  <c r="F287" i="2"/>
  <c r="C287" i="2"/>
  <c r="I286" i="2"/>
  <c r="H286" i="2"/>
  <c r="F286" i="2"/>
  <c r="C286" i="2"/>
  <c r="I285" i="2"/>
  <c r="H285" i="2"/>
  <c r="F285" i="2"/>
  <c r="C285" i="2"/>
  <c r="I284" i="2"/>
  <c r="H284" i="2"/>
  <c r="F284" i="2"/>
  <c r="C284" i="2"/>
  <c r="I283" i="2"/>
  <c r="H283" i="2"/>
  <c r="F283" i="2"/>
  <c r="C283" i="2"/>
  <c r="I282" i="2"/>
  <c r="H282" i="2"/>
  <c r="F282" i="2"/>
  <c r="C282" i="2"/>
  <c r="I281" i="2"/>
  <c r="H281" i="2"/>
  <c r="F281" i="2"/>
  <c r="C281" i="2"/>
  <c r="I280" i="2"/>
  <c r="H280" i="2"/>
  <c r="F280" i="2"/>
  <c r="C280" i="2"/>
  <c r="I279" i="2"/>
  <c r="H279" i="2"/>
  <c r="F279" i="2"/>
  <c r="C279" i="2"/>
  <c r="I278" i="2"/>
  <c r="H278" i="2"/>
  <c r="F278" i="2"/>
  <c r="C278" i="2"/>
  <c r="I277" i="2"/>
  <c r="H277" i="2"/>
  <c r="F277" i="2"/>
  <c r="C277" i="2"/>
  <c r="I276" i="2"/>
  <c r="H276" i="2"/>
  <c r="F276" i="2"/>
  <c r="C276" i="2"/>
  <c r="I275" i="2"/>
  <c r="H275" i="2"/>
  <c r="F275" i="2"/>
  <c r="C275" i="2"/>
  <c r="I274" i="2"/>
  <c r="H274" i="2"/>
  <c r="F274" i="2"/>
  <c r="C274" i="2"/>
  <c r="I273" i="2"/>
  <c r="H273" i="2"/>
  <c r="F273" i="2"/>
  <c r="C273" i="2"/>
  <c r="I272" i="2"/>
  <c r="H272" i="2"/>
  <c r="F272" i="2"/>
  <c r="C272" i="2"/>
  <c r="I271" i="2"/>
  <c r="H271" i="2"/>
  <c r="F271" i="2"/>
  <c r="C271" i="2"/>
  <c r="I270" i="2"/>
  <c r="H270" i="2"/>
  <c r="F270" i="2"/>
  <c r="C270" i="2"/>
  <c r="I269" i="2"/>
  <c r="H269" i="2"/>
  <c r="F269" i="2"/>
  <c r="C269" i="2"/>
  <c r="I268" i="2"/>
  <c r="H268" i="2"/>
  <c r="F268" i="2"/>
  <c r="C268" i="2"/>
  <c r="I267" i="2"/>
  <c r="H267" i="2"/>
  <c r="F267" i="2"/>
  <c r="C267" i="2"/>
  <c r="I266" i="2"/>
  <c r="H266" i="2"/>
  <c r="F266" i="2"/>
  <c r="C266" i="2"/>
  <c r="I265" i="2"/>
  <c r="H265" i="2"/>
  <c r="F265" i="2"/>
  <c r="C265" i="2"/>
  <c r="I264" i="2"/>
  <c r="H264" i="2"/>
  <c r="F264" i="2"/>
  <c r="C264" i="2"/>
  <c r="I263" i="2"/>
  <c r="H263" i="2"/>
  <c r="F263" i="2"/>
  <c r="C263" i="2"/>
  <c r="I262" i="2"/>
  <c r="H262" i="2"/>
  <c r="F262" i="2"/>
  <c r="C262" i="2"/>
  <c r="I261" i="2"/>
  <c r="H261" i="2"/>
  <c r="F261" i="2"/>
  <c r="C261" i="2"/>
  <c r="I260" i="2"/>
  <c r="H260" i="2"/>
  <c r="F260" i="2"/>
  <c r="C260" i="2"/>
  <c r="I259" i="2"/>
  <c r="H259" i="2"/>
  <c r="F259" i="2"/>
  <c r="C259" i="2"/>
  <c r="I258" i="2"/>
  <c r="H258" i="2"/>
  <c r="F258" i="2"/>
  <c r="C258" i="2"/>
  <c r="I257" i="2"/>
  <c r="H257" i="2"/>
  <c r="F257" i="2"/>
  <c r="C257" i="2"/>
  <c r="I256" i="2"/>
  <c r="H256" i="2"/>
  <c r="F256" i="2"/>
  <c r="C256" i="2"/>
  <c r="I255" i="2"/>
  <c r="H255" i="2"/>
  <c r="F255" i="2"/>
  <c r="C255" i="2"/>
  <c r="I254" i="2"/>
  <c r="H254" i="2"/>
  <c r="F254" i="2"/>
  <c r="C254" i="2"/>
  <c r="I253" i="2"/>
  <c r="H253" i="2"/>
  <c r="F253" i="2"/>
  <c r="C253" i="2"/>
  <c r="I252" i="2"/>
  <c r="H252" i="2"/>
  <c r="F252" i="2"/>
  <c r="C252" i="2"/>
  <c r="I251" i="2"/>
  <c r="H251" i="2"/>
  <c r="F251" i="2"/>
  <c r="C251" i="2"/>
  <c r="I250" i="2"/>
  <c r="H250" i="2"/>
  <c r="F250" i="2"/>
  <c r="C250" i="2"/>
  <c r="I249" i="2"/>
  <c r="H249" i="2"/>
  <c r="F249" i="2"/>
  <c r="C249" i="2"/>
  <c r="I248" i="2"/>
  <c r="H248" i="2"/>
  <c r="F248" i="2"/>
  <c r="C248" i="2"/>
  <c r="I247" i="2"/>
  <c r="H247" i="2"/>
  <c r="F247" i="2"/>
  <c r="C247" i="2"/>
  <c r="I246" i="2"/>
  <c r="H246" i="2"/>
  <c r="F246" i="2"/>
  <c r="C246" i="2"/>
  <c r="I245" i="2"/>
  <c r="H245" i="2"/>
  <c r="F245" i="2"/>
  <c r="C245" i="2"/>
  <c r="I244" i="2"/>
  <c r="H244" i="2"/>
  <c r="F244" i="2"/>
  <c r="C244" i="2"/>
  <c r="I243" i="2"/>
  <c r="H243" i="2"/>
  <c r="F243" i="2"/>
  <c r="C243" i="2"/>
  <c r="I242" i="2"/>
  <c r="H242" i="2"/>
  <c r="F242" i="2"/>
  <c r="C242" i="2"/>
  <c r="I241" i="2"/>
  <c r="H241" i="2"/>
  <c r="F241" i="2"/>
  <c r="C241" i="2"/>
  <c r="I240" i="2"/>
  <c r="H240" i="2"/>
  <c r="F240" i="2"/>
  <c r="C240" i="2"/>
  <c r="I239" i="2"/>
  <c r="H239" i="2"/>
  <c r="F239" i="2"/>
  <c r="C239" i="2"/>
  <c r="I238" i="2"/>
  <c r="H238" i="2"/>
  <c r="F238" i="2"/>
  <c r="C238" i="2"/>
  <c r="I237" i="2"/>
  <c r="H237" i="2"/>
  <c r="F237" i="2"/>
  <c r="C237" i="2"/>
  <c r="I236" i="2"/>
  <c r="H236" i="2"/>
  <c r="F236" i="2"/>
  <c r="C236" i="2"/>
  <c r="I235" i="2"/>
  <c r="H235" i="2"/>
  <c r="F235" i="2"/>
  <c r="C235" i="2"/>
  <c r="I234" i="2"/>
  <c r="H234" i="2"/>
  <c r="F234" i="2"/>
  <c r="C234" i="2"/>
  <c r="I233" i="2"/>
  <c r="H233" i="2"/>
  <c r="F233" i="2"/>
  <c r="C233" i="2"/>
  <c r="I232" i="2"/>
  <c r="H232" i="2"/>
  <c r="F232" i="2"/>
  <c r="C232" i="2"/>
  <c r="I231" i="2"/>
  <c r="H231" i="2"/>
  <c r="F231" i="2"/>
  <c r="C231" i="2"/>
  <c r="I230" i="2"/>
  <c r="H230" i="2"/>
  <c r="F230" i="2"/>
  <c r="C230" i="2"/>
  <c r="I229" i="2"/>
  <c r="H229" i="2"/>
  <c r="F229" i="2"/>
  <c r="C229" i="2"/>
  <c r="I228" i="2"/>
  <c r="H228" i="2"/>
  <c r="F228" i="2"/>
  <c r="C228" i="2"/>
  <c r="I227" i="2"/>
  <c r="H227" i="2"/>
  <c r="F227" i="2"/>
  <c r="C227" i="2"/>
  <c r="I226" i="2"/>
  <c r="H226" i="2"/>
  <c r="F226" i="2"/>
  <c r="C226" i="2"/>
  <c r="I225" i="2"/>
  <c r="H225" i="2"/>
  <c r="F225" i="2"/>
  <c r="C225" i="2"/>
  <c r="I224" i="2"/>
  <c r="H224" i="2"/>
  <c r="F224" i="2"/>
  <c r="C224" i="2"/>
  <c r="I223" i="2"/>
  <c r="H223" i="2"/>
  <c r="F223" i="2"/>
  <c r="C223" i="2"/>
  <c r="I222" i="2"/>
  <c r="H222" i="2"/>
  <c r="F222" i="2"/>
  <c r="C222" i="2"/>
  <c r="I221" i="2"/>
  <c r="H221" i="2"/>
  <c r="F221" i="2"/>
  <c r="C221" i="2"/>
  <c r="I220" i="2"/>
  <c r="H220" i="2"/>
  <c r="F220" i="2"/>
  <c r="C220" i="2"/>
  <c r="I219" i="2"/>
  <c r="H219" i="2"/>
  <c r="F219" i="2"/>
  <c r="C219" i="2"/>
  <c r="I218" i="2"/>
  <c r="H218" i="2"/>
  <c r="F218" i="2"/>
  <c r="C218" i="2"/>
  <c r="I217" i="2"/>
  <c r="H217" i="2"/>
  <c r="F217" i="2"/>
  <c r="C217" i="2"/>
  <c r="I216" i="2"/>
  <c r="H216" i="2"/>
  <c r="F216" i="2"/>
  <c r="C216" i="2"/>
  <c r="I215" i="2"/>
  <c r="H215" i="2"/>
  <c r="F215" i="2"/>
  <c r="C215" i="2"/>
  <c r="I214" i="2"/>
  <c r="H214" i="2"/>
  <c r="F214" i="2"/>
  <c r="C214" i="2"/>
  <c r="I213" i="2"/>
  <c r="H213" i="2"/>
  <c r="F213" i="2"/>
  <c r="C213" i="2"/>
  <c r="I212" i="2"/>
  <c r="H212" i="2"/>
  <c r="F212" i="2"/>
  <c r="C212" i="2"/>
  <c r="I211" i="2"/>
  <c r="H211" i="2"/>
  <c r="F211" i="2"/>
  <c r="C211" i="2"/>
  <c r="I210" i="2"/>
  <c r="H210" i="2"/>
  <c r="F210" i="2"/>
  <c r="C210" i="2"/>
  <c r="I209" i="2"/>
  <c r="H209" i="2"/>
  <c r="F209" i="2"/>
  <c r="C209" i="2"/>
  <c r="I208" i="2"/>
  <c r="H208" i="2"/>
  <c r="F208" i="2"/>
  <c r="C208" i="2"/>
  <c r="I207" i="2"/>
  <c r="H207" i="2"/>
  <c r="F207" i="2"/>
  <c r="C207" i="2"/>
  <c r="I206" i="2"/>
  <c r="H206" i="2"/>
  <c r="F206" i="2"/>
  <c r="C206" i="2"/>
  <c r="I205" i="2"/>
  <c r="H205" i="2"/>
  <c r="F205" i="2"/>
  <c r="C205" i="2"/>
  <c r="I204" i="2"/>
  <c r="H204" i="2"/>
  <c r="F204" i="2"/>
  <c r="C204" i="2"/>
  <c r="I203" i="2"/>
  <c r="H203" i="2"/>
  <c r="F203" i="2"/>
  <c r="C203" i="2"/>
  <c r="I202" i="2"/>
  <c r="H202" i="2"/>
  <c r="F202" i="2"/>
  <c r="C202" i="2"/>
  <c r="I201" i="2"/>
  <c r="H201" i="2"/>
  <c r="F201" i="2"/>
  <c r="C201" i="2"/>
  <c r="I200" i="2"/>
  <c r="H200" i="2"/>
  <c r="F200" i="2"/>
  <c r="C200" i="2"/>
  <c r="I199" i="2"/>
  <c r="H199" i="2"/>
  <c r="F199" i="2"/>
  <c r="C199" i="2"/>
  <c r="I198" i="2"/>
  <c r="H198" i="2"/>
  <c r="F198" i="2"/>
  <c r="C198" i="2"/>
  <c r="I197" i="2"/>
  <c r="H197" i="2"/>
  <c r="F197" i="2"/>
  <c r="C197" i="2"/>
  <c r="I196" i="2"/>
  <c r="H196" i="2"/>
  <c r="F196" i="2"/>
  <c r="C196" i="2"/>
  <c r="I195" i="2"/>
  <c r="H195" i="2"/>
  <c r="F195" i="2"/>
  <c r="C195" i="2"/>
  <c r="I194" i="2"/>
  <c r="H194" i="2"/>
  <c r="F194" i="2"/>
  <c r="C194" i="2"/>
  <c r="I193" i="2"/>
  <c r="H193" i="2"/>
  <c r="F193" i="2"/>
  <c r="C193" i="2"/>
  <c r="I192" i="2"/>
  <c r="H192" i="2"/>
  <c r="F192" i="2"/>
  <c r="C192" i="2"/>
  <c r="I191" i="2"/>
  <c r="H191" i="2"/>
  <c r="F191" i="2"/>
  <c r="C191" i="2"/>
  <c r="I190" i="2"/>
  <c r="H190" i="2"/>
  <c r="F190" i="2"/>
  <c r="C190" i="2"/>
  <c r="I189" i="2"/>
  <c r="H189" i="2"/>
  <c r="F189" i="2"/>
  <c r="C189" i="2"/>
  <c r="I188" i="2"/>
  <c r="H188" i="2"/>
  <c r="F188" i="2"/>
  <c r="C188" i="2"/>
  <c r="I187" i="2"/>
  <c r="H187" i="2"/>
  <c r="F187" i="2"/>
  <c r="C187" i="2"/>
  <c r="I186" i="2"/>
  <c r="H186" i="2"/>
  <c r="F186" i="2"/>
  <c r="C186" i="2"/>
  <c r="I185" i="2"/>
  <c r="H185" i="2"/>
  <c r="F185" i="2"/>
  <c r="C185" i="2"/>
  <c r="I184" i="2"/>
  <c r="H184" i="2"/>
  <c r="F184" i="2"/>
  <c r="C184" i="2"/>
  <c r="I183" i="2"/>
  <c r="H183" i="2"/>
  <c r="F183" i="2"/>
  <c r="C183" i="2"/>
  <c r="I182" i="2"/>
  <c r="H182" i="2"/>
  <c r="F182" i="2"/>
  <c r="C182" i="2"/>
  <c r="I181" i="2"/>
  <c r="H181" i="2"/>
  <c r="F181" i="2"/>
  <c r="C181" i="2"/>
  <c r="I180" i="2"/>
  <c r="H180" i="2"/>
  <c r="F180" i="2"/>
  <c r="C180" i="2"/>
  <c r="I179" i="2"/>
  <c r="H179" i="2"/>
  <c r="F179" i="2"/>
  <c r="C179" i="2"/>
  <c r="I178" i="2"/>
  <c r="H178" i="2"/>
  <c r="F178" i="2"/>
  <c r="C178" i="2"/>
  <c r="I177" i="2"/>
  <c r="H177" i="2"/>
  <c r="F177" i="2"/>
  <c r="C177" i="2"/>
  <c r="I176" i="2"/>
  <c r="H176" i="2"/>
  <c r="F176" i="2"/>
  <c r="C176" i="2"/>
  <c r="I175" i="2"/>
  <c r="H175" i="2"/>
  <c r="F175" i="2"/>
  <c r="C175" i="2"/>
  <c r="I174" i="2"/>
  <c r="H174" i="2"/>
  <c r="F174" i="2"/>
  <c r="C174" i="2"/>
  <c r="I173" i="2"/>
  <c r="H173" i="2"/>
  <c r="F173" i="2"/>
  <c r="C173" i="2"/>
  <c r="I172" i="2"/>
  <c r="H172" i="2"/>
  <c r="F172" i="2"/>
  <c r="C172" i="2"/>
  <c r="I171" i="2"/>
  <c r="H171" i="2"/>
  <c r="F171" i="2"/>
  <c r="C171" i="2"/>
  <c r="I170" i="2"/>
  <c r="H170" i="2"/>
  <c r="F170" i="2"/>
  <c r="C170" i="2"/>
  <c r="I169" i="2"/>
  <c r="H169" i="2"/>
  <c r="F169" i="2"/>
  <c r="C169" i="2"/>
  <c r="I168" i="2"/>
  <c r="H168" i="2"/>
  <c r="F168" i="2"/>
  <c r="C168" i="2"/>
  <c r="I167" i="2"/>
  <c r="H167" i="2"/>
  <c r="F167" i="2"/>
  <c r="C167" i="2"/>
  <c r="I166" i="2"/>
  <c r="H166" i="2"/>
  <c r="F166" i="2"/>
  <c r="C166" i="2"/>
  <c r="I165" i="2"/>
  <c r="H165" i="2"/>
  <c r="F165" i="2"/>
  <c r="C165" i="2"/>
  <c r="I164" i="2"/>
  <c r="H164" i="2"/>
  <c r="F164" i="2"/>
  <c r="C164" i="2"/>
  <c r="I163" i="2"/>
  <c r="H163" i="2"/>
  <c r="F163" i="2"/>
  <c r="C163" i="2"/>
  <c r="I162" i="2"/>
  <c r="H162" i="2"/>
  <c r="F162" i="2"/>
  <c r="C162" i="2"/>
  <c r="I161" i="2"/>
  <c r="H161" i="2"/>
  <c r="F161" i="2"/>
  <c r="C161" i="2"/>
  <c r="I160" i="2"/>
  <c r="H160" i="2"/>
  <c r="F160" i="2"/>
  <c r="C160" i="2"/>
  <c r="I159" i="2"/>
  <c r="H159" i="2"/>
  <c r="F159" i="2"/>
  <c r="C159" i="2"/>
  <c r="I158" i="2"/>
  <c r="H158" i="2"/>
  <c r="F158" i="2"/>
  <c r="C158" i="2"/>
  <c r="I157" i="2"/>
  <c r="H157" i="2"/>
  <c r="F157" i="2"/>
  <c r="C157" i="2"/>
  <c r="I156" i="2"/>
  <c r="H156" i="2"/>
  <c r="F156" i="2"/>
  <c r="C156" i="2"/>
  <c r="I155" i="2"/>
  <c r="H155" i="2"/>
  <c r="F155" i="2"/>
  <c r="C155" i="2"/>
  <c r="I154" i="2"/>
  <c r="H154" i="2"/>
  <c r="F154" i="2"/>
  <c r="C154" i="2"/>
  <c r="I153" i="2"/>
  <c r="H153" i="2"/>
  <c r="F153" i="2"/>
  <c r="C153" i="2"/>
  <c r="I152" i="2"/>
  <c r="H152" i="2"/>
  <c r="F152" i="2"/>
  <c r="C152" i="2"/>
  <c r="I151" i="2"/>
  <c r="H151" i="2"/>
  <c r="F151" i="2"/>
  <c r="C151" i="2"/>
  <c r="I150" i="2"/>
  <c r="H150" i="2"/>
  <c r="F150" i="2"/>
  <c r="C150" i="2"/>
  <c r="I149" i="2"/>
  <c r="H149" i="2"/>
  <c r="F149" i="2"/>
  <c r="C149" i="2"/>
  <c r="I148" i="2"/>
  <c r="H148" i="2"/>
  <c r="F148" i="2"/>
  <c r="C148" i="2"/>
  <c r="I147" i="2"/>
  <c r="H147" i="2"/>
  <c r="F147" i="2"/>
  <c r="C147" i="2"/>
  <c r="I146" i="2"/>
  <c r="H146" i="2"/>
  <c r="F146" i="2"/>
  <c r="C146" i="2"/>
  <c r="I145" i="2"/>
  <c r="H145" i="2"/>
  <c r="F145" i="2"/>
  <c r="C145" i="2"/>
  <c r="I144" i="2"/>
  <c r="H144" i="2"/>
  <c r="F144" i="2"/>
  <c r="C144" i="2"/>
  <c r="I143" i="2"/>
  <c r="H143" i="2"/>
  <c r="F143" i="2"/>
  <c r="C143" i="2"/>
  <c r="I142" i="2"/>
  <c r="H142" i="2"/>
  <c r="F142" i="2"/>
  <c r="C142" i="2"/>
  <c r="I141" i="2"/>
  <c r="H141" i="2"/>
  <c r="F141" i="2"/>
  <c r="C141" i="2"/>
  <c r="I140" i="2"/>
  <c r="H140" i="2"/>
  <c r="F140" i="2"/>
  <c r="C140" i="2"/>
  <c r="I139" i="2"/>
  <c r="H139" i="2"/>
  <c r="F139" i="2"/>
  <c r="C139" i="2"/>
  <c r="I138" i="2"/>
  <c r="H138" i="2"/>
  <c r="F138" i="2"/>
  <c r="C138" i="2"/>
  <c r="I137" i="2"/>
  <c r="H137" i="2"/>
  <c r="F137" i="2"/>
  <c r="C137" i="2"/>
  <c r="I136" i="2"/>
  <c r="H136" i="2"/>
  <c r="F136" i="2"/>
  <c r="C136" i="2"/>
  <c r="I135" i="2"/>
  <c r="H135" i="2"/>
  <c r="F135" i="2"/>
  <c r="C135" i="2"/>
  <c r="I134" i="2"/>
  <c r="H134" i="2"/>
  <c r="F134" i="2"/>
  <c r="C134" i="2"/>
  <c r="I133" i="2"/>
  <c r="H133" i="2"/>
  <c r="F133" i="2"/>
  <c r="C133" i="2"/>
  <c r="I132" i="2"/>
  <c r="H132" i="2"/>
  <c r="F132" i="2"/>
  <c r="C132" i="2"/>
  <c r="I131" i="2"/>
  <c r="H131" i="2"/>
  <c r="F131" i="2"/>
  <c r="C131" i="2"/>
  <c r="I130" i="2"/>
  <c r="H130" i="2"/>
  <c r="F130" i="2"/>
  <c r="C130" i="2"/>
  <c r="I129" i="2"/>
  <c r="H129" i="2"/>
  <c r="F129" i="2"/>
  <c r="C129" i="2"/>
  <c r="I128" i="2"/>
  <c r="H128" i="2"/>
  <c r="F128" i="2"/>
  <c r="C128" i="2"/>
  <c r="I127" i="2"/>
  <c r="H127" i="2"/>
  <c r="F127" i="2"/>
  <c r="C127" i="2"/>
  <c r="I126" i="2"/>
  <c r="H126" i="2"/>
  <c r="F126" i="2"/>
  <c r="C126" i="2"/>
  <c r="I125" i="2"/>
  <c r="H125" i="2"/>
  <c r="F125" i="2"/>
  <c r="C125" i="2"/>
  <c r="I124" i="2"/>
  <c r="H124" i="2"/>
  <c r="F124" i="2"/>
  <c r="C124" i="2"/>
  <c r="I123" i="2"/>
  <c r="H123" i="2"/>
  <c r="F123" i="2"/>
  <c r="C123" i="2"/>
  <c r="I122" i="2"/>
  <c r="H122" i="2"/>
  <c r="F122" i="2"/>
  <c r="C122" i="2"/>
  <c r="I121" i="2"/>
  <c r="H121" i="2"/>
  <c r="F121" i="2"/>
  <c r="C121" i="2"/>
  <c r="I120" i="2"/>
  <c r="H120" i="2"/>
  <c r="F120" i="2"/>
  <c r="C120" i="2"/>
  <c r="I119" i="2"/>
  <c r="H119" i="2"/>
  <c r="F119" i="2"/>
  <c r="C119" i="2"/>
  <c r="I118" i="2"/>
  <c r="H118" i="2"/>
  <c r="F118" i="2"/>
  <c r="C118" i="2"/>
  <c r="I117" i="2"/>
  <c r="H117" i="2"/>
  <c r="F117" i="2"/>
  <c r="C117" i="2"/>
  <c r="I116" i="2"/>
  <c r="H116" i="2"/>
  <c r="F116" i="2"/>
  <c r="C116" i="2"/>
  <c r="I115" i="2"/>
  <c r="H115" i="2"/>
  <c r="F115" i="2"/>
  <c r="C115" i="2"/>
  <c r="I114" i="2"/>
  <c r="H114" i="2"/>
  <c r="F114" i="2"/>
  <c r="C114" i="2"/>
  <c r="I113" i="2"/>
  <c r="H113" i="2"/>
  <c r="F113" i="2"/>
  <c r="C113" i="2"/>
  <c r="I112" i="2"/>
  <c r="H112" i="2"/>
  <c r="F112" i="2"/>
  <c r="C112" i="2"/>
  <c r="I111" i="2"/>
  <c r="H111" i="2"/>
  <c r="F111" i="2"/>
  <c r="C111" i="2"/>
  <c r="I110" i="2"/>
  <c r="H110" i="2"/>
  <c r="F110" i="2"/>
  <c r="C110" i="2"/>
  <c r="I109" i="2"/>
  <c r="H109" i="2"/>
  <c r="F109" i="2"/>
  <c r="C109" i="2"/>
  <c r="I108" i="2"/>
  <c r="H108" i="2"/>
  <c r="F108" i="2"/>
  <c r="C108" i="2"/>
  <c r="I107" i="2"/>
  <c r="H107" i="2"/>
  <c r="F107" i="2"/>
  <c r="C107" i="2"/>
  <c r="I106" i="2"/>
  <c r="H106" i="2"/>
  <c r="F106" i="2"/>
  <c r="C106" i="2"/>
  <c r="I105" i="2"/>
  <c r="H105" i="2"/>
  <c r="F105" i="2"/>
  <c r="C105" i="2"/>
  <c r="I104" i="2"/>
  <c r="H104" i="2"/>
  <c r="F104" i="2"/>
  <c r="C104" i="2"/>
  <c r="I103" i="2"/>
  <c r="H103" i="2"/>
  <c r="F103" i="2"/>
  <c r="C103" i="2"/>
  <c r="I102" i="2"/>
  <c r="H102" i="2"/>
  <c r="F102" i="2"/>
  <c r="C102" i="2"/>
  <c r="I101" i="2"/>
  <c r="H101" i="2"/>
  <c r="F101" i="2"/>
  <c r="C101" i="2"/>
  <c r="I100" i="2"/>
  <c r="H100" i="2"/>
  <c r="F100" i="2"/>
  <c r="C100" i="2"/>
  <c r="I99" i="2"/>
  <c r="H99" i="2"/>
  <c r="F99" i="2"/>
  <c r="C99" i="2"/>
  <c r="I98" i="2"/>
  <c r="H98" i="2"/>
  <c r="F98" i="2"/>
  <c r="C98" i="2"/>
  <c r="I97" i="2"/>
  <c r="H97" i="2"/>
  <c r="F97" i="2"/>
  <c r="C97" i="2"/>
  <c r="I96" i="2"/>
  <c r="H96" i="2"/>
  <c r="F96" i="2"/>
  <c r="C96" i="2"/>
  <c r="I95" i="2"/>
  <c r="H95" i="2"/>
  <c r="F95" i="2"/>
  <c r="C95" i="2"/>
  <c r="I94" i="2"/>
  <c r="H94" i="2"/>
  <c r="F94" i="2"/>
  <c r="C94" i="2"/>
  <c r="I93" i="2"/>
  <c r="H93" i="2"/>
  <c r="F93" i="2"/>
  <c r="C93" i="2"/>
  <c r="I92" i="2"/>
  <c r="H92" i="2"/>
  <c r="F92" i="2"/>
  <c r="C92" i="2"/>
  <c r="I91" i="2"/>
  <c r="H91" i="2"/>
  <c r="F91" i="2"/>
  <c r="C91" i="2"/>
  <c r="I90" i="2"/>
  <c r="H90" i="2"/>
  <c r="F90" i="2"/>
  <c r="C90" i="2"/>
  <c r="I89" i="2"/>
  <c r="H89" i="2"/>
  <c r="F89" i="2"/>
  <c r="C89" i="2"/>
  <c r="I88" i="2"/>
  <c r="H88" i="2"/>
  <c r="F88" i="2"/>
  <c r="C88" i="2"/>
  <c r="I87" i="2"/>
  <c r="H87" i="2"/>
  <c r="F87" i="2"/>
  <c r="C87" i="2"/>
  <c r="I86" i="2"/>
  <c r="H86" i="2"/>
  <c r="F86" i="2"/>
  <c r="C86" i="2"/>
  <c r="I85" i="2"/>
  <c r="H85" i="2"/>
  <c r="F85" i="2"/>
  <c r="C85" i="2"/>
  <c r="I84" i="2"/>
  <c r="H84" i="2"/>
  <c r="F84" i="2"/>
  <c r="C84" i="2"/>
  <c r="I83" i="2"/>
  <c r="H83" i="2"/>
  <c r="F83" i="2"/>
  <c r="C83" i="2"/>
  <c r="I82" i="2"/>
  <c r="H82" i="2"/>
  <c r="F82" i="2"/>
  <c r="C82" i="2"/>
  <c r="I81" i="2"/>
  <c r="H81" i="2"/>
  <c r="F81" i="2"/>
  <c r="C81" i="2"/>
  <c r="I79" i="2"/>
  <c r="H79" i="2"/>
  <c r="F79" i="2"/>
  <c r="C79" i="2"/>
  <c r="I78" i="2"/>
  <c r="H78" i="2"/>
  <c r="F78" i="2"/>
  <c r="C78" i="2"/>
  <c r="I77" i="2"/>
  <c r="H77" i="2"/>
  <c r="F77" i="2"/>
  <c r="C77" i="2"/>
  <c r="I76" i="2"/>
  <c r="H76" i="2"/>
  <c r="F76" i="2"/>
  <c r="C76" i="2"/>
  <c r="I75" i="2"/>
  <c r="H75" i="2"/>
  <c r="F75" i="2"/>
  <c r="C75" i="2"/>
  <c r="I74" i="2"/>
  <c r="H74" i="2"/>
  <c r="F74" i="2"/>
  <c r="C74" i="2"/>
  <c r="I73" i="2"/>
  <c r="H73" i="2"/>
  <c r="F73" i="2"/>
  <c r="C73" i="2"/>
  <c r="I72" i="2"/>
  <c r="H72" i="2"/>
  <c r="F72" i="2"/>
  <c r="C72" i="2"/>
  <c r="I71" i="2"/>
  <c r="H71" i="2"/>
  <c r="F71" i="2"/>
  <c r="C71" i="2"/>
  <c r="I70" i="2"/>
  <c r="H70" i="2"/>
  <c r="F70" i="2"/>
  <c r="C70" i="2"/>
  <c r="I69" i="2"/>
  <c r="H69" i="2"/>
  <c r="F69" i="2"/>
  <c r="C69" i="2"/>
  <c r="I68" i="2"/>
  <c r="H68" i="2"/>
  <c r="F68" i="2"/>
  <c r="C68" i="2"/>
  <c r="I67" i="2"/>
  <c r="H67" i="2"/>
  <c r="F67" i="2"/>
  <c r="C67" i="2"/>
  <c r="I66" i="2"/>
  <c r="H66" i="2"/>
  <c r="F66" i="2"/>
  <c r="C66" i="2"/>
  <c r="I65" i="2"/>
  <c r="H65" i="2"/>
  <c r="F65" i="2"/>
  <c r="C65" i="2"/>
  <c r="I64" i="2"/>
  <c r="H64" i="2"/>
  <c r="F64" i="2"/>
  <c r="C64" i="2"/>
  <c r="I63" i="2"/>
  <c r="H63" i="2"/>
  <c r="F63" i="2"/>
  <c r="C63" i="2"/>
  <c r="I62" i="2"/>
  <c r="H62" i="2"/>
  <c r="F62" i="2"/>
  <c r="C62" i="2"/>
  <c r="I61" i="2"/>
  <c r="H61" i="2"/>
  <c r="F61" i="2"/>
  <c r="C61" i="2"/>
  <c r="I60" i="2"/>
  <c r="H60" i="2"/>
  <c r="F60" i="2"/>
  <c r="C60" i="2"/>
  <c r="I59" i="2"/>
  <c r="H59" i="2"/>
  <c r="C59" i="2"/>
  <c r="I58" i="2"/>
  <c r="H58" i="2"/>
  <c r="F58" i="2"/>
  <c r="C58" i="2"/>
  <c r="I57" i="2"/>
  <c r="H57" i="2"/>
  <c r="F57" i="2"/>
  <c r="C57" i="2"/>
  <c r="I56" i="2"/>
  <c r="H56" i="2"/>
  <c r="F56" i="2"/>
  <c r="C56" i="2"/>
  <c r="I55" i="2"/>
  <c r="H55" i="2"/>
  <c r="F55" i="2"/>
  <c r="C55" i="2"/>
  <c r="I54" i="2"/>
  <c r="H54" i="2"/>
  <c r="F54" i="2"/>
  <c r="C54" i="2"/>
  <c r="I53" i="2"/>
  <c r="H53" i="2"/>
  <c r="F53" i="2"/>
  <c r="C53" i="2"/>
  <c r="I52" i="2"/>
  <c r="H52" i="2"/>
  <c r="F52" i="2"/>
  <c r="C52" i="2"/>
  <c r="I51" i="2"/>
  <c r="H51" i="2"/>
  <c r="F51" i="2"/>
  <c r="C51" i="2"/>
  <c r="I50" i="2"/>
  <c r="H50" i="2"/>
  <c r="F50" i="2"/>
  <c r="C50" i="2"/>
  <c r="I49" i="2"/>
  <c r="H49" i="2"/>
  <c r="F49" i="2"/>
  <c r="C49" i="2"/>
  <c r="I48" i="2"/>
  <c r="H48" i="2"/>
  <c r="F48" i="2"/>
  <c r="C48" i="2"/>
  <c r="I47" i="2"/>
  <c r="H47" i="2"/>
  <c r="F47" i="2"/>
  <c r="C47" i="2"/>
  <c r="I46" i="2"/>
  <c r="H46" i="2"/>
  <c r="F46" i="2"/>
  <c r="C46" i="2"/>
  <c r="I45" i="2"/>
  <c r="H45" i="2"/>
  <c r="F45" i="2"/>
  <c r="C45" i="2"/>
  <c r="I44" i="2"/>
  <c r="H44" i="2"/>
  <c r="F44" i="2"/>
  <c r="C44" i="2"/>
  <c r="I43" i="2"/>
  <c r="H43" i="2"/>
  <c r="F43" i="2"/>
  <c r="C43" i="2"/>
  <c r="I42" i="2"/>
  <c r="H42" i="2"/>
  <c r="F42" i="2"/>
  <c r="C42" i="2"/>
  <c r="I41" i="2"/>
  <c r="H41" i="2"/>
  <c r="F41" i="2"/>
  <c r="C41" i="2"/>
  <c r="I40" i="2"/>
  <c r="H40" i="2"/>
  <c r="F40" i="2"/>
  <c r="C40" i="2"/>
  <c r="I39" i="2"/>
  <c r="H39" i="2"/>
  <c r="F39" i="2"/>
  <c r="C39" i="2"/>
  <c r="I38" i="2"/>
  <c r="H38" i="2"/>
  <c r="F38" i="2"/>
  <c r="C38" i="2"/>
  <c r="I37" i="2"/>
  <c r="H37" i="2"/>
  <c r="F37" i="2"/>
  <c r="C37" i="2"/>
  <c r="I36" i="2"/>
  <c r="H36" i="2"/>
  <c r="F36" i="2"/>
  <c r="C36" i="2"/>
  <c r="I35" i="2"/>
  <c r="H35" i="2"/>
  <c r="F35" i="2"/>
  <c r="C35" i="2"/>
  <c r="I34" i="2"/>
  <c r="H34" i="2"/>
  <c r="F34" i="2"/>
  <c r="C34" i="2"/>
  <c r="I33" i="2"/>
  <c r="H33" i="2"/>
  <c r="F33" i="2"/>
  <c r="C33" i="2"/>
  <c r="I32" i="2"/>
  <c r="H32" i="2"/>
  <c r="F32" i="2"/>
  <c r="C32" i="2"/>
  <c r="I31" i="2"/>
  <c r="H31" i="2"/>
  <c r="F31" i="2"/>
  <c r="C31" i="2"/>
  <c r="I30" i="2"/>
  <c r="H30" i="2"/>
  <c r="F30" i="2"/>
  <c r="C30" i="2"/>
  <c r="I29" i="2"/>
  <c r="H29" i="2"/>
  <c r="F29" i="2"/>
  <c r="C29" i="2"/>
  <c r="I28" i="2"/>
  <c r="H28" i="2"/>
  <c r="F28" i="2"/>
  <c r="C28" i="2"/>
  <c r="I27" i="2"/>
  <c r="H27" i="2"/>
  <c r="C27" i="2"/>
  <c r="I26" i="2"/>
  <c r="H26" i="2"/>
  <c r="F26" i="2"/>
  <c r="C26" i="2"/>
  <c r="I25" i="2"/>
  <c r="H25" i="2"/>
  <c r="F25" i="2"/>
  <c r="C25" i="2"/>
  <c r="I24" i="2"/>
  <c r="H24" i="2"/>
  <c r="F24" i="2"/>
  <c r="C24" i="2"/>
  <c r="I23" i="2"/>
  <c r="H23" i="2"/>
  <c r="F23" i="2"/>
  <c r="C23" i="2"/>
  <c r="I22" i="2"/>
  <c r="H22" i="2"/>
  <c r="F22" i="2"/>
  <c r="C22" i="2"/>
  <c r="I21" i="2"/>
  <c r="H21" i="2"/>
  <c r="F21" i="2"/>
  <c r="C21" i="2"/>
  <c r="I20" i="2"/>
  <c r="H20" i="2"/>
  <c r="F20" i="2"/>
  <c r="C20" i="2"/>
  <c r="I19" i="2"/>
  <c r="H19" i="2"/>
  <c r="F19" i="2"/>
  <c r="C19" i="2"/>
  <c r="I18" i="2"/>
  <c r="H18" i="2"/>
  <c r="F18" i="2"/>
  <c r="C18" i="2"/>
  <c r="I17" i="2"/>
  <c r="H17" i="2"/>
  <c r="F17" i="2"/>
  <c r="C17" i="2"/>
  <c r="I16" i="2"/>
  <c r="H16" i="2"/>
  <c r="F16" i="2"/>
  <c r="C16" i="2"/>
  <c r="I15" i="2"/>
  <c r="H15" i="2"/>
  <c r="F15" i="2"/>
  <c r="C15" i="2"/>
  <c r="I14" i="2"/>
  <c r="H14" i="2"/>
  <c r="F14" i="2"/>
  <c r="C14" i="2"/>
  <c r="I13" i="2"/>
  <c r="H13" i="2"/>
  <c r="F13" i="2"/>
  <c r="C13" i="2"/>
  <c r="I12" i="2"/>
  <c r="H12" i="2"/>
  <c r="F12" i="2"/>
  <c r="C12" i="2"/>
  <c r="I11" i="2"/>
  <c r="H11" i="2"/>
  <c r="F11" i="2"/>
  <c r="C11" i="2"/>
  <c r="I10" i="2"/>
  <c r="H10" i="2"/>
  <c r="F10" i="2"/>
  <c r="C10" i="2"/>
  <c r="I9" i="2"/>
  <c r="H9" i="2"/>
  <c r="F9" i="2"/>
  <c r="C9" i="2"/>
  <c r="I8" i="2"/>
  <c r="H8" i="2"/>
  <c r="F8" i="2"/>
  <c r="C8" i="2"/>
  <c r="I7" i="2"/>
  <c r="H7" i="2"/>
  <c r="F7" i="2"/>
  <c r="C7" i="2"/>
  <c r="I6" i="2"/>
  <c r="H6" i="2"/>
  <c r="F6" i="2"/>
  <c r="C6" i="2"/>
  <c r="I5" i="2"/>
  <c r="H5" i="2"/>
  <c r="F5" i="2"/>
  <c r="C5" i="2"/>
  <c r="I4" i="2"/>
  <c r="H4" i="2"/>
  <c r="F4" i="2"/>
  <c r="C4" i="2"/>
  <c r="I3" i="2"/>
  <c r="H3" i="2"/>
  <c r="F3" i="2"/>
  <c r="C3" i="2"/>
  <c r="I2" i="2"/>
  <c r="H2" i="2"/>
  <c r="F2" i="2"/>
  <c r="C2" i="2"/>
</calcChain>
</file>

<file path=xl/sharedStrings.xml><?xml version="1.0" encoding="utf-8"?>
<sst xmlns="http://schemas.openxmlformats.org/spreadsheetml/2006/main" count="2452" uniqueCount="223">
  <si>
    <t>Artikel Nr.</t>
  </si>
  <si>
    <t>Produkt</t>
  </si>
  <si>
    <t>Artikel Name</t>
  </si>
  <si>
    <t>Design</t>
  </si>
  <si>
    <t>Austausch möglich durch</t>
  </si>
  <si>
    <t>EAN</t>
  </si>
  <si>
    <t>VE</t>
  </si>
  <si>
    <t>List Price (EUR)</t>
  </si>
  <si>
    <t>UVP (EUR)</t>
  </si>
  <si>
    <t>BABY-SAFE i-SIZE</t>
  </si>
  <si>
    <t>Endkunde</t>
  </si>
  <si>
    <t>Cosmos Black</t>
  </si>
  <si>
    <t>Flame Red</t>
  </si>
  <si>
    <t>Ocean Blue</t>
  </si>
  <si>
    <t>Storm Grey</t>
  </si>
  <si>
    <t>Olive Green</t>
  </si>
  <si>
    <t>Lagoon Green</t>
  </si>
  <si>
    <t>Coral Peach</t>
  </si>
  <si>
    <t>Moonlight Blue</t>
  </si>
  <si>
    <t>Wine Rose</t>
  </si>
  <si>
    <t>Blue Marble</t>
  </si>
  <si>
    <t>Sand Marble</t>
  </si>
  <si>
    <t>Nordic Grey</t>
  </si>
  <si>
    <t>Mystic Black</t>
  </si>
  <si>
    <t>Black</t>
  </si>
  <si>
    <t>PRIMO</t>
  </si>
  <si>
    <t>R368210003501</t>
  </si>
  <si>
    <t>BABY-SAFE Sleeper</t>
  </si>
  <si>
    <t>Black Thunder</t>
  </si>
  <si>
    <t>Chili Pepper</t>
  </si>
  <si>
    <t>BABY-SAFE</t>
  </si>
  <si>
    <t>BABY-SAFE plus / SHR (A17)</t>
  </si>
  <si>
    <t>BABY SAFE plus II / SHR (A20)</t>
  </si>
  <si>
    <t>Cosmos Black/
Black Marble</t>
  </si>
  <si>
    <t>DUALFIX i-SIZE</t>
  </si>
  <si>
    <t>Cosmos Black/Mystic Black/Blue Marble</t>
  </si>
  <si>
    <t>DUALFIX i-Size</t>
  </si>
  <si>
    <t>Schulterpolster Set</t>
  </si>
  <si>
    <t>Burgundy</t>
  </si>
  <si>
    <t>Lt. Info Fr. Kalkbrenner nicht nachbestellbar, 12.10.20 (KW)</t>
  </si>
  <si>
    <t>SWINGFIX i-SIZE</t>
  </si>
  <si>
    <t>FIRST CLASS plus</t>
  </si>
  <si>
    <t>Cosmos Black/
Black Marble/ Blue Marble</t>
  </si>
  <si>
    <t>Händler</t>
  </si>
  <si>
    <t>DUALFIX</t>
  </si>
  <si>
    <t>Black Marble</t>
  </si>
  <si>
    <t>MAX-FIX</t>
  </si>
  <si>
    <t>MAX-FIX II</t>
  </si>
  <si>
    <t>Cosmos Black/ 
Steel Grey</t>
  </si>
  <si>
    <t>Cosmos Black/
Steel Grey</t>
  </si>
  <si>
    <t>TRIFIX i-SIZE / TRIFIX² i-SIZE</t>
  </si>
  <si>
    <t>KING II / KING ll LS / KING II ATS</t>
  </si>
  <si>
    <t>ECLIPSE</t>
  </si>
  <si>
    <t>TRIFIX</t>
  </si>
  <si>
    <t>Grey</t>
  </si>
  <si>
    <t>VERSAFIX</t>
  </si>
  <si>
    <t>SAFEFIX plus / SAFEFIX plus TT</t>
  </si>
  <si>
    <t>Green Marble</t>
  </si>
  <si>
    <t>Mineral Purple</t>
  </si>
  <si>
    <t>KING</t>
  </si>
  <si>
    <t>KING plus</t>
  </si>
  <si>
    <t>KING TS</t>
  </si>
  <si>
    <t>KING TS plus</t>
  </si>
  <si>
    <t>DUO plus</t>
  </si>
  <si>
    <t>PRINCE</t>
  </si>
  <si>
    <t>MAX-WAY &amp; MAX-WAY BLACK SERIES</t>
  </si>
  <si>
    <t>TWO-WAY</t>
  </si>
  <si>
    <t>HI-WAY ll</t>
  </si>
  <si>
    <t>MULTI-TECH ll / MULTI-TECH III</t>
  </si>
  <si>
    <t>XTENSAFIX / ADVANSAFIX</t>
  </si>
  <si>
    <t>ADVANSAFIX ll / ADVANSAFIX II SICT / ADVANSAFIX III SICT</t>
  </si>
  <si>
    <t>EVOLVA 1-2-3 / EVOLVA 1-2-3 plus</t>
  </si>
  <si>
    <t>EVOLVA 1-2-3 SL SICT</t>
  </si>
  <si>
    <t>KID</t>
  </si>
  <si>
    <t>KID plus (SICT)</t>
  </si>
  <si>
    <t xml:space="preserve">KID XP </t>
  </si>
  <si>
    <t>KIDFIX (SICT)</t>
  </si>
  <si>
    <t>KIDFIX SL (SICT)</t>
  </si>
  <si>
    <t>KIDFIX XP (SICT)</t>
  </si>
  <si>
    <t>KIDFIX II XP (SICT)</t>
  </si>
  <si>
    <t>KID ll</t>
  </si>
  <si>
    <t>ADVENTURE / DISCOVERY / DISCOVERY SL</t>
  </si>
  <si>
    <t>JOCKEY RELAX</t>
  </si>
  <si>
    <t>JOCKEY² / JOCKEY COMFORT</t>
  </si>
  <si>
    <t>BRITAX HOLIDAY</t>
  </si>
  <si>
    <t>B-LITE</t>
  </si>
  <si>
    <t>B-AGILE 3</t>
  </si>
  <si>
    <t>Blue Sky</t>
  </si>
  <si>
    <t>Cool Berry</t>
  </si>
  <si>
    <t>Fossil Brown</t>
  </si>
  <si>
    <t>Mineral Lilac</t>
  </si>
  <si>
    <t>Wood Brown</t>
  </si>
  <si>
    <t>Steel Grey</t>
  </si>
  <si>
    <t>2000026809</t>
  </si>
  <si>
    <t>Wine Red</t>
  </si>
  <si>
    <t>Silver</t>
  </si>
  <si>
    <t>B-AGILE 4</t>
  </si>
  <si>
    <t>B-AGILE DOUBLE</t>
  </si>
  <si>
    <t>B-AGILE 4S</t>
  </si>
  <si>
    <t>B-AGILE 4 PLUS</t>
  </si>
  <si>
    <t>B-MOTION 3</t>
  </si>
  <si>
    <t>2000014668 </t>
  </si>
  <si>
    <t>B-MOTION 4</t>
  </si>
  <si>
    <t>B-MOTION 4 plus</t>
  </si>
  <si>
    <t>B-DUAL</t>
  </si>
  <si>
    <t xml:space="preserve">Chili Pepper </t>
  </si>
  <si>
    <t>Desert Sand</t>
  </si>
  <si>
    <t>Purple Rain</t>
  </si>
  <si>
    <t>Blue Atoll</t>
  </si>
  <si>
    <t>Neon Black</t>
  </si>
  <si>
    <t>B-SMART 3</t>
  </si>
  <si>
    <t>B-SMART 4</t>
  </si>
  <si>
    <t>B-MOBILE</t>
  </si>
  <si>
    <t>Venetian Red</t>
  </si>
  <si>
    <t>PRC058473</t>
  </si>
  <si>
    <t>B-READY</t>
  </si>
  <si>
    <t>BRITAX SMILE</t>
  </si>
  <si>
    <t>Navy</t>
  </si>
  <si>
    <t>Red</t>
  </si>
  <si>
    <t>BRITAX SMILE 2</t>
  </si>
  <si>
    <t>Rose Pink</t>
  </si>
  <si>
    <t>Sand Beige</t>
  </si>
  <si>
    <t>Blue Denim</t>
  </si>
  <si>
    <t>Black Denim</t>
  </si>
  <si>
    <t>Olive Denim</t>
  </si>
  <si>
    <t>R366090009501</t>
  </si>
  <si>
    <t>R366090009201</t>
  </si>
  <si>
    <t>R366050999001</t>
  </si>
  <si>
    <t>R366050999101</t>
  </si>
  <si>
    <t>R366090001301</t>
  </si>
  <si>
    <t>R366090001201</t>
  </si>
  <si>
    <t>R366090001702</t>
  </si>
  <si>
    <t>BRITAX SMILE CARRYCOT</t>
  </si>
  <si>
    <t>BRITAX HARD CARRYCOT</t>
  </si>
  <si>
    <t>BRITAX AFFINITY</t>
  </si>
  <si>
    <t>Cactus Green</t>
  </si>
  <si>
    <t>Chome</t>
  </si>
  <si>
    <t>Chrome</t>
  </si>
  <si>
    <t>White</t>
  </si>
  <si>
    <t>BRITAX AFFINITY 2</t>
  </si>
  <si>
    <t>BRITAX GO</t>
  </si>
  <si>
    <t xml:space="preserve">White </t>
  </si>
  <si>
    <t>Cosmos Black/
Black Frame</t>
  </si>
  <si>
    <t>Ocean Navy/
Black Frame</t>
  </si>
  <si>
    <t>Wood Brown/
Black Frame</t>
  </si>
  <si>
    <t>Flame Red/
Black Frame</t>
  </si>
  <si>
    <t>Steel Grey/
White Frame</t>
  </si>
  <si>
    <t>Mineral Purple/
White Frame</t>
  </si>
  <si>
    <t>Black Thunder/
Black Frame</t>
  </si>
  <si>
    <t>Chili Pepper/
Black Frame</t>
  </si>
  <si>
    <t>Cool Berry/
White Frame</t>
  </si>
  <si>
    <t>Blue Sky/
White Frame</t>
  </si>
  <si>
    <t>Charcoal Grey/
Black Frame</t>
  </si>
  <si>
    <t>Olive Green/ Black Frame</t>
  </si>
  <si>
    <t>Navy/White Frame</t>
  </si>
  <si>
    <t>Charcoal Grey</t>
  </si>
  <si>
    <t>Ocean Navy</t>
  </si>
  <si>
    <t>BRITAX GO NEXT</t>
  </si>
  <si>
    <t>MATTE BLACK</t>
  </si>
  <si>
    <t xml:space="preserve">Black </t>
  </si>
  <si>
    <t>Grey Melange</t>
  </si>
  <si>
    <t>Navy Melange</t>
  </si>
  <si>
    <t>Brown Melange/
Black Frame</t>
  </si>
  <si>
    <t>Grey Melange/
White Frame</t>
  </si>
  <si>
    <t>Navy Melange/
White Frame</t>
  </si>
  <si>
    <t>Black Ink/
Black Frame</t>
  </si>
  <si>
    <t>Olive Melange/
Black Frame</t>
  </si>
  <si>
    <t>Beige Melange/
Black Frame</t>
  </si>
  <si>
    <t>Dynamic Grey/ White Frame</t>
  </si>
  <si>
    <t>Grey Melange/
Black Frame</t>
  </si>
  <si>
    <t>Oxford Navy/ White Frame</t>
  </si>
  <si>
    <t>Wine Red Melange/Black Frame</t>
  </si>
  <si>
    <t xml:space="preserve">Graphite Melange/ Matte Black </t>
  </si>
  <si>
    <t>Brown Melange</t>
  </si>
  <si>
    <t>Black Melange</t>
  </si>
  <si>
    <t>Black Ink</t>
  </si>
  <si>
    <t>Olive Melange</t>
  </si>
  <si>
    <t>Beige Melange</t>
  </si>
  <si>
    <t xml:space="preserve">Wine Red Melange </t>
  </si>
  <si>
    <t>Dynamic Grey</t>
  </si>
  <si>
    <t>Oxford Navy</t>
  </si>
  <si>
    <t>Graphite Melange</t>
  </si>
  <si>
    <t>Matte Black</t>
  </si>
  <si>
    <t>BRITAX GO BIG</t>
  </si>
  <si>
    <t xml:space="preserve">Grey melange </t>
  </si>
  <si>
    <t>Graphite melange</t>
  </si>
  <si>
    <t>Steel Grey/
Black Frame</t>
  </si>
  <si>
    <t>Flame Red
/Black Frame</t>
  </si>
  <si>
    <t>Mineral Purple/
Black Frame</t>
  </si>
  <si>
    <t>Olive Green/
Black Frame</t>
  </si>
  <si>
    <t>Dynamic Grey /
Black Frame</t>
  </si>
  <si>
    <t xml:space="preserve">Graphite Melange/ Matte Black Frame </t>
  </si>
  <si>
    <t>Grey Melange/ White Frame</t>
  </si>
  <si>
    <t>Grey Melange/ Black Frame</t>
  </si>
  <si>
    <t>PRAMBODY SPARES GO/GO BIG/GO NEXT</t>
  </si>
  <si>
    <t>Wine Red Melange</t>
  </si>
  <si>
    <t>Cosmos Black 2018</t>
  </si>
  <si>
    <t>Steel Grey 2018</t>
  </si>
  <si>
    <t xml:space="preserve">Oxford Navy </t>
  </si>
  <si>
    <t>SEED PAPILIO</t>
  </si>
  <si>
    <t>black, black leather</t>
  </si>
  <si>
    <t>IJ added 23/02/2018</t>
  </si>
  <si>
    <t>silver, black leather</t>
  </si>
  <si>
    <t>silver, cognac leather</t>
  </si>
  <si>
    <t>copper, black leather</t>
  </si>
  <si>
    <t>black</t>
  </si>
  <si>
    <t>silver</t>
  </si>
  <si>
    <t>BOB REVOLUTION CE</t>
  </si>
  <si>
    <t>Plum</t>
  </si>
  <si>
    <t>BOB REVOLUTION SE (Single)</t>
  </si>
  <si>
    <t>Orange</t>
  </si>
  <si>
    <t>BOB REVOLUTION SE (Duallie)</t>
  </si>
  <si>
    <t>BOB REVOLUTION PRO (Single)</t>
  </si>
  <si>
    <t>Wilderness</t>
  </si>
  <si>
    <t>Lagoon</t>
  </si>
  <si>
    <t>BOB REVOLUTION PRO (Duallie)</t>
  </si>
  <si>
    <t>BOB IRONMAN (Single)</t>
  </si>
  <si>
    <t>Yellow</t>
  </si>
  <si>
    <t>BOB IRONMAN (Duallie)</t>
  </si>
  <si>
    <t>BOB SUS (Single)</t>
  </si>
  <si>
    <t>Blue</t>
  </si>
  <si>
    <t>BOB SUS (Duallie)</t>
  </si>
  <si>
    <t>BOB Carrycot (Single)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</si>
</sst>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Helvetica"/>
      <family val="2"/>
    </font>
    <font>
      <sz val="11"/>
      <color theme="1"/>
      <name val="Calibr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626C76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>
      <alignment vertical="center"/>
    </xf>
  </cellStyleXfs>
  <cellXfs count="6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2" fontId="4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4" xfId="0" applyNumberFormat="1" applyFont="1" applyFill="1" applyBorder="1" applyAlignment="1">
      <alignment horizontal="center"/>
    </xf>
    <xf numFmtId="1" fontId="0" fillId="0" borderId="5" xfId="0" applyNumberFormat="1" applyFont="1" applyFill="1" applyBorder="1" applyAlignment="1">
      <alignment horizontal="left"/>
    </xf>
    <xf numFmtId="1" fontId="0" fillId="0" borderId="5" xfId="0" applyNumberFormat="1" applyFont="1" applyFill="1" applyBorder="1" applyAlignment="1">
      <alignment horizontal="center"/>
    </xf>
    <xf numFmtId="2" fontId="0" fillId="0" borderId="5" xfId="0" applyNumberFormat="1" applyFont="1" applyFill="1" applyBorder="1" applyAlignment="1">
      <alignment horizontal="right"/>
    </xf>
    <xf numFmtId="2" fontId="0" fillId="0" borderId="6" xfId="0" applyNumberFormat="1" applyFill="1" applyBorder="1" applyAlignment="1">
      <alignment horizontal="center"/>
    </xf>
    <xf numFmtId="0" fontId="0" fillId="0" borderId="0" xfId="0" applyFill="1" applyBorder="1"/>
    <xf numFmtId="1" fontId="3" fillId="0" borderId="4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left" wrapText="1"/>
    </xf>
    <xf numFmtId="1" fontId="3" fillId="0" borderId="5" xfId="0" applyNumberFormat="1" applyFont="1" applyFill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/>
    </xf>
    <xf numFmtId="0" fontId="0" fillId="0" borderId="0" xfId="0" applyFont="1"/>
    <xf numFmtId="1" fontId="3" fillId="0" borderId="5" xfId="0" applyNumberFormat="1" applyFont="1" applyFill="1" applyBorder="1" applyAlignment="1">
      <alignment horizontal="left"/>
    </xf>
    <xf numFmtId="1" fontId="3" fillId="0" borderId="4" xfId="0" applyNumberFormat="1" applyFont="1" applyFill="1" applyBorder="1" applyAlignment="1">
      <alignment horizontal="center" wrapText="1"/>
    </xf>
    <xf numFmtId="1" fontId="0" fillId="0" borderId="4" xfId="0" applyNumberFormat="1" applyFont="1" applyFill="1" applyBorder="1" applyAlignment="1">
      <alignment horizontal="center" vertical="center"/>
    </xf>
    <xf numFmtId="1" fontId="0" fillId="0" borderId="5" xfId="0" applyNumberFormat="1" applyFont="1" applyFill="1" applyBorder="1" applyAlignment="1">
      <alignment horizontal="left" vertical="center" wrapText="1"/>
    </xf>
    <xf numFmtId="1" fontId="0" fillId="0" borderId="5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Font="1" applyBorder="1" applyAlignment="1">
      <alignment vertical="top" wrapText="1"/>
    </xf>
    <xf numFmtId="0" fontId="0" fillId="0" borderId="5" xfId="0" applyFont="1" applyBorder="1" applyAlignment="1">
      <alignment horizontal="left"/>
    </xf>
    <xf numFmtId="1" fontId="3" fillId="0" borderId="5" xfId="0" applyNumberFormat="1" applyFont="1" applyFill="1" applyBorder="1" applyAlignment="1">
      <alignment horizontal="left" vertical="center"/>
    </xf>
    <xf numFmtId="1" fontId="3" fillId="0" borderId="5" xfId="0" applyNumberFormat="1" applyFont="1" applyFill="1" applyBorder="1" applyAlignment="1">
      <alignment horizontal="left" vertical="center" wrapText="1"/>
    </xf>
    <xf numFmtId="1" fontId="3" fillId="0" borderId="5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wrapText="1"/>
    </xf>
    <xf numFmtId="0" fontId="3" fillId="0" borderId="4" xfId="1" applyNumberFormat="1" applyFont="1" applyFill="1" applyBorder="1" applyAlignment="1">
      <alignment horizontal="center"/>
    </xf>
    <xf numFmtId="1" fontId="3" fillId="0" borderId="5" xfId="0" applyNumberFormat="1" applyFont="1" applyFill="1" applyBorder="1" applyAlignment="1">
      <alignment vertical="center" wrapText="1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/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1" fontId="0" fillId="0" borderId="4" xfId="0" applyNumberFormat="1" applyFont="1" applyFill="1" applyBorder="1" applyAlignment="1">
      <alignment horizontal="center" wrapText="1"/>
    </xf>
    <xf numFmtId="0" fontId="3" fillId="0" borderId="5" xfId="1" applyNumberFormat="1" applyFont="1" applyFill="1" applyBorder="1" applyAlignment="1">
      <alignment horizontal="center"/>
    </xf>
    <xf numFmtId="1" fontId="0" fillId="0" borderId="5" xfId="0" applyNumberFormat="1" applyFont="1" applyFill="1" applyBorder="1" applyAlignment="1">
      <alignment horizontal="left" vertical="center"/>
    </xf>
    <xf numFmtId="4" fontId="0" fillId="0" borderId="5" xfId="0" applyNumberFormat="1" applyFont="1" applyFill="1" applyBorder="1"/>
    <xf numFmtId="0" fontId="0" fillId="0" borderId="0" xfId="0" applyFont="1" applyFill="1"/>
    <xf numFmtId="0" fontId="0" fillId="0" borderId="0" xfId="0" applyFill="1"/>
    <xf numFmtId="1" fontId="2" fillId="0" borderId="5" xfId="0" applyNumberFormat="1" applyFont="1" applyFill="1" applyBorder="1" applyAlignment="1">
      <alignment horizontal="left"/>
    </xf>
    <xf numFmtId="1" fontId="3" fillId="3" borderId="5" xfId="0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1" fontId="0" fillId="0" borderId="4" xfId="0" applyNumberFormat="1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/>
    <xf numFmtId="0" fontId="3" fillId="0" borderId="5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left"/>
    </xf>
    <xf numFmtId="1" fontId="0" fillId="0" borderId="8" xfId="0" applyNumberFormat="1" applyFont="1" applyFill="1" applyBorder="1" applyAlignment="1">
      <alignment horizontal="left"/>
    </xf>
    <xf numFmtId="0" fontId="0" fillId="0" borderId="8" xfId="0" applyFill="1" applyBorder="1"/>
    <xf numFmtId="1" fontId="0" fillId="0" borderId="8" xfId="0" applyNumberFormat="1" applyFont="1" applyFill="1" applyBorder="1" applyAlignment="1">
      <alignment horizontal="center"/>
    </xf>
    <xf numFmtId="1" fontId="3" fillId="0" borderId="8" xfId="0" applyNumberFormat="1" applyFont="1" applyFill="1" applyBorder="1" applyAlignment="1">
      <alignment horizontal="center"/>
    </xf>
    <xf numFmtId="2" fontId="0" fillId="0" borderId="8" xfId="0" applyNumberFormat="1" applyFont="1" applyFill="1" applyBorder="1" applyAlignment="1">
      <alignment horizontal="right"/>
    </xf>
    <xf numFmtId="2" fontId="0" fillId="0" borderId="9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1" fontId="0" fillId="0" borderId="10" xfId="0" applyNumberFormat="1" applyFont="1" applyFill="1" applyBorder="1" applyAlignment="1">
      <alignment horizontal="center"/>
    </xf>
    <xf numFmtId="1" fontId="0" fillId="0" borderId="11" xfId="0" applyNumberFormat="1" applyFont="1" applyFill="1" applyBorder="1" applyAlignment="1">
      <alignment horizontal="center"/>
    </xf>
    <xf numFmtId="1" fontId="0" fillId="0" borderId="12" xfId="0" applyNumberFormat="1" applyFont="1" applyFill="1" applyBorder="1" applyAlignment="1">
      <alignment horizontal="center"/>
    </xf>
  </cellXfs>
  <cellStyles count="3">
    <cellStyle name="Normal 2" xfId="2" xr:uid="{00000000-0005-0000-0000-000000000000}"/>
    <cellStyle name="Standard" xfId="0" builtinId="0"/>
    <cellStyle name="Standard 17" xfId="1" xr:uid="{00000000-0005-0000-0000-000002000000}"/>
  </cellStyles>
  <dxfs count="1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ldasp06/commmgt/Shared%20Documents/02_Price_Lists/2018/Spare%20Parts/MASTER_PRICES_SPA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uster A - EN"/>
      <sheetName val="Cluster A - DE"/>
      <sheetName val="Cluster B - EN"/>
      <sheetName val="Cluster D - FR"/>
      <sheetName val="Cluster D - DE"/>
      <sheetName val="Cluster D - PL"/>
      <sheetName val="Cluster E - EN"/>
      <sheetName val="PL ENG"/>
      <sheetName val="Translation"/>
      <sheetName val="pric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Article No.</v>
          </cell>
          <cell r="C2" t="str">
            <v>Master Product</v>
          </cell>
          <cell r="D2" t="str">
            <v>Article Name</v>
          </cell>
          <cell r="E2" t="str">
            <v>Design</v>
          </cell>
          <cell r="F2" t="str">
            <v>change authorized for</v>
          </cell>
          <cell r="G2" t="str">
            <v>EAN</v>
          </cell>
        </row>
        <row r="3">
          <cell r="B3">
            <v>2000025627</v>
          </cell>
          <cell r="C3" t="str">
            <v>BABY-SAFE i-SIZE</v>
          </cell>
          <cell r="D3" t="str">
            <v>USER GUIDE COMPARTMENT</v>
          </cell>
          <cell r="F3" t="str">
            <v>consumer</v>
          </cell>
          <cell r="G3">
            <v>4000984150902</v>
          </cell>
        </row>
        <row r="4">
          <cell r="B4">
            <v>2000025628</v>
          </cell>
          <cell r="C4" t="str">
            <v>BABY-SAFE i-SIZE</v>
          </cell>
          <cell r="D4" t="str">
            <v>RUBBER INSERTS</v>
          </cell>
          <cell r="F4" t="str">
            <v>consumer</v>
          </cell>
          <cell r="G4">
            <v>4000984150919</v>
          </cell>
        </row>
        <row r="5">
          <cell r="B5">
            <v>2000025629</v>
          </cell>
          <cell r="C5" t="str">
            <v>BABY-SAFE i-SIZE</v>
          </cell>
          <cell r="D5" t="str">
            <v>FOAM INSERT HEADPAD</v>
          </cell>
          <cell r="F5" t="str">
            <v>consumer</v>
          </cell>
          <cell r="G5">
            <v>4000984150926</v>
          </cell>
        </row>
        <row r="6">
          <cell r="B6">
            <v>2000025631</v>
          </cell>
          <cell r="C6" t="str">
            <v>BABY-SAFE i-SIZE</v>
          </cell>
          <cell r="D6" t="str">
            <v>IMPACT INSERT SET SHELL</v>
          </cell>
          <cell r="F6" t="str">
            <v>consumer</v>
          </cell>
          <cell r="G6">
            <v>4000984150940</v>
          </cell>
        </row>
        <row r="7">
          <cell r="B7">
            <v>2000027397</v>
          </cell>
          <cell r="C7" t="str">
            <v>BABY-SAFE i-SIZE</v>
          </cell>
          <cell r="D7" t="str">
            <v>IMPACT INSERT SET SHOULDER</v>
          </cell>
          <cell r="F7" t="str">
            <v>consumer</v>
          </cell>
          <cell r="G7">
            <v>4000984166286</v>
          </cell>
        </row>
        <row r="8">
          <cell r="B8">
            <v>2000025641</v>
          </cell>
          <cell r="C8" t="str">
            <v>BABY-SAFE i-SIZE</v>
          </cell>
          <cell r="D8" t="str">
            <v>SUN CANOPY</v>
          </cell>
          <cell r="E8" t="str">
            <v>Cosmos Black</v>
          </cell>
          <cell r="F8" t="str">
            <v>consumer</v>
          </cell>
          <cell r="G8">
            <v>4000984151046</v>
          </cell>
        </row>
        <row r="9">
          <cell r="B9">
            <v>2000025642</v>
          </cell>
          <cell r="C9" t="str">
            <v>BABY-SAFE i-SIZE</v>
          </cell>
          <cell r="D9" t="str">
            <v>SUN CANOPY</v>
          </cell>
          <cell r="E9" t="str">
            <v>Flame Red</v>
          </cell>
          <cell r="F9" t="str">
            <v>consumer</v>
          </cell>
          <cell r="G9">
            <v>4000984151053</v>
          </cell>
        </row>
        <row r="10">
          <cell r="B10">
            <v>2000025643</v>
          </cell>
          <cell r="C10" t="str">
            <v>BABY-SAFE i-SIZE</v>
          </cell>
          <cell r="D10" t="str">
            <v>SUN CANOPY</v>
          </cell>
          <cell r="E10" t="str">
            <v>Ocean Blue</v>
          </cell>
          <cell r="F10" t="str">
            <v>consumer</v>
          </cell>
          <cell r="G10">
            <v>4000984151060</v>
          </cell>
        </row>
        <row r="11">
          <cell r="B11">
            <v>2000026197</v>
          </cell>
          <cell r="C11" t="str">
            <v>BABY-SAFE i-SIZE</v>
          </cell>
          <cell r="D11" t="str">
            <v>SUN CANOPY</v>
          </cell>
          <cell r="E11" t="str">
            <v>Storm Grey</v>
          </cell>
          <cell r="F11" t="str">
            <v>consumer</v>
          </cell>
          <cell r="G11">
            <v>4000984154450</v>
          </cell>
        </row>
        <row r="12">
          <cell r="B12">
            <v>2000026198</v>
          </cell>
          <cell r="C12" t="str">
            <v>BABY-SAFE i-SIZE</v>
          </cell>
          <cell r="D12" t="str">
            <v>SUN CANOPY</v>
          </cell>
          <cell r="E12" t="str">
            <v>Olive Green</v>
          </cell>
          <cell r="F12" t="str">
            <v>consumer</v>
          </cell>
          <cell r="G12">
            <v>4000984154467</v>
          </cell>
        </row>
        <row r="13">
          <cell r="B13">
            <v>2000026199</v>
          </cell>
          <cell r="C13" t="str">
            <v>BABY-SAFE i-SIZE</v>
          </cell>
          <cell r="D13" t="str">
            <v>SUN CANOPY</v>
          </cell>
          <cell r="E13" t="str">
            <v>Lagoon Green</v>
          </cell>
          <cell r="F13" t="str">
            <v>consumer</v>
          </cell>
          <cell r="G13">
            <v>4000984154474</v>
          </cell>
        </row>
        <row r="14">
          <cell r="B14">
            <v>2000026200</v>
          </cell>
          <cell r="C14" t="str">
            <v>BABY-SAFE i-SIZE</v>
          </cell>
          <cell r="D14" t="str">
            <v>SUN CANOPY</v>
          </cell>
          <cell r="E14" t="str">
            <v>Coral Peach</v>
          </cell>
          <cell r="F14" t="str">
            <v>consumer</v>
          </cell>
          <cell r="G14">
            <v>4000984154481</v>
          </cell>
        </row>
        <row r="15">
          <cell r="B15">
            <v>2000029653</v>
          </cell>
          <cell r="C15" t="str">
            <v>BABY-SAFE i-SIZE</v>
          </cell>
          <cell r="D15" t="str">
            <v>SUN CANOPY</v>
          </cell>
          <cell r="E15" t="str">
            <v>Moonlight Blue</v>
          </cell>
          <cell r="F15" t="str">
            <v>consumer</v>
          </cell>
          <cell r="G15">
            <v>4000984192483</v>
          </cell>
        </row>
        <row r="16">
          <cell r="B16">
            <v>2000029633</v>
          </cell>
          <cell r="C16" t="str">
            <v>BABY-SAFE i-SIZE</v>
          </cell>
          <cell r="D16" t="str">
            <v>SUN CANOPY</v>
          </cell>
          <cell r="E16" t="str">
            <v>Wine Rose</v>
          </cell>
          <cell r="F16" t="str">
            <v>consumer</v>
          </cell>
          <cell r="G16">
            <v>4000984192308</v>
          </cell>
        </row>
        <row r="17">
          <cell r="B17">
            <v>2000029634</v>
          </cell>
          <cell r="C17" t="str">
            <v>BABY-SAFE i-SIZE</v>
          </cell>
          <cell r="D17" t="str">
            <v>SUN CANOPY</v>
          </cell>
          <cell r="E17" t="str">
            <v>Blue Marble</v>
          </cell>
          <cell r="F17" t="str">
            <v>consumer</v>
          </cell>
          <cell r="G17">
            <v>4000984192315</v>
          </cell>
        </row>
        <row r="18">
          <cell r="B18">
            <v>2000029635</v>
          </cell>
          <cell r="C18" t="str">
            <v>BABY-SAFE i-SIZE</v>
          </cell>
          <cell r="D18" t="str">
            <v>SUN CANOPY</v>
          </cell>
          <cell r="E18" t="str">
            <v>Sand Marble</v>
          </cell>
          <cell r="F18" t="str">
            <v>consumer</v>
          </cell>
          <cell r="G18">
            <v>4000984192322</v>
          </cell>
        </row>
        <row r="19">
          <cell r="B19">
            <v>2000029636</v>
          </cell>
          <cell r="C19" t="str">
            <v>BABY-SAFE i-SIZE</v>
          </cell>
          <cell r="D19" t="str">
            <v>SUN CANOPY</v>
          </cell>
          <cell r="E19" t="str">
            <v>Nordic Grey</v>
          </cell>
          <cell r="F19" t="str">
            <v>consumer</v>
          </cell>
          <cell r="G19">
            <v>4000984192339</v>
          </cell>
        </row>
        <row r="20">
          <cell r="B20">
            <v>2000029637</v>
          </cell>
          <cell r="C20" t="str">
            <v>BABY-SAFE i-SIZE</v>
          </cell>
          <cell r="D20" t="str">
            <v>SUN CANOPY</v>
          </cell>
          <cell r="E20" t="str">
            <v>Mystic Black</v>
          </cell>
          <cell r="F20" t="str">
            <v>consumer</v>
          </cell>
          <cell r="G20">
            <v>4000984192346</v>
          </cell>
        </row>
        <row r="21">
          <cell r="B21">
            <v>2000025644</v>
          </cell>
          <cell r="C21" t="str">
            <v>BABY-SAFE i-SIZE</v>
          </cell>
          <cell r="D21" t="str">
            <v>SUN CANOPY</v>
          </cell>
          <cell r="E21" t="str">
            <v>Mineral Purple</v>
          </cell>
          <cell r="F21" t="str">
            <v>consumer</v>
          </cell>
          <cell r="G21">
            <v>4000984151077</v>
          </cell>
        </row>
        <row r="22">
          <cell r="B22">
            <v>2000027212</v>
          </cell>
          <cell r="C22" t="str">
            <v>BABY-SAFE i-SIZE</v>
          </cell>
          <cell r="D22" t="str">
            <v>NEWBORN INSERT</v>
          </cell>
          <cell r="E22" t="str">
            <v>Black</v>
          </cell>
          <cell r="F22" t="str">
            <v>consumer</v>
          </cell>
          <cell r="G22">
            <v>4000984161816</v>
          </cell>
        </row>
        <row r="23">
          <cell r="B23">
            <v>2000025649</v>
          </cell>
          <cell r="C23" t="str">
            <v>BABY-SAFE i-SIZE</v>
          </cell>
          <cell r="D23" t="str">
            <v>SHOULDER PAD SET</v>
          </cell>
          <cell r="E23" t="str">
            <v>Black</v>
          </cell>
          <cell r="F23" t="str">
            <v>consumer</v>
          </cell>
          <cell r="G23">
            <v>4000984151121</v>
          </cell>
        </row>
        <row r="24">
          <cell r="B24">
            <v>2000027182</v>
          </cell>
          <cell r="C24" t="str">
            <v>BABY-SAFE i-SIZE</v>
          </cell>
          <cell r="D24" t="str">
            <v>NEWBORN INSERT FR</v>
          </cell>
          <cell r="E24" t="str">
            <v>Black</v>
          </cell>
          <cell r="F24" t="str">
            <v>consumer</v>
          </cell>
          <cell r="G24">
            <v>4000984161618</v>
          </cell>
        </row>
        <row r="25">
          <cell r="B25">
            <v>2000025650</v>
          </cell>
          <cell r="C25" t="str">
            <v>BABY-SAFE i-SIZE</v>
          </cell>
          <cell r="D25" t="str">
            <v>SHOULDER PAD SET</v>
          </cell>
          <cell r="E25" t="str">
            <v>Black</v>
          </cell>
          <cell r="F25" t="str">
            <v>consumer</v>
          </cell>
          <cell r="G25">
            <v>4000984151138</v>
          </cell>
        </row>
        <row r="26">
          <cell r="B26">
            <v>2000007047</v>
          </cell>
          <cell r="C26" t="str">
            <v>BABY-SAFE i-SIZE</v>
          </cell>
          <cell r="D26" t="str">
            <v>ISOFIX LATCH GUIDES - WIDE</v>
          </cell>
          <cell r="F26" t="str">
            <v>consumer</v>
          </cell>
          <cell r="G26">
            <v>4000984093384</v>
          </cell>
        </row>
        <row r="27">
          <cell r="B27">
            <v>2000024320</v>
          </cell>
          <cell r="C27" t="str">
            <v>PRIMO</v>
          </cell>
          <cell r="D27" t="str">
            <v xml:space="preserve">SUN CANOPY </v>
          </cell>
          <cell r="E27" t="str">
            <v>Cosmos Black</v>
          </cell>
          <cell r="F27" t="str">
            <v>consumer</v>
          </cell>
          <cell r="G27">
            <v>4000984145472</v>
          </cell>
        </row>
        <row r="28">
          <cell r="B28">
            <v>2000026168</v>
          </cell>
          <cell r="C28" t="str">
            <v>PRIMO</v>
          </cell>
          <cell r="D28" t="str">
            <v xml:space="preserve">SUN CANOPY </v>
          </cell>
          <cell r="E28" t="str">
            <v>Olive Green</v>
          </cell>
          <cell r="F28" t="str">
            <v>consumer</v>
          </cell>
          <cell r="G28">
            <v>4000984154160</v>
          </cell>
        </row>
        <row r="29">
          <cell r="B29">
            <v>2000027359</v>
          </cell>
          <cell r="C29" t="str">
            <v>PRIMO</v>
          </cell>
          <cell r="D29" t="str">
            <v xml:space="preserve">SUN CANOPY </v>
          </cell>
          <cell r="E29" t="str">
            <v>Storm Grey</v>
          </cell>
          <cell r="F29" t="str">
            <v>consumer</v>
          </cell>
          <cell r="G29">
            <v>4000984161748</v>
          </cell>
        </row>
        <row r="30">
          <cell r="B30">
            <v>2000024454</v>
          </cell>
          <cell r="C30" t="str">
            <v>PRIMO</v>
          </cell>
          <cell r="D30" t="str">
            <v>SHOULDER PAD SET</v>
          </cell>
          <cell r="E30" t="str">
            <v>Black</v>
          </cell>
          <cell r="F30" t="str">
            <v>consumer</v>
          </cell>
          <cell r="G30">
            <v>4000984134155</v>
          </cell>
        </row>
        <row r="31">
          <cell r="B31" t="str">
            <v>R368210003501</v>
          </cell>
          <cell r="C31" t="str">
            <v>PRIMO</v>
          </cell>
          <cell r="D31" t="str">
            <v>ISOFIX GUIDE BRIO PRIMO BASE</v>
          </cell>
          <cell r="F31" t="str">
            <v>consumer</v>
          </cell>
        </row>
        <row r="32">
          <cell r="B32">
            <v>2000003461</v>
          </cell>
          <cell r="C32" t="str">
            <v>BABY-SAFE Sleeper</v>
          </cell>
          <cell r="D32" t="str">
            <v>FIXING BRACKETS</v>
          </cell>
          <cell r="F32" t="str">
            <v>consumer</v>
          </cell>
          <cell r="G32">
            <v>4000984082340</v>
          </cell>
        </row>
        <row r="33">
          <cell r="B33">
            <v>2000008597</v>
          </cell>
          <cell r="C33" t="str">
            <v>BABY-SAFE Sleeper</v>
          </cell>
          <cell r="D33" t="str">
            <v>APRON (old collection)</v>
          </cell>
          <cell r="E33" t="str">
            <v>Black Thunder</v>
          </cell>
          <cell r="F33" t="str">
            <v>consumer</v>
          </cell>
          <cell r="G33">
            <v>4000984105452</v>
          </cell>
        </row>
        <row r="34">
          <cell r="B34">
            <v>2000008598</v>
          </cell>
          <cell r="C34" t="str">
            <v>BABY-SAFE Sleeper</v>
          </cell>
          <cell r="D34" t="str">
            <v>APRON (old collection)</v>
          </cell>
          <cell r="E34" t="str">
            <v>Chili Pepper</v>
          </cell>
          <cell r="F34" t="str">
            <v>consumer</v>
          </cell>
          <cell r="G34">
            <v>4000984105469</v>
          </cell>
        </row>
        <row r="35">
          <cell r="B35">
            <v>2000003866</v>
          </cell>
          <cell r="C35" t="str">
            <v>BABY-SAFE Sleeper</v>
          </cell>
          <cell r="D35" t="str">
            <v>Römer SUN CANOPY (old collections)</v>
          </cell>
          <cell r="F35" t="str">
            <v>consumer</v>
          </cell>
          <cell r="G35">
            <v>4000984085112</v>
          </cell>
        </row>
        <row r="36">
          <cell r="B36">
            <v>2000003867</v>
          </cell>
          <cell r="C36" t="str">
            <v>BABY-SAFE Sleeper</v>
          </cell>
          <cell r="D36" t="str">
            <v>Britax SUN CANOPY (old collections)</v>
          </cell>
          <cell r="F36" t="str">
            <v>consumer</v>
          </cell>
          <cell r="G36">
            <v>4000984085105</v>
          </cell>
        </row>
        <row r="37">
          <cell r="B37">
            <v>2000005977</v>
          </cell>
          <cell r="C37" t="str">
            <v>BABY-SAFE</v>
          </cell>
          <cell r="D37" t="str">
            <v>ELASTICS SET FOR CANOPY</v>
          </cell>
          <cell r="F37" t="str">
            <v>consumer</v>
          </cell>
          <cell r="G37">
            <v>4000984090253</v>
          </cell>
        </row>
        <row r="38">
          <cell r="B38">
            <v>2000003469</v>
          </cell>
          <cell r="C38" t="str">
            <v>BABY-SAFE</v>
          </cell>
          <cell r="D38" t="str">
            <v>OPEN 2-BAR ADJUSTER SET</v>
          </cell>
          <cell r="F38" t="str">
            <v>consumer</v>
          </cell>
          <cell r="G38">
            <v>4000984082425</v>
          </cell>
        </row>
        <row r="39">
          <cell r="B39">
            <v>2000003472</v>
          </cell>
          <cell r="C39" t="str">
            <v>BABY-SAFE</v>
          </cell>
          <cell r="D39" t="str">
            <v>HEADPAD IMPACT INSERT</v>
          </cell>
          <cell r="F39" t="str">
            <v>consumer</v>
          </cell>
          <cell r="G39">
            <v>4000984082456</v>
          </cell>
        </row>
        <row r="40">
          <cell r="B40">
            <v>2000024336</v>
          </cell>
          <cell r="C40" t="str">
            <v>BABY-SAFE</v>
          </cell>
          <cell r="D40" t="str">
            <v>Britax Römer SUN CANOPY (old collections)</v>
          </cell>
          <cell r="E40" t="str">
            <v>Black</v>
          </cell>
          <cell r="F40" t="str">
            <v>consumer</v>
          </cell>
          <cell r="G40">
            <v>4000984145199</v>
          </cell>
        </row>
        <row r="41">
          <cell r="B41">
            <v>2000026853</v>
          </cell>
          <cell r="C41" t="str">
            <v>BABY-SAFE</v>
          </cell>
          <cell r="D41" t="str">
            <v>SUN CANOPY</v>
          </cell>
          <cell r="E41" t="str">
            <v>Flame Red</v>
          </cell>
          <cell r="F41" t="str">
            <v>consumer</v>
          </cell>
          <cell r="G41">
            <v>4000984158830</v>
          </cell>
        </row>
        <row r="42">
          <cell r="B42">
            <v>2000029638</v>
          </cell>
          <cell r="C42" t="str">
            <v>BABY-SAFE</v>
          </cell>
          <cell r="D42" t="str">
            <v>SUN CANOPY</v>
          </cell>
          <cell r="E42" t="str">
            <v>Moonlight Blue</v>
          </cell>
          <cell r="F42" t="str">
            <v>consumer</v>
          </cell>
          <cell r="G42">
            <v>4000984192353</v>
          </cell>
        </row>
        <row r="43">
          <cell r="B43">
            <v>2000029639</v>
          </cell>
          <cell r="C43" t="str">
            <v>BABY-SAFE</v>
          </cell>
          <cell r="D43" t="str">
            <v>SUN CANOPY</v>
          </cell>
          <cell r="E43" t="str">
            <v>Wine Rose</v>
          </cell>
          <cell r="F43" t="str">
            <v>consumer</v>
          </cell>
          <cell r="G43">
            <v>4000984192360</v>
          </cell>
        </row>
        <row r="44">
          <cell r="B44">
            <v>2000003889</v>
          </cell>
          <cell r="C44" t="str">
            <v>BABY-SAFE</v>
          </cell>
          <cell r="D44" t="str">
            <v>HEADPAD &amp; CUSHION INSERT</v>
          </cell>
          <cell r="F44" t="str">
            <v>consumer</v>
          </cell>
          <cell r="G44">
            <v>4000984085198</v>
          </cell>
        </row>
        <row r="45">
          <cell r="B45">
            <v>2000006066</v>
          </cell>
          <cell r="C45" t="str">
            <v>BABY-SAFE</v>
          </cell>
          <cell r="D45" t="str">
            <v xml:space="preserve">ADAPTORS </v>
          </cell>
          <cell r="F45" t="str">
            <v>consumer</v>
          </cell>
          <cell r="G45">
            <v>4000984090512</v>
          </cell>
        </row>
        <row r="46">
          <cell r="B46">
            <v>2000024472</v>
          </cell>
          <cell r="C46" t="str">
            <v>BABY-SAFE</v>
          </cell>
          <cell r="D46" t="str">
            <v>SHOULDER PAD SET FR</v>
          </cell>
          <cell r="E46" t="str">
            <v>Black</v>
          </cell>
          <cell r="F46" t="str">
            <v>consumer</v>
          </cell>
          <cell r="G46">
            <v>4000984134599</v>
          </cell>
        </row>
        <row r="47">
          <cell r="B47">
            <v>2000003463</v>
          </cell>
          <cell r="C47" t="str">
            <v>BABY-SAFE plus / SHR (A17)</v>
          </cell>
          <cell r="D47" t="str">
            <v xml:space="preserve">IMPACT INSERT SET </v>
          </cell>
          <cell r="F47" t="str">
            <v>consumer</v>
          </cell>
          <cell r="G47">
            <v>4000984082364</v>
          </cell>
        </row>
        <row r="48">
          <cell r="B48">
            <v>2000003476</v>
          </cell>
          <cell r="C48" t="str">
            <v>BABY-SAFE plus / SHR (A17)</v>
          </cell>
          <cell r="D48" t="str">
            <v>LIE FLAT CUSHION</v>
          </cell>
          <cell r="F48" t="str">
            <v>consumer</v>
          </cell>
          <cell r="G48">
            <v>4000984082494</v>
          </cell>
        </row>
        <row r="49">
          <cell r="B49">
            <v>2000005977</v>
          </cell>
          <cell r="C49" t="str">
            <v>BABY-SAFE plus / SHR (A17)</v>
          </cell>
          <cell r="D49" t="str">
            <v>ELASTICS SET FOR CANOPY</v>
          </cell>
          <cell r="F49" t="str">
            <v>consumer</v>
          </cell>
          <cell r="G49">
            <v>4000984090253</v>
          </cell>
        </row>
        <row r="50">
          <cell r="B50">
            <v>2000024336</v>
          </cell>
          <cell r="C50" t="str">
            <v>BABY-SAFE plus / SHR (A17)</v>
          </cell>
          <cell r="D50" t="str">
            <v>Britax Römer SUN CANOPY (old collections)</v>
          </cell>
          <cell r="E50" t="str">
            <v>Black</v>
          </cell>
          <cell r="F50" t="str">
            <v>consumer</v>
          </cell>
          <cell r="G50">
            <v>4000984145199</v>
          </cell>
        </row>
        <row r="51">
          <cell r="B51">
            <v>2000003471</v>
          </cell>
          <cell r="C51" t="str">
            <v>BABY-SAFE plus / SHR (A17)</v>
          </cell>
          <cell r="D51" t="str">
            <v>HEADPAD IMPACT INSERT</v>
          </cell>
          <cell r="F51" t="str">
            <v>consumer</v>
          </cell>
          <cell r="G51">
            <v>4000984082449</v>
          </cell>
        </row>
        <row r="52">
          <cell r="B52">
            <v>2000003469</v>
          </cell>
          <cell r="C52" t="str">
            <v>BABY-SAFE plus / SHR (A17)</v>
          </cell>
          <cell r="D52" t="str">
            <v>OPEN 2-BAR ADJUSTER SET</v>
          </cell>
          <cell r="F52" t="str">
            <v>consumer</v>
          </cell>
          <cell r="G52">
            <v>4000984082425</v>
          </cell>
        </row>
        <row r="53">
          <cell r="B53">
            <v>2000006066</v>
          </cell>
          <cell r="C53" t="str">
            <v>BABY-SAFE plus / SHR (A17)</v>
          </cell>
          <cell r="D53" t="str">
            <v xml:space="preserve">ADAPTORS </v>
          </cell>
          <cell r="F53" t="str">
            <v>consumer</v>
          </cell>
          <cell r="G53">
            <v>4000984090512</v>
          </cell>
        </row>
        <row r="54">
          <cell r="B54">
            <v>2000006066</v>
          </cell>
          <cell r="C54" t="str">
            <v>BABY SAFE plus II / SHR (A20)</v>
          </cell>
          <cell r="D54" t="str">
            <v xml:space="preserve">ADAPTORS </v>
          </cell>
          <cell r="F54" t="str">
            <v>consumer</v>
          </cell>
          <cell r="G54">
            <v>4000984090512</v>
          </cell>
        </row>
        <row r="55">
          <cell r="B55">
            <v>2000024330</v>
          </cell>
          <cell r="C55" t="str">
            <v>BABY SAFE plus II / SHR (A20)</v>
          </cell>
          <cell r="D55" t="str">
            <v xml:space="preserve">SUN CANOPY </v>
          </cell>
          <cell r="E55" t="str">
            <v>Cosmos Black/
Black Marble</v>
          </cell>
          <cell r="F55" t="str">
            <v>consumer</v>
          </cell>
          <cell r="G55">
            <v>4000984145298</v>
          </cell>
        </row>
        <row r="56">
          <cell r="B56">
            <v>2000024331</v>
          </cell>
          <cell r="C56" t="str">
            <v>BABY SAFE plus II / SHR (A20)</v>
          </cell>
          <cell r="D56" t="str">
            <v xml:space="preserve">SUN CANOPY </v>
          </cell>
          <cell r="E56" t="str">
            <v>Flame Red</v>
          </cell>
          <cell r="F56" t="str">
            <v>consumer</v>
          </cell>
          <cell r="G56">
            <v>4000984145304</v>
          </cell>
        </row>
        <row r="57">
          <cell r="B57">
            <v>2000026166</v>
          </cell>
          <cell r="C57" t="str">
            <v>BABY SAFE plus II / SHR (A20)</v>
          </cell>
          <cell r="D57" t="str">
            <v xml:space="preserve">SUN CANOPY </v>
          </cell>
          <cell r="E57" t="str">
            <v>Olive Green</v>
          </cell>
          <cell r="F57" t="str">
            <v>consumer</v>
          </cell>
          <cell r="G57">
            <v>4000984154146</v>
          </cell>
        </row>
        <row r="58">
          <cell r="B58">
            <v>2000029640</v>
          </cell>
          <cell r="C58" t="str">
            <v>BABY SAFE plus II / SHR (A20)</v>
          </cell>
          <cell r="D58" t="str">
            <v xml:space="preserve">SUN CANOPY </v>
          </cell>
          <cell r="E58" t="str">
            <v>Moonlight Blue</v>
          </cell>
          <cell r="F58" t="str">
            <v>consumer</v>
          </cell>
          <cell r="G58">
            <v>4000984192377</v>
          </cell>
        </row>
        <row r="59">
          <cell r="B59">
            <v>2000029641</v>
          </cell>
          <cell r="C59" t="str">
            <v>BABY SAFE plus II / SHR (A20)</v>
          </cell>
          <cell r="D59" t="str">
            <v xml:space="preserve">SUN CANOPY </v>
          </cell>
          <cell r="E59" t="str">
            <v>Wine Rose</v>
          </cell>
          <cell r="F59" t="str">
            <v>consumer</v>
          </cell>
          <cell r="G59">
            <v>4000984192384</v>
          </cell>
        </row>
        <row r="60">
          <cell r="B60">
            <v>2000024333</v>
          </cell>
          <cell r="C60" t="str">
            <v>BABY SAFE plus II / SHR (A20)</v>
          </cell>
          <cell r="D60" t="str">
            <v xml:space="preserve">SUN CANOPY </v>
          </cell>
          <cell r="E60" t="str">
            <v>Mineral Purple</v>
          </cell>
          <cell r="F60" t="str">
            <v>consumer</v>
          </cell>
          <cell r="G60">
            <v>4000984145328</v>
          </cell>
        </row>
        <row r="61">
          <cell r="B61">
            <v>2000024332</v>
          </cell>
          <cell r="C61" t="str">
            <v>BABY SAFE plus II / SHR (A20)</v>
          </cell>
          <cell r="D61" t="str">
            <v xml:space="preserve">SUN CANOPY </v>
          </cell>
          <cell r="E61" t="str">
            <v>Ocean Blue</v>
          </cell>
          <cell r="F61" t="str">
            <v>consumer</v>
          </cell>
          <cell r="G61">
            <v>4000984145311</v>
          </cell>
        </row>
        <row r="62">
          <cell r="B62">
            <v>2000024579</v>
          </cell>
          <cell r="C62" t="str">
            <v>BABY SAFE plus II / SHR (A20)</v>
          </cell>
          <cell r="D62" t="str">
            <v>SHOULDER PAD SET FR</v>
          </cell>
          <cell r="F62" t="str">
            <v>consumer</v>
          </cell>
          <cell r="G62">
            <v>4000984136616</v>
          </cell>
        </row>
        <row r="63">
          <cell r="B63">
            <v>2000024465</v>
          </cell>
          <cell r="C63" t="str">
            <v>BABY SAFE plus II / SHR (A20)</v>
          </cell>
          <cell r="D63" t="str">
            <v>SHOULDER PAD SET</v>
          </cell>
          <cell r="E63" t="str">
            <v>Black</v>
          </cell>
          <cell r="F63" t="str">
            <v>consumer</v>
          </cell>
          <cell r="G63">
            <v>4000984134476</v>
          </cell>
        </row>
        <row r="64">
          <cell r="B64">
            <v>2000003464</v>
          </cell>
          <cell r="C64" t="str">
            <v>BABY SAFE plus II / SHR (A20)</v>
          </cell>
          <cell r="D64" t="str">
            <v>HEADPAD IMPACT INSERT</v>
          </cell>
          <cell r="F64" t="str">
            <v>consumer</v>
          </cell>
          <cell r="G64">
            <v>4000984082371</v>
          </cell>
        </row>
        <row r="65">
          <cell r="B65">
            <v>2000006624</v>
          </cell>
          <cell r="C65" t="str">
            <v>BABY SAFE plus II / SHR (A20)</v>
          </cell>
          <cell r="D65" t="str">
            <v>USER GUIDE COMPARTMENT</v>
          </cell>
          <cell r="E65" t="str">
            <v>Black</v>
          </cell>
          <cell r="F65" t="str">
            <v>consumer</v>
          </cell>
          <cell r="G65">
            <v>4000984092523</v>
          </cell>
        </row>
        <row r="66">
          <cell r="B66">
            <v>2000003463</v>
          </cell>
          <cell r="C66" t="str">
            <v>BABY SAFE plus II / SHR (A20)</v>
          </cell>
          <cell r="D66" t="str">
            <v xml:space="preserve">IMPACT INSERT SET </v>
          </cell>
          <cell r="F66" t="str">
            <v>consumer</v>
          </cell>
          <cell r="G66">
            <v>4000984082364</v>
          </cell>
        </row>
        <row r="67">
          <cell r="B67">
            <v>2000026835</v>
          </cell>
          <cell r="C67" t="str">
            <v>BABY SAFE plus II / SHR (A20)</v>
          </cell>
          <cell r="D67" t="str">
            <v>Wave Washer SUN CANOPY</v>
          </cell>
          <cell r="F67" t="str">
            <v>consumer</v>
          </cell>
        </row>
        <row r="68">
          <cell r="B68">
            <v>2000007047</v>
          </cell>
          <cell r="C68" t="str">
            <v>DUALFIX i-SIZE</v>
          </cell>
          <cell r="D68" t="str">
            <v>ISOFIX LATCH GUIDES - WIDE</v>
          </cell>
          <cell r="F68" t="str">
            <v>consumer</v>
          </cell>
        </row>
        <row r="69">
          <cell r="B69">
            <v>2000027524</v>
          </cell>
          <cell r="C69" t="str">
            <v>DUALFIX i-SIZE</v>
          </cell>
          <cell r="D69" t="str">
            <v xml:space="preserve">IMPACT INSERT BACK SET </v>
          </cell>
          <cell r="F69" t="str">
            <v>consumer</v>
          </cell>
          <cell r="G69">
            <v>4000984166774</v>
          </cell>
        </row>
        <row r="70">
          <cell r="B70">
            <v>2000027525</v>
          </cell>
          <cell r="C70" t="str">
            <v>DUALFIX i-SIZE</v>
          </cell>
          <cell r="D70" t="str">
            <v>IMPACT INSERT HEAD</v>
          </cell>
          <cell r="F70" t="str">
            <v>consumer</v>
          </cell>
          <cell r="G70">
            <v>4000984166781</v>
          </cell>
        </row>
        <row r="71">
          <cell r="B71">
            <v>2000027526</v>
          </cell>
          <cell r="C71" t="str">
            <v>DUALFIX i-SIZE</v>
          </cell>
          <cell r="D71" t="str">
            <v>ADJUSTER COVER</v>
          </cell>
          <cell r="F71" t="str">
            <v>consumer</v>
          </cell>
          <cell r="G71">
            <v>4000984166798</v>
          </cell>
        </row>
        <row r="72">
          <cell r="B72">
            <v>2000027527</v>
          </cell>
          <cell r="C72" t="str">
            <v>DUALFIX i-SIZE</v>
          </cell>
          <cell r="D72" t="str">
            <v xml:space="preserve">NEWBORN INSERT </v>
          </cell>
          <cell r="E72" t="str">
            <v>Cosmos Black/Mystic Black/Blue Marble</v>
          </cell>
          <cell r="F72" t="str">
            <v>consumer</v>
          </cell>
          <cell r="G72">
            <v>4000984166804</v>
          </cell>
        </row>
        <row r="73">
          <cell r="B73">
            <v>2000027528</v>
          </cell>
          <cell r="C73" t="str">
            <v>DUALFIX i-SIZE</v>
          </cell>
          <cell r="D73" t="str">
            <v xml:space="preserve">NEWBORN INSERT </v>
          </cell>
          <cell r="E73" t="str">
            <v>Flame Red</v>
          </cell>
          <cell r="F73" t="str">
            <v>consumer</v>
          </cell>
          <cell r="G73">
            <v>4000984166811</v>
          </cell>
        </row>
        <row r="74">
          <cell r="B74">
            <v>2000027531</v>
          </cell>
          <cell r="C74" t="str">
            <v>DUALFIX i-SIZE</v>
          </cell>
          <cell r="D74" t="str">
            <v xml:space="preserve">NEWBORN INSERT </v>
          </cell>
          <cell r="E74" t="str">
            <v>Storm Grey</v>
          </cell>
          <cell r="F74" t="str">
            <v>consumer</v>
          </cell>
          <cell r="G74">
            <v>4000984166842</v>
          </cell>
        </row>
        <row r="75">
          <cell r="B75">
            <v>2000027532</v>
          </cell>
          <cell r="C75" t="str">
            <v>DUALFIX i-SIZE</v>
          </cell>
          <cell r="D75" t="str">
            <v xml:space="preserve">NEWBORN INSERT </v>
          </cell>
          <cell r="E75" t="str">
            <v>Olive Green</v>
          </cell>
          <cell r="F75" t="str">
            <v>consumer</v>
          </cell>
          <cell r="G75">
            <v>4000984166859</v>
          </cell>
        </row>
        <row r="76">
          <cell r="B76">
            <v>2000027529</v>
          </cell>
          <cell r="C76" t="str">
            <v>DUALFIX i-SIZE</v>
          </cell>
          <cell r="D76" t="str">
            <v xml:space="preserve">NEWBORN INSERT </v>
          </cell>
          <cell r="E76" t="str">
            <v>Moonlight Blue</v>
          </cell>
          <cell r="F76" t="str">
            <v>consumer</v>
          </cell>
          <cell r="G76">
            <v>4000984166828</v>
          </cell>
        </row>
        <row r="77">
          <cell r="B77">
            <v>2000027530</v>
          </cell>
          <cell r="C77" t="str">
            <v>DUALFIX i-SIZE</v>
          </cell>
          <cell r="D77" t="str">
            <v xml:space="preserve">NEWBORN INSERT </v>
          </cell>
          <cell r="E77" t="str">
            <v>Wine Rose</v>
          </cell>
          <cell r="F77" t="str">
            <v>consumer</v>
          </cell>
          <cell r="G77">
            <v>4000984166835</v>
          </cell>
        </row>
        <row r="78">
          <cell r="B78">
            <v>2000027533</v>
          </cell>
          <cell r="C78" t="str">
            <v>DUALFIX i-SIZE</v>
          </cell>
          <cell r="D78" t="str">
            <v xml:space="preserve">NEWBORN INSERT </v>
          </cell>
          <cell r="E78" t="str">
            <v>Sand Marble</v>
          </cell>
          <cell r="F78" t="str">
            <v>consumer</v>
          </cell>
          <cell r="G78">
            <v>4000984166866</v>
          </cell>
        </row>
        <row r="79">
          <cell r="B79">
            <v>2000027534</v>
          </cell>
          <cell r="C79" t="str">
            <v>DUALFIX i-SIZE</v>
          </cell>
          <cell r="D79" t="str">
            <v>SHOULDER PAD SET</v>
          </cell>
          <cell r="E79" t="str">
            <v>Cosmos Black</v>
          </cell>
          <cell r="F79" t="str">
            <v>consumer</v>
          </cell>
          <cell r="G79">
            <v>4000984166873</v>
          </cell>
        </row>
        <row r="80">
          <cell r="B80">
            <v>2000027535</v>
          </cell>
          <cell r="C80" t="str">
            <v>DUALFIX i-SIZE</v>
          </cell>
          <cell r="D80" t="str">
            <v>SHOULDER PAD SET</v>
          </cell>
          <cell r="E80" t="str">
            <v>Flame Red</v>
          </cell>
          <cell r="F80" t="str">
            <v>consumer</v>
          </cell>
          <cell r="G80">
            <v>4000984166880</v>
          </cell>
        </row>
        <row r="81">
          <cell r="B81">
            <v>2000027538</v>
          </cell>
          <cell r="C81" t="str">
            <v>DUALFIX i-SIZE</v>
          </cell>
          <cell r="D81" t="str">
            <v>SHOULDER PAD SET</v>
          </cell>
          <cell r="E81" t="str">
            <v>Storm Grey</v>
          </cell>
          <cell r="F81" t="str">
            <v>consumer</v>
          </cell>
          <cell r="G81">
            <v>4000984166910</v>
          </cell>
        </row>
        <row r="82">
          <cell r="B82">
            <v>2000027539</v>
          </cell>
          <cell r="C82" t="str">
            <v>DUALFIX i-SIZE</v>
          </cell>
          <cell r="D82" t="str">
            <v>SHOULDER PAD SET</v>
          </cell>
          <cell r="E82" t="str">
            <v>Olive Green</v>
          </cell>
          <cell r="F82" t="str">
            <v>consumer</v>
          </cell>
          <cell r="G82">
            <v>4000984166927</v>
          </cell>
        </row>
        <row r="83">
          <cell r="B83">
            <v>2000027536</v>
          </cell>
          <cell r="C83" t="str">
            <v>DUALFIX i-SIZE</v>
          </cell>
          <cell r="D83" t="str">
            <v>SHOULDER PAD SET</v>
          </cell>
          <cell r="E83" t="str">
            <v>Moonlight Blue</v>
          </cell>
          <cell r="F83" t="str">
            <v>consumer</v>
          </cell>
          <cell r="G83">
            <v>4000984166897</v>
          </cell>
        </row>
        <row r="84">
          <cell r="B84">
            <v>2000027537</v>
          </cell>
          <cell r="C84" t="str">
            <v>DUALFIX i-SIZE</v>
          </cell>
          <cell r="D84" t="str">
            <v>SHOULDER PAD SET</v>
          </cell>
          <cell r="E84" t="str">
            <v>Wine Rose</v>
          </cell>
          <cell r="F84" t="str">
            <v>consumer</v>
          </cell>
          <cell r="G84">
            <v>4000984166903</v>
          </cell>
        </row>
        <row r="85">
          <cell r="B85">
            <v>2000027541</v>
          </cell>
          <cell r="C85" t="str">
            <v>DUALFIX i-SIZE</v>
          </cell>
          <cell r="D85" t="str">
            <v>SHOULDER PAD SET</v>
          </cell>
          <cell r="E85" t="str">
            <v>Sand Marble</v>
          </cell>
          <cell r="F85" t="str">
            <v>consumer</v>
          </cell>
          <cell r="G85">
            <v>4000984181128</v>
          </cell>
        </row>
        <row r="86">
          <cell r="B86">
            <v>2000027540</v>
          </cell>
          <cell r="C86" t="str">
            <v>DUALFIX i-SIZE</v>
          </cell>
          <cell r="D86" t="str">
            <v>SHOULDER PAD SET</v>
          </cell>
          <cell r="E86" t="str">
            <v>Blue Marble</v>
          </cell>
          <cell r="F86" t="str">
            <v>consumer</v>
          </cell>
          <cell r="G86">
            <v>4000984181111</v>
          </cell>
        </row>
        <row r="87">
          <cell r="B87">
            <v>2000027542</v>
          </cell>
          <cell r="C87" t="str">
            <v>DUALFIX i-SIZE</v>
          </cell>
          <cell r="D87" t="str">
            <v>SHOULDER PAD SET</v>
          </cell>
          <cell r="E87" t="str">
            <v>Mystic Black</v>
          </cell>
          <cell r="F87" t="str">
            <v>consumer</v>
          </cell>
          <cell r="G87">
            <v>4000984181135</v>
          </cell>
        </row>
        <row r="88">
          <cell r="B88">
            <v>2000007047</v>
          </cell>
          <cell r="C88" t="str">
            <v>SWINGFIX i-SIZE</v>
          </cell>
          <cell r="D88" t="str">
            <v>ISOFIX LATCH GUIDES - WIDE</v>
          </cell>
          <cell r="F88" t="str">
            <v>consumer</v>
          </cell>
        </row>
        <row r="89">
          <cell r="B89">
            <v>2000027524</v>
          </cell>
          <cell r="C89" t="str">
            <v>SWINGFIX i-SIZE</v>
          </cell>
          <cell r="D89" t="str">
            <v xml:space="preserve">IMPACT INSERT BACK SET </v>
          </cell>
          <cell r="F89" t="str">
            <v>consumer</v>
          </cell>
          <cell r="G89">
            <v>4000984166774</v>
          </cell>
        </row>
        <row r="90">
          <cell r="B90">
            <v>2000027525</v>
          </cell>
          <cell r="C90" t="str">
            <v>SWINGFIX i-SIZE</v>
          </cell>
          <cell r="D90" t="str">
            <v>IMPACT INSERT HEAD</v>
          </cell>
          <cell r="F90" t="str">
            <v>consumer</v>
          </cell>
          <cell r="G90">
            <v>4000984166781</v>
          </cell>
        </row>
        <row r="91">
          <cell r="B91">
            <v>2000027526</v>
          </cell>
          <cell r="C91" t="str">
            <v>SWINGFIX i-SIZE</v>
          </cell>
          <cell r="D91" t="str">
            <v>ADJUSTER COVER</v>
          </cell>
          <cell r="F91" t="str">
            <v>consumer</v>
          </cell>
          <cell r="G91">
            <v>4000984166798</v>
          </cell>
        </row>
        <row r="92">
          <cell r="B92">
            <v>2000027527</v>
          </cell>
          <cell r="C92" t="str">
            <v>SWINGFIX i-SIZE</v>
          </cell>
          <cell r="D92" t="str">
            <v xml:space="preserve">NEWBORN INSERT </v>
          </cell>
          <cell r="E92" t="str">
            <v>Cosmos Black/Mystic Black/Blue Marble</v>
          </cell>
          <cell r="F92" t="str">
            <v>consumer</v>
          </cell>
          <cell r="G92">
            <v>4000984166804</v>
          </cell>
        </row>
        <row r="93">
          <cell r="B93">
            <v>2000027531</v>
          </cell>
          <cell r="C93" t="str">
            <v>SWINGFIX i-SIZE</v>
          </cell>
          <cell r="D93" t="str">
            <v xml:space="preserve">NEWBORN INSERT </v>
          </cell>
          <cell r="E93" t="str">
            <v>Storm Grey</v>
          </cell>
          <cell r="F93" t="str">
            <v>consumer</v>
          </cell>
          <cell r="G93">
            <v>4000984166842</v>
          </cell>
        </row>
        <row r="94">
          <cell r="B94">
            <v>2000027529</v>
          </cell>
          <cell r="C94" t="str">
            <v>SWINGFIX i-SIZE</v>
          </cell>
          <cell r="D94" t="str">
            <v xml:space="preserve">NEWBORN INSERT </v>
          </cell>
          <cell r="E94" t="str">
            <v>Moonlight Blue</v>
          </cell>
          <cell r="F94" t="str">
            <v>consumer</v>
          </cell>
          <cell r="G94">
            <v>4000984166828</v>
          </cell>
        </row>
        <row r="95">
          <cell r="B95">
            <v>2000027534</v>
          </cell>
          <cell r="C95" t="str">
            <v>SWINGFIX i-SIZE</v>
          </cell>
          <cell r="D95" t="str">
            <v>SHOULDER PAD SET</v>
          </cell>
          <cell r="E95" t="str">
            <v>Cosmos Black</v>
          </cell>
          <cell r="F95" t="str">
            <v>consumer</v>
          </cell>
          <cell r="G95">
            <v>4000984166873</v>
          </cell>
        </row>
        <row r="96">
          <cell r="B96">
            <v>2000027538</v>
          </cell>
          <cell r="C96" t="str">
            <v>SWINGFIX i-SIZE</v>
          </cell>
          <cell r="D96" t="str">
            <v>SHOULDER PAD SET</v>
          </cell>
          <cell r="E96" t="str">
            <v>Storm Grey</v>
          </cell>
          <cell r="F96" t="str">
            <v>consumer</v>
          </cell>
          <cell r="G96">
            <v>4000984166910</v>
          </cell>
        </row>
        <row r="97">
          <cell r="B97">
            <v>2000027536</v>
          </cell>
          <cell r="C97" t="str">
            <v>SWINGFIX i-SIZE</v>
          </cell>
          <cell r="D97" t="str">
            <v>SHOULDER PAD SET</v>
          </cell>
          <cell r="E97" t="str">
            <v>Moonlight Blue</v>
          </cell>
          <cell r="F97" t="str">
            <v>consumer</v>
          </cell>
          <cell r="G97">
            <v>4000984166897</v>
          </cell>
        </row>
        <row r="98">
          <cell r="B98">
            <v>2000027540</v>
          </cell>
          <cell r="C98" t="str">
            <v>SWINGFIX i-SIZE</v>
          </cell>
          <cell r="D98" t="str">
            <v>SHOULDER PAD SET</v>
          </cell>
          <cell r="E98" t="str">
            <v>Blue Marble</v>
          </cell>
          <cell r="F98" t="str">
            <v>consumer</v>
          </cell>
          <cell r="G98">
            <v>4000984181111</v>
          </cell>
        </row>
        <row r="99">
          <cell r="B99">
            <v>2000027542</v>
          </cell>
          <cell r="C99" t="str">
            <v>SWINGFIX i-SIZE</v>
          </cell>
          <cell r="D99" t="str">
            <v>SHOULDER PAD SET</v>
          </cell>
          <cell r="E99" t="str">
            <v>Mystic Black</v>
          </cell>
          <cell r="F99" t="str">
            <v>consumer</v>
          </cell>
          <cell r="G99">
            <v>4000984181135</v>
          </cell>
        </row>
        <row r="100">
          <cell r="B100">
            <v>2000024309</v>
          </cell>
          <cell r="C100" t="str">
            <v>FIRST CLASS plus</v>
          </cell>
          <cell r="D100" t="str">
            <v xml:space="preserve">INFANT INSERT </v>
          </cell>
          <cell r="E100" t="str">
            <v>Cosmos Black/
Black Marble/ Blue Marble</v>
          </cell>
          <cell r="F100" t="str">
            <v>consumer</v>
          </cell>
          <cell r="G100">
            <v>4000984145366</v>
          </cell>
        </row>
        <row r="101">
          <cell r="B101">
            <v>2000024310</v>
          </cell>
          <cell r="C101" t="str">
            <v>FIRST CLASS plus</v>
          </cell>
          <cell r="D101" t="str">
            <v>INFANT INSERT</v>
          </cell>
          <cell r="E101" t="str">
            <v>Flame Red</v>
          </cell>
          <cell r="F101" t="str">
            <v>consumer</v>
          </cell>
          <cell r="G101">
            <v>4000984145373</v>
          </cell>
        </row>
        <row r="102">
          <cell r="B102">
            <v>2000026204</v>
          </cell>
          <cell r="C102" t="str">
            <v>FIRST CLASS plus</v>
          </cell>
          <cell r="D102" t="str">
            <v>INFANT INSERT</v>
          </cell>
          <cell r="E102" t="str">
            <v>Storm Grey</v>
          </cell>
          <cell r="F102" t="str">
            <v>consumer</v>
          </cell>
          <cell r="G102">
            <v>4000984154528</v>
          </cell>
        </row>
        <row r="103">
          <cell r="B103">
            <v>2000027730</v>
          </cell>
          <cell r="C103" t="str">
            <v>FIRST CLASS plus</v>
          </cell>
          <cell r="D103" t="str">
            <v>INFANT INSERT</v>
          </cell>
          <cell r="E103" t="str">
            <v>Moonlight Blue</v>
          </cell>
          <cell r="F103" t="str">
            <v>consumer</v>
          </cell>
          <cell r="G103">
            <v>4000984182835</v>
          </cell>
        </row>
        <row r="104">
          <cell r="B104">
            <v>2000027733</v>
          </cell>
          <cell r="C104" t="str">
            <v>FIRST CLASS plus</v>
          </cell>
          <cell r="D104" t="str">
            <v>INFANT INSERT</v>
          </cell>
          <cell r="E104" t="str">
            <v>Wine Rose</v>
          </cell>
          <cell r="F104" t="str">
            <v>consumer</v>
          </cell>
          <cell r="G104">
            <v>4000984182866</v>
          </cell>
        </row>
        <row r="105">
          <cell r="B105">
            <v>2000024285</v>
          </cell>
          <cell r="C105" t="str">
            <v>FIRST CLASS plus</v>
          </cell>
          <cell r="D105" t="str">
            <v>SHOULDER PAD SET</v>
          </cell>
          <cell r="E105" t="str">
            <v>Cosmos Black</v>
          </cell>
          <cell r="F105" t="str">
            <v>consumer</v>
          </cell>
          <cell r="G105">
            <v>4000984145694</v>
          </cell>
        </row>
        <row r="106">
          <cell r="B106">
            <v>2000024286</v>
          </cell>
          <cell r="C106" t="str">
            <v>FIRST CLASS plus</v>
          </cell>
          <cell r="D106" t="str">
            <v xml:space="preserve">SHOULDER PAD SET </v>
          </cell>
          <cell r="E106" t="str">
            <v>Flame Red</v>
          </cell>
          <cell r="F106" t="str">
            <v>consumer</v>
          </cell>
          <cell r="G106">
            <v>4000984145700</v>
          </cell>
        </row>
        <row r="107">
          <cell r="B107">
            <v>2000026206</v>
          </cell>
          <cell r="C107" t="str">
            <v>FIRST CLASS plus</v>
          </cell>
          <cell r="D107" t="str">
            <v xml:space="preserve">SHOULDER PAD SET </v>
          </cell>
          <cell r="E107" t="str">
            <v>Storm Grey</v>
          </cell>
          <cell r="F107" t="str">
            <v>consumer</v>
          </cell>
          <cell r="G107">
            <v>4000984154542</v>
          </cell>
        </row>
        <row r="108">
          <cell r="B108">
            <v>2000027731</v>
          </cell>
          <cell r="C108" t="str">
            <v>FIRST CLASS plus</v>
          </cell>
          <cell r="D108" t="str">
            <v xml:space="preserve">SHOULDER PAD SET </v>
          </cell>
          <cell r="E108" t="str">
            <v>Moonlight Blue</v>
          </cell>
          <cell r="F108" t="str">
            <v>consumer</v>
          </cell>
          <cell r="G108">
            <v>4000984182842</v>
          </cell>
        </row>
        <row r="109">
          <cell r="B109">
            <v>2000027734</v>
          </cell>
          <cell r="C109" t="str">
            <v>FIRST CLASS plus</v>
          </cell>
          <cell r="D109" t="str">
            <v xml:space="preserve">SHOULDER PAD SET </v>
          </cell>
          <cell r="E109" t="str">
            <v>Wine Rose</v>
          </cell>
          <cell r="F109" t="str">
            <v>consumer</v>
          </cell>
          <cell r="G109">
            <v>4000984182873</v>
          </cell>
        </row>
        <row r="110">
          <cell r="B110">
            <v>2000027737</v>
          </cell>
          <cell r="C110" t="str">
            <v>FIRST CLASS plus</v>
          </cell>
          <cell r="D110" t="str">
            <v xml:space="preserve">SHOULDER PAD SET </v>
          </cell>
          <cell r="E110" t="str">
            <v>Blue Marble</v>
          </cell>
          <cell r="F110" t="str">
            <v>consumer</v>
          </cell>
          <cell r="G110">
            <v>4000984182903</v>
          </cell>
        </row>
        <row r="111">
          <cell r="B111">
            <v>2000003672</v>
          </cell>
          <cell r="C111" t="str">
            <v>FIRST CLASS plus</v>
          </cell>
          <cell r="D111" t="str">
            <v>BELT SHIELD</v>
          </cell>
          <cell r="F111" t="str">
            <v>consumer</v>
          </cell>
          <cell r="G111">
            <v>4000984084634</v>
          </cell>
        </row>
        <row r="112">
          <cell r="B112">
            <v>2000003675</v>
          </cell>
          <cell r="C112" t="str">
            <v>FIRST CLASS plus</v>
          </cell>
          <cell r="D112" t="str">
            <v>IMPACT INSERT SET</v>
          </cell>
          <cell r="F112" t="str">
            <v>consumer</v>
          </cell>
          <cell r="G112">
            <v>4000984084665</v>
          </cell>
        </row>
        <row r="113">
          <cell r="B113">
            <v>2000024298</v>
          </cell>
          <cell r="C113" t="str">
            <v>FIRST CLASS plus</v>
          </cell>
          <cell r="D113" t="str">
            <v>BELLY PAD</v>
          </cell>
          <cell r="E113" t="str">
            <v>Black</v>
          </cell>
          <cell r="F113" t="str">
            <v>consumer</v>
          </cell>
          <cell r="G113">
            <v>4000984145540</v>
          </cell>
        </row>
        <row r="114">
          <cell r="B114">
            <v>2000003886</v>
          </cell>
          <cell r="C114" t="str">
            <v>FIRST CLASS plus</v>
          </cell>
          <cell r="D114" t="str">
            <v xml:space="preserve">HARNESS SET UPGRADE </v>
          </cell>
          <cell r="F114" t="str">
            <v>retailer only</v>
          </cell>
          <cell r="G114">
            <v>4000984085167</v>
          </cell>
        </row>
        <row r="115">
          <cell r="B115">
            <v>2000010924</v>
          </cell>
          <cell r="C115" t="str">
            <v>DUALFIX</v>
          </cell>
          <cell r="D115" t="str">
            <v>USER GUIDE COMPARTMENT</v>
          </cell>
          <cell r="F115" t="str">
            <v>consumer</v>
          </cell>
          <cell r="G115">
            <v>5012124062944</v>
          </cell>
        </row>
        <row r="116">
          <cell r="B116">
            <v>2000024313</v>
          </cell>
          <cell r="C116" t="str">
            <v>DUALFIX</v>
          </cell>
          <cell r="D116" t="str">
            <v xml:space="preserve">INFANT INSERT </v>
          </cell>
          <cell r="E116" t="str">
            <v>Black</v>
          </cell>
          <cell r="F116" t="str">
            <v>consumer</v>
          </cell>
          <cell r="G116">
            <v>4000984145403</v>
          </cell>
        </row>
        <row r="117">
          <cell r="B117">
            <v>2000010466</v>
          </cell>
          <cell r="C117" t="str">
            <v>DUALFIX</v>
          </cell>
          <cell r="D117" t="str">
            <v>ADJUSTER COVER</v>
          </cell>
          <cell r="F117" t="str">
            <v>consumer</v>
          </cell>
          <cell r="G117">
            <v>5012124062913</v>
          </cell>
        </row>
        <row r="118">
          <cell r="B118">
            <v>2000024298</v>
          </cell>
          <cell r="C118" t="str">
            <v>DUALFIX</v>
          </cell>
          <cell r="D118" t="str">
            <v>BELLY PAD</v>
          </cell>
          <cell r="E118" t="str">
            <v>Black</v>
          </cell>
          <cell r="F118" t="str">
            <v>consumer</v>
          </cell>
          <cell r="G118">
            <v>4000984145540</v>
          </cell>
        </row>
        <row r="119">
          <cell r="B119">
            <v>2000024293</v>
          </cell>
          <cell r="C119" t="str">
            <v>DUALFIX</v>
          </cell>
          <cell r="D119" t="str">
            <v xml:space="preserve">SHOULDER PAD SET </v>
          </cell>
          <cell r="E119" t="str">
            <v>Black Marble</v>
          </cell>
          <cell r="F119" t="str">
            <v>consumer</v>
          </cell>
          <cell r="G119">
            <v>4000984145496</v>
          </cell>
        </row>
        <row r="120">
          <cell r="B120">
            <v>2000024289</v>
          </cell>
          <cell r="C120" t="str">
            <v>DUALFIX</v>
          </cell>
          <cell r="D120" t="str">
            <v xml:space="preserve">SHOULDER PAD SET </v>
          </cell>
          <cell r="E120" t="str">
            <v>Cosmos Black</v>
          </cell>
          <cell r="F120" t="str">
            <v>consumer</v>
          </cell>
          <cell r="G120">
            <v>4000984145731</v>
          </cell>
        </row>
        <row r="121">
          <cell r="B121">
            <v>2000024290</v>
          </cell>
          <cell r="C121" t="str">
            <v>DUALFIX</v>
          </cell>
          <cell r="D121" t="str">
            <v xml:space="preserve">SHOULDER PAD SET </v>
          </cell>
          <cell r="E121" t="str">
            <v>Flame Red</v>
          </cell>
          <cell r="F121" t="str">
            <v>consumer</v>
          </cell>
          <cell r="G121">
            <v>4000984145748</v>
          </cell>
        </row>
        <row r="122">
          <cell r="B122">
            <v>2000026208</v>
          </cell>
          <cell r="C122" t="str">
            <v>DUALFIX</v>
          </cell>
          <cell r="D122" t="str">
            <v xml:space="preserve">SHOULDER PAD SET </v>
          </cell>
          <cell r="E122" t="str">
            <v>Storm Grey</v>
          </cell>
          <cell r="F122" t="str">
            <v>consumer</v>
          </cell>
          <cell r="G122">
            <v>4000984154566</v>
          </cell>
        </row>
        <row r="123">
          <cell r="B123">
            <v>2000027768</v>
          </cell>
          <cell r="C123" t="str">
            <v>DUALFIX</v>
          </cell>
          <cell r="D123" t="str">
            <v xml:space="preserve">SHOULDER PAD SET </v>
          </cell>
          <cell r="E123" t="str">
            <v>Moonlight Blue</v>
          </cell>
          <cell r="F123" t="str">
            <v>consumer</v>
          </cell>
          <cell r="G123">
            <v>4000984183214</v>
          </cell>
        </row>
        <row r="124">
          <cell r="B124">
            <v>2000027769</v>
          </cell>
          <cell r="C124" t="str">
            <v>DUALFIX</v>
          </cell>
          <cell r="D124" t="str">
            <v xml:space="preserve">SHOULDER PAD SET </v>
          </cell>
          <cell r="E124" t="str">
            <v>Wine Rose</v>
          </cell>
          <cell r="F124" t="str">
            <v>consumer</v>
          </cell>
          <cell r="G124">
            <v>4000984183221</v>
          </cell>
        </row>
        <row r="125">
          <cell r="B125">
            <v>2000026498</v>
          </cell>
          <cell r="C125" t="str">
            <v>DUALFIX</v>
          </cell>
          <cell r="D125" t="str">
            <v>REBOUND BAR COVER SLIM</v>
          </cell>
          <cell r="E125" t="str">
            <v>Black</v>
          </cell>
          <cell r="F125" t="str">
            <v>consumer</v>
          </cell>
          <cell r="G125">
            <v>4000984155075</v>
          </cell>
        </row>
        <row r="126">
          <cell r="B126">
            <v>2000010837</v>
          </cell>
          <cell r="C126" t="str">
            <v>MAX-FIX</v>
          </cell>
          <cell r="D126" t="str">
            <v>USER GUIDE COMPARTMENT</v>
          </cell>
          <cell r="F126" t="str">
            <v>consumer</v>
          </cell>
          <cell r="G126">
            <v>5012124063064</v>
          </cell>
        </row>
        <row r="127">
          <cell r="B127">
            <v>2000007141</v>
          </cell>
          <cell r="C127" t="str">
            <v>MAX-FIX</v>
          </cell>
          <cell r="D127" t="str">
            <v xml:space="preserve">IMPACT INSERT SET </v>
          </cell>
          <cell r="F127" t="str">
            <v>consumer</v>
          </cell>
          <cell r="G127">
            <v>4000984093698</v>
          </cell>
        </row>
        <row r="128">
          <cell r="B128">
            <v>2000003485</v>
          </cell>
          <cell r="C128" t="str">
            <v>MAX-FIX</v>
          </cell>
          <cell r="D128" t="str">
            <v xml:space="preserve">HARNESS SET </v>
          </cell>
          <cell r="F128" t="str">
            <v>retailer only</v>
          </cell>
          <cell r="G128">
            <v>4000984082586</v>
          </cell>
        </row>
        <row r="129">
          <cell r="B129">
            <v>2000024289</v>
          </cell>
          <cell r="C129" t="str">
            <v>MAX-FIX II</v>
          </cell>
          <cell r="D129" t="str">
            <v xml:space="preserve">SHOULDER PAD SET </v>
          </cell>
          <cell r="E129" t="str">
            <v>Cosmos Black/ 
Steel Grey</v>
          </cell>
          <cell r="F129" t="str">
            <v>consumer</v>
          </cell>
          <cell r="G129">
            <v>4000984145731</v>
          </cell>
        </row>
        <row r="130">
          <cell r="B130">
            <v>2000024298</v>
          </cell>
          <cell r="C130" t="str">
            <v>MAX-FIX II</v>
          </cell>
          <cell r="D130" t="str">
            <v>BELLY PAD</v>
          </cell>
          <cell r="E130" t="str">
            <v>Black</v>
          </cell>
          <cell r="F130" t="str">
            <v>consumer</v>
          </cell>
          <cell r="G130">
            <v>4000984145540</v>
          </cell>
        </row>
        <row r="131">
          <cell r="B131">
            <v>2000024315</v>
          </cell>
          <cell r="C131" t="str">
            <v>MAX-FIX II</v>
          </cell>
          <cell r="D131" t="str">
            <v xml:space="preserve">INFANT INSERT </v>
          </cell>
          <cell r="E131" t="str">
            <v>Cosmos Black/
Steel Grey</v>
          </cell>
          <cell r="F131" t="str">
            <v>consumer</v>
          </cell>
          <cell r="G131">
            <v>4000984145427</v>
          </cell>
        </row>
        <row r="132">
          <cell r="B132">
            <v>2000010837</v>
          </cell>
          <cell r="C132" t="str">
            <v>MAX-FIX II</v>
          </cell>
          <cell r="D132" t="str">
            <v>USER GUIDE COMPARTMENT</v>
          </cell>
          <cell r="F132" t="str">
            <v>consumer</v>
          </cell>
          <cell r="G132">
            <v>5012124063064</v>
          </cell>
        </row>
        <row r="133">
          <cell r="B133">
            <v>2000007141</v>
          </cell>
          <cell r="C133" t="str">
            <v>MAX-FIX II</v>
          </cell>
          <cell r="D133" t="str">
            <v xml:space="preserve">IMPACT INSERT SET </v>
          </cell>
          <cell r="F133" t="str">
            <v>consumer</v>
          </cell>
          <cell r="G133">
            <v>4000984093698</v>
          </cell>
        </row>
        <row r="134">
          <cell r="B134">
            <v>2000003485</v>
          </cell>
          <cell r="C134" t="str">
            <v>MAX-FIX II</v>
          </cell>
          <cell r="D134" t="str">
            <v xml:space="preserve">HARNESS SET </v>
          </cell>
          <cell r="F134" t="str">
            <v>retailer only</v>
          </cell>
          <cell r="G134">
            <v>4000984082586</v>
          </cell>
        </row>
        <row r="135">
          <cell r="B135">
            <v>2000024314</v>
          </cell>
          <cell r="C135" t="str">
            <v>MAX-FIX II</v>
          </cell>
          <cell r="D135" t="str">
            <v xml:space="preserve">REBOUND BAR COVER </v>
          </cell>
          <cell r="E135" t="str">
            <v>Black</v>
          </cell>
          <cell r="F135" t="str">
            <v>consumer</v>
          </cell>
          <cell r="G135">
            <v>4000984145410</v>
          </cell>
        </row>
        <row r="136">
          <cell r="B136">
            <v>2000003891</v>
          </cell>
          <cell r="C136" t="str">
            <v>MAX-FIX II</v>
          </cell>
          <cell r="D136" t="str">
            <v>ADJUSTER COVER SET</v>
          </cell>
          <cell r="F136" t="str">
            <v>consumer</v>
          </cell>
          <cell r="G136">
            <v>4000984085211</v>
          </cell>
        </row>
        <row r="137">
          <cell r="B137">
            <v>2000027480</v>
          </cell>
          <cell r="C137" t="str">
            <v>TRIFIX i-SIZE / TRIFIX² i-SIZE</v>
          </cell>
          <cell r="D137" t="str">
            <v>USER GUIDE COMPARTMENT</v>
          </cell>
          <cell r="F137" t="str">
            <v>consumer</v>
          </cell>
          <cell r="G137">
            <v>4000984166439</v>
          </cell>
        </row>
        <row r="138">
          <cell r="B138">
            <v>2000027481</v>
          </cell>
          <cell r="C138" t="str">
            <v>TRIFIX i-SIZE / TRIFIX² i-SIZE</v>
          </cell>
          <cell r="D138" t="str">
            <v>HEADPAD INSERT SET WITH FIXING POPPER</v>
          </cell>
          <cell r="F138" t="str">
            <v>consumer</v>
          </cell>
          <cell r="G138">
            <v>4000984166446</v>
          </cell>
        </row>
        <row r="139">
          <cell r="B139">
            <v>2000007049</v>
          </cell>
          <cell r="C139" t="str">
            <v>TRIFIX i-SIZE / TRIFIX² i-SIZE</v>
          </cell>
          <cell r="D139" t="str">
            <v>IMPACT INSERT SET</v>
          </cell>
          <cell r="F139" t="str">
            <v>consumer</v>
          </cell>
          <cell r="G139">
            <v>4000984093360</v>
          </cell>
        </row>
        <row r="140">
          <cell r="B140">
            <v>2000027482</v>
          </cell>
          <cell r="C140" t="str">
            <v>TRIFIX i-SIZE / TRIFIX² i-SIZE</v>
          </cell>
          <cell r="D140" t="str">
            <v>PERFORMANCE PAD</v>
          </cell>
          <cell r="F140" t="str">
            <v>consumer</v>
          </cell>
          <cell r="G140">
            <v>4000984166453</v>
          </cell>
        </row>
        <row r="141">
          <cell r="B141">
            <v>2000007047</v>
          </cell>
          <cell r="C141" t="str">
            <v>TRIFIX i-SIZE / TRIFIX² i-SIZE</v>
          </cell>
          <cell r="D141" t="str">
            <v>ISOFIX LATCH GUIDES - WIDE</v>
          </cell>
          <cell r="F141" t="str">
            <v>consumer</v>
          </cell>
          <cell r="G141">
            <v>4000984093384</v>
          </cell>
        </row>
        <row r="142">
          <cell r="B142">
            <v>2000027492</v>
          </cell>
          <cell r="C142" t="str">
            <v>TRIFIX i-SIZE / TRIFIX² i-SIZE</v>
          </cell>
          <cell r="D142" t="str">
            <v xml:space="preserve">SHOULDER PAD SET </v>
          </cell>
          <cell r="E142" t="str">
            <v>Cosmos Black</v>
          </cell>
          <cell r="F142" t="str">
            <v>consumer</v>
          </cell>
          <cell r="G142">
            <v>4000984166552</v>
          </cell>
        </row>
        <row r="143">
          <cell r="B143">
            <v>2000027493</v>
          </cell>
          <cell r="C143" t="str">
            <v>TRIFIX i-SIZE / TRIFIX² i-SIZE</v>
          </cell>
          <cell r="D143" t="str">
            <v xml:space="preserve">SHOULDER PAD SET </v>
          </cell>
          <cell r="E143" t="str">
            <v>Flame Red</v>
          </cell>
          <cell r="F143" t="str">
            <v>consumer</v>
          </cell>
          <cell r="G143">
            <v>4000984166569</v>
          </cell>
        </row>
        <row r="144">
          <cell r="B144">
            <v>2000027494</v>
          </cell>
          <cell r="C144" t="str">
            <v>TRIFIX i-SIZE / TRIFIX² i-SIZE</v>
          </cell>
          <cell r="D144" t="str">
            <v xml:space="preserve">SHOULDER PAD SET </v>
          </cell>
          <cell r="E144" t="str">
            <v>Storm Grey</v>
          </cell>
          <cell r="F144" t="str">
            <v>consumer</v>
          </cell>
          <cell r="G144">
            <v>4000984166576</v>
          </cell>
        </row>
        <row r="145">
          <cell r="B145">
            <v>2000027495</v>
          </cell>
          <cell r="C145" t="str">
            <v>TRIFIX i-SIZE / TRIFIX² i-SIZE</v>
          </cell>
          <cell r="D145" t="str">
            <v xml:space="preserve">SHOULDER PAD SET </v>
          </cell>
          <cell r="E145" t="str">
            <v>Olive Green</v>
          </cell>
          <cell r="F145" t="str">
            <v>consumer</v>
          </cell>
          <cell r="G145">
            <v>4000984166583</v>
          </cell>
        </row>
        <row r="146">
          <cell r="B146">
            <v>2000027496</v>
          </cell>
          <cell r="C146" t="str">
            <v>TRIFIX i-SIZE / TRIFIX² i-SIZE</v>
          </cell>
          <cell r="D146" t="str">
            <v xml:space="preserve">SHOULDER PAD SET </v>
          </cell>
          <cell r="E146" t="str">
            <v>Moonlight Blue</v>
          </cell>
          <cell r="F146" t="str">
            <v>consumer</v>
          </cell>
          <cell r="G146">
            <v>4000984166590</v>
          </cell>
        </row>
        <row r="147">
          <cell r="B147">
            <v>2000027497</v>
          </cell>
          <cell r="C147" t="str">
            <v>TRIFIX i-SIZE / TRIFIX² i-SIZE</v>
          </cell>
          <cell r="D147" t="str">
            <v xml:space="preserve">SHOULDER PAD SET </v>
          </cell>
          <cell r="E147" t="str">
            <v>Wine Rose</v>
          </cell>
          <cell r="F147" t="str">
            <v>consumer</v>
          </cell>
          <cell r="G147">
            <v>4000984166606</v>
          </cell>
        </row>
        <row r="148">
          <cell r="B148">
            <v>2000027498</v>
          </cell>
          <cell r="C148" t="str">
            <v>TRIFIX i-SIZE / TRIFIX² i-SIZE</v>
          </cell>
          <cell r="D148" t="str">
            <v xml:space="preserve">SHOULDER PAD SET </v>
          </cell>
          <cell r="E148" t="str">
            <v>Blue Marble</v>
          </cell>
          <cell r="F148" t="str">
            <v>consumer</v>
          </cell>
          <cell r="G148">
            <v>4000984166613</v>
          </cell>
        </row>
        <row r="149">
          <cell r="B149">
            <v>2000027499</v>
          </cell>
          <cell r="C149" t="str">
            <v>TRIFIX i-SIZE / TRIFIX² i-SIZE</v>
          </cell>
          <cell r="D149" t="str">
            <v xml:space="preserve">SHOULDER PAD SET </v>
          </cell>
          <cell r="E149" t="str">
            <v>Sand Marble</v>
          </cell>
          <cell r="F149" t="str">
            <v>consumer</v>
          </cell>
          <cell r="G149">
            <v>4000984166620</v>
          </cell>
        </row>
        <row r="150">
          <cell r="B150">
            <v>2000027500</v>
          </cell>
          <cell r="C150" t="str">
            <v>TRIFIX i-SIZE / TRIFIX² i-SIZE</v>
          </cell>
          <cell r="D150" t="str">
            <v xml:space="preserve">SHOULDER PAD SET </v>
          </cell>
          <cell r="E150" t="str">
            <v>Mystic Black</v>
          </cell>
          <cell r="F150" t="str">
            <v>consumer</v>
          </cell>
          <cell r="G150">
            <v>4000984166637</v>
          </cell>
        </row>
        <row r="151">
          <cell r="B151">
            <v>2000012436</v>
          </cell>
          <cell r="C151" t="str">
            <v>KING II / KING ll LS / KING II ATS</v>
          </cell>
          <cell r="D151" t="str">
            <v>SEAT SHELL INLAY</v>
          </cell>
          <cell r="F151" t="str">
            <v>consumer</v>
          </cell>
          <cell r="G151">
            <v>4000984115833</v>
          </cell>
        </row>
        <row r="152">
          <cell r="B152">
            <v>2000012437</v>
          </cell>
          <cell r="C152" t="str">
            <v>KING II / KING ll LS / KING II ATS</v>
          </cell>
          <cell r="D152" t="str">
            <v>IMPACT INSERT SET</v>
          </cell>
          <cell r="F152" t="str">
            <v>consumer</v>
          </cell>
          <cell r="G152">
            <v>4000984115840</v>
          </cell>
        </row>
        <row r="153">
          <cell r="B153">
            <v>2000012438</v>
          </cell>
          <cell r="C153" t="str">
            <v>KING II / KING ll LS / KING II ATS</v>
          </cell>
          <cell r="D153" t="str">
            <v xml:space="preserve">HARNESS SET </v>
          </cell>
          <cell r="F153" t="str">
            <v>retailer only</v>
          </cell>
          <cell r="G153">
            <v>4000984115857</v>
          </cell>
        </row>
        <row r="154">
          <cell r="B154">
            <v>2000012441</v>
          </cell>
          <cell r="C154" t="str">
            <v>KING II / KING ll LS / KING II ATS</v>
          </cell>
          <cell r="D154" t="str">
            <v>PERFORMANCE PAD</v>
          </cell>
          <cell r="F154" t="str">
            <v>consumer</v>
          </cell>
          <cell r="G154">
            <v>4000984115888</v>
          </cell>
        </row>
        <row r="155">
          <cell r="B155">
            <v>2000007048</v>
          </cell>
          <cell r="C155" t="str">
            <v>KING II / KING ll LS / KING II ATS</v>
          </cell>
          <cell r="D155" t="str">
            <v>HEADPAD INSERT WITH FIXING POPPER</v>
          </cell>
          <cell r="F155" t="str">
            <v>consumer</v>
          </cell>
          <cell r="G155">
            <v>4000984093377</v>
          </cell>
        </row>
        <row r="156">
          <cell r="B156">
            <v>2000024282</v>
          </cell>
          <cell r="C156" t="str">
            <v>KING II / KING ll LS / KING II ATS</v>
          </cell>
          <cell r="D156" t="str">
            <v xml:space="preserve">SHOULDER PAD SET </v>
          </cell>
          <cell r="E156" t="str">
            <v>Black Marble</v>
          </cell>
          <cell r="F156" t="str">
            <v>consumer</v>
          </cell>
          <cell r="G156">
            <v>4000984145663</v>
          </cell>
        </row>
        <row r="157">
          <cell r="B157">
            <v>2000024276</v>
          </cell>
          <cell r="C157" t="str">
            <v>KING II / KING ll LS / KING II ATS</v>
          </cell>
          <cell r="D157" t="str">
            <v xml:space="preserve">SHOULDER PAD SET </v>
          </cell>
          <cell r="E157" t="str">
            <v>Cosmos Black</v>
          </cell>
          <cell r="F157" t="str">
            <v>consumer</v>
          </cell>
          <cell r="G157">
            <v>4000984145878</v>
          </cell>
        </row>
        <row r="158">
          <cell r="B158">
            <v>2000024277</v>
          </cell>
          <cell r="C158" t="str">
            <v>KING II / KING ll LS / KING II ATS</v>
          </cell>
          <cell r="D158" t="str">
            <v xml:space="preserve">SHOULDER PAD SET </v>
          </cell>
          <cell r="E158" t="str">
            <v>Flame Red</v>
          </cell>
          <cell r="F158" t="str">
            <v>consumer</v>
          </cell>
          <cell r="G158">
            <v>4000984145885</v>
          </cell>
        </row>
        <row r="159">
          <cell r="B159">
            <v>2000026183</v>
          </cell>
          <cell r="C159" t="str">
            <v>KING II / KING ll LS / KING II ATS</v>
          </cell>
          <cell r="D159" t="str">
            <v xml:space="preserve">SHOULDER PAD SET </v>
          </cell>
          <cell r="E159" t="str">
            <v>Storm Grey</v>
          </cell>
          <cell r="F159" t="str">
            <v>consumer</v>
          </cell>
          <cell r="G159">
            <v>4000984154313</v>
          </cell>
        </row>
        <row r="160">
          <cell r="B160">
            <v>2000026184</v>
          </cell>
          <cell r="C160" t="str">
            <v>KING II / KING ll LS / KING II ATS</v>
          </cell>
          <cell r="D160" t="str">
            <v xml:space="preserve">SHOULDER PAD SET </v>
          </cell>
          <cell r="E160" t="str">
            <v>Olive Green</v>
          </cell>
          <cell r="F160" t="str">
            <v>consumer</v>
          </cell>
          <cell r="G160">
            <v>4000984154320</v>
          </cell>
        </row>
        <row r="161">
          <cell r="B161">
            <v>2000027778</v>
          </cell>
          <cell r="C161" t="str">
            <v>KING II / KING ll LS / KING II ATS</v>
          </cell>
          <cell r="D161" t="str">
            <v xml:space="preserve">SHOULDER PAD SET </v>
          </cell>
          <cell r="E161" t="str">
            <v>Moonlight Blue</v>
          </cell>
          <cell r="F161" t="str">
            <v>consumer</v>
          </cell>
          <cell r="G161">
            <v>4000984183313</v>
          </cell>
        </row>
        <row r="162">
          <cell r="B162">
            <v>2000027780</v>
          </cell>
          <cell r="C162" t="str">
            <v>KING II / KING ll LS / KING II ATS</v>
          </cell>
          <cell r="D162" t="str">
            <v xml:space="preserve">SHOULDER PAD SET </v>
          </cell>
          <cell r="E162" t="str">
            <v>Wine Rose</v>
          </cell>
          <cell r="F162" t="str">
            <v>consumer</v>
          </cell>
          <cell r="G162">
            <v>4000984183337</v>
          </cell>
        </row>
        <row r="163">
          <cell r="B163">
            <v>2000027777</v>
          </cell>
          <cell r="C163" t="str">
            <v>KING II / KING ll LS / KING II ATS</v>
          </cell>
          <cell r="D163" t="str">
            <v xml:space="preserve">SHOULDER PAD SET </v>
          </cell>
          <cell r="E163" t="str">
            <v>Blue Marble</v>
          </cell>
          <cell r="F163" t="str">
            <v>consumer</v>
          </cell>
          <cell r="G163">
            <v>4000984183306</v>
          </cell>
        </row>
        <row r="164">
          <cell r="B164">
            <v>2000027779</v>
          </cell>
          <cell r="C164" t="str">
            <v>KING II / KING ll LS / KING II ATS</v>
          </cell>
          <cell r="D164" t="str">
            <v xml:space="preserve">SHOULDER PAD SET </v>
          </cell>
          <cell r="E164" t="str">
            <v>Sand Marble</v>
          </cell>
          <cell r="F164" t="str">
            <v>consumer</v>
          </cell>
          <cell r="G164">
            <v>4000984183320</v>
          </cell>
        </row>
        <row r="165">
          <cell r="B165">
            <v>2000029690</v>
          </cell>
          <cell r="C165" t="str">
            <v>KING II / KING ll LS / KING II ATS</v>
          </cell>
          <cell r="D165" t="str">
            <v xml:space="preserve">SHOULDER PAD SET </v>
          </cell>
          <cell r="E165" t="str">
            <v>Mystic Black</v>
          </cell>
          <cell r="F165" t="str">
            <v>consumer</v>
          </cell>
          <cell r="G165">
            <v>4000984192650</v>
          </cell>
        </row>
        <row r="166">
          <cell r="B166">
            <v>2000003672</v>
          </cell>
          <cell r="C166" t="str">
            <v>ECLIPSE</v>
          </cell>
          <cell r="D166" t="str">
            <v>BELT SHIELD</v>
          </cell>
          <cell r="F166" t="str">
            <v>consumer</v>
          </cell>
          <cell r="G166">
            <v>4000984084634</v>
          </cell>
        </row>
        <row r="167">
          <cell r="B167">
            <v>2000003675</v>
          </cell>
          <cell r="C167" t="str">
            <v>ECLIPSE</v>
          </cell>
          <cell r="D167" t="str">
            <v>IMPACT INSERT SET</v>
          </cell>
          <cell r="F167" t="str">
            <v>consumer</v>
          </cell>
          <cell r="G167">
            <v>4000984084665</v>
          </cell>
        </row>
        <row r="168">
          <cell r="B168">
            <v>2000004211</v>
          </cell>
          <cell r="C168" t="str">
            <v>ECLIPSE</v>
          </cell>
          <cell r="D168" t="str">
            <v>AIRCRAFT FITTING SET</v>
          </cell>
          <cell r="F168" t="str">
            <v>consumer</v>
          </cell>
          <cell r="G168">
            <v>4000984085969</v>
          </cell>
        </row>
        <row r="169">
          <cell r="B169">
            <v>2000024285</v>
          </cell>
          <cell r="C169" t="str">
            <v>ECLIPSE</v>
          </cell>
          <cell r="D169" t="str">
            <v>SHOULDER PAD SET</v>
          </cell>
          <cell r="E169" t="str">
            <v>Black</v>
          </cell>
          <cell r="F169" t="str">
            <v>consumer</v>
          </cell>
          <cell r="G169">
            <v>4000984145694</v>
          </cell>
        </row>
        <row r="170">
          <cell r="B170">
            <v>2000003871</v>
          </cell>
          <cell r="C170" t="str">
            <v>ECLIPSE</v>
          </cell>
          <cell r="D170" t="str">
            <v xml:space="preserve">HARNESS SET </v>
          </cell>
          <cell r="F170" t="str">
            <v>retailer only</v>
          </cell>
          <cell r="G170">
            <v>4000984085068</v>
          </cell>
        </row>
        <row r="171">
          <cell r="B171">
            <v>2000007007</v>
          </cell>
          <cell r="C171" t="str">
            <v>TRIFIX</v>
          </cell>
          <cell r="D171" t="str">
            <v>USER GUIDE COMPARTMENT</v>
          </cell>
          <cell r="E171" t="str">
            <v>Grey</v>
          </cell>
          <cell r="F171" t="str">
            <v>consumer</v>
          </cell>
          <cell r="G171">
            <v>4000984093391</v>
          </cell>
        </row>
        <row r="172">
          <cell r="B172">
            <v>2000007047</v>
          </cell>
          <cell r="C172" t="str">
            <v>TRIFIX</v>
          </cell>
          <cell r="D172" t="str">
            <v>ISOFIX LATCH GUIDES - WIDE</v>
          </cell>
          <cell r="E172" t="str">
            <v>Black</v>
          </cell>
          <cell r="F172" t="str">
            <v>consumer</v>
          </cell>
          <cell r="G172">
            <v>4000984093384</v>
          </cell>
        </row>
        <row r="173">
          <cell r="B173">
            <v>2000007049</v>
          </cell>
          <cell r="C173" t="str">
            <v>TRIFIX</v>
          </cell>
          <cell r="D173" t="str">
            <v>IMPACT INSERT SET</v>
          </cell>
          <cell r="F173" t="str">
            <v>consumer</v>
          </cell>
          <cell r="G173">
            <v>4000984093360</v>
          </cell>
        </row>
        <row r="174">
          <cell r="B174">
            <v>2000007048</v>
          </cell>
          <cell r="C174" t="str">
            <v>TRIFIX</v>
          </cell>
          <cell r="D174" t="str">
            <v>HEADPAD INSERT WITH FIXING POPPER</v>
          </cell>
          <cell r="F174" t="str">
            <v>consumer</v>
          </cell>
          <cell r="G174">
            <v>4000984093377</v>
          </cell>
        </row>
        <row r="175">
          <cell r="B175">
            <v>2000021914</v>
          </cell>
          <cell r="C175" t="str">
            <v>TRIFIX</v>
          </cell>
          <cell r="D175" t="str">
            <v>PERFORMANCE PAD</v>
          </cell>
          <cell r="F175" t="str">
            <v>consumer</v>
          </cell>
          <cell r="G175">
            <v>4000984131895</v>
          </cell>
        </row>
        <row r="176">
          <cell r="B176">
            <v>2000024267</v>
          </cell>
          <cell r="C176" t="str">
            <v>VERSAFIX</v>
          </cell>
          <cell r="D176" t="str">
            <v xml:space="preserve">SHOULDER PAD SET </v>
          </cell>
          <cell r="E176" t="str">
            <v>Cosmos Black</v>
          </cell>
          <cell r="F176" t="str">
            <v>consumer</v>
          </cell>
          <cell r="G176">
            <v>4000984145786</v>
          </cell>
        </row>
        <row r="177">
          <cell r="B177">
            <v>2000024268</v>
          </cell>
          <cell r="C177" t="str">
            <v>VERSAFIX</v>
          </cell>
          <cell r="D177" t="str">
            <v xml:space="preserve">SHOULDER PAD SET </v>
          </cell>
          <cell r="E177" t="str">
            <v>Flame Red</v>
          </cell>
          <cell r="F177" t="str">
            <v>consumer</v>
          </cell>
          <cell r="G177">
            <v>4000984145793</v>
          </cell>
        </row>
        <row r="178">
          <cell r="B178">
            <v>2000024269</v>
          </cell>
          <cell r="C178" t="str">
            <v>VERSAFIX</v>
          </cell>
          <cell r="D178" t="str">
            <v xml:space="preserve">SHOULDER PAD SET </v>
          </cell>
          <cell r="E178" t="str">
            <v>Ocean Blue</v>
          </cell>
          <cell r="F178" t="str">
            <v>consumer</v>
          </cell>
          <cell r="G178">
            <v>4000984145809</v>
          </cell>
        </row>
        <row r="179">
          <cell r="B179">
            <v>2000026180</v>
          </cell>
          <cell r="C179" t="str">
            <v>VERSAFIX</v>
          </cell>
          <cell r="D179" t="str">
            <v xml:space="preserve">SHOULDER PAD SET </v>
          </cell>
          <cell r="E179" t="str">
            <v>Storm Grey</v>
          </cell>
          <cell r="F179" t="str">
            <v>consumer</v>
          </cell>
          <cell r="G179">
            <v>4000984154283</v>
          </cell>
        </row>
        <row r="180">
          <cell r="B180">
            <v>2000003453</v>
          </cell>
          <cell r="C180" t="str">
            <v>VERSAFIX</v>
          </cell>
          <cell r="D180" t="str">
            <v>HEADPAD IMPACT INSERT</v>
          </cell>
          <cell r="F180" t="str">
            <v>consumer</v>
          </cell>
          <cell r="G180">
            <v>4000984082265</v>
          </cell>
        </row>
        <row r="181">
          <cell r="B181">
            <v>2000003454</v>
          </cell>
          <cell r="C181" t="str">
            <v>VERSAFIX</v>
          </cell>
          <cell r="D181" t="str">
            <v>LOCK OFF GUIDES</v>
          </cell>
          <cell r="F181" t="str">
            <v>consumer</v>
          </cell>
          <cell r="G181">
            <v>4000984082272</v>
          </cell>
        </row>
        <row r="182">
          <cell r="B182">
            <v>2000003455</v>
          </cell>
          <cell r="C182" t="str">
            <v>VERSAFIX</v>
          </cell>
          <cell r="D182" t="str">
            <v xml:space="preserve">HARNESS SET </v>
          </cell>
          <cell r="F182" t="str">
            <v>retailer only</v>
          </cell>
          <cell r="G182">
            <v>4000984082289</v>
          </cell>
        </row>
        <row r="183">
          <cell r="B183">
            <v>2000003887</v>
          </cell>
          <cell r="C183" t="str">
            <v>VERSAFIX</v>
          </cell>
          <cell r="D183" t="str">
            <v>PERFORMANCE PAD</v>
          </cell>
          <cell r="F183" t="str">
            <v>consumer</v>
          </cell>
          <cell r="G183">
            <v>4000984085174</v>
          </cell>
        </row>
        <row r="184">
          <cell r="B184">
            <v>55450050</v>
          </cell>
          <cell r="C184" t="str">
            <v>VERSAFIX</v>
          </cell>
          <cell r="D184" t="str">
            <v>ISOFIX LATCH GUIDES</v>
          </cell>
          <cell r="F184" t="str">
            <v>consumer</v>
          </cell>
          <cell r="G184">
            <v>4000984100327</v>
          </cell>
        </row>
        <row r="185">
          <cell r="B185">
            <v>2000024261</v>
          </cell>
          <cell r="C185" t="str">
            <v>SAFEFIX plus / SAFEFIX plus TT</v>
          </cell>
          <cell r="D185" t="str">
            <v xml:space="preserve">SHOULDER PAD SET </v>
          </cell>
          <cell r="E185" t="str">
            <v>Cosmos Black</v>
          </cell>
          <cell r="F185" t="str">
            <v>consumer</v>
          </cell>
          <cell r="G185">
            <v>4000984146004</v>
          </cell>
        </row>
        <row r="186">
          <cell r="B186">
            <v>2000024262</v>
          </cell>
          <cell r="C186" t="str">
            <v>SAFEFIX plus / SAFEFIX plus TT</v>
          </cell>
          <cell r="D186" t="str">
            <v xml:space="preserve">SHOULDER PAD SET </v>
          </cell>
          <cell r="E186" t="str">
            <v>Flame Red</v>
          </cell>
          <cell r="F186" t="str">
            <v>consumer</v>
          </cell>
          <cell r="G186">
            <v>4000984146011</v>
          </cell>
        </row>
        <row r="187">
          <cell r="B187">
            <v>2000024266</v>
          </cell>
          <cell r="C187" t="str">
            <v>SAFEFIX plus / SAFEFIX plus TT</v>
          </cell>
          <cell r="D187" t="str">
            <v xml:space="preserve">SHOULDER PAD SET </v>
          </cell>
          <cell r="E187" t="str">
            <v>Green Marble</v>
          </cell>
          <cell r="F187" t="str">
            <v>consumer</v>
          </cell>
          <cell r="G187">
            <v>4000984145779</v>
          </cell>
        </row>
        <row r="188">
          <cell r="B188">
            <v>2000024265</v>
          </cell>
          <cell r="C188" t="str">
            <v>SAFEFIX plus / SAFEFIX plus TT</v>
          </cell>
          <cell r="D188" t="str">
            <v>SHOULDER PAD SET</v>
          </cell>
          <cell r="E188" t="str">
            <v>Mineral Purple</v>
          </cell>
          <cell r="F188" t="str">
            <v>consumer</v>
          </cell>
          <cell r="G188">
            <v>4000984145762</v>
          </cell>
        </row>
        <row r="189">
          <cell r="B189">
            <v>2000024263</v>
          </cell>
          <cell r="C189" t="str">
            <v>SAFEFIX plus / SAFEFIX plus TT</v>
          </cell>
          <cell r="D189" t="str">
            <v xml:space="preserve">SHOULDER PAD SET </v>
          </cell>
          <cell r="E189" t="str">
            <v>Ocean Blue</v>
          </cell>
          <cell r="F189" t="str">
            <v>consumer</v>
          </cell>
          <cell r="G189">
            <v>4000984146028</v>
          </cell>
        </row>
        <row r="190">
          <cell r="B190">
            <v>2000026172</v>
          </cell>
          <cell r="C190" t="str">
            <v>SAFEFIX plus / SAFEFIX plus TT</v>
          </cell>
          <cell r="D190" t="str">
            <v>SHOULDER PAD SET</v>
          </cell>
          <cell r="E190" t="str">
            <v>Olive Green</v>
          </cell>
          <cell r="F190" t="str">
            <v>consumer</v>
          </cell>
          <cell r="G190">
            <v>4000984154207</v>
          </cell>
        </row>
        <row r="191">
          <cell r="B191">
            <v>2000026171</v>
          </cell>
          <cell r="C191" t="str">
            <v>SAFEFIX plus / SAFEFIX plus TT</v>
          </cell>
          <cell r="D191" t="str">
            <v>SHOULDER PAD SET</v>
          </cell>
          <cell r="E191" t="str">
            <v>Storm Grey</v>
          </cell>
          <cell r="F191" t="str">
            <v>consumer</v>
          </cell>
          <cell r="G191">
            <v>4000984154191</v>
          </cell>
        </row>
        <row r="192">
          <cell r="B192">
            <v>2000003486</v>
          </cell>
          <cell r="C192" t="str">
            <v>SAFEFIX plus / SAFEFIX plus TT</v>
          </cell>
          <cell r="D192" t="str">
            <v xml:space="preserve">LOCK OFF GUIDES </v>
          </cell>
          <cell r="F192" t="str">
            <v>retailer only</v>
          </cell>
          <cell r="G192">
            <v>4000984082593</v>
          </cell>
        </row>
        <row r="193">
          <cell r="B193">
            <v>2000003478</v>
          </cell>
          <cell r="C193" t="str">
            <v>SAFEFIX plus / SAFEFIX plus TT</v>
          </cell>
          <cell r="D193" t="str">
            <v>IMPACT INSERT SET &amp; FIXING POPPERS</v>
          </cell>
          <cell r="F193" t="str">
            <v>consumer</v>
          </cell>
          <cell r="G193">
            <v>4000984082517</v>
          </cell>
        </row>
        <row r="194">
          <cell r="B194">
            <v>2000003480</v>
          </cell>
          <cell r="C194" t="str">
            <v>SAFEFIX plus / SAFEFIX plus TT</v>
          </cell>
          <cell r="D194" t="str">
            <v>HEADPAD INSERT SET WITH FIXING POPPER</v>
          </cell>
          <cell r="F194" t="str">
            <v>consumer</v>
          </cell>
          <cell r="G194">
            <v>4000984082531</v>
          </cell>
        </row>
        <row r="195">
          <cell r="B195">
            <v>2000003892</v>
          </cell>
          <cell r="C195" t="str">
            <v>SAFEFIX plus / SAFEFIX plus TT</v>
          </cell>
          <cell r="D195" t="str">
            <v>PERFORMANCE PAD</v>
          </cell>
          <cell r="F195" t="str">
            <v>consumer</v>
          </cell>
          <cell r="G195">
            <v>4000984085228</v>
          </cell>
        </row>
        <row r="196">
          <cell r="B196">
            <v>2000003469</v>
          </cell>
          <cell r="C196" t="str">
            <v>SAFEFIX plus / SAFEFIX plus TT</v>
          </cell>
          <cell r="D196" t="str">
            <v>OPEN 2-BAR ADJUSTER SET</v>
          </cell>
          <cell r="F196" t="str">
            <v>consumer</v>
          </cell>
          <cell r="G196">
            <v>4000984082425</v>
          </cell>
        </row>
        <row r="197">
          <cell r="B197">
            <v>2000003485</v>
          </cell>
          <cell r="C197" t="str">
            <v>SAFEFIX plus / SAFEFIX plus TT</v>
          </cell>
          <cell r="D197" t="str">
            <v xml:space="preserve">HARNESS SET </v>
          </cell>
          <cell r="F197" t="str">
            <v>retailer only</v>
          </cell>
          <cell r="G197">
            <v>4000984082586</v>
          </cell>
        </row>
        <row r="198">
          <cell r="B198">
            <v>2000003891</v>
          </cell>
          <cell r="C198" t="str">
            <v>SAFEFIX plus / SAFEFIX plus TT</v>
          </cell>
          <cell r="D198" t="str">
            <v>ADJUSTER COVER SET</v>
          </cell>
          <cell r="F198" t="str">
            <v>consumer</v>
          </cell>
          <cell r="G198">
            <v>4000984085211</v>
          </cell>
        </row>
        <row r="199">
          <cell r="B199">
            <v>2000003482</v>
          </cell>
          <cell r="C199" t="str">
            <v>KING</v>
          </cell>
          <cell r="D199" t="str">
            <v>HEADPAD IMPACT INSERT</v>
          </cell>
          <cell r="F199" t="str">
            <v>consumer</v>
          </cell>
          <cell r="G199">
            <v>4000984082555</v>
          </cell>
        </row>
        <row r="200">
          <cell r="B200">
            <v>2000003478</v>
          </cell>
          <cell r="C200" t="str">
            <v>KING plus</v>
          </cell>
          <cell r="D200" t="str">
            <v>IMPACT INSERT SET &amp; FIXING POPPERS</v>
          </cell>
          <cell r="F200" t="str">
            <v>consumer</v>
          </cell>
          <cell r="G200">
            <v>4000984082517</v>
          </cell>
        </row>
        <row r="201">
          <cell r="B201">
            <v>2000003480</v>
          </cell>
          <cell r="C201" t="str">
            <v>KING plus</v>
          </cell>
          <cell r="D201" t="str">
            <v>HEADPAD INSERT SET WITH FIXING POPPER</v>
          </cell>
          <cell r="F201" t="str">
            <v>consumer</v>
          </cell>
          <cell r="G201">
            <v>4000984082531</v>
          </cell>
        </row>
        <row r="202">
          <cell r="B202">
            <v>2000003892</v>
          </cell>
          <cell r="C202" t="str">
            <v>KING plus</v>
          </cell>
          <cell r="D202" t="str">
            <v>PERFORMANCE PAD</v>
          </cell>
          <cell r="F202" t="str">
            <v>consumer</v>
          </cell>
          <cell r="G202">
            <v>4000984085228</v>
          </cell>
        </row>
        <row r="203">
          <cell r="B203">
            <v>2000003469</v>
          </cell>
          <cell r="C203" t="str">
            <v>KING plus</v>
          </cell>
          <cell r="D203" t="str">
            <v>OPEN 2-BAR ADJUSTER SET</v>
          </cell>
          <cell r="F203" t="str">
            <v>consumer</v>
          </cell>
          <cell r="G203">
            <v>4000984082425</v>
          </cell>
        </row>
        <row r="204">
          <cell r="B204">
            <v>2000003868</v>
          </cell>
          <cell r="C204" t="str">
            <v>KING plus</v>
          </cell>
          <cell r="D204" t="str">
            <v>TENSION FLAP GRIP SET</v>
          </cell>
          <cell r="F204" t="str">
            <v>consumer</v>
          </cell>
          <cell r="G204">
            <v>4000984085099</v>
          </cell>
        </row>
        <row r="205">
          <cell r="B205">
            <v>2000003485</v>
          </cell>
          <cell r="C205" t="str">
            <v>KING plus</v>
          </cell>
          <cell r="D205" t="str">
            <v xml:space="preserve">HARNESS SET </v>
          </cell>
          <cell r="F205" t="str">
            <v>retailer only</v>
          </cell>
          <cell r="G205">
            <v>4000984082586</v>
          </cell>
        </row>
        <row r="206">
          <cell r="B206">
            <v>2000003890</v>
          </cell>
          <cell r="C206" t="str">
            <v>KING TS</v>
          </cell>
          <cell r="D206" t="str">
            <v>HEADPAD IMPACT INSERT</v>
          </cell>
          <cell r="F206" t="str">
            <v>consumer</v>
          </cell>
          <cell r="G206">
            <v>4000984085204</v>
          </cell>
        </row>
        <row r="207">
          <cell r="B207">
            <v>2000003891</v>
          </cell>
          <cell r="C207" t="str">
            <v>KING TS</v>
          </cell>
          <cell r="D207" t="str">
            <v>ADJUSTER COVER SET</v>
          </cell>
          <cell r="F207" t="str">
            <v>consumer</v>
          </cell>
          <cell r="G207">
            <v>4000984085211</v>
          </cell>
        </row>
        <row r="208">
          <cell r="B208">
            <v>2000003485</v>
          </cell>
          <cell r="C208" t="str">
            <v>KING TS</v>
          </cell>
          <cell r="D208" t="str">
            <v xml:space="preserve">HARNESS SET </v>
          </cell>
          <cell r="F208" t="str">
            <v>retailer only</v>
          </cell>
          <cell r="G208">
            <v>4000984082586</v>
          </cell>
        </row>
        <row r="209">
          <cell r="B209">
            <v>2000003483</v>
          </cell>
          <cell r="C209" t="str">
            <v>KING TS plus</v>
          </cell>
          <cell r="D209" t="str">
            <v>HEADPAD IMPACT INSERT</v>
          </cell>
          <cell r="F209" t="str">
            <v>consumer</v>
          </cell>
          <cell r="G209">
            <v>4000984082562</v>
          </cell>
        </row>
        <row r="210">
          <cell r="B210">
            <v>2000003891</v>
          </cell>
          <cell r="C210" t="str">
            <v>KING TS plus</v>
          </cell>
          <cell r="D210" t="str">
            <v>ADJUSTER COVER SET</v>
          </cell>
          <cell r="F210" t="str">
            <v>consumer</v>
          </cell>
          <cell r="G210">
            <v>4000984085211</v>
          </cell>
        </row>
        <row r="211">
          <cell r="B211">
            <v>2000003485</v>
          </cell>
          <cell r="C211" t="str">
            <v>KING TS plus</v>
          </cell>
          <cell r="D211" t="str">
            <v xml:space="preserve">HARNESS SET </v>
          </cell>
          <cell r="F211" t="str">
            <v>retailer only</v>
          </cell>
          <cell r="G211">
            <v>4000984082586</v>
          </cell>
        </row>
        <row r="212">
          <cell r="B212">
            <v>2000007050</v>
          </cell>
          <cell r="C212" t="str">
            <v>DUO plus</v>
          </cell>
          <cell r="D212" t="str">
            <v>ADJUSTER COVER SET</v>
          </cell>
          <cell r="F212" t="str">
            <v>consumer</v>
          </cell>
          <cell r="G212">
            <v>4000984093353</v>
          </cell>
        </row>
        <row r="213">
          <cell r="B213">
            <v>2000024298</v>
          </cell>
          <cell r="C213" t="str">
            <v>DUO plus</v>
          </cell>
          <cell r="D213" t="str">
            <v>BELLY PAD</v>
          </cell>
          <cell r="E213" t="str">
            <v>Black</v>
          </cell>
          <cell r="F213" t="str">
            <v>consumer</v>
          </cell>
          <cell r="G213">
            <v>4000984145540</v>
          </cell>
        </row>
        <row r="214">
          <cell r="B214">
            <v>2000003453</v>
          </cell>
          <cell r="C214" t="str">
            <v>DUO plus</v>
          </cell>
          <cell r="D214" t="str">
            <v>HEADPAD IMPACT INSERT</v>
          </cell>
          <cell r="F214" t="str">
            <v>consumer</v>
          </cell>
          <cell r="G214">
            <v>4000984082265</v>
          </cell>
        </row>
        <row r="215">
          <cell r="B215">
            <v>2000003454</v>
          </cell>
          <cell r="C215" t="str">
            <v>DUO plus</v>
          </cell>
          <cell r="D215" t="str">
            <v>LOCK OFF GUIDES</v>
          </cell>
          <cell r="F215" t="str">
            <v>consumer</v>
          </cell>
          <cell r="G215">
            <v>4000984082272</v>
          </cell>
        </row>
        <row r="216">
          <cell r="B216">
            <v>2000003455</v>
          </cell>
          <cell r="C216" t="str">
            <v>DUO plus</v>
          </cell>
          <cell r="D216" t="str">
            <v xml:space="preserve">HARNESS SET </v>
          </cell>
          <cell r="F216" t="str">
            <v>retailer only</v>
          </cell>
          <cell r="G216">
            <v>4000984082289</v>
          </cell>
        </row>
        <row r="217">
          <cell r="B217">
            <v>2000003887</v>
          </cell>
          <cell r="C217" t="str">
            <v>DUO plus</v>
          </cell>
          <cell r="D217" t="str">
            <v>PERFORMANCE PAD</v>
          </cell>
          <cell r="F217" t="str">
            <v>consumer</v>
          </cell>
          <cell r="G217">
            <v>4000984085174</v>
          </cell>
        </row>
        <row r="218">
          <cell r="B218">
            <v>2000024261</v>
          </cell>
          <cell r="C218" t="str">
            <v>DUO plus</v>
          </cell>
          <cell r="D218" t="str">
            <v xml:space="preserve">SHOULDER PAD SET </v>
          </cell>
          <cell r="E218" t="str">
            <v>Cosmos Black</v>
          </cell>
          <cell r="F218" t="str">
            <v>consumer</v>
          </cell>
          <cell r="G218">
            <v>4000984146004</v>
          </cell>
        </row>
        <row r="219">
          <cell r="B219">
            <v>2000024262</v>
          </cell>
          <cell r="C219" t="str">
            <v>DUO plus</v>
          </cell>
          <cell r="D219" t="str">
            <v xml:space="preserve">SHOULDER PAD SET </v>
          </cell>
          <cell r="E219" t="str">
            <v>Flame Red</v>
          </cell>
          <cell r="F219" t="str">
            <v>consumer</v>
          </cell>
          <cell r="G219">
            <v>4000984146011</v>
          </cell>
        </row>
        <row r="220">
          <cell r="B220">
            <v>2000026172</v>
          </cell>
          <cell r="C220" t="str">
            <v>DUO plus</v>
          </cell>
          <cell r="D220" t="str">
            <v>SHOULDER PAD SET</v>
          </cell>
          <cell r="E220" t="str">
            <v>Olive Green</v>
          </cell>
          <cell r="F220" t="str">
            <v>consumer</v>
          </cell>
          <cell r="G220">
            <v>4000984154207</v>
          </cell>
        </row>
        <row r="221">
          <cell r="B221">
            <v>2000026171</v>
          </cell>
          <cell r="C221" t="str">
            <v>DUO plus</v>
          </cell>
          <cell r="D221" t="str">
            <v>SHOULDER PAD SET</v>
          </cell>
          <cell r="E221" t="str">
            <v>Storm Grey</v>
          </cell>
          <cell r="F221" t="str">
            <v>consumer</v>
          </cell>
          <cell r="G221">
            <v>4000984154191</v>
          </cell>
        </row>
        <row r="222">
          <cell r="B222">
            <v>2000027770</v>
          </cell>
          <cell r="C222" t="str">
            <v>DUO plus</v>
          </cell>
          <cell r="D222" t="str">
            <v>SHOULDER PAD SET</v>
          </cell>
          <cell r="E222" t="str">
            <v>Moonlight Blue</v>
          </cell>
          <cell r="F222" t="str">
            <v>consumer</v>
          </cell>
          <cell r="G222">
            <v>4000984183238</v>
          </cell>
        </row>
        <row r="223">
          <cell r="B223">
            <v>2000027771</v>
          </cell>
          <cell r="C223" t="str">
            <v>DUO plus</v>
          </cell>
          <cell r="D223" t="str">
            <v>SHOULDER PAD SET</v>
          </cell>
          <cell r="E223" t="str">
            <v>Wine Rose</v>
          </cell>
          <cell r="F223" t="str">
            <v>consumer</v>
          </cell>
          <cell r="G223">
            <v>4000984183245</v>
          </cell>
        </row>
        <row r="224">
          <cell r="B224">
            <v>2000003469</v>
          </cell>
          <cell r="C224" t="str">
            <v>DUO plus</v>
          </cell>
          <cell r="D224" t="str">
            <v>OPEN 2-BAR ADJUSTER SET</v>
          </cell>
          <cell r="F224" t="str">
            <v>consumer</v>
          </cell>
          <cell r="G224">
            <v>4000984082425</v>
          </cell>
        </row>
        <row r="225">
          <cell r="B225">
            <v>55450050</v>
          </cell>
          <cell r="C225" t="str">
            <v>DUO plus</v>
          </cell>
          <cell r="D225" t="str">
            <v>ISOFIX LATCH GUIDES</v>
          </cell>
          <cell r="F225" t="str">
            <v>consumer</v>
          </cell>
          <cell r="G225">
            <v>4000984100327</v>
          </cell>
        </row>
        <row r="226">
          <cell r="B226">
            <v>2000026839</v>
          </cell>
          <cell r="C226" t="str">
            <v>DUO plus</v>
          </cell>
          <cell r="D226" t="str">
            <v>ISOFIX PROTECTION</v>
          </cell>
          <cell r="F226" t="str">
            <v>consumer</v>
          </cell>
          <cell r="G226">
            <v>4000984161953</v>
          </cell>
        </row>
        <row r="227">
          <cell r="B227">
            <v>2000003685</v>
          </cell>
          <cell r="C227" t="str">
            <v>PRINCE</v>
          </cell>
          <cell r="D227" t="str">
            <v>BELT SHIELD</v>
          </cell>
          <cell r="F227" t="str">
            <v>consumer</v>
          </cell>
          <cell r="G227">
            <v>4000984084764</v>
          </cell>
        </row>
        <row r="228">
          <cell r="B228">
            <v>2000003686</v>
          </cell>
          <cell r="C228" t="str">
            <v>PRINCE</v>
          </cell>
          <cell r="D228" t="str">
            <v>IMPACT INSERT SET</v>
          </cell>
          <cell r="F228" t="str">
            <v>consumer</v>
          </cell>
          <cell r="G228">
            <v>4000984084771</v>
          </cell>
        </row>
        <row r="229">
          <cell r="B229">
            <v>2000024285</v>
          </cell>
          <cell r="C229" t="str">
            <v>PRINCE</v>
          </cell>
          <cell r="D229" t="str">
            <v>SHOULDER PAD SET</v>
          </cell>
          <cell r="E229" t="str">
            <v>Black</v>
          </cell>
          <cell r="F229" t="str">
            <v>consumer</v>
          </cell>
          <cell r="G229">
            <v>4000984145694</v>
          </cell>
        </row>
        <row r="230">
          <cell r="B230">
            <v>2000024295</v>
          </cell>
          <cell r="C230" t="str">
            <v>MAX-WAY &amp; MAX-WAY BLACK SERIES</v>
          </cell>
          <cell r="D230" t="str">
            <v xml:space="preserve">SHOULDER PAD SET </v>
          </cell>
          <cell r="E230" t="str">
            <v>Black</v>
          </cell>
          <cell r="F230" t="str">
            <v>consumer</v>
          </cell>
          <cell r="G230">
            <v>4000984145519</v>
          </cell>
        </row>
        <row r="231">
          <cell r="B231">
            <v>2000007141</v>
          </cell>
          <cell r="C231" t="str">
            <v>MAX-WAY &amp; MAX-WAY BLACK SERIES</v>
          </cell>
          <cell r="D231" t="str">
            <v xml:space="preserve">IMPACT INSERT SET </v>
          </cell>
          <cell r="F231" t="str">
            <v>consumer</v>
          </cell>
          <cell r="G231">
            <v>4000984093698</v>
          </cell>
        </row>
        <row r="232">
          <cell r="B232">
            <v>2000024298</v>
          </cell>
          <cell r="C232" t="str">
            <v>MAX-WAY &amp; MAX-WAY BLACK SERIES</v>
          </cell>
          <cell r="D232" t="str">
            <v>BELLY PAD</v>
          </cell>
          <cell r="E232" t="str">
            <v>Black</v>
          </cell>
          <cell r="F232" t="str">
            <v>consumer</v>
          </cell>
          <cell r="G232">
            <v>4000984145540</v>
          </cell>
        </row>
        <row r="233">
          <cell r="B233">
            <v>2000010527</v>
          </cell>
          <cell r="C233" t="str">
            <v>MAX-WAY &amp; MAX-WAY BLACK SERIES</v>
          </cell>
          <cell r="D233" t="str">
            <v xml:space="preserve">SECURA FOAM WEDGE </v>
          </cell>
          <cell r="F233" t="str">
            <v>consumer</v>
          </cell>
          <cell r="G233">
            <v>4000984108606</v>
          </cell>
        </row>
        <row r="234">
          <cell r="B234">
            <v>2000003891</v>
          </cell>
          <cell r="C234" t="str">
            <v>MAX-WAY &amp; MAX-WAY BLACK SERIES</v>
          </cell>
          <cell r="D234" t="str">
            <v>ADJUSTER COVER SET</v>
          </cell>
          <cell r="F234" t="str">
            <v>consumer</v>
          </cell>
          <cell r="G234">
            <v>4000984085211</v>
          </cell>
        </row>
        <row r="235">
          <cell r="B235">
            <v>2000024297</v>
          </cell>
          <cell r="C235" t="str">
            <v>TWO-WAY</v>
          </cell>
          <cell r="D235" t="str">
            <v xml:space="preserve">SHOULDER PAD SET </v>
          </cell>
          <cell r="E235" t="str">
            <v>Black</v>
          </cell>
          <cell r="F235" t="str">
            <v>consumer</v>
          </cell>
          <cell r="G235">
            <v>4000984145533</v>
          </cell>
        </row>
        <row r="236">
          <cell r="B236">
            <v>2000024298</v>
          </cell>
          <cell r="C236" t="str">
            <v>TWO-WAY</v>
          </cell>
          <cell r="D236" t="str">
            <v>BELLY PAD</v>
          </cell>
          <cell r="E236" t="str">
            <v>Black</v>
          </cell>
          <cell r="F236" t="str">
            <v>consumer</v>
          </cell>
          <cell r="G236">
            <v>4000984145540</v>
          </cell>
        </row>
        <row r="237">
          <cell r="B237">
            <v>2000003688</v>
          </cell>
          <cell r="C237" t="str">
            <v>TWO-WAY</v>
          </cell>
          <cell r="D237" t="str">
            <v>IMPACT INSERT SET</v>
          </cell>
          <cell r="F237" t="str">
            <v>consumer</v>
          </cell>
          <cell r="G237">
            <v>4000984084795</v>
          </cell>
        </row>
        <row r="238">
          <cell r="B238">
            <v>2000006818</v>
          </cell>
          <cell r="C238" t="str">
            <v>TWO-WAY</v>
          </cell>
          <cell r="D238" t="str">
            <v xml:space="preserve">FIXING TETHER </v>
          </cell>
          <cell r="F238" t="str">
            <v>consumer</v>
          </cell>
          <cell r="G238">
            <v>4000984092790</v>
          </cell>
        </row>
        <row r="239">
          <cell r="B239">
            <v>2000024296</v>
          </cell>
          <cell r="C239" t="str">
            <v>HI-WAY ll</v>
          </cell>
          <cell r="D239" t="str">
            <v xml:space="preserve">SHOULDER PAD SET </v>
          </cell>
          <cell r="E239" t="str">
            <v>Black</v>
          </cell>
          <cell r="F239" t="str">
            <v>consumer</v>
          </cell>
          <cell r="G239">
            <v>4000984145526</v>
          </cell>
        </row>
        <row r="240">
          <cell r="B240">
            <v>2000003680</v>
          </cell>
          <cell r="C240" t="str">
            <v>HI-WAY ll</v>
          </cell>
          <cell r="D240" t="str">
            <v xml:space="preserve">IMPACT INSERT SET </v>
          </cell>
          <cell r="F240" t="str">
            <v>consumer</v>
          </cell>
          <cell r="G240">
            <v>4000984084719</v>
          </cell>
        </row>
        <row r="241">
          <cell r="B241">
            <v>2000024298</v>
          </cell>
          <cell r="C241" t="str">
            <v>HI-WAY ll</v>
          </cell>
          <cell r="D241" t="str">
            <v>BELLY PAD</v>
          </cell>
          <cell r="E241" t="str">
            <v>Black</v>
          </cell>
          <cell r="F241" t="str">
            <v>consumer</v>
          </cell>
          <cell r="G241">
            <v>4000984145540</v>
          </cell>
        </row>
        <row r="242">
          <cell r="B242">
            <v>2000010527</v>
          </cell>
          <cell r="C242" t="str">
            <v>HI-WAY ll</v>
          </cell>
          <cell r="D242" t="str">
            <v xml:space="preserve">SECURA FOAM WEDGE </v>
          </cell>
          <cell r="F242" t="str">
            <v>consumer</v>
          </cell>
          <cell r="G242">
            <v>4000984108606</v>
          </cell>
        </row>
        <row r="243">
          <cell r="B243">
            <v>2000024294</v>
          </cell>
          <cell r="C243" t="str">
            <v>MULTI-TECH ll / MULTI-TECH III</v>
          </cell>
          <cell r="D243" t="str">
            <v xml:space="preserve">SHOULDER PAD SET </v>
          </cell>
          <cell r="E243" t="str">
            <v>Black</v>
          </cell>
          <cell r="F243" t="str">
            <v>consumer</v>
          </cell>
          <cell r="G243">
            <v>4000984145502</v>
          </cell>
        </row>
        <row r="244">
          <cell r="B244">
            <v>2000024298</v>
          </cell>
          <cell r="C244" t="str">
            <v>MULTI-TECH ll / MULTI-TECH III</v>
          </cell>
          <cell r="D244" t="str">
            <v>BELLY PAD</v>
          </cell>
          <cell r="E244" t="str">
            <v>Black</v>
          </cell>
          <cell r="F244" t="str">
            <v>consumer</v>
          </cell>
          <cell r="G244">
            <v>4000984145540</v>
          </cell>
        </row>
        <row r="245">
          <cell r="B245">
            <v>2000003683</v>
          </cell>
          <cell r="C245" t="str">
            <v>MULTI-TECH ll / MULTI-TECH III</v>
          </cell>
          <cell r="D245" t="str">
            <v>IMPACT INSERT SET</v>
          </cell>
          <cell r="F245" t="str">
            <v>consumer</v>
          </cell>
          <cell r="G245">
            <v>4000984084740</v>
          </cell>
        </row>
        <row r="246">
          <cell r="B246">
            <v>2000010641</v>
          </cell>
          <cell r="C246" t="str">
            <v>XTENSAFIX / ADVANSAFIX</v>
          </cell>
          <cell r="D246" t="str">
            <v xml:space="preserve">YOKE STORAGE/BELT SHIELD </v>
          </cell>
          <cell r="F246" t="str">
            <v>consumer</v>
          </cell>
          <cell r="G246">
            <v>5012124062906</v>
          </cell>
        </row>
        <row r="247">
          <cell r="B247">
            <v>2000010466</v>
          </cell>
          <cell r="C247" t="str">
            <v>XTENSAFIX / ADVANSAFIX</v>
          </cell>
          <cell r="D247" t="str">
            <v>ADJUSTER COVER</v>
          </cell>
          <cell r="F247" t="str">
            <v>consumer</v>
          </cell>
          <cell r="G247">
            <v>5012124062913</v>
          </cell>
        </row>
        <row r="248">
          <cell r="B248">
            <v>2000010468</v>
          </cell>
          <cell r="C248" t="str">
            <v>XTENSAFIX / ADVANSAFIX</v>
          </cell>
          <cell r="D248" t="str">
            <v xml:space="preserve">BELT LOCK OFFS </v>
          </cell>
          <cell r="F248" t="str">
            <v>retailer only</v>
          </cell>
          <cell r="G248">
            <v>5012124062890</v>
          </cell>
        </row>
        <row r="249">
          <cell r="B249">
            <v>2000026210</v>
          </cell>
          <cell r="C249" t="str">
            <v>ADVANSAFIX ll / ADVANSAFIX II SICT / ADVANSAFIX III SICT</v>
          </cell>
          <cell r="D249" t="str">
            <v xml:space="preserve">SHOULDER PAD SET </v>
          </cell>
          <cell r="E249" t="str">
            <v>Storm Grey</v>
          </cell>
          <cell r="F249" t="str">
            <v>consumer</v>
          </cell>
          <cell r="G249">
            <v>4000984154580</v>
          </cell>
        </row>
        <row r="250">
          <cell r="B250">
            <v>2000024259</v>
          </cell>
          <cell r="C250" t="str">
            <v>ADVANSAFIX ll / ADVANSAFIX II SICT / ADVANSAFIX III SICT</v>
          </cell>
          <cell r="D250" t="str">
            <v xml:space="preserve">SHOULDER PAD SET </v>
          </cell>
          <cell r="E250" t="str">
            <v>Black Marble</v>
          </cell>
          <cell r="F250" t="str">
            <v>consumer</v>
          </cell>
          <cell r="G250">
            <v>4000984145984</v>
          </cell>
        </row>
        <row r="251">
          <cell r="B251">
            <v>2000024255</v>
          </cell>
          <cell r="C251" t="str">
            <v>ADVANSAFIX ll / ADVANSAFIX II SICT / ADVANSAFIX III SICT</v>
          </cell>
          <cell r="D251" t="str">
            <v xml:space="preserve">SHOULDER PAD SET </v>
          </cell>
          <cell r="E251" t="str">
            <v>Cosmos Black</v>
          </cell>
          <cell r="F251" t="str">
            <v>consumer</v>
          </cell>
          <cell r="G251">
            <v>4000984145946</v>
          </cell>
        </row>
        <row r="252">
          <cell r="B252">
            <v>2000024256</v>
          </cell>
          <cell r="C252" t="str">
            <v>ADVANSAFIX ll / ADVANSAFIX II SICT / ADVANSAFIX III SICT</v>
          </cell>
          <cell r="D252" t="str">
            <v>SHOULDER PAD SET</v>
          </cell>
          <cell r="E252" t="str">
            <v>Flame Red</v>
          </cell>
          <cell r="F252" t="str">
            <v>consumer</v>
          </cell>
          <cell r="G252">
            <v>4000984145953</v>
          </cell>
        </row>
        <row r="253">
          <cell r="B253">
            <v>2000024258</v>
          </cell>
          <cell r="C253" t="str">
            <v>ADVANSAFIX ll / ADVANSAFIX II SICT / ADVANSAFIX III SICT</v>
          </cell>
          <cell r="D253" t="str">
            <v>SHOULDER PAD SET</v>
          </cell>
          <cell r="E253" t="str">
            <v>Mineral Purple</v>
          </cell>
          <cell r="F253" t="str">
            <v>consumer</v>
          </cell>
          <cell r="G253">
            <v>4000984145977</v>
          </cell>
        </row>
        <row r="254">
          <cell r="B254">
            <v>2000024257</v>
          </cell>
          <cell r="C254" t="str">
            <v>ADVANSAFIX ll / ADVANSAFIX II SICT / ADVANSAFIX III SICT</v>
          </cell>
          <cell r="D254" t="str">
            <v>SHOULDER PAD SET</v>
          </cell>
          <cell r="E254" t="str">
            <v>Ocean Blue</v>
          </cell>
          <cell r="F254" t="str">
            <v>consumer</v>
          </cell>
          <cell r="G254">
            <v>4000984145960</v>
          </cell>
        </row>
        <row r="255">
          <cell r="B255">
            <v>2000010466</v>
          </cell>
          <cell r="C255" t="str">
            <v>ADVANSAFIX ll / ADVANSAFIX II SICT / ADVANSAFIX III SICT</v>
          </cell>
          <cell r="D255" t="str">
            <v>ADJUSTER COVER</v>
          </cell>
          <cell r="F255" t="str">
            <v>consumer</v>
          </cell>
          <cell r="G255">
            <v>5012124062913</v>
          </cell>
        </row>
        <row r="256">
          <cell r="B256">
            <v>2000024595</v>
          </cell>
          <cell r="C256" t="str">
            <v>ADVANSAFIX ll / ADVANSAFIX II SICT / ADVANSAFIX III SICT</v>
          </cell>
          <cell r="D256" t="str">
            <v xml:space="preserve">YOKE STORAGE/BELT SHIELD </v>
          </cell>
          <cell r="F256" t="str">
            <v>consumer</v>
          </cell>
          <cell r="G256">
            <v>4000984148527</v>
          </cell>
        </row>
        <row r="257">
          <cell r="B257">
            <v>2000024298</v>
          </cell>
          <cell r="C257" t="str">
            <v>ADVANSAFIX ll / ADVANSAFIX II SICT / ADVANSAFIX III SICT</v>
          </cell>
          <cell r="D257" t="str">
            <v>BELLY PAD</v>
          </cell>
          <cell r="E257" t="str">
            <v>Black</v>
          </cell>
          <cell r="F257" t="str">
            <v>consumer</v>
          </cell>
          <cell r="G257">
            <v>4000984145540</v>
          </cell>
        </row>
        <row r="258">
          <cell r="B258">
            <v>2000024304</v>
          </cell>
          <cell r="C258" t="str">
            <v>ADVANSAFIX ll / ADVANSAFIX II SICT / ADVANSAFIX III SICT</v>
          </cell>
          <cell r="D258" t="str">
            <v xml:space="preserve">SECUREGUARD PAD </v>
          </cell>
          <cell r="E258" t="str">
            <v>Black</v>
          </cell>
          <cell r="F258" t="str">
            <v>consumer</v>
          </cell>
          <cell r="G258">
            <v>4000984145601</v>
          </cell>
        </row>
        <row r="259">
          <cell r="B259">
            <v>2000024425</v>
          </cell>
          <cell r="C259" t="str">
            <v>ADVANSAFIX ll / ADVANSAFIX II SICT / ADVANSAFIX III SICT</v>
          </cell>
          <cell r="D259" t="str">
            <v>SECUREGUARD WITHOUT PAD</v>
          </cell>
          <cell r="F259" t="str">
            <v>consumer</v>
          </cell>
          <cell r="G259">
            <v>4000984130539</v>
          </cell>
        </row>
        <row r="260">
          <cell r="B260">
            <v>2000003469</v>
          </cell>
          <cell r="C260" t="str">
            <v>ADVANSAFIX ll / ADVANSAFIX II SICT / ADVANSAFIX III SICT</v>
          </cell>
          <cell r="D260" t="str">
            <v>OPEN 2-BAR ADJUSTER SET</v>
          </cell>
          <cell r="F260" t="str">
            <v>consumer</v>
          </cell>
          <cell r="G260">
            <v>4000984082425</v>
          </cell>
        </row>
        <row r="261">
          <cell r="B261">
            <v>2000007047</v>
          </cell>
          <cell r="C261" t="str">
            <v>ADVANSAFIX ll / ADVANSAFIX II SICT / ADVANSAFIX III SICT</v>
          </cell>
          <cell r="D261" t="str">
            <v>ISOFIX LATCH GUIDES - WIDE</v>
          </cell>
          <cell r="F261" t="str">
            <v>consumer</v>
          </cell>
        </row>
        <row r="262">
          <cell r="B262">
            <v>2000003677</v>
          </cell>
          <cell r="C262" t="str">
            <v>EVOLVA 1-2-3 / EVOLVA 1-2-3 plus</v>
          </cell>
          <cell r="D262" t="str">
            <v>BELT SHIELD</v>
          </cell>
          <cell r="F262" t="str">
            <v>consumer</v>
          </cell>
          <cell r="G262">
            <v>4000984084689</v>
          </cell>
        </row>
        <row r="263">
          <cell r="B263">
            <v>2000003678</v>
          </cell>
          <cell r="C263" t="str">
            <v>EVOLVA 1-2-3 / EVOLVA 1-2-3 plus</v>
          </cell>
          <cell r="D263" t="str">
            <v>HEADPAD IMPACT INSERT</v>
          </cell>
          <cell r="F263" t="str">
            <v>consumer</v>
          </cell>
          <cell r="G263">
            <v>4000984084696</v>
          </cell>
        </row>
        <row r="264">
          <cell r="B264">
            <v>2000024298</v>
          </cell>
          <cell r="C264" t="str">
            <v>EVOLVA 1-2-3 / EVOLVA 1-2-3 plus</v>
          </cell>
          <cell r="D264" t="str">
            <v>BELLY PAD</v>
          </cell>
          <cell r="E264" t="str">
            <v>Black</v>
          </cell>
          <cell r="F264" t="str">
            <v>consumer</v>
          </cell>
          <cell r="G264">
            <v>4000984145540</v>
          </cell>
        </row>
        <row r="265">
          <cell r="B265">
            <v>2000024294</v>
          </cell>
          <cell r="C265" t="str">
            <v>EVOLVA 1-2-3 / EVOLVA 1-2-3 plus</v>
          </cell>
          <cell r="D265" t="str">
            <v xml:space="preserve">SHOULDER PAD SET </v>
          </cell>
          <cell r="E265" t="str">
            <v>Black</v>
          </cell>
          <cell r="F265" t="str">
            <v>consumer</v>
          </cell>
          <cell r="G265">
            <v>4000984145502</v>
          </cell>
        </row>
        <row r="266">
          <cell r="B266">
            <v>2000026427</v>
          </cell>
          <cell r="C266" t="str">
            <v>EVOLVA 1-2-3 SL SICT</v>
          </cell>
          <cell r="D266" t="str">
            <v>SHOULDER PAD SET</v>
          </cell>
          <cell r="E266" t="str">
            <v>Cosmos Black</v>
          </cell>
          <cell r="F266" t="str">
            <v>consumer</v>
          </cell>
          <cell r="G266">
            <v>4000984154740</v>
          </cell>
        </row>
        <row r="267">
          <cell r="B267">
            <v>2000026428</v>
          </cell>
          <cell r="C267" t="str">
            <v>EVOLVA 1-2-3 SL SICT</v>
          </cell>
          <cell r="D267" t="str">
            <v>SHOULDER PAD SET</v>
          </cell>
          <cell r="E267" t="str">
            <v>Flame Red</v>
          </cell>
          <cell r="F267" t="str">
            <v>consumer</v>
          </cell>
          <cell r="G267">
            <v>4000984154757</v>
          </cell>
        </row>
        <row r="268">
          <cell r="B268">
            <v>2000026431</v>
          </cell>
          <cell r="C268" t="str">
            <v>EVOLVA 1-2-3 SL SICT</v>
          </cell>
          <cell r="D268" t="str">
            <v>SHOULDER PAD SET</v>
          </cell>
          <cell r="E268" t="str">
            <v>Black Marble</v>
          </cell>
          <cell r="F268" t="str">
            <v>consumer</v>
          </cell>
          <cell r="G268">
            <v>4000984154788</v>
          </cell>
        </row>
        <row r="269">
          <cell r="B269">
            <v>2000027773</v>
          </cell>
          <cell r="C269" t="str">
            <v>EVOLVA 1-2-3 SL SICT</v>
          </cell>
          <cell r="D269" t="str">
            <v>SHOULDER PAD SET</v>
          </cell>
          <cell r="E269" t="str">
            <v>Blue Marble</v>
          </cell>
          <cell r="F269" t="str">
            <v>consumer</v>
          </cell>
          <cell r="G269">
            <v>4000984183269</v>
          </cell>
        </row>
        <row r="270">
          <cell r="B270">
            <v>2000027774</v>
          </cell>
          <cell r="C270" t="str">
            <v>EVOLVA 1-2-3 SL SICT</v>
          </cell>
          <cell r="D270" t="str">
            <v>SHOULDER PAD SET</v>
          </cell>
          <cell r="E270" t="str">
            <v>Moonlight Blue</v>
          </cell>
          <cell r="F270" t="str">
            <v>consumer</v>
          </cell>
          <cell r="G270">
            <v>4000984183276</v>
          </cell>
        </row>
        <row r="271">
          <cell r="B271">
            <v>2000027775</v>
          </cell>
          <cell r="C271" t="str">
            <v>EVOLVA 1-2-3 SL SICT</v>
          </cell>
          <cell r="D271" t="str">
            <v>SHOULDER PAD SET</v>
          </cell>
          <cell r="E271" t="str">
            <v>Storm Grey</v>
          </cell>
          <cell r="F271" t="str">
            <v>consumer</v>
          </cell>
          <cell r="G271">
            <v>4000984183283</v>
          </cell>
        </row>
        <row r="272">
          <cell r="B272">
            <v>2000027776</v>
          </cell>
          <cell r="C272" t="str">
            <v>EVOLVA 1-2-3 SL SICT</v>
          </cell>
          <cell r="D272" t="str">
            <v>SHOULDER PAD SET</v>
          </cell>
          <cell r="E272" t="str">
            <v>Wine Rose</v>
          </cell>
          <cell r="F272" t="str">
            <v>consumer</v>
          </cell>
          <cell r="G272">
            <v>4000984183290</v>
          </cell>
        </row>
        <row r="273">
          <cell r="B273">
            <v>2000007047</v>
          </cell>
          <cell r="C273" t="str">
            <v>EVOLVA 1-2-3 SL SICT</v>
          </cell>
          <cell r="D273" t="str">
            <v>ISOFIX LATCH GUIDES - WIDE</v>
          </cell>
          <cell r="F273" t="str">
            <v>consumer</v>
          </cell>
          <cell r="G273">
            <v>4000984093384</v>
          </cell>
        </row>
        <row r="274">
          <cell r="B274">
            <v>2000003677</v>
          </cell>
          <cell r="C274" t="str">
            <v>EVOLVA 1-2-3 SL SICT</v>
          </cell>
          <cell r="D274" t="str">
            <v>BELT SHIELD</v>
          </cell>
          <cell r="F274" t="str">
            <v>consumer</v>
          </cell>
          <cell r="G274">
            <v>4000984084689</v>
          </cell>
        </row>
        <row r="275">
          <cell r="B275">
            <v>2000003678</v>
          </cell>
          <cell r="C275" t="str">
            <v>EVOLVA 1-2-3 SL SICT</v>
          </cell>
          <cell r="D275" t="str">
            <v>HEADPAD IMPACT INSERT</v>
          </cell>
          <cell r="F275" t="str">
            <v>consumer</v>
          </cell>
          <cell r="G275">
            <v>4000984084696</v>
          </cell>
        </row>
        <row r="276">
          <cell r="B276">
            <v>2000024298</v>
          </cell>
          <cell r="C276" t="str">
            <v>EVOLVA 1-2-3 SL SICT</v>
          </cell>
          <cell r="D276" t="str">
            <v>BELLY PAD</v>
          </cell>
          <cell r="E276" t="str">
            <v>Black</v>
          </cell>
          <cell r="F276" t="str">
            <v>consumer</v>
          </cell>
          <cell r="G276">
            <v>4000984145540</v>
          </cell>
        </row>
        <row r="277">
          <cell r="B277">
            <v>2000003458</v>
          </cell>
          <cell r="C277" t="str">
            <v>KID</v>
          </cell>
          <cell r="D277" t="str">
            <v>LEVELLING PIECE</v>
          </cell>
          <cell r="F277" t="str">
            <v>consumer</v>
          </cell>
          <cell r="G277">
            <v>4000984082319</v>
          </cell>
        </row>
        <row r="278">
          <cell r="B278">
            <v>2000003457</v>
          </cell>
          <cell r="C278" t="str">
            <v>KID</v>
          </cell>
          <cell r="D278" t="str">
            <v>IMPACT INSERT SET</v>
          </cell>
          <cell r="F278" t="str">
            <v>consumer</v>
          </cell>
          <cell r="G278">
            <v>4000984082302</v>
          </cell>
        </row>
        <row r="279">
          <cell r="B279">
            <v>2000003460</v>
          </cell>
          <cell r="C279" t="str">
            <v>KID</v>
          </cell>
          <cell r="D279" t="str">
            <v>HEADPAD IMPACT INSERT &amp; REAR SMALL INSERT SET</v>
          </cell>
          <cell r="F279" t="str">
            <v>consumer</v>
          </cell>
          <cell r="G279">
            <v>4000984082333</v>
          </cell>
        </row>
        <row r="280">
          <cell r="B280">
            <v>2000029398</v>
          </cell>
          <cell r="C280" t="str">
            <v>KID</v>
          </cell>
          <cell r="D280" t="str">
            <v xml:space="preserve">IMPACT INSERT HEAD </v>
          </cell>
          <cell r="F280" t="str">
            <v>consumer</v>
          </cell>
          <cell r="G280">
            <v>4000984191547</v>
          </cell>
        </row>
        <row r="281">
          <cell r="B281">
            <v>2000029399</v>
          </cell>
          <cell r="C281" t="str">
            <v>KID</v>
          </cell>
          <cell r="D281" t="str">
            <v xml:space="preserve">IMPACT INSERT BACK SET </v>
          </cell>
          <cell r="F281" t="str">
            <v>consumer</v>
          </cell>
          <cell r="G281">
            <v>4000984191554</v>
          </cell>
        </row>
        <row r="282">
          <cell r="B282">
            <v>2000003458</v>
          </cell>
          <cell r="C282" t="str">
            <v>KID plus (SICT)</v>
          </cell>
          <cell r="D282" t="str">
            <v>LEVELLING PIECE</v>
          </cell>
          <cell r="F282" t="str">
            <v>consumer</v>
          </cell>
          <cell r="G282">
            <v>4000984082319</v>
          </cell>
        </row>
        <row r="283">
          <cell r="B283">
            <v>2000003457</v>
          </cell>
          <cell r="C283" t="str">
            <v>KID plus (SICT)</v>
          </cell>
          <cell r="D283" t="str">
            <v>IMPACT INSERT SET</v>
          </cell>
          <cell r="F283" t="str">
            <v>consumer</v>
          </cell>
          <cell r="G283">
            <v>4000984082302</v>
          </cell>
        </row>
        <row r="284">
          <cell r="B284">
            <v>2000003460</v>
          </cell>
          <cell r="C284" t="str">
            <v>KID plus (SICT)</v>
          </cell>
          <cell r="D284" t="str">
            <v>HEADPAD IMPACT INSERT &amp; REAR SMALL INSERT SET</v>
          </cell>
          <cell r="F284" t="str">
            <v>consumer</v>
          </cell>
          <cell r="G284">
            <v>4000984082333</v>
          </cell>
        </row>
        <row r="285">
          <cell r="B285">
            <v>2000029398</v>
          </cell>
          <cell r="C285" t="str">
            <v>KID plus (SICT)</v>
          </cell>
          <cell r="D285" t="str">
            <v xml:space="preserve">IMPACT INSERT HEAD </v>
          </cell>
          <cell r="F285" t="str">
            <v>consumer</v>
          </cell>
          <cell r="G285">
            <v>4000984191547</v>
          </cell>
        </row>
        <row r="286">
          <cell r="B286">
            <v>2000029399</v>
          </cell>
          <cell r="C286" t="str">
            <v>KID plus (SICT)</v>
          </cell>
          <cell r="D286" t="str">
            <v xml:space="preserve">IMPACT INSERT BACK SET </v>
          </cell>
          <cell r="F286" t="str">
            <v>consumer</v>
          </cell>
          <cell r="G286">
            <v>4000984191554</v>
          </cell>
        </row>
        <row r="287">
          <cell r="B287">
            <v>2000029400</v>
          </cell>
          <cell r="C287" t="str">
            <v xml:space="preserve">KID XP </v>
          </cell>
          <cell r="D287" t="str">
            <v xml:space="preserve">IMPACT INSERT HEAD </v>
          </cell>
          <cell r="F287" t="str">
            <v>consumer</v>
          </cell>
          <cell r="G287">
            <v>4000984191561</v>
          </cell>
        </row>
        <row r="288">
          <cell r="B288">
            <v>2000029401</v>
          </cell>
          <cell r="C288" t="str">
            <v xml:space="preserve">KID XP </v>
          </cell>
          <cell r="D288" t="str">
            <v xml:space="preserve">IMPACT INSERT BACK SET </v>
          </cell>
          <cell r="F288" t="str">
            <v>consumer</v>
          </cell>
          <cell r="G288">
            <v>4000984191578</v>
          </cell>
        </row>
        <row r="289">
          <cell r="B289">
            <v>2000010377</v>
          </cell>
          <cell r="C289" t="str">
            <v xml:space="preserve">KID XP </v>
          </cell>
          <cell r="D289" t="str">
            <v>SET XP-PAD</v>
          </cell>
          <cell r="F289" t="str">
            <v>consumer</v>
          </cell>
          <cell r="G289">
            <v>4000984108170</v>
          </cell>
        </row>
        <row r="290">
          <cell r="B290">
            <v>55450050</v>
          </cell>
          <cell r="C290" t="str">
            <v>KIDFIX (SICT)</v>
          </cell>
          <cell r="D290" t="str">
            <v>ISOFIX LATCH GUIDES</v>
          </cell>
          <cell r="F290" t="str">
            <v>consumer</v>
          </cell>
          <cell r="G290">
            <v>4000984100327</v>
          </cell>
        </row>
        <row r="291">
          <cell r="B291">
            <v>2000029398</v>
          </cell>
          <cell r="C291" t="str">
            <v>KIDFIX (SICT)</v>
          </cell>
          <cell r="D291" t="str">
            <v xml:space="preserve">IMPACT INSERT HEAD </v>
          </cell>
          <cell r="F291" t="str">
            <v>consumer</v>
          </cell>
          <cell r="G291">
            <v>4000984191547</v>
          </cell>
        </row>
        <row r="292">
          <cell r="B292">
            <v>2000029399</v>
          </cell>
          <cell r="C292" t="str">
            <v>KIDFIX (SICT)</v>
          </cell>
          <cell r="D292" t="str">
            <v xml:space="preserve">IMPACT INSERT BACK SET </v>
          </cell>
          <cell r="F292" t="str">
            <v>consumer</v>
          </cell>
          <cell r="G292">
            <v>4000984191554</v>
          </cell>
        </row>
        <row r="293">
          <cell r="B293">
            <v>2000029398</v>
          </cell>
          <cell r="C293" t="str">
            <v>KIDFIX SL (SICT)</v>
          </cell>
          <cell r="D293" t="str">
            <v xml:space="preserve">IMPACT INSERT HEAD </v>
          </cell>
          <cell r="F293" t="str">
            <v>consumer</v>
          </cell>
          <cell r="G293">
            <v>4000984191547</v>
          </cell>
        </row>
        <row r="294">
          <cell r="B294">
            <v>2000029399</v>
          </cell>
          <cell r="C294" t="str">
            <v>KIDFIX SL (SICT)</v>
          </cell>
          <cell r="D294" t="str">
            <v xml:space="preserve">IMPACT INSERT BACK SET </v>
          </cell>
          <cell r="F294" t="str">
            <v>consumer</v>
          </cell>
          <cell r="G294">
            <v>4000984191554</v>
          </cell>
        </row>
        <row r="295">
          <cell r="B295">
            <v>2000007047</v>
          </cell>
          <cell r="C295" t="str">
            <v>KIDFIX SL (SICT)</v>
          </cell>
          <cell r="D295" t="str">
            <v>ISOFIX LATCH GUIDES - WIDE</v>
          </cell>
          <cell r="F295" t="str">
            <v>consumer</v>
          </cell>
          <cell r="G295">
            <v>4000984093384</v>
          </cell>
        </row>
        <row r="296">
          <cell r="B296">
            <v>2000029400</v>
          </cell>
          <cell r="C296" t="str">
            <v>KIDFIX XP (SICT)</v>
          </cell>
          <cell r="D296" t="str">
            <v xml:space="preserve">IMPACT INSERT HEAD </v>
          </cell>
          <cell r="F296" t="str">
            <v>consumer</v>
          </cell>
          <cell r="G296">
            <v>4000984191561</v>
          </cell>
        </row>
        <row r="297">
          <cell r="B297">
            <v>2000029401</v>
          </cell>
          <cell r="C297" t="str">
            <v>KIDFIX XP (SICT)</v>
          </cell>
          <cell r="D297" t="str">
            <v xml:space="preserve">IMPACT INSERT BACK SET </v>
          </cell>
          <cell r="F297" t="str">
            <v>consumer</v>
          </cell>
          <cell r="G297">
            <v>4000984191578</v>
          </cell>
        </row>
        <row r="298">
          <cell r="B298">
            <v>2000007047</v>
          </cell>
          <cell r="C298" t="str">
            <v>KIDFIX XP (SICT)</v>
          </cell>
          <cell r="D298" t="str">
            <v>ISOFIX LATCH GUIDES - WIDE</v>
          </cell>
          <cell r="F298" t="str">
            <v>consumer</v>
          </cell>
          <cell r="G298">
            <v>4000984093384</v>
          </cell>
        </row>
        <row r="299">
          <cell r="B299">
            <v>2000024304</v>
          </cell>
          <cell r="C299" t="str">
            <v>KIDFIX II XP (SICT)</v>
          </cell>
          <cell r="D299" t="str">
            <v xml:space="preserve">SECUREGUARD PAD </v>
          </cell>
          <cell r="E299" t="str">
            <v>Black</v>
          </cell>
          <cell r="F299" t="str">
            <v>consumer</v>
          </cell>
          <cell r="G299">
            <v>4000984145601</v>
          </cell>
        </row>
        <row r="300">
          <cell r="B300">
            <v>2000024425</v>
          </cell>
          <cell r="C300" t="str">
            <v>KIDFIX II XP (SICT)</v>
          </cell>
          <cell r="D300" t="str">
            <v>SECUREGUARD WITHOUT PAD</v>
          </cell>
          <cell r="F300" t="str">
            <v>consumer</v>
          </cell>
          <cell r="G300">
            <v>4000984130539</v>
          </cell>
        </row>
        <row r="301">
          <cell r="B301">
            <v>2000029400</v>
          </cell>
          <cell r="C301" t="str">
            <v>KIDFIX II XP (SICT)</v>
          </cell>
          <cell r="D301" t="str">
            <v xml:space="preserve">IMPACT INSERT HEAD </v>
          </cell>
          <cell r="F301" t="str">
            <v>consumer</v>
          </cell>
          <cell r="G301">
            <v>4000984191561</v>
          </cell>
        </row>
        <row r="302">
          <cell r="B302">
            <v>2000029401</v>
          </cell>
          <cell r="C302" t="str">
            <v>KIDFIX II XP (SICT)</v>
          </cell>
          <cell r="D302" t="str">
            <v xml:space="preserve">IMPACT INSERT BACK SET </v>
          </cell>
          <cell r="F302" t="str">
            <v>consumer</v>
          </cell>
          <cell r="G302">
            <v>4000984191578</v>
          </cell>
        </row>
        <row r="303">
          <cell r="B303">
            <v>2000010377</v>
          </cell>
          <cell r="C303" t="str">
            <v>KIDFIX II XP (SICT)</v>
          </cell>
          <cell r="D303" t="str">
            <v>SET XP-PAD</v>
          </cell>
          <cell r="F303" t="str">
            <v>consumer</v>
          </cell>
          <cell r="G303">
            <v>4000984108170</v>
          </cell>
        </row>
        <row r="304">
          <cell r="B304">
            <v>2000007047</v>
          </cell>
          <cell r="C304" t="str">
            <v>KIDFIX II XP (SICT)</v>
          </cell>
          <cell r="D304" t="str">
            <v>ISOFIX LATCH GUIDES - WIDE</v>
          </cell>
          <cell r="F304" t="str">
            <v>consumer</v>
          </cell>
          <cell r="G304">
            <v>4000984093384</v>
          </cell>
        </row>
        <row r="305">
          <cell r="B305">
            <v>2000029398</v>
          </cell>
          <cell r="C305" t="str">
            <v>KID ll</v>
          </cell>
          <cell r="D305" t="str">
            <v xml:space="preserve">IMPACT INSERT HEAD </v>
          </cell>
          <cell r="F305" t="str">
            <v>consumer</v>
          </cell>
          <cell r="G305">
            <v>4000984191547</v>
          </cell>
        </row>
        <row r="306">
          <cell r="B306">
            <v>2000029399</v>
          </cell>
          <cell r="C306" t="str">
            <v>KID ll</v>
          </cell>
          <cell r="D306" t="str">
            <v xml:space="preserve">IMPACT INSERT BACK SET </v>
          </cell>
          <cell r="F306" t="str">
            <v>consumer</v>
          </cell>
          <cell r="G306">
            <v>4000984191554</v>
          </cell>
        </row>
        <row r="307">
          <cell r="B307">
            <v>2000003670</v>
          </cell>
          <cell r="C307" t="str">
            <v>ADVENTURE / DISCOVERY / DISCOVERY SL</v>
          </cell>
          <cell r="D307" t="str">
            <v>HEADPAD IMPACT INSERT</v>
          </cell>
          <cell r="F307" t="str">
            <v>consumer</v>
          </cell>
          <cell r="G307">
            <v>4000984084610</v>
          </cell>
        </row>
        <row r="308">
          <cell r="B308">
            <v>2000003447</v>
          </cell>
          <cell r="C308" t="str">
            <v>JOCKEY RELAX</v>
          </cell>
          <cell r="D308" t="str">
            <v>METAL BAR</v>
          </cell>
          <cell r="F308" t="str">
            <v>consumer</v>
          </cell>
          <cell r="G308">
            <v>4000984082203</v>
          </cell>
        </row>
        <row r="309">
          <cell r="B309">
            <v>28071010</v>
          </cell>
          <cell r="C309" t="str">
            <v>JOCKEY RELAX</v>
          </cell>
          <cell r="D309" t="str">
            <v xml:space="preserve">SET INSERTS FOR MOUNTING BRACKET </v>
          </cell>
          <cell r="F309" t="str">
            <v>consumer</v>
          </cell>
          <cell r="G309">
            <v>4000984119022</v>
          </cell>
        </row>
        <row r="310">
          <cell r="B310">
            <v>2000003449</v>
          </cell>
          <cell r="C310" t="str">
            <v>JOCKEY RELAX</v>
          </cell>
          <cell r="D310" t="str">
            <v>FIXING POPPERS</v>
          </cell>
          <cell r="F310" t="str">
            <v>consumer</v>
          </cell>
          <cell r="G310">
            <v>4000984082227</v>
          </cell>
        </row>
        <row r="311">
          <cell r="B311">
            <v>2000024426</v>
          </cell>
          <cell r="C311" t="str">
            <v>JOCKEY RELAX</v>
          </cell>
          <cell r="D311" t="str">
            <v>CLAMPING PLATE SET JOCKEY</v>
          </cell>
          <cell r="F311" t="str">
            <v>consumer</v>
          </cell>
          <cell r="G311">
            <v>4000984130546</v>
          </cell>
        </row>
        <row r="312">
          <cell r="B312">
            <v>2000025770</v>
          </cell>
          <cell r="C312" t="str">
            <v>JOCKEY RELAX</v>
          </cell>
          <cell r="D312" t="str">
            <v>SET SCREWS FOR CLAMPINGPLATE</v>
          </cell>
          <cell r="F312" t="str">
            <v>consumer</v>
          </cell>
          <cell r="G312">
            <v>4000984152333</v>
          </cell>
        </row>
        <row r="313">
          <cell r="B313">
            <v>2000025769</v>
          </cell>
          <cell r="C313" t="str">
            <v>JOCKEY RELAX</v>
          </cell>
          <cell r="D313" t="str">
            <v>REAR REFLECTOR</v>
          </cell>
          <cell r="F313" t="str">
            <v>consumer</v>
          </cell>
          <cell r="G313">
            <v>4000984152326</v>
          </cell>
        </row>
        <row r="314">
          <cell r="B314">
            <v>2000025803</v>
          </cell>
          <cell r="C314" t="str">
            <v>JOCKEY RELAX</v>
          </cell>
          <cell r="D314" t="str">
            <v>CONTROL LEVER</v>
          </cell>
          <cell r="E314" t="str">
            <v>Grey</v>
          </cell>
          <cell r="F314" t="str">
            <v>consumer</v>
          </cell>
          <cell r="G314">
            <v>4000984152449</v>
          </cell>
        </row>
        <row r="315">
          <cell r="B315">
            <v>2000029337</v>
          </cell>
          <cell r="C315" t="str">
            <v>JOCKEY RELAX</v>
          </cell>
          <cell r="D315" t="str">
            <v>SET SHOULDER PAD &amp; HARNESS 2-step (2018)</v>
          </cell>
          <cell r="E315" t="str">
            <v>Black</v>
          </cell>
          <cell r="F315" t="str">
            <v>consumer</v>
          </cell>
          <cell r="G315">
            <v>4000984190991</v>
          </cell>
        </row>
        <row r="316">
          <cell r="B316">
            <v>2000025768</v>
          </cell>
          <cell r="C316" t="str">
            <v>JOCKEY RELAX</v>
          </cell>
          <cell r="D316" t="str">
            <v xml:space="preserve">SET FOOT STRAP </v>
          </cell>
          <cell r="E316" t="str">
            <v>Grey</v>
          </cell>
          <cell r="F316" t="str">
            <v>consumer</v>
          </cell>
          <cell r="G316">
            <v>4000984152319</v>
          </cell>
        </row>
        <row r="317">
          <cell r="B317">
            <v>2000026836</v>
          </cell>
          <cell r="C317" t="str">
            <v>JOCKEY RELAX</v>
          </cell>
          <cell r="D317" t="str">
            <v>USER GUIDE COMPARTMENT</v>
          </cell>
          <cell r="F317" t="str">
            <v>consumer</v>
          </cell>
          <cell r="G317">
            <v>4000984158670</v>
          </cell>
        </row>
        <row r="318">
          <cell r="B318">
            <v>2000003447</v>
          </cell>
          <cell r="C318" t="str">
            <v>JOCKEY² / JOCKEY COMFORT</v>
          </cell>
          <cell r="D318" t="str">
            <v>METAL BAR</v>
          </cell>
          <cell r="F318" t="str">
            <v>consumer</v>
          </cell>
          <cell r="G318">
            <v>4000984082203</v>
          </cell>
        </row>
        <row r="319">
          <cell r="B319">
            <v>28071010</v>
          </cell>
          <cell r="C319" t="str">
            <v>JOCKEY² / JOCKEY COMFORT</v>
          </cell>
          <cell r="D319" t="str">
            <v xml:space="preserve">SET INSERTS FOR MOUNTING BRACKET </v>
          </cell>
          <cell r="F319" t="str">
            <v>consumer</v>
          </cell>
          <cell r="G319">
            <v>4000984119022</v>
          </cell>
        </row>
        <row r="320">
          <cell r="B320">
            <v>2000003449</v>
          </cell>
          <cell r="C320" t="str">
            <v>JOCKEY² / JOCKEY COMFORT</v>
          </cell>
          <cell r="D320" t="str">
            <v>FIXING POPPERS</v>
          </cell>
          <cell r="F320" t="str">
            <v>consumer</v>
          </cell>
          <cell r="G320">
            <v>4000984082227</v>
          </cell>
        </row>
        <row r="321">
          <cell r="B321">
            <v>2000024426</v>
          </cell>
          <cell r="C321" t="str">
            <v>JOCKEY² / JOCKEY COMFORT</v>
          </cell>
          <cell r="D321" t="str">
            <v>CLAMPING PLATE SET JOCKEY</v>
          </cell>
          <cell r="F321" t="str">
            <v>consumer</v>
          </cell>
          <cell r="G321">
            <v>4000984130546</v>
          </cell>
        </row>
        <row r="322">
          <cell r="B322">
            <v>2000025770</v>
          </cell>
          <cell r="C322" t="str">
            <v>JOCKEY² / JOCKEY COMFORT</v>
          </cell>
          <cell r="D322" t="str">
            <v>SET SCREWS FOR CLAMPINGPLATE</v>
          </cell>
          <cell r="F322" t="str">
            <v>consumer</v>
          </cell>
          <cell r="G322">
            <v>4000984152333</v>
          </cell>
        </row>
        <row r="323">
          <cell r="B323">
            <v>2000025769</v>
          </cell>
          <cell r="C323" t="str">
            <v>JOCKEY² / JOCKEY COMFORT</v>
          </cell>
          <cell r="D323" t="str">
            <v>REAR REFLECTOR</v>
          </cell>
          <cell r="F323" t="str">
            <v>consumer</v>
          </cell>
          <cell r="G323">
            <v>4000984152326</v>
          </cell>
        </row>
        <row r="324">
          <cell r="B324">
            <v>2000025803</v>
          </cell>
          <cell r="C324" t="str">
            <v>JOCKEY² / JOCKEY COMFORT</v>
          </cell>
          <cell r="D324" t="str">
            <v>CONTROL LEVER</v>
          </cell>
          <cell r="E324" t="str">
            <v>Grey</v>
          </cell>
          <cell r="F324" t="str">
            <v>consumer</v>
          </cell>
          <cell r="G324">
            <v>4000984152449</v>
          </cell>
        </row>
        <row r="325">
          <cell r="B325">
            <v>2000029338</v>
          </cell>
          <cell r="C325" t="str">
            <v>JOCKEY² / JOCKEY COMFORT</v>
          </cell>
          <cell r="D325" t="str">
            <v>SET SHOULDER PAD &amp; HARNESS 2-step (2018)</v>
          </cell>
          <cell r="E325" t="str">
            <v>Black</v>
          </cell>
          <cell r="F325" t="str">
            <v>consumer</v>
          </cell>
          <cell r="G325">
            <v>4000984191004</v>
          </cell>
        </row>
        <row r="326">
          <cell r="B326">
            <v>2000025768</v>
          </cell>
          <cell r="C326" t="str">
            <v>JOCKEY² / JOCKEY COMFORT</v>
          </cell>
          <cell r="D326" t="str">
            <v xml:space="preserve">SET FOOT STRAP </v>
          </cell>
          <cell r="E326" t="str">
            <v>Grey</v>
          </cell>
          <cell r="F326" t="str">
            <v>consumer</v>
          </cell>
          <cell r="G326">
            <v>4000984152319</v>
          </cell>
        </row>
        <row r="327">
          <cell r="B327">
            <v>2000026836</v>
          </cell>
          <cell r="C327" t="str">
            <v>JOCKEY² / JOCKEY COMFORT</v>
          </cell>
          <cell r="D327" t="str">
            <v>USER GUIDE COMPARTMENT</v>
          </cell>
          <cell r="F327" t="str">
            <v>consumer</v>
          </cell>
          <cell r="G327">
            <v>4000984158670</v>
          </cell>
        </row>
        <row r="328">
          <cell r="B328">
            <v>2000027467</v>
          </cell>
          <cell r="C328" t="str">
            <v>BRITAX HOLIDAY</v>
          </cell>
          <cell r="D328" t="str">
            <v>FRONT WHEEL SET</v>
          </cell>
          <cell r="F328" t="str">
            <v>consumer</v>
          </cell>
          <cell r="G328">
            <v>4000984166316</v>
          </cell>
        </row>
        <row r="329">
          <cell r="B329">
            <v>2000027468</v>
          </cell>
          <cell r="C329" t="str">
            <v>BRITAX HOLIDAY</v>
          </cell>
          <cell r="D329" t="str">
            <v>SEAT FABRIC</v>
          </cell>
          <cell r="F329" t="str">
            <v>consumer</v>
          </cell>
          <cell r="G329">
            <v>4000984166323</v>
          </cell>
        </row>
        <row r="330">
          <cell r="B330">
            <v>2000027469</v>
          </cell>
          <cell r="C330" t="str">
            <v>BRITAX HOLIDAY</v>
          </cell>
          <cell r="D330" t="str">
            <v>SEAT FABRIC FR</v>
          </cell>
          <cell r="F330" t="str">
            <v>consumer</v>
          </cell>
          <cell r="G330">
            <v>4000984166330</v>
          </cell>
        </row>
        <row r="331">
          <cell r="B331">
            <v>2000027470</v>
          </cell>
          <cell r="C331" t="str">
            <v>BRITAX HOLIDAY</v>
          </cell>
          <cell r="D331" t="str">
            <v xml:space="preserve">TEXTIL BASKET </v>
          </cell>
          <cell r="F331" t="str">
            <v>consumer</v>
          </cell>
          <cell r="G331">
            <v>4000984166347</v>
          </cell>
        </row>
        <row r="332">
          <cell r="B332">
            <v>2000027471</v>
          </cell>
          <cell r="C332" t="str">
            <v>BRITAX HOLIDAY</v>
          </cell>
          <cell r="D332" t="str">
            <v>CANOPY WITH SHOULDER PADS</v>
          </cell>
          <cell r="F332" t="str">
            <v>consumer</v>
          </cell>
          <cell r="G332">
            <v>4000984166354</v>
          </cell>
        </row>
        <row r="333">
          <cell r="B333">
            <v>2000027472</v>
          </cell>
          <cell r="C333" t="str">
            <v>B-LITE</v>
          </cell>
          <cell r="D333" t="str">
            <v>FRONT WHEEL SET</v>
          </cell>
          <cell r="F333" t="str">
            <v>consumer</v>
          </cell>
          <cell r="G333">
            <v>4000984166361</v>
          </cell>
        </row>
        <row r="334">
          <cell r="B334">
            <v>2000027473</v>
          </cell>
          <cell r="C334" t="str">
            <v>B-LITE</v>
          </cell>
          <cell r="D334" t="str">
            <v>REAR WHEEL SET</v>
          </cell>
          <cell r="F334" t="str">
            <v>consumer</v>
          </cell>
          <cell r="G334">
            <v>4000984166378</v>
          </cell>
        </row>
        <row r="335">
          <cell r="B335">
            <v>2000027474</v>
          </cell>
          <cell r="C335" t="str">
            <v>B-LITE</v>
          </cell>
          <cell r="D335" t="str">
            <v xml:space="preserve">TEXTIL BASKET </v>
          </cell>
          <cell r="F335" t="str">
            <v>consumer</v>
          </cell>
          <cell r="G335">
            <v>4000984166385</v>
          </cell>
        </row>
        <row r="336">
          <cell r="B336">
            <v>2000027475</v>
          </cell>
          <cell r="C336" t="str">
            <v>B-LITE</v>
          </cell>
          <cell r="D336" t="str">
            <v xml:space="preserve">SEAT FABRIC </v>
          </cell>
          <cell r="F336" t="str">
            <v>retailer only</v>
          </cell>
          <cell r="G336">
            <v>4000984166392</v>
          </cell>
        </row>
        <row r="337">
          <cell r="B337">
            <v>2000027476</v>
          </cell>
          <cell r="C337" t="str">
            <v>B-LITE</v>
          </cell>
          <cell r="D337" t="str">
            <v xml:space="preserve">SEAT FABRIC FR </v>
          </cell>
          <cell r="F337" t="str">
            <v>retailer only</v>
          </cell>
          <cell r="G337">
            <v>4000984166408</v>
          </cell>
        </row>
        <row r="338">
          <cell r="B338">
            <v>2000027477</v>
          </cell>
          <cell r="C338" t="str">
            <v>B-LITE</v>
          </cell>
          <cell r="D338" t="str">
            <v>BUMPER BAR</v>
          </cell>
          <cell r="E338" t="str">
            <v>Cosmos Black</v>
          </cell>
          <cell r="F338" t="str">
            <v>consumer</v>
          </cell>
          <cell r="G338">
            <v>4000984166415</v>
          </cell>
        </row>
        <row r="339">
          <cell r="B339">
            <v>2000027478</v>
          </cell>
          <cell r="C339" t="str">
            <v>B-LITE</v>
          </cell>
          <cell r="D339" t="str">
            <v xml:space="preserve">FOOT SUPPORT </v>
          </cell>
          <cell r="F339" t="str">
            <v>retailer only</v>
          </cell>
          <cell r="G339">
            <v>4000984166422</v>
          </cell>
        </row>
        <row r="340">
          <cell r="B340">
            <v>2000029129</v>
          </cell>
          <cell r="C340" t="str">
            <v>B-LITE</v>
          </cell>
          <cell r="D340" t="str">
            <v xml:space="preserve">CANOPY WITH SHOULDER PADS </v>
          </cell>
          <cell r="E340" t="str">
            <v>Cosmos Black</v>
          </cell>
          <cell r="F340" t="str">
            <v>consumer</v>
          </cell>
          <cell r="G340">
            <v>4000984189704</v>
          </cell>
        </row>
        <row r="341">
          <cell r="B341">
            <v>2000005808</v>
          </cell>
          <cell r="C341" t="str">
            <v>B-AGILE 3</v>
          </cell>
          <cell r="D341" t="str">
            <v xml:space="preserve">HOOD </v>
          </cell>
          <cell r="E341" t="str">
            <v>Chili Pepper</v>
          </cell>
          <cell r="F341" t="str">
            <v>consumer</v>
          </cell>
          <cell r="G341">
            <v>4000984089752</v>
          </cell>
        </row>
        <row r="342">
          <cell r="B342">
            <v>2000008007</v>
          </cell>
          <cell r="C342" t="str">
            <v>B-AGILE 3</v>
          </cell>
          <cell r="D342" t="str">
            <v xml:space="preserve">HOOD </v>
          </cell>
          <cell r="E342" t="str">
            <v>Blue Sky</v>
          </cell>
          <cell r="F342" t="str">
            <v>consumer</v>
          </cell>
          <cell r="G342">
            <v>4000984094763</v>
          </cell>
        </row>
        <row r="343">
          <cell r="B343">
            <v>2000008008</v>
          </cell>
          <cell r="C343" t="str">
            <v>B-AGILE 3</v>
          </cell>
          <cell r="D343" t="str">
            <v xml:space="preserve">HOOD </v>
          </cell>
          <cell r="E343" t="str">
            <v>Cool Berry</v>
          </cell>
          <cell r="F343" t="str">
            <v>consumer</v>
          </cell>
          <cell r="G343">
            <v>4000984094770</v>
          </cell>
        </row>
        <row r="344">
          <cell r="B344">
            <v>2000008009</v>
          </cell>
          <cell r="C344" t="str">
            <v>B-AGILE 3</v>
          </cell>
          <cell r="D344" t="str">
            <v xml:space="preserve">HOOD </v>
          </cell>
          <cell r="E344" t="str">
            <v>Fossil Brown</v>
          </cell>
          <cell r="F344" t="str">
            <v>consumer</v>
          </cell>
          <cell r="G344">
            <v>4000984094787</v>
          </cell>
        </row>
        <row r="345">
          <cell r="B345">
            <v>2000024743</v>
          </cell>
          <cell r="C345" t="str">
            <v>B-AGILE 3</v>
          </cell>
          <cell r="D345" t="str">
            <v xml:space="preserve">HOOD </v>
          </cell>
          <cell r="E345" t="str">
            <v>Mineral Lilac</v>
          </cell>
          <cell r="F345" t="str">
            <v>consumer</v>
          </cell>
          <cell r="G345">
            <v>4000984138153</v>
          </cell>
        </row>
        <row r="346">
          <cell r="B346">
            <v>2000024738</v>
          </cell>
          <cell r="C346" t="str">
            <v>B-AGILE 3</v>
          </cell>
          <cell r="D346" t="str">
            <v xml:space="preserve">HOOD </v>
          </cell>
          <cell r="E346" t="str">
            <v>Cosmos Black</v>
          </cell>
          <cell r="F346" t="str">
            <v>consumer</v>
          </cell>
          <cell r="G346">
            <v>4000984138061</v>
          </cell>
        </row>
        <row r="347">
          <cell r="B347">
            <v>2000024739</v>
          </cell>
          <cell r="C347" t="str">
            <v>B-AGILE 3</v>
          </cell>
          <cell r="D347" t="str">
            <v xml:space="preserve">HOOD </v>
          </cell>
          <cell r="E347" t="str">
            <v>Flame Red</v>
          </cell>
          <cell r="F347" t="str">
            <v>consumer</v>
          </cell>
          <cell r="G347">
            <v>4000984138115</v>
          </cell>
        </row>
        <row r="348">
          <cell r="B348">
            <v>2000024742</v>
          </cell>
          <cell r="C348" t="str">
            <v>B-AGILE 3</v>
          </cell>
          <cell r="D348" t="str">
            <v xml:space="preserve">HOOD </v>
          </cell>
          <cell r="E348" t="str">
            <v>Wood Brown</v>
          </cell>
          <cell r="F348" t="str">
            <v>consumer</v>
          </cell>
          <cell r="G348">
            <v>4000984138146</v>
          </cell>
        </row>
        <row r="349">
          <cell r="B349">
            <v>2000026808</v>
          </cell>
          <cell r="C349" t="str">
            <v>B-AGILE 3</v>
          </cell>
          <cell r="D349" t="str">
            <v xml:space="preserve">HOOD </v>
          </cell>
          <cell r="E349" t="str">
            <v>Steel Grey</v>
          </cell>
          <cell r="F349" t="str">
            <v>consumer</v>
          </cell>
          <cell r="G349" t="str">
            <v xml:space="preserve"> 4000984157963</v>
          </cell>
        </row>
        <row r="350">
          <cell r="B350" t="str">
            <v>2000026809</v>
          </cell>
          <cell r="C350" t="str">
            <v>B-AGILE 3</v>
          </cell>
          <cell r="D350" t="str">
            <v xml:space="preserve">HOOD </v>
          </cell>
          <cell r="E350" t="str">
            <v>Olive Green</v>
          </cell>
          <cell r="F350" t="str">
            <v>consumer</v>
          </cell>
          <cell r="G350" t="str">
            <v>4000984157970</v>
          </cell>
        </row>
        <row r="351">
          <cell r="B351">
            <v>2000026810</v>
          </cell>
          <cell r="C351" t="str">
            <v>B-AGILE 3</v>
          </cell>
          <cell r="D351" t="str">
            <v xml:space="preserve">HOOD </v>
          </cell>
          <cell r="E351" t="str">
            <v>Wine Red</v>
          </cell>
          <cell r="F351" t="str">
            <v>consumer</v>
          </cell>
          <cell r="G351" t="str">
            <v>4000984157987</v>
          </cell>
        </row>
        <row r="352">
          <cell r="B352">
            <v>2000005806</v>
          </cell>
          <cell r="C352" t="str">
            <v>B-AGILE 3</v>
          </cell>
          <cell r="D352" t="str">
            <v>BASKET</v>
          </cell>
          <cell r="F352" t="str">
            <v>consumer</v>
          </cell>
          <cell r="G352">
            <v>4000984089776</v>
          </cell>
        </row>
        <row r="353">
          <cell r="B353">
            <v>2000008005</v>
          </cell>
          <cell r="C353" t="str">
            <v>B-AGILE 3</v>
          </cell>
          <cell r="D353" t="str">
            <v>WHEEL SET</v>
          </cell>
          <cell r="E353" t="str">
            <v>Black</v>
          </cell>
          <cell r="F353" t="str">
            <v>consumer</v>
          </cell>
          <cell r="G353">
            <v>4000984094749</v>
          </cell>
        </row>
        <row r="354">
          <cell r="B354">
            <v>2000008006</v>
          </cell>
          <cell r="C354" t="str">
            <v>B-AGILE 3</v>
          </cell>
          <cell r="D354" t="str">
            <v>WHEEL SET</v>
          </cell>
          <cell r="E354" t="str">
            <v>Silver</v>
          </cell>
          <cell r="F354" t="str">
            <v>consumer</v>
          </cell>
          <cell r="G354">
            <v>4000984094756</v>
          </cell>
        </row>
        <row r="355">
          <cell r="B355">
            <v>2000005809</v>
          </cell>
          <cell r="C355" t="str">
            <v>B-AGILE 3</v>
          </cell>
          <cell r="D355" t="str">
            <v xml:space="preserve">LOCK CATCH </v>
          </cell>
          <cell r="F355" t="str">
            <v>consumer</v>
          </cell>
          <cell r="G355">
            <v>4000984089745</v>
          </cell>
        </row>
        <row r="356">
          <cell r="B356">
            <v>2000025114</v>
          </cell>
          <cell r="C356" t="str">
            <v>B-AGILE 3</v>
          </cell>
          <cell r="D356" t="str">
            <v>SEAT UNIT INCL. HARNESS</v>
          </cell>
          <cell r="E356" t="str">
            <v>Cosmos Black</v>
          </cell>
          <cell r="F356" t="str">
            <v>consumer</v>
          </cell>
          <cell r="G356">
            <v>4000984144185</v>
          </cell>
        </row>
        <row r="357">
          <cell r="B357">
            <v>2000025120</v>
          </cell>
          <cell r="C357" t="str">
            <v>B-AGILE 3</v>
          </cell>
          <cell r="D357" t="str">
            <v xml:space="preserve">SEAT UNIT INCL. HARNESS </v>
          </cell>
          <cell r="E357" t="str">
            <v>Cosmos Black</v>
          </cell>
          <cell r="F357" t="str">
            <v>consumer</v>
          </cell>
          <cell r="G357" t="str">
            <v>4000984144741</v>
          </cell>
        </row>
        <row r="358">
          <cell r="B358">
            <v>2000005808</v>
          </cell>
          <cell r="C358" t="str">
            <v>B-AGILE 4</v>
          </cell>
          <cell r="D358" t="str">
            <v xml:space="preserve">HOOD </v>
          </cell>
          <cell r="E358" t="str">
            <v>Chili Pepper</v>
          </cell>
          <cell r="F358" t="str">
            <v>consumer</v>
          </cell>
          <cell r="G358">
            <v>4000984089752</v>
          </cell>
        </row>
        <row r="359">
          <cell r="B359">
            <v>2000008007</v>
          </cell>
          <cell r="C359" t="str">
            <v>B-AGILE 4</v>
          </cell>
          <cell r="D359" t="str">
            <v xml:space="preserve">HOOD </v>
          </cell>
          <cell r="E359" t="str">
            <v>Blue Sky</v>
          </cell>
          <cell r="F359" t="str">
            <v>consumer</v>
          </cell>
          <cell r="G359">
            <v>4000984094763</v>
          </cell>
        </row>
        <row r="360">
          <cell r="B360">
            <v>2000008008</v>
          </cell>
          <cell r="C360" t="str">
            <v>B-AGILE 4</v>
          </cell>
          <cell r="D360" t="str">
            <v xml:space="preserve">HOOD </v>
          </cell>
          <cell r="E360" t="str">
            <v>Cool Berry</v>
          </cell>
          <cell r="F360" t="str">
            <v>consumer</v>
          </cell>
          <cell r="G360">
            <v>4000984094770</v>
          </cell>
        </row>
        <row r="361">
          <cell r="B361">
            <v>2000008009</v>
          </cell>
          <cell r="C361" t="str">
            <v>B-AGILE 4</v>
          </cell>
          <cell r="D361" t="str">
            <v xml:space="preserve">HOOD </v>
          </cell>
          <cell r="E361" t="str">
            <v>Fossil Brown</v>
          </cell>
          <cell r="F361" t="str">
            <v>consumer</v>
          </cell>
          <cell r="G361">
            <v>4000984094787</v>
          </cell>
        </row>
        <row r="362">
          <cell r="B362">
            <v>2000024743</v>
          </cell>
          <cell r="C362" t="str">
            <v>B-AGILE 4</v>
          </cell>
          <cell r="D362" t="str">
            <v xml:space="preserve">HOOD </v>
          </cell>
          <cell r="E362" t="str">
            <v>Mineral Lilac</v>
          </cell>
          <cell r="F362" t="str">
            <v>consumer</v>
          </cell>
          <cell r="G362">
            <v>4000984138153</v>
          </cell>
        </row>
        <row r="363">
          <cell r="B363">
            <v>2000024738</v>
          </cell>
          <cell r="C363" t="str">
            <v>B-AGILE 4</v>
          </cell>
          <cell r="D363" t="str">
            <v xml:space="preserve">HOOD </v>
          </cell>
          <cell r="E363" t="str">
            <v>Cosmos Black</v>
          </cell>
          <cell r="F363" t="str">
            <v>consumer</v>
          </cell>
          <cell r="G363">
            <v>4000984138061</v>
          </cell>
        </row>
        <row r="364">
          <cell r="B364">
            <v>2000024739</v>
          </cell>
          <cell r="C364" t="str">
            <v>B-AGILE 4</v>
          </cell>
          <cell r="D364" t="str">
            <v xml:space="preserve">HOOD </v>
          </cell>
          <cell r="E364" t="str">
            <v>Flame Red</v>
          </cell>
          <cell r="F364" t="str">
            <v>consumer</v>
          </cell>
          <cell r="G364">
            <v>4000984138115</v>
          </cell>
        </row>
        <row r="365">
          <cell r="B365">
            <v>2000024742</v>
          </cell>
          <cell r="C365" t="str">
            <v>B-AGILE 4</v>
          </cell>
          <cell r="D365" t="str">
            <v xml:space="preserve">HOOD </v>
          </cell>
          <cell r="E365" t="str">
            <v>Wood Brown</v>
          </cell>
          <cell r="F365" t="str">
            <v>consumer</v>
          </cell>
          <cell r="G365">
            <v>4000984138146</v>
          </cell>
        </row>
        <row r="366">
          <cell r="B366">
            <v>2000024741</v>
          </cell>
          <cell r="C366" t="str">
            <v>B-AGILE 4</v>
          </cell>
          <cell r="D366" t="str">
            <v xml:space="preserve">HOOD </v>
          </cell>
          <cell r="E366" t="str">
            <v>Lagoon Green</v>
          </cell>
          <cell r="F366" t="str">
            <v>consumer</v>
          </cell>
          <cell r="G366">
            <v>4000984138139</v>
          </cell>
        </row>
        <row r="367">
          <cell r="B367">
            <v>2000026808</v>
          </cell>
          <cell r="C367" t="str">
            <v>B-AGILE 4</v>
          </cell>
          <cell r="D367" t="str">
            <v xml:space="preserve">HOOD </v>
          </cell>
          <cell r="E367" t="str">
            <v>Steel Grey</v>
          </cell>
          <cell r="F367" t="str">
            <v>consumer</v>
          </cell>
          <cell r="G367" t="str">
            <v xml:space="preserve"> 4000984157963</v>
          </cell>
        </row>
        <row r="368">
          <cell r="B368" t="str">
            <v>2000026809</v>
          </cell>
          <cell r="C368" t="str">
            <v>B-AGILE 4</v>
          </cell>
          <cell r="D368" t="str">
            <v xml:space="preserve">HOOD </v>
          </cell>
          <cell r="E368" t="str">
            <v>Olive Green</v>
          </cell>
          <cell r="F368" t="str">
            <v>consumer</v>
          </cell>
          <cell r="G368" t="str">
            <v>4000984157970</v>
          </cell>
        </row>
        <row r="369">
          <cell r="B369">
            <v>2000026810</v>
          </cell>
          <cell r="C369" t="str">
            <v>B-AGILE 4</v>
          </cell>
          <cell r="D369" t="str">
            <v xml:space="preserve">HOOD </v>
          </cell>
          <cell r="E369" t="str">
            <v>Wine Red</v>
          </cell>
          <cell r="F369" t="str">
            <v>consumer</v>
          </cell>
          <cell r="G369" t="str">
            <v>4000984157987</v>
          </cell>
        </row>
        <row r="370">
          <cell r="B370">
            <v>2000005806</v>
          </cell>
          <cell r="C370" t="str">
            <v>B-AGILE 4</v>
          </cell>
          <cell r="D370" t="str">
            <v>BASKET</v>
          </cell>
          <cell r="F370" t="str">
            <v>consumer</v>
          </cell>
          <cell r="G370">
            <v>4000984089776</v>
          </cell>
        </row>
        <row r="371">
          <cell r="B371">
            <v>2000005805</v>
          </cell>
          <cell r="C371" t="str">
            <v>B-AGILE 4</v>
          </cell>
          <cell r="D371" t="str">
            <v>WHEEL SET</v>
          </cell>
          <cell r="E371" t="str">
            <v>Black</v>
          </cell>
          <cell r="F371" t="str">
            <v>consumer</v>
          </cell>
          <cell r="G371">
            <v>4000984089783</v>
          </cell>
        </row>
        <row r="372">
          <cell r="B372">
            <v>2000024859</v>
          </cell>
          <cell r="C372" t="str">
            <v>B-AGILE 4</v>
          </cell>
          <cell r="D372" t="str">
            <v>APRON</v>
          </cell>
          <cell r="E372" t="str">
            <v>Black</v>
          </cell>
          <cell r="F372" t="str">
            <v>consumer</v>
          </cell>
          <cell r="G372">
            <v>4000984148596</v>
          </cell>
        </row>
        <row r="373">
          <cell r="B373">
            <v>2000005809</v>
          </cell>
          <cell r="C373" t="str">
            <v>B-AGILE 4</v>
          </cell>
          <cell r="D373" t="str">
            <v xml:space="preserve">LOCK CATCH </v>
          </cell>
          <cell r="F373" t="str">
            <v>consumer</v>
          </cell>
          <cell r="G373">
            <v>4000984089745</v>
          </cell>
        </row>
        <row r="374">
          <cell r="B374">
            <v>2000025114</v>
          </cell>
          <cell r="C374" t="str">
            <v>B-AGILE 4</v>
          </cell>
          <cell r="D374" t="str">
            <v>SEAT UNIT INCL. HARNESS</v>
          </cell>
          <cell r="E374" t="str">
            <v>Cosmos Black</v>
          </cell>
          <cell r="F374" t="str">
            <v>consumer</v>
          </cell>
          <cell r="G374">
            <v>4000984144185</v>
          </cell>
        </row>
        <row r="375">
          <cell r="B375">
            <v>2000025120</v>
          </cell>
          <cell r="C375" t="str">
            <v>B-AGILE 4</v>
          </cell>
          <cell r="D375" t="str">
            <v xml:space="preserve">SEAT UNIT INCL. HARNESS </v>
          </cell>
          <cell r="E375" t="str">
            <v>Cosmos Black</v>
          </cell>
          <cell r="F375" t="str">
            <v>consumer</v>
          </cell>
          <cell r="G375" t="str">
            <v>4000984144741</v>
          </cell>
        </row>
        <row r="376">
          <cell r="B376">
            <v>2000025577</v>
          </cell>
          <cell r="C376" t="str">
            <v>B-AGILE 4</v>
          </cell>
          <cell r="D376" t="str">
            <v xml:space="preserve">FOOTREST FABRIC </v>
          </cell>
          <cell r="F376" t="str">
            <v>retailer only</v>
          </cell>
          <cell r="G376">
            <v>4000984150452</v>
          </cell>
        </row>
        <row r="377">
          <cell r="B377">
            <v>2000026852</v>
          </cell>
          <cell r="C377" t="str">
            <v>B-AGILE 4</v>
          </cell>
          <cell r="D377" t="str">
            <v xml:space="preserve">FRONT WHEEL ATTACHMENT </v>
          </cell>
          <cell r="F377" t="str">
            <v>retailer only</v>
          </cell>
          <cell r="G377" t="str">
            <v>4000984158809</v>
          </cell>
        </row>
        <row r="378">
          <cell r="B378">
            <v>2000008817</v>
          </cell>
          <cell r="C378" t="str">
            <v>B-AGILE DOUBLE</v>
          </cell>
          <cell r="D378" t="str">
            <v xml:space="preserve">WHEELS SET </v>
          </cell>
          <cell r="E378" t="str">
            <v>Silver</v>
          </cell>
          <cell r="F378" t="str">
            <v>consumer</v>
          </cell>
          <cell r="G378">
            <v>4000984099201</v>
          </cell>
        </row>
        <row r="379">
          <cell r="B379">
            <v>2000014617</v>
          </cell>
          <cell r="C379" t="str">
            <v>B-AGILE DOUBLE</v>
          </cell>
          <cell r="D379" t="str">
            <v xml:space="preserve">WHEELS SET </v>
          </cell>
          <cell r="E379" t="str">
            <v>Black</v>
          </cell>
          <cell r="F379" t="str">
            <v>consumer</v>
          </cell>
          <cell r="G379">
            <v>4000984122756</v>
          </cell>
        </row>
        <row r="380">
          <cell r="B380">
            <v>2000008820</v>
          </cell>
          <cell r="C380" t="str">
            <v>B-AGILE DOUBLE</v>
          </cell>
          <cell r="D380" t="str">
            <v xml:space="preserve">BASKET </v>
          </cell>
          <cell r="F380" t="str">
            <v>consumer</v>
          </cell>
          <cell r="G380">
            <v>4000984099171</v>
          </cell>
        </row>
        <row r="381">
          <cell r="B381">
            <v>2000009649</v>
          </cell>
          <cell r="C381" t="str">
            <v>B-AGILE DOUBLE</v>
          </cell>
          <cell r="D381" t="str">
            <v xml:space="preserve">RAINCOVER </v>
          </cell>
          <cell r="F381" t="str">
            <v>consumer</v>
          </cell>
          <cell r="G381">
            <v>4000984106183</v>
          </cell>
        </row>
        <row r="382">
          <cell r="B382">
            <v>2000024744</v>
          </cell>
          <cell r="C382" t="str">
            <v>B-AGILE DOUBLE</v>
          </cell>
          <cell r="D382" t="str">
            <v xml:space="preserve">HOOD </v>
          </cell>
          <cell r="E382" t="str">
            <v>Cosmos Black</v>
          </cell>
          <cell r="F382" t="str">
            <v>consumer</v>
          </cell>
          <cell r="G382">
            <v>4000984138320</v>
          </cell>
        </row>
        <row r="383">
          <cell r="B383">
            <v>2000024745</v>
          </cell>
          <cell r="C383" t="str">
            <v>B-AGILE DOUBLE</v>
          </cell>
          <cell r="D383" t="str">
            <v xml:space="preserve">HOOD </v>
          </cell>
          <cell r="E383" t="str">
            <v>Flame Red</v>
          </cell>
          <cell r="F383" t="str">
            <v>consumer</v>
          </cell>
          <cell r="G383">
            <v>4000984138337</v>
          </cell>
        </row>
        <row r="384">
          <cell r="B384">
            <v>2000008819</v>
          </cell>
          <cell r="C384" t="str">
            <v>B-AGILE DOUBLE</v>
          </cell>
          <cell r="D384" t="str">
            <v xml:space="preserve">HOOD </v>
          </cell>
          <cell r="E384" t="str">
            <v>Black</v>
          </cell>
          <cell r="F384" t="str">
            <v>consumer</v>
          </cell>
          <cell r="G384">
            <v>4000984099188</v>
          </cell>
        </row>
        <row r="385">
          <cell r="B385">
            <v>2000026811</v>
          </cell>
          <cell r="C385" t="str">
            <v>B-AGILE DOUBLE</v>
          </cell>
          <cell r="D385" t="str">
            <v xml:space="preserve">HOOD </v>
          </cell>
          <cell r="E385" t="str">
            <v>Steel Grey</v>
          </cell>
          <cell r="F385" t="str">
            <v>consumer</v>
          </cell>
          <cell r="G385" t="str">
            <v>'4000984157994</v>
          </cell>
        </row>
        <row r="386">
          <cell r="B386">
            <v>2000025116</v>
          </cell>
          <cell r="C386" t="str">
            <v>B-AGILE DOUBLE</v>
          </cell>
          <cell r="D386" t="str">
            <v>SEAT UNIT INCL. HARNESS</v>
          </cell>
          <cell r="E386" t="str">
            <v>Cosmos Black</v>
          </cell>
          <cell r="F386" t="str">
            <v>consumer</v>
          </cell>
          <cell r="G386">
            <v>4000984144253</v>
          </cell>
        </row>
        <row r="387">
          <cell r="B387">
            <v>2000025121</v>
          </cell>
          <cell r="C387" t="str">
            <v>B-AGILE DOUBLE</v>
          </cell>
          <cell r="D387" t="str">
            <v>SEAT UNIT INCL. HARNESS FR</v>
          </cell>
          <cell r="E387" t="str">
            <v>Cosmos Black</v>
          </cell>
          <cell r="F387" t="str">
            <v>consumer</v>
          </cell>
          <cell r="G387" t="str">
            <v>'4000984144765</v>
          </cell>
        </row>
        <row r="388">
          <cell r="B388">
            <v>2000005809</v>
          </cell>
          <cell r="C388" t="str">
            <v>B-AGILE DOUBLE</v>
          </cell>
          <cell r="D388" t="str">
            <v xml:space="preserve">LOCK CATCH </v>
          </cell>
          <cell r="F388" t="str">
            <v>consumer</v>
          </cell>
          <cell r="G388">
            <v>4000984089745</v>
          </cell>
        </row>
        <row r="389">
          <cell r="B389">
            <v>2000021788</v>
          </cell>
          <cell r="C389" t="str">
            <v>B-AGILE 4S</v>
          </cell>
          <cell r="D389" t="str">
            <v xml:space="preserve">HOOD </v>
          </cell>
          <cell r="E389" t="str">
            <v>Black Thunder</v>
          </cell>
          <cell r="F389" t="str">
            <v>consumer</v>
          </cell>
          <cell r="G389">
            <v>4000984124958</v>
          </cell>
        </row>
        <row r="390">
          <cell r="B390">
            <v>2000021809</v>
          </cell>
          <cell r="C390" t="str">
            <v>B-AGILE 4S</v>
          </cell>
          <cell r="D390" t="str">
            <v xml:space="preserve">HOOD </v>
          </cell>
          <cell r="E390" t="str">
            <v>Cool Berry</v>
          </cell>
          <cell r="F390" t="str">
            <v>consumer</v>
          </cell>
          <cell r="G390">
            <v>4000984125092</v>
          </cell>
        </row>
        <row r="391">
          <cell r="B391">
            <v>2000021810</v>
          </cell>
          <cell r="C391" t="str">
            <v>B-AGILE 4S</v>
          </cell>
          <cell r="D391" t="str">
            <v xml:space="preserve">HOOD </v>
          </cell>
          <cell r="E391" t="str">
            <v>Chili Pepper</v>
          </cell>
          <cell r="F391" t="str">
            <v>consumer</v>
          </cell>
          <cell r="G391">
            <v>4000984125108</v>
          </cell>
        </row>
        <row r="392">
          <cell r="B392">
            <v>2000021811</v>
          </cell>
          <cell r="C392" t="str">
            <v>B-AGILE 4S</v>
          </cell>
          <cell r="D392" t="str">
            <v xml:space="preserve">HOOD </v>
          </cell>
          <cell r="E392" t="str">
            <v>Blue Sky</v>
          </cell>
          <cell r="F392" t="str">
            <v>consumer</v>
          </cell>
          <cell r="G392">
            <v>4000984125115</v>
          </cell>
        </row>
        <row r="393">
          <cell r="B393">
            <v>2000005805</v>
          </cell>
          <cell r="C393" t="str">
            <v>B-AGILE 4S</v>
          </cell>
          <cell r="D393" t="str">
            <v>WHEEL SET</v>
          </cell>
          <cell r="E393" t="str">
            <v>Black</v>
          </cell>
          <cell r="F393" t="str">
            <v>consumer</v>
          </cell>
          <cell r="G393">
            <v>4000984089783</v>
          </cell>
        </row>
        <row r="394">
          <cell r="B394">
            <v>2000005806</v>
          </cell>
          <cell r="C394" t="str">
            <v>B-AGILE 4 PLUS</v>
          </cell>
          <cell r="D394" t="str">
            <v>BASKET</v>
          </cell>
          <cell r="F394" t="str">
            <v>consumer</v>
          </cell>
          <cell r="G394">
            <v>4000984089776</v>
          </cell>
        </row>
        <row r="395">
          <cell r="B395">
            <v>2000005805</v>
          </cell>
          <cell r="C395" t="str">
            <v>B-AGILE 4 PLUS</v>
          </cell>
          <cell r="D395" t="str">
            <v>WHEEL SET</v>
          </cell>
          <cell r="E395" t="str">
            <v>Black</v>
          </cell>
          <cell r="F395" t="str">
            <v>consumer</v>
          </cell>
          <cell r="G395">
            <v>4000984089783</v>
          </cell>
        </row>
        <row r="396">
          <cell r="B396">
            <v>2000005809</v>
          </cell>
          <cell r="C396" t="str">
            <v>B-AGILE 4 PLUS</v>
          </cell>
          <cell r="D396" t="str">
            <v xml:space="preserve">LOCK CATCH </v>
          </cell>
          <cell r="F396" t="str">
            <v>consumer</v>
          </cell>
          <cell r="G396">
            <v>4000984089745</v>
          </cell>
        </row>
        <row r="397">
          <cell r="B397">
            <v>2000025115</v>
          </cell>
          <cell r="C397" t="str">
            <v>B-AGILE 4 PLUS</v>
          </cell>
          <cell r="D397" t="str">
            <v>SEAT UNIT INCL. HARNESS</v>
          </cell>
          <cell r="E397" t="str">
            <v>Cosmos Black</v>
          </cell>
          <cell r="F397" t="str">
            <v>consumer</v>
          </cell>
          <cell r="G397">
            <v>4000984144208</v>
          </cell>
        </row>
        <row r="398">
          <cell r="B398">
            <v>2000026852</v>
          </cell>
          <cell r="C398" t="str">
            <v>B-AGILE 4 PLUS</v>
          </cell>
          <cell r="D398" t="str">
            <v xml:space="preserve">FRONT WHEEL ATTACHMENT </v>
          </cell>
          <cell r="F398" t="str">
            <v>retailer only</v>
          </cell>
          <cell r="G398" t="str">
            <v>4000984158809</v>
          </cell>
        </row>
        <row r="399">
          <cell r="B399">
            <v>2000029340</v>
          </cell>
          <cell r="C399" t="str">
            <v>B-AGILE 4 PLUS</v>
          </cell>
          <cell r="D399" t="str">
            <v xml:space="preserve">ADJUSTABLE FOOTREST HINGE REPAIR SET 2018  </v>
          </cell>
          <cell r="F399" t="str">
            <v>retailer only</v>
          </cell>
          <cell r="G399">
            <v>4000984191028</v>
          </cell>
        </row>
        <row r="400">
          <cell r="B400">
            <v>2000005806</v>
          </cell>
          <cell r="C400" t="str">
            <v>B-MOTION 3</v>
          </cell>
          <cell r="D400" t="str">
            <v>BASKET</v>
          </cell>
          <cell r="F400" t="str">
            <v>consumer</v>
          </cell>
          <cell r="G400">
            <v>4000984089776</v>
          </cell>
        </row>
        <row r="401">
          <cell r="B401">
            <v>2000010989</v>
          </cell>
          <cell r="C401" t="str">
            <v>B-MOTION 3</v>
          </cell>
          <cell r="D401" t="str">
            <v xml:space="preserve">FRONT WHEEL </v>
          </cell>
          <cell r="E401" t="str">
            <v>Black</v>
          </cell>
          <cell r="F401" t="str">
            <v>consumer</v>
          </cell>
          <cell r="G401">
            <v>4000984111255</v>
          </cell>
        </row>
        <row r="402">
          <cell r="B402">
            <v>2000010988</v>
          </cell>
          <cell r="C402" t="str">
            <v>B-MOTION 3</v>
          </cell>
          <cell r="D402" t="str">
            <v xml:space="preserve">REAR WHEEL SET </v>
          </cell>
          <cell r="E402" t="str">
            <v>Black</v>
          </cell>
          <cell r="F402" t="str">
            <v>consumer</v>
          </cell>
          <cell r="G402">
            <v>4000984111248</v>
          </cell>
        </row>
        <row r="403">
          <cell r="B403">
            <v>2000010990</v>
          </cell>
          <cell r="C403" t="str">
            <v>B-MOTION 3</v>
          </cell>
          <cell r="D403" t="str">
            <v>REAR WHEEL TUBE</v>
          </cell>
          <cell r="F403" t="str">
            <v>consumer</v>
          </cell>
          <cell r="G403">
            <v>4000984111262</v>
          </cell>
        </row>
        <row r="404">
          <cell r="B404">
            <v>2000026722</v>
          </cell>
          <cell r="C404" t="str">
            <v>B-MOTION 3</v>
          </cell>
          <cell r="D404" t="str">
            <v>FRONT WHEEL TUBE</v>
          </cell>
          <cell r="F404" t="str">
            <v>consumer</v>
          </cell>
          <cell r="G404" t="str">
            <v>'4000984156287</v>
          </cell>
        </row>
        <row r="405">
          <cell r="B405">
            <v>2000026850</v>
          </cell>
          <cell r="C405" t="str">
            <v>B-MOTION 3</v>
          </cell>
          <cell r="D405" t="str">
            <v xml:space="preserve">FRONT WHEEL ADJUSTMENT LEVER </v>
          </cell>
          <cell r="F405" t="str">
            <v>retailer only</v>
          </cell>
          <cell r="G405" t="str">
            <v>4000984158786</v>
          </cell>
        </row>
        <row r="406">
          <cell r="B406">
            <v>2000024738</v>
          </cell>
          <cell r="C406" t="str">
            <v>B-MOTION 3</v>
          </cell>
          <cell r="D406" t="str">
            <v xml:space="preserve">HOOD </v>
          </cell>
          <cell r="E406" t="str">
            <v>Cosmos Black</v>
          </cell>
          <cell r="F406" t="str">
            <v>consumer</v>
          </cell>
          <cell r="G406">
            <v>4000984138061</v>
          </cell>
        </row>
        <row r="407">
          <cell r="B407">
            <v>2000024739</v>
          </cell>
          <cell r="C407" t="str">
            <v>B-MOTION 3</v>
          </cell>
          <cell r="D407" t="str">
            <v xml:space="preserve">HOOD </v>
          </cell>
          <cell r="E407" t="str">
            <v>Flame Red</v>
          </cell>
          <cell r="F407" t="str">
            <v>consumer</v>
          </cell>
          <cell r="G407">
            <v>4000984138115</v>
          </cell>
        </row>
        <row r="408">
          <cell r="B408">
            <v>2000024742</v>
          </cell>
          <cell r="C408" t="str">
            <v>B-MOTION 3</v>
          </cell>
          <cell r="D408" t="str">
            <v xml:space="preserve">HOOD </v>
          </cell>
          <cell r="E408" t="str">
            <v>Wood Brown</v>
          </cell>
          <cell r="F408" t="str">
            <v>consumer</v>
          </cell>
          <cell r="G408">
            <v>4000984138146</v>
          </cell>
        </row>
        <row r="409">
          <cell r="B409">
            <v>2000024740</v>
          </cell>
          <cell r="C409" t="str">
            <v>B-MOTION 3</v>
          </cell>
          <cell r="D409" t="str">
            <v xml:space="preserve">HOOD </v>
          </cell>
          <cell r="E409" t="str">
            <v>Ocean Blue</v>
          </cell>
          <cell r="F409" t="str">
            <v>consumer</v>
          </cell>
          <cell r="G409">
            <v>4000984138122</v>
          </cell>
        </row>
        <row r="410">
          <cell r="B410" t="str">
            <v>2000014668 </v>
          </cell>
          <cell r="C410" t="str">
            <v>B-MOTION 3</v>
          </cell>
          <cell r="D410" t="str">
            <v xml:space="preserve">HOOD </v>
          </cell>
          <cell r="E410" t="str">
            <v>Chili Pepper</v>
          </cell>
          <cell r="F410" t="str">
            <v>consumer</v>
          </cell>
          <cell r="G410">
            <v>4000984123227</v>
          </cell>
        </row>
        <row r="411">
          <cell r="B411">
            <v>2000026808</v>
          </cell>
          <cell r="C411" t="str">
            <v>B-MOTION 3</v>
          </cell>
          <cell r="D411" t="str">
            <v xml:space="preserve">HOOD </v>
          </cell>
          <cell r="E411" t="str">
            <v>Steel Grey</v>
          </cell>
          <cell r="F411" t="str">
            <v>consumer</v>
          </cell>
          <cell r="G411" t="str">
            <v xml:space="preserve"> 4000984157963</v>
          </cell>
        </row>
        <row r="412">
          <cell r="B412" t="str">
            <v>2000026809</v>
          </cell>
          <cell r="C412" t="str">
            <v>B-MOTION 3</v>
          </cell>
          <cell r="D412" t="str">
            <v xml:space="preserve">HOOD </v>
          </cell>
          <cell r="E412" t="str">
            <v>Olive Green</v>
          </cell>
          <cell r="F412" t="str">
            <v>consumer</v>
          </cell>
          <cell r="G412" t="str">
            <v>4000984157970</v>
          </cell>
        </row>
        <row r="413">
          <cell r="B413">
            <v>2000026810</v>
          </cell>
          <cell r="C413" t="str">
            <v>B-MOTION 3</v>
          </cell>
          <cell r="D413" t="str">
            <v xml:space="preserve">HOOD </v>
          </cell>
          <cell r="E413" t="str">
            <v>Wine Red</v>
          </cell>
          <cell r="F413" t="str">
            <v>consumer</v>
          </cell>
          <cell r="G413" t="str">
            <v>4000984157987</v>
          </cell>
        </row>
        <row r="414">
          <cell r="B414">
            <v>2000009631</v>
          </cell>
          <cell r="C414" t="str">
            <v>B-MOTION 3</v>
          </cell>
          <cell r="D414" t="str">
            <v xml:space="preserve">HANDLE </v>
          </cell>
          <cell r="F414" t="str">
            <v>retailer only</v>
          </cell>
          <cell r="G414">
            <v>4000984107609</v>
          </cell>
        </row>
        <row r="415">
          <cell r="B415">
            <v>2000005809</v>
          </cell>
          <cell r="C415" t="str">
            <v>B-MOTION 3</v>
          </cell>
          <cell r="D415" t="str">
            <v xml:space="preserve">LOCK CATCH </v>
          </cell>
          <cell r="F415" t="str">
            <v>consumer</v>
          </cell>
          <cell r="G415">
            <v>4000984089745</v>
          </cell>
        </row>
        <row r="416">
          <cell r="B416">
            <v>2000025117</v>
          </cell>
          <cell r="C416" t="str">
            <v>B-MOTION 3</v>
          </cell>
          <cell r="D416" t="str">
            <v>SEAT UNIT INCL. HARNESS</v>
          </cell>
          <cell r="E416" t="str">
            <v>Cosmos Black</v>
          </cell>
          <cell r="F416" t="str">
            <v>consumer</v>
          </cell>
          <cell r="G416">
            <v>4000984144277</v>
          </cell>
        </row>
        <row r="417">
          <cell r="B417">
            <v>2000025122</v>
          </cell>
          <cell r="C417" t="str">
            <v>B-MOTION 3</v>
          </cell>
          <cell r="D417" t="str">
            <v xml:space="preserve">SEAT UNIT INCL. HARNESS </v>
          </cell>
          <cell r="E417" t="str">
            <v>Cosmos Black</v>
          </cell>
          <cell r="F417" t="str">
            <v>retailer only</v>
          </cell>
          <cell r="G417" t="str">
            <v>4000984144819</v>
          </cell>
        </row>
        <row r="418">
          <cell r="B418">
            <v>2000025576</v>
          </cell>
          <cell r="C418" t="str">
            <v>B-MOTION 3</v>
          </cell>
          <cell r="D418" t="str">
            <v xml:space="preserve">FOOTREST FABRIC </v>
          </cell>
          <cell r="F418" t="str">
            <v>retailer only</v>
          </cell>
          <cell r="G418">
            <v>4000984150445</v>
          </cell>
        </row>
        <row r="419">
          <cell r="B419">
            <v>2000005806</v>
          </cell>
          <cell r="C419" t="str">
            <v>B-MOTION 4</v>
          </cell>
          <cell r="D419" t="str">
            <v>BASKET</v>
          </cell>
          <cell r="F419" t="str">
            <v>consumer</v>
          </cell>
          <cell r="G419">
            <v>4000984089776</v>
          </cell>
        </row>
        <row r="420">
          <cell r="B420">
            <v>2000024738</v>
          </cell>
          <cell r="C420" t="str">
            <v>B-MOTION 4</v>
          </cell>
          <cell r="D420" t="str">
            <v xml:space="preserve">HOOD </v>
          </cell>
          <cell r="E420" t="str">
            <v>Cosmos Black</v>
          </cell>
          <cell r="F420" t="str">
            <v>consumer</v>
          </cell>
          <cell r="G420">
            <v>4000984138061</v>
          </cell>
        </row>
        <row r="421">
          <cell r="B421">
            <v>2000024739</v>
          </cell>
          <cell r="C421" t="str">
            <v>B-MOTION 4</v>
          </cell>
          <cell r="D421" t="str">
            <v xml:space="preserve">HOOD </v>
          </cell>
          <cell r="E421" t="str">
            <v>Flame Red</v>
          </cell>
          <cell r="F421" t="str">
            <v>consumer</v>
          </cell>
          <cell r="G421">
            <v>4000984138115</v>
          </cell>
        </row>
        <row r="422">
          <cell r="B422">
            <v>2000024742</v>
          </cell>
          <cell r="C422" t="str">
            <v>B-MOTION 4</v>
          </cell>
          <cell r="D422" t="str">
            <v xml:space="preserve">HOOD </v>
          </cell>
          <cell r="E422" t="str">
            <v>Wood Brown</v>
          </cell>
          <cell r="F422" t="str">
            <v>consumer</v>
          </cell>
          <cell r="G422">
            <v>4000984138146</v>
          </cell>
        </row>
        <row r="423">
          <cell r="B423">
            <v>2000024741</v>
          </cell>
          <cell r="C423" t="str">
            <v>B-MOTION 4</v>
          </cell>
          <cell r="D423" t="str">
            <v xml:space="preserve">HOOD </v>
          </cell>
          <cell r="E423" t="str">
            <v>Lagoon Green</v>
          </cell>
          <cell r="F423" t="str">
            <v>consumer</v>
          </cell>
          <cell r="G423">
            <v>4000984138139</v>
          </cell>
        </row>
        <row r="424">
          <cell r="B424">
            <v>2000024740</v>
          </cell>
          <cell r="C424" t="str">
            <v>B-MOTION 4</v>
          </cell>
          <cell r="D424" t="str">
            <v xml:space="preserve">HOOD </v>
          </cell>
          <cell r="E424" t="str">
            <v>Ocean Blue</v>
          </cell>
          <cell r="F424" t="str">
            <v>consumer</v>
          </cell>
          <cell r="G424">
            <v>4000984138122</v>
          </cell>
        </row>
        <row r="425">
          <cell r="B425" t="str">
            <v>2000014668 </v>
          </cell>
          <cell r="C425" t="str">
            <v>B-MOTION 4</v>
          </cell>
          <cell r="D425" t="str">
            <v xml:space="preserve">HOOD </v>
          </cell>
          <cell r="E425" t="str">
            <v>Chili Pepper</v>
          </cell>
          <cell r="F425" t="str">
            <v>consumer</v>
          </cell>
          <cell r="G425">
            <v>4000984123227</v>
          </cell>
        </row>
        <row r="426">
          <cell r="B426">
            <v>2000026808</v>
          </cell>
          <cell r="C426" t="str">
            <v>B-MOTION 4</v>
          </cell>
          <cell r="D426" t="str">
            <v xml:space="preserve">HOOD </v>
          </cell>
          <cell r="E426" t="str">
            <v>Steel Grey</v>
          </cell>
          <cell r="F426" t="str">
            <v>consumer</v>
          </cell>
          <cell r="G426" t="str">
            <v xml:space="preserve"> 4000984157963</v>
          </cell>
        </row>
        <row r="427">
          <cell r="B427" t="str">
            <v>2000026809</v>
          </cell>
          <cell r="C427" t="str">
            <v>B-MOTION 4</v>
          </cell>
          <cell r="D427" t="str">
            <v xml:space="preserve">HOOD </v>
          </cell>
          <cell r="E427" t="str">
            <v>Olive Green</v>
          </cell>
          <cell r="F427" t="str">
            <v>consumer</v>
          </cell>
          <cell r="G427" t="str">
            <v>4000984157970</v>
          </cell>
        </row>
        <row r="428">
          <cell r="B428">
            <v>2000026810</v>
          </cell>
          <cell r="C428" t="str">
            <v>B-MOTION 4</v>
          </cell>
          <cell r="D428" t="str">
            <v xml:space="preserve">HOOD </v>
          </cell>
          <cell r="E428" t="str">
            <v>Wine Red</v>
          </cell>
          <cell r="F428" t="str">
            <v>consumer</v>
          </cell>
          <cell r="G428" t="str">
            <v>4000984157987</v>
          </cell>
        </row>
        <row r="429">
          <cell r="B429">
            <v>2000024859</v>
          </cell>
          <cell r="C429" t="str">
            <v>B-MOTION 4</v>
          </cell>
          <cell r="D429" t="str">
            <v>APRON</v>
          </cell>
          <cell r="E429" t="str">
            <v>Black</v>
          </cell>
          <cell r="F429" t="str">
            <v>consumer</v>
          </cell>
          <cell r="G429">
            <v>4000984148596</v>
          </cell>
        </row>
        <row r="430">
          <cell r="B430">
            <v>2000009628</v>
          </cell>
          <cell r="C430" t="str">
            <v>B-MOTION 4</v>
          </cell>
          <cell r="D430" t="str">
            <v xml:space="preserve">FRONT WHEEL SET </v>
          </cell>
          <cell r="E430" t="str">
            <v>Black</v>
          </cell>
          <cell r="F430" t="str">
            <v>consumer</v>
          </cell>
          <cell r="G430">
            <v>4000984107579</v>
          </cell>
        </row>
        <row r="431">
          <cell r="B431">
            <v>2000009629</v>
          </cell>
          <cell r="C431" t="str">
            <v>B-MOTION 4</v>
          </cell>
          <cell r="D431" t="str">
            <v xml:space="preserve">REAR WHEEL SET </v>
          </cell>
          <cell r="E431" t="str">
            <v>Black</v>
          </cell>
          <cell r="F431" t="str">
            <v>consumer</v>
          </cell>
          <cell r="G431">
            <v>4000984107586</v>
          </cell>
        </row>
        <row r="432">
          <cell r="B432">
            <v>2000009630</v>
          </cell>
          <cell r="C432" t="str">
            <v>B-MOTION 4</v>
          </cell>
          <cell r="D432" t="str">
            <v>REAR WHEEL TUBE</v>
          </cell>
          <cell r="F432" t="str">
            <v>consumer</v>
          </cell>
          <cell r="G432">
            <v>4000984107593</v>
          </cell>
        </row>
        <row r="433">
          <cell r="B433">
            <v>2000009631</v>
          </cell>
          <cell r="C433" t="str">
            <v>B-MOTION 4</v>
          </cell>
          <cell r="D433" t="str">
            <v xml:space="preserve">HANDLE </v>
          </cell>
          <cell r="F433" t="str">
            <v>retailer only</v>
          </cell>
          <cell r="G433">
            <v>4000984107609</v>
          </cell>
        </row>
        <row r="434">
          <cell r="B434">
            <v>2000005809</v>
          </cell>
          <cell r="C434" t="str">
            <v>B-MOTION 4</v>
          </cell>
          <cell r="D434" t="str">
            <v xml:space="preserve">LOCK CATCH </v>
          </cell>
          <cell r="F434" t="str">
            <v>consumer</v>
          </cell>
          <cell r="G434">
            <v>4000984089745</v>
          </cell>
        </row>
        <row r="435">
          <cell r="B435">
            <v>2000025118</v>
          </cell>
          <cell r="C435" t="str">
            <v>B-MOTION 4</v>
          </cell>
          <cell r="D435" t="str">
            <v>SEAT UNIT INCL. HARNESS</v>
          </cell>
          <cell r="E435" t="str">
            <v>Cosmos Black</v>
          </cell>
          <cell r="F435" t="str">
            <v>consumer</v>
          </cell>
          <cell r="G435">
            <v>4000984144505</v>
          </cell>
        </row>
        <row r="436">
          <cell r="B436">
            <v>2000025123</v>
          </cell>
          <cell r="C436" t="str">
            <v>B-MOTION 4</v>
          </cell>
          <cell r="D436" t="str">
            <v>SEAT UNIT INCL. HARNESS  FR</v>
          </cell>
          <cell r="E436" t="str">
            <v>Cosmos Black</v>
          </cell>
          <cell r="F436" t="str">
            <v>consumer</v>
          </cell>
          <cell r="G436">
            <v>4000984144901</v>
          </cell>
        </row>
        <row r="437">
          <cell r="B437">
            <v>2000025578</v>
          </cell>
          <cell r="C437" t="str">
            <v>B-MOTION 4</v>
          </cell>
          <cell r="D437" t="str">
            <v xml:space="preserve">FOOTREST FABRIC </v>
          </cell>
          <cell r="F437" t="str">
            <v>retailer only</v>
          </cell>
          <cell r="G437">
            <v>4000984150469</v>
          </cell>
        </row>
        <row r="438">
          <cell r="B438">
            <v>2000026723</v>
          </cell>
          <cell r="C438" t="str">
            <v>B-MOTION 4</v>
          </cell>
          <cell r="D438" t="str">
            <v xml:space="preserve">FRONT WHEEL TUBE </v>
          </cell>
          <cell r="F438" t="str">
            <v>retailer only</v>
          </cell>
          <cell r="G438" t="str">
            <v>4000984156294</v>
          </cell>
        </row>
        <row r="439">
          <cell r="B439">
            <v>2000026852</v>
          </cell>
          <cell r="C439" t="str">
            <v>B-MOTION 4</v>
          </cell>
          <cell r="D439" t="str">
            <v xml:space="preserve">FRONT WHEEL ATTACHMENT </v>
          </cell>
          <cell r="F439" t="str">
            <v>retailer only</v>
          </cell>
          <cell r="G439" t="str">
            <v>4000984158809</v>
          </cell>
        </row>
        <row r="440">
          <cell r="B440">
            <v>2000024429</v>
          </cell>
          <cell r="C440" t="str">
            <v>B-MOTION 4 plus</v>
          </cell>
          <cell r="D440" t="str">
            <v>REAR WHEEL SET</v>
          </cell>
          <cell r="F440" t="str">
            <v>consumer</v>
          </cell>
          <cell r="G440">
            <v>4000984132069</v>
          </cell>
        </row>
        <row r="441">
          <cell r="B441">
            <v>2000024430</v>
          </cell>
          <cell r="C441" t="str">
            <v>B-MOTION 4 plus</v>
          </cell>
          <cell r="D441" t="str">
            <v>FRONT WHEEL SET</v>
          </cell>
          <cell r="F441" t="str">
            <v>consumer</v>
          </cell>
          <cell r="G441">
            <v>4000984132656</v>
          </cell>
        </row>
        <row r="442">
          <cell r="B442">
            <v>2000024431</v>
          </cell>
          <cell r="C442" t="str">
            <v>B-MOTION 4 plus</v>
          </cell>
          <cell r="D442" t="str">
            <v>BASKET</v>
          </cell>
          <cell r="F442" t="str">
            <v>consumer</v>
          </cell>
          <cell r="G442">
            <v>4000984132663</v>
          </cell>
        </row>
        <row r="443">
          <cell r="B443">
            <v>2000024432</v>
          </cell>
          <cell r="C443" t="str">
            <v>B-MOTION 4 plus</v>
          </cell>
          <cell r="D443" t="str">
            <v>BACKREST BOARD</v>
          </cell>
          <cell r="F443" t="str">
            <v>consumer</v>
          </cell>
          <cell r="G443">
            <v>4000984132670</v>
          </cell>
        </row>
        <row r="444">
          <cell r="B444">
            <v>2000009631</v>
          </cell>
          <cell r="C444" t="str">
            <v>B-MOTION 4 plus</v>
          </cell>
          <cell r="D444" t="str">
            <v xml:space="preserve">HANDLE </v>
          </cell>
          <cell r="F444" t="str">
            <v>retailer only</v>
          </cell>
          <cell r="G444">
            <v>4000984107609</v>
          </cell>
        </row>
        <row r="445">
          <cell r="B445">
            <v>2000025119</v>
          </cell>
          <cell r="C445" t="str">
            <v>B-MOTION 4 plus</v>
          </cell>
          <cell r="D445" t="str">
            <v>SEAT UNIT INCL. HARNESS</v>
          </cell>
          <cell r="E445" t="str">
            <v>Cosmos Black</v>
          </cell>
          <cell r="F445" t="str">
            <v>consumer</v>
          </cell>
          <cell r="G445">
            <v>4000984144529</v>
          </cell>
        </row>
        <row r="446">
          <cell r="B446">
            <v>2000025572</v>
          </cell>
          <cell r="C446" t="str">
            <v>B-MOTION 4 plus</v>
          </cell>
          <cell r="D446" t="str">
            <v>ADJUSTABLE  FOOTREST HINGE SET REPAIR KIT</v>
          </cell>
          <cell r="F446" t="str">
            <v>consumer</v>
          </cell>
          <cell r="G446" t="str">
            <v>4000984150384</v>
          </cell>
        </row>
        <row r="447">
          <cell r="B447">
            <v>2000029339</v>
          </cell>
          <cell r="C447" t="str">
            <v>B-MOTION 4 plus</v>
          </cell>
          <cell r="D447" t="str">
            <v xml:space="preserve">ADJUSTBALE FOOTREST HINGE SET REPAIR SET 2018  </v>
          </cell>
          <cell r="F447" t="str">
            <v>retailer only</v>
          </cell>
          <cell r="G447">
            <v>4000984191011</v>
          </cell>
        </row>
        <row r="448">
          <cell r="B448">
            <v>2000026852</v>
          </cell>
          <cell r="C448" t="str">
            <v>B-MOTION 4 plus</v>
          </cell>
          <cell r="D448" t="str">
            <v xml:space="preserve">FRONT WHEEL ATTACHMENT </v>
          </cell>
          <cell r="F448" t="str">
            <v>retailer only</v>
          </cell>
          <cell r="G448" t="str">
            <v>4000984158809</v>
          </cell>
        </row>
        <row r="449">
          <cell r="B449">
            <v>2000005809</v>
          </cell>
          <cell r="C449" t="str">
            <v>B-MOTION 4 plus</v>
          </cell>
          <cell r="D449" t="str">
            <v xml:space="preserve">LOCK CATCH </v>
          </cell>
          <cell r="F449" t="str">
            <v>consumer</v>
          </cell>
          <cell r="G449">
            <v>4000984089745</v>
          </cell>
        </row>
        <row r="450">
          <cell r="B450">
            <v>2000003039</v>
          </cell>
          <cell r="C450" t="str">
            <v>B-DUAL</v>
          </cell>
          <cell r="D450" t="str">
            <v>BASKET (2011)</v>
          </cell>
          <cell r="F450" t="str">
            <v>consumer</v>
          </cell>
          <cell r="G450">
            <v>4000984081466</v>
          </cell>
        </row>
        <row r="451">
          <cell r="B451">
            <v>2000003790</v>
          </cell>
          <cell r="C451" t="str">
            <v>B-DUAL</v>
          </cell>
          <cell r="D451" t="str">
            <v>BASKET (2010)</v>
          </cell>
          <cell r="F451" t="str">
            <v>consumer</v>
          </cell>
          <cell r="G451">
            <v>4000984084931</v>
          </cell>
        </row>
        <row r="452">
          <cell r="B452">
            <v>2000008863</v>
          </cell>
          <cell r="C452" t="str">
            <v>B-DUAL</v>
          </cell>
          <cell r="D452" t="str">
            <v xml:space="preserve">APRON </v>
          </cell>
          <cell r="E452" t="str">
            <v>Blue Sky</v>
          </cell>
          <cell r="F452" t="str">
            <v>consumer</v>
          </cell>
          <cell r="G452">
            <v>4000984099362</v>
          </cell>
        </row>
        <row r="453">
          <cell r="B453">
            <v>2000008861</v>
          </cell>
          <cell r="C453" t="str">
            <v>B-DUAL</v>
          </cell>
          <cell r="D453" t="str">
            <v xml:space="preserve">APRON </v>
          </cell>
          <cell r="E453" t="str">
            <v xml:space="preserve">Chili Pepper </v>
          </cell>
          <cell r="F453" t="str">
            <v>consumer</v>
          </cell>
          <cell r="G453">
            <v>4000984099348</v>
          </cell>
        </row>
        <row r="454">
          <cell r="B454">
            <v>2000008864</v>
          </cell>
          <cell r="C454" t="str">
            <v>B-DUAL</v>
          </cell>
          <cell r="D454" t="str">
            <v xml:space="preserve">APRON </v>
          </cell>
          <cell r="E454" t="str">
            <v>Cool Berry</v>
          </cell>
          <cell r="F454" t="str">
            <v>consumer</v>
          </cell>
          <cell r="G454">
            <v>4000984099379</v>
          </cell>
        </row>
        <row r="455">
          <cell r="B455">
            <v>2000005964</v>
          </cell>
          <cell r="C455" t="str">
            <v>B-DUAL</v>
          </cell>
          <cell r="D455" t="str">
            <v xml:space="preserve">APRON </v>
          </cell>
          <cell r="E455" t="str">
            <v>Desert Sand</v>
          </cell>
          <cell r="F455" t="str">
            <v>consumer</v>
          </cell>
          <cell r="G455">
            <v>4000984090123</v>
          </cell>
        </row>
        <row r="456">
          <cell r="B456">
            <v>2000002366</v>
          </cell>
          <cell r="C456" t="str">
            <v>B-DUAL</v>
          </cell>
          <cell r="D456" t="str">
            <v xml:space="preserve">APRON </v>
          </cell>
          <cell r="E456" t="str">
            <v>Purple Rain</v>
          </cell>
          <cell r="F456" t="str">
            <v>consumer</v>
          </cell>
          <cell r="G456">
            <v>4000984076769</v>
          </cell>
        </row>
        <row r="457">
          <cell r="B457">
            <v>2000002365</v>
          </cell>
          <cell r="C457" t="str">
            <v>B-DUAL</v>
          </cell>
          <cell r="D457" t="str">
            <v>APRON FR</v>
          </cell>
          <cell r="E457" t="str">
            <v>Blue Atoll</v>
          </cell>
          <cell r="F457" t="str">
            <v>consumer</v>
          </cell>
          <cell r="G457">
            <v>4000984076752</v>
          </cell>
        </row>
        <row r="458">
          <cell r="B458">
            <v>2000010099</v>
          </cell>
          <cell r="C458" t="str">
            <v>B-DUAL</v>
          </cell>
          <cell r="D458" t="str">
            <v xml:space="preserve">HOOD </v>
          </cell>
          <cell r="E458" t="str">
            <v>Blue Sky</v>
          </cell>
          <cell r="F458" t="str">
            <v>consumer</v>
          </cell>
          <cell r="G458">
            <v>4000984106848</v>
          </cell>
        </row>
        <row r="459">
          <cell r="B459">
            <v>2000010100</v>
          </cell>
          <cell r="C459" t="str">
            <v>B-DUAL</v>
          </cell>
          <cell r="D459" t="str">
            <v xml:space="preserve">HOOD </v>
          </cell>
          <cell r="E459" t="str">
            <v>Cool Berry</v>
          </cell>
          <cell r="F459" t="str">
            <v>consumer</v>
          </cell>
          <cell r="G459">
            <v>4000984106831</v>
          </cell>
        </row>
        <row r="460">
          <cell r="B460">
            <v>2000003036</v>
          </cell>
          <cell r="C460" t="str">
            <v>B-DUAL</v>
          </cell>
          <cell r="D460" t="str">
            <v>HOOD</v>
          </cell>
          <cell r="E460" t="str">
            <v>Blue Atoll</v>
          </cell>
          <cell r="F460" t="str">
            <v>consumer</v>
          </cell>
          <cell r="G460">
            <v>4000984081497</v>
          </cell>
        </row>
        <row r="461">
          <cell r="B461">
            <v>2000006218</v>
          </cell>
          <cell r="C461" t="str">
            <v>B-DUAL</v>
          </cell>
          <cell r="D461" t="str">
            <v>HOOD (2012)</v>
          </cell>
          <cell r="E461" t="str">
            <v>Chili Pepper</v>
          </cell>
          <cell r="F461" t="str">
            <v>consumer</v>
          </cell>
          <cell r="G461">
            <v>4000984091083</v>
          </cell>
        </row>
        <row r="462">
          <cell r="B462">
            <v>2000010598</v>
          </cell>
          <cell r="C462" t="str">
            <v>B-DUAL</v>
          </cell>
          <cell r="D462" t="str">
            <v>HOOD (2013)</v>
          </cell>
          <cell r="E462" t="str">
            <v>Chili Pepper</v>
          </cell>
          <cell r="F462" t="str">
            <v>consumer</v>
          </cell>
          <cell r="G462">
            <v>4000984108903</v>
          </cell>
        </row>
        <row r="463">
          <cell r="B463">
            <v>2000003789</v>
          </cell>
          <cell r="C463" t="str">
            <v>B-DUAL</v>
          </cell>
          <cell r="D463" t="str">
            <v>HARNESS EXTENDERS</v>
          </cell>
          <cell r="F463" t="str">
            <v>consumer</v>
          </cell>
          <cell r="G463">
            <v>4000984084924</v>
          </cell>
        </row>
        <row r="464">
          <cell r="B464">
            <v>2000000632</v>
          </cell>
          <cell r="C464" t="str">
            <v>B-DUAL</v>
          </cell>
          <cell r="D464" t="str">
            <v>BUMPER BAR</v>
          </cell>
          <cell r="E464" t="str">
            <v>Neon Black</v>
          </cell>
          <cell r="F464" t="str">
            <v>consumer</v>
          </cell>
          <cell r="G464">
            <v>4000984070514</v>
          </cell>
        </row>
        <row r="465">
          <cell r="B465">
            <v>2000008863</v>
          </cell>
          <cell r="C465" t="str">
            <v>B-SMART 3</v>
          </cell>
          <cell r="D465" t="str">
            <v xml:space="preserve">APRON </v>
          </cell>
          <cell r="E465" t="str">
            <v>Blue Sky</v>
          </cell>
          <cell r="F465" t="str">
            <v>consumer</v>
          </cell>
          <cell r="G465">
            <v>4000984099362</v>
          </cell>
        </row>
        <row r="466">
          <cell r="B466">
            <v>2000008861</v>
          </cell>
          <cell r="C466" t="str">
            <v>B-SMART 3</v>
          </cell>
          <cell r="D466" t="str">
            <v xml:space="preserve">APRON </v>
          </cell>
          <cell r="E466" t="str">
            <v xml:space="preserve">Chili Pepper </v>
          </cell>
          <cell r="F466" t="str">
            <v>consumer</v>
          </cell>
          <cell r="G466">
            <v>4000984099348</v>
          </cell>
        </row>
        <row r="467">
          <cell r="B467">
            <v>2000008864</v>
          </cell>
          <cell r="C467" t="str">
            <v>B-SMART 3</v>
          </cell>
          <cell r="D467" t="str">
            <v xml:space="preserve">APRON </v>
          </cell>
          <cell r="E467" t="str">
            <v>Cool Berry</v>
          </cell>
          <cell r="F467" t="str">
            <v>consumer</v>
          </cell>
          <cell r="G467">
            <v>4000984099379</v>
          </cell>
        </row>
        <row r="468">
          <cell r="B468">
            <v>2000005964</v>
          </cell>
          <cell r="C468" t="str">
            <v>B-SMART 3</v>
          </cell>
          <cell r="D468" t="str">
            <v xml:space="preserve">APRON </v>
          </cell>
          <cell r="E468" t="str">
            <v>Desert Sand</v>
          </cell>
          <cell r="F468" t="str">
            <v>consumer</v>
          </cell>
          <cell r="G468">
            <v>4000984090123</v>
          </cell>
        </row>
        <row r="469">
          <cell r="B469">
            <v>2000002366</v>
          </cell>
          <cell r="C469" t="str">
            <v>B-SMART 3</v>
          </cell>
          <cell r="D469" t="str">
            <v xml:space="preserve">APRON </v>
          </cell>
          <cell r="E469" t="str">
            <v>Purple Rain</v>
          </cell>
          <cell r="F469" t="str">
            <v>consumer</v>
          </cell>
          <cell r="G469">
            <v>4000984076769</v>
          </cell>
        </row>
        <row r="470">
          <cell r="B470">
            <v>2000002365</v>
          </cell>
          <cell r="C470" t="str">
            <v>B-SMART 3</v>
          </cell>
          <cell r="D470" t="str">
            <v>APRON FR</v>
          </cell>
          <cell r="E470" t="str">
            <v>Blue Atoll</v>
          </cell>
          <cell r="F470" t="str">
            <v>consumer</v>
          </cell>
          <cell r="G470">
            <v>4000984076752</v>
          </cell>
        </row>
        <row r="471">
          <cell r="B471">
            <v>2000003036</v>
          </cell>
          <cell r="C471" t="str">
            <v>B-SMART 3</v>
          </cell>
          <cell r="D471" t="str">
            <v>HOOD</v>
          </cell>
          <cell r="E471" t="str">
            <v>Blue Atoll</v>
          </cell>
          <cell r="F471" t="str">
            <v>consumer</v>
          </cell>
          <cell r="G471">
            <v>4000984081497</v>
          </cell>
        </row>
        <row r="472">
          <cell r="B472">
            <v>2000006218</v>
          </cell>
          <cell r="C472" t="str">
            <v>B-SMART 3</v>
          </cell>
          <cell r="D472" t="str">
            <v>HOOD (2012)</v>
          </cell>
          <cell r="E472" t="str">
            <v>Chili Pepper</v>
          </cell>
          <cell r="F472" t="str">
            <v>consumer</v>
          </cell>
          <cell r="G472">
            <v>4000984091083</v>
          </cell>
        </row>
        <row r="473">
          <cell r="B473">
            <v>2000010598</v>
          </cell>
          <cell r="C473" t="str">
            <v>B-SMART 3</v>
          </cell>
          <cell r="D473" t="str">
            <v>HOOD (2013)</v>
          </cell>
          <cell r="E473" t="str">
            <v>Chili Pepper</v>
          </cell>
          <cell r="F473" t="str">
            <v>consumer</v>
          </cell>
          <cell r="G473">
            <v>4000984108903</v>
          </cell>
        </row>
        <row r="474">
          <cell r="B474">
            <v>2000003789</v>
          </cell>
          <cell r="C474" t="str">
            <v>B-SMART 3</v>
          </cell>
          <cell r="D474" t="str">
            <v>HARNESS EXTENDERS</v>
          </cell>
          <cell r="F474" t="str">
            <v>consumer</v>
          </cell>
          <cell r="G474">
            <v>4000984084924</v>
          </cell>
        </row>
        <row r="475">
          <cell r="B475">
            <v>2000000632</v>
          </cell>
          <cell r="C475" t="str">
            <v>B-SMART 3</v>
          </cell>
          <cell r="D475" t="str">
            <v>BUMPER BAR</v>
          </cell>
          <cell r="E475" t="str">
            <v>Neon Black</v>
          </cell>
          <cell r="F475" t="str">
            <v>consumer</v>
          </cell>
          <cell r="G475">
            <v>4000984070514</v>
          </cell>
        </row>
        <row r="476">
          <cell r="B476">
            <v>2000003054</v>
          </cell>
          <cell r="C476" t="str">
            <v>B-SMART 3</v>
          </cell>
          <cell r="D476" t="str">
            <v xml:space="preserve">BRAKE REPAIR KIT (2010) </v>
          </cell>
          <cell r="F476" t="str">
            <v>retailer only</v>
          </cell>
          <cell r="G476">
            <v>4000984081312</v>
          </cell>
        </row>
        <row r="477">
          <cell r="B477">
            <v>2000006229</v>
          </cell>
          <cell r="C477" t="str">
            <v>B-SMART 3</v>
          </cell>
          <cell r="D477" t="str">
            <v xml:space="preserve">BRAKE REPAIR KIT (2012&amp;2013) </v>
          </cell>
          <cell r="F477" t="str">
            <v>retailer only</v>
          </cell>
          <cell r="G477">
            <v>4000984090970</v>
          </cell>
        </row>
        <row r="478">
          <cell r="B478">
            <v>2000009850</v>
          </cell>
          <cell r="C478" t="str">
            <v>B-SMART 3</v>
          </cell>
          <cell r="D478" t="str">
            <v>HANDLE ADJUSTER BUTTON</v>
          </cell>
          <cell r="F478" t="str">
            <v>retailer only</v>
          </cell>
          <cell r="G478">
            <v>4000984112696</v>
          </cell>
        </row>
        <row r="479">
          <cell r="B479">
            <v>2000006220</v>
          </cell>
          <cell r="C479" t="str">
            <v>B-SMART 3</v>
          </cell>
          <cell r="D479" t="str">
            <v>BASKET</v>
          </cell>
          <cell r="F479" t="str">
            <v>consumer</v>
          </cell>
          <cell r="G479">
            <v>4000984091069</v>
          </cell>
        </row>
        <row r="480">
          <cell r="B480">
            <v>2000003055</v>
          </cell>
          <cell r="C480" t="str">
            <v>B-SMART 3</v>
          </cell>
          <cell r="D480" t="str">
            <v>LOCK CATCH</v>
          </cell>
          <cell r="F480" t="str">
            <v>consumer</v>
          </cell>
          <cell r="G480">
            <v>4000984081305</v>
          </cell>
        </row>
        <row r="481">
          <cell r="B481">
            <v>2000006221</v>
          </cell>
          <cell r="C481" t="str">
            <v>B-SMART 3</v>
          </cell>
          <cell r="D481" t="str">
            <v>WHEELS (2012)</v>
          </cell>
          <cell r="E481" t="str">
            <v>Silver</v>
          </cell>
          <cell r="F481" t="str">
            <v>consumer</v>
          </cell>
          <cell r="G481">
            <v>4000984091052</v>
          </cell>
        </row>
        <row r="482">
          <cell r="B482">
            <v>2000006222</v>
          </cell>
          <cell r="C482" t="str">
            <v>B-SMART 3</v>
          </cell>
          <cell r="D482" t="str">
            <v>WHEELS (2012)</v>
          </cell>
          <cell r="E482" t="str">
            <v>Black</v>
          </cell>
          <cell r="F482" t="str">
            <v>consumer</v>
          </cell>
          <cell r="G482">
            <v>4000984091045</v>
          </cell>
        </row>
        <row r="483">
          <cell r="B483">
            <v>2000008863</v>
          </cell>
          <cell r="C483" t="str">
            <v>B-SMART 4</v>
          </cell>
          <cell r="D483" t="str">
            <v xml:space="preserve">APRON </v>
          </cell>
          <cell r="E483" t="str">
            <v>Blue Sky</v>
          </cell>
          <cell r="F483" t="str">
            <v>consumer</v>
          </cell>
          <cell r="G483">
            <v>4000984099362</v>
          </cell>
        </row>
        <row r="484">
          <cell r="B484">
            <v>2000008861</v>
          </cell>
          <cell r="C484" t="str">
            <v>B-SMART 4</v>
          </cell>
          <cell r="D484" t="str">
            <v xml:space="preserve">APRON </v>
          </cell>
          <cell r="E484" t="str">
            <v xml:space="preserve">Chili Pepper </v>
          </cell>
          <cell r="F484" t="str">
            <v>consumer</v>
          </cell>
          <cell r="G484">
            <v>4000984099348</v>
          </cell>
        </row>
        <row r="485">
          <cell r="B485">
            <v>2000008864</v>
          </cell>
          <cell r="C485" t="str">
            <v>B-SMART 4</v>
          </cell>
          <cell r="D485" t="str">
            <v xml:space="preserve">APRON </v>
          </cell>
          <cell r="E485" t="str">
            <v>Cool Berry</v>
          </cell>
          <cell r="F485" t="str">
            <v>consumer</v>
          </cell>
          <cell r="G485">
            <v>4000984099379</v>
          </cell>
        </row>
        <row r="486">
          <cell r="B486">
            <v>2000005964</v>
          </cell>
          <cell r="C486" t="str">
            <v>B-SMART 4</v>
          </cell>
          <cell r="D486" t="str">
            <v xml:space="preserve">APRON </v>
          </cell>
          <cell r="E486" t="str">
            <v>Desert Sand</v>
          </cell>
          <cell r="F486" t="str">
            <v>consumer</v>
          </cell>
          <cell r="G486">
            <v>4000984090123</v>
          </cell>
        </row>
        <row r="487">
          <cell r="B487">
            <v>2000002366</v>
          </cell>
          <cell r="C487" t="str">
            <v>B-SMART 4</v>
          </cell>
          <cell r="D487" t="str">
            <v xml:space="preserve">APRON </v>
          </cell>
          <cell r="E487" t="str">
            <v>Purple Rain</v>
          </cell>
          <cell r="F487" t="str">
            <v>consumer</v>
          </cell>
          <cell r="G487">
            <v>4000984076769</v>
          </cell>
        </row>
        <row r="488">
          <cell r="B488">
            <v>2000002365</v>
          </cell>
          <cell r="C488" t="str">
            <v>B-SMART 4</v>
          </cell>
          <cell r="D488" t="str">
            <v>APRON FR</v>
          </cell>
          <cell r="E488" t="str">
            <v>Blue Atoll</v>
          </cell>
          <cell r="F488" t="str">
            <v>consumer</v>
          </cell>
          <cell r="G488">
            <v>4000984076752</v>
          </cell>
        </row>
        <row r="489">
          <cell r="B489">
            <v>2000003036</v>
          </cell>
          <cell r="C489" t="str">
            <v>B-SMART 4</v>
          </cell>
          <cell r="D489" t="str">
            <v>HOOD</v>
          </cell>
          <cell r="E489" t="str">
            <v>Blue Atoll</v>
          </cell>
          <cell r="F489" t="str">
            <v>consumer</v>
          </cell>
          <cell r="G489">
            <v>4000984081497</v>
          </cell>
        </row>
        <row r="490">
          <cell r="B490">
            <v>2000006218</v>
          </cell>
          <cell r="C490" t="str">
            <v>B-SMART 4</v>
          </cell>
          <cell r="D490" t="str">
            <v>HOOD (2012)</v>
          </cell>
          <cell r="E490" t="str">
            <v>Chili Pepper</v>
          </cell>
          <cell r="F490" t="str">
            <v>consumer</v>
          </cell>
          <cell r="G490">
            <v>4000984091083</v>
          </cell>
        </row>
        <row r="491">
          <cell r="B491">
            <v>2000010598</v>
          </cell>
          <cell r="C491" t="str">
            <v>B-SMART 4</v>
          </cell>
          <cell r="D491" t="str">
            <v>HOOD (2013)</v>
          </cell>
          <cell r="E491" t="str">
            <v>Chili Pepper</v>
          </cell>
          <cell r="F491" t="str">
            <v>consumer</v>
          </cell>
          <cell r="G491">
            <v>4000984108903</v>
          </cell>
        </row>
        <row r="492">
          <cell r="B492">
            <v>2000003789</v>
          </cell>
          <cell r="C492" t="str">
            <v>B-SMART 4</v>
          </cell>
          <cell r="D492" t="str">
            <v>HARNESS EXTENDERS</v>
          </cell>
          <cell r="F492" t="str">
            <v>consumer</v>
          </cell>
          <cell r="G492">
            <v>4000984084924</v>
          </cell>
        </row>
        <row r="493">
          <cell r="B493">
            <v>2000000632</v>
          </cell>
          <cell r="C493" t="str">
            <v>B-SMART 4</v>
          </cell>
          <cell r="D493" t="str">
            <v>BUMPER BAR</v>
          </cell>
          <cell r="E493" t="str">
            <v>Neon Black</v>
          </cell>
          <cell r="F493" t="str">
            <v>consumer</v>
          </cell>
          <cell r="G493">
            <v>4000984070514</v>
          </cell>
        </row>
        <row r="494">
          <cell r="B494">
            <v>2000003054</v>
          </cell>
          <cell r="C494" t="str">
            <v>B-SMART 4</v>
          </cell>
          <cell r="D494" t="str">
            <v xml:space="preserve">BRAKE REPAIR KIT (2010) </v>
          </cell>
          <cell r="F494" t="str">
            <v>retailer only</v>
          </cell>
          <cell r="G494">
            <v>4000984081312</v>
          </cell>
        </row>
        <row r="495">
          <cell r="B495">
            <v>2000006229</v>
          </cell>
          <cell r="C495" t="str">
            <v>B-SMART 4</v>
          </cell>
          <cell r="D495" t="str">
            <v xml:space="preserve">BRAKE REPAIR KIT (2012&amp;2013) </v>
          </cell>
          <cell r="F495" t="str">
            <v>retailer only</v>
          </cell>
          <cell r="G495">
            <v>4000984090970</v>
          </cell>
        </row>
        <row r="496">
          <cell r="B496">
            <v>2000009850</v>
          </cell>
          <cell r="C496" t="str">
            <v>B-SMART 4</v>
          </cell>
          <cell r="D496" t="str">
            <v>HANDLE ADJUSTER BUTTON</v>
          </cell>
          <cell r="F496" t="str">
            <v>retailer only</v>
          </cell>
          <cell r="G496">
            <v>4000984112696</v>
          </cell>
        </row>
        <row r="497">
          <cell r="B497">
            <v>2000006220</v>
          </cell>
          <cell r="C497" t="str">
            <v>B-SMART 4</v>
          </cell>
          <cell r="D497" t="str">
            <v>BASKET</v>
          </cell>
          <cell r="F497" t="str">
            <v>consumer</v>
          </cell>
          <cell r="G497">
            <v>4000984091069</v>
          </cell>
        </row>
        <row r="498">
          <cell r="B498">
            <v>2000003055</v>
          </cell>
          <cell r="C498" t="str">
            <v>B-SMART 4</v>
          </cell>
          <cell r="D498" t="str">
            <v>LOCK CATCH</v>
          </cell>
          <cell r="F498" t="str">
            <v>consumer</v>
          </cell>
          <cell r="G498">
            <v>4000984081305</v>
          </cell>
        </row>
        <row r="499">
          <cell r="B499">
            <v>2000006223</v>
          </cell>
          <cell r="C499" t="str">
            <v>B-SMART 4</v>
          </cell>
          <cell r="D499" t="str">
            <v>WHEELS (2012)</v>
          </cell>
          <cell r="E499" t="str">
            <v>Silver</v>
          </cell>
          <cell r="F499" t="str">
            <v>consumer</v>
          </cell>
          <cell r="G499">
            <v>4000984091038</v>
          </cell>
        </row>
        <row r="500">
          <cell r="B500">
            <v>2000006224</v>
          </cell>
          <cell r="C500" t="str">
            <v>B-SMART 4</v>
          </cell>
          <cell r="D500" t="str">
            <v>WHEELS (2012)</v>
          </cell>
          <cell r="E500" t="str">
            <v>Black</v>
          </cell>
          <cell r="F500" t="str">
            <v>consumer</v>
          </cell>
          <cell r="G500">
            <v>4000984091021</v>
          </cell>
        </row>
        <row r="501">
          <cell r="B501">
            <v>2000003043</v>
          </cell>
          <cell r="C501" t="str">
            <v>B-MOBILE</v>
          </cell>
          <cell r="D501" t="str">
            <v>BASKET</v>
          </cell>
          <cell r="F501" t="str">
            <v>consumer</v>
          </cell>
          <cell r="G501">
            <v>4000984081428</v>
          </cell>
        </row>
        <row r="502">
          <cell r="B502">
            <v>2000003044</v>
          </cell>
          <cell r="C502" t="str">
            <v>B-MOBILE</v>
          </cell>
          <cell r="D502" t="str">
            <v xml:space="preserve">HOOD </v>
          </cell>
          <cell r="E502" t="str">
            <v>Blue Atoll</v>
          </cell>
          <cell r="F502" t="str">
            <v>consumer</v>
          </cell>
          <cell r="G502">
            <v>4000984081411</v>
          </cell>
        </row>
        <row r="503">
          <cell r="B503">
            <v>2000003046</v>
          </cell>
          <cell r="C503" t="str">
            <v>B-MOBILE</v>
          </cell>
          <cell r="D503" t="str">
            <v xml:space="preserve">HOOD </v>
          </cell>
          <cell r="E503" t="str">
            <v>Venetian Red</v>
          </cell>
          <cell r="F503" t="str">
            <v>consumer</v>
          </cell>
          <cell r="G503">
            <v>4000984081398</v>
          </cell>
        </row>
        <row r="504">
          <cell r="B504">
            <v>2000006230</v>
          </cell>
          <cell r="C504" t="str">
            <v>B-MOBILE</v>
          </cell>
          <cell r="D504" t="str">
            <v xml:space="preserve">HOOD </v>
          </cell>
          <cell r="E504" t="str">
            <v>Chili Pepper</v>
          </cell>
          <cell r="F504" t="str">
            <v>consumer</v>
          </cell>
          <cell r="G504">
            <v>4000984090963</v>
          </cell>
        </row>
        <row r="505">
          <cell r="B505">
            <v>2000003056</v>
          </cell>
          <cell r="C505" t="str">
            <v>B-MOBILE</v>
          </cell>
          <cell r="D505" t="str">
            <v>LOCK CATCH</v>
          </cell>
          <cell r="F505" t="str">
            <v>consumer</v>
          </cell>
          <cell r="G505">
            <v>4000984081299</v>
          </cell>
        </row>
        <row r="506">
          <cell r="B506" t="str">
            <v>PRC058473</v>
          </cell>
          <cell r="C506" t="str">
            <v>B-MOBILE</v>
          </cell>
          <cell r="D506" t="str">
            <v xml:space="preserve">RAINCOVER </v>
          </cell>
          <cell r="F506" t="str">
            <v>consumer</v>
          </cell>
          <cell r="G506">
            <v>5012124058473</v>
          </cell>
        </row>
        <row r="507">
          <cell r="B507">
            <v>2000003846</v>
          </cell>
          <cell r="C507" t="str">
            <v>B-MOBILE</v>
          </cell>
          <cell r="D507" t="str">
            <v>RAINCOVER (2011)</v>
          </cell>
          <cell r="F507" t="str">
            <v>consumer</v>
          </cell>
          <cell r="G507">
            <v>4000984112986</v>
          </cell>
        </row>
        <row r="508">
          <cell r="B508">
            <v>2000003054</v>
          </cell>
          <cell r="C508" t="str">
            <v>B-MOBILE</v>
          </cell>
          <cell r="D508" t="str">
            <v xml:space="preserve">BRAKE REPAIR KIT (2010) </v>
          </cell>
          <cell r="F508" t="str">
            <v>retailer only</v>
          </cell>
          <cell r="G508">
            <v>4000984081312</v>
          </cell>
        </row>
        <row r="509">
          <cell r="B509">
            <v>2000025492</v>
          </cell>
          <cell r="C509" t="str">
            <v>B-READY</v>
          </cell>
          <cell r="D509" t="str">
            <v>SEAT UNIT</v>
          </cell>
          <cell r="E509" t="str">
            <v>Cosmos Black</v>
          </cell>
          <cell r="F509" t="str">
            <v>consumer</v>
          </cell>
          <cell r="G509">
            <v>4000984149753</v>
          </cell>
        </row>
        <row r="510">
          <cell r="B510">
            <v>2000025493</v>
          </cell>
          <cell r="C510" t="str">
            <v>B-READY</v>
          </cell>
          <cell r="D510" t="str">
            <v>SEAT UNIT</v>
          </cell>
          <cell r="E510" t="str">
            <v>Steel Grey</v>
          </cell>
          <cell r="F510" t="str">
            <v>consumer</v>
          </cell>
          <cell r="G510">
            <v>4000984149760</v>
          </cell>
        </row>
        <row r="511">
          <cell r="B511">
            <v>2000025494</v>
          </cell>
          <cell r="C511" t="str">
            <v>B-READY</v>
          </cell>
          <cell r="D511" t="str">
            <v>SEAT UNIT</v>
          </cell>
          <cell r="E511" t="str">
            <v>Flame Red</v>
          </cell>
          <cell r="F511" t="str">
            <v>consumer</v>
          </cell>
          <cell r="G511">
            <v>4000984149777</v>
          </cell>
        </row>
        <row r="512">
          <cell r="B512">
            <v>2000025495</v>
          </cell>
          <cell r="C512" t="str">
            <v>B-READY</v>
          </cell>
          <cell r="D512" t="str">
            <v>SEAT UNIT</v>
          </cell>
          <cell r="E512" t="str">
            <v>Mineral Purple</v>
          </cell>
          <cell r="F512" t="str">
            <v>consumer</v>
          </cell>
          <cell r="G512">
            <v>4000984149784</v>
          </cell>
        </row>
        <row r="513">
          <cell r="B513">
            <v>2000025496</v>
          </cell>
          <cell r="C513" t="str">
            <v>B-READY</v>
          </cell>
          <cell r="D513" t="str">
            <v>SEAT UNIT FR</v>
          </cell>
          <cell r="E513" t="str">
            <v>Cosmos Black</v>
          </cell>
          <cell r="F513" t="str">
            <v>consumer</v>
          </cell>
          <cell r="G513" t="str">
            <v>4000984149791</v>
          </cell>
        </row>
        <row r="514">
          <cell r="B514">
            <v>2000025497</v>
          </cell>
          <cell r="C514" t="str">
            <v>B-READY</v>
          </cell>
          <cell r="D514" t="str">
            <v>SEAT UNIT FR</v>
          </cell>
          <cell r="E514" t="str">
            <v>Steel Grey</v>
          </cell>
          <cell r="F514" t="str">
            <v>consumer</v>
          </cell>
          <cell r="G514" t="str">
            <v>4000984149807</v>
          </cell>
        </row>
        <row r="515">
          <cell r="B515">
            <v>2000025498</v>
          </cell>
          <cell r="C515" t="str">
            <v>B-READY</v>
          </cell>
          <cell r="D515" t="str">
            <v>SEAT UNIT FR</v>
          </cell>
          <cell r="E515" t="str">
            <v>Flame Red</v>
          </cell>
          <cell r="F515" t="str">
            <v>consumer</v>
          </cell>
          <cell r="G515" t="str">
            <v>4000984149814</v>
          </cell>
        </row>
        <row r="516">
          <cell r="B516">
            <v>2000025499</v>
          </cell>
          <cell r="C516" t="str">
            <v>B-READY</v>
          </cell>
          <cell r="D516" t="str">
            <v>SEAT UNIT FR</v>
          </cell>
          <cell r="E516" t="str">
            <v>Mineral Purple</v>
          </cell>
          <cell r="F516" t="str">
            <v>consumer</v>
          </cell>
          <cell r="G516" t="str">
            <v>4000984149821</v>
          </cell>
        </row>
        <row r="517">
          <cell r="B517">
            <v>2000025504</v>
          </cell>
          <cell r="C517" t="str">
            <v>B-READY</v>
          </cell>
          <cell r="D517" t="str">
            <v>CHASSIS</v>
          </cell>
          <cell r="F517" t="str">
            <v>consumer</v>
          </cell>
          <cell r="G517">
            <v>4000984149876</v>
          </cell>
        </row>
        <row r="518">
          <cell r="B518">
            <v>2000025488</v>
          </cell>
          <cell r="C518" t="str">
            <v>B-READY</v>
          </cell>
          <cell r="D518" t="str">
            <v>BUMPER BAR</v>
          </cell>
          <cell r="E518" t="str">
            <v>Cosmos Black</v>
          </cell>
          <cell r="F518" t="str">
            <v>consumer</v>
          </cell>
          <cell r="G518">
            <v>4000984149715</v>
          </cell>
        </row>
        <row r="519">
          <cell r="B519">
            <v>2000025489</v>
          </cell>
          <cell r="C519" t="str">
            <v>B-READY</v>
          </cell>
          <cell r="D519" t="str">
            <v>BUMPER BAR</v>
          </cell>
          <cell r="E519" t="str">
            <v>Steel Grey</v>
          </cell>
          <cell r="F519" t="str">
            <v>consumer</v>
          </cell>
          <cell r="G519">
            <v>4000984149722</v>
          </cell>
        </row>
        <row r="520">
          <cell r="B520">
            <v>2000025490</v>
          </cell>
          <cell r="C520" t="str">
            <v>B-READY</v>
          </cell>
          <cell r="D520" t="str">
            <v>BUMPER BAR</v>
          </cell>
          <cell r="E520" t="str">
            <v>Flame Red</v>
          </cell>
          <cell r="F520" t="str">
            <v>consumer</v>
          </cell>
          <cell r="G520">
            <v>4000984149739</v>
          </cell>
        </row>
        <row r="521">
          <cell r="B521">
            <v>2000025491</v>
          </cell>
          <cell r="C521" t="str">
            <v>B-READY</v>
          </cell>
          <cell r="D521" t="str">
            <v>BUMPER BAR</v>
          </cell>
          <cell r="E521" t="str">
            <v>Mineral Purple</v>
          </cell>
          <cell r="F521" t="str">
            <v>consumer</v>
          </cell>
          <cell r="G521">
            <v>4000984149746</v>
          </cell>
        </row>
        <row r="522">
          <cell r="B522">
            <v>2000025505</v>
          </cell>
          <cell r="C522" t="str">
            <v>B-READY</v>
          </cell>
          <cell r="D522" t="str">
            <v>BASKET</v>
          </cell>
          <cell r="F522" t="str">
            <v>consumer</v>
          </cell>
          <cell r="G522">
            <v>4000984149883</v>
          </cell>
        </row>
        <row r="523">
          <cell r="B523">
            <v>2000025500</v>
          </cell>
          <cell r="C523" t="str">
            <v>B-READY</v>
          </cell>
          <cell r="D523" t="str">
            <v>HOOD</v>
          </cell>
          <cell r="E523" t="str">
            <v>Cosmos Black</v>
          </cell>
          <cell r="F523" t="str">
            <v>consumer</v>
          </cell>
          <cell r="G523">
            <v>4000984149838</v>
          </cell>
        </row>
        <row r="524">
          <cell r="B524">
            <v>2000025501</v>
          </cell>
          <cell r="C524" t="str">
            <v>B-READY</v>
          </cell>
          <cell r="D524" t="str">
            <v>HOOD</v>
          </cell>
          <cell r="E524" t="str">
            <v>Steel Grey</v>
          </cell>
          <cell r="F524" t="str">
            <v>consumer</v>
          </cell>
          <cell r="G524">
            <v>4000984149845</v>
          </cell>
        </row>
        <row r="525">
          <cell r="B525">
            <v>2000025502</v>
          </cell>
          <cell r="C525" t="str">
            <v>B-READY</v>
          </cell>
          <cell r="D525" t="str">
            <v>HOOD</v>
          </cell>
          <cell r="E525" t="str">
            <v>Flame Red</v>
          </cell>
          <cell r="F525" t="str">
            <v>consumer</v>
          </cell>
          <cell r="G525">
            <v>4000984149852</v>
          </cell>
        </row>
        <row r="526">
          <cell r="B526">
            <v>2000025503</v>
          </cell>
          <cell r="C526" t="str">
            <v>B-READY</v>
          </cell>
          <cell r="D526" t="str">
            <v>HOOD</v>
          </cell>
          <cell r="E526" t="str">
            <v>Mineral Purple</v>
          </cell>
          <cell r="F526" t="str">
            <v>consumer</v>
          </cell>
          <cell r="G526">
            <v>4000984149869</v>
          </cell>
        </row>
        <row r="527">
          <cell r="B527">
            <v>2000025486</v>
          </cell>
          <cell r="C527" t="str">
            <v>B-READY</v>
          </cell>
          <cell r="D527" t="str">
            <v>FRONT WHEEL SET</v>
          </cell>
          <cell r="F527" t="str">
            <v>consumer</v>
          </cell>
          <cell r="G527">
            <v>4000984149692</v>
          </cell>
        </row>
        <row r="528">
          <cell r="B528">
            <v>2000025487</v>
          </cell>
          <cell r="C528" t="str">
            <v>B-READY</v>
          </cell>
          <cell r="D528" t="str">
            <v>REAR WHEEL SET</v>
          </cell>
          <cell r="F528" t="str">
            <v>consumer</v>
          </cell>
          <cell r="G528">
            <v>4000984149708</v>
          </cell>
        </row>
        <row r="529">
          <cell r="B529">
            <v>2000025506</v>
          </cell>
          <cell r="C529" t="str">
            <v>B-READY</v>
          </cell>
          <cell r="D529" t="str">
            <v xml:space="preserve">HANDLE INCL. HANDLE ADJUSTER </v>
          </cell>
          <cell r="F529" t="str">
            <v>retailer only</v>
          </cell>
          <cell r="G529">
            <v>4000984149890</v>
          </cell>
        </row>
        <row r="530">
          <cell r="B530">
            <v>2000025507</v>
          </cell>
          <cell r="C530" t="str">
            <v>B-READY</v>
          </cell>
          <cell r="D530" t="str">
            <v>CHASSIS LOCK INCL. SCREWS</v>
          </cell>
          <cell r="F530" t="str">
            <v>consumer</v>
          </cell>
          <cell r="G530">
            <v>4000984149906</v>
          </cell>
        </row>
        <row r="531">
          <cell r="B531">
            <v>2000025508</v>
          </cell>
          <cell r="C531" t="str">
            <v>B-READY</v>
          </cell>
          <cell r="D531" t="str">
            <v>EXTENSION ADAPTERS</v>
          </cell>
          <cell r="F531" t="str">
            <v>consumer</v>
          </cell>
          <cell r="G531">
            <v>4000984149913</v>
          </cell>
        </row>
        <row r="532">
          <cell r="B532">
            <v>2000025509</v>
          </cell>
          <cell r="C532" t="str">
            <v>B-READY</v>
          </cell>
          <cell r="D532" t="str">
            <v>REAR WHEEL COVERS</v>
          </cell>
          <cell r="F532" t="str">
            <v>consumer</v>
          </cell>
          <cell r="G532">
            <v>4000984149920</v>
          </cell>
        </row>
        <row r="533">
          <cell r="B533">
            <v>2000025510</v>
          </cell>
          <cell r="C533" t="str">
            <v>B-READY</v>
          </cell>
          <cell r="D533" t="str">
            <v>INFANT CARRIER COVER</v>
          </cell>
          <cell r="F533" t="str">
            <v>consumer</v>
          </cell>
          <cell r="G533">
            <v>4000984149937</v>
          </cell>
        </row>
        <row r="534">
          <cell r="B534">
            <v>2000021655</v>
          </cell>
          <cell r="C534" t="str">
            <v>BRITAX SMILE</v>
          </cell>
          <cell r="D534" t="str">
            <v xml:space="preserve">SEAT UNIT FRAME </v>
          </cell>
          <cell r="E534" t="str">
            <v>Silver</v>
          </cell>
          <cell r="F534" t="str">
            <v>consumer</v>
          </cell>
          <cell r="G534">
            <v>4000984117820</v>
          </cell>
        </row>
        <row r="535">
          <cell r="B535">
            <v>2000021658</v>
          </cell>
          <cell r="C535" t="str">
            <v>BRITAX SMILE</v>
          </cell>
          <cell r="D535" t="str">
            <v xml:space="preserve">SEAT UNIT SOFT GOODS </v>
          </cell>
          <cell r="E535" t="str">
            <v>Black</v>
          </cell>
          <cell r="F535" t="str">
            <v>consumer</v>
          </cell>
          <cell r="G535">
            <v>4000984117851</v>
          </cell>
        </row>
        <row r="536">
          <cell r="B536">
            <v>2000021659</v>
          </cell>
          <cell r="C536" t="str">
            <v>BRITAX SMILE</v>
          </cell>
          <cell r="D536" t="str">
            <v xml:space="preserve">SEAT UNIT SOFT GOODS </v>
          </cell>
          <cell r="E536" t="str">
            <v>Navy</v>
          </cell>
          <cell r="F536" t="str">
            <v>consumer</v>
          </cell>
          <cell r="G536">
            <v>4000984117868</v>
          </cell>
        </row>
        <row r="537">
          <cell r="B537">
            <v>2000021661</v>
          </cell>
          <cell r="C537" t="str">
            <v>BRITAX SMILE</v>
          </cell>
          <cell r="D537" t="str">
            <v>SEAT UNIT SOFT GOODS FR</v>
          </cell>
          <cell r="E537" t="str">
            <v>Red</v>
          </cell>
          <cell r="F537" t="str">
            <v>consumer</v>
          </cell>
          <cell r="G537">
            <v>4000984117882</v>
          </cell>
        </row>
        <row r="538">
          <cell r="B538">
            <v>2000021662</v>
          </cell>
          <cell r="C538" t="str">
            <v>BRITAX SMILE</v>
          </cell>
          <cell r="D538" t="str">
            <v>SEAT UNIT SOFT GOODS FR</v>
          </cell>
          <cell r="E538" t="str">
            <v>Black</v>
          </cell>
          <cell r="F538" t="str">
            <v>consumer</v>
          </cell>
          <cell r="G538">
            <v>4000984117899</v>
          </cell>
        </row>
        <row r="539">
          <cell r="B539">
            <v>2000021663</v>
          </cell>
          <cell r="C539" t="str">
            <v>BRITAX SMILE</v>
          </cell>
          <cell r="D539" t="str">
            <v>SEAT UNIT SOFT GOODS FR</v>
          </cell>
          <cell r="E539" t="str">
            <v>Navy</v>
          </cell>
          <cell r="F539" t="str">
            <v>consumer</v>
          </cell>
          <cell r="G539">
            <v>4000984117905</v>
          </cell>
        </row>
        <row r="540">
          <cell r="B540">
            <v>2000021664</v>
          </cell>
          <cell r="C540" t="str">
            <v>BRITAX SMILE</v>
          </cell>
          <cell r="D540" t="str">
            <v>SEAT UNIT SOFT GOODS FR</v>
          </cell>
          <cell r="E540" t="str">
            <v>Silver</v>
          </cell>
          <cell r="F540" t="str">
            <v>consumer</v>
          </cell>
          <cell r="G540">
            <v>4000984117912</v>
          </cell>
        </row>
        <row r="541">
          <cell r="B541">
            <v>2000021665</v>
          </cell>
          <cell r="C541" t="str">
            <v>BRITAX SMILE</v>
          </cell>
          <cell r="D541" t="str">
            <v xml:space="preserve">HOOD </v>
          </cell>
          <cell r="E541" t="str">
            <v>Red</v>
          </cell>
          <cell r="F541" t="str">
            <v>consumer</v>
          </cell>
          <cell r="G541">
            <v>4000984117929</v>
          </cell>
        </row>
        <row r="542">
          <cell r="B542">
            <v>2000021666</v>
          </cell>
          <cell r="C542" t="str">
            <v>BRITAX SMILE</v>
          </cell>
          <cell r="D542" t="str">
            <v xml:space="preserve">HOOD </v>
          </cell>
          <cell r="E542" t="str">
            <v>Black</v>
          </cell>
          <cell r="F542" t="str">
            <v>consumer</v>
          </cell>
          <cell r="G542">
            <v>4000984117936</v>
          </cell>
        </row>
        <row r="543">
          <cell r="B543">
            <v>2000021667</v>
          </cell>
          <cell r="C543" t="str">
            <v>BRITAX SMILE</v>
          </cell>
          <cell r="D543" t="str">
            <v xml:space="preserve">HOOD </v>
          </cell>
          <cell r="E543" t="str">
            <v>Navy</v>
          </cell>
          <cell r="F543" t="str">
            <v>consumer</v>
          </cell>
          <cell r="G543">
            <v>4000984117943</v>
          </cell>
        </row>
        <row r="544">
          <cell r="B544">
            <v>2000021668</v>
          </cell>
          <cell r="C544" t="str">
            <v>BRITAX SMILE</v>
          </cell>
          <cell r="D544" t="str">
            <v xml:space="preserve">HOOD </v>
          </cell>
          <cell r="E544" t="str">
            <v>Silver</v>
          </cell>
          <cell r="F544" t="str">
            <v>consumer</v>
          </cell>
          <cell r="G544">
            <v>4000984117950</v>
          </cell>
        </row>
        <row r="545">
          <cell r="B545">
            <v>2000021669</v>
          </cell>
          <cell r="C545" t="str">
            <v>BRITAX SMILE</v>
          </cell>
          <cell r="D545" t="str">
            <v>BUMPER BAR</v>
          </cell>
          <cell r="E545" t="str">
            <v>Black</v>
          </cell>
          <cell r="F545" t="str">
            <v>consumer</v>
          </cell>
          <cell r="G545">
            <v>4000984117967</v>
          </cell>
        </row>
        <row r="546">
          <cell r="B546">
            <v>2000021670</v>
          </cell>
          <cell r="C546" t="str">
            <v>BRITAX SMILE</v>
          </cell>
          <cell r="D546" t="str">
            <v>CHASSIS</v>
          </cell>
          <cell r="E546" t="str">
            <v>Silver</v>
          </cell>
          <cell r="F546" t="str">
            <v>consumer</v>
          </cell>
          <cell r="G546">
            <v>4000984117974</v>
          </cell>
        </row>
        <row r="547">
          <cell r="B547">
            <v>2000021672</v>
          </cell>
          <cell r="C547" t="str">
            <v>BRITAX SMILE</v>
          </cell>
          <cell r="D547" t="str">
            <v>CHASSIS FR</v>
          </cell>
          <cell r="E547" t="str">
            <v>Silver</v>
          </cell>
          <cell r="F547" t="str">
            <v>consumer</v>
          </cell>
          <cell r="G547">
            <v>4000984117998</v>
          </cell>
        </row>
        <row r="548">
          <cell r="B548">
            <v>2000021674</v>
          </cell>
          <cell r="C548" t="str">
            <v>BRITAX SMILE</v>
          </cell>
          <cell r="D548" t="str">
            <v xml:space="preserve">REAR WHEEL TYRE SET </v>
          </cell>
          <cell r="F548" t="str">
            <v>consumer</v>
          </cell>
          <cell r="G548">
            <v>4000984118018</v>
          </cell>
        </row>
        <row r="549">
          <cell r="B549">
            <v>2000021675</v>
          </cell>
          <cell r="C549" t="str">
            <v>BRITAX SMILE</v>
          </cell>
          <cell r="D549" t="str">
            <v>REAR WHEEL TUBE SET</v>
          </cell>
          <cell r="F549" t="str">
            <v>consumer</v>
          </cell>
          <cell r="G549">
            <v>4000984118025</v>
          </cell>
        </row>
        <row r="550">
          <cell r="B550">
            <v>2000021676</v>
          </cell>
          <cell r="C550" t="str">
            <v>BRITAX SMILE</v>
          </cell>
          <cell r="D550" t="str">
            <v>REAR WHEEL SET</v>
          </cell>
          <cell r="F550" t="str">
            <v>consumer</v>
          </cell>
          <cell r="G550">
            <v>4000984118032</v>
          </cell>
        </row>
        <row r="551">
          <cell r="B551">
            <v>2000021677</v>
          </cell>
          <cell r="C551" t="str">
            <v>BRITAX SMILE</v>
          </cell>
          <cell r="D551" t="str">
            <v>FRONT WHEEL SET</v>
          </cell>
          <cell r="F551" t="str">
            <v>consumer</v>
          </cell>
          <cell r="G551">
            <v>4000984118049</v>
          </cell>
        </row>
        <row r="552">
          <cell r="B552">
            <v>2000021678</v>
          </cell>
          <cell r="C552" t="str">
            <v>BRITAX SMILE</v>
          </cell>
          <cell r="D552" t="str">
            <v>BASKET</v>
          </cell>
          <cell r="F552" t="str">
            <v>consumer</v>
          </cell>
          <cell r="G552">
            <v>4000984118056</v>
          </cell>
        </row>
        <row r="553">
          <cell r="B553">
            <v>2000021680</v>
          </cell>
          <cell r="C553" t="str">
            <v>BRITAX SMILE</v>
          </cell>
          <cell r="D553" t="str">
            <v xml:space="preserve">RAINCOVER </v>
          </cell>
          <cell r="F553" t="str">
            <v>consumer</v>
          </cell>
          <cell r="G553">
            <v>4000984118070</v>
          </cell>
        </row>
        <row r="554">
          <cell r="B554">
            <v>2000025579</v>
          </cell>
          <cell r="C554" t="str">
            <v>BRITAX SMILE</v>
          </cell>
          <cell r="D554" t="str">
            <v>SHOULDER- AND WAIST STRAP SET</v>
          </cell>
          <cell r="F554" t="str">
            <v>consumer</v>
          </cell>
          <cell r="G554" t="str">
            <v>4000984150483</v>
          </cell>
        </row>
        <row r="555">
          <cell r="B555">
            <v>2000025034</v>
          </cell>
          <cell r="C555" t="str">
            <v>BRITAX SMILE 2</v>
          </cell>
          <cell r="D555" t="str">
            <v>SEAT UNIT FRAME</v>
          </cell>
          <cell r="F555" t="str">
            <v>consumer</v>
          </cell>
          <cell r="G555">
            <v>4000984140279</v>
          </cell>
        </row>
        <row r="556">
          <cell r="B556">
            <v>2000025035</v>
          </cell>
          <cell r="C556" t="str">
            <v>BRITAX SMILE 2</v>
          </cell>
          <cell r="D556" t="str">
            <v>CHASSIS</v>
          </cell>
          <cell r="F556" t="str">
            <v>consumer</v>
          </cell>
          <cell r="G556">
            <v>4000984140286</v>
          </cell>
        </row>
        <row r="557">
          <cell r="B557">
            <v>2000025036</v>
          </cell>
          <cell r="C557" t="str">
            <v>BRITAX SMILE 2</v>
          </cell>
          <cell r="D557" t="str">
            <v>BUMPER BAR</v>
          </cell>
          <cell r="E557" t="str">
            <v>Cosmos Black</v>
          </cell>
          <cell r="F557" t="str">
            <v>consumer</v>
          </cell>
          <cell r="G557">
            <v>4000984140293</v>
          </cell>
        </row>
        <row r="558">
          <cell r="B558">
            <v>2000025037</v>
          </cell>
          <cell r="C558" t="str">
            <v>BRITAX SMILE 2</v>
          </cell>
          <cell r="D558" t="str">
            <v>BASKET</v>
          </cell>
          <cell r="F558" t="str">
            <v>consumer</v>
          </cell>
          <cell r="G558">
            <v>4000984140309</v>
          </cell>
        </row>
        <row r="559">
          <cell r="B559">
            <v>2000025038</v>
          </cell>
          <cell r="C559" t="str">
            <v>BRITAX SMILE 2</v>
          </cell>
          <cell r="D559" t="str">
            <v>HOOD</v>
          </cell>
          <cell r="E559" t="str">
            <v>Flame Red</v>
          </cell>
          <cell r="F559" t="str">
            <v>consumer</v>
          </cell>
          <cell r="G559">
            <v>4000984140316</v>
          </cell>
        </row>
        <row r="560">
          <cell r="B560">
            <v>2000025039</v>
          </cell>
          <cell r="C560" t="str">
            <v>BRITAX SMILE 2</v>
          </cell>
          <cell r="D560" t="str">
            <v>HOOD</v>
          </cell>
          <cell r="E560" t="str">
            <v>Cosmos Black</v>
          </cell>
          <cell r="F560" t="str">
            <v>consumer</v>
          </cell>
          <cell r="G560">
            <v>4000984140323</v>
          </cell>
        </row>
        <row r="561">
          <cell r="B561">
            <v>2000025040</v>
          </cell>
          <cell r="C561" t="str">
            <v>BRITAX SMILE 2</v>
          </cell>
          <cell r="D561" t="str">
            <v>HOOD</v>
          </cell>
          <cell r="E561" t="str">
            <v>Steel Grey</v>
          </cell>
          <cell r="F561" t="str">
            <v>consumer</v>
          </cell>
          <cell r="G561">
            <v>4000984140576</v>
          </cell>
        </row>
        <row r="562">
          <cell r="B562">
            <v>2000025041</v>
          </cell>
          <cell r="C562" t="str">
            <v>BRITAX SMILE 2</v>
          </cell>
          <cell r="D562" t="str">
            <v>HOOD</v>
          </cell>
          <cell r="E562" t="str">
            <v>Lagoon Green</v>
          </cell>
          <cell r="F562" t="str">
            <v>consumer</v>
          </cell>
          <cell r="G562">
            <v>4000984140583</v>
          </cell>
        </row>
        <row r="563">
          <cell r="B563">
            <v>2000025042</v>
          </cell>
          <cell r="C563" t="str">
            <v>BRITAX SMILE 2</v>
          </cell>
          <cell r="D563" t="str">
            <v>HOOD</v>
          </cell>
          <cell r="E563" t="str">
            <v>Mineral Purple</v>
          </cell>
          <cell r="F563" t="str">
            <v>consumer</v>
          </cell>
          <cell r="G563">
            <v>4000984140590</v>
          </cell>
        </row>
        <row r="564">
          <cell r="B564">
            <v>2000025043</v>
          </cell>
          <cell r="C564" t="str">
            <v>BRITAX SMILE 2</v>
          </cell>
          <cell r="D564" t="str">
            <v>HOOD</v>
          </cell>
          <cell r="E564" t="str">
            <v>Wood Brown</v>
          </cell>
          <cell r="F564" t="str">
            <v>consumer</v>
          </cell>
          <cell r="G564">
            <v>4000984140606</v>
          </cell>
        </row>
        <row r="565">
          <cell r="B565">
            <v>2000025044</v>
          </cell>
          <cell r="C565" t="str">
            <v>BRITAX SMILE 2</v>
          </cell>
          <cell r="D565" t="str">
            <v>HOOD</v>
          </cell>
          <cell r="E565" t="str">
            <v>Rose Pink</v>
          </cell>
          <cell r="F565" t="str">
            <v>consumer</v>
          </cell>
          <cell r="G565">
            <v>4000984140736</v>
          </cell>
        </row>
        <row r="566">
          <cell r="B566">
            <v>2000025045</v>
          </cell>
          <cell r="C566" t="str">
            <v>BRITAX SMILE 2</v>
          </cell>
          <cell r="D566" t="str">
            <v>HOOD</v>
          </cell>
          <cell r="E566" t="str">
            <v>Ocean Blue</v>
          </cell>
          <cell r="F566" t="str">
            <v>consumer</v>
          </cell>
          <cell r="G566">
            <v>4000984140743</v>
          </cell>
        </row>
        <row r="567">
          <cell r="B567">
            <v>2000025046</v>
          </cell>
          <cell r="C567" t="str">
            <v>BRITAX SMILE 2</v>
          </cell>
          <cell r="D567" t="str">
            <v>APRON</v>
          </cell>
          <cell r="E567" t="str">
            <v>Cosmos Black</v>
          </cell>
          <cell r="F567" t="str">
            <v>consumer</v>
          </cell>
          <cell r="G567">
            <v>4000984140750</v>
          </cell>
        </row>
        <row r="568">
          <cell r="B568">
            <v>2000025047</v>
          </cell>
          <cell r="C568" t="str">
            <v>BRITAX SMILE 2</v>
          </cell>
          <cell r="D568" t="str">
            <v>SEAT UNIT FABRIC INCL. HARNESS AND BUMPER BAR COVER</v>
          </cell>
          <cell r="E568" t="str">
            <v>Flame Red</v>
          </cell>
          <cell r="F568" t="str">
            <v>consumer</v>
          </cell>
          <cell r="G568">
            <v>4000984140767</v>
          </cell>
        </row>
        <row r="569">
          <cell r="B569">
            <v>2000025048</v>
          </cell>
          <cell r="C569" t="str">
            <v>BRITAX SMILE 2</v>
          </cell>
          <cell r="D569" t="str">
            <v>SEAT UNIT FABRIC INCL. HARNESS AND BUMPER BAR COVER</v>
          </cell>
          <cell r="E569" t="str">
            <v>Cosmos Black</v>
          </cell>
          <cell r="F569" t="str">
            <v>consumer</v>
          </cell>
          <cell r="G569">
            <v>4000984140798</v>
          </cell>
        </row>
        <row r="570">
          <cell r="B570">
            <v>2000025049</v>
          </cell>
          <cell r="C570" t="str">
            <v>BRITAX SMILE 2</v>
          </cell>
          <cell r="D570" t="str">
            <v>SEAT UNIT FABRIC INCL. HARNESS AND BUMPER BAR COVER</v>
          </cell>
          <cell r="E570" t="str">
            <v>Steel Grey</v>
          </cell>
          <cell r="F570" t="str">
            <v>consumer</v>
          </cell>
          <cell r="G570">
            <v>4000984140828</v>
          </cell>
        </row>
        <row r="571">
          <cell r="B571">
            <v>2000025050</v>
          </cell>
          <cell r="C571" t="str">
            <v>BRITAX SMILE 2</v>
          </cell>
          <cell r="D571" t="str">
            <v>SEAT UNIT FABRIC INCL. HARNESS AND BUMPER BAR COVER</v>
          </cell>
          <cell r="E571" t="str">
            <v>Lagoon Green</v>
          </cell>
          <cell r="F571" t="str">
            <v>consumer</v>
          </cell>
          <cell r="G571">
            <v>4000984140835</v>
          </cell>
        </row>
        <row r="572">
          <cell r="B572">
            <v>2000025051</v>
          </cell>
          <cell r="C572" t="str">
            <v>BRITAX SMILE 2</v>
          </cell>
          <cell r="D572" t="str">
            <v>SEAT UNIT FABRIC INCL. HARNESS AND BUMPER BAR COVER</v>
          </cell>
          <cell r="E572" t="str">
            <v>Mineral Purple</v>
          </cell>
          <cell r="F572" t="str">
            <v>consumer</v>
          </cell>
          <cell r="G572">
            <v>4000984140859</v>
          </cell>
        </row>
        <row r="573">
          <cell r="B573">
            <v>2000025052</v>
          </cell>
          <cell r="C573" t="str">
            <v>BRITAX SMILE 2</v>
          </cell>
          <cell r="D573" t="str">
            <v>SEAT UNIT FABRIC INCL. HARNESS AND BUMPER BAR COVER</v>
          </cell>
          <cell r="E573" t="str">
            <v>Wood Brown</v>
          </cell>
          <cell r="F573" t="str">
            <v>consumer</v>
          </cell>
          <cell r="G573">
            <v>4000984140866</v>
          </cell>
        </row>
        <row r="574">
          <cell r="B574">
            <v>2000025053</v>
          </cell>
          <cell r="C574" t="str">
            <v>BRITAX SMILE 2</v>
          </cell>
          <cell r="D574" t="str">
            <v>SEAT UNIT FABRIC INCL. HARNESS AND BUMPER BAR COVER</v>
          </cell>
          <cell r="E574" t="str">
            <v>Rose Pink</v>
          </cell>
          <cell r="F574" t="str">
            <v>consumer</v>
          </cell>
          <cell r="G574">
            <v>4000984141498</v>
          </cell>
        </row>
        <row r="575">
          <cell r="B575">
            <v>2000025054</v>
          </cell>
          <cell r="C575" t="str">
            <v>BRITAX SMILE 2</v>
          </cell>
          <cell r="D575" t="str">
            <v>SEAT UNIT FABRIC INCL. HARNESS AND BUMPER BAR COVER</v>
          </cell>
          <cell r="E575" t="str">
            <v>Ocean Blue</v>
          </cell>
          <cell r="F575" t="str">
            <v>consumer</v>
          </cell>
          <cell r="G575">
            <v>4000984141924</v>
          </cell>
        </row>
        <row r="576">
          <cell r="B576">
            <v>2000026805</v>
          </cell>
          <cell r="C576" t="str">
            <v>BRITAX SMILE 2</v>
          </cell>
          <cell r="D576" t="str">
            <v>SEAT UNIT FABRIC INCL. HARNESS AND BUMPER BAR COVER</v>
          </cell>
          <cell r="E576" t="str">
            <v>Olive Green</v>
          </cell>
          <cell r="F576" t="str">
            <v>consumer</v>
          </cell>
          <cell r="G576" t="str">
            <v>4000984157932</v>
          </cell>
        </row>
        <row r="577">
          <cell r="B577">
            <v>2000026806</v>
          </cell>
          <cell r="C577" t="str">
            <v>BRITAX SMILE 2</v>
          </cell>
          <cell r="D577" t="str">
            <v>SEAT UNIT FABRIC INCL. HARNESS AND BUMPER BAR COVER</v>
          </cell>
          <cell r="E577" t="str">
            <v>Sand Beige</v>
          </cell>
          <cell r="F577" t="str">
            <v>consumer</v>
          </cell>
          <cell r="G577" t="str">
            <v>4000984157949</v>
          </cell>
        </row>
        <row r="578">
          <cell r="B578">
            <v>2000026807</v>
          </cell>
          <cell r="C578" t="str">
            <v>BRITAX SMILE 2</v>
          </cell>
          <cell r="D578" t="str">
            <v>SEAT UNIT FABRIC INCL. HARNESS AND BUMPER BAR COVER</v>
          </cell>
          <cell r="E578" t="str">
            <v>Wine Red</v>
          </cell>
          <cell r="F578" t="str">
            <v>consumer</v>
          </cell>
          <cell r="G578" t="str">
            <v>4000984157956</v>
          </cell>
        </row>
        <row r="579">
          <cell r="B579">
            <v>2000029261</v>
          </cell>
          <cell r="C579" t="str">
            <v>BRITAX SMILE 2</v>
          </cell>
          <cell r="D579" t="str">
            <v>SEAT UNIT FABRIC INCL. HARNESS AND BUMPER BAR COVER</v>
          </cell>
          <cell r="E579" t="str">
            <v>Blue Denim</v>
          </cell>
          <cell r="F579" t="str">
            <v>consumer</v>
          </cell>
          <cell r="G579">
            <v>4000984190519</v>
          </cell>
        </row>
        <row r="580">
          <cell r="B580">
            <v>2000029262</v>
          </cell>
          <cell r="C580" t="str">
            <v>BRITAX SMILE 2</v>
          </cell>
          <cell r="D580" t="str">
            <v>SEAT UNIT FABRIC INCL. HARNESS AND BUMPER BAR COVER</v>
          </cell>
          <cell r="E580" t="str">
            <v>Black Denim</v>
          </cell>
          <cell r="F580" t="str">
            <v>consumer</v>
          </cell>
          <cell r="G580">
            <v>4000984190526</v>
          </cell>
        </row>
        <row r="581">
          <cell r="B581">
            <v>2000029263</v>
          </cell>
          <cell r="C581" t="str">
            <v>BRITAX SMILE 2</v>
          </cell>
          <cell r="D581" t="str">
            <v>SEAT UNIT FABRIC INCL. HARNESS AND BUMPER BAR COVER</v>
          </cell>
          <cell r="E581" t="str">
            <v>Olive Denim</v>
          </cell>
          <cell r="F581" t="str">
            <v>consumer</v>
          </cell>
          <cell r="G581">
            <v>4000984190533</v>
          </cell>
        </row>
        <row r="582">
          <cell r="B582">
            <v>2000026802</v>
          </cell>
          <cell r="C582" t="str">
            <v>BRITAX SMILE 2</v>
          </cell>
          <cell r="D582" t="str">
            <v>CANOPY</v>
          </cell>
          <cell r="E582" t="str">
            <v>Olive Green</v>
          </cell>
          <cell r="F582" t="str">
            <v>consumer</v>
          </cell>
          <cell r="G582" t="str">
            <v>4000984157901</v>
          </cell>
        </row>
        <row r="583">
          <cell r="B583">
            <v>2000026803</v>
          </cell>
          <cell r="C583" t="str">
            <v>BRITAX SMILE 2</v>
          </cell>
          <cell r="D583" t="str">
            <v>CANOPY</v>
          </cell>
          <cell r="E583" t="str">
            <v>Sand Beige</v>
          </cell>
          <cell r="F583" t="str">
            <v>consumer</v>
          </cell>
          <cell r="G583" t="str">
            <v>4000984157918</v>
          </cell>
        </row>
        <row r="584">
          <cell r="B584">
            <v>2000026804</v>
          </cell>
          <cell r="C584" t="str">
            <v>BRITAX SMILE 2</v>
          </cell>
          <cell r="D584" t="str">
            <v>CANOPY</v>
          </cell>
          <cell r="E584" t="str">
            <v>Wine Red</v>
          </cell>
          <cell r="F584" t="str">
            <v>consumer</v>
          </cell>
          <cell r="G584" t="str">
            <v>4000984157925</v>
          </cell>
        </row>
        <row r="585">
          <cell r="B585">
            <v>2000029237</v>
          </cell>
          <cell r="C585" t="str">
            <v>BRITAX SMILE 2</v>
          </cell>
          <cell r="D585" t="str">
            <v>CANOPY</v>
          </cell>
          <cell r="E585" t="str">
            <v>Blue Denim</v>
          </cell>
          <cell r="F585" t="str">
            <v>consumer</v>
          </cell>
          <cell r="G585">
            <v>4000984190489</v>
          </cell>
        </row>
        <row r="586">
          <cell r="B586">
            <v>2000029239</v>
          </cell>
          <cell r="C586" t="str">
            <v>BRITAX SMILE 2</v>
          </cell>
          <cell r="D586" t="str">
            <v>CANOPY</v>
          </cell>
          <cell r="E586" t="str">
            <v>Black Denim</v>
          </cell>
          <cell r="F586" t="str">
            <v>consumer</v>
          </cell>
          <cell r="G586">
            <v>4000984190502</v>
          </cell>
        </row>
        <row r="587">
          <cell r="B587">
            <v>2000029238</v>
          </cell>
          <cell r="C587" t="str">
            <v>BRITAX SMILE 2</v>
          </cell>
          <cell r="D587" t="str">
            <v>CANOPY</v>
          </cell>
          <cell r="E587" t="str">
            <v>Olive Denim</v>
          </cell>
          <cell r="F587" t="str">
            <v>consumer</v>
          </cell>
          <cell r="G587">
            <v>4000984190496</v>
          </cell>
        </row>
        <row r="588">
          <cell r="B588">
            <v>2000025460</v>
          </cell>
          <cell r="C588" t="str">
            <v>BRITAX SMILE 2</v>
          </cell>
          <cell r="D588" t="str">
            <v>SHOULDER- AND WAIST STRAP SET</v>
          </cell>
          <cell r="F588" t="str">
            <v>consumer</v>
          </cell>
          <cell r="G588" t="str">
            <v>4000984149531</v>
          </cell>
        </row>
        <row r="589">
          <cell r="B589">
            <v>2000025113</v>
          </cell>
          <cell r="C589" t="str">
            <v>BRITAX SMILE 2</v>
          </cell>
          <cell r="D589" t="str">
            <v xml:space="preserve">UPPER HANDLE BAR INCL. FASTENER AND KNEE JOINT </v>
          </cell>
          <cell r="F589" t="str">
            <v>retailer only</v>
          </cell>
          <cell r="G589">
            <v>4000984144109</v>
          </cell>
        </row>
        <row r="590">
          <cell r="B590" t="str">
            <v>R366090009501</v>
          </cell>
          <cell r="C590" t="str">
            <v>BRITAX SMILE 2</v>
          </cell>
          <cell r="D590" t="str">
            <v>INNER TUBE, REAR WHEEL</v>
          </cell>
          <cell r="F590" t="str">
            <v>consumer</v>
          </cell>
          <cell r="G590">
            <v>4000984130287</v>
          </cell>
        </row>
        <row r="591">
          <cell r="B591" t="str">
            <v>R366090009201</v>
          </cell>
          <cell r="C591" t="str">
            <v>BRITAX SMILE 2</v>
          </cell>
          <cell r="D591" t="str">
            <v>INNER TUBE, FRONT WHEEL</v>
          </cell>
          <cell r="F591" t="str">
            <v>consumer</v>
          </cell>
          <cell r="G591">
            <v>4000984130270</v>
          </cell>
        </row>
        <row r="592">
          <cell r="B592" t="str">
            <v>R366050999001</v>
          </cell>
          <cell r="C592" t="str">
            <v>BRITAX SMILE 2</v>
          </cell>
          <cell r="D592" t="str">
            <v>REAR WHEEL BLACK</v>
          </cell>
          <cell r="E592" t="str">
            <v>Black</v>
          </cell>
          <cell r="F592" t="str">
            <v>consumer</v>
          </cell>
          <cell r="G592">
            <v>4000984130041</v>
          </cell>
        </row>
        <row r="593">
          <cell r="B593" t="str">
            <v>R366050999101</v>
          </cell>
          <cell r="C593" t="str">
            <v>BRITAX SMILE 2</v>
          </cell>
          <cell r="D593" t="str">
            <v>FRONT WHEEL</v>
          </cell>
          <cell r="E593" t="str">
            <v>Black</v>
          </cell>
          <cell r="F593" t="str">
            <v>consumer</v>
          </cell>
          <cell r="G593">
            <v>4000984130058</v>
          </cell>
        </row>
        <row r="594">
          <cell r="B594" t="str">
            <v>R366090001301</v>
          </cell>
          <cell r="C594" t="str">
            <v>BRITAX SMILE 2</v>
          </cell>
          <cell r="D594" t="str">
            <v>MUD PROTECTOR</v>
          </cell>
          <cell r="F594" t="str">
            <v>consumer</v>
          </cell>
          <cell r="G594">
            <v>4000984130195</v>
          </cell>
        </row>
        <row r="595">
          <cell r="B595" t="str">
            <v>R366090001201</v>
          </cell>
          <cell r="C595" t="str">
            <v>BRITAX SMILE 2</v>
          </cell>
          <cell r="D595" t="str">
            <v xml:space="preserve">FOOTREST JOINT INCL. FASTENER </v>
          </cell>
          <cell r="F595" t="str">
            <v>retailer only</v>
          </cell>
          <cell r="G595">
            <v>4000984130188</v>
          </cell>
        </row>
        <row r="596">
          <cell r="B596">
            <v>2000011691</v>
          </cell>
          <cell r="C596" t="str">
            <v>BRITAX SMILE 2</v>
          </cell>
          <cell r="D596" t="str">
            <v xml:space="preserve">SWIVEL PART SET </v>
          </cell>
          <cell r="F596" t="str">
            <v>retailer only</v>
          </cell>
          <cell r="G596">
            <v>4000984125276</v>
          </cell>
        </row>
        <row r="597">
          <cell r="B597" t="str">
            <v>R366090001702</v>
          </cell>
          <cell r="C597" t="str">
            <v>BRITAX SMILE 2</v>
          </cell>
          <cell r="D597" t="str">
            <v xml:space="preserve">ASSEMBL. BRAKE INCL. FASTENER </v>
          </cell>
          <cell r="F597" t="str">
            <v>retailer only</v>
          </cell>
          <cell r="G597">
            <v>4000984130218</v>
          </cell>
        </row>
        <row r="598">
          <cell r="B598">
            <v>2000011392</v>
          </cell>
          <cell r="C598" t="str">
            <v>BRITAX SMILE 2</v>
          </cell>
          <cell r="D598" t="str">
            <v xml:space="preserve">LOWER SWIVEL ATTACHMENT </v>
          </cell>
          <cell r="F598" t="str">
            <v>retailer only</v>
          </cell>
          <cell r="G598">
            <v>4000984111835</v>
          </cell>
        </row>
        <row r="599">
          <cell r="B599">
            <v>2000021681</v>
          </cell>
          <cell r="C599" t="str">
            <v>BRITAX SMILE CARRYCOT</v>
          </cell>
          <cell r="D599" t="str">
            <v xml:space="preserve">RAINCOVER </v>
          </cell>
          <cell r="F599" t="str">
            <v>consumer</v>
          </cell>
          <cell r="G599">
            <v>4000984118087</v>
          </cell>
        </row>
        <row r="600">
          <cell r="B600">
            <v>2000004029</v>
          </cell>
          <cell r="C600" t="str">
            <v>BRITAX HARD CARRYCOT</v>
          </cell>
          <cell r="D600" t="str">
            <v xml:space="preserve">RAINCOVER </v>
          </cell>
          <cell r="F600" t="str">
            <v>consumer</v>
          </cell>
          <cell r="G600">
            <v>4000984085600</v>
          </cell>
        </row>
        <row r="601">
          <cell r="B601">
            <v>2000021604</v>
          </cell>
          <cell r="C601" t="str">
            <v>BRITAX AFFINITY</v>
          </cell>
          <cell r="D601" t="str">
            <v>REPLACEMENT CANOPY (old collection)</v>
          </cell>
          <cell r="E601" t="str">
            <v>Chili Pepper</v>
          </cell>
          <cell r="F601" t="str">
            <v>consumer</v>
          </cell>
          <cell r="G601">
            <v>4000984116533</v>
          </cell>
        </row>
        <row r="602">
          <cell r="B602">
            <v>2000021606</v>
          </cell>
          <cell r="C602" t="str">
            <v>BRITAX AFFINITY</v>
          </cell>
          <cell r="D602" t="str">
            <v>REPLACEMENT CANOPY (old collection)</v>
          </cell>
          <cell r="E602" t="str">
            <v>Cactus Green</v>
          </cell>
          <cell r="F602" t="str">
            <v>consumer</v>
          </cell>
          <cell r="G602">
            <v>4000984116557</v>
          </cell>
        </row>
        <row r="603">
          <cell r="B603">
            <v>2000021608</v>
          </cell>
          <cell r="C603" t="str">
            <v>BRITAX AFFINITY</v>
          </cell>
          <cell r="D603" t="str">
            <v>REPLACEMENT CANOPY (old collection)</v>
          </cell>
          <cell r="E603" t="str">
            <v>Fossil Brown</v>
          </cell>
          <cell r="F603" t="str">
            <v>consumer</v>
          </cell>
          <cell r="G603">
            <v>4000984116571</v>
          </cell>
        </row>
        <row r="604">
          <cell r="B604">
            <v>2000021609</v>
          </cell>
          <cell r="C604" t="str">
            <v>BRITAX AFFINITY</v>
          </cell>
          <cell r="D604" t="str">
            <v>REPLACEMENT CANOPY (old collection)</v>
          </cell>
          <cell r="E604" t="str">
            <v>Blue Sky</v>
          </cell>
          <cell r="F604" t="str">
            <v>consumer</v>
          </cell>
          <cell r="G604">
            <v>4000984116588</v>
          </cell>
        </row>
        <row r="605">
          <cell r="B605">
            <v>2000021605</v>
          </cell>
          <cell r="C605" t="str">
            <v>BRITAX AFFINITY</v>
          </cell>
          <cell r="D605" t="str">
            <v>REPLACEMENT CANOPY (old collection)</v>
          </cell>
          <cell r="E605" t="str">
            <v>Black Thunder</v>
          </cell>
          <cell r="F605" t="str">
            <v>consumer</v>
          </cell>
          <cell r="G605">
            <v>4000984116540</v>
          </cell>
        </row>
        <row r="606">
          <cell r="B606">
            <v>2000021607</v>
          </cell>
          <cell r="C606" t="str">
            <v>BRITAX AFFINITY</v>
          </cell>
          <cell r="D606" t="str">
            <v>REPLACEMENT CANOPY (old collection)</v>
          </cell>
          <cell r="E606" t="str">
            <v>Cool Berry</v>
          </cell>
          <cell r="F606" t="str">
            <v>consumer</v>
          </cell>
          <cell r="G606">
            <v>4000984116564</v>
          </cell>
        </row>
        <row r="607">
          <cell r="B607">
            <v>2000009553</v>
          </cell>
          <cell r="C607" t="str">
            <v>BRITAX AFFINITY</v>
          </cell>
          <cell r="D607" t="str">
            <v>BUMPER BAR (old collections)</v>
          </cell>
          <cell r="F607" t="str">
            <v>consumer</v>
          </cell>
          <cell r="G607">
            <v>4000984107531</v>
          </cell>
        </row>
        <row r="608">
          <cell r="B608">
            <v>2000026292</v>
          </cell>
          <cell r="C608" t="str">
            <v>BRITAX AFFINITY</v>
          </cell>
          <cell r="D608" t="str">
            <v>BUMPER BAR (2015)</v>
          </cell>
          <cell r="F608" t="str">
            <v>consumer</v>
          </cell>
          <cell r="G608">
            <v>4000984154726</v>
          </cell>
        </row>
        <row r="609">
          <cell r="B609">
            <v>2000009554</v>
          </cell>
          <cell r="C609" t="str">
            <v>BRITAX AFFINITY</v>
          </cell>
          <cell r="D609" t="str">
            <v>BASKET</v>
          </cell>
          <cell r="F609" t="str">
            <v>consumer</v>
          </cell>
          <cell r="G609">
            <v>4000984107548</v>
          </cell>
        </row>
        <row r="610">
          <cell r="B610">
            <v>2000014619</v>
          </cell>
          <cell r="C610" t="str">
            <v>BRITAX AFFINITY</v>
          </cell>
          <cell r="D610" t="str">
            <v>SEAT UNIT</v>
          </cell>
          <cell r="E610" t="str">
            <v>Chrome</v>
          </cell>
          <cell r="F610" t="str">
            <v>consumer</v>
          </cell>
          <cell r="G610">
            <v>4000984122770</v>
          </cell>
        </row>
        <row r="611">
          <cell r="B611">
            <v>2000014618</v>
          </cell>
          <cell r="C611" t="str">
            <v>BRITAX AFFINITY</v>
          </cell>
          <cell r="D611" t="str">
            <v>SEAT UNIT FR</v>
          </cell>
          <cell r="E611" t="str">
            <v>Chrome</v>
          </cell>
          <cell r="F611" t="str">
            <v>consumer</v>
          </cell>
          <cell r="G611">
            <v>4000984122763</v>
          </cell>
        </row>
        <row r="612">
          <cell r="B612">
            <v>2000010301</v>
          </cell>
          <cell r="C612" t="str">
            <v>BRITAX AFFINITY</v>
          </cell>
          <cell r="D612" t="str">
            <v>RAINCOVER CARRYCOT</v>
          </cell>
          <cell r="F612" t="str">
            <v>consumer</v>
          </cell>
          <cell r="G612">
            <v>4000984107678</v>
          </cell>
        </row>
        <row r="613">
          <cell r="B613">
            <v>2000025319</v>
          </cell>
          <cell r="C613" t="str">
            <v>BRITAX AFFINITY</v>
          </cell>
          <cell r="D613" t="str">
            <v xml:space="preserve">FRONT WHEEL SET </v>
          </cell>
          <cell r="E613" t="str">
            <v>Black</v>
          </cell>
          <cell r="F613" t="str">
            <v>consumer</v>
          </cell>
          <cell r="G613">
            <v>4000984148688</v>
          </cell>
        </row>
        <row r="614">
          <cell r="B614">
            <v>2000025320</v>
          </cell>
          <cell r="C614" t="str">
            <v>BRITAX AFFINITY</v>
          </cell>
          <cell r="D614" t="str">
            <v xml:space="preserve">FRONT WHEEL SET </v>
          </cell>
          <cell r="E614" t="str">
            <v>Chrome</v>
          </cell>
          <cell r="F614" t="str">
            <v>consumer</v>
          </cell>
          <cell r="G614">
            <v>4000984148695</v>
          </cell>
        </row>
        <row r="615">
          <cell r="B615">
            <v>2000025321</v>
          </cell>
          <cell r="C615" t="str">
            <v>BRITAX AFFINITY</v>
          </cell>
          <cell r="D615" t="str">
            <v xml:space="preserve">FRONT WHEEL SET </v>
          </cell>
          <cell r="E615" t="str">
            <v>Silver</v>
          </cell>
          <cell r="F615" t="str">
            <v>consumer</v>
          </cell>
          <cell r="G615">
            <v>4000984148701</v>
          </cell>
        </row>
        <row r="616">
          <cell r="B616">
            <v>2000010300</v>
          </cell>
          <cell r="C616" t="str">
            <v>BRITAX AFFINITY</v>
          </cell>
          <cell r="D616" t="str">
            <v>REAR WHEEL SET</v>
          </cell>
          <cell r="F616" t="str">
            <v>consumer</v>
          </cell>
          <cell r="G616">
            <v>4000984107661</v>
          </cell>
        </row>
        <row r="617">
          <cell r="B617">
            <v>2000025336</v>
          </cell>
          <cell r="C617" t="str">
            <v>BRITAX AFFINITY</v>
          </cell>
          <cell r="D617" t="str">
            <v xml:space="preserve">HANDLE + HANDLE ADJUSTER </v>
          </cell>
          <cell r="E617" t="str">
            <v>Black</v>
          </cell>
          <cell r="F617" t="str">
            <v>retailer only</v>
          </cell>
          <cell r="G617">
            <v>4000984148855</v>
          </cell>
        </row>
        <row r="618">
          <cell r="B618">
            <v>2000025337</v>
          </cell>
          <cell r="C618" t="str">
            <v>BRITAX AFFINITY</v>
          </cell>
          <cell r="D618" t="str">
            <v xml:space="preserve">HANDLE + HANDLE ADJUSTER </v>
          </cell>
          <cell r="E618" t="str">
            <v>Chome</v>
          </cell>
          <cell r="F618" t="str">
            <v>retailer only</v>
          </cell>
          <cell r="G618">
            <v>4000984148862</v>
          </cell>
        </row>
        <row r="619">
          <cell r="B619">
            <v>2000025338</v>
          </cell>
          <cell r="C619" t="str">
            <v>BRITAX AFFINITY</v>
          </cell>
          <cell r="D619" t="str">
            <v xml:space="preserve">HANDLE + HANDLE ADJUSTER </v>
          </cell>
          <cell r="E619" t="str">
            <v>Silver</v>
          </cell>
          <cell r="F619" t="str">
            <v>retailer only</v>
          </cell>
          <cell r="G619">
            <v>4000984148879</v>
          </cell>
        </row>
        <row r="620">
          <cell r="B620">
            <v>2000025339</v>
          </cell>
          <cell r="C620" t="str">
            <v>BRITAX AFFINITY</v>
          </cell>
          <cell r="D620" t="str">
            <v>CHASSIS</v>
          </cell>
          <cell r="E620" t="str">
            <v>Black</v>
          </cell>
          <cell r="F620" t="str">
            <v>consumer</v>
          </cell>
          <cell r="G620">
            <v>4000984148886</v>
          </cell>
        </row>
        <row r="621">
          <cell r="B621">
            <v>2000025340</v>
          </cell>
          <cell r="C621" t="str">
            <v>BRITAX AFFINITY</v>
          </cell>
          <cell r="D621" t="str">
            <v>CHASSIS</v>
          </cell>
          <cell r="E621" t="str">
            <v>Chrome</v>
          </cell>
          <cell r="F621" t="str">
            <v>consumer</v>
          </cell>
          <cell r="G621">
            <v>4000984148893</v>
          </cell>
        </row>
        <row r="622">
          <cell r="B622">
            <v>2000025342</v>
          </cell>
          <cell r="C622" t="str">
            <v>BRITAX AFFINITY</v>
          </cell>
          <cell r="D622" t="str">
            <v>CHASSIS</v>
          </cell>
          <cell r="E622" t="str">
            <v>White</v>
          </cell>
          <cell r="F622" t="str">
            <v>consumer</v>
          </cell>
          <cell r="G622">
            <v>4000984148916</v>
          </cell>
        </row>
        <row r="623">
          <cell r="B623">
            <v>2000025341</v>
          </cell>
          <cell r="C623" t="str">
            <v>BRITAX AFFINITY</v>
          </cell>
          <cell r="D623" t="str">
            <v>CHASSIS</v>
          </cell>
          <cell r="E623" t="str">
            <v>Silver</v>
          </cell>
          <cell r="F623" t="str">
            <v>consumer</v>
          </cell>
          <cell r="G623">
            <v>4000984148909</v>
          </cell>
        </row>
        <row r="624">
          <cell r="B624">
            <v>2000025435</v>
          </cell>
          <cell r="C624" t="str">
            <v>BRITAX AFFINITY</v>
          </cell>
          <cell r="D624" t="str">
            <v xml:space="preserve">BRAKE REPAIR KIT </v>
          </cell>
          <cell r="E624" t="str">
            <v>Black</v>
          </cell>
          <cell r="F624" t="str">
            <v>retailer only</v>
          </cell>
          <cell r="G624">
            <v>4000984149289</v>
          </cell>
        </row>
        <row r="625">
          <cell r="B625">
            <v>2000025447</v>
          </cell>
          <cell r="C625" t="str">
            <v>BRITAX AFFINITY</v>
          </cell>
          <cell r="D625" t="str">
            <v xml:space="preserve">BRAKE REPAIR KIT </v>
          </cell>
          <cell r="E625" t="str">
            <v>Silver</v>
          </cell>
          <cell r="F625" t="str">
            <v>retailer only</v>
          </cell>
          <cell r="G625">
            <v>4000984149418</v>
          </cell>
        </row>
        <row r="626">
          <cell r="B626">
            <v>2000025448</v>
          </cell>
          <cell r="C626" t="str">
            <v>BRITAX AFFINITY</v>
          </cell>
          <cell r="D626" t="str">
            <v xml:space="preserve">BRAKE REPAIR KIT </v>
          </cell>
          <cell r="E626" t="str">
            <v>Chrome</v>
          </cell>
          <cell r="F626" t="str">
            <v>retailer only</v>
          </cell>
          <cell r="G626">
            <v>4000984149425</v>
          </cell>
        </row>
        <row r="627">
          <cell r="B627">
            <v>2000012225</v>
          </cell>
          <cell r="C627" t="str">
            <v>BRITAX AFFINITY</v>
          </cell>
          <cell r="D627" t="str">
            <v>INNER TUBE AIR TYRE</v>
          </cell>
          <cell r="F627" t="str">
            <v>consumer</v>
          </cell>
          <cell r="G627">
            <v>4000984114867</v>
          </cell>
        </row>
        <row r="628">
          <cell r="B628">
            <v>2000009554</v>
          </cell>
          <cell r="C628" t="str">
            <v>BRITAX AFFINITY</v>
          </cell>
          <cell r="D628" t="str">
            <v>BASKET</v>
          </cell>
          <cell r="E628" t="str">
            <v>Grey</v>
          </cell>
          <cell r="F628" t="str">
            <v>consumer</v>
          </cell>
          <cell r="G628">
            <v>4000984107548</v>
          </cell>
        </row>
        <row r="629">
          <cell r="B629">
            <v>2000010301</v>
          </cell>
          <cell r="C629" t="str">
            <v>BRITAX AFFINITY 2</v>
          </cell>
          <cell r="D629" t="str">
            <v>RAINCOVER CARRYCOT</v>
          </cell>
          <cell r="F629" t="str">
            <v>consumer</v>
          </cell>
          <cell r="G629">
            <v>4000984107678</v>
          </cell>
        </row>
        <row r="630">
          <cell r="B630">
            <v>2000025319</v>
          </cell>
          <cell r="C630" t="str">
            <v>BRITAX AFFINITY 2</v>
          </cell>
          <cell r="D630" t="str">
            <v xml:space="preserve">FRONT WHEEL SET </v>
          </cell>
          <cell r="E630" t="str">
            <v>Black</v>
          </cell>
          <cell r="F630" t="str">
            <v>consumer</v>
          </cell>
          <cell r="G630">
            <v>4000984148688</v>
          </cell>
        </row>
        <row r="631">
          <cell r="B631">
            <v>2000025320</v>
          </cell>
          <cell r="C631" t="str">
            <v>BRITAX AFFINITY 2</v>
          </cell>
          <cell r="D631" t="str">
            <v xml:space="preserve">FRONT WHEEL SET </v>
          </cell>
          <cell r="E631" t="str">
            <v>Chrome</v>
          </cell>
          <cell r="F631" t="str">
            <v>consumer</v>
          </cell>
          <cell r="G631">
            <v>4000984148695</v>
          </cell>
        </row>
        <row r="632">
          <cell r="B632">
            <v>2000025321</v>
          </cell>
          <cell r="C632" t="str">
            <v>BRITAX AFFINITY 2</v>
          </cell>
          <cell r="D632" t="str">
            <v xml:space="preserve">FRONT WHEEL SET </v>
          </cell>
          <cell r="E632" t="str">
            <v>Silver</v>
          </cell>
          <cell r="F632" t="str">
            <v>consumer</v>
          </cell>
          <cell r="G632">
            <v>4000984148701</v>
          </cell>
        </row>
        <row r="633">
          <cell r="B633">
            <v>2000025322</v>
          </cell>
          <cell r="C633" t="str">
            <v>BRITAX AFFINITY 2</v>
          </cell>
          <cell r="D633" t="str">
            <v>REAR WHEEL SET</v>
          </cell>
          <cell r="F633" t="str">
            <v>consumer</v>
          </cell>
          <cell r="G633">
            <v>4000984148718</v>
          </cell>
        </row>
        <row r="634">
          <cell r="B634">
            <v>2000026292</v>
          </cell>
          <cell r="C634" t="str">
            <v>BRITAX AFFINITY 2</v>
          </cell>
          <cell r="D634" t="str">
            <v>BUMPER BAR (2015)</v>
          </cell>
          <cell r="F634" t="str">
            <v>consumer</v>
          </cell>
          <cell r="G634">
            <v>4000984154726</v>
          </cell>
        </row>
        <row r="635">
          <cell r="B635">
            <v>2000025336</v>
          </cell>
          <cell r="C635" t="str">
            <v>BRITAX AFFINITY 2</v>
          </cell>
          <cell r="D635" t="str">
            <v xml:space="preserve">HANDLE + HANDLE ADJUSTER </v>
          </cell>
          <cell r="E635" t="str">
            <v>Black</v>
          </cell>
          <cell r="F635" t="str">
            <v>retailer only</v>
          </cell>
          <cell r="G635">
            <v>4000984148855</v>
          </cell>
        </row>
        <row r="636">
          <cell r="B636">
            <v>2000025337</v>
          </cell>
          <cell r="C636" t="str">
            <v>BRITAX AFFINITY 2</v>
          </cell>
          <cell r="D636" t="str">
            <v xml:space="preserve">HANDLE + HANDLE ADJUSTER </v>
          </cell>
          <cell r="E636" t="str">
            <v>Chome</v>
          </cell>
          <cell r="F636" t="str">
            <v>retailer only</v>
          </cell>
          <cell r="G636">
            <v>4000984148862</v>
          </cell>
        </row>
        <row r="637">
          <cell r="B637">
            <v>2000025338</v>
          </cell>
          <cell r="C637" t="str">
            <v>BRITAX AFFINITY 2</v>
          </cell>
          <cell r="D637" t="str">
            <v xml:space="preserve">HANDLE + HANDLE ADJUSTER </v>
          </cell>
          <cell r="E637" t="str">
            <v>Silver</v>
          </cell>
          <cell r="F637" t="str">
            <v>retailer only</v>
          </cell>
          <cell r="G637">
            <v>4000984148879</v>
          </cell>
        </row>
        <row r="638">
          <cell r="B638">
            <v>2000025339</v>
          </cell>
          <cell r="C638" t="str">
            <v>BRITAX AFFINITY 2</v>
          </cell>
          <cell r="D638" t="str">
            <v>CHASSIS</v>
          </cell>
          <cell r="E638" t="str">
            <v>Black</v>
          </cell>
          <cell r="F638" t="str">
            <v>consumer</v>
          </cell>
          <cell r="G638">
            <v>4000984148886</v>
          </cell>
        </row>
        <row r="639">
          <cell r="B639">
            <v>2000025340</v>
          </cell>
          <cell r="C639" t="str">
            <v>BRITAX AFFINITY 2</v>
          </cell>
          <cell r="D639" t="str">
            <v>CHASSIS</v>
          </cell>
          <cell r="E639" t="str">
            <v>Chrome</v>
          </cell>
          <cell r="F639" t="str">
            <v>consumer</v>
          </cell>
          <cell r="G639">
            <v>4000984148893</v>
          </cell>
        </row>
        <row r="640">
          <cell r="B640">
            <v>2000025342</v>
          </cell>
          <cell r="C640" t="str">
            <v>BRITAX AFFINITY 2</v>
          </cell>
          <cell r="D640" t="str">
            <v>CHASSIS</v>
          </cell>
          <cell r="E640" t="str">
            <v>White</v>
          </cell>
          <cell r="F640" t="str">
            <v>consumer</v>
          </cell>
          <cell r="G640">
            <v>4000984148916</v>
          </cell>
        </row>
        <row r="641">
          <cell r="B641">
            <v>2000025341</v>
          </cell>
          <cell r="C641" t="str">
            <v>BRITAX AFFINITY 2</v>
          </cell>
          <cell r="D641" t="str">
            <v>CHASSIS</v>
          </cell>
          <cell r="E641" t="str">
            <v>Silver</v>
          </cell>
          <cell r="F641" t="str">
            <v>consumer</v>
          </cell>
          <cell r="G641">
            <v>4000984148909</v>
          </cell>
        </row>
        <row r="642">
          <cell r="B642">
            <v>2000025435</v>
          </cell>
          <cell r="C642" t="str">
            <v>BRITAX AFFINITY 2</v>
          </cell>
          <cell r="D642" t="str">
            <v xml:space="preserve">BRAKE REPAIR KIT </v>
          </cell>
          <cell r="E642" t="str">
            <v>Black</v>
          </cell>
          <cell r="F642" t="str">
            <v>retailer only</v>
          </cell>
          <cell r="G642">
            <v>4000984149289</v>
          </cell>
        </row>
        <row r="643">
          <cell r="B643">
            <v>2000025447</v>
          </cell>
          <cell r="C643" t="str">
            <v>BRITAX AFFINITY 2</v>
          </cell>
          <cell r="D643" t="str">
            <v xml:space="preserve">BRAKE REPAIR KIT </v>
          </cell>
          <cell r="E643" t="str">
            <v>Silver</v>
          </cell>
          <cell r="F643" t="str">
            <v>retailer only</v>
          </cell>
          <cell r="G643">
            <v>4000984149418</v>
          </cell>
        </row>
        <row r="644">
          <cell r="B644">
            <v>2000025448</v>
          </cell>
          <cell r="C644" t="str">
            <v>BRITAX AFFINITY 2</v>
          </cell>
          <cell r="D644" t="str">
            <v xml:space="preserve">BRAKE REPAIR KIT </v>
          </cell>
          <cell r="E644" t="str">
            <v>Chrome</v>
          </cell>
          <cell r="F644" t="str">
            <v>retailer only</v>
          </cell>
          <cell r="G644">
            <v>4000984149425</v>
          </cell>
        </row>
        <row r="645">
          <cell r="B645">
            <v>2000025330</v>
          </cell>
          <cell r="C645" t="str">
            <v>BRITAX AFFINITY 2</v>
          </cell>
          <cell r="D645" t="str">
            <v>HOOD</v>
          </cell>
          <cell r="E645" t="str">
            <v>Cosmos Black</v>
          </cell>
          <cell r="F645" t="str">
            <v>consumer</v>
          </cell>
          <cell r="G645">
            <v>4000984148794</v>
          </cell>
        </row>
        <row r="646">
          <cell r="B646">
            <v>2000025331</v>
          </cell>
          <cell r="C646" t="str">
            <v>BRITAX AFFINITY 2</v>
          </cell>
          <cell r="D646" t="str">
            <v>HOOD</v>
          </cell>
          <cell r="E646" t="str">
            <v>Flame Red</v>
          </cell>
          <cell r="F646" t="str">
            <v>consumer</v>
          </cell>
          <cell r="G646">
            <v>4000984148800</v>
          </cell>
        </row>
        <row r="647">
          <cell r="B647">
            <v>2000025332</v>
          </cell>
          <cell r="C647" t="str">
            <v>BRITAX AFFINITY 2</v>
          </cell>
          <cell r="D647" t="str">
            <v>HOOD</v>
          </cell>
          <cell r="E647" t="str">
            <v>Lagoon Green</v>
          </cell>
          <cell r="F647" t="str">
            <v>consumer</v>
          </cell>
          <cell r="G647">
            <v>4000984148817</v>
          </cell>
        </row>
        <row r="648">
          <cell r="B648">
            <v>2000025333</v>
          </cell>
          <cell r="C648" t="str">
            <v>BRITAX AFFINITY 2</v>
          </cell>
          <cell r="D648" t="str">
            <v>HOOD</v>
          </cell>
          <cell r="E648" t="str">
            <v>Ocean Blue</v>
          </cell>
          <cell r="F648" t="str">
            <v>consumer</v>
          </cell>
          <cell r="G648">
            <v>4000984148824</v>
          </cell>
        </row>
        <row r="649">
          <cell r="B649">
            <v>2000025334</v>
          </cell>
          <cell r="C649" t="str">
            <v>BRITAX AFFINITY 2</v>
          </cell>
          <cell r="D649" t="str">
            <v>HOOD</v>
          </cell>
          <cell r="E649" t="str">
            <v>Wood Brown</v>
          </cell>
          <cell r="F649" t="str">
            <v>consumer</v>
          </cell>
          <cell r="G649">
            <v>4000984148831</v>
          </cell>
        </row>
        <row r="650">
          <cell r="B650">
            <v>2000025335</v>
          </cell>
          <cell r="C650" t="str">
            <v>BRITAX AFFINITY 2</v>
          </cell>
          <cell r="D650" t="str">
            <v>HOOD</v>
          </cell>
          <cell r="E650" t="str">
            <v>Mineral Lilac</v>
          </cell>
          <cell r="F650" t="str">
            <v>consumer</v>
          </cell>
          <cell r="G650">
            <v>4000984148848</v>
          </cell>
        </row>
        <row r="651">
          <cell r="B651">
            <v>2000025324</v>
          </cell>
          <cell r="C651" t="str">
            <v>BRITAX AFFINITY 2</v>
          </cell>
          <cell r="D651" t="str">
            <v>SEAT UNIT COMPLETE WITH FABRICS</v>
          </cell>
          <cell r="E651" t="str">
            <v>Black</v>
          </cell>
          <cell r="F651" t="str">
            <v>consumer</v>
          </cell>
          <cell r="G651">
            <v>4000984148732</v>
          </cell>
        </row>
        <row r="652">
          <cell r="B652">
            <v>2000025325</v>
          </cell>
          <cell r="C652" t="str">
            <v>BRITAX AFFINITY 2</v>
          </cell>
          <cell r="D652" t="str">
            <v>SEAT UNIT COMPLETE WITH FABRICS</v>
          </cell>
          <cell r="E652" t="str">
            <v>Chrome</v>
          </cell>
          <cell r="F652" t="str">
            <v>consumer</v>
          </cell>
          <cell r="G652">
            <v>4000984148749</v>
          </cell>
        </row>
        <row r="653">
          <cell r="B653">
            <v>2000025326</v>
          </cell>
          <cell r="C653" t="str">
            <v>BRITAX AFFINITY 2</v>
          </cell>
          <cell r="D653" t="str">
            <v>SEAT UNIT COMPLETE WITH FABRICS</v>
          </cell>
          <cell r="E653" t="str">
            <v>Silver</v>
          </cell>
          <cell r="F653" t="str">
            <v>consumer</v>
          </cell>
          <cell r="G653">
            <v>4000984148756</v>
          </cell>
        </row>
        <row r="654">
          <cell r="B654">
            <v>2000025327</v>
          </cell>
          <cell r="C654" t="str">
            <v>BRITAX AFFINITY 2</v>
          </cell>
          <cell r="D654" t="str">
            <v>SEAT UNIT COMPLETE WITH FABRICS FR</v>
          </cell>
          <cell r="E654" t="str">
            <v>Black</v>
          </cell>
          <cell r="F654" t="str">
            <v>consumer</v>
          </cell>
          <cell r="G654" t="str">
            <v>4000984148763</v>
          </cell>
        </row>
        <row r="655">
          <cell r="B655">
            <v>2000025329</v>
          </cell>
          <cell r="C655" t="str">
            <v>BRITAX AFFINITY 2</v>
          </cell>
          <cell r="D655" t="str">
            <v>SEAT UNIT COMPLETE WITH FABRICS FR</v>
          </cell>
          <cell r="E655" t="str">
            <v>Silver</v>
          </cell>
          <cell r="F655" t="str">
            <v>consumer</v>
          </cell>
          <cell r="G655" t="str">
            <v>4000984148787</v>
          </cell>
        </row>
        <row r="656">
          <cell r="B656">
            <v>2000009554</v>
          </cell>
          <cell r="C656" t="str">
            <v>BRITAX AFFINITY 2</v>
          </cell>
          <cell r="D656" t="str">
            <v>BASKET</v>
          </cell>
          <cell r="E656" t="str">
            <v>Grey</v>
          </cell>
          <cell r="F656" t="str">
            <v>consumer</v>
          </cell>
          <cell r="G656">
            <v>4000984107548</v>
          </cell>
        </row>
        <row r="657">
          <cell r="B657">
            <v>2000025323</v>
          </cell>
          <cell r="C657" t="str">
            <v>BRITAX AFFINITY 2</v>
          </cell>
          <cell r="D657" t="str">
            <v>BASKET</v>
          </cell>
          <cell r="E657" t="str">
            <v>Black</v>
          </cell>
          <cell r="F657" t="str">
            <v>consumer</v>
          </cell>
          <cell r="G657">
            <v>4000984148725</v>
          </cell>
        </row>
        <row r="658">
          <cell r="B658">
            <v>2000012156</v>
          </cell>
          <cell r="C658" t="str">
            <v>BRITAX GO</v>
          </cell>
          <cell r="D658" t="str">
            <v xml:space="preserve">CHASSIS </v>
          </cell>
          <cell r="E658" t="str">
            <v xml:space="preserve">White </v>
          </cell>
          <cell r="F658" t="str">
            <v>consumer</v>
          </cell>
          <cell r="G658">
            <v>4000984114454</v>
          </cell>
        </row>
        <row r="659">
          <cell r="B659">
            <v>2000012157</v>
          </cell>
          <cell r="C659" t="str">
            <v>BRITAX GO</v>
          </cell>
          <cell r="D659" t="str">
            <v xml:space="preserve">CHASSIS </v>
          </cell>
          <cell r="E659" t="str">
            <v>Black</v>
          </cell>
          <cell r="F659" t="str">
            <v>consumer</v>
          </cell>
          <cell r="G659">
            <v>4000984114461</v>
          </cell>
        </row>
        <row r="660">
          <cell r="B660">
            <v>2000012160</v>
          </cell>
          <cell r="C660" t="str">
            <v>BRITAX GO</v>
          </cell>
          <cell r="D660" t="str">
            <v xml:space="preserve">REAR WHEEL SET </v>
          </cell>
          <cell r="F660" t="str">
            <v>consumer</v>
          </cell>
          <cell r="G660">
            <v>4000984114492</v>
          </cell>
        </row>
        <row r="661">
          <cell r="B661">
            <v>2000012162</v>
          </cell>
          <cell r="C661" t="str">
            <v>BRITAX GO</v>
          </cell>
          <cell r="D661" t="str">
            <v xml:space="preserve">FRONT WHEEL SET </v>
          </cell>
          <cell r="F661" t="str">
            <v>consumer</v>
          </cell>
          <cell r="G661">
            <v>4000984114515</v>
          </cell>
        </row>
        <row r="662">
          <cell r="B662">
            <v>2000026629</v>
          </cell>
          <cell r="C662" t="str">
            <v>BRITAX GO</v>
          </cell>
          <cell r="D662" t="str">
            <v>COUNTRY WHEEL SPARE AXLE AND JOINT</v>
          </cell>
          <cell r="F662" t="str">
            <v>consumer</v>
          </cell>
          <cell r="G662">
            <v>4000984155914</v>
          </cell>
        </row>
        <row r="663">
          <cell r="B663">
            <v>2000012167</v>
          </cell>
          <cell r="C663" t="str">
            <v>BRITAX GO</v>
          </cell>
          <cell r="D663" t="str">
            <v xml:space="preserve">TEXTIL BASKET </v>
          </cell>
          <cell r="F663" t="str">
            <v>consumer</v>
          </cell>
          <cell r="G663">
            <v>4000984114560</v>
          </cell>
        </row>
        <row r="664">
          <cell r="B664">
            <v>2000023199</v>
          </cell>
          <cell r="C664" t="str">
            <v>BRITAX GO</v>
          </cell>
          <cell r="D664" t="str">
            <v>SEAT UNIT</v>
          </cell>
          <cell r="E664" t="str">
            <v>Cosmos Black/
Black Frame</v>
          </cell>
          <cell r="F664" t="str">
            <v>consumer</v>
          </cell>
          <cell r="G664">
            <v>4000984141689</v>
          </cell>
        </row>
        <row r="665">
          <cell r="B665">
            <v>2000023200</v>
          </cell>
          <cell r="C665" t="str">
            <v>BRITAX GO</v>
          </cell>
          <cell r="D665" t="str">
            <v>SEAT UNIT</v>
          </cell>
          <cell r="E665" t="str">
            <v>Ocean Navy/
Black Frame</v>
          </cell>
          <cell r="F665" t="str">
            <v>consumer</v>
          </cell>
          <cell r="G665">
            <v>4000984141696</v>
          </cell>
        </row>
        <row r="666">
          <cell r="B666">
            <v>2000023201</v>
          </cell>
          <cell r="C666" t="str">
            <v>BRITAX GO</v>
          </cell>
          <cell r="D666" t="str">
            <v>SEAT UNIT</v>
          </cell>
          <cell r="E666" t="str">
            <v>Wood Brown/
Black Frame</v>
          </cell>
          <cell r="F666" t="str">
            <v>consumer</v>
          </cell>
          <cell r="G666">
            <v>4000984141702</v>
          </cell>
        </row>
        <row r="667">
          <cell r="B667">
            <v>2000023202</v>
          </cell>
          <cell r="C667" t="str">
            <v>BRITAX GO</v>
          </cell>
          <cell r="D667" t="str">
            <v>SEAT UNIT</v>
          </cell>
          <cell r="E667" t="str">
            <v>Flame Red/
Black Frame</v>
          </cell>
          <cell r="F667" t="str">
            <v>consumer</v>
          </cell>
          <cell r="G667">
            <v>4000984141719</v>
          </cell>
        </row>
        <row r="668">
          <cell r="B668">
            <v>2000023203</v>
          </cell>
          <cell r="C668" t="str">
            <v>BRITAX GO</v>
          </cell>
          <cell r="D668" t="str">
            <v>SEAT UNIT</v>
          </cell>
          <cell r="E668" t="str">
            <v>Steel Grey/
White Frame</v>
          </cell>
          <cell r="F668" t="str">
            <v>consumer</v>
          </cell>
          <cell r="G668">
            <v>4000984141726</v>
          </cell>
        </row>
        <row r="669">
          <cell r="B669">
            <v>2000023204</v>
          </cell>
          <cell r="C669" t="str">
            <v>BRITAX GO</v>
          </cell>
          <cell r="D669" t="str">
            <v>SEAT UNIT</v>
          </cell>
          <cell r="E669" t="str">
            <v>Mineral Purple/
White Frame</v>
          </cell>
          <cell r="F669" t="str">
            <v>consumer</v>
          </cell>
          <cell r="G669">
            <v>4000984141733</v>
          </cell>
        </row>
        <row r="670">
          <cell r="B670">
            <v>2000012140</v>
          </cell>
          <cell r="C670" t="str">
            <v>BRITAX GO</v>
          </cell>
          <cell r="D670" t="str">
            <v>SEAT UNIT</v>
          </cell>
          <cell r="E670" t="str">
            <v>Black Thunder/
Black Frame</v>
          </cell>
          <cell r="F670" t="str">
            <v>consumer</v>
          </cell>
          <cell r="G670">
            <v>4000984114294</v>
          </cell>
        </row>
        <row r="671">
          <cell r="B671">
            <v>2000012141</v>
          </cell>
          <cell r="C671" t="str">
            <v>BRITAX GO</v>
          </cell>
          <cell r="D671" t="str">
            <v>SEAT UNIT</v>
          </cell>
          <cell r="E671" t="str">
            <v>Chili Pepper/
Black Frame</v>
          </cell>
          <cell r="F671" t="str">
            <v>consumer</v>
          </cell>
          <cell r="G671">
            <v>4000984114300</v>
          </cell>
        </row>
        <row r="672">
          <cell r="B672">
            <v>2000012142</v>
          </cell>
          <cell r="C672" t="str">
            <v>BRITAX GO</v>
          </cell>
          <cell r="D672" t="str">
            <v>SEAT UNIT</v>
          </cell>
          <cell r="E672" t="str">
            <v>Cool Berry/
White Frame</v>
          </cell>
          <cell r="F672" t="str">
            <v>consumer</v>
          </cell>
          <cell r="G672">
            <v>4000984114317</v>
          </cell>
        </row>
        <row r="673">
          <cell r="B673">
            <v>2000012143</v>
          </cell>
          <cell r="C673" t="str">
            <v>BRITAX GO</v>
          </cell>
          <cell r="D673" t="str">
            <v>SEAT UNIT</v>
          </cell>
          <cell r="E673" t="str">
            <v>Blue Sky/
White Frame</v>
          </cell>
          <cell r="F673" t="str">
            <v>consumer</v>
          </cell>
          <cell r="G673">
            <v>4000984114324</v>
          </cell>
        </row>
        <row r="674">
          <cell r="B674">
            <v>2000012144</v>
          </cell>
          <cell r="C674" t="str">
            <v>BRITAX GO</v>
          </cell>
          <cell r="D674" t="str">
            <v>SEAT UNIT</v>
          </cell>
          <cell r="E674" t="str">
            <v>Charcoal Grey/
Black Frame</v>
          </cell>
          <cell r="F674" t="str">
            <v>consumer</v>
          </cell>
          <cell r="G674">
            <v>4000984114331</v>
          </cell>
        </row>
        <row r="675">
          <cell r="B675">
            <v>2000026690</v>
          </cell>
          <cell r="C675" t="str">
            <v>BRITAX GO</v>
          </cell>
          <cell r="D675" t="str">
            <v>SEAT UNIT</v>
          </cell>
          <cell r="E675" t="str">
            <v>Olive Green/ Black Frame</v>
          </cell>
          <cell r="F675" t="str">
            <v>consumer</v>
          </cell>
          <cell r="G675">
            <v>4000984155860</v>
          </cell>
        </row>
        <row r="676">
          <cell r="B676">
            <v>2000012145</v>
          </cell>
          <cell r="C676" t="str">
            <v>BRITAX GO</v>
          </cell>
          <cell r="D676" t="str">
            <v>SEAT UNIT</v>
          </cell>
          <cell r="E676" t="str">
            <v>Navy/White Frame</v>
          </cell>
          <cell r="F676" t="str">
            <v>consumer</v>
          </cell>
          <cell r="G676">
            <v>4000984114348</v>
          </cell>
        </row>
        <row r="677">
          <cell r="B677">
            <v>2000021622</v>
          </cell>
          <cell r="C677" t="str">
            <v>BRITAX GO</v>
          </cell>
          <cell r="D677" t="str">
            <v>APRON SEAT UNIT</v>
          </cell>
          <cell r="E677" t="str">
            <v>Black Thunder</v>
          </cell>
          <cell r="F677" t="str">
            <v>consumer</v>
          </cell>
          <cell r="G677">
            <v>4000984116663</v>
          </cell>
        </row>
        <row r="678">
          <cell r="B678">
            <v>2000021623</v>
          </cell>
          <cell r="C678" t="str">
            <v>BRITAX GO</v>
          </cell>
          <cell r="D678" t="str">
            <v>APRON SEAT UNIT</v>
          </cell>
          <cell r="E678" t="str">
            <v>Chili Pepper</v>
          </cell>
          <cell r="F678" t="str">
            <v>consumer</v>
          </cell>
          <cell r="G678">
            <v>4000984116670</v>
          </cell>
        </row>
        <row r="679">
          <cell r="B679">
            <v>2000021624</v>
          </cell>
          <cell r="C679" t="str">
            <v>BRITAX GO</v>
          </cell>
          <cell r="D679" t="str">
            <v>APRON SEAT UNIT</v>
          </cell>
          <cell r="E679" t="str">
            <v>Cool Berry</v>
          </cell>
          <cell r="F679" t="str">
            <v>consumer</v>
          </cell>
          <cell r="G679">
            <v>4000984116687</v>
          </cell>
        </row>
        <row r="680">
          <cell r="B680">
            <v>2000021625</v>
          </cell>
          <cell r="C680" t="str">
            <v>BRITAX GO</v>
          </cell>
          <cell r="D680" t="str">
            <v>APRON SEAT UNIT</v>
          </cell>
          <cell r="E680" t="str">
            <v>Blue Sky</v>
          </cell>
          <cell r="F680" t="str">
            <v>consumer</v>
          </cell>
          <cell r="G680">
            <v>4000984116694</v>
          </cell>
        </row>
        <row r="681">
          <cell r="B681">
            <v>2000021626</v>
          </cell>
          <cell r="C681" t="str">
            <v>BRITAX GO</v>
          </cell>
          <cell r="D681" t="str">
            <v>APRON SEAT UNIT</v>
          </cell>
          <cell r="E681" t="str">
            <v>Charcoal Grey</v>
          </cell>
          <cell r="F681" t="str">
            <v>consumer</v>
          </cell>
          <cell r="G681">
            <v>4000984116700</v>
          </cell>
        </row>
        <row r="682">
          <cell r="B682">
            <v>2000021627</v>
          </cell>
          <cell r="C682" t="str">
            <v>BRITAX GO</v>
          </cell>
          <cell r="D682" t="str">
            <v>APRON SEAT UNIT</v>
          </cell>
          <cell r="E682" t="str">
            <v>Navy</v>
          </cell>
          <cell r="F682" t="str">
            <v>consumer</v>
          </cell>
          <cell r="G682">
            <v>4000984116717</v>
          </cell>
        </row>
        <row r="683">
          <cell r="B683">
            <v>2000023209</v>
          </cell>
          <cell r="C683" t="str">
            <v>BRITAX GO</v>
          </cell>
          <cell r="D683" t="str">
            <v xml:space="preserve">APRON SEAT UNIT  </v>
          </cell>
          <cell r="E683" t="str">
            <v>Cosmos Black</v>
          </cell>
          <cell r="F683" t="str">
            <v>consumer</v>
          </cell>
          <cell r="G683">
            <v>4000984141788</v>
          </cell>
        </row>
        <row r="684">
          <cell r="B684">
            <v>2000023210</v>
          </cell>
          <cell r="C684" t="str">
            <v>BRITAX GO</v>
          </cell>
          <cell r="D684" t="str">
            <v xml:space="preserve">APRON SEAT UNIT  </v>
          </cell>
          <cell r="E684" t="str">
            <v>Ocean Navy</v>
          </cell>
          <cell r="F684" t="str">
            <v>consumer</v>
          </cell>
          <cell r="G684">
            <v>4000984141795</v>
          </cell>
        </row>
        <row r="685">
          <cell r="B685">
            <v>2000023211</v>
          </cell>
          <cell r="C685" t="str">
            <v>BRITAX GO</v>
          </cell>
          <cell r="D685" t="str">
            <v>APRON SEAT UNIT</v>
          </cell>
          <cell r="E685" t="str">
            <v>Wood Brown</v>
          </cell>
          <cell r="F685" t="str">
            <v>consumer</v>
          </cell>
          <cell r="G685">
            <v>4000984141801</v>
          </cell>
        </row>
        <row r="686">
          <cell r="B686">
            <v>2000023212</v>
          </cell>
          <cell r="C686" t="str">
            <v>BRITAX GO</v>
          </cell>
          <cell r="D686" t="str">
            <v xml:space="preserve">APRON SEAT UNIT  </v>
          </cell>
          <cell r="E686" t="str">
            <v>Flame Red</v>
          </cell>
          <cell r="F686" t="str">
            <v>consumer</v>
          </cell>
          <cell r="G686">
            <v>4000984141818</v>
          </cell>
        </row>
        <row r="687">
          <cell r="B687">
            <v>2000023213</v>
          </cell>
          <cell r="C687" t="str">
            <v>BRITAX GO</v>
          </cell>
          <cell r="D687" t="str">
            <v xml:space="preserve">APRON SEAT UNIT  </v>
          </cell>
          <cell r="E687" t="str">
            <v>Steel Grey</v>
          </cell>
          <cell r="F687" t="str">
            <v>consumer</v>
          </cell>
          <cell r="G687">
            <v>4000984141825</v>
          </cell>
        </row>
        <row r="688">
          <cell r="B688">
            <v>2000023214</v>
          </cell>
          <cell r="C688" t="str">
            <v>BRITAX GO</v>
          </cell>
          <cell r="D688" t="str">
            <v xml:space="preserve">APRON SEAT UNIT  </v>
          </cell>
          <cell r="E688" t="str">
            <v>Mineral Purple</v>
          </cell>
          <cell r="F688" t="str">
            <v>consumer</v>
          </cell>
          <cell r="G688">
            <v>4000984141832</v>
          </cell>
        </row>
        <row r="689">
          <cell r="B689">
            <v>2000026721</v>
          </cell>
          <cell r="C689" t="str">
            <v>BRITAX GO</v>
          </cell>
          <cell r="D689" t="str">
            <v xml:space="preserve">APRON SEAT UNIT  </v>
          </cell>
          <cell r="E689" t="str">
            <v>Olive Green</v>
          </cell>
          <cell r="F689" t="str">
            <v>consumer</v>
          </cell>
          <cell r="G689">
            <v>4000984156270</v>
          </cell>
        </row>
        <row r="690">
          <cell r="B690">
            <v>2000012129</v>
          </cell>
          <cell r="C690" t="str">
            <v>BRITAX GO</v>
          </cell>
          <cell r="D690" t="str">
            <v xml:space="preserve">HANDLE REPAIR KIT </v>
          </cell>
          <cell r="E690" t="str">
            <v>Black</v>
          </cell>
          <cell r="F690" t="str">
            <v>retailer only</v>
          </cell>
          <cell r="G690">
            <v>4000984114201</v>
          </cell>
        </row>
        <row r="691">
          <cell r="B691">
            <v>2000012130</v>
          </cell>
          <cell r="C691" t="str">
            <v>BRITAX GO</v>
          </cell>
          <cell r="D691" t="str">
            <v xml:space="preserve">HANDLE REPAIR KIT </v>
          </cell>
          <cell r="E691" t="str">
            <v>White</v>
          </cell>
          <cell r="F691" t="str">
            <v>retailer only</v>
          </cell>
          <cell r="G691">
            <v>4000984114218</v>
          </cell>
        </row>
        <row r="692">
          <cell r="B692">
            <v>2000012210</v>
          </cell>
          <cell r="C692" t="str">
            <v>BRITAX GO</v>
          </cell>
          <cell r="D692" t="str">
            <v xml:space="preserve">HANDLE ADJUSTER REPAIR KIT </v>
          </cell>
          <cell r="F692" t="str">
            <v>retailer only</v>
          </cell>
          <cell r="G692">
            <v>4000984114744</v>
          </cell>
        </row>
        <row r="693">
          <cell r="B693">
            <v>2000012208</v>
          </cell>
          <cell r="C693" t="str">
            <v>BRITAX GO</v>
          </cell>
          <cell r="D693" t="str">
            <v xml:space="preserve">REAR WHEEL HUB REPAIR KIT </v>
          </cell>
          <cell r="F693" t="str">
            <v>retailer only</v>
          </cell>
          <cell r="G693">
            <v>4000984114720</v>
          </cell>
        </row>
        <row r="694">
          <cell r="B694">
            <v>2000012169</v>
          </cell>
          <cell r="C694" t="str">
            <v>BRITAX GO</v>
          </cell>
          <cell r="D694" t="str">
            <v xml:space="preserve">BRAKE REPAIR KIT </v>
          </cell>
          <cell r="F694" t="str">
            <v>retailer only</v>
          </cell>
          <cell r="G694">
            <v>4000984114584</v>
          </cell>
        </row>
        <row r="695">
          <cell r="B695">
            <v>2000012171</v>
          </cell>
          <cell r="C695" t="str">
            <v>BRITAX GO</v>
          </cell>
          <cell r="D695" t="str">
            <v xml:space="preserve">SUSPENSION REPAIR KIT </v>
          </cell>
          <cell r="F695" t="str">
            <v>retailer only</v>
          </cell>
          <cell r="G695">
            <v>4000984114607</v>
          </cell>
        </row>
        <row r="696">
          <cell r="B696">
            <v>2000012173</v>
          </cell>
          <cell r="C696" t="str">
            <v>BRITAX GO</v>
          </cell>
          <cell r="D696" t="str">
            <v xml:space="preserve">SWIVEL ATTACHMENT REPAIR KIT </v>
          </cell>
          <cell r="F696" t="str">
            <v>retailer only</v>
          </cell>
          <cell r="G696">
            <v>4000984114621</v>
          </cell>
        </row>
        <row r="697">
          <cell r="B697">
            <v>2000025126</v>
          </cell>
          <cell r="C697" t="str">
            <v>BRITAX GO</v>
          </cell>
          <cell r="D697" t="str">
            <v xml:space="preserve">SEAT UNIT FOOTREST ADJUSTER SET </v>
          </cell>
          <cell r="F697" t="str">
            <v>retailer only</v>
          </cell>
          <cell r="G697">
            <v>4000984145090</v>
          </cell>
        </row>
        <row r="698">
          <cell r="B698">
            <v>2000012164</v>
          </cell>
          <cell r="C698" t="str">
            <v>BRITAX GO</v>
          </cell>
          <cell r="D698" t="str">
            <v>BUMPER BAR INCL. TEXTILE</v>
          </cell>
          <cell r="E698" t="str">
            <v>Black</v>
          </cell>
          <cell r="F698" t="str">
            <v>consumer</v>
          </cell>
          <cell r="G698">
            <v>4000984114539</v>
          </cell>
        </row>
        <row r="699">
          <cell r="B699">
            <v>2000023226</v>
          </cell>
          <cell r="C699" t="str">
            <v>BRITAX GO</v>
          </cell>
          <cell r="D699" t="str">
            <v xml:space="preserve">BACKREST BOARD ASSEMBLED </v>
          </cell>
          <cell r="F699" t="str">
            <v>consumer</v>
          </cell>
          <cell r="G699">
            <v>4000984141955</v>
          </cell>
        </row>
        <row r="700">
          <cell r="B700">
            <v>2000023227</v>
          </cell>
          <cell r="C700" t="str">
            <v>BRITAX GO</v>
          </cell>
          <cell r="D700" t="str">
            <v>SEAT BOARD</v>
          </cell>
          <cell r="F700" t="str">
            <v>consumer</v>
          </cell>
          <cell r="G700">
            <v>4000984141962</v>
          </cell>
        </row>
        <row r="701">
          <cell r="B701">
            <v>2000023228</v>
          </cell>
          <cell r="C701" t="str">
            <v>BRITAX GO</v>
          </cell>
          <cell r="D701" t="str">
            <v>HARNESS INCLUDING BUCKLE AND HARNESS PADS</v>
          </cell>
          <cell r="E701" t="str">
            <v>Black</v>
          </cell>
          <cell r="F701" t="str">
            <v>consumer</v>
          </cell>
          <cell r="G701">
            <v>4000984141979</v>
          </cell>
        </row>
        <row r="702">
          <cell r="B702">
            <v>2000026837</v>
          </cell>
          <cell r="C702" t="str">
            <v>BRITAX GO</v>
          </cell>
          <cell r="D702" t="str">
            <v>BACKREST BUCKLE</v>
          </cell>
          <cell r="F702" t="str">
            <v>consumer</v>
          </cell>
          <cell r="G702">
            <v>4000984158687</v>
          </cell>
        </row>
        <row r="703">
          <cell r="B703">
            <v>2000010707</v>
          </cell>
          <cell r="C703" t="str">
            <v>BRITAX GO</v>
          </cell>
          <cell r="D703" t="str">
            <v>Click&amp;Go Adapter</v>
          </cell>
          <cell r="F703" t="str">
            <v>consumer</v>
          </cell>
          <cell r="G703">
            <v>4000984109672</v>
          </cell>
        </row>
        <row r="704">
          <cell r="B704">
            <v>2000012158</v>
          </cell>
          <cell r="C704" t="str">
            <v>BRITAX GO NEXT</v>
          </cell>
          <cell r="D704" t="str">
            <v xml:space="preserve">CHASSIS </v>
          </cell>
          <cell r="E704" t="str">
            <v>White</v>
          </cell>
          <cell r="F704" t="str">
            <v>consumer</v>
          </cell>
          <cell r="G704">
            <v>4000984114478</v>
          </cell>
        </row>
        <row r="705">
          <cell r="B705">
            <v>2000012159</v>
          </cell>
          <cell r="C705" t="str">
            <v>BRITAX GO NEXT</v>
          </cell>
          <cell r="D705" t="str">
            <v xml:space="preserve">CHASSIS </v>
          </cell>
          <cell r="E705" t="str">
            <v>Black</v>
          </cell>
          <cell r="F705" t="str">
            <v>consumer</v>
          </cell>
          <cell r="G705">
            <v>4000984114485</v>
          </cell>
        </row>
        <row r="706">
          <cell r="B706">
            <v>2000029505</v>
          </cell>
          <cell r="C706" t="str">
            <v>BRITAX GO NEXT</v>
          </cell>
          <cell r="D706" t="str">
            <v>CHASSIS (LEATHERLOOK HANDLE)</v>
          </cell>
          <cell r="E706" t="str">
            <v>White</v>
          </cell>
          <cell r="F706" t="str">
            <v>consumer</v>
          </cell>
          <cell r="G706">
            <v>4000984191738</v>
          </cell>
        </row>
        <row r="707">
          <cell r="B707">
            <v>2000029506</v>
          </cell>
          <cell r="C707" t="str">
            <v>BRITAX GO NEXT</v>
          </cell>
          <cell r="D707" t="str">
            <v>CHASSIS (LETHERLOOK HANDLE)</v>
          </cell>
          <cell r="E707" t="str">
            <v>Black</v>
          </cell>
          <cell r="F707" t="str">
            <v>consumer</v>
          </cell>
          <cell r="G707">
            <v>4000984191745</v>
          </cell>
        </row>
        <row r="708">
          <cell r="B708">
            <v>2000029356</v>
          </cell>
          <cell r="C708" t="str">
            <v>BRITAX GO NEXT</v>
          </cell>
          <cell r="D708" t="str">
            <v>CHASSIS (LEATHERLOOK HANDLE)</v>
          </cell>
          <cell r="E708" t="str">
            <v>MATTE BLACK</v>
          </cell>
          <cell r="F708" t="str">
            <v>consumer</v>
          </cell>
          <cell r="G708">
            <v>4000984191158</v>
          </cell>
        </row>
        <row r="709">
          <cell r="B709">
            <v>2000012161</v>
          </cell>
          <cell r="C709" t="str">
            <v>BRITAX GO NEXT</v>
          </cell>
          <cell r="D709" t="str">
            <v xml:space="preserve">REAR WHEEL SET </v>
          </cell>
          <cell r="F709" t="str">
            <v>consumer</v>
          </cell>
          <cell r="G709">
            <v>4000984114508</v>
          </cell>
        </row>
        <row r="710">
          <cell r="B710">
            <v>2000029362</v>
          </cell>
          <cell r="C710" t="str">
            <v>BRITAX GO NEXT</v>
          </cell>
          <cell r="D710" t="str">
            <v>REAR WHEEL SET WHITE LINE</v>
          </cell>
          <cell r="F710" t="str">
            <v>consumer</v>
          </cell>
          <cell r="G710">
            <v>4000984191219</v>
          </cell>
        </row>
        <row r="711">
          <cell r="B711">
            <v>2000012163</v>
          </cell>
          <cell r="C711" t="str">
            <v>BRITAX GO NEXT</v>
          </cell>
          <cell r="D711" t="str">
            <v xml:space="preserve">FRONT WHEEL SET </v>
          </cell>
          <cell r="F711" t="str">
            <v>consumer</v>
          </cell>
          <cell r="G711">
            <v>4000984114522</v>
          </cell>
        </row>
        <row r="712">
          <cell r="B712">
            <v>2000029363</v>
          </cell>
          <cell r="C712" t="str">
            <v>BRITAX GO NEXT</v>
          </cell>
          <cell r="D712" t="str">
            <v>FRONT WHEEL SET (WHITE LINE)</v>
          </cell>
          <cell r="F712" t="str">
            <v>consumer</v>
          </cell>
          <cell r="G712">
            <v>4000984191226</v>
          </cell>
        </row>
        <row r="713">
          <cell r="B713">
            <v>2000026629</v>
          </cell>
          <cell r="C713" t="str">
            <v>BRITAX GO NEXT</v>
          </cell>
          <cell r="D713" t="str">
            <v>COUNTRY WHEEL SPARE AXLE AND JOINT</v>
          </cell>
          <cell r="F713" t="str">
            <v>consumer</v>
          </cell>
          <cell r="G713">
            <v>4000984155914</v>
          </cell>
        </row>
        <row r="714">
          <cell r="B714">
            <v>2000012168</v>
          </cell>
          <cell r="C714" t="str">
            <v>BRITAX GO NEXT</v>
          </cell>
          <cell r="D714" t="str">
            <v xml:space="preserve">TEXTIL BASKET </v>
          </cell>
          <cell r="E714" t="str">
            <v xml:space="preserve">Black </v>
          </cell>
          <cell r="F714" t="str">
            <v>consumer</v>
          </cell>
          <cell r="G714">
            <v>4000984114577</v>
          </cell>
        </row>
        <row r="715">
          <cell r="B715">
            <v>2000029366</v>
          </cell>
          <cell r="C715" t="str">
            <v>BRITAX GO NEXT</v>
          </cell>
          <cell r="D715" t="str">
            <v xml:space="preserve">TEXTIL BASKET </v>
          </cell>
          <cell r="E715" t="str">
            <v>Grey Melange</v>
          </cell>
          <cell r="F715" t="str">
            <v>consumer</v>
          </cell>
          <cell r="G715">
            <v>4000984191257</v>
          </cell>
        </row>
        <row r="716">
          <cell r="B716">
            <v>2000029367</v>
          </cell>
          <cell r="C716" t="str">
            <v>BRITAX GO NEXT</v>
          </cell>
          <cell r="D716" t="str">
            <v xml:space="preserve">TEXTIL BASKET </v>
          </cell>
          <cell r="E716" t="str">
            <v>Navy Melange</v>
          </cell>
          <cell r="F716" t="str">
            <v>consumer</v>
          </cell>
          <cell r="G716">
            <v>4000984191264</v>
          </cell>
        </row>
        <row r="717">
          <cell r="B717">
            <v>2000012224</v>
          </cell>
          <cell r="C717" t="str">
            <v>BRITAX GO NEXT</v>
          </cell>
          <cell r="D717" t="str">
            <v xml:space="preserve">AIR TYRE </v>
          </cell>
          <cell r="F717" t="str">
            <v>consumer</v>
          </cell>
          <cell r="G717">
            <v>4000984114850</v>
          </cell>
        </row>
        <row r="718">
          <cell r="B718">
            <v>2000012225</v>
          </cell>
          <cell r="C718" t="str">
            <v>BRITAX GO NEXT</v>
          </cell>
          <cell r="D718" t="str">
            <v>INNER TUBE AIR TYRE</v>
          </cell>
          <cell r="F718" t="str">
            <v>consumer</v>
          </cell>
          <cell r="G718">
            <v>4000984114867</v>
          </cell>
        </row>
        <row r="719">
          <cell r="B719">
            <v>2000012150</v>
          </cell>
          <cell r="C719" t="str">
            <v>BRITAX GO NEXT</v>
          </cell>
          <cell r="D719" t="str">
            <v xml:space="preserve">SEAT UNIT </v>
          </cell>
          <cell r="E719" t="str">
            <v>Brown Melange/
Black Frame</v>
          </cell>
          <cell r="F719" t="str">
            <v>consumer</v>
          </cell>
          <cell r="G719">
            <v>4000984114393</v>
          </cell>
        </row>
        <row r="720">
          <cell r="B720">
            <v>2000012152</v>
          </cell>
          <cell r="C720" t="str">
            <v>BRITAX GO NEXT</v>
          </cell>
          <cell r="D720" t="str">
            <v xml:space="preserve">SEAT UNIT </v>
          </cell>
          <cell r="E720" t="str">
            <v>Grey Melange/
White Frame</v>
          </cell>
          <cell r="F720" t="str">
            <v>consumer</v>
          </cell>
          <cell r="G720">
            <v>4000984114416</v>
          </cell>
        </row>
        <row r="721">
          <cell r="B721">
            <v>2000021729</v>
          </cell>
          <cell r="C721" t="str">
            <v>BRITAX GO NEXT</v>
          </cell>
          <cell r="D721" t="str">
            <v xml:space="preserve">SEAT UNIT </v>
          </cell>
          <cell r="E721" t="str">
            <v>Navy Melange/
White Frame</v>
          </cell>
          <cell r="F721" t="str">
            <v>consumer</v>
          </cell>
          <cell r="G721">
            <v>4000984118407</v>
          </cell>
        </row>
        <row r="722">
          <cell r="B722">
            <v>2000021730</v>
          </cell>
          <cell r="C722" t="str">
            <v>BRITAX GO NEXT</v>
          </cell>
          <cell r="D722" t="str">
            <v xml:space="preserve">SEAT UNIT </v>
          </cell>
          <cell r="E722" t="str">
            <v>Black Ink/
Black Frame</v>
          </cell>
          <cell r="F722" t="str">
            <v>consumer</v>
          </cell>
          <cell r="G722">
            <v>4000984118414</v>
          </cell>
        </row>
        <row r="723">
          <cell r="B723">
            <v>2000023205</v>
          </cell>
          <cell r="C723" t="str">
            <v>BRITAX GO NEXT</v>
          </cell>
          <cell r="D723" t="str">
            <v xml:space="preserve">SEAT UNIT </v>
          </cell>
          <cell r="E723" t="str">
            <v>Olive Melange/
Black Frame</v>
          </cell>
          <cell r="F723" t="str">
            <v>consumer</v>
          </cell>
          <cell r="G723">
            <v>4000984141740</v>
          </cell>
        </row>
        <row r="724">
          <cell r="B724">
            <v>2000023206</v>
          </cell>
          <cell r="C724" t="str">
            <v>BRITAX GO NEXT</v>
          </cell>
          <cell r="D724" t="str">
            <v xml:space="preserve">SEAT UNIT </v>
          </cell>
          <cell r="E724" t="str">
            <v>Beige Melange/
Black Frame</v>
          </cell>
          <cell r="F724" t="str">
            <v>consumer</v>
          </cell>
          <cell r="G724">
            <v>4000984141757</v>
          </cell>
        </row>
        <row r="725">
          <cell r="B725">
            <v>2000029521</v>
          </cell>
          <cell r="C725" t="str">
            <v>BRITAX GO NEXT</v>
          </cell>
          <cell r="D725" t="str">
            <v xml:space="preserve">SEAT UNIT </v>
          </cell>
          <cell r="E725" t="str">
            <v>Dynamic Grey/ White Frame</v>
          </cell>
          <cell r="F725" t="str">
            <v>consumer</v>
          </cell>
          <cell r="G725">
            <v>4000984191813</v>
          </cell>
        </row>
        <row r="726">
          <cell r="B726">
            <v>2000026693</v>
          </cell>
          <cell r="C726" t="str">
            <v>BRITAX GO NEXT</v>
          </cell>
          <cell r="D726" t="str">
            <v xml:space="preserve">SEAT UNIT </v>
          </cell>
          <cell r="E726" t="str">
            <v>Grey Melange/
Black Frame</v>
          </cell>
          <cell r="F726" t="str">
            <v>consumer</v>
          </cell>
          <cell r="G726">
            <v>4000984155891</v>
          </cell>
        </row>
        <row r="727">
          <cell r="B727">
            <v>2000029522</v>
          </cell>
          <cell r="C727" t="str">
            <v>BRITAX GO NEXT</v>
          </cell>
          <cell r="D727" t="str">
            <v xml:space="preserve">SEAT UNIT </v>
          </cell>
          <cell r="E727" t="str">
            <v>Oxford Navy/ White Frame</v>
          </cell>
          <cell r="F727" t="str">
            <v>consumer</v>
          </cell>
          <cell r="G727">
            <v>4000984191837</v>
          </cell>
        </row>
        <row r="728">
          <cell r="B728">
            <v>2000026694</v>
          </cell>
          <cell r="C728" t="str">
            <v>BRITAX GO NEXT</v>
          </cell>
          <cell r="D728" t="str">
            <v xml:space="preserve">SEAT UNIT </v>
          </cell>
          <cell r="E728" t="str">
            <v>Wine Red Melange/Black Frame</v>
          </cell>
          <cell r="F728" t="str">
            <v>consumer</v>
          </cell>
          <cell r="G728">
            <v>4000984155822</v>
          </cell>
        </row>
        <row r="729">
          <cell r="B729">
            <v>2000029358</v>
          </cell>
          <cell r="C729" t="str">
            <v>BRITAX GO NEXT</v>
          </cell>
          <cell r="D729" t="str">
            <v xml:space="preserve">SEAT UNIT </v>
          </cell>
          <cell r="E729" t="str">
            <v xml:space="preserve">Graphite Melange/ Matte Black </v>
          </cell>
          <cell r="F729" t="str">
            <v>consumer</v>
          </cell>
          <cell r="G729">
            <v>4000984191172</v>
          </cell>
        </row>
        <row r="730">
          <cell r="B730">
            <v>2000021628</v>
          </cell>
          <cell r="C730" t="str">
            <v>BRITAX GO NEXT</v>
          </cell>
          <cell r="D730" t="str">
            <v xml:space="preserve">APRON SEAT UNIT </v>
          </cell>
          <cell r="E730" t="str">
            <v>Brown Melange</v>
          </cell>
          <cell r="F730" t="str">
            <v>consumer</v>
          </cell>
          <cell r="G730">
            <v>4000984116724</v>
          </cell>
        </row>
        <row r="731">
          <cell r="B731">
            <v>2000021629</v>
          </cell>
          <cell r="C731" t="str">
            <v>BRITAX GO NEXT</v>
          </cell>
          <cell r="D731" t="str">
            <v xml:space="preserve">APRON SEAT UNIT </v>
          </cell>
          <cell r="E731" t="str">
            <v>Black Melange</v>
          </cell>
          <cell r="F731" t="str">
            <v>consumer</v>
          </cell>
          <cell r="G731">
            <v>4000984116731</v>
          </cell>
        </row>
        <row r="732">
          <cell r="B732">
            <v>2000021630</v>
          </cell>
          <cell r="C732" t="str">
            <v>BRITAX GO NEXT</v>
          </cell>
          <cell r="D732" t="str">
            <v xml:space="preserve">APRON SEAT UNIT  </v>
          </cell>
          <cell r="E732" t="str">
            <v>Grey Melange</v>
          </cell>
          <cell r="F732" t="str">
            <v>consumer</v>
          </cell>
          <cell r="G732">
            <v>4000984116748</v>
          </cell>
        </row>
        <row r="733">
          <cell r="B733">
            <v>2000021733</v>
          </cell>
          <cell r="C733" t="str">
            <v>BRITAX GO NEXT</v>
          </cell>
          <cell r="D733" t="str">
            <v xml:space="preserve">APRON SEAT UNIT </v>
          </cell>
          <cell r="E733" t="str">
            <v>Navy Melange</v>
          </cell>
          <cell r="F733" t="str">
            <v>consumer</v>
          </cell>
          <cell r="G733">
            <v>4000984118445</v>
          </cell>
        </row>
        <row r="734">
          <cell r="B734">
            <v>2000021734</v>
          </cell>
          <cell r="C734" t="str">
            <v>BRITAX GO NEXT</v>
          </cell>
          <cell r="D734" t="str">
            <v xml:space="preserve">APRON SEAT UNIT </v>
          </cell>
          <cell r="E734" t="str">
            <v>Black Ink</v>
          </cell>
          <cell r="F734" t="str">
            <v>consumer</v>
          </cell>
          <cell r="G734">
            <v>4000984118452</v>
          </cell>
        </row>
        <row r="735">
          <cell r="B735">
            <v>2000023215</v>
          </cell>
          <cell r="C735" t="str">
            <v>BRITAX GO NEXT</v>
          </cell>
          <cell r="D735" t="str">
            <v xml:space="preserve">APRON SEAT UNIT </v>
          </cell>
          <cell r="E735" t="str">
            <v>Olive Melange</v>
          </cell>
          <cell r="F735" t="str">
            <v>consumer</v>
          </cell>
          <cell r="G735">
            <v>4000984141849</v>
          </cell>
        </row>
        <row r="736">
          <cell r="B736">
            <v>2000023216</v>
          </cell>
          <cell r="C736" t="str">
            <v>BRITAX GO NEXT</v>
          </cell>
          <cell r="D736" t="str">
            <v xml:space="preserve">APRON SEAT UNIT </v>
          </cell>
          <cell r="E736" t="str">
            <v>Beige Melange</v>
          </cell>
          <cell r="F736" t="str">
            <v>consumer</v>
          </cell>
          <cell r="G736">
            <v>4000984141856</v>
          </cell>
        </row>
        <row r="737">
          <cell r="B737">
            <v>2000026720</v>
          </cell>
          <cell r="C737" t="str">
            <v>BRITAX GO NEXT</v>
          </cell>
          <cell r="D737" t="str">
            <v xml:space="preserve">APRON SEAT UNIT </v>
          </cell>
          <cell r="E737" t="str">
            <v xml:space="preserve">Wine Red Melange </v>
          </cell>
          <cell r="F737" t="str">
            <v>consumer</v>
          </cell>
          <cell r="G737">
            <v>4000984156263</v>
          </cell>
        </row>
        <row r="738">
          <cell r="B738">
            <v>2000029519</v>
          </cell>
          <cell r="C738" t="str">
            <v>BRITAX GO NEXT</v>
          </cell>
          <cell r="D738" t="str">
            <v xml:space="preserve">APRON SEAT UNIT  </v>
          </cell>
          <cell r="E738" t="str">
            <v>Dynamic Grey</v>
          </cell>
          <cell r="F738" t="str">
            <v>consumer</v>
          </cell>
          <cell r="G738">
            <v>4000984191790</v>
          </cell>
        </row>
        <row r="739">
          <cell r="B739">
            <v>2000029520</v>
          </cell>
          <cell r="C739" t="str">
            <v>BRITAX GO NEXT</v>
          </cell>
          <cell r="D739" t="str">
            <v xml:space="preserve">APRON SEAT UNIT  </v>
          </cell>
          <cell r="E739" t="str">
            <v>Oxford Navy</v>
          </cell>
          <cell r="F739" t="str">
            <v>consumer</v>
          </cell>
          <cell r="G739">
            <v>4000984191806</v>
          </cell>
        </row>
        <row r="740">
          <cell r="B740">
            <v>2000029518</v>
          </cell>
          <cell r="C740" t="str">
            <v>BRITAX GO NEXT</v>
          </cell>
          <cell r="D740" t="str">
            <v xml:space="preserve">APRON SEAT UNIT  </v>
          </cell>
          <cell r="E740" t="str">
            <v>Graphite Melange</v>
          </cell>
          <cell r="F740" t="str">
            <v>consumer</v>
          </cell>
          <cell r="G740">
            <v>4000984191783</v>
          </cell>
        </row>
        <row r="741">
          <cell r="B741">
            <v>2000029378</v>
          </cell>
          <cell r="C741" t="str">
            <v>BRITAX GO NEXT</v>
          </cell>
          <cell r="D741" t="str">
            <v>SEAT UNIT CANOPY</v>
          </cell>
          <cell r="E741" t="str">
            <v>Dynamic Grey</v>
          </cell>
          <cell r="F741" t="str">
            <v>consumer</v>
          </cell>
          <cell r="G741">
            <v>4000984191370</v>
          </cell>
        </row>
        <row r="742">
          <cell r="B742">
            <v>2000029377</v>
          </cell>
          <cell r="C742" t="str">
            <v>BRITAX GO NEXT</v>
          </cell>
          <cell r="D742" t="str">
            <v>SEAT UNIT CANOPY</v>
          </cell>
          <cell r="E742" t="str">
            <v>Graphite Melange</v>
          </cell>
          <cell r="F742" t="str">
            <v>consumer</v>
          </cell>
          <cell r="G742">
            <v>4000984191363</v>
          </cell>
        </row>
        <row r="743">
          <cell r="B743">
            <v>2000029379</v>
          </cell>
          <cell r="C743" t="str">
            <v>BRITAX GO NEXT</v>
          </cell>
          <cell r="D743" t="str">
            <v>SEAT UNIT CANOPY</v>
          </cell>
          <cell r="E743" t="str">
            <v>Oxford Navy</v>
          </cell>
          <cell r="F743" t="str">
            <v>consumer</v>
          </cell>
          <cell r="G743">
            <v>4000984191387</v>
          </cell>
        </row>
        <row r="744">
          <cell r="B744">
            <v>2000023196</v>
          </cell>
          <cell r="C744" t="str">
            <v>BRITAX GO NEXT</v>
          </cell>
          <cell r="D744" t="str">
            <v>REAR WHEEL SET 2016</v>
          </cell>
          <cell r="F744" t="str">
            <v>consumer</v>
          </cell>
          <cell r="G744">
            <v>4000984141658</v>
          </cell>
        </row>
        <row r="745">
          <cell r="B745">
            <v>2000023197</v>
          </cell>
          <cell r="C745" t="str">
            <v>BRITAX GO NEXT</v>
          </cell>
          <cell r="D745" t="str">
            <v>FRONT WHEEL SET 2016</v>
          </cell>
          <cell r="F745" t="str">
            <v>consumer</v>
          </cell>
          <cell r="G745">
            <v>4000984141665</v>
          </cell>
        </row>
        <row r="746">
          <cell r="B746">
            <v>2000023198</v>
          </cell>
          <cell r="C746" t="str">
            <v>BRITAX GO NEXT</v>
          </cell>
          <cell r="D746" t="str">
            <v>AIR TYRE 2016</v>
          </cell>
          <cell r="F746" t="str">
            <v>consumer</v>
          </cell>
          <cell r="G746">
            <v>4000984141672</v>
          </cell>
        </row>
        <row r="747">
          <cell r="B747">
            <v>2000012129</v>
          </cell>
          <cell r="C747" t="str">
            <v>BRITAX GO NEXT</v>
          </cell>
          <cell r="D747" t="str">
            <v xml:space="preserve">HANDLE REPAIR KIT </v>
          </cell>
          <cell r="E747" t="str">
            <v>Black</v>
          </cell>
          <cell r="F747" t="str">
            <v>retailer only</v>
          </cell>
          <cell r="G747">
            <v>4000984114201</v>
          </cell>
        </row>
        <row r="748">
          <cell r="B748">
            <v>2000012130</v>
          </cell>
          <cell r="C748" t="str">
            <v>BRITAX GO NEXT</v>
          </cell>
          <cell r="D748" t="str">
            <v xml:space="preserve">HANDLE REPAIR KIT </v>
          </cell>
          <cell r="E748" t="str">
            <v>White</v>
          </cell>
          <cell r="F748" t="str">
            <v>retailer only</v>
          </cell>
          <cell r="G748">
            <v>4000984114218</v>
          </cell>
        </row>
        <row r="749">
          <cell r="B749">
            <v>2000029352</v>
          </cell>
          <cell r="C749" t="str">
            <v>BRITAX GO NEXT</v>
          </cell>
          <cell r="D749" t="str">
            <v xml:space="preserve">HANDLE REPAIR KIT (LEATHERLOOK) </v>
          </cell>
          <cell r="E749" t="str">
            <v>Black</v>
          </cell>
          <cell r="F749" t="str">
            <v>retailer only</v>
          </cell>
          <cell r="G749">
            <v>4000984191110</v>
          </cell>
        </row>
        <row r="750">
          <cell r="B750">
            <v>2000029479</v>
          </cell>
          <cell r="C750" t="str">
            <v>BRITAX GO NEXT</v>
          </cell>
          <cell r="D750" t="str">
            <v xml:space="preserve">HANDLE REPAIR KIT (LEATHERLOOK) </v>
          </cell>
          <cell r="E750" t="str">
            <v>Matte Black</v>
          </cell>
          <cell r="F750" t="str">
            <v>retailer only</v>
          </cell>
          <cell r="G750">
            <v>4000984191684</v>
          </cell>
        </row>
        <row r="751">
          <cell r="B751">
            <v>2000029354</v>
          </cell>
          <cell r="C751" t="str">
            <v>BRITAX GO NEXT</v>
          </cell>
          <cell r="D751" t="str">
            <v xml:space="preserve">HANDLE REPAIR KIT (LEATHERLOOK) </v>
          </cell>
          <cell r="E751" t="str">
            <v>White</v>
          </cell>
          <cell r="F751" t="str">
            <v>retailer only</v>
          </cell>
          <cell r="G751">
            <v>4000984191134</v>
          </cell>
        </row>
        <row r="752">
          <cell r="B752">
            <v>2000012210</v>
          </cell>
          <cell r="C752" t="str">
            <v>BRITAX GO NEXT</v>
          </cell>
          <cell r="D752" t="str">
            <v xml:space="preserve">HANDLE ADJUSTER REPAIR KIT </v>
          </cell>
          <cell r="F752" t="str">
            <v>retailer only</v>
          </cell>
          <cell r="G752">
            <v>4000984114744</v>
          </cell>
        </row>
        <row r="753">
          <cell r="B753">
            <v>2000012208</v>
          </cell>
          <cell r="C753" t="str">
            <v>BRITAX GO NEXT</v>
          </cell>
          <cell r="D753" t="str">
            <v xml:space="preserve">REAR WHEEL HUB REPAIR KIT </v>
          </cell>
          <cell r="F753" t="str">
            <v>retailer only</v>
          </cell>
          <cell r="G753">
            <v>4000984114720</v>
          </cell>
        </row>
        <row r="754">
          <cell r="B754">
            <v>2000012169</v>
          </cell>
          <cell r="C754" t="str">
            <v>BRITAX GO NEXT</v>
          </cell>
          <cell r="D754" t="str">
            <v xml:space="preserve">BRAKE REPAIR KIT </v>
          </cell>
          <cell r="F754" t="str">
            <v>retailer only</v>
          </cell>
          <cell r="G754">
            <v>4000984114584</v>
          </cell>
        </row>
        <row r="755">
          <cell r="B755">
            <v>2000012171</v>
          </cell>
          <cell r="C755" t="str">
            <v>BRITAX GO NEXT</v>
          </cell>
          <cell r="D755" t="str">
            <v xml:space="preserve">SUSPENSION REPAIR KIT </v>
          </cell>
          <cell r="F755" t="str">
            <v>retailer only</v>
          </cell>
          <cell r="G755">
            <v>4000984114607</v>
          </cell>
        </row>
        <row r="756">
          <cell r="B756">
            <v>2000012173</v>
          </cell>
          <cell r="C756" t="str">
            <v>BRITAX GO NEXT</v>
          </cell>
          <cell r="D756" t="str">
            <v xml:space="preserve">SWIVEL ATTACHMENT REPAIR KIT </v>
          </cell>
          <cell r="F756" t="str">
            <v>retailer only</v>
          </cell>
          <cell r="G756">
            <v>4000984114621</v>
          </cell>
        </row>
        <row r="757">
          <cell r="B757">
            <v>2000025126</v>
          </cell>
          <cell r="C757" t="str">
            <v>BRITAX GO NEXT</v>
          </cell>
          <cell r="D757" t="str">
            <v xml:space="preserve">SEAT UNIT FOOTREST ADJUSTER SET </v>
          </cell>
          <cell r="F757" t="str">
            <v>retailer only</v>
          </cell>
          <cell r="G757">
            <v>4000984145090</v>
          </cell>
        </row>
        <row r="758">
          <cell r="B758">
            <v>2000012164</v>
          </cell>
          <cell r="C758" t="str">
            <v>BRITAX GO NEXT</v>
          </cell>
          <cell r="D758" t="str">
            <v>BUMPER BAR INCL. TEXTILE</v>
          </cell>
          <cell r="E758" t="str">
            <v>Black</v>
          </cell>
          <cell r="F758" t="str">
            <v>consumer</v>
          </cell>
          <cell r="G758">
            <v>4000984114539</v>
          </cell>
        </row>
        <row r="759">
          <cell r="B759">
            <v>2000023226</v>
          </cell>
          <cell r="C759" t="str">
            <v>BRITAX GO NEXT</v>
          </cell>
          <cell r="D759" t="str">
            <v xml:space="preserve">BACKREST BOARD ASSEMBLED </v>
          </cell>
          <cell r="F759" t="str">
            <v>consumer</v>
          </cell>
          <cell r="G759">
            <v>4000984141955</v>
          </cell>
        </row>
        <row r="760">
          <cell r="B760">
            <v>2000023227</v>
          </cell>
          <cell r="C760" t="str">
            <v>BRITAX GO NEXT</v>
          </cell>
          <cell r="D760" t="str">
            <v>SEAT BOARD</v>
          </cell>
          <cell r="F760" t="str">
            <v>consumer</v>
          </cell>
          <cell r="G760">
            <v>4000984141962</v>
          </cell>
        </row>
        <row r="761">
          <cell r="B761">
            <v>2000023228</v>
          </cell>
          <cell r="C761" t="str">
            <v>BRITAX GO NEXT</v>
          </cell>
          <cell r="D761" t="str">
            <v>HARNESS INCLUDING BUCKLE AND HARNESS PADS</v>
          </cell>
          <cell r="E761" t="str">
            <v>Black</v>
          </cell>
          <cell r="F761" t="str">
            <v>consumer</v>
          </cell>
          <cell r="G761">
            <v>4000984141979</v>
          </cell>
        </row>
        <row r="762">
          <cell r="B762">
            <v>2000026837</v>
          </cell>
          <cell r="C762" t="str">
            <v>BRITAX GO NEXT</v>
          </cell>
          <cell r="D762" t="str">
            <v>BACKREST BUCKLE</v>
          </cell>
          <cell r="F762" t="str">
            <v>consumer</v>
          </cell>
          <cell r="G762">
            <v>4000984158687</v>
          </cell>
        </row>
        <row r="763">
          <cell r="B763">
            <v>2000010707</v>
          </cell>
          <cell r="C763" t="str">
            <v>BRITAX GO NEXT</v>
          </cell>
          <cell r="D763" t="str">
            <v>Click&amp;Go Adapter</v>
          </cell>
          <cell r="F763" t="str">
            <v>consumer</v>
          </cell>
          <cell r="G763">
            <v>4000984109672</v>
          </cell>
        </row>
        <row r="764">
          <cell r="B764">
            <v>2000012210</v>
          </cell>
          <cell r="C764" t="str">
            <v>BRITAX GO BIG</v>
          </cell>
          <cell r="D764" t="str">
            <v xml:space="preserve">HANDLE ADJUSTER REPAIR KIT </v>
          </cell>
          <cell r="F764" t="str">
            <v>retailer only</v>
          </cell>
          <cell r="G764">
            <v>4000984114744</v>
          </cell>
        </row>
        <row r="765">
          <cell r="B765">
            <v>2000012208</v>
          </cell>
          <cell r="C765" t="str">
            <v>BRITAX GO BIG</v>
          </cell>
          <cell r="D765" t="str">
            <v xml:space="preserve">REAR WHEEL HUB REPAIR KIT </v>
          </cell>
          <cell r="F765" t="str">
            <v>retailer only</v>
          </cell>
          <cell r="G765">
            <v>4000984114720</v>
          </cell>
        </row>
        <row r="766">
          <cell r="B766">
            <v>2000012169</v>
          </cell>
          <cell r="C766" t="str">
            <v>BRITAX GO BIG</v>
          </cell>
          <cell r="D766" t="str">
            <v xml:space="preserve">BRAKE REPAIR KIT </v>
          </cell>
          <cell r="F766" t="str">
            <v>retailer only</v>
          </cell>
          <cell r="G766">
            <v>4000984114584</v>
          </cell>
        </row>
        <row r="767">
          <cell r="B767">
            <v>2000012164</v>
          </cell>
          <cell r="C767" t="str">
            <v>BRITAX GO BIG</v>
          </cell>
          <cell r="D767" t="str">
            <v>BUMPER BAR INCL. TEXTILE</v>
          </cell>
          <cell r="E767" t="str">
            <v>Black</v>
          </cell>
          <cell r="F767" t="str">
            <v>consumer</v>
          </cell>
          <cell r="G767">
            <v>4000984114539</v>
          </cell>
        </row>
        <row r="768">
          <cell r="B768">
            <v>2000023209</v>
          </cell>
          <cell r="C768" t="str">
            <v>BRITAX GO BIG</v>
          </cell>
          <cell r="D768" t="str">
            <v xml:space="preserve">APRON SEAT UNIT  </v>
          </cell>
          <cell r="E768" t="str">
            <v>Cosmos Black</v>
          </cell>
          <cell r="F768" t="str">
            <v>consumer</v>
          </cell>
          <cell r="G768">
            <v>4000984141788</v>
          </cell>
        </row>
        <row r="769">
          <cell r="B769">
            <v>2000023210</v>
          </cell>
          <cell r="C769" t="str">
            <v>BRITAX GO BIG</v>
          </cell>
          <cell r="D769" t="str">
            <v xml:space="preserve">APRON SEAT UNIT  </v>
          </cell>
          <cell r="E769" t="str">
            <v>Ocean Navy</v>
          </cell>
          <cell r="F769" t="str">
            <v>consumer</v>
          </cell>
          <cell r="G769">
            <v>4000984141795</v>
          </cell>
        </row>
        <row r="770">
          <cell r="B770">
            <v>2000023212</v>
          </cell>
          <cell r="C770" t="str">
            <v>BRITAX GO BIG</v>
          </cell>
          <cell r="D770" t="str">
            <v xml:space="preserve">APRON SEAT UNIT  </v>
          </cell>
          <cell r="E770" t="str">
            <v>Flame Red</v>
          </cell>
          <cell r="F770" t="str">
            <v>consumer</v>
          </cell>
          <cell r="G770">
            <v>4000984141818</v>
          </cell>
        </row>
        <row r="771">
          <cell r="B771">
            <v>2000023213</v>
          </cell>
          <cell r="C771" t="str">
            <v>BRITAX GO BIG</v>
          </cell>
          <cell r="D771" t="str">
            <v xml:space="preserve">APRON SEAT UNIT  </v>
          </cell>
          <cell r="E771" t="str">
            <v>Steel Grey</v>
          </cell>
          <cell r="F771" t="str">
            <v>consumer</v>
          </cell>
          <cell r="G771">
            <v>4000984141825</v>
          </cell>
        </row>
        <row r="772">
          <cell r="B772">
            <v>2000023214</v>
          </cell>
          <cell r="C772" t="str">
            <v>BRITAX GO BIG</v>
          </cell>
          <cell r="D772" t="str">
            <v xml:space="preserve">APRON SEAT UNIT  </v>
          </cell>
          <cell r="E772" t="str">
            <v>Mineral Purple</v>
          </cell>
          <cell r="F772" t="str">
            <v>consumer</v>
          </cell>
          <cell r="G772">
            <v>4000984141832</v>
          </cell>
        </row>
        <row r="773">
          <cell r="B773">
            <v>2000026721</v>
          </cell>
          <cell r="C773" t="str">
            <v>BRITAX GO BIG</v>
          </cell>
          <cell r="D773" t="str">
            <v xml:space="preserve">APRON SEAT UNIT  </v>
          </cell>
          <cell r="E773" t="str">
            <v>Olive Green</v>
          </cell>
          <cell r="F773" t="str">
            <v>consumer</v>
          </cell>
          <cell r="G773">
            <v>4000984156270</v>
          </cell>
        </row>
        <row r="774">
          <cell r="B774">
            <v>2000029519</v>
          </cell>
          <cell r="C774" t="str">
            <v>BRITAX GO BIG</v>
          </cell>
          <cell r="D774" t="str">
            <v xml:space="preserve">APRON SEAT UNIT  </v>
          </cell>
          <cell r="E774" t="str">
            <v>Dynamic Grey</v>
          </cell>
          <cell r="F774" t="str">
            <v>consumer</v>
          </cell>
          <cell r="G774">
            <v>4000984191790</v>
          </cell>
        </row>
        <row r="775">
          <cell r="B775">
            <v>2000029520</v>
          </cell>
          <cell r="C775" t="str">
            <v>BRITAX GO BIG</v>
          </cell>
          <cell r="D775" t="str">
            <v xml:space="preserve">APRON SEAT UNIT  </v>
          </cell>
          <cell r="E775" t="str">
            <v>Oxford Navy</v>
          </cell>
          <cell r="F775" t="str">
            <v>consumer</v>
          </cell>
          <cell r="G775">
            <v>4000984191806</v>
          </cell>
        </row>
        <row r="776">
          <cell r="B776">
            <v>2000021630</v>
          </cell>
          <cell r="C776" t="str">
            <v>BRITAX GO BIG</v>
          </cell>
          <cell r="D776" t="str">
            <v xml:space="preserve">APRON SEAT UNIT  </v>
          </cell>
          <cell r="E776" t="str">
            <v xml:space="preserve">Grey melange </v>
          </cell>
          <cell r="F776" t="str">
            <v>consumer</v>
          </cell>
          <cell r="G776">
            <v>4000984119748</v>
          </cell>
        </row>
        <row r="777">
          <cell r="B777">
            <v>2000029518</v>
          </cell>
          <cell r="C777" t="str">
            <v>BRITAX GO BIG</v>
          </cell>
          <cell r="D777" t="str">
            <v xml:space="preserve">APRON SEAT UNIT  </v>
          </cell>
          <cell r="E777" t="str">
            <v>Graphite melange</v>
          </cell>
          <cell r="F777" t="str">
            <v>consumer</v>
          </cell>
          <cell r="G777">
            <v>4000984191783</v>
          </cell>
        </row>
        <row r="778">
          <cell r="B778">
            <v>2000025133</v>
          </cell>
          <cell r="C778" t="str">
            <v>BRITAX GO BIG</v>
          </cell>
          <cell r="D778" t="str">
            <v>REAR WHEEL SET</v>
          </cell>
          <cell r="F778" t="str">
            <v>consumer</v>
          </cell>
          <cell r="G778">
            <v>4000984145168</v>
          </cell>
        </row>
        <row r="779">
          <cell r="B779">
            <v>2000029360</v>
          </cell>
          <cell r="C779" t="str">
            <v>BRITAX GO BIG</v>
          </cell>
          <cell r="D779" t="str">
            <v>REAR WHEEL SET WHITE LINE</v>
          </cell>
          <cell r="F779" t="str">
            <v>consumer</v>
          </cell>
          <cell r="G779">
            <v>4000984191196</v>
          </cell>
        </row>
        <row r="780">
          <cell r="B780">
            <v>2000025134</v>
          </cell>
          <cell r="C780" t="str">
            <v>BRITAX GO BIG</v>
          </cell>
          <cell r="D780" t="str">
            <v>FRONT WHEEL SET</v>
          </cell>
          <cell r="F780" t="str">
            <v>consumer</v>
          </cell>
          <cell r="G780">
            <v>4000984147391</v>
          </cell>
        </row>
        <row r="781">
          <cell r="B781">
            <v>2000029361</v>
          </cell>
          <cell r="C781" t="str">
            <v>BRITAX GO BIG</v>
          </cell>
          <cell r="D781" t="str">
            <v>FRONT WHEEL SET (WHITE LINE)</v>
          </cell>
          <cell r="F781" t="str">
            <v>consumer</v>
          </cell>
          <cell r="G781">
            <v>4000984191202</v>
          </cell>
        </row>
        <row r="782">
          <cell r="B782">
            <v>2000025136</v>
          </cell>
          <cell r="C782" t="str">
            <v>BRITAX GO BIG</v>
          </cell>
          <cell r="D782" t="str">
            <v>BACKREST BOARD ASSEMBLED</v>
          </cell>
          <cell r="F782" t="str">
            <v>consumer</v>
          </cell>
          <cell r="G782">
            <v>4000984147414</v>
          </cell>
        </row>
        <row r="783">
          <cell r="B783">
            <v>2000025137</v>
          </cell>
          <cell r="C783" t="str">
            <v>BRITAX GO BIG</v>
          </cell>
          <cell r="D783" t="str">
            <v>SEAT BOARD</v>
          </cell>
          <cell r="F783" t="str">
            <v>consumer</v>
          </cell>
          <cell r="G783">
            <v>4000984147421</v>
          </cell>
        </row>
        <row r="784">
          <cell r="B784">
            <v>2000025138</v>
          </cell>
          <cell r="C784" t="str">
            <v>BRITAX GO BIG</v>
          </cell>
          <cell r="D784" t="str">
            <v xml:space="preserve">HARNESS INCLUDING BUCKLE AND HANRESS PADS </v>
          </cell>
          <cell r="E784" t="str">
            <v>Black</v>
          </cell>
          <cell r="F784" t="str">
            <v>consumer</v>
          </cell>
          <cell r="G784">
            <v>4000984147438</v>
          </cell>
        </row>
        <row r="785">
          <cell r="B785">
            <v>2000026837</v>
          </cell>
          <cell r="C785" t="str">
            <v>BRITAX GO BIG</v>
          </cell>
          <cell r="D785" t="str">
            <v>BACKREST BUCKLE</v>
          </cell>
          <cell r="F785" t="str">
            <v>consumer</v>
          </cell>
          <cell r="G785">
            <v>4000984158687</v>
          </cell>
        </row>
        <row r="786">
          <cell r="B786">
            <v>2000025070</v>
          </cell>
          <cell r="C786" t="str">
            <v>BRITAX GO BIG</v>
          </cell>
          <cell r="D786" t="str">
            <v xml:space="preserve">HANDLE REPAIR KIT </v>
          </cell>
          <cell r="E786" t="str">
            <v>Black</v>
          </cell>
          <cell r="F786" t="str">
            <v>retailer only</v>
          </cell>
          <cell r="G786">
            <v>4000984142464</v>
          </cell>
        </row>
        <row r="787">
          <cell r="B787">
            <v>2000029355</v>
          </cell>
          <cell r="C787" t="str">
            <v>BRITAX GO BIG</v>
          </cell>
          <cell r="D787" t="str">
            <v xml:space="preserve">HANDLE REPAIR KIT (LEATHERLOOK) </v>
          </cell>
          <cell r="E787" t="str">
            <v>Black</v>
          </cell>
          <cell r="F787" t="str">
            <v>retailer only</v>
          </cell>
          <cell r="G787">
            <v>4000984191141</v>
          </cell>
        </row>
        <row r="788">
          <cell r="B788">
            <v>2000029480</v>
          </cell>
          <cell r="C788" t="str">
            <v>BRITAX GO BIG</v>
          </cell>
          <cell r="D788" t="str">
            <v xml:space="preserve">HANDLE REPAIR KIT (LEATHERLOOK) </v>
          </cell>
          <cell r="E788" t="str">
            <v>Matte Black</v>
          </cell>
          <cell r="F788" t="str">
            <v>retailer only</v>
          </cell>
          <cell r="G788">
            <v>4000984191691</v>
          </cell>
        </row>
        <row r="789">
          <cell r="B789">
            <v>2000029481</v>
          </cell>
          <cell r="C789" t="str">
            <v>BRITAX GO BIG</v>
          </cell>
          <cell r="D789" t="str">
            <v xml:space="preserve">HANDLE REPAIR KIT (LEATHERLOOK) </v>
          </cell>
          <cell r="E789" t="str">
            <v>White</v>
          </cell>
          <cell r="F789" t="str">
            <v>retailer only</v>
          </cell>
          <cell r="G789">
            <v>4000984191707</v>
          </cell>
        </row>
        <row r="790">
          <cell r="B790">
            <v>2000025124</v>
          </cell>
          <cell r="C790" t="str">
            <v>BRITAX GO BIG</v>
          </cell>
          <cell r="D790" t="str">
            <v xml:space="preserve">SUSPENSION REPAIR KIT </v>
          </cell>
          <cell r="F790" t="str">
            <v>retailer only</v>
          </cell>
          <cell r="G790">
            <v>4000984145069</v>
          </cell>
        </row>
        <row r="791">
          <cell r="B791">
            <v>2000025132</v>
          </cell>
          <cell r="C791" t="str">
            <v>BRITAX GO BIG</v>
          </cell>
          <cell r="D791" t="str">
            <v>CHASSIS</v>
          </cell>
          <cell r="E791" t="str">
            <v>Black</v>
          </cell>
          <cell r="F791" t="str">
            <v>consumer</v>
          </cell>
          <cell r="G791">
            <v>4000984145151</v>
          </cell>
        </row>
        <row r="792">
          <cell r="B792">
            <v>2000029507</v>
          </cell>
          <cell r="C792" t="str">
            <v>BRITAX GO BIG</v>
          </cell>
          <cell r="D792" t="str">
            <v>CHASSIS (LEATHERLOOK HANDLE)</v>
          </cell>
          <cell r="E792" t="str">
            <v>Black</v>
          </cell>
          <cell r="F792" t="str">
            <v>consumer</v>
          </cell>
          <cell r="G792">
            <v>4000984191752</v>
          </cell>
        </row>
        <row r="793">
          <cell r="B793">
            <v>2000029357</v>
          </cell>
          <cell r="C793" t="str">
            <v>BRITAX GO BIG</v>
          </cell>
          <cell r="D793" t="str">
            <v>CHASSIS (LEATHERLOOK HANDLE)</v>
          </cell>
          <cell r="E793" t="str">
            <v>Matte Black</v>
          </cell>
          <cell r="F793" t="str">
            <v>consumer</v>
          </cell>
          <cell r="G793">
            <v>4000984191165</v>
          </cell>
        </row>
        <row r="794">
          <cell r="B794">
            <v>2000030019</v>
          </cell>
          <cell r="C794" t="str">
            <v>BRITAX GO BIG</v>
          </cell>
          <cell r="D794" t="str">
            <v>CHASSIS (LEATHERLOOK HANDLE)</v>
          </cell>
          <cell r="E794" t="str">
            <v xml:space="preserve">White </v>
          </cell>
          <cell r="F794" t="str">
            <v>consumer</v>
          </cell>
          <cell r="G794">
            <v>4000984194067</v>
          </cell>
        </row>
        <row r="795">
          <cell r="B795">
            <v>2000025135</v>
          </cell>
          <cell r="C795" t="str">
            <v>BRITAX GO BIG</v>
          </cell>
          <cell r="D795" t="str">
            <v xml:space="preserve">TEXTIL BASKET </v>
          </cell>
          <cell r="E795" t="str">
            <v xml:space="preserve">Black </v>
          </cell>
          <cell r="F795" t="str">
            <v>consumer</v>
          </cell>
          <cell r="G795">
            <v>4000984147407</v>
          </cell>
        </row>
        <row r="796">
          <cell r="B796">
            <v>2000029364</v>
          </cell>
          <cell r="C796" t="str">
            <v>BRITAX GO BIG</v>
          </cell>
          <cell r="D796" t="str">
            <v xml:space="preserve">TEXTIL BASKET </v>
          </cell>
          <cell r="E796" t="str">
            <v>Grey Melange</v>
          </cell>
          <cell r="F796" t="str">
            <v>consumer</v>
          </cell>
          <cell r="G796">
            <v>4000984191233</v>
          </cell>
        </row>
        <row r="797">
          <cell r="B797">
            <v>2000029365</v>
          </cell>
          <cell r="C797" t="str">
            <v>BRITAX GO BIG</v>
          </cell>
          <cell r="D797" t="str">
            <v xml:space="preserve">TEXTIL BASKET </v>
          </cell>
          <cell r="E797" t="str">
            <v>Navy Melange</v>
          </cell>
          <cell r="F797" t="str">
            <v>consumer</v>
          </cell>
          <cell r="G797">
            <v>4000984191240</v>
          </cell>
        </row>
        <row r="798">
          <cell r="B798">
            <v>2000025127</v>
          </cell>
          <cell r="C798" t="str">
            <v>BRITAX GO BIG</v>
          </cell>
          <cell r="D798" t="str">
            <v xml:space="preserve">SEAT UNIT </v>
          </cell>
          <cell r="E798" t="str">
            <v>Cosmos Black/
Black Frame</v>
          </cell>
          <cell r="F798" t="str">
            <v>consumer</v>
          </cell>
          <cell r="G798">
            <v>4000984145106</v>
          </cell>
        </row>
        <row r="799">
          <cell r="B799">
            <v>2000025128</v>
          </cell>
          <cell r="C799" t="str">
            <v>BRITAX GO BIG</v>
          </cell>
          <cell r="D799" t="str">
            <v xml:space="preserve">SEAT UNIT </v>
          </cell>
          <cell r="E799" t="str">
            <v>Steel Grey/
Black Frame</v>
          </cell>
          <cell r="F799" t="str">
            <v>consumer</v>
          </cell>
          <cell r="G799">
            <v>4000984145113</v>
          </cell>
        </row>
        <row r="800">
          <cell r="B800">
            <v>2000025129</v>
          </cell>
          <cell r="C800" t="str">
            <v>BRITAX GO BIG</v>
          </cell>
          <cell r="D800" t="str">
            <v xml:space="preserve">SEAT UNIT </v>
          </cell>
          <cell r="E800" t="str">
            <v>Ocean Navy/
Black Frame</v>
          </cell>
          <cell r="F800" t="str">
            <v>consumer</v>
          </cell>
          <cell r="G800">
            <v>4000984145120</v>
          </cell>
        </row>
        <row r="801">
          <cell r="B801">
            <v>2000025130</v>
          </cell>
          <cell r="C801" t="str">
            <v>BRITAX GO BIG</v>
          </cell>
          <cell r="D801" t="str">
            <v xml:space="preserve">SEAT UNIT </v>
          </cell>
          <cell r="E801" t="str">
            <v>Flame Red
/Black Frame</v>
          </cell>
          <cell r="F801" t="str">
            <v>consumer</v>
          </cell>
          <cell r="G801">
            <v>4000984145137</v>
          </cell>
        </row>
        <row r="802">
          <cell r="B802">
            <v>2000025131</v>
          </cell>
          <cell r="C802" t="str">
            <v>BRITAX GO BIG</v>
          </cell>
          <cell r="D802" t="str">
            <v xml:space="preserve">SEAT UNIT </v>
          </cell>
          <cell r="E802" t="str">
            <v>Mineral Purple/
Black Frame</v>
          </cell>
          <cell r="F802" t="str">
            <v>consumer</v>
          </cell>
          <cell r="G802">
            <v>4000984145144</v>
          </cell>
        </row>
        <row r="803">
          <cell r="B803">
            <v>2000026688</v>
          </cell>
          <cell r="C803" t="str">
            <v>BRITAX GO BIG</v>
          </cell>
          <cell r="D803" t="str">
            <v xml:space="preserve">SEAT UNIT </v>
          </cell>
          <cell r="E803" t="str">
            <v>Olive Green/
Black Frame</v>
          </cell>
          <cell r="F803" t="str">
            <v>consumer</v>
          </cell>
          <cell r="G803">
            <v>4000984155846</v>
          </cell>
        </row>
        <row r="804">
          <cell r="B804">
            <v>2000029523</v>
          </cell>
          <cell r="C804" t="str">
            <v>BRITAX GO BIG</v>
          </cell>
          <cell r="D804" t="str">
            <v xml:space="preserve">SEAT UNIT </v>
          </cell>
          <cell r="E804" t="str">
            <v>Dynamic Grey /
Black Frame</v>
          </cell>
          <cell r="F804" t="str">
            <v>consumer</v>
          </cell>
          <cell r="G804">
            <v>4000984191844</v>
          </cell>
        </row>
        <row r="805">
          <cell r="B805">
            <v>2000029359</v>
          </cell>
          <cell r="C805" t="str">
            <v>BRITAX GO BIG</v>
          </cell>
          <cell r="D805" t="str">
            <v xml:space="preserve">SEAT UNIT </v>
          </cell>
          <cell r="E805" t="str">
            <v xml:space="preserve">Graphite Melange/ Matte Black Frame </v>
          </cell>
          <cell r="F805" t="str">
            <v>consumer</v>
          </cell>
          <cell r="G805">
            <v>4000984191189</v>
          </cell>
        </row>
        <row r="806">
          <cell r="B806">
            <v>2000029525</v>
          </cell>
          <cell r="C806" t="str">
            <v>BRITAX GO BIG</v>
          </cell>
          <cell r="D806" t="str">
            <v xml:space="preserve">SEAT UNIT </v>
          </cell>
          <cell r="E806" t="str">
            <v>Grey Melange/ White Frame</v>
          </cell>
          <cell r="F806" t="str">
            <v>consumer</v>
          </cell>
          <cell r="G806">
            <v>4000984191868</v>
          </cell>
        </row>
        <row r="807">
          <cell r="B807">
            <v>2000026689</v>
          </cell>
          <cell r="C807" t="str">
            <v>BRITAX GO BIG</v>
          </cell>
          <cell r="D807" t="str">
            <v xml:space="preserve">SEAT UNIT </v>
          </cell>
          <cell r="E807" t="str">
            <v>Grey Melange/ Black Frame</v>
          </cell>
          <cell r="F807" t="str">
            <v>consumer</v>
          </cell>
          <cell r="G807">
            <v>4000984155853</v>
          </cell>
        </row>
        <row r="808">
          <cell r="B808">
            <v>2000029524</v>
          </cell>
          <cell r="C808" t="str">
            <v>BRITAX GO BIG</v>
          </cell>
          <cell r="D808" t="str">
            <v xml:space="preserve">SEAT UNIT </v>
          </cell>
          <cell r="E808" t="str">
            <v>Oxford Navy/ White Frame</v>
          </cell>
          <cell r="F808" t="str">
            <v>consumer</v>
          </cell>
          <cell r="G808">
            <v>4000984191851</v>
          </cell>
        </row>
        <row r="809">
          <cell r="B809">
            <v>2000025139</v>
          </cell>
          <cell r="C809" t="str">
            <v>BRITAX GO BIG</v>
          </cell>
          <cell r="D809" t="str">
            <v>SEAT UNIT CANOPY</v>
          </cell>
          <cell r="E809" t="str">
            <v>Cosmos Black</v>
          </cell>
          <cell r="F809" t="str">
            <v>consumer</v>
          </cell>
          <cell r="G809">
            <v>4000984147445</v>
          </cell>
        </row>
        <row r="810">
          <cell r="B810">
            <v>2000025140</v>
          </cell>
          <cell r="C810" t="str">
            <v>BRITAX GO BIG</v>
          </cell>
          <cell r="D810" t="str">
            <v>SEAT UNIT CANOPY</v>
          </cell>
          <cell r="E810" t="str">
            <v>Steel Grey</v>
          </cell>
          <cell r="F810" t="str">
            <v>consumer</v>
          </cell>
          <cell r="G810">
            <v>4000984147452</v>
          </cell>
        </row>
        <row r="811">
          <cell r="B811">
            <v>2000025141</v>
          </cell>
          <cell r="C811" t="str">
            <v>BRITAX GO BIG</v>
          </cell>
          <cell r="D811" t="str">
            <v>SEAT UNIT CANOPY</v>
          </cell>
          <cell r="E811" t="str">
            <v>Ocean Navy</v>
          </cell>
          <cell r="F811" t="str">
            <v>consumer</v>
          </cell>
          <cell r="G811">
            <v>4000984147469</v>
          </cell>
        </row>
        <row r="812">
          <cell r="B812">
            <v>2000025142</v>
          </cell>
          <cell r="C812" t="str">
            <v>BRITAX GO BIG</v>
          </cell>
          <cell r="D812" t="str">
            <v>SEAT UNIT CANOPY</v>
          </cell>
          <cell r="E812" t="str">
            <v>Flame Red</v>
          </cell>
          <cell r="F812" t="str">
            <v>consumer</v>
          </cell>
          <cell r="G812">
            <v>4000984147476</v>
          </cell>
        </row>
        <row r="813">
          <cell r="B813">
            <v>2000025143</v>
          </cell>
          <cell r="C813" t="str">
            <v>BRITAX GO BIG</v>
          </cell>
          <cell r="D813" t="str">
            <v>SEAT UNIT CANOPY</v>
          </cell>
          <cell r="E813" t="str">
            <v>Mineral Purple</v>
          </cell>
          <cell r="F813" t="str">
            <v>consumer</v>
          </cell>
          <cell r="G813">
            <v>4000984147483</v>
          </cell>
        </row>
        <row r="814">
          <cell r="B814">
            <v>2000026692</v>
          </cell>
          <cell r="C814" t="str">
            <v>BRITAX GO BIG</v>
          </cell>
          <cell r="D814" t="str">
            <v>SEAT UNIT CANOPY</v>
          </cell>
          <cell r="E814" t="str">
            <v>Olive Green</v>
          </cell>
          <cell r="F814" t="str">
            <v>consumer</v>
          </cell>
          <cell r="G814">
            <v>4000984155884</v>
          </cell>
        </row>
        <row r="815">
          <cell r="B815">
            <v>2000029375</v>
          </cell>
          <cell r="C815" t="str">
            <v>BRITAX GO BIG</v>
          </cell>
          <cell r="D815" t="str">
            <v>SEAT UNIT CANOPY</v>
          </cell>
          <cell r="E815" t="str">
            <v>Dynamic Grey</v>
          </cell>
          <cell r="F815" t="str">
            <v>consumer</v>
          </cell>
          <cell r="G815">
            <v>4000984191349</v>
          </cell>
        </row>
        <row r="816">
          <cell r="B816">
            <v>2000029374</v>
          </cell>
          <cell r="C816" t="str">
            <v>BRITAX GO BIG</v>
          </cell>
          <cell r="D816" t="str">
            <v>SEAT UNIT CANOPY</v>
          </cell>
          <cell r="E816" t="str">
            <v>Graphite Melange</v>
          </cell>
          <cell r="F816" t="str">
            <v>consumer</v>
          </cell>
          <cell r="G816">
            <v>4000984191332</v>
          </cell>
        </row>
        <row r="817">
          <cell r="B817">
            <v>2000029376</v>
          </cell>
          <cell r="C817" t="str">
            <v>BRITAX GO BIG</v>
          </cell>
          <cell r="D817" t="str">
            <v>SEAT UNIT CANOPY</v>
          </cell>
          <cell r="E817" t="str">
            <v>Oxford Navy</v>
          </cell>
          <cell r="F817" t="str">
            <v>consumer</v>
          </cell>
          <cell r="G817">
            <v>4000984191356</v>
          </cell>
        </row>
        <row r="818">
          <cell r="B818">
            <v>2000026691</v>
          </cell>
          <cell r="C818" t="str">
            <v>BRITAX GO BIG</v>
          </cell>
          <cell r="D818" t="str">
            <v>SEAT UNIT CANOPY</v>
          </cell>
          <cell r="E818" t="str">
            <v>Grey Melange</v>
          </cell>
          <cell r="F818" t="str">
            <v>consumer</v>
          </cell>
          <cell r="G818">
            <v>4000984155877</v>
          </cell>
        </row>
        <row r="819">
          <cell r="B819">
            <v>2000025125</v>
          </cell>
          <cell r="C819" t="str">
            <v>BRITAX GO BIG</v>
          </cell>
          <cell r="D819" t="str">
            <v xml:space="preserve">SWIVEL ATTACHMENT REPAIR KIT </v>
          </cell>
          <cell r="F819" t="str">
            <v>retailer only</v>
          </cell>
          <cell r="G819">
            <v>4000984145076</v>
          </cell>
        </row>
        <row r="820">
          <cell r="B820">
            <v>2000025126</v>
          </cell>
          <cell r="C820" t="str">
            <v>BRITAX GO BIG</v>
          </cell>
          <cell r="D820" t="str">
            <v xml:space="preserve">SEAT UNIT FOOTREST ADJUSTER SET </v>
          </cell>
          <cell r="F820" t="str">
            <v>retailer only</v>
          </cell>
          <cell r="G820">
            <v>4000984145090</v>
          </cell>
        </row>
        <row r="821">
          <cell r="B821">
            <v>2000010707</v>
          </cell>
          <cell r="C821" t="str">
            <v>BRITAX GO BIG</v>
          </cell>
          <cell r="D821" t="str">
            <v>Click&amp;Go Adapter</v>
          </cell>
          <cell r="F821" t="str">
            <v>consumer</v>
          </cell>
          <cell r="G821">
            <v>4000984109672</v>
          </cell>
        </row>
        <row r="822">
          <cell r="B822">
            <v>2000021732</v>
          </cell>
          <cell r="C822" t="str">
            <v>PRAMBODY SPARES GO/GO BIG/GO NEXT</v>
          </cell>
          <cell r="D822" t="str">
            <v xml:space="preserve">PRAMBODY </v>
          </cell>
          <cell r="E822" t="str">
            <v>Black Ink</v>
          </cell>
          <cell r="F822" t="str">
            <v>consumer</v>
          </cell>
          <cell r="G822">
            <v>4000984118438</v>
          </cell>
        </row>
        <row r="823">
          <cell r="B823">
            <v>2000012131</v>
          </cell>
          <cell r="C823" t="str">
            <v>PRAMBODY SPARES GO/GO BIG/GO NEXT</v>
          </cell>
          <cell r="D823" t="str">
            <v xml:space="preserve">PRAMBODY </v>
          </cell>
          <cell r="E823" t="str">
            <v>Brown Melange</v>
          </cell>
          <cell r="F823" t="str">
            <v>consumer</v>
          </cell>
          <cell r="G823">
            <v>4000984114225</v>
          </cell>
        </row>
        <row r="824">
          <cell r="B824">
            <v>2000012132</v>
          </cell>
          <cell r="C824" t="str">
            <v>PRAMBODY SPARES GO/GO BIG/GO NEXT</v>
          </cell>
          <cell r="D824" t="str">
            <v xml:space="preserve">PRAMBODY </v>
          </cell>
          <cell r="E824" t="str">
            <v>Black Melange</v>
          </cell>
          <cell r="F824" t="str">
            <v>consumer</v>
          </cell>
          <cell r="G824">
            <v>4000984114232</v>
          </cell>
        </row>
        <row r="825">
          <cell r="B825">
            <v>2000012133</v>
          </cell>
          <cell r="C825" t="str">
            <v>PRAMBODY SPARES GO/GO BIG/GO NEXT</v>
          </cell>
          <cell r="D825" t="str">
            <v xml:space="preserve">PRAMBODY </v>
          </cell>
          <cell r="E825" t="str">
            <v>Grey Melange</v>
          </cell>
          <cell r="F825" t="str">
            <v>consumer</v>
          </cell>
          <cell r="G825">
            <v>4000984114249</v>
          </cell>
        </row>
        <row r="826">
          <cell r="B826">
            <v>2000021731</v>
          </cell>
          <cell r="C826" t="str">
            <v>PRAMBODY SPARES GO/GO BIG/GO NEXT</v>
          </cell>
          <cell r="D826" t="str">
            <v xml:space="preserve">PRAMBODY </v>
          </cell>
          <cell r="E826" t="str">
            <v>Navy Melange</v>
          </cell>
          <cell r="F826" t="str">
            <v>consumer</v>
          </cell>
          <cell r="G826">
            <v>4000984118421</v>
          </cell>
        </row>
        <row r="827">
          <cell r="B827">
            <v>2000023207</v>
          </cell>
          <cell r="C827" t="str">
            <v>PRAMBODY SPARES GO/GO BIG/GO NEXT</v>
          </cell>
          <cell r="D827" t="str">
            <v xml:space="preserve">PRAMBODY </v>
          </cell>
          <cell r="E827" t="str">
            <v>Olive Melange</v>
          </cell>
          <cell r="F827" t="str">
            <v>consumer</v>
          </cell>
          <cell r="G827">
            <v>4000984141764</v>
          </cell>
        </row>
        <row r="828">
          <cell r="B828">
            <v>2000023208</v>
          </cell>
          <cell r="C828" t="str">
            <v>PRAMBODY SPARES GO/GO BIG/GO NEXT</v>
          </cell>
          <cell r="D828" t="str">
            <v xml:space="preserve">PRAMBODY </v>
          </cell>
          <cell r="E828" t="str">
            <v>Beige Melange</v>
          </cell>
          <cell r="F828" t="str">
            <v>consumer</v>
          </cell>
          <cell r="G828">
            <v>4000984141771</v>
          </cell>
        </row>
        <row r="829">
          <cell r="B829">
            <v>2000026695</v>
          </cell>
          <cell r="C829" t="str">
            <v>PRAMBODY SPARES GO/GO BIG/GO NEXT</v>
          </cell>
          <cell r="D829" t="str">
            <v xml:space="preserve">PRAMBODY </v>
          </cell>
          <cell r="E829" t="str">
            <v>Wine Red Melange</v>
          </cell>
          <cell r="F829" t="str">
            <v>consumer</v>
          </cell>
          <cell r="G829">
            <v>4000984155907</v>
          </cell>
        </row>
        <row r="830">
          <cell r="B830">
            <v>2000021631</v>
          </cell>
          <cell r="C830" t="str">
            <v>PRAMBODY SPARES GO/GO BIG/GO NEXT</v>
          </cell>
          <cell r="D830" t="str">
            <v xml:space="preserve">APRON PRAMBODY </v>
          </cell>
          <cell r="E830" t="str">
            <v>Black Thunder</v>
          </cell>
          <cell r="F830" t="str">
            <v>consumer</v>
          </cell>
          <cell r="G830">
            <v>4000984116755</v>
          </cell>
        </row>
        <row r="831">
          <cell r="B831">
            <v>2000021632</v>
          </cell>
          <cell r="C831" t="str">
            <v>PRAMBODY SPARES GO/GO BIG/GO NEXT</v>
          </cell>
          <cell r="D831" t="str">
            <v xml:space="preserve">APRON PRAMBODY </v>
          </cell>
          <cell r="E831" t="str">
            <v>Chili Pepper</v>
          </cell>
          <cell r="F831" t="str">
            <v>consumer</v>
          </cell>
          <cell r="G831">
            <v>4000984116762</v>
          </cell>
        </row>
        <row r="832">
          <cell r="B832">
            <v>2000021633</v>
          </cell>
          <cell r="C832" t="str">
            <v>PRAMBODY SPARES GO/GO BIG/GO NEXT</v>
          </cell>
          <cell r="D832" t="str">
            <v xml:space="preserve">APRON PRAMBODY </v>
          </cell>
          <cell r="E832" t="str">
            <v>Cool Berry</v>
          </cell>
          <cell r="F832" t="str">
            <v>consumer</v>
          </cell>
          <cell r="G832">
            <v>4000984116779</v>
          </cell>
        </row>
        <row r="833">
          <cell r="B833">
            <v>2000021634</v>
          </cell>
          <cell r="C833" t="str">
            <v>PRAMBODY SPARES GO/GO BIG/GO NEXT</v>
          </cell>
          <cell r="D833" t="str">
            <v xml:space="preserve">APRON PRAMBODY </v>
          </cell>
          <cell r="E833" t="str">
            <v>Blue Sky</v>
          </cell>
          <cell r="F833" t="str">
            <v>consumer</v>
          </cell>
          <cell r="G833">
            <v>4000984116786</v>
          </cell>
        </row>
        <row r="834">
          <cell r="B834">
            <v>2000021635</v>
          </cell>
          <cell r="C834" t="str">
            <v>PRAMBODY SPARES GO/GO BIG/GO NEXT</v>
          </cell>
          <cell r="D834" t="str">
            <v xml:space="preserve">APRON PRAMBODY </v>
          </cell>
          <cell r="E834" t="str">
            <v>Charcoal Grey</v>
          </cell>
          <cell r="F834" t="str">
            <v>consumer</v>
          </cell>
          <cell r="G834">
            <v>4000984116793</v>
          </cell>
        </row>
        <row r="835">
          <cell r="B835">
            <v>2000021636</v>
          </cell>
          <cell r="C835" t="str">
            <v>PRAMBODY SPARES GO/GO BIG/GO NEXT</v>
          </cell>
          <cell r="D835" t="str">
            <v xml:space="preserve">APRON PRAMBODY </v>
          </cell>
          <cell r="E835" t="str">
            <v>Navy</v>
          </cell>
          <cell r="F835" t="str">
            <v>consumer</v>
          </cell>
          <cell r="G835">
            <v>4000984116809</v>
          </cell>
        </row>
        <row r="836">
          <cell r="B836">
            <v>2000023217</v>
          </cell>
          <cell r="C836" t="str">
            <v>PRAMBODY SPARES GO/GO BIG/GO NEXT</v>
          </cell>
          <cell r="D836" t="str">
            <v xml:space="preserve">APRON PRAMBODY </v>
          </cell>
          <cell r="E836" t="str">
            <v>Cosmos Black</v>
          </cell>
          <cell r="F836" t="str">
            <v>consumer</v>
          </cell>
          <cell r="G836">
            <v>4000984141863</v>
          </cell>
        </row>
        <row r="837">
          <cell r="B837">
            <v>2000029372</v>
          </cell>
          <cell r="C837" t="str">
            <v>PRAMBODY SPARES GO/GO BIG/GO NEXT</v>
          </cell>
          <cell r="D837" t="str">
            <v xml:space="preserve">APRON PRAMBODY </v>
          </cell>
          <cell r="E837" t="str">
            <v>Cosmos Black 2018</v>
          </cell>
          <cell r="F837" t="str">
            <v>consumer</v>
          </cell>
          <cell r="G837">
            <v>4000984191318</v>
          </cell>
        </row>
        <row r="838">
          <cell r="B838">
            <v>2000023221</v>
          </cell>
          <cell r="C838" t="str">
            <v>PRAMBODY SPARES GO/GO BIG/GO NEXT</v>
          </cell>
          <cell r="D838" t="str">
            <v xml:space="preserve">APRON PRAMBODY </v>
          </cell>
          <cell r="E838" t="str">
            <v>Steel Grey</v>
          </cell>
          <cell r="F838" t="str">
            <v>consumer</v>
          </cell>
          <cell r="G838">
            <v>4000984141900</v>
          </cell>
        </row>
        <row r="839">
          <cell r="B839">
            <v>2000029369</v>
          </cell>
          <cell r="C839" t="str">
            <v>PRAMBODY SPARES GO/GO BIG/GO NEXT</v>
          </cell>
          <cell r="D839" t="str">
            <v xml:space="preserve">APRON PRAMBODY </v>
          </cell>
          <cell r="E839" t="str">
            <v>Steel Grey 2018</v>
          </cell>
          <cell r="F839" t="str">
            <v>consumer</v>
          </cell>
          <cell r="G839">
            <v>4000984191288</v>
          </cell>
        </row>
        <row r="840">
          <cell r="B840">
            <v>2000021637</v>
          </cell>
          <cell r="C840" t="str">
            <v>PRAMBODY SPARES GO/GO BIG/GO NEXT</v>
          </cell>
          <cell r="D840" t="str">
            <v xml:space="preserve">APRON PRAMBODY </v>
          </cell>
          <cell r="E840" t="str">
            <v>Brown Melange</v>
          </cell>
          <cell r="F840" t="str">
            <v>consumer</v>
          </cell>
          <cell r="G840">
            <v>4000984116816</v>
          </cell>
        </row>
        <row r="841">
          <cell r="B841">
            <v>2000021638</v>
          </cell>
          <cell r="C841" t="str">
            <v>PRAMBODY SPARES GO/GO BIG/GO NEXT</v>
          </cell>
          <cell r="D841" t="str">
            <v xml:space="preserve">APRON PRAMBODY </v>
          </cell>
          <cell r="E841" t="str">
            <v>Black Melange</v>
          </cell>
          <cell r="F841" t="str">
            <v>consumer</v>
          </cell>
          <cell r="G841">
            <v>4000984116823</v>
          </cell>
        </row>
        <row r="842">
          <cell r="B842">
            <v>2000021639</v>
          </cell>
          <cell r="C842" t="str">
            <v>PRAMBODY SPARES GO/GO BIG/GO NEXT</v>
          </cell>
          <cell r="D842" t="str">
            <v xml:space="preserve">APRON PRAMBODY </v>
          </cell>
          <cell r="E842" t="str">
            <v>Grey Melange</v>
          </cell>
          <cell r="F842" t="str">
            <v>consumer</v>
          </cell>
          <cell r="G842">
            <v>4000984116830</v>
          </cell>
        </row>
        <row r="843">
          <cell r="B843">
            <v>2000021735</v>
          </cell>
          <cell r="C843" t="str">
            <v>PRAMBODY SPARES GO/GO BIG/GO NEXT</v>
          </cell>
          <cell r="D843" t="str">
            <v xml:space="preserve">APRON PRAMBODY </v>
          </cell>
          <cell r="E843" t="str">
            <v>Navy Melange</v>
          </cell>
          <cell r="F843" t="str">
            <v>consumer</v>
          </cell>
          <cell r="G843">
            <v>4000984118469</v>
          </cell>
        </row>
        <row r="844">
          <cell r="B844">
            <v>2000021736</v>
          </cell>
          <cell r="C844" t="str">
            <v>PRAMBODY SPARES GO/GO BIG/GO NEXT</v>
          </cell>
          <cell r="D844" t="str">
            <v xml:space="preserve">APRON PRAMBODY </v>
          </cell>
          <cell r="E844" t="str">
            <v>Black Ink</v>
          </cell>
          <cell r="F844" t="str">
            <v>consumer</v>
          </cell>
          <cell r="G844">
            <v>4000984118476</v>
          </cell>
        </row>
        <row r="845">
          <cell r="B845">
            <v>2000029370</v>
          </cell>
          <cell r="C845" t="str">
            <v>PRAMBODY SPARES GO/GO BIG/GO NEXT</v>
          </cell>
          <cell r="D845" t="str">
            <v xml:space="preserve">APRON PRAMBODY </v>
          </cell>
          <cell r="E845" t="str">
            <v>Dynamic Grey</v>
          </cell>
          <cell r="F845" t="str">
            <v>consumer</v>
          </cell>
          <cell r="G845">
            <v>4000984191295</v>
          </cell>
        </row>
        <row r="846">
          <cell r="B846">
            <v>2000029368</v>
          </cell>
          <cell r="C846" t="str">
            <v>PRAMBODY SPARES GO/GO BIG/GO NEXT</v>
          </cell>
          <cell r="D846" t="str">
            <v xml:space="preserve">APRON PARMBODY </v>
          </cell>
          <cell r="E846" t="str">
            <v>Graphite Melange</v>
          </cell>
          <cell r="F846" t="str">
            <v>consumer</v>
          </cell>
          <cell r="G846">
            <v>4000984191271</v>
          </cell>
        </row>
        <row r="847">
          <cell r="B847">
            <v>2000029371</v>
          </cell>
          <cell r="C847" t="str">
            <v>PRAMBODY SPARES GO/GO BIG/GO NEXT</v>
          </cell>
          <cell r="D847" t="str">
            <v xml:space="preserve">APRON PRAMBODY </v>
          </cell>
          <cell r="E847" t="str">
            <v xml:space="preserve">Oxford Navy </v>
          </cell>
          <cell r="F847" t="str">
            <v>consumer</v>
          </cell>
          <cell r="G847">
            <v>4000984191301</v>
          </cell>
        </row>
        <row r="848">
          <cell r="B848">
            <v>2000023229</v>
          </cell>
          <cell r="C848" t="str">
            <v>PRAMBODY SPARES GO/GO BIG/GO NEXT</v>
          </cell>
          <cell r="D848" t="str">
            <v>PRAMBODY CANOPY</v>
          </cell>
          <cell r="E848" t="str">
            <v>Cosmos Black</v>
          </cell>
          <cell r="F848" t="str">
            <v>consumer</v>
          </cell>
          <cell r="G848">
            <v>4000984141986</v>
          </cell>
        </row>
        <row r="849">
          <cell r="B849">
            <v>2000029383</v>
          </cell>
          <cell r="C849" t="str">
            <v>PRAMBODY SPARES GO/GO BIG/GO NEXT</v>
          </cell>
          <cell r="D849" t="str">
            <v>PRAMBODY CANOPY</v>
          </cell>
          <cell r="E849" t="str">
            <v>Cosmos Black 2018</v>
          </cell>
          <cell r="F849" t="str">
            <v>consumer</v>
          </cell>
          <cell r="G849">
            <v>4000984191424</v>
          </cell>
        </row>
        <row r="850">
          <cell r="B850">
            <v>2000023230</v>
          </cell>
          <cell r="C850" t="str">
            <v>PRAMBODY SPARES GO/GO BIG/GO NEXT</v>
          </cell>
          <cell r="D850" t="str">
            <v>PRAMBODY CANOPY</v>
          </cell>
          <cell r="E850" t="str">
            <v>Ocean Navy</v>
          </cell>
          <cell r="F850" t="str">
            <v>consumer</v>
          </cell>
          <cell r="G850">
            <v>4000984141993</v>
          </cell>
        </row>
        <row r="851">
          <cell r="B851">
            <v>2000023234</v>
          </cell>
          <cell r="C851" t="str">
            <v>PRAMBODY SPARES GO/GO BIG/GO NEXT</v>
          </cell>
          <cell r="D851" t="str">
            <v>PRAMBODY CANOPY</v>
          </cell>
          <cell r="E851" t="str">
            <v>Steel Grey</v>
          </cell>
          <cell r="F851" t="str">
            <v>consumer</v>
          </cell>
          <cell r="G851">
            <v>4000984142037</v>
          </cell>
        </row>
        <row r="852">
          <cell r="B852">
            <v>2000029384</v>
          </cell>
          <cell r="C852" t="str">
            <v>PRAMBODY SPARES GO/GO BIG/GO NEXT</v>
          </cell>
          <cell r="D852" t="str">
            <v>PRAMBODY CANOPY</v>
          </cell>
          <cell r="E852" t="str">
            <v>Steel Grey 2018</v>
          </cell>
          <cell r="F852" t="str">
            <v>consumer</v>
          </cell>
          <cell r="G852">
            <v>4000984191431</v>
          </cell>
        </row>
        <row r="853">
          <cell r="B853">
            <v>2000023237</v>
          </cell>
          <cell r="C853" t="str">
            <v>PRAMBODY SPARES GO/GO BIG/GO NEXT</v>
          </cell>
          <cell r="D853" t="str">
            <v xml:space="preserve">PRAMBODY CANOPY </v>
          </cell>
          <cell r="E853" t="str">
            <v>Black Ink</v>
          </cell>
          <cell r="F853" t="str">
            <v>consumer</v>
          </cell>
          <cell r="G853">
            <v>4000984142068</v>
          </cell>
        </row>
        <row r="854">
          <cell r="B854">
            <v>2000023240</v>
          </cell>
          <cell r="C854" t="str">
            <v>PRAMBODY SPARES GO/GO BIG/GO NEXT</v>
          </cell>
          <cell r="D854" t="str">
            <v xml:space="preserve">PRAMBODY CANOPY </v>
          </cell>
          <cell r="E854" t="str">
            <v>Grey Melange</v>
          </cell>
          <cell r="F854" t="str">
            <v>consumer</v>
          </cell>
          <cell r="G854">
            <v>4000984142099</v>
          </cell>
        </row>
        <row r="855">
          <cell r="B855">
            <v>2000029382</v>
          </cell>
          <cell r="C855" t="str">
            <v>PRAMBODY SPARES GO/GO BIG/GO NEXT</v>
          </cell>
          <cell r="D855" t="str">
            <v xml:space="preserve">PRAMBODY CANOPY </v>
          </cell>
          <cell r="E855" t="str">
            <v>Oxford Navy</v>
          </cell>
          <cell r="F855" t="str">
            <v>consumer</v>
          </cell>
          <cell r="G855">
            <v>4000984191417</v>
          </cell>
        </row>
        <row r="856">
          <cell r="B856">
            <v>2000029381</v>
          </cell>
          <cell r="C856" t="str">
            <v>PRAMBODY SPARES GO/GO BIG/GO NEXT</v>
          </cell>
          <cell r="D856" t="str">
            <v xml:space="preserve">PRAMBODY CANOPY </v>
          </cell>
          <cell r="E856" t="str">
            <v>Dynamic Grey</v>
          </cell>
          <cell r="F856" t="str">
            <v>consumer</v>
          </cell>
          <cell r="G856">
            <v>4000984191400</v>
          </cell>
        </row>
        <row r="857">
          <cell r="B857">
            <v>2000029380</v>
          </cell>
          <cell r="C857" t="str">
            <v>PRAMBODY SPARES GO/GO BIG/GO NEXT</v>
          </cell>
          <cell r="D857" t="str">
            <v xml:space="preserve">PRAMBODY CANOPY </v>
          </cell>
          <cell r="E857" t="str">
            <v>Graphite Melange</v>
          </cell>
          <cell r="F857" t="str">
            <v>consumer</v>
          </cell>
          <cell r="G857">
            <v>4000984191394</v>
          </cell>
        </row>
        <row r="858">
          <cell r="B858">
            <v>2000012137</v>
          </cell>
          <cell r="C858" t="str">
            <v>PRAMBODY SPARES GO/GO BIG/GO NEXT</v>
          </cell>
          <cell r="D858" t="str">
            <v xml:space="preserve">PRAMBODY ADAPTER </v>
          </cell>
          <cell r="F858" t="str">
            <v>consumer</v>
          </cell>
          <cell r="G858">
            <v>4000984114287</v>
          </cell>
        </row>
        <row r="859">
          <cell r="B859">
            <v>2000021640</v>
          </cell>
          <cell r="C859" t="str">
            <v>PRAMBODY SPARES GO/GO BIG/GO NEXT</v>
          </cell>
          <cell r="D859" t="str">
            <v>PRAMBODY MATTRESS</v>
          </cell>
          <cell r="F859" t="str">
            <v>consumer</v>
          </cell>
          <cell r="G859">
            <v>4000984116847</v>
          </cell>
        </row>
        <row r="860">
          <cell r="B860">
            <v>2000029373</v>
          </cell>
          <cell r="C860" t="str">
            <v>PRAMBODY SPARES GO/GO BIG/GO NEXT</v>
          </cell>
          <cell r="D860" t="str">
            <v>PRAMBODY MATRESS COVER JERSEY</v>
          </cell>
          <cell r="F860" t="str">
            <v>consumer</v>
          </cell>
          <cell r="G860">
            <v>4000984191325</v>
          </cell>
        </row>
        <row r="861">
          <cell r="B861">
            <v>2000029976</v>
          </cell>
          <cell r="C861" t="str">
            <v>SEED PAPILIO</v>
          </cell>
          <cell r="D861" t="str">
            <v>HANDLE Black, Lever Grey, Leather Look Black</v>
          </cell>
          <cell r="E861" t="str">
            <v>black, black leather</v>
          </cell>
          <cell r="F861" t="str">
            <v>retailer only</v>
          </cell>
          <cell r="G861">
            <v>4000984193954</v>
          </cell>
        </row>
        <row r="862">
          <cell r="B862">
            <v>93066</v>
          </cell>
          <cell r="C862" t="str">
            <v>SEED PAPILIO</v>
          </cell>
          <cell r="D862" t="str">
            <v>HANDLE Silver - Leatherlook Black</v>
          </cell>
          <cell r="E862" t="str">
            <v>silver, black leather</v>
          </cell>
          <cell r="F862" t="str">
            <v>retailer only</v>
          </cell>
          <cell r="G862">
            <v>4260383013066</v>
          </cell>
        </row>
        <row r="863">
          <cell r="B863">
            <v>93073</v>
          </cell>
          <cell r="C863" t="str">
            <v>SEED PAPILIO</v>
          </cell>
          <cell r="D863" t="str">
            <v>HANDLE Silver, Lever Grey, Leather Look Cognac</v>
          </cell>
          <cell r="E863" t="str">
            <v>silver, cognac leather</v>
          </cell>
          <cell r="F863" t="str">
            <v>retailer only</v>
          </cell>
          <cell r="G863">
            <v>4000984191516</v>
          </cell>
        </row>
        <row r="864">
          <cell r="B864">
            <v>93134</v>
          </cell>
          <cell r="C864" t="str">
            <v>SEED PAPILIO</v>
          </cell>
          <cell r="D864" t="str">
            <v>HANDLE Copper - Leatherlook Black</v>
          </cell>
          <cell r="E864" t="str">
            <v>copper, black leather</v>
          </cell>
          <cell r="F864" t="str">
            <v>retailer only</v>
          </cell>
          <cell r="G864">
            <v>4260383013134</v>
          </cell>
        </row>
        <row r="865">
          <cell r="B865">
            <v>2000029987</v>
          </cell>
          <cell r="C865" t="str">
            <v>SEED PAPILIO</v>
          </cell>
          <cell r="D865" t="str">
            <v>REAR WHEEL SET</v>
          </cell>
          <cell r="E865" t="str">
            <v>black</v>
          </cell>
          <cell r="F865" t="str">
            <v>retailer only</v>
          </cell>
          <cell r="G865">
            <v>4000984194333</v>
          </cell>
        </row>
        <row r="866">
          <cell r="B866">
            <v>2000029988</v>
          </cell>
          <cell r="C866" t="str">
            <v>SEED PAPILIO</v>
          </cell>
          <cell r="D866" t="str">
            <v>REAR WHEEL SET</v>
          </cell>
          <cell r="E866" t="str">
            <v>silver</v>
          </cell>
          <cell r="F866" t="str">
            <v>retailer only</v>
          </cell>
          <cell r="G866">
            <v>4000984194340</v>
          </cell>
        </row>
        <row r="867">
          <cell r="B867">
            <v>2000029989</v>
          </cell>
          <cell r="C867" t="str">
            <v>SEED PAPILIO</v>
          </cell>
          <cell r="D867" t="str">
            <v>FRONT WHEEL SET</v>
          </cell>
          <cell r="E867" t="str">
            <v>black</v>
          </cell>
          <cell r="F867" t="str">
            <v>retailer only</v>
          </cell>
          <cell r="G867">
            <v>4000984194357</v>
          </cell>
        </row>
        <row r="868">
          <cell r="B868">
            <v>2000029990</v>
          </cell>
          <cell r="C868" t="str">
            <v>SEED PAPILIO</v>
          </cell>
          <cell r="D868" t="str">
            <v>FRONT WHEEL SET</v>
          </cell>
          <cell r="E868" t="str">
            <v>silver</v>
          </cell>
          <cell r="F868" t="str">
            <v>retailer only</v>
          </cell>
          <cell r="G868">
            <v>4000984194364</v>
          </cell>
        </row>
        <row r="869">
          <cell r="B869">
            <v>2000009455</v>
          </cell>
          <cell r="C869" t="str">
            <v>BOB REVOLUTION CE</v>
          </cell>
          <cell r="D869" t="str">
            <v xml:space="preserve">HOOD </v>
          </cell>
          <cell r="E869" t="str">
            <v>Black</v>
          </cell>
          <cell r="F869" t="str">
            <v>retailer only</v>
          </cell>
          <cell r="G869">
            <v>4000984103915</v>
          </cell>
        </row>
        <row r="870">
          <cell r="B870">
            <v>2000009456</v>
          </cell>
          <cell r="C870" t="str">
            <v>BOB REVOLUTION CE</v>
          </cell>
          <cell r="D870" t="str">
            <v xml:space="preserve">HOOD </v>
          </cell>
          <cell r="E870" t="str">
            <v>Plum</v>
          </cell>
          <cell r="F870" t="str">
            <v>retailer only</v>
          </cell>
          <cell r="G870">
            <v>4000984103908</v>
          </cell>
        </row>
        <row r="871">
          <cell r="B871">
            <v>2000009462</v>
          </cell>
          <cell r="C871" t="str">
            <v>BOB REVOLUTION CE</v>
          </cell>
          <cell r="D871" t="str">
            <v xml:space="preserve">BASKET </v>
          </cell>
          <cell r="E871" t="str">
            <v>Black</v>
          </cell>
          <cell r="F871" t="str">
            <v>retailer only</v>
          </cell>
          <cell r="G871">
            <v>4000984103847</v>
          </cell>
        </row>
        <row r="872">
          <cell r="B872">
            <v>2000009463</v>
          </cell>
          <cell r="C872" t="str">
            <v>BOB REVOLUTION CE</v>
          </cell>
          <cell r="D872" t="str">
            <v xml:space="preserve">BASKET </v>
          </cell>
          <cell r="E872" t="str">
            <v>Plum</v>
          </cell>
          <cell r="F872" t="str">
            <v>retailer only</v>
          </cell>
          <cell r="G872">
            <v>4000984103830</v>
          </cell>
        </row>
        <row r="873">
          <cell r="B873">
            <v>2000009445</v>
          </cell>
          <cell r="C873" t="str">
            <v>BOB REVOLUTION CE</v>
          </cell>
          <cell r="D873" t="str">
            <v>WHEEL TYRE SET (3 pcs.)</v>
          </cell>
          <cell r="F873" t="str">
            <v>consumer</v>
          </cell>
          <cell r="G873">
            <v>4000984105483</v>
          </cell>
        </row>
        <row r="874">
          <cell r="B874">
            <v>2000009449</v>
          </cell>
          <cell r="C874" t="str">
            <v>BOB REVOLUTION CE</v>
          </cell>
          <cell r="D874" t="str">
            <v>WHEEL TUBE SET (3 pcs.)</v>
          </cell>
          <cell r="F874" t="str">
            <v>consumer</v>
          </cell>
          <cell r="G874">
            <v>4000984103977</v>
          </cell>
        </row>
        <row r="875">
          <cell r="B875">
            <v>2000009467</v>
          </cell>
          <cell r="C875" t="str">
            <v>BOB REVOLUTION CE</v>
          </cell>
          <cell r="D875" t="str">
            <v xml:space="preserve">QUICK RELEASE BOLT </v>
          </cell>
          <cell r="F875" t="str">
            <v>retailer only</v>
          </cell>
          <cell r="G875">
            <v>4000984103793</v>
          </cell>
        </row>
        <row r="876">
          <cell r="B876">
            <v>2000010182</v>
          </cell>
          <cell r="C876" t="str">
            <v>BOB REVOLUTION CE</v>
          </cell>
          <cell r="D876" t="str">
            <v>FRONT WHEEL</v>
          </cell>
          <cell r="F876" t="str">
            <v>consumer</v>
          </cell>
          <cell r="G876">
            <v>4000984107319</v>
          </cell>
        </row>
        <row r="877">
          <cell r="B877">
            <v>2000010186</v>
          </cell>
          <cell r="C877" t="str">
            <v>BOB REVOLUTION CE</v>
          </cell>
          <cell r="D877" t="str">
            <v>REAR WHEELS</v>
          </cell>
          <cell r="F877" t="str">
            <v>consumer</v>
          </cell>
          <cell r="G877">
            <v>4000984107357</v>
          </cell>
        </row>
        <row r="878">
          <cell r="B878">
            <v>2000010360</v>
          </cell>
          <cell r="C878" t="str">
            <v>BOB REVOLUTION CE</v>
          </cell>
          <cell r="D878" t="str">
            <v>WHEEL TUBE</v>
          </cell>
          <cell r="F878" t="str">
            <v>consumer</v>
          </cell>
          <cell r="G878">
            <v>4000984108064</v>
          </cell>
        </row>
        <row r="879">
          <cell r="B879">
            <v>2000009444</v>
          </cell>
          <cell r="C879" t="str">
            <v>BOB REVOLUTION SE (Single)</v>
          </cell>
          <cell r="D879" t="str">
            <v>WHEEL TYRE SET (3 pcs)</v>
          </cell>
          <cell r="F879" t="str">
            <v>consumer</v>
          </cell>
          <cell r="G879">
            <v>4000984105490</v>
          </cell>
        </row>
        <row r="880">
          <cell r="B880">
            <v>2000009448</v>
          </cell>
          <cell r="C880" t="str">
            <v>BOB REVOLUTION SE (Single)</v>
          </cell>
          <cell r="D880" t="str">
            <v>WHEEL TUBE SET (3 pcs)</v>
          </cell>
          <cell r="F880" t="str">
            <v>consumer</v>
          </cell>
          <cell r="G880">
            <v>4000984103984</v>
          </cell>
        </row>
        <row r="881">
          <cell r="B881">
            <v>2000009453</v>
          </cell>
          <cell r="C881" t="str">
            <v>BOB REVOLUTION SE (Single)</v>
          </cell>
          <cell r="D881" t="str">
            <v xml:space="preserve">HOOD </v>
          </cell>
          <cell r="E881" t="str">
            <v>Orange</v>
          </cell>
          <cell r="F881" t="str">
            <v>retailer only</v>
          </cell>
          <cell r="G881">
            <v>4000984103939</v>
          </cell>
        </row>
        <row r="882">
          <cell r="B882">
            <v>2000009454</v>
          </cell>
          <cell r="C882" t="str">
            <v>BOB REVOLUTION SE (Single)</v>
          </cell>
          <cell r="D882" t="str">
            <v xml:space="preserve">HOOD </v>
          </cell>
          <cell r="E882" t="str">
            <v>Red</v>
          </cell>
          <cell r="F882" t="str">
            <v>retailer only</v>
          </cell>
          <cell r="G882">
            <v>4000984103922</v>
          </cell>
        </row>
        <row r="883">
          <cell r="B883">
            <v>2000009455</v>
          </cell>
          <cell r="C883" t="str">
            <v>BOB REVOLUTION SE (Single)</v>
          </cell>
          <cell r="D883" t="str">
            <v xml:space="preserve">HOOD </v>
          </cell>
          <cell r="E883" t="str">
            <v>Black</v>
          </cell>
          <cell r="F883" t="str">
            <v>retailer only</v>
          </cell>
          <cell r="G883">
            <v>4000984103915</v>
          </cell>
        </row>
        <row r="884">
          <cell r="B884">
            <v>2000009456</v>
          </cell>
          <cell r="C884" t="str">
            <v>BOB REVOLUTION SE (Single)</v>
          </cell>
          <cell r="D884" t="str">
            <v xml:space="preserve">HOOD </v>
          </cell>
          <cell r="E884" t="str">
            <v>Plum</v>
          </cell>
          <cell r="F884" t="str">
            <v>retailer only</v>
          </cell>
          <cell r="G884">
            <v>4000984103908</v>
          </cell>
        </row>
        <row r="885">
          <cell r="B885">
            <v>2000009452</v>
          </cell>
          <cell r="C885" t="str">
            <v>BOB REVOLUTION SE (Single)</v>
          </cell>
          <cell r="D885" t="str">
            <v xml:space="preserve">HOOD </v>
          </cell>
          <cell r="E885" t="str">
            <v>Navy</v>
          </cell>
          <cell r="F885" t="str">
            <v>retailer only</v>
          </cell>
          <cell r="G885">
            <v>4000984103946</v>
          </cell>
        </row>
        <row r="886">
          <cell r="B886">
            <v>2000009460</v>
          </cell>
          <cell r="C886" t="str">
            <v>BOB REVOLUTION SE (Single)</v>
          </cell>
          <cell r="D886" t="str">
            <v xml:space="preserve">BASKET </v>
          </cell>
          <cell r="E886" t="str">
            <v>Orange</v>
          </cell>
          <cell r="F886" t="str">
            <v>retailer only</v>
          </cell>
          <cell r="G886">
            <v>4000984103861</v>
          </cell>
        </row>
        <row r="887">
          <cell r="B887">
            <v>2000009462</v>
          </cell>
          <cell r="C887" t="str">
            <v>BOB REVOLUTION SE (Single)</v>
          </cell>
          <cell r="D887" t="str">
            <v xml:space="preserve">BASKET </v>
          </cell>
          <cell r="E887" t="str">
            <v>Black</v>
          </cell>
          <cell r="F887" t="str">
            <v>retailer only</v>
          </cell>
          <cell r="G887">
            <v>4000984103847</v>
          </cell>
        </row>
        <row r="888">
          <cell r="B888">
            <v>2000009463</v>
          </cell>
          <cell r="C888" t="str">
            <v>BOB REVOLUTION SE (Single)</v>
          </cell>
          <cell r="D888" t="str">
            <v xml:space="preserve">BASKET </v>
          </cell>
          <cell r="E888" t="str">
            <v>Plum</v>
          </cell>
          <cell r="F888" t="str">
            <v>retailer only</v>
          </cell>
          <cell r="G888">
            <v>4000984103830</v>
          </cell>
        </row>
        <row r="889">
          <cell r="B889">
            <v>2000009459</v>
          </cell>
          <cell r="C889" t="str">
            <v>BOB REVOLUTION SE (Single)</v>
          </cell>
          <cell r="D889" t="str">
            <v xml:space="preserve">BASKET </v>
          </cell>
          <cell r="E889" t="str">
            <v>Navy</v>
          </cell>
          <cell r="F889" t="str">
            <v>retailer only</v>
          </cell>
          <cell r="G889">
            <v>4000984103878</v>
          </cell>
        </row>
        <row r="890">
          <cell r="B890">
            <v>2000009461</v>
          </cell>
          <cell r="C890" t="str">
            <v>BOB REVOLUTION SE (Single)</v>
          </cell>
          <cell r="D890" t="str">
            <v xml:space="preserve">BASKET </v>
          </cell>
          <cell r="E890" t="str">
            <v>Red</v>
          </cell>
          <cell r="F890" t="str">
            <v>retailer only</v>
          </cell>
          <cell r="G890">
            <v>4000984103854</v>
          </cell>
        </row>
        <row r="891">
          <cell r="B891">
            <v>2000009467</v>
          </cell>
          <cell r="C891" t="str">
            <v>BOB REVOLUTION SE (Single)</v>
          </cell>
          <cell r="D891" t="str">
            <v xml:space="preserve">QUICK RELEASE BOLT </v>
          </cell>
          <cell r="F891" t="str">
            <v>retailer only</v>
          </cell>
          <cell r="G891">
            <v>4000984103793</v>
          </cell>
        </row>
        <row r="892">
          <cell r="B892">
            <v>2000010181</v>
          </cell>
          <cell r="C892" t="str">
            <v>BOB REVOLUTION SE (Single)</v>
          </cell>
          <cell r="D892" t="str">
            <v>FRONT WHEEL</v>
          </cell>
          <cell r="F892" t="str">
            <v>consumer</v>
          </cell>
          <cell r="G892">
            <v>4000984107302</v>
          </cell>
        </row>
        <row r="893">
          <cell r="B893">
            <v>2000010185</v>
          </cell>
          <cell r="C893" t="str">
            <v>BOB REVOLUTION SE (Single)</v>
          </cell>
          <cell r="D893" t="str">
            <v>REAR WHEELS</v>
          </cell>
          <cell r="F893" t="str">
            <v>consumer</v>
          </cell>
          <cell r="G893">
            <v>4000984107340</v>
          </cell>
        </row>
        <row r="894">
          <cell r="B894">
            <v>2000010360</v>
          </cell>
          <cell r="C894" t="str">
            <v>BOB REVOLUTION SE (Single)</v>
          </cell>
          <cell r="D894" t="str">
            <v>WHEEL TUBE</v>
          </cell>
          <cell r="F894" t="str">
            <v>consumer</v>
          </cell>
          <cell r="G894">
            <v>4000984108064</v>
          </cell>
        </row>
        <row r="895">
          <cell r="B895">
            <v>2000010361</v>
          </cell>
          <cell r="C895" t="str">
            <v>BOB REVOLUTION SE (Single)</v>
          </cell>
          <cell r="D895" t="str">
            <v>WHEEL TUBE REAR</v>
          </cell>
          <cell r="F895" t="str">
            <v>consumer</v>
          </cell>
          <cell r="G895">
            <v>4000984108071</v>
          </cell>
        </row>
        <row r="896">
          <cell r="B896">
            <v>2000009444</v>
          </cell>
          <cell r="C896" t="str">
            <v>BOB REVOLUTION SE (Duallie)</v>
          </cell>
          <cell r="D896" t="str">
            <v>WHEEL TYRE SET (3 pcs)</v>
          </cell>
          <cell r="F896" t="str">
            <v>consumer</v>
          </cell>
          <cell r="G896">
            <v>4000984105490</v>
          </cell>
        </row>
        <row r="897">
          <cell r="B897">
            <v>2000009448</v>
          </cell>
          <cell r="C897" t="str">
            <v>BOB REVOLUTION SE (Duallie)</v>
          </cell>
          <cell r="D897" t="str">
            <v>WHEEL TUBE SET (3 pcs)</v>
          </cell>
          <cell r="F897" t="str">
            <v>consumer</v>
          </cell>
          <cell r="G897">
            <v>4000984103984</v>
          </cell>
        </row>
        <row r="898">
          <cell r="B898">
            <v>2000009467</v>
          </cell>
          <cell r="C898" t="str">
            <v>BOB REVOLUTION SE (Duallie)</v>
          </cell>
          <cell r="D898" t="str">
            <v xml:space="preserve">QUICK RELEASE BOLT </v>
          </cell>
          <cell r="F898" t="str">
            <v>retailer only</v>
          </cell>
          <cell r="G898">
            <v>4000984103793</v>
          </cell>
        </row>
        <row r="899">
          <cell r="B899">
            <v>2000010181</v>
          </cell>
          <cell r="C899" t="str">
            <v>BOB REVOLUTION SE (Duallie)</v>
          </cell>
          <cell r="D899" t="str">
            <v>FRONT WHEEL</v>
          </cell>
          <cell r="F899" t="str">
            <v>consumer</v>
          </cell>
          <cell r="G899">
            <v>4000984107302</v>
          </cell>
        </row>
        <row r="900">
          <cell r="B900">
            <v>2000010185</v>
          </cell>
          <cell r="C900" t="str">
            <v>BOB REVOLUTION SE (Duallie)</v>
          </cell>
          <cell r="D900" t="str">
            <v>REAR WHEELS</v>
          </cell>
          <cell r="F900" t="str">
            <v>consumer</v>
          </cell>
          <cell r="G900">
            <v>4000984107340</v>
          </cell>
        </row>
        <row r="901">
          <cell r="B901">
            <v>2000010360</v>
          </cell>
          <cell r="C901" t="str">
            <v>BOB REVOLUTION SE (Duallie)</v>
          </cell>
          <cell r="D901" t="str">
            <v>WHEEL TUBE</v>
          </cell>
          <cell r="F901" t="str">
            <v>consumer</v>
          </cell>
          <cell r="G901">
            <v>4000984108064</v>
          </cell>
        </row>
        <row r="902">
          <cell r="B902">
            <v>2000009444</v>
          </cell>
          <cell r="C902" t="str">
            <v>BOB REVOLUTION PRO (Single)</v>
          </cell>
          <cell r="D902" t="str">
            <v>WHEEL TYRE SET (3 pcs)</v>
          </cell>
          <cell r="F902" t="str">
            <v>consumer</v>
          </cell>
          <cell r="G902">
            <v>4000984105490</v>
          </cell>
        </row>
        <row r="903">
          <cell r="B903">
            <v>2000009448</v>
          </cell>
          <cell r="C903" t="str">
            <v>BOB REVOLUTION PRO (Single)</v>
          </cell>
          <cell r="D903" t="str">
            <v>WHEEL TUBE SET (3 pcs)</v>
          </cell>
          <cell r="F903" t="str">
            <v>consumer</v>
          </cell>
          <cell r="G903">
            <v>4000984103984</v>
          </cell>
        </row>
        <row r="904">
          <cell r="B904">
            <v>2000009453</v>
          </cell>
          <cell r="C904" t="str">
            <v>BOB REVOLUTION PRO (Single)</v>
          </cell>
          <cell r="D904" t="str">
            <v xml:space="preserve">HOOD </v>
          </cell>
          <cell r="E904" t="str">
            <v>Orange</v>
          </cell>
          <cell r="F904" t="str">
            <v>retailer only</v>
          </cell>
          <cell r="G904">
            <v>4000984103939</v>
          </cell>
        </row>
        <row r="905">
          <cell r="B905">
            <v>2000009454</v>
          </cell>
          <cell r="C905" t="str">
            <v>BOB REVOLUTION PRO (Single)</v>
          </cell>
          <cell r="D905" t="str">
            <v xml:space="preserve">HOOD </v>
          </cell>
          <cell r="E905" t="str">
            <v>Red</v>
          </cell>
          <cell r="F905" t="str">
            <v>retailer only</v>
          </cell>
          <cell r="G905">
            <v>4000984103922</v>
          </cell>
        </row>
        <row r="906">
          <cell r="B906">
            <v>2000009455</v>
          </cell>
          <cell r="C906" t="str">
            <v>BOB REVOLUTION PRO (Single)</v>
          </cell>
          <cell r="D906" t="str">
            <v xml:space="preserve">HOOD </v>
          </cell>
          <cell r="E906" t="str">
            <v>Black</v>
          </cell>
          <cell r="F906" t="str">
            <v>retailer only</v>
          </cell>
          <cell r="G906">
            <v>4000984103915</v>
          </cell>
        </row>
        <row r="907">
          <cell r="B907">
            <v>2000011681</v>
          </cell>
          <cell r="C907" t="str">
            <v>BOB REVOLUTION PRO (Single)</v>
          </cell>
          <cell r="D907" t="str">
            <v xml:space="preserve">HOOD </v>
          </cell>
          <cell r="E907" t="str">
            <v>Wilderness</v>
          </cell>
          <cell r="F907" t="str">
            <v>retailer only</v>
          </cell>
          <cell r="G907">
            <v>4000984112665</v>
          </cell>
        </row>
        <row r="908">
          <cell r="B908">
            <v>2000011682</v>
          </cell>
          <cell r="C908" t="str">
            <v>BOB REVOLUTION PRO (Single)</v>
          </cell>
          <cell r="D908" t="str">
            <v xml:space="preserve">HOOD </v>
          </cell>
          <cell r="E908" t="str">
            <v>Lagoon</v>
          </cell>
          <cell r="F908" t="str">
            <v>retailer only</v>
          </cell>
          <cell r="G908">
            <v>4000984112672</v>
          </cell>
        </row>
        <row r="909">
          <cell r="B909">
            <v>2000009467</v>
          </cell>
          <cell r="C909" t="str">
            <v>BOB REVOLUTION PRO (Single)</v>
          </cell>
          <cell r="D909" t="str">
            <v xml:space="preserve">QUICK RELEASE BOLT </v>
          </cell>
          <cell r="F909" t="str">
            <v>retailer only</v>
          </cell>
          <cell r="G909">
            <v>4000984103793</v>
          </cell>
        </row>
        <row r="910">
          <cell r="B910">
            <v>2000011676</v>
          </cell>
          <cell r="C910" t="str">
            <v>BOB REVOLUTION PRO (Single)</v>
          </cell>
          <cell r="D910" t="str">
            <v xml:space="preserve">BASKET </v>
          </cell>
          <cell r="E910" t="str">
            <v>Black</v>
          </cell>
          <cell r="F910" t="str">
            <v>retailer only</v>
          </cell>
          <cell r="G910">
            <v>4000984112610</v>
          </cell>
        </row>
        <row r="911">
          <cell r="B911">
            <v>2000011677</v>
          </cell>
          <cell r="C911" t="str">
            <v>BOB REVOLUTION PRO (Single)</v>
          </cell>
          <cell r="D911" t="str">
            <v xml:space="preserve">BASKET </v>
          </cell>
          <cell r="E911" t="str">
            <v>Orange</v>
          </cell>
          <cell r="F911" t="str">
            <v>retailer only</v>
          </cell>
          <cell r="G911">
            <v>4000984112627</v>
          </cell>
        </row>
        <row r="912">
          <cell r="B912">
            <v>2000011678</v>
          </cell>
          <cell r="C912" t="str">
            <v>BOB REVOLUTION PRO (Single)</v>
          </cell>
          <cell r="D912" t="str">
            <v xml:space="preserve">BASKET </v>
          </cell>
          <cell r="E912" t="str">
            <v>Red</v>
          </cell>
          <cell r="F912" t="str">
            <v>retailer only</v>
          </cell>
          <cell r="G912">
            <v>4000984112634</v>
          </cell>
        </row>
        <row r="913">
          <cell r="B913">
            <v>2000011679</v>
          </cell>
          <cell r="C913" t="str">
            <v>BOB REVOLUTION PRO (Single)</v>
          </cell>
          <cell r="D913" t="str">
            <v xml:space="preserve">BASKET </v>
          </cell>
          <cell r="E913" t="str">
            <v>Wilderness</v>
          </cell>
          <cell r="F913" t="str">
            <v>retailer only</v>
          </cell>
          <cell r="G913">
            <v>4000984112641</v>
          </cell>
        </row>
        <row r="914">
          <cell r="B914">
            <v>2000011680</v>
          </cell>
          <cell r="C914" t="str">
            <v>BOB REVOLUTION PRO (Single)</v>
          </cell>
          <cell r="D914" t="str">
            <v xml:space="preserve">BASKET </v>
          </cell>
          <cell r="E914" t="str">
            <v>Lagoon</v>
          </cell>
          <cell r="F914" t="str">
            <v>retailer only</v>
          </cell>
          <cell r="G914">
            <v>4000984112658</v>
          </cell>
        </row>
        <row r="915">
          <cell r="B915">
            <v>2000010360</v>
          </cell>
          <cell r="C915" t="str">
            <v>BOB REVOLUTION PRO (Single)</v>
          </cell>
          <cell r="D915" t="str">
            <v>WHEEL TUBE</v>
          </cell>
          <cell r="F915" t="str">
            <v>consumer</v>
          </cell>
          <cell r="G915">
            <v>4000984108064</v>
          </cell>
        </row>
        <row r="916">
          <cell r="B916">
            <v>2000010361</v>
          </cell>
          <cell r="C916" t="str">
            <v>BOB REVOLUTION PRO (Single)</v>
          </cell>
          <cell r="D916" t="str">
            <v>WHEEL TUBE REAR</v>
          </cell>
          <cell r="F916" t="str">
            <v>consumer</v>
          </cell>
          <cell r="G916">
            <v>4000984108071</v>
          </cell>
        </row>
        <row r="917">
          <cell r="B917">
            <v>2000010181</v>
          </cell>
          <cell r="C917" t="str">
            <v>BOB REVOLUTION PRO (Single)</v>
          </cell>
          <cell r="D917" t="str">
            <v>FRONT WHEEL</v>
          </cell>
          <cell r="F917" t="str">
            <v>consumer</v>
          </cell>
          <cell r="G917">
            <v>4000984107302</v>
          </cell>
        </row>
        <row r="918">
          <cell r="B918">
            <v>2000025800</v>
          </cell>
          <cell r="C918" t="str">
            <v>BOB REVOLUTION PRO (Single)</v>
          </cell>
          <cell r="D918" t="str">
            <v>REAR WHEELS</v>
          </cell>
          <cell r="F918" t="str">
            <v>consumer</v>
          </cell>
          <cell r="G918">
            <v>4000984152425</v>
          </cell>
        </row>
        <row r="919">
          <cell r="B919">
            <v>2000009444</v>
          </cell>
          <cell r="C919" t="str">
            <v>BOB REVOLUTION PRO (Duallie)</v>
          </cell>
          <cell r="D919" t="str">
            <v>WHEEL TYRE SET (3 pcs)</v>
          </cell>
          <cell r="F919" t="str">
            <v>consumer</v>
          </cell>
          <cell r="G919">
            <v>4000984105490</v>
          </cell>
        </row>
        <row r="920">
          <cell r="B920">
            <v>2000009448</v>
          </cell>
          <cell r="C920" t="str">
            <v>BOB REVOLUTION PRO (Duallie)</v>
          </cell>
          <cell r="D920" t="str">
            <v>WHEEL TUBE SET (3 pcs)</v>
          </cell>
          <cell r="F920" t="str">
            <v>consumer</v>
          </cell>
          <cell r="G920">
            <v>4000984103984</v>
          </cell>
        </row>
        <row r="921">
          <cell r="B921">
            <v>2000009467</v>
          </cell>
          <cell r="C921" t="str">
            <v>BOB REVOLUTION PRO (Duallie)</v>
          </cell>
          <cell r="D921" t="str">
            <v xml:space="preserve">QUICK RELEASE BOLT </v>
          </cell>
          <cell r="F921" t="str">
            <v>retailer only</v>
          </cell>
          <cell r="G921">
            <v>4000984103793</v>
          </cell>
        </row>
        <row r="922">
          <cell r="B922">
            <v>2000010181</v>
          </cell>
          <cell r="C922" t="str">
            <v>BOB REVOLUTION PRO (Duallie)</v>
          </cell>
          <cell r="D922" t="str">
            <v>FRONT WHEEL</v>
          </cell>
          <cell r="F922" t="str">
            <v>consumer</v>
          </cell>
          <cell r="G922">
            <v>4000984107302</v>
          </cell>
        </row>
        <row r="923">
          <cell r="B923">
            <v>2000010360</v>
          </cell>
          <cell r="C923" t="str">
            <v>BOB REVOLUTION PRO (Duallie)</v>
          </cell>
          <cell r="D923" t="str">
            <v>WHEEL TUBE</v>
          </cell>
          <cell r="F923" t="str">
            <v>consumer</v>
          </cell>
          <cell r="G923">
            <v>4000984108064</v>
          </cell>
        </row>
        <row r="924">
          <cell r="B924">
            <v>2000010361</v>
          </cell>
          <cell r="C924" t="str">
            <v>BOB REVOLUTION PRO (Duallie)</v>
          </cell>
          <cell r="D924" t="str">
            <v>WHEEL TUBE REAR</v>
          </cell>
          <cell r="F924" t="str">
            <v>consumer</v>
          </cell>
          <cell r="G924">
            <v>4000984108071</v>
          </cell>
        </row>
        <row r="925">
          <cell r="B925">
            <v>2000025800</v>
          </cell>
          <cell r="C925" t="str">
            <v>BOB REVOLUTION PRO (Duallie)</v>
          </cell>
          <cell r="D925" t="str">
            <v>REAR WHEELS</v>
          </cell>
          <cell r="F925" t="str">
            <v>consumer</v>
          </cell>
          <cell r="G925">
            <v>4000984152425</v>
          </cell>
        </row>
        <row r="926">
          <cell r="B926">
            <v>2000009446</v>
          </cell>
          <cell r="C926" t="str">
            <v>BOB IRONMAN (Single)</v>
          </cell>
          <cell r="D926" t="str">
            <v>WHEEL TYRE SET (3 pcs)</v>
          </cell>
          <cell r="F926" t="str">
            <v>consumer</v>
          </cell>
          <cell r="G926">
            <v>4000984104035</v>
          </cell>
        </row>
        <row r="927">
          <cell r="B927">
            <v>2000009457</v>
          </cell>
          <cell r="C927" t="str">
            <v>BOB IRONMAN (Single)</v>
          </cell>
          <cell r="D927" t="str">
            <v xml:space="preserve">HOOD </v>
          </cell>
          <cell r="E927" t="str">
            <v>Yellow</v>
          </cell>
          <cell r="F927" t="str">
            <v>retailer only</v>
          </cell>
          <cell r="G927">
            <v>4000984103892</v>
          </cell>
        </row>
        <row r="928">
          <cell r="B928">
            <v>2000009464</v>
          </cell>
          <cell r="C928" t="str">
            <v>BOB IRONMAN (Single)</v>
          </cell>
          <cell r="D928" t="str">
            <v xml:space="preserve">BASKET </v>
          </cell>
          <cell r="E928" t="str">
            <v>Yellow</v>
          </cell>
          <cell r="F928" t="str">
            <v>retailer only</v>
          </cell>
          <cell r="G928">
            <v>4000984103823</v>
          </cell>
        </row>
        <row r="929">
          <cell r="B929">
            <v>2000009466</v>
          </cell>
          <cell r="C929" t="str">
            <v>BOB IRONMAN (Single)</v>
          </cell>
          <cell r="D929" t="str">
            <v>FRONT MUD GUARD</v>
          </cell>
          <cell r="F929" t="str">
            <v>consumer</v>
          </cell>
          <cell r="G929">
            <v>4000984103809</v>
          </cell>
        </row>
        <row r="930">
          <cell r="B930">
            <v>2000009467</v>
          </cell>
          <cell r="C930" t="str">
            <v>BOB IRONMAN (Single)</v>
          </cell>
          <cell r="D930" t="str">
            <v xml:space="preserve">QUICK RELEASE BOLT </v>
          </cell>
          <cell r="F930" t="str">
            <v>retailer only</v>
          </cell>
          <cell r="G930">
            <v>4000984103793</v>
          </cell>
        </row>
        <row r="931">
          <cell r="B931">
            <v>2000009468</v>
          </cell>
          <cell r="C931" t="str">
            <v>BOB IRONMAN (Single)</v>
          </cell>
          <cell r="D931" t="str">
            <v xml:space="preserve">BRAKE PADS </v>
          </cell>
          <cell r="F931" t="str">
            <v>retailer only</v>
          </cell>
          <cell r="G931">
            <v>4000984103786</v>
          </cell>
        </row>
        <row r="932">
          <cell r="B932">
            <v>2000010183</v>
          </cell>
          <cell r="C932" t="str">
            <v>BOB IRONMAN (Single)</v>
          </cell>
          <cell r="D932" t="str">
            <v>FRONT WHEEL</v>
          </cell>
          <cell r="F932" t="str">
            <v>consumer</v>
          </cell>
          <cell r="G932">
            <v>4000984107326</v>
          </cell>
        </row>
        <row r="933">
          <cell r="B933">
            <v>2000010187</v>
          </cell>
          <cell r="C933" t="str">
            <v>BOB IRONMAN (Single)</v>
          </cell>
          <cell r="D933" t="str">
            <v>REAR WHEELS</v>
          </cell>
          <cell r="F933" t="str">
            <v>consumer</v>
          </cell>
          <cell r="G933">
            <v>4000984107364</v>
          </cell>
        </row>
        <row r="934">
          <cell r="B934">
            <v>2000010362</v>
          </cell>
          <cell r="C934" t="str">
            <v>BOB IRONMAN (Single)</v>
          </cell>
          <cell r="D934" t="str">
            <v>WHEEL TUBE FRONT/REAR</v>
          </cell>
          <cell r="F934" t="str">
            <v>consumer</v>
          </cell>
          <cell r="G934">
            <v>4000984108088</v>
          </cell>
        </row>
        <row r="935">
          <cell r="B935">
            <v>2000009450</v>
          </cell>
          <cell r="C935" t="str">
            <v>BOB IRONMAN (Single)</v>
          </cell>
          <cell r="D935" t="str">
            <v>WHEEL TUBE SET (3 pcs)</v>
          </cell>
          <cell r="F935" t="str">
            <v>consumer</v>
          </cell>
          <cell r="G935">
            <v>4000984103960</v>
          </cell>
        </row>
        <row r="936">
          <cell r="B936">
            <v>2000009446</v>
          </cell>
          <cell r="C936" t="str">
            <v>BOB IRONMAN (Duallie)</v>
          </cell>
          <cell r="D936" t="str">
            <v>WHEEL TYRE SET (3 pcs)</v>
          </cell>
          <cell r="F936" t="str">
            <v>consumer</v>
          </cell>
          <cell r="G936">
            <v>4000984104035</v>
          </cell>
        </row>
        <row r="937">
          <cell r="B937">
            <v>2000009466</v>
          </cell>
          <cell r="C937" t="str">
            <v>BOB IRONMAN (Duallie)</v>
          </cell>
          <cell r="D937" t="str">
            <v>FRONT MUD GUARD</v>
          </cell>
          <cell r="F937" t="str">
            <v>consumer</v>
          </cell>
          <cell r="G937">
            <v>4000984103809</v>
          </cell>
        </row>
        <row r="938">
          <cell r="B938">
            <v>2000009467</v>
          </cell>
          <cell r="C938" t="str">
            <v>BOB IRONMAN (Duallie)</v>
          </cell>
          <cell r="D938" t="str">
            <v xml:space="preserve">QUICK RELEASE BOLT </v>
          </cell>
          <cell r="F938" t="str">
            <v>retailer only</v>
          </cell>
          <cell r="G938">
            <v>4000984103793</v>
          </cell>
        </row>
        <row r="939">
          <cell r="B939">
            <v>2000009468</v>
          </cell>
          <cell r="C939" t="str">
            <v>BOB IRONMAN (Duallie)</v>
          </cell>
          <cell r="D939" t="str">
            <v xml:space="preserve">BRAKE PADS </v>
          </cell>
          <cell r="F939" t="str">
            <v>retailer only</v>
          </cell>
          <cell r="G939">
            <v>4000984103786</v>
          </cell>
        </row>
        <row r="940">
          <cell r="B940">
            <v>2000010183</v>
          </cell>
          <cell r="C940" t="str">
            <v>BOB IRONMAN (Duallie)</v>
          </cell>
          <cell r="D940" t="str">
            <v>FRONT WHEEL</v>
          </cell>
          <cell r="F940" t="str">
            <v>consumer</v>
          </cell>
          <cell r="G940">
            <v>4000984107326</v>
          </cell>
        </row>
        <row r="941">
          <cell r="B941">
            <v>2000010187</v>
          </cell>
          <cell r="C941" t="str">
            <v>BOB IRONMAN (Duallie)</v>
          </cell>
          <cell r="D941" t="str">
            <v>REAR WHEELS</v>
          </cell>
          <cell r="F941" t="str">
            <v>consumer</v>
          </cell>
          <cell r="G941">
            <v>4000984107364</v>
          </cell>
        </row>
        <row r="942">
          <cell r="B942">
            <v>2000010362</v>
          </cell>
          <cell r="C942" t="str">
            <v>BOB IRONMAN (Duallie)</v>
          </cell>
          <cell r="D942" t="str">
            <v>WHEEL TUBE FRONT/REAR</v>
          </cell>
          <cell r="F942" t="str">
            <v>consumer</v>
          </cell>
          <cell r="G942">
            <v>4000984108088</v>
          </cell>
        </row>
        <row r="943">
          <cell r="B943">
            <v>2000009450</v>
          </cell>
          <cell r="C943" t="str">
            <v>BOB IRONMAN (Duallie)</v>
          </cell>
          <cell r="D943" t="str">
            <v>WHEEL TUBE SET (3 pcs)</v>
          </cell>
          <cell r="F943" t="str">
            <v>consumer</v>
          </cell>
          <cell r="G943">
            <v>4000984103960</v>
          </cell>
        </row>
        <row r="944">
          <cell r="B944">
            <v>2000009447</v>
          </cell>
          <cell r="C944" t="str">
            <v>BOB SUS (Single)</v>
          </cell>
          <cell r="D944" t="str">
            <v>WHEEL TYRE SET (3 pcs)</v>
          </cell>
          <cell r="F944" t="str">
            <v>consumer</v>
          </cell>
          <cell r="G944">
            <v>4000984103991</v>
          </cell>
        </row>
        <row r="945">
          <cell r="B945">
            <v>2000009451</v>
          </cell>
          <cell r="C945" t="str">
            <v>BOB SUS (Single)</v>
          </cell>
          <cell r="D945" t="str">
            <v>WHEEL TUBE SET (3 pcs)</v>
          </cell>
          <cell r="F945" t="str">
            <v>consumer</v>
          </cell>
          <cell r="G945">
            <v>4000984103953</v>
          </cell>
        </row>
        <row r="946">
          <cell r="B946">
            <v>2000009453</v>
          </cell>
          <cell r="C946" t="str">
            <v>BOB SUS (Single)</v>
          </cell>
          <cell r="D946" t="str">
            <v xml:space="preserve">HOOD </v>
          </cell>
          <cell r="E946" t="str">
            <v>Orange</v>
          </cell>
          <cell r="F946" t="str">
            <v>retailer only</v>
          </cell>
          <cell r="G946">
            <v>4000984103939</v>
          </cell>
        </row>
        <row r="947">
          <cell r="B947">
            <v>2000009458</v>
          </cell>
          <cell r="C947" t="str">
            <v>BOB SUS (Single)</v>
          </cell>
          <cell r="D947" t="str">
            <v xml:space="preserve">HOOD </v>
          </cell>
          <cell r="E947" t="str">
            <v>Blue</v>
          </cell>
          <cell r="F947" t="str">
            <v>retailer only</v>
          </cell>
          <cell r="G947">
            <v>4000984103885</v>
          </cell>
        </row>
        <row r="948">
          <cell r="B948">
            <v>2000009460</v>
          </cell>
          <cell r="C948" t="str">
            <v>BOB SUS (Single)</v>
          </cell>
          <cell r="D948" t="str">
            <v xml:space="preserve">BASKET </v>
          </cell>
          <cell r="E948" t="str">
            <v>Orange</v>
          </cell>
          <cell r="F948" t="str">
            <v>retailer only</v>
          </cell>
          <cell r="G948">
            <v>4000984103861</v>
          </cell>
        </row>
        <row r="949">
          <cell r="B949">
            <v>2000009465</v>
          </cell>
          <cell r="C949" t="str">
            <v>BOB SUS (Single)</v>
          </cell>
          <cell r="D949" t="str">
            <v xml:space="preserve">BASKET </v>
          </cell>
          <cell r="E949" t="str">
            <v>Blue</v>
          </cell>
          <cell r="F949" t="str">
            <v>retailer only</v>
          </cell>
          <cell r="G949">
            <v>4000984103816</v>
          </cell>
        </row>
        <row r="950">
          <cell r="B950">
            <v>2000009466</v>
          </cell>
          <cell r="C950" t="str">
            <v>BOB SUS (Single)</v>
          </cell>
          <cell r="D950" t="str">
            <v>FRONT MUD GUARD</v>
          </cell>
          <cell r="F950" t="str">
            <v>consumer</v>
          </cell>
          <cell r="G950">
            <v>4000984103809</v>
          </cell>
        </row>
        <row r="951">
          <cell r="B951">
            <v>2000009467</v>
          </cell>
          <cell r="C951" t="str">
            <v>BOB SUS (Single)</v>
          </cell>
          <cell r="D951" t="str">
            <v xml:space="preserve">QUICK RELEASE BOLT </v>
          </cell>
          <cell r="F951" t="str">
            <v>retailer only</v>
          </cell>
          <cell r="G951">
            <v>4000984103793</v>
          </cell>
        </row>
        <row r="952">
          <cell r="B952">
            <v>2000009468</v>
          </cell>
          <cell r="C952" t="str">
            <v>BOB SUS (Single)</v>
          </cell>
          <cell r="D952" t="str">
            <v xml:space="preserve">BRAKE PADS </v>
          </cell>
          <cell r="F952" t="str">
            <v>retailer only</v>
          </cell>
          <cell r="G952">
            <v>4000984103786</v>
          </cell>
        </row>
        <row r="953">
          <cell r="B953">
            <v>2000010184</v>
          </cell>
          <cell r="C953" t="str">
            <v>BOB SUS (Single)</v>
          </cell>
          <cell r="D953" t="str">
            <v>FRONT WHEEL</v>
          </cell>
          <cell r="F953" t="str">
            <v>consumer</v>
          </cell>
          <cell r="G953">
            <v>4000984107333</v>
          </cell>
        </row>
        <row r="954">
          <cell r="B954">
            <v>2000010188</v>
          </cell>
          <cell r="C954" t="str">
            <v>BOB SUS (Single)</v>
          </cell>
          <cell r="D954" t="str">
            <v>REAR WHEELS</v>
          </cell>
          <cell r="F954" t="str">
            <v>consumer</v>
          </cell>
          <cell r="G954">
            <v>4000984107371</v>
          </cell>
        </row>
        <row r="955">
          <cell r="B955">
            <v>2000010361</v>
          </cell>
          <cell r="C955" t="str">
            <v>BOB SUS (Single)</v>
          </cell>
          <cell r="D955" t="str">
            <v>WHEEL TUBE REAR</v>
          </cell>
          <cell r="F955" t="str">
            <v>consumer</v>
          </cell>
          <cell r="G955">
            <v>4000984108071</v>
          </cell>
        </row>
        <row r="956">
          <cell r="B956">
            <v>2000009447</v>
          </cell>
          <cell r="C956" t="str">
            <v>BOB SUS (Duallie)</v>
          </cell>
          <cell r="D956" t="str">
            <v>WHEEL TYRE SET (3 pcs)</v>
          </cell>
          <cell r="F956" t="str">
            <v>consumer</v>
          </cell>
          <cell r="G956">
            <v>4000984103991</v>
          </cell>
        </row>
        <row r="957">
          <cell r="B957">
            <v>2000009451</v>
          </cell>
          <cell r="C957" t="str">
            <v>BOB SUS (Duallie)</v>
          </cell>
          <cell r="D957" t="str">
            <v>WHEEL TUBE SET (3 pcs)</v>
          </cell>
          <cell r="F957" t="str">
            <v>consumer</v>
          </cell>
          <cell r="G957">
            <v>4000984103953</v>
          </cell>
        </row>
        <row r="958">
          <cell r="B958">
            <v>2000009466</v>
          </cell>
          <cell r="C958" t="str">
            <v>BOB SUS (Duallie)</v>
          </cell>
          <cell r="D958" t="str">
            <v>FRONT MUD GUARD</v>
          </cell>
          <cell r="F958" t="str">
            <v>consumer</v>
          </cell>
          <cell r="G958">
            <v>4000984103809</v>
          </cell>
        </row>
        <row r="959">
          <cell r="B959">
            <v>2000009467</v>
          </cell>
          <cell r="C959" t="str">
            <v>BOB SUS (Duallie)</v>
          </cell>
          <cell r="D959" t="str">
            <v xml:space="preserve">QUICK RELEASE BOLT </v>
          </cell>
          <cell r="F959" t="str">
            <v>retailer only</v>
          </cell>
          <cell r="G959">
            <v>4000984103793</v>
          </cell>
        </row>
        <row r="960">
          <cell r="B960">
            <v>2000009468</v>
          </cell>
          <cell r="C960" t="str">
            <v>BOB SUS (Duallie)</v>
          </cell>
          <cell r="D960" t="str">
            <v xml:space="preserve">BRAKE PADS </v>
          </cell>
          <cell r="F960" t="str">
            <v>retailer only</v>
          </cell>
          <cell r="G960">
            <v>4000984103786</v>
          </cell>
        </row>
        <row r="961">
          <cell r="B961">
            <v>2000010184</v>
          </cell>
          <cell r="C961" t="str">
            <v>BOB SUS (Duallie)</v>
          </cell>
          <cell r="D961" t="str">
            <v>FRONT WHEEL</v>
          </cell>
          <cell r="F961" t="str">
            <v>consumer</v>
          </cell>
          <cell r="G961">
            <v>4000984107333</v>
          </cell>
        </row>
        <row r="962">
          <cell r="B962">
            <v>2000010188</v>
          </cell>
          <cell r="C962" t="str">
            <v>BOB SUS (Duallie)</v>
          </cell>
          <cell r="D962" t="str">
            <v>REAR WHEELS</v>
          </cell>
          <cell r="F962" t="str">
            <v>consumer</v>
          </cell>
          <cell r="G962">
            <v>4000984107371</v>
          </cell>
        </row>
        <row r="963">
          <cell r="B963">
            <v>2000010361</v>
          </cell>
          <cell r="C963" t="str">
            <v>BOB SUS (Duallie)</v>
          </cell>
          <cell r="D963" t="str">
            <v>WHEEL TUBE REAR</v>
          </cell>
          <cell r="F963" t="str">
            <v>consumer</v>
          </cell>
          <cell r="G963">
            <v>4000984108071</v>
          </cell>
        </row>
        <row r="964">
          <cell r="B964">
            <v>2000029825</v>
          </cell>
          <cell r="C964" t="str">
            <v>BOB Carrycot (Single)</v>
          </cell>
          <cell r="D964" t="str">
            <v>RAINCOVER FOR HARD CARRYCOT</v>
          </cell>
          <cell r="F964" t="str">
            <v>consumer</v>
          </cell>
          <cell r="G964">
            <v>4000984193381</v>
          </cell>
        </row>
      </sheetData>
      <sheetData sheetId="8">
        <row r="1">
          <cell r="A1" t="str">
            <v>Article Nr</v>
          </cell>
          <cell r="B1" t="str">
            <v>Product</v>
          </cell>
          <cell r="C1" t="str">
            <v>ENG</v>
          </cell>
          <cell r="D1" t="str">
            <v>DE</v>
          </cell>
          <cell r="E1" t="str">
            <v>FR</v>
          </cell>
          <cell r="F1" t="str">
            <v>PL</v>
          </cell>
        </row>
        <row r="2">
          <cell r="A2">
            <v>2000006066</v>
          </cell>
          <cell r="B2" t="str">
            <v>BABY-SAFE</v>
          </cell>
          <cell r="C2" t="str">
            <v xml:space="preserve">ADAPTORS </v>
          </cell>
          <cell r="D2" t="str">
            <v>Adapter</v>
          </cell>
          <cell r="E2" t="str">
            <v>ADAPTATEURS</v>
          </cell>
          <cell r="F2" t="str">
            <v>Adapter</v>
          </cell>
        </row>
        <row r="3">
          <cell r="A3">
            <v>2000025771</v>
          </cell>
          <cell r="B3" t="e">
            <v>#N/A</v>
          </cell>
          <cell r="C3" t="str">
            <v xml:space="preserve">ADJUSTABLE FOOTREST HINGE REPAIR SET </v>
          </cell>
          <cell r="D3" t="str">
            <v xml:space="preserve">Fußstützen Reparaturset </v>
          </cell>
          <cell r="E3" t="str">
            <v>Set de réparation de la charnière du repose-jambes ajustable</v>
          </cell>
          <cell r="F3" t="str">
            <v>Zestaw naprawczy podnóżka</v>
          </cell>
        </row>
        <row r="4">
          <cell r="A4">
            <v>2000029340</v>
          </cell>
          <cell r="B4" t="str">
            <v>B-AGILE 4 PLUS</v>
          </cell>
          <cell r="C4" t="str">
            <v xml:space="preserve">ADJUSTABLE FOOTREST HINGE REPAIR SET 2018  </v>
          </cell>
          <cell r="D4" t="str">
            <v xml:space="preserve">Fußstützen Reparaturset 2018 </v>
          </cell>
          <cell r="E4" t="str">
            <v xml:space="preserve">Set de réparation de la charnière du repose-jambes ajustable 2018  </v>
          </cell>
          <cell r="F4" t="str">
            <v>Zestaw naprawczy podnóżka 2018</v>
          </cell>
        </row>
        <row r="5">
          <cell r="A5">
            <v>2000025572</v>
          </cell>
          <cell r="B5" t="str">
            <v>B-MOTION 4 plus</v>
          </cell>
          <cell r="C5" t="str">
            <v>ADJUSTABLE  FOOTREST HINGE SET REPAIR KIT</v>
          </cell>
          <cell r="D5" t="str">
            <v>Fußstützen Reparaturset</v>
          </cell>
          <cell r="E5" t="str">
            <v>Set de réparation de la charnière du repose-jambes ajustable</v>
          </cell>
          <cell r="F5" t="str">
            <v>Zestaw naprawczy podnóżka</v>
          </cell>
        </row>
        <row r="6">
          <cell r="A6">
            <v>2000029339</v>
          </cell>
          <cell r="B6" t="str">
            <v>B-MOTION 4 plus</v>
          </cell>
          <cell r="C6" t="str">
            <v xml:space="preserve">ADJUSTBALE FOOTREST HINGE SET REPAIR SET 2018  </v>
          </cell>
          <cell r="D6" t="str">
            <v xml:space="preserve">Fußstützen Reparaturset 2018 </v>
          </cell>
          <cell r="E6" t="str">
            <v xml:space="preserve">Set de réparation de la charnière du repose-jambes ajustable 2018  </v>
          </cell>
          <cell r="F6" t="str">
            <v>Zestaw naprawczy podnóżka 2018</v>
          </cell>
        </row>
        <row r="7">
          <cell r="A7">
            <v>2000027526</v>
          </cell>
          <cell r="B7" t="str">
            <v>DUALFIX i-SIZE</v>
          </cell>
          <cell r="C7" t="str">
            <v>ADJUSTER COVER</v>
          </cell>
          <cell r="D7" t="str">
            <v>Blende Gurtversteller</v>
          </cell>
          <cell r="E7" t="str">
            <v>CACHE DU SYSTÈME DE REGLAGE</v>
          </cell>
          <cell r="F7" t="str">
            <v>Osłonka mechanizmu naciągania pasów</v>
          </cell>
        </row>
        <row r="8">
          <cell r="A8">
            <v>2000010466</v>
          </cell>
          <cell r="B8" t="str">
            <v>DUALFIX</v>
          </cell>
          <cell r="C8" t="str">
            <v>ADJUSTER COVER</v>
          </cell>
          <cell r="D8" t="str">
            <v>Blende Gurtversteller</v>
          </cell>
          <cell r="E8" t="str">
            <v>CACHE DU SYSTÈME DE REGLAGE</v>
          </cell>
          <cell r="F8" t="str">
            <v>Osłonka mechanizmu naciągania pasów</v>
          </cell>
        </row>
        <row r="9">
          <cell r="A9">
            <v>2000007050</v>
          </cell>
          <cell r="B9" t="str">
            <v>DUO plus</v>
          </cell>
          <cell r="C9" t="str">
            <v>ADJUSTER COVER SET</v>
          </cell>
          <cell r="D9" t="str">
            <v>Blenden Set Gurtversteller</v>
          </cell>
          <cell r="E9" t="str">
            <v>CACHE DU SYSTÈME DE RÉGLAGE</v>
          </cell>
          <cell r="F9" t="str">
            <v>Osłonka mechanizmu naciągania pasów</v>
          </cell>
        </row>
        <row r="10">
          <cell r="A10">
            <v>2000003891</v>
          </cell>
          <cell r="B10" t="str">
            <v>MAX-FIX II</v>
          </cell>
          <cell r="C10" t="str">
            <v>ADJUSTER COVER SET</v>
          </cell>
          <cell r="D10" t="str">
            <v>Blenden Set Gurtversteller</v>
          </cell>
          <cell r="E10" t="str">
            <v>CACHE DU SYSTÈME DE REGLAGE</v>
          </cell>
          <cell r="F10" t="str">
            <v>Osłonka mechanizmu naciągania pasów</v>
          </cell>
        </row>
        <row r="11">
          <cell r="A11">
            <v>2000012224</v>
          </cell>
          <cell r="B11" t="str">
            <v>BRITAX GO NEXT</v>
          </cell>
          <cell r="C11" t="str">
            <v xml:space="preserve">AIR TYRE </v>
          </cell>
          <cell r="D11" t="str">
            <v>Luftreifen</v>
          </cell>
          <cell r="E11" t="str">
            <v>PNEU (1 pièce)</v>
          </cell>
          <cell r="F11" t="str">
            <v>Komplet opon (pompowanych) koła</v>
          </cell>
        </row>
        <row r="12">
          <cell r="A12">
            <v>2000023198</v>
          </cell>
          <cell r="B12" t="str">
            <v>BRITAX GO NEXT</v>
          </cell>
          <cell r="C12" t="str">
            <v>AIR TYRE 2016</v>
          </cell>
          <cell r="D12" t="str">
            <v>Luftreifen 2016</v>
          </cell>
          <cell r="E12" t="str">
            <v>PNEU (2016 - 1 pièce)</v>
          </cell>
          <cell r="F12" t="str">
            <v>Opona 2016</v>
          </cell>
        </row>
        <row r="13">
          <cell r="A13">
            <v>2000004211</v>
          </cell>
          <cell r="B13" t="str">
            <v>ECLIPSE</v>
          </cell>
          <cell r="C13" t="str">
            <v>AIRCRAFT FITTING SET</v>
          </cell>
          <cell r="D13" t="str">
            <v>Flugzeugzubehör Set</v>
          </cell>
          <cell r="E13" t="str">
            <v>Kit d'installation en avion</v>
          </cell>
          <cell r="F13" t="str">
            <v>Zestaw akcesoriów samolotowych</v>
          </cell>
        </row>
        <row r="14">
          <cell r="A14">
            <v>2000024859</v>
          </cell>
          <cell r="B14" t="str">
            <v>B-AGILE 4</v>
          </cell>
          <cell r="C14" t="str">
            <v>APRON</v>
          </cell>
          <cell r="D14" t="str">
            <v>Windschutz</v>
          </cell>
          <cell r="E14" t="str">
            <v>TABLIER siège</v>
          </cell>
          <cell r="F14" t="str">
            <v>Osłonka na nóżki</v>
          </cell>
        </row>
        <row r="15">
          <cell r="A15">
            <v>2000025046</v>
          </cell>
          <cell r="B15" t="str">
            <v>BRITAX SMILE 2</v>
          </cell>
          <cell r="C15" t="str">
            <v>APRON</v>
          </cell>
          <cell r="D15" t="str">
            <v>Windschutz</v>
          </cell>
          <cell r="E15" t="str">
            <v>TABLIER siège</v>
          </cell>
          <cell r="F15" t="str">
            <v>Osłonka na nóżki</v>
          </cell>
        </row>
        <row r="16">
          <cell r="A16">
            <v>2000008863</v>
          </cell>
          <cell r="B16" t="str">
            <v>B-DUAL</v>
          </cell>
          <cell r="C16" t="str">
            <v xml:space="preserve">APRON </v>
          </cell>
          <cell r="D16" t="str">
            <v>Windschutz</v>
          </cell>
          <cell r="E16" t="str">
            <v>TABLIER siège</v>
          </cell>
          <cell r="F16" t="str">
            <v>Osłonka na nóżki</v>
          </cell>
        </row>
        <row r="17">
          <cell r="A17">
            <v>2000008861</v>
          </cell>
          <cell r="B17" t="str">
            <v>B-DUAL</v>
          </cell>
          <cell r="C17" t="str">
            <v xml:space="preserve">APRON </v>
          </cell>
          <cell r="D17" t="str">
            <v>Windschutz</v>
          </cell>
          <cell r="E17" t="str">
            <v>TABLIER siège</v>
          </cell>
          <cell r="F17" t="str">
            <v>Osłonka na nóżki</v>
          </cell>
        </row>
        <row r="18">
          <cell r="A18">
            <v>2000008864</v>
          </cell>
          <cell r="B18" t="str">
            <v>B-DUAL</v>
          </cell>
          <cell r="C18" t="str">
            <v xml:space="preserve">APRON </v>
          </cell>
          <cell r="D18" t="str">
            <v>Windschutz</v>
          </cell>
          <cell r="E18" t="str">
            <v>TABLIER siège</v>
          </cell>
          <cell r="F18" t="str">
            <v>Osłonka na nóżki</v>
          </cell>
        </row>
        <row r="19">
          <cell r="A19">
            <v>2000005964</v>
          </cell>
          <cell r="B19" t="str">
            <v>B-DUAL</v>
          </cell>
          <cell r="C19" t="str">
            <v xml:space="preserve">APRON </v>
          </cell>
          <cell r="D19" t="str">
            <v>Windschutz</v>
          </cell>
          <cell r="E19" t="str">
            <v>TABLIER siège</v>
          </cell>
          <cell r="F19" t="str">
            <v>Osłonka na nóżki</v>
          </cell>
        </row>
        <row r="20">
          <cell r="A20">
            <v>2000002366</v>
          </cell>
          <cell r="B20" t="str">
            <v>B-DUAL</v>
          </cell>
          <cell r="C20" t="str">
            <v xml:space="preserve">APRON </v>
          </cell>
          <cell r="D20" t="str">
            <v>Windschutz</v>
          </cell>
          <cell r="E20" t="str">
            <v>TABLIER siège</v>
          </cell>
          <cell r="F20" t="str">
            <v>Osłonka na nóżki</v>
          </cell>
        </row>
        <row r="21">
          <cell r="A21">
            <v>2000008597</v>
          </cell>
          <cell r="B21" t="str">
            <v>BABY-SAFE Sleeper</v>
          </cell>
          <cell r="C21" t="str">
            <v>APRON (old collection)</v>
          </cell>
          <cell r="D21" t="str">
            <v>Windschutz</v>
          </cell>
          <cell r="E21" t="str">
            <v>TABLIER (ancienne collection)</v>
          </cell>
          <cell r="F21" t="str">
            <v>Osłonka na nóżki (starsza kolekcja)</v>
          </cell>
        </row>
        <row r="22">
          <cell r="A22">
            <v>2000008598</v>
          </cell>
          <cell r="B22" t="str">
            <v>BABY-SAFE Sleeper</v>
          </cell>
          <cell r="C22" t="str">
            <v>APRON (old collection)</v>
          </cell>
          <cell r="D22" t="str">
            <v>Windschutz</v>
          </cell>
          <cell r="E22" t="str">
            <v>TABLIER (ancienne collection)</v>
          </cell>
          <cell r="F22" t="str">
            <v>Osłonka na nóżki (starsza kolekcja)</v>
          </cell>
        </row>
        <row r="23">
          <cell r="A23">
            <v>2000002365</v>
          </cell>
          <cell r="B23" t="e">
            <v>#N/A</v>
          </cell>
          <cell r="C23" t="str">
            <v>APRON FR</v>
          </cell>
          <cell r="D23" t="str">
            <v>Windschutz</v>
          </cell>
          <cell r="E23" t="str">
            <v>TABLIER</v>
          </cell>
          <cell r="F23" t="str">
            <v>Osłonka na nóżki</v>
          </cell>
        </row>
        <row r="24">
          <cell r="A24">
            <v>2000029368</v>
          </cell>
          <cell r="B24" t="str">
            <v>PRAMBODY SPARES GO/GO BIG/GO NEXT</v>
          </cell>
          <cell r="C24" t="str">
            <v xml:space="preserve">APRON PARMBODY </v>
          </cell>
          <cell r="D24" t="str">
            <v xml:space="preserve">Windschutz für Prambody </v>
          </cell>
          <cell r="E24" t="str">
            <v>TABLIER NACELLE</v>
          </cell>
          <cell r="F24" t="str">
            <v xml:space="preserve">Osłonka na gondolę </v>
          </cell>
        </row>
        <row r="25">
          <cell r="A25">
            <v>2000021631</v>
          </cell>
          <cell r="B25" t="str">
            <v>PRAMBODY SPARES GO/GO BIG/GO NEXT</v>
          </cell>
          <cell r="C25" t="str">
            <v xml:space="preserve">APRON PRAMBODY </v>
          </cell>
          <cell r="D25" t="str">
            <v xml:space="preserve">Windschutz für Prambody </v>
          </cell>
          <cell r="E25" t="str">
            <v>TABLIER NACELLE</v>
          </cell>
          <cell r="F25" t="str">
            <v xml:space="preserve">Osłonka na gondolę </v>
          </cell>
        </row>
        <row r="26">
          <cell r="A26">
            <v>2000021632</v>
          </cell>
          <cell r="B26" t="str">
            <v>PRAMBODY SPARES GO/GO BIG/GO NEXT</v>
          </cell>
          <cell r="C26" t="str">
            <v xml:space="preserve">APRON PRAMBODY </v>
          </cell>
          <cell r="D26" t="str">
            <v xml:space="preserve">Windschutz für Prambody </v>
          </cell>
          <cell r="E26" t="str">
            <v>TABLIER NACELLE</v>
          </cell>
          <cell r="F26" t="str">
            <v xml:space="preserve">Osłonka na gondolę </v>
          </cell>
        </row>
        <row r="27">
          <cell r="A27">
            <v>2000021633</v>
          </cell>
          <cell r="B27" t="str">
            <v>PRAMBODY SPARES GO/GO BIG/GO NEXT</v>
          </cell>
          <cell r="C27" t="str">
            <v xml:space="preserve">APRON PRAMBODY </v>
          </cell>
          <cell r="D27" t="str">
            <v xml:space="preserve">Windschutz für Prambody </v>
          </cell>
          <cell r="E27" t="str">
            <v>TABLIER NACELLE</v>
          </cell>
          <cell r="F27" t="str">
            <v xml:space="preserve">Osłonka na gondolę </v>
          </cell>
        </row>
        <row r="28">
          <cell r="A28">
            <v>2000021634</v>
          </cell>
          <cell r="B28" t="str">
            <v>PRAMBODY SPARES GO/GO BIG/GO NEXT</v>
          </cell>
          <cell r="C28" t="str">
            <v xml:space="preserve">APRON PRAMBODY </v>
          </cell>
          <cell r="D28" t="str">
            <v xml:space="preserve">Windschutz für Prambody </v>
          </cell>
          <cell r="E28" t="str">
            <v>TABLIER NACELLE</v>
          </cell>
          <cell r="F28" t="str">
            <v xml:space="preserve">Osłonka na gondolę </v>
          </cell>
        </row>
        <row r="29">
          <cell r="A29">
            <v>2000021635</v>
          </cell>
          <cell r="B29" t="str">
            <v>PRAMBODY SPARES GO/GO BIG/GO NEXT</v>
          </cell>
          <cell r="C29" t="str">
            <v xml:space="preserve">APRON PRAMBODY </v>
          </cell>
          <cell r="D29" t="str">
            <v xml:space="preserve">Windschutz für Prambody </v>
          </cell>
          <cell r="E29" t="str">
            <v>TABLIER NACELLE</v>
          </cell>
          <cell r="F29" t="str">
            <v xml:space="preserve">Osłonka na gondolę </v>
          </cell>
        </row>
        <row r="30">
          <cell r="A30">
            <v>2000021636</v>
          </cell>
          <cell r="B30" t="str">
            <v>PRAMBODY SPARES GO/GO BIG/GO NEXT</v>
          </cell>
          <cell r="C30" t="str">
            <v xml:space="preserve">APRON PRAMBODY </v>
          </cell>
          <cell r="D30" t="str">
            <v xml:space="preserve">Windschutz für Prambody </v>
          </cell>
          <cell r="E30" t="str">
            <v>TABLIER NACELLE</v>
          </cell>
          <cell r="F30" t="str">
            <v xml:space="preserve">Osłonka na gondolę </v>
          </cell>
        </row>
        <row r="31">
          <cell r="A31">
            <v>2000023217</v>
          </cell>
          <cell r="B31" t="str">
            <v>PRAMBODY SPARES GO/GO BIG/GO NEXT</v>
          </cell>
          <cell r="C31" t="str">
            <v xml:space="preserve">APRON PRAMBODY </v>
          </cell>
          <cell r="D31" t="str">
            <v xml:space="preserve">Windschutz für Prambody </v>
          </cell>
          <cell r="E31" t="str">
            <v>TABLIER NACELLE</v>
          </cell>
          <cell r="F31" t="str">
            <v xml:space="preserve">Osłonka na gondolę </v>
          </cell>
        </row>
        <row r="32">
          <cell r="A32">
            <v>2000029372</v>
          </cell>
          <cell r="B32" t="str">
            <v>PRAMBODY SPARES GO/GO BIG/GO NEXT</v>
          </cell>
          <cell r="C32" t="str">
            <v xml:space="preserve">APRON PRAMBODY </v>
          </cell>
          <cell r="D32" t="str">
            <v xml:space="preserve">Windschutz für Prambody </v>
          </cell>
          <cell r="E32" t="str">
            <v>TABLIER NACELLE</v>
          </cell>
          <cell r="F32" t="str">
            <v xml:space="preserve">Osłonka na gondolę </v>
          </cell>
        </row>
        <row r="33">
          <cell r="A33">
            <v>2000023221</v>
          </cell>
          <cell r="B33" t="str">
            <v>PRAMBODY SPARES GO/GO BIG/GO NEXT</v>
          </cell>
          <cell r="C33" t="str">
            <v xml:space="preserve">APRON PRAMBODY </v>
          </cell>
          <cell r="D33" t="str">
            <v xml:space="preserve">Windschutz für Prambody </v>
          </cell>
          <cell r="E33" t="str">
            <v>TABLIER NACELLE</v>
          </cell>
          <cell r="F33" t="str">
            <v xml:space="preserve">Osłonka na gondolę </v>
          </cell>
        </row>
        <row r="34">
          <cell r="A34">
            <v>2000029369</v>
          </cell>
          <cell r="B34" t="str">
            <v>PRAMBODY SPARES GO/GO BIG/GO NEXT</v>
          </cell>
          <cell r="C34" t="str">
            <v xml:space="preserve">APRON PRAMBODY </v>
          </cell>
          <cell r="D34" t="str">
            <v xml:space="preserve">Windschutz für Prambody </v>
          </cell>
          <cell r="E34" t="str">
            <v>TABLIER NACELLE</v>
          </cell>
          <cell r="F34" t="str">
            <v xml:space="preserve">Osłonka na gondolę </v>
          </cell>
        </row>
        <row r="35">
          <cell r="A35">
            <v>2000021637</v>
          </cell>
          <cell r="B35" t="str">
            <v>PRAMBODY SPARES GO/GO BIG/GO NEXT</v>
          </cell>
          <cell r="C35" t="str">
            <v xml:space="preserve">APRON PRAMBODY </v>
          </cell>
          <cell r="D35" t="str">
            <v xml:space="preserve">Windschutz für Prambody </v>
          </cell>
          <cell r="E35" t="str">
            <v>TABLIER NACELLE</v>
          </cell>
          <cell r="F35" t="str">
            <v xml:space="preserve">Osłonka na gondolę </v>
          </cell>
        </row>
        <row r="36">
          <cell r="A36">
            <v>2000021638</v>
          </cell>
          <cell r="B36" t="str">
            <v>PRAMBODY SPARES GO/GO BIG/GO NEXT</v>
          </cell>
          <cell r="C36" t="str">
            <v xml:space="preserve">APRON PRAMBODY </v>
          </cell>
          <cell r="D36" t="str">
            <v xml:space="preserve">Windschutz für Prambody </v>
          </cell>
          <cell r="E36" t="str">
            <v>TABLIER NACELLE</v>
          </cell>
          <cell r="F36" t="str">
            <v xml:space="preserve">Osłonka na gondolę </v>
          </cell>
        </row>
        <row r="37">
          <cell r="A37">
            <v>2000021639</v>
          </cell>
          <cell r="B37" t="str">
            <v>PRAMBODY SPARES GO/GO BIG/GO NEXT</v>
          </cell>
          <cell r="C37" t="str">
            <v xml:space="preserve">APRON PRAMBODY </v>
          </cell>
          <cell r="D37" t="str">
            <v xml:space="preserve">Windschutz für Prambody </v>
          </cell>
          <cell r="E37" t="str">
            <v>TABLIER NACELLE</v>
          </cell>
          <cell r="F37" t="str">
            <v xml:space="preserve">Osłonka na gondolę </v>
          </cell>
        </row>
        <row r="38">
          <cell r="A38">
            <v>2000021735</v>
          </cell>
          <cell r="B38" t="str">
            <v>PRAMBODY SPARES GO/GO BIG/GO NEXT</v>
          </cell>
          <cell r="C38" t="str">
            <v xml:space="preserve">APRON PRAMBODY </v>
          </cell>
          <cell r="D38" t="str">
            <v xml:space="preserve">Windschutz für Prambody </v>
          </cell>
          <cell r="E38" t="str">
            <v>TABLIER NACELLE</v>
          </cell>
          <cell r="F38" t="str">
            <v xml:space="preserve">Osłonka na gondolę </v>
          </cell>
        </row>
        <row r="39">
          <cell r="A39">
            <v>2000021736</v>
          </cell>
          <cell r="B39" t="str">
            <v>PRAMBODY SPARES GO/GO BIG/GO NEXT</v>
          </cell>
          <cell r="C39" t="str">
            <v xml:space="preserve">APRON PRAMBODY </v>
          </cell>
          <cell r="D39" t="str">
            <v xml:space="preserve">Windschutz für Prambody </v>
          </cell>
          <cell r="E39" t="str">
            <v>TABLIER NACELLE</v>
          </cell>
          <cell r="F39" t="str">
            <v xml:space="preserve">Osłonka na gondolę </v>
          </cell>
        </row>
        <row r="40">
          <cell r="A40">
            <v>2000029370</v>
          </cell>
          <cell r="B40" t="str">
            <v>PRAMBODY SPARES GO/GO BIG/GO NEXT</v>
          </cell>
          <cell r="C40" t="str">
            <v xml:space="preserve">APRON PRAMBODY </v>
          </cell>
          <cell r="D40" t="str">
            <v xml:space="preserve">Windschutz für Prambody </v>
          </cell>
          <cell r="E40" t="str">
            <v>TABLIER NACELLE</v>
          </cell>
          <cell r="F40" t="str">
            <v xml:space="preserve">Osłonka na gondolę </v>
          </cell>
        </row>
        <row r="41">
          <cell r="A41">
            <v>2000029371</v>
          </cell>
          <cell r="B41" t="str">
            <v>PRAMBODY SPARES GO/GO BIG/GO NEXT</v>
          </cell>
          <cell r="C41" t="str">
            <v xml:space="preserve">APRON PRAMBODY </v>
          </cell>
          <cell r="D41" t="str">
            <v xml:space="preserve">Windschutz für Prambody </v>
          </cell>
          <cell r="E41" t="str">
            <v>TABLIER NACELLE</v>
          </cell>
          <cell r="F41" t="str">
            <v xml:space="preserve">Osłonka na gondolę </v>
          </cell>
        </row>
        <row r="42">
          <cell r="A42">
            <v>2000021622</v>
          </cell>
          <cell r="B42" t="str">
            <v>BRITAX GO</v>
          </cell>
          <cell r="C42" t="str">
            <v>APRON SEAT UNIT</v>
          </cell>
          <cell r="D42" t="str">
            <v>Windschutz für Sitzeinheit</v>
          </cell>
          <cell r="E42" t="str">
            <v>TABLIER siège</v>
          </cell>
          <cell r="F42" t="str">
            <v>Osłonka na nóżki</v>
          </cell>
        </row>
        <row r="43">
          <cell r="A43">
            <v>2000021623</v>
          </cell>
          <cell r="B43" t="str">
            <v>BRITAX GO</v>
          </cell>
          <cell r="C43" t="str">
            <v>APRON SEAT UNIT</v>
          </cell>
          <cell r="D43" t="str">
            <v>Windschutz für Sitzeinheit</v>
          </cell>
          <cell r="E43" t="str">
            <v>TABLIER siège</v>
          </cell>
          <cell r="F43" t="str">
            <v>Osłonka na nóżki</v>
          </cell>
        </row>
        <row r="44">
          <cell r="A44">
            <v>2000021624</v>
          </cell>
          <cell r="B44" t="str">
            <v>BRITAX GO</v>
          </cell>
          <cell r="C44" t="str">
            <v>APRON SEAT UNIT</v>
          </cell>
          <cell r="D44" t="str">
            <v>Windschutz für Sitzeinheit</v>
          </cell>
          <cell r="E44" t="str">
            <v>TABLIER siège</v>
          </cell>
          <cell r="F44" t="str">
            <v>Osłonka na nóżki</v>
          </cell>
        </row>
        <row r="45">
          <cell r="A45">
            <v>2000021625</v>
          </cell>
          <cell r="B45" t="str">
            <v>BRITAX GO</v>
          </cell>
          <cell r="C45" t="str">
            <v>APRON SEAT UNIT</v>
          </cell>
          <cell r="D45" t="str">
            <v>Windschutz für Sitzeinheit</v>
          </cell>
          <cell r="E45" t="str">
            <v>TABLIER siège</v>
          </cell>
          <cell r="F45" t="str">
            <v>Osłonka na nóżki</v>
          </cell>
        </row>
        <row r="46">
          <cell r="A46">
            <v>2000021626</v>
          </cell>
          <cell r="B46" t="str">
            <v>BRITAX GO</v>
          </cell>
          <cell r="C46" t="str">
            <v>APRON SEAT UNIT</v>
          </cell>
          <cell r="D46" t="str">
            <v>Windschutz für Sitzeinheit</v>
          </cell>
          <cell r="E46" t="str">
            <v>TABLIER siège</v>
          </cell>
          <cell r="F46" t="str">
            <v>Osłonka na nóżki</v>
          </cell>
        </row>
        <row r="47">
          <cell r="A47">
            <v>2000021627</v>
          </cell>
          <cell r="B47" t="str">
            <v>BRITAX GO</v>
          </cell>
          <cell r="C47" t="str">
            <v>APRON SEAT UNIT</v>
          </cell>
          <cell r="D47" t="str">
            <v>Windschutz für Sitzeinheit</v>
          </cell>
          <cell r="E47" t="str">
            <v>TABLIER siège</v>
          </cell>
          <cell r="F47" t="str">
            <v>Osłonka na nóżki</v>
          </cell>
        </row>
        <row r="48">
          <cell r="A48">
            <v>2000023211</v>
          </cell>
          <cell r="B48" t="str">
            <v>BRITAX GO</v>
          </cell>
          <cell r="C48" t="str">
            <v>APRON SEAT UNIT</v>
          </cell>
          <cell r="D48" t="str">
            <v>Windschutz für Sitzeinheit</v>
          </cell>
          <cell r="E48" t="str">
            <v>TABLIER siège</v>
          </cell>
          <cell r="F48" t="str">
            <v>Osłonka na nóżki</v>
          </cell>
        </row>
        <row r="49">
          <cell r="A49">
            <v>2000021628</v>
          </cell>
          <cell r="B49" t="str">
            <v>BRITAX GO NEXT</v>
          </cell>
          <cell r="C49" t="str">
            <v xml:space="preserve">APRON SEAT UNIT </v>
          </cell>
          <cell r="D49" t="str">
            <v>Windschutz für Sitzeinheit</v>
          </cell>
          <cell r="E49" t="str">
            <v>TABLIER siège</v>
          </cell>
          <cell r="F49" t="str">
            <v>Osłonka na nóżki</v>
          </cell>
        </row>
        <row r="50">
          <cell r="A50">
            <v>2000021629</v>
          </cell>
          <cell r="B50" t="str">
            <v>BRITAX GO NEXT</v>
          </cell>
          <cell r="C50" t="str">
            <v xml:space="preserve">APRON SEAT UNIT </v>
          </cell>
          <cell r="D50" t="str">
            <v>Windschutz für Sitzeinheit</v>
          </cell>
          <cell r="E50" t="str">
            <v>TABLIER siège</v>
          </cell>
          <cell r="F50" t="str">
            <v>Osłonka na nóżki</v>
          </cell>
        </row>
        <row r="51">
          <cell r="A51">
            <v>2000021733</v>
          </cell>
          <cell r="B51" t="str">
            <v>BRITAX GO NEXT</v>
          </cell>
          <cell r="C51" t="str">
            <v xml:space="preserve">APRON SEAT UNIT </v>
          </cell>
          <cell r="D51" t="str">
            <v>Windschutz für Sitzeinheit</v>
          </cell>
          <cell r="E51" t="str">
            <v>TABLIER siège</v>
          </cell>
          <cell r="F51" t="str">
            <v>Osłonka na nóżki</v>
          </cell>
        </row>
        <row r="52">
          <cell r="A52">
            <v>2000021734</v>
          </cell>
          <cell r="B52" t="str">
            <v>BRITAX GO NEXT</v>
          </cell>
          <cell r="C52" t="str">
            <v xml:space="preserve">APRON SEAT UNIT </v>
          </cell>
          <cell r="D52" t="str">
            <v>Windschutz für Sitzeinheit</v>
          </cell>
          <cell r="E52" t="str">
            <v>TABLIER siège</v>
          </cell>
          <cell r="F52" t="str">
            <v>Osłonka na nóżki</v>
          </cell>
        </row>
        <row r="53">
          <cell r="A53">
            <v>2000023215</v>
          </cell>
          <cell r="B53" t="str">
            <v>BRITAX GO NEXT</v>
          </cell>
          <cell r="C53" t="str">
            <v xml:space="preserve">APRON SEAT UNIT </v>
          </cell>
          <cell r="D53" t="str">
            <v>Windschutz für Sitzeinheit</v>
          </cell>
          <cell r="E53" t="str">
            <v>TABLIER siège</v>
          </cell>
          <cell r="F53" t="str">
            <v>Osłonka na nóżki</v>
          </cell>
        </row>
        <row r="54">
          <cell r="A54">
            <v>2000023216</v>
          </cell>
          <cell r="B54" t="str">
            <v>BRITAX GO NEXT</v>
          </cell>
          <cell r="C54" t="str">
            <v xml:space="preserve">APRON SEAT UNIT </v>
          </cell>
          <cell r="D54" t="str">
            <v>Windschutz für Sitzeinheit</v>
          </cell>
          <cell r="E54" t="str">
            <v>TABLIER siège</v>
          </cell>
          <cell r="F54" t="str">
            <v>Osłonka na nóżki</v>
          </cell>
        </row>
        <row r="55">
          <cell r="A55">
            <v>2000026720</v>
          </cell>
          <cell r="B55" t="str">
            <v>BRITAX GO NEXT</v>
          </cell>
          <cell r="C55" t="str">
            <v xml:space="preserve">APRON SEAT UNIT </v>
          </cell>
          <cell r="D55" t="str">
            <v>Windschutz für Sitzeinheit</v>
          </cell>
          <cell r="E55" t="str">
            <v>TABLIER siège</v>
          </cell>
          <cell r="F55" t="str">
            <v>Osłonka na nóżki</v>
          </cell>
        </row>
        <row r="56">
          <cell r="A56">
            <v>2000023209</v>
          </cell>
          <cell r="B56" t="str">
            <v>BRITAX GO</v>
          </cell>
          <cell r="C56" t="str">
            <v xml:space="preserve">APRON SEAT UNIT  </v>
          </cell>
          <cell r="D56" t="str">
            <v>Windschutz für Sitzeinheit</v>
          </cell>
          <cell r="E56" t="str">
            <v>TABLIER siège</v>
          </cell>
          <cell r="F56" t="str">
            <v>Osłonka na nóżki</v>
          </cell>
        </row>
        <row r="57">
          <cell r="A57">
            <v>2000023210</v>
          </cell>
          <cell r="B57" t="str">
            <v>BRITAX GO</v>
          </cell>
          <cell r="C57" t="str">
            <v xml:space="preserve">APRON SEAT UNIT  </v>
          </cell>
          <cell r="D57" t="str">
            <v>Windschutz für Sitzeinheit</v>
          </cell>
          <cell r="E57" t="str">
            <v>TABLIER siège</v>
          </cell>
          <cell r="F57" t="str">
            <v>Osłonka na nóżki</v>
          </cell>
        </row>
        <row r="58">
          <cell r="A58">
            <v>2000023212</v>
          </cell>
          <cell r="B58" t="str">
            <v>BRITAX GO</v>
          </cell>
          <cell r="C58" t="str">
            <v xml:space="preserve">APRON SEAT UNIT  </v>
          </cell>
          <cell r="D58" t="str">
            <v>Windschutz für Sitzeinheit</v>
          </cell>
          <cell r="E58" t="str">
            <v>TABLIER siège</v>
          </cell>
          <cell r="F58" t="str">
            <v>Osłonka na nóżki</v>
          </cell>
        </row>
        <row r="59">
          <cell r="A59">
            <v>2000023213</v>
          </cell>
          <cell r="B59" t="str">
            <v>BRITAX GO</v>
          </cell>
          <cell r="C59" t="str">
            <v xml:space="preserve">APRON SEAT UNIT  </v>
          </cell>
          <cell r="D59" t="str">
            <v>Windschutz für Sitzeinheit</v>
          </cell>
          <cell r="E59" t="str">
            <v>TABLIER siège</v>
          </cell>
          <cell r="F59" t="str">
            <v>Osłonka na nóżki</v>
          </cell>
        </row>
        <row r="60">
          <cell r="A60">
            <v>2000023214</v>
          </cell>
          <cell r="B60" t="str">
            <v>BRITAX GO</v>
          </cell>
          <cell r="C60" t="str">
            <v xml:space="preserve">APRON SEAT UNIT  </v>
          </cell>
          <cell r="D60" t="str">
            <v>Windschutz für Sitzeinheit</v>
          </cell>
          <cell r="E60" t="str">
            <v>TABLIER siège</v>
          </cell>
          <cell r="F60" t="str">
            <v>Osłonka na nóżki</v>
          </cell>
        </row>
        <row r="61">
          <cell r="A61">
            <v>2000026721</v>
          </cell>
          <cell r="B61" t="str">
            <v>BRITAX GO</v>
          </cell>
          <cell r="C61" t="str">
            <v xml:space="preserve">APRON SEAT UNIT  </v>
          </cell>
          <cell r="D61" t="str">
            <v>Windschutz für Sitzeinheit</v>
          </cell>
          <cell r="E61" t="str">
            <v>TABLIER siège</v>
          </cell>
          <cell r="F61" t="str">
            <v>Osłonka na nóżki</v>
          </cell>
        </row>
        <row r="62">
          <cell r="A62">
            <v>2000029519</v>
          </cell>
          <cell r="B62" t="str">
            <v>BRITAX GO NEXT</v>
          </cell>
          <cell r="C62" t="str">
            <v xml:space="preserve">APRON SEAT UNIT  </v>
          </cell>
          <cell r="D62" t="str">
            <v>Windschutz für Sitzeinheit</v>
          </cell>
          <cell r="E62" t="str">
            <v>TABLIER siège</v>
          </cell>
          <cell r="F62" t="str">
            <v>Osłonka na nóżki</v>
          </cell>
        </row>
        <row r="63">
          <cell r="A63">
            <v>2000029520</v>
          </cell>
          <cell r="B63" t="str">
            <v>BRITAX GO NEXT</v>
          </cell>
          <cell r="C63" t="str">
            <v xml:space="preserve">APRON SEAT UNIT  </v>
          </cell>
          <cell r="D63" t="str">
            <v>Windschutz für Sitzeinheit</v>
          </cell>
          <cell r="E63" t="str">
            <v>TABLIER siège</v>
          </cell>
          <cell r="F63" t="str">
            <v>Osłonka na nóżki</v>
          </cell>
        </row>
        <row r="64">
          <cell r="A64">
            <v>2000021630</v>
          </cell>
          <cell r="B64" t="str">
            <v>BRITAX GO NEXT</v>
          </cell>
          <cell r="C64" t="str">
            <v xml:space="preserve">APRON SEAT UNIT  </v>
          </cell>
          <cell r="D64" t="str">
            <v>Windschutz für Sitzeinheit</v>
          </cell>
          <cell r="E64" t="str">
            <v>TABLIER siège</v>
          </cell>
          <cell r="F64" t="str">
            <v>Osłonka na nóżki</v>
          </cell>
        </row>
        <row r="65">
          <cell r="A65">
            <v>2000029518</v>
          </cell>
          <cell r="B65" t="str">
            <v>BRITAX GO NEXT</v>
          </cell>
          <cell r="C65" t="str">
            <v xml:space="preserve">APRON SEAT UNIT  </v>
          </cell>
          <cell r="D65" t="str">
            <v>Windschutz für Sitzeinheit</v>
          </cell>
          <cell r="E65" t="str">
            <v>TABLIER siège</v>
          </cell>
          <cell r="F65" t="str">
            <v>Osłonka na nóżki</v>
          </cell>
        </row>
        <row r="66">
          <cell r="A66" t="str">
            <v>R366090001702</v>
          </cell>
          <cell r="B66" t="str">
            <v>BRITAX SMILE 2</v>
          </cell>
          <cell r="C66" t="str">
            <v xml:space="preserve">ASSEMBL. BRAKE INCL. FASTENER </v>
          </cell>
          <cell r="D66" t="str">
            <v xml:space="preserve">Bremsen Reparatur Set </v>
          </cell>
          <cell r="E66" t="str">
            <v>KIT DE RÉPARATION DU FREIN</v>
          </cell>
          <cell r="F66" t="str">
            <v>Zestaw naprawczy hamulca</v>
          </cell>
        </row>
        <row r="67">
          <cell r="A67">
            <v>2000021818</v>
          </cell>
          <cell r="B67" t="str">
            <v>B-AGILE 3</v>
          </cell>
          <cell r="C67" t="str">
            <v>BACKREST BOARD</v>
          </cell>
          <cell r="D67" t="str">
            <v>Rückenplatte</v>
          </cell>
          <cell r="E67" t="str">
            <v>PLAQUE DOSSIER</v>
          </cell>
          <cell r="F67" t="str">
            <v xml:space="preserve">Płyta oparcia siedziska </v>
          </cell>
        </row>
        <row r="68">
          <cell r="A68">
            <v>2000024432</v>
          </cell>
          <cell r="B68" t="str">
            <v>B-MOTION 4 plus</v>
          </cell>
          <cell r="C68" t="str">
            <v>BACKREST BOARD</v>
          </cell>
          <cell r="D68" t="str">
            <v>Rückenplatte</v>
          </cell>
          <cell r="E68" t="str">
            <v>PLAQUE DOSSIER</v>
          </cell>
          <cell r="F68" t="str">
            <v xml:space="preserve">Płyta oparcia siedziska </v>
          </cell>
        </row>
        <row r="69">
          <cell r="A69">
            <v>2000025136</v>
          </cell>
          <cell r="B69" t="str">
            <v>BRITAX GO BIG</v>
          </cell>
          <cell r="C69" t="str">
            <v>BACKREST BOARD ASSEMBLED</v>
          </cell>
          <cell r="D69" t="str">
            <v>Rückenplatte</v>
          </cell>
          <cell r="E69" t="str">
            <v>PLAQUE DOSSIER</v>
          </cell>
          <cell r="F69" t="str">
            <v xml:space="preserve">Płyta oparcia siedziska </v>
          </cell>
        </row>
        <row r="70">
          <cell r="A70">
            <v>2000023226</v>
          </cell>
          <cell r="B70" t="str">
            <v>BRITAX GO</v>
          </cell>
          <cell r="C70" t="str">
            <v xml:space="preserve">BACKREST BOARD ASSEMBLED </v>
          </cell>
          <cell r="D70" t="str">
            <v>Rückenplatte</v>
          </cell>
          <cell r="E70" t="str">
            <v>PLAQUE DOSSIER</v>
          </cell>
          <cell r="F70" t="str">
            <v xml:space="preserve">Płyta oparcia siedziska </v>
          </cell>
        </row>
        <row r="71">
          <cell r="A71">
            <v>2000026837</v>
          </cell>
          <cell r="B71" t="str">
            <v>BRITAX GO</v>
          </cell>
          <cell r="C71" t="str">
            <v>BACKREST BUCKLE</v>
          </cell>
          <cell r="D71" t="str">
            <v>Rückenlehnenschnalle</v>
          </cell>
          <cell r="E71" t="str">
            <v>BOUCLE DOSSIER</v>
          </cell>
          <cell r="F71" t="str">
            <v>Zapięcie regulacji oparcia</v>
          </cell>
        </row>
        <row r="72">
          <cell r="A72">
            <v>2000005806</v>
          </cell>
          <cell r="B72" t="str">
            <v>B-AGILE 3</v>
          </cell>
          <cell r="C72" t="str">
            <v>BASKET</v>
          </cell>
          <cell r="D72" t="str">
            <v>Korb</v>
          </cell>
          <cell r="E72" t="str">
            <v>PANIER</v>
          </cell>
          <cell r="F72" t="str">
            <v>Kosz zakupowy</v>
          </cell>
        </row>
        <row r="73">
          <cell r="A73">
            <v>2000024431</v>
          </cell>
          <cell r="B73" t="str">
            <v>B-MOTION 4 plus</v>
          </cell>
          <cell r="C73" t="str">
            <v>BASKET</v>
          </cell>
          <cell r="D73" t="str">
            <v>Korb</v>
          </cell>
          <cell r="E73" t="str">
            <v>PANIER</v>
          </cell>
          <cell r="F73" t="str">
            <v>Kosz zakupowy</v>
          </cell>
        </row>
        <row r="74">
          <cell r="A74">
            <v>2000006220</v>
          </cell>
          <cell r="B74" t="str">
            <v>B-SMART 3</v>
          </cell>
          <cell r="C74" t="str">
            <v>BASKET</v>
          </cell>
          <cell r="D74" t="str">
            <v>Korb</v>
          </cell>
          <cell r="E74" t="str">
            <v>PANIER</v>
          </cell>
          <cell r="F74" t="str">
            <v>Kosz zakupowy</v>
          </cell>
        </row>
        <row r="75">
          <cell r="A75">
            <v>2000003043</v>
          </cell>
          <cell r="B75" t="str">
            <v>B-MOBILE</v>
          </cell>
          <cell r="C75" t="str">
            <v>BASKET</v>
          </cell>
          <cell r="D75" t="str">
            <v>Korb</v>
          </cell>
          <cell r="E75" t="str">
            <v>PANIER</v>
          </cell>
          <cell r="F75" t="str">
            <v>Kosz zakupowy</v>
          </cell>
        </row>
        <row r="76">
          <cell r="A76">
            <v>2000025505</v>
          </cell>
          <cell r="B76" t="str">
            <v>B-READY</v>
          </cell>
          <cell r="C76" t="str">
            <v>BASKET</v>
          </cell>
          <cell r="D76" t="str">
            <v>Korb</v>
          </cell>
          <cell r="E76" t="str">
            <v>PANIER</v>
          </cell>
          <cell r="F76" t="str">
            <v>Kosz zakupowy</v>
          </cell>
        </row>
        <row r="77">
          <cell r="A77">
            <v>2000021678</v>
          </cell>
          <cell r="B77" t="str">
            <v>BRITAX SMILE</v>
          </cell>
          <cell r="C77" t="str">
            <v>BASKET</v>
          </cell>
          <cell r="D77" t="str">
            <v>Korb</v>
          </cell>
          <cell r="E77" t="str">
            <v>PANIER</v>
          </cell>
          <cell r="F77" t="str">
            <v>Kosz zakupowy</v>
          </cell>
        </row>
        <row r="78">
          <cell r="A78">
            <v>2000025037</v>
          </cell>
          <cell r="B78" t="str">
            <v>BRITAX SMILE 2</v>
          </cell>
          <cell r="C78" t="str">
            <v>BASKET</v>
          </cell>
          <cell r="D78" t="str">
            <v>Korb</v>
          </cell>
          <cell r="E78" t="str">
            <v>PANIER</v>
          </cell>
          <cell r="F78" t="str">
            <v>Kosz zakupowy</v>
          </cell>
        </row>
        <row r="79">
          <cell r="A79">
            <v>2000009554</v>
          </cell>
          <cell r="B79" t="str">
            <v>BRITAX AFFINITY</v>
          </cell>
          <cell r="C79" t="str">
            <v>BASKET</v>
          </cell>
          <cell r="D79" t="str">
            <v>Korb</v>
          </cell>
          <cell r="E79" t="str">
            <v>PANIER</v>
          </cell>
          <cell r="F79" t="str">
            <v>Kosz zakupowy</v>
          </cell>
        </row>
        <row r="80">
          <cell r="A80">
            <v>2000025323</v>
          </cell>
          <cell r="B80" t="str">
            <v>BRITAX AFFINITY 2</v>
          </cell>
          <cell r="C80" t="str">
            <v>BASKET</v>
          </cell>
          <cell r="D80" t="str">
            <v>Korb</v>
          </cell>
          <cell r="E80" t="str">
            <v>PANIER</v>
          </cell>
          <cell r="F80" t="str">
            <v>Kosz zakupowy</v>
          </cell>
        </row>
        <row r="81">
          <cell r="A81">
            <v>2000008820</v>
          </cell>
          <cell r="B81" t="str">
            <v>B-AGILE DOUBLE</v>
          </cell>
          <cell r="C81" t="str">
            <v xml:space="preserve">BASKET </v>
          </cell>
          <cell r="D81" t="str">
            <v>Korb</v>
          </cell>
          <cell r="E81" t="str">
            <v>PANIER</v>
          </cell>
          <cell r="F81" t="str">
            <v>Kosz zakupowy</v>
          </cell>
        </row>
        <row r="82">
          <cell r="A82">
            <v>2000003790</v>
          </cell>
          <cell r="B82" t="str">
            <v>B-DUAL</v>
          </cell>
          <cell r="C82" t="str">
            <v>BASKET (2010)</v>
          </cell>
          <cell r="D82" t="str">
            <v>Korb (2010)</v>
          </cell>
          <cell r="E82" t="str">
            <v>PANIER (2010)</v>
          </cell>
          <cell r="F82" t="str">
            <v>Kosz zakupowy (2010)</v>
          </cell>
        </row>
        <row r="83">
          <cell r="A83">
            <v>2000003039</v>
          </cell>
          <cell r="B83" t="str">
            <v>B-DUAL</v>
          </cell>
          <cell r="C83" t="str">
            <v>BASKET (2011)</v>
          </cell>
          <cell r="D83" t="str">
            <v>Korb (2011)</v>
          </cell>
          <cell r="E83" t="str">
            <v>PANIER (2011)</v>
          </cell>
          <cell r="F83" t="str">
            <v>Kosz zakupowy (2011)</v>
          </cell>
        </row>
        <row r="84">
          <cell r="A84">
            <v>2000024298</v>
          </cell>
          <cell r="B84" t="str">
            <v>FIRST CLASS plus</v>
          </cell>
          <cell r="C84" t="str">
            <v>BELLY PAD</v>
          </cell>
          <cell r="D84" t="str">
            <v>Gurtschlosspolster</v>
          </cell>
          <cell r="E84" t="str">
            <v>COUSSINET D'ENTREJAMBE</v>
          </cell>
          <cell r="F84" t="str">
            <v>Piankowa osłona zapięcia uprzęży oraz pasa krokowego</v>
          </cell>
        </row>
        <row r="85">
          <cell r="A85">
            <v>2000010468</v>
          </cell>
          <cell r="B85" t="str">
            <v>XTENSAFIX / ADVANSAFIX</v>
          </cell>
          <cell r="C85" t="str">
            <v xml:space="preserve">BELT LOCK OFFS </v>
          </cell>
          <cell r="D85" t="str">
            <v xml:space="preserve">Gurtklemmen Set </v>
          </cell>
          <cell r="E85" t="str">
            <v xml:space="preserve">CLIPS DE FERMETURE </v>
          </cell>
          <cell r="F85" t="str">
            <v xml:space="preserve">Klamry mocujące pasasamochodowy </v>
          </cell>
        </row>
        <row r="86">
          <cell r="A86">
            <v>2000003672</v>
          </cell>
          <cell r="B86" t="str">
            <v>FIRST CLASS plus</v>
          </cell>
          <cell r="C86" t="str">
            <v>BELT SHIELD</v>
          </cell>
          <cell r="D86" t="str">
            <v>Gurtabdeckung</v>
          </cell>
          <cell r="E86" t="str">
            <v>CACHE SANGLES</v>
          </cell>
          <cell r="F86" t="str">
            <v>Osłona komory na pasy</v>
          </cell>
        </row>
        <row r="87">
          <cell r="A87">
            <v>2000003685</v>
          </cell>
          <cell r="B87" t="str">
            <v>PRINCE</v>
          </cell>
          <cell r="C87" t="str">
            <v>BELT SHIELD</v>
          </cell>
          <cell r="D87" t="str">
            <v>Gurtabdeckung</v>
          </cell>
          <cell r="E87" t="str">
            <v>CACHE SANGLES</v>
          </cell>
          <cell r="F87" t="str">
            <v>Osłona komory na pasy</v>
          </cell>
        </row>
        <row r="88">
          <cell r="A88">
            <v>2000003677</v>
          </cell>
          <cell r="B88" t="str">
            <v>EVOLVA 1-2-3 / EVOLVA 1-2-3 plus</v>
          </cell>
          <cell r="C88" t="str">
            <v>BELT SHIELD</v>
          </cell>
          <cell r="D88" t="str">
            <v>Gurtabdeckung</v>
          </cell>
          <cell r="E88" t="str">
            <v>CACHE SANGLES</v>
          </cell>
          <cell r="F88" t="str">
            <v>Osłona komory na pasy</v>
          </cell>
        </row>
        <row r="89">
          <cell r="A89">
            <v>2000009462</v>
          </cell>
          <cell r="B89" t="str">
            <v>BOB REVOLUTION CE</v>
          </cell>
          <cell r="C89" t="str">
            <v xml:space="preserve">BASKET </v>
          </cell>
          <cell r="D89" t="str">
            <v xml:space="preserve">Korb </v>
          </cell>
          <cell r="E89" t="str">
            <v>PANIER BOB</v>
          </cell>
          <cell r="F89" t="str">
            <v>Kosz wózka</v>
          </cell>
        </row>
        <row r="90">
          <cell r="A90">
            <v>2000009463</v>
          </cell>
          <cell r="B90" t="str">
            <v>BOB REVOLUTION CE</v>
          </cell>
          <cell r="C90" t="str">
            <v xml:space="preserve">BASKET </v>
          </cell>
          <cell r="D90" t="str">
            <v xml:space="preserve">Korb </v>
          </cell>
          <cell r="E90" t="str">
            <v>PANIER BOB</v>
          </cell>
          <cell r="F90" t="str">
            <v>Kosz wózka</v>
          </cell>
        </row>
        <row r="91">
          <cell r="A91">
            <v>2000009459</v>
          </cell>
          <cell r="B91" t="str">
            <v>BOB REVOLUTION SE (Single)</v>
          </cell>
          <cell r="C91" t="str">
            <v xml:space="preserve">BASKET </v>
          </cell>
          <cell r="D91" t="str">
            <v xml:space="preserve">Korb </v>
          </cell>
          <cell r="E91" t="str">
            <v>PANIER BOB</v>
          </cell>
          <cell r="F91" t="str">
            <v>Kosz wózka</v>
          </cell>
        </row>
        <row r="92">
          <cell r="A92">
            <v>2000009461</v>
          </cell>
          <cell r="B92" t="str">
            <v>BOB REVOLUTION SE (Single)</v>
          </cell>
          <cell r="C92" t="str">
            <v xml:space="preserve">BASKET </v>
          </cell>
          <cell r="D92" t="str">
            <v xml:space="preserve">Korb </v>
          </cell>
          <cell r="E92" t="str">
            <v>PANIER BOB</v>
          </cell>
          <cell r="F92" t="str">
            <v>Kosz wózka</v>
          </cell>
        </row>
        <row r="93">
          <cell r="A93">
            <v>2000011676</v>
          </cell>
          <cell r="B93" t="str">
            <v>BOB REVOLUTION PRO (Single)</v>
          </cell>
          <cell r="C93" t="str">
            <v xml:space="preserve">BASKET </v>
          </cell>
          <cell r="D93" t="str">
            <v xml:space="preserve">Korb </v>
          </cell>
          <cell r="E93" t="str">
            <v>PANIER BOB</v>
          </cell>
          <cell r="F93" t="str">
            <v>Kosz wózka</v>
          </cell>
        </row>
        <row r="94">
          <cell r="A94">
            <v>2000011677</v>
          </cell>
          <cell r="B94" t="str">
            <v>BOB REVOLUTION PRO (Single)</v>
          </cell>
          <cell r="C94" t="str">
            <v xml:space="preserve">BASKET </v>
          </cell>
          <cell r="D94" t="str">
            <v xml:space="preserve">Korb </v>
          </cell>
          <cell r="E94" t="str">
            <v>PANIER BOB</v>
          </cell>
          <cell r="F94" t="str">
            <v>Kosz wózka</v>
          </cell>
        </row>
        <row r="95">
          <cell r="A95">
            <v>2000011678</v>
          </cell>
          <cell r="B95" t="str">
            <v>BOB REVOLUTION PRO (Single)</v>
          </cell>
          <cell r="C95" t="str">
            <v xml:space="preserve">BASKET </v>
          </cell>
          <cell r="D95" t="str">
            <v xml:space="preserve">Korb </v>
          </cell>
          <cell r="E95" t="str">
            <v>PANIER BOB</v>
          </cell>
          <cell r="F95" t="str">
            <v>Kosz wózka</v>
          </cell>
        </row>
        <row r="96">
          <cell r="A96">
            <v>2000011679</v>
          </cell>
          <cell r="B96" t="str">
            <v>BOB REVOLUTION PRO (Single)</v>
          </cell>
          <cell r="C96" t="str">
            <v xml:space="preserve">BASKET </v>
          </cell>
          <cell r="D96" t="str">
            <v xml:space="preserve">Korb </v>
          </cell>
          <cell r="E96" t="str">
            <v>PANIER BOB</v>
          </cell>
          <cell r="F96" t="str">
            <v>Kosz wózka</v>
          </cell>
        </row>
        <row r="97">
          <cell r="A97">
            <v>2000011680</v>
          </cell>
          <cell r="B97" t="str">
            <v>BOB REVOLUTION PRO (Single)</v>
          </cell>
          <cell r="C97" t="str">
            <v xml:space="preserve">BASKET </v>
          </cell>
          <cell r="D97" t="str">
            <v xml:space="preserve">Korb </v>
          </cell>
          <cell r="E97" t="str">
            <v>PANIER BOB</v>
          </cell>
          <cell r="F97" t="str">
            <v>Kosz wózka</v>
          </cell>
        </row>
        <row r="98">
          <cell r="A98">
            <v>2000009464</v>
          </cell>
          <cell r="B98" t="str">
            <v>BOB IRONMAN (Single)</v>
          </cell>
          <cell r="C98" t="str">
            <v xml:space="preserve">BASKET </v>
          </cell>
          <cell r="D98" t="str">
            <v xml:space="preserve">Korb </v>
          </cell>
          <cell r="E98" t="str">
            <v>PANIER BOB</v>
          </cell>
          <cell r="F98" t="str">
            <v>Kosz wózka</v>
          </cell>
        </row>
        <row r="99">
          <cell r="A99">
            <v>2000009460</v>
          </cell>
          <cell r="B99" t="str">
            <v>BOB REVOLUTION SE (Single)</v>
          </cell>
          <cell r="C99" t="str">
            <v xml:space="preserve">BASKET </v>
          </cell>
          <cell r="D99" t="str">
            <v xml:space="preserve">Korb </v>
          </cell>
          <cell r="E99" t="str">
            <v>PANIER BOB</v>
          </cell>
          <cell r="F99" t="str">
            <v>Kosz wózka</v>
          </cell>
        </row>
        <row r="100">
          <cell r="A100">
            <v>2000009465</v>
          </cell>
          <cell r="B100" t="str">
            <v>BOB SUS (Single)</v>
          </cell>
          <cell r="C100" t="str">
            <v xml:space="preserve">BASKET </v>
          </cell>
          <cell r="D100" t="str">
            <v xml:space="preserve">Korb </v>
          </cell>
          <cell r="E100" t="str">
            <v>PANIER BOB</v>
          </cell>
          <cell r="F100" t="str">
            <v>Kosz wózka</v>
          </cell>
        </row>
        <row r="101">
          <cell r="A101">
            <v>2000009456</v>
          </cell>
          <cell r="B101" t="str">
            <v>BOB REVOLUTION CE</v>
          </cell>
          <cell r="C101" t="str">
            <v xml:space="preserve">HOOD </v>
          </cell>
          <cell r="D101" t="str">
            <v xml:space="preserve">Verdeck </v>
          </cell>
          <cell r="E101" t="str">
            <v>CANOPY BOB</v>
          </cell>
          <cell r="F101" t="str">
            <v>Budka wózka</v>
          </cell>
        </row>
        <row r="102">
          <cell r="A102">
            <v>2000009452</v>
          </cell>
          <cell r="B102" t="str">
            <v>BOB REVOLUTION SE (Single)</v>
          </cell>
          <cell r="C102" t="str">
            <v xml:space="preserve">HOOD </v>
          </cell>
          <cell r="D102" t="str">
            <v xml:space="preserve">Verdeck </v>
          </cell>
          <cell r="E102" t="str">
            <v>CANOPY BOB</v>
          </cell>
          <cell r="F102" t="str">
            <v>Budka wózka</v>
          </cell>
        </row>
        <row r="103">
          <cell r="A103">
            <v>2000009454</v>
          </cell>
          <cell r="B103" t="str">
            <v>BOB REVOLUTION SE (Single)</v>
          </cell>
          <cell r="C103" t="str">
            <v xml:space="preserve">HOOD </v>
          </cell>
          <cell r="D103" t="str">
            <v xml:space="preserve">Verdeck </v>
          </cell>
          <cell r="E103" t="str">
            <v>CANOPY BOB</v>
          </cell>
          <cell r="F103" t="str">
            <v>Budka wózka</v>
          </cell>
        </row>
        <row r="104">
          <cell r="A104">
            <v>2000009455</v>
          </cell>
          <cell r="B104" t="str">
            <v>BOB REVOLUTION CE</v>
          </cell>
          <cell r="C104" t="str">
            <v xml:space="preserve">HOOD </v>
          </cell>
          <cell r="D104" t="str">
            <v xml:space="preserve">Verdeck </v>
          </cell>
          <cell r="E104" t="str">
            <v>CANOPY BOB</v>
          </cell>
          <cell r="F104" t="str">
            <v>Budka wózka</v>
          </cell>
        </row>
        <row r="105">
          <cell r="A105">
            <v>2000011681</v>
          </cell>
          <cell r="B105" t="str">
            <v>BOB REVOLUTION PRO (Single)</v>
          </cell>
          <cell r="C105" t="str">
            <v xml:space="preserve">HOOD </v>
          </cell>
          <cell r="D105" t="str">
            <v xml:space="preserve">Verdeck </v>
          </cell>
          <cell r="E105" t="str">
            <v>CANOPY BOB</v>
          </cell>
          <cell r="F105" t="str">
            <v>Budka wózka</v>
          </cell>
        </row>
        <row r="106">
          <cell r="A106">
            <v>2000011682</v>
          </cell>
          <cell r="B106" t="str">
            <v>BOB REVOLUTION PRO (Single)</v>
          </cell>
          <cell r="C106" t="str">
            <v xml:space="preserve">HOOD </v>
          </cell>
          <cell r="D106" t="str">
            <v xml:space="preserve">Verdeck </v>
          </cell>
          <cell r="E106" t="str">
            <v>CANOPY BOB</v>
          </cell>
          <cell r="F106" t="str">
            <v>Budka wózka</v>
          </cell>
        </row>
        <row r="107">
          <cell r="A107">
            <v>2000009457</v>
          </cell>
          <cell r="B107" t="str">
            <v>BOB IRONMAN (Single)</v>
          </cell>
          <cell r="C107" t="str">
            <v xml:space="preserve">HOOD </v>
          </cell>
          <cell r="D107" t="str">
            <v xml:space="preserve">Verdeck </v>
          </cell>
          <cell r="E107" t="str">
            <v>CANOPY BOB</v>
          </cell>
          <cell r="F107" t="str">
            <v>Budka wózka</v>
          </cell>
        </row>
        <row r="108">
          <cell r="A108">
            <v>2000009453</v>
          </cell>
          <cell r="B108" t="str">
            <v>BOB REVOLUTION SE (Single)</v>
          </cell>
          <cell r="C108" t="str">
            <v xml:space="preserve">HOOD </v>
          </cell>
          <cell r="D108" t="str">
            <v xml:space="preserve">Verdeck </v>
          </cell>
          <cell r="E108" t="str">
            <v>CANOPY BOB</v>
          </cell>
          <cell r="F108" t="str">
            <v>Budka wózka</v>
          </cell>
        </row>
        <row r="109">
          <cell r="A109">
            <v>2000009458</v>
          </cell>
          <cell r="B109" t="str">
            <v>BOB SUS (Single)</v>
          </cell>
          <cell r="C109" t="str">
            <v xml:space="preserve">HOOD </v>
          </cell>
          <cell r="D109" t="str">
            <v xml:space="preserve">Verdeck </v>
          </cell>
          <cell r="E109" t="str">
            <v>CANOPY BOB</v>
          </cell>
          <cell r="F109" t="str">
            <v>Budka wózka</v>
          </cell>
        </row>
        <row r="110">
          <cell r="A110">
            <v>2000009468</v>
          </cell>
          <cell r="B110" t="str">
            <v>BOB IRONMAN (Single)</v>
          </cell>
          <cell r="C110" t="str">
            <v xml:space="preserve">BRAKE PADS </v>
          </cell>
          <cell r="D110" t="str">
            <v xml:space="preserve">Bremsklötze </v>
          </cell>
          <cell r="E110" t="str">
            <v>PATINS DE FREIN (2 pièces)</v>
          </cell>
          <cell r="F110" t="str">
            <v>Klocki hamulcowe</v>
          </cell>
        </row>
        <row r="111">
          <cell r="A111">
            <v>2000003054</v>
          </cell>
          <cell r="B111" t="str">
            <v>B-SMART 3</v>
          </cell>
          <cell r="C111" t="str">
            <v xml:space="preserve">BRAKE REPAIR KIT (2010) </v>
          </cell>
          <cell r="D111" t="str">
            <v xml:space="preserve">Bremsenreparatur Set (2010) </v>
          </cell>
          <cell r="E111" t="str">
            <v xml:space="preserve">KIT DE RÉPARATION DU FREIN (2010) </v>
          </cell>
          <cell r="F111" t="str">
            <v>Hamulcowy pakiet naprawczy</v>
          </cell>
        </row>
        <row r="112">
          <cell r="A112">
            <v>2000025435</v>
          </cell>
          <cell r="B112" t="str">
            <v>BRITAX AFFINITY</v>
          </cell>
          <cell r="C112" t="str">
            <v xml:space="preserve">BRAKE REPAIR KIT </v>
          </cell>
          <cell r="D112" t="str">
            <v xml:space="preserve">Bremsen Reparatur Set </v>
          </cell>
          <cell r="E112" t="str">
            <v>KIT DE RÉPARATION DU FREIN</v>
          </cell>
          <cell r="F112" t="str">
            <v>Zestaw naprawczy hamulca</v>
          </cell>
        </row>
        <row r="113">
          <cell r="A113">
            <v>2000025447</v>
          </cell>
          <cell r="B113" t="str">
            <v>BRITAX AFFINITY</v>
          </cell>
          <cell r="C113" t="str">
            <v xml:space="preserve">BRAKE REPAIR KIT </v>
          </cell>
          <cell r="D113" t="str">
            <v xml:space="preserve">Bremsen Reparatur Set </v>
          </cell>
          <cell r="E113" t="str">
            <v>KIT DE RÉPARATION DU FREIN</v>
          </cell>
          <cell r="F113" t="str">
            <v>Zestaw naprawczy hamulca</v>
          </cell>
        </row>
        <row r="114">
          <cell r="A114">
            <v>2000025448</v>
          </cell>
          <cell r="B114" t="str">
            <v>BRITAX AFFINITY</v>
          </cell>
          <cell r="C114" t="str">
            <v xml:space="preserve">BRAKE REPAIR KIT </v>
          </cell>
          <cell r="D114" t="str">
            <v xml:space="preserve">Bremsen Reparatur Set </v>
          </cell>
          <cell r="E114" t="str">
            <v>KIT DE RÉPARATION DU FREIN</v>
          </cell>
          <cell r="F114" t="str">
            <v>Zestaw naprawczy hamulca</v>
          </cell>
        </row>
        <row r="115">
          <cell r="A115">
            <v>2000012169</v>
          </cell>
          <cell r="B115" t="str">
            <v>BRITAX GO</v>
          </cell>
          <cell r="C115" t="str">
            <v xml:space="preserve">BRAKE REPAIR KIT </v>
          </cell>
          <cell r="D115" t="str">
            <v xml:space="preserve">Bremsen Reparatur Set </v>
          </cell>
          <cell r="E115" t="str">
            <v>KIT DE RÉPARATION DU FREIN</v>
          </cell>
          <cell r="F115" t="str">
            <v>Zestaw naprawczy hamulca</v>
          </cell>
        </row>
        <row r="116">
          <cell r="A116">
            <v>2000006229</v>
          </cell>
          <cell r="B116" t="str">
            <v>B-SMART 3</v>
          </cell>
          <cell r="C116" t="str">
            <v xml:space="preserve">BRAKE REPAIR KIT (2012&amp;2013) </v>
          </cell>
          <cell r="D116" t="str">
            <v xml:space="preserve">Bremsenreparatur Set (2012&amp;2013) </v>
          </cell>
          <cell r="E116" t="str">
            <v xml:space="preserve">KIT DE RÉPARATION DU FREIN (2012&amp;2013) </v>
          </cell>
          <cell r="F116" t="str">
            <v>Hamulcowy pakiet naprawczy (2012&amp;2013)</v>
          </cell>
        </row>
        <row r="117">
          <cell r="A117">
            <v>2000024336</v>
          </cell>
          <cell r="B117" t="str">
            <v>BABY-SAFE</v>
          </cell>
          <cell r="C117" t="str">
            <v>Britax Römer SUN CANOPY (old collections)</v>
          </cell>
          <cell r="D117" t="str">
            <v>Sonnenverdeck Britax Römer (ältere Kollektionen)</v>
          </cell>
          <cell r="E117" t="str">
            <v>CANOPY Britax Römer (ancienne collection)</v>
          </cell>
          <cell r="F117" t="str">
            <v>Daszek przeciwsłoneczny Britax Römer (starsze kolekcje)</v>
          </cell>
        </row>
        <row r="118">
          <cell r="A118">
            <v>2000003867</v>
          </cell>
          <cell r="B118" t="str">
            <v>BABY-SAFE Sleeper</v>
          </cell>
          <cell r="C118" t="str">
            <v>Britax SUN CANOPY (old collections)</v>
          </cell>
          <cell r="D118" t="str">
            <v>Sonnenverdeck Britax (ältere Kollektionen)</v>
          </cell>
          <cell r="E118" t="str">
            <v>CANOPY Britax (ancienne collection)</v>
          </cell>
          <cell r="F118" t="str">
            <v>Daszek przeciwsłoneczny Römer (starsza kolekcja)</v>
          </cell>
        </row>
        <row r="119">
          <cell r="A119">
            <v>2000027477</v>
          </cell>
          <cell r="B119" t="str">
            <v>B-LITE</v>
          </cell>
          <cell r="C119" t="str">
            <v>BUMPER BAR</v>
          </cell>
          <cell r="D119" t="str">
            <v xml:space="preserve">Spielbügel </v>
          </cell>
          <cell r="E119" t="str">
            <v>MAIN COURANTE</v>
          </cell>
          <cell r="F119" t="str">
            <v>Pałąk</v>
          </cell>
        </row>
        <row r="120">
          <cell r="A120">
            <v>2000000632</v>
          </cell>
          <cell r="B120" t="str">
            <v>B-DUAL</v>
          </cell>
          <cell r="C120" t="str">
            <v>BUMPER BAR</v>
          </cell>
          <cell r="D120" t="str">
            <v>Spielbügel</v>
          </cell>
          <cell r="E120" t="str">
            <v>MAIN COURANTE</v>
          </cell>
          <cell r="F120" t="str">
            <v>Pałąk</v>
          </cell>
        </row>
        <row r="121">
          <cell r="A121">
            <v>2000025488</v>
          </cell>
          <cell r="B121" t="str">
            <v>B-READY</v>
          </cell>
          <cell r="C121" t="str">
            <v>BUMPER BAR</v>
          </cell>
          <cell r="D121" t="str">
            <v>Spielbügel</v>
          </cell>
          <cell r="E121" t="str">
            <v>MAIN COURANTE</v>
          </cell>
          <cell r="F121" t="str">
            <v>Pałąk</v>
          </cell>
        </row>
        <row r="122">
          <cell r="A122">
            <v>2000025489</v>
          </cell>
          <cell r="B122" t="str">
            <v>B-READY</v>
          </cell>
          <cell r="C122" t="str">
            <v>BUMPER BAR</v>
          </cell>
          <cell r="D122" t="str">
            <v>Spielbügel</v>
          </cell>
          <cell r="E122" t="str">
            <v>MAIN COURANTE</v>
          </cell>
          <cell r="F122" t="str">
            <v>Pałąk</v>
          </cell>
        </row>
        <row r="123">
          <cell r="A123">
            <v>2000025490</v>
          </cell>
          <cell r="B123" t="str">
            <v>B-READY</v>
          </cell>
          <cell r="C123" t="str">
            <v>BUMPER BAR</v>
          </cell>
          <cell r="D123" t="str">
            <v>Spielbügel</v>
          </cell>
          <cell r="E123" t="str">
            <v>MAIN COURANTE</v>
          </cell>
          <cell r="F123" t="str">
            <v>Pałąk</v>
          </cell>
        </row>
        <row r="124">
          <cell r="A124">
            <v>2000025491</v>
          </cell>
          <cell r="B124" t="str">
            <v>B-READY</v>
          </cell>
          <cell r="C124" t="str">
            <v>BUMPER BAR</v>
          </cell>
          <cell r="D124" t="str">
            <v>Spielbügel</v>
          </cell>
          <cell r="E124" t="str">
            <v>MAIN COURANTE</v>
          </cell>
          <cell r="F124" t="str">
            <v>Pałąk</v>
          </cell>
        </row>
        <row r="125">
          <cell r="A125">
            <v>2000021669</v>
          </cell>
          <cell r="B125" t="str">
            <v>BRITAX SMILE</v>
          </cell>
          <cell r="C125" t="str">
            <v>BUMPER BAR</v>
          </cell>
          <cell r="D125" t="str">
            <v>Spielbügel</v>
          </cell>
          <cell r="E125" t="str">
            <v>MAIN COURANTE</v>
          </cell>
          <cell r="F125" t="str">
            <v>Pałąk</v>
          </cell>
        </row>
        <row r="126">
          <cell r="A126">
            <v>2000025036</v>
          </cell>
          <cell r="B126" t="str">
            <v>BRITAX SMILE 2</v>
          </cell>
          <cell r="C126" t="str">
            <v>BUMPER BAR</v>
          </cell>
          <cell r="D126" t="str">
            <v>Spielbügel</v>
          </cell>
          <cell r="E126" t="str">
            <v>MAIN COURANTE</v>
          </cell>
          <cell r="F126" t="str">
            <v>Pałąk</v>
          </cell>
        </row>
        <row r="127">
          <cell r="A127">
            <v>2000009553</v>
          </cell>
          <cell r="B127" t="str">
            <v>BRITAX AFFINITY</v>
          </cell>
          <cell r="C127" t="str">
            <v>BUMPER BAR (old collections)</v>
          </cell>
          <cell r="D127" t="str">
            <v>Spielbügel (ältere Kollektionen)</v>
          </cell>
          <cell r="E127" t="str">
            <v>MAIN COURANTE (ancienne collection)</v>
          </cell>
          <cell r="F127" t="str">
            <v>Pałąk (starsza kolekcja)</v>
          </cell>
        </row>
        <row r="128">
          <cell r="A128">
            <v>2000026292</v>
          </cell>
          <cell r="B128" t="str">
            <v>BRITAX AFFINITY</v>
          </cell>
          <cell r="C128" t="str">
            <v>BUMPER BAR (2015)</v>
          </cell>
          <cell r="D128" t="str">
            <v>Spielbügel (für Modell ab 2015)</v>
          </cell>
          <cell r="E128" t="str">
            <v>MAIN COURANTE (2015)</v>
          </cell>
          <cell r="F128" t="str">
            <v>Pałąk (2015)</v>
          </cell>
        </row>
        <row r="129">
          <cell r="A129">
            <v>2000012164</v>
          </cell>
          <cell r="B129" t="str">
            <v>BRITAX GO</v>
          </cell>
          <cell r="C129" t="str">
            <v>BUMPER BAR INCL. TEXTILE</v>
          </cell>
          <cell r="D129" t="str">
            <v>Spielbügel inkl. Bezug</v>
          </cell>
          <cell r="E129" t="str">
            <v>MAIN COURANTE (AVEC TISSU)</v>
          </cell>
          <cell r="F129" t="str">
            <v>Pałąk z pokrowcem Britax Go Range</v>
          </cell>
        </row>
        <row r="130">
          <cell r="A130">
            <v>2000026802</v>
          </cell>
          <cell r="B130" t="str">
            <v>BRITAX SMILE 2</v>
          </cell>
          <cell r="C130" t="str">
            <v>CANOPY</v>
          </cell>
          <cell r="D130" t="str">
            <v>Verdeck</v>
          </cell>
          <cell r="E130" t="str">
            <v>CANOPY</v>
          </cell>
          <cell r="F130" t="str">
            <v>Daszek</v>
          </cell>
        </row>
        <row r="131">
          <cell r="A131">
            <v>2000026803</v>
          </cell>
          <cell r="B131" t="str">
            <v>BRITAX SMILE 2</v>
          </cell>
          <cell r="C131" t="str">
            <v>CANOPY</v>
          </cell>
          <cell r="D131" t="str">
            <v>Verdeck</v>
          </cell>
          <cell r="E131" t="str">
            <v>CANOPY</v>
          </cell>
          <cell r="F131" t="str">
            <v>Daszek</v>
          </cell>
        </row>
        <row r="132">
          <cell r="A132">
            <v>2000026804</v>
          </cell>
          <cell r="B132" t="str">
            <v>BRITAX SMILE 2</v>
          </cell>
          <cell r="C132" t="str">
            <v>CANOPY</v>
          </cell>
          <cell r="D132" t="str">
            <v>Verdeck</v>
          </cell>
          <cell r="E132" t="str">
            <v>CANOPY</v>
          </cell>
          <cell r="F132" t="str">
            <v>Daszek</v>
          </cell>
        </row>
        <row r="133">
          <cell r="A133">
            <v>2000029237</v>
          </cell>
          <cell r="B133" t="str">
            <v>BRITAX SMILE 2</v>
          </cell>
          <cell r="C133" t="str">
            <v>CANOPY</v>
          </cell>
          <cell r="D133" t="str">
            <v>Verdeck</v>
          </cell>
          <cell r="E133" t="str">
            <v>CANOPY</v>
          </cell>
          <cell r="F133" t="str">
            <v>Daszek</v>
          </cell>
        </row>
        <row r="134">
          <cell r="A134">
            <v>2000029239</v>
          </cell>
          <cell r="B134" t="str">
            <v>BRITAX SMILE 2</v>
          </cell>
          <cell r="C134" t="str">
            <v>CANOPY</v>
          </cell>
          <cell r="D134" t="str">
            <v>Verdeck</v>
          </cell>
          <cell r="E134" t="str">
            <v>CANOPY</v>
          </cell>
          <cell r="F134" t="str">
            <v>Daszek</v>
          </cell>
        </row>
        <row r="135">
          <cell r="A135">
            <v>2000029238</v>
          </cell>
          <cell r="B135" t="str">
            <v>BRITAX SMILE 2</v>
          </cell>
          <cell r="C135" t="str">
            <v>CANOPY</v>
          </cell>
          <cell r="D135" t="str">
            <v>Verdeck</v>
          </cell>
          <cell r="E135" t="str">
            <v>CANOPY</v>
          </cell>
          <cell r="F135" t="str">
            <v>Daszek</v>
          </cell>
        </row>
        <row r="136">
          <cell r="A136">
            <v>2000029129</v>
          </cell>
          <cell r="B136" t="str">
            <v>B-LITE</v>
          </cell>
          <cell r="C136" t="str">
            <v xml:space="preserve">CANOPY WITH SHOULDER PADS </v>
          </cell>
          <cell r="D136" t="str">
            <v>Verdeck mit Schulterpolster</v>
          </cell>
          <cell r="E136" t="str">
            <v>Canopy et coussinets de poitrine</v>
          </cell>
          <cell r="F136" t="str">
            <v>Daszek z nakładkami naramiennymi</v>
          </cell>
        </row>
        <row r="137">
          <cell r="A137">
            <v>2000027471</v>
          </cell>
          <cell r="B137" t="str">
            <v>BRITAX HOLIDAY</v>
          </cell>
          <cell r="C137" t="str">
            <v>CANOPY WITH SHOULDER PADS</v>
          </cell>
          <cell r="D137" t="str">
            <v>Verdeck mit Schulterpolster</v>
          </cell>
          <cell r="E137" t="str">
            <v>Canopy et coussinets de poitrine</v>
          </cell>
          <cell r="F137" t="str">
            <v>Daszek z nakładkami naramiennymi</v>
          </cell>
        </row>
        <row r="138">
          <cell r="A138">
            <v>2000026985</v>
          </cell>
          <cell r="B138" t="e">
            <v>#N/A</v>
          </cell>
          <cell r="C138" t="str">
            <v>CHASSIS</v>
          </cell>
          <cell r="D138" t="str">
            <v>Chassis</v>
          </cell>
          <cell r="E138" t="str">
            <v>CHÂSSIS</v>
          </cell>
          <cell r="F138" t="str">
            <v>Stelaż wózka</v>
          </cell>
        </row>
        <row r="139">
          <cell r="A139">
            <v>2000026986</v>
          </cell>
          <cell r="B139" t="e">
            <v>#N/A</v>
          </cell>
          <cell r="C139" t="str">
            <v>CHASSIS</v>
          </cell>
          <cell r="D139" t="str">
            <v>Chassis</v>
          </cell>
          <cell r="E139" t="str">
            <v>CHÂSSIS</v>
          </cell>
          <cell r="F139" t="str">
            <v>Stelaż wózka</v>
          </cell>
        </row>
        <row r="140">
          <cell r="A140">
            <v>2000026987</v>
          </cell>
          <cell r="B140" t="e">
            <v>#N/A</v>
          </cell>
          <cell r="C140" t="str">
            <v>CHASSIS</v>
          </cell>
          <cell r="D140" t="str">
            <v>Chassis</v>
          </cell>
          <cell r="E140" t="str">
            <v>CHÂSSIS</v>
          </cell>
          <cell r="F140" t="str">
            <v>Stelaż wózka</v>
          </cell>
        </row>
        <row r="141">
          <cell r="A141">
            <v>2000026995</v>
          </cell>
          <cell r="B141" t="e">
            <v>#N/A</v>
          </cell>
          <cell r="C141" t="str">
            <v>CHASSIS</v>
          </cell>
          <cell r="D141" t="str">
            <v>Chassis</v>
          </cell>
          <cell r="E141" t="str">
            <v>CHÂSSIS</v>
          </cell>
          <cell r="F141" t="str">
            <v>Stelaż wózka</v>
          </cell>
        </row>
        <row r="142">
          <cell r="A142">
            <v>2000026994</v>
          </cell>
          <cell r="B142" t="e">
            <v>#N/A</v>
          </cell>
          <cell r="C142" t="str">
            <v>CHASSIS</v>
          </cell>
          <cell r="D142" t="str">
            <v>Chassis</v>
          </cell>
          <cell r="E142" t="str">
            <v>CHÂSSIS</v>
          </cell>
          <cell r="F142" t="str">
            <v>Stelaż wózka</v>
          </cell>
        </row>
        <row r="143">
          <cell r="A143">
            <v>2000026988</v>
          </cell>
          <cell r="B143" t="e">
            <v>#N/A</v>
          </cell>
          <cell r="C143" t="str">
            <v>CHASSIS</v>
          </cell>
          <cell r="D143" t="str">
            <v>Chassis</v>
          </cell>
          <cell r="E143" t="str">
            <v>CHÂSSIS</v>
          </cell>
          <cell r="F143" t="str">
            <v>Stelaż wózka</v>
          </cell>
        </row>
        <row r="144">
          <cell r="A144">
            <v>2000026989</v>
          </cell>
          <cell r="B144" t="e">
            <v>#N/A</v>
          </cell>
          <cell r="C144" t="str">
            <v>CHASSIS</v>
          </cell>
          <cell r="D144" t="str">
            <v>Chassis</v>
          </cell>
          <cell r="E144" t="str">
            <v>CHÂSSIS</v>
          </cell>
          <cell r="F144" t="str">
            <v>Stelaż wózka</v>
          </cell>
        </row>
        <row r="145">
          <cell r="A145">
            <v>2000026990</v>
          </cell>
          <cell r="B145" t="e">
            <v>#N/A</v>
          </cell>
          <cell r="C145" t="str">
            <v>CHASSIS</v>
          </cell>
          <cell r="D145" t="str">
            <v>Chassis</v>
          </cell>
          <cell r="E145" t="str">
            <v>CHÂSSIS</v>
          </cell>
          <cell r="F145" t="str">
            <v>Stelaż wózka</v>
          </cell>
        </row>
        <row r="146">
          <cell r="A146">
            <v>2000026991</v>
          </cell>
          <cell r="B146" t="e">
            <v>#N/A</v>
          </cell>
          <cell r="C146" t="str">
            <v>CHASSIS</v>
          </cell>
          <cell r="D146" t="str">
            <v>Chassis</v>
          </cell>
          <cell r="E146" t="str">
            <v>CHÂSSIS</v>
          </cell>
          <cell r="F146" t="str">
            <v>Stelaż wózka</v>
          </cell>
        </row>
        <row r="147">
          <cell r="A147">
            <v>2000026992</v>
          </cell>
          <cell r="B147" t="e">
            <v>#N/A</v>
          </cell>
          <cell r="C147" t="str">
            <v>CHASSIS</v>
          </cell>
          <cell r="D147" t="str">
            <v>Chassis</v>
          </cell>
          <cell r="E147" t="str">
            <v>CHÂSSIS</v>
          </cell>
          <cell r="F147" t="str">
            <v>Stelaż wózka</v>
          </cell>
        </row>
        <row r="148">
          <cell r="A148">
            <v>2000026993</v>
          </cell>
          <cell r="B148" t="e">
            <v>#N/A</v>
          </cell>
          <cell r="C148" t="str">
            <v>CHASSIS</v>
          </cell>
          <cell r="D148" t="str">
            <v>Chassis</v>
          </cell>
          <cell r="E148" t="str">
            <v>CHÂSSIS</v>
          </cell>
          <cell r="F148" t="str">
            <v>Stelaż wózka</v>
          </cell>
        </row>
        <row r="149">
          <cell r="A149">
            <v>2000025504</v>
          </cell>
          <cell r="B149" t="str">
            <v>B-READY</v>
          </cell>
          <cell r="C149" t="str">
            <v>CHASSIS</v>
          </cell>
          <cell r="D149" t="str">
            <v>Chassis</v>
          </cell>
          <cell r="E149" t="str">
            <v>CHÂSSIS</v>
          </cell>
          <cell r="F149" t="str">
            <v>Stelaż wózka</v>
          </cell>
        </row>
        <row r="150">
          <cell r="A150">
            <v>2000021670</v>
          </cell>
          <cell r="B150" t="str">
            <v>BRITAX SMILE</v>
          </cell>
          <cell r="C150" t="str">
            <v>CHASSIS</v>
          </cell>
          <cell r="D150" t="str">
            <v>Chassis</v>
          </cell>
          <cell r="E150" t="str">
            <v>CHÂSSIS</v>
          </cell>
          <cell r="F150" t="str">
            <v>Stelaż wózka</v>
          </cell>
        </row>
        <row r="151">
          <cell r="A151">
            <v>2000021671</v>
          </cell>
          <cell r="B151" t="str">
            <v>BRITAX SMILE</v>
          </cell>
          <cell r="C151" t="str">
            <v>CHASSIS</v>
          </cell>
          <cell r="D151" t="str">
            <v>Chassis</v>
          </cell>
          <cell r="E151" t="str">
            <v>CHÂSSIS</v>
          </cell>
          <cell r="F151" t="str">
            <v>Stelaż wózka</v>
          </cell>
        </row>
        <row r="152">
          <cell r="A152">
            <v>2000025035</v>
          </cell>
          <cell r="B152" t="str">
            <v>BRITAX SMILE 2</v>
          </cell>
          <cell r="C152" t="str">
            <v>CHASSIS</v>
          </cell>
          <cell r="D152" t="str">
            <v>Chassis</v>
          </cell>
          <cell r="E152" t="str">
            <v>CHÂSSIS</v>
          </cell>
          <cell r="F152" t="str">
            <v>Stelaż wózka</v>
          </cell>
        </row>
        <row r="153">
          <cell r="A153">
            <v>2000025339</v>
          </cell>
          <cell r="B153" t="str">
            <v>BRITAX AFFINITY</v>
          </cell>
          <cell r="C153" t="str">
            <v>CHASSIS</v>
          </cell>
          <cell r="D153" t="str">
            <v>Chassis</v>
          </cell>
          <cell r="E153" t="str">
            <v>CHÂSSIS</v>
          </cell>
          <cell r="F153" t="str">
            <v>Stelaż wózka</v>
          </cell>
        </row>
        <row r="154">
          <cell r="A154">
            <v>2000025340</v>
          </cell>
          <cell r="B154" t="str">
            <v>BRITAX AFFINITY</v>
          </cell>
          <cell r="C154" t="str">
            <v>CHASSIS</v>
          </cell>
          <cell r="D154" t="str">
            <v>Chassis</v>
          </cell>
          <cell r="E154" t="str">
            <v>CHÂSSIS</v>
          </cell>
          <cell r="F154" t="str">
            <v>Stelaż wózka</v>
          </cell>
        </row>
        <row r="155">
          <cell r="A155">
            <v>2000025342</v>
          </cell>
          <cell r="B155" t="str">
            <v>BRITAX AFFINITY</v>
          </cell>
          <cell r="C155" t="str">
            <v>CHASSIS</v>
          </cell>
          <cell r="D155" t="str">
            <v>Chassis</v>
          </cell>
          <cell r="E155" t="str">
            <v>CHÂSSIS</v>
          </cell>
          <cell r="F155" t="str">
            <v>Stelaż wózka</v>
          </cell>
        </row>
        <row r="156">
          <cell r="A156">
            <v>2000025341</v>
          </cell>
          <cell r="B156" t="str">
            <v>BRITAX AFFINITY</v>
          </cell>
          <cell r="C156" t="str">
            <v>CHASSIS</v>
          </cell>
          <cell r="D156" t="str">
            <v>Chassis</v>
          </cell>
          <cell r="E156" t="str">
            <v>CHÂSSIS</v>
          </cell>
          <cell r="F156" t="str">
            <v>Stelaż wózka</v>
          </cell>
        </row>
        <row r="157">
          <cell r="A157">
            <v>2000025132</v>
          </cell>
          <cell r="B157" t="str">
            <v>BRITAX GO BIG</v>
          </cell>
          <cell r="C157" t="str">
            <v>CHASSIS</v>
          </cell>
          <cell r="D157" t="str">
            <v xml:space="preserve">Chassis </v>
          </cell>
          <cell r="E157" t="str">
            <v>CHÂSSIS</v>
          </cell>
          <cell r="F157" t="str">
            <v>Stelaż wózka</v>
          </cell>
        </row>
        <row r="158">
          <cell r="A158">
            <v>2000012156</v>
          </cell>
          <cell r="B158" t="str">
            <v>BRITAX GO</v>
          </cell>
          <cell r="C158" t="str">
            <v xml:space="preserve">CHASSIS </v>
          </cell>
          <cell r="D158" t="str">
            <v>Chassis</v>
          </cell>
          <cell r="E158" t="str">
            <v>CHÂSSIS</v>
          </cell>
          <cell r="F158" t="str">
            <v>Stelaż wózka</v>
          </cell>
        </row>
        <row r="159">
          <cell r="A159">
            <v>2000012157</v>
          </cell>
          <cell r="B159" t="str">
            <v>BRITAX GO</v>
          </cell>
          <cell r="C159" t="str">
            <v xml:space="preserve">CHASSIS </v>
          </cell>
          <cell r="D159" t="str">
            <v>Chassis</v>
          </cell>
          <cell r="E159" t="str">
            <v>CHÂSSIS</v>
          </cell>
          <cell r="F159" t="str">
            <v>Stelaż wózka</v>
          </cell>
        </row>
        <row r="160">
          <cell r="A160">
            <v>2000012158</v>
          </cell>
          <cell r="B160" t="str">
            <v>BRITAX GO NEXT</v>
          </cell>
          <cell r="C160" t="str">
            <v xml:space="preserve">CHASSIS </v>
          </cell>
          <cell r="D160" t="str">
            <v>Chassis</v>
          </cell>
          <cell r="E160" t="str">
            <v>CHÂSSIS</v>
          </cell>
          <cell r="F160" t="str">
            <v>Stelaż wózka</v>
          </cell>
        </row>
        <row r="161">
          <cell r="A161">
            <v>2000012159</v>
          </cell>
          <cell r="B161" t="str">
            <v>BRITAX GO NEXT</v>
          </cell>
          <cell r="C161" t="str">
            <v xml:space="preserve">CHASSIS </v>
          </cell>
          <cell r="D161" t="str">
            <v>Chassis</v>
          </cell>
          <cell r="E161" t="str">
            <v>CHÂSSIS</v>
          </cell>
          <cell r="F161" t="str">
            <v>Stelaż wózka</v>
          </cell>
        </row>
        <row r="162">
          <cell r="A162">
            <v>2000006225</v>
          </cell>
          <cell r="B162" t="str">
            <v>B-SMART 3</v>
          </cell>
          <cell r="C162" t="str">
            <v>CHASSIS (2012)</v>
          </cell>
          <cell r="D162" t="str">
            <v>Chassis (2012)</v>
          </cell>
          <cell r="E162" t="str">
            <v>CHÂSSIS (2012)</v>
          </cell>
          <cell r="F162" t="str">
            <v>Stelaż wózka</v>
          </cell>
        </row>
        <row r="163">
          <cell r="A163">
            <v>2000003132</v>
          </cell>
          <cell r="B163" t="str">
            <v>B-SMART 4</v>
          </cell>
          <cell r="C163" t="str">
            <v>CHASSIS (2012)</v>
          </cell>
          <cell r="D163" t="str">
            <v>Chassis (2012)</v>
          </cell>
          <cell r="E163" t="str">
            <v>CHÂSSIS (2012)</v>
          </cell>
          <cell r="F163" t="str">
            <v>Stelaż wózka</v>
          </cell>
        </row>
        <row r="164">
          <cell r="A164">
            <v>2000029356</v>
          </cell>
          <cell r="B164" t="str">
            <v>BRITAX GO NEXT</v>
          </cell>
          <cell r="C164" t="str">
            <v>CHASSIS (LEATHERLOOK HANDLE)</v>
          </cell>
          <cell r="D164" t="str">
            <v>Chassis (Griff in Lederoptik)</v>
          </cell>
          <cell r="E164" t="str">
            <v>Châssis (poignée similicuir)</v>
          </cell>
          <cell r="F164" t="str">
            <v>Stelaż (z uchwytem o wykończeniu stylizowanym na skórzane)</v>
          </cell>
        </row>
        <row r="165">
          <cell r="A165">
            <v>2000029507</v>
          </cell>
          <cell r="B165" t="str">
            <v>BRITAX GO BIG</v>
          </cell>
          <cell r="C165" t="str">
            <v>CHASSIS (LEATHERLOOK HANDLE)</v>
          </cell>
          <cell r="D165" t="str">
            <v>Chassis (Griff in Lederoptik)</v>
          </cell>
          <cell r="E165" t="str">
            <v>Châssis (poignée similicuir)</v>
          </cell>
          <cell r="F165" t="str">
            <v>Stelaż (z uchwytem o wykończeniu stylizowanym na skórzane)</v>
          </cell>
        </row>
        <row r="166">
          <cell r="A166">
            <v>2000029357</v>
          </cell>
          <cell r="B166" t="str">
            <v>BRITAX GO BIG</v>
          </cell>
          <cell r="C166" t="str">
            <v>CHASSIS (LEATHERLOOK HANDLE)</v>
          </cell>
          <cell r="D166" t="str">
            <v>Chassis (Griff in Lederoptik)</v>
          </cell>
          <cell r="E166" t="str">
            <v>Châssis (poignée similicuir)</v>
          </cell>
          <cell r="F166" t="str">
            <v>Stelaż (z uchwytem o wykończeniu stylizowanym na skórzane)</v>
          </cell>
        </row>
        <row r="167">
          <cell r="A167">
            <v>2000029505</v>
          </cell>
          <cell r="B167" t="str">
            <v>BRITAX GO NEXT</v>
          </cell>
          <cell r="C167" t="str">
            <v>CHASSIS (LEATHERLOOK HANDLE)</v>
          </cell>
          <cell r="D167" t="str">
            <v>Chassis (Griff in Lederoptik)</v>
          </cell>
          <cell r="E167" t="str">
            <v>Châssis (poignée similicuir)</v>
          </cell>
          <cell r="F167" t="str">
            <v>Stelaż (z uchwytem o wykończeniu stylizowanym na skórzane)</v>
          </cell>
        </row>
        <row r="168">
          <cell r="A168">
            <v>2000030019</v>
          </cell>
          <cell r="B168" t="str">
            <v>BRITAX GO BIG</v>
          </cell>
          <cell r="C168" t="str">
            <v>CHASSIS (LEATHERLOOK HANDLE)</v>
          </cell>
          <cell r="D168" t="str">
            <v>Chassis (Griff in Lederoptik)</v>
          </cell>
          <cell r="E168" t="str">
            <v>Châssis (poignée similicuir)</v>
          </cell>
          <cell r="F168" t="str">
            <v>Stelaż (z uchwytem o wykończeniu stylizowanym na skórzane)</v>
          </cell>
        </row>
        <row r="169">
          <cell r="A169">
            <v>2000021672</v>
          </cell>
          <cell r="B169" t="e">
            <v>#N/A</v>
          </cell>
          <cell r="C169" t="str">
            <v>CHASSIS FR</v>
          </cell>
          <cell r="D169" t="str">
            <v>Chassis FR</v>
          </cell>
          <cell r="E169" t="str">
            <v>CHÂSSIS FR</v>
          </cell>
          <cell r="F169" t="str">
            <v>Stelaż wózka</v>
          </cell>
        </row>
        <row r="170">
          <cell r="A170">
            <v>2000021673</v>
          </cell>
          <cell r="B170" t="e">
            <v>#N/A</v>
          </cell>
          <cell r="C170" t="str">
            <v>CHASSIS FR</v>
          </cell>
          <cell r="D170" t="str">
            <v>Chassis FR</v>
          </cell>
          <cell r="E170" t="str">
            <v>CHÂSSIS FR</v>
          </cell>
          <cell r="F170" t="str">
            <v>Stelaż wózka</v>
          </cell>
        </row>
        <row r="171">
          <cell r="A171">
            <v>2000029506</v>
          </cell>
          <cell r="B171" t="str">
            <v>BRITAX GO NEXT</v>
          </cell>
          <cell r="C171" t="str">
            <v>CHASSIS (LETHERLOOK HANDLE)</v>
          </cell>
          <cell r="D171" t="str">
            <v>Chassis  (Griff in Lederoptik)</v>
          </cell>
          <cell r="E171" t="str">
            <v>Châssis (poignée similicuir)</v>
          </cell>
          <cell r="F171" t="str">
            <v>Stelaż (z uchwytem o wykończeniu stylizowanym na skórzane)</v>
          </cell>
        </row>
        <row r="172">
          <cell r="A172">
            <v>2000025507</v>
          </cell>
          <cell r="B172" t="str">
            <v>B-READY</v>
          </cell>
          <cell r="C172" t="str">
            <v>CHASSIS LOCK INCL. SCREWS</v>
          </cell>
          <cell r="D172" t="str">
            <v>Verriegelung</v>
          </cell>
          <cell r="E172" t="str">
            <v>Loquet de fermeture avec vis</v>
          </cell>
          <cell r="F172" t="str">
            <v>Blokada transportowa stelaża w zestawie</v>
          </cell>
        </row>
        <row r="173">
          <cell r="A173">
            <v>2000024426</v>
          </cell>
          <cell r="B173" t="str">
            <v>JOCKEY RELAX</v>
          </cell>
          <cell r="C173" t="str">
            <v>CLAMPING PLATE SET JOCKEY</v>
          </cell>
          <cell r="D173" t="str">
            <v>Klemmplatte inkl. Schrauben</v>
          </cell>
          <cell r="E173" t="str">
            <v>PLAQUE DE MONTAGE</v>
          </cell>
          <cell r="F173" t="str">
            <v>Płytka mocująca</v>
          </cell>
        </row>
        <row r="174">
          <cell r="A174">
            <v>2000005812</v>
          </cell>
          <cell r="B174" t="str">
            <v xml:space="preserve">B-AGILE 3 </v>
          </cell>
          <cell r="C174" t="str">
            <v>CLICK&amp;GO RECEIVER</v>
          </cell>
          <cell r="D174" t="str">
            <v>Adapter CLICK&amp;GO</v>
          </cell>
          <cell r="E174" t="str">
            <v>RECEVEURS CLICK&amp;GO</v>
          </cell>
          <cell r="F174" t="str">
            <v>Adapter CLICK&amp;GO</v>
          </cell>
        </row>
        <row r="175">
          <cell r="A175">
            <v>2000025803</v>
          </cell>
          <cell r="B175" t="str">
            <v>JOCKEY RELAX</v>
          </cell>
          <cell r="C175" t="str">
            <v>CONTROL LEVER</v>
          </cell>
          <cell r="D175" t="str">
            <v>Bedienhebel</v>
          </cell>
          <cell r="E175" t="str">
            <v>LEVIER DE RÉGLAGE</v>
          </cell>
          <cell r="F175" t="str">
            <v>Uchwyt regulacji oparcia</v>
          </cell>
        </row>
        <row r="176">
          <cell r="A176">
            <v>2000026629</v>
          </cell>
          <cell r="B176" t="str">
            <v>BRITAX GO</v>
          </cell>
          <cell r="C176" t="str">
            <v>COUNTRY WHEEL SPARE AXLE AND JOINT</v>
          </cell>
          <cell r="D176" t="str">
            <v>Ersatz-Radachse und Gelenk für Geländeräder</v>
          </cell>
          <cell r="E176" t="str">
            <v>Essieu et joint de rechange pour roues tout-terrain</v>
          </cell>
          <cell r="F176" t="str">
            <v>Oś kół na każdy teren</v>
          </cell>
        </row>
        <row r="177">
          <cell r="A177">
            <v>2000005977</v>
          </cell>
          <cell r="B177" t="str">
            <v>BABY-SAFE</v>
          </cell>
          <cell r="C177" t="str">
            <v>ELASTICS SET FOR CANOPY</v>
          </cell>
          <cell r="D177" t="str">
            <v>Gummiset für Verdeck</v>
          </cell>
          <cell r="E177" t="str">
            <v>ÉLASTIQUES POUR CANOPY</v>
          </cell>
          <cell r="F177" t="str">
            <v>Zestaw elastycznych zaczepów do daszku</v>
          </cell>
        </row>
        <row r="178">
          <cell r="A178">
            <v>2000025508</v>
          </cell>
          <cell r="B178" t="str">
            <v>B-READY</v>
          </cell>
          <cell r="C178" t="str">
            <v>EXTENSION ADAPTERS</v>
          </cell>
          <cell r="D178" t="str">
            <v>Verlängerungsadapter</v>
          </cell>
          <cell r="E178" t="str">
            <v>Adaptateurs d'extension</v>
          </cell>
          <cell r="F178" t="str">
            <v>Adapter z przedłużeniem B-Ready</v>
          </cell>
        </row>
        <row r="179">
          <cell r="A179">
            <v>2000003461</v>
          </cell>
          <cell r="B179" t="str">
            <v>BABY-SAFE Sleeper</v>
          </cell>
          <cell r="C179" t="str">
            <v>FIXING BRACKETS</v>
          </cell>
          <cell r="D179" t="str">
            <v>Befestigungsklammern</v>
          </cell>
          <cell r="E179" t="str">
            <v>KIT DE FIXATION AUTO</v>
          </cell>
          <cell r="F179" t="str">
            <v>Klamry mocujące</v>
          </cell>
        </row>
        <row r="180">
          <cell r="A180">
            <v>2000003449</v>
          </cell>
          <cell r="B180" t="str">
            <v>JOCKEY RELAX</v>
          </cell>
          <cell r="C180" t="str">
            <v>FIXING POPPERS</v>
          </cell>
          <cell r="D180" t="str">
            <v>Befestigungsstopfen</v>
          </cell>
          <cell r="E180" t="str">
            <v>FIXATIONS</v>
          </cell>
          <cell r="F180" t="str">
            <v>Wkręt zaślepiający</v>
          </cell>
        </row>
        <row r="181">
          <cell r="A181">
            <v>2000006818</v>
          </cell>
          <cell r="B181" t="str">
            <v>TWO-WAY</v>
          </cell>
          <cell r="C181" t="str">
            <v xml:space="preserve">FIXING TETHER </v>
          </cell>
          <cell r="D181" t="str">
            <v>Fixiergurt</v>
          </cell>
          <cell r="E181" t="str">
            <v>Courroies de fixation</v>
          </cell>
          <cell r="F181" t="str">
            <v>Mocujący pas</v>
          </cell>
        </row>
        <row r="182">
          <cell r="A182">
            <v>2000025629</v>
          </cell>
          <cell r="B182" t="str">
            <v>BABY-SAFE i-SIZE</v>
          </cell>
          <cell r="C182" t="str">
            <v>FOAM INSERT HEADPAD</v>
          </cell>
          <cell r="D182" t="str">
            <v>Schaumeinleger Kopfstütze</v>
          </cell>
          <cell r="E182" t="str">
            <v>Tétière polystyrène</v>
          </cell>
          <cell r="F182" t="str">
            <v>Wkład zagłówka</v>
          </cell>
        </row>
        <row r="183">
          <cell r="A183">
            <v>2000027478</v>
          </cell>
          <cell r="B183" t="str">
            <v>B-LITE</v>
          </cell>
          <cell r="C183" t="str">
            <v xml:space="preserve">FOOT SUPPORT </v>
          </cell>
          <cell r="D183" t="str">
            <v xml:space="preserve">Fußablage </v>
          </cell>
          <cell r="E183" t="str">
            <v>Repose-pieds</v>
          </cell>
          <cell r="F183" t="str">
            <v>Podnóżek</v>
          </cell>
        </row>
        <row r="184">
          <cell r="A184">
            <v>2000025575</v>
          </cell>
          <cell r="B184" t="str">
            <v>B-AGILE 3</v>
          </cell>
          <cell r="C184" t="str">
            <v xml:space="preserve">FOOTREST FABRIC </v>
          </cell>
          <cell r="D184" t="str">
            <v xml:space="preserve">Fußstütze Bezug </v>
          </cell>
          <cell r="E184" t="str">
            <v>Repose-pieds en tissu</v>
          </cell>
          <cell r="F184" t="str">
            <v>Tapicerka podnóżka</v>
          </cell>
        </row>
        <row r="185">
          <cell r="A185">
            <v>2000025577</v>
          </cell>
          <cell r="B185" t="str">
            <v>B-AGILE 4</v>
          </cell>
          <cell r="C185" t="str">
            <v xml:space="preserve">FOOTREST FABRIC </v>
          </cell>
          <cell r="D185" t="str">
            <v xml:space="preserve">Fußstütze Bezug </v>
          </cell>
          <cell r="E185" t="str">
            <v>Repose-pieds en tissu</v>
          </cell>
          <cell r="F185" t="str">
            <v>Tapicerka podnóżka</v>
          </cell>
        </row>
        <row r="186">
          <cell r="A186">
            <v>2000025576</v>
          </cell>
          <cell r="B186" t="str">
            <v>B-MOTION 3</v>
          </cell>
          <cell r="C186" t="str">
            <v xml:space="preserve">FOOTREST FABRIC </v>
          </cell>
          <cell r="D186" t="str">
            <v xml:space="preserve">Fußstütze Bezug </v>
          </cell>
          <cell r="E186" t="str">
            <v>Repose-pieds en tissu</v>
          </cell>
          <cell r="F186" t="str">
            <v>Tapicerka podnóżka</v>
          </cell>
        </row>
        <row r="187">
          <cell r="A187">
            <v>2000025578</v>
          </cell>
          <cell r="B187" t="str">
            <v>B-MOTION 4</v>
          </cell>
          <cell r="C187" t="str">
            <v xml:space="preserve">FOOTREST FABRIC </v>
          </cell>
          <cell r="D187" t="str">
            <v xml:space="preserve">Fußstütze Bezug </v>
          </cell>
          <cell r="E187" t="str">
            <v>Repose-pieds en tissu</v>
          </cell>
          <cell r="F187" t="str">
            <v>Tapicerka podnóżka</v>
          </cell>
        </row>
        <row r="188">
          <cell r="A188" t="str">
            <v>R366090001201</v>
          </cell>
          <cell r="B188" t="str">
            <v>BRITAX SMILE 2</v>
          </cell>
          <cell r="C188" t="str">
            <v xml:space="preserve">FOOTREST JOINT INCL. FASTENER </v>
          </cell>
          <cell r="D188" t="str">
            <v xml:space="preserve">Füßstützen-Reparaturset </v>
          </cell>
          <cell r="E188" t="str">
            <v>Mécanisme du repose-pieds avec boutons</v>
          </cell>
          <cell r="F188" t="str">
            <v>Zestaw naprawczy podnóżka</v>
          </cell>
        </row>
        <row r="189">
          <cell r="A189">
            <v>2000009466</v>
          </cell>
          <cell r="B189" t="str">
            <v>BOB IRONMAN (Single)</v>
          </cell>
          <cell r="C189" t="str">
            <v>FRONT MUD GUARD</v>
          </cell>
          <cell r="D189" t="str">
            <v>Schutzblech vorne</v>
          </cell>
          <cell r="E189" t="str">
            <v>GARDE-BOUE AVANT</v>
          </cell>
          <cell r="F189" t="str">
            <v>Osłona koła przedniego</v>
          </cell>
        </row>
        <row r="190">
          <cell r="A190" t="str">
            <v>R366050999101</v>
          </cell>
          <cell r="B190" t="str">
            <v>BRITAX SMILE 2</v>
          </cell>
          <cell r="C190" t="str">
            <v>FRONT WHEEL</v>
          </cell>
          <cell r="D190" t="str">
            <v>Vorderrad</v>
          </cell>
          <cell r="E190" t="str">
            <v>ROUE AVANT</v>
          </cell>
          <cell r="F190" t="str">
            <v>Koło przednie</v>
          </cell>
        </row>
        <row r="191">
          <cell r="A191">
            <v>2000010182</v>
          </cell>
          <cell r="B191" t="str">
            <v>BOB REVOLUTION CE</v>
          </cell>
          <cell r="C191" t="str">
            <v>FRONT WHEEL</v>
          </cell>
          <cell r="D191" t="str">
            <v>Vorderrad</v>
          </cell>
          <cell r="E191" t="str">
            <v>ROUE AVANT</v>
          </cell>
          <cell r="F191" t="str">
            <v>Koło przednie</v>
          </cell>
        </row>
        <row r="192">
          <cell r="A192">
            <v>2000010181</v>
          </cell>
          <cell r="B192" t="str">
            <v>BOB REVOLUTION SE (Single)</v>
          </cell>
          <cell r="C192" t="str">
            <v>FRONT WHEEL</v>
          </cell>
          <cell r="D192" t="str">
            <v>Vorderrad</v>
          </cell>
          <cell r="E192" t="str">
            <v>ROUE AVANT</v>
          </cell>
          <cell r="F192" t="str">
            <v>Koło przednie</v>
          </cell>
        </row>
        <row r="193">
          <cell r="A193">
            <v>2000010183</v>
          </cell>
          <cell r="B193" t="str">
            <v>BOB IRONMAN (Single)</v>
          </cell>
          <cell r="C193" t="str">
            <v>FRONT WHEEL</v>
          </cell>
          <cell r="D193" t="str">
            <v>Vorderrad</v>
          </cell>
          <cell r="E193" t="str">
            <v>ROUE AVANT</v>
          </cell>
          <cell r="F193" t="str">
            <v>Koło przednie</v>
          </cell>
        </row>
        <row r="194">
          <cell r="A194">
            <v>2000010184</v>
          </cell>
          <cell r="B194" t="str">
            <v>BOB SUS (Single)</v>
          </cell>
          <cell r="C194" t="str">
            <v>FRONT WHEEL</v>
          </cell>
          <cell r="D194" t="str">
            <v>Vorderrad</v>
          </cell>
          <cell r="E194" t="str">
            <v>ROUE AVANT</v>
          </cell>
          <cell r="F194" t="str">
            <v>Koło przednie</v>
          </cell>
        </row>
        <row r="195">
          <cell r="A195">
            <v>2000010989</v>
          </cell>
          <cell r="B195" t="str">
            <v>B-MOTION 3</v>
          </cell>
          <cell r="C195" t="str">
            <v xml:space="preserve">FRONT WHEEL </v>
          </cell>
          <cell r="D195" t="str">
            <v>Vorderrad</v>
          </cell>
          <cell r="E195" t="str">
            <v>ROUE AVANT</v>
          </cell>
          <cell r="F195" t="str">
            <v>Koło przednie</v>
          </cell>
        </row>
        <row r="196">
          <cell r="A196">
            <v>2000026850</v>
          </cell>
          <cell r="B196" t="str">
            <v>B-MOTION 3</v>
          </cell>
          <cell r="C196" t="str">
            <v xml:space="preserve">FRONT WHEEL ADJUSTMENT LEVER </v>
          </cell>
          <cell r="D196" t="str">
            <v xml:space="preserve">Vorderradeinstellung </v>
          </cell>
          <cell r="E196" t="str">
            <v>Levier ajustement roue avant</v>
          </cell>
          <cell r="F196" t="str">
            <v>Przełącznik blokowania kół</v>
          </cell>
        </row>
        <row r="197">
          <cell r="A197">
            <v>2000026852</v>
          </cell>
          <cell r="B197" t="str">
            <v>B-AGILE 4</v>
          </cell>
          <cell r="C197" t="str">
            <v xml:space="preserve">FRONT WHEEL ATTACHMENT </v>
          </cell>
          <cell r="D197" t="str">
            <v xml:space="preserve">Vorderradanbringung </v>
          </cell>
          <cell r="E197" t="str">
            <v>Fixation roues avant (1 pièce)</v>
          </cell>
          <cell r="F197" t="str">
            <v>Gniazdo mocujące przedniego koła</v>
          </cell>
        </row>
        <row r="198">
          <cell r="A198">
            <v>2000027467</v>
          </cell>
          <cell r="B198" t="str">
            <v>BRITAX HOLIDAY</v>
          </cell>
          <cell r="C198" t="str">
            <v>FRONT WHEEL SET</v>
          </cell>
          <cell r="D198" t="str">
            <v>Vorderräder Set</v>
          </cell>
          <cell r="E198" t="str">
            <v>SET DE ROUES AVANT</v>
          </cell>
          <cell r="F198" t="str">
            <v>Zestaw kół przednich</v>
          </cell>
        </row>
        <row r="199">
          <cell r="A199">
            <v>2000027472</v>
          </cell>
          <cell r="B199" t="str">
            <v>B-LITE</v>
          </cell>
          <cell r="C199" t="str">
            <v>FRONT WHEEL SET</v>
          </cell>
          <cell r="D199" t="str">
            <v>Vorderräder Set</v>
          </cell>
          <cell r="E199" t="str">
            <v>SET DE ROUES AVANT</v>
          </cell>
          <cell r="F199" t="str">
            <v>Zestaw kół przednich</v>
          </cell>
        </row>
        <row r="200">
          <cell r="A200">
            <v>2000024430</v>
          </cell>
          <cell r="B200" t="str">
            <v>B-MOTION 4 plus</v>
          </cell>
          <cell r="C200" t="str">
            <v>FRONT WHEEL SET</v>
          </cell>
          <cell r="D200" t="str">
            <v>Vorderräder Set</v>
          </cell>
          <cell r="E200" t="str">
            <v>SET DE ROUES AVANT</v>
          </cell>
          <cell r="F200" t="str">
            <v>Zestaw kół przednich</v>
          </cell>
        </row>
        <row r="201">
          <cell r="A201">
            <v>2000025486</v>
          </cell>
          <cell r="B201" t="str">
            <v>B-READY</v>
          </cell>
          <cell r="C201" t="str">
            <v>FRONT WHEEL SET</v>
          </cell>
          <cell r="D201" t="str">
            <v>Vorderräder Set</v>
          </cell>
          <cell r="E201" t="str">
            <v>SET DE ROUES AVANT</v>
          </cell>
          <cell r="F201" t="str">
            <v>Zestaw kół przednich</v>
          </cell>
        </row>
        <row r="202">
          <cell r="A202">
            <v>2000021677</v>
          </cell>
          <cell r="B202" t="str">
            <v>BRITAX SMILE</v>
          </cell>
          <cell r="C202" t="str">
            <v>FRONT WHEEL SET</v>
          </cell>
          <cell r="D202" t="str">
            <v>Vorderräder Set</v>
          </cell>
          <cell r="E202" t="str">
            <v>SET DE ROUES AVANT</v>
          </cell>
          <cell r="F202" t="str">
            <v>Zestaw kół przednich</v>
          </cell>
        </row>
        <row r="203">
          <cell r="A203">
            <v>2000025134</v>
          </cell>
          <cell r="B203" t="str">
            <v>BRITAX GO BIG</v>
          </cell>
          <cell r="C203" t="str">
            <v>FRONT WHEEL SET</v>
          </cell>
          <cell r="D203" t="str">
            <v>Vorderräder Set</v>
          </cell>
          <cell r="E203" t="str">
            <v>SET DE ROUES AVANT</v>
          </cell>
          <cell r="F203" t="str">
            <v>Zestaw kół przednich</v>
          </cell>
        </row>
        <row r="204">
          <cell r="A204">
            <v>2000009628</v>
          </cell>
          <cell r="B204" t="str">
            <v>B-MOTION 4</v>
          </cell>
          <cell r="C204" t="str">
            <v xml:space="preserve">FRONT WHEEL SET </v>
          </cell>
          <cell r="D204" t="str">
            <v>Vorderräder Set</v>
          </cell>
          <cell r="E204" t="str">
            <v>SET DE ROUES AVANT</v>
          </cell>
          <cell r="F204" t="str">
            <v>Zestaw kół przednich</v>
          </cell>
        </row>
        <row r="205">
          <cell r="A205">
            <v>2000025319</v>
          </cell>
          <cell r="B205" t="str">
            <v>BRITAX AFFINITY</v>
          </cell>
          <cell r="C205" t="str">
            <v xml:space="preserve">FRONT WHEEL SET </v>
          </cell>
          <cell r="D205" t="str">
            <v>Vorderräder Set</v>
          </cell>
          <cell r="E205" t="str">
            <v>SET DE ROUES AVANT</v>
          </cell>
          <cell r="F205" t="str">
            <v>Zestaw kół przednich</v>
          </cell>
        </row>
        <row r="206">
          <cell r="A206">
            <v>2000025320</v>
          </cell>
          <cell r="B206" t="str">
            <v>BRITAX AFFINITY</v>
          </cell>
          <cell r="C206" t="str">
            <v xml:space="preserve">FRONT WHEEL SET </v>
          </cell>
          <cell r="D206" t="str">
            <v>Vorderräder Set</v>
          </cell>
          <cell r="E206" t="str">
            <v>SET DE ROUES AVANT</v>
          </cell>
          <cell r="F206" t="str">
            <v>Zestaw kół przednich</v>
          </cell>
        </row>
        <row r="207">
          <cell r="A207">
            <v>2000025321</v>
          </cell>
          <cell r="B207" t="str">
            <v>BRITAX AFFINITY</v>
          </cell>
          <cell r="C207" t="str">
            <v xml:space="preserve">FRONT WHEEL SET </v>
          </cell>
          <cell r="D207" t="str">
            <v>Vorderräder Set</v>
          </cell>
          <cell r="E207" t="str">
            <v>SET DE ROUES AVANT</v>
          </cell>
          <cell r="F207" t="str">
            <v>Zestaw kół przednich</v>
          </cell>
        </row>
        <row r="208">
          <cell r="A208">
            <v>2000012162</v>
          </cell>
          <cell r="B208" t="str">
            <v>BRITAX GO</v>
          </cell>
          <cell r="C208" t="str">
            <v xml:space="preserve">FRONT WHEEL SET </v>
          </cell>
          <cell r="D208" t="str">
            <v>Vorderräder Set</v>
          </cell>
          <cell r="E208" t="str">
            <v>SET DE ROUES AVANT</v>
          </cell>
          <cell r="F208" t="str">
            <v>Zestaw kół przednich</v>
          </cell>
        </row>
        <row r="209">
          <cell r="A209">
            <v>2000012163</v>
          </cell>
          <cell r="B209" t="str">
            <v>BRITAX GO NEXT</v>
          </cell>
          <cell r="C209" t="str">
            <v xml:space="preserve">FRONT WHEEL SET </v>
          </cell>
          <cell r="D209" t="str">
            <v>Vorderräder Set</v>
          </cell>
          <cell r="E209" t="str">
            <v>SET DE ROUES AVANT</v>
          </cell>
          <cell r="F209" t="str">
            <v>Zestaw kół przednich</v>
          </cell>
        </row>
        <row r="210">
          <cell r="A210">
            <v>2000029363</v>
          </cell>
          <cell r="B210" t="str">
            <v>BRITAX GO NEXT</v>
          </cell>
          <cell r="C210" t="str">
            <v>FRONT WHEEL SET (WHITE LINE)</v>
          </cell>
          <cell r="D210" t="str">
            <v>Vorderräder Set (WHITE LINE)</v>
          </cell>
          <cell r="E210" t="str">
            <v>SET DE ROUES AVANT (liseré blanc)</v>
          </cell>
          <cell r="F210" t="str">
            <v>Zestaw kół przednich (WHITE LINE)</v>
          </cell>
        </row>
        <row r="211">
          <cell r="A211">
            <v>2000023197</v>
          </cell>
          <cell r="B211" t="str">
            <v>BRITAX GO NEXT</v>
          </cell>
          <cell r="C211" t="str">
            <v>FRONT WHEEL SET 2016</v>
          </cell>
          <cell r="D211" t="str">
            <v>Vorderräder Set 2016</v>
          </cell>
          <cell r="E211" t="str">
            <v>SET ROUE AVANT (2016)</v>
          </cell>
          <cell r="F211" t="str">
            <v>Zestaw kół przednich (2016)</v>
          </cell>
        </row>
        <row r="212">
          <cell r="A212">
            <v>2000029361</v>
          </cell>
          <cell r="B212" t="str">
            <v>BRITAX GO BIG</v>
          </cell>
          <cell r="C212" t="str">
            <v>FRONT WHEEL SET (WHITE LINE)</v>
          </cell>
          <cell r="D212" t="str">
            <v>Vorderräder Set (WHITE LINE)</v>
          </cell>
          <cell r="E212" t="str">
            <v>SET DE ROUES AVANT (liseré blanc)</v>
          </cell>
          <cell r="F212" t="str">
            <v>Zestaw kół przednich (WHITE LINE)</v>
          </cell>
        </row>
        <row r="213">
          <cell r="A213">
            <v>2000026722</v>
          </cell>
          <cell r="B213" t="str">
            <v>B-MOTION 3</v>
          </cell>
          <cell r="C213" t="str">
            <v>FRONT WHEEL TUBE</v>
          </cell>
          <cell r="D213" t="str">
            <v xml:space="preserve">Schlauch vorne </v>
          </cell>
          <cell r="E213" t="str">
            <v>Chambre à air roue avant (1 pièce)</v>
          </cell>
          <cell r="F213" t="str">
            <v>Dętka przedniego kota</v>
          </cell>
        </row>
        <row r="214">
          <cell r="A214">
            <v>2000026723</v>
          </cell>
          <cell r="B214" t="str">
            <v>B-MOTION 4</v>
          </cell>
          <cell r="C214" t="str">
            <v xml:space="preserve">FRONT WHEEL TUBE </v>
          </cell>
          <cell r="D214" t="str">
            <v xml:space="preserve">Schlauch vorne </v>
          </cell>
          <cell r="E214" t="str">
            <v>Chambre à air roue avant (1 pièce)</v>
          </cell>
          <cell r="F214" t="str">
            <v>Dętka przedniego kota</v>
          </cell>
        </row>
        <row r="215">
          <cell r="A215">
            <v>2000009631</v>
          </cell>
          <cell r="B215" t="str">
            <v>B-MOTION 3</v>
          </cell>
          <cell r="C215" t="str">
            <v xml:space="preserve">HANDLE </v>
          </cell>
          <cell r="D215" t="str">
            <v xml:space="preserve">Griff </v>
          </cell>
          <cell r="E215" t="str">
            <v xml:space="preserve">POIGNÉE </v>
          </cell>
          <cell r="F215" t="str">
            <v xml:space="preserve">Uchwyt stelaża </v>
          </cell>
        </row>
        <row r="216">
          <cell r="A216">
            <v>2000009850</v>
          </cell>
          <cell r="B216" t="str">
            <v>B-SMART 3</v>
          </cell>
          <cell r="C216" t="str">
            <v>HANDLE ADJUSTER BUTTON</v>
          </cell>
          <cell r="D216" t="str">
            <v xml:space="preserve">Button Griff </v>
          </cell>
          <cell r="E216" t="str">
            <v xml:space="preserve">POIGNÉE </v>
          </cell>
          <cell r="F216" t="str">
            <v xml:space="preserve">Przycisk przegubów uchwytu stelaża </v>
          </cell>
        </row>
        <row r="217">
          <cell r="A217">
            <v>2000025336</v>
          </cell>
          <cell r="B217" t="str">
            <v>BRITAX AFFINITY</v>
          </cell>
          <cell r="C217" t="str">
            <v xml:space="preserve">HANDLE + HANDLE ADJUSTER </v>
          </cell>
          <cell r="D217" t="str">
            <v xml:space="preserve">Griff-Reparatur Set </v>
          </cell>
          <cell r="E217" t="str">
            <v>Poignée + boutons d'ajustement</v>
          </cell>
          <cell r="F217" t="str">
            <v>Zestaw naprawczy uchwytu stelaża z przegubami</v>
          </cell>
        </row>
        <row r="218">
          <cell r="A218">
            <v>2000025337</v>
          </cell>
          <cell r="B218" t="str">
            <v>BRITAX AFFINITY</v>
          </cell>
          <cell r="C218" t="str">
            <v xml:space="preserve">HANDLE + HANDLE ADJUSTER </v>
          </cell>
          <cell r="D218" t="str">
            <v xml:space="preserve">Griff-Reparatur Set </v>
          </cell>
          <cell r="E218" t="str">
            <v>Poignée + boutons d'ajustement</v>
          </cell>
          <cell r="F218" t="str">
            <v>Zestaw naprawczy uchwytu stelaża z przegubami</v>
          </cell>
        </row>
        <row r="219">
          <cell r="A219">
            <v>2000025338</v>
          </cell>
          <cell r="B219" t="str">
            <v>BRITAX AFFINITY</v>
          </cell>
          <cell r="C219" t="str">
            <v xml:space="preserve">HANDLE + HANDLE ADJUSTER </v>
          </cell>
          <cell r="D219" t="str">
            <v xml:space="preserve">Griff-Reparatur Set </v>
          </cell>
          <cell r="E219" t="str">
            <v>Poignée + boutons d'ajustement</v>
          </cell>
          <cell r="F219" t="str">
            <v>Zestaw naprawczy uchwytu stelaża z przegubami</v>
          </cell>
        </row>
        <row r="220">
          <cell r="A220">
            <v>2000012210</v>
          </cell>
          <cell r="B220" t="str">
            <v>BRITAX GO</v>
          </cell>
          <cell r="C220" t="str">
            <v xml:space="preserve">HANDLE ADJUSTER REPAIR KIT </v>
          </cell>
          <cell r="D220" t="str">
            <v xml:space="preserve">Griff Reparatur Set  </v>
          </cell>
          <cell r="E220" t="str">
            <v xml:space="preserve">Kit réparation mécanisme poignée 
</v>
          </cell>
          <cell r="F220" t="str">
            <v>Zestaw naprawczy przegubów uchwytu stelaża</v>
          </cell>
        </row>
        <row r="221">
          <cell r="A221">
            <v>2000025506</v>
          </cell>
          <cell r="B221" t="str">
            <v>B-READY</v>
          </cell>
          <cell r="C221" t="str">
            <v xml:space="preserve">HANDLE INCL. HANDLE ADJUSTER </v>
          </cell>
          <cell r="D221" t="str">
            <v xml:space="preserve">Griff-Reparatur Set </v>
          </cell>
          <cell r="E221" t="str">
            <v>Poignée + boutons d'ajustement</v>
          </cell>
          <cell r="F221" t="str">
            <v>Uchwyt stelaża - zestaw naprawczy z przegubami</v>
          </cell>
        </row>
        <row r="222">
          <cell r="A222">
            <v>2000012129</v>
          </cell>
          <cell r="B222" t="str">
            <v>BRITAX GO</v>
          </cell>
          <cell r="C222" t="str">
            <v xml:space="preserve">HANDLE REPAIR KIT </v>
          </cell>
          <cell r="D222" t="str">
            <v xml:space="preserve">Griff Reparatur Set </v>
          </cell>
          <cell r="E222" t="str">
            <v>Kit réparation poignée</v>
          </cell>
          <cell r="F222" t="str">
            <v xml:space="preserve">Zestaw naprawczy uchwytu stelaża </v>
          </cell>
        </row>
        <row r="223">
          <cell r="A223">
            <v>2000012130</v>
          </cell>
          <cell r="B223" t="str">
            <v>BRITAX GO</v>
          </cell>
          <cell r="C223" t="str">
            <v xml:space="preserve">HANDLE REPAIR KIT </v>
          </cell>
          <cell r="D223" t="str">
            <v xml:space="preserve">Griff Reparatur Set </v>
          </cell>
          <cell r="E223" t="str">
            <v>Kit réparation poignée</v>
          </cell>
          <cell r="F223" t="str">
            <v xml:space="preserve">Zestaw naprawczy uchwytu stelaża </v>
          </cell>
        </row>
        <row r="224">
          <cell r="A224">
            <v>2000025070</v>
          </cell>
          <cell r="B224" t="str">
            <v>BRITAX GO BIG</v>
          </cell>
          <cell r="C224" t="str">
            <v xml:space="preserve">HANDLE REPAIR KIT </v>
          </cell>
          <cell r="D224" t="str">
            <v xml:space="preserve">Griff Reparatur Set </v>
          </cell>
          <cell r="E224" t="str">
            <v>Kit réparation poignée</v>
          </cell>
          <cell r="F224" t="str">
            <v xml:space="preserve">Zestaw naprawczy uchwytu stelaża </v>
          </cell>
        </row>
        <row r="225">
          <cell r="A225">
            <v>2000029352</v>
          </cell>
          <cell r="B225" t="str">
            <v>BRITAX GO NEXT</v>
          </cell>
          <cell r="C225" t="str">
            <v xml:space="preserve">HANDLE REPAIR KIT (LEATHERLOOK) </v>
          </cell>
          <cell r="D225" t="str">
            <v xml:space="preserve">Griff Reparatur Set Lederoptik </v>
          </cell>
          <cell r="E225" t="str">
            <v>Kit réparation poignée (smilicuir)</v>
          </cell>
          <cell r="F225" t="str">
            <v>Zestaw naprawczy uchwytu stelaża (o wykończeniu stylizowanym na skórzane)</v>
          </cell>
        </row>
        <row r="226">
          <cell r="A226">
            <v>2000029479</v>
          </cell>
          <cell r="B226" t="str">
            <v>BRITAX GO NEXT</v>
          </cell>
          <cell r="C226" t="str">
            <v xml:space="preserve">HANDLE REPAIR KIT (LEATHERLOOK) </v>
          </cell>
          <cell r="D226" t="str">
            <v xml:space="preserve">Griff Reparatur Set Lederoptik </v>
          </cell>
          <cell r="E226" t="str">
            <v>Kit réparation poignée (smilicuir)</v>
          </cell>
          <cell r="F226" t="str">
            <v>Zestaw naprawczy uchwytu stelaża (o wykończeniu stylizowanym na skórzane)</v>
          </cell>
        </row>
        <row r="227">
          <cell r="A227">
            <v>2000029354</v>
          </cell>
          <cell r="B227" t="str">
            <v>BRITAX GO NEXT</v>
          </cell>
          <cell r="C227" t="str">
            <v xml:space="preserve">HANDLE REPAIR KIT (LEATHERLOOK) </v>
          </cell>
          <cell r="D227" t="str">
            <v xml:space="preserve">Griff Reparatur Set Lederoptik </v>
          </cell>
          <cell r="E227" t="str">
            <v>Kit réparation poignée (smilicuir)</v>
          </cell>
          <cell r="F227" t="str">
            <v>Zestaw naprawczy uchwytu stelaża (o wykończeniu stylizowanym na skórzane)</v>
          </cell>
        </row>
        <row r="228">
          <cell r="A228">
            <v>2000029355</v>
          </cell>
          <cell r="B228" t="str">
            <v>BRITAX GO BIG</v>
          </cell>
          <cell r="C228" t="str">
            <v xml:space="preserve">HANDLE REPAIR KIT (LEATHERLOOK) </v>
          </cell>
          <cell r="D228" t="str">
            <v xml:space="preserve">Griff Reparatur Set Lederoptik </v>
          </cell>
          <cell r="E228" t="str">
            <v>Kit réparation poignée (smilicuir)</v>
          </cell>
          <cell r="F228" t="str">
            <v>Zestaw naprawczy uchwytu stelaża (o wykończeniu stylizowanym na skórzane)</v>
          </cell>
        </row>
        <row r="229">
          <cell r="A229">
            <v>2000029480</v>
          </cell>
          <cell r="B229" t="str">
            <v>BRITAX GO BIG</v>
          </cell>
          <cell r="C229" t="str">
            <v xml:space="preserve">HANDLE REPAIR KIT (LEATHERLOOK) </v>
          </cell>
          <cell r="D229" t="str">
            <v xml:space="preserve">Griff Reparatur Set Lederoptik </v>
          </cell>
          <cell r="E229" t="str">
            <v>Kit réparation poignée (smilicuir)</v>
          </cell>
          <cell r="F229" t="str">
            <v>Zestaw naprawczy uchwytu stelaża (o wykończeniu stylizowanym na skórzane)</v>
          </cell>
        </row>
        <row r="230">
          <cell r="A230">
            <v>2000029481</v>
          </cell>
          <cell r="B230" t="str">
            <v>BRITAX GO BIG</v>
          </cell>
          <cell r="C230" t="str">
            <v xml:space="preserve">HANDLE REPAIR KIT (LEATHERLOOK) </v>
          </cell>
          <cell r="D230" t="str">
            <v xml:space="preserve">Griff Reparatur Set Lederoptik </v>
          </cell>
          <cell r="E230" t="str">
            <v>Kit réparation poignée (smilicuir)</v>
          </cell>
          <cell r="F230" t="str">
            <v>Zestaw naprawczy uchwytu stelaża (o wykończeniu stylizowanym na skórzane)</v>
          </cell>
        </row>
        <row r="231">
          <cell r="A231">
            <v>2000003789</v>
          </cell>
          <cell r="B231" t="str">
            <v>B-DUAL</v>
          </cell>
          <cell r="C231" t="str">
            <v>HARNESS EXTENDERS</v>
          </cell>
          <cell r="D231" t="str">
            <v>Gurtverlängerungen</v>
          </cell>
          <cell r="E231" t="str">
            <v>EXTENSIONS DE HARNAIS</v>
          </cell>
          <cell r="F231" t="str">
            <v>Zestaw przedłużający pasy</v>
          </cell>
        </row>
        <row r="232">
          <cell r="A232">
            <v>2000025138</v>
          </cell>
          <cell r="B232" t="str">
            <v>BRITAX GO BIG</v>
          </cell>
          <cell r="C232" t="str">
            <v xml:space="preserve">HARNESS INCLUDING BUCKLE AND HANRESS PADS </v>
          </cell>
          <cell r="D232" t="str">
            <v>Gurt mit Schloss und Schulterpolster</v>
          </cell>
          <cell r="E232" t="str">
            <v>HARNAIS AVEC BOUCLE ET COUSSINETS</v>
          </cell>
          <cell r="F232" t="str">
            <v>Pasy z zamkiem uprzęży oraz nakładkami ochronnymi</v>
          </cell>
        </row>
        <row r="233">
          <cell r="A233">
            <v>2000023228</v>
          </cell>
          <cell r="B233" t="str">
            <v>BRITAX GO</v>
          </cell>
          <cell r="C233" t="str">
            <v>HARNESS INCLUDING BUCKLE AND HARNESS PADS</v>
          </cell>
          <cell r="D233" t="str">
            <v>Gurt mit Schloss und Schulterpolster</v>
          </cell>
          <cell r="E233" t="str">
            <v>HARNAIS AVEC BOUCLE ET COUSSINETS</v>
          </cell>
          <cell r="F233" t="str">
            <v>Pasy z zamkiem uprzęży oraz nakładkami ochronnymi</v>
          </cell>
        </row>
        <row r="234">
          <cell r="A234">
            <v>2000012438</v>
          </cell>
          <cell r="B234" t="str">
            <v>KING II / KING ll LS / KING II ATS</v>
          </cell>
          <cell r="C234" t="str">
            <v xml:space="preserve">HARNESS SET </v>
          </cell>
          <cell r="D234" t="str">
            <v xml:space="preserve">Gurtset </v>
          </cell>
          <cell r="E234" t="str">
            <v xml:space="preserve">HARNAIS COMPLET </v>
          </cell>
          <cell r="F234" t="str">
            <v>Komplet pasów bezpieczeństwa</v>
          </cell>
        </row>
        <row r="235">
          <cell r="A235">
            <v>2000003871</v>
          </cell>
          <cell r="B235" t="str">
            <v>ECLIPSE</v>
          </cell>
          <cell r="C235" t="str">
            <v xml:space="preserve">HARNESS SET </v>
          </cell>
          <cell r="D235" t="str">
            <v xml:space="preserve">Gurtset </v>
          </cell>
          <cell r="E235" t="str">
            <v xml:space="preserve">HARNAIS COMPLET </v>
          </cell>
          <cell r="F235" t="str">
            <v>Komplet pasów bezpieczeństwa</v>
          </cell>
        </row>
        <row r="236">
          <cell r="A236">
            <v>2000003485</v>
          </cell>
          <cell r="B236" t="str">
            <v>MAX-FIX</v>
          </cell>
          <cell r="C236" t="str">
            <v xml:space="preserve">HARNESS SET </v>
          </cell>
          <cell r="D236" t="str">
            <v xml:space="preserve">Gurtset </v>
          </cell>
          <cell r="E236" t="str">
            <v xml:space="preserve">HARNAIS COMPLET </v>
          </cell>
          <cell r="F236" t="str">
            <v>Komplet pasów bezpieczeństwa</v>
          </cell>
        </row>
        <row r="237">
          <cell r="A237">
            <v>2000003455</v>
          </cell>
          <cell r="B237" t="str">
            <v>VERSAFIX</v>
          </cell>
          <cell r="C237" t="str">
            <v xml:space="preserve">HARNESS SET </v>
          </cell>
          <cell r="D237" t="str">
            <v xml:space="preserve">Gurtset </v>
          </cell>
          <cell r="E237" t="str">
            <v xml:space="preserve">HARNAIS COMPLET </v>
          </cell>
          <cell r="F237" t="str">
            <v>Komplet pasów bezpieczeństwa</v>
          </cell>
        </row>
        <row r="238">
          <cell r="A238">
            <v>2000003886</v>
          </cell>
          <cell r="B238" t="str">
            <v>FIRST CLASS plus</v>
          </cell>
          <cell r="C238" t="str">
            <v xml:space="preserve">HARNESS SET UPGRADE </v>
          </cell>
          <cell r="D238" t="str">
            <v xml:space="preserve">Gurtset </v>
          </cell>
          <cell r="E238" t="str">
            <v xml:space="preserve">HARNAIS COMPLET </v>
          </cell>
          <cell r="F238" t="str">
            <v>Komplet pasów bezpieczeństwa</v>
          </cell>
        </row>
        <row r="239">
          <cell r="A239">
            <v>2000003889</v>
          </cell>
          <cell r="B239" t="str">
            <v>BABY-SAFE</v>
          </cell>
          <cell r="C239" t="str">
            <v>HEADPAD &amp; CUSHION INSERT</v>
          </cell>
          <cell r="D239" t="str">
            <v>Sitzeinlage Set</v>
          </cell>
          <cell r="E239" t="str">
            <v>APPUI-TÊTE ET RÉDUCTEUR NOUVEAU-NÉ</v>
          </cell>
          <cell r="F239" t="str">
            <v>Wkładka do fotelika</v>
          </cell>
        </row>
        <row r="240">
          <cell r="A240">
            <v>2000003472</v>
          </cell>
          <cell r="B240" t="str">
            <v>BABY-SAFE</v>
          </cell>
          <cell r="C240" t="str">
            <v>HEADPAD IMPACT INSERT</v>
          </cell>
          <cell r="D240" t="str">
            <v>Dämpfungseinleger Kopfstütze</v>
          </cell>
          <cell r="E240" t="str">
            <v>TÊTIÈRE POLYSTYRÈNE</v>
          </cell>
          <cell r="F240" t="str">
            <v>Wkład zagłówka</v>
          </cell>
        </row>
        <row r="241">
          <cell r="A241">
            <v>2000003471</v>
          </cell>
          <cell r="B241" t="str">
            <v>BABY-SAFE plus / SHR (A17)</v>
          </cell>
          <cell r="C241" t="str">
            <v>HEADPAD IMPACT INSERT</v>
          </cell>
          <cell r="D241" t="str">
            <v>Dämpfungseinleger Kopfstütze</v>
          </cell>
          <cell r="E241" t="str">
            <v>TÊTIÈRE POLYSTYRÈNE</v>
          </cell>
          <cell r="F241" t="str">
            <v>Wkład zagłówka</v>
          </cell>
        </row>
        <row r="242">
          <cell r="A242">
            <v>2000003678</v>
          </cell>
          <cell r="B242" t="str">
            <v>EVOLVA 1-2-3 / EVOLVA 1-2-3 plus</v>
          </cell>
          <cell r="C242" t="str">
            <v>HEADPAD IMPACT INSERT</v>
          </cell>
          <cell r="D242" t="str">
            <v>Dämpfungseinleger Kopfstütze</v>
          </cell>
          <cell r="E242" t="str">
            <v>TÊTIÈRE POLYSTYRÈNE</v>
          </cell>
          <cell r="F242" t="str">
            <v>Wkład zagłówka</v>
          </cell>
        </row>
        <row r="243">
          <cell r="A243">
            <v>2000003670</v>
          </cell>
          <cell r="B243" t="str">
            <v>ADVENTURE / DISCOVERY / DISCOVERY SL</v>
          </cell>
          <cell r="C243" t="str">
            <v>HEADPAD IMPACT INSERT</v>
          </cell>
          <cell r="D243" t="str">
            <v>Dämpfungseinleger Kopfstütze</v>
          </cell>
          <cell r="E243" t="str">
            <v>TÊTIÈRE POLYSTYRÈNE</v>
          </cell>
          <cell r="F243" t="str">
            <v>Wkład zagłówka</v>
          </cell>
        </row>
        <row r="244">
          <cell r="A244">
            <v>2000003456</v>
          </cell>
          <cell r="B244" t="str">
            <v>KID</v>
          </cell>
          <cell r="C244" t="str">
            <v>HEADPAD IMPACT INSERT &amp; REAR LARGE INSERT SET</v>
          </cell>
          <cell r="D244" t="str">
            <v>Dämpfungseinleger Set Kopf- und Rückenteil Set (ab Kollektion 2007)</v>
          </cell>
          <cell r="E244" t="str">
            <v>KIT PIÈCES POLYSTYRÈNE GRAND MODÈLE</v>
          </cell>
          <cell r="F244" t="str">
            <v xml:space="preserve">Zestaw wkładek amortyzujących części tylnej oraz zagłówka </v>
          </cell>
        </row>
        <row r="245">
          <cell r="A245">
            <v>2000003460</v>
          </cell>
          <cell r="B245" t="str">
            <v>KID</v>
          </cell>
          <cell r="C245" t="str">
            <v>HEADPAD IMPACT INSERT &amp; REAR SMALL INSERT SET</v>
          </cell>
          <cell r="D245" t="str">
            <v xml:space="preserve">Dämpfungseinleger Set Kopf- und Rückenteil klein Set </v>
          </cell>
          <cell r="E245" t="str">
            <v>KIT PIÈCES POLYSTYRÈNE PETIT MODÈLE</v>
          </cell>
          <cell r="F245" t="str">
            <v>Zestaw amortyzujący zagłówka i mniejszej części tylnej skorupy</v>
          </cell>
        </row>
        <row r="246">
          <cell r="A246">
            <v>2000003464</v>
          </cell>
          <cell r="B246" t="str">
            <v>BABY SAFE plus II / SHR (A20)</v>
          </cell>
          <cell r="C246" t="str">
            <v>HEADPAD IMPACT INSERT</v>
          </cell>
          <cell r="D246" t="str">
            <v>Dämpfungseinleger Kopfstütze</v>
          </cell>
          <cell r="E246" t="str">
            <v>TÊTIÈRE POLYSTYRÈNE</v>
          </cell>
          <cell r="F246" t="str">
            <v>Pakiet wkładek zagłówka</v>
          </cell>
        </row>
        <row r="247">
          <cell r="A247">
            <v>2000003482</v>
          </cell>
          <cell r="B247" t="str">
            <v>KING</v>
          </cell>
          <cell r="C247" t="str">
            <v>HEADPAD IMPACT INSERT</v>
          </cell>
          <cell r="D247" t="str">
            <v>Dämpfungseinleger Kopfstütze</v>
          </cell>
          <cell r="E247" t="str">
            <v>TÊTIÈRE POLYSTYRÈNE</v>
          </cell>
          <cell r="F247" t="str">
            <v>Wkład górnej części fotelika</v>
          </cell>
        </row>
        <row r="248">
          <cell r="A248">
            <v>2000003480</v>
          </cell>
          <cell r="B248" t="str">
            <v>SAFEFIX plus / SAFEFIX plus TT</v>
          </cell>
          <cell r="C248" t="str">
            <v>HEADPAD INSERT SET WITH FIXING POPPER</v>
          </cell>
          <cell r="D248" t="str">
            <v xml:space="preserve">Dämpfungseinleger Kopfstütze mit Befestigungsstopfen </v>
          </cell>
          <cell r="E248" t="str">
            <v>TÊTIÈRE POLYSTYRÈNE ET FIXATIONS</v>
          </cell>
          <cell r="F248" t="str">
            <v>Wkład zagłówka z częściami mocującymi</v>
          </cell>
        </row>
        <row r="249">
          <cell r="A249">
            <v>2000003890</v>
          </cell>
          <cell r="B249" t="str">
            <v>KING TS</v>
          </cell>
          <cell r="C249" t="str">
            <v>HEADPAD IMPACT INSERT</v>
          </cell>
          <cell r="D249" t="str">
            <v>Dämpfungseinleger Kopfstütze</v>
          </cell>
          <cell r="E249" t="str">
            <v>TÊTIÈRE POLYSTYRÈNE</v>
          </cell>
          <cell r="F249" t="str">
            <v xml:space="preserve">Wkład zagłówka </v>
          </cell>
        </row>
        <row r="250">
          <cell r="A250">
            <v>2000003483</v>
          </cell>
          <cell r="B250" t="str">
            <v>KING TS plus</v>
          </cell>
          <cell r="C250" t="str">
            <v>HEADPAD IMPACT INSERT</v>
          </cell>
          <cell r="D250" t="str">
            <v>Dämpfungseinleger Kopfstütze</v>
          </cell>
          <cell r="E250" t="str">
            <v>TÊTIÈRE POLYSTYRÈNE</v>
          </cell>
          <cell r="F250" t="str">
            <v>Zestaw wkładek amortyzujących</v>
          </cell>
        </row>
        <row r="251">
          <cell r="A251">
            <v>2000003453</v>
          </cell>
          <cell r="B251" t="str">
            <v>VERSAFIX</v>
          </cell>
          <cell r="C251" t="str">
            <v>HEADPAD IMPACT INSERT</v>
          </cell>
          <cell r="D251" t="str">
            <v>Dämpfungseinleger Kopfstütze</v>
          </cell>
          <cell r="E251" t="str">
            <v>TÊTIÈRE POLYSTYRÈNE</v>
          </cell>
          <cell r="F251" t="str">
            <v>Wkład górnej części fotelika</v>
          </cell>
        </row>
        <row r="252">
          <cell r="A252">
            <v>2000027481</v>
          </cell>
          <cell r="B252" t="str">
            <v>TRIFIX i-SIZE / TRIFIX² i-SIZE</v>
          </cell>
          <cell r="C252" t="str">
            <v>HEADPAD INSERT SET WITH FIXING POPPER</v>
          </cell>
          <cell r="D252" t="str">
            <v>Dämpfungseinleger Kopfstütze mit Befestigungsstopfen</v>
          </cell>
          <cell r="E252" t="str">
            <v>TÊTIÈRE POLYSTYRÈNE ET FIXATIONS</v>
          </cell>
          <cell r="F252" t="str">
            <v>Wkład zagłówka z częściami mocującymi</v>
          </cell>
        </row>
        <row r="253">
          <cell r="A253">
            <v>2000007048</v>
          </cell>
          <cell r="B253" t="str">
            <v>KING II / KING ll LS / KING II ATS</v>
          </cell>
          <cell r="C253" t="str">
            <v>HEADPAD INSERT WITH FIXING POPPER</v>
          </cell>
          <cell r="D253" t="str">
            <v>Dämpfungseinleger Kopfstütze mit Befestigungsstopfen</v>
          </cell>
          <cell r="E253" t="str">
            <v>TÊTIÈRE POLYSTYRÈNE ET FIXATIONS</v>
          </cell>
          <cell r="F253" t="str">
            <v>Wkład zagłówka z częściami mocującymi</v>
          </cell>
        </row>
        <row r="254">
          <cell r="A254">
            <v>2000006219</v>
          </cell>
          <cell r="B254" t="str">
            <v>B-DUAL</v>
          </cell>
          <cell r="C254" t="str">
            <v>HOOD</v>
          </cell>
          <cell r="D254" t="str">
            <v>Verdeck</v>
          </cell>
          <cell r="E254" t="str">
            <v>CANOPY</v>
          </cell>
          <cell r="F254" t="str">
            <v xml:space="preserve">Budka </v>
          </cell>
        </row>
        <row r="255">
          <cell r="A255">
            <v>2000003036</v>
          </cell>
          <cell r="B255" t="str">
            <v>B-DUAL</v>
          </cell>
          <cell r="C255" t="str">
            <v>HOOD</v>
          </cell>
          <cell r="D255" t="str">
            <v>Verdeck</v>
          </cell>
          <cell r="E255" t="str">
            <v>CANOPY</v>
          </cell>
          <cell r="F255" t="str">
            <v xml:space="preserve">Budka </v>
          </cell>
        </row>
        <row r="256">
          <cell r="A256">
            <v>2000025500</v>
          </cell>
          <cell r="B256" t="str">
            <v>B-READY</v>
          </cell>
          <cell r="C256" t="str">
            <v>HOOD</v>
          </cell>
          <cell r="D256" t="str">
            <v>Verdeck</v>
          </cell>
          <cell r="E256" t="str">
            <v>CANOPY</v>
          </cell>
          <cell r="F256" t="str">
            <v xml:space="preserve">Budka </v>
          </cell>
        </row>
        <row r="257">
          <cell r="A257">
            <v>2000025501</v>
          </cell>
          <cell r="B257" t="str">
            <v>B-READY</v>
          </cell>
          <cell r="C257" t="str">
            <v>HOOD</v>
          </cell>
          <cell r="D257" t="str">
            <v>Verdeck</v>
          </cell>
          <cell r="E257" t="str">
            <v>CANOPY</v>
          </cell>
          <cell r="F257" t="str">
            <v xml:space="preserve">Budka </v>
          </cell>
        </row>
        <row r="258">
          <cell r="A258">
            <v>2000025502</v>
          </cell>
          <cell r="B258" t="str">
            <v>B-READY</v>
          </cell>
          <cell r="C258" t="str">
            <v>HOOD</v>
          </cell>
          <cell r="D258" t="str">
            <v>Verdeck</v>
          </cell>
          <cell r="E258" t="str">
            <v>CANOPY</v>
          </cell>
          <cell r="F258" t="str">
            <v xml:space="preserve">Budka </v>
          </cell>
        </row>
        <row r="259">
          <cell r="A259">
            <v>2000025503</v>
          </cell>
          <cell r="B259" t="str">
            <v>B-READY</v>
          </cell>
          <cell r="C259" t="str">
            <v>HOOD</v>
          </cell>
          <cell r="D259" t="str">
            <v>Verdeck</v>
          </cell>
          <cell r="E259" t="str">
            <v>CANOPY</v>
          </cell>
          <cell r="F259" t="str">
            <v xml:space="preserve">Budka </v>
          </cell>
        </row>
        <row r="260">
          <cell r="A260">
            <v>2000025038</v>
          </cell>
          <cell r="B260" t="str">
            <v>BRITAX SMILE 2</v>
          </cell>
          <cell r="C260" t="str">
            <v>HOOD</v>
          </cell>
          <cell r="D260" t="str">
            <v>Verdeck</v>
          </cell>
          <cell r="E260" t="str">
            <v>CANOPY</v>
          </cell>
          <cell r="F260" t="str">
            <v xml:space="preserve">Budka </v>
          </cell>
        </row>
        <row r="261">
          <cell r="A261">
            <v>2000025039</v>
          </cell>
          <cell r="B261" t="str">
            <v>BRITAX SMILE 2</v>
          </cell>
          <cell r="C261" t="str">
            <v>HOOD</v>
          </cell>
          <cell r="D261" t="str">
            <v>Verdeck</v>
          </cell>
          <cell r="E261" t="str">
            <v>CANOPY</v>
          </cell>
          <cell r="F261" t="str">
            <v xml:space="preserve">Budka </v>
          </cell>
        </row>
        <row r="262">
          <cell r="A262">
            <v>2000025040</v>
          </cell>
          <cell r="B262" t="str">
            <v>BRITAX SMILE 2</v>
          </cell>
          <cell r="C262" t="str">
            <v>HOOD</v>
          </cell>
          <cell r="D262" t="str">
            <v>Verdeck</v>
          </cell>
          <cell r="E262" t="str">
            <v>CANOPY</v>
          </cell>
          <cell r="F262" t="str">
            <v xml:space="preserve">Budka </v>
          </cell>
        </row>
        <row r="263">
          <cell r="A263">
            <v>2000025041</v>
          </cell>
          <cell r="B263" t="str">
            <v>BRITAX SMILE 2</v>
          </cell>
          <cell r="C263" t="str">
            <v>HOOD</v>
          </cell>
          <cell r="D263" t="str">
            <v>Verdeck</v>
          </cell>
          <cell r="E263" t="str">
            <v>CANOPY</v>
          </cell>
          <cell r="F263" t="str">
            <v xml:space="preserve">Budka </v>
          </cell>
        </row>
        <row r="264">
          <cell r="A264">
            <v>2000025042</v>
          </cell>
          <cell r="B264" t="str">
            <v>BRITAX SMILE 2</v>
          </cell>
          <cell r="C264" t="str">
            <v>HOOD</v>
          </cell>
          <cell r="D264" t="str">
            <v>Verdeck</v>
          </cell>
          <cell r="E264" t="str">
            <v>CANOPY</v>
          </cell>
          <cell r="F264" t="str">
            <v xml:space="preserve">Budka </v>
          </cell>
        </row>
        <row r="265">
          <cell r="A265">
            <v>2000025043</v>
          </cell>
          <cell r="B265" t="str">
            <v>BRITAX SMILE 2</v>
          </cell>
          <cell r="C265" t="str">
            <v>HOOD</v>
          </cell>
          <cell r="D265" t="str">
            <v>Verdeck</v>
          </cell>
          <cell r="E265" t="str">
            <v>CANOPY</v>
          </cell>
          <cell r="F265" t="str">
            <v xml:space="preserve">Budka </v>
          </cell>
        </row>
        <row r="266">
          <cell r="A266">
            <v>2000025044</v>
          </cell>
          <cell r="B266" t="str">
            <v>BRITAX SMILE 2</v>
          </cell>
          <cell r="C266" t="str">
            <v>HOOD</v>
          </cell>
          <cell r="D266" t="str">
            <v>Verdeck</v>
          </cell>
          <cell r="E266" t="str">
            <v>CANOPY</v>
          </cell>
          <cell r="F266" t="str">
            <v xml:space="preserve">Budka </v>
          </cell>
        </row>
        <row r="267">
          <cell r="A267">
            <v>2000025045</v>
          </cell>
          <cell r="B267" t="str">
            <v>BRITAX SMILE 2</v>
          </cell>
          <cell r="C267" t="str">
            <v>HOOD</v>
          </cell>
          <cell r="D267" t="str">
            <v>Verdeck</v>
          </cell>
          <cell r="E267" t="str">
            <v>CANOPY</v>
          </cell>
          <cell r="F267" t="str">
            <v xml:space="preserve">Budka </v>
          </cell>
        </row>
        <row r="268">
          <cell r="A268">
            <v>2000025330</v>
          </cell>
          <cell r="B268" t="str">
            <v>BRITAX AFFINITY 2</v>
          </cell>
          <cell r="C268" t="str">
            <v>HOOD</v>
          </cell>
          <cell r="D268" t="str">
            <v xml:space="preserve">Verdeck </v>
          </cell>
          <cell r="E268" t="str">
            <v>CANOPY</v>
          </cell>
          <cell r="F268" t="str">
            <v xml:space="preserve">Budka </v>
          </cell>
        </row>
        <row r="269">
          <cell r="A269">
            <v>2000025331</v>
          </cell>
          <cell r="B269" t="str">
            <v>BRITAX AFFINITY 2</v>
          </cell>
          <cell r="C269" t="str">
            <v>HOOD</v>
          </cell>
          <cell r="D269" t="str">
            <v xml:space="preserve">Verdeck </v>
          </cell>
          <cell r="E269" t="str">
            <v>CANOPY</v>
          </cell>
          <cell r="F269" t="str">
            <v xml:space="preserve">Budka </v>
          </cell>
        </row>
        <row r="270">
          <cell r="A270">
            <v>2000025332</v>
          </cell>
          <cell r="B270" t="str">
            <v>BRITAX AFFINITY 2</v>
          </cell>
          <cell r="C270" t="str">
            <v>HOOD</v>
          </cell>
          <cell r="D270" t="str">
            <v xml:space="preserve">Verdeck </v>
          </cell>
          <cell r="E270" t="str">
            <v>CANOPY</v>
          </cell>
          <cell r="F270" t="str">
            <v xml:space="preserve">Budka </v>
          </cell>
        </row>
        <row r="271">
          <cell r="A271">
            <v>2000025333</v>
          </cell>
          <cell r="B271" t="str">
            <v>BRITAX AFFINITY 2</v>
          </cell>
          <cell r="C271" t="str">
            <v>HOOD</v>
          </cell>
          <cell r="D271" t="str">
            <v xml:space="preserve">Verdeck </v>
          </cell>
          <cell r="E271" t="str">
            <v>CANOPY</v>
          </cell>
          <cell r="F271" t="str">
            <v xml:space="preserve">Budka </v>
          </cell>
        </row>
        <row r="272">
          <cell r="A272">
            <v>2000025334</v>
          </cell>
          <cell r="B272" t="str">
            <v>BRITAX AFFINITY 2</v>
          </cell>
          <cell r="C272" t="str">
            <v>HOOD</v>
          </cell>
          <cell r="D272" t="str">
            <v xml:space="preserve">Verdeck </v>
          </cell>
          <cell r="E272" t="str">
            <v>CANOPY</v>
          </cell>
          <cell r="F272" t="str">
            <v xml:space="preserve">Budka </v>
          </cell>
        </row>
        <row r="273">
          <cell r="A273">
            <v>2000025335</v>
          </cell>
          <cell r="B273" t="str">
            <v>BRITAX AFFINITY 2</v>
          </cell>
          <cell r="C273" t="str">
            <v>HOOD</v>
          </cell>
          <cell r="D273" t="str">
            <v xml:space="preserve">Verdeck </v>
          </cell>
          <cell r="E273" t="str">
            <v>CANOPY</v>
          </cell>
          <cell r="F273" t="str">
            <v xml:space="preserve">Budka </v>
          </cell>
        </row>
        <row r="274">
          <cell r="A274">
            <v>2000005808</v>
          </cell>
          <cell r="B274" t="str">
            <v>B-AGILE 3</v>
          </cell>
          <cell r="C274" t="str">
            <v xml:space="preserve">HOOD </v>
          </cell>
          <cell r="D274" t="str">
            <v>Verdeck</v>
          </cell>
          <cell r="E274" t="str">
            <v>CANOPY</v>
          </cell>
          <cell r="F274" t="str">
            <v xml:space="preserve">Budka </v>
          </cell>
        </row>
        <row r="275">
          <cell r="A275">
            <v>2000008007</v>
          </cell>
          <cell r="B275" t="str">
            <v>B-AGILE 3</v>
          </cell>
          <cell r="C275" t="str">
            <v xml:space="preserve">HOOD </v>
          </cell>
          <cell r="D275" t="str">
            <v>Verdeck</v>
          </cell>
          <cell r="E275" t="str">
            <v>CANOPY</v>
          </cell>
          <cell r="F275" t="str">
            <v xml:space="preserve">Budka </v>
          </cell>
        </row>
        <row r="276">
          <cell r="A276">
            <v>2000008008</v>
          </cell>
          <cell r="B276" t="str">
            <v>B-AGILE 3</v>
          </cell>
          <cell r="C276" t="str">
            <v xml:space="preserve">HOOD </v>
          </cell>
          <cell r="D276" t="str">
            <v>Verdeck</v>
          </cell>
          <cell r="E276" t="str">
            <v>CANOPY</v>
          </cell>
          <cell r="F276" t="str">
            <v xml:space="preserve">Budka </v>
          </cell>
        </row>
        <row r="277">
          <cell r="A277">
            <v>2000008009</v>
          </cell>
          <cell r="B277" t="str">
            <v>B-AGILE 3</v>
          </cell>
          <cell r="C277" t="str">
            <v xml:space="preserve">HOOD </v>
          </cell>
          <cell r="D277" t="str">
            <v>Verdeck</v>
          </cell>
          <cell r="E277" t="str">
            <v>CANOPY</v>
          </cell>
          <cell r="F277" t="str">
            <v xml:space="preserve">Budka </v>
          </cell>
        </row>
        <row r="278">
          <cell r="A278">
            <v>2000024743</v>
          </cell>
          <cell r="B278" t="str">
            <v>B-AGILE 3</v>
          </cell>
          <cell r="C278" t="str">
            <v xml:space="preserve">HOOD </v>
          </cell>
          <cell r="D278" t="str">
            <v>Verdeck</v>
          </cell>
          <cell r="E278" t="str">
            <v>CANOPY</v>
          </cell>
          <cell r="F278" t="str">
            <v xml:space="preserve">Budka </v>
          </cell>
        </row>
        <row r="279">
          <cell r="A279">
            <v>2000024744</v>
          </cell>
          <cell r="B279" t="str">
            <v>B-AGILE DOUBLE</v>
          </cell>
          <cell r="C279" t="str">
            <v xml:space="preserve">HOOD </v>
          </cell>
          <cell r="D279" t="str">
            <v>Verdeck</v>
          </cell>
          <cell r="E279" t="str">
            <v>CANOPY</v>
          </cell>
          <cell r="F279" t="str">
            <v xml:space="preserve">Budka </v>
          </cell>
        </row>
        <row r="280">
          <cell r="A280">
            <v>2000024745</v>
          </cell>
          <cell r="B280" t="str">
            <v>B-AGILE DOUBLE</v>
          </cell>
          <cell r="C280" t="str">
            <v xml:space="preserve">HOOD </v>
          </cell>
          <cell r="D280" t="str">
            <v>Verdeck</v>
          </cell>
          <cell r="E280" t="str">
            <v>CANOPY</v>
          </cell>
          <cell r="F280" t="str">
            <v xml:space="preserve">Budka </v>
          </cell>
        </row>
        <row r="281">
          <cell r="A281">
            <v>2000008819</v>
          </cell>
          <cell r="B281" t="str">
            <v>B-AGILE DOUBLE</v>
          </cell>
          <cell r="C281" t="str">
            <v xml:space="preserve">HOOD </v>
          </cell>
          <cell r="D281" t="str">
            <v>Verdeck</v>
          </cell>
          <cell r="E281" t="str">
            <v>CANOPY</v>
          </cell>
          <cell r="F281" t="str">
            <v xml:space="preserve">Budka </v>
          </cell>
        </row>
        <row r="282">
          <cell r="A282">
            <v>2000010101</v>
          </cell>
          <cell r="B282" t="e">
            <v>#N/A</v>
          </cell>
          <cell r="C282" t="str">
            <v xml:space="preserve">HOOD </v>
          </cell>
          <cell r="D282" t="str">
            <v>Verdeck</v>
          </cell>
          <cell r="E282" t="str">
            <v>CANOPY</v>
          </cell>
          <cell r="F282" t="str">
            <v xml:space="preserve">Budka </v>
          </cell>
        </row>
        <row r="283">
          <cell r="A283">
            <v>2000026811</v>
          </cell>
          <cell r="B283" t="str">
            <v>B-AGILE DOUBLE</v>
          </cell>
          <cell r="C283" t="str">
            <v xml:space="preserve">HOOD </v>
          </cell>
          <cell r="D283" t="str">
            <v>Verdeck</v>
          </cell>
          <cell r="E283" t="str">
            <v>CANOPY</v>
          </cell>
          <cell r="F283" t="str">
            <v xml:space="preserve">Budka </v>
          </cell>
        </row>
        <row r="284">
          <cell r="A284">
            <v>2000021788</v>
          </cell>
          <cell r="B284" t="str">
            <v>B-AGILE 4S</v>
          </cell>
          <cell r="C284" t="str">
            <v xml:space="preserve">HOOD </v>
          </cell>
          <cell r="D284" t="str">
            <v>Verdeck</v>
          </cell>
          <cell r="E284" t="str">
            <v>CANOPY</v>
          </cell>
          <cell r="F284" t="str">
            <v xml:space="preserve">Budka </v>
          </cell>
        </row>
        <row r="285">
          <cell r="A285">
            <v>2000021809</v>
          </cell>
          <cell r="B285" t="str">
            <v>B-AGILE 4S</v>
          </cell>
          <cell r="C285" t="str">
            <v xml:space="preserve">HOOD </v>
          </cell>
          <cell r="D285" t="str">
            <v>Verdeck</v>
          </cell>
          <cell r="E285" t="str">
            <v>CANOPY</v>
          </cell>
          <cell r="F285" t="str">
            <v xml:space="preserve">Budka </v>
          </cell>
        </row>
        <row r="286">
          <cell r="A286">
            <v>2000021810</v>
          </cell>
          <cell r="B286" t="str">
            <v>B-AGILE 4S</v>
          </cell>
          <cell r="C286" t="str">
            <v xml:space="preserve">HOOD </v>
          </cell>
          <cell r="D286" t="str">
            <v>Verdeck</v>
          </cell>
          <cell r="E286" t="str">
            <v>CANOPY</v>
          </cell>
          <cell r="F286" t="str">
            <v xml:space="preserve">Budka </v>
          </cell>
        </row>
        <row r="287">
          <cell r="A287">
            <v>2000021811</v>
          </cell>
          <cell r="B287" t="str">
            <v>B-AGILE 4S</v>
          </cell>
          <cell r="C287" t="str">
            <v xml:space="preserve">HOOD </v>
          </cell>
          <cell r="D287" t="str">
            <v>Verdeck</v>
          </cell>
          <cell r="E287" t="str">
            <v>CANOPY</v>
          </cell>
          <cell r="F287" t="str">
            <v xml:space="preserve">Budka </v>
          </cell>
        </row>
        <row r="288">
          <cell r="A288">
            <v>2000005807</v>
          </cell>
          <cell r="B288" t="str">
            <v>B-AGILE 3</v>
          </cell>
          <cell r="C288" t="str">
            <v xml:space="preserve">HOOD </v>
          </cell>
          <cell r="D288" t="str">
            <v>Verdeck</v>
          </cell>
          <cell r="E288" t="str">
            <v>CANOPY</v>
          </cell>
          <cell r="F288" t="str">
            <v xml:space="preserve">Budka </v>
          </cell>
        </row>
        <row r="289">
          <cell r="A289">
            <v>2000024738</v>
          </cell>
          <cell r="B289" t="str">
            <v>B-AGILE 3</v>
          </cell>
          <cell r="C289" t="str">
            <v xml:space="preserve">HOOD </v>
          </cell>
          <cell r="D289" t="str">
            <v>Verdeck</v>
          </cell>
          <cell r="E289" t="str">
            <v>CANOPY</v>
          </cell>
          <cell r="F289" t="str">
            <v xml:space="preserve">Budka </v>
          </cell>
        </row>
        <row r="290">
          <cell r="A290">
            <v>2000024739</v>
          </cell>
          <cell r="B290" t="str">
            <v>B-AGILE 3</v>
          </cell>
          <cell r="C290" t="str">
            <v xml:space="preserve">HOOD </v>
          </cell>
          <cell r="D290" t="str">
            <v>Verdeck</v>
          </cell>
          <cell r="E290" t="str">
            <v>CANOPY</v>
          </cell>
          <cell r="F290" t="str">
            <v xml:space="preserve">Budka </v>
          </cell>
        </row>
        <row r="291">
          <cell r="A291">
            <v>2000024742</v>
          </cell>
          <cell r="B291" t="str">
            <v>B-AGILE 3</v>
          </cell>
          <cell r="C291" t="str">
            <v xml:space="preserve">HOOD </v>
          </cell>
          <cell r="D291" t="str">
            <v>Verdeck</v>
          </cell>
          <cell r="E291" t="str">
            <v>CANOPY</v>
          </cell>
          <cell r="F291" t="str">
            <v xml:space="preserve">Budka </v>
          </cell>
        </row>
        <row r="292">
          <cell r="A292">
            <v>2000024741</v>
          </cell>
          <cell r="B292" t="str">
            <v>B-AGILE 4</v>
          </cell>
          <cell r="C292" t="str">
            <v xml:space="preserve">HOOD </v>
          </cell>
          <cell r="D292" t="str">
            <v>Verdeck</v>
          </cell>
          <cell r="E292" t="str">
            <v>CANOPY</v>
          </cell>
          <cell r="F292" t="str">
            <v xml:space="preserve">Budka </v>
          </cell>
        </row>
        <row r="293">
          <cell r="A293">
            <v>2000024740</v>
          </cell>
          <cell r="B293" t="str">
            <v>B-MOTION 3</v>
          </cell>
          <cell r="C293" t="str">
            <v xml:space="preserve">HOOD </v>
          </cell>
          <cell r="D293" t="str">
            <v>Verdeck</v>
          </cell>
          <cell r="E293" t="str">
            <v>CANOPY</v>
          </cell>
          <cell r="F293" t="str">
            <v xml:space="preserve">Budka </v>
          </cell>
        </row>
        <row r="294">
          <cell r="A294" t="str">
            <v>2000014668 </v>
          </cell>
          <cell r="B294" t="str">
            <v>B-MOTION 3</v>
          </cell>
          <cell r="C294" t="str">
            <v xml:space="preserve">HOOD </v>
          </cell>
          <cell r="D294" t="str">
            <v>Verdeck</v>
          </cell>
          <cell r="E294" t="str">
            <v>CANOPY</v>
          </cell>
          <cell r="F294" t="str">
            <v xml:space="preserve">Budka </v>
          </cell>
        </row>
        <row r="295">
          <cell r="A295">
            <v>2000026808</v>
          </cell>
          <cell r="B295" t="str">
            <v>B-AGILE 3</v>
          </cell>
          <cell r="C295" t="str">
            <v xml:space="preserve">HOOD </v>
          </cell>
          <cell r="D295" t="str">
            <v>Verdeck</v>
          </cell>
          <cell r="E295" t="str">
            <v>CANOPY</v>
          </cell>
          <cell r="F295" t="str">
            <v xml:space="preserve">Budka </v>
          </cell>
        </row>
        <row r="296">
          <cell r="A296" t="str">
            <v>2000026809</v>
          </cell>
          <cell r="B296" t="str">
            <v>B-AGILE 3</v>
          </cell>
          <cell r="C296" t="str">
            <v xml:space="preserve">HOOD </v>
          </cell>
          <cell r="D296" t="str">
            <v>Verdeck</v>
          </cell>
          <cell r="E296" t="str">
            <v>CANOPY</v>
          </cell>
          <cell r="F296" t="str">
            <v xml:space="preserve">Budka </v>
          </cell>
        </row>
        <row r="297">
          <cell r="A297">
            <v>2000026810</v>
          </cell>
          <cell r="B297" t="str">
            <v>B-AGILE 3</v>
          </cell>
          <cell r="C297" t="str">
            <v xml:space="preserve">HOOD </v>
          </cell>
          <cell r="D297" t="str">
            <v>Verdeck</v>
          </cell>
          <cell r="E297" t="str">
            <v>CANOPY</v>
          </cell>
          <cell r="F297" t="str">
            <v xml:space="preserve">Budka </v>
          </cell>
        </row>
        <row r="298">
          <cell r="A298">
            <v>2000010099</v>
          </cell>
          <cell r="B298" t="str">
            <v>B-DUAL</v>
          </cell>
          <cell r="C298" t="str">
            <v xml:space="preserve">HOOD </v>
          </cell>
          <cell r="D298" t="str">
            <v>Verdeck</v>
          </cell>
          <cell r="E298" t="str">
            <v>CANOPY</v>
          </cell>
          <cell r="F298" t="str">
            <v xml:space="preserve">Budka </v>
          </cell>
        </row>
        <row r="299">
          <cell r="A299">
            <v>2000010100</v>
          </cell>
          <cell r="B299" t="str">
            <v>B-DUAL</v>
          </cell>
          <cell r="C299" t="str">
            <v xml:space="preserve">HOOD </v>
          </cell>
          <cell r="D299" t="str">
            <v>Verdeck</v>
          </cell>
          <cell r="E299" t="str">
            <v>CANOPY</v>
          </cell>
          <cell r="F299" t="str">
            <v xml:space="preserve">Budka </v>
          </cell>
        </row>
        <row r="300">
          <cell r="A300">
            <v>2000003044</v>
          </cell>
          <cell r="B300" t="str">
            <v>B-MOBILE</v>
          </cell>
          <cell r="C300" t="str">
            <v xml:space="preserve">HOOD </v>
          </cell>
          <cell r="D300" t="str">
            <v>Verdeck</v>
          </cell>
          <cell r="E300" t="str">
            <v>CANOPY</v>
          </cell>
          <cell r="F300" t="str">
            <v xml:space="preserve">Budka </v>
          </cell>
        </row>
        <row r="301">
          <cell r="A301">
            <v>2000003046</v>
          </cell>
          <cell r="B301" t="str">
            <v>B-MOBILE</v>
          </cell>
          <cell r="C301" t="str">
            <v xml:space="preserve">HOOD </v>
          </cell>
          <cell r="D301" t="str">
            <v>Verdeck</v>
          </cell>
          <cell r="E301" t="str">
            <v>CANOPY</v>
          </cell>
          <cell r="F301" t="str">
            <v xml:space="preserve">Budka </v>
          </cell>
        </row>
        <row r="302">
          <cell r="A302">
            <v>2000006230</v>
          </cell>
          <cell r="B302" t="str">
            <v>B-MOBILE</v>
          </cell>
          <cell r="C302" t="str">
            <v xml:space="preserve">HOOD </v>
          </cell>
          <cell r="D302" t="str">
            <v>Verdeck</v>
          </cell>
          <cell r="E302" t="str">
            <v>CANOPY</v>
          </cell>
          <cell r="F302" t="str">
            <v xml:space="preserve">Budka </v>
          </cell>
        </row>
        <row r="303">
          <cell r="A303">
            <v>2000021665</v>
          </cell>
          <cell r="B303" t="str">
            <v>BRITAX SMILE</v>
          </cell>
          <cell r="C303" t="str">
            <v xml:space="preserve">HOOD </v>
          </cell>
          <cell r="D303" t="str">
            <v>Verdeck</v>
          </cell>
          <cell r="E303" t="str">
            <v>CANOPY</v>
          </cell>
          <cell r="F303" t="str">
            <v xml:space="preserve">Budka </v>
          </cell>
        </row>
        <row r="304">
          <cell r="A304">
            <v>2000021666</v>
          </cell>
          <cell r="B304" t="str">
            <v>BRITAX SMILE</v>
          </cell>
          <cell r="C304" t="str">
            <v xml:space="preserve">HOOD </v>
          </cell>
          <cell r="D304" t="str">
            <v>Verdeck</v>
          </cell>
          <cell r="E304" t="str">
            <v>CANOPY</v>
          </cell>
          <cell r="F304" t="str">
            <v xml:space="preserve">Budka </v>
          </cell>
        </row>
        <row r="305">
          <cell r="A305">
            <v>2000021667</v>
          </cell>
          <cell r="B305" t="str">
            <v>BRITAX SMILE</v>
          </cell>
          <cell r="C305" t="str">
            <v xml:space="preserve">HOOD </v>
          </cell>
          <cell r="D305" t="str">
            <v>Verdeck</v>
          </cell>
          <cell r="E305" t="str">
            <v>CANOPY</v>
          </cell>
          <cell r="F305" t="str">
            <v xml:space="preserve">Budka </v>
          </cell>
        </row>
        <row r="306">
          <cell r="A306">
            <v>2000021668</v>
          </cell>
          <cell r="B306" t="str">
            <v>BRITAX SMILE</v>
          </cell>
          <cell r="C306" t="str">
            <v xml:space="preserve">HOOD </v>
          </cell>
          <cell r="D306" t="str">
            <v>Verdeck</v>
          </cell>
          <cell r="E306" t="str">
            <v>CANOPY</v>
          </cell>
          <cell r="F306" t="str">
            <v xml:space="preserve">Budka </v>
          </cell>
        </row>
        <row r="307">
          <cell r="A307">
            <v>2000006218</v>
          </cell>
          <cell r="B307" t="str">
            <v>B-DUAL</v>
          </cell>
          <cell r="C307" t="str">
            <v>HOOD (2012)</v>
          </cell>
          <cell r="D307" t="str">
            <v>Verdeck (2012)</v>
          </cell>
          <cell r="E307" t="str">
            <v>CANOPY (2012)</v>
          </cell>
          <cell r="F307" t="str">
            <v>Budka (2012)</v>
          </cell>
        </row>
        <row r="308">
          <cell r="A308">
            <v>2000010598</v>
          </cell>
          <cell r="B308" t="str">
            <v>B-DUAL</v>
          </cell>
          <cell r="C308" t="str">
            <v>HOOD (2013)</v>
          </cell>
          <cell r="D308" t="str">
            <v>Verdeck (2013)</v>
          </cell>
          <cell r="E308" t="str">
            <v>CANOPY (2013)</v>
          </cell>
          <cell r="F308" t="str">
            <v>Budka (2013)</v>
          </cell>
        </row>
        <row r="309">
          <cell r="A309">
            <v>2000029401</v>
          </cell>
          <cell r="B309" t="str">
            <v xml:space="preserve">KID XP </v>
          </cell>
          <cell r="C309" t="str">
            <v xml:space="preserve">IMPACT INSERT BACK SET </v>
          </cell>
          <cell r="D309" t="str">
            <v>Dämpfungseinleger Rückenteile Set</v>
          </cell>
          <cell r="E309" t="str">
            <v>ÉLÉMENTS POLYSTYRÈNE</v>
          </cell>
          <cell r="F309" t="str">
            <v>Zestaw wkładek amortyzujących</v>
          </cell>
        </row>
        <row r="310">
          <cell r="A310">
            <v>2000029399</v>
          </cell>
          <cell r="B310" t="str">
            <v>KID</v>
          </cell>
          <cell r="C310" t="str">
            <v xml:space="preserve">IMPACT INSERT BACK SET </v>
          </cell>
          <cell r="D310" t="str">
            <v>Dämpfungseinleger Rückenteile Set</v>
          </cell>
          <cell r="E310" t="str">
            <v>ÉLÉMENTS POLYSTYRÈNE</v>
          </cell>
          <cell r="F310" t="str">
            <v>Zestaw wkładek amortyzujących</v>
          </cell>
        </row>
        <row r="311">
          <cell r="A311">
            <v>2000027525</v>
          </cell>
          <cell r="B311" t="str">
            <v>DUALFIX i-SIZE</v>
          </cell>
          <cell r="C311" t="str">
            <v>IMPACT INSERT HEAD</v>
          </cell>
          <cell r="D311" t="str">
            <v>Dämpfungseinleger Kopfteil</v>
          </cell>
          <cell r="E311" t="str">
            <v>ÉLÉMENTS POLYSTYRÈNE</v>
          </cell>
          <cell r="F311" t="str">
            <v>Wkład zagłówka</v>
          </cell>
        </row>
        <row r="312">
          <cell r="A312">
            <v>2000029400</v>
          </cell>
          <cell r="B312" t="str">
            <v xml:space="preserve">KID XP </v>
          </cell>
          <cell r="C312" t="str">
            <v xml:space="preserve">IMPACT INSERT HEAD </v>
          </cell>
          <cell r="D312" t="str">
            <v xml:space="preserve">Dämpfungseinleger Kopfteil </v>
          </cell>
          <cell r="E312" t="str">
            <v>ÉLÉMENTS POLYSTYRÈNE</v>
          </cell>
          <cell r="F312" t="str">
            <v>Wkład zagłówka</v>
          </cell>
        </row>
        <row r="313">
          <cell r="A313">
            <v>2000029398</v>
          </cell>
          <cell r="B313" t="str">
            <v>KID</v>
          </cell>
          <cell r="C313" t="str">
            <v xml:space="preserve">IMPACT INSERT HEAD </v>
          </cell>
          <cell r="D313" t="str">
            <v xml:space="preserve">Dämpfungseinleger Kopfteil </v>
          </cell>
          <cell r="E313" t="str">
            <v>ÉLÉMENTS POLYSTYRÈNE</v>
          </cell>
          <cell r="F313" t="str">
            <v>Wkład zagłówka</v>
          </cell>
        </row>
        <row r="314">
          <cell r="A314">
            <v>2000012437</v>
          </cell>
          <cell r="B314" t="str">
            <v>KING II / KING ll LS / KING II ATS</v>
          </cell>
          <cell r="C314" t="str">
            <v>IMPACT INSERT SET</v>
          </cell>
          <cell r="D314" t="str">
            <v xml:space="preserve">Dämpfungseinleger Set </v>
          </cell>
          <cell r="E314" t="str">
            <v>ÉLÉMENTS POLYSTYRÈNE</v>
          </cell>
          <cell r="F314" t="str">
            <v xml:space="preserve">Amortyzujący wkład siedziska </v>
          </cell>
        </row>
        <row r="315">
          <cell r="A315">
            <v>2000003675</v>
          </cell>
          <cell r="B315" t="str">
            <v>FIRST CLASS plus</v>
          </cell>
          <cell r="C315" t="str">
            <v>IMPACT INSERT SET</v>
          </cell>
          <cell r="D315" t="str">
            <v>Dämpfungseinleger Set</v>
          </cell>
          <cell r="E315" t="str">
            <v>ÉLÉMENTS POLYSTYRÈNE</v>
          </cell>
          <cell r="F315" t="str">
            <v>Zestaw wkładek przeciwuderzeniowych</v>
          </cell>
        </row>
        <row r="316">
          <cell r="A316">
            <v>2000007049</v>
          </cell>
          <cell r="B316" t="str">
            <v>TRIFIX i-SIZE / TRIFIX² i-SIZE</v>
          </cell>
          <cell r="C316" t="str">
            <v>IMPACT INSERT SET</v>
          </cell>
          <cell r="D316" t="str">
            <v>Dämpfungseinleger Set</v>
          </cell>
          <cell r="E316" t="str">
            <v>ÉLÉMENTS POLYSTYRÈNE</v>
          </cell>
          <cell r="F316" t="str">
            <v xml:space="preserve">Zestaw wkładek amortyzujących </v>
          </cell>
        </row>
        <row r="317">
          <cell r="A317">
            <v>2000003686</v>
          </cell>
          <cell r="B317" t="str">
            <v>PRINCE</v>
          </cell>
          <cell r="C317" t="str">
            <v>IMPACT INSERT SET</v>
          </cell>
          <cell r="D317" t="str">
            <v>Dämpfungseinleger Set</v>
          </cell>
          <cell r="E317" t="str">
            <v>ÉLÉMENTS POLYSTYRÈNE</v>
          </cell>
          <cell r="F317" t="str">
            <v>Zestaw wkładek amortyzujących</v>
          </cell>
        </row>
        <row r="318">
          <cell r="A318">
            <v>2000003688</v>
          </cell>
          <cell r="B318" t="str">
            <v>TWO-WAY</v>
          </cell>
          <cell r="C318" t="str">
            <v>IMPACT INSERT SET</v>
          </cell>
          <cell r="D318" t="str">
            <v>Dämpfungseinleger Set</v>
          </cell>
          <cell r="E318" t="str">
            <v>ÉLÉMENTS POLYSTYRÈNE</v>
          </cell>
          <cell r="F318" t="str">
            <v>Zestaw wkładek amortyzujących</v>
          </cell>
        </row>
        <row r="319">
          <cell r="A319">
            <v>2000003683</v>
          </cell>
          <cell r="B319" t="str">
            <v>MULTI-TECH ll / MULTI-TECH III</v>
          </cell>
          <cell r="C319" t="str">
            <v>IMPACT INSERT SET</v>
          </cell>
          <cell r="D319" t="str">
            <v>Dämpfungseinleger Set</v>
          </cell>
          <cell r="E319" t="str">
            <v>ÉLÉMENTS POLYSTYRÈNE</v>
          </cell>
          <cell r="F319" t="str">
            <v>Zestaw wkładek amortyzujących</v>
          </cell>
        </row>
        <row r="320">
          <cell r="A320">
            <v>2000003457</v>
          </cell>
          <cell r="B320" t="str">
            <v>KID</v>
          </cell>
          <cell r="C320" t="str">
            <v>IMPACT INSERT SET</v>
          </cell>
          <cell r="D320" t="str">
            <v>Dämpfungseinleger Set</v>
          </cell>
          <cell r="E320" t="str">
            <v>ÉLÉMENTS POLYSTYRÈNE</v>
          </cell>
          <cell r="F320" t="str">
            <v>Zestaw wkładek amortyzujących</v>
          </cell>
        </row>
        <row r="321">
          <cell r="A321">
            <v>2000003463</v>
          </cell>
          <cell r="B321" t="str">
            <v>BABY-SAFE plus / SHR (A17)</v>
          </cell>
          <cell r="C321" t="str">
            <v xml:space="preserve">IMPACT INSERT SET </v>
          </cell>
          <cell r="D321" t="str">
            <v>Dämpfungseinleger Set</v>
          </cell>
          <cell r="E321" t="str">
            <v>ÉLÉMENTS POLYSTYRÈNE</v>
          </cell>
          <cell r="F321" t="str">
            <v>Zestaw wkładek amortyzujących</v>
          </cell>
        </row>
        <row r="322">
          <cell r="A322">
            <v>2000003680</v>
          </cell>
          <cell r="B322" t="str">
            <v>HI-WAY ll</v>
          </cell>
          <cell r="C322" t="str">
            <v xml:space="preserve">IMPACT INSERT SET </v>
          </cell>
          <cell r="D322" t="str">
            <v>Dämpfungseinleger Set</v>
          </cell>
          <cell r="E322" t="str">
            <v>ÉLÉMENTS POLYSTYRÈNE</v>
          </cell>
          <cell r="F322" t="str">
            <v>Zestaw wkładek amortyzujących</v>
          </cell>
        </row>
        <row r="323">
          <cell r="A323">
            <v>2000003478</v>
          </cell>
          <cell r="B323" t="str">
            <v>SAFEFIX plus / SAFEFIX plus TT</v>
          </cell>
          <cell r="C323" t="str">
            <v>IMPACT INSERT SET &amp; FIXING POPPERS</v>
          </cell>
          <cell r="D323" t="str">
            <v>Dämpfungseinleger Set mit Befestigungsstopfen</v>
          </cell>
          <cell r="E323" t="str">
            <v>ÉLÉMENTS POLYSTYRÈNE ET FIXATIONS</v>
          </cell>
          <cell r="F323" t="str">
            <v>Zestaw wkładek z częściami mocującymi</v>
          </cell>
        </row>
        <row r="324">
          <cell r="A324">
            <v>2000025631</v>
          </cell>
          <cell r="B324" t="str">
            <v>BABY-SAFE i-SIZE</v>
          </cell>
          <cell r="C324" t="str">
            <v>IMPACT INSERT SET SHELL</v>
          </cell>
          <cell r="D324" t="str">
            <v>Dämpfungseinleger Set Schale</v>
          </cell>
          <cell r="E324" t="str">
            <v>ÉLÉMENTS POLYSTYRÈNE INTÉRIEUR COQUE</v>
          </cell>
          <cell r="F324" t="str">
            <v>Zestaw wkładek amortyzujących do obudowy fotelika</v>
          </cell>
        </row>
        <row r="325">
          <cell r="A325">
            <v>2000027397</v>
          </cell>
          <cell r="B325" t="str">
            <v>BABY-SAFE i-SIZE</v>
          </cell>
          <cell r="C325" t="str">
            <v>IMPACT INSERT SET SHOULDER</v>
          </cell>
          <cell r="D325" t="str">
            <v>Dämpfungseinleger Set Schulter</v>
          </cell>
          <cell r="E325" t="str">
            <v>ÉLÉMENTS POLYSTYRÈNE ÉPAULES</v>
          </cell>
          <cell r="F325" t="str">
            <v>Komplet styropianów amortyzujących do wkładki dla niemowlaka</v>
          </cell>
        </row>
        <row r="326">
          <cell r="A326">
            <v>2000007141</v>
          </cell>
          <cell r="B326" t="str">
            <v>MAX-FIX</v>
          </cell>
          <cell r="C326" t="str">
            <v xml:space="preserve">IMPACT INSERT SET </v>
          </cell>
          <cell r="D326" t="str">
            <v>Dämpfungseinleger Set</v>
          </cell>
          <cell r="E326" t="str">
            <v>ÉLÉMENTS POLYSTYRÈNE</v>
          </cell>
          <cell r="F326" t="str">
            <v>Zestaw wkładek amortyzujących</v>
          </cell>
        </row>
        <row r="327">
          <cell r="A327">
            <v>2000025510</v>
          </cell>
          <cell r="B327" t="str">
            <v>B-READY</v>
          </cell>
          <cell r="C327" t="str">
            <v>INFANT CARRIER COVER</v>
          </cell>
          <cell r="D327" t="str">
            <v>Babyschale Abdeckung</v>
          </cell>
          <cell r="E327" t="str">
            <v>Cache pour siège coque</v>
          </cell>
          <cell r="F327" t="str">
            <v>Osłona fotelika dla niemowląt</v>
          </cell>
        </row>
        <row r="328">
          <cell r="A328">
            <v>2000024310</v>
          </cell>
          <cell r="B328" t="str">
            <v>FIRST CLASS plus</v>
          </cell>
          <cell r="C328" t="str">
            <v>INFANT INSERT</v>
          </cell>
          <cell r="D328" t="str">
            <v>Neugeboreneneinlage</v>
          </cell>
          <cell r="E328" t="str">
            <v>RÉDUCTEUR NOUVEAU-NÉ</v>
          </cell>
          <cell r="F328" t="str">
            <v>Wkładka dla noworodka</v>
          </cell>
        </row>
        <row r="329">
          <cell r="A329">
            <v>2000024311</v>
          </cell>
          <cell r="B329" t="str">
            <v>FIRST CLASS plus</v>
          </cell>
          <cell r="C329" t="str">
            <v>INFANT INSERT</v>
          </cell>
          <cell r="D329" t="str">
            <v>Neugeboreneneinlage</v>
          </cell>
          <cell r="E329" t="str">
            <v>RÉDUCTEUR NOUVEAU-NÉ</v>
          </cell>
          <cell r="F329" t="str">
            <v>Wkładka dla noworodka</v>
          </cell>
        </row>
        <row r="330">
          <cell r="A330">
            <v>2000026204</v>
          </cell>
          <cell r="B330" t="str">
            <v>FIRST CLASS plus</v>
          </cell>
          <cell r="C330" t="str">
            <v>INFANT INSERT</v>
          </cell>
          <cell r="D330" t="str">
            <v>Neugeboreneneinlage</v>
          </cell>
          <cell r="E330" t="str">
            <v>RÉDUCTEUR NOUVEAU-NÉ</v>
          </cell>
          <cell r="F330" t="str">
            <v>Wkładka dla noworodka</v>
          </cell>
        </row>
        <row r="331">
          <cell r="A331">
            <v>2000027730</v>
          </cell>
          <cell r="B331" t="str">
            <v>FIRST CLASS plus</v>
          </cell>
          <cell r="C331" t="str">
            <v>INFANT INSERT</v>
          </cell>
          <cell r="D331" t="str">
            <v>Neugeboreneneinlage</v>
          </cell>
          <cell r="E331" t="str">
            <v>RÉDUCTEUR NOUVEAU-NÉ</v>
          </cell>
          <cell r="F331" t="str">
            <v>Wkładka dla noworodka</v>
          </cell>
        </row>
        <row r="332">
          <cell r="A332">
            <v>2000027733</v>
          </cell>
          <cell r="B332" t="str">
            <v>FIRST CLASS plus</v>
          </cell>
          <cell r="C332" t="str">
            <v>INFANT INSERT</v>
          </cell>
          <cell r="D332" t="str">
            <v>Neugeboreneneinlage</v>
          </cell>
          <cell r="E332" t="str">
            <v>RÉDUCTEUR NOUVEAU-NÉ</v>
          </cell>
          <cell r="F332" t="str">
            <v>Wkładka dla noworodka</v>
          </cell>
        </row>
        <row r="333">
          <cell r="A333">
            <v>2000024309</v>
          </cell>
          <cell r="B333" t="str">
            <v>FIRST CLASS plus</v>
          </cell>
          <cell r="C333" t="str">
            <v xml:space="preserve">INFANT INSERT </v>
          </cell>
          <cell r="D333" t="str">
            <v>Neugeboreneneinlage</v>
          </cell>
          <cell r="E333" t="str">
            <v>RÉDUCTEUR NOUVEAU-NÉ</v>
          </cell>
          <cell r="F333" t="str">
            <v>Wkładka dla noworodka</v>
          </cell>
        </row>
        <row r="334">
          <cell r="A334">
            <v>2000024312</v>
          </cell>
          <cell r="B334" t="str">
            <v>FIRST CLASS plus</v>
          </cell>
          <cell r="C334" t="str">
            <v xml:space="preserve">INFANT INSERT </v>
          </cell>
          <cell r="D334" t="str">
            <v>Neugeboreneneinlage</v>
          </cell>
          <cell r="E334" t="str">
            <v>RÉDUCTEUR NOUVEAU-NÉ</v>
          </cell>
          <cell r="F334" t="str">
            <v>Wkładka dla noworodka</v>
          </cell>
        </row>
        <row r="335">
          <cell r="A335">
            <v>2000024313</v>
          </cell>
          <cell r="B335" t="str">
            <v>DUALFIX</v>
          </cell>
          <cell r="C335" t="str">
            <v xml:space="preserve">INFANT INSERT </v>
          </cell>
          <cell r="D335" t="str">
            <v>Neugeboreneneinlage</v>
          </cell>
          <cell r="E335" t="str">
            <v>RÉDUCTEUR NOUVEAU-NÉ</v>
          </cell>
          <cell r="F335" t="str">
            <v>Wkładka dla noworodka</v>
          </cell>
        </row>
        <row r="336">
          <cell r="A336">
            <v>2000024315</v>
          </cell>
          <cell r="B336" t="str">
            <v>MAX-FIX II</v>
          </cell>
          <cell r="C336" t="str">
            <v xml:space="preserve">INFANT INSERT </v>
          </cell>
          <cell r="D336" t="str">
            <v>Neugeboreneneinlage</v>
          </cell>
          <cell r="E336" t="str">
            <v>RÉDUCTEUR NOUVEAU-NÉ</v>
          </cell>
          <cell r="F336" t="str">
            <v>Wkładka dla noworodka</v>
          </cell>
        </row>
        <row r="337">
          <cell r="A337">
            <v>2000012225</v>
          </cell>
          <cell r="B337" t="str">
            <v>BRITAX AFFINITY</v>
          </cell>
          <cell r="C337" t="str">
            <v>INNER TUBE AIR TYRE</v>
          </cell>
          <cell r="D337" t="str">
            <v>Schlauch für Luftreifen</v>
          </cell>
          <cell r="E337" t="str">
            <v>CHAMBRE à AIR</v>
          </cell>
          <cell r="F337" t="str">
            <v xml:space="preserve">Komplet dętek koła </v>
          </cell>
        </row>
        <row r="338">
          <cell r="A338" t="str">
            <v>R366090009201</v>
          </cell>
          <cell r="B338" t="str">
            <v>BRITAX SMILE 2</v>
          </cell>
          <cell r="C338" t="str">
            <v>INNER TUBE, FRONT WHEEL</v>
          </cell>
          <cell r="D338" t="str">
            <v>Schlauch vorne</v>
          </cell>
          <cell r="E338" t="str">
            <v>Chambre à air, roue avant (1 pièce)</v>
          </cell>
          <cell r="F338" t="str">
            <v>Dętka koła przedniego</v>
          </cell>
        </row>
        <row r="339">
          <cell r="A339" t="str">
            <v>R366090009501</v>
          </cell>
          <cell r="B339" t="str">
            <v>BRITAX SMILE 2</v>
          </cell>
          <cell r="C339" t="str">
            <v>INNER TUBE, REAR WHEEL</v>
          </cell>
          <cell r="D339" t="str">
            <v>Schlauch hinten</v>
          </cell>
          <cell r="E339" t="str">
            <v>Chambre à air, roue arière (1 pièce)</v>
          </cell>
          <cell r="F339" t="str">
            <v>Dętka koła tylnego</v>
          </cell>
        </row>
        <row r="340">
          <cell r="A340">
            <v>2000011684</v>
          </cell>
          <cell r="B340" t="str">
            <v>MAX-FIX II</v>
          </cell>
          <cell r="C340" t="str">
            <v xml:space="preserve">INSTALLATION AID </v>
          </cell>
          <cell r="D340" t="str">
            <v>Einbauhilfe</v>
          </cell>
          <cell r="E340" t="str">
            <v>Aide à l'installation MAX-FIX II</v>
          </cell>
          <cell r="F340" t="str">
            <v>Nakładka na ramę antyrotacyjną (regulacja odległości od fotela samochodu)</v>
          </cell>
        </row>
        <row r="341">
          <cell r="A341" t="str">
            <v>R368210003501</v>
          </cell>
          <cell r="B341" t="str">
            <v>PRIMO</v>
          </cell>
          <cell r="C341" t="str">
            <v>ISOFIX GUIDE BRIO PRIMO BASE</v>
          </cell>
          <cell r="D341" t="str">
            <v>Isofix Einführhilfe Primo Base</v>
          </cell>
          <cell r="E341" t="str">
            <v>GUIDES D'INSERTION ISOFIX</v>
          </cell>
          <cell r="F341" t="str">
            <v xml:space="preserve">Maskownica pilotująca isofix </v>
          </cell>
        </row>
        <row r="342">
          <cell r="A342">
            <v>55450050</v>
          </cell>
          <cell r="B342" t="str">
            <v>VERSAFIX</v>
          </cell>
          <cell r="C342" t="str">
            <v>ISOFIX LATCH GUIDES</v>
          </cell>
          <cell r="D342" t="str">
            <v>Isofix Einführhilfe</v>
          </cell>
          <cell r="E342" t="str">
            <v>GUIDES D'INSERTION ISOFIX</v>
          </cell>
          <cell r="F342" t="str">
            <v xml:space="preserve">Maskownica pilotująca isofix </v>
          </cell>
        </row>
        <row r="343">
          <cell r="A343">
            <v>2000007047</v>
          </cell>
          <cell r="B343" t="str">
            <v>BABY-SAFE i-SIZE</v>
          </cell>
          <cell r="C343" t="str">
            <v>ISOFIX LATCH GUIDES - WIDE</v>
          </cell>
          <cell r="D343" t="str">
            <v>Isofix Einführhilfe breit</v>
          </cell>
          <cell r="E343" t="str">
            <v>GUIDES D'INSERTION ISOFIX - LARGE</v>
          </cell>
          <cell r="F343" t="str">
            <v>Maskownica pilotująca isofix (szeroka)</v>
          </cell>
        </row>
        <row r="344">
          <cell r="A344">
            <v>1022974</v>
          </cell>
          <cell r="B344" t="str">
            <v>DUO plus</v>
          </cell>
          <cell r="C344" t="str">
            <v>ISOFIX PROTECTION</v>
          </cell>
          <cell r="D344" t="str">
            <v>Schutzrohr</v>
          </cell>
          <cell r="E344" t="str">
            <v>Cache connecteurs ISOFIX</v>
          </cell>
          <cell r="F344" t="str">
            <v xml:space="preserve">Osłona systemu isofix </v>
          </cell>
        </row>
        <row r="345">
          <cell r="A345">
            <v>2000026839</v>
          </cell>
          <cell r="B345" t="str">
            <v>DUO plus</v>
          </cell>
          <cell r="C345" t="str">
            <v>ISOFIX PROTECTION</v>
          </cell>
          <cell r="D345" t="str">
            <v>Schutzrohr</v>
          </cell>
          <cell r="E345" t="str">
            <v>Cache connecteurs ISOFIX</v>
          </cell>
          <cell r="F345" t="str">
            <v xml:space="preserve">Osłona systemu isofix </v>
          </cell>
        </row>
        <row r="346">
          <cell r="A346">
            <v>2000003458</v>
          </cell>
          <cell r="B346" t="str">
            <v>KID</v>
          </cell>
          <cell r="C346" t="str">
            <v>LEVELLING PIECE</v>
          </cell>
          <cell r="D346" t="str">
            <v>Polsterausgleichsstück</v>
          </cell>
          <cell r="E346" t="str">
            <v>STABILISATEURS POLYSTYRÈNE</v>
          </cell>
          <cell r="F346" t="str">
            <v>Wkładki wypełniające</v>
          </cell>
        </row>
        <row r="347">
          <cell r="A347">
            <v>2000003476</v>
          </cell>
          <cell r="B347" t="str">
            <v>BABY-SAFE plus / SHR (A17)</v>
          </cell>
          <cell r="C347" t="str">
            <v>LIE FLAT CUSHION</v>
          </cell>
          <cell r="D347" t="str">
            <v>Polsterkissen Liegeposition</v>
          </cell>
          <cell r="E347" t="str">
            <v>COUSSIN DE CONFORT</v>
          </cell>
          <cell r="F347" t="str">
            <v>Poduszka do pozycji leżącej</v>
          </cell>
        </row>
        <row r="348">
          <cell r="A348">
            <v>2000003055</v>
          </cell>
          <cell r="B348" t="str">
            <v>B-SMART 3</v>
          </cell>
          <cell r="C348" t="str">
            <v>LOCK CATCH</v>
          </cell>
          <cell r="D348" t="str">
            <v>Verriegelung</v>
          </cell>
          <cell r="E348" t="str">
            <v>LOQUET DE FERMETURE</v>
          </cell>
          <cell r="F348" t="str">
            <v>Blokada transportowa</v>
          </cell>
        </row>
        <row r="349">
          <cell r="A349">
            <v>2000003056</v>
          </cell>
          <cell r="B349" t="str">
            <v>B-MOBILE</v>
          </cell>
          <cell r="C349" t="str">
            <v>LOCK CATCH</v>
          </cell>
          <cell r="D349" t="str">
            <v>Verriegelung</v>
          </cell>
          <cell r="E349" t="str">
            <v>LOQUET DE FERMETURE</v>
          </cell>
          <cell r="F349" t="str">
            <v>Blokada transportowa</v>
          </cell>
        </row>
        <row r="350">
          <cell r="A350">
            <v>2000005809</v>
          </cell>
          <cell r="B350" t="str">
            <v>B-AGILE 3</v>
          </cell>
          <cell r="C350" t="str">
            <v xml:space="preserve">LOCK CATCH </v>
          </cell>
          <cell r="D350" t="str">
            <v>Verriegelung</v>
          </cell>
          <cell r="E350" t="str">
            <v>LOQUET DE FERMETURE</v>
          </cell>
          <cell r="F350" t="str">
            <v>Blokada transportowa</v>
          </cell>
        </row>
        <row r="351">
          <cell r="A351">
            <v>2000003479</v>
          </cell>
          <cell r="B351" t="str">
            <v>KING PLUS</v>
          </cell>
          <cell r="C351" t="str">
            <v>LOCK OFF GUIDES</v>
          </cell>
          <cell r="D351" t="str">
            <v xml:space="preserve">Gurtklemmen Set </v>
          </cell>
          <cell r="E351" t="str">
            <v>CLIPS DE FERMETURE</v>
          </cell>
          <cell r="F351" t="str">
            <v>Klamry do mocujące pas</v>
          </cell>
        </row>
        <row r="352">
          <cell r="A352">
            <v>2000003454</v>
          </cell>
          <cell r="B352" t="str">
            <v>VERSAFIX</v>
          </cell>
          <cell r="C352" t="str">
            <v>LOCK OFF GUIDES</v>
          </cell>
          <cell r="D352" t="str">
            <v>Gurtklemmen Set</v>
          </cell>
          <cell r="E352" t="str">
            <v>CLIPS DE FERMETURE</v>
          </cell>
          <cell r="F352" t="str">
            <v>Klamry do mocujące pas</v>
          </cell>
        </row>
        <row r="353">
          <cell r="A353">
            <v>2000003486</v>
          </cell>
          <cell r="B353" t="str">
            <v>SAFEFIX plus / SAFEFIX plus TT</v>
          </cell>
          <cell r="C353" t="str">
            <v xml:space="preserve">LOCK OFF GUIDES </v>
          </cell>
          <cell r="D353" t="str">
            <v>Gurtklemmen Set</v>
          </cell>
          <cell r="E353" t="str">
            <v xml:space="preserve">CLIPS DE FERMETURE </v>
          </cell>
          <cell r="F353" t="str">
            <v>Klamry do mocujące pas</v>
          </cell>
        </row>
        <row r="354">
          <cell r="A354">
            <v>2000011392</v>
          </cell>
          <cell r="B354" t="str">
            <v>BRITAX SMILE 2</v>
          </cell>
          <cell r="C354" t="str">
            <v xml:space="preserve">LOWER SWIVEL ATTACHMENT </v>
          </cell>
          <cell r="D354" t="str">
            <v xml:space="preserve">Untere Schwenkrad Befestigung  </v>
          </cell>
          <cell r="E354" t="str">
            <v>PLAQUE INFÉRIEURE ROUE PIVOTANTE</v>
          </cell>
          <cell r="F354" t="str">
            <v>Dolny mechanizm mocowania koła skrętnego</v>
          </cell>
        </row>
        <row r="355">
          <cell r="A355">
            <v>2000003447</v>
          </cell>
          <cell r="B355" t="str">
            <v>JOCKEY RELAX</v>
          </cell>
          <cell r="C355" t="str">
            <v>METAL BAR</v>
          </cell>
          <cell r="D355" t="str">
            <v>Metallbügel</v>
          </cell>
          <cell r="E355" t="str">
            <v>BARRE MÉTALLIQUE</v>
          </cell>
          <cell r="F355" t="str">
            <v>Pałąk metalowy</v>
          </cell>
        </row>
        <row r="356">
          <cell r="A356" t="str">
            <v>R366090001301</v>
          </cell>
          <cell r="B356" t="str">
            <v>BRITAX SMILE 2</v>
          </cell>
          <cell r="C356" t="str">
            <v>MUD PROTECTOR</v>
          </cell>
          <cell r="D356" t="str">
            <v>Schutzblech</v>
          </cell>
          <cell r="E356" t="str">
            <v>Garde-boue (1 pièce)</v>
          </cell>
          <cell r="F356" t="str">
            <v>Osłona koła</v>
          </cell>
        </row>
        <row r="357">
          <cell r="A357">
            <v>2000027212</v>
          </cell>
          <cell r="B357" t="str">
            <v>BABY-SAFE i-SIZE</v>
          </cell>
          <cell r="C357" t="str">
            <v>NEWBORN INSERT</v>
          </cell>
          <cell r="D357" t="str">
            <v>Neugeboreneneinlage</v>
          </cell>
          <cell r="E357" t="str">
            <v>RÉDUCTEUR NOUVEAU-NÉ</v>
          </cell>
          <cell r="F357" t="str">
            <v xml:space="preserve">Wkładka dla noworodka </v>
          </cell>
        </row>
        <row r="358">
          <cell r="A358">
            <v>2000027528</v>
          </cell>
          <cell r="B358" t="str">
            <v>DUALFIX i-SIZE</v>
          </cell>
          <cell r="C358" t="str">
            <v xml:space="preserve">NEWBORN INSERT </v>
          </cell>
          <cell r="D358" t="str">
            <v>Neugeboreneneinlage</v>
          </cell>
          <cell r="E358" t="str">
            <v>RÉDUCTEUR NOUVEAU-NÉ</v>
          </cell>
          <cell r="F358" t="str">
            <v xml:space="preserve">Wkładka dla noworodka </v>
          </cell>
        </row>
        <row r="359">
          <cell r="A359">
            <v>2000027532</v>
          </cell>
          <cell r="B359" t="str">
            <v>DUALFIX i-SIZE</v>
          </cell>
          <cell r="C359" t="str">
            <v xml:space="preserve">NEWBORN INSERT </v>
          </cell>
          <cell r="D359" t="str">
            <v>Neugeboreneneinlage</v>
          </cell>
          <cell r="E359" t="str">
            <v>RÉDUCTEUR NOUVEAU-NÉ</v>
          </cell>
          <cell r="F359" t="str">
            <v xml:space="preserve">Wkładka dla noworodka </v>
          </cell>
        </row>
        <row r="360">
          <cell r="A360">
            <v>2000027530</v>
          </cell>
          <cell r="B360" t="str">
            <v>DUALFIX i-SIZE</v>
          </cell>
          <cell r="C360" t="str">
            <v xml:space="preserve">NEWBORN INSERT </v>
          </cell>
          <cell r="D360" t="str">
            <v>Neugeboreneneinlage</v>
          </cell>
          <cell r="E360" t="str">
            <v>RÉDUCTEUR NOUVEAU-NÉ</v>
          </cell>
          <cell r="F360" t="str">
            <v xml:space="preserve">Wkładka dla noworodka </v>
          </cell>
        </row>
        <row r="361">
          <cell r="A361">
            <v>2000027533</v>
          </cell>
          <cell r="B361" t="str">
            <v>DUALFIX i-SIZE</v>
          </cell>
          <cell r="C361" t="str">
            <v xml:space="preserve">NEWBORN INSERT </v>
          </cell>
          <cell r="D361" t="str">
            <v>Neugeboreneneinlage</v>
          </cell>
          <cell r="E361" t="str">
            <v>RÉDUCTEUR NOUVEAU-NÉ</v>
          </cell>
          <cell r="F361" t="str">
            <v xml:space="preserve">Wkładka dla noworodka </v>
          </cell>
        </row>
        <row r="362">
          <cell r="A362">
            <v>2000027527</v>
          </cell>
          <cell r="B362" t="str">
            <v>DUALFIX i-SIZE</v>
          </cell>
          <cell r="C362" t="str">
            <v xml:space="preserve">NEWBORN INSERT </v>
          </cell>
          <cell r="D362" t="str">
            <v>Neugeboreneneinlage</v>
          </cell>
          <cell r="E362" t="str">
            <v>RÉDUCTEUR NOUVEAU-NÉ</v>
          </cell>
          <cell r="F362" t="str">
            <v xml:space="preserve">Wkładka dla noworodka </v>
          </cell>
        </row>
        <row r="363">
          <cell r="A363">
            <v>2000027531</v>
          </cell>
          <cell r="B363" t="str">
            <v>DUALFIX i-SIZE</v>
          </cell>
          <cell r="C363" t="str">
            <v xml:space="preserve">NEWBORN INSERT </v>
          </cell>
          <cell r="D363" t="str">
            <v>Neugeboreneneinlage</v>
          </cell>
          <cell r="E363" t="str">
            <v>RÉDUCTEUR NOUVEAU-NÉ</v>
          </cell>
          <cell r="F363" t="str">
            <v xml:space="preserve">Wkładka dla noworodka </v>
          </cell>
        </row>
        <row r="364">
          <cell r="A364">
            <v>2000027529</v>
          </cell>
          <cell r="B364" t="str">
            <v>DUALFIX i-SIZE</v>
          </cell>
          <cell r="C364" t="str">
            <v xml:space="preserve">NEWBORN INSERT </v>
          </cell>
          <cell r="D364" t="str">
            <v>Neugeboreneneinlage</v>
          </cell>
          <cell r="E364" t="str">
            <v>RÉDUCTEUR NOUVEAU-NÉ</v>
          </cell>
          <cell r="F364" t="str">
            <v xml:space="preserve">Wkładka dla noworodka </v>
          </cell>
        </row>
        <row r="365">
          <cell r="A365">
            <v>2000027182</v>
          </cell>
          <cell r="B365" t="e">
            <v>#N/A</v>
          </cell>
          <cell r="C365" t="str">
            <v>NEWBORN INSERT FR</v>
          </cell>
          <cell r="D365" t="str">
            <v>Neugeboreneneinlage</v>
          </cell>
          <cell r="E365" t="str">
            <v>RÉDUCTEUR NOUVEAU-NÉ</v>
          </cell>
          <cell r="F365" t="str">
            <v>Wkładka dla noworodka FR</v>
          </cell>
        </row>
        <row r="366">
          <cell r="A366">
            <v>2000003469</v>
          </cell>
          <cell r="B366" t="str">
            <v>BABY-SAFE</v>
          </cell>
          <cell r="C366" t="str">
            <v>OPEN 2-BAR ADJUSTER SET</v>
          </cell>
          <cell r="D366" t="str">
            <v>Zweischlitzplatte Set</v>
          </cell>
          <cell r="E366" t="str">
            <v>JEU DE PLAQUES D'AJUSTEMENT</v>
          </cell>
          <cell r="F366" t="str">
            <v>Zestaw klamer do regulacji pasów</v>
          </cell>
        </row>
        <row r="367">
          <cell r="A367">
            <v>2000027482</v>
          </cell>
          <cell r="B367" t="str">
            <v>TRIFIX i-SIZE / TRIFIX² i-SIZE</v>
          </cell>
          <cell r="C367" t="str">
            <v>PERFORMANCE PAD</v>
          </cell>
          <cell r="D367" t="str">
            <v>Schaumeinleger</v>
          </cell>
          <cell r="E367" t="str">
            <v>MOUSSE D'ASSISE</v>
          </cell>
          <cell r="F367" t="str">
            <v>Pianka amortyzująca</v>
          </cell>
        </row>
        <row r="368">
          <cell r="A368">
            <v>2000012441</v>
          </cell>
          <cell r="B368" t="str">
            <v>KING II / KING ll LS / KING II ATS</v>
          </cell>
          <cell r="C368" t="str">
            <v>PERFORMANCE PAD</v>
          </cell>
          <cell r="D368" t="str">
            <v>Schaumeinleger</v>
          </cell>
          <cell r="E368" t="str">
            <v>MOUSSE D'ASSISE</v>
          </cell>
          <cell r="F368" t="str">
            <v>Pianka amortyzująca</v>
          </cell>
        </row>
        <row r="369">
          <cell r="A369">
            <v>2000021914</v>
          </cell>
          <cell r="B369" t="str">
            <v>TRIFIX</v>
          </cell>
          <cell r="C369" t="str">
            <v>PERFORMANCE PAD</v>
          </cell>
          <cell r="D369" t="str">
            <v>Schaumeinleger</v>
          </cell>
          <cell r="E369" t="str">
            <v>MOUSSE D'ASSISE</v>
          </cell>
          <cell r="F369" t="str">
            <v>Pianka amortyzująca</v>
          </cell>
        </row>
        <row r="370">
          <cell r="A370">
            <v>2000003892</v>
          </cell>
          <cell r="B370" t="str">
            <v>SAFEFIX plus / SAFEFIX plus TT</v>
          </cell>
          <cell r="C370" t="str">
            <v>PERFORMANCE PAD</v>
          </cell>
          <cell r="D370" t="str">
            <v>Schaumeinleger</v>
          </cell>
          <cell r="E370" t="str">
            <v>MOUSSE D'ASSISE</v>
          </cell>
          <cell r="F370" t="str">
            <v>Pianka amortyzująca</v>
          </cell>
        </row>
        <row r="371">
          <cell r="A371">
            <v>2000003887</v>
          </cell>
          <cell r="B371" t="str">
            <v>VERSAFIX</v>
          </cell>
          <cell r="C371" t="str">
            <v>PERFORMANCE PAD</v>
          </cell>
          <cell r="D371" t="str">
            <v>Schaumeinleger</v>
          </cell>
          <cell r="E371" t="str">
            <v>MOUSSE D'ASSISE</v>
          </cell>
          <cell r="F371" t="str">
            <v>Pianka amortyzująca</v>
          </cell>
        </row>
        <row r="372">
          <cell r="A372">
            <v>2000021732</v>
          </cell>
          <cell r="B372" t="str">
            <v>PRAMBODY SPARES GO/GO BIG/GO NEXT</v>
          </cell>
          <cell r="C372" t="str">
            <v xml:space="preserve">PRAMBODY </v>
          </cell>
          <cell r="D372" t="str">
            <v>Prambody</v>
          </cell>
          <cell r="E372" t="str">
            <v>NACELLE</v>
          </cell>
          <cell r="F372" t="str">
            <v xml:space="preserve">Gondola </v>
          </cell>
        </row>
        <row r="373">
          <cell r="A373">
            <v>2000012131</v>
          </cell>
          <cell r="B373" t="str">
            <v>PRAMBODY SPARES GO/GO BIG/GO NEXT</v>
          </cell>
          <cell r="C373" t="str">
            <v xml:space="preserve">PRAMBODY </v>
          </cell>
          <cell r="D373" t="str">
            <v>Prambody</v>
          </cell>
          <cell r="E373" t="str">
            <v>NACELLE</v>
          </cell>
          <cell r="F373" t="str">
            <v xml:space="preserve">Gondola </v>
          </cell>
        </row>
        <row r="374">
          <cell r="A374">
            <v>2000012132</v>
          </cell>
          <cell r="B374" t="str">
            <v>PRAMBODY SPARES GO/GO BIG/GO NEXT</v>
          </cell>
          <cell r="C374" t="str">
            <v xml:space="preserve">PRAMBODY </v>
          </cell>
          <cell r="D374" t="str">
            <v>Prambody</v>
          </cell>
          <cell r="E374" t="str">
            <v>NACELLE</v>
          </cell>
          <cell r="F374" t="str">
            <v xml:space="preserve">Gondola </v>
          </cell>
        </row>
        <row r="375">
          <cell r="A375">
            <v>2000012133</v>
          </cell>
          <cell r="B375" t="str">
            <v>PRAMBODY SPARES GO/GO BIG/GO NEXT</v>
          </cell>
          <cell r="C375" t="str">
            <v xml:space="preserve">PRAMBODY </v>
          </cell>
          <cell r="D375" t="str">
            <v>Prambody</v>
          </cell>
          <cell r="E375" t="str">
            <v>NACELLE</v>
          </cell>
          <cell r="F375" t="str">
            <v xml:space="preserve">Gondola </v>
          </cell>
        </row>
        <row r="376">
          <cell r="A376">
            <v>2000021731</v>
          </cell>
          <cell r="B376" t="str">
            <v>PRAMBODY SPARES GO/GO BIG/GO NEXT</v>
          </cell>
          <cell r="C376" t="str">
            <v xml:space="preserve">PRAMBODY </v>
          </cell>
          <cell r="D376" t="str">
            <v>Prambody</v>
          </cell>
          <cell r="E376" t="str">
            <v>NACELLE</v>
          </cell>
          <cell r="F376" t="str">
            <v xml:space="preserve">Gondola </v>
          </cell>
        </row>
        <row r="377">
          <cell r="A377">
            <v>2000023207</v>
          </cell>
          <cell r="B377" t="str">
            <v>PRAMBODY SPARES GO/GO BIG/GO NEXT</v>
          </cell>
          <cell r="C377" t="str">
            <v xml:space="preserve">PRAMBODY </v>
          </cell>
          <cell r="D377" t="str">
            <v>Prambody</v>
          </cell>
          <cell r="E377" t="str">
            <v>NACELLE</v>
          </cell>
          <cell r="F377" t="str">
            <v xml:space="preserve">Gondola </v>
          </cell>
        </row>
        <row r="378">
          <cell r="A378">
            <v>2000023208</v>
          </cell>
          <cell r="B378" t="str">
            <v>PRAMBODY SPARES GO/GO BIG/GO NEXT</v>
          </cell>
          <cell r="C378" t="str">
            <v xml:space="preserve">PRAMBODY </v>
          </cell>
          <cell r="D378" t="str">
            <v>Prambody</v>
          </cell>
          <cell r="E378" t="str">
            <v>NACELLE</v>
          </cell>
          <cell r="F378" t="str">
            <v xml:space="preserve">Gondola </v>
          </cell>
        </row>
        <row r="379">
          <cell r="A379">
            <v>2000026695</v>
          </cell>
          <cell r="B379" t="str">
            <v>PRAMBODY SPARES GO/GO BIG/GO NEXT</v>
          </cell>
          <cell r="C379" t="str">
            <v xml:space="preserve">PRAMBODY </v>
          </cell>
          <cell r="D379" t="str">
            <v>Prambody</v>
          </cell>
          <cell r="E379" t="str">
            <v>NACELLE</v>
          </cell>
          <cell r="F379" t="str">
            <v xml:space="preserve">Gondola </v>
          </cell>
        </row>
        <row r="380">
          <cell r="A380">
            <v>2000012137</v>
          </cell>
          <cell r="B380" t="str">
            <v>PRAMBODY SPARES GO/GO BIG/GO NEXT</v>
          </cell>
          <cell r="C380" t="str">
            <v xml:space="preserve">PRAMBODY ADAPTER </v>
          </cell>
          <cell r="D380" t="str">
            <v>Adapter für Prambody</v>
          </cell>
          <cell r="E380" t="str">
            <v>ADAPTATEUR NACELLE</v>
          </cell>
          <cell r="F380" t="str">
            <v>Adapter gondoli</v>
          </cell>
        </row>
        <row r="381">
          <cell r="A381">
            <v>2000023229</v>
          </cell>
          <cell r="B381" t="str">
            <v>PRAMBODY SPARES GO/GO BIG/GO NEXT</v>
          </cell>
          <cell r="C381" t="str">
            <v>PRAMBODY CANOPY</v>
          </cell>
          <cell r="D381" t="str">
            <v>Verdeck für Prambody</v>
          </cell>
          <cell r="E381" t="str">
            <v>CANOPY NACELLE</v>
          </cell>
          <cell r="F381" t="str">
            <v>Budka gondoli</v>
          </cell>
        </row>
        <row r="382">
          <cell r="A382">
            <v>2000029383</v>
          </cell>
          <cell r="B382" t="str">
            <v>PRAMBODY SPARES GO/GO BIG/GO NEXT</v>
          </cell>
          <cell r="C382" t="str">
            <v>PRAMBODY CANOPY</v>
          </cell>
          <cell r="D382" t="str">
            <v>Verdeck für Prambody</v>
          </cell>
          <cell r="E382" t="str">
            <v>CANOPY NACELLE</v>
          </cell>
          <cell r="F382" t="str">
            <v>Budka gondoli</v>
          </cell>
        </row>
        <row r="383">
          <cell r="A383">
            <v>2000023230</v>
          </cell>
          <cell r="B383" t="str">
            <v>PRAMBODY SPARES GO/GO BIG/GO NEXT</v>
          </cell>
          <cell r="C383" t="str">
            <v>PRAMBODY CANOPY</v>
          </cell>
          <cell r="D383" t="str">
            <v>Verdeck für Prambody</v>
          </cell>
          <cell r="E383" t="str">
            <v>CANOPY NACELLE</v>
          </cell>
          <cell r="F383" t="str">
            <v>Budka gondoli</v>
          </cell>
        </row>
        <row r="384">
          <cell r="A384">
            <v>2000023234</v>
          </cell>
          <cell r="B384" t="str">
            <v>PRAMBODY SPARES GO/GO BIG/GO NEXT</v>
          </cell>
          <cell r="C384" t="str">
            <v>PRAMBODY CANOPY</v>
          </cell>
          <cell r="D384" t="str">
            <v>Verdeck für Prambody</v>
          </cell>
          <cell r="E384" t="str">
            <v>CANOPY NACELLE</v>
          </cell>
          <cell r="F384" t="str">
            <v>Budka gondoli</v>
          </cell>
        </row>
        <row r="385">
          <cell r="A385">
            <v>2000029384</v>
          </cell>
          <cell r="B385" t="str">
            <v>PRAMBODY SPARES GO/GO BIG/GO NEXT</v>
          </cell>
          <cell r="C385" t="str">
            <v>PRAMBODY CANOPY</v>
          </cell>
          <cell r="D385" t="str">
            <v>Verdeck für Prambody</v>
          </cell>
          <cell r="E385" t="str">
            <v>CANOPY NACELLE</v>
          </cell>
          <cell r="F385" t="str">
            <v>Budka gondoli</v>
          </cell>
        </row>
        <row r="386">
          <cell r="A386">
            <v>2000023237</v>
          </cell>
          <cell r="B386" t="str">
            <v>PRAMBODY SPARES GO/GO BIG/GO NEXT</v>
          </cell>
          <cell r="C386" t="str">
            <v xml:space="preserve">PRAMBODY CANOPY </v>
          </cell>
          <cell r="D386" t="str">
            <v>Verdeck für Prambody</v>
          </cell>
          <cell r="E386" t="str">
            <v>CANOPY NACELLE</v>
          </cell>
          <cell r="F386" t="str">
            <v>Budka gondoli</v>
          </cell>
        </row>
        <row r="387">
          <cell r="A387">
            <v>2000023240</v>
          </cell>
          <cell r="B387" t="str">
            <v>PRAMBODY SPARES GO/GO BIG/GO NEXT</v>
          </cell>
          <cell r="C387" t="str">
            <v xml:space="preserve">PRAMBODY CANOPY </v>
          </cell>
          <cell r="D387" t="str">
            <v>Verdeck für Prambody</v>
          </cell>
          <cell r="E387" t="str">
            <v>CANOPY NACELLE</v>
          </cell>
          <cell r="F387" t="str">
            <v>Budka gondoli</v>
          </cell>
        </row>
        <row r="388">
          <cell r="A388">
            <v>2000029382</v>
          </cell>
          <cell r="B388" t="str">
            <v>PRAMBODY SPARES GO/GO BIG/GO NEXT</v>
          </cell>
          <cell r="C388" t="str">
            <v xml:space="preserve">PRAMBODY CANOPY </v>
          </cell>
          <cell r="D388" t="str">
            <v>Verdeck für Prambody</v>
          </cell>
          <cell r="E388" t="str">
            <v>CANOPY NACELLE</v>
          </cell>
          <cell r="F388" t="str">
            <v>Budka gondoli</v>
          </cell>
        </row>
        <row r="389">
          <cell r="A389">
            <v>2000029381</v>
          </cell>
          <cell r="B389" t="str">
            <v>PRAMBODY SPARES GO/GO BIG/GO NEXT</v>
          </cell>
          <cell r="C389" t="str">
            <v xml:space="preserve">PRAMBODY CANOPY </v>
          </cell>
          <cell r="D389" t="str">
            <v>Verdeck für Prambody</v>
          </cell>
          <cell r="E389" t="str">
            <v>CANOPY NACELLE</v>
          </cell>
          <cell r="F389" t="str">
            <v>Budka gondoli</v>
          </cell>
        </row>
        <row r="390">
          <cell r="A390">
            <v>2000029380</v>
          </cell>
          <cell r="B390" t="str">
            <v>PRAMBODY SPARES GO/GO BIG/GO NEXT</v>
          </cell>
          <cell r="C390" t="str">
            <v xml:space="preserve">PRAMBODY CANOPY </v>
          </cell>
          <cell r="D390" t="str">
            <v>Verdeck für Prambody</v>
          </cell>
          <cell r="E390" t="str">
            <v>CANOPY NACELLE</v>
          </cell>
          <cell r="F390" t="str">
            <v>Budka gondoli</v>
          </cell>
        </row>
        <row r="391">
          <cell r="A391">
            <v>2000029373</v>
          </cell>
          <cell r="B391" t="str">
            <v>PRAMBODY SPARES GO/GO BIG/GO NEXT</v>
          </cell>
          <cell r="C391" t="str">
            <v>PRAMBODY MATRESS COVER JERSEY</v>
          </cell>
          <cell r="D391" t="str">
            <v>Matratze für Prambody COVER JERSEY</v>
          </cell>
          <cell r="E391" t="str">
            <v xml:space="preserve">HOUSSE MATELAS NACELLE JERSEY </v>
          </cell>
          <cell r="F391" t="str">
            <v>Materac do gondoli COVER JERSEY</v>
          </cell>
        </row>
        <row r="392">
          <cell r="A392">
            <v>2000021640</v>
          </cell>
          <cell r="B392" t="str">
            <v>PRAMBODY SPARES GO/GO BIG/GO NEXT</v>
          </cell>
          <cell r="C392" t="str">
            <v>PRAMBODY MATTRESS</v>
          </cell>
          <cell r="D392" t="str">
            <v>Matratze für Prambody</v>
          </cell>
          <cell r="E392" t="str">
            <v>MATELAS NACELLE</v>
          </cell>
          <cell r="F392" t="str">
            <v xml:space="preserve">Materac do gondoli </v>
          </cell>
        </row>
        <row r="393">
          <cell r="A393">
            <v>2000009467</v>
          </cell>
          <cell r="B393" t="str">
            <v>BOB REVOLUTION CE</v>
          </cell>
          <cell r="C393" t="str">
            <v xml:space="preserve">QUICK RELEASE BOLT </v>
          </cell>
          <cell r="D393" t="str">
            <v xml:space="preserve">Schnellverschluss-Schraube </v>
          </cell>
          <cell r="E393" t="str">
            <v xml:space="preserve">KIT DE FIXATION </v>
          </cell>
          <cell r="F393" t="str">
            <v>Zacisk mimośrodowy (samozamykacz)</v>
          </cell>
        </row>
        <row r="394">
          <cell r="A394">
            <v>2000009649</v>
          </cell>
          <cell r="B394" t="str">
            <v>B-AGILE DOUBLE</v>
          </cell>
          <cell r="C394" t="str">
            <v xml:space="preserve">RAINCOVER </v>
          </cell>
          <cell r="D394" t="str">
            <v>Regenverdeck</v>
          </cell>
          <cell r="E394" t="str">
            <v>PROTECTION PLUIE</v>
          </cell>
          <cell r="F394" t="str">
            <v>Osłona przeciwdeszczowa</v>
          </cell>
        </row>
        <row r="395">
          <cell r="A395" t="str">
            <v>PRC058473</v>
          </cell>
          <cell r="B395" t="str">
            <v>B-MOBILE</v>
          </cell>
          <cell r="C395" t="str">
            <v xml:space="preserve">RAINCOVER </v>
          </cell>
          <cell r="D395" t="str">
            <v>Regenverdeck</v>
          </cell>
          <cell r="E395" t="str">
            <v>PROTECTION PLUIE</v>
          </cell>
          <cell r="F395" t="str">
            <v>Osłona przeciwdeszczowa</v>
          </cell>
        </row>
        <row r="396">
          <cell r="A396">
            <v>2000021680</v>
          </cell>
          <cell r="B396" t="str">
            <v>BRITAX SMILE</v>
          </cell>
          <cell r="C396" t="str">
            <v xml:space="preserve">RAINCOVER </v>
          </cell>
          <cell r="D396" t="str">
            <v>Regenverdeck</v>
          </cell>
          <cell r="E396" t="str">
            <v>PROTECTION PLUIE</v>
          </cell>
          <cell r="F396" t="str">
            <v>Osłona przeciwdeszczowa</v>
          </cell>
        </row>
        <row r="397">
          <cell r="A397">
            <v>2000021681</v>
          </cell>
          <cell r="B397" t="str">
            <v>BRITAX SMILE CARRYCOT</v>
          </cell>
          <cell r="C397" t="str">
            <v xml:space="preserve">RAINCOVER </v>
          </cell>
          <cell r="D397" t="str">
            <v>Regenverdeck</v>
          </cell>
          <cell r="E397" t="str">
            <v>PROTECTION PLUIE</v>
          </cell>
          <cell r="F397" t="str">
            <v>Osłona przeciwdeszczowa</v>
          </cell>
        </row>
        <row r="398">
          <cell r="A398">
            <v>2000004029</v>
          </cell>
          <cell r="B398" t="str">
            <v>BRITAX HARD CARRYCOT</v>
          </cell>
          <cell r="C398" t="str">
            <v xml:space="preserve">RAINCOVER </v>
          </cell>
          <cell r="D398" t="str">
            <v>Regenverdeck</v>
          </cell>
          <cell r="E398" t="str">
            <v>PROTECTION PLUIE</v>
          </cell>
          <cell r="F398" t="str">
            <v>Osłona przeciwdeszczowa</v>
          </cell>
        </row>
        <row r="399">
          <cell r="A399">
            <v>2000003846</v>
          </cell>
          <cell r="B399" t="str">
            <v>B-MOBILE</v>
          </cell>
          <cell r="C399" t="str">
            <v>RAINCOVER (2011)</v>
          </cell>
          <cell r="D399" t="str">
            <v>Regenverdeck (2011)</v>
          </cell>
          <cell r="E399" t="str">
            <v>PROTECTION PLUIE (2011)</v>
          </cell>
          <cell r="F399" t="str">
            <v>Osłona przeciwdeszczowa (2011)</v>
          </cell>
        </row>
        <row r="400">
          <cell r="A400">
            <v>2000010301</v>
          </cell>
          <cell r="B400" t="str">
            <v>BRITAX AFFINITY</v>
          </cell>
          <cell r="C400" t="str">
            <v>RAINCOVER CARRYCOT</v>
          </cell>
          <cell r="D400" t="str">
            <v>Regenverdeck</v>
          </cell>
          <cell r="E400" t="str">
            <v>PROTECTION PLUIE POUR NACELLE</v>
          </cell>
          <cell r="F400" t="str">
            <v>Osłona przeciwdeszczowa  gondoli</v>
          </cell>
        </row>
        <row r="401">
          <cell r="A401">
            <v>2000025769</v>
          </cell>
          <cell r="B401" t="str">
            <v>JOCKEY RELAX</v>
          </cell>
          <cell r="C401" t="str">
            <v>REAR REFLECTOR</v>
          </cell>
          <cell r="D401" t="str">
            <v>Rückstrahler</v>
          </cell>
          <cell r="E401" t="str">
            <v>Réflecteur arrière</v>
          </cell>
          <cell r="F401" t="str">
            <v>Reflektor tylny</v>
          </cell>
        </row>
        <row r="402">
          <cell r="A402" t="str">
            <v>R366050999001</v>
          </cell>
          <cell r="B402" t="str">
            <v>BRITAX SMILE 2</v>
          </cell>
          <cell r="C402" t="str">
            <v>REAR WHEEL BLACK</v>
          </cell>
          <cell r="D402" t="str">
            <v>Hinterräder</v>
          </cell>
          <cell r="E402" t="str">
            <v>Roue arrière noire (1 pièce)</v>
          </cell>
          <cell r="F402" t="str">
            <v>Koło tylne</v>
          </cell>
        </row>
        <row r="403">
          <cell r="A403">
            <v>2000025509</v>
          </cell>
          <cell r="B403" t="str">
            <v>B-READY</v>
          </cell>
          <cell r="C403" t="str">
            <v>REAR WHEEL COVERS</v>
          </cell>
          <cell r="D403" t="str">
            <v>Hinterräder Abdeckung</v>
          </cell>
          <cell r="E403" t="str">
            <v>CACHES-ROUES (2 pièces)</v>
          </cell>
          <cell r="F403" t="str">
            <v>Osłona tylnych kół</v>
          </cell>
        </row>
        <row r="404">
          <cell r="A404">
            <v>2000012208</v>
          </cell>
          <cell r="B404" t="str">
            <v>BRITAX GO</v>
          </cell>
          <cell r="C404" t="str">
            <v xml:space="preserve">REAR WHEEL HUB REPAIR KIT </v>
          </cell>
          <cell r="D404" t="str">
            <v xml:space="preserve">Hinterrad Reparatur Set </v>
          </cell>
          <cell r="E404" t="str">
            <v>KIT DE RÉPARATION DE MOYEU DE ROUE ARRIÈRE</v>
          </cell>
          <cell r="F404" t="str">
            <v>Zestaw naprawczy tylnego koła</v>
          </cell>
        </row>
        <row r="405">
          <cell r="A405">
            <v>2000027473</v>
          </cell>
          <cell r="B405" t="str">
            <v>B-LITE</v>
          </cell>
          <cell r="C405" t="str">
            <v>REAR WHEEL SET</v>
          </cell>
          <cell r="D405" t="str">
            <v>Hinterräder Set</v>
          </cell>
          <cell r="E405" t="str">
            <v>SET ROUES arrière</v>
          </cell>
          <cell r="F405" t="str">
            <v>Zestaw kół tylnych</v>
          </cell>
        </row>
        <row r="406">
          <cell r="A406">
            <v>2000024429</v>
          </cell>
          <cell r="B406" t="str">
            <v>B-MOTION 4 plus</v>
          </cell>
          <cell r="C406" t="str">
            <v>REAR WHEEL SET</v>
          </cell>
          <cell r="D406" t="str">
            <v>Hinterräder Set</v>
          </cell>
          <cell r="E406" t="str">
            <v>SET ROUES arrière</v>
          </cell>
          <cell r="F406" t="str">
            <v>Zestaw kół tylnych</v>
          </cell>
        </row>
        <row r="407">
          <cell r="A407">
            <v>2000025487</v>
          </cell>
          <cell r="B407" t="str">
            <v>B-READY</v>
          </cell>
          <cell r="C407" t="str">
            <v>REAR WHEEL SET</v>
          </cell>
          <cell r="D407" t="str">
            <v>Hinterräder Set</v>
          </cell>
          <cell r="E407" t="str">
            <v>SET ROUES arrière</v>
          </cell>
          <cell r="F407" t="str">
            <v>Zestaw kół tylnych</v>
          </cell>
        </row>
        <row r="408">
          <cell r="A408">
            <v>2000021676</v>
          </cell>
          <cell r="B408" t="str">
            <v>BRITAX SMILE</v>
          </cell>
          <cell r="C408" t="str">
            <v>REAR WHEEL SET</v>
          </cell>
          <cell r="D408" t="str">
            <v>Hinterräder Set</v>
          </cell>
          <cell r="E408" t="str">
            <v>SET ROUES arrière</v>
          </cell>
          <cell r="F408" t="str">
            <v>Zestaw kół tylnych</v>
          </cell>
        </row>
        <row r="409">
          <cell r="A409">
            <v>2000010300</v>
          </cell>
          <cell r="B409" t="str">
            <v>BRITAX AFFINITY</v>
          </cell>
          <cell r="C409" t="str">
            <v>REAR WHEEL SET</v>
          </cell>
          <cell r="D409" t="str">
            <v>Hinterräder Set</v>
          </cell>
          <cell r="E409" t="str">
            <v>SET ROUES arrière</v>
          </cell>
          <cell r="F409" t="str">
            <v>Zestaw kół tylnych</v>
          </cell>
        </row>
        <row r="410">
          <cell r="A410">
            <v>2000025322</v>
          </cell>
          <cell r="B410" t="str">
            <v>BRITAX AFFINITY 2</v>
          </cell>
          <cell r="C410" t="str">
            <v>REAR WHEEL SET</v>
          </cell>
          <cell r="D410" t="str">
            <v>Hinterräder Set</v>
          </cell>
          <cell r="E410" t="str">
            <v>SET ROUES arrière</v>
          </cell>
          <cell r="F410" t="str">
            <v>Zestaw kół tylnych</v>
          </cell>
        </row>
        <row r="411">
          <cell r="A411">
            <v>2000025133</v>
          </cell>
          <cell r="B411" t="str">
            <v>BRITAX GO BIG</v>
          </cell>
          <cell r="C411" t="str">
            <v>REAR WHEEL SET</v>
          </cell>
          <cell r="D411" t="str">
            <v>Hinterräder Set</v>
          </cell>
          <cell r="E411" t="str">
            <v>SET ROUES arrière</v>
          </cell>
          <cell r="F411" t="str">
            <v>Zestaw kół tylnych</v>
          </cell>
        </row>
        <row r="412">
          <cell r="A412">
            <v>2000010988</v>
          </cell>
          <cell r="B412" t="str">
            <v>B-MOTION 3</v>
          </cell>
          <cell r="C412" t="str">
            <v xml:space="preserve">REAR WHEEL SET </v>
          </cell>
          <cell r="D412" t="str">
            <v>Hinterräder Set</v>
          </cell>
          <cell r="E412" t="str">
            <v>SET ROUES arrière</v>
          </cell>
          <cell r="F412" t="str">
            <v>Zestaw kół tylnych</v>
          </cell>
        </row>
        <row r="413">
          <cell r="A413">
            <v>2000009629</v>
          </cell>
          <cell r="B413" t="str">
            <v>B-MOTION 4</v>
          </cell>
          <cell r="C413" t="str">
            <v xml:space="preserve">REAR WHEEL SET </v>
          </cell>
          <cell r="D413" t="str">
            <v>Hinterräder Set</v>
          </cell>
          <cell r="E413" t="str">
            <v>SET ROUES arrière</v>
          </cell>
          <cell r="F413" t="str">
            <v>Zestaw kół tylnych</v>
          </cell>
        </row>
        <row r="414">
          <cell r="A414">
            <v>2000012160</v>
          </cell>
          <cell r="B414" t="str">
            <v>BRITAX GO</v>
          </cell>
          <cell r="C414" t="str">
            <v xml:space="preserve">REAR WHEEL SET </v>
          </cell>
          <cell r="D414" t="str">
            <v>Hinterräder Set</v>
          </cell>
          <cell r="E414" t="str">
            <v>SET ROUES arrière</v>
          </cell>
          <cell r="F414" t="str">
            <v>Zestaw kół tylnych</v>
          </cell>
        </row>
        <row r="415">
          <cell r="A415">
            <v>2000012161</v>
          </cell>
          <cell r="B415" t="str">
            <v>BRITAX GO NEXT</v>
          </cell>
          <cell r="C415" t="str">
            <v xml:space="preserve">REAR WHEEL SET </v>
          </cell>
          <cell r="D415" t="str">
            <v>Hinterräder Set</v>
          </cell>
          <cell r="E415" t="str">
            <v>SET ROUES arrière</v>
          </cell>
          <cell r="F415" t="str">
            <v>Zestaw kół tylnych</v>
          </cell>
        </row>
        <row r="416">
          <cell r="A416">
            <v>2000023196</v>
          </cell>
          <cell r="B416" t="str">
            <v>BRITAX GO NEXT</v>
          </cell>
          <cell r="C416" t="str">
            <v>REAR WHEEL SET 2016</v>
          </cell>
          <cell r="D416" t="str">
            <v>Hinterräder Set 2016</v>
          </cell>
          <cell r="E416" t="str">
            <v>SET ROUES arrière (2016)</v>
          </cell>
          <cell r="F416" t="str">
            <v>Zestaw kół tylnych (2016)</v>
          </cell>
        </row>
        <row r="417">
          <cell r="A417">
            <v>2000029362</v>
          </cell>
          <cell r="B417" t="str">
            <v>BRITAX GO NEXT</v>
          </cell>
          <cell r="C417" t="str">
            <v>REAR WHEEL SET WHITE LINE</v>
          </cell>
          <cell r="D417" t="str">
            <v>Hinterräder Set WHITE LINE</v>
          </cell>
          <cell r="E417" t="str">
            <v>SET ROUES arrière (liseré blanc)</v>
          </cell>
          <cell r="F417" t="str">
            <v>Zestaw kół tylnych (WHITE LINE)</v>
          </cell>
        </row>
        <row r="418">
          <cell r="A418">
            <v>2000029360</v>
          </cell>
          <cell r="B418" t="str">
            <v>BRITAX GO BIG</v>
          </cell>
          <cell r="C418" t="str">
            <v>REAR WHEEL SET WHITE LINE</v>
          </cell>
          <cell r="D418" t="str">
            <v>Hinterräder Set WHITE LINE</v>
          </cell>
          <cell r="E418" t="str">
            <v>SET ROUES arrière (liseré blanc)</v>
          </cell>
          <cell r="F418" t="str">
            <v>Zestaw kół tylnych (WHITE LINE)</v>
          </cell>
        </row>
        <row r="419">
          <cell r="A419">
            <v>2000010990</v>
          </cell>
          <cell r="B419" t="str">
            <v>B-MOTION 3</v>
          </cell>
          <cell r="C419" t="str">
            <v>REAR WHEEL TUBE</v>
          </cell>
          <cell r="D419" t="str">
            <v>Schlauch hinten</v>
          </cell>
          <cell r="E419" t="str">
            <v>CHAMBRE À AIR ARRIÈRE (1 pièce)</v>
          </cell>
          <cell r="F419" t="str">
            <v xml:space="preserve">Dętka tylnego koła </v>
          </cell>
        </row>
        <row r="420">
          <cell r="A420">
            <v>2000009630</v>
          </cell>
          <cell r="B420" t="str">
            <v>B-MOTION 4</v>
          </cell>
          <cell r="C420" t="str">
            <v>REAR WHEEL TUBE</v>
          </cell>
          <cell r="D420" t="str">
            <v>Schlauch hinten</v>
          </cell>
          <cell r="E420" t="str">
            <v>CHAMBRE À AIR ARRIÈRE (1 pièce)</v>
          </cell>
          <cell r="F420" t="str">
            <v>Dętka koła tylnego</v>
          </cell>
        </row>
        <row r="421">
          <cell r="A421">
            <v>2000021675</v>
          </cell>
          <cell r="B421" t="str">
            <v>BRITAX SMILE</v>
          </cell>
          <cell r="C421" t="str">
            <v>REAR WHEEL TUBE SET</v>
          </cell>
          <cell r="D421" t="str">
            <v>Schlauch Set hinten</v>
          </cell>
          <cell r="E421" t="str">
            <v>SET CHAMBRES à AIR arrière</v>
          </cell>
          <cell r="F421" t="str">
            <v>Zestaw dętek tylnych kół</v>
          </cell>
        </row>
        <row r="422">
          <cell r="A422">
            <v>2000021674</v>
          </cell>
          <cell r="B422" t="str">
            <v>BRITAX SMILE</v>
          </cell>
          <cell r="C422" t="str">
            <v xml:space="preserve">REAR WHEEL TYRE SET </v>
          </cell>
          <cell r="D422" t="str">
            <v>Reifen Set hinten</v>
          </cell>
          <cell r="E422" t="str">
            <v>SET CHAMBRES à AIR arrière</v>
          </cell>
          <cell r="F422" t="str">
            <v>Zestaw opon kół tylnych</v>
          </cell>
        </row>
        <row r="423">
          <cell r="A423">
            <v>2000010186</v>
          </cell>
          <cell r="B423" t="str">
            <v>BOB REVOLUTION CE</v>
          </cell>
          <cell r="C423" t="str">
            <v>REAR WHEELS</v>
          </cell>
          <cell r="D423" t="str">
            <v>Hinterräder</v>
          </cell>
          <cell r="E423" t="str">
            <v>ROUES arrière (2 pièces)</v>
          </cell>
          <cell r="F423" t="str">
            <v>Koła tylne</v>
          </cell>
        </row>
        <row r="424">
          <cell r="A424">
            <v>2000010185</v>
          </cell>
          <cell r="B424" t="str">
            <v>BOB REVOLUTION SE (Single)</v>
          </cell>
          <cell r="C424" t="str">
            <v>REAR WHEELS</v>
          </cell>
          <cell r="D424" t="str">
            <v>Hinterräder</v>
          </cell>
          <cell r="E424" t="str">
            <v>ROUES arrière (2 pièces)</v>
          </cell>
          <cell r="F424" t="str">
            <v>Zestaw kół tylnych (2 sztuki)</v>
          </cell>
        </row>
        <row r="425">
          <cell r="A425">
            <v>2000025800</v>
          </cell>
          <cell r="B425" t="str">
            <v>BOB REVOLUTION PRO (Single)</v>
          </cell>
          <cell r="C425" t="str">
            <v>REAR WHEELS</v>
          </cell>
          <cell r="D425" t="str">
            <v>Hinterräder</v>
          </cell>
          <cell r="E425" t="str">
            <v>ROUES arrière (2 pièces)</v>
          </cell>
          <cell r="F425" t="str">
            <v>Zestaw kół tylnych</v>
          </cell>
        </row>
        <row r="426">
          <cell r="A426">
            <v>2000010187</v>
          </cell>
          <cell r="B426" t="str">
            <v>BOB IRONMAN (Single)</v>
          </cell>
          <cell r="C426" t="str">
            <v>REAR WHEELS</v>
          </cell>
          <cell r="D426" t="str">
            <v>Hinterräder</v>
          </cell>
          <cell r="E426" t="str">
            <v>ROUES arrière (2 pièces)</v>
          </cell>
          <cell r="F426" t="str">
            <v>Zestaw kół tylnych</v>
          </cell>
        </row>
        <row r="427">
          <cell r="A427">
            <v>2000010188</v>
          </cell>
          <cell r="B427" t="str">
            <v>BOB SUS (Single)</v>
          </cell>
          <cell r="C427" t="str">
            <v>REAR WHEELS</v>
          </cell>
          <cell r="D427" t="str">
            <v>Hinterräder</v>
          </cell>
          <cell r="E427" t="str">
            <v>ROUES arrière (2 pièces)</v>
          </cell>
          <cell r="F427" t="str">
            <v>Zestaw kół tylnych</v>
          </cell>
        </row>
        <row r="428">
          <cell r="A428">
            <v>2000024314</v>
          </cell>
          <cell r="B428" t="str">
            <v>MAX-FIX II</v>
          </cell>
          <cell r="C428" t="str">
            <v xml:space="preserve">REBOUND BAR COVER </v>
          </cell>
          <cell r="D428" t="str">
            <v>Bezug für Rückprallbügel</v>
          </cell>
          <cell r="E428" t="str">
            <v>Housse barre anti-rebond</v>
          </cell>
          <cell r="F428" t="str">
            <v>Pokrowiec na pałąk antyrotacyjny</v>
          </cell>
        </row>
        <row r="429">
          <cell r="A429">
            <v>2000026498</v>
          </cell>
          <cell r="B429" t="str">
            <v>DUALFIX</v>
          </cell>
          <cell r="C429" t="str">
            <v>REBOUND BAR COVER SLIM</v>
          </cell>
          <cell r="D429" t="str">
            <v>Bezug für Rückprallbügel schmal</v>
          </cell>
          <cell r="E429" t="str">
            <v>Housse barre anti-rebond fine</v>
          </cell>
          <cell r="F429" t="str">
            <v>Obicie ramy antyrotacyjnej</v>
          </cell>
        </row>
        <row r="430">
          <cell r="A430">
            <v>2000021604</v>
          </cell>
          <cell r="B430" t="str">
            <v>BRITAX AFFINITY</v>
          </cell>
          <cell r="C430" t="str">
            <v>REPLACEMENT CANOPY (old collection)</v>
          </cell>
          <cell r="D430" t="str">
            <v>Verdeck (alte Kollektion)</v>
          </cell>
          <cell r="E430" t="str">
            <v>CANOPY (ancienne collection)</v>
          </cell>
          <cell r="F430" t="str">
            <v>Budka Britax (kolekcja 2013-2014)</v>
          </cell>
        </row>
        <row r="431">
          <cell r="A431">
            <v>2000021606</v>
          </cell>
          <cell r="B431" t="str">
            <v>BRITAX AFFINITY</v>
          </cell>
          <cell r="C431" t="str">
            <v>REPLACEMENT CANOPY (old collection)</v>
          </cell>
          <cell r="D431" t="str">
            <v>Verdeck (alte Kollektion)</v>
          </cell>
          <cell r="E431" t="str">
            <v>CANOPY (ancienne collection)</v>
          </cell>
          <cell r="F431" t="str">
            <v>Budka Britax (kolekcja 2013-2014)</v>
          </cell>
        </row>
        <row r="432">
          <cell r="A432">
            <v>2000021608</v>
          </cell>
          <cell r="B432" t="str">
            <v>BRITAX AFFINITY</v>
          </cell>
          <cell r="C432" t="str">
            <v>REPLACEMENT CANOPY (old collection)</v>
          </cell>
          <cell r="D432" t="str">
            <v>Verdeck (alte Kollektion)</v>
          </cell>
          <cell r="E432" t="str">
            <v>CANOPY (ancienne collection)</v>
          </cell>
          <cell r="F432" t="str">
            <v>Budka Britax (kolekcja 2013-2014)</v>
          </cell>
        </row>
        <row r="433">
          <cell r="A433">
            <v>2000021609</v>
          </cell>
          <cell r="B433" t="str">
            <v>BRITAX AFFINITY</v>
          </cell>
          <cell r="C433" t="str">
            <v>REPLACEMENT CANOPY (old collection)</v>
          </cell>
          <cell r="D433" t="str">
            <v>Verdeck (alte Kollektion)</v>
          </cell>
          <cell r="E433" t="str">
            <v>CANOPY (ancienne collection)</v>
          </cell>
          <cell r="F433" t="str">
            <v>Budka Britax (kolekcja 2013-2014)</v>
          </cell>
        </row>
        <row r="434">
          <cell r="A434">
            <v>2000021605</v>
          </cell>
          <cell r="B434" t="str">
            <v>BRITAX AFFINITY</v>
          </cell>
          <cell r="C434" t="str">
            <v>REPLACEMENT CANOPY (old collection)</v>
          </cell>
          <cell r="D434" t="str">
            <v>Verdeck (alte Kollektion)</v>
          </cell>
          <cell r="E434" t="str">
            <v>CANOPY (ancienne collection)</v>
          </cell>
          <cell r="F434" t="str">
            <v>Budka Britax (kolekcja 2013-2014)</v>
          </cell>
        </row>
        <row r="435">
          <cell r="A435">
            <v>2000021607</v>
          </cell>
          <cell r="B435" t="str">
            <v>BRITAX AFFINITY</v>
          </cell>
          <cell r="C435" t="str">
            <v>REPLACEMENT CANOPY (old collection)</v>
          </cell>
          <cell r="D435" t="str">
            <v>Verdeck (alte Kollektion)</v>
          </cell>
          <cell r="E435" t="str">
            <v>CANOPY (ancienne collection)</v>
          </cell>
          <cell r="F435" t="str">
            <v>Budka Britax (kolekcja 2013-2014)</v>
          </cell>
        </row>
        <row r="436">
          <cell r="A436">
            <v>2000003866</v>
          </cell>
          <cell r="B436" t="str">
            <v>BABY-SAFE Sleeper</v>
          </cell>
          <cell r="C436" t="str">
            <v>Römer SUN CANOPY (old collections)</v>
          </cell>
          <cell r="D436" t="str">
            <v>Verdeck Römer (alte Kollektion)</v>
          </cell>
          <cell r="E436" t="str">
            <v>CANOPY Römer (ancienne collection)</v>
          </cell>
          <cell r="F436" t="str">
            <v>Daszek przeciwsłoneczny Römer (starsza kolekcja)</v>
          </cell>
        </row>
        <row r="437">
          <cell r="A437">
            <v>2000025628</v>
          </cell>
          <cell r="B437" t="str">
            <v>BABY-SAFE i-SIZE</v>
          </cell>
          <cell r="C437" t="str">
            <v>RUBBER INSERTS</v>
          </cell>
          <cell r="D437" t="str">
            <v>Kufengummidämpfer</v>
          </cell>
          <cell r="E437" t="str">
            <v>INSERTS CAOUTCHOUC</v>
          </cell>
          <cell r="F437" t="str">
            <v>Wkładki gumowe</v>
          </cell>
        </row>
        <row r="438">
          <cell r="A438">
            <v>2000023227</v>
          </cell>
          <cell r="B438" t="str">
            <v>BRITAX GO</v>
          </cell>
          <cell r="C438" t="str">
            <v>SEAT BOARD</v>
          </cell>
          <cell r="D438" t="str">
            <v>Sitzplatte</v>
          </cell>
          <cell r="E438" t="str">
            <v>PLAQUE DOSSIER</v>
          </cell>
          <cell r="F438" t="str">
            <v>Płyta siedziska</v>
          </cell>
        </row>
        <row r="439">
          <cell r="A439">
            <v>2000025137</v>
          </cell>
          <cell r="B439" t="str">
            <v>BRITAX GO BIG</v>
          </cell>
          <cell r="C439" t="str">
            <v>SEAT BOARD</v>
          </cell>
          <cell r="D439" t="str">
            <v>Sitzplatte</v>
          </cell>
          <cell r="E439" t="str">
            <v>PLAQUE DOSSIER</v>
          </cell>
          <cell r="F439" t="str">
            <v>Płyta siedziska</v>
          </cell>
        </row>
        <row r="440">
          <cell r="A440">
            <v>2000027468</v>
          </cell>
          <cell r="B440" t="str">
            <v>BRITAX HOLIDAY</v>
          </cell>
          <cell r="C440" t="str">
            <v>SEAT FABRIC</v>
          </cell>
          <cell r="D440" t="str">
            <v>Sitzbezug</v>
          </cell>
          <cell r="E440" t="str">
            <v>Tissu siège</v>
          </cell>
          <cell r="F440" t="str">
            <v>Tapicerka wózka</v>
          </cell>
        </row>
        <row r="441">
          <cell r="A441">
            <v>2000027475</v>
          </cell>
          <cell r="B441" t="str">
            <v>B-LITE</v>
          </cell>
          <cell r="C441" t="str">
            <v xml:space="preserve">SEAT FABRIC </v>
          </cell>
          <cell r="D441" t="str">
            <v xml:space="preserve">Sitzbezug </v>
          </cell>
          <cell r="E441" t="str">
            <v>Tissu siège</v>
          </cell>
          <cell r="F441" t="str">
            <v>Tapicerka wózka</v>
          </cell>
        </row>
        <row r="442">
          <cell r="A442">
            <v>2000027469</v>
          </cell>
          <cell r="B442" t="e">
            <v>#N/A</v>
          </cell>
          <cell r="C442" t="str">
            <v>SEAT FABRIC FR</v>
          </cell>
          <cell r="D442" t="str">
            <v xml:space="preserve">Sitzbezug FR </v>
          </cell>
          <cell r="E442" t="str">
            <v>Tissu siège FR</v>
          </cell>
          <cell r="F442" t="str">
            <v>Tapicerka wózka FR</v>
          </cell>
        </row>
        <row r="443">
          <cell r="A443">
            <v>2000027476</v>
          </cell>
          <cell r="B443" t="e">
            <v>#N/A</v>
          </cell>
          <cell r="C443" t="str">
            <v xml:space="preserve">SEAT FABRIC FR </v>
          </cell>
          <cell r="D443" t="str">
            <v xml:space="preserve">Sitzbezug FR </v>
          </cell>
          <cell r="E443" t="str">
            <v>Tissu siège FR</v>
          </cell>
          <cell r="F443" t="str">
            <v>Tapicerka wózka FR</v>
          </cell>
        </row>
        <row r="444">
          <cell r="A444">
            <v>2000004025</v>
          </cell>
          <cell r="B444" t="e">
            <v>#N/A</v>
          </cell>
          <cell r="C444" t="str">
            <v>SEAT FRAME</v>
          </cell>
          <cell r="D444" t="str">
            <v>Sitzeinheit Rahmen</v>
          </cell>
          <cell r="E444" t="str">
            <v>Structure siège</v>
          </cell>
          <cell r="F444" t="str">
            <v>Stelaż siedziska</v>
          </cell>
        </row>
        <row r="445">
          <cell r="A445">
            <v>2000012436</v>
          </cell>
          <cell r="B445" t="str">
            <v>KING II / KING ll LS / KING II ATS</v>
          </cell>
          <cell r="C445" t="str">
            <v>SEAT SHELL INLAY</v>
          </cell>
          <cell r="D445" t="str">
            <v xml:space="preserve">Dämpfungseinleger Sitzfläche Set </v>
          </cell>
          <cell r="E445" t="str">
            <v>ÉLÉMENTS POLYSTYRÈNE</v>
          </cell>
          <cell r="F445" t="str">
            <v>Wkładki przeciwuderzeniowe w zestawie</v>
          </cell>
        </row>
        <row r="446">
          <cell r="A446">
            <v>2000025492</v>
          </cell>
          <cell r="B446" t="str">
            <v>B-READY</v>
          </cell>
          <cell r="C446" t="str">
            <v>SEAT UNIT</v>
          </cell>
          <cell r="D446" t="str">
            <v>Sitzeinheit</v>
          </cell>
          <cell r="E446" t="str">
            <v>Siège</v>
          </cell>
          <cell r="F446" t="str">
            <v>Siedzisko</v>
          </cell>
        </row>
        <row r="447">
          <cell r="A447">
            <v>2000025493</v>
          </cell>
          <cell r="B447" t="str">
            <v>B-READY</v>
          </cell>
          <cell r="C447" t="str">
            <v>SEAT UNIT</v>
          </cell>
          <cell r="D447" t="str">
            <v>Sitzeinheit</v>
          </cell>
          <cell r="E447" t="str">
            <v>Siège</v>
          </cell>
          <cell r="F447" t="str">
            <v>Siedzisko</v>
          </cell>
        </row>
        <row r="448">
          <cell r="A448">
            <v>2000025494</v>
          </cell>
          <cell r="B448" t="str">
            <v>B-READY</v>
          </cell>
          <cell r="C448" t="str">
            <v>SEAT UNIT</v>
          </cell>
          <cell r="D448" t="str">
            <v>Sitzeinheit</v>
          </cell>
          <cell r="E448" t="str">
            <v>Siège</v>
          </cell>
          <cell r="F448" t="str">
            <v>Siedzisko</v>
          </cell>
        </row>
        <row r="449">
          <cell r="A449">
            <v>2000025495</v>
          </cell>
          <cell r="B449" t="str">
            <v>B-READY</v>
          </cell>
          <cell r="C449" t="str">
            <v>SEAT UNIT</v>
          </cell>
          <cell r="D449" t="str">
            <v>Sitzeinheit</v>
          </cell>
          <cell r="E449" t="str">
            <v>Siège</v>
          </cell>
          <cell r="F449" t="str">
            <v>Siedzisko</v>
          </cell>
        </row>
        <row r="450">
          <cell r="A450">
            <v>2000014619</v>
          </cell>
          <cell r="B450" t="str">
            <v>BRITAX AFFINITY</v>
          </cell>
          <cell r="C450" t="str">
            <v>SEAT UNIT</v>
          </cell>
          <cell r="D450" t="str">
            <v>Sitzeinheit</v>
          </cell>
          <cell r="E450" t="str">
            <v>Siège</v>
          </cell>
          <cell r="F450" t="str">
            <v>Siedzisko</v>
          </cell>
        </row>
        <row r="451">
          <cell r="A451">
            <v>2000023199</v>
          </cell>
          <cell r="B451" t="str">
            <v>BRITAX GO</v>
          </cell>
          <cell r="C451" t="str">
            <v>SEAT UNIT</v>
          </cell>
          <cell r="D451" t="str">
            <v>Sitzeinheit</v>
          </cell>
          <cell r="E451" t="str">
            <v>Siège</v>
          </cell>
          <cell r="F451" t="str">
            <v>Siedzisko z tapicerką, budką i pałąkiem</v>
          </cell>
        </row>
        <row r="452">
          <cell r="A452">
            <v>2000023200</v>
          </cell>
          <cell r="B452" t="str">
            <v>BRITAX GO</v>
          </cell>
          <cell r="C452" t="str">
            <v>SEAT UNIT</v>
          </cell>
          <cell r="D452" t="str">
            <v>Sitzeinheit</v>
          </cell>
          <cell r="E452" t="str">
            <v>Siège</v>
          </cell>
          <cell r="F452" t="str">
            <v>Siedzisko z tapicerką, budką i pałąkiem</v>
          </cell>
        </row>
        <row r="453">
          <cell r="A453">
            <v>2000023201</v>
          </cell>
          <cell r="B453" t="str">
            <v>BRITAX GO</v>
          </cell>
          <cell r="C453" t="str">
            <v>SEAT UNIT</v>
          </cell>
          <cell r="D453" t="str">
            <v>Sitzeinheit</v>
          </cell>
          <cell r="E453" t="str">
            <v>Siège</v>
          </cell>
          <cell r="F453" t="str">
            <v>Siedzisko z tapicerką, budką i pałąkiem</v>
          </cell>
        </row>
        <row r="454">
          <cell r="A454">
            <v>2000023202</v>
          </cell>
          <cell r="B454" t="str">
            <v>BRITAX GO</v>
          </cell>
          <cell r="C454" t="str">
            <v>SEAT UNIT</v>
          </cell>
          <cell r="D454" t="str">
            <v>Sitzeinheit</v>
          </cell>
          <cell r="E454" t="str">
            <v>Siège</v>
          </cell>
          <cell r="F454" t="str">
            <v>Siedzisko z tapicerką, budką i pałąkiem</v>
          </cell>
        </row>
        <row r="455">
          <cell r="A455">
            <v>2000023203</v>
          </cell>
          <cell r="B455" t="str">
            <v>BRITAX GO</v>
          </cell>
          <cell r="C455" t="str">
            <v>SEAT UNIT</v>
          </cell>
          <cell r="D455" t="str">
            <v>Sitzeinheit</v>
          </cell>
          <cell r="E455" t="str">
            <v>Siège</v>
          </cell>
          <cell r="F455" t="str">
            <v>Siedzisko z tapicerką, budką i pałąkiem</v>
          </cell>
        </row>
        <row r="456">
          <cell r="A456">
            <v>2000023204</v>
          </cell>
          <cell r="B456" t="str">
            <v>BRITAX GO</v>
          </cell>
          <cell r="C456" t="str">
            <v>SEAT UNIT</v>
          </cell>
          <cell r="D456" t="str">
            <v>Sitzeinheit</v>
          </cell>
          <cell r="E456" t="str">
            <v>Siège</v>
          </cell>
          <cell r="F456" t="str">
            <v>Siedzisko z tapicerką, budką i pałąkiem</v>
          </cell>
        </row>
        <row r="457">
          <cell r="A457">
            <v>2000012140</v>
          </cell>
          <cell r="B457" t="str">
            <v>BRITAX GO</v>
          </cell>
          <cell r="C457" t="str">
            <v>SEAT UNIT</v>
          </cell>
          <cell r="D457" t="str">
            <v>Sitzeinheit</v>
          </cell>
          <cell r="E457" t="str">
            <v>Siège</v>
          </cell>
          <cell r="F457" t="str">
            <v>Siedzisko z tapicerką, budką i pałąkiem</v>
          </cell>
        </row>
        <row r="458">
          <cell r="A458">
            <v>2000012141</v>
          </cell>
          <cell r="B458" t="str">
            <v>BRITAX GO</v>
          </cell>
          <cell r="C458" t="str">
            <v>SEAT UNIT</v>
          </cell>
          <cell r="D458" t="str">
            <v>Sitzeinheit</v>
          </cell>
          <cell r="E458" t="str">
            <v>Siège</v>
          </cell>
          <cell r="F458" t="str">
            <v>Siedzisko z tapicerką, budką i pałąkiem</v>
          </cell>
        </row>
        <row r="459">
          <cell r="A459">
            <v>2000012142</v>
          </cell>
          <cell r="B459" t="str">
            <v>BRITAX GO</v>
          </cell>
          <cell r="C459" t="str">
            <v>SEAT UNIT</v>
          </cell>
          <cell r="D459" t="str">
            <v>Sitzeinheit</v>
          </cell>
          <cell r="E459" t="str">
            <v>Siège</v>
          </cell>
          <cell r="F459" t="str">
            <v>Siedzisko z tapicerką, budką i pałąkiem</v>
          </cell>
        </row>
        <row r="460">
          <cell r="A460">
            <v>2000012143</v>
          </cell>
          <cell r="B460" t="str">
            <v>BRITAX GO</v>
          </cell>
          <cell r="C460" t="str">
            <v>SEAT UNIT</v>
          </cell>
          <cell r="D460" t="str">
            <v>Sitzeinheit</v>
          </cell>
          <cell r="E460" t="str">
            <v>Siège</v>
          </cell>
          <cell r="F460" t="str">
            <v>Siedzisko z tapicerką, budką i pałąkiem</v>
          </cell>
        </row>
        <row r="461">
          <cell r="A461">
            <v>2000012144</v>
          </cell>
          <cell r="B461" t="str">
            <v>BRITAX GO</v>
          </cell>
          <cell r="C461" t="str">
            <v>SEAT UNIT</v>
          </cell>
          <cell r="D461" t="str">
            <v>Sitzeinheit</v>
          </cell>
          <cell r="E461" t="str">
            <v>Siège</v>
          </cell>
          <cell r="F461" t="str">
            <v>Siedzisko z tapicerką, budką i pałąkiem</v>
          </cell>
        </row>
        <row r="462">
          <cell r="A462">
            <v>2000026690</v>
          </cell>
          <cell r="B462" t="str">
            <v>BRITAX GO</v>
          </cell>
          <cell r="C462" t="str">
            <v>SEAT UNIT</v>
          </cell>
          <cell r="D462" t="str">
            <v>Sitzeinheit</v>
          </cell>
          <cell r="E462" t="str">
            <v>Siège</v>
          </cell>
          <cell r="F462" t="str">
            <v>Siedzisko z tapicerką, budką i pałąkiem</v>
          </cell>
        </row>
        <row r="463">
          <cell r="A463">
            <v>2000012145</v>
          </cell>
          <cell r="B463" t="str">
            <v>BRITAX GO</v>
          </cell>
          <cell r="C463" t="str">
            <v>SEAT UNIT</v>
          </cell>
          <cell r="D463" t="str">
            <v>Sitzeinheit</v>
          </cell>
          <cell r="E463" t="str">
            <v>Siège</v>
          </cell>
          <cell r="F463" t="str">
            <v>Siedzisko z tapicerką, budką i pałąkiem</v>
          </cell>
        </row>
        <row r="464">
          <cell r="A464">
            <v>2000012150</v>
          </cell>
          <cell r="B464" t="str">
            <v>BRITAX GO NEXT</v>
          </cell>
          <cell r="C464" t="str">
            <v xml:space="preserve">SEAT UNIT </v>
          </cell>
          <cell r="D464" t="str">
            <v>Sitzeinheit</v>
          </cell>
          <cell r="E464" t="str">
            <v>Siège</v>
          </cell>
          <cell r="F464" t="str">
            <v>Siedzisko z tapicerką, budką i pałąkiem</v>
          </cell>
        </row>
        <row r="465">
          <cell r="A465">
            <v>2000012152</v>
          </cell>
          <cell r="B465" t="str">
            <v>BRITAX GO NEXT</v>
          </cell>
          <cell r="C465" t="str">
            <v xml:space="preserve">SEAT UNIT </v>
          </cell>
          <cell r="D465" t="str">
            <v>Sitzeinheit</v>
          </cell>
          <cell r="E465" t="str">
            <v>Siège</v>
          </cell>
          <cell r="F465" t="str">
            <v>Siedzisko z tapicerką, budką i pałąkiem</v>
          </cell>
        </row>
        <row r="466">
          <cell r="A466">
            <v>2000021729</v>
          </cell>
          <cell r="B466" t="str">
            <v>BRITAX GO NEXT</v>
          </cell>
          <cell r="C466" t="str">
            <v xml:space="preserve">SEAT UNIT </v>
          </cell>
          <cell r="D466" t="str">
            <v>Sitzeinheit</v>
          </cell>
          <cell r="E466" t="str">
            <v>Siège</v>
          </cell>
          <cell r="F466" t="str">
            <v>Siedzisko z tapicerką, budką i pałąkiem</v>
          </cell>
        </row>
        <row r="467">
          <cell r="A467">
            <v>2000021730</v>
          </cell>
          <cell r="B467" t="str">
            <v>BRITAX GO NEXT</v>
          </cell>
          <cell r="C467" t="str">
            <v xml:space="preserve">SEAT UNIT </v>
          </cell>
          <cell r="D467" t="str">
            <v>Sitzeinheit</v>
          </cell>
          <cell r="E467" t="str">
            <v>Siège</v>
          </cell>
          <cell r="F467" t="str">
            <v>Siedzisko z tapicerką, budką i pałąkiem</v>
          </cell>
        </row>
        <row r="468">
          <cell r="A468">
            <v>2000023205</v>
          </cell>
          <cell r="B468" t="str">
            <v>BRITAX GO NEXT</v>
          </cell>
          <cell r="C468" t="str">
            <v xml:space="preserve">SEAT UNIT </v>
          </cell>
          <cell r="D468" t="str">
            <v>Sitzeinheit</v>
          </cell>
          <cell r="E468" t="str">
            <v>Siège</v>
          </cell>
          <cell r="F468" t="str">
            <v>Siedzisko z tapicerką, budką i pałąkiem</v>
          </cell>
        </row>
        <row r="469">
          <cell r="A469">
            <v>2000023206</v>
          </cell>
          <cell r="B469" t="str">
            <v>BRITAX GO NEXT</v>
          </cell>
          <cell r="C469" t="str">
            <v xml:space="preserve">SEAT UNIT </v>
          </cell>
          <cell r="D469" t="str">
            <v>Sitzeinheit</v>
          </cell>
          <cell r="E469" t="str">
            <v>Siège</v>
          </cell>
          <cell r="F469" t="str">
            <v>Siedzisko z tapicerką, budką i pałąkiem</v>
          </cell>
        </row>
        <row r="470">
          <cell r="A470">
            <v>2000029521</v>
          </cell>
          <cell r="B470" t="str">
            <v>BRITAX GO NEXT</v>
          </cell>
          <cell r="C470" t="str">
            <v xml:space="preserve">SEAT UNIT </v>
          </cell>
          <cell r="D470" t="str">
            <v>Sitzeinheit</v>
          </cell>
          <cell r="E470" t="str">
            <v>Siège</v>
          </cell>
          <cell r="F470" t="str">
            <v>Siedzisko z tapicerką, budką i pałąkiem</v>
          </cell>
        </row>
        <row r="471">
          <cell r="A471">
            <v>2000026693</v>
          </cell>
          <cell r="B471" t="str">
            <v>BRITAX GO NEXT</v>
          </cell>
          <cell r="C471" t="str">
            <v xml:space="preserve">SEAT UNIT </v>
          </cell>
          <cell r="D471" t="str">
            <v>Sitzeinheit</v>
          </cell>
          <cell r="E471" t="str">
            <v>Siège</v>
          </cell>
          <cell r="F471" t="str">
            <v>Siedzisko z tapicerką, budką i pałąkiem</v>
          </cell>
        </row>
        <row r="472">
          <cell r="A472">
            <v>2000029522</v>
          </cell>
          <cell r="B472" t="str">
            <v>BRITAX GO NEXT</v>
          </cell>
          <cell r="C472" t="str">
            <v xml:space="preserve">SEAT UNIT </v>
          </cell>
          <cell r="D472" t="str">
            <v>Sitzeinheit</v>
          </cell>
          <cell r="E472" t="str">
            <v>Siège</v>
          </cell>
          <cell r="F472" t="str">
            <v>Siedzisko z tapicerką, budką i pałąkiem</v>
          </cell>
        </row>
        <row r="473">
          <cell r="A473">
            <v>2000026694</v>
          </cell>
          <cell r="B473" t="str">
            <v>BRITAX GO NEXT</v>
          </cell>
          <cell r="C473" t="str">
            <v xml:space="preserve">SEAT UNIT </v>
          </cell>
          <cell r="D473" t="str">
            <v>Sitzeinheit</v>
          </cell>
          <cell r="E473" t="str">
            <v>Siège</v>
          </cell>
          <cell r="F473" t="str">
            <v>Siedzisko z tapicerką, budką i pałąkiem</v>
          </cell>
        </row>
        <row r="474">
          <cell r="A474">
            <v>2000029358</v>
          </cell>
          <cell r="B474" t="str">
            <v>BRITAX GO NEXT</v>
          </cell>
          <cell r="C474" t="str">
            <v xml:space="preserve">SEAT UNIT </v>
          </cell>
          <cell r="D474" t="str">
            <v>Sitzeinheit</v>
          </cell>
          <cell r="E474" t="str">
            <v>Siège</v>
          </cell>
          <cell r="F474" t="str">
            <v>Siedzisko z tapicerką, budką i pałąkiem</v>
          </cell>
        </row>
        <row r="475">
          <cell r="A475">
            <v>2000025127</v>
          </cell>
          <cell r="B475" t="str">
            <v>BRITAX GO BIG</v>
          </cell>
          <cell r="C475" t="str">
            <v xml:space="preserve">SEAT UNIT </v>
          </cell>
          <cell r="D475" t="str">
            <v>Sitzeinheit</v>
          </cell>
          <cell r="E475" t="str">
            <v>Siège</v>
          </cell>
          <cell r="F475" t="str">
            <v>Siedzisko z tapicerką, budką i pałąkiem</v>
          </cell>
        </row>
        <row r="476">
          <cell r="A476">
            <v>2000025128</v>
          </cell>
          <cell r="B476" t="str">
            <v>BRITAX GO BIG</v>
          </cell>
          <cell r="C476" t="str">
            <v xml:space="preserve">SEAT UNIT </v>
          </cell>
          <cell r="D476" t="str">
            <v>Sitzeinheit</v>
          </cell>
          <cell r="E476" t="str">
            <v>Siège</v>
          </cell>
          <cell r="F476" t="str">
            <v>Siedzisko z tapicerką, budką i pałąkiem</v>
          </cell>
        </row>
        <row r="477">
          <cell r="A477">
            <v>2000025129</v>
          </cell>
          <cell r="B477" t="str">
            <v>BRITAX GO BIG</v>
          </cell>
          <cell r="C477" t="str">
            <v xml:space="preserve">SEAT UNIT </v>
          </cell>
          <cell r="D477" t="str">
            <v>Sitzeinheit</v>
          </cell>
          <cell r="E477" t="str">
            <v>Siège</v>
          </cell>
          <cell r="F477" t="str">
            <v>Siedzisko z tapicerką, budką i pałąkiem</v>
          </cell>
        </row>
        <row r="478">
          <cell r="A478">
            <v>2000025130</v>
          </cell>
          <cell r="B478" t="str">
            <v>BRITAX GO BIG</v>
          </cell>
          <cell r="C478" t="str">
            <v xml:space="preserve">SEAT UNIT </v>
          </cell>
          <cell r="D478" t="str">
            <v>Sitzeinheit</v>
          </cell>
          <cell r="E478" t="str">
            <v>Siège</v>
          </cell>
          <cell r="F478" t="str">
            <v>Siedzisko z tapicerką, budką i pałąkiem</v>
          </cell>
        </row>
        <row r="479">
          <cell r="A479">
            <v>2000025131</v>
          </cell>
          <cell r="B479" t="str">
            <v>BRITAX GO BIG</v>
          </cell>
          <cell r="C479" t="str">
            <v xml:space="preserve">SEAT UNIT </v>
          </cell>
          <cell r="D479" t="str">
            <v>Sitzeinheit</v>
          </cell>
          <cell r="E479" t="str">
            <v>Siège</v>
          </cell>
          <cell r="F479" t="str">
            <v>Siedzisko z tapicerką, budką i pałąkiem</v>
          </cell>
        </row>
        <row r="480">
          <cell r="A480">
            <v>2000026688</v>
          </cell>
          <cell r="B480" t="str">
            <v>BRITAX GO BIG</v>
          </cell>
          <cell r="C480" t="str">
            <v xml:space="preserve">SEAT UNIT </v>
          </cell>
          <cell r="D480" t="str">
            <v>Sitzeinheit</v>
          </cell>
          <cell r="E480" t="str">
            <v>Siège</v>
          </cell>
          <cell r="F480" t="str">
            <v>Siedzisko z tapicerką, budką i pałąkiem</v>
          </cell>
        </row>
        <row r="481">
          <cell r="A481">
            <v>2000029523</v>
          </cell>
          <cell r="B481" t="str">
            <v>BRITAX GO BIG</v>
          </cell>
          <cell r="C481" t="str">
            <v xml:space="preserve">SEAT UNIT </v>
          </cell>
          <cell r="D481" t="str">
            <v>Sitzeinheit</v>
          </cell>
          <cell r="E481" t="str">
            <v>Siège</v>
          </cell>
          <cell r="F481" t="str">
            <v>Siedzisko z tapicerką, budką i pałąkiem</v>
          </cell>
        </row>
        <row r="482">
          <cell r="A482">
            <v>2000029359</v>
          </cell>
          <cell r="B482" t="str">
            <v>BRITAX GO BIG</v>
          </cell>
          <cell r="C482" t="str">
            <v xml:space="preserve">SEAT UNIT </v>
          </cell>
          <cell r="D482" t="str">
            <v>Sitzeinheit</v>
          </cell>
          <cell r="E482" t="str">
            <v>Siège</v>
          </cell>
          <cell r="F482" t="str">
            <v>Siedzisko z tapicerką, budką i pałąkiem</v>
          </cell>
        </row>
        <row r="483">
          <cell r="A483">
            <v>2000029525</v>
          </cell>
          <cell r="B483" t="str">
            <v>BRITAX GO BIG</v>
          </cell>
          <cell r="C483" t="str">
            <v xml:space="preserve">SEAT UNIT </v>
          </cell>
          <cell r="D483" t="str">
            <v>Sitzeinheit</v>
          </cell>
          <cell r="E483" t="str">
            <v>Siège</v>
          </cell>
          <cell r="F483" t="str">
            <v>Siedzisko z tapicerką, budką i pałąkiem</v>
          </cell>
        </row>
        <row r="484">
          <cell r="A484">
            <v>2000026689</v>
          </cell>
          <cell r="B484" t="str">
            <v>BRITAX GO BIG</v>
          </cell>
          <cell r="C484" t="str">
            <v xml:space="preserve">SEAT UNIT </v>
          </cell>
          <cell r="D484" t="str">
            <v>Sitzeinheit</v>
          </cell>
          <cell r="E484" t="str">
            <v>Siège</v>
          </cell>
          <cell r="F484" t="str">
            <v>Siedzisko z tapicerką, budką i pałąkiem</v>
          </cell>
        </row>
        <row r="485">
          <cell r="A485">
            <v>2000029524</v>
          </cell>
          <cell r="B485" t="str">
            <v>BRITAX GO BIG</v>
          </cell>
          <cell r="C485" t="str">
            <v xml:space="preserve">SEAT UNIT </v>
          </cell>
          <cell r="D485" t="str">
            <v>Sitzeinheit</v>
          </cell>
          <cell r="E485" t="str">
            <v>Siège</v>
          </cell>
          <cell r="F485" t="str">
            <v>Siedzisko z tapicerką, budką i pałąkiem</v>
          </cell>
        </row>
        <row r="486">
          <cell r="A486">
            <v>2000029378</v>
          </cell>
          <cell r="B486" t="str">
            <v>BRITAX GO NEXT</v>
          </cell>
          <cell r="C486" t="str">
            <v>SEAT UNIT CANOPY</v>
          </cell>
          <cell r="D486" t="str">
            <v>Verdeck</v>
          </cell>
          <cell r="E486" t="str">
            <v>Canopy siège</v>
          </cell>
          <cell r="F486" t="str">
            <v>Budka</v>
          </cell>
        </row>
        <row r="487">
          <cell r="A487">
            <v>2000029377</v>
          </cell>
          <cell r="B487" t="str">
            <v>BRITAX GO NEXT</v>
          </cell>
          <cell r="C487" t="str">
            <v>SEAT UNIT CANOPY</v>
          </cell>
          <cell r="D487" t="str">
            <v>Verdeck</v>
          </cell>
          <cell r="E487" t="str">
            <v>Canopy siège</v>
          </cell>
          <cell r="F487" t="str">
            <v>Budka</v>
          </cell>
        </row>
        <row r="488">
          <cell r="A488">
            <v>2000029379</v>
          </cell>
          <cell r="B488" t="str">
            <v>BRITAX GO NEXT</v>
          </cell>
          <cell r="C488" t="str">
            <v>SEAT UNIT CANOPY</v>
          </cell>
          <cell r="D488" t="str">
            <v>Verdeck</v>
          </cell>
          <cell r="E488" t="str">
            <v>Canopy siège</v>
          </cell>
          <cell r="F488" t="str">
            <v>Budka</v>
          </cell>
        </row>
        <row r="489">
          <cell r="A489">
            <v>2000025139</v>
          </cell>
          <cell r="B489" t="str">
            <v>BRITAX GO BIG</v>
          </cell>
          <cell r="C489" t="str">
            <v>SEAT UNIT CANOPY</v>
          </cell>
          <cell r="D489" t="str">
            <v>Verdeck</v>
          </cell>
          <cell r="E489" t="str">
            <v>Canopy siège</v>
          </cell>
          <cell r="F489" t="str">
            <v>Budka</v>
          </cell>
        </row>
        <row r="490">
          <cell r="A490">
            <v>2000025140</v>
          </cell>
          <cell r="B490" t="str">
            <v>BRITAX GO BIG</v>
          </cell>
          <cell r="C490" t="str">
            <v>SEAT UNIT CANOPY</v>
          </cell>
          <cell r="D490" t="str">
            <v>Verdeck</v>
          </cell>
          <cell r="E490" t="str">
            <v>Canopy siège</v>
          </cell>
          <cell r="F490" t="str">
            <v>Budka</v>
          </cell>
        </row>
        <row r="491">
          <cell r="A491">
            <v>2000025141</v>
          </cell>
          <cell r="B491" t="str">
            <v>BRITAX GO BIG</v>
          </cell>
          <cell r="C491" t="str">
            <v>SEAT UNIT CANOPY</v>
          </cell>
          <cell r="D491" t="str">
            <v>Verdeck</v>
          </cell>
          <cell r="E491" t="str">
            <v>Canopy siège</v>
          </cell>
          <cell r="F491" t="str">
            <v>Budka</v>
          </cell>
        </row>
        <row r="492">
          <cell r="A492">
            <v>2000025142</v>
          </cell>
          <cell r="B492" t="str">
            <v>BRITAX GO BIG</v>
          </cell>
          <cell r="C492" t="str">
            <v>SEAT UNIT CANOPY</v>
          </cell>
          <cell r="D492" t="str">
            <v>Verdeck</v>
          </cell>
          <cell r="E492" t="str">
            <v>Canopy siège</v>
          </cell>
          <cell r="F492" t="str">
            <v>Budka</v>
          </cell>
        </row>
        <row r="493">
          <cell r="A493">
            <v>2000025143</v>
          </cell>
          <cell r="B493" t="str">
            <v>BRITAX GO BIG</v>
          </cell>
          <cell r="C493" t="str">
            <v>SEAT UNIT CANOPY</v>
          </cell>
          <cell r="D493" t="str">
            <v>Verdeck</v>
          </cell>
          <cell r="E493" t="str">
            <v>Canopy siège</v>
          </cell>
          <cell r="F493" t="str">
            <v>Budka</v>
          </cell>
        </row>
        <row r="494">
          <cell r="A494">
            <v>2000026692</v>
          </cell>
          <cell r="B494" t="str">
            <v>BRITAX GO BIG</v>
          </cell>
          <cell r="C494" t="str">
            <v>SEAT UNIT CANOPY</v>
          </cell>
          <cell r="D494" t="str">
            <v>Verdeck</v>
          </cell>
          <cell r="E494" t="str">
            <v>Canopy siège</v>
          </cell>
          <cell r="F494" t="str">
            <v>Budka</v>
          </cell>
        </row>
        <row r="495">
          <cell r="A495">
            <v>2000029375</v>
          </cell>
          <cell r="B495" t="str">
            <v>BRITAX GO BIG</v>
          </cell>
          <cell r="C495" t="str">
            <v>SEAT UNIT CANOPY</v>
          </cell>
          <cell r="D495" t="str">
            <v>Verdeck</v>
          </cell>
          <cell r="E495" t="str">
            <v>Canopy siège</v>
          </cell>
          <cell r="F495" t="str">
            <v>Budka</v>
          </cell>
        </row>
        <row r="496">
          <cell r="A496">
            <v>2000029374</v>
          </cell>
          <cell r="B496" t="str">
            <v>BRITAX GO BIG</v>
          </cell>
          <cell r="C496" t="str">
            <v>SEAT UNIT CANOPY</v>
          </cell>
          <cell r="D496" t="str">
            <v>Verdeck</v>
          </cell>
          <cell r="E496" t="str">
            <v>Canopy siège</v>
          </cell>
          <cell r="F496" t="str">
            <v>Budka</v>
          </cell>
        </row>
        <row r="497">
          <cell r="A497">
            <v>2000029376</v>
          </cell>
          <cell r="B497" t="str">
            <v>BRITAX GO BIG</v>
          </cell>
          <cell r="C497" t="str">
            <v>SEAT UNIT CANOPY</v>
          </cell>
          <cell r="D497" t="str">
            <v>Verdeck</v>
          </cell>
          <cell r="E497" t="str">
            <v>Canopy siège</v>
          </cell>
          <cell r="F497" t="str">
            <v>Budka</v>
          </cell>
        </row>
        <row r="498">
          <cell r="A498">
            <v>2000026691</v>
          </cell>
          <cell r="B498" t="str">
            <v>BRITAX GO BIG</v>
          </cell>
          <cell r="C498" t="str">
            <v>SEAT UNIT CANOPY</v>
          </cell>
          <cell r="D498" t="str">
            <v>Verdeck</v>
          </cell>
          <cell r="E498" t="str">
            <v>Canopy siège</v>
          </cell>
          <cell r="F498" t="str">
            <v>Budka</v>
          </cell>
        </row>
        <row r="499">
          <cell r="A499">
            <v>2000025324</v>
          </cell>
          <cell r="B499" t="str">
            <v>BRITAX AFFINITY 2</v>
          </cell>
          <cell r="C499" t="str">
            <v>SEAT UNIT COMPLETE WITH FABRICS</v>
          </cell>
          <cell r="D499" t="str">
            <v>Sitzeinheit</v>
          </cell>
          <cell r="E499" t="str">
            <v>Siège complet avec tissu</v>
          </cell>
          <cell r="F499" t="str">
            <v>Siedzisko Britax w zestawie z tapicerką</v>
          </cell>
        </row>
        <row r="500">
          <cell r="A500">
            <v>2000025325</v>
          </cell>
          <cell r="B500" t="str">
            <v>BRITAX AFFINITY 2</v>
          </cell>
          <cell r="C500" t="str">
            <v>SEAT UNIT COMPLETE WITH FABRICS</v>
          </cell>
          <cell r="D500" t="str">
            <v>Sitzeinheit</v>
          </cell>
          <cell r="E500" t="str">
            <v>Siège complet avec tissu</v>
          </cell>
          <cell r="F500" t="str">
            <v>Siedzisko Britax w zestawie z tapicerką</v>
          </cell>
        </row>
        <row r="501">
          <cell r="A501">
            <v>2000025326</v>
          </cell>
          <cell r="B501" t="str">
            <v>BRITAX AFFINITY 2</v>
          </cell>
          <cell r="C501" t="str">
            <v>SEAT UNIT COMPLETE WITH FABRICS</v>
          </cell>
          <cell r="D501" t="str">
            <v>Sitzeinheit</v>
          </cell>
          <cell r="E501" t="str">
            <v>Siège complet avec tissu</v>
          </cell>
          <cell r="F501" t="str">
            <v>Siedzisko Britax w zestawie z tapicerką</v>
          </cell>
        </row>
        <row r="502">
          <cell r="A502">
            <v>2000025327</v>
          </cell>
          <cell r="B502" t="e">
            <v>#N/A</v>
          </cell>
          <cell r="C502" t="str">
            <v>SEAT UNIT COMPLETE WITH FABRICS FR</v>
          </cell>
          <cell r="D502" t="str">
            <v>Sitzeinheit</v>
          </cell>
          <cell r="E502" t="str">
            <v>Siège complet avec tissu FR</v>
          </cell>
          <cell r="F502" t="str">
            <v>Siedzisko Britax w zestawie z tapicerką</v>
          </cell>
        </row>
        <row r="503">
          <cell r="A503">
            <v>2000025329</v>
          </cell>
          <cell r="B503" t="e">
            <v>#N/A</v>
          </cell>
          <cell r="C503" t="str">
            <v>SEAT UNIT COMPLETE WITH FABRICS FR</v>
          </cell>
          <cell r="D503" t="str">
            <v>Sitzeinheit</v>
          </cell>
          <cell r="E503" t="str">
            <v>Siège complet avec tissu FR</v>
          </cell>
          <cell r="F503" t="str">
            <v>Siedzisko Britax w zestawie z tapicerką</v>
          </cell>
        </row>
        <row r="504">
          <cell r="A504">
            <v>2000025047</v>
          </cell>
          <cell r="B504" t="str">
            <v>BRITAX SMILE 2</v>
          </cell>
          <cell r="C504" t="str">
            <v>SEAT UNIT FABRIC INCL. HARNESS AND BUMPER BAR COVER</v>
          </cell>
          <cell r="D504" t="str">
            <v>Sitzeinheit mit Gurt und Spielbügelbezug</v>
          </cell>
          <cell r="E504" t="str">
            <v>Tissu siège avec harnais et housse pour la main courante</v>
          </cell>
          <cell r="F504" t="str">
            <v xml:space="preserve">Siedzisko Britax z pasami i pokrowcem pałąka </v>
          </cell>
        </row>
        <row r="505">
          <cell r="A505">
            <v>2000025048</v>
          </cell>
          <cell r="B505" t="str">
            <v>BRITAX SMILE 2</v>
          </cell>
          <cell r="C505" t="str">
            <v>SEAT UNIT FABRIC INCL. HARNESS AND BUMPER BAR COVER</v>
          </cell>
          <cell r="D505" t="str">
            <v>Sitzeinheit mit Gurt und Spielbügelbezug</v>
          </cell>
          <cell r="E505" t="str">
            <v>Tissu siège avec harnais et housse pour la main courante</v>
          </cell>
          <cell r="F505" t="str">
            <v xml:space="preserve">Siedzisko Britax z pasami i pokrowcem pałąka </v>
          </cell>
        </row>
        <row r="506">
          <cell r="A506">
            <v>2000025049</v>
          </cell>
          <cell r="B506" t="str">
            <v>BRITAX SMILE 2</v>
          </cell>
          <cell r="C506" t="str">
            <v>SEAT UNIT FABRIC INCL. HARNESS AND BUMPER BAR COVER</v>
          </cell>
          <cell r="D506" t="str">
            <v>Sitzeinheit mit Gurt und Spielbügelbezug</v>
          </cell>
          <cell r="E506" t="str">
            <v>Tissu siège avec harnais et housse pour la main courante</v>
          </cell>
          <cell r="F506" t="str">
            <v xml:space="preserve">Siedzisko Britax z pasami i pokrowcem pałąka </v>
          </cell>
        </row>
        <row r="507">
          <cell r="A507">
            <v>2000025050</v>
          </cell>
          <cell r="B507" t="str">
            <v>BRITAX SMILE 2</v>
          </cell>
          <cell r="C507" t="str">
            <v>SEAT UNIT FABRIC INCL. HARNESS AND BUMPER BAR COVER</v>
          </cell>
          <cell r="D507" t="str">
            <v>Sitzeinheit mit Gurt und Spielbügelbezug</v>
          </cell>
          <cell r="E507" t="str">
            <v>Tissu siège avec harnais et housse pour la main courante</v>
          </cell>
          <cell r="F507" t="str">
            <v xml:space="preserve">Siedzisko Britax z pasami i pokrowcem pałąka </v>
          </cell>
        </row>
        <row r="508">
          <cell r="A508">
            <v>2000025051</v>
          </cell>
          <cell r="B508" t="str">
            <v>BRITAX SMILE 2</v>
          </cell>
          <cell r="C508" t="str">
            <v>SEAT UNIT FABRIC INCL. HARNESS AND BUMPER BAR COVER</v>
          </cell>
          <cell r="D508" t="str">
            <v>Sitzeinheit mit Gurt und Spielbügelbezug</v>
          </cell>
          <cell r="E508" t="str">
            <v>Tissu siège avec harnais et housse pour la main courante</v>
          </cell>
          <cell r="F508" t="str">
            <v xml:space="preserve">Siedzisko Britax z pasami i pokrowcem pałąka </v>
          </cell>
        </row>
        <row r="509">
          <cell r="A509">
            <v>2000025052</v>
          </cell>
          <cell r="B509" t="str">
            <v>BRITAX SMILE 2</v>
          </cell>
          <cell r="C509" t="str">
            <v>SEAT UNIT FABRIC INCL. HARNESS AND BUMPER BAR COVER</v>
          </cell>
          <cell r="D509" t="str">
            <v>Sitzeinheit mit Gurt und Spielbügelbezug</v>
          </cell>
          <cell r="E509" t="str">
            <v>Tissu siège avec harnais et housse pour la main courante</v>
          </cell>
          <cell r="F509" t="str">
            <v xml:space="preserve">Siedzisko Britax z pasami i pokrowcem pałąka </v>
          </cell>
        </row>
        <row r="510">
          <cell r="A510">
            <v>2000025053</v>
          </cell>
          <cell r="B510" t="str">
            <v>BRITAX SMILE 2</v>
          </cell>
          <cell r="C510" t="str">
            <v>SEAT UNIT FABRIC INCL. HARNESS AND BUMPER BAR COVER</v>
          </cell>
          <cell r="D510" t="str">
            <v>Sitzeinheit mit Gurt und Spielbügelbezug</v>
          </cell>
          <cell r="E510" t="str">
            <v>Tissu siège avec harnais et housse pour la main courante</v>
          </cell>
          <cell r="F510" t="str">
            <v xml:space="preserve">Siedzisko Britax z pasami i pokrowcem pałąka </v>
          </cell>
        </row>
        <row r="511">
          <cell r="A511">
            <v>2000025054</v>
          </cell>
          <cell r="B511" t="str">
            <v>BRITAX SMILE 2</v>
          </cell>
          <cell r="C511" t="str">
            <v>SEAT UNIT FABRIC INCL. HARNESS AND BUMPER BAR COVER</v>
          </cell>
          <cell r="D511" t="str">
            <v>Sitzeinheit mit Gurt und Spielbügelbezug</v>
          </cell>
          <cell r="E511" t="str">
            <v>Tissu siège avec harnais et housse pour la main courante</v>
          </cell>
          <cell r="F511" t="str">
            <v xml:space="preserve">Siedzisko Britax z pasami i pokrowcem pałąka </v>
          </cell>
        </row>
        <row r="512">
          <cell r="A512">
            <v>2000026805</v>
          </cell>
          <cell r="B512" t="str">
            <v>BRITAX SMILE 2</v>
          </cell>
          <cell r="C512" t="str">
            <v>SEAT UNIT FABRIC INCL. HARNESS AND BUMPER BAR COVER</v>
          </cell>
          <cell r="D512" t="str">
            <v>Sitzeinheit mit Gurt und Spielbügelbezug</v>
          </cell>
          <cell r="E512" t="str">
            <v>Tissu siège avec harnais et housse pour la main courante</v>
          </cell>
          <cell r="F512" t="str">
            <v xml:space="preserve">Siedzisko Britax z pasami i pokrowcem pałąka </v>
          </cell>
        </row>
        <row r="513">
          <cell r="A513">
            <v>2000026806</v>
          </cell>
          <cell r="B513" t="str">
            <v>BRITAX SMILE 2</v>
          </cell>
          <cell r="C513" t="str">
            <v>SEAT UNIT FABRIC INCL. HARNESS AND BUMPER BAR COVER</v>
          </cell>
          <cell r="D513" t="str">
            <v>Sitzeinheit mit Gurt und Spielbügelbezug</v>
          </cell>
          <cell r="E513" t="str">
            <v>Tissu siège avec harnais et housse pour la main courante</v>
          </cell>
          <cell r="F513" t="str">
            <v xml:space="preserve">Siedzisko Britax z pasami i pokrowcem pałąka </v>
          </cell>
        </row>
        <row r="514">
          <cell r="A514">
            <v>2000026807</v>
          </cell>
          <cell r="B514" t="str">
            <v>BRITAX SMILE 2</v>
          </cell>
          <cell r="C514" t="str">
            <v>SEAT UNIT FABRIC INCL. HARNESS AND BUMPER BAR COVER</v>
          </cell>
          <cell r="D514" t="str">
            <v>Sitzeinheit mit Gurt und Spielbügelbezug</v>
          </cell>
          <cell r="E514" t="str">
            <v>Tissu siège avec harnais et housse pour la main courante</v>
          </cell>
          <cell r="F514" t="str">
            <v xml:space="preserve">Siedzisko Britax z pasami i pokrowcem pałąka </v>
          </cell>
        </row>
        <row r="515">
          <cell r="A515">
            <v>2000029261</v>
          </cell>
          <cell r="B515" t="str">
            <v>BRITAX SMILE 2</v>
          </cell>
          <cell r="C515" t="str">
            <v>SEAT UNIT FABRIC INCL. HARNESS AND BUMPER BAR COVER</v>
          </cell>
          <cell r="D515" t="str">
            <v>Sitzeinheit mit Gurt und Spielbügelbezug</v>
          </cell>
          <cell r="E515" t="str">
            <v>Tissu siège avec harnais et housse pour la main courante</v>
          </cell>
          <cell r="F515" t="str">
            <v xml:space="preserve">Siedzisko Britax z pasami i pokrowcem pałąka </v>
          </cell>
        </row>
        <row r="516">
          <cell r="A516">
            <v>2000029262</v>
          </cell>
          <cell r="B516" t="str">
            <v>BRITAX SMILE 2</v>
          </cell>
          <cell r="C516" t="str">
            <v>SEAT UNIT FABRIC INCL. HARNESS AND BUMPER BAR COVER</v>
          </cell>
          <cell r="D516" t="str">
            <v>Sitzeinheit mit Gurt und Spielbügelbezug</v>
          </cell>
          <cell r="E516" t="str">
            <v>Tissu siège avec harnais et housse pour la main courante</v>
          </cell>
          <cell r="F516" t="str">
            <v xml:space="preserve">Siedzisko Britax z pasami i pokrowcem pałąka </v>
          </cell>
        </row>
        <row r="517">
          <cell r="A517">
            <v>2000029263</v>
          </cell>
          <cell r="B517" t="str">
            <v>BRITAX SMILE 2</v>
          </cell>
          <cell r="C517" t="str">
            <v>SEAT UNIT FABRIC INCL. HARNESS AND BUMPER BAR COVER</v>
          </cell>
          <cell r="D517" t="str">
            <v>Sitzeinheit mit Gurt und Spielbügelbezug</v>
          </cell>
          <cell r="E517" t="str">
            <v>Tissu siège avec harnais et housse pour la main courante</v>
          </cell>
          <cell r="F517" t="str">
            <v xml:space="preserve">Siedzisko Britax z pasami i pokrowcem pałąka </v>
          </cell>
        </row>
        <row r="518">
          <cell r="A518">
            <v>2000012212</v>
          </cell>
          <cell r="B518" t="e">
            <v>#N/A</v>
          </cell>
          <cell r="C518" t="str">
            <v xml:space="preserve">SEAT UNIT FOOTREST ADJUSTER SET </v>
          </cell>
          <cell r="D518" t="str">
            <v xml:space="preserve">Sitzeinheit Beinauflage Reparatur Set </v>
          </cell>
          <cell r="E518" t="str">
            <v xml:space="preserve">MECANISME REPOSE-JAMBES </v>
          </cell>
          <cell r="F518" t="str">
            <v xml:space="preserve">Zestaw naprawczy przegubów podnóżka </v>
          </cell>
        </row>
        <row r="519">
          <cell r="A519">
            <v>2000025126</v>
          </cell>
          <cell r="B519" t="str">
            <v>BRITAX GO</v>
          </cell>
          <cell r="C519" t="str">
            <v xml:space="preserve">SEAT UNIT FOOTREST ADJUSTER SET </v>
          </cell>
          <cell r="D519" t="str">
            <v xml:space="preserve">Sitzeinheit Beinauflage Reparatur Set </v>
          </cell>
          <cell r="E519" t="str">
            <v xml:space="preserve">MÉCANISME REPOSE-JAMBES </v>
          </cell>
          <cell r="F519" t="str">
            <v xml:space="preserve">Zestaw naprawczy przegubów podnóżka </v>
          </cell>
        </row>
        <row r="520">
          <cell r="A520">
            <v>2000025496</v>
          </cell>
          <cell r="B520" t="e">
            <v>#N/A</v>
          </cell>
          <cell r="C520" t="str">
            <v>SEAT UNIT FR</v>
          </cell>
          <cell r="D520" t="str">
            <v>Sitzeinheit</v>
          </cell>
          <cell r="E520" t="str">
            <v>Siège FR</v>
          </cell>
          <cell r="F520" t="str">
            <v>Siedzisko FR</v>
          </cell>
        </row>
        <row r="521">
          <cell r="A521">
            <v>2000025497</v>
          </cell>
          <cell r="B521" t="e">
            <v>#N/A</v>
          </cell>
          <cell r="C521" t="str">
            <v>SEAT UNIT FR</v>
          </cell>
          <cell r="D521" t="str">
            <v>Sitzeinheit</v>
          </cell>
          <cell r="E521" t="str">
            <v>Siège FR</v>
          </cell>
          <cell r="F521" t="str">
            <v>Siedzisko FR</v>
          </cell>
        </row>
        <row r="522">
          <cell r="A522">
            <v>2000025498</v>
          </cell>
          <cell r="B522" t="e">
            <v>#N/A</v>
          </cell>
          <cell r="C522" t="str">
            <v>SEAT UNIT FR</v>
          </cell>
          <cell r="D522" t="str">
            <v>Sitzeinheit</v>
          </cell>
          <cell r="E522" t="str">
            <v>Siège FR</v>
          </cell>
          <cell r="F522" t="str">
            <v>Siedzisko FR</v>
          </cell>
        </row>
        <row r="523">
          <cell r="A523">
            <v>2000025499</v>
          </cell>
          <cell r="B523" t="e">
            <v>#N/A</v>
          </cell>
          <cell r="C523" t="str">
            <v>SEAT UNIT FR</v>
          </cell>
          <cell r="D523" t="str">
            <v>Sitzeinheit</v>
          </cell>
          <cell r="E523" t="str">
            <v>Siège FR</v>
          </cell>
          <cell r="F523" t="str">
            <v>Siedzisko FR</v>
          </cell>
        </row>
        <row r="524">
          <cell r="A524">
            <v>2000014618</v>
          </cell>
          <cell r="B524" t="e">
            <v>#N/A</v>
          </cell>
          <cell r="C524" t="str">
            <v>SEAT UNIT FR</v>
          </cell>
          <cell r="D524" t="str">
            <v>Sitzeinheit</v>
          </cell>
          <cell r="E524" t="str">
            <v>Siège FR</v>
          </cell>
          <cell r="F524" t="str">
            <v>Siedzisko FR</v>
          </cell>
        </row>
        <row r="525">
          <cell r="A525">
            <v>2000010319</v>
          </cell>
          <cell r="B525" t="e">
            <v>#N/A</v>
          </cell>
          <cell r="C525" t="str">
            <v>SEAT UNIT FR</v>
          </cell>
          <cell r="D525" t="str">
            <v>Sitzeinheit</v>
          </cell>
          <cell r="E525" t="str">
            <v>Siège FR</v>
          </cell>
          <cell r="F525" t="str">
            <v>Siedzisko FR</v>
          </cell>
        </row>
        <row r="526">
          <cell r="A526">
            <v>2000025034</v>
          </cell>
          <cell r="B526" t="str">
            <v>BRITAX SMILE 2</v>
          </cell>
          <cell r="C526" t="str">
            <v>SEAT UNIT FRAME</v>
          </cell>
          <cell r="D526" t="str">
            <v>Sitzeinheit Rahmen</v>
          </cell>
          <cell r="E526" t="str">
            <v>STRUCTURE siège</v>
          </cell>
          <cell r="F526" t="str">
            <v xml:space="preserve">Stelaż siedziska Britax bez pałączka </v>
          </cell>
        </row>
        <row r="527">
          <cell r="A527">
            <v>2000021655</v>
          </cell>
          <cell r="B527" t="str">
            <v>BRITAX SMILE</v>
          </cell>
          <cell r="C527" t="str">
            <v xml:space="preserve">SEAT UNIT FRAME </v>
          </cell>
          <cell r="D527" t="str">
            <v>Sitzeinheit Rahmen</v>
          </cell>
          <cell r="E527" t="str">
            <v>STRUCTURE siège</v>
          </cell>
          <cell r="F527" t="str">
            <v>Stelaż siedziska</v>
          </cell>
        </row>
        <row r="528">
          <cell r="A528">
            <v>2000021656</v>
          </cell>
          <cell r="B528" t="str">
            <v>BRITAX SMILE</v>
          </cell>
          <cell r="C528" t="str">
            <v xml:space="preserve">SEAT UNIT FRAME </v>
          </cell>
          <cell r="D528" t="str">
            <v>Sitzeinheit Rahmen</v>
          </cell>
          <cell r="E528" t="str">
            <v>STRUCTURE siège</v>
          </cell>
          <cell r="F528" t="str">
            <v>SMILE Stelaż siedziska</v>
          </cell>
        </row>
        <row r="529">
          <cell r="A529">
            <v>2000025114</v>
          </cell>
          <cell r="B529" t="str">
            <v>B-AGILE 3</v>
          </cell>
          <cell r="C529" t="str">
            <v>SEAT UNIT INCL. HARNESS</v>
          </cell>
          <cell r="D529" t="str">
            <v>Sitzeinheit inkl. Gurt</v>
          </cell>
          <cell r="E529" t="str">
            <v>Structure siège avec harnais</v>
          </cell>
          <cell r="F529" t="str">
            <v xml:space="preserve">Siedzisko z pasami </v>
          </cell>
        </row>
        <row r="530">
          <cell r="A530">
            <v>2000025116</v>
          </cell>
          <cell r="B530" t="str">
            <v>B-AGILE DOUBLE</v>
          </cell>
          <cell r="C530" t="str">
            <v>SEAT UNIT INCL. HARNESS</v>
          </cell>
          <cell r="D530" t="str">
            <v>Sitzeinheit inkl. Gurt</v>
          </cell>
          <cell r="E530" t="str">
            <v>Structure siège avec harnais</v>
          </cell>
          <cell r="F530" t="str">
            <v xml:space="preserve">Siedzisko z pasami </v>
          </cell>
        </row>
        <row r="531">
          <cell r="A531">
            <v>2000025115</v>
          </cell>
          <cell r="B531" t="str">
            <v>B-AGILE 4 PLUS</v>
          </cell>
          <cell r="C531" t="str">
            <v>SEAT UNIT INCL. HARNESS</v>
          </cell>
          <cell r="D531" t="str">
            <v>Sitzeinheit inkl. Gurt</v>
          </cell>
          <cell r="E531" t="str">
            <v>Structure siège avec harnais</v>
          </cell>
          <cell r="F531" t="str">
            <v xml:space="preserve">Siedzisko z pasami </v>
          </cell>
        </row>
        <row r="532">
          <cell r="A532">
            <v>2000025117</v>
          </cell>
          <cell r="B532" t="str">
            <v>B-MOTION 3</v>
          </cell>
          <cell r="C532" t="str">
            <v>SEAT UNIT INCL. HARNESS</v>
          </cell>
          <cell r="D532" t="str">
            <v>Sitzeinheit inkl. Gurt</v>
          </cell>
          <cell r="E532" t="str">
            <v>Structure siège avec harnais</v>
          </cell>
          <cell r="F532" t="str">
            <v xml:space="preserve">Siedzisko z pasami </v>
          </cell>
        </row>
        <row r="533">
          <cell r="A533">
            <v>2000025118</v>
          </cell>
          <cell r="B533" t="str">
            <v>B-MOTION 4</v>
          </cell>
          <cell r="C533" t="str">
            <v>SEAT UNIT INCL. HARNESS</v>
          </cell>
          <cell r="D533" t="str">
            <v>Sitzeinheit inkl. Gurt</v>
          </cell>
          <cell r="E533" t="str">
            <v>Structure siège avec harnais</v>
          </cell>
          <cell r="F533" t="str">
            <v xml:space="preserve">Siedzisko z pasami </v>
          </cell>
        </row>
        <row r="534">
          <cell r="A534">
            <v>2000025119</v>
          </cell>
          <cell r="B534" t="str">
            <v>B-MOTION 4 plus</v>
          </cell>
          <cell r="C534" t="str">
            <v>SEAT UNIT INCL. HARNESS</v>
          </cell>
          <cell r="D534" t="str">
            <v>Sitzeinheit inkl. Gurt</v>
          </cell>
          <cell r="E534" t="str">
            <v>Structure siège avec harnais</v>
          </cell>
          <cell r="F534" t="str">
            <v xml:space="preserve">Siedzisko z pasami </v>
          </cell>
        </row>
        <row r="535">
          <cell r="A535">
            <v>2000025120</v>
          </cell>
          <cell r="B535" t="e">
            <v>#N/A</v>
          </cell>
          <cell r="C535" t="str">
            <v xml:space="preserve">SEAT UNIT INCL. HARNESS </v>
          </cell>
          <cell r="D535" t="str">
            <v>Sitzeinheit inkl. Gurt</v>
          </cell>
          <cell r="E535" t="str">
            <v>Structure siège avec harnais</v>
          </cell>
          <cell r="F535" t="str">
            <v xml:space="preserve">Siedzisko z pasami </v>
          </cell>
        </row>
        <row r="536">
          <cell r="A536">
            <v>2000025122</v>
          </cell>
          <cell r="B536" t="e">
            <v>#N/A</v>
          </cell>
          <cell r="C536" t="str">
            <v xml:space="preserve">SEAT UNIT INCL. HARNESS </v>
          </cell>
          <cell r="D536" t="str">
            <v>Sitzeinheit inkl. Gurt</v>
          </cell>
          <cell r="E536" t="str">
            <v>Structure siège avec harnais</v>
          </cell>
          <cell r="F536" t="str">
            <v xml:space="preserve">Siedzisko z pasami </v>
          </cell>
        </row>
        <row r="537">
          <cell r="A537">
            <v>2000025123</v>
          </cell>
          <cell r="B537" t="e">
            <v>#N/A</v>
          </cell>
          <cell r="C537" t="str">
            <v>SEAT UNIT INCL. HARNESS  FR</v>
          </cell>
          <cell r="D537" t="str">
            <v>Sitzeinheit inkl. Gurt</v>
          </cell>
          <cell r="E537" t="str">
            <v>Structure siège avec harnais FR</v>
          </cell>
          <cell r="F537" t="str">
            <v xml:space="preserve">Siedzisko z pasami </v>
          </cell>
        </row>
        <row r="538">
          <cell r="A538">
            <v>2000025121</v>
          </cell>
          <cell r="B538" t="e">
            <v>#N/A</v>
          </cell>
          <cell r="C538" t="str">
            <v>SEAT UNIT INCL. HARNESS FR</v>
          </cell>
          <cell r="D538" t="str">
            <v>Sitzeinheit inkl. Gurt</v>
          </cell>
          <cell r="E538" t="str">
            <v>Structure siège avec harnais FR</v>
          </cell>
          <cell r="F538" t="str">
            <v xml:space="preserve">Siedzisko z pasami </v>
          </cell>
        </row>
        <row r="539">
          <cell r="A539">
            <v>2000021657</v>
          </cell>
          <cell r="B539" t="str">
            <v>BRITAX SMILE</v>
          </cell>
          <cell r="C539" t="str">
            <v xml:space="preserve">SEAT UNIT SOFT GOODS </v>
          </cell>
          <cell r="D539" t="str">
            <v>Sitzeinheit</v>
          </cell>
          <cell r="E539" t="str">
            <v>Tissu siège</v>
          </cell>
          <cell r="F539" t="str">
            <v>Siedzisko</v>
          </cell>
        </row>
        <row r="540">
          <cell r="A540">
            <v>2000021658</v>
          </cell>
          <cell r="B540" t="str">
            <v>BRITAX SMILE</v>
          </cell>
          <cell r="C540" t="str">
            <v xml:space="preserve">SEAT UNIT SOFT GOODS </v>
          </cell>
          <cell r="D540" t="str">
            <v>Sitzeinheit</v>
          </cell>
          <cell r="E540" t="str">
            <v>Tissu siège</v>
          </cell>
          <cell r="F540" t="str">
            <v>Siedzisko</v>
          </cell>
        </row>
        <row r="541">
          <cell r="A541">
            <v>2000021659</v>
          </cell>
          <cell r="B541" t="str">
            <v>BRITAX SMILE</v>
          </cell>
          <cell r="C541" t="str">
            <v xml:space="preserve">SEAT UNIT SOFT GOODS </v>
          </cell>
          <cell r="D541" t="str">
            <v>Sitzeinheit</v>
          </cell>
          <cell r="E541" t="str">
            <v>Tissu siège</v>
          </cell>
          <cell r="F541" t="str">
            <v>Siedzisko</v>
          </cell>
        </row>
        <row r="542">
          <cell r="A542">
            <v>2000021660</v>
          </cell>
          <cell r="B542" t="str">
            <v>BRITAX SMILE</v>
          </cell>
          <cell r="C542" t="str">
            <v xml:space="preserve">SEAT UNIT SOFT GOODS </v>
          </cell>
          <cell r="D542" t="str">
            <v>Sitzeinheit</v>
          </cell>
          <cell r="E542" t="str">
            <v>Tissu siège</v>
          </cell>
          <cell r="F542" t="str">
            <v>Siedzisko</v>
          </cell>
        </row>
        <row r="543">
          <cell r="A543">
            <v>2000021661</v>
          </cell>
          <cell r="B543" t="e">
            <v>#N/A</v>
          </cell>
          <cell r="C543" t="str">
            <v>SEAT UNIT SOFT GOODS FR</v>
          </cell>
          <cell r="D543" t="str">
            <v>Sitzeinheit</v>
          </cell>
          <cell r="E543" t="str">
            <v>Tissu siège FR</v>
          </cell>
          <cell r="F543" t="str">
            <v>Siedzisko</v>
          </cell>
        </row>
        <row r="544">
          <cell r="A544">
            <v>2000021662</v>
          </cell>
          <cell r="B544" t="e">
            <v>#N/A</v>
          </cell>
          <cell r="C544" t="str">
            <v>SEAT UNIT SOFT GOODS FR</v>
          </cell>
          <cell r="D544" t="str">
            <v>Sitzeinheit</v>
          </cell>
          <cell r="E544" t="str">
            <v>Tissu siège FR</v>
          </cell>
          <cell r="F544" t="str">
            <v>Siedzisko</v>
          </cell>
        </row>
        <row r="545">
          <cell r="A545">
            <v>2000021663</v>
          </cell>
          <cell r="B545" t="e">
            <v>#N/A</v>
          </cell>
          <cell r="C545" t="str">
            <v>SEAT UNIT SOFT GOODS FR</v>
          </cell>
          <cell r="D545" t="str">
            <v>Sitzeinheit</v>
          </cell>
          <cell r="E545" t="str">
            <v>Tissu siège FR</v>
          </cell>
          <cell r="F545" t="str">
            <v>Siedzisko</v>
          </cell>
        </row>
        <row r="546">
          <cell r="A546">
            <v>2000021664</v>
          </cell>
          <cell r="B546" t="e">
            <v>#N/A</v>
          </cell>
          <cell r="C546" t="str">
            <v>SEAT UNIT SOFT GOODS FR</v>
          </cell>
          <cell r="D546" t="str">
            <v>Sitzeinheit</v>
          </cell>
          <cell r="E546" t="str">
            <v>Tissu siège FR</v>
          </cell>
          <cell r="F546" t="str">
            <v>Siedzisko</v>
          </cell>
        </row>
        <row r="547">
          <cell r="A547">
            <v>2000010527</v>
          </cell>
          <cell r="B547" t="str">
            <v>MAX-WAY &amp; MAX-WAY BLACK SERIES</v>
          </cell>
          <cell r="C547" t="str">
            <v xml:space="preserve">SECURA FOAM WEDGE </v>
          </cell>
          <cell r="D547" t="str">
            <v>Neigungsadapter</v>
          </cell>
          <cell r="E547" t="str">
            <v>Câle d'inclinaison</v>
          </cell>
          <cell r="F547" t="str">
            <v xml:space="preserve">Podkładka regulująca nachylenie fotelika </v>
          </cell>
        </row>
        <row r="548">
          <cell r="A548">
            <v>2000024304</v>
          </cell>
          <cell r="B548" t="str">
            <v>ADVANSAFIX ll / ADVANSAFIX II SICT / ADVANSAFIX III SICT</v>
          </cell>
          <cell r="C548" t="str">
            <v xml:space="preserve">SECUREGUARD PAD </v>
          </cell>
          <cell r="D548" t="str">
            <v xml:space="preserve">Polster für SECUREGUARD </v>
          </cell>
          <cell r="E548" t="str">
            <v>COUSSINET SECUREGUARD</v>
          </cell>
          <cell r="F548" t="str">
            <v>Pokrowiec na SECUREGUARD</v>
          </cell>
        </row>
        <row r="549">
          <cell r="A549">
            <v>2000024425</v>
          </cell>
          <cell r="B549" t="str">
            <v>ADVANSAFIX ll / ADVANSAFIX II SICT / ADVANSAFIX III SICT</v>
          </cell>
          <cell r="C549" t="str">
            <v>SECUREGUARD WITHOUT PAD</v>
          </cell>
          <cell r="D549" t="str">
            <v>SECUREGUARD ohne Polster</v>
          </cell>
          <cell r="E549" t="str">
            <v>SECUREGUARD (SANS COUSSINET)</v>
          </cell>
          <cell r="F549" t="str">
            <v>SECUREGUARD bez pokrowca</v>
          </cell>
        </row>
        <row r="550">
          <cell r="A550">
            <v>2000010376</v>
          </cell>
          <cell r="B550" t="str">
            <v xml:space="preserve">KID XP </v>
          </cell>
          <cell r="C550" t="str">
            <v>SET DAMPING MATERIAL</v>
          </cell>
          <cell r="D550" t="str">
            <v>Dämpfungseinleger Set</v>
          </cell>
          <cell r="E550" t="str">
            <v>ÉLÉMENTS POLYSTYRÈNE</v>
          </cell>
          <cell r="F550" t="str">
            <v>KID XP Zestaw wkładek amortyzujących</v>
          </cell>
        </row>
        <row r="551">
          <cell r="A551">
            <v>2000025630</v>
          </cell>
          <cell r="B551" t="str">
            <v>BABY-SAFE i-SIZE</v>
          </cell>
          <cell r="C551" t="str">
            <v>SET FOAM INSERT SHOULDER</v>
          </cell>
          <cell r="D551" t="str">
            <v>Schaumeinleger Schulter</v>
          </cell>
          <cell r="E551" t="str">
            <v>SET FOAM INSERT SHOULDER</v>
          </cell>
          <cell r="F551" t="str">
            <v>Nakładki ochronne na pasy/ komplet</v>
          </cell>
        </row>
        <row r="552">
          <cell r="A552">
            <v>2000025768</v>
          </cell>
          <cell r="B552" t="str">
            <v>JOCKEY RELAX</v>
          </cell>
          <cell r="C552" t="str">
            <v xml:space="preserve">SET FOOT STRAP </v>
          </cell>
          <cell r="D552" t="str">
            <v>Fußriemen Set</v>
          </cell>
          <cell r="E552" t="str">
            <v>Lanières de pied (2 pièces)</v>
          </cell>
          <cell r="F552" t="str">
            <v>Paski ochronne na nóżki</v>
          </cell>
        </row>
        <row r="553">
          <cell r="A553">
            <v>2000027524</v>
          </cell>
          <cell r="B553" t="str">
            <v>DUALFIX i-SIZE</v>
          </cell>
          <cell r="C553" t="str">
            <v xml:space="preserve">IMPACT INSERT BACK SET </v>
          </cell>
          <cell r="D553" t="str">
            <v>Dämpfungseinleger Rückenteil Set</v>
          </cell>
          <cell r="E553" t="str">
            <v>ÉLÉMENTS POLYSTYRÈNE</v>
          </cell>
          <cell r="F553" t="str">
            <v>Zestaw wkładek amortyzujących</v>
          </cell>
        </row>
        <row r="554">
          <cell r="A554">
            <v>28071010</v>
          </cell>
          <cell r="B554" t="str">
            <v>JOCKEY RELAX</v>
          </cell>
          <cell r="C554" t="str">
            <v xml:space="preserve">SET INSERTS FOR MOUNTING BRACKET </v>
          </cell>
          <cell r="D554" t="str">
            <v>Adapter Zweithalterung</v>
          </cell>
          <cell r="E554" t="str">
            <v>INSERTS DE MONTAGE</v>
          </cell>
          <cell r="F554" t="str">
            <v>Adapter mocowania na ramę</v>
          </cell>
        </row>
        <row r="555">
          <cell r="A555">
            <v>2000025770</v>
          </cell>
          <cell r="B555" t="str">
            <v>JOCKEY RELAX</v>
          </cell>
          <cell r="C555" t="str">
            <v>SET SCREWS FOR CLAMPINGPLATE</v>
          </cell>
          <cell r="D555" t="str">
            <v>Set Schrauben für Klemmplatte</v>
          </cell>
          <cell r="E555" t="str">
            <v>SET de vis pour plaque de montage</v>
          </cell>
          <cell r="F555" t="str">
            <v>Komplet śrub do płytki mocującej</v>
          </cell>
        </row>
        <row r="556">
          <cell r="A556">
            <v>2000029338</v>
          </cell>
          <cell r="B556" t="str">
            <v>JOCKEY² / JOCKEY COMFORT</v>
          </cell>
          <cell r="C556" t="str">
            <v>SET SHOULDER PAD &amp; HARNESS 2-step (2018)</v>
          </cell>
          <cell r="D556" t="str">
            <v>Schulterpolster Set  und Gurtzeug 2-step (2018)</v>
          </cell>
          <cell r="E556" t="str">
            <v>Harnais et coussinets de poitrine 2-step (2018)</v>
          </cell>
          <cell r="F556" t="str">
            <v>Komplet pasów z nakładkami ochronnymi 2-step (2018)</v>
          </cell>
        </row>
        <row r="557">
          <cell r="A557">
            <v>2000029337</v>
          </cell>
          <cell r="B557" t="str">
            <v>JOCKEY RELAX</v>
          </cell>
          <cell r="C557" t="str">
            <v>SET SHOULDER PAD &amp; HARNESS 2-step (2018)</v>
          </cell>
          <cell r="D557" t="str">
            <v>Schulterpolster Set  und Gurtzeug 2-step (2018)</v>
          </cell>
          <cell r="E557" t="str">
            <v>Harnais et coussinets de poitrine 2-step (2018)</v>
          </cell>
          <cell r="F557" t="str">
            <v>Komplet pasów z nakładkami ochronnymi 2-step (2018)</v>
          </cell>
        </row>
        <row r="558">
          <cell r="A558">
            <v>2000010377</v>
          </cell>
          <cell r="B558" t="str">
            <v xml:space="preserve">KID XP </v>
          </cell>
          <cell r="C558" t="str">
            <v>SET XP-PAD</v>
          </cell>
          <cell r="D558" t="str">
            <v>XP-PAD Set</v>
          </cell>
          <cell r="E558" t="str">
            <v>XP-PAD</v>
          </cell>
          <cell r="F558" t="str">
            <v>Zestaw XP-PAD</v>
          </cell>
        </row>
        <row r="559">
          <cell r="A559">
            <v>2000025579</v>
          </cell>
          <cell r="B559" t="str">
            <v>BRITAX SMILE</v>
          </cell>
          <cell r="C559" t="str">
            <v>SHOULDER- AND WAIST STRAP SET</v>
          </cell>
          <cell r="D559" t="str">
            <v>Schulter- und Hüftgurt</v>
          </cell>
          <cell r="E559" t="str">
            <v>Sangles d'épaules et de hanches</v>
          </cell>
          <cell r="F559" t="str">
            <v>Zestaw pasów naramiennych i biodrowych</v>
          </cell>
        </row>
        <row r="560">
          <cell r="A560">
            <v>2000025460</v>
          </cell>
          <cell r="B560" t="str">
            <v>BRITAX SMILE 2</v>
          </cell>
          <cell r="C560" t="str">
            <v>SHOULDER- AND WAIST STRAP SET</v>
          </cell>
          <cell r="D560" t="str">
            <v>Schulter- und Hüftgurt</v>
          </cell>
          <cell r="E560" t="str">
            <v>Sangles d'épaules et de hanches</v>
          </cell>
          <cell r="F560" t="str">
            <v>Zestaw pasów naramiennych i biodrowych</v>
          </cell>
        </row>
        <row r="561">
          <cell r="A561">
            <v>2000025649</v>
          </cell>
          <cell r="B561" t="str">
            <v>BABY-SAFE i-SIZE</v>
          </cell>
          <cell r="C561" t="str">
            <v>SHOULDER PAD SET</v>
          </cell>
          <cell r="D561" t="str">
            <v>Schulterpolster Set</v>
          </cell>
          <cell r="E561" t="str">
            <v>COUSSINETS DE POITRINE</v>
          </cell>
          <cell r="F561" t="str">
            <v>Nakładki ochronne na pasy / komplet</v>
          </cell>
        </row>
        <row r="562">
          <cell r="A562">
            <v>2000025650</v>
          </cell>
          <cell r="B562" t="e">
            <v>#N/A</v>
          </cell>
          <cell r="C562" t="str">
            <v>SHOULDER PAD SET</v>
          </cell>
          <cell r="D562" t="str">
            <v>Schulterpolster Set</v>
          </cell>
          <cell r="E562" t="str">
            <v>COUSSINETS DE POITRINE</v>
          </cell>
          <cell r="F562" t="str">
            <v>Nakładki ochronne na pasy / komplet</v>
          </cell>
        </row>
        <row r="563">
          <cell r="A563">
            <v>2000024454</v>
          </cell>
          <cell r="B563" t="str">
            <v>PRIMO</v>
          </cell>
          <cell r="C563" t="str">
            <v>SHOULDER PAD SET</v>
          </cell>
          <cell r="D563" t="str">
            <v>Schulterpolster Set</v>
          </cell>
          <cell r="E563" t="str">
            <v>COUSSINETS DE POITRINE</v>
          </cell>
          <cell r="F563" t="str">
            <v>Nakładki ochronne na pasy / komplet</v>
          </cell>
        </row>
        <row r="564">
          <cell r="A564">
            <v>2000024465</v>
          </cell>
          <cell r="B564" t="str">
            <v>BABY SAFE plus II / SHR (A20)</v>
          </cell>
          <cell r="C564" t="str">
            <v>SHOULDER PAD SET</v>
          </cell>
          <cell r="D564" t="str">
            <v>Schulterpolster Set</v>
          </cell>
          <cell r="E564" t="str">
            <v>COUSSINETS DE POITRINE</v>
          </cell>
          <cell r="F564" t="str">
            <v>Nakładki ochronne na pasy / komplet</v>
          </cell>
        </row>
        <row r="565">
          <cell r="A565">
            <v>2000027535</v>
          </cell>
          <cell r="B565" t="str">
            <v>DUALFIX i-SIZE</v>
          </cell>
          <cell r="C565" t="str">
            <v>SHOULDER PAD SET</v>
          </cell>
          <cell r="D565" t="str">
            <v>Schulterpolster Set</v>
          </cell>
          <cell r="E565" t="str">
            <v>COUSSINETS DE POITRINE</v>
          </cell>
          <cell r="F565" t="str">
            <v>Nakładki ochronne na pasy / komplet</v>
          </cell>
        </row>
        <row r="566">
          <cell r="A566">
            <v>2000027539</v>
          </cell>
          <cell r="B566" t="str">
            <v>DUALFIX i-SIZE</v>
          </cell>
          <cell r="C566" t="str">
            <v>SHOULDER PAD SET</v>
          </cell>
          <cell r="D566" t="str">
            <v>Schulterpolster Set</v>
          </cell>
          <cell r="E566" t="str">
            <v>COUSSINETS DE POITRINE</v>
          </cell>
          <cell r="F566" t="str">
            <v>Nakładki ochronne na pasy / komplet</v>
          </cell>
        </row>
        <row r="567">
          <cell r="A567">
            <v>2000027537</v>
          </cell>
          <cell r="B567" t="str">
            <v>DUALFIX i-SIZE</v>
          </cell>
          <cell r="C567" t="str">
            <v>SHOULDER PAD SET</v>
          </cell>
          <cell r="D567" t="str">
            <v>Schulterpolster Set</v>
          </cell>
          <cell r="E567" t="str">
            <v>COUSSINETS DE POITRINE</v>
          </cell>
          <cell r="F567" t="str">
            <v>Nakładki ochronne na pasy / komplet</v>
          </cell>
        </row>
        <row r="568">
          <cell r="A568">
            <v>2000027541</v>
          </cell>
          <cell r="B568" t="str">
            <v>DUALFIX i-SIZE</v>
          </cell>
          <cell r="C568" t="str">
            <v>SHOULDER PAD SET</v>
          </cell>
          <cell r="D568" t="str">
            <v>Schulterpolster Set</v>
          </cell>
          <cell r="E568" t="str">
            <v>COUSSINETS DE POITRINE</v>
          </cell>
          <cell r="F568" t="str">
            <v>Nakładki ochronne na pasy / komplet</v>
          </cell>
        </row>
        <row r="569">
          <cell r="A569">
            <v>2000027534</v>
          </cell>
          <cell r="B569" t="str">
            <v>DUALFIX i-SIZE</v>
          </cell>
          <cell r="C569" t="str">
            <v>SHOULDER PAD SET</v>
          </cell>
          <cell r="D569" t="str">
            <v>Schulterpolster Set</v>
          </cell>
          <cell r="E569" t="str">
            <v>COUSSINETS DE POITRINE</v>
          </cell>
          <cell r="F569" t="str">
            <v>Nakładki ochronne na pasy / komplet</v>
          </cell>
        </row>
        <row r="570">
          <cell r="A570">
            <v>2000027538</v>
          </cell>
          <cell r="B570" t="str">
            <v>DUALFIX i-SIZE</v>
          </cell>
          <cell r="C570" t="str">
            <v>SHOULDER PAD SET</v>
          </cell>
          <cell r="D570" t="str">
            <v>Schulterpolster Set</v>
          </cell>
          <cell r="E570" t="str">
            <v>COUSSINETS DE POITRINE</v>
          </cell>
          <cell r="F570" t="str">
            <v>Nakładki ochronne na pasy / komplet</v>
          </cell>
        </row>
        <row r="571">
          <cell r="A571">
            <v>2000027536</v>
          </cell>
          <cell r="B571" t="str">
            <v>DUALFIX i-SIZE</v>
          </cell>
          <cell r="C571" t="str">
            <v>SHOULDER PAD SET</v>
          </cell>
          <cell r="D571" t="str">
            <v>Schulterpolster Set</v>
          </cell>
          <cell r="E571" t="str">
            <v>COUSSINETS DE POITRINE</v>
          </cell>
          <cell r="F571" t="str">
            <v>Nakładki ochronne na pasy / komplet</v>
          </cell>
        </row>
        <row r="572">
          <cell r="A572">
            <v>2000027540</v>
          </cell>
          <cell r="B572" t="str">
            <v>DUALFIX i-SIZE</v>
          </cell>
          <cell r="C572" t="str">
            <v>SHOULDER PAD SET</v>
          </cell>
          <cell r="D572" t="str">
            <v>Schulterpolster Set</v>
          </cell>
          <cell r="E572" t="str">
            <v>COUSSINETS DE POITRINE</v>
          </cell>
          <cell r="F572" t="str">
            <v>Nakładki ochronne na pasy / komplet</v>
          </cell>
        </row>
        <row r="573">
          <cell r="A573">
            <v>2000027542</v>
          </cell>
          <cell r="B573" t="str">
            <v>DUALFIX i-SIZE</v>
          </cell>
          <cell r="C573" t="str">
            <v>SHOULDER PAD SET</v>
          </cell>
          <cell r="D573" t="str">
            <v>Schulterpolster Set</v>
          </cell>
          <cell r="E573" t="str">
            <v>COUSSINETS DE POITRINE</v>
          </cell>
          <cell r="F573" t="str">
            <v>Nakładki ochronne na pasy / komplet</v>
          </cell>
        </row>
        <row r="574">
          <cell r="A574">
            <v>2000024281</v>
          </cell>
          <cell r="B574" t="str">
            <v>KING II / KING ll LS / KING II ATS</v>
          </cell>
          <cell r="C574" t="str">
            <v>SHOULDER PAD SET</v>
          </cell>
          <cell r="D574" t="str">
            <v>Schulterpolster Set</v>
          </cell>
          <cell r="E574" t="str">
            <v>COUSSINETS DE POITRINE</v>
          </cell>
          <cell r="F574" t="str">
            <v>Nakładki ochronne na pasy / komplet</v>
          </cell>
        </row>
        <row r="575">
          <cell r="A575">
            <v>2000024279</v>
          </cell>
          <cell r="B575" t="str">
            <v>KING II / KING ll LS / KING II ATS</v>
          </cell>
          <cell r="C575" t="str">
            <v>SHOULDER PAD SET</v>
          </cell>
          <cell r="D575" t="str">
            <v>Schulterpolster Set</v>
          </cell>
          <cell r="E575" t="str">
            <v>COUSSINETS DE POITRINE</v>
          </cell>
          <cell r="F575" t="str">
            <v>Nakładki ochronne na pasy / komplet</v>
          </cell>
        </row>
        <row r="576">
          <cell r="A576">
            <v>2000024278</v>
          </cell>
          <cell r="B576" t="str">
            <v>KING II / KING ll LS / KING II ATS</v>
          </cell>
          <cell r="C576" t="str">
            <v>SHOULDER PAD SET</v>
          </cell>
          <cell r="D576" t="str">
            <v>Schulterpolster Set</v>
          </cell>
          <cell r="E576" t="str">
            <v>COUSSINETS DE POITRINE</v>
          </cell>
          <cell r="F576" t="str">
            <v>Nakładki ochronne na pasy / komplet</v>
          </cell>
        </row>
        <row r="577">
          <cell r="A577">
            <v>2000024265</v>
          </cell>
          <cell r="B577" t="str">
            <v>SAFEFIX plus / SAFEFIX plus TT</v>
          </cell>
          <cell r="C577" t="str">
            <v>SHOULDER PAD SET</v>
          </cell>
          <cell r="D577" t="str">
            <v>Schulterpolster Set</v>
          </cell>
          <cell r="E577" t="str">
            <v>COUSSINETS DE POITRINE</v>
          </cell>
          <cell r="F577" t="str">
            <v>Nakładki ochronne na pasy / komplet</v>
          </cell>
        </row>
        <row r="578">
          <cell r="A578">
            <v>2000024264</v>
          </cell>
          <cell r="B578" t="str">
            <v>SAFEFIX plus / SAFEFIX plus TT</v>
          </cell>
          <cell r="C578" t="str">
            <v>SHOULDER PAD SET</v>
          </cell>
          <cell r="D578" t="str">
            <v>Schulterpolster Set</v>
          </cell>
          <cell r="E578" t="str">
            <v>COUSSINETS DE POITRINE</v>
          </cell>
          <cell r="F578" t="str">
            <v>Nakładki ochronne na pasy / komplet</v>
          </cell>
        </row>
        <row r="579">
          <cell r="A579">
            <v>2000026172</v>
          </cell>
          <cell r="B579" t="str">
            <v>SAFEFIX plus / SAFEFIX plus TT</v>
          </cell>
          <cell r="C579" t="str">
            <v>SHOULDER PAD SET</v>
          </cell>
          <cell r="D579" t="str">
            <v>Schulterpolster Set</v>
          </cell>
          <cell r="E579" t="str">
            <v>COUSSINETS DE POITRINE</v>
          </cell>
          <cell r="F579" t="str">
            <v>Nakładki ochronne na pasy / komplet</v>
          </cell>
        </row>
        <row r="580">
          <cell r="A580">
            <v>2000026171</v>
          </cell>
          <cell r="B580" t="str">
            <v>SAFEFIX plus / SAFEFIX plus TT</v>
          </cell>
          <cell r="C580" t="str">
            <v>SHOULDER PAD SET</v>
          </cell>
          <cell r="D580" t="str">
            <v>Schulterpolster Set</v>
          </cell>
          <cell r="E580" t="str">
            <v>COUSSINETS DE POITRINE</v>
          </cell>
          <cell r="F580" t="str">
            <v>Nakładki ochronne na pasy / komplet</v>
          </cell>
        </row>
        <row r="581">
          <cell r="A581">
            <v>2000027770</v>
          </cell>
          <cell r="B581" t="str">
            <v>DUO plus</v>
          </cell>
          <cell r="C581" t="str">
            <v>SHOULDER PAD SET</v>
          </cell>
          <cell r="D581" t="str">
            <v>Schulterpolster Set</v>
          </cell>
          <cell r="E581" t="str">
            <v>COUSSINETS DE POITRINE</v>
          </cell>
          <cell r="F581" t="str">
            <v>Nakładki ochronne na pasy / komplet</v>
          </cell>
        </row>
        <row r="582">
          <cell r="A582">
            <v>2000027771</v>
          </cell>
          <cell r="B582" t="str">
            <v>DUO plus</v>
          </cell>
          <cell r="C582" t="str">
            <v>SHOULDER PAD SET</v>
          </cell>
          <cell r="D582" t="str">
            <v>Schulterpolster Set</v>
          </cell>
          <cell r="E582" t="str">
            <v>COUSSINETS DE POITRINE</v>
          </cell>
          <cell r="F582" t="str">
            <v>Nakładki ochronne na pasy / komplet</v>
          </cell>
        </row>
        <row r="583">
          <cell r="A583">
            <v>2000024285</v>
          </cell>
          <cell r="B583" t="str">
            <v>FIRST CLASS plus</v>
          </cell>
          <cell r="C583" t="str">
            <v>SHOULDER PAD SET</v>
          </cell>
          <cell r="D583" t="str">
            <v>Schulterpolster Set</v>
          </cell>
          <cell r="E583" t="str">
            <v>COUSSINETS DE POITRINE</v>
          </cell>
          <cell r="F583" t="str">
            <v>Nakładki ochronne na pasy / komplet</v>
          </cell>
        </row>
        <row r="584">
          <cell r="A584">
            <v>2000024256</v>
          </cell>
          <cell r="B584" t="str">
            <v>ADVANSAFIX ll / ADVANSAFIX II SICT / ADVANSAFIX III SICT</v>
          </cell>
          <cell r="C584" t="str">
            <v>SHOULDER PAD SET</v>
          </cell>
          <cell r="D584" t="str">
            <v>Schulterpolster Set</v>
          </cell>
          <cell r="E584" t="str">
            <v>COUSSINETS DE POITRINE</v>
          </cell>
          <cell r="F584" t="str">
            <v>Nakładki ochronne na pasy / komplet</v>
          </cell>
        </row>
        <row r="585">
          <cell r="A585">
            <v>2000024258</v>
          </cell>
          <cell r="B585" t="str">
            <v>ADVANSAFIX ll / ADVANSAFIX II SICT / ADVANSAFIX III SICT</v>
          </cell>
          <cell r="C585" t="str">
            <v>SHOULDER PAD SET</v>
          </cell>
          <cell r="D585" t="str">
            <v>Schulterpolster Set</v>
          </cell>
          <cell r="E585" t="str">
            <v>COUSSINETS DE POITRINE</v>
          </cell>
          <cell r="F585" t="str">
            <v>Nakładki ochronne na pasy / komplet</v>
          </cell>
        </row>
        <row r="586">
          <cell r="A586">
            <v>2000024257</v>
          </cell>
          <cell r="B586" t="str">
            <v>ADVANSAFIX ll / ADVANSAFIX II SICT / ADVANSAFIX III SICT</v>
          </cell>
          <cell r="C586" t="str">
            <v>SHOULDER PAD SET</v>
          </cell>
          <cell r="D586" t="str">
            <v>Schulterpolster Set</v>
          </cell>
          <cell r="E586" t="str">
            <v>COUSSINETS DE POITRINE</v>
          </cell>
          <cell r="F586" t="str">
            <v>Nakładki ochronne na pasy / komplet</v>
          </cell>
        </row>
        <row r="587">
          <cell r="A587">
            <v>2000026427</v>
          </cell>
          <cell r="B587" t="str">
            <v>EVOLVA 1-2-3 SL SICT</v>
          </cell>
          <cell r="C587" t="str">
            <v>SHOULDER PAD SET</v>
          </cell>
          <cell r="D587" t="str">
            <v>Schulterpolster Set</v>
          </cell>
          <cell r="E587" t="str">
            <v>COUSSINETS DE POITRINE</v>
          </cell>
          <cell r="F587" t="str">
            <v>Nakładki ochronne na pasy / komplet</v>
          </cell>
        </row>
        <row r="588">
          <cell r="A588">
            <v>2000026428</v>
          </cell>
          <cell r="B588" t="str">
            <v>EVOLVA 1-2-3 SL SICT</v>
          </cell>
          <cell r="C588" t="str">
            <v>SHOULDER PAD SET</v>
          </cell>
          <cell r="D588" t="str">
            <v>Schulterpolster Set</v>
          </cell>
          <cell r="E588" t="str">
            <v>COUSSINETS DE POITRINE</v>
          </cell>
          <cell r="F588" t="str">
            <v>Nakładki ochronne na pasy / komplet</v>
          </cell>
        </row>
        <row r="589">
          <cell r="A589">
            <v>2000026429</v>
          </cell>
          <cell r="B589" t="str">
            <v>EVOLVA 1-2-3 SL SICT</v>
          </cell>
          <cell r="C589" t="str">
            <v>SHOULDER PAD SET</v>
          </cell>
          <cell r="D589" t="str">
            <v>Schulterpolster Set</v>
          </cell>
          <cell r="E589" t="str">
            <v>COUSSINETS DE POITRINE</v>
          </cell>
          <cell r="F589" t="str">
            <v>Nakładki ochronne na pasy / komplet</v>
          </cell>
        </row>
        <row r="590">
          <cell r="A590">
            <v>2000026430</v>
          </cell>
          <cell r="B590" t="str">
            <v>EVOLVA 1-2-3 SL SICT</v>
          </cell>
          <cell r="C590" t="str">
            <v>SHOULDER PAD SET</v>
          </cell>
          <cell r="D590" t="str">
            <v>Schulterpolster Set</v>
          </cell>
          <cell r="E590" t="str">
            <v>COUSSINETS DE POITRINE</v>
          </cell>
          <cell r="F590" t="str">
            <v>Nakładki ochronne na pasy / komplet</v>
          </cell>
        </row>
        <row r="591">
          <cell r="A591">
            <v>2000026431</v>
          </cell>
          <cell r="B591" t="str">
            <v>EVOLVA 1-2-3 SL SICT</v>
          </cell>
          <cell r="C591" t="str">
            <v>SHOULDER PAD SET</v>
          </cell>
          <cell r="D591" t="str">
            <v>Schulterpolster Set</v>
          </cell>
          <cell r="E591" t="str">
            <v>COUSSINETS DE POITRINE</v>
          </cell>
          <cell r="F591" t="str">
            <v>Nakładki ochronne na pasy / komplet</v>
          </cell>
        </row>
        <row r="592">
          <cell r="A592">
            <v>2000027773</v>
          </cell>
          <cell r="B592" t="str">
            <v>EVOLVA 1-2-3 SL SICT</v>
          </cell>
          <cell r="C592" t="str">
            <v>SHOULDER PAD SET</v>
          </cell>
          <cell r="D592" t="str">
            <v>Schulterpolster Set</v>
          </cell>
          <cell r="E592" t="str">
            <v>COUSSINETS DE POITRINE</v>
          </cell>
          <cell r="F592" t="str">
            <v>Nakładki ochronne na pasy / komplet</v>
          </cell>
        </row>
        <row r="593">
          <cell r="A593">
            <v>2000027774</v>
          </cell>
          <cell r="B593" t="str">
            <v>EVOLVA 1-2-3 SL SICT</v>
          </cell>
          <cell r="C593" t="str">
            <v>SHOULDER PAD SET</v>
          </cell>
          <cell r="D593" t="str">
            <v>Schulterpolster Set</v>
          </cell>
          <cell r="E593" t="str">
            <v>COUSSINETS DE POITRINE</v>
          </cell>
          <cell r="F593" t="str">
            <v>Nakładki ochronne na pasy / komplet</v>
          </cell>
        </row>
        <row r="594">
          <cell r="A594">
            <v>2000027775</v>
          </cell>
          <cell r="B594" t="str">
            <v>EVOLVA 1-2-3 SL SICT</v>
          </cell>
          <cell r="C594" t="str">
            <v>SHOULDER PAD SET</v>
          </cell>
          <cell r="D594" t="str">
            <v>Schulterpolster Set</v>
          </cell>
          <cell r="E594" t="str">
            <v>COUSSINETS DE POITRINE</v>
          </cell>
          <cell r="F594" t="str">
            <v>Nakładki ochronne na pasy / komplet</v>
          </cell>
        </row>
        <row r="595">
          <cell r="A595">
            <v>2000027776</v>
          </cell>
          <cell r="B595" t="str">
            <v>EVOLVA 1-2-3 SL SICT</v>
          </cell>
          <cell r="C595" t="str">
            <v>SHOULDER PAD SET</v>
          </cell>
          <cell r="D595" t="str">
            <v>Schulterpolster Set</v>
          </cell>
          <cell r="E595" t="str">
            <v>COUSSINETS DE POITRINE</v>
          </cell>
          <cell r="F595" t="str">
            <v>Nakładki ochronne na pasy / komplet</v>
          </cell>
        </row>
        <row r="596">
          <cell r="A596">
            <v>2000024286</v>
          </cell>
          <cell r="B596" t="str">
            <v>FIRST CLASS plus</v>
          </cell>
          <cell r="C596" t="str">
            <v xml:space="preserve">SHOULDER PAD SET </v>
          </cell>
          <cell r="D596" t="str">
            <v>Schulterpolster Set</v>
          </cell>
          <cell r="E596" t="str">
            <v>COUSSINETS DE POITRINE</v>
          </cell>
          <cell r="F596" t="str">
            <v>Nakładki ochronne na pasy / komplet</v>
          </cell>
        </row>
        <row r="597">
          <cell r="A597">
            <v>2000024288</v>
          </cell>
          <cell r="B597" t="str">
            <v>FIRST CLASS plus</v>
          </cell>
          <cell r="C597" t="str">
            <v xml:space="preserve">SHOULDER PAD SET </v>
          </cell>
          <cell r="D597" t="str">
            <v>Schulterpolster Set</v>
          </cell>
          <cell r="E597" t="str">
            <v>COUSSINETS DE POITRINE</v>
          </cell>
          <cell r="F597" t="str">
            <v>Nakładki ochronne na pasy / komplet</v>
          </cell>
        </row>
        <row r="598">
          <cell r="A598">
            <v>2000024287</v>
          </cell>
          <cell r="B598" t="str">
            <v>FIRST CLASS plus</v>
          </cell>
          <cell r="C598" t="str">
            <v xml:space="preserve">SHOULDER PAD SET </v>
          </cell>
          <cell r="D598" t="str">
            <v>Schulterpolster Set</v>
          </cell>
          <cell r="E598" t="str">
            <v>COUSSINETS DE POITRINE</v>
          </cell>
          <cell r="F598" t="str">
            <v>Nakładki ochronne na pasy / komplet</v>
          </cell>
        </row>
        <row r="599">
          <cell r="A599">
            <v>2000026206</v>
          </cell>
          <cell r="B599" t="str">
            <v>FIRST CLASS plus</v>
          </cell>
          <cell r="C599" t="str">
            <v xml:space="preserve">SHOULDER PAD SET </v>
          </cell>
          <cell r="D599" t="str">
            <v>Schulterpolster Set</v>
          </cell>
          <cell r="E599" t="str">
            <v>COUSSINETS DE POITRINE</v>
          </cell>
          <cell r="F599" t="str">
            <v>Nakładki ochronne na pasy / komplet</v>
          </cell>
        </row>
        <row r="600">
          <cell r="A600">
            <v>2000027731</v>
          </cell>
          <cell r="B600" t="str">
            <v>FIRST CLASS plus</v>
          </cell>
          <cell r="C600" t="str">
            <v xml:space="preserve">SHOULDER PAD SET </v>
          </cell>
          <cell r="D600" t="str">
            <v>Schulterpolster Set</v>
          </cell>
          <cell r="E600" t="str">
            <v>COUSSINETS DE POITRINE</v>
          </cell>
          <cell r="F600" t="str">
            <v>Nakładki ochronne na pasy / komplet</v>
          </cell>
        </row>
        <row r="601">
          <cell r="A601">
            <v>2000027734</v>
          </cell>
          <cell r="B601" t="str">
            <v>FIRST CLASS plus</v>
          </cell>
          <cell r="C601" t="str">
            <v xml:space="preserve">SHOULDER PAD SET </v>
          </cell>
          <cell r="D601" t="str">
            <v>Schulterpolster Set</v>
          </cell>
          <cell r="E601" t="str">
            <v>COUSSINETS DE POITRINE</v>
          </cell>
          <cell r="F601" t="str">
            <v>Nakładki ochronne na pasy / komplet</v>
          </cell>
        </row>
        <row r="602">
          <cell r="A602">
            <v>2000027737</v>
          </cell>
          <cell r="B602" t="str">
            <v>FIRST CLASS plus</v>
          </cell>
          <cell r="C602" t="str">
            <v xml:space="preserve">SHOULDER PAD SET </v>
          </cell>
          <cell r="D602" t="str">
            <v>Schulterpolster Set</v>
          </cell>
          <cell r="E602" t="str">
            <v>COUSSINETS DE POITRINE</v>
          </cell>
          <cell r="F602" t="str">
            <v>Nakładki ochronne na pasy / komplet</v>
          </cell>
        </row>
        <row r="603">
          <cell r="A603">
            <v>2000027768</v>
          </cell>
          <cell r="B603" t="str">
            <v>DUALFIX</v>
          </cell>
          <cell r="C603" t="str">
            <v xml:space="preserve">SHOULDER PAD SET </v>
          </cell>
          <cell r="D603" t="str">
            <v>Schulterpolster Set</v>
          </cell>
          <cell r="E603" t="str">
            <v>COUSSINETS DE POITRINE</v>
          </cell>
          <cell r="F603" t="str">
            <v>Nakładki ochronne na pasy / komplet</v>
          </cell>
        </row>
        <row r="604">
          <cell r="A604">
            <v>2000027769</v>
          </cell>
          <cell r="B604" t="str">
            <v>DUALFIX</v>
          </cell>
          <cell r="C604" t="str">
            <v xml:space="preserve">SHOULDER PAD SET </v>
          </cell>
          <cell r="D604" t="str">
            <v>Schulterpolster Set</v>
          </cell>
          <cell r="E604" t="str">
            <v>COUSSINETS DE POITRINE</v>
          </cell>
          <cell r="F604" t="str">
            <v>Nakładki ochronne na pasy / komplet</v>
          </cell>
        </row>
        <row r="605">
          <cell r="A605">
            <v>2000024293</v>
          </cell>
          <cell r="B605" t="str">
            <v>DUALFIX</v>
          </cell>
          <cell r="C605" t="str">
            <v xml:space="preserve">SHOULDER PAD SET </v>
          </cell>
          <cell r="D605" t="str">
            <v>Schulterpolster Set</v>
          </cell>
          <cell r="E605" t="str">
            <v>COUSSINETS DE POITRINE</v>
          </cell>
          <cell r="F605" t="str">
            <v>Nakładki ochronne na pasy / komplet</v>
          </cell>
        </row>
        <row r="606">
          <cell r="A606">
            <v>2000024289</v>
          </cell>
          <cell r="B606" t="str">
            <v>DUALFIX</v>
          </cell>
          <cell r="C606" t="str">
            <v xml:space="preserve">SHOULDER PAD SET </v>
          </cell>
          <cell r="D606" t="str">
            <v>Schulterpolster Set</v>
          </cell>
          <cell r="E606" t="str">
            <v>COUSSINETS DE POITRINE</v>
          </cell>
          <cell r="F606" t="str">
            <v>Nakładki ochronne na pasy / komplet</v>
          </cell>
        </row>
        <row r="607">
          <cell r="A607">
            <v>2000024290</v>
          </cell>
          <cell r="B607" t="str">
            <v>DUALFIX</v>
          </cell>
          <cell r="C607" t="str">
            <v xml:space="preserve">SHOULDER PAD SET </v>
          </cell>
          <cell r="D607" t="str">
            <v>Schulterpolster Set</v>
          </cell>
          <cell r="E607" t="str">
            <v>COUSSINETS DE POITRINE</v>
          </cell>
          <cell r="F607" t="str">
            <v>Nakładki ochronne na pasy / komplet</v>
          </cell>
        </row>
        <row r="608">
          <cell r="A608">
            <v>2000024292</v>
          </cell>
          <cell r="B608" t="str">
            <v>DUALFIX</v>
          </cell>
          <cell r="C608" t="str">
            <v xml:space="preserve">SHOULDER PAD SET </v>
          </cell>
          <cell r="D608" t="str">
            <v>Schulterpolster Set</v>
          </cell>
          <cell r="E608" t="str">
            <v>COUSSINETS DE POITRINE</v>
          </cell>
          <cell r="F608" t="str">
            <v>Nakładki ochronne na pasy / komplet</v>
          </cell>
        </row>
        <row r="609">
          <cell r="A609">
            <v>2000024291</v>
          </cell>
          <cell r="B609" t="str">
            <v>DUALFIX</v>
          </cell>
          <cell r="C609" t="str">
            <v xml:space="preserve">SHOULDER PAD SET </v>
          </cell>
          <cell r="D609" t="str">
            <v>Schulterpolster Set</v>
          </cell>
          <cell r="E609" t="str">
            <v>COUSSINETS DE POITRINE</v>
          </cell>
          <cell r="F609" t="str">
            <v>Nakładki ochronne na pasy / komplet</v>
          </cell>
        </row>
        <row r="610">
          <cell r="A610">
            <v>2000026208</v>
          </cell>
          <cell r="B610" t="str">
            <v>DUALFIX</v>
          </cell>
          <cell r="C610" t="str">
            <v xml:space="preserve">SHOULDER PAD SET </v>
          </cell>
          <cell r="D610" t="str">
            <v>Schulterpolster Set</v>
          </cell>
          <cell r="E610" t="str">
            <v>COUSSINETS DE POITRINE</v>
          </cell>
          <cell r="F610" t="str">
            <v>Nakładki ochronne na pasy / komplet</v>
          </cell>
        </row>
        <row r="611">
          <cell r="A611">
            <v>2000027492</v>
          </cell>
          <cell r="B611" t="str">
            <v>TRIFIX i-SIZE / TRIFIX² i-SIZE</v>
          </cell>
          <cell r="C611" t="str">
            <v xml:space="preserve">SHOULDER PAD SET </v>
          </cell>
          <cell r="D611" t="str">
            <v>Schulterpolster Set</v>
          </cell>
          <cell r="E611" t="str">
            <v>COUSSINETS DE POITRINE</v>
          </cell>
          <cell r="F611" t="str">
            <v>Nakładki ochronne na pasy / komplet</v>
          </cell>
        </row>
        <row r="612">
          <cell r="A612">
            <v>2000027493</v>
          </cell>
          <cell r="B612" t="str">
            <v>TRIFIX i-SIZE / TRIFIX² i-SIZE</v>
          </cell>
          <cell r="C612" t="str">
            <v xml:space="preserve">SHOULDER PAD SET </v>
          </cell>
          <cell r="D612" t="str">
            <v>Schulterpolster Set</v>
          </cell>
          <cell r="E612" t="str">
            <v>COUSSINETS DE POITRINE</v>
          </cell>
          <cell r="F612" t="str">
            <v>Nakładki ochronne na pasy / komplet</v>
          </cell>
        </row>
        <row r="613">
          <cell r="A613">
            <v>2000027494</v>
          </cell>
          <cell r="B613" t="str">
            <v>TRIFIX i-SIZE / TRIFIX² i-SIZE</v>
          </cell>
          <cell r="C613" t="str">
            <v xml:space="preserve">SHOULDER PAD SET </v>
          </cell>
          <cell r="D613" t="str">
            <v>Schulterpolster Set</v>
          </cell>
          <cell r="E613" t="str">
            <v>COUSSINETS DE POITRINE</v>
          </cell>
          <cell r="F613" t="str">
            <v>Nakładki ochronne na pasy / komplet</v>
          </cell>
        </row>
        <row r="614">
          <cell r="A614">
            <v>2000027495</v>
          </cell>
          <cell r="B614" t="str">
            <v>TRIFIX i-SIZE / TRIFIX² i-SIZE</v>
          </cell>
          <cell r="C614" t="str">
            <v xml:space="preserve">SHOULDER PAD SET </v>
          </cell>
          <cell r="D614" t="str">
            <v>Schulterpolster Set</v>
          </cell>
          <cell r="E614" t="str">
            <v>COUSSINETS DE POITRINE</v>
          </cell>
          <cell r="F614" t="str">
            <v>Nakładki ochronne na pasy / komplet</v>
          </cell>
        </row>
        <row r="615">
          <cell r="A615">
            <v>2000027496</v>
          </cell>
          <cell r="B615" t="str">
            <v>TRIFIX i-SIZE / TRIFIX² i-SIZE</v>
          </cell>
          <cell r="C615" t="str">
            <v xml:space="preserve">SHOULDER PAD SET </v>
          </cell>
          <cell r="D615" t="str">
            <v>Schulterpolster Set</v>
          </cell>
          <cell r="E615" t="str">
            <v>COUSSINETS DE POITRINE</v>
          </cell>
          <cell r="F615" t="str">
            <v>Nakładki ochronne na pasy / komplet</v>
          </cell>
        </row>
        <row r="616">
          <cell r="A616">
            <v>2000027497</v>
          </cell>
          <cell r="B616" t="str">
            <v>TRIFIX i-SIZE / TRIFIX² i-SIZE</v>
          </cell>
          <cell r="C616" t="str">
            <v xml:space="preserve">SHOULDER PAD SET </v>
          </cell>
          <cell r="D616" t="str">
            <v>Schulterpolster Set</v>
          </cell>
          <cell r="E616" t="str">
            <v>COUSSINETS DE POITRINE</v>
          </cell>
          <cell r="F616" t="str">
            <v>Nakładki ochronne na pasy / komplet</v>
          </cell>
        </row>
        <row r="617">
          <cell r="A617">
            <v>2000027498</v>
          </cell>
          <cell r="B617" t="str">
            <v>TRIFIX i-SIZE / TRIFIX² i-SIZE</v>
          </cell>
          <cell r="C617" t="str">
            <v xml:space="preserve">SHOULDER PAD SET </v>
          </cell>
          <cell r="D617" t="str">
            <v>Schulterpolster Set</v>
          </cell>
          <cell r="E617" t="str">
            <v>COUSSINETS DE POITRINE</v>
          </cell>
          <cell r="F617" t="str">
            <v>Nakładki ochronne na pasy / komplet</v>
          </cell>
        </row>
        <row r="618">
          <cell r="A618">
            <v>2000027499</v>
          </cell>
          <cell r="B618" t="str">
            <v>TRIFIX i-SIZE / TRIFIX² i-SIZE</v>
          </cell>
          <cell r="C618" t="str">
            <v xml:space="preserve">SHOULDER PAD SET </v>
          </cell>
          <cell r="D618" t="str">
            <v>Schulterpolster Set</v>
          </cell>
          <cell r="E618" t="str">
            <v>COUSSINETS DE POITRINE</v>
          </cell>
          <cell r="F618" t="str">
            <v>Nakładki ochronne na pasy / komplet</v>
          </cell>
        </row>
        <row r="619">
          <cell r="A619">
            <v>2000027500</v>
          </cell>
          <cell r="B619" t="str">
            <v>TRIFIX i-SIZE / TRIFIX² i-SIZE</v>
          </cell>
          <cell r="C619" t="str">
            <v xml:space="preserve">SHOULDER PAD SET </v>
          </cell>
          <cell r="D619" t="str">
            <v>Schulterpolster Set</v>
          </cell>
          <cell r="E619" t="str">
            <v>COUSSINETS DE POITRINE</v>
          </cell>
          <cell r="F619" t="str">
            <v>Nakładki ochronne na pasy / komplet</v>
          </cell>
        </row>
        <row r="620">
          <cell r="A620">
            <v>2000024282</v>
          </cell>
          <cell r="B620" t="str">
            <v>KING II / KING ll LS / KING II ATS</v>
          </cell>
          <cell r="C620" t="str">
            <v xml:space="preserve">SHOULDER PAD SET </v>
          </cell>
          <cell r="D620" t="str">
            <v>Schulterpolster Set</v>
          </cell>
          <cell r="E620" t="str">
            <v>COUSSINETS DE POITRINE</v>
          </cell>
          <cell r="F620" t="str">
            <v>Nakładki ochronne na pasy / komplet</v>
          </cell>
        </row>
        <row r="621">
          <cell r="A621">
            <v>2000024276</v>
          </cell>
          <cell r="B621" t="str">
            <v>KING II / KING ll LS / KING II ATS</v>
          </cell>
          <cell r="C621" t="str">
            <v xml:space="preserve">SHOULDER PAD SET </v>
          </cell>
          <cell r="D621" t="str">
            <v>Schulterpolster Set</v>
          </cell>
          <cell r="E621" t="str">
            <v>COUSSINETS DE POITRINE</v>
          </cell>
          <cell r="F621" t="str">
            <v>Nakładki ochronne na pasy / komplet</v>
          </cell>
        </row>
        <row r="622">
          <cell r="A622">
            <v>2000024277</v>
          </cell>
          <cell r="B622" t="str">
            <v>KING II / KING ll LS / KING II ATS</v>
          </cell>
          <cell r="C622" t="str">
            <v xml:space="preserve">SHOULDER PAD SET </v>
          </cell>
          <cell r="D622" t="str">
            <v>Schulterpolster Set</v>
          </cell>
          <cell r="E622" t="str">
            <v>COUSSINETS DE POITRINE</v>
          </cell>
          <cell r="F622" t="str">
            <v>Nakładki ochronne na pasy / komplet</v>
          </cell>
        </row>
        <row r="623">
          <cell r="A623">
            <v>2000024280</v>
          </cell>
          <cell r="B623" t="str">
            <v>KING II / KING ll LS / KING II ATS</v>
          </cell>
          <cell r="C623" t="str">
            <v xml:space="preserve">SHOULDER PAD SET </v>
          </cell>
          <cell r="D623" t="str">
            <v>Schulterpolster Set</v>
          </cell>
          <cell r="E623" t="str">
            <v>COUSSINETS DE POITRINE</v>
          </cell>
          <cell r="F623" t="str">
            <v>Nakładki ochronne na pasy / komplet</v>
          </cell>
        </row>
        <row r="624">
          <cell r="A624">
            <v>2000026183</v>
          </cell>
          <cell r="B624" t="str">
            <v>KING II / KING ll LS / KING II ATS</v>
          </cell>
          <cell r="C624" t="str">
            <v xml:space="preserve">SHOULDER PAD SET </v>
          </cell>
          <cell r="D624" t="str">
            <v>Schulterpolster Set</v>
          </cell>
          <cell r="E624" t="str">
            <v>COUSSINETS DE POITRINE</v>
          </cell>
          <cell r="F624" t="str">
            <v>Nakładki ochronne na pasy / komplet</v>
          </cell>
        </row>
        <row r="625">
          <cell r="A625">
            <v>2000026184</v>
          </cell>
          <cell r="B625" t="str">
            <v>KING II / KING ll LS / KING II ATS</v>
          </cell>
          <cell r="C625" t="str">
            <v xml:space="preserve">SHOULDER PAD SET </v>
          </cell>
          <cell r="D625" t="str">
            <v>Schulterpolster Set</v>
          </cell>
          <cell r="E625" t="str">
            <v>COUSSINETS DE POITRINE</v>
          </cell>
          <cell r="F625" t="str">
            <v>Nakładki ochronne na pasy / komplet</v>
          </cell>
        </row>
        <row r="626">
          <cell r="A626">
            <v>2000027778</v>
          </cell>
          <cell r="B626" t="str">
            <v>KING II / KING ll LS / KING II ATS</v>
          </cell>
          <cell r="C626" t="str">
            <v xml:space="preserve">SHOULDER PAD SET </v>
          </cell>
          <cell r="D626" t="str">
            <v>Schulterpolster Set</v>
          </cell>
          <cell r="E626" t="str">
            <v>COUSSINETS DE POITRINE</v>
          </cell>
          <cell r="F626" t="str">
            <v>Nakładki ochronne na pasy / komplet</v>
          </cell>
        </row>
        <row r="627">
          <cell r="A627">
            <v>2000027780</v>
          </cell>
          <cell r="B627" t="str">
            <v>KING II / KING ll LS / KING II ATS</v>
          </cell>
          <cell r="C627" t="str">
            <v xml:space="preserve">SHOULDER PAD SET </v>
          </cell>
          <cell r="D627" t="str">
            <v>Schulterpolster Set</v>
          </cell>
          <cell r="E627" t="str">
            <v>COUSSINETS DE POITRINE</v>
          </cell>
          <cell r="F627" t="str">
            <v>Nakładki ochronne na pasy / komplet</v>
          </cell>
        </row>
        <row r="628">
          <cell r="A628">
            <v>2000027777</v>
          </cell>
          <cell r="B628" t="str">
            <v>KING II / KING ll LS / KING II ATS</v>
          </cell>
          <cell r="C628" t="str">
            <v xml:space="preserve">SHOULDER PAD SET </v>
          </cell>
          <cell r="D628" t="str">
            <v>Schulterpolster Set</v>
          </cell>
          <cell r="E628" t="str">
            <v>COUSSINETS DE POITRINE</v>
          </cell>
          <cell r="F628" t="str">
            <v>Nakładki ochronne na pasy / komplet</v>
          </cell>
        </row>
        <row r="629">
          <cell r="A629">
            <v>2000027779</v>
          </cell>
          <cell r="B629" t="str">
            <v>KING II / KING ll LS / KING II ATS</v>
          </cell>
          <cell r="C629" t="str">
            <v xml:space="preserve">SHOULDER PAD SET </v>
          </cell>
          <cell r="D629" t="str">
            <v>Schulterpolster Set</v>
          </cell>
          <cell r="E629" t="str">
            <v>COUSSINETS DE POITRINE</v>
          </cell>
          <cell r="F629" t="str">
            <v>Nakładki ochronne na pasy / komplet</v>
          </cell>
        </row>
        <row r="630">
          <cell r="A630">
            <v>2000029690</v>
          </cell>
          <cell r="B630" t="str">
            <v>KING II / KING ll LS / KING II ATS</v>
          </cell>
          <cell r="C630" t="str">
            <v xml:space="preserve">SHOULDER PAD SET </v>
          </cell>
          <cell r="D630" t="str">
            <v>Schulterpolster Set</v>
          </cell>
          <cell r="E630" t="str">
            <v>COUSSINETS DE POITRINE</v>
          </cell>
          <cell r="F630" t="str">
            <v>Nakładki ochronne na pasy / komplet</v>
          </cell>
        </row>
        <row r="631">
          <cell r="A631">
            <v>2000024267</v>
          </cell>
          <cell r="B631" t="str">
            <v>VERSAFIX</v>
          </cell>
          <cell r="C631" t="str">
            <v xml:space="preserve">SHOULDER PAD SET </v>
          </cell>
          <cell r="D631" t="str">
            <v>Schulterpolster Set</v>
          </cell>
          <cell r="E631" t="str">
            <v>COUSSINETS DE POITRINE</v>
          </cell>
          <cell r="F631" t="str">
            <v>Nakładki ochronne na pasy / komplet</v>
          </cell>
        </row>
        <row r="632">
          <cell r="A632">
            <v>2000024268</v>
          </cell>
          <cell r="B632" t="str">
            <v>VERSAFIX</v>
          </cell>
          <cell r="C632" t="str">
            <v xml:space="preserve">SHOULDER PAD SET </v>
          </cell>
          <cell r="D632" t="str">
            <v>Schulterpolster Set</v>
          </cell>
          <cell r="E632" t="str">
            <v>COUSSINETS DE POITRINE</v>
          </cell>
          <cell r="F632" t="str">
            <v>Nakładki ochronne na pasy / komplet</v>
          </cell>
        </row>
        <row r="633">
          <cell r="A633">
            <v>2000024269</v>
          </cell>
          <cell r="B633" t="str">
            <v>VERSAFIX</v>
          </cell>
          <cell r="C633" t="str">
            <v xml:space="preserve">SHOULDER PAD SET </v>
          </cell>
          <cell r="D633" t="str">
            <v>Schulterpolster Set</v>
          </cell>
          <cell r="E633" t="str">
            <v>COUSSINETS DE POITRINE</v>
          </cell>
          <cell r="F633" t="str">
            <v>Nakładki ochronne na pasy / komplet</v>
          </cell>
        </row>
        <row r="634">
          <cell r="A634">
            <v>2000026180</v>
          </cell>
          <cell r="B634" t="str">
            <v>VERSAFIX</v>
          </cell>
          <cell r="C634" t="str">
            <v xml:space="preserve">SHOULDER PAD SET </v>
          </cell>
          <cell r="D634" t="str">
            <v>Schulterpolster Set</v>
          </cell>
          <cell r="E634" t="str">
            <v>COUSSINETS DE POITRINE</v>
          </cell>
          <cell r="F634" t="str">
            <v>Nakładki ochronne na pasy / komplet</v>
          </cell>
        </row>
        <row r="635">
          <cell r="A635">
            <v>2000024261</v>
          </cell>
          <cell r="B635" t="str">
            <v>SAFEFIX plus / SAFEFIX plus TT</v>
          </cell>
          <cell r="C635" t="str">
            <v xml:space="preserve">SHOULDER PAD SET </v>
          </cell>
          <cell r="D635" t="str">
            <v>Schulterpolster Set</v>
          </cell>
          <cell r="E635" t="str">
            <v>COUSSINETS DE POITRINE</v>
          </cell>
          <cell r="F635" t="str">
            <v>Nakładki ochronne na pasy / komplet</v>
          </cell>
        </row>
        <row r="636">
          <cell r="A636">
            <v>2000024262</v>
          </cell>
          <cell r="B636" t="str">
            <v>SAFEFIX plus / SAFEFIX plus TT</v>
          </cell>
          <cell r="C636" t="str">
            <v xml:space="preserve">SHOULDER PAD SET </v>
          </cell>
          <cell r="D636" t="str">
            <v>Schulterpolster Set</v>
          </cell>
          <cell r="E636" t="str">
            <v>COUSSINETS DE POITRINE</v>
          </cell>
          <cell r="F636" t="str">
            <v>Nakładki ochronne na pasy / komplet</v>
          </cell>
        </row>
        <row r="637">
          <cell r="A637">
            <v>2000024266</v>
          </cell>
          <cell r="B637" t="str">
            <v>SAFEFIX plus / SAFEFIX plus TT</v>
          </cell>
          <cell r="C637" t="str">
            <v xml:space="preserve">SHOULDER PAD SET </v>
          </cell>
          <cell r="D637" t="str">
            <v>Schulterpolster Set</v>
          </cell>
          <cell r="E637" t="str">
            <v>COUSSINETS DE POITRINE</v>
          </cell>
          <cell r="F637" t="str">
            <v>Nakładki ochronne na pasy / komplet</v>
          </cell>
        </row>
        <row r="638">
          <cell r="A638">
            <v>2000024263</v>
          </cell>
          <cell r="B638" t="str">
            <v>SAFEFIX plus / SAFEFIX plus TT</v>
          </cell>
          <cell r="C638" t="str">
            <v xml:space="preserve">SHOULDER PAD SET </v>
          </cell>
          <cell r="D638" t="str">
            <v>Schulterpolster Set</v>
          </cell>
          <cell r="E638" t="str">
            <v>COUSSINETS DE POITRINE</v>
          </cell>
          <cell r="F638" t="str">
            <v>Nakładki ochronne na pasy / komplet</v>
          </cell>
        </row>
        <row r="639">
          <cell r="A639">
            <v>2000003684</v>
          </cell>
          <cell r="B639" t="str">
            <v>PRINCE</v>
          </cell>
          <cell r="C639" t="str">
            <v xml:space="preserve">SHOULDER PAD SET </v>
          </cell>
          <cell r="D639" t="str">
            <v>Schulterpolster Set</v>
          </cell>
          <cell r="E639" t="str">
            <v>COUSSINETS DE POITRINE</v>
          </cell>
          <cell r="F639" t="str">
            <v>Nakładki ochronne na pasy / komplet</v>
          </cell>
        </row>
        <row r="640">
          <cell r="A640">
            <v>2000024295</v>
          </cell>
          <cell r="B640" t="str">
            <v>MAX-WAY &amp; MAX-WAY BLACK SERIES</v>
          </cell>
          <cell r="C640" t="str">
            <v xml:space="preserve">SHOULDER PAD SET </v>
          </cell>
          <cell r="D640" t="str">
            <v>Schulterpolster Set</v>
          </cell>
          <cell r="E640" t="str">
            <v>COUSSINETS DE POITRINE</v>
          </cell>
          <cell r="F640" t="str">
            <v>Nakładki ochronne na pasy / komplet</v>
          </cell>
        </row>
        <row r="641">
          <cell r="A641">
            <v>2000024297</v>
          </cell>
          <cell r="B641" t="str">
            <v>TWO-WAY</v>
          </cell>
          <cell r="C641" t="str">
            <v xml:space="preserve">SHOULDER PAD SET </v>
          </cell>
          <cell r="D641" t="str">
            <v>Schulterpolster Set</v>
          </cell>
          <cell r="E641" t="str">
            <v>COUSSINETS DE POITRINE</v>
          </cell>
          <cell r="F641" t="str">
            <v>Nakładki ochronne na pasy / komplet</v>
          </cell>
        </row>
        <row r="642">
          <cell r="A642">
            <v>2000024296</v>
          </cell>
          <cell r="B642" t="str">
            <v>HI-WAY ll</v>
          </cell>
          <cell r="C642" t="str">
            <v xml:space="preserve">SHOULDER PAD SET </v>
          </cell>
          <cell r="D642" t="str">
            <v>Schulterpolster Set</v>
          </cell>
          <cell r="E642" t="str">
            <v>COUSSINETS DE POITRINE</v>
          </cell>
          <cell r="F642" t="str">
            <v>Nakładki ochronne na pasy / komplet</v>
          </cell>
        </row>
        <row r="643">
          <cell r="A643">
            <v>2000026210</v>
          </cell>
          <cell r="B643" t="str">
            <v>ADVANSAFIX ll / ADVANSAFIX II SICT / ADVANSAFIX III SICT</v>
          </cell>
          <cell r="C643" t="str">
            <v xml:space="preserve">SHOULDER PAD SET </v>
          </cell>
          <cell r="D643" t="str">
            <v>Schulterpolster Set</v>
          </cell>
          <cell r="E643" t="str">
            <v>COUSSINETS DE POITRINE</v>
          </cell>
          <cell r="F643" t="str">
            <v>Nakładki ochronne na pasy / komplet</v>
          </cell>
        </row>
        <row r="644">
          <cell r="A644">
            <v>2000024259</v>
          </cell>
          <cell r="B644" t="str">
            <v>ADVANSAFIX ll / ADVANSAFIX II SICT / ADVANSAFIX III SICT</v>
          </cell>
          <cell r="C644" t="str">
            <v xml:space="preserve">SHOULDER PAD SET </v>
          </cell>
          <cell r="D644" t="str">
            <v>Schulterpolster Set</v>
          </cell>
          <cell r="E644" t="str">
            <v>COUSSINETS DE POITRINE</v>
          </cell>
          <cell r="F644" t="str">
            <v>Nakładki ochronne na pasy / komplet</v>
          </cell>
        </row>
        <row r="645">
          <cell r="A645">
            <v>2000024260</v>
          </cell>
          <cell r="B645" t="str">
            <v>ADVANSAFIX ll / ADVANSAFIX II SICT / ADVANSAFIX III SICT</v>
          </cell>
          <cell r="C645" t="str">
            <v xml:space="preserve">SHOULDER PAD SET </v>
          </cell>
          <cell r="D645" t="str">
            <v>Schulterpolster Set</v>
          </cell>
          <cell r="E645" t="str">
            <v>COUSSINETS DE POITRINE</v>
          </cell>
          <cell r="F645" t="str">
            <v>Nakładki ochronne na pasy / komplet</v>
          </cell>
        </row>
        <row r="646">
          <cell r="A646">
            <v>2000024255</v>
          </cell>
          <cell r="B646" t="str">
            <v>ADVANSAFIX ll / ADVANSAFIX II SICT / ADVANSAFIX III SICT</v>
          </cell>
          <cell r="C646" t="str">
            <v xml:space="preserve">SHOULDER PAD SET </v>
          </cell>
          <cell r="D646" t="str">
            <v>Schulterpolster Set</v>
          </cell>
          <cell r="E646" t="str">
            <v>COUSSINETS DE POITRINE</v>
          </cell>
          <cell r="F646" t="str">
            <v>Nakładki ochronne na pasy / komplet</v>
          </cell>
        </row>
        <row r="647">
          <cell r="A647">
            <v>2000024294</v>
          </cell>
          <cell r="B647" t="str">
            <v>MULTI-TECH ll / MULTI-TECH III</v>
          </cell>
          <cell r="C647" t="str">
            <v xml:space="preserve">SHOULDER PAD SET </v>
          </cell>
          <cell r="D647" t="str">
            <v>Schulterpolster Set</v>
          </cell>
          <cell r="E647" t="str">
            <v>COUSSINETS DE POITRINE</v>
          </cell>
          <cell r="F647" t="str">
            <v>Nakładki ochronne na pasy / komplet</v>
          </cell>
        </row>
        <row r="648">
          <cell r="A648">
            <v>2000024472</v>
          </cell>
          <cell r="B648" t="e">
            <v>#N/A</v>
          </cell>
          <cell r="C648" t="str">
            <v>SHOULDER PAD SET FR</v>
          </cell>
          <cell r="D648" t="str">
            <v>Schulterpolster Set</v>
          </cell>
          <cell r="E648" t="str">
            <v>COUSSINETS DE POITRINE</v>
          </cell>
          <cell r="F648" t="str">
            <v>Nakładki ochronne na pasy / komplet</v>
          </cell>
        </row>
        <row r="649">
          <cell r="A649">
            <v>2000024579</v>
          </cell>
          <cell r="B649" t="e">
            <v>#N/A</v>
          </cell>
          <cell r="C649" t="str">
            <v>SHOULDER PAD SET FR</v>
          </cell>
          <cell r="D649" t="str">
            <v>Schulterpolster Set</v>
          </cell>
          <cell r="E649" t="str">
            <v>COUSSINETS DE POITRINE</v>
          </cell>
          <cell r="F649" t="str">
            <v>Nakładki ochronne na pasy / komplet</v>
          </cell>
        </row>
        <row r="650">
          <cell r="A650">
            <v>2000025641</v>
          </cell>
          <cell r="B650" t="str">
            <v>BABY-SAFE i-SIZE</v>
          </cell>
          <cell r="C650" t="str">
            <v>SUN CANOPY</v>
          </cell>
          <cell r="D650" t="str">
            <v>Sonnenverdeck</v>
          </cell>
          <cell r="E650" t="str">
            <v>CANOPY</v>
          </cell>
          <cell r="F650" t="str">
            <v>Daszek przeciwsłoneczny</v>
          </cell>
        </row>
        <row r="651">
          <cell r="A651">
            <v>2000025642</v>
          </cell>
          <cell r="B651" t="str">
            <v>BABY-SAFE i-SIZE</v>
          </cell>
          <cell r="C651" t="str">
            <v>SUN CANOPY</v>
          </cell>
          <cell r="D651" t="str">
            <v>Sonnenverdeck</v>
          </cell>
          <cell r="E651" t="str">
            <v>CANOPY</v>
          </cell>
          <cell r="F651" t="str">
            <v>Daszek przeciwsłoneczny</v>
          </cell>
        </row>
        <row r="652">
          <cell r="A652">
            <v>2000025643</v>
          </cell>
          <cell r="B652" t="str">
            <v>BABY-SAFE i-SIZE</v>
          </cell>
          <cell r="C652" t="str">
            <v>SUN CANOPY</v>
          </cell>
          <cell r="D652" t="str">
            <v>Sonnenverdeck</v>
          </cell>
          <cell r="E652" t="str">
            <v>CANOPY</v>
          </cell>
          <cell r="F652" t="str">
            <v>Daszek przeciwsłoneczny</v>
          </cell>
        </row>
        <row r="653">
          <cell r="A653">
            <v>2000025644</v>
          </cell>
          <cell r="B653" t="str">
            <v>BABY-SAFE i-SIZE</v>
          </cell>
          <cell r="C653" t="str">
            <v>SUN CANOPY</v>
          </cell>
          <cell r="D653" t="str">
            <v>Sonnenverdeck</v>
          </cell>
          <cell r="E653" t="str">
            <v>CANOPY</v>
          </cell>
          <cell r="F653" t="str">
            <v>Daszek przeciwsłoneczny</v>
          </cell>
        </row>
        <row r="654">
          <cell r="A654">
            <v>2000026197</v>
          </cell>
          <cell r="B654" t="str">
            <v>BABY-SAFE i-SIZE</v>
          </cell>
          <cell r="C654" t="str">
            <v>SUN CANOPY</v>
          </cell>
          <cell r="D654" t="str">
            <v>Sonnenverdeck</v>
          </cell>
          <cell r="E654" t="str">
            <v>CANOPY</v>
          </cell>
          <cell r="F654" t="str">
            <v>Daszek przeciwsłoneczny</v>
          </cell>
        </row>
        <row r="655">
          <cell r="A655">
            <v>2000026198</v>
          </cell>
          <cell r="B655" t="str">
            <v>BABY-SAFE i-SIZE</v>
          </cell>
          <cell r="C655" t="str">
            <v>SUN CANOPY</v>
          </cell>
          <cell r="D655" t="str">
            <v>Sonnenverdeck</v>
          </cell>
          <cell r="E655" t="str">
            <v>CANOPY</v>
          </cell>
          <cell r="F655" t="str">
            <v>Daszek przeciwsłoneczny</v>
          </cell>
        </row>
        <row r="656">
          <cell r="A656">
            <v>2000026199</v>
          </cell>
          <cell r="B656" t="str">
            <v>BABY-SAFE i-SIZE</v>
          </cell>
          <cell r="C656" t="str">
            <v>SUN CANOPY</v>
          </cell>
          <cell r="D656" t="str">
            <v>Sonnenverdeck</v>
          </cell>
          <cell r="E656" t="str">
            <v>CANOPY</v>
          </cell>
          <cell r="F656" t="str">
            <v>Daszek przeciwsłoneczny</v>
          </cell>
        </row>
        <row r="657">
          <cell r="A657">
            <v>2000026200</v>
          </cell>
          <cell r="B657" t="str">
            <v>BABY-SAFE i-SIZE</v>
          </cell>
          <cell r="C657" t="str">
            <v>SUN CANOPY</v>
          </cell>
          <cell r="D657" t="str">
            <v>Sonnenverdeck</v>
          </cell>
          <cell r="E657" t="str">
            <v>CANOPY</v>
          </cell>
          <cell r="F657" t="str">
            <v>Daszek przeciwsłoneczny</v>
          </cell>
        </row>
        <row r="658">
          <cell r="A658">
            <v>2000029653</v>
          </cell>
          <cell r="B658" t="str">
            <v>BABY-SAFE i-SIZE</v>
          </cell>
          <cell r="C658" t="str">
            <v>SUN CANOPY</v>
          </cell>
          <cell r="D658" t="str">
            <v>Sonnenverdeck</v>
          </cell>
          <cell r="E658" t="str">
            <v>CANOPY</v>
          </cell>
          <cell r="F658" t="str">
            <v>Daszek przeciwsłoneczny</v>
          </cell>
        </row>
        <row r="659">
          <cell r="A659">
            <v>2000029633</v>
          </cell>
          <cell r="B659" t="str">
            <v>BABY-SAFE i-SIZE</v>
          </cell>
          <cell r="C659" t="str">
            <v>SUN CANOPY</v>
          </cell>
          <cell r="D659" t="str">
            <v>Sonnenverdeck</v>
          </cell>
          <cell r="E659" t="str">
            <v>CANOPY</v>
          </cell>
          <cell r="F659" t="str">
            <v>Daszek przeciwsłoneczny</v>
          </cell>
        </row>
        <row r="660">
          <cell r="A660">
            <v>2000029634</v>
          </cell>
          <cell r="B660" t="str">
            <v>BABY-SAFE i-SIZE</v>
          </cell>
          <cell r="C660" t="str">
            <v>SUN CANOPY</v>
          </cell>
          <cell r="D660" t="str">
            <v>Sonnenverdeck</v>
          </cell>
          <cell r="E660" t="str">
            <v>CANOPY</v>
          </cell>
          <cell r="F660" t="str">
            <v>Daszek przeciwsłoneczny</v>
          </cell>
        </row>
        <row r="661">
          <cell r="A661">
            <v>2000029635</v>
          </cell>
          <cell r="B661" t="str">
            <v>BABY-SAFE i-SIZE</v>
          </cell>
          <cell r="C661" t="str">
            <v>SUN CANOPY</v>
          </cell>
          <cell r="D661" t="str">
            <v>Sonnenverdeck</v>
          </cell>
          <cell r="E661" t="str">
            <v>CANOPY</v>
          </cell>
          <cell r="F661" t="str">
            <v>Daszek przeciwsłoneczny</v>
          </cell>
        </row>
        <row r="662">
          <cell r="A662">
            <v>2000029636</v>
          </cell>
          <cell r="B662" t="str">
            <v>BABY-SAFE i-SIZE</v>
          </cell>
          <cell r="C662" t="str">
            <v>SUN CANOPY</v>
          </cell>
          <cell r="D662" t="str">
            <v>Sonnenverdeck</v>
          </cell>
          <cell r="E662" t="str">
            <v>CANOPY</v>
          </cell>
          <cell r="F662" t="str">
            <v>Daszek przeciwsłoneczny</v>
          </cell>
        </row>
        <row r="663">
          <cell r="A663">
            <v>2000029637</v>
          </cell>
          <cell r="B663" t="str">
            <v>BABY-SAFE i-SIZE</v>
          </cell>
          <cell r="C663" t="str">
            <v>SUN CANOPY</v>
          </cell>
          <cell r="D663" t="str">
            <v>Sonnenverdeck</v>
          </cell>
          <cell r="E663" t="str">
            <v>CANOPY</v>
          </cell>
          <cell r="F663" t="str">
            <v>Daszek przeciwsłoneczny</v>
          </cell>
        </row>
        <row r="664">
          <cell r="A664">
            <v>2000026853</v>
          </cell>
          <cell r="B664" t="str">
            <v>BABY-SAFE</v>
          </cell>
          <cell r="C664" t="str">
            <v>SUN CANOPY</v>
          </cell>
          <cell r="D664" t="str">
            <v xml:space="preserve">Sonnenverdeck </v>
          </cell>
          <cell r="E664" t="str">
            <v>CANOPY</v>
          </cell>
          <cell r="F664" t="str">
            <v>Daszek przeciwsłoneczny</v>
          </cell>
        </row>
        <row r="665">
          <cell r="A665">
            <v>2000026856</v>
          </cell>
          <cell r="B665" t="e">
            <v>#N/A</v>
          </cell>
          <cell r="C665" t="str">
            <v>SUN CANOPY</v>
          </cell>
          <cell r="D665" t="str">
            <v xml:space="preserve">Sonnenverdeck </v>
          </cell>
          <cell r="E665" t="str">
            <v>CANOPY</v>
          </cell>
          <cell r="F665" t="str">
            <v>Daszek przeciwsłoneczny</v>
          </cell>
        </row>
        <row r="666">
          <cell r="A666">
            <v>2000026857</v>
          </cell>
          <cell r="B666" t="e">
            <v>#N/A</v>
          </cell>
          <cell r="C666" t="str">
            <v>SUN CANOPY</v>
          </cell>
          <cell r="D666" t="str">
            <v xml:space="preserve">Sonnenverdeck </v>
          </cell>
          <cell r="E666" t="str">
            <v>CANOPY</v>
          </cell>
          <cell r="F666" t="str">
            <v>Daszek przeciwsłoneczny</v>
          </cell>
        </row>
        <row r="667">
          <cell r="A667">
            <v>2000029638</v>
          </cell>
          <cell r="B667" t="str">
            <v>BABY-SAFE</v>
          </cell>
          <cell r="C667" t="str">
            <v>SUN CANOPY</v>
          </cell>
          <cell r="D667" t="str">
            <v xml:space="preserve">Sonnenverdeck </v>
          </cell>
          <cell r="E667" t="str">
            <v>CANOPY</v>
          </cell>
          <cell r="F667" t="str">
            <v>Daszek przeciwsłoneczny</v>
          </cell>
        </row>
        <row r="668">
          <cell r="A668">
            <v>2000029639</v>
          </cell>
          <cell r="B668" t="str">
            <v>BABY-SAFE</v>
          </cell>
          <cell r="C668" t="str">
            <v>SUN CANOPY</v>
          </cell>
          <cell r="D668" t="str">
            <v xml:space="preserve">Sonnenverdeck </v>
          </cell>
          <cell r="E668" t="str">
            <v>CANOPY</v>
          </cell>
          <cell r="F668" t="str">
            <v>Daszek przeciwsłoneczny</v>
          </cell>
        </row>
        <row r="669">
          <cell r="A669">
            <v>2000024320</v>
          </cell>
          <cell r="B669" t="str">
            <v>PRIMO</v>
          </cell>
          <cell r="C669" t="str">
            <v xml:space="preserve">SUN CANOPY </v>
          </cell>
          <cell r="D669" t="str">
            <v>Sonnenverdeck</v>
          </cell>
          <cell r="E669" t="str">
            <v>CANOPY</v>
          </cell>
          <cell r="F669" t="str">
            <v>Daszek przeciwsłoneczny</v>
          </cell>
        </row>
        <row r="670">
          <cell r="A670">
            <v>2000024321</v>
          </cell>
          <cell r="B670" t="str">
            <v>PRIMO</v>
          </cell>
          <cell r="C670" t="str">
            <v xml:space="preserve">SUN CANOPY </v>
          </cell>
          <cell r="D670" t="str">
            <v>Sonnenverdeck</v>
          </cell>
          <cell r="E670" t="str">
            <v>CANOPY</v>
          </cell>
          <cell r="F670" t="str">
            <v>Daszek przeciwsłoneczny</v>
          </cell>
        </row>
        <row r="671">
          <cell r="A671">
            <v>2000024322</v>
          </cell>
          <cell r="B671" t="str">
            <v>PRIMO</v>
          </cell>
          <cell r="C671" t="str">
            <v xml:space="preserve">SUN CANOPY </v>
          </cell>
          <cell r="D671" t="str">
            <v>Sonnenverdeck</v>
          </cell>
          <cell r="E671" t="str">
            <v>CANOPY</v>
          </cell>
          <cell r="F671" t="str">
            <v>Daszek przeciwsłoneczny</v>
          </cell>
        </row>
        <row r="672">
          <cell r="A672">
            <v>2000024323</v>
          </cell>
          <cell r="B672" t="str">
            <v>PRIMO</v>
          </cell>
          <cell r="C672" t="str">
            <v xml:space="preserve">SUN CANOPY </v>
          </cell>
          <cell r="D672" t="str">
            <v>Sonnenverdeck</v>
          </cell>
          <cell r="E672" t="str">
            <v>CANOPY</v>
          </cell>
          <cell r="F672" t="str">
            <v>Daszek przeciwsłoneczny</v>
          </cell>
        </row>
        <row r="673">
          <cell r="A673">
            <v>2000026168</v>
          </cell>
          <cell r="B673" t="str">
            <v>PRIMO</v>
          </cell>
          <cell r="C673" t="str">
            <v xml:space="preserve">SUN CANOPY </v>
          </cell>
          <cell r="D673" t="str">
            <v>Sonnenverdeck</v>
          </cell>
          <cell r="E673" t="str">
            <v>CANOPY</v>
          </cell>
          <cell r="F673" t="str">
            <v>Daszek przeciwsłoneczny</v>
          </cell>
        </row>
        <row r="674">
          <cell r="A674">
            <v>2000027359</v>
          </cell>
          <cell r="B674" t="str">
            <v>PRIMO</v>
          </cell>
          <cell r="C674" t="str">
            <v xml:space="preserve">SUN CANOPY </v>
          </cell>
          <cell r="D674" t="str">
            <v>Sonnenverdeck</v>
          </cell>
          <cell r="E674" t="str">
            <v>CANOPY</v>
          </cell>
          <cell r="F674" t="str">
            <v>Daszek przeciwsłoneczny</v>
          </cell>
        </row>
        <row r="675">
          <cell r="A675">
            <v>2000027163</v>
          </cell>
          <cell r="B675" t="e">
            <v>#N/A</v>
          </cell>
          <cell r="C675" t="str">
            <v xml:space="preserve">SUN CANOPY </v>
          </cell>
          <cell r="D675" t="str">
            <v>Sonnenverdeck</v>
          </cell>
          <cell r="E675" t="str">
            <v>CANOPY</v>
          </cell>
          <cell r="F675" t="str">
            <v>Daszek przeciwsłoneczny</v>
          </cell>
        </row>
        <row r="676">
          <cell r="A676">
            <v>2000024330</v>
          </cell>
          <cell r="B676" t="str">
            <v>BABY SAFE plus II / SHR (A20)</v>
          </cell>
          <cell r="C676" t="str">
            <v xml:space="preserve">SUN CANOPY </v>
          </cell>
          <cell r="D676" t="str">
            <v>Sonnenverdeck</v>
          </cell>
          <cell r="E676" t="str">
            <v>CANOPY</v>
          </cell>
          <cell r="F676" t="str">
            <v>Daszek przeciwsłoneczny</v>
          </cell>
        </row>
        <row r="677">
          <cell r="A677">
            <v>2000024331</v>
          </cell>
          <cell r="B677" t="str">
            <v>BABY SAFE plus II / SHR (A20)</v>
          </cell>
          <cell r="C677" t="str">
            <v xml:space="preserve">SUN CANOPY </v>
          </cell>
          <cell r="D677" t="str">
            <v>Sonnenverdeck</v>
          </cell>
          <cell r="E677" t="str">
            <v>CANOPY</v>
          </cell>
          <cell r="F677" t="str">
            <v>Daszek przeciwsłoneczny</v>
          </cell>
        </row>
        <row r="678">
          <cell r="A678">
            <v>2000024335</v>
          </cell>
          <cell r="B678" t="str">
            <v>BABY SAFE plus II / SHR (A20)</v>
          </cell>
          <cell r="C678" t="str">
            <v xml:space="preserve">SUN CANOPY </v>
          </cell>
          <cell r="D678" t="str">
            <v>Sonnenverdeck</v>
          </cell>
          <cell r="E678" t="str">
            <v>CANOPY</v>
          </cell>
          <cell r="F678" t="str">
            <v>Daszek przeciwsłoneczny</v>
          </cell>
        </row>
        <row r="679">
          <cell r="A679">
            <v>2000024333</v>
          </cell>
          <cell r="B679" t="str">
            <v>BABY SAFE plus II / SHR (A20)</v>
          </cell>
          <cell r="C679" t="str">
            <v xml:space="preserve">SUN CANOPY </v>
          </cell>
          <cell r="D679" t="str">
            <v>Sonnenverdeck</v>
          </cell>
          <cell r="E679" t="str">
            <v>CANOPY</v>
          </cell>
          <cell r="F679" t="str">
            <v>Daszek przeciwsłoneczny</v>
          </cell>
        </row>
        <row r="680">
          <cell r="A680">
            <v>2000024332</v>
          </cell>
          <cell r="B680" t="str">
            <v>BABY SAFE plus II / SHR (A20)</v>
          </cell>
          <cell r="C680" t="str">
            <v xml:space="preserve">SUN CANOPY </v>
          </cell>
          <cell r="D680" t="str">
            <v>Sonnenverdeck</v>
          </cell>
          <cell r="E680" t="str">
            <v>CANOPY</v>
          </cell>
          <cell r="F680" t="str">
            <v>Daszek przeciwsłoneczny</v>
          </cell>
        </row>
        <row r="681">
          <cell r="A681">
            <v>2000024334</v>
          </cell>
          <cell r="B681" t="str">
            <v>BABY SAFE plus II / SHR (A20)</v>
          </cell>
          <cell r="C681" t="str">
            <v xml:space="preserve">SUN CANOPY </v>
          </cell>
          <cell r="D681" t="str">
            <v>Sonnenverdeck</v>
          </cell>
          <cell r="E681" t="str">
            <v>CANOPY</v>
          </cell>
          <cell r="F681" t="str">
            <v>Daszek przeciwsłoneczny</v>
          </cell>
        </row>
        <row r="682">
          <cell r="A682">
            <v>2000026166</v>
          </cell>
          <cell r="B682" t="str">
            <v>BABY SAFE plus II / SHR (A20)</v>
          </cell>
          <cell r="C682" t="str">
            <v xml:space="preserve">SUN CANOPY </v>
          </cell>
          <cell r="D682" t="str">
            <v>Sonnenverdeck</v>
          </cell>
          <cell r="E682" t="str">
            <v>CANOPY</v>
          </cell>
          <cell r="F682" t="str">
            <v>Daszek przeciwsłoneczny</v>
          </cell>
        </row>
        <row r="683">
          <cell r="A683">
            <v>2000029640</v>
          </cell>
          <cell r="B683" t="str">
            <v>BABY SAFE plus II / SHR (A20)</v>
          </cell>
          <cell r="C683" t="str">
            <v xml:space="preserve">SUN CANOPY </v>
          </cell>
          <cell r="D683" t="str">
            <v>Sonnenverdeck</v>
          </cell>
          <cell r="E683" t="str">
            <v>CANOPY</v>
          </cell>
          <cell r="F683" t="str">
            <v>Daszek przeciwsłoneczny</v>
          </cell>
        </row>
        <row r="684">
          <cell r="A684">
            <v>2000029641</v>
          </cell>
          <cell r="B684" t="str">
            <v>BABY SAFE plus II / SHR (A20)</v>
          </cell>
          <cell r="C684" t="str">
            <v xml:space="preserve">SUN CANOPY </v>
          </cell>
          <cell r="D684" t="str">
            <v>Sonnenverdeck</v>
          </cell>
          <cell r="E684" t="str">
            <v>CANOPY</v>
          </cell>
          <cell r="F684" t="str">
            <v>Daszek przeciwsłoneczny</v>
          </cell>
        </row>
        <row r="685">
          <cell r="A685">
            <v>2000012171</v>
          </cell>
          <cell r="B685" t="str">
            <v>BRITAX GO</v>
          </cell>
          <cell r="C685" t="str">
            <v xml:space="preserve">SUSPENSION REPAIR KIT </v>
          </cell>
          <cell r="D685" t="str">
            <v xml:space="preserve">Federung Reparatur Set </v>
          </cell>
          <cell r="E685" t="str">
            <v xml:space="preserve">KIT réparation SUSPENSION </v>
          </cell>
          <cell r="F685" t="str">
            <v>Zestaw naprawczy zawieszenia</v>
          </cell>
        </row>
        <row r="686">
          <cell r="A686">
            <v>2000025124</v>
          </cell>
          <cell r="B686" t="str">
            <v>BRITAX GO BIG</v>
          </cell>
          <cell r="C686" t="str">
            <v xml:space="preserve">SUSPENSION REPAIR KIT </v>
          </cell>
          <cell r="D686" t="str">
            <v xml:space="preserve">Federung Reparatur Set </v>
          </cell>
          <cell r="E686" t="str">
            <v xml:space="preserve">KIT réparation SUSPENSION </v>
          </cell>
          <cell r="F686" t="str">
            <v>Zestaw naprawczy zawieszenia</v>
          </cell>
        </row>
        <row r="687">
          <cell r="A687">
            <v>2000012173</v>
          </cell>
          <cell r="B687" t="str">
            <v>BRITAX GO</v>
          </cell>
          <cell r="C687" t="str">
            <v xml:space="preserve">SWIVEL ATTACHMENT REPAIR KIT </v>
          </cell>
          <cell r="D687" t="str">
            <v xml:space="preserve">Schwenkrad Befestigungs Reparatur Set </v>
          </cell>
          <cell r="E687" t="str">
            <v xml:space="preserve">Kit réparation fixation roue pivotante 
</v>
          </cell>
          <cell r="F687" t="str">
            <v>Zestaw naprawczy mocowania koła skrętnego</v>
          </cell>
        </row>
        <row r="688">
          <cell r="A688">
            <v>2000025125</v>
          </cell>
          <cell r="B688" t="str">
            <v>BRITAX GO BIG</v>
          </cell>
          <cell r="C688" t="str">
            <v xml:space="preserve">SWIVEL ATTACHMENT REPAIR KIT </v>
          </cell>
          <cell r="D688" t="str">
            <v xml:space="preserve">Schwenkrad Befestigungs Reparatur Set </v>
          </cell>
          <cell r="E688" t="str">
            <v xml:space="preserve">Kit réparation fixation roue pivotante 
</v>
          </cell>
          <cell r="F688" t="str">
            <v>Zestaw naprawczy mocowania koła skrętnego</v>
          </cell>
        </row>
        <row r="689">
          <cell r="A689">
            <v>2000011691</v>
          </cell>
          <cell r="B689" t="str">
            <v>BRITAX SMILE 2</v>
          </cell>
          <cell r="C689" t="str">
            <v xml:space="preserve">SWIVEL PART SET </v>
          </cell>
          <cell r="D689" t="str">
            <v xml:space="preserve">Schwenkrad Befestigungs Reparatur Set </v>
          </cell>
          <cell r="E689" t="str">
            <v>Set fixation roue pivotante</v>
          </cell>
          <cell r="F689" t="str">
            <v>Zestaw naprawczy mechanizmu mocowania koła skrętnego</v>
          </cell>
        </row>
        <row r="690">
          <cell r="A690">
            <v>2000003868</v>
          </cell>
          <cell r="B690" t="str">
            <v>KING plus</v>
          </cell>
          <cell r="C690" t="str">
            <v>TENSION FLAP GRIP SET</v>
          </cell>
          <cell r="D690" t="str">
            <v>Spannklappenrad Set</v>
          </cell>
          <cell r="E690" t="str">
            <v>CAPUCHONS POUR BARRE DE TENSION</v>
          </cell>
          <cell r="F690" t="str">
            <v xml:space="preserve">Zestaw napinaczy </v>
          </cell>
        </row>
        <row r="691">
          <cell r="A691">
            <v>2000025135</v>
          </cell>
          <cell r="B691" t="str">
            <v>BRITAX GO BIG</v>
          </cell>
          <cell r="C691" t="str">
            <v xml:space="preserve">TEXTIL BASKET </v>
          </cell>
          <cell r="D691" t="str">
            <v>Korb</v>
          </cell>
          <cell r="E691" t="str">
            <v>PANIER</v>
          </cell>
          <cell r="F691" t="str">
            <v>Kosz</v>
          </cell>
        </row>
        <row r="692">
          <cell r="A692">
            <v>2000029364</v>
          </cell>
          <cell r="B692" t="str">
            <v>BRITAX GO BIG</v>
          </cell>
          <cell r="C692" t="str">
            <v xml:space="preserve">TEXTIL BASKET </v>
          </cell>
          <cell r="D692" t="str">
            <v>Korb</v>
          </cell>
          <cell r="E692" t="str">
            <v>PANIER</v>
          </cell>
          <cell r="F692" t="str">
            <v>Kosz</v>
          </cell>
        </row>
        <row r="693">
          <cell r="A693">
            <v>2000029365</v>
          </cell>
          <cell r="B693" t="str">
            <v>BRITAX GO BIG</v>
          </cell>
          <cell r="C693" t="str">
            <v xml:space="preserve">TEXTIL BASKET </v>
          </cell>
          <cell r="D693" t="str">
            <v>Korb</v>
          </cell>
          <cell r="E693" t="str">
            <v>PANIER</v>
          </cell>
          <cell r="F693" t="str">
            <v>Kosz</v>
          </cell>
        </row>
        <row r="694">
          <cell r="A694">
            <v>2000027470</v>
          </cell>
          <cell r="B694" t="str">
            <v>BRITAX HOLIDAY</v>
          </cell>
          <cell r="C694" t="str">
            <v xml:space="preserve">TEXTIL BASKET </v>
          </cell>
          <cell r="D694" t="str">
            <v>Korb</v>
          </cell>
          <cell r="E694" t="str">
            <v>PANIER</v>
          </cell>
          <cell r="F694" t="str">
            <v>Kosz</v>
          </cell>
        </row>
        <row r="695">
          <cell r="A695">
            <v>2000027474</v>
          </cell>
          <cell r="B695" t="str">
            <v>B-LITE</v>
          </cell>
          <cell r="C695" t="str">
            <v xml:space="preserve">TEXTIL BASKET </v>
          </cell>
          <cell r="D695" t="str">
            <v>Korb</v>
          </cell>
          <cell r="E695" t="str">
            <v>PANIER</v>
          </cell>
          <cell r="F695" t="str">
            <v>Kosz</v>
          </cell>
        </row>
        <row r="696">
          <cell r="A696">
            <v>2000012167</v>
          </cell>
          <cell r="B696" t="str">
            <v>BRITAX GO</v>
          </cell>
          <cell r="C696" t="str">
            <v xml:space="preserve">TEXTIL BASKET </v>
          </cell>
          <cell r="D696" t="str">
            <v>Korb</v>
          </cell>
          <cell r="E696" t="str">
            <v>PANIER</v>
          </cell>
          <cell r="F696" t="str">
            <v>Kosz</v>
          </cell>
        </row>
        <row r="697">
          <cell r="A697">
            <v>2000012168</v>
          </cell>
          <cell r="B697" t="str">
            <v>BRITAX GO NEXT</v>
          </cell>
          <cell r="C697" t="str">
            <v xml:space="preserve">TEXTIL BASKET </v>
          </cell>
          <cell r="D697" t="str">
            <v>Korb</v>
          </cell>
          <cell r="E697" t="str">
            <v>PANIER</v>
          </cell>
          <cell r="F697" t="str">
            <v>Kosz</v>
          </cell>
        </row>
        <row r="698">
          <cell r="A698">
            <v>2000029366</v>
          </cell>
          <cell r="B698" t="str">
            <v>BRITAX GO NEXT</v>
          </cell>
          <cell r="C698" t="str">
            <v xml:space="preserve">TEXTIL BASKET </v>
          </cell>
          <cell r="D698" t="str">
            <v>Korb</v>
          </cell>
          <cell r="E698" t="str">
            <v>PANIER</v>
          </cell>
          <cell r="F698" t="str">
            <v>Kosz</v>
          </cell>
        </row>
        <row r="699">
          <cell r="A699">
            <v>2000029367</v>
          </cell>
          <cell r="B699" t="str">
            <v>BRITAX GO NEXT</v>
          </cell>
          <cell r="C699" t="str">
            <v xml:space="preserve">TEXTIL BASKET </v>
          </cell>
          <cell r="D699" t="str">
            <v>Korb</v>
          </cell>
          <cell r="E699" t="str">
            <v>PANIER</v>
          </cell>
          <cell r="F699" t="str">
            <v>Kosz</v>
          </cell>
        </row>
        <row r="700">
          <cell r="A700">
            <v>2000025113</v>
          </cell>
          <cell r="B700" t="str">
            <v>BRITAX SMILE 2</v>
          </cell>
          <cell r="C700" t="str">
            <v xml:space="preserve">UPPER HANDLE BAR INCL. FASTENER AND KNEE JOINT </v>
          </cell>
          <cell r="D700" t="str">
            <v xml:space="preserve">Griff-Reparatur Set </v>
          </cell>
          <cell r="E700" t="str">
            <v xml:space="preserve">Poignée avec fixation et articulation </v>
          </cell>
          <cell r="F700" t="str">
            <v>Zestaw naprawczy uchwytu stelaża z przegubami</v>
          </cell>
        </row>
        <row r="701">
          <cell r="A701">
            <v>2000010924</v>
          </cell>
          <cell r="B701" t="str">
            <v>DUALFIX</v>
          </cell>
          <cell r="C701" t="str">
            <v>USER GUIDE COMPARTMENT</v>
          </cell>
          <cell r="D701" t="str">
            <v>Fach Bedienungsanleitung</v>
          </cell>
          <cell r="E701" t="str">
            <v>COMPARTIMENT POUR NOTICE</v>
          </cell>
          <cell r="F701" t="str">
            <v>Osłona komory na instrukcję obsługi</v>
          </cell>
        </row>
        <row r="702">
          <cell r="A702">
            <v>2000010837</v>
          </cell>
          <cell r="B702" t="str">
            <v>MAX-FIX</v>
          </cell>
          <cell r="C702" t="str">
            <v>USER GUIDE COMPARTMENT</v>
          </cell>
          <cell r="D702" t="str">
            <v>Fach Bedienungsanleitung</v>
          </cell>
          <cell r="E702" t="str">
            <v>COMPARTIMENT POUR NOTICE</v>
          </cell>
          <cell r="F702" t="str">
            <v>Osłona komory na instrukcję obsługi</v>
          </cell>
        </row>
        <row r="703">
          <cell r="A703">
            <v>2000027480</v>
          </cell>
          <cell r="B703" t="str">
            <v>TRIFIX i-SIZE / TRIFIX² i-SIZE</v>
          </cell>
          <cell r="C703" t="str">
            <v>USER GUIDE COMPARTMENT</v>
          </cell>
          <cell r="D703" t="str">
            <v>Fach Bedienungsanleitung</v>
          </cell>
          <cell r="E703" t="str">
            <v>COMPARTIMENT POUR NOTICE</v>
          </cell>
          <cell r="F703" t="str">
            <v>Osłona komory na instrukcję obsługi</v>
          </cell>
        </row>
        <row r="704">
          <cell r="A704">
            <v>2000007007</v>
          </cell>
          <cell r="B704" t="str">
            <v>TRIFIX</v>
          </cell>
          <cell r="C704" t="str">
            <v>USER GUIDE COMPARTMENT</v>
          </cell>
          <cell r="D704" t="str">
            <v xml:space="preserve">Fach Bedienungsanleitung </v>
          </cell>
          <cell r="E704" t="str">
            <v>COMPARTIMENT POUR NOTICE</v>
          </cell>
          <cell r="F704" t="str">
            <v>Osłona komory na instrukcję obsługi</v>
          </cell>
        </row>
        <row r="705">
          <cell r="A705">
            <v>2000006624</v>
          </cell>
          <cell r="B705" t="str">
            <v>BABY SAFE plus II / SHR (A20)</v>
          </cell>
          <cell r="C705" t="str">
            <v>USER GUIDE COMPARTMENT</v>
          </cell>
          <cell r="D705" t="str">
            <v>Fach Bedienungsanleitung</v>
          </cell>
          <cell r="E705" t="str">
            <v>COMPARTIMENT POUR NOTICE</v>
          </cell>
          <cell r="F705" t="str">
            <v>Osłona komory na instrukcję obsługi</v>
          </cell>
        </row>
        <row r="706">
          <cell r="A706">
            <v>2000026836</v>
          </cell>
          <cell r="B706" t="str">
            <v>JOCKEY RELAX</v>
          </cell>
          <cell r="C706" t="str">
            <v>USER GUIDE COMPARTMENT</v>
          </cell>
          <cell r="D706" t="str">
            <v>Fach Bedienungsanleitung</v>
          </cell>
          <cell r="E706" t="str">
            <v>COMPARTIMENT POUR NOTICE</v>
          </cell>
          <cell r="F706" t="str">
            <v>Osłona komory na instrukcję obsługi</v>
          </cell>
        </row>
        <row r="707">
          <cell r="A707">
            <v>2000025627</v>
          </cell>
          <cell r="B707" t="str">
            <v>BABY-SAFE i-SIZE</v>
          </cell>
          <cell r="C707" t="str">
            <v>USER GUIDE COMPARTMENT</v>
          </cell>
          <cell r="D707" t="str">
            <v>Fach Bedienungsanleitung</v>
          </cell>
          <cell r="E707" t="str">
            <v>COMPARTIMENT POUR NOTICE</v>
          </cell>
          <cell r="F707" t="str">
            <v>Osłona komory na instrukcję obsługi</v>
          </cell>
        </row>
        <row r="708">
          <cell r="A708">
            <v>2000026835</v>
          </cell>
          <cell r="B708" t="str">
            <v>BABY SAFE plus II / SHR (A20)</v>
          </cell>
          <cell r="C708" t="str">
            <v>Wave Washer SUN CANOPY</v>
          </cell>
          <cell r="D708" t="str">
            <v>Wellfederscheibe für Sonnenverdeck</v>
          </cell>
          <cell r="E708" t="str">
            <v>Rondelles fixation canopy (2 pièces)</v>
          </cell>
          <cell r="F708" t="str">
            <v>Podkładka falista (regulacja daszka)</v>
          </cell>
        </row>
        <row r="709">
          <cell r="A709">
            <v>2000008005</v>
          </cell>
          <cell r="B709" t="str">
            <v>B-AGILE 3</v>
          </cell>
          <cell r="C709" t="str">
            <v>WHEEL SET</v>
          </cell>
          <cell r="D709" t="str">
            <v>Räder Set</v>
          </cell>
          <cell r="E709" t="str">
            <v>SET DE ROUES (Black)</v>
          </cell>
          <cell r="F709" t="str">
            <v>Komplet kół</v>
          </cell>
        </row>
        <row r="710">
          <cell r="A710">
            <v>2000008006</v>
          </cell>
          <cell r="B710" t="str">
            <v>B-AGILE 3</v>
          </cell>
          <cell r="C710" t="str">
            <v>WHEEL SET</v>
          </cell>
          <cell r="D710" t="str">
            <v>Räder Set</v>
          </cell>
          <cell r="E710" t="str">
            <v>SET DE ROUES (Silver)</v>
          </cell>
          <cell r="F710" t="str">
            <v>Komplet kół</v>
          </cell>
        </row>
        <row r="711">
          <cell r="A711">
            <v>2000009627</v>
          </cell>
          <cell r="B711" t="str">
            <v>AFFINITY</v>
          </cell>
          <cell r="C711" t="str">
            <v>WHEEL TUBE</v>
          </cell>
          <cell r="D711" t="str">
            <v>Schlauch</v>
          </cell>
          <cell r="E711" t="str">
            <v>CHAMBRE à AIR</v>
          </cell>
          <cell r="F711" t="str">
            <v>Dętka koła</v>
          </cell>
        </row>
        <row r="712">
          <cell r="A712">
            <v>2000010360</v>
          </cell>
          <cell r="B712" t="str">
            <v>BOB REVOLUTION CE</v>
          </cell>
          <cell r="C712" t="str">
            <v>WHEEL TUBE</v>
          </cell>
          <cell r="D712" t="str">
            <v>Schlauch</v>
          </cell>
          <cell r="E712" t="str">
            <v>CHAMBRE à AIR (1 pièce)</v>
          </cell>
          <cell r="F712" t="str">
            <v>Dętka koła przedniego</v>
          </cell>
        </row>
        <row r="713">
          <cell r="A713">
            <v>2000010362</v>
          </cell>
          <cell r="B713" t="str">
            <v>BOB IRONMAN (Single)</v>
          </cell>
          <cell r="C713" t="str">
            <v>WHEEL TUBE FRONT/REAR</v>
          </cell>
          <cell r="D713" t="str">
            <v>Schlauch vorne/hinten</v>
          </cell>
          <cell r="E713" t="str">
            <v>CHAMBRE à AIR AVANT/ARRIèRE</v>
          </cell>
          <cell r="F713" t="str">
            <v>Dętka koła przedniego/tylnego</v>
          </cell>
        </row>
        <row r="714">
          <cell r="A714">
            <v>2000010361</v>
          </cell>
          <cell r="B714" t="str">
            <v>BOB REVOLUTION SE (Single)</v>
          </cell>
          <cell r="C714" t="str">
            <v>WHEEL TUBE REAR</v>
          </cell>
          <cell r="D714" t="str">
            <v>Schlauch hinten</v>
          </cell>
          <cell r="E714" t="str">
            <v>CHAMBRE à AIR arrière (1 pièce)</v>
          </cell>
          <cell r="F714" t="str">
            <v>Dętka koła tylnego</v>
          </cell>
        </row>
        <row r="715">
          <cell r="A715">
            <v>2000009448</v>
          </cell>
          <cell r="B715" t="str">
            <v>BOB REVOLUTION SE (Single)</v>
          </cell>
          <cell r="C715" t="str">
            <v>WHEEL TUBE SET (3 pcs)</v>
          </cell>
          <cell r="D715" t="str">
            <v>Schlauch Set (3 Stück)</v>
          </cell>
          <cell r="E715" t="str">
            <v>SET DE CHAMBRES à AIR (3 pièces)</v>
          </cell>
          <cell r="F715" t="str">
            <v>Komplet dętek (3 sztuki)</v>
          </cell>
        </row>
        <row r="716">
          <cell r="A716">
            <v>2000009450</v>
          </cell>
          <cell r="B716" t="str">
            <v>BOB IRONMAN (Single)</v>
          </cell>
          <cell r="C716" t="str">
            <v>WHEEL TUBE SET (3 pcs)</v>
          </cell>
          <cell r="D716" t="str">
            <v>Schlauch Set (3 Stück)</v>
          </cell>
          <cell r="E716" t="str">
            <v>SET DE CHAMBRES à AIR (3 pièces)</v>
          </cell>
          <cell r="F716" t="str">
            <v>Komplet dętek (3 sztuki)</v>
          </cell>
        </row>
        <row r="717">
          <cell r="A717">
            <v>2000009451</v>
          </cell>
          <cell r="B717" t="str">
            <v>BOB SUS (Single)</v>
          </cell>
          <cell r="C717" t="str">
            <v>WHEEL TUBE SET (3 pcs)</v>
          </cell>
          <cell r="D717" t="str">
            <v>Schlauch Set (3 Stück)</v>
          </cell>
          <cell r="E717" t="str">
            <v>SET DE CHAMBRES à AIR (3 pièces)</v>
          </cell>
          <cell r="F717" t="str">
            <v>Komplet dętek (3 sztuki)</v>
          </cell>
        </row>
        <row r="718">
          <cell r="A718">
            <v>2000009449</v>
          </cell>
          <cell r="B718" t="str">
            <v>BOB REVOLUTION CE</v>
          </cell>
          <cell r="C718" t="str">
            <v>WHEEL TUBE SET (3 pcs.)</v>
          </cell>
          <cell r="D718" t="str">
            <v>Schlauch Set (3 Stück)</v>
          </cell>
          <cell r="E718" t="str">
            <v>SET DE CHAMBRES à AIR (3 pièces)</v>
          </cell>
          <cell r="F718" t="str">
            <v>Komplet dętek (3 sztuki)</v>
          </cell>
        </row>
        <row r="719">
          <cell r="A719">
            <v>2000009444</v>
          </cell>
          <cell r="B719" t="str">
            <v>BOB REVOLUTION SE (Single)</v>
          </cell>
          <cell r="C719" t="str">
            <v>WHEEL TYRE SET (3 pcs)</v>
          </cell>
          <cell r="D719" t="str">
            <v>Reifen Set (3 Stück)</v>
          </cell>
          <cell r="E719" t="str">
            <v>SET DE PNEUS (3 pièces)</v>
          </cell>
          <cell r="F719" t="str">
            <v>Komplet opon (3 sztuki)</v>
          </cell>
        </row>
        <row r="720">
          <cell r="A720">
            <v>2000009446</v>
          </cell>
          <cell r="B720" t="str">
            <v>BOB IRONMAN (Single)</v>
          </cell>
          <cell r="C720" t="str">
            <v>WHEEL TYRE SET (3 pcs)</v>
          </cell>
          <cell r="D720" t="str">
            <v>Reifen Set (3 Stück)</v>
          </cell>
          <cell r="E720" t="str">
            <v>SET DE PNEUS (3 pièces)</v>
          </cell>
          <cell r="F720" t="str">
            <v>Komplet opon (3 sztuki)</v>
          </cell>
        </row>
        <row r="721">
          <cell r="A721">
            <v>2000009447</v>
          </cell>
          <cell r="B721" t="str">
            <v>BOB SUS (Single)</v>
          </cell>
          <cell r="C721" t="str">
            <v>WHEEL TYRE SET (3 pcs)</v>
          </cell>
          <cell r="D721" t="str">
            <v>Reifen Set (3 Stück)</v>
          </cell>
          <cell r="E721" t="str">
            <v>SET DE PNEUS (3 pièces)</v>
          </cell>
          <cell r="F721" t="str">
            <v>Komplet opon (3 sztuki)</v>
          </cell>
        </row>
        <row r="722">
          <cell r="A722">
            <v>2000009445</v>
          </cell>
          <cell r="B722" t="str">
            <v>BOB REVOLUTION CE</v>
          </cell>
          <cell r="C722" t="str">
            <v>WHEEL TYRE SET (3 pcs.)</v>
          </cell>
          <cell r="D722" t="str">
            <v>Reifen Set (3 Stück)</v>
          </cell>
          <cell r="E722" t="str">
            <v>SET DE PNEUS (3 pièces)</v>
          </cell>
          <cell r="F722" t="str">
            <v>Komplet opon (3 sztuki)</v>
          </cell>
        </row>
        <row r="723">
          <cell r="A723">
            <v>2000003052</v>
          </cell>
          <cell r="B723" t="str">
            <v>B-SMART 4</v>
          </cell>
          <cell r="C723" t="str">
            <v>WHEELS (2011)</v>
          </cell>
          <cell r="D723" t="str">
            <v>Räder (2011)</v>
          </cell>
          <cell r="E723" t="str">
            <v>PNEUS (2011)</v>
          </cell>
          <cell r="F723" t="str">
            <v>Komplet kół (2011)</v>
          </cell>
        </row>
        <row r="724">
          <cell r="A724">
            <v>2000006221</v>
          </cell>
          <cell r="B724" t="str">
            <v>B-SMART 3</v>
          </cell>
          <cell r="C724" t="str">
            <v>WHEELS (2012)</v>
          </cell>
          <cell r="D724" t="str">
            <v>Räder (2012)</v>
          </cell>
          <cell r="E724" t="str">
            <v xml:space="preserve">ROUES (2012 - 1 roue avant et 2 roue arrière) </v>
          </cell>
          <cell r="F724" t="str">
            <v>Komplet kół (2012)</v>
          </cell>
        </row>
        <row r="725">
          <cell r="A725">
            <v>2000006222</v>
          </cell>
          <cell r="B725" t="str">
            <v>B-SMART 3</v>
          </cell>
          <cell r="C725" t="str">
            <v>WHEELS (2012)</v>
          </cell>
          <cell r="D725" t="str">
            <v>Räder (2012)</v>
          </cell>
          <cell r="E725" t="str">
            <v xml:space="preserve">ROUES (2012 - 1 roue avant et 2 roue arrière) </v>
          </cell>
          <cell r="F725" t="str">
            <v>Komplet kół (2012)</v>
          </cell>
        </row>
        <row r="726">
          <cell r="A726">
            <v>2000006223</v>
          </cell>
          <cell r="B726" t="str">
            <v>B-SMART 4</v>
          </cell>
          <cell r="C726" t="str">
            <v>WHEELS (2012)</v>
          </cell>
          <cell r="D726" t="str">
            <v>Räder (2012)</v>
          </cell>
          <cell r="E726" t="str">
            <v xml:space="preserve">ROUES (2012 - 2 roues avant et 2 roue arrière) </v>
          </cell>
          <cell r="F726" t="str">
            <v>Komplet kół (2012)</v>
          </cell>
        </row>
        <row r="727">
          <cell r="A727">
            <v>2000006224</v>
          </cell>
          <cell r="B727" t="str">
            <v>B-SMART 4</v>
          </cell>
          <cell r="C727" t="str">
            <v>WHEELS (2012)</v>
          </cell>
          <cell r="D727" t="str">
            <v>Räder (2012)</v>
          </cell>
          <cell r="E727" t="str">
            <v xml:space="preserve">ROUES (2012 - 2 roues avant et 2 roue arrière) </v>
          </cell>
          <cell r="F727" t="str">
            <v>Komplet kół (2012)</v>
          </cell>
        </row>
        <row r="728">
          <cell r="A728">
            <v>2000008817</v>
          </cell>
          <cell r="B728" t="str">
            <v>B-AGILE DOUBLE</v>
          </cell>
          <cell r="C728" t="str">
            <v xml:space="preserve">WHEELS SET </v>
          </cell>
          <cell r="D728" t="str">
            <v>Räder Set</v>
          </cell>
          <cell r="E728" t="str">
            <v>SET DE ROUES (Silver - 2 roues avant et 2 roues arrière)</v>
          </cell>
          <cell r="F728" t="str">
            <v>Komplet kół</v>
          </cell>
        </row>
        <row r="729">
          <cell r="A729">
            <v>2000014617</v>
          </cell>
          <cell r="B729" t="str">
            <v>B-AGILE DOUBLE</v>
          </cell>
          <cell r="C729" t="str">
            <v xml:space="preserve">WHEELS SET </v>
          </cell>
          <cell r="D729" t="str">
            <v>Räder Set</v>
          </cell>
          <cell r="E729" t="str">
            <v>SET DE ROUES (Black - 2 roues avant et 2 roues arrière)</v>
          </cell>
          <cell r="F729" t="str">
            <v>Komplet kół</v>
          </cell>
        </row>
        <row r="730">
          <cell r="A730">
            <v>2000006217</v>
          </cell>
          <cell r="B730" t="str">
            <v>B-DUAL</v>
          </cell>
          <cell r="C730" t="str">
            <v xml:space="preserve">WHEELS SET </v>
          </cell>
          <cell r="D730" t="str">
            <v>Räder Set</v>
          </cell>
          <cell r="E730" t="str">
            <v>SET DE ROUES</v>
          </cell>
          <cell r="F730" t="str">
            <v>Komplet kół</v>
          </cell>
        </row>
        <row r="731">
          <cell r="A731">
            <v>2000010641</v>
          </cell>
          <cell r="B731" t="str">
            <v>XTENSAFIX / ADVANSAFIX</v>
          </cell>
          <cell r="C731" t="str">
            <v xml:space="preserve">YOKE STORAGE/BELT SHIELD </v>
          </cell>
          <cell r="D731" t="str">
            <v>Fach Gurtabdeckung</v>
          </cell>
          <cell r="E731" t="str">
            <v>RANGEMENT PLAQUE DE HARNAIS</v>
          </cell>
          <cell r="F731" t="str">
            <v>Komora na klamrę pasów</v>
          </cell>
        </row>
        <row r="732">
          <cell r="A732">
            <v>2000024595</v>
          </cell>
          <cell r="B732" t="str">
            <v>ADVANSAFIX ll / ADVANSAFIX II SICT / ADVANSAFIX III SICT</v>
          </cell>
          <cell r="C732" t="str">
            <v xml:space="preserve">YOKE STORAGE/BELT SHIELD </v>
          </cell>
          <cell r="D732" t="str">
            <v>Fach Gurtabdeckung</v>
          </cell>
          <cell r="E732" t="str">
            <v>RANGEMENT PLAQUE DE HARNAIS</v>
          </cell>
          <cell r="F732" t="str">
            <v>Osłonka komory na pasy</v>
          </cell>
        </row>
        <row r="733">
          <cell r="A733">
            <v>2000005805</v>
          </cell>
          <cell r="B733" t="str">
            <v>B-AGILE 4</v>
          </cell>
          <cell r="C733" t="str">
            <v>WHEEL SET</v>
          </cell>
          <cell r="D733" t="str">
            <v>Räder Set</v>
          </cell>
          <cell r="E733" t="str">
            <v>SET DE ROUES (Black - 2 roues avant et 2 roues arrière)</v>
          </cell>
          <cell r="F733" t="str">
            <v>Komplet kół</v>
          </cell>
        </row>
        <row r="734">
          <cell r="A734">
            <v>2000029825</v>
          </cell>
          <cell r="B734" t="str">
            <v>BOB Carrycot (Single)</v>
          </cell>
          <cell r="C734" t="str">
            <v>RAINCOVER FOR HARD CARRYCOT</v>
          </cell>
          <cell r="D734" t="str">
            <v>Regenverdeck Kinderwagenaufsatz</v>
          </cell>
          <cell r="E734" t="str">
            <v>PROTECTION PLUIE POUR NACELLE</v>
          </cell>
          <cell r="F734" t="str">
            <v>Osłona przeciwdeszczowa - gondola</v>
          </cell>
        </row>
        <row r="735">
          <cell r="A735">
            <v>2000010707</v>
          </cell>
          <cell r="B735" t="str">
            <v>GO</v>
          </cell>
          <cell r="C735" t="str">
            <v>Click&amp;Go Adapter</v>
          </cell>
          <cell r="D735" t="str">
            <v>Click&amp;Go Adapter</v>
          </cell>
          <cell r="E735" t="str">
            <v>Click&amp;Go Adapter</v>
          </cell>
          <cell r="F735" t="str">
            <v>Click&amp;Go Adapter</v>
          </cell>
        </row>
        <row r="736">
          <cell r="A736">
            <v>2000029976</v>
          </cell>
          <cell r="B736" t="str">
            <v>SEED PAPILIO</v>
          </cell>
          <cell r="C736" t="str">
            <v>HANDLE Black, Lever Grey, Leather Look Black</v>
          </cell>
          <cell r="D736" t="str">
            <v>Griff Black, Lever Grey, Leather Look Black</v>
          </cell>
        </row>
        <row r="737">
          <cell r="A737">
            <v>93066</v>
          </cell>
          <cell r="B737" t="str">
            <v>SEED PAPILIO</v>
          </cell>
          <cell r="C737" t="str">
            <v>HANDLE Silver - Leatherlook Black</v>
          </cell>
          <cell r="D737" t="str">
            <v>Griff Silver - Leatherlook Black</v>
          </cell>
        </row>
        <row r="738">
          <cell r="A738">
            <v>93073</v>
          </cell>
          <cell r="B738" t="str">
            <v>SEED PAPILIO</v>
          </cell>
          <cell r="C738" t="str">
            <v>HANDLE Silver, Lever Grey, Leather Look Cognac</v>
          </cell>
          <cell r="D738" t="str">
            <v>Griff Silver, Lever Grey, Leather Look Cognac</v>
          </cell>
        </row>
        <row r="739">
          <cell r="A739">
            <v>93134</v>
          </cell>
          <cell r="B739" t="str">
            <v>SEED PAPILIO</v>
          </cell>
          <cell r="C739" t="str">
            <v>HANDLE Copper - Leatherlook Black</v>
          </cell>
          <cell r="D739" t="str">
            <v>Griff Copper - Leatherlook Black</v>
          </cell>
        </row>
        <row r="740">
          <cell r="A740">
            <v>2000029987</v>
          </cell>
          <cell r="B740" t="str">
            <v>SEED PAPILIO</v>
          </cell>
          <cell r="C740" t="str">
            <v>REAR WHEEL SET</v>
          </cell>
          <cell r="D740" t="str">
            <v>Hinterräder Set</v>
          </cell>
        </row>
        <row r="741">
          <cell r="A741">
            <v>2000029988</v>
          </cell>
          <cell r="B741" t="str">
            <v>SEED PAPILIO</v>
          </cell>
          <cell r="C741" t="str">
            <v>REAR WHEEL SET</v>
          </cell>
          <cell r="D741" t="str">
            <v>Hinterräder Set</v>
          </cell>
        </row>
        <row r="742">
          <cell r="A742">
            <v>2000029989</v>
          </cell>
          <cell r="B742" t="str">
            <v>SEED PAPILIO</v>
          </cell>
          <cell r="C742" t="str">
            <v>FRONT WHEEL SET</v>
          </cell>
          <cell r="D742" t="str">
            <v xml:space="preserve">Vorderräder Set </v>
          </cell>
        </row>
        <row r="743">
          <cell r="A743">
            <v>2000029990</v>
          </cell>
          <cell r="B743" t="str">
            <v>SEED PAPILIO</v>
          </cell>
          <cell r="C743" t="str">
            <v>FRONT WHEEL SET</v>
          </cell>
          <cell r="D743" t="str">
            <v xml:space="preserve">Vorderräder Set </v>
          </cell>
        </row>
      </sheetData>
      <sheetData sheetId="9">
        <row r="1">
          <cell r="A1" t="str">
            <v>item</v>
          </cell>
          <cell r="B1" t="str">
            <v>description</v>
          </cell>
          <cell r="C1" t="str">
            <v>product</v>
          </cell>
          <cell r="D1" t="str">
            <v>Colour</v>
          </cell>
          <cell r="E1" t="str">
            <v>LP (A)</v>
          </cell>
          <cell r="F1" t="str">
            <v>RRP DE</v>
          </cell>
          <cell r="G1" t="str">
            <v>LP (D)</v>
          </cell>
          <cell r="H1" t="str">
            <v>RRP FR</v>
          </cell>
          <cell r="I1" t="str">
            <v>LP (E)</v>
          </cell>
          <cell r="J1" t="str">
            <v>LP UK (GBP)</v>
          </cell>
          <cell r="K1" t="str">
            <v>RRP UK</v>
          </cell>
          <cell r="L1" t="str">
            <v>LP PLN</v>
          </cell>
          <cell r="M1" t="str">
            <v>RRP PLN</v>
          </cell>
        </row>
        <row r="2">
          <cell r="A2">
            <v>2000025627</v>
          </cell>
          <cell r="B2" t="str">
            <v>USER GUIDE COMPARTMENT</v>
          </cell>
          <cell r="C2" t="str">
            <v>BABY-SAFE i-SIZE</v>
          </cell>
          <cell r="D2">
            <v>0</v>
          </cell>
          <cell r="E2">
            <v>7.7</v>
          </cell>
          <cell r="F2">
            <v>10</v>
          </cell>
          <cell r="G2">
            <v>8.6199999999999992</v>
          </cell>
          <cell r="H2">
            <v>10</v>
          </cell>
          <cell r="I2">
            <v>10.35</v>
          </cell>
          <cell r="J2">
            <v>6.79</v>
          </cell>
          <cell r="K2">
            <v>10</v>
          </cell>
          <cell r="L2">
            <v>36.64</v>
          </cell>
          <cell r="M2">
            <v>45</v>
          </cell>
        </row>
        <row r="3">
          <cell r="A3">
            <v>2000025628</v>
          </cell>
          <cell r="B3" t="str">
            <v>RUBBER INSERTS</v>
          </cell>
          <cell r="C3" t="str">
            <v>BABY-SAFE i-SIZE</v>
          </cell>
          <cell r="D3">
            <v>0</v>
          </cell>
          <cell r="E3">
            <v>5.5</v>
          </cell>
          <cell r="F3">
            <v>10</v>
          </cell>
          <cell r="G3">
            <v>6.16</v>
          </cell>
          <cell r="H3">
            <v>5</v>
          </cell>
          <cell r="I3">
            <v>7.39</v>
          </cell>
          <cell r="J3">
            <v>4.8499999999999996</v>
          </cell>
          <cell r="K3">
            <v>5</v>
          </cell>
          <cell r="L3">
            <v>26.18</v>
          </cell>
          <cell r="M3">
            <v>30</v>
          </cell>
        </row>
        <row r="4">
          <cell r="A4">
            <v>2000025629</v>
          </cell>
          <cell r="B4" t="str">
            <v>FOAM INSERT HEADPAD</v>
          </cell>
          <cell r="C4" t="str">
            <v>BABY-SAFE i-SIZE</v>
          </cell>
          <cell r="D4">
            <v>0</v>
          </cell>
          <cell r="E4">
            <v>5.5</v>
          </cell>
          <cell r="F4">
            <v>10</v>
          </cell>
          <cell r="G4">
            <v>6.16</v>
          </cell>
          <cell r="H4">
            <v>5</v>
          </cell>
          <cell r="I4">
            <v>7.39</v>
          </cell>
          <cell r="J4">
            <v>4.8499999999999996</v>
          </cell>
          <cell r="K4">
            <v>5</v>
          </cell>
          <cell r="L4">
            <v>26.18</v>
          </cell>
          <cell r="M4">
            <v>30</v>
          </cell>
        </row>
        <row r="5">
          <cell r="A5">
            <v>2000025631</v>
          </cell>
          <cell r="B5" t="str">
            <v>IMPACT INSERT SET SHELL</v>
          </cell>
          <cell r="C5" t="str">
            <v>BABY-SAFE i-SIZE</v>
          </cell>
          <cell r="D5">
            <v>0</v>
          </cell>
          <cell r="E5">
            <v>13.73</v>
          </cell>
          <cell r="F5">
            <v>20</v>
          </cell>
          <cell r="G5">
            <v>16.78</v>
          </cell>
          <cell r="H5">
            <v>20</v>
          </cell>
          <cell r="I5">
            <v>16.78</v>
          </cell>
          <cell r="J5">
            <v>12.97</v>
          </cell>
          <cell r="K5">
            <v>15</v>
          </cell>
          <cell r="L5">
            <v>71.319999999999993</v>
          </cell>
          <cell r="M5">
            <v>90</v>
          </cell>
        </row>
        <row r="6">
          <cell r="A6">
            <v>2000027397</v>
          </cell>
          <cell r="B6" t="str">
            <v>IMPACT INSERT SET SHOULDER</v>
          </cell>
          <cell r="C6" t="str">
            <v>BABY-SAFE i-SIZE</v>
          </cell>
          <cell r="D6">
            <v>0</v>
          </cell>
          <cell r="E6">
            <v>13.73</v>
          </cell>
          <cell r="F6">
            <v>20</v>
          </cell>
          <cell r="G6">
            <v>16.78</v>
          </cell>
          <cell r="H6">
            <v>20</v>
          </cell>
          <cell r="I6">
            <v>16.78</v>
          </cell>
          <cell r="J6">
            <v>12.97</v>
          </cell>
          <cell r="K6">
            <v>15</v>
          </cell>
          <cell r="L6">
            <v>71.319999999999993</v>
          </cell>
          <cell r="M6">
            <v>90</v>
          </cell>
        </row>
        <row r="7">
          <cell r="A7">
            <v>2000025641</v>
          </cell>
          <cell r="B7" t="str">
            <v>SUN CANOPY</v>
          </cell>
          <cell r="C7" t="str">
            <v>BABY-SAFE i-SIZE</v>
          </cell>
          <cell r="D7" t="str">
            <v>Cosmos Black</v>
          </cell>
          <cell r="E7">
            <v>12.43</v>
          </cell>
          <cell r="F7">
            <v>15</v>
          </cell>
          <cell r="G7">
            <v>12.66</v>
          </cell>
          <cell r="H7">
            <v>15</v>
          </cell>
          <cell r="I7">
            <v>18</v>
          </cell>
          <cell r="J7">
            <v>10.96</v>
          </cell>
          <cell r="K7">
            <v>15</v>
          </cell>
          <cell r="L7">
            <v>53.81</v>
          </cell>
          <cell r="M7">
            <v>65</v>
          </cell>
        </row>
        <row r="8">
          <cell r="A8">
            <v>2000025642</v>
          </cell>
          <cell r="B8" t="str">
            <v>SUN CANOPY</v>
          </cell>
          <cell r="C8" t="str">
            <v>BABY-SAFE i-SIZE</v>
          </cell>
          <cell r="D8" t="str">
            <v>Flame Red</v>
          </cell>
          <cell r="E8">
            <v>12.43</v>
          </cell>
          <cell r="F8">
            <v>15</v>
          </cell>
          <cell r="G8">
            <v>12.66</v>
          </cell>
          <cell r="H8">
            <v>15</v>
          </cell>
          <cell r="I8">
            <v>18</v>
          </cell>
          <cell r="J8">
            <v>10.96</v>
          </cell>
          <cell r="K8">
            <v>15</v>
          </cell>
          <cell r="L8">
            <v>53.81</v>
          </cell>
          <cell r="M8">
            <v>65</v>
          </cell>
        </row>
        <row r="9">
          <cell r="A9">
            <v>2000025643</v>
          </cell>
          <cell r="B9" t="str">
            <v>SUN CANOPY</v>
          </cell>
          <cell r="C9" t="str">
            <v>BABY-SAFE i-SIZE</v>
          </cell>
          <cell r="D9" t="str">
            <v>Ocean Blue</v>
          </cell>
          <cell r="E9">
            <v>12.43</v>
          </cell>
          <cell r="F9">
            <v>15</v>
          </cell>
          <cell r="G9">
            <v>12.66</v>
          </cell>
          <cell r="H9">
            <v>15</v>
          </cell>
          <cell r="I9">
            <v>18</v>
          </cell>
          <cell r="J9">
            <v>10.96</v>
          </cell>
          <cell r="K9">
            <v>15</v>
          </cell>
          <cell r="L9">
            <v>53.81</v>
          </cell>
          <cell r="M9">
            <v>65</v>
          </cell>
        </row>
        <row r="10">
          <cell r="A10">
            <v>2000026197</v>
          </cell>
          <cell r="B10" t="str">
            <v>SUN CANOPY</v>
          </cell>
          <cell r="C10" t="str">
            <v>BABY-SAFE i-SIZE</v>
          </cell>
          <cell r="D10" t="str">
            <v>Storm Grey</v>
          </cell>
          <cell r="E10">
            <v>12.43</v>
          </cell>
          <cell r="F10">
            <v>15</v>
          </cell>
          <cell r="G10">
            <v>12.66</v>
          </cell>
          <cell r="H10">
            <v>15</v>
          </cell>
          <cell r="I10">
            <v>18</v>
          </cell>
          <cell r="J10">
            <v>10.96</v>
          </cell>
          <cell r="K10">
            <v>15</v>
          </cell>
          <cell r="L10">
            <v>53.81</v>
          </cell>
          <cell r="M10">
            <v>65</v>
          </cell>
        </row>
        <row r="11">
          <cell r="A11">
            <v>2000026198</v>
          </cell>
          <cell r="B11" t="str">
            <v>SUN CANOPY</v>
          </cell>
          <cell r="C11" t="str">
            <v>BABY-SAFE i-SIZE</v>
          </cell>
          <cell r="D11" t="str">
            <v>Olive Green</v>
          </cell>
          <cell r="E11">
            <v>12.43</v>
          </cell>
          <cell r="F11">
            <v>15</v>
          </cell>
          <cell r="G11">
            <v>12.66</v>
          </cell>
          <cell r="H11">
            <v>15</v>
          </cell>
          <cell r="I11">
            <v>18</v>
          </cell>
          <cell r="J11">
            <v>10.96</v>
          </cell>
          <cell r="K11">
            <v>15</v>
          </cell>
          <cell r="L11">
            <v>53.81</v>
          </cell>
          <cell r="M11">
            <v>65</v>
          </cell>
        </row>
        <row r="12">
          <cell r="A12">
            <v>2000026199</v>
          </cell>
          <cell r="B12" t="str">
            <v>SUN CANOPY</v>
          </cell>
          <cell r="C12" t="str">
            <v>BABY-SAFE i-SIZE</v>
          </cell>
          <cell r="D12" t="str">
            <v>Lagoon Green</v>
          </cell>
          <cell r="E12">
            <v>12.43</v>
          </cell>
          <cell r="F12">
            <v>15</v>
          </cell>
          <cell r="G12">
            <v>12.66</v>
          </cell>
          <cell r="H12">
            <v>15</v>
          </cell>
          <cell r="I12">
            <v>18</v>
          </cell>
          <cell r="J12">
            <v>10.96</v>
          </cell>
          <cell r="K12">
            <v>15</v>
          </cell>
          <cell r="L12">
            <v>53.81</v>
          </cell>
          <cell r="M12">
            <v>65</v>
          </cell>
        </row>
        <row r="13">
          <cell r="A13">
            <v>2000026200</v>
          </cell>
          <cell r="B13" t="str">
            <v>SUN CANOPY</v>
          </cell>
          <cell r="C13" t="str">
            <v>BABY-SAFE i-SIZE</v>
          </cell>
          <cell r="D13" t="str">
            <v>Coral Peach</v>
          </cell>
          <cell r="E13">
            <v>12.43</v>
          </cell>
          <cell r="F13">
            <v>15</v>
          </cell>
          <cell r="G13">
            <v>12.66</v>
          </cell>
          <cell r="H13">
            <v>15</v>
          </cell>
          <cell r="I13">
            <v>18</v>
          </cell>
          <cell r="J13">
            <v>10.96</v>
          </cell>
          <cell r="K13">
            <v>15</v>
          </cell>
          <cell r="L13">
            <v>53.81</v>
          </cell>
          <cell r="M13">
            <v>65</v>
          </cell>
        </row>
        <row r="14">
          <cell r="A14">
            <v>2000029653</v>
          </cell>
          <cell r="B14" t="str">
            <v>SUN CANOPY</v>
          </cell>
          <cell r="C14" t="str">
            <v>BABY-SAFE i-SIZE</v>
          </cell>
          <cell r="D14" t="str">
            <v>Moonlight Blue</v>
          </cell>
          <cell r="E14">
            <v>12.43</v>
          </cell>
          <cell r="F14">
            <v>15</v>
          </cell>
          <cell r="G14">
            <v>12.66</v>
          </cell>
          <cell r="H14">
            <v>15</v>
          </cell>
          <cell r="I14">
            <v>18</v>
          </cell>
          <cell r="J14">
            <v>10.96</v>
          </cell>
          <cell r="K14">
            <v>15</v>
          </cell>
          <cell r="L14">
            <v>53.81</v>
          </cell>
          <cell r="M14">
            <v>65</v>
          </cell>
        </row>
        <row r="15">
          <cell r="A15">
            <v>2000029633</v>
          </cell>
          <cell r="B15" t="str">
            <v>SUN CANOPY</v>
          </cell>
          <cell r="C15" t="str">
            <v>BABY-SAFE i-SIZE</v>
          </cell>
          <cell r="D15" t="str">
            <v>Wine Rose</v>
          </cell>
          <cell r="E15">
            <v>12.43</v>
          </cell>
          <cell r="F15">
            <v>15</v>
          </cell>
          <cell r="G15">
            <v>12.66</v>
          </cell>
          <cell r="H15">
            <v>15</v>
          </cell>
          <cell r="I15">
            <v>18</v>
          </cell>
          <cell r="J15">
            <v>10.96</v>
          </cell>
          <cell r="K15">
            <v>15</v>
          </cell>
          <cell r="L15">
            <v>53.81</v>
          </cell>
          <cell r="M15">
            <v>65</v>
          </cell>
        </row>
        <row r="16">
          <cell r="A16">
            <v>2000029634</v>
          </cell>
          <cell r="B16" t="str">
            <v>SUN CANOPY</v>
          </cell>
          <cell r="C16" t="str">
            <v>BABY-SAFE i-SIZE</v>
          </cell>
          <cell r="D16" t="str">
            <v>Blue Marble</v>
          </cell>
          <cell r="E16">
            <v>13.67</v>
          </cell>
          <cell r="F16">
            <v>17</v>
          </cell>
          <cell r="G16">
            <v>13.93</v>
          </cell>
          <cell r="H16">
            <v>15</v>
          </cell>
          <cell r="I16">
            <v>19.8</v>
          </cell>
          <cell r="J16">
            <v>12.06</v>
          </cell>
          <cell r="K16">
            <v>15</v>
          </cell>
          <cell r="L16">
            <v>59.2</v>
          </cell>
          <cell r="M16">
            <v>75</v>
          </cell>
        </row>
        <row r="17">
          <cell r="A17">
            <v>2000029635</v>
          </cell>
          <cell r="B17" t="str">
            <v>SUN CANOPY</v>
          </cell>
          <cell r="C17" t="str">
            <v>BABY-SAFE i-SIZE</v>
          </cell>
          <cell r="D17" t="str">
            <v>Sand Marble</v>
          </cell>
          <cell r="E17">
            <v>13.67</v>
          </cell>
          <cell r="F17">
            <v>17</v>
          </cell>
          <cell r="G17">
            <v>13.93</v>
          </cell>
          <cell r="H17">
            <v>15</v>
          </cell>
          <cell r="I17">
            <v>19.8</v>
          </cell>
          <cell r="J17">
            <v>12.06</v>
          </cell>
          <cell r="K17">
            <v>15</v>
          </cell>
          <cell r="L17">
            <v>59.2</v>
          </cell>
          <cell r="M17">
            <v>75</v>
          </cell>
        </row>
        <row r="18">
          <cell r="A18">
            <v>2000029636</v>
          </cell>
          <cell r="B18" t="str">
            <v>SUN CANOPY</v>
          </cell>
          <cell r="C18" t="str">
            <v>BABY-SAFE i-SIZE</v>
          </cell>
          <cell r="D18" t="str">
            <v>Nordic Grey</v>
          </cell>
          <cell r="E18">
            <v>20.63</v>
          </cell>
          <cell r="F18">
            <v>25</v>
          </cell>
          <cell r="G18">
            <v>21.02</v>
          </cell>
          <cell r="H18">
            <v>25</v>
          </cell>
          <cell r="I18">
            <v>29.88</v>
          </cell>
          <cell r="J18">
            <v>18.190000000000001</v>
          </cell>
          <cell r="K18">
            <v>20</v>
          </cell>
          <cell r="L18">
            <v>89.34</v>
          </cell>
          <cell r="M18">
            <v>110</v>
          </cell>
        </row>
        <row r="19">
          <cell r="A19">
            <v>2000029637</v>
          </cell>
          <cell r="B19" t="str">
            <v>SUN CANOPY</v>
          </cell>
          <cell r="C19" t="str">
            <v>BABY-SAFE i-SIZE</v>
          </cell>
          <cell r="D19" t="str">
            <v>Mystic Black</v>
          </cell>
          <cell r="E19">
            <v>13.67</v>
          </cell>
          <cell r="F19">
            <v>17</v>
          </cell>
          <cell r="G19">
            <v>13.93</v>
          </cell>
          <cell r="H19">
            <v>15</v>
          </cell>
          <cell r="I19">
            <v>19.8</v>
          </cell>
          <cell r="J19">
            <v>12.06</v>
          </cell>
          <cell r="K19">
            <v>15</v>
          </cell>
          <cell r="L19">
            <v>59.2</v>
          </cell>
          <cell r="M19">
            <v>75</v>
          </cell>
        </row>
        <row r="20">
          <cell r="A20">
            <v>2000027212</v>
          </cell>
          <cell r="B20" t="str">
            <v>NEWBORN INSERT</v>
          </cell>
          <cell r="C20" t="str">
            <v>BABY-SAFE i-SIZE</v>
          </cell>
          <cell r="D20" t="str">
            <v>Black</v>
          </cell>
          <cell r="E20">
            <v>33.61</v>
          </cell>
          <cell r="F20">
            <v>40</v>
          </cell>
          <cell r="G20">
            <v>33.61</v>
          </cell>
          <cell r="H20">
            <v>40</v>
          </cell>
          <cell r="I20">
            <v>33.61</v>
          </cell>
          <cell r="J20">
            <v>31.76</v>
          </cell>
          <cell r="K20">
            <v>40</v>
          </cell>
          <cell r="L20">
            <v>142.84</v>
          </cell>
          <cell r="M20">
            <v>175</v>
          </cell>
        </row>
        <row r="21">
          <cell r="A21">
            <v>2000025649</v>
          </cell>
          <cell r="B21" t="str">
            <v>SHOULDER PAD SET</v>
          </cell>
          <cell r="C21" t="str">
            <v>BABY-SAFE i-SIZE</v>
          </cell>
          <cell r="D21" t="str">
            <v>Black</v>
          </cell>
          <cell r="E21">
            <v>6.37</v>
          </cell>
          <cell r="F21">
            <v>10</v>
          </cell>
          <cell r="G21">
            <v>7.14</v>
          </cell>
          <cell r="H21">
            <v>10</v>
          </cell>
          <cell r="I21">
            <v>8.57</v>
          </cell>
          <cell r="L21">
            <v>30.35</v>
          </cell>
          <cell r="M21">
            <v>35</v>
          </cell>
        </row>
        <row r="22">
          <cell r="A22">
            <v>2000007047</v>
          </cell>
          <cell r="B22" t="str">
            <v>ISOFIX LATCH GUIDES - WIDE</v>
          </cell>
          <cell r="C22" t="str">
            <v>BABY-SAFE i-SIZE</v>
          </cell>
          <cell r="D22">
            <v>0</v>
          </cell>
          <cell r="E22">
            <v>7.09</v>
          </cell>
          <cell r="F22">
            <v>10</v>
          </cell>
          <cell r="G22">
            <v>8.66</v>
          </cell>
          <cell r="H22">
            <v>10</v>
          </cell>
          <cell r="I22">
            <v>8.66</v>
          </cell>
          <cell r="J22">
            <v>6.7</v>
          </cell>
          <cell r="K22">
            <v>10</v>
          </cell>
          <cell r="L22">
            <v>36.81</v>
          </cell>
          <cell r="M22">
            <v>45</v>
          </cell>
        </row>
        <row r="23">
          <cell r="A23">
            <v>2000024320</v>
          </cell>
          <cell r="B23" t="str">
            <v xml:space="preserve">SUN CANOPY </v>
          </cell>
          <cell r="C23" t="str">
            <v>PRIMO</v>
          </cell>
          <cell r="D23" t="str">
            <v>Cosmos Black</v>
          </cell>
          <cell r="E23">
            <v>12.43</v>
          </cell>
          <cell r="F23">
            <v>15</v>
          </cell>
          <cell r="G23">
            <v>12.66</v>
          </cell>
          <cell r="H23">
            <v>15</v>
          </cell>
          <cell r="I23">
            <v>15.05</v>
          </cell>
          <cell r="J23">
            <v>10.38</v>
          </cell>
          <cell r="K23">
            <v>10</v>
          </cell>
          <cell r="L23">
            <v>53.81</v>
          </cell>
          <cell r="M23">
            <v>65</v>
          </cell>
        </row>
        <row r="24">
          <cell r="A24">
            <v>2000026168</v>
          </cell>
          <cell r="B24" t="str">
            <v xml:space="preserve">SUN CANOPY </v>
          </cell>
          <cell r="C24" t="str">
            <v>PRIMO</v>
          </cell>
          <cell r="D24" t="str">
            <v>Olive Green</v>
          </cell>
          <cell r="E24">
            <v>12.43</v>
          </cell>
          <cell r="F24">
            <v>15</v>
          </cell>
          <cell r="G24">
            <v>12.66</v>
          </cell>
          <cell r="H24">
            <v>15</v>
          </cell>
          <cell r="I24">
            <v>15.05</v>
          </cell>
          <cell r="J24">
            <v>11.75</v>
          </cell>
          <cell r="K24">
            <v>15</v>
          </cell>
          <cell r="L24">
            <v>53.81</v>
          </cell>
          <cell r="M24">
            <v>65</v>
          </cell>
        </row>
        <row r="25">
          <cell r="A25">
            <v>2000027359</v>
          </cell>
          <cell r="B25" t="str">
            <v xml:space="preserve">SUN CANOPY </v>
          </cell>
          <cell r="C25" t="str">
            <v>PRIMO</v>
          </cell>
          <cell r="D25" t="str">
            <v>Storm Grey</v>
          </cell>
          <cell r="E25">
            <v>12.43</v>
          </cell>
          <cell r="F25">
            <v>15</v>
          </cell>
          <cell r="G25">
            <v>12.66</v>
          </cell>
          <cell r="H25">
            <v>15</v>
          </cell>
          <cell r="I25">
            <v>15.05</v>
          </cell>
          <cell r="J25">
            <v>11.75</v>
          </cell>
          <cell r="K25">
            <v>15</v>
          </cell>
          <cell r="L25">
            <v>53.81</v>
          </cell>
          <cell r="M25">
            <v>65</v>
          </cell>
        </row>
        <row r="26">
          <cell r="A26">
            <v>2000024454</v>
          </cell>
          <cell r="B26" t="str">
            <v>SHOULDER PAD SET</v>
          </cell>
          <cell r="C26" t="str">
            <v>PRIMO</v>
          </cell>
          <cell r="D26" t="str">
            <v>Black</v>
          </cell>
          <cell r="E26">
            <v>7.7</v>
          </cell>
          <cell r="F26">
            <v>10</v>
          </cell>
          <cell r="G26">
            <v>8.6199999999999992</v>
          </cell>
          <cell r="H26">
            <v>10</v>
          </cell>
          <cell r="I26">
            <v>10.35</v>
          </cell>
          <cell r="J26">
            <v>7.28</v>
          </cell>
          <cell r="K26">
            <v>10</v>
          </cell>
          <cell r="L26">
            <v>36.64</v>
          </cell>
          <cell r="M26">
            <v>45</v>
          </cell>
        </row>
        <row r="27">
          <cell r="A27" t="str">
            <v>R368210003501</v>
          </cell>
          <cell r="B27" t="str">
            <v>ISOFIX GUIDE BRIO PRIMO BASE</v>
          </cell>
          <cell r="C27" t="str">
            <v>PRIMO</v>
          </cell>
          <cell r="D27">
            <v>0</v>
          </cell>
          <cell r="E27">
            <v>7.09</v>
          </cell>
          <cell r="F27">
            <v>10</v>
          </cell>
          <cell r="G27">
            <v>7.94</v>
          </cell>
          <cell r="H27">
            <v>10</v>
          </cell>
          <cell r="I27">
            <v>20</v>
          </cell>
          <cell r="J27">
            <v>6.7</v>
          </cell>
          <cell r="K27">
            <v>10</v>
          </cell>
          <cell r="L27">
            <v>33.75</v>
          </cell>
          <cell r="M27">
            <v>40</v>
          </cell>
        </row>
        <row r="28">
          <cell r="A28">
            <v>2000003461</v>
          </cell>
          <cell r="B28" t="str">
            <v>FIXING BRACKETS</v>
          </cell>
          <cell r="C28" t="str">
            <v>BABY-SAFE Sleeper</v>
          </cell>
          <cell r="D28">
            <v>0</v>
          </cell>
          <cell r="E28">
            <v>10.98</v>
          </cell>
          <cell r="F28">
            <v>15</v>
          </cell>
          <cell r="G28">
            <v>13.42</v>
          </cell>
          <cell r="H28">
            <v>15</v>
          </cell>
          <cell r="I28">
            <v>13.42</v>
          </cell>
          <cell r="J28">
            <v>10.38</v>
          </cell>
          <cell r="K28">
            <v>10</v>
          </cell>
          <cell r="L28">
            <v>57.04</v>
          </cell>
          <cell r="M28">
            <v>70</v>
          </cell>
        </row>
        <row r="29">
          <cell r="A29">
            <v>2000008597</v>
          </cell>
          <cell r="B29" t="str">
            <v>APRON (old collection)</v>
          </cell>
          <cell r="C29" t="str">
            <v>BABY-SAFE Sleeper</v>
          </cell>
          <cell r="D29" t="str">
            <v>Black Thunder</v>
          </cell>
          <cell r="E29">
            <v>26.85</v>
          </cell>
          <cell r="F29">
            <v>32</v>
          </cell>
          <cell r="G29">
            <v>32.81</v>
          </cell>
          <cell r="H29">
            <v>40</v>
          </cell>
          <cell r="I29">
            <v>32.81</v>
          </cell>
          <cell r="J29">
            <v>25.37</v>
          </cell>
          <cell r="K29">
            <v>30</v>
          </cell>
          <cell r="L29">
            <v>139.44</v>
          </cell>
          <cell r="M29">
            <v>170</v>
          </cell>
        </row>
        <row r="30">
          <cell r="A30">
            <v>2000008598</v>
          </cell>
          <cell r="B30" t="str">
            <v>APRON (old collection)</v>
          </cell>
          <cell r="C30" t="str">
            <v>BABY-SAFE Sleeper</v>
          </cell>
          <cell r="D30" t="str">
            <v>Chili Pepper</v>
          </cell>
          <cell r="E30">
            <v>26.85</v>
          </cell>
          <cell r="F30">
            <v>32</v>
          </cell>
          <cell r="G30">
            <v>32.81</v>
          </cell>
          <cell r="H30">
            <v>40</v>
          </cell>
          <cell r="I30">
            <v>32.81</v>
          </cell>
          <cell r="J30">
            <v>25.37</v>
          </cell>
          <cell r="K30">
            <v>30</v>
          </cell>
          <cell r="L30">
            <v>139.44</v>
          </cell>
          <cell r="M30">
            <v>170</v>
          </cell>
        </row>
        <row r="31">
          <cell r="A31">
            <v>2000003866</v>
          </cell>
          <cell r="B31" t="str">
            <v>Römer SUN CANOPY (old collections)</v>
          </cell>
          <cell r="C31" t="str">
            <v>BABY-SAFE Sleeper</v>
          </cell>
          <cell r="D31">
            <v>0</v>
          </cell>
          <cell r="E31">
            <v>30.68</v>
          </cell>
          <cell r="F31">
            <v>40</v>
          </cell>
          <cell r="G31">
            <v>37.49</v>
          </cell>
          <cell r="H31">
            <v>45</v>
          </cell>
          <cell r="I31">
            <v>37.49</v>
          </cell>
          <cell r="J31">
            <v>28.99</v>
          </cell>
          <cell r="K31">
            <v>35</v>
          </cell>
          <cell r="L31">
            <v>159.33000000000001</v>
          </cell>
          <cell r="M31">
            <v>195</v>
          </cell>
        </row>
        <row r="32">
          <cell r="A32">
            <v>2000003867</v>
          </cell>
          <cell r="B32" t="str">
            <v>Britax SUN CANOPY (old collections)</v>
          </cell>
          <cell r="C32" t="str">
            <v>BABY-SAFE Sleeper</v>
          </cell>
          <cell r="D32">
            <v>0</v>
          </cell>
          <cell r="E32">
            <v>30.68</v>
          </cell>
          <cell r="F32">
            <v>40</v>
          </cell>
          <cell r="G32">
            <v>37.49</v>
          </cell>
          <cell r="H32">
            <v>45</v>
          </cell>
          <cell r="I32">
            <v>37.49</v>
          </cell>
          <cell r="J32">
            <v>28.99</v>
          </cell>
          <cell r="K32">
            <v>35</v>
          </cell>
          <cell r="L32">
            <v>159.33000000000001</v>
          </cell>
          <cell r="M32">
            <v>195</v>
          </cell>
        </row>
        <row r="33">
          <cell r="A33">
            <v>2000005977</v>
          </cell>
          <cell r="B33" t="str">
            <v>ELASTICS SET FOR CANOPY</v>
          </cell>
          <cell r="C33" t="str">
            <v>BABY-SAFE</v>
          </cell>
          <cell r="D33">
            <v>0</v>
          </cell>
          <cell r="E33">
            <v>6.64</v>
          </cell>
          <cell r="F33">
            <v>10</v>
          </cell>
          <cell r="G33">
            <v>8.1199999999999992</v>
          </cell>
          <cell r="H33">
            <v>10</v>
          </cell>
          <cell r="I33">
            <v>8.1199999999999992</v>
          </cell>
          <cell r="J33">
            <v>6.28</v>
          </cell>
          <cell r="K33">
            <v>10</v>
          </cell>
          <cell r="L33">
            <v>34.51</v>
          </cell>
          <cell r="M33">
            <v>40</v>
          </cell>
        </row>
        <row r="34">
          <cell r="A34">
            <v>2000003469</v>
          </cell>
          <cell r="B34" t="str">
            <v>OPEN 2-BAR ADJUSTER SET</v>
          </cell>
          <cell r="C34" t="str">
            <v>BABY-SAFE</v>
          </cell>
          <cell r="D34">
            <v>0</v>
          </cell>
          <cell r="E34">
            <v>7.05</v>
          </cell>
          <cell r="F34">
            <v>10</v>
          </cell>
          <cell r="G34">
            <v>8.6199999999999992</v>
          </cell>
          <cell r="H34">
            <v>10</v>
          </cell>
          <cell r="I34">
            <v>8.6199999999999992</v>
          </cell>
          <cell r="J34">
            <v>6.66</v>
          </cell>
          <cell r="K34">
            <v>10</v>
          </cell>
          <cell r="L34">
            <v>36.64</v>
          </cell>
          <cell r="M34">
            <v>45</v>
          </cell>
        </row>
        <row r="35">
          <cell r="A35">
            <v>2000003472</v>
          </cell>
          <cell r="B35" t="str">
            <v>HEADPAD IMPACT INSERT</v>
          </cell>
          <cell r="C35" t="str">
            <v>BABY-SAFE</v>
          </cell>
          <cell r="D35">
            <v>0</v>
          </cell>
          <cell r="E35">
            <v>13.73</v>
          </cell>
          <cell r="F35">
            <v>20</v>
          </cell>
          <cell r="G35">
            <v>16.78</v>
          </cell>
          <cell r="H35">
            <v>20</v>
          </cell>
          <cell r="I35">
            <v>16.78</v>
          </cell>
          <cell r="J35">
            <v>12.97</v>
          </cell>
          <cell r="K35">
            <v>15</v>
          </cell>
          <cell r="L35">
            <v>71.319999999999993</v>
          </cell>
          <cell r="M35">
            <v>90</v>
          </cell>
        </row>
        <row r="36">
          <cell r="A36">
            <v>2000024336</v>
          </cell>
          <cell r="B36" t="str">
            <v>Britax Römer SUN CANOPY (old collections)</v>
          </cell>
          <cell r="C36" t="str">
            <v>BABY-SAFE</v>
          </cell>
          <cell r="D36" t="str">
            <v>Black</v>
          </cell>
          <cell r="E36">
            <v>12.43</v>
          </cell>
          <cell r="F36">
            <v>15</v>
          </cell>
          <cell r="G36">
            <v>12.66</v>
          </cell>
          <cell r="H36">
            <v>15</v>
          </cell>
          <cell r="I36">
            <v>18</v>
          </cell>
          <cell r="J36">
            <v>11.75</v>
          </cell>
          <cell r="K36">
            <v>15</v>
          </cell>
          <cell r="L36">
            <v>53.81</v>
          </cell>
          <cell r="M36">
            <v>65</v>
          </cell>
        </row>
        <row r="37">
          <cell r="A37">
            <v>2000026853</v>
          </cell>
          <cell r="B37" t="str">
            <v>SUN CANOPY</v>
          </cell>
          <cell r="C37" t="str">
            <v>BABY-SAFE</v>
          </cell>
          <cell r="D37" t="str">
            <v>Flame Red</v>
          </cell>
          <cell r="E37">
            <v>12.43</v>
          </cell>
          <cell r="F37">
            <v>15</v>
          </cell>
          <cell r="G37">
            <v>12.66</v>
          </cell>
          <cell r="H37">
            <v>15</v>
          </cell>
          <cell r="I37">
            <v>18</v>
          </cell>
          <cell r="J37">
            <v>10.86</v>
          </cell>
          <cell r="K37">
            <v>15</v>
          </cell>
          <cell r="L37">
            <v>53.81</v>
          </cell>
          <cell r="M37">
            <v>65</v>
          </cell>
        </row>
        <row r="38">
          <cell r="A38">
            <v>2000029638</v>
          </cell>
          <cell r="B38" t="str">
            <v>SUN CANOPY</v>
          </cell>
          <cell r="C38" t="str">
            <v>BABY-SAFE</v>
          </cell>
          <cell r="D38" t="str">
            <v>Moonlight Blue</v>
          </cell>
          <cell r="E38">
            <v>12.43</v>
          </cell>
          <cell r="F38">
            <v>15</v>
          </cell>
          <cell r="G38">
            <v>12.66</v>
          </cell>
          <cell r="H38">
            <v>15</v>
          </cell>
          <cell r="I38">
            <v>18</v>
          </cell>
          <cell r="J38">
            <v>11.75</v>
          </cell>
          <cell r="K38">
            <v>15</v>
          </cell>
          <cell r="L38">
            <v>53.81</v>
          </cell>
          <cell r="M38">
            <v>65</v>
          </cell>
        </row>
        <row r="39">
          <cell r="A39">
            <v>2000029639</v>
          </cell>
          <cell r="B39" t="str">
            <v>SUN CANOPY</v>
          </cell>
          <cell r="C39" t="str">
            <v>BABY-SAFE</v>
          </cell>
          <cell r="D39" t="str">
            <v>Wine Rose</v>
          </cell>
          <cell r="E39">
            <v>12.43</v>
          </cell>
          <cell r="F39">
            <v>15</v>
          </cell>
          <cell r="G39">
            <v>12.66</v>
          </cell>
          <cell r="H39">
            <v>15</v>
          </cell>
          <cell r="I39">
            <v>18</v>
          </cell>
          <cell r="J39">
            <v>11.75</v>
          </cell>
          <cell r="K39">
            <v>15</v>
          </cell>
          <cell r="L39">
            <v>53.81</v>
          </cell>
          <cell r="M39">
            <v>65</v>
          </cell>
        </row>
        <row r="40">
          <cell r="A40">
            <v>2000003889</v>
          </cell>
          <cell r="B40" t="str">
            <v>HEADPAD &amp; CUSHION INSERT</v>
          </cell>
          <cell r="C40" t="str">
            <v>BABY-SAFE</v>
          </cell>
          <cell r="D40">
            <v>0</v>
          </cell>
          <cell r="E40">
            <v>13.63</v>
          </cell>
          <cell r="F40">
            <v>20</v>
          </cell>
          <cell r="G40">
            <v>16.649999999999999</v>
          </cell>
          <cell r="H40">
            <v>20</v>
          </cell>
          <cell r="I40">
            <v>16.649999999999999</v>
          </cell>
          <cell r="J40">
            <v>12.88</v>
          </cell>
          <cell r="K40">
            <v>15</v>
          </cell>
          <cell r="L40">
            <v>70.760000000000005</v>
          </cell>
          <cell r="M40">
            <v>85</v>
          </cell>
        </row>
        <row r="41">
          <cell r="A41">
            <v>2000006066</v>
          </cell>
          <cell r="B41" t="str">
            <v xml:space="preserve">ADAPTORS </v>
          </cell>
          <cell r="C41" t="str">
            <v>BABY-SAFE</v>
          </cell>
          <cell r="D41">
            <v>0</v>
          </cell>
          <cell r="E41">
            <v>13.49</v>
          </cell>
          <cell r="F41">
            <v>20</v>
          </cell>
          <cell r="G41">
            <v>16.489999999999998</v>
          </cell>
          <cell r="H41">
            <v>20</v>
          </cell>
          <cell r="I41">
            <v>16.489999999999998</v>
          </cell>
          <cell r="J41">
            <v>12.75</v>
          </cell>
          <cell r="K41">
            <v>15</v>
          </cell>
          <cell r="L41">
            <v>70.08</v>
          </cell>
          <cell r="M41">
            <v>85</v>
          </cell>
        </row>
        <row r="42">
          <cell r="A42">
            <v>2000003463</v>
          </cell>
          <cell r="B42" t="str">
            <v xml:space="preserve">IMPACT INSERT SET </v>
          </cell>
          <cell r="C42" t="str">
            <v>BABY-SAFE plus / SHR (A17)</v>
          </cell>
          <cell r="D42">
            <v>0</v>
          </cell>
          <cell r="E42">
            <v>13.73</v>
          </cell>
          <cell r="F42">
            <v>20</v>
          </cell>
          <cell r="G42">
            <v>16.78</v>
          </cell>
          <cell r="H42">
            <v>20</v>
          </cell>
          <cell r="I42">
            <v>16.78</v>
          </cell>
          <cell r="J42">
            <v>12.97</v>
          </cell>
          <cell r="K42">
            <v>15</v>
          </cell>
          <cell r="L42">
            <v>71.319999999999993</v>
          </cell>
          <cell r="M42">
            <v>90</v>
          </cell>
        </row>
        <row r="43">
          <cell r="A43">
            <v>2000003476</v>
          </cell>
          <cell r="B43" t="str">
            <v>LIE FLAT CUSHION</v>
          </cell>
          <cell r="C43" t="str">
            <v>BABY-SAFE plus / SHR (A17)</v>
          </cell>
          <cell r="D43">
            <v>0</v>
          </cell>
          <cell r="E43">
            <v>9.6999999999999993</v>
          </cell>
          <cell r="F43">
            <v>15</v>
          </cell>
          <cell r="G43">
            <v>11.85</v>
          </cell>
          <cell r="H43">
            <v>15</v>
          </cell>
          <cell r="I43">
            <v>11.85</v>
          </cell>
          <cell r="J43">
            <v>9.39</v>
          </cell>
          <cell r="K43">
            <v>10</v>
          </cell>
          <cell r="L43">
            <v>50.36</v>
          </cell>
          <cell r="M43">
            <v>60</v>
          </cell>
        </row>
        <row r="44">
          <cell r="A44">
            <v>2000003471</v>
          </cell>
          <cell r="B44" t="str">
            <v>HEADPAD IMPACT INSERT</v>
          </cell>
          <cell r="C44" t="str">
            <v>BABY-SAFE plus / SHR (A17)</v>
          </cell>
          <cell r="D44">
            <v>0</v>
          </cell>
          <cell r="E44">
            <v>13.73</v>
          </cell>
          <cell r="F44">
            <v>20</v>
          </cell>
          <cell r="G44">
            <v>16.78</v>
          </cell>
          <cell r="H44">
            <v>20</v>
          </cell>
          <cell r="I44">
            <v>16.78</v>
          </cell>
          <cell r="J44">
            <v>12.97</v>
          </cell>
          <cell r="K44">
            <v>15</v>
          </cell>
          <cell r="L44">
            <v>71.319999999999993</v>
          </cell>
          <cell r="M44">
            <v>90</v>
          </cell>
        </row>
        <row r="45">
          <cell r="A45">
            <v>2000024330</v>
          </cell>
          <cell r="B45" t="str">
            <v xml:space="preserve">SUN CANOPY </v>
          </cell>
          <cell r="C45" t="str">
            <v>BABY SAFE plus II / SHR (A20)</v>
          </cell>
          <cell r="D45" t="str">
            <v>Cosmos Black/
Black Marble</v>
          </cell>
          <cell r="E45">
            <v>12.43</v>
          </cell>
          <cell r="F45">
            <v>15</v>
          </cell>
          <cell r="G45">
            <v>12.66</v>
          </cell>
          <cell r="H45">
            <v>15</v>
          </cell>
          <cell r="I45">
            <v>18</v>
          </cell>
          <cell r="J45">
            <v>11.75</v>
          </cell>
          <cell r="K45">
            <v>15</v>
          </cell>
          <cell r="L45">
            <v>53.81</v>
          </cell>
          <cell r="M45">
            <v>65</v>
          </cell>
        </row>
        <row r="46">
          <cell r="A46">
            <v>2000024331</v>
          </cell>
          <cell r="B46" t="str">
            <v xml:space="preserve">SUN CANOPY </v>
          </cell>
          <cell r="C46" t="str">
            <v>BABY SAFE plus II / SHR (A20)</v>
          </cell>
          <cell r="D46" t="str">
            <v>Flame Red</v>
          </cell>
          <cell r="E46">
            <v>12.43</v>
          </cell>
          <cell r="F46">
            <v>15</v>
          </cell>
          <cell r="G46">
            <v>12.66</v>
          </cell>
          <cell r="H46">
            <v>15</v>
          </cell>
          <cell r="I46">
            <v>20</v>
          </cell>
          <cell r="J46">
            <v>11.75</v>
          </cell>
          <cell r="K46">
            <v>15</v>
          </cell>
          <cell r="L46">
            <v>53.81</v>
          </cell>
          <cell r="M46">
            <v>65</v>
          </cell>
        </row>
        <row r="47">
          <cell r="A47">
            <v>2000026166</v>
          </cell>
          <cell r="B47" t="str">
            <v xml:space="preserve">SUN CANOPY </v>
          </cell>
          <cell r="C47" t="str">
            <v>BABY SAFE plus II / SHR (A20)</v>
          </cell>
          <cell r="D47" t="str">
            <v>Olive Green</v>
          </cell>
          <cell r="E47">
            <v>12.43</v>
          </cell>
          <cell r="F47">
            <v>15</v>
          </cell>
          <cell r="G47">
            <v>12.66</v>
          </cell>
          <cell r="H47">
            <v>15</v>
          </cell>
          <cell r="I47">
            <v>12.43</v>
          </cell>
          <cell r="J47">
            <v>11.75</v>
          </cell>
          <cell r="K47">
            <v>15</v>
          </cell>
          <cell r="L47">
            <v>53.81</v>
          </cell>
          <cell r="M47">
            <v>65</v>
          </cell>
        </row>
        <row r="48">
          <cell r="A48">
            <v>2000029640</v>
          </cell>
          <cell r="B48" t="str">
            <v xml:space="preserve">SUN CANOPY </v>
          </cell>
          <cell r="C48" t="str">
            <v>BABY SAFE plus II / SHR (A20)</v>
          </cell>
          <cell r="D48" t="str">
            <v>Moonlight Blue</v>
          </cell>
          <cell r="E48">
            <v>12.43</v>
          </cell>
          <cell r="F48">
            <v>15</v>
          </cell>
          <cell r="G48">
            <v>12.66</v>
          </cell>
          <cell r="H48">
            <v>15</v>
          </cell>
          <cell r="I48">
            <v>12.43</v>
          </cell>
          <cell r="J48">
            <v>10.34</v>
          </cell>
          <cell r="K48">
            <v>10</v>
          </cell>
          <cell r="L48">
            <v>53.81</v>
          </cell>
          <cell r="M48">
            <v>65</v>
          </cell>
        </row>
        <row r="49">
          <cell r="A49">
            <v>2000029641</v>
          </cell>
          <cell r="B49" t="str">
            <v xml:space="preserve">SUN CANOPY </v>
          </cell>
          <cell r="C49" t="str">
            <v>BABY SAFE plus II / SHR (A20)</v>
          </cell>
          <cell r="D49" t="str">
            <v>Wine Rose</v>
          </cell>
          <cell r="E49">
            <v>12.43</v>
          </cell>
          <cell r="F49">
            <v>15</v>
          </cell>
          <cell r="G49">
            <v>12.66</v>
          </cell>
          <cell r="H49">
            <v>15</v>
          </cell>
          <cell r="I49">
            <v>12.43</v>
          </cell>
          <cell r="J49">
            <v>11.75</v>
          </cell>
          <cell r="K49">
            <v>15</v>
          </cell>
          <cell r="L49">
            <v>53.81</v>
          </cell>
          <cell r="M49">
            <v>65</v>
          </cell>
        </row>
        <row r="50">
          <cell r="A50">
            <v>2000024465</v>
          </cell>
          <cell r="B50" t="str">
            <v>SHOULDER PAD SET</v>
          </cell>
          <cell r="C50" t="str">
            <v>BABY SAFE plus II / SHR (A20)</v>
          </cell>
          <cell r="D50" t="str">
            <v>Black</v>
          </cell>
          <cell r="E50">
            <v>6.37</v>
          </cell>
          <cell r="F50">
            <v>10</v>
          </cell>
          <cell r="G50">
            <v>7.79</v>
          </cell>
          <cell r="H50">
            <v>10</v>
          </cell>
          <cell r="I50">
            <v>7.79</v>
          </cell>
          <cell r="J50">
            <v>6.02</v>
          </cell>
          <cell r="K50">
            <v>5</v>
          </cell>
          <cell r="L50">
            <v>33.11</v>
          </cell>
          <cell r="M50">
            <v>40</v>
          </cell>
        </row>
        <row r="51">
          <cell r="A51">
            <v>2000003464</v>
          </cell>
          <cell r="B51" t="str">
            <v>HEADPAD IMPACT INSERT</v>
          </cell>
          <cell r="C51" t="str">
            <v>BABY SAFE plus II / SHR (A20)</v>
          </cell>
          <cell r="D51">
            <v>0</v>
          </cell>
          <cell r="E51">
            <v>13.73</v>
          </cell>
          <cell r="F51">
            <v>20</v>
          </cell>
          <cell r="G51">
            <v>16.78</v>
          </cell>
          <cell r="H51">
            <v>20</v>
          </cell>
          <cell r="I51">
            <v>16.78</v>
          </cell>
          <cell r="J51">
            <v>12.97</v>
          </cell>
          <cell r="K51">
            <v>15</v>
          </cell>
          <cell r="L51">
            <v>71.319999999999993</v>
          </cell>
          <cell r="M51">
            <v>90</v>
          </cell>
        </row>
        <row r="52">
          <cell r="A52">
            <v>2000006624</v>
          </cell>
          <cell r="B52" t="str">
            <v>USER GUIDE COMPARTMENT</v>
          </cell>
          <cell r="C52" t="str">
            <v>BABY SAFE plus II / SHR (A20)</v>
          </cell>
          <cell r="D52" t="str">
            <v>Black</v>
          </cell>
          <cell r="E52">
            <v>11.49</v>
          </cell>
          <cell r="F52">
            <v>15</v>
          </cell>
          <cell r="G52">
            <v>14.04</v>
          </cell>
          <cell r="H52">
            <v>15</v>
          </cell>
          <cell r="I52">
            <v>14.04</v>
          </cell>
          <cell r="J52">
            <v>10.86</v>
          </cell>
          <cell r="K52">
            <v>15</v>
          </cell>
          <cell r="L52">
            <v>59.67</v>
          </cell>
          <cell r="M52">
            <v>75</v>
          </cell>
        </row>
        <row r="53">
          <cell r="A53">
            <v>2000026835</v>
          </cell>
          <cell r="B53" t="str">
            <v>Wave Washer SUN CANOPY</v>
          </cell>
          <cell r="C53" t="str">
            <v>BABY SAFE plus II / SHR (A20)</v>
          </cell>
          <cell r="D53">
            <v>0</v>
          </cell>
          <cell r="E53">
            <v>6</v>
          </cell>
          <cell r="F53">
            <v>8</v>
          </cell>
          <cell r="G53">
            <v>6.72</v>
          </cell>
          <cell r="H53">
            <v>10</v>
          </cell>
          <cell r="I53">
            <v>6</v>
          </cell>
          <cell r="J53">
            <v>5.67</v>
          </cell>
          <cell r="K53">
            <v>5</v>
          </cell>
          <cell r="L53">
            <v>28.56</v>
          </cell>
          <cell r="M53">
            <v>35</v>
          </cell>
        </row>
        <row r="54">
          <cell r="A54">
            <v>2000027524</v>
          </cell>
          <cell r="B54" t="str">
            <v xml:space="preserve">IMPACT INSERT BACK SET </v>
          </cell>
          <cell r="C54" t="str">
            <v>DUALFIX i-SIZE</v>
          </cell>
          <cell r="D54">
            <v>0</v>
          </cell>
          <cell r="E54">
            <v>12.61</v>
          </cell>
          <cell r="F54">
            <v>15</v>
          </cell>
          <cell r="G54">
            <v>14.12</v>
          </cell>
          <cell r="H54">
            <v>15</v>
          </cell>
          <cell r="I54">
            <v>16.78</v>
          </cell>
          <cell r="J54">
            <v>11.92</v>
          </cell>
          <cell r="K54">
            <v>15</v>
          </cell>
          <cell r="L54">
            <v>60.01</v>
          </cell>
          <cell r="M54">
            <v>75</v>
          </cell>
        </row>
        <row r="55">
          <cell r="A55">
            <v>2000027525</v>
          </cell>
          <cell r="B55" t="str">
            <v>IMPACT INSERT HEAD</v>
          </cell>
          <cell r="C55" t="str">
            <v>DUALFIX i-SIZE</v>
          </cell>
          <cell r="D55">
            <v>0</v>
          </cell>
          <cell r="E55">
            <v>8.4</v>
          </cell>
          <cell r="F55">
            <v>10</v>
          </cell>
          <cell r="G55">
            <v>9.41</v>
          </cell>
          <cell r="H55">
            <v>10</v>
          </cell>
          <cell r="I55">
            <v>11.2</v>
          </cell>
          <cell r="J55">
            <v>7.94</v>
          </cell>
          <cell r="K55">
            <v>10</v>
          </cell>
          <cell r="L55">
            <v>39.99</v>
          </cell>
          <cell r="M55">
            <v>50</v>
          </cell>
        </row>
        <row r="56">
          <cell r="A56">
            <v>2000027526</v>
          </cell>
          <cell r="B56" t="str">
            <v>ADJUSTER COVER</v>
          </cell>
          <cell r="C56" t="str">
            <v>DUALFIX i-SIZE</v>
          </cell>
          <cell r="D56">
            <v>0</v>
          </cell>
          <cell r="E56">
            <v>8.4</v>
          </cell>
          <cell r="F56">
            <v>10</v>
          </cell>
          <cell r="G56">
            <v>9.41</v>
          </cell>
          <cell r="H56">
            <v>10</v>
          </cell>
          <cell r="I56">
            <v>11.2</v>
          </cell>
          <cell r="J56">
            <v>7.94</v>
          </cell>
          <cell r="K56">
            <v>10</v>
          </cell>
          <cell r="L56">
            <v>39.99</v>
          </cell>
          <cell r="M56">
            <v>50</v>
          </cell>
        </row>
        <row r="57">
          <cell r="A57">
            <v>2000027527</v>
          </cell>
          <cell r="B57" t="str">
            <v xml:space="preserve">NEWBORN INSERT </v>
          </cell>
          <cell r="C57" t="str">
            <v>DUALFIX i-SIZE</v>
          </cell>
          <cell r="D57" t="str">
            <v>Cosmos Black/Mystic Black/Blue Marble</v>
          </cell>
          <cell r="E57">
            <v>54.62</v>
          </cell>
          <cell r="F57">
            <v>65</v>
          </cell>
          <cell r="G57">
            <v>61.18</v>
          </cell>
          <cell r="H57">
            <v>75</v>
          </cell>
          <cell r="I57">
            <v>60</v>
          </cell>
          <cell r="J57">
            <v>51.62</v>
          </cell>
          <cell r="K57">
            <v>60</v>
          </cell>
          <cell r="L57">
            <v>260.02</v>
          </cell>
          <cell r="M57">
            <v>320</v>
          </cell>
        </row>
        <row r="58">
          <cell r="A58">
            <v>2000027528</v>
          </cell>
          <cell r="B58" t="str">
            <v xml:space="preserve">NEWBORN INSERT </v>
          </cell>
          <cell r="C58" t="str">
            <v>DUALFIX i-SIZE</v>
          </cell>
          <cell r="D58" t="str">
            <v>Flame Red</v>
          </cell>
          <cell r="E58">
            <v>54.62</v>
          </cell>
          <cell r="F58">
            <v>65</v>
          </cell>
          <cell r="G58">
            <v>61.18</v>
          </cell>
          <cell r="H58">
            <v>75</v>
          </cell>
          <cell r="I58">
            <v>60</v>
          </cell>
          <cell r="J58">
            <v>51.62</v>
          </cell>
          <cell r="K58">
            <v>60</v>
          </cell>
          <cell r="L58">
            <v>260.02</v>
          </cell>
          <cell r="M58">
            <v>320</v>
          </cell>
        </row>
        <row r="59">
          <cell r="A59">
            <v>2000027531</v>
          </cell>
          <cell r="B59" t="str">
            <v xml:space="preserve">NEWBORN INSERT </v>
          </cell>
          <cell r="C59" t="str">
            <v>DUALFIX i-SIZE</v>
          </cell>
          <cell r="D59" t="str">
            <v>Storm Grey</v>
          </cell>
          <cell r="E59">
            <v>54.62</v>
          </cell>
          <cell r="F59">
            <v>65</v>
          </cell>
          <cell r="G59">
            <v>61.18</v>
          </cell>
          <cell r="H59">
            <v>75</v>
          </cell>
          <cell r="I59">
            <v>60</v>
          </cell>
          <cell r="J59">
            <v>51.62</v>
          </cell>
          <cell r="K59">
            <v>60</v>
          </cell>
          <cell r="L59">
            <v>260.02</v>
          </cell>
          <cell r="M59">
            <v>320</v>
          </cell>
        </row>
        <row r="60">
          <cell r="A60">
            <v>2000027532</v>
          </cell>
          <cell r="B60" t="str">
            <v xml:space="preserve">NEWBORN INSERT </v>
          </cell>
          <cell r="C60" t="str">
            <v>DUALFIX i-SIZE</v>
          </cell>
          <cell r="D60" t="str">
            <v>Olive Green</v>
          </cell>
          <cell r="E60">
            <v>54.62</v>
          </cell>
          <cell r="F60">
            <v>65</v>
          </cell>
          <cell r="G60">
            <v>61.18</v>
          </cell>
          <cell r="H60">
            <v>75</v>
          </cell>
          <cell r="I60">
            <v>60</v>
          </cell>
          <cell r="J60">
            <v>51.62</v>
          </cell>
          <cell r="K60">
            <v>60</v>
          </cell>
          <cell r="L60">
            <v>260.02</v>
          </cell>
          <cell r="M60">
            <v>320</v>
          </cell>
        </row>
        <row r="61">
          <cell r="A61">
            <v>2000027529</v>
          </cell>
          <cell r="B61" t="str">
            <v xml:space="preserve">NEWBORN INSERT </v>
          </cell>
          <cell r="C61" t="str">
            <v>DUALFIX i-SIZE</v>
          </cell>
          <cell r="D61" t="str">
            <v>Moonlight Blue</v>
          </cell>
          <cell r="E61">
            <v>54.62</v>
          </cell>
          <cell r="F61">
            <v>65</v>
          </cell>
          <cell r="G61">
            <v>61.18</v>
          </cell>
          <cell r="H61">
            <v>75</v>
          </cell>
          <cell r="I61">
            <v>60</v>
          </cell>
          <cell r="J61">
            <v>51.62</v>
          </cell>
          <cell r="K61">
            <v>60</v>
          </cell>
          <cell r="L61">
            <v>260.02</v>
          </cell>
          <cell r="M61">
            <v>320</v>
          </cell>
        </row>
        <row r="62">
          <cell r="A62">
            <v>2000027530</v>
          </cell>
          <cell r="B62" t="str">
            <v xml:space="preserve">NEWBORN INSERT </v>
          </cell>
          <cell r="C62" t="str">
            <v>DUALFIX i-SIZE</v>
          </cell>
          <cell r="D62" t="str">
            <v>Wine Rose</v>
          </cell>
          <cell r="E62">
            <v>54.62</v>
          </cell>
          <cell r="F62">
            <v>65</v>
          </cell>
          <cell r="G62">
            <v>61.18</v>
          </cell>
          <cell r="H62">
            <v>75</v>
          </cell>
          <cell r="I62">
            <v>60</v>
          </cell>
          <cell r="J62">
            <v>51.62</v>
          </cell>
          <cell r="K62">
            <v>60</v>
          </cell>
          <cell r="L62">
            <v>260.02</v>
          </cell>
          <cell r="M62">
            <v>320</v>
          </cell>
        </row>
        <row r="63">
          <cell r="A63">
            <v>2000027533</v>
          </cell>
          <cell r="B63" t="str">
            <v xml:space="preserve">NEWBORN INSERT </v>
          </cell>
          <cell r="C63" t="str">
            <v>DUALFIX i-SIZE</v>
          </cell>
          <cell r="D63" t="str">
            <v>Sand Marble</v>
          </cell>
          <cell r="E63">
            <v>54.62</v>
          </cell>
          <cell r="F63">
            <v>65</v>
          </cell>
          <cell r="G63">
            <v>61.18</v>
          </cell>
          <cell r="H63">
            <v>75</v>
          </cell>
          <cell r="I63">
            <v>60</v>
          </cell>
          <cell r="J63">
            <v>51.62</v>
          </cell>
          <cell r="K63">
            <v>60</v>
          </cell>
          <cell r="L63">
            <v>260.02</v>
          </cell>
          <cell r="M63">
            <v>320</v>
          </cell>
        </row>
        <row r="64">
          <cell r="A64">
            <v>2000027534</v>
          </cell>
          <cell r="B64" t="str">
            <v>SHOULDER PAD SET</v>
          </cell>
          <cell r="C64" t="str">
            <v>DUALFIX i-SIZE</v>
          </cell>
          <cell r="D64" t="str">
            <v>Cosmos Black</v>
          </cell>
          <cell r="E64">
            <v>12.61</v>
          </cell>
          <cell r="F64">
            <v>15</v>
          </cell>
          <cell r="G64">
            <v>14.12</v>
          </cell>
          <cell r="H64">
            <v>15</v>
          </cell>
          <cell r="I64">
            <v>16.78</v>
          </cell>
          <cell r="J64">
            <v>11.92</v>
          </cell>
          <cell r="K64">
            <v>15</v>
          </cell>
          <cell r="L64">
            <v>60.01</v>
          </cell>
          <cell r="M64">
            <v>75</v>
          </cell>
        </row>
        <row r="65">
          <cell r="A65">
            <v>2000027535</v>
          </cell>
          <cell r="B65" t="str">
            <v>SHOULDER PAD SET</v>
          </cell>
          <cell r="C65" t="str">
            <v>DUALFIX i-SIZE</v>
          </cell>
          <cell r="D65" t="str">
            <v>Flame Red</v>
          </cell>
          <cell r="E65">
            <v>12.61</v>
          </cell>
          <cell r="F65">
            <v>15</v>
          </cell>
          <cell r="G65">
            <v>14.12</v>
          </cell>
          <cell r="H65">
            <v>15</v>
          </cell>
          <cell r="I65">
            <v>16.78</v>
          </cell>
          <cell r="J65">
            <v>11.92</v>
          </cell>
          <cell r="K65">
            <v>15</v>
          </cell>
          <cell r="L65">
            <v>60.01</v>
          </cell>
          <cell r="M65">
            <v>75</v>
          </cell>
        </row>
        <row r="66">
          <cell r="A66">
            <v>2000027538</v>
          </cell>
          <cell r="B66" t="str">
            <v>SHOULDER PAD SET</v>
          </cell>
          <cell r="C66" t="str">
            <v>DUALFIX i-SIZE</v>
          </cell>
          <cell r="D66" t="str">
            <v>Storm Grey</v>
          </cell>
          <cell r="E66">
            <v>12.61</v>
          </cell>
          <cell r="F66">
            <v>15</v>
          </cell>
          <cell r="G66">
            <v>14.12</v>
          </cell>
          <cell r="H66">
            <v>15</v>
          </cell>
          <cell r="I66">
            <v>16.78</v>
          </cell>
          <cell r="J66">
            <v>11.92</v>
          </cell>
          <cell r="K66">
            <v>15</v>
          </cell>
          <cell r="L66">
            <v>60.01</v>
          </cell>
          <cell r="M66">
            <v>75</v>
          </cell>
        </row>
        <row r="67">
          <cell r="A67">
            <v>2000027539</v>
          </cell>
          <cell r="B67" t="str">
            <v>SHOULDER PAD SET</v>
          </cell>
          <cell r="C67" t="str">
            <v>DUALFIX i-SIZE</v>
          </cell>
          <cell r="D67" t="str">
            <v>Olive Green</v>
          </cell>
          <cell r="E67">
            <v>12.61</v>
          </cell>
          <cell r="F67">
            <v>15</v>
          </cell>
          <cell r="G67">
            <v>14.12</v>
          </cell>
          <cell r="H67">
            <v>15</v>
          </cell>
          <cell r="I67">
            <v>16.78</v>
          </cell>
          <cell r="J67">
            <v>11.92</v>
          </cell>
          <cell r="K67">
            <v>15</v>
          </cell>
          <cell r="L67">
            <v>60.01</v>
          </cell>
          <cell r="M67">
            <v>75</v>
          </cell>
        </row>
        <row r="68">
          <cell r="A68">
            <v>2000027536</v>
          </cell>
          <cell r="B68" t="str">
            <v>SHOULDER PAD SET</v>
          </cell>
          <cell r="C68" t="str">
            <v>DUALFIX i-SIZE</v>
          </cell>
          <cell r="D68" t="str">
            <v>Moonlight Blue</v>
          </cell>
          <cell r="E68">
            <v>12.61</v>
          </cell>
          <cell r="F68">
            <v>15</v>
          </cell>
          <cell r="G68">
            <v>14.12</v>
          </cell>
          <cell r="H68">
            <v>15</v>
          </cell>
          <cell r="I68">
            <v>16.78</v>
          </cell>
          <cell r="J68">
            <v>11.92</v>
          </cell>
          <cell r="K68">
            <v>15</v>
          </cell>
          <cell r="L68">
            <v>60.01</v>
          </cell>
          <cell r="M68">
            <v>75</v>
          </cell>
        </row>
        <row r="69">
          <cell r="A69">
            <v>2000027537</v>
          </cell>
          <cell r="B69" t="str">
            <v>SHOULDER PAD SET</v>
          </cell>
          <cell r="C69" t="str">
            <v>DUALFIX i-SIZE</v>
          </cell>
          <cell r="D69" t="str">
            <v>Wine Rose</v>
          </cell>
          <cell r="E69">
            <v>12.61</v>
          </cell>
          <cell r="F69">
            <v>15</v>
          </cell>
          <cell r="G69">
            <v>14.12</v>
          </cell>
          <cell r="H69">
            <v>15</v>
          </cell>
          <cell r="I69">
            <v>16.78</v>
          </cell>
          <cell r="J69">
            <v>11.92</v>
          </cell>
          <cell r="K69">
            <v>15</v>
          </cell>
          <cell r="L69">
            <v>60.01</v>
          </cell>
          <cell r="M69">
            <v>75</v>
          </cell>
        </row>
        <row r="70">
          <cell r="A70">
            <v>2000027541</v>
          </cell>
          <cell r="B70" t="str">
            <v>SHOULDER PAD SET</v>
          </cell>
          <cell r="C70" t="str">
            <v>DUALFIX i-SIZE</v>
          </cell>
          <cell r="D70" t="str">
            <v>Sand Marble</v>
          </cell>
          <cell r="E70">
            <v>13.87</v>
          </cell>
          <cell r="F70">
            <v>17</v>
          </cell>
          <cell r="G70">
            <v>15.53</v>
          </cell>
          <cell r="H70">
            <v>20</v>
          </cell>
          <cell r="I70">
            <v>18.46</v>
          </cell>
          <cell r="J70">
            <v>11.92</v>
          </cell>
          <cell r="K70">
            <v>15</v>
          </cell>
          <cell r="L70">
            <v>66</v>
          </cell>
          <cell r="M70">
            <v>80</v>
          </cell>
        </row>
        <row r="71">
          <cell r="A71">
            <v>2000027540</v>
          </cell>
          <cell r="B71" t="str">
            <v>SHOULDER PAD SET</v>
          </cell>
          <cell r="C71" t="str">
            <v>DUALFIX i-SIZE</v>
          </cell>
          <cell r="D71" t="str">
            <v>Blue Marble</v>
          </cell>
          <cell r="E71">
            <v>13.87</v>
          </cell>
          <cell r="F71">
            <v>17</v>
          </cell>
          <cell r="G71">
            <v>15.53</v>
          </cell>
          <cell r="H71">
            <v>20</v>
          </cell>
          <cell r="I71">
            <v>18.46</v>
          </cell>
          <cell r="J71">
            <v>11.92</v>
          </cell>
          <cell r="K71">
            <v>15</v>
          </cell>
          <cell r="L71">
            <v>66</v>
          </cell>
          <cell r="M71">
            <v>80</v>
          </cell>
        </row>
        <row r="72">
          <cell r="A72">
            <v>2000027542</v>
          </cell>
          <cell r="B72" t="str">
            <v>SHOULDER PAD SET</v>
          </cell>
          <cell r="C72" t="str">
            <v>DUALFIX i-SIZE</v>
          </cell>
          <cell r="D72" t="str">
            <v>Mystic Black</v>
          </cell>
          <cell r="E72">
            <v>13.87</v>
          </cell>
          <cell r="F72">
            <v>17</v>
          </cell>
          <cell r="G72">
            <v>15.53</v>
          </cell>
          <cell r="H72">
            <v>20</v>
          </cell>
          <cell r="I72">
            <v>18.46</v>
          </cell>
          <cell r="J72">
            <v>11.92</v>
          </cell>
          <cell r="K72">
            <v>15</v>
          </cell>
          <cell r="L72">
            <v>66</v>
          </cell>
          <cell r="M72">
            <v>80</v>
          </cell>
        </row>
        <row r="73">
          <cell r="A73">
            <v>2000024309</v>
          </cell>
          <cell r="B73" t="str">
            <v xml:space="preserve">INFANT INSERT </v>
          </cell>
          <cell r="C73" t="str">
            <v>FIRST CLASS plus</v>
          </cell>
          <cell r="D73" t="str">
            <v>Cosmos Black/
Black Marble/ Blue Marble</v>
          </cell>
          <cell r="E73">
            <v>19.07</v>
          </cell>
          <cell r="F73">
            <v>25</v>
          </cell>
          <cell r="G73">
            <v>23.31</v>
          </cell>
          <cell r="H73">
            <v>30</v>
          </cell>
          <cell r="I73">
            <v>23.31</v>
          </cell>
          <cell r="J73">
            <v>18.02</v>
          </cell>
          <cell r="K73">
            <v>20</v>
          </cell>
          <cell r="L73">
            <v>99.07</v>
          </cell>
          <cell r="M73">
            <v>120</v>
          </cell>
        </row>
        <row r="74">
          <cell r="A74">
            <v>2000024310</v>
          </cell>
          <cell r="B74" t="str">
            <v>INFANT INSERT</v>
          </cell>
          <cell r="C74" t="str">
            <v>FIRST CLASS plus</v>
          </cell>
          <cell r="D74" t="str">
            <v>Flame Red</v>
          </cell>
          <cell r="E74">
            <v>19.07</v>
          </cell>
          <cell r="F74">
            <v>25</v>
          </cell>
          <cell r="G74">
            <v>23.31</v>
          </cell>
          <cell r="H74">
            <v>30</v>
          </cell>
          <cell r="I74">
            <v>23.31</v>
          </cell>
          <cell r="J74">
            <v>18.260000000000002</v>
          </cell>
          <cell r="K74">
            <v>20</v>
          </cell>
          <cell r="L74">
            <v>99.07</v>
          </cell>
          <cell r="M74">
            <v>120</v>
          </cell>
        </row>
        <row r="75">
          <cell r="A75">
            <v>2000026204</v>
          </cell>
          <cell r="B75" t="str">
            <v>INFANT INSERT</v>
          </cell>
          <cell r="C75" t="str">
            <v>FIRST CLASS plus</v>
          </cell>
          <cell r="D75" t="str">
            <v>Storm Grey</v>
          </cell>
          <cell r="E75">
            <v>19.07</v>
          </cell>
          <cell r="F75">
            <v>25</v>
          </cell>
          <cell r="G75">
            <v>23.31</v>
          </cell>
          <cell r="H75">
            <v>30</v>
          </cell>
          <cell r="I75">
            <v>23.31</v>
          </cell>
          <cell r="J75">
            <v>18.02</v>
          </cell>
          <cell r="K75">
            <v>20</v>
          </cell>
          <cell r="L75">
            <v>99.07</v>
          </cell>
          <cell r="M75">
            <v>120</v>
          </cell>
        </row>
        <row r="76">
          <cell r="A76">
            <v>2000027730</v>
          </cell>
          <cell r="B76" t="str">
            <v>INFANT INSERT</v>
          </cell>
          <cell r="C76" t="str">
            <v>FIRST CLASS plus</v>
          </cell>
          <cell r="D76" t="str">
            <v>Moonlight Blue</v>
          </cell>
          <cell r="E76">
            <v>19.07</v>
          </cell>
          <cell r="F76">
            <v>25</v>
          </cell>
          <cell r="G76">
            <v>23.31</v>
          </cell>
          <cell r="H76">
            <v>30</v>
          </cell>
          <cell r="I76">
            <v>23.31</v>
          </cell>
          <cell r="J76">
            <v>18.02</v>
          </cell>
          <cell r="K76">
            <v>20</v>
          </cell>
          <cell r="L76">
            <v>99.07</v>
          </cell>
          <cell r="M76">
            <v>120</v>
          </cell>
        </row>
        <row r="77">
          <cell r="A77">
            <v>2000027733</v>
          </cell>
          <cell r="B77" t="str">
            <v>INFANT INSERT</v>
          </cell>
          <cell r="C77" t="str">
            <v>FIRST CLASS plus</v>
          </cell>
          <cell r="D77" t="str">
            <v>Wine Rose</v>
          </cell>
          <cell r="E77">
            <v>19.07</v>
          </cell>
          <cell r="F77">
            <v>25</v>
          </cell>
          <cell r="G77">
            <v>23.31</v>
          </cell>
          <cell r="H77">
            <v>30</v>
          </cell>
          <cell r="I77">
            <v>23.31</v>
          </cell>
          <cell r="J77">
            <v>18.02</v>
          </cell>
          <cell r="K77">
            <v>20</v>
          </cell>
          <cell r="L77">
            <v>99.07</v>
          </cell>
          <cell r="M77">
            <v>120</v>
          </cell>
        </row>
        <row r="78">
          <cell r="A78">
            <v>2000024285</v>
          </cell>
          <cell r="B78" t="str">
            <v>SHOULDER PAD SET</v>
          </cell>
          <cell r="C78" t="str">
            <v>FIRST CLASS plus</v>
          </cell>
          <cell r="D78" t="str">
            <v>Cosmos Black</v>
          </cell>
          <cell r="E78">
            <v>9.94</v>
          </cell>
          <cell r="F78">
            <v>12</v>
          </cell>
          <cell r="G78">
            <v>12.15</v>
          </cell>
          <cell r="H78">
            <v>15</v>
          </cell>
          <cell r="I78">
            <v>12.15</v>
          </cell>
          <cell r="J78">
            <v>9.39</v>
          </cell>
          <cell r="K78">
            <v>10</v>
          </cell>
          <cell r="L78">
            <v>51.64</v>
          </cell>
          <cell r="M78">
            <v>65</v>
          </cell>
        </row>
        <row r="79">
          <cell r="A79">
            <v>2000024286</v>
          </cell>
          <cell r="B79" t="str">
            <v xml:space="preserve">SHOULDER PAD SET </v>
          </cell>
          <cell r="C79" t="str">
            <v>FIRST CLASS plus</v>
          </cell>
          <cell r="D79" t="str">
            <v>Flame Red</v>
          </cell>
          <cell r="E79">
            <v>9.94</v>
          </cell>
          <cell r="F79">
            <v>12</v>
          </cell>
          <cell r="G79">
            <v>12.15</v>
          </cell>
          <cell r="H79">
            <v>15</v>
          </cell>
          <cell r="I79">
            <v>12.15</v>
          </cell>
          <cell r="J79">
            <v>9.39</v>
          </cell>
          <cell r="K79">
            <v>10</v>
          </cell>
          <cell r="L79">
            <v>51.64</v>
          </cell>
          <cell r="M79">
            <v>65</v>
          </cell>
        </row>
        <row r="80">
          <cell r="A80">
            <v>2000026206</v>
          </cell>
          <cell r="B80" t="str">
            <v xml:space="preserve">SHOULDER PAD SET </v>
          </cell>
          <cell r="C80" t="str">
            <v>FIRST CLASS plus</v>
          </cell>
          <cell r="D80" t="str">
            <v>Storm Grey</v>
          </cell>
          <cell r="E80">
            <v>9.94</v>
          </cell>
          <cell r="F80">
            <v>12</v>
          </cell>
          <cell r="G80">
            <v>12.15</v>
          </cell>
          <cell r="H80">
            <v>15</v>
          </cell>
          <cell r="I80">
            <v>12.15</v>
          </cell>
          <cell r="J80">
            <v>9.39</v>
          </cell>
          <cell r="K80">
            <v>10</v>
          </cell>
          <cell r="L80">
            <v>51.64</v>
          </cell>
          <cell r="M80">
            <v>65</v>
          </cell>
        </row>
        <row r="81">
          <cell r="A81">
            <v>2000027731</v>
          </cell>
          <cell r="B81" t="str">
            <v xml:space="preserve">SHOULDER PAD SET </v>
          </cell>
          <cell r="C81" t="str">
            <v>FIRST CLASS plus</v>
          </cell>
          <cell r="D81" t="str">
            <v>Moonlight Blue</v>
          </cell>
          <cell r="E81">
            <v>9.94</v>
          </cell>
          <cell r="F81">
            <v>12</v>
          </cell>
          <cell r="G81">
            <v>12.15</v>
          </cell>
          <cell r="H81">
            <v>15</v>
          </cell>
          <cell r="I81">
            <v>12.15</v>
          </cell>
          <cell r="J81">
            <v>9.39</v>
          </cell>
          <cell r="K81">
            <v>10</v>
          </cell>
          <cell r="L81">
            <v>51.64</v>
          </cell>
          <cell r="M81">
            <v>65</v>
          </cell>
        </row>
        <row r="82">
          <cell r="A82">
            <v>2000027734</v>
          </cell>
          <cell r="B82" t="str">
            <v xml:space="preserve">SHOULDER PAD SET </v>
          </cell>
          <cell r="C82" t="str">
            <v>FIRST CLASS plus</v>
          </cell>
          <cell r="D82" t="str">
            <v>Wine Rose</v>
          </cell>
          <cell r="E82">
            <v>9.94</v>
          </cell>
          <cell r="F82">
            <v>12</v>
          </cell>
          <cell r="G82">
            <v>12.15</v>
          </cell>
          <cell r="H82">
            <v>15</v>
          </cell>
          <cell r="I82">
            <v>12.15</v>
          </cell>
          <cell r="J82">
            <v>9.39</v>
          </cell>
          <cell r="K82">
            <v>10</v>
          </cell>
          <cell r="L82">
            <v>51.64</v>
          </cell>
          <cell r="M82">
            <v>65</v>
          </cell>
        </row>
        <row r="83">
          <cell r="A83">
            <v>2000027737</v>
          </cell>
          <cell r="B83" t="str">
            <v xml:space="preserve">SHOULDER PAD SET </v>
          </cell>
          <cell r="C83" t="str">
            <v>FIRST CLASS plus</v>
          </cell>
          <cell r="D83" t="str">
            <v>Blue Marble</v>
          </cell>
          <cell r="E83">
            <v>10.94</v>
          </cell>
          <cell r="F83">
            <v>14</v>
          </cell>
          <cell r="G83">
            <v>13.37</v>
          </cell>
          <cell r="H83">
            <v>15</v>
          </cell>
          <cell r="I83">
            <v>13.37</v>
          </cell>
          <cell r="J83">
            <v>10.34</v>
          </cell>
          <cell r="K83">
            <v>10</v>
          </cell>
          <cell r="L83">
            <v>56.82</v>
          </cell>
          <cell r="M83">
            <v>70</v>
          </cell>
        </row>
        <row r="84">
          <cell r="A84">
            <v>2000003672</v>
          </cell>
          <cell r="B84" t="str">
            <v>BELT SHIELD</v>
          </cell>
          <cell r="C84" t="str">
            <v>FIRST CLASS plus</v>
          </cell>
          <cell r="D84">
            <v>0</v>
          </cell>
          <cell r="E84">
            <v>8</v>
          </cell>
          <cell r="F84">
            <v>10</v>
          </cell>
          <cell r="G84">
            <v>8</v>
          </cell>
          <cell r="H84">
            <v>10</v>
          </cell>
          <cell r="I84">
            <v>8</v>
          </cell>
          <cell r="J84">
            <v>7.56</v>
          </cell>
          <cell r="K84">
            <v>10</v>
          </cell>
          <cell r="L84">
            <v>34</v>
          </cell>
          <cell r="M84">
            <v>40</v>
          </cell>
        </row>
        <row r="85">
          <cell r="A85">
            <v>2000003675</v>
          </cell>
          <cell r="B85" t="str">
            <v>IMPACT INSERT SET</v>
          </cell>
          <cell r="C85" t="str">
            <v>FIRST CLASS plus</v>
          </cell>
          <cell r="D85">
            <v>0</v>
          </cell>
          <cell r="E85">
            <v>13.73</v>
          </cell>
          <cell r="F85">
            <v>20</v>
          </cell>
          <cell r="G85">
            <v>16.78</v>
          </cell>
          <cell r="H85">
            <v>20</v>
          </cell>
          <cell r="I85">
            <v>16.78</v>
          </cell>
          <cell r="J85">
            <v>12.97</v>
          </cell>
          <cell r="K85">
            <v>15</v>
          </cell>
          <cell r="L85">
            <v>71.319999999999993</v>
          </cell>
          <cell r="M85">
            <v>90</v>
          </cell>
        </row>
        <row r="86">
          <cell r="A86">
            <v>2000024298</v>
          </cell>
          <cell r="B86" t="str">
            <v>BELLY PAD</v>
          </cell>
          <cell r="C86" t="str">
            <v>FIRST CLASS plus</v>
          </cell>
          <cell r="D86" t="str">
            <v>Black</v>
          </cell>
          <cell r="E86">
            <v>8</v>
          </cell>
          <cell r="F86">
            <v>10</v>
          </cell>
          <cell r="G86">
            <v>9.7799999999999994</v>
          </cell>
          <cell r="H86">
            <v>10</v>
          </cell>
          <cell r="I86">
            <v>9.7799999999999994</v>
          </cell>
          <cell r="J86">
            <v>7.56</v>
          </cell>
          <cell r="K86">
            <v>10</v>
          </cell>
          <cell r="L86">
            <v>41.57</v>
          </cell>
          <cell r="M86">
            <v>50</v>
          </cell>
        </row>
        <row r="87">
          <cell r="A87">
            <v>2000003886</v>
          </cell>
          <cell r="B87" t="str">
            <v xml:space="preserve">HARNESS SET UPGRADE </v>
          </cell>
          <cell r="C87" t="str">
            <v>FIRST CLASS plus</v>
          </cell>
          <cell r="D87">
            <v>0</v>
          </cell>
          <cell r="E87">
            <v>8</v>
          </cell>
          <cell r="F87">
            <v>10</v>
          </cell>
          <cell r="G87">
            <v>9.7799999999999994</v>
          </cell>
          <cell r="H87">
            <v>10</v>
          </cell>
          <cell r="I87">
            <v>9.7799999999999994</v>
          </cell>
          <cell r="J87">
            <v>7.56</v>
          </cell>
          <cell r="K87">
            <v>10</v>
          </cell>
          <cell r="L87">
            <v>41.57</v>
          </cell>
          <cell r="M87">
            <v>50</v>
          </cell>
        </row>
        <row r="88">
          <cell r="A88">
            <v>2000010924</v>
          </cell>
          <cell r="B88" t="str">
            <v>USER GUIDE COMPARTMENT</v>
          </cell>
          <cell r="C88" t="str">
            <v>DUALFIX</v>
          </cell>
          <cell r="D88">
            <v>0</v>
          </cell>
          <cell r="E88">
            <v>11.49</v>
          </cell>
          <cell r="F88">
            <v>15</v>
          </cell>
          <cell r="G88">
            <v>14.04</v>
          </cell>
          <cell r="H88">
            <v>15</v>
          </cell>
          <cell r="I88">
            <v>14.04</v>
          </cell>
          <cell r="J88">
            <v>10.86</v>
          </cell>
          <cell r="K88">
            <v>15</v>
          </cell>
          <cell r="L88">
            <v>59.67</v>
          </cell>
          <cell r="M88">
            <v>75</v>
          </cell>
        </row>
        <row r="89">
          <cell r="A89">
            <v>2000024313</v>
          </cell>
          <cell r="B89" t="str">
            <v xml:space="preserve">INFANT INSERT </v>
          </cell>
          <cell r="C89" t="str">
            <v>DUALFIX</v>
          </cell>
          <cell r="D89" t="str">
            <v>Black</v>
          </cell>
          <cell r="E89">
            <v>20.37</v>
          </cell>
          <cell r="F89">
            <v>25</v>
          </cell>
          <cell r="G89">
            <v>24.89</v>
          </cell>
          <cell r="H89">
            <v>30</v>
          </cell>
          <cell r="I89">
            <v>24.89</v>
          </cell>
          <cell r="J89">
            <v>19.25</v>
          </cell>
          <cell r="K89">
            <v>25</v>
          </cell>
          <cell r="L89">
            <v>105.78</v>
          </cell>
          <cell r="M89">
            <v>130</v>
          </cell>
        </row>
        <row r="90">
          <cell r="A90">
            <v>2000010466</v>
          </cell>
          <cell r="B90" t="str">
            <v>ADJUSTER COVER</v>
          </cell>
          <cell r="C90" t="str">
            <v>DUALFIX</v>
          </cell>
          <cell r="D90">
            <v>0</v>
          </cell>
          <cell r="E90">
            <v>10.14</v>
          </cell>
          <cell r="F90">
            <v>15</v>
          </cell>
          <cell r="G90">
            <v>12.38</v>
          </cell>
          <cell r="H90">
            <v>15</v>
          </cell>
          <cell r="I90">
            <v>12.38</v>
          </cell>
          <cell r="J90">
            <v>9.58</v>
          </cell>
          <cell r="K90">
            <v>10</v>
          </cell>
          <cell r="L90">
            <v>52.62</v>
          </cell>
          <cell r="M90">
            <v>65</v>
          </cell>
        </row>
        <row r="91">
          <cell r="A91">
            <v>2000024293</v>
          </cell>
          <cell r="B91" t="str">
            <v xml:space="preserve">SHOULDER PAD SET </v>
          </cell>
          <cell r="C91" t="str">
            <v>DUALFIX</v>
          </cell>
          <cell r="D91" t="str">
            <v>Black Marble</v>
          </cell>
          <cell r="E91">
            <v>14.24</v>
          </cell>
          <cell r="F91">
            <v>20</v>
          </cell>
          <cell r="G91">
            <v>17.399999999999999</v>
          </cell>
          <cell r="H91">
            <v>20</v>
          </cell>
          <cell r="I91">
            <v>17.399999999999999</v>
          </cell>
          <cell r="J91">
            <v>13.46</v>
          </cell>
          <cell r="K91">
            <v>15</v>
          </cell>
          <cell r="L91">
            <v>73.95</v>
          </cell>
          <cell r="M91">
            <v>90</v>
          </cell>
        </row>
        <row r="92">
          <cell r="A92">
            <v>2000024289</v>
          </cell>
          <cell r="B92" t="str">
            <v xml:space="preserve">SHOULDER PAD SET </v>
          </cell>
          <cell r="C92" t="str">
            <v>DUALFIX</v>
          </cell>
          <cell r="D92" t="str">
            <v>Cosmos Black</v>
          </cell>
          <cell r="E92">
            <v>14.24</v>
          </cell>
          <cell r="F92">
            <v>20</v>
          </cell>
          <cell r="G92">
            <v>17.399999999999999</v>
          </cell>
          <cell r="H92">
            <v>20</v>
          </cell>
          <cell r="I92">
            <v>17.399999999999999</v>
          </cell>
          <cell r="J92">
            <v>13.46</v>
          </cell>
          <cell r="K92">
            <v>15</v>
          </cell>
          <cell r="L92">
            <v>73.95</v>
          </cell>
          <cell r="M92">
            <v>90</v>
          </cell>
        </row>
        <row r="93">
          <cell r="A93">
            <v>2000024290</v>
          </cell>
          <cell r="B93" t="str">
            <v xml:space="preserve">SHOULDER PAD SET </v>
          </cell>
          <cell r="C93" t="str">
            <v>DUALFIX</v>
          </cell>
          <cell r="D93" t="str">
            <v>Flame Red</v>
          </cell>
          <cell r="E93">
            <v>14.24</v>
          </cell>
          <cell r="F93">
            <v>20</v>
          </cell>
          <cell r="G93">
            <v>17.399999999999999</v>
          </cell>
          <cell r="H93">
            <v>20</v>
          </cell>
          <cell r="I93">
            <v>17.399999999999999</v>
          </cell>
          <cell r="J93">
            <v>13.46</v>
          </cell>
          <cell r="K93">
            <v>15</v>
          </cell>
          <cell r="L93">
            <v>73.95</v>
          </cell>
          <cell r="M93">
            <v>90</v>
          </cell>
        </row>
        <row r="94">
          <cell r="A94">
            <v>2000026208</v>
          </cell>
          <cell r="B94" t="str">
            <v xml:space="preserve">SHOULDER PAD SET </v>
          </cell>
          <cell r="C94" t="str">
            <v>DUALFIX</v>
          </cell>
          <cell r="D94" t="str">
            <v>Storm Grey</v>
          </cell>
          <cell r="E94">
            <v>14.24</v>
          </cell>
          <cell r="F94">
            <v>20</v>
          </cell>
          <cell r="G94">
            <v>17.399999999999999</v>
          </cell>
          <cell r="H94">
            <v>20</v>
          </cell>
          <cell r="I94">
            <v>17.399999999999999</v>
          </cell>
          <cell r="J94">
            <v>12.97</v>
          </cell>
          <cell r="K94">
            <v>15</v>
          </cell>
          <cell r="L94">
            <v>73.95</v>
          </cell>
          <cell r="M94">
            <v>90</v>
          </cell>
        </row>
        <row r="95">
          <cell r="A95">
            <v>2000027768</v>
          </cell>
          <cell r="B95" t="str">
            <v xml:space="preserve">SHOULDER PAD SET </v>
          </cell>
          <cell r="C95" t="str">
            <v>DUALFIX</v>
          </cell>
          <cell r="D95" t="str">
            <v>Moonlight Blue</v>
          </cell>
          <cell r="E95">
            <v>14.24</v>
          </cell>
          <cell r="F95">
            <v>20</v>
          </cell>
          <cell r="G95">
            <v>17.399999999999999</v>
          </cell>
          <cell r="H95">
            <v>20</v>
          </cell>
          <cell r="I95">
            <v>17.399999999999999</v>
          </cell>
          <cell r="J95">
            <v>13.46</v>
          </cell>
          <cell r="K95">
            <v>15</v>
          </cell>
          <cell r="L95">
            <v>73.95</v>
          </cell>
          <cell r="M95">
            <v>90</v>
          </cell>
        </row>
        <row r="96">
          <cell r="A96">
            <v>2000027769</v>
          </cell>
          <cell r="B96" t="str">
            <v xml:space="preserve">SHOULDER PAD SET </v>
          </cell>
          <cell r="C96" t="str">
            <v>DUALFIX</v>
          </cell>
          <cell r="D96" t="str">
            <v>Wine Rose</v>
          </cell>
          <cell r="E96">
            <v>14.24</v>
          </cell>
          <cell r="F96">
            <v>20</v>
          </cell>
          <cell r="G96">
            <v>17.399999999999999</v>
          </cell>
          <cell r="H96">
            <v>20</v>
          </cell>
          <cell r="I96">
            <v>17.399999999999999</v>
          </cell>
          <cell r="J96">
            <v>13.46</v>
          </cell>
          <cell r="K96">
            <v>15</v>
          </cell>
          <cell r="L96">
            <v>73.95</v>
          </cell>
          <cell r="M96">
            <v>90</v>
          </cell>
        </row>
        <row r="97">
          <cell r="A97">
            <v>2000026498</v>
          </cell>
          <cell r="B97" t="str">
            <v>REBOUND BAR COVER SLIM</v>
          </cell>
          <cell r="C97" t="str">
            <v>DUALFIX</v>
          </cell>
          <cell r="D97" t="str">
            <v>Black</v>
          </cell>
          <cell r="E97">
            <v>8</v>
          </cell>
          <cell r="F97">
            <v>10</v>
          </cell>
          <cell r="G97">
            <v>9.7799999999999994</v>
          </cell>
          <cell r="H97">
            <v>10</v>
          </cell>
          <cell r="I97">
            <v>9.7799999999999994</v>
          </cell>
          <cell r="J97">
            <v>7.56</v>
          </cell>
          <cell r="K97">
            <v>10</v>
          </cell>
          <cell r="L97">
            <v>41.57</v>
          </cell>
          <cell r="M97">
            <v>50</v>
          </cell>
        </row>
        <row r="98">
          <cell r="A98">
            <v>2000010837</v>
          </cell>
          <cell r="B98" t="str">
            <v>USER GUIDE COMPARTMENT</v>
          </cell>
          <cell r="C98" t="str">
            <v>MAX-FIX</v>
          </cell>
          <cell r="D98">
            <v>0</v>
          </cell>
          <cell r="E98">
            <v>11.49</v>
          </cell>
          <cell r="F98">
            <v>15</v>
          </cell>
          <cell r="G98">
            <v>14.04</v>
          </cell>
          <cell r="H98">
            <v>15</v>
          </cell>
          <cell r="I98">
            <v>14.04</v>
          </cell>
          <cell r="J98">
            <v>10.86</v>
          </cell>
          <cell r="K98">
            <v>15</v>
          </cell>
          <cell r="L98">
            <v>59.67</v>
          </cell>
          <cell r="M98">
            <v>75</v>
          </cell>
        </row>
        <row r="99">
          <cell r="A99">
            <v>2000007141</v>
          </cell>
          <cell r="B99" t="str">
            <v xml:space="preserve">IMPACT INSERT SET </v>
          </cell>
          <cell r="C99" t="str">
            <v>MAX-FIX</v>
          </cell>
          <cell r="D99">
            <v>0</v>
          </cell>
          <cell r="E99">
            <v>13.73</v>
          </cell>
          <cell r="F99">
            <v>20</v>
          </cell>
          <cell r="G99">
            <v>16.78</v>
          </cell>
          <cell r="H99">
            <v>20</v>
          </cell>
          <cell r="I99">
            <v>16.78</v>
          </cell>
          <cell r="J99">
            <v>12.97</v>
          </cell>
          <cell r="K99">
            <v>15</v>
          </cell>
          <cell r="L99">
            <v>71.319999999999993</v>
          </cell>
          <cell r="M99">
            <v>90</v>
          </cell>
        </row>
        <row r="100">
          <cell r="A100">
            <v>2000003485</v>
          </cell>
          <cell r="B100" t="str">
            <v xml:space="preserve">HARNESS SET </v>
          </cell>
          <cell r="C100" t="str">
            <v>MAX-FIX</v>
          </cell>
          <cell r="D100">
            <v>0</v>
          </cell>
          <cell r="E100">
            <v>19.32</v>
          </cell>
          <cell r="F100">
            <v>23</v>
          </cell>
          <cell r="G100">
            <v>23.61</v>
          </cell>
          <cell r="H100">
            <v>30</v>
          </cell>
          <cell r="I100">
            <v>23.61</v>
          </cell>
          <cell r="J100">
            <v>18.260000000000002</v>
          </cell>
          <cell r="K100">
            <v>20</v>
          </cell>
          <cell r="L100">
            <v>100.34</v>
          </cell>
          <cell r="M100">
            <v>125</v>
          </cell>
        </row>
        <row r="101">
          <cell r="A101">
            <v>2000024315</v>
          </cell>
          <cell r="B101" t="str">
            <v xml:space="preserve">INFANT INSERT </v>
          </cell>
          <cell r="C101" t="str">
            <v>MAX-FIX II</v>
          </cell>
          <cell r="D101" t="str">
            <v>Cosmos Black/
Steel Grey</v>
          </cell>
          <cell r="E101">
            <v>20.37</v>
          </cell>
          <cell r="F101">
            <v>25</v>
          </cell>
          <cell r="G101">
            <v>24.89</v>
          </cell>
          <cell r="H101">
            <v>30</v>
          </cell>
          <cell r="I101">
            <v>24.89</v>
          </cell>
          <cell r="J101">
            <v>19.25</v>
          </cell>
          <cell r="K101">
            <v>25</v>
          </cell>
          <cell r="L101">
            <v>105.78</v>
          </cell>
          <cell r="M101">
            <v>130</v>
          </cell>
        </row>
        <row r="102">
          <cell r="A102">
            <v>2000024314</v>
          </cell>
          <cell r="B102" t="str">
            <v xml:space="preserve">REBOUND BAR COVER </v>
          </cell>
          <cell r="C102" t="str">
            <v>MAX-FIX II</v>
          </cell>
          <cell r="D102" t="str">
            <v>Black</v>
          </cell>
          <cell r="E102">
            <v>15.93</v>
          </cell>
          <cell r="F102">
            <v>10</v>
          </cell>
          <cell r="G102">
            <v>17.84</v>
          </cell>
          <cell r="H102">
            <v>20</v>
          </cell>
          <cell r="I102">
            <v>21.41</v>
          </cell>
          <cell r="J102">
            <v>15.05</v>
          </cell>
          <cell r="K102">
            <v>20</v>
          </cell>
          <cell r="L102">
            <v>75.819999999999993</v>
          </cell>
          <cell r="M102">
            <v>95</v>
          </cell>
        </row>
        <row r="103">
          <cell r="A103">
            <v>2000003891</v>
          </cell>
          <cell r="B103" t="str">
            <v>ADJUSTER COVER SET</v>
          </cell>
          <cell r="C103" t="str">
            <v>MAX-FIX II</v>
          </cell>
          <cell r="D103">
            <v>0</v>
          </cell>
          <cell r="E103">
            <v>8</v>
          </cell>
          <cell r="F103">
            <v>10</v>
          </cell>
          <cell r="G103">
            <v>8.57</v>
          </cell>
          <cell r="H103">
            <v>10</v>
          </cell>
          <cell r="I103">
            <v>8.57</v>
          </cell>
          <cell r="J103">
            <v>7.56</v>
          </cell>
          <cell r="K103">
            <v>10</v>
          </cell>
          <cell r="L103">
            <v>36.42</v>
          </cell>
          <cell r="M103">
            <v>45</v>
          </cell>
        </row>
        <row r="104">
          <cell r="A104">
            <v>2000027480</v>
          </cell>
          <cell r="B104" t="str">
            <v>USER GUIDE COMPARTMENT</v>
          </cell>
          <cell r="C104" t="str">
            <v>TRIFIX i-SIZE / TRIFIX² i-SIZE</v>
          </cell>
          <cell r="D104">
            <v>0</v>
          </cell>
          <cell r="E104">
            <v>8</v>
          </cell>
          <cell r="F104">
            <v>10</v>
          </cell>
          <cell r="G104">
            <v>8.57</v>
          </cell>
          <cell r="H104">
            <v>10</v>
          </cell>
          <cell r="I104">
            <v>8.57</v>
          </cell>
          <cell r="J104">
            <v>7.56</v>
          </cell>
          <cell r="K104">
            <v>10</v>
          </cell>
          <cell r="L104">
            <v>36.42</v>
          </cell>
          <cell r="M104">
            <v>45</v>
          </cell>
        </row>
        <row r="105">
          <cell r="A105">
            <v>2000027481</v>
          </cell>
          <cell r="B105" t="str">
            <v>HEADPAD INSERT SET WITH FIXING POPPER</v>
          </cell>
          <cell r="C105" t="str">
            <v>TRIFIX i-SIZE / TRIFIX² i-SIZE</v>
          </cell>
          <cell r="D105">
            <v>0</v>
          </cell>
          <cell r="E105">
            <v>8</v>
          </cell>
          <cell r="F105">
            <v>10</v>
          </cell>
          <cell r="G105">
            <v>8.57</v>
          </cell>
          <cell r="H105">
            <v>10</v>
          </cell>
          <cell r="I105">
            <v>8.57</v>
          </cell>
          <cell r="J105">
            <v>7.56</v>
          </cell>
          <cell r="K105">
            <v>10</v>
          </cell>
          <cell r="L105">
            <v>36.42</v>
          </cell>
          <cell r="M105">
            <v>45</v>
          </cell>
        </row>
        <row r="106">
          <cell r="A106">
            <v>2000007049</v>
          </cell>
          <cell r="B106" t="str">
            <v>IMPACT INSERT SET</v>
          </cell>
          <cell r="C106" t="str">
            <v>TRIFIX i-SIZE / TRIFIX² i-SIZE</v>
          </cell>
          <cell r="D106">
            <v>0</v>
          </cell>
          <cell r="E106">
            <v>13.73</v>
          </cell>
          <cell r="F106">
            <v>20</v>
          </cell>
          <cell r="G106">
            <v>16.78</v>
          </cell>
          <cell r="H106">
            <v>20</v>
          </cell>
          <cell r="I106">
            <v>16.78</v>
          </cell>
          <cell r="J106">
            <v>12.97</v>
          </cell>
          <cell r="K106">
            <v>15</v>
          </cell>
          <cell r="L106">
            <v>71.319999999999993</v>
          </cell>
          <cell r="M106">
            <v>90</v>
          </cell>
        </row>
        <row r="107">
          <cell r="A107">
            <v>2000027482</v>
          </cell>
          <cell r="B107" t="str">
            <v>PERFORMANCE PAD</v>
          </cell>
          <cell r="C107" t="str">
            <v>TRIFIX i-SIZE / TRIFIX² i-SIZE</v>
          </cell>
          <cell r="D107">
            <v>0</v>
          </cell>
          <cell r="E107">
            <v>8</v>
          </cell>
          <cell r="F107">
            <v>10</v>
          </cell>
          <cell r="G107">
            <v>8.57</v>
          </cell>
          <cell r="H107">
            <v>10</v>
          </cell>
          <cell r="I107">
            <v>8.57</v>
          </cell>
          <cell r="J107">
            <v>7.56</v>
          </cell>
          <cell r="K107">
            <v>10</v>
          </cell>
          <cell r="L107">
            <v>36.42</v>
          </cell>
          <cell r="M107">
            <v>45</v>
          </cell>
        </row>
        <row r="108">
          <cell r="A108">
            <v>2000027492</v>
          </cell>
          <cell r="B108" t="str">
            <v xml:space="preserve">SHOULDER PAD SET </v>
          </cell>
          <cell r="C108" t="str">
            <v>TRIFIX i-SIZE / TRIFIX² i-SIZE</v>
          </cell>
          <cell r="D108" t="str">
            <v>Cosmos Black</v>
          </cell>
          <cell r="E108">
            <v>12.61</v>
          </cell>
          <cell r="F108">
            <v>15</v>
          </cell>
          <cell r="G108">
            <v>14.12</v>
          </cell>
          <cell r="H108">
            <v>15</v>
          </cell>
          <cell r="I108">
            <v>16.78</v>
          </cell>
          <cell r="J108">
            <v>11.92</v>
          </cell>
          <cell r="K108">
            <v>15</v>
          </cell>
          <cell r="L108">
            <v>60.01</v>
          </cell>
          <cell r="M108">
            <v>75</v>
          </cell>
        </row>
        <row r="109">
          <cell r="A109">
            <v>2000027493</v>
          </cell>
          <cell r="B109" t="str">
            <v xml:space="preserve">SHOULDER PAD SET </v>
          </cell>
          <cell r="C109" t="str">
            <v>TRIFIX i-SIZE / TRIFIX² i-SIZE</v>
          </cell>
          <cell r="D109" t="str">
            <v>Flame Red</v>
          </cell>
          <cell r="E109">
            <v>12.61</v>
          </cell>
          <cell r="F109">
            <v>15</v>
          </cell>
          <cell r="G109">
            <v>14.12</v>
          </cell>
          <cell r="H109">
            <v>15</v>
          </cell>
          <cell r="I109">
            <v>16.78</v>
          </cell>
          <cell r="J109">
            <v>11.92</v>
          </cell>
          <cell r="K109">
            <v>15</v>
          </cell>
          <cell r="L109">
            <v>60.01</v>
          </cell>
          <cell r="M109">
            <v>75</v>
          </cell>
        </row>
        <row r="110">
          <cell r="A110">
            <v>2000027494</v>
          </cell>
          <cell r="B110" t="str">
            <v xml:space="preserve">SHOULDER PAD SET </v>
          </cell>
          <cell r="C110" t="str">
            <v>TRIFIX i-SIZE / TRIFIX² i-SIZE</v>
          </cell>
          <cell r="D110" t="str">
            <v>Storm Grey</v>
          </cell>
          <cell r="E110">
            <v>12.61</v>
          </cell>
          <cell r="F110">
            <v>15</v>
          </cell>
          <cell r="G110">
            <v>14.12</v>
          </cell>
          <cell r="H110">
            <v>15</v>
          </cell>
          <cell r="I110">
            <v>16.78</v>
          </cell>
          <cell r="J110">
            <v>11.92</v>
          </cell>
          <cell r="K110">
            <v>15</v>
          </cell>
          <cell r="L110">
            <v>60.01</v>
          </cell>
          <cell r="M110">
            <v>75</v>
          </cell>
        </row>
        <row r="111">
          <cell r="A111">
            <v>2000027495</v>
          </cell>
          <cell r="B111" t="str">
            <v xml:space="preserve">SHOULDER PAD SET </v>
          </cell>
          <cell r="C111" t="str">
            <v>TRIFIX i-SIZE / TRIFIX² i-SIZE</v>
          </cell>
          <cell r="D111" t="str">
            <v>Olive Green</v>
          </cell>
          <cell r="E111">
            <v>12.61</v>
          </cell>
          <cell r="F111">
            <v>15</v>
          </cell>
          <cell r="G111">
            <v>14.12</v>
          </cell>
          <cell r="H111">
            <v>15</v>
          </cell>
          <cell r="I111">
            <v>16.78</v>
          </cell>
          <cell r="J111">
            <v>11.92</v>
          </cell>
          <cell r="K111">
            <v>15</v>
          </cell>
          <cell r="L111">
            <v>60.01</v>
          </cell>
          <cell r="M111">
            <v>75</v>
          </cell>
        </row>
        <row r="112">
          <cell r="A112">
            <v>2000027496</v>
          </cell>
          <cell r="B112" t="str">
            <v xml:space="preserve">SHOULDER PAD SET </v>
          </cell>
          <cell r="C112" t="str">
            <v>TRIFIX i-SIZE / TRIFIX² i-SIZE</v>
          </cell>
          <cell r="D112" t="str">
            <v>Moonlight Blue</v>
          </cell>
          <cell r="E112">
            <v>12.61</v>
          </cell>
          <cell r="F112">
            <v>15</v>
          </cell>
          <cell r="G112">
            <v>14.12</v>
          </cell>
          <cell r="H112">
            <v>15</v>
          </cell>
          <cell r="I112">
            <v>16.78</v>
          </cell>
          <cell r="J112">
            <v>11.92</v>
          </cell>
          <cell r="K112">
            <v>15</v>
          </cell>
          <cell r="L112">
            <v>60.01</v>
          </cell>
          <cell r="M112">
            <v>75</v>
          </cell>
        </row>
        <row r="113">
          <cell r="A113">
            <v>2000027497</v>
          </cell>
          <cell r="B113" t="str">
            <v xml:space="preserve">SHOULDER PAD SET </v>
          </cell>
          <cell r="C113" t="str">
            <v>TRIFIX i-SIZE / TRIFIX² i-SIZE</v>
          </cell>
          <cell r="D113" t="str">
            <v>Wine Rose</v>
          </cell>
          <cell r="E113">
            <v>12.61</v>
          </cell>
          <cell r="F113">
            <v>15</v>
          </cell>
          <cell r="G113">
            <v>14.12</v>
          </cell>
          <cell r="H113">
            <v>15</v>
          </cell>
          <cell r="I113">
            <v>16.78</v>
          </cell>
          <cell r="J113">
            <v>11.92</v>
          </cell>
          <cell r="K113">
            <v>15</v>
          </cell>
          <cell r="L113">
            <v>60.01</v>
          </cell>
          <cell r="M113">
            <v>75</v>
          </cell>
        </row>
        <row r="114">
          <cell r="A114">
            <v>2000027498</v>
          </cell>
          <cell r="B114" t="str">
            <v xml:space="preserve">SHOULDER PAD SET </v>
          </cell>
          <cell r="C114" t="str">
            <v>TRIFIX i-SIZE / TRIFIX² i-SIZE</v>
          </cell>
          <cell r="D114" t="str">
            <v>Blue Marble</v>
          </cell>
          <cell r="E114">
            <v>13.87</v>
          </cell>
          <cell r="F114">
            <v>17</v>
          </cell>
          <cell r="G114">
            <v>15.53</v>
          </cell>
          <cell r="H114">
            <v>20</v>
          </cell>
          <cell r="I114">
            <v>18.46</v>
          </cell>
          <cell r="J114">
            <v>13.11</v>
          </cell>
          <cell r="K114">
            <v>15</v>
          </cell>
          <cell r="L114">
            <v>66</v>
          </cell>
          <cell r="M114">
            <v>80</v>
          </cell>
        </row>
        <row r="115">
          <cell r="A115">
            <v>2000027499</v>
          </cell>
          <cell r="B115" t="str">
            <v xml:space="preserve">SHOULDER PAD SET </v>
          </cell>
          <cell r="C115" t="str">
            <v>TRIFIX i-SIZE / TRIFIX² i-SIZE</v>
          </cell>
          <cell r="D115" t="str">
            <v>Sand Marble</v>
          </cell>
          <cell r="E115">
            <v>13.87</v>
          </cell>
          <cell r="F115">
            <v>17</v>
          </cell>
          <cell r="G115">
            <v>15.53</v>
          </cell>
          <cell r="H115">
            <v>20</v>
          </cell>
          <cell r="I115">
            <v>18.46</v>
          </cell>
          <cell r="J115">
            <v>13.11</v>
          </cell>
          <cell r="K115">
            <v>15</v>
          </cell>
          <cell r="L115">
            <v>66</v>
          </cell>
          <cell r="M115">
            <v>80</v>
          </cell>
        </row>
        <row r="116">
          <cell r="A116">
            <v>2000027500</v>
          </cell>
          <cell r="B116" t="str">
            <v xml:space="preserve">SHOULDER PAD SET </v>
          </cell>
          <cell r="C116" t="str">
            <v>TRIFIX i-SIZE / TRIFIX² i-SIZE</v>
          </cell>
          <cell r="D116" t="str">
            <v>Mystic Black</v>
          </cell>
          <cell r="E116">
            <v>13.87</v>
          </cell>
          <cell r="F116">
            <v>17</v>
          </cell>
          <cell r="G116">
            <v>15.53</v>
          </cell>
          <cell r="H116">
            <v>20</v>
          </cell>
          <cell r="I116">
            <v>18.46</v>
          </cell>
          <cell r="J116">
            <v>13.11</v>
          </cell>
          <cell r="K116">
            <v>15</v>
          </cell>
          <cell r="L116">
            <v>66</v>
          </cell>
          <cell r="M116">
            <v>80</v>
          </cell>
        </row>
        <row r="117">
          <cell r="A117">
            <v>2000012436</v>
          </cell>
          <cell r="B117" t="str">
            <v>SEAT SHELL INLAY</v>
          </cell>
          <cell r="C117" t="str">
            <v>KING II / KING ll LS / KING II ATS</v>
          </cell>
          <cell r="D117">
            <v>0</v>
          </cell>
          <cell r="E117">
            <v>13.73</v>
          </cell>
          <cell r="F117">
            <v>20</v>
          </cell>
          <cell r="G117">
            <v>16.78</v>
          </cell>
          <cell r="H117">
            <v>20</v>
          </cell>
          <cell r="I117">
            <v>16.78</v>
          </cell>
          <cell r="J117">
            <v>12.97</v>
          </cell>
          <cell r="K117">
            <v>15</v>
          </cell>
          <cell r="L117">
            <v>71.319999999999993</v>
          </cell>
          <cell r="M117">
            <v>90</v>
          </cell>
        </row>
        <row r="118">
          <cell r="A118">
            <v>2000012437</v>
          </cell>
          <cell r="B118" t="str">
            <v>IMPACT INSERT SET</v>
          </cell>
          <cell r="C118" t="str">
            <v>KING II / KING ll LS / KING II ATS</v>
          </cell>
          <cell r="D118">
            <v>0</v>
          </cell>
          <cell r="E118">
            <v>13.73</v>
          </cell>
          <cell r="F118">
            <v>20</v>
          </cell>
          <cell r="G118">
            <v>18.23</v>
          </cell>
          <cell r="H118">
            <v>20</v>
          </cell>
          <cell r="I118">
            <v>18.23</v>
          </cell>
          <cell r="J118">
            <v>12.97</v>
          </cell>
          <cell r="K118">
            <v>15</v>
          </cell>
          <cell r="L118">
            <v>77.48</v>
          </cell>
          <cell r="M118">
            <v>95</v>
          </cell>
        </row>
        <row r="119">
          <cell r="A119">
            <v>2000012438</v>
          </cell>
          <cell r="B119" t="str">
            <v xml:space="preserve">HARNESS SET </v>
          </cell>
          <cell r="C119" t="str">
            <v>KING II / KING ll LS / KING II ATS</v>
          </cell>
          <cell r="D119">
            <v>0</v>
          </cell>
          <cell r="E119">
            <v>19.32</v>
          </cell>
          <cell r="F119">
            <v>23</v>
          </cell>
          <cell r="G119">
            <v>23.61</v>
          </cell>
          <cell r="H119">
            <v>30</v>
          </cell>
          <cell r="I119">
            <v>23.61</v>
          </cell>
          <cell r="J119">
            <v>18.260000000000002</v>
          </cell>
          <cell r="K119">
            <v>20</v>
          </cell>
          <cell r="L119">
            <v>100.34</v>
          </cell>
          <cell r="M119">
            <v>125</v>
          </cell>
        </row>
        <row r="120">
          <cell r="A120">
            <v>2000012441</v>
          </cell>
          <cell r="B120" t="str">
            <v>PERFORMANCE PAD</v>
          </cell>
          <cell r="C120" t="str">
            <v>KING II / KING ll LS / KING II ATS</v>
          </cell>
          <cell r="D120">
            <v>0</v>
          </cell>
          <cell r="E120">
            <v>9.0500000000000007</v>
          </cell>
          <cell r="F120">
            <v>15</v>
          </cell>
          <cell r="G120">
            <v>11.06</v>
          </cell>
          <cell r="H120">
            <v>15</v>
          </cell>
          <cell r="I120">
            <v>11.06</v>
          </cell>
          <cell r="J120">
            <v>8.5500000000000007</v>
          </cell>
          <cell r="K120">
            <v>10</v>
          </cell>
          <cell r="L120">
            <v>47.01</v>
          </cell>
          <cell r="M120">
            <v>60</v>
          </cell>
        </row>
        <row r="121">
          <cell r="A121">
            <v>2000007048</v>
          </cell>
          <cell r="B121" t="str">
            <v>HEADPAD INSERT WITH FIXING POPPER</v>
          </cell>
          <cell r="C121" t="str">
            <v>KING II / KING ll LS / KING II ATS</v>
          </cell>
          <cell r="D121">
            <v>0</v>
          </cell>
          <cell r="E121">
            <v>9.6999999999999993</v>
          </cell>
          <cell r="F121">
            <v>15</v>
          </cell>
          <cell r="G121">
            <v>11.85</v>
          </cell>
          <cell r="H121">
            <v>15</v>
          </cell>
          <cell r="I121">
            <v>11.85</v>
          </cell>
          <cell r="J121">
            <v>9.17</v>
          </cell>
          <cell r="K121">
            <v>10</v>
          </cell>
          <cell r="L121">
            <v>50.36</v>
          </cell>
          <cell r="M121">
            <v>60</v>
          </cell>
        </row>
        <row r="122">
          <cell r="A122">
            <v>2000024282</v>
          </cell>
          <cell r="B122" t="str">
            <v xml:space="preserve">SHOULDER PAD SET </v>
          </cell>
          <cell r="C122" t="str">
            <v>KING II / KING ll LS / KING II ATS</v>
          </cell>
          <cell r="D122" t="str">
            <v>Black Marble</v>
          </cell>
          <cell r="E122">
            <v>15.93</v>
          </cell>
          <cell r="F122">
            <v>19</v>
          </cell>
          <cell r="G122">
            <v>19.47</v>
          </cell>
          <cell r="H122">
            <v>25</v>
          </cell>
          <cell r="I122">
            <v>19.47</v>
          </cell>
          <cell r="J122">
            <v>15.05</v>
          </cell>
          <cell r="K122">
            <v>20</v>
          </cell>
          <cell r="L122">
            <v>82.75</v>
          </cell>
          <cell r="M122">
            <v>100</v>
          </cell>
        </row>
        <row r="123">
          <cell r="A123">
            <v>2000024276</v>
          </cell>
          <cell r="B123" t="str">
            <v xml:space="preserve">SHOULDER PAD SET </v>
          </cell>
          <cell r="C123" t="str">
            <v>KING II / KING ll LS / KING II ATS</v>
          </cell>
          <cell r="D123" t="str">
            <v>Cosmos Black</v>
          </cell>
          <cell r="E123">
            <v>15.93</v>
          </cell>
          <cell r="F123">
            <v>19</v>
          </cell>
          <cell r="G123">
            <v>19.47</v>
          </cell>
          <cell r="H123">
            <v>25</v>
          </cell>
          <cell r="I123">
            <v>19.47</v>
          </cell>
          <cell r="J123">
            <v>15.05</v>
          </cell>
          <cell r="K123">
            <v>20</v>
          </cell>
          <cell r="L123">
            <v>82.75</v>
          </cell>
          <cell r="M123">
            <v>100</v>
          </cell>
        </row>
        <row r="124">
          <cell r="A124">
            <v>2000024277</v>
          </cell>
          <cell r="B124" t="str">
            <v xml:space="preserve">SHOULDER PAD SET </v>
          </cell>
          <cell r="C124" t="str">
            <v>KING II / KING ll LS / KING II ATS</v>
          </cell>
          <cell r="D124" t="str">
            <v>Flame Red</v>
          </cell>
          <cell r="E124">
            <v>15.93</v>
          </cell>
          <cell r="F124">
            <v>19</v>
          </cell>
          <cell r="G124">
            <v>19.47</v>
          </cell>
          <cell r="H124">
            <v>25</v>
          </cell>
          <cell r="I124">
            <v>19.47</v>
          </cell>
          <cell r="J124">
            <v>15.05</v>
          </cell>
          <cell r="K124">
            <v>20</v>
          </cell>
          <cell r="L124">
            <v>82.75</v>
          </cell>
          <cell r="M124">
            <v>100</v>
          </cell>
        </row>
        <row r="125">
          <cell r="A125">
            <v>2000026183</v>
          </cell>
          <cell r="B125" t="str">
            <v xml:space="preserve">SHOULDER PAD SET </v>
          </cell>
          <cell r="C125" t="str">
            <v>KING II / KING ll LS / KING II ATS</v>
          </cell>
          <cell r="D125" t="str">
            <v>Storm Grey</v>
          </cell>
          <cell r="E125">
            <v>15.93</v>
          </cell>
          <cell r="F125">
            <v>19</v>
          </cell>
          <cell r="G125">
            <v>19.47</v>
          </cell>
          <cell r="H125">
            <v>25</v>
          </cell>
          <cell r="I125">
            <v>19.47</v>
          </cell>
          <cell r="J125">
            <v>14.89</v>
          </cell>
          <cell r="K125">
            <v>20</v>
          </cell>
          <cell r="L125">
            <v>82.75</v>
          </cell>
          <cell r="M125">
            <v>100</v>
          </cell>
        </row>
        <row r="126">
          <cell r="A126">
            <v>2000026184</v>
          </cell>
          <cell r="B126" t="str">
            <v xml:space="preserve">SHOULDER PAD SET </v>
          </cell>
          <cell r="C126" t="str">
            <v>KING II / KING ll LS / KING II ATS</v>
          </cell>
          <cell r="D126" t="str">
            <v>Olive Green</v>
          </cell>
          <cell r="E126">
            <v>15.93</v>
          </cell>
          <cell r="F126">
            <v>19</v>
          </cell>
          <cell r="G126">
            <v>19.47</v>
          </cell>
          <cell r="H126">
            <v>25</v>
          </cell>
          <cell r="I126">
            <v>19.47</v>
          </cell>
          <cell r="J126">
            <v>15.05</v>
          </cell>
          <cell r="K126">
            <v>20</v>
          </cell>
          <cell r="L126">
            <v>82.75</v>
          </cell>
          <cell r="M126">
            <v>100</v>
          </cell>
        </row>
        <row r="127">
          <cell r="A127">
            <v>2000027778</v>
          </cell>
          <cell r="B127" t="str">
            <v xml:space="preserve">SHOULDER PAD SET </v>
          </cell>
          <cell r="C127" t="str">
            <v>KING II / KING ll LS / KING II ATS</v>
          </cell>
          <cell r="D127" t="str">
            <v>Moonlight Blue</v>
          </cell>
          <cell r="E127">
            <v>15.93</v>
          </cell>
          <cell r="F127">
            <v>19</v>
          </cell>
          <cell r="G127">
            <v>19.47</v>
          </cell>
          <cell r="H127">
            <v>25</v>
          </cell>
          <cell r="I127">
            <v>19.47</v>
          </cell>
          <cell r="J127">
            <v>15.05</v>
          </cell>
          <cell r="K127">
            <v>20</v>
          </cell>
          <cell r="L127">
            <v>82.75</v>
          </cell>
          <cell r="M127">
            <v>100</v>
          </cell>
        </row>
        <row r="128">
          <cell r="A128">
            <v>2000027780</v>
          </cell>
          <cell r="B128" t="str">
            <v xml:space="preserve">SHOULDER PAD SET </v>
          </cell>
          <cell r="C128" t="str">
            <v>KING II / KING ll LS / KING II ATS</v>
          </cell>
          <cell r="D128" t="str">
            <v>Wine Rose</v>
          </cell>
          <cell r="E128">
            <v>15.93</v>
          </cell>
          <cell r="F128">
            <v>19</v>
          </cell>
          <cell r="G128">
            <v>19.47</v>
          </cell>
          <cell r="H128">
            <v>25</v>
          </cell>
          <cell r="I128">
            <v>19.47</v>
          </cell>
          <cell r="J128">
            <v>13.42</v>
          </cell>
          <cell r="K128">
            <v>15</v>
          </cell>
          <cell r="L128">
            <v>82.75</v>
          </cell>
          <cell r="M128">
            <v>100</v>
          </cell>
        </row>
        <row r="129">
          <cell r="A129">
            <v>2000027777</v>
          </cell>
          <cell r="B129" t="str">
            <v xml:space="preserve">SHOULDER PAD SET </v>
          </cell>
          <cell r="C129" t="str">
            <v>KING II / KING ll LS / KING II ATS</v>
          </cell>
          <cell r="D129" t="str">
            <v>Blue Marble</v>
          </cell>
          <cell r="E129">
            <v>17.52</v>
          </cell>
          <cell r="F129">
            <v>21</v>
          </cell>
          <cell r="G129">
            <v>21.42</v>
          </cell>
          <cell r="H129">
            <v>25</v>
          </cell>
          <cell r="I129">
            <v>21.42</v>
          </cell>
          <cell r="J129">
            <v>15.19</v>
          </cell>
          <cell r="K129">
            <v>20</v>
          </cell>
          <cell r="L129">
            <v>91.04</v>
          </cell>
          <cell r="M129">
            <v>110</v>
          </cell>
        </row>
        <row r="130">
          <cell r="A130">
            <v>2000027779</v>
          </cell>
          <cell r="B130" t="str">
            <v xml:space="preserve">SHOULDER PAD SET </v>
          </cell>
          <cell r="C130" t="str">
            <v>KING II / KING ll LS / KING II ATS</v>
          </cell>
          <cell r="D130" t="str">
            <v>Sand Marble</v>
          </cell>
          <cell r="E130">
            <v>17.52</v>
          </cell>
          <cell r="F130">
            <v>21</v>
          </cell>
          <cell r="G130">
            <v>21.42</v>
          </cell>
          <cell r="H130">
            <v>25</v>
          </cell>
          <cell r="I130">
            <v>21.42</v>
          </cell>
          <cell r="J130">
            <v>15.19</v>
          </cell>
          <cell r="K130">
            <v>20</v>
          </cell>
          <cell r="L130">
            <v>91.04</v>
          </cell>
          <cell r="M130">
            <v>110</v>
          </cell>
        </row>
        <row r="131">
          <cell r="A131">
            <v>2000029690</v>
          </cell>
          <cell r="B131" t="str">
            <v xml:space="preserve">SHOULDER PAD SET </v>
          </cell>
          <cell r="C131" t="str">
            <v>KING II / KING ll LS / KING II ATS</v>
          </cell>
          <cell r="D131" t="str">
            <v>Mystic Black</v>
          </cell>
          <cell r="E131">
            <v>17.52</v>
          </cell>
          <cell r="F131">
            <v>21</v>
          </cell>
          <cell r="G131">
            <v>21.42</v>
          </cell>
          <cell r="H131">
            <v>25</v>
          </cell>
          <cell r="I131">
            <v>21.42</v>
          </cell>
          <cell r="J131">
            <v>15.19</v>
          </cell>
          <cell r="K131">
            <v>20</v>
          </cell>
          <cell r="L131">
            <v>91.04</v>
          </cell>
          <cell r="M131">
            <v>110</v>
          </cell>
        </row>
        <row r="132">
          <cell r="A132">
            <v>2000004211</v>
          </cell>
          <cell r="B132" t="str">
            <v>AIRCRAFT FITTING SET</v>
          </cell>
          <cell r="C132" t="str">
            <v>ECLIPSE</v>
          </cell>
          <cell r="D132">
            <v>0</v>
          </cell>
          <cell r="E132">
            <v>15.93</v>
          </cell>
          <cell r="F132">
            <v>19</v>
          </cell>
          <cell r="G132">
            <v>17.559999999999999</v>
          </cell>
          <cell r="H132">
            <v>20</v>
          </cell>
          <cell r="I132">
            <v>17.559999999999999</v>
          </cell>
          <cell r="J132">
            <v>15.19</v>
          </cell>
          <cell r="K132">
            <v>20</v>
          </cell>
          <cell r="L132">
            <v>74.63</v>
          </cell>
          <cell r="M132">
            <v>90</v>
          </cell>
        </row>
        <row r="133">
          <cell r="A133">
            <v>2000003871</v>
          </cell>
          <cell r="B133" t="str">
            <v xml:space="preserve">HARNESS SET </v>
          </cell>
          <cell r="C133" t="str">
            <v>ECLIPSE</v>
          </cell>
          <cell r="D133">
            <v>0</v>
          </cell>
          <cell r="E133">
            <v>9.94</v>
          </cell>
          <cell r="F133">
            <v>12</v>
          </cell>
          <cell r="G133">
            <v>11.13</v>
          </cell>
          <cell r="H133">
            <v>15</v>
          </cell>
          <cell r="I133">
            <v>11.13</v>
          </cell>
          <cell r="J133">
            <v>9.39</v>
          </cell>
          <cell r="K133">
            <v>10</v>
          </cell>
          <cell r="L133">
            <v>47.3</v>
          </cell>
          <cell r="M133">
            <v>60</v>
          </cell>
        </row>
        <row r="134">
          <cell r="A134">
            <v>2000007007</v>
          </cell>
          <cell r="B134" t="str">
            <v>USER GUIDE COMPARTMENT</v>
          </cell>
          <cell r="C134" t="str">
            <v>TRIFIX</v>
          </cell>
          <cell r="D134" t="str">
            <v>Grey</v>
          </cell>
          <cell r="E134">
            <v>11.49</v>
          </cell>
          <cell r="F134">
            <v>15</v>
          </cell>
          <cell r="G134">
            <v>14.04</v>
          </cell>
          <cell r="H134">
            <v>15</v>
          </cell>
          <cell r="I134">
            <v>14.04</v>
          </cell>
          <cell r="J134">
            <v>10.86</v>
          </cell>
          <cell r="K134">
            <v>15</v>
          </cell>
          <cell r="L134">
            <v>59.67</v>
          </cell>
          <cell r="M134">
            <v>75</v>
          </cell>
        </row>
        <row r="135">
          <cell r="A135">
            <v>2000021914</v>
          </cell>
          <cell r="B135" t="str">
            <v>PERFORMANCE PAD</v>
          </cell>
          <cell r="C135" t="str">
            <v>TRIFIX</v>
          </cell>
          <cell r="D135">
            <v>0</v>
          </cell>
          <cell r="E135">
            <v>9.0500000000000007</v>
          </cell>
          <cell r="F135">
            <v>15</v>
          </cell>
          <cell r="G135">
            <v>11.06</v>
          </cell>
          <cell r="H135">
            <v>15</v>
          </cell>
          <cell r="I135">
            <v>11.06</v>
          </cell>
          <cell r="J135">
            <v>7.56</v>
          </cell>
          <cell r="K135">
            <v>10</v>
          </cell>
          <cell r="L135">
            <v>47.01</v>
          </cell>
          <cell r="M135">
            <v>60</v>
          </cell>
        </row>
        <row r="136">
          <cell r="A136">
            <v>2000024267</v>
          </cell>
          <cell r="B136" t="str">
            <v xml:space="preserve">SHOULDER PAD SET </v>
          </cell>
          <cell r="C136" t="str">
            <v>VERSAFIX</v>
          </cell>
          <cell r="D136" t="str">
            <v>Cosmos Black</v>
          </cell>
          <cell r="E136">
            <v>15.93</v>
          </cell>
          <cell r="F136">
            <v>20</v>
          </cell>
          <cell r="G136">
            <v>19.47</v>
          </cell>
          <cell r="H136">
            <v>25</v>
          </cell>
          <cell r="I136">
            <v>19.47</v>
          </cell>
          <cell r="J136">
            <v>15.05</v>
          </cell>
          <cell r="K136">
            <v>20</v>
          </cell>
          <cell r="L136">
            <v>82.75</v>
          </cell>
          <cell r="M136">
            <v>100</v>
          </cell>
        </row>
        <row r="137">
          <cell r="A137">
            <v>2000024268</v>
          </cell>
          <cell r="B137" t="str">
            <v xml:space="preserve">SHOULDER PAD SET </v>
          </cell>
          <cell r="C137" t="str">
            <v>VERSAFIX</v>
          </cell>
          <cell r="D137" t="str">
            <v>Flame Red</v>
          </cell>
          <cell r="E137">
            <v>15.93</v>
          </cell>
          <cell r="F137">
            <v>20</v>
          </cell>
          <cell r="G137">
            <v>19.47</v>
          </cell>
          <cell r="H137">
            <v>25</v>
          </cell>
          <cell r="I137">
            <v>19.47</v>
          </cell>
          <cell r="J137">
            <v>15.05</v>
          </cell>
          <cell r="K137">
            <v>20</v>
          </cell>
          <cell r="L137">
            <v>82.75</v>
          </cell>
          <cell r="M137">
            <v>100</v>
          </cell>
        </row>
        <row r="138">
          <cell r="A138">
            <v>2000024269</v>
          </cell>
          <cell r="B138" t="str">
            <v xml:space="preserve">SHOULDER PAD SET </v>
          </cell>
          <cell r="C138" t="str">
            <v>VERSAFIX</v>
          </cell>
          <cell r="D138" t="str">
            <v>Ocean Blue</v>
          </cell>
          <cell r="E138">
            <v>15.93</v>
          </cell>
          <cell r="F138">
            <v>20</v>
          </cell>
          <cell r="G138">
            <v>19.47</v>
          </cell>
          <cell r="H138">
            <v>25</v>
          </cell>
          <cell r="I138">
            <v>19.47</v>
          </cell>
          <cell r="J138">
            <v>15.05</v>
          </cell>
          <cell r="K138">
            <v>20</v>
          </cell>
          <cell r="L138">
            <v>82.75</v>
          </cell>
          <cell r="M138">
            <v>100</v>
          </cell>
        </row>
        <row r="139">
          <cell r="A139">
            <v>2000026180</v>
          </cell>
          <cell r="B139" t="str">
            <v xml:space="preserve">SHOULDER PAD SET </v>
          </cell>
          <cell r="C139" t="str">
            <v>VERSAFIX</v>
          </cell>
          <cell r="D139" t="str">
            <v>Storm Grey</v>
          </cell>
          <cell r="E139">
            <v>15.93</v>
          </cell>
          <cell r="F139">
            <v>20</v>
          </cell>
          <cell r="G139">
            <v>19.47</v>
          </cell>
          <cell r="H139">
            <v>25</v>
          </cell>
          <cell r="I139">
            <v>19.47</v>
          </cell>
          <cell r="J139">
            <v>15.05</v>
          </cell>
          <cell r="K139">
            <v>20</v>
          </cell>
          <cell r="L139">
            <v>82.75</v>
          </cell>
          <cell r="M139">
            <v>100</v>
          </cell>
        </row>
        <row r="140">
          <cell r="A140">
            <v>2000003453</v>
          </cell>
          <cell r="B140" t="str">
            <v>HEADPAD IMPACT INSERT</v>
          </cell>
          <cell r="C140" t="str">
            <v>VERSAFIX</v>
          </cell>
          <cell r="D140">
            <v>0</v>
          </cell>
          <cell r="E140">
            <v>13.73</v>
          </cell>
          <cell r="F140">
            <v>20</v>
          </cell>
          <cell r="G140">
            <v>16.78</v>
          </cell>
          <cell r="H140">
            <v>20</v>
          </cell>
          <cell r="I140">
            <v>16.78</v>
          </cell>
          <cell r="J140">
            <v>12.97</v>
          </cell>
          <cell r="K140">
            <v>15</v>
          </cell>
          <cell r="L140">
            <v>71.319999999999993</v>
          </cell>
          <cell r="M140">
            <v>90</v>
          </cell>
        </row>
        <row r="141">
          <cell r="A141">
            <v>2000003454</v>
          </cell>
          <cell r="B141" t="str">
            <v>LOCK OFF GUIDES</v>
          </cell>
          <cell r="C141" t="str">
            <v>VERSAFIX</v>
          </cell>
          <cell r="D141">
            <v>0</v>
          </cell>
          <cell r="E141">
            <v>17.32</v>
          </cell>
          <cell r="F141">
            <v>25</v>
          </cell>
          <cell r="G141">
            <v>21.17</v>
          </cell>
          <cell r="H141">
            <v>25</v>
          </cell>
          <cell r="I141">
            <v>21.17</v>
          </cell>
          <cell r="J141">
            <v>16.37</v>
          </cell>
          <cell r="K141">
            <v>20</v>
          </cell>
          <cell r="L141">
            <v>89.97</v>
          </cell>
          <cell r="M141">
            <v>110</v>
          </cell>
        </row>
        <row r="142">
          <cell r="A142">
            <v>2000003455</v>
          </cell>
          <cell r="B142" t="str">
            <v xml:space="preserve">HARNESS SET </v>
          </cell>
          <cell r="C142" t="str">
            <v>VERSAFIX</v>
          </cell>
          <cell r="D142">
            <v>0</v>
          </cell>
          <cell r="E142">
            <v>19.32</v>
          </cell>
          <cell r="F142">
            <v>23</v>
          </cell>
          <cell r="G142">
            <v>23.61</v>
          </cell>
          <cell r="H142">
            <v>30</v>
          </cell>
          <cell r="I142">
            <v>23.61</v>
          </cell>
          <cell r="J142">
            <v>15.89</v>
          </cell>
          <cell r="K142">
            <v>20</v>
          </cell>
          <cell r="L142">
            <v>100.34</v>
          </cell>
          <cell r="M142">
            <v>125</v>
          </cell>
        </row>
        <row r="143">
          <cell r="A143">
            <v>2000003887</v>
          </cell>
          <cell r="B143" t="str">
            <v>PERFORMANCE PAD</v>
          </cell>
          <cell r="C143" t="str">
            <v>VERSAFIX</v>
          </cell>
          <cell r="D143">
            <v>0</v>
          </cell>
          <cell r="E143">
            <v>9.0500000000000007</v>
          </cell>
          <cell r="F143">
            <v>15</v>
          </cell>
          <cell r="G143">
            <v>11.06</v>
          </cell>
          <cell r="H143">
            <v>15</v>
          </cell>
          <cell r="I143">
            <v>11.06</v>
          </cell>
          <cell r="J143">
            <v>8.5500000000000007</v>
          </cell>
          <cell r="K143">
            <v>10</v>
          </cell>
          <cell r="L143">
            <v>47.01</v>
          </cell>
          <cell r="M143">
            <v>60</v>
          </cell>
        </row>
        <row r="144">
          <cell r="A144">
            <v>55450050</v>
          </cell>
          <cell r="B144" t="str">
            <v>ISOFIX LATCH GUIDES</v>
          </cell>
          <cell r="C144" t="str">
            <v>VERSAFIX</v>
          </cell>
          <cell r="D144">
            <v>0</v>
          </cell>
          <cell r="E144">
            <v>7.09</v>
          </cell>
          <cell r="F144">
            <v>10</v>
          </cell>
          <cell r="G144">
            <v>8.66</v>
          </cell>
          <cell r="H144">
            <v>10</v>
          </cell>
          <cell r="I144">
            <v>8.66</v>
          </cell>
          <cell r="J144">
            <v>6.7</v>
          </cell>
          <cell r="K144">
            <v>10</v>
          </cell>
          <cell r="L144">
            <v>36.81</v>
          </cell>
          <cell r="M144">
            <v>45</v>
          </cell>
        </row>
        <row r="145">
          <cell r="A145">
            <v>2000024261</v>
          </cell>
          <cell r="B145" t="str">
            <v xml:space="preserve">SHOULDER PAD SET </v>
          </cell>
          <cell r="C145" t="str">
            <v>SAFEFIX plus / SAFEFIX plus TT</v>
          </cell>
          <cell r="D145" t="str">
            <v>Cosmos Black</v>
          </cell>
          <cell r="E145">
            <v>15.93</v>
          </cell>
          <cell r="F145">
            <v>20</v>
          </cell>
          <cell r="G145">
            <v>19.47</v>
          </cell>
          <cell r="H145">
            <v>25</v>
          </cell>
          <cell r="I145">
            <v>19.47</v>
          </cell>
          <cell r="J145">
            <v>15.05</v>
          </cell>
          <cell r="K145">
            <v>20</v>
          </cell>
          <cell r="L145">
            <v>82.75</v>
          </cell>
          <cell r="M145">
            <v>100</v>
          </cell>
        </row>
        <row r="146">
          <cell r="A146">
            <v>2000024262</v>
          </cell>
          <cell r="B146" t="str">
            <v xml:space="preserve">SHOULDER PAD SET </v>
          </cell>
          <cell r="C146" t="str">
            <v>SAFEFIX plus / SAFEFIX plus TT</v>
          </cell>
          <cell r="D146" t="str">
            <v>Flame Red</v>
          </cell>
          <cell r="E146">
            <v>15.93</v>
          </cell>
          <cell r="F146">
            <v>20</v>
          </cell>
          <cell r="G146">
            <v>19.47</v>
          </cell>
          <cell r="H146">
            <v>25</v>
          </cell>
          <cell r="I146">
            <v>19.47</v>
          </cell>
          <cell r="J146">
            <v>15.89</v>
          </cell>
          <cell r="K146">
            <v>20</v>
          </cell>
          <cell r="L146">
            <v>82.75</v>
          </cell>
          <cell r="M146">
            <v>100</v>
          </cell>
        </row>
        <row r="147">
          <cell r="A147">
            <v>2000024266</v>
          </cell>
          <cell r="B147" t="str">
            <v xml:space="preserve">SHOULDER PAD SET </v>
          </cell>
          <cell r="C147" t="str">
            <v>SAFEFIX plus / SAFEFIX plus TT</v>
          </cell>
          <cell r="D147" t="str">
            <v>Green Marble</v>
          </cell>
          <cell r="E147">
            <v>15.93</v>
          </cell>
          <cell r="F147">
            <v>20</v>
          </cell>
          <cell r="G147">
            <v>19.47</v>
          </cell>
          <cell r="H147">
            <v>25</v>
          </cell>
          <cell r="I147">
            <v>19.47</v>
          </cell>
          <cell r="J147">
            <v>15.05</v>
          </cell>
          <cell r="K147">
            <v>20</v>
          </cell>
          <cell r="L147">
            <v>82.75</v>
          </cell>
          <cell r="M147">
            <v>100</v>
          </cell>
        </row>
        <row r="148">
          <cell r="A148">
            <v>2000024265</v>
          </cell>
          <cell r="B148" t="str">
            <v>SHOULDER PAD SET</v>
          </cell>
          <cell r="C148" t="str">
            <v>SAFEFIX plus / SAFEFIX plus TT</v>
          </cell>
          <cell r="D148" t="str">
            <v>Mineral Purple</v>
          </cell>
          <cell r="E148">
            <v>15.93</v>
          </cell>
          <cell r="F148">
            <v>20</v>
          </cell>
          <cell r="G148">
            <v>19.47</v>
          </cell>
          <cell r="H148">
            <v>25</v>
          </cell>
          <cell r="I148">
            <v>19.47</v>
          </cell>
          <cell r="J148">
            <v>15.05</v>
          </cell>
          <cell r="K148">
            <v>20</v>
          </cell>
          <cell r="L148">
            <v>82.75</v>
          </cell>
          <cell r="M148">
            <v>100</v>
          </cell>
        </row>
        <row r="149">
          <cell r="A149">
            <v>2000024263</v>
          </cell>
          <cell r="B149" t="str">
            <v xml:space="preserve">SHOULDER PAD SET </v>
          </cell>
          <cell r="C149" t="str">
            <v>SAFEFIX plus / SAFEFIX plus TT</v>
          </cell>
          <cell r="D149" t="str">
            <v>Ocean Blue</v>
          </cell>
          <cell r="E149">
            <v>15.93</v>
          </cell>
          <cell r="F149">
            <v>20</v>
          </cell>
          <cell r="G149">
            <v>19.47</v>
          </cell>
          <cell r="H149">
            <v>25</v>
          </cell>
          <cell r="I149">
            <v>19.47</v>
          </cell>
          <cell r="J149">
            <v>15.05</v>
          </cell>
          <cell r="K149">
            <v>20</v>
          </cell>
          <cell r="L149">
            <v>82.75</v>
          </cell>
          <cell r="M149">
            <v>100</v>
          </cell>
        </row>
        <row r="150">
          <cell r="A150">
            <v>2000026172</v>
          </cell>
          <cell r="B150" t="str">
            <v>SHOULDER PAD SET</v>
          </cell>
          <cell r="C150" t="str">
            <v>SAFEFIX plus / SAFEFIX plus TT</v>
          </cell>
          <cell r="D150" t="str">
            <v>Olive Green</v>
          </cell>
          <cell r="E150">
            <v>15.93</v>
          </cell>
          <cell r="F150">
            <v>20</v>
          </cell>
          <cell r="G150">
            <v>19.47</v>
          </cell>
          <cell r="H150">
            <v>25</v>
          </cell>
          <cell r="I150">
            <v>19.47</v>
          </cell>
          <cell r="J150">
            <v>15.05</v>
          </cell>
          <cell r="K150">
            <v>20</v>
          </cell>
          <cell r="L150">
            <v>82.75</v>
          </cell>
          <cell r="M150">
            <v>100</v>
          </cell>
        </row>
        <row r="151">
          <cell r="A151">
            <v>2000026171</v>
          </cell>
          <cell r="B151" t="str">
            <v>SHOULDER PAD SET</v>
          </cell>
          <cell r="C151" t="str">
            <v>SAFEFIX plus / SAFEFIX plus TT</v>
          </cell>
          <cell r="D151" t="str">
            <v>Storm Grey</v>
          </cell>
          <cell r="E151">
            <v>15.93</v>
          </cell>
          <cell r="F151">
            <v>25</v>
          </cell>
          <cell r="G151">
            <v>19.47</v>
          </cell>
          <cell r="H151">
            <v>25</v>
          </cell>
          <cell r="I151">
            <v>19.47</v>
          </cell>
          <cell r="J151">
            <v>15.05</v>
          </cell>
          <cell r="K151">
            <v>20</v>
          </cell>
          <cell r="L151">
            <v>82.75</v>
          </cell>
          <cell r="M151">
            <v>100</v>
          </cell>
        </row>
        <row r="152">
          <cell r="A152">
            <v>2000003486</v>
          </cell>
          <cell r="B152" t="str">
            <v xml:space="preserve">LOCK OFF GUIDES </v>
          </cell>
          <cell r="C152" t="str">
            <v>SAFEFIX plus / SAFEFIX plus TT</v>
          </cell>
          <cell r="D152">
            <v>0</v>
          </cell>
          <cell r="E152">
            <v>17.32</v>
          </cell>
          <cell r="F152">
            <v>21</v>
          </cell>
          <cell r="G152">
            <v>21.17</v>
          </cell>
          <cell r="H152">
            <v>25</v>
          </cell>
          <cell r="I152">
            <v>21.17</v>
          </cell>
          <cell r="J152">
            <v>16.37</v>
          </cell>
          <cell r="K152">
            <v>20</v>
          </cell>
          <cell r="L152">
            <v>89.97</v>
          </cell>
          <cell r="M152">
            <v>110</v>
          </cell>
        </row>
        <row r="153">
          <cell r="A153">
            <v>2000003478</v>
          </cell>
          <cell r="B153" t="str">
            <v>IMPACT INSERT SET &amp; FIXING POPPERS</v>
          </cell>
          <cell r="C153" t="str">
            <v>SAFEFIX plus / SAFEFIX plus TT</v>
          </cell>
          <cell r="D153">
            <v>0</v>
          </cell>
          <cell r="E153">
            <v>13.73</v>
          </cell>
          <cell r="F153">
            <v>20</v>
          </cell>
          <cell r="G153">
            <v>16.78</v>
          </cell>
          <cell r="H153">
            <v>20</v>
          </cell>
          <cell r="I153">
            <v>16.78</v>
          </cell>
          <cell r="J153">
            <v>12.97</v>
          </cell>
          <cell r="K153">
            <v>15</v>
          </cell>
          <cell r="L153">
            <v>71.319999999999993</v>
          </cell>
          <cell r="M153">
            <v>90</v>
          </cell>
        </row>
        <row r="154">
          <cell r="A154">
            <v>2000003480</v>
          </cell>
          <cell r="B154" t="str">
            <v>HEADPAD INSERT SET WITH FIXING POPPER</v>
          </cell>
          <cell r="C154" t="str">
            <v>SAFEFIX plus / SAFEFIX plus TT</v>
          </cell>
          <cell r="D154">
            <v>0</v>
          </cell>
          <cell r="E154">
            <v>13.73</v>
          </cell>
          <cell r="F154">
            <v>20</v>
          </cell>
          <cell r="G154">
            <v>16.78</v>
          </cell>
          <cell r="H154">
            <v>20</v>
          </cell>
          <cell r="I154">
            <v>16.78</v>
          </cell>
          <cell r="J154">
            <v>12.97</v>
          </cell>
          <cell r="K154">
            <v>15</v>
          </cell>
          <cell r="L154">
            <v>71.319999999999993</v>
          </cell>
          <cell r="M154">
            <v>90</v>
          </cell>
        </row>
        <row r="155">
          <cell r="A155">
            <v>2000003892</v>
          </cell>
          <cell r="B155" t="str">
            <v>PERFORMANCE PAD</v>
          </cell>
          <cell r="C155" t="str">
            <v>SAFEFIX plus / SAFEFIX plus TT</v>
          </cell>
          <cell r="D155">
            <v>0</v>
          </cell>
          <cell r="E155">
            <v>9.0500000000000007</v>
          </cell>
          <cell r="F155">
            <v>15</v>
          </cell>
          <cell r="G155">
            <v>11.06</v>
          </cell>
          <cell r="H155">
            <v>15</v>
          </cell>
          <cell r="I155">
            <v>11.06</v>
          </cell>
          <cell r="J155">
            <v>8.5500000000000007</v>
          </cell>
          <cell r="K155">
            <v>10</v>
          </cell>
          <cell r="L155">
            <v>47.01</v>
          </cell>
          <cell r="M155">
            <v>60</v>
          </cell>
        </row>
        <row r="156">
          <cell r="A156">
            <v>2000003482</v>
          </cell>
          <cell r="B156" t="str">
            <v>HEADPAD IMPACT INSERT</v>
          </cell>
          <cell r="C156" t="str">
            <v>KING</v>
          </cell>
          <cell r="D156">
            <v>0</v>
          </cell>
          <cell r="E156">
            <v>13.73</v>
          </cell>
          <cell r="F156">
            <v>20</v>
          </cell>
          <cell r="G156">
            <v>16.78</v>
          </cell>
          <cell r="H156">
            <v>20</v>
          </cell>
          <cell r="I156">
            <v>16.78</v>
          </cell>
          <cell r="J156">
            <v>12.97</v>
          </cell>
          <cell r="K156">
            <v>15</v>
          </cell>
          <cell r="L156">
            <v>71.319999999999993</v>
          </cell>
          <cell r="M156">
            <v>90</v>
          </cell>
        </row>
        <row r="157">
          <cell r="A157">
            <v>2000003868</v>
          </cell>
          <cell r="B157" t="str">
            <v>TENSION FLAP GRIP SET</v>
          </cell>
          <cell r="C157" t="str">
            <v>KING plus</v>
          </cell>
          <cell r="D157">
            <v>0</v>
          </cell>
          <cell r="E157">
            <v>6.64</v>
          </cell>
          <cell r="F157">
            <v>10</v>
          </cell>
          <cell r="G157">
            <v>8.1199999999999992</v>
          </cell>
          <cell r="H157">
            <v>10</v>
          </cell>
          <cell r="I157">
            <v>8.1199999999999992</v>
          </cell>
          <cell r="J157">
            <v>6.27</v>
          </cell>
          <cell r="K157">
            <v>10</v>
          </cell>
          <cell r="L157">
            <v>34.51</v>
          </cell>
          <cell r="M157">
            <v>40</v>
          </cell>
        </row>
        <row r="158">
          <cell r="A158">
            <v>2000003890</v>
          </cell>
          <cell r="B158" t="str">
            <v>HEADPAD IMPACT INSERT</v>
          </cell>
          <cell r="C158" t="str">
            <v>KING TS</v>
          </cell>
          <cell r="D158">
            <v>0</v>
          </cell>
          <cell r="E158">
            <v>13.73</v>
          </cell>
          <cell r="F158">
            <v>20</v>
          </cell>
          <cell r="G158">
            <v>16.78</v>
          </cell>
          <cell r="H158">
            <v>20</v>
          </cell>
          <cell r="I158">
            <v>16.78</v>
          </cell>
          <cell r="J158">
            <v>12.97</v>
          </cell>
          <cell r="K158">
            <v>15</v>
          </cell>
          <cell r="L158">
            <v>71.319999999999993</v>
          </cell>
          <cell r="M158">
            <v>90</v>
          </cell>
        </row>
        <row r="159">
          <cell r="A159">
            <v>2000003483</v>
          </cell>
          <cell r="B159" t="str">
            <v>HEADPAD IMPACT INSERT</v>
          </cell>
          <cell r="C159" t="str">
            <v>KING TS plus</v>
          </cell>
          <cell r="D159">
            <v>0</v>
          </cell>
          <cell r="E159">
            <v>13.73</v>
          </cell>
          <cell r="F159">
            <v>20</v>
          </cell>
          <cell r="G159">
            <v>16.78</v>
          </cell>
          <cell r="H159">
            <v>20</v>
          </cell>
          <cell r="I159">
            <v>16.78</v>
          </cell>
          <cell r="J159">
            <v>12.97</v>
          </cell>
          <cell r="K159">
            <v>15</v>
          </cell>
          <cell r="L159">
            <v>71.319999999999993</v>
          </cell>
          <cell r="M159">
            <v>90</v>
          </cell>
        </row>
        <row r="160">
          <cell r="A160">
            <v>2000007050</v>
          </cell>
          <cell r="B160" t="str">
            <v>ADJUSTER COVER SET</v>
          </cell>
          <cell r="C160" t="str">
            <v>DUO plus</v>
          </cell>
          <cell r="D160">
            <v>0</v>
          </cell>
          <cell r="E160">
            <v>7.02</v>
          </cell>
          <cell r="F160">
            <v>10</v>
          </cell>
          <cell r="G160">
            <v>8.57</v>
          </cell>
          <cell r="H160">
            <v>10</v>
          </cell>
          <cell r="I160">
            <v>8.57</v>
          </cell>
          <cell r="J160">
            <v>6.63</v>
          </cell>
          <cell r="K160">
            <v>10</v>
          </cell>
          <cell r="L160">
            <v>36.42</v>
          </cell>
          <cell r="M160">
            <v>45</v>
          </cell>
        </row>
        <row r="161">
          <cell r="A161">
            <v>2000027770</v>
          </cell>
          <cell r="B161" t="str">
            <v>SHOULDER PAD SET</v>
          </cell>
          <cell r="C161" t="str">
            <v>DUO plus</v>
          </cell>
          <cell r="D161" t="str">
            <v>Moonlight Blue</v>
          </cell>
          <cell r="E161">
            <v>15.93</v>
          </cell>
          <cell r="F161">
            <v>19</v>
          </cell>
          <cell r="G161">
            <v>19.47</v>
          </cell>
          <cell r="H161">
            <v>25</v>
          </cell>
          <cell r="I161">
            <v>19.47</v>
          </cell>
          <cell r="J161">
            <v>15.05</v>
          </cell>
          <cell r="K161">
            <v>20</v>
          </cell>
          <cell r="L161">
            <v>82.75</v>
          </cell>
          <cell r="M161">
            <v>100</v>
          </cell>
        </row>
        <row r="162">
          <cell r="A162">
            <v>2000027771</v>
          </cell>
          <cell r="B162" t="str">
            <v>SHOULDER PAD SET</v>
          </cell>
          <cell r="C162" t="str">
            <v>DUO plus</v>
          </cell>
          <cell r="D162" t="str">
            <v>Wine Rose</v>
          </cell>
          <cell r="E162">
            <v>15.93</v>
          </cell>
          <cell r="F162">
            <v>19</v>
          </cell>
          <cell r="G162">
            <v>19.47</v>
          </cell>
          <cell r="H162">
            <v>25</v>
          </cell>
          <cell r="I162">
            <v>19.47</v>
          </cell>
          <cell r="J162">
            <v>15.05</v>
          </cell>
          <cell r="K162">
            <v>20</v>
          </cell>
          <cell r="L162">
            <v>82.75</v>
          </cell>
          <cell r="M162">
            <v>100</v>
          </cell>
        </row>
        <row r="163">
          <cell r="A163">
            <v>2000026839</v>
          </cell>
          <cell r="B163" t="str">
            <v>ISOFIX PROTECTION</v>
          </cell>
          <cell r="C163" t="str">
            <v>DUO plus</v>
          </cell>
          <cell r="D163">
            <v>0</v>
          </cell>
          <cell r="E163">
            <v>8</v>
          </cell>
          <cell r="F163">
            <v>10</v>
          </cell>
          <cell r="G163">
            <v>8.66</v>
          </cell>
          <cell r="H163">
            <v>10</v>
          </cell>
          <cell r="I163">
            <v>8.66</v>
          </cell>
          <cell r="J163">
            <v>7.56</v>
          </cell>
          <cell r="K163">
            <v>10</v>
          </cell>
          <cell r="L163">
            <v>36.81</v>
          </cell>
          <cell r="M163">
            <v>45</v>
          </cell>
        </row>
        <row r="164">
          <cell r="A164">
            <v>2000003685</v>
          </cell>
          <cell r="B164" t="str">
            <v>BELT SHIELD</v>
          </cell>
          <cell r="C164" t="str">
            <v>PRINCE</v>
          </cell>
          <cell r="D164">
            <v>0</v>
          </cell>
          <cell r="E164">
            <v>8</v>
          </cell>
          <cell r="F164">
            <v>10</v>
          </cell>
          <cell r="G164">
            <v>8</v>
          </cell>
          <cell r="H164">
            <v>10</v>
          </cell>
          <cell r="I164">
            <v>8</v>
          </cell>
          <cell r="J164">
            <v>7.56</v>
          </cell>
          <cell r="K164">
            <v>10</v>
          </cell>
          <cell r="L164">
            <v>34</v>
          </cell>
          <cell r="M164">
            <v>40</v>
          </cell>
        </row>
        <row r="165">
          <cell r="A165">
            <v>2000003686</v>
          </cell>
          <cell r="B165" t="str">
            <v>IMPACT INSERT SET</v>
          </cell>
          <cell r="C165" t="str">
            <v>PRINCE</v>
          </cell>
          <cell r="D165">
            <v>0</v>
          </cell>
          <cell r="E165">
            <v>13.73</v>
          </cell>
          <cell r="F165">
            <v>20</v>
          </cell>
          <cell r="G165">
            <v>16.78</v>
          </cell>
          <cell r="H165">
            <v>20</v>
          </cell>
          <cell r="I165">
            <v>16.78</v>
          </cell>
          <cell r="J165">
            <v>12.97</v>
          </cell>
          <cell r="K165">
            <v>15</v>
          </cell>
          <cell r="L165">
            <v>71.319999999999993</v>
          </cell>
          <cell r="M165">
            <v>90</v>
          </cell>
        </row>
        <row r="166">
          <cell r="A166">
            <v>2000024295</v>
          </cell>
          <cell r="B166" t="str">
            <v xml:space="preserve">SHOULDER PAD SET </v>
          </cell>
          <cell r="C166" t="str">
            <v>MAX-WAY &amp; MAX-WAY BLACK SERIES</v>
          </cell>
          <cell r="D166" t="str">
            <v>Black</v>
          </cell>
          <cell r="E166">
            <v>6.15</v>
          </cell>
          <cell r="F166">
            <v>10</v>
          </cell>
          <cell r="G166">
            <v>7.51</v>
          </cell>
          <cell r="H166">
            <v>10</v>
          </cell>
          <cell r="I166">
            <v>7.51</v>
          </cell>
          <cell r="J166">
            <v>5.51</v>
          </cell>
          <cell r="K166">
            <v>5</v>
          </cell>
          <cell r="L166">
            <v>31.92</v>
          </cell>
          <cell r="M166">
            <v>40</v>
          </cell>
        </row>
        <row r="167">
          <cell r="A167">
            <v>2000010527</v>
          </cell>
          <cell r="B167" t="str">
            <v xml:space="preserve">SECURA FOAM WEDGE </v>
          </cell>
          <cell r="C167" t="str">
            <v>MAX-WAY &amp; MAX-WAY BLACK SERIES</v>
          </cell>
          <cell r="D167">
            <v>0</v>
          </cell>
          <cell r="E167">
            <v>5.63</v>
          </cell>
          <cell r="F167">
            <v>10</v>
          </cell>
          <cell r="G167">
            <v>6.88</v>
          </cell>
          <cell r="H167">
            <v>10</v>
          </cell>
          <cell r="I167">
            <v>6.88</v>
          </cell>
          <cell r="J167">
            <v>5.32</v>
          </cell>
          <cell r="K167">
            <v>5</v>
          </cell>
          <cell r="L167">
            <v>29.24</v>
          </cell>
          <cell r="M167">
            <v>35</v>
          </cell>
        </row>
        <row r="168">
          <cell r="A168">
            <v>2000024297</v>
          </cell>
          <cell r="B168" t="str">
            <v xml:space="preserve">SHOULDER PAD SET </v>
          </cell>
          <cell r="C168" t="str">
            <v>TWO-WAY</v>
          </cell>
          <cell r="D168" t="str">
            <v>Black</v>
          </cell>
          <cell r="E168">
            <v>6.15</v>
          </cell>
          <cell r="F168">
            <v>10</v>
          </cell>
          <cell r="G168">
            <v>7.51</v>
          </cell>
          <cell r="H168">
            <v>10</v>
          </cell>
          <cell r="I168">
            <v>7.51</v>
          </cell>
          <cell r="J168">
            <v>5.81</v>
          </cell>
          <cell r="K168">
            <v>5</v>
          </cell>
          <cell r="L168">
            <v>31.92</v>
          </cell>
          <cell r="M168">
            <v>40</v>
          </cell>
        </row>
        <row r="169">
          <cell r="A169">
            <v>2000003688</v>
          </cell>
          <cell r="B169" t="str">
            <v>IMPACT INSERT SET</v>
          </cell>
          <cell r="C169" t="str">
            <v>TWO-WAY</v>
          </cell>
          <cell r="D169">
            <v>0</v>
          </cell>
          <cell r="E169">
            <v>13.73</v>
          </cell>
          <cell r="F169">
            <v>20</v>
          </cell>
          <cell r="G169">
            <v>16.78</v>
          </cell>
          <cell r="H169">
            <v>20</v>
          </cell>
          <cell r="I169">
            <v>16.78</v>
          </cell>
          <cell r="J169">
            <v>12.97</v>
          </cell>
          <cell r="K169">
            <v>15</v>
          </cell>
          <cell r="L169">
            <v>71.319999999999993</v>
          </cell>
          <cell r="M169">
            <v>90</v>
          </cell>
        </row>
        <row r="170">
          <cell r="A170">
            <v>2000006818</v>
          </cell>
          <cell r="B170" t="str">
            <v xml:space="preserve">FIXING TETHER </v>
          </cell>
          <cell r="C170" t="str">
            <v>TWO-WAY</v>
          </cell>
          <cell r="D170">
            <v>0</v>
          </cell>
          <cell r="E170">
            <v>7.8</v>
          </cell>
          <cell r="F170">
            <v>10</v>
          </cell>
          <cell r="G170">
            <v>8.73</v>
          </cell>
          <cell r="H170">
            <v>10</v>
          </cell>
          <cell r="I170">
            <v>10.48</v>
          </cell>
          <cell r="J170">
            <v>7.56</v>
          </cell>
          <cell r="K170">
            <v>10</v>
          </cell>
          <cell r="L170">
            <v>37.1</v>
          </cell>
          <cell r="M170">
            <v>45</v>
          </cell>
        </row>
        <row r="171">
          <cell r="A171">
            <v>2000024296</v>
          </cell>
          <cell r="B171" t="str">
            <v xml:space="preserve">SHOULDER PAD SET </v>
          </cell>
          <cell r="C171" t="str">
            <v>HI-WAY ll</v>
          </cell>
          <cell r="D171" t="str">
            <v>Black</v>
          </cell>
          <cell r="E171">
            <v>6.15</v>
          </cell>
          <cell r="F171">
            <v>10</v>
          </cell>
          <cell r="G171">
            <v>7.51</v>
          </cell>
          <cell r="H171">
            <v>10</v>
          </cell>
          <cell r="I171">
            <v>7.51</v>
          </cell>
          <cell r="J171">
            <v>5.81</v>
          </cell>
          <cell r="K171">
            <v>5</v>
          </cell>
          <cell r="L171">
            <v>31.92</v>
          </cell>
          <cell r="M171">
            <v>40</v>
          </cell>
        </row>
        <row r="172">
          <cell r="A172">
            <v>2000003680</v>
          </cell>
          <cell r="B172" t="str">
            <v xml:space="preserve">IMPACT INSERT SET </v>
          </cell>
          <cell r="C172" t="str">
            <v>HI-WAY ll</v>
          </cell>
          <cell r="D172">
            <v>0</v>
          </cell>
          <cell r="E172">
            <v>13.73</v>
          </cell>
          <cell r="F172">
            <v>20</v>
          </cell>
          <cell r="G172">
            <v>22.33</v>
          </cell>
          <cell r="H172">
            <v>25</v>
          </cell>
          <cell r="I172">
            <v>22.33</v>
          </cell>
          <cell r="J172">
            <v>12.97</v>
          </cell>
          <cell r="K172">
            <v>15</v>
          </cell>
          <cell r="L172">
            <v>94.9</v>
          </cell>
          <cell r="M172">
            <v>115</v>
          </cell>
        </row>
        <row r="173">
          <cell r="A173">
            <v>2000024294</v>
          </cell>
          <cell r="B173" t="str">
            <v xml:space="preserve">SHOULDER PAD SET </v>
          </cell>
          <cell r="C173" t="str">
            <v>MULTI-TECH ll / MULTI-TECH III</v>
          </cell>
          <cell r="D173" t="str">
            <v>Black</v>
          </cell>
          <cell r="E173">
            <v>15.76</v>
          </cell>
          <cell r="F173">
            <v>20</v>
          </cell>
          <cell r="G173">
            <v>19.260000000000002</v>
          </cell>
          <cell r="H173">
            <v>25</v>
          </cell>
          <cell r="I173">
            <v>19.260000000000002</v>
          </cell>
          <cell r="J173">
            <v>14.89</v>
          </cell>
          <cell r="K173">
            <v>20</v>
          </cell>
          <cell r="L173">
            <v>81.86</v>
          </cell>
          <cell r="M173">
            <v>100</v>
          </cell>
        </row>
        <row r="174">
          <cell r="A174">
            <v>2000003683</v>
          </cell>
          <cell r="B174" t="str">
            <v>IMPACT INSERT SET</v>
          </cell>
          <cell r="C174" t="str">
            <v>MULTI-TECH ll / MULTI-TECH III</v>
          </cell>
          <cell r="D174">
            <v>0</v>
          </cell>
          <cell r="E174">
            <v>13.73</v>
          </cell>
          <cell r="F174">
            <v>20</v>
          </cell>
          <cell r="G174">
            <v>16.78</v>
          </cell>
          <cell r="H174">
            <v>20</v>
          </cell>
          <cell r="I174">
            <v>16.78</v>
          </cell>
          <cell r="J174">
            <v>12.97</v>
          </cell>
          <cell r="K174">
            <v>15</v>
          </cell>
          <cell r="L174">
            <v>71.319999999999993</v>
          </cell>
          <cell r="M174">
            <v>90</v>
          </cell>
        </row>
        <row r="175">
          <cell r="A175">
            <v>2000010641</v>
          </cell>
          <cell r="B175" t="str">
            <v xml:space="preserve">YOKE STORAGE/BELT SHIELD </v>
          </cell>
          <cell r="C175" t="str">
            <v>XTENSAFIX / ADVANSAFIX</v>
          </cell>
          <cell r="D175">
            <v>0</v>
          </cell>
          <cell r="E175">
            <v>8</v>
          </cell>
          <cell r="F175">
            <v>10</v>
          </cell>
          <cell r="G175">
            <v>8</v>
          </cell>
          <cell r="H175">
            <v>10</v>
          </cell>
          <cell r="I175">
            <v>8</v>
          </cell>
          <cell r="J175">
            <v>7.56</v>
          </cell>
          <cell r="K175">
            <v>10</v>
          </cell>
          <cell r="L175">
            <v>34</v>
          </cell>
          <cell r="M175">
            <v>40</v>
          </cell>
        </row>
        <row r="176">
          <cell r="A176">
            <v>2000010468</v>
          </cell>
          <cell r="B176" t="str">
            <v xml:space="preserve">BELT LOCK OFFS </v>
          </cell>
          <cell r="C176" t="str">
            <v>XTENSAFIX / ADVANSAFIX</v>
          </cell>
          <cell r="D176">
            <v>0</v>
          </cell>
          <cell r="E176">
            <v>14.2</v>
          </cell>
          <cell r="F176">
            <v>20</v>
          </cell>
          <cell r="G176">
            <v>17.36</v>
          </cell>
          <cell r="H176">
            <v>20</v>
          </cell>
          <cell r="I176">
            <v>17.36</v>
          </cell>
          <cell r="J176">
            <v>13.42</v>
          </cell>
          <cell r="K176">
            <v>15</v>
          </cell>
          <cell r="L176">
            <v>73.78</v>
          </cell>
          <cell r="M176">
            <v>90</v>
          </cell>
        </row>
        <row r="177">
          <cell r="A177">
            <v>2000026210</v>
          </cell>
          <cell r="B177" t="str">
            <v xml:space="preserve">SHOULDER PAD SET </v>
          </cell>
          <cell r="C177" t="str">
            <v>ADVANSAFIX ll / ADVANSAFIX II SICT / ADVANSAFIX III SICT</v>
          </cell>
          <cell r="D177" t="str">
            <v>Storm Grey</v>
          </cell>
          <cell r="E177">
            <v>16.07</v>
          </cell>
          <cell r="F177">
            <v>20</v>
          </cell>
          <cell r="G177">
            <v>18</v>
          </cell>
          <cell r="H177">
            <v>20</v>
          </cell>
          <cell r="I177">
            <v>19.63</v>
          </cell>
          <cell r="J177">
            <v>15.19</v>
          </cell>
          <cell r="K177">
            <v>20</v>
          </cell>
          <cell r="L177">
            <v>76.5</v>
          </cell>
          <cell r="M177">
            <v>95</v>
          </cell>
        </row>
        <row r="178">
          <cell r="A178">
            <v>2000024259</v>
          </cell>
          <cell r="B178" t="str">
            <v xml:space="preserve">SHOULDER PAD SET </v>
          </cell>
          <cell r="C178" t="str">
            <v>ADVANSAFIX ll / ADVANSAFIX II SICT / ADVANSAFIX III SICT</v>
          </cell>
          <cell r="D178" t="str">
            <v>Black Marble</v>
          </cell>
          <cell r="E178">
            <v>16.07</v>
          </cell>
          <cell r="F178">
            <v>20</v>
          </cell>
          <cell r="G178">
            <v>19.63</v>
          </cell>
          <cell r="H178">
            <v>25</v>
          </cell>
          <cell r="I178">
            <v>19.63</v>
          </cell>
          <cell r="J178">
            <v>15.19</v>
          </cell>
          <cell r="K178">
            <v>20</v>
          </cell>
          <cell r="L178">
            <v>83.43</v>
          </cell>
          <cell r="M178">
            <v>105</v>
          </cell>
        </row>
        <row r="179">
          <cell r="A179">
            <v>2000024255</v>
          </cell>
          <cell r="B179" t="str">
            <v xml:space="preserve">SHOULDER PAD SET </v>
          </cell>
          <cell r="C179" t="str">
            <v>ADVANSAFIX ll / ADVANSAFIX II SICT / ADVANSAFIX III SICT</v>
          </cell>
          <cell r="D179" t="str">
            <v>Cosmos Black</v>
          </cell>
          <cell r="E179">
            <v>16.07</v>
          </cell>
          <cell r="F179">
            <v>20</v>
          </cell>
          <cell r="G179">
            <v>19.63</v>
          </cell>
          <cell r="H179">
            <v>25</v>
          </cell>
          <cell r="I179">
            <v>19.63</v>
          </cell>
          <cell r="J179">
            <v>15.19</v>
          </cell>
          <cell r="K179">
            <v>20</v>
          </cell>
          <cell r="L179">
            <v>83.43</v>
          </cell>
          <cell r="M179">
            <v>105</v>
          </cell>
        </row>
        <row r="180">
          <cell r="A180">
            <v>2000024256</v>
          </cell>
          <cell r="B180" t="str">
            <v>SHOULDER PAD SET</v>
          </cell>
          <cell r="C180" t="str">
            <v>ADVANSAFIX ll / ADVANSAFIX II SICT / ADVANSAFIX III SICT</v>
          </cell>
          <cell r="D180" t="str">
            <v>Flame Red</v>
          </cell>
          <cell r="E180">
            <v>16.07</v>
          </cell>
          <cell r="F180">
            <v>20</v>
          </cell>
          <cell r="G180">
            <v>19.63</v>
          </cell>
          <cell r="H180">
            <v>25</v>
          </cell>
          <cell r="I180">
            <v>19.63</v>
          </cell>
          <cell r="J180">
            <v>15.19</v>
          </cell>
          <cell r="K180">
            <v>20</v>
          </cell>
          <cell r="L180">
            <v>83.43</v>
          </cell>
          <cell r="M180">
            <v>105</v>
          </cell>
        </row>
        <row r="181">
          <cell r="A181">
            <v>2000024258</v>
          </cell>
          <cell r="B181" t="str">
            <v>SHOULDER PAD SET</v>
          </cell>
          <cell r="C181" t="str">
            <v>ADVANSAFIX ll / ADVANSAFIX II SICT / ADVANSAFIX III SICT</v>
          </cell>
          <cell r="D181" t="str">
            <v>Mineral Purple</v>
          </cell>
          <cell r="E181">
            <v>16.07</v>
          </cell>
          <cell r="F181">
            <v>20</v>
          </cell>
          <cell r="G181">
            <v>19.63</v>
          </cell>
          <cell r="H181">
            <v>25</v>
          </cell>
          <cell r="I181">
            <v>19.63</v>
          </cell>
          <cell r="J181">
            <v>15.19</v>
          </cell>
          <cell r="K181">
            <v>20</v>
          </cell>
          <cell r="L181">
            <v>83.43</v>
          </cell>
          <cell r="M181">
            <v>105</v>
          </cell>
        </row>
        <row r="182">
          <cell r="A182">
            <v>2000024257</v>
          </cell>
          <cell r="B182" t="str">
            <v>SHOULDER PAD SET</v>
          </cell>
          <cell r="C182" t="str">
            <v>ADVANSAFIX ll / ADVANSAFIX II SICT / ADVANSAFIX III SICT</v>
          </cell>
          <cell r="D182" t="str">
            <v>Ocean Blue</v>
          </cell>
          <cell r="E182">
            <v>16.07</v>
          </cell>
          <cell r="F182">
            <v>20</v>
          </cell>
          <cell r="G182">
            <v>19.63</v>
          </cell>
          <cell r="H182">
            <v>25</v>
          </cell>
          <cell r="I182">
            <v>19.63</v>
          </cell>
          <cell r="J182">
            <v>15.19</v>
          </cell>
          <cell r="K182">
            <v>20</v>
          </cell>
          <cell r="L182">
            <v>83.43</v>
          </cell>
          <cell r="M182">
            <v>105</v>
          </cell>
        </row>
        <row r="183">
          <cell r="A183">
            <v>2000024595</v>
          </cell>
          <cell r="B183" t="str">
            <v xml:space="preserve">YOKE STORAGE/BELT SHIELD </v>
          </cell>
          <cell r="C183" t="str">
            <v>ADVANSAFIX ll / ADVANSAFIX II SICT / ADVANSAFIX III SICT</v>
          </cell>
          <cell r="D183">
            <v>0</v>
          </cell>
          <cell r="E183">
            <v>8</v>
          </cell>
          <cell r="F183">
            <v>10</v>
          </cell>
          <cell r="G183">
            <v>8</v>
          </cell>
          <cell r="H183">
            <v>10</v>
          </cell>
          <cell r="I183">
            <v>8</v>
          </cell>
          <cell r="J183">
            <v>7.56</v>
          </cell>
          <cell r="K183">
            <v>10</v>
          </cell>
          <cell r="L183">
            <v>34</v>
          </cell>
          <cell r="M183">
            <v>40</v>
          </cell>
        </row>
        <row r="184">
          <cell r="A184">
            <v>2000024304</v>
          </cell>
          <cell r="B184" t="str">
            <v xml:space="preserve">SECUREGUARD PAD </v>
          </cell>
          <cell r="C184" t="str">
            <v>ADVANSAFIX ll / ADVANSAFIX II SICT / ADVANSAFIX III SICT</v>
          </cell>
          <cell r="D184" t="str">
            <v>Black</v>
          </cell>
          <cell r="E184">
            <v>6.37</v>
          </cell>
          <cell r="F184">
            <v>10</v>
          </cell>
          <cell r="G184">
            <v>7.79</v>
          </cell>
          <cell r="H184">
            <v>10</v>
          </cell>
          <cell r="I184">
            <v>7.79</v>
          </cell>
          <cell r="J184">
            <v>6.02</v>
          </cell>
          <cell r="K184">
            <v>5</v>
          </cell>
          <cell r="L184">
            <v>33.11</v>
          </cell>
          <cell r="M184">
            <v>40</v>
          </cell>
        </row>
        <row r="185">
          <cell r="A185">
            <v>2000024425</v>
          </cell>
          <cell r="B185" t="str">
            <v>SECUREGUARD WITHOUT PAD</v>
          </cell>
          <cell r="C185" t="str">
            <v>ADVANSAFIX ll / ADVANSAFIX II SICT / ADVANSAFIX III SICT</v>
          </cell>
          <cell r="D185">
            <v>0</v>
          </cell>
          <cell r="E185">
            <v>9.56</v>
          </cell>
          <cell r="F185">
            <v>15</v>
          </cell>
          <cell r="G185">
            <v>11.68</v>
          </cell>
          <cell r="H185">
            <v>15</v>
          </cell>
          <cell r="I185">
            <v>11.68</v>
          </cell>
          <cell r="J185">
            <v>7.98</v>
          </cell>
          <cell r="K185">
            <v>10</v>
          </cell>
          <cell r="L185">
            <v>49.64</v>
          </cell>
          <cell r="M185">
            <v>60</v>
          </cell>
        </row>
        <row r="186">
          <cell r="A186">
            <v>2000003677</v>
          </cell>
          <cell r="B186" t="str">
            <v>BELT SHIELD</v>
          </cell>
          <cell r="C186" t="str">
            <v>EVOLVA 1-2-3 / EVOLVA 1-2-3 plus</v>
          </cell>
          <cell r="D186">
            <v>0</v>
          </cell>
          <cell r="E186">
            <v>8</v>
          </cell>
          <cell r="F186">
            <v>10</v>
          </cell>
          <cell r="G186">
            <v>8</v>
          </cell>
          <cell r="H186">
            <v>10</v>
          </cell>
          <cell r="I186">
            <v>8</v>
          </cell>
          <cell r="J186">
            <v>7.56</v>
          </cell>
          <cell r="K186">
            <v>10</v>
          </cell>
          <cell r="L186">
            <v>34</v>
          </cell>
          <cell r="M186">
            <v>40</v>
          </cell>
        </row>
        <row r="187">
          <cell r="A187">
            <v>2000003678</v>
          </cell>
          <cell r="B187" t="str">
            <v>HEADPAD IMPACT INSERT</v>
          </cell>
          <cell r="C187" t="str">
            <v>EVOLVA 1-2-3 / EVOLVA 1-2-3 plus</v>
          </cell>
          <cell r="D187">
            <v>0</v>
          </cell>
          <cell r="E187">
            <v>13.73</v>
          </cell>
          <cell r="F187">
            <v>20</v>
          </cell>
          <cell r="G187">
            <v>16.78</v>
          </cell>
          <cell r="H187">
            <v>20</v>
          </cell>
          <cell r="I187">
            <v>16.78</v>
          </cell>
          <cell r="J187">
            <v>12.97</v>
          </cell>
          <cell r="K187">
            <v>15</v>
          </cell>
          <cell r="L187">
            <v>71.319999999999993</v>
          </cell>
          <cell r="M187">
            <v>90</v>
          </cell>
        </row>
        <row r="188">
          <cell r="A188">
            <v>2000026427</v>
          </cell>
          <cell r="B188" t="str">
            <v>SHOULDER PAD SET</v>
          </cell>
          <cell r="C188" t="str">
            <v>EVOLVA 1-2-3 SL SICT</v>
          </cell>
          <cell r="D188" t="str">
            <v>Cosmos Black</v>
          </cell>
          <cell r="E188">
            <v>15.76</v>
          </cell>
          <cell r="F188">
            <v>20</v>
          </cell>
          <cell r="G188">
            <v>17.66</v>
          </cell>
          <cell r="H188">
            <v>20</v>
          </cell>
          <cell r="I188">
            <v>17.66</v>
          </cell>
          <cell r="J188">
            <v>14.89</v>
          </cell>
          <cell r="K188">
            <v>20</v>
          </cell>
          <cell r="L188">
            <v>75.06</v>
          </cell>
          <cell r="M188">
            <v>90</v>
          </cell>
        </row>
        <row r="189">
          <cell r="A189">
            <v>2000026428</v>
          </cell>
          <cell r="B189" t="str">
            <v>SHOULDER PAD SET</v>
          </cell>
          <cell r="C189" t="str">
            <v>EVOLVA 1-2-3 SL SICT</v>
          </cell>
          <cell r="D189" t="str">
            <v>Flame Red</v>
          </cell>
          <cell r="E189">
            <v>15.76</v>
          </cell>
          <cell r="F189">
            <v>20</v>
          </cell>
          <cell r="G189">
            <v>17.66</v>
          </cell>
          <cell r="H189">
            <v>20</v>
          </cell>
          <cell r="I189">
            <v>17.66</v>
          </cell>
          <cell r="J189">
            <v>14.89</v>
          </cell>
          <cell r="K189">
            <v>20</v>
          </cell>
          <cell r="L189">
            <v>75.06</v>
          </cell>
          <cell r="M189">
            <v>90</v>
          </cell>
        </row>
        <row r="190">
          <cell r="A190">
            <v>2000026431</v>
          </cell>
          <cell r="B190" t="str">
            <v>SHOULDER PAD SET</v>
          </cell>
          <cell r="C190" t="str">
            <v>EVOLVA 1-2-3 SL SICT</v>
          </cell>
          <cell r="D190" t="str">
            <v>Black Marble</v>
          </cell>
          <cell r="E190">
            <v>15.76</v>
          </cell>
          <cell r="F190">
            <v>20</v>
          </cell>
          <cell r="G190">
            <v>19.43</v>
          </cell>
          <cell r="H190">
            <v>25</v>
          </cell>
          <cell r="I190">
            <v>19.43</v>
          </cell>
          <cell r="J190">
            <v>14.89</v>
          </cell>
          <cell r="K190">
            <v>20</v>
          </cell>
          <cell r="L190">
            <v>82.58</v>
          </cell>
          <cell r="M190">
            <v>100</v>
          </cell>
        </row>
        <row r="191">
          <cell r="A191">
            <v>2000027773</v>
          </cell>
          <cell r="B191" t="str">
            <v>SHOULDER PAD SET</v>
          </cell>
          <cell r="C191" t="str">
            <v>EVOLVA 1-2-3 SL SICT</v>
          </cell>
          <cell r="D191" t="str">
            <v>Blue Marble</v>
          </cell>
          <cell r="E191">
            <v>15.76</v>
          </cell>
          <cell r="F191">
            <v>20</v>
          </cell>
          <cell r="G191">
            <v>19.43</v>
          </cell>
          <cell r="H191">
            <v>25</v>
          </cell>
          <cell r="I191">
            <v>19.43</v>
          </cell>
          <cell r="J191">
            <v>14.89</v>
          </cell>
          <cell r="K191">
            <v>20</v>
          </cell>
          <cell r="L191">
            <v>82.58</v>
          </cell>
          <cell r="M191">
            <v>100</v>
          </cell>
        </row>
        <row r="192">
          <cell r="A192">
            <v>2000027774</v>
          </cell>
          <cell r="B192" t="str">
            <v>SHOULDER PAD SET</v>
          </cell>
          <cell r="C192" t="str">
            <v>EVOLVA 1-2-3 SL SICT</v>
          </cell>
          <cell r="D192" t="str">
            <v>Moonlight Blue</v>
          </cell>
          <cell r="E192">
            <v>15.76</v>
          </cell>
          <cell r="F192">
            <v>20</v>
          </cell>
          <cell r="G192">
            <v>17.66</v>
          </cell>
          <cell r="H192">
            <v>20</v>
          </cell>
          <cell r="I192">
            <v>17.66</v>
          </cell>
          <cell r="J192">
            <v>14.89</v>
          </cell>
          <cell r="K192">
            <v>20</v>
          </cell>
          <cell r="L192">
            <v>75.06</v>
          </cell>
          <cell r="M192">
            <v>90</v>
          </cell>
        </row>
        <row r="193">
          <cell r="A193">
            <v>2000027775</v>
          </cell>
          <cell r="B193" t="str">
            <v>SHOULDER PAD SET</v>
          </cell>
          <cell r="C193" t="str">
            <v>EVOLVA 1-2-3 SL SICT</v>
          </cell>
          <cell r="D193" t="str">
            <v>Storm Grey</v>
          </cell>
          <cell r="E193">
            <v>15.76</v>
          </cell>
          <cell r="F193">
            <v>20</v>
          </cell>
          <cell r="G193">
            <v>17.66</v>
          </cell>
          <cell r="H193">
            <v>20</v>
          </cell>
          <cell r="I193">
            <v>17.66</v>
          </cell>
          <cell r="J193">
            <v>14.89</v>
          </cell>
          <cell r="K193">
            <v>20</v>
          </cell>
          <cell r="L193">
            <v>75.06</v>
          </cell>
          <cell r="M193">
            <v>90</v>
          </cell>
        </row>
        <row r="194">
          <cell r="A194">
            <v>2000027776</v>
          </cell>
          <cell r="B194" t="str">
            <v>SHOULDER PAD SET</v>
          </cell>
          <cell r="C194" t="str">
            <v>EVOLVA 1-2-3 SL SICT</v>
          </cell>
          <cell r="D194" t="str">
            <v>Wine Rose</v>
          </cell>
          <cell r="E194">
            <v>15.76</v>
          </cell>
          <cell r="F194">
            <v>20</v>
          </cell>
          <cell r="G194">
            <v>17.66</v>
          </cell>
          <cell r="H194">
            <v>20</v>
          </cell>
          <cell r="I194">
            <v>17.66</v>
          </cell>
          <cell r="J194">
            <v>14.89</v>
          </cell>
          <cell r="K194">
            <v>20</v>
          </cell>
          <cell r="L194">
            <v>75.06</v>
          </cell>
          <cell r="M194">
            <v>90</v>
          </cell>
        </row>
        <row r="195">
          <cell r="A195">
            <v>2000003458</v>
          </cell>
          <cell r="B195" t="str">
            <v>LEVELLING PIECE</v>
          </cell>
          <cell r="C195" t="str">
            <v>KID</v>
          </cell>
          <cell r="D195">
            <v>0</v>
          </cell>
          <cell r="E195">
            <v>15.09</v>
          </cell>
          <cell r="F195">
            <v>20</v>
          </cell>
          <cell r="G195">
            <v>18.43</v>
          </cell>
          <cell r="H195">
            <v>20</v>
          </cell>
          <cell r="I195">
            <v>18.43</v>
          </cell>
          <cell r="J195">
            <v>14.26</v>
          </cell>
          <cell r="K195">
            <v>15</v>
          </cell>
          <cell r="L195">
            <v>78.33</v>
          </cell>
          <cell r="M195">
            <v>95</v>
          </cell>
        </row>
        <row r="196">
          <cell r="A196">
            <v>2000003457</v>
          </cell>
          <cell r="B196" t="str">
            <v>IMPACT INSERT SET</v>
          </cell>
          <cell r="C196" t="str">
            <v>KID</v>
          </cell>
          <cell r="D196">
            <v>0</v>
          </cell>
          <cell r="E196">
            <v>13.73</v>
          </cell>
          <cell r="F196">
            <v>20</v>
          </cell>
          <cell r="G196">
            <v>13.73</v>
          </cell>
          <cell r="H196">
            <v>15</v>
          </cell>
          <cell r="I196">
            <v>13.76</v>
          </cell>
          <cell r="J196">
            <v>12.97</v>
          </cell>
          <cell r="K196">
            <v>15</v>
          </cell>
          <cell r="L196">
            <v>58.35</v>
          </cell>
          <cell r="M196">
            <v>70</v>
          </cell>
        </row>
        <row r="197">
          <cell r="A197">
            <v>2000003460</v>
          </cell>
          <cell r="B197" t="str">
            <v>HEADPAD IMPACT INSERT &amp; REAR SMALL INSERT SET</v>
          </cell>
          <cell r="C197" t="str">
            <v>KID</v>
          </cell>
          <cell r="D197">
            <v>0</v>
          </cell>
          <cell r="E197">
            <v>16.809999999999999</v>
          </cell>
          <cell r="F197">
            <v>20</v>
          </cell>
          <cell r="G197">
            <v>16.809999999999999</v>
          </cell>
          <cell r="H197">
            <v>20</v>
          </cell>
          <cell r="I197">
            <v>16.809999999999999</v>
          </cell>
          <cell r="J197">
            <v>15.89</v>
          </cell>
          <cell r="K197">
            <v>20</v>
          </cell>
          <cell r="L197">
            <v>71.44</v>
          </cell>
          <cell r="M197">
            <v>90</v>
          </cell>
        </row>
        <row r="198">
          <cell r="A198">
            <v>2000003456</v>
          </cell>
          <cell r="B198" t="e">
            <v>#N/A</v>
          </cell>
          <cell r="C198" t="e">
            <v>#N/A</v>
          </cell>
          <cell r="D198" t="e">
            <v>#N/A</v>
          </cell>
          <cell r="E198">
            <v>16.809999999999999</v>
          </cell>
          <cell r="F198">
            <v>20</v>
          </cell>
          <cell r="G198">
            <v>16.809999999999999</v>
          </cell>
          <cell r="H198">
            <v>20</v>
          </cell>
          <cell r="I198">
            <v>16.809999999999999</v>
          </cell>
          <cell r="J198">
            <v>15.89</v>
          </cell>
          <cell r="K198">
            <v>20</v>
          </cell>
          <cell r="L198">
            <v>71.44</v>
          </cell>
          <cell r="M198">
            <v>90</v>
          </cell>
        </row>
        <row r="199">
          <cell r="A199">
            <v>2000029398</v>
          </cell>
          <cell r="B199" t="str">
            <v xml:space="preserve">IMPACT INSERT HEAD </v>
          </cell>
          <cell r="C199" t="str">
            <v>KID</v>
          </cell>
          <cell r="D199">
            <v>0</v>
          </cell>
          <cell r="E199">
            <v>8.4</v>
          </cell>
          <cell r="F199">
            <v>10</v>
          </cell>
          <cell r="G199">
            <v>9.7799999999999994</v>
          </cell>
          <cell r="H199">
            <v>10</v>
          </cell>
          <cell r="I199">
            <v>9.7799999999999994</v>
          </cell>
          <cell r="J199">
            <v>7.94</v>
          </cell>
          <cell r="K199">
            <v>10</v>
          </cell>
          <cell r="L199">
            <v>41.57</v>
          </cell>
          <cell r="M199">
            <v>50</v>
          </cell>
        </row>
        <row r="200">
          <cell r="A200">
            <v>2000029399</v>
          </cell>
          <cell r="B200" t="str">
            <v xml:space="preserve">IMPACT INSERT BACK SET </v>
          </cell>
          <cell r="C200" t="str">
            <v>KID</v>
          </cell>
          <cell r="D200">
            <v>0</v>
          </cell>
          <cell r="E200">
            <v>8</v>
          </cell>
          <cell r="F200">
            <v>10</v>
          </cell>
          <cell r="G200">
            <v>9.7799999999999994</v>
          </cell>
          <cell r="H200">
            <v>10</v>
          </cell>
          <cell r="I200">
            <v>9.7799999999999994</v>
          </cell>
          <cell r="J200">
            <v>7.56</v>
          </cell>
          <cell r="K200">
            <v>10</v>
          </cell>
          <cell r="L200">
            <v>41.57</v>
          </cell>
          <cell r="M200">
            <v>50</v>
          </cell>
        </row>
        <row r="201">
          <cell r="A201">
            <v>2000010376</v>
          </cell>
          <cell r="B201" t="e">
            <v>#N/A</v>
          </cell>
          <cell r="C201" t="e">
            <v>#N/A</v>
          </cell>
          <cell r="D201" t="e">
            <v>#N/A</v>
          </cell>
          <cell r="E201">
            <v>16.809999999999999</v>
          </cell>
          <cell r="F201">
            <v>20</v>
          </cell>
          <cell r="G201">
            <v>16.809999999999999</v>
          </cell>
          <cell r="H201">
            <v>20</v>
          </cell>
          <cell r="I201">
            <v>16.809999999999999</v>
          </cell>
          <cell r="J201">
            <v>15.89</v>
          </cell>
          <cell r="K201">
            <v>20</v>
          </cell>
          <cell r="L201">
            <v>71.44</v>
          </cell>
          <cell r="M201">
            <v>90</v>
          </cell>
        </row>
        <row r="202">
          <cell r="A202">
            <v>2000029400</v>
          </cell>
          <cell r="B202" t="str">
            <v xml:space="preserve">IMPACT INSERT HEAD </v>
          </cell>
          <cell r="C202" t="str">
            <v xml:space="preserve">KID XP </v>
          </cell>
          <cell r="D202">
            <v>0</v>
          </cell>
          <cell r="E202">
            <v>8</v>
          </cell>
          <cell r="F202">
            <v>10</v>
          </cell>
          <cell r="G202">
            <v>8.9600000000000009</v>
          </cell>
          <cell r="H202">
            <v>10</v>
          </cell>
          <cell r="I202">
            <v>8.9600000000000009</v>
          </cell>
          <cell r="J202">
            <v>7.56</v>
          </cell>
          <cell r="K202">
            <v>10</v>
          </cell>
          <cell r="L202">
            <v>38.08</v>
          </cell>
          <cell r="M202">
            <v>45</v>
          </cell>
        </row>
        <row r="203">
          <cell r="A203">
            <v>2000029401</v>
          </cell>
          <cell r="B203" t="str">
            <v xml:space="preserve">IMPACT INSERT BACK SET </v>
          </cell>
          <cell r="C203" t="str">
            <v xml:space="preserve">KID XP </v>
          </cell>
          <cell r="D203">
            <v>0</v>
          </cell>
          <cell r="E203">
            <v>8</v>
          </cell>
          <cell r="F203">
            <v>10</v>
          </cell>
          <cell r="G203">
            <v>8.9600000000000009</v>
          </cell>
          <cell r="H203">
            <v>10</v>
          </cell>
          <cell r="I203">
            <v>8.9600000000000009</v>
          </cell>
          <cell r="J203">
            <v>7.56</v>
          </cell>
          <cell r="K203">
            <v>10</v>
          </cell>
          <cell r="L203">
            <v>38.08</v>
          </cell>
          <cell r="M203">
            <v>45</v>
          </cell>
        </row>
        <row r="204">
          <cell r="A204">
            <v>2000010377</v>
          </cell>
          <cell r="B204" t="str">
            <v>SET XP-PAD</v>
          </cell>
          <cell r="C204" t="str">
            <v xml:space="preserve">KID XP </v>
          </cell>
          <cell r="D204">
            <v>0</v>
          </cell>
          <cell r="E204">
            <v>20.54</v>
          </cell>
          <cell r="F204">
            <v>25</v>
          </cell>
          <cell r="G204">
            <v>25.1</v>
          </cell>
          <cell r="H204">
            <v>30</v>
          </cell>
          <cell r="I204">
            <v>25.1</v>
          </cell>
          <cell r="J204">
            <v>19.41</v>
          </cell>
          <cell r="K204">
            <v>25</v>
          </cell>
          <cell r="L204">
            <v>106.68</v>
          </cell>
          <cell r="M204">
            <v>130</v>
          </cell>
        </row>
        <row r="205">
          <cell r="A205">
            <v>2000003670</v>
          </cell>
          <cell r="B205" t="str">
            <v>HEADPAD IMPACT INSERT</v>
          </cell>
          <cell r="C205" t="str">
            <v>ADVENTURE / DISCOVERY / DISCOVERY SL</v>
          </cell>
          <cell r="D205">
            <v>0</v>
          </cell>
          <cell r="E205">
            <v>8</v>
          </cell>
          <cell r="F205">
            <v>10</v>
          </cell>
          <cell r="G205">
            <v>13.67</v>
          </cell>
          <cell r="H205">
            <v>15</v>
          </cell>
          <cell r="I205">
            <v>13.67</v>
          </cell>
          <cell r="J205">
            <v>7.56</v>
          </cell>
          <cell r="K205">
            <v>10</v>
          </cell>
          <cell r="L205">
            <v>58.1</v>
          </cell>
          <cell r="M205">
            <v>70</v>
          </cell>
        </row>
        <row r="206">
          <cell r="A206">
            <v>2000003447</v>
          </cell>
          <cell r="B206" t="str">
            <v>METAL BAR</v>
          </cell>
          <cell r="C206" t="str">
            <v>JOCKEY RELAX</v>
          </cell>
          <cell r="D206">
            <v>0</v>
          </cell>
          <cell r="E206">
            <v>19.899999999999999</v>
          </cell>
          <cell r="F206">
            <v>25</v>
          </cell>
          <cell r="G206">
            <v>24.31</v>
          </cell>
          <cell r="H206">
            <v>30</v>
          </cell>
          <cell r="I206">
            <v>24.31</v>
          </cell>
          <cell r="J206">
            <v>18.809999999999999</v>
          </cell>
          <cell r="K206">
            <v>25</v>
          </cell>
          <cell r="L206">
            <v>103.32</v>
          </cell>
          <cell r="M206">
            <v>125</v>
          </cell>
        </row>
        <row r="207">
          <cell r="A207">
            <v>28071010</v>
          </cell>
          <cell r="B207" t="str">
            <v xml:space="preserve">SET INSERTS FOR MOUNTING BRACKET </v>
          </cell>
          <cell r="C207" t="str">
            <v>JOCKEY RELAX</v>
          </cell>
          <cell r="D207">
            <v>0</v>
          </cell>
          <cell r="E207">
            <v>8</v>
          </cell>
          <cell r="F207">
            <v>10</v>
          </cell>
          <cell r="G207">
            <v>8</v>
          </cell>
          <cell r="H207">
            <v>10</v>
          </cell>
          <cell r="I207">
            <v>8</v>
          </cell>
          <cell r="J207">
            <v>7.56</v>
          </cell>
          <cell r="K207">
            <v>10</v>
          </cell>
          <cell r="L207">
            <v>34</v>
          </cell>
          <cell r="M207">
            <v>40</v>
          </cell>
        </row>
        <row r="208">
          <cell r="A208">
            <v>2000003449</v>
          </cell>
          <cell r="B208" t="str">
            <v>FIXING POPPERS</v>
          </cell>
          <cell r="C208" t="str">
            <v>JOCKEY RELAX</v>
          </cell>
          <cell r="D208">
            <v>0</v>
          </cell>
          <cell r="E208">
            <v>8</v>
          </cell>
          <cell r="F208">
            <v>10</v>
          </cell>
          <cell r="G208">
            <v>8.41</v>
          </cell>
          <cell r="H208">
            <v>10</v>
          </cell>
          <cell r="I208">
            <v>8.41</v>
          </cell>
          <cell r="J208">
            <v>7.56</v>
          </cell>
          <cell r="K208">
            <v>10</v>
          </cell>
          <cell r="L208">
            <v>35.74</v>
          </cell>
          <cell r="M208">
            <v>45</v>
          </cell>
        </row>
        <row r="209">
          <cell r="A209">
            <v>2000024426</v>
          </cell>
          <cell r="B209" t="str">
            <v>CLAMPING PLATE SET JOCKEY</v>
          </cell>
          <cell r="C209" t="str">
            <v>JOCKEY RELAX</v>
          </cell>
          <cell r="D209">
            <v>0</v>
          </cell>
          <cell r="E209">
            <v>9.36</v>
          </cell>
          <cell r="F209">
            <v>15</v>
          </cell>
          <cell r="G209">
            <v>11.43</v>
          </cell>
          <cell r="H209">
            <v>15</v>
          </cell>
          <cell r="I209">
            <v>11.43</v>
          </cell>
          <cell r="J209">
            <v>8.85</v>
          </cell>
          <cell r="K209">
            <v>10</v>
          </cell>
          <cell r="L209">
            <v>48.58</v>
          </cell>
          <cell r="M209">
            <v>60</v>
          </cell>
        </row>
        <row r="210">
          <cell r="A210">
            <v>2000025770</v>
          </cell>
          <cell r="B210" t="str">
            <v>SET SCREWS FOR CLAMPINGPLATE</v>
          </cell>
          <cell r="C210" t="str">
            <v>JOCKEY RELAX</v>
          </cell>
          <cell r="D210">
            <v>0</v>
          </cell>
          <cell r="E210">
            <v>8</v>
          </cell>
          <cell r="F210">
            <v>10</v>
          </cell>
          <cell r="G210">
            <v>8.6199999999999992</v>
          </cell>
          <cell r="H210">
            <v>10</v>
          </cell>
          <cell r="I210">
            <v>10.35</v>
          </cell>
          <cell r="J210">
            <v>7.56</v>
          </cell>
          <cell r="K210">
            <v>10</v>
          </cell>
          <cell r="L210">
            <v>36.64</v>
          </cell>
          <cell r="M210">
            <v>45</v>
          </cell>
        </row>
        <row r="211">
          <cell r="A211">
            <v>2000025769</v>
          </cell>
          <cell r="B211" t="str">
            <v>REAR REFLECTOR</v>
          </cell>
          <cell r="C211" t="str">
            <v>JOCKEY RELAX</v>
          </cell>
          <cell r="D211">
            <v>0</v>
          </cell>
          <cell r="E211">
            <v>8</v>
          </cell>
          <cell r="F211">
            <v>10</v>
          </cell>
          <cell r="G211">
            <v>9.86</v>
          </cell>
          <cell r="H211">
            <v>10</v>
          </cell>
          <cell r="I211">
            <v>11.83</v>
          </cell>
          <cell r="J211">
            <v>7.56</v>
          </cell>
          <cell r="K211">
            <v>10</v>
          </cell>
          <cell r="L211">
            <v>41.91</v>
          </cell>
          <cell r="M211">
            <v>50</v>
          </cell>
        </row>
        <row r="212">
          <cell r="A212">
            <v>2000025803</v>
          </cell>
          <cell r="B212" t="str">
            <v>CONTROL LEVER</v>
          </cell>
          <cell r="C212" t="str">
            <v>JOCKEY RELAX</v>
          </cell>
          <cell r="D212" t="str">
            <v>Grey</v>
          </cell>
          <cell r="E212">
            <v>9.9</v>
          </cell>
          <cell r="F212">
            <v>15</v>
          </cell>
          <cell r="G212">
            <v>11.09</v>
          </cell>
          <cell r="H212">
            <v>15</v>
          </cell>
          <cell r="I212">
            <v>13.31</v>
          </cell>
          <cell r="J212">
            <v>9.36</v>
          </cell>
          <cell r="K212">
            <v>10</v>
          </cell>
          <cell r="L212">
            <v>47.13</v>
          </cell>
          <cell r="M212">
            <v>60</v>
          </cell>
        </row>
        <row r="213">
          <cell r="A213">
            <v>2000029337</v>
          </cell>
          <cell r="B213" t="str">
            <v>SET SHOULDER PAD &amp; HARNESS 2-step (2018)</v>
          </cell>
          <cell r="C213" t="str">
            <v>JOCKEY RELAX</v>
          </cell>
          <cell r="D213" t="str">
            <v>Black</v>
          </cell>
          <cell r="E213">
            <v>16.809999999999999</v>
          </cell>
          <cell r="F213">
            <v>20</v>
          </cell>
          <cell r="G213">
            <v>18.829999999999998</v>
          </cell>
          <cell r="H213">
            <v>25</v>
          </cell>
          <cell r="I213">
            <v>18.829999999999998</v>
          </cell>
          <cell r="J213">
            <v>15.89</v>
          </cell>
          <cell r="K213">
            <v>20</v>
          </cell>
          <cell r="L213">
            <v>80.03</v>
          </cell>
          <cell r="M213">
            <v>100</v>
          </cell>
        </row>
        <row r="214">
          <cell r="A214">
            <v>2000025768</v>
          </cell>
          <cell r="B214" t="str">
            <v xml:space="preserve">SET FOOT STRAP </v>
          </cell>
          <cell r="C214" t="str">
            <v>JOCKEY RELAX</v>
          </cell>
          <cell r="D214" t="str">
            <v>Grey</v>
          </cell>
          <cell r="E214">
            <v>8</v>
          </cell>
          <cell r="F214">
            <v>10</v>
          </cell>
          <cell r="G214">
            <v>9.57</v>
          </cell>
          <cell r="H214">
            <v>10</v>
          </cell>
          <cell r="I214">
            <v>11.49</v>
          </cell>
          <cell r="J214">
            <v>7.56</v>
          </cell>
          <cell r="K214">
            <v>10</v>
          </cell>
          <cell r="L214">
            <v>40.67</v>
          </cell>
          <cell r="M214">
            <v>50</v>
          </cell>
        </row>
        <row r="215">
          <cell r="A215">
            <v>2000026836</v>
          </cell>
          <cell r="B215" t="str">
            <v>USER GUIDE COMPARTMENT</v>
          </cell>
          <cell r="C215" t="str">
            <v>JOCKEY RELAX</v>
          </cell>
          <cell r="D215">
            <v>0</v>
          </cell>
          <cell r="E215">
            <v>8</v>
          </cell>
          <cell r="F215">
            <v>10</v>
          </cell>
          <cell r="G215">
            <v>8.9600000000000009</v>
          </cell>
          <cell r="H215">
            <v>10</v>
          </cell>
          <cell r="I215">
            <v>8.9600000000000009</v>
          </cell>
          <cell r="J215">
            <v>7.56</v>
          </cell>
          <cell r="K215">
            <v>10</v>
          </cell>
          <cell r="L215">
            <v>38.08</v>
          </cell>
          <cell r="M215">
            <v>45</v>
          </cell>
        </row>
        <row r="216">
          <cell r="A216">
            <v>2000029338</v>
          </cell>
          <cell r="B216" t="str">
            <v>SET SHOULDER PAD &amp; HARNESS 2-step (2018)</v>
          </cell>
          <cell r="C216" t="str">
            <v>JOCKEY² / JOCKEY COMFORT</v>
          </cell>
          <cell r="D216" t="str">
            <v>Black</v>
          </cell>
          <cell r="E216">
            <v>16.809999999999999</v>
          </cell>
          <cell r="F216">
            <v>20</v>
          </cell>
          <cell r="G216">
            <v>18.829999999999998</v>
          </cell>
          <cell r="H216">
            <v>25</v>
          </cell>
          <cell r="I216">
            <v>18.829999999999998</v>
          </cell>
          <cell r="J216">
            <v>15.41</v>
          </cell>
          <cell r="K216">
            <v>20</v>
          </cell>
          <cell r="L216">
            <v>80.03</v>
          </cell>
          <cell r="M216">
            <v>100</v>
          </cell>
        </row>
        <row r="217">
          <cell r="A217">
            <v>2000027467</v>
          </cell>
          <cell r="B217" t="str">
            <v>FRONT WHEEL SET</v>
          </cell>
          <cell r="C217" t="str">
            <v>BRITAX HOLIDAY</v>
          </cell>
          <cell r="D217">
            <v>0</v>
          </cell>
          <cell r="E217">
            <v>16.809999999999999</v>
          </cell>
          <cell r="F217">
            <v>20</v>
          </cell>
          <cell r="G217">
            <v>18.829999999999998</v>
          </cell>
          <cell r="H217">
            <v>25</v>
          </cell>
          <cell r="I217">
            <v>18.829999999999998</v>
          </cell>
          <cell r="J217">
            <v>15.41</v>
          </cell>
          <cell r="K217">
            <v>20</v>
          </cell>
          <cell r="L217">
            <v>80.03</v>
          </cell>
          <cell r="M217">
            <v>100</v>
          </cell>
        </row>
        <row r="218">
          <cell r="A218">
            <v>2000027468</v>
          </cell>
          <cell r="B218" t="str">
            <v>SEAT FABRIC</v>
          </cell>
          <cell r="C218" t="str">
            <v>BRITAX HOLIDAY</v>
          </cell>
          <cell r="D218">
            <v>0</v>
          </cell>
          <cell r="E218">
            <v>21.01</v>
          </cell>
          <cell r="F218">
            <v>25</v>
          </cell>
          <cell r="G218">
            <v>23.53</v>
          </cell>
          <cell r="H218">
            <v>30</v>
          </cell>
          <cell r="I218">
            <v>23.53</v>
          </cell>
          <cell r="J218">
            <v>19.260000000000002</v>
          </cell>
          <cell r="K218">
            <v>25</v>
          </cell>
          <cell r="L218">
            <v>100</v>
          </cell>
          <cell r="M218">
            <v>125</v>
          </cell>
        </row>
        <row r="219">
          <cell r="A219">
            <v>2000027470</v>
          </cell>
          <cell r="B219" t="str">
            <v xml:space="preserve">TEXTIL BASKET </v>
          </cell>
          <cell r="C219" t="str">
            <v>BRITAX HOLIDAY</v>
          </cell>
          <cell r="D219">
            <v>0</v>
          </cell>
          <cell r="E219">
            <v>16.809999999999999</v>
          </cell>
          <cell r="F219">
            <v>20</v>
          </cell>
          <cell r="G219">
            <v>18.829999999999998</v>
          </cell>
          <cell r="H219">
            <v>25</v>
          </cell>
          <cell r="I219">
            <v>18.829999999999998</v>
          </cell>
          <cell r="J219">
            <v>15.41</v>
          </cell>
          <cell r="K219">
            <v>20</v>
          </cell>
          <cell r="L219">
            <v>80.03</v>
          </cell>
          <cell r="M219">
            <v>100</v>
          </cell>
        </row>
        <row r="220">
          <cell r="A220">
            <v>2000027471</v>
          </cell>
          <cell r="B220" t="str">
            <v>CANOPY WITH SHOULDER PADS</v>
          </cell>
          <cell r="C220" t="str">
            <v>BRITAX HOLIDAY</v>
          </cell>
          <cell r="D220">
            <v>0</v>
          </cell>
          <cell r="E220">
            <v>16.809999999999999</v>
          </cell>
          <cell r="F220">
            <v>20</v>
          </cell>
          <cell r="G220">
            <v>18.829999999999998</v>
          </cell>
          <cell r="H220">
            <v>25</v>
          </cell>
          <cell r="I220">
            <v>18.829999999999998</v>
          </cell>
          <cell r="J220">
            <v>15.41</v>
          </cell>
          <cell r="K220">
            <v>20</v>
          </cell>
          <cell r="L220">
            <v>80.03</v>
          </cell>
          <cell r="M220">
            <v>100</v>
          </cell>
        </row>
        <row r="221">
          <cell r="A221">
            <v>2000027472</v>
          </cell>
          <cell r="B221" t="str">
            <v>FRONT WHEEL SET</v>
          </cell>
          <cell r="C221" t="str">
            <v>B-LITE</v>
          </cell>
          <cell r="D221">
            <v>0</v>
          </cell>
          <cell r="E221">
            <v>25.21</v>
          </cell>
          <cell r="F221">
            <v>30</v>
          </cell>
          <cell r="G221">
            <v>28.24</v>
          </cell>
          <cell r="H221">
            <v>35</v>
          </cell>
          <cell r="I221">
            <v>28.24</v>
          </cell>
          <cell r="J221">
            <v>23.82</v>
          </cell>
          <cell r="K221">
            <v>30</v>
          </cell>
          <cell r="L221">
            <v>120.02</v>
          </cell>
          <cell r="M221">
            <v>150</v>
          </cell>
        </row>
        <row r="222">
          <cell r="A222">
            <v>2000027473</v>
          </cell>
          <cell r="B222" t="str">
            <v>REAR WHEEL SET</v>
          </cell>
          <cell r="C222" t="str">
            <v>B-LITE</v>
          </cell>
          <cell r="D222">
            <v>0</v>
          </cell>
          <cell r="E222">
            <v>25.21</v>
          </cell>
          <cell r="F222">
            <v>30</v>
          </cell>
          <cell r="G222">
            <v>28.24</v>
          </cell>
          <cell r="H222">
            <v>35</v>
          </cell>
          <cell r="I222">
            <v>28.24</v>
          </cell>
          <cell r="J222">
            <v>23.82</v>
          </cell>
          <cell r="K222">
            <v>30</v>
          </cell>
          <cell r="L222">
            <v>120.02</v>
          </cell>
          <cell r="M222">
            <v>150</v>
          </cell>
        </row>
        <row r="223">
          <cell r="A223">
            <v>2000027474</v>
          </cell>
          <cell r="B223" t="str">
            <v xml:space="preserve">TEXTIL BASKET </v>
          </cell>
          <cell r="C223" t="str">
            <v>B-LITE</v>
          </cell>
          <cell r="D223">
            <v>0</v>
          </cell>
          <cell r="E223">
            <v>16.809999999999999</v>
          </cell>
          <cell r="F223">
            <v>20</v>
          </cell>
          <cell r="G223">
            <v>18.829999999999998</v>
          </cell>
          <cell r="H223">
            <v>25</v>
          </cell>
          <cell r="I223">
            <v>18.829999999999998</v>
          </cell>
          <cell r="J223">
            <v>15.89</v>
          </cell>
          <cell r="K223">
            <v>20</v>
          </cell>
          <cell r="L223">
            <v>80.03</v>
          </cell>
          <cell r="M223">
            <v>100</v>
          </cell>
        </row>
        <row r="224">
          <cell r="A224">
            <v>2000027475</v>
          </cell>
          <cell r="B224" t="str">
            <v xml:space="preserve">SEAT FABRIC </v>
          </cell>
          <cell r="C224" t="str">
            <v>B-LITE</v>
          </cell>
          <cell r="D224">
            <v>0</v>
          </cell>
          <cell r="E224">
            <v>33.61</v>
          </cell>
          <cell r="F224">
            <v>40</v>
          </cell>
          <cell r="G224">
            <v>37.64</v>
          </cell>
          <cell r="H224">
            <v>45</v>
          </cell>
          <cell r="I224">
            <v>37.64</v>
          </cell>
          <cell r="J224">
            <v>30</v>
          </cell>
          <cell r="K224">
            <v>35</v>
          </cell>
          <cell r="L224">
            <v>159.97</v>
          </cell>
          <cell r="M224">
            <v>195</v>
          </cell>
        </row>
        <row r="225">
          <cell r="A225">
            <v>2000027477</v>
          </cell>
          <cell r="B225" t="str">
            <v>BUMPER BAR</v>
          </cell>
          <cell r="C225" t="str">
            <v>B-LITE</v>
          </cell>
          <cell r="D225" t="str">
            <v>Cosmos Black</v>
          </cell>
          <cell r="E225">
            <v>16.809999999999999</v>
          </cell>
          <cell r="F225">
            <v>20</v>
          </cell>
          <cell r="G225">
            <v>18.829999999999998</v>
          </cell>
          <cell r="H225">
            <v>25</v>
          </cell>
          <cell r="I225">
            <v>18.829999999999998</v>
          </cell>
          <cell r="J225">
            <v>15.89</v>
          </cell>
          <cell r="K225">
            <v>20</v>
          </cell>
          <cell r="L225">
            <v>80.03</v>
          </cell>
          <cell r="M225">
            <v>100</v>
          </cell>
        </row>
        <row r="226">
          <cell r="A226">
            <v>2000027478</v>
          </cell>
          <cell r="B226" t="str">
            <v xml:space="preserve">FOOT SUPPORT </v>
          </cell>
          <cell r="C226" t="str">
            <v>B-LITE</v>
          </cell>
          <cell r="D226">
            <v>0</v>
          </cell>
          <cell r="E226">
            <v>16.809999999999999</v>
          </cell>
          <cell r="F226">
            <v>20</v>
          </cell>
          <cell r="G226">
            <v>18.829999999999998</v>
          </cell>
          <cell r="H226">
            <v>25</v>
          </cell>
          <cell r="I226">
            <v>18.829999999999998</v>
          </cell>
          <cell r="J226">
            <v>15.89</v>
          </cell>
          <cell r="K226">
            <v>20</v>
          </cell>
          <cell r="L226">
            <v>80.03</v>
          </cell>
          <cell r="M226">
            <v>100</v>
          </cell>
        </row>
        <row r="227">
          <cell r="A227">
            <v>2000029129</v>
          </cell>
          <cell r="B227" t="str">
            <v xml:space="preserve">CANOPY WITH SHOULDER PADS </v>
          </cell>
          <cell r="C227" t="str">
            <v>B-LITE</v>
          </cell>
          <cell r="D227" t="str">
            <v>Cosmos Black</v>
          </cell>
          <cell r="E227">
            <v>25.21</v>
          </cell>
          <cell r="F227">
            <v>30</v>
          </cell>
          <cell r="G227">
            <v>28.24</v>
          </cell>
          <cell r="H227">
            <v>35</v>
          </cell>
          <cell r="I227">
            <v>28.24</v>
          </cell>
          <cell r="J227">
            <v>23.82</v>
          </cell>
          <cell r="K227">
            <v>30</v>
          </cell>
          <cell r="L227">
            <v>120.02</v>
          </cell>
          <cell r="M227">
            <v>150</v>
          </cell>
        </row>
        <row r="228">
          <cell r="A228">
            <v>2000005808</v>
          </cell>
          <cell r="B228" t="str">
            <v xml:space="preserve">HOOD </v>
          </cell>
          <cell r="C228" t="str">
            <v>B-AGILE 3</v>
          </cell>
          <cell r="D228" t="str">
            <v>Chili Pepper</v>
          </cell>
          <cell r="E228">
            <v>44.27</v>
          </cell>
          <cell r="F228">
            <v>55</v>
          </cell>
          <cell r="G228">
            <v>54.1</v>
          </cell>
          <cell r="H228">
            <v>65</v>
          </cell>
          <cell r="I228">
            <v>54.1</v>
          </cell>
          <cell r="J228">
            <v>41.84</v>
          </cell>
          <cell r="K228">
            <v>50</v>
          </cell>
          <cell r="L228">
            <v>229.93</v>
          </cell>
          <cell r="M228">
            <v>285</v>
          </cell>
        </row>
        <row r="229">
          <cell r="A229">
            <v>2000008007</v>
          </cell>
          <cell r="B229" t="str">
            <v xml:space="preserve">HOOD </v>
          </cell>
          <cell r="C229" t="str">
            <v>B-AGILE 3</v>
          </cell>
          <cell r="D229" t="str">
            <v>Blue Sky</v>
          </cell>
          <cell r="E229">
            <v>44.27</v>
          </cell>
          <cell r="F229">
            <v>55</v>
          </cell>
          <cell r="G229">
            <v>54.1</v>
          </cell>
          <cell r="H229">
            <v>65</v>
          </cell>
          <cell r="I229">
            <v>54.1</v>
          </cell>
          <cell r="J229">
            <v>41.84</v>
          </cell>
          <cell r="K229">
            <v>50</v>
          </cell>
          <cell r="L229">
            <v>229.93</v>
          </cell>
          <cell r="M229">
            <v>285</v>
          </cell>
        </row>
        <row r="230">
          <cell r="A230">
            <v>2000008008</v>
          </cell>
          <cell r="B230" t="str">
            <v xml:space="preserve">HOOD </v>
          </cell>
          <cell r="C230" t="str">
            <v>B-AGILE 3</v>
          </cell>
          <cell r="D230" t="str">
            <v>Cool Berry</v>
          </cell>
          <cell r="E230">
            <v>44.27</v>
          </cell>
          <cell r="F230">
            <v>55</v>
          </cell>
          <cell r="G230">
            <v>54.1</v>
          </cell>
          <cell r="H230">
            <v>65</v>
          </cell>
          <cell r="I230">
            <v>54.1</v>
          </cell>
          <cell r="J230">
            <v>41.84</v>
          </cell>
          <cell r="K230">
            <v>50</v>
          </cell>
          <cell r="L230">
            <v>229.93</v>
          </cell>
          <cell r="M230">
            <v>285</v>
          </cell>
        </row>
        <row r="231">
          <cell r="A231">
            <v>2000008009</v>
          </cell>
          <cell r="B231" t="str">
            <v xml:space="preserve">HOOD </v>
          </cell>
          <cell r="C231" t="str">
            <v>B-AGILE 3</v>
          </cell>
          <cell r="D231" t="str">
            <v>Fossil Brown</v>
          </cell>
          <cell r="E231">
            <v>44.27</v>
          </cell>
          <cell r="F231">
            <v>55</v>
          </cell>
          <cell r="G231">
            <v>54.1</v>
          </cell>
          <cell r="H231">
            <v>65</v>
          </cell>
          <cell r="I231">
            <v>54.1</v>
          </cell>
          <cell r="J231">
            <v>46.71</v>
          </cell>
          <cell r="K231">
            <v>55</v>
          </cell>
          <cell r="L231">
            <v>229.93</v>
          </cell>
          <cell r="M231">
            <v>285</v>
          </cell>
        </row>
        <row r="232">
          <cell r="A232">
            <v>2000024743</v>
          </cell>
          <cell r="B232" t="str">
            <v xml:space="preserve">HOOD </v>
          </cell>
          <cell r="C232" t="str">
            <v>B-AGILE 3</v>
          </cell>
          <cell r="D232" t="str">
            <v>Mineral Lilac</v>
          </cell>
          <cell r="E232">
            <v>44.27</v>
          </cell>
          <cell r="F232">
            <v>55</v>
          </cell>
          <cell r="G232">
            <v>54.1</v>
          </cell>
          <cell r="H232">
            <v>65</v>
          </cell>
          <cell r="I232">
            <v>54.1</v>
          </cell>
          <cell r="J232">
            <v>46.71</v>
          </cell>
          <cell r="K232">
            <v>55</v>
          </cell>
          <cell r="L232">
            <v>229.93</v>
          </cell>
          <cell r="M232">
            <v>285</v>
          </cell>
        </row>
        <row r="233">
          <cell r="A233">
            <v>2000024738</v>
          </cell>
          <cell r="B233" t="str">
            <v xml:space="preserve">HOOD </v>
          </cell>
          <cell r="C233" t="str">
            <v>B-AGILE 3</v>
          </cell>
          <cell r="D233" t="str">
            <v>Cosmos Black</v>
          </cell>
          <cell r="E233">
            <v>44.27</v>
          </cell>
          <cell r="F233">
            <v>55</v>
          </cell>
          <cell r="G233">
            <v>54.1</v>
          </cell>
          <cell r="H233">
            <v>65</v>
          </cell>
          <cell r="I233">
            <v>54.1</v>
          </cell>
          <cell r="J233">
            <v>46.71</v>
          </cell>
          <cell r="K233">
            <v>55</v>
          </cell>
          <cell r="L233">
            <v>229.93</v>
          </cell>
          <cell r="M233">
            <v>285</v>
          </cell>
        </row>
        <row r="234">
          <cell r="A234">
            <v>2000024739</v>
          </cell>
          <cell r="B234" t="str">
            <v xml:space="preserve">HOOD </v>
          </cell>
          <cell r="C234" t="str">
            <v>B-AGILE 3</v>
          </cell>
          <cell r="D234" t="str">
            <v>Flame Red</v>
          </cell>
          <cell r="E234">
            <v>44.27</v>
          </cell>
          <cell r="F234">
            <v>55</v>
          </cell>
          <cell r="G234">
            <v>54.1</v>
          </cell>
          <cell r="H234">
            <v>65</v>
          </cell>
          <cell r="I234">
            <v>54.1</v>
          </cell>
          <cell r="J234">
            <v>46.71</v>
          </cell>
          <cell r="K234">
            <v>55</v>
          </cell>
          <cell r="L234">
            <v>229.93</v>
          </cell>
          <cell r="M234">
            <v>285</v>
          </cell>
        </row>
        <row r="235">
          <cell r="A235">
            <v>2000024742</v>
          </cell>
          <cell r="B235" t="str">
            <v xml:space="preserve">HOOD </v>
          </cell>
          <cell r="C235" t="str">
            <v>B-AGILE 3</v>
          </cell>
          <cell r="D235" t="str">
            <v>Wood Brown</v>
          </cell>
          <cell r="E235">
            <v>44.27</v>
          </cell>
          <cell r="F235">
            <v>55</v>
          </cell>
          <cell r="G235">
            <v>54.1</v>
          </cell>
          <cell r="H235">
            <v>65</v>
          </cell>
          <cell r="I235">
            <v>54.1</v>
          </cell>
          <cell r="J235">
            <v>46.71</v>
          </cell>
          <cell r="K235">
            <v>55</v>
          </cell>
          <cell r="L235">
            <v>229.93</v>
          </cell>
          <cell r="M235">
            <v>285</v>
          </cell>
        </row>
        <row r="236">
          <cell r="A236">
            <v>2000026808</v>
          </cell>
          <cell r="B236" t="str">
            <v xml:space="preserve">HOOD </v>
          </cell>
          <cell r="C236" t="str">
            <v>B-AGILE 3</v>
          </cell>
          <cell r="D236" t="str">
            <v>Steel Grey</v>
          </cell>
          <cell r="E236">
            <v>44.27</v>
          </cell>
          <cell r="F236">
            <v>55</v>
          </cell>
          <cell r="G236">
            <v>54.1</v>
          </cell>
          <cell r="H236">
            <v>65</v>
          </cell>
          <cell r="I236">
            <v>54.1</v>
          </cell>
          <cell r="J236">
            <v>46.71</v>
          </cell>
          <cell r="K236">
            <v>55</v>
          </cell>
          <cell r="L236">
            <v>229.93</v>
          </cell>
          <cell r="M236">
            <v>285</v>
          </cell>
        </row>
        <row r="237">
          <cell r="A237" t="str">
            <v>2000026809</v>
          </cell>
          <cell r="B237" t="str">
            <v xml:space="preserve">HOOD </v>
          </cell>
          <cell r="C237" t="str">
            <v>B-AGILE 3</v>
          </cell>
          <cell r="D237" t="str">
            <v>Olive Green</v>
          </cell>
          <cell r="E237">
            <v>44.27</v>
          </cell>
          <cell r="F237">
            <v>55</v>
          </cell>
          <cell r="G237">
            <v>54.1</v>
          </cell>
          <cell r="H237">
            <v>65</v>
          </cell>
          <cell r="I237">
            <v>54.1</v>
          </cell>
          <cell r="J237">
            <v>41.84</v>
          </cell>
          <cell r="K237">
            <v>50</v>
          </cell>
          <cell r="L237">
            <v>229.93</v>
          </cell>
          <cell r="M237">
            <v>285</v>
          </cell>
        </row>
        <row r="238">
          <cell r="A238">
            <v>2000026810</v>
          </cell>
          <cell r="B238" t="str">
            <v xml:space="preserve">HOOD </v>
          </cell>
          <cell r="C238" t="str">
            <v>B-AGILE 3</v>
          </cell>
          <cell r="D238" t="str">
            <v>Wine Red</v>
          </cell>
          <cell r="E238">
            <v>44.27</v>
          </cell>
          <cell r="F238">
            <v>55</v>
          </cell>
          <cell r="G238">
            <v>54.1</v>
          </cell>
          <cell r="H238">
            <v>65</v>
          </cell>
          <cell r="I238">
            <v>54.1</v>
          </cell>
          <cell r="J238">
            <v>41.84</v>
          </cell>
          <cell r="K238">
            <v>50</v>
          </cell>
          <cell r="L238">
            <v>229.93</v>
          </cell>
          <cell r="M238">
            <v>285</v>
          </cell>
        </row>
        <row r="239">
          <cell r="A239">
            <v>2000005806</v>
          </cell>
          <cell r="B239" t="str">
            <v>BASKET</v>
          </cell>
          <cell r="C239" t="str">
            <v>B-AGILE 3</v>
          </cell>
          <cell r="D239">
            <v>0</v>
          </cell>
          <cell r="E239">
            <v>14.17</v>
          </cell>
          <cell r="F239">
            <v>20</v>
          </cell>
          <cell r="G239">
            <v>17.309999999999999</v>
          </cell>
          <cell r="H239">
            <v>20</v>
          </cell>
          <cell r="I239">
            <v>17.309999999999999</v>
          </cell>
          <cell r="J239">
            <v>13.39</v>
          </cell>
          <cell r="K239">
            <v>15</v>
          </cell>
          <cell r="L239">
            <v>73.569999999999993</v>
          </cell>
          <cell r="M239">
            <v>90</v>
          </cell>
        </row>
        <row r="240">
          <cell r="A240">
            <v>2000008005</v>
          </cell>
          <cell r="B240" t="str">
            <v>WHEEL SET</v>
          </cell>
          <cell r="C240" t="str">
            <v>B-AGILE 3</v>
          </cell>
          <cell r="D240" t="str">
            <v>Black</v>
          </cell>
          <cell r="E240">
            <v>35.83</v>
          </cell>
          <cell r="F240">
            <v>45</v>
          </cell>
          <cell r="G240">
            <v>43.78</v>
          </cell>
          <cell r="H240">
            <v>55</v>
          </cell>
          <cell r="I240">
            <v>43.78</v>
          </cell>
          <cell r="J240">
            <v>33.86</v>
          </cell>
          <cell r="K240">
            <v>40</v>
          </cell>
          <cell r="L240">
            <v>186.07</v>
          </cell>
          <cell r="M240">
            <v>230</v>
          </cell>
        </row>
        <row r="241">
          <cell r="A241">
            <v>2000008006</v>
          </cell>
          <cell r="B241" t="str">
            <v>WHEEL SET</v>
          </cell>
          <cell r="C241" t="str">
            <v>B-AGILE 3</v>
          </cell>
          <cell r="D241" t="str">
            <v>Silver</v>
          </cell>
          <cell r="E241">
            <v>35.83</v>
          </cell>
          <cell r="F241">
            <v>45</v>
          </cell>
          <cell r="G241">
            <v>43.78</v>
          </cell>
          <cell r="H241">
            <v>55</v>
          </cell>
          <cell r="I241">
            <v>43.78</v>
          </cell>
          <cell r="J241">
            <v>33.86</v>
          </cell>
          <cell r="K241">
            <v>40</v>
          </cell>
          <cell r="L241">
            <v>186.07</v>
          </cell>
          <cell r="M241">
            <v>230</v>
          </cell>
        </row>
        <row r="242">
          <cell r="A242">
            <v>2000005809</v>
          </cell>
          <cell r="B242" t="str">
            <v xml:space="preserve">LOCK CATCH </v>
          </cell>
          <cell r="C242" t="str">
            <v>B-AGILE 3</v>
          </cell>
          <cell r="D242">
            <v>0</v>
          </cell>
          <cell r="E242">
            <v>5.83</v>
          </cell>
          <cell r="F242">
            <v>10</v>
          </cell>
          <cell r="G242">
            <v>7.12</v>
          </cell>
          <cell r="H242">
            <v>10</v>
          </cell>
          <cell r="I242">
            <v>15</v>
          </cell>
          <cell r="J242">
            <v>5.51</v>
          </cell>
          <cell r="K242">
            <v>5</v>
          </cell>
          <cell r="L242">
            <v>30.26</v>
          </cell>
          <cell r="M242">
            <v>35</v>
          </cell>
        </row>
        <row r="243">
          <cell r="A243">
            <v>2000025114</v>
          </cell>
          <cell r="B243" t="str">
            <v>SEAT UNIT INCL. HARNESS</v>
          </cell>
          <cell r="C243" t="str">
            <v>B-AGILE 3</v>
          </cell>
          <cell r="D243" t="str">
            <v>Cosmos Black</v>
          </cell>
          <cell r="E243">
            <v>54.48</v>
          </cell>
          <cell r="F243">
            <v>65</v>
          </cell>
          <cell r="G243">
            <v>61.02</v>
          </cell>
          <cell r="H243">
            <v>75</v>
          </cell>
          <cell r="I243">
            <v>73.23</v>
          </cell>
          <cell r="J243">
            <v>51.48</v>
          </cell>
          <cell r="K243">
            <v>60</v>
          </cell>
          <cell r="L243">
            <v>259.33999999999997</v>
          </cell>
          <cell r="M243">
            <v>320</v>
          </cell>
        </row>
        <row r="244">
          <cell r="A244">
            <v>2000024741</v>
          </cell>
          <cell r="B244" t="str">
            <v xml:space="preserve">HOOD </v>
          </cell>
          <cell r="C244" t="str">
            <v>B-AGILE 4</v>
          </cell>
          <cell r="D244" t="str">
            <v>Lagoon Green</v>
          </cell>
          <cell r="E244">
            <v>44.27</v>
          </cell>
          <cell r="F244">
            <v>55</v>
          </cell>
          <cell r="G244">
            <v>54.1</v>
          </cell>
          <cell r="H244">
            <v>65</v>
          </cell>
          <cell r="I244">
            <v>54.1</v>
          </cell>
          <cell r="J244">
            <v>41.84</v>
          </cell>
          <cell r="K244">
            <v>50</v>
          </cell>
          <cell r="L244">
            <v>229.93</v>
          </cell>
          <cell r="M244">
            <v>285</v>
          </cell>
        </row>
        <row r="245">
          <cell r="A245">
            <v>2000005805</v>
          </cell>
          <cell r="B245" t="str">
            <v>WHEEL SET</v>
          </cell>
          <cell r="C245" t="str">
            <v>B-AGILE 4</v>
          </cell>
          <cell r="D245" t="str">
            <v>Black</v>
          </cell>
          <cell r="E245">
            <v>35.83</v>
          </cell>
          <cell r="F245">
            <v>45</v>
          </cell>
          <cell r="G245">
            <v>43.78</v>
          </cell>
          <cell r="H245">
            <v>55</v>
          </cell>
          <cell r="I245">
            <v>43.78</v>
          </cell>
          <cell r="J245">
            <v>33.86</v>
          </cell>
          <cell r="K245">
            <v>40</v>
          </cell>
          <cell r="L245">
            <v>186.07</v>
          </cell>
          <cell r="M245">
            <v>230</v>
          </cell>
        </row>
        <row r="246">
          <cell r="A246">
            <v>2000024859</v>
          </cell>
          <cell r="B246" t="str">
            <v>APRON</v>
          </cell>
          <cell r="C246" t="str">
            <v>B-AGILE 4</v>
          </cell>
          <cell r="D246" t="str">
            <v>Black</v>
          </cell>
          <cell r="E246">
            <v>20.78</v>
          </cell>
          <cell r="F246">
            <v>25</v>
          </cell>
          <cell r="G246">
            <v>25.39</v>
          </cell>
          <cell r="H246">
            <v>30</v>
          </cell>
          <cell r="I246">
            <v>25.39</v>
          </cell>
          <cell r="J246">
            <v>19.64</v>
          </cell>
          <cell r="K246">
            <v>25</v>
          </cell>
          <cell r="L246">
            <v>107.91</v>
          </cell>
          <cell r="M246">
            <v>135</v>
          </cell>
        </row>
        <row r="247">
          <cell r="A247">
            <v>2000025577</v>
          </cell>
          <cell r="B247" t="str">
            <v xml:space="preserve">FOOTREST FABRIC </v>
          </cell>
          <cell r="C247" t="str">
            <v>B-AGILE 4</v>
          </cell>
          <cell r="D247">
            <v>0</v>
          </cell>
          <cell r="E247">
            <v>8</v>
          </cell>
          <cell r="F247">
            <v>10</v>
          </cell>
          <cell r="G247">
            <v>8</v>
          </cell>
          <cell r="H247">
            <v>10</v>
          </cell>
          <cell r="I247">
            <v>8.8699999999999992</v>
          </cell>
          <cell r="J247">
            <v>7.56</v>
          </cell>
          <cell r="K247">
            <v>10</v>
          </cell>
          <cell r="L247">
            <v>34</v>
          </cell>
          <cell r="M247">
            <v>40</v>
          </cell>
        </row>
        <row r="248">
          <cell r="A248">
            <v>2000026852</v>
          </cell>
          <cell r="B248" t="str">
            <v xml:space="preserve">FRONT WHEEL ATTACHMENT </v>
          </cell>
          <cell r="C248" t="str">
            <v>B-AGILE 4</v>
          </cell>
          <cell r="D248">
            <v>0</v>
          </cell>
          <cell r="E248">
            <v>16.809999999999999</v>
          </cell>
          <cell r="F248">
            <v>20</v>
          </cell>
          <cell r="G248">
            <v>18.829999999999998</v>
          </cell>
          <cell r="H248">
            <v>25</v>
          </cell>
          <cell r="I248">
            <v>18.829999999999998</v>
          </cell>
          <cell r="J248">
            <v>15.89</v>
          </cell>
          <cell r="K248">
            <v>20</v>
          </cell>
          <cell r="L248">
            <v>80.03</v>
          </cell>
          <cell r="M248">
            <v>100</v>
          </cell>
        </row>
        <row r="249">
          <cell r="A249">
            <v>2000008817</v>
          </cell>
          <cell r="B249" t="str">
            <v xml:space="preserve">WHEELS SET </v>
          </cell>
          <cell r="C249" t="str">
            <v>B-AGILE DOUBLE</v>
          </cell>
          <cell r="D249" t="str">
            <v>Silver</v>
          </cell>
          <cell r="E249">
            <v>49.49</v>
          </cell>
          <cell r="F249">
            <v>60</v>
          </cell>
          <cell r="G249">
            <v>60.47</v>
          </cell>
          <cell r="H249">
            <v>75</v>
          </cell>
          <cell r="I249">
            <v>60.47</v>
          </cell>
          <cell r="J249">
            <v>46.77</v>
          </cell>
          <cell r="K249">
            <v>55</v>
          </cell>
          <cell r="L249">
            <v>257</v>
          </cell>
          <cell r="M249">
            <v>315</v>
          </cell>
        </row>
        <row r="250">
          <cell r="A250">
            <v>2000014617</v>
          </cell>
          <cell r="B250" t="str">
            <v xml:space="preserve">WHEELS SET </v>
          </cell>
          <cell r="C250" t="str">
            <v>B-AGILE DOUBLE</v>
          </cell>
          <cell r="D250" t="str">
            <v>Black</v>
          </cell>
          <cell r="E250">
            <v>49.49</v>
          </cell>
          <cell r="F250">
            <v>60</v>
          </cell>
          <cell r="G250">
            <v>55.43</v>
          </cell>
          <cell r="H250">
            <v>65</v>
          </cell>
          <cell r="I250">
            <v>60.47</v>
          </cell>
          <cell r="J250">
            <v>46.77</v>
          </cell>
          <cell r="K250">
            <v>55</v>
          </cell>
          <cell r="L250">
            <v>235.58</v>
          </cell>
          <cell r="M250">
            <v>290</v>
          </cell>
        </row>
        <row r="251">
          <cell r="A251">
            <v>2000008820</v>
          </cell>
          <cell r="B251" t="str">
            <v xml:space="preserve">BASKET </v>
          </cell>
          <cell r="C251" t="str">
            <v>B-AGILE DOUBLE</v>
          </cell>
          <cell r="D251">
            <v>0</v>
          </cell>
          <cell r="E251">
            <v>18.68</v>
          </cell>
          <cell r="F251">
            <v>25</v>
          </cell>
          <cell r="G251">
            <v>22.82</v>
          </cell>
          <cell r="H251">
            <v>25</v>
          </cell>
          <cell r="I251">
            <v>22.82</v>
          </cell>
          <cell r="J251">
            <v>17.649999999999999</v>
          </cell>
          <cell r="K251">
            <v>20</v>
          </cell>
          <cell r="L251">
            <v>96.99</v>
          </cell>
          <cell r="M251">
            <v>120</v>
          </cell>
        </row>
        <row r="252">
          <cell r="A252">
            <v>2000009649</v>
          </cell>
          <cell r="B252" t="str">
            <v xml:space="preserve">RAINCOVER </v>
          </cell>
          <cell r="C252" t="str">
            <v>B-AGILE DOUBLE</v>
          </cell>
          <cell r="D252">
            <v>0</v>
          </cell>
          <cell r="E252">
            <v>21.15</v>
          </cell>
          <cell r="F252">
            <v>30</v>
          </cell>
          <cell r="G252">
            <v>25.85</v>
          </cell>
          <cell r="H252">
            <v>30</v>
          </cell>
          <cell r="I252">
            <v>25.85</v>
          </cell>
          <cell r="J252">
            <v>19.989999999999998</v>
          </cell>
          <cell r="K252">
            <v>25</v>
          </cell>
          <cell r="L252">
            <v>109.86</v>
          </cell>
          <cell r="M252">
            <v>135</v>
          </cell>
        </row>
        <row r="253">
          <cell r="A253">
            <v>2000024744</v>
          </cell>
          <cell r="B253" t="str">
            <v xml:space="preserve">HOOD </v>
          </cell>
          <cell r="C253" t="str">
            <v>B-AGILE DOUBLE</v>
          </cell>
          <cell r="D253" t="str">
            <v>Cosmos Black</v>
          </cell>
          <cell r="E253">
            <v>85.9</v>
          </cell>
          <cell r="F253">
            <v>100</v>
          </cell>
          <cell r="G253">
            <v>104.96</v>
          </cell>
          <cell r="H253">
            <v>125</v>
          </cell>
          <cell r="I253">
            <v>104.96</v>
          </cell>
          <cell r="J253">
            <v>81.180000000000007</v>
          </cell>
          <cell r="K253">
            <v>95</v>
          </cell>
          <cell r="L253">
            <v>446.08</v>
          </cell>
          <cell r="M253">
            <v>550</v>
          </cell>
        </row>
        <row r="254">
          <cell r="A254">
            <v>2000024745</v>
          </cell>
          <cell r="B254" t="str">
            <v xml:space="preserve">HOOD </v>
          </cell>
          <cell r="C254" t="str">
            <v>B-AGILE DOUBLE</v>
          </cell>
          <cell r="D254" t="str">
            <v>Flame Red</v>
          </cell>
          <cell r="E254">
            <v>85.9</v>
          </cell>
          <cell r="F254">
            <v>100</v>
          </cell>
          <cell r="G254">
            <v>104.96</v>
          </cell>
          <cell r="H254">
            <v>125</v>
          </cell>
          <cell r="I254">
            <v>104.96</v>
          </cell>
          <cell r="J254">
            <v>81.180000000000007</v>
          </cell>
          <cell r="K254">
            <v>95</v>
          </cell>
          <cell r="L254">
            <v>446.08</v>
          </cell>
          <cell r="M254">
            <v>550</v>
          </cell>
        </row>
        <row r="255">
          <cell r="A255">
            <v>2000008819</v>
          </cell>
          <cell r="B255" t="str">
            <v xml:space="preserve">HOOD </v>
          </cell>
          <cell r="C255" t="str">
            <v>B-AGILE DOUBLE</v>
          </cell>
          <cell r="D255" t="str">
            <v>Black</v>
          </cell>
          <cell r="E255">
            <v>85.9</v>
          </cell>
          <cell r="F255">
            <v>100</v>
          </cell>
          <cell r="G255">
            <v>104.96</v>
          </cell>
          <cell r="H255">
            <v>125</v>
          </cell>
          <cell r="I255">
            <v>104.96</v>
          </cell>
          <cell r="J255">
            <v>81.180000000000007</v>
          </cell>
          <cell r="K255">
            <v>95</v>
          </cell>
          <cell r="L255">
            <v>446.08</v>
          </cell>
          <cell r="M255">
            <v>550</v>
          </cell>
        </row>
        <row r="256">
          <cell r="A256">
            <v>2000026811</v>
          </cell>
          <cell r="B256" t="str">
            <v xml:space="preserve">HOOD </v>
          </cell>
          <cell r="C256" t="str">
            <v>B-AGILE DOUBLE</v>
          </cell>
          <cell r="D256" t="str">
            <v>Steel Grey</v>
          </cell>
          <cell r="E256">
            <v>85.9</v>
          </cell>
          <cell r="F256">
            <v>100</v>
          </cell>
          <cell r="G256">
            <v>104.96</v>
          </cell>
          <cell r="H256">
            <v>125</v>
          </cell>
          <cell r="I256">
            <v>104.96</v>
          </cell>
          <cell r="J256">
            <v>81.180000000000007</v>
          </cell>
          <cell r="K256">
            <v>95</v>
          </cell>
          <cell r="L256">
            <v>446.08</v>
          </cell>
          <cell r="M256">
            <v>550</v>
          </cell>
        </row>
        <row r="257">
          <cell r="A257">
            <v>2000025116</v>
          </cell>
          <cell r="B257" t="str">
            <v>SEAT UNIT INCL. HARNESS</v>
          </cell>
          <cell r="C257" t="str">
            <v>B-AGILE DOUBLE</v>
          </cell>
          <cell r="D257" t="str">
            <v>Cosmos Black</v>
          </cell>
          <cell r="E257">
            <v>90.78</v>
          </cell>
          <cell r="F257">
            <v>110</v>
          </cell>
          <cell r="G257">
            <v>101.68</v>
          </cell>
          <cell r="H257">
            <v>120</v>
          </cell>
          <cell r="I257">
            <v>122.01</v>
          </cell>
          <cell r="J257">
            <v>85.79</v>
          </cell>
          <cell r="K257">
            <v>105</v>
          </cell>
          <cell r="L257">
            <v>432.14</v>
          </cell>
          <cell r="M257">
            <v>530</v>
          </cell>
        </row>
        <row r="258">
          <cell r="A258">
            <v>2000021788</v>
          </cell>
          <cell r="B258" t="str">
            <v xml:space="preserve">HOOD </v>
          </cell>
          <cell r="C258" t="str">
            <v>B-AGILE 4S</v>
          </cell>
          <cell r="D258" t="str">
            <v>Black Thunder</v>
          </cell>
          <cell r="E258">
            <v>44.27</v>
          </cell>
          <cell r="F258">
            <v>55</v>
          </cell>
          <cell r="G258">
            <v>54.1</v>
          </cell>
          <cell r="H258">
            <v>65</v>
          </cell>
          <cell r="I258">
            <v>54.1</v>
          </cell>
          <cell r="J258">
            <v>41.84</v>
          </cell>
          <cell r="K258">
            <v>50</v>
          </cell>
          <cell r="L258">
            <v>229.93</v>
          </cell>
          <cell r="M258">
            <v>285</v>
          </cell>
        </row>
        <row r="259">
          <cell r="A259">
            <v>2000021809</v>
          </cell>
          <cell r="B259" t="str">
            <v xml:space="preserve">HOOD </v>
          </cell>
          <cell r="C259" t="str">
            <v>B-AGILE 4S</v>
          </cell>
          <cell r="D259" t="str">
            <v>Cool Berry</v>
          </cell>
          <cell r="E259">
            <v>44.27</v>
          </cell>
          <cell r="F259">
            <v>55</v>
          </cell>
          <cell r="G259">
            <v>54.1</v>
          </cell>
          <cell r="H259">
            <v>65</v>
          </cell>
          <cell r="I259">
            <v>54.1</v>
          </cell>
          <cell r="J259">
            <v>41.84</v>
          </cell>
          <cell r="K259">
            <v>50</v>
          </cell>
          <cell r="L259">
            <v>229.93</v>
          </cell>
          <cell r="M259">
            <v>285</v>
          </cell>
        </row>
        <row r="260">
          <cell r="A260">
            <v>2000021810</v>
          </cell>
          <cell r="B260" t="str">
            <v xml:space="preserve">HOOD </v>
          </cell>
          <cell r="C260" t="str">
            <v>B-AGILE 4S</v>
          </cell>
          <cell r="D260" t="str">
            <v>Chili Pepper</v>
          </cell>
          <cell r="E260">
            <v>44.27</v>
          </cell>
          <cell r="F260">
            <v>55</v>
          </cell>
          <cell r="G260">
            <v>54.1</v>
          </cell>
          <cell r="H260">
            <v>65</v>
          </cell>
          <cell r="I260">
            <v>54.1</v>
          </cell>
          <cell r="J260">
            <v>41.84</v>
          </cell>
          <cell r="K260">
            <v>50</v>
          </cell>
          <cell r="L260">
            <v>229.93</v>
          </cell>
          <cell r="M260">
            <v>285</v>
          </cell>
        </row>
        <row r="261">
          <cell r="A261">
            <v>2000021811</v>
          </cell>
          <cell r="B261" t="str">
            <v xml:space="preserve">HOOD </v>
          </cell>
          <cell r="C261" t="str">
            <v>B-AGILE 4S</v>
          </cell>
          <cell r="D261" t="str">
            <v>Blue Sky</v>
          </cell>
          <cell r="E261">
            <v>44.27</v>
          </cell>
          <cell r="F261">
            <v>55</v>
          </cell>
          <cell r="G261">
            <v>54.1</v>
          </cell>
          <cell r="H261">
            <v>65</v>
          </cell>
          <cell r="I261">
            <v>54.1</v>
          </cell>
          <cell r="J261">
            <v>41.84</v>
          </cell>
          <cell r="K261">
            <v>50</v>
          </cell>
          <cell r="L261">
            <v>229.93</v>
          </cell>
          <cell r="M261">
            <v>285</v>
          </cell>
        </row>
        <row r="262">
          <cell r="A262">
            <v>2000025115</v>
          </cell>
          <cell r="B262" t="str">
            <v>SEAT UNIT INCL. HARNESS</v>
          </cell>
          <cell r="C262" t="str">
            <v>B-AGILE 4 PLUS</v>
          </cell>
          <cell r="D262" t="str">
            <v>Cosmos Black</v>
          </cell>
          <cell r="E262">
            <v>63.25</v>
          </cell>
          <cell r="F262">
            <v>80</v>
          </cell>
          <cell r="G262">
            <v>70.84</v>
          </cell>
          <cell r="H262">
            <v>85</v>
          </cell>
          <cell r="I262">
            <v>85.01</v>
          </cell>
          <cell r="J262">
            <v>59.77</v>
          </cell>
          <cell r="K262">
            <v>70</v>
          </cell>
          <cell r="L262">
            <v>301.07</v>
          </cell>
          <cell r="M262">
            <v>370</v>
          </cell>
        </row>
        <row r="263">
          <cell r="A263">
            <v>2000029340</v>
          </cell>
          <cell r="B263" t="str">
            <v xml:space="preserve">ADJUSTABLE FOOTREST HINGE REPAIR SET 2018  </v>
          </cell>
          <cell r="C263" t="str">
            <v>B-AGILE 4 PLUS</v>
          </cell>
          <cell r="D263">
            <v>0</v>
          </cell>
          <cell r="E263">
            <v>12.61</v>
          </cell>
          <cell r="F263">
            <v>15</v>
          </cell>
          <cell r="G263">
            <v>14.12</v>
          </cell>
          <cell r="H263">
            <v>15</v>
          </cell>
          <cell r="I263">
            <v>14.12</v>
          </cell>
          <cell r="J263">
            <v>11.92</v>
          </cell>
          <cell r="K263">
            <v>15</v>
          </cell>
          <cell r="L263">
            <v>60.01</v>
          </cell>
          <cell r="M263">
            <v>75</v>
          </cell>
        </row>
        <row r="264">
          <cell r="A264">
            <v>2000010989</v>
          </cell>
          <cell r="B264" t="str">
            <v xml:space="preserve">FRONT WHEEL </v>
          </cell>
          <cell r="C264" t="str">
            <v>B-MOTION 3</v>
          </cell>
          <cell r="D264" t="str">
            <v>Black</v>
          </cell>
          <cell r="E264">
            <v>44.85</v>
          </cell>
          <cell r="F264">
            <v>55</v>
          </cell>
          <cell r="G264">
            <v>54.8</v>
          </cell>
          <cell r="H264">
            <v>65</v>
          </cell>
          <cell r="I264">
            <v>54.8</v>
          </cell>
          <cell r="J264">
            <v>42.38</v>
          </cell>
          <cell r="K264">
            <v>50</v>
          </cell>
          <cell r="L264">
            <v>232.9</v>
          </cell>
          <cell r="M264">
            <v>285</v>
          </cell>
        </row>
        <row r="265">
          <cell r="A265">
            <v>2000010988</v>
          </cell>
          <cell r="B265" t="str">
            <v xml:space="preserve">REAR WHEEL SET </v>
          </cell>
          <cell r="C265" t="str">
            <v>B-MOTION 3</v>
          </cell>
          <cell r="D265" t="str">
            <v>Black</v>
          </cell>
          <cell r="E265">
            <v>44.75</v>
          </cell>
          <cell r="F265">
            <v>55</v>
          </cell>
          <cell r="G265">
            <v>54.68</v>
          </cell>
          <cell r="H265">
            <v>65</v>
          </cell>
          <cell r="I265">
            <v>54.68</v>
          </cell>
          <cell r="J265">
            <v>42.29</v>
          </cell>
          <cell r="K265">
            <v>50</v>
          </cell>
          <cell r="L265">
            <v>232.39</v>
          </cell>
          <cell r="M265">
            <v>285</v>
          </cell>
        </row>
        <row r="266">
          <cell r="A266">
            <v>2000010990</v>
          </cell>
          <cell r="B266" t="str">
            <v>REAR WHEEL TUBE</v>
          </cell>
          <cell r="C266" t="str">
            <v>B-MOTION 3</v>
          </cell>
          <cell r="D266">
            <v>0</v>
          </cell>
          <cell r="E266">
            <v>8.44</v>
          </cell>
          <cell r="F266">
            <v>15</v>
          </cell>
          <cell r="G266">
            <v>10.31</v>
          </cell>
          <cell r="H266">
            <v>10</v>
          </cell>
          <cell r="I266">
            <v>10.31</v>
          </cell>
          <cell r="J266">
            <v>7.98</v>
          </cell>
          <cell r="K266">
            <v>10</v>
          </cell>
          <cell r="L266">
            <v>43.82</v>
          </cell>
          <cell r="M266">
            <v>55</v>
          </cell>
        </row>
        <row r="267">
          <cell r="A267">
            <v>2000026722</v>
          </cell>
          <cell r="B267" t="str">
            <v>FRONT WHEEL TUBE</v>
          </cell>
          <cell r="C267" t="str">
            <v>B-MOTION 3</v>
          </cell>
          <cell r="D267">
            <v>0</v>
          </cell>
          <cell r="E267">
            <v>4.2</v>
          </cell>
          <cell r="F267">
            <v>5</v>
          </cell>
          <cell r="G267">
            <v>4.7</v>
          </cell>
          <cell r="H267">
            <v>5</v>
          </cell>
          <cell r="I267">
            <v>6</v>
          </cell>
          <cell r="J267">
            <v>3.97</v>
          </cell>
          <cell r="K267">
            <v>5</v>
          </cell>
          <cell r="L267">
            <v>19.98</v>
          </cell>
          <cell r="M267">
            <v>25</v>
          </cell>
        </row>
        <row r="268">
          <cell r="A268">
            <v>2000026850</v>
          </cell>
          <cell r="B268" t="str">
            <v xml:space="preserve">FRONT WHEEL ADJUSTMENT LEVER </v>
          </cell>
          <cell r="C268" t="str">
            <v>B-MOTION 3</v>
          </cell>
          <cell r="D268">
            <v>0</v>
          </cell>
          <cell r="E268">
            <v>8.4</v>
          </cell>
          <cell r="F268">
            <v>10</v>
          </cell>
          <cell r="G268">
            <v>9.41</v>
          </cell>
          <cell r="H268">
            <v>10</v>
          </cell>
          <cell r="I268">
            <v>9.41</v>
          </cell>
          <cell r="J268">
            <v>7.94</v>
          </cell>
          <cell r="K268">
            <v>10</v>
          </cell>
          <cell r="L268">
            <v>39.99</v>
          </cell>
          <cell r="M268">
            <v>50</v>
          </cell>
        </row>
        <row r="269">
          <cell r="A269">
            <v>2000024740</v>
          </cell>
          <cell r="B269" t="str">
            <v xml:space="preserve">HOOD </v>
          </cell>
          <cell r="C269" t="str">
            <v>B-MOTION 3</v>
          </cell>
          <cell r="D269" t="str">
            <v>Ocean Blue</v>
          </cell>
          <cell r="E269">
            <v>44.27</v>
          </cell>
          <cell r="F269">
            <v>55</v>
          </cell>
          <cell r="G269">
            <v>54.1</v>
          </cell>
          <cell r="H269">
            <v>65</v>
          </cell>
          <cell r="I269">
            <v>54.1</v>
          </cell>
          <cell r="J269">
            <v>41.84</v>
          </cell>
          <cell r="K269">
            <v>50</v>
          </cell>
          <cell r="L269">
            <v>229.93</v>
          </cell>
          <cell r="M269">
            <v>285</v>
          </cell>
        </row>
        <row r="270">
          <cell r="A270" t="str">
            <v>2000014668 </v>
          </cell>
          <cell r="B270" t="str">
            <v xml:space="preserve">HOOD </v>
          </cell>
          <cell r="C270" t="str">
            <v>B-MOTION 3</v>
          </cell>
          <cell r="D270" t="str">
            <v>Chili Pepper</v>
          </cell>
          <cell r="E270">
            <v>44.27</v>
          </cell>
          <cell r="F270">
            <v>55</v>
          </cell>
          <cell r="G270">
            <v>54.1</v>
          </cell>
          <cell r="H270">
            <v>65</v>
          </cell>
          <cell r="I270">
            <v>54.1</v>
          </cell>
          <cell r="J270">
            <v>41.84</v>
          </cell>
          <cell r="K270">
            <v>50</v>
          </cell>
          <cell r="L270">
            <v>229.93</v>
          </cell>
          <cell r="M270">
            <v>285</v>
          </cell>
        </row>
        <row r="271">
          <cell r="A271">
            <v>2000009631</v>
          </cell>
          <cell r="B271" t="str">
            <v xml:space="preserve">HANDLE </v>
          </cell>
          <cell r="C271" t="str">
            <v>B-MOTION 3</v>
          </cell>
          <cell r="D271">
            <v>0</v>
          </cell>
          <cell r="E271">
            <v>10.85</v>
          </cell>
          <cell r="F271">
            <v>13</v>
          </cell>
          <cell r="G271">
            <v>13.25</v>
          </cell>
          <cell r="H271">
            <v>15</v>
          </cell>
          <cell r="I271">
            <v>13.25</v>
          </cell>
          <cell r="J271">
            <v>10.25</v>
          </cell>
          <cell r="K271">
            <v>10</v>
          </cell>
          <cell r="L271">
            <v>56.31</v>
          </cell>
          <cell r="M271">
            <v>70</v>
          </cell>
        </row>
        <row r="272">
          <cell r="A272">
            <v>2000025117</v>
          </cell>
          <cell r="B272" t="str">
            <v>SEAT UNIT INCL. HARNESS</v>
          </cell>
          <cell r="C272" t="str">
            <v>B-MOTION 3</v>
          </cell>
          <cell r="D272" t="str">
            <v>Cosmos Black</v>
          </cell>
          <cell r="E272">
            <v>63.25</v>
          </cell>
          <cell r="F272">
            <v>80</v>
          </cell>
          <cell r="G272">
            <v>70.84</v>
          </cell>
          <cell r="H272">
            <v>85</v>
          </cell>
          <cell r="I272">
            <v>85.01</v>
          </cell>
          <cell r="J272">
            <v>59.77</v>
          </cell>
          <cell r="K272">
            <v>70</v>
          </cell>
          <cell r="L272">
            <v>301.07</v>
          </cell>
          <cell r="M272">
            <v>370</v>
          </cell>
        </row>
        <row r="273">
          <cell r="A273">
            <v>2000025576</v>
          </cell>
          <cell r="B273" t="str">
            <v xml:space="preserve">FOOTREST FABRIC </v>
          </cell>
          <cell r="C273" t="str">
            <v>B-MOTION 3</v>
          </cell>
          <cell r="D273">
            <v>0</v>
          </cell>
          <cell r="E273">
            <v>8.25</v>
          </cell>
          <cell r="F273">
            <v>15</v>
          </cell>
          <cell r="G273">
            <v>9.24</v>
          </cell>
          <cell r="H273">
            <v>10</v>
          </cell>
          <cell r="I273">
            <v>11.09</v>
          </cell>
          <cell r="J273">
            <v>7.8</v>
          </cell>
          <cell r="K273">
            <v>10</v>
          </cell>
          <cell r="L273">
            <v>39.270000000000003</v>
          </cell>
          <cell r="M273">
            <v>50</v>
          </cell>
        </row>
        <row r="274">
          <cell r="A274">
            <v>2000009628</v>
          </cell>
          <cell r="B274" t="str">
            <v xml:space="preserve">FRONT WHEEL SET </v>
          </cell>
          <cell r="C274" t="str">
            <v>B-MOTION 4</v>
          </cell>
          <cell r="D274" t="str">
            <v>Black</v>
          </cell>
          <cell r="E274">
            <v>44.85</v>
          </cell>
          <cell r="F274">
            <v>55</v>
          </cell>
          <cell r="G274">
            <v>54.8</v>
          </cell>
          <cell r="H274">
            <v>65</v>
          </cell>
          <cell r="I274">
            <v>54.8</v>
          </cell>
          <cell r="J274">
            <v>42.38</v>
          </cell>
          <cell r="K274">
            <v>50</v>
          </cell>
          <cell r="L274">
            <v>232.9</v>
          </cell>
          <cell r="M274">
            <v>285</v>
          </cell>
        </row>
        <row r="275">
          <cell r="A275">
            <v>2000009629</v>
          </cell>
          <cell r="B275" t="str">
            <v xml:space="preserve">REAR WHEEL SET </v>
          </cell>
          <cell r="C275" t="str">
            <v>B-MOTION 4</v>
          </cell>
          <cell r="D275" t="str">
            <v>Black</v>
          </cell>
          <cell r="E275">
            <v>44.75</v>
          </cell>
          <cell r="F275">
            <v>55</v>
          </cell>
          <cell r="G275">
            <v>54.68</v>
          </cell>
          <cell r="H275">
            <v>65</v>
          </cell>
          <cell r="I275">
            <v>54.68</v>
          </cell>
          <cell r="J275">
            <v>42.29</v>
          </cell>
          <cell r="K275">
            <v>50</v>
          </cell>
          <cell r="L275">
            <v>232.39</v>
          </cell>
          <cell r="M275">
            <v>285</v>
          </cell>
        </row>
        <row r="276">
          <cell r="A276">
            <v>2000009630</v>
          </cell>
          <cell r="B276" t="str">
            <v>REAR WHEEL TUBE</v>
          </cell>
          <cell r="C276" t="str">
            <v>B-MOTION 4</v>
          </cell>
          <cell r="D276">
            <v>0</v>
          </cell>
          <cell r="E276">
            <v>8.44</v>
          </cell>
          <cell r="F276">
            <v>15</v>
          </cell>
          <cell r="G276">
            <v>10.31</v>
          </cell>
          <cell r="H276">
            <v>10</v>
          </cell>
          <cell r="I276">
            <v>10.31</v>
          </cell>
          <cell r="J276">
            <v>7.98</v>
          </cell>
          <cell r="K276">
            <v>10</v>
          </cell>
          <cell r="L276">
            <v>43.82</v>
          </cell>
          <cell r="M276">
            <v>55</v>
          </cell>
        </row>
        <row r="277">
          <cell r="A277">
            <v>2000025118</v>
          </cell>
          <cell r="B277" t="str">
            <v>SEAT UNIT INCL. HARNESS</v>
          </cell>
          <cell r="C277" t="str">
            <v>B-MOTION 4</v>
          </cell>
          <cell r="D277" t="str">
            <v>Cosmos Black</v>
          </cell>
          <cell r="E277">
            <v>63.25</v>
          </cell>
          <cell r="F277">
            <v>80</v>
          </cell>
          <cell r="G277">
            <v>70.84</v>
          </cell>
          <cell r="H277">
            <v>85</v>
          </cell>
          <cell r="I277">
            <v>85.01</v>
          </cell>
          <cell r="J277">
            <v>59.77</v>
          </cell>
          <cell r="K277">
            <v>70</v>
          </cell>
          <cell r="L277">
            <v>301.07</v>
          </cell>
          <cell r="M277">
            <v>370</v>
          </cell>
        </row>
        <row r="278">
          <cell r="A278">
            <v>2000025578</v>
          </cell>
          <cell r="B278" t="str">
            <v xml:space="preserve">FOOTREST FABRIC </v>
          </cell>
          <cell r="C278" t="str">
            <v>B-MOTION 4</v>
          </cell>
          <cell r="D278">
            <v>0</v>
          </cell>
          <cell r="E278">
            <v>8.25</v>
          </cell>
          <cell r="F278">
            <v>15</v>
          </cell>
          <cell r="G278">
            <v>9.24</v>
          </cell>
          <cell r="H278">
            <v>10</v>
          </cell>
          <cell r="I278">
            <v>11.09</v>
          </cell>
          <cell r="J278">
            <v>7.8</v>
          </cell>
          <cell r="K278">
            <v>10</v>
          </cell>
          <cell r="L278">
            <v>39.270000000000003</v>
          </cell>
          <cell r="M278">
            <v>50</v>
          </cell>
        </row>
        <row r="279">
          <cell r="A279">
            <v>2000026723</v>
          </cell>
          <cell r="B279" t="str">
            <v xml:space="preserve">FRONT WHEEL TUBE </v>
          </cell>
          <cell r="C279" t="str">
            <v>B-MOTION 4</v>
          </cell>
          <cell r="D279">
            <v>0</v>
          </cell>
          <cell r="E279">
            <v>4.2</v>
          </cell>
          <cell r="F279">
            <v>5</v>
          </cell>
          <cell r="G279">
            <v>4.7</v>
          </cell>
          <cell r="H279">
            <v>5</v>
          </cell>
          <cell r="I279">
            <v>6</v>
          </cell>
          <cell r="J279">
            <v>3.97</v>
          </cell>
          <cell r="K279">
            <v>5</v>
          </cell>
          <cell r="L279">
            <v>19.98</v>
          </cell>
          <cell r="M279">
            <v>25</v>
          </cell>
        </row>
        <row r="280">
          <cell r="A280">
            <v>2000024429</v>
          </cell>
          <cell r="B280" t="str">
            <v>REAR WHEEL SET</v>
          </cell>
          <cell r="C280" t="str">
            <v>B-MOTION 4 plus</v>
          </cell>
          <cell r="D280">
            <v>0</v>
          </cell>
          <cell r="E280">
            <v>44.75</v>
          </cell>
          <cell r="F280">
            <v>55</v>
          </cell>
          <cell r="G280">
            <v>54.68</v>
          </cell>
          <cell r="H280">
            <v>65</v>
          </cell>
          <cell r="I280">
            <v>54.68</v>
          </cell>
          <cell r="J280">
            <v>42.29</v>
          </cell>
          <cell r="K280">
            <v>50</v>
          </cell>
          <cell r="L280">
            <v>232.39</v>
          </cell>
          <cell r="M280">
            <v>285</v>
          </cell>
        </row>
        <row r="281">
          <cell r="A281">
            <v>2000024430</v>
          </cell>
          <cell r="B281" t="str">
            <v>FRONT WHEEL SET</v>
          </cell>
          <cell r="C281" t="str">
            <v>B-MOTION 4 plus</v>
          </cell>
          <cell r="D281">
            <v>0</v>
          </cell>
          <cell r="E281">
            <v>44.85</v>
          </cell>
          <cell r="F281">
            <v>55</v>
          </cell>
          <cell r="G281">
            <v>54.8</v>
          </cell>
          <cell r="H281">
            <v>65</v>
          </cell>
          <cell r="I281">
            <v>54.8</v>
          </cell>
          <cell r="J281">
            <v>42.38</v>
          </cell>
          <cell r="K281">
            <v>50</v>
          </cell>
          <cell r="L281">
            <v>232.9</v>
          </cell>
          <cell r="M281">
            <v>285</v>
          </cell>
        </row>
        <row r="282">
          <cell r="A282">
            <v>2000024431</v>
          </cell>
          <cell r="B282" t="str">
            <v>BASKET</v>
          </cell>
          <cell r="C282" t="str">
            <v>B-MOTION 4 plus</v>
          </cell>
          <cell r="D282">
            <v>0</v>
          </cell>
          <cell r="E282">
            <v>18.68</v>
          </cell>
          <cell r="F282">
            <v>25</v>
          </cell>
          <cell r="G282">
            <v>22.82</v>
          </cell>
          <cell r="H282">
            <v>25</v>
          </cell>
          <cell r="I282">
            <v>22.82</v>
          </cell>
          <cell r="J282">
            <v>17.649999999999999</v>
          </cell>
          <cell r="K282">
            <v>20</v>
          </cell>
          <cell r="L282">
            <v>96.99</v>
          </cell>
          <cell r="M282">
            <v>120</v>
          </cell>
        </row>
        <row r="283">
          <cell r="A283">
            <v>2000024432</v>
          </cell>
          <cell r="B283" t="str">
            <v>BACKREST BOARD</v>
          </cell>
          <cell r="C283" t="str">
            <v>B-MOTION 4 plus</v>
          </cell>
          <cell r="D283">
            <v>0</v>
          </cell>
          <cell r="E283">
            <v>9.4600000000000009</v>
          </cell>
          <cell r="F283">
            <v>15</v>
          </cell>
          <cell r="G283">
            <v>11.56</v>
          </cell>
          <cell r="H283">
            <v>15</v>
          </cell>
          <cell r="I283">
            <v>11.56</v>
          </cell>
          <cell r="J283">
            <v>8.94</v>
          </cell>
          <cell r="K283">
            <v>10</v>
          </cell>
          <cell r="L283">
            <v>49.13</v>
          </cell>
          <cell r="M283">
            <v>60</v>
          </cell>
        </row>
        <row r="284">
          <cell r="A284">
            <v>2000025119</v>
          </cell>
          <cell r="B284" t="str">
            <v>SEAT UNIT INCL. HARNESS</v>
          </cell>
          <cell r="C284" t="str">
            <v>B-MOTION 4 plus</v>
          </cell>
          <cell r="D284" t="str">
            <v>Cosmos Black</v>
          </cell>
          <cell r="E284">
            <v>66</v>
          </cell>
          <cell r="F284">
            <v>80</v>
          </cell>
          <cell r="G284">
            <v>73.92</v>
          </cell>
          <cell r="H284">
            <v>90</v>
          </cell>
          <cell r="I284">
            <v>88.7</v>
          </cell>
          <cell r="J284">
            <v>62.37</v>
          </cell>
          <cell r="K284">
            <v>75</v>
          </cell>
          <cell r="L284">
            <v>314.16000000000003</v>
          </cell>
          <cell r="M284">
            <v>385</v>
          </cell>
        </row>
        <row r="285">
          <cell r="A285">
            <v>2000025572</v>
          </cell>
          <cell r="B285" t="str">
            <v>ADJUSTABLE  FOOTREST HINGE SET REPAIR KIT</v>
          </cell>
          <cell r="C285" t="str">
            <v>B-MOTION 4 plus</v>
          </cell>
          <cell r="D285">
            <v>0</v>
          </cell>
          <cell r="E285">
            <v>12.61</v>
          </cell>
          <cell r="F285">
            <v>15</v>
          </cell>
          <cell r="G285">
            <v>14.12</v>
          </cell>
          <cell r="H285">
            <v>15</v>
          </cell>
          <cell r="I285">
            <v>14.12</v>
          </cell>
          <cell r="J285">
            <v>11.92</v>
          </cell>
          <cell r="K285">
            <v>15</v>
          </cell>
          <cell r="L285">
            <v>60.01</v>
          </cell>
          <cell r="M285">
            <v>75</v>
          </cell>
        </row>
        <row r="286">
          <cell r="A286">
            <v>2000029339</v>
          </cell>
          <cell r="B286" t="str">
            <v xml:space="preserve">ADJUSTBALE FOOTREST HINGE SET REPAIR SET 2018  </v>
          </cell>
          <cell r="C286" t="str">
            <v>B-MOTION 4 plus</v>
          </cell>
          <cell r="D286">
            <v>0</v>
          </cell>
          <cell r="E286">
            <v>12.61</v>
          </cell>
          <cell r="F286">
            <v>15</v>
          </cell>
          <cell r="G286">
            <v>14.12</v>
          </cell>
          <cell r="H286">
            <v>15</v>
          </cell>
          <cell r="I286">
            <v>14.12</v>
          </cell>
          <cell r="J286">
            <v>11.92</v>
          </cell>
          <cell r="K286">
            <v>15</v>
          </cell>
          <cell r="L286">
            <v>60.01</v>
          </cell>
          <cell r="M286">
            <v>75</v>
          </cell>
        </row>
        <row r="287">
          <cell r="A287">
            <v>2000003039</v>
          </cell>
          <cell r="B287" t="str">
            <v>BASKET (2011)</v>
          </cell>
          <cell r="C287" t="str">
            <v>B-DUAL</v>
          </cell>
          <cell r="D287">
            <v>0</v>
          </cell>
          <cell r="E287">
            <v>18.68</v>
          </cell>
          <cell r="F287">
            <v>25</v>
          </cell>
          <cell r="G287">
            <v>22.82</v>
          </cell>
          <cell r="H287">
            <v>25</v>
          </cell>
          <cell r="I287">
            <v>22.82</v>
          </cell>
          <cell r="J287">
            <v>17.649999999999999</v>
          </cell>
          <cell r="K287">
            <v>20</v>
          </cell>
          <cell r="L287">
            <v>96.99</v>
          </cell>
          <cell r="M287">
            <v>120</v>
          </cell>
        </row>
        <row r="288">
          <cell r="A288">
            <v>2000003790</v>
          </cell>
          <cell r="B288" t="str">
            <v>BASKET (2010)</v>
          </cell>
          <cell r="C288" t="str">
            <v>B-DUAL</v>
          </cell>
          <cell r="D288">
            <v>0</v>
          </cell>
          <cell r="E288">
            <v>18.68</v>
          </cell>
          <cell r="F288">
            <v>25</v>
          </cell>
          <cell r="G288">
            <v>22.82</v>
          </cell>
          <cell r="H288">
            <v>25</v>
          </cell>
          <cell r="I288">
            <v>22.82</v>
          </cell>
          <cell r="J288">
            <v>17.649999999999999</v>
          </cell>
          <cell r="K288">
            <v>20</v>
          </cell>
          <cell r="L288">
            <v>96.99</v>
          </cell>
          <cell r="M288">
            <v>120</v>
          </cell>
        </row>
        <row r="289">
          <cell r="A289">
            <v>2000008863</v>
          </cell>
          <cell r="B289" t="str">
            <v xml:space="preserve">APRON </v>
          </cell>
          <cell r="C289" t="str">
            <v>B-DUAL</v>
          </cell>
          <cell r="D289" t="str">
            <v>Blue Sky</v>
          </cell>
          <cell r="E289">
            <v>20.78</v>
          </cell>
          <cell r="F289">
            <v>25</v>
          </cell>
          <cell r="G289">
            <v>25.39</v>
          </cell>
          <cell r="H289">
            <v>30</v>
          </cell>
          <cell r="I289">
            <v>25.39</v>
          </cell>
          <cell r="J289">
            <v>19.64</v>
          </cell>
          <cell r="K289">
            <v>25</v>
          </cell>
          <cell r="L289">
            <v>107.91</v>
          </cell>
          <cell r="M289">
            <v>135</v>
          </cell>
        </row>
        <row r="290">
          <cell r="A290">
            <v>2000008861</v>
          </cell>
          <cell r="B290" t="str">
            <v xml:space="preserve">APRON </v>
          </cell>
          <cell r="C290" t="str">
            <v>B-DUAL</v>
          </cell>
          <cell r="D290" t="str">
            <v xml:space="preserve">Chili Pepper </v>
          </cell>
          <cell r="E290">
            <v>20.78</v>
          </cell>
          <cell r="F290">
            <v>25</v>
          </cell>
          <cell r="G290">
            <v>25.39</v>
          </cell>
          <cell r="H290">
            <v>30</v>
          </cell>
          <cell r="I290">
            <v>25.39</v>
          </cell>
          <cell r="J290">
            <v>19.64</v>
          </cell>
          <cell r="K290">
            <v>25</v>
          </cell>
          <cell r="L290">
            <v>107.91</v>
          </cell>
          <cell r="M290">
            <v>135</v>
          </cell>
        </row>
        <row r="291">
          <cell r="A291">
            <v>2000008864</v>
          </cell>
          <cell r="B291" t="str">
            <v xml:space="preserve">APRON </v>
          </cell>
          <cell r="C291" t="str">
            <v>B-DUAL</v>
          </cell>
          <cell r="D291" t="str">
            <v>Cool Berry</v>
          </cell>
          <cell r="E291">
            <v>20.78</v>
          </cell>
          <cell r="F291">
            <v>25</v>
          </cell>
          <cell r="G291">
            <v>25.39</v>
          </cell>
          <cell r="H291">
            <v>30</v>
          </cell>
          <cell r="I291">
            <v>25.39</v>
          </cell>
          <cell r="J291">
            <v>19.64</v>
          </cell>
          <cell r="K291">
            <v>25</v>
          </cell>
          <cell r="L291">
            <v>107.91</v>
          </cell>
          <cell r="M291">
            <v>135</v>
          </cell>
        </row>
        <row r="292">
          <cell r="A292">
            <v>2000005964</v>
          </cell>
          <cell r="B292" t="str">
            <v xml:space="preserve">APRON </v>
          </cell>
          <cell r="C292" t="str">
            <v>B-DUAL</v>
          </cell>
          <cell r="D292" t="str">
            <v>Desert Sand</v>
          </cell>
          <cell r="E292">
            <v>20.78</v>
          </cell>
          <cell r="F292">
            <v>25</v>
          </cell>
          <cell r="G292">
            <v>25.39</v>
          </cell>
          <cell r="H292">
            <v>30</v>
          </cell>
          <cell r="I292">
            <v>25.39</v>
          </cell>
          <cell r="J292">
            <v>19.64</v>
          </cell>
          <cell r="K292">
            <v>25</v>
          </cell>
          <cell r="L292">
            <v>107.91</v>
          </cell>
          <cell r="M292">
            <v>135</v>
          </cell>
        </row>
        <row r="293">
          <cell r="A293">
            <v>2000002366</v>
          </cell>
          <cell r="B293" t="str">
            <v xml:space="preserve">APRON </v>
          </cell>
          <cell r="C293" t="str">
            <v>B-DUAL</v>
          </cell>
          <cell r="D293" t="str">
            <v>Purple Rain</v>
          </cell>
          <cell r="E293">
            <v>20.78</v>
          </cell>
          <cell r="F293">
            <v>25</v>
          </cell>
          <cell r="G293">
            <v>25.39</v>
          </cell>
          <cell r="H293">
            <v>30</v>
          </cell>
          <cell r="I293">
            <v>25.39</v>
          </cell>
          <cell r="J293">
            <v>19.64</v>
          </cell>
          <cell r="K293">
            <v>25</v>
          </cell>
          <cell r="L293">
            <v>107.91</v>
          </cell>
          <cell r="M293">
            <v>135</v>
          </cell>
        </row>
        <row r="294">
          <cell r="A294">
            <v>2000010099</v>
          </cell>
          <cell r="B294" t="str">
            <v xml:space="preserve">HOOD </v>
          </cell>
          <cell r="C294" t="str">
            <v>B-DUAL</v>
          </cell>
          <cell r="D294" t="str">
            <v>Blue Sky</v>
          </cell>
          <cell r="E294">
            <v>44.27</v>
          </cell>
          <cell r="F294">
            <v>55</v>
          </cell>
          <cell r="G294">
            <v>54.1</v>
          </cell>
          <cell r="H294">
            <v>65</v>
          </cell>
          <cell r="I294">
            <v>54.1</v>
          </cell>
          <cell r="J294">
            <v>41.84</v>
          </cell>
          <cell r="K294">
            <v>50</v>
          </cell>
          <cell r="L294">
            <v>229.93</v>
          </cell>
          <cell r="M294">
            <v>285</v>
          </cell>
        </row>
        <row r="295">
          <cell r="A295">
            <v>2000010100</v>
          </cell>
          <cell r="B295" t="str">
            <v xml:space="preserve">HOOD </v>
          </cell>
          <cell r="C295" t="str">
            <v>B-DUAL</v>
          </cell>
          <cell r="D295" t="str">
            <v>Cool Berry</v>
          </cell>
          <cell r="E295">
            <v>44.27</v>
          </cell>
          <cell r="F295">
            <v>55</v>
          </cell>
          <cell r="G295">
            <v>54.1</v>
          </cell>
          <cell r="H295">
            <v>65</v>
          </cell>
          <cell r="I295">
            <v>54.1</v>
          </cell>
          <cell r="J295">
            <v>41.84</v>
          </cell>
          <cell r="K295">
            <v>50</v>
          </cell>
          <cell r="L295">
            <v>229.93</v>
          </cell>
          <cell r="M295">
            <v>285</v>
          </cell>
        </row>
        <row r="296">
          <cell r="A296">
            <v>2000003036</v>
          </cell>
          <cell r="B296" t="str">
            <v>HOOD</v>
          </cell>
          <cell r="C296" t="str">
            <v>B-DUAL</v>
          </cell>
          <cell r="D296" t="str">
            <v>Blue Atoll</v>
          </cell>
          <cell r="E296">
            <v>44.27</v>
          </cell>
          <cell r="F296">
            <v>55</v>
          </cell>
          <cell r="G296">
            <v>54.1</v>
          </cell>
          <cell r="H296">
            <v>65</v>
          </cell>
          <cell r="I296">
            <v>54.1</v>
          </cell>
          <cell r="J296">
            <v>41.84</v>
          </cell>
          <cell r="K296">
            <v>50</v>
          </cell>
          <cell r="L296">
            <v>229.93</v>
          </cell>
          <cell r="M296">
            <v>285</v>
          </cell>
        </row>
        <row r="297">
          <cell r="A297">
            <v>2000006218</v>
          </cell>
          <cell r="B297" t="str">
            <v>HOOD (2012)</v>
          </cell>
          <cell r="C297" t="str">
            <v>B-DUAL</v>
          </cell>
          <cell r="D297" t="str">
            <v>Chili Pepper</v>
          </cell>
          <cell r="E297">
            <v>44.27</v>
          </cell>
          <cell r="F297">
            <v>55</v>
          </cell>
          <cell r="G297">
            <v>54.1</v>
          </cell>
          <cell r="H297">
            <v>65</v>
          </cell>
          <cell r="I297">
            <v>54.1</v>
          </cell>
          <cell r="J297">
            <v>41.84</v>
          </cell>
          <cell r="K297">
            <v>50</v>
          </cell>
          <cell r="L297">
            <v>229.93</v>
          </cell>
          <cell r="M297">
            <v>285</v>
          </cell>
        </row>
        <row r="298">
          <cell r="A298">
            <v>2000010598</v>
          </cell>
          <cell r="B298" t="str">
            <v>HOOD (2013)</v>
          </cell>
          <cell r="C298" t="str">
            <v>B-DUAL</v>
          </cell>
          <cell r="D298" t="str">
            <v>Chili Pepper</v>
          </cell>
          <cell r="E298">
            <v>44.27</v>
          </cell>
          <cell r="F298">
            <v>55</v>
          </cell>
          <cell r="G298">
            <v>54.1</v>
          </cell>
          <cell r="H298">
            <v>65</v>
          </cell>
          <cell r="I298">
            <v>54.1</v>
          </cell>
          <cell r="J298">
            <v>41.84</v>
          </cell>
          <cell r="K298">
            <v>50</v>
          </cell>
          <cell r="L298">
            <v>229.93</v>
          </cell>
          <cell r="M298">
            <v>285</v>
          </cell>
        </row>
        <row r="299">
          <cell r="A299">
            <v>2000003789</v>
          </cell>
          <cell r="B299" t="str">
            <v>HARNESS EXTENDERS</v>
          </cell>
          <cell r="C299" t="str">
            <v>B-DUAL</v>
          </cell>
          <cell r="D299">
            <v>0</v>
          </cell>
          <cell r="E299">
            <v>5.5</v>
          </cell>
          <cell r="F299">
            <v>10</v>
          </cell>
          <cell r="G299">
            <v>6.72</v>
          </cell>
          <cell r="H299">
            <v>10</v>
          </cell>
          <cell r="I299">
            <v>6.72</v>
          </cell>
          <cell r="J299">
            <v>5.2</v>
          </cell>
          <cell r="K299">
            <v>5</v>
          </cell>
          <cell r="L299">
            <v>28.56</v>
          </cell>
          <cell r="M299">
            <v>35</v>
          </cell>
        </row>
        <row r="300">
          <cell r="A300">
            <v>2000000632</v>
          </cell>
          <cell r="B300" t="str">
            <v>BUMPER BAR</v>
          </cell>
          <cell r="C300" t="str">
            <v>B-DUAL</v>
          </cell>
          <cell r="D300" t="str">
            <v>Neon Black</v>
          </cell>
          <cell r="E300">
            <v>13.76</v>
          </cell>
          <cell r="F300">
            <v>20</v>
          </cell>
          <cell r="G300">
            <v>16.82</v>
          </cell>
          <cell r="H300">
            <v>20</v>
          </cell>
          <cell r="I300">
            <v>16.82</v>
          </cell>
          <cell r="J300">
            <v>13</v>
          </cell>
          <cell r="K300">
            <v>15</v>
          </cell>
          <cell r="L300">
            <v>71.489999999999995</v>
          </cell>
          <cell r="M300">
            <v>90</v>
          </cell>
        </row>
        <row r="301">
          <cell r="A301">
            <v>2000003054</v>
          </cell>
          <cell r="B301" t="str">
            <v xml:space="preserve">BRAKE REPAIR KIT (2010) </v>
          </cell>
          <cell r="C301" t="str">
            <v>B-SMART 3</v>
          </cell>
          <cell r="D301">
            <v>0</v>
          </cell>
          <cell r="E301">
            <v>17.73</v>
          </cell>
          <cell r="F301">
            <v>21</v>
          </cell>
          <cell r="G301">
            <v>21.66</v>
          </cell>
          <cell r="H301">
            <v>25</v>
          </cell>
          <cell r="I301">
            <v>21.66</v>
          </cell>
          <cell r="J301">
            <v>16.75</v>
          </cell>
          <cell r="K301">
            <v>20</v>
          </cell>
          <cell r="L301">
            <v>92.06</v>
          </cell>
          <cell r="M301">
            <v>115</v>
          </cell>
        </row>
        <row r="302">
          <cell r="A302">
            <v>2000006229</v>
          </cell>
          <cell r="B302" t="str">
            <v xml:space="preserve">BRAKE REPAIR KIT (2012&amp;2013) </v>
          </cell>
          <cell r="C302" t="str">
            <v>B-SMART 3</v>
          </cell>
          <cell r="D302">
            <v>0</v>
          </cell>
          <cell r="E302">
            <v>15.95</v>
          </cell>
          <cell r="F302">
            <v>19</v>
          </cell>
          <cell r="G302">
            <v>17.86</v>
          </cell>
          <cell r="H302">
            <v>20</v>
          </cell>
          <cell r="I302">
            <v>21.44</v>
          </cell>
          <cell r="J302">
            <v>15.07</v>
          </cell>
          <cell r="K302">
            <v>20</v>
          </cell>
          <cell r="L302">
            <v>75.91</v>
          </cell>
          <cell r="M302">
            <v>95</v>
          </cell>
        </row>
        <row r="303">
          <cell r="A303">
            <v>2000009850</v>
          </cell>
          <cell r="B303" t="str">
            <v>HANDLE ADJUSTER BUTTON</v>
          </cell>
          <cell r="C303" t="str">
            <v>B-SMART 3</v>
          </cell>
          <cell r="D303">
            <v>0</v>
          </cell>
          <cell r="E303">
            <v>3.3</v>
          </cell>
          <cell r="F303">
            <v>5</v>
          </cell>
          <cell r="G303">
            <v>3.7</v>
          </cell>
          <cell r="H303">
            <v>5</v>
          </cell>
          <cell r="I303">
            <v>4.4400000000000004</v>
          </cell>
          <cell r="J303">
            <v>3.12</v>
          </cell>
          <cell r="K303">
            <v>5</v>
          </cell>
          <cell r="L303">
            <v>15.73</v>
          </cell>
          <cell r="M303">
            <v>20</v>
          </cell>
        </row>
        <row r="304">
          <cell r="A304">
            <v>2000006220</v>
          </cell>
          <cell r="B304" t="str">
            <v>BASKET</v>
          </cell>
          <cell r="C304" t="str">
            <v>B-SMART 3</v>
          </cell>
          <cell r="D304">
            <v>0</v>
          </cell>
          <cell r="E304">
            <v>13.73</v>
          </cell>
          <cell r="F304">
            <v>20</v>
          </cell>
          <cell r="G304">
            <v>15.38</v>
          </cell>
          <cell r="H304">
            <v>20</v>
          </cell>
          <cell r="I304">
            <v>18.45</v>
          </cell>
          <cell r="J304">
            <v>12.97</v>
          </cell>
          <cell r="K304">
            <v>15</v>
          </cell>
          <cell r="L304">
            <v>65.37</v>
          </cell>
          <cell r="M304">
            <v>80</v>
          </cell>
        </row>
        <row r="305">
          <cell r="A305">
            <v>2000003055</v>
          </cell>
          <cell r="B305" t="str">
            <v>LOCK CATCH</v>
          </cell>
          <cell r="C305" t="str">
            <v>B-SMART 3</v>
          </cell>
          <cell r="D305">
            <v>0</v>
          </cell>
          <cell r="E305">
            <v>5.5</v>
          </cell>
          <cell r="F305">
            <v>10</v>
          </cell>
          <cell r="G305">
            <v>6.16</v>
          </cell>
          <cell r="H305">
            <v>5</v>
          </cell>
          <cell r="I305">
            <v>7.39</v>
          </cell>
          <cell r="J305">
            <v>5.2</v>
          </cell>
          <cell r="K305">
            <v>5</v>
          </cell>
          <cell r="L305">
            <v>26.18</v>
          </cell>
          <cell r="M305">
            <v>30</v>
          </cell>
        </row>
        <row r="306">
          <cell r="A306">
            <v>2000006221</v>
          </cell>
          <cell r="B306" t="str">
            <v>WHEELS (2012)</v>
          </cell>
          <cell r="C306" t="str">
            <v>B-SMART 3</v>
          </cell>
          <cell r="D306" t="str">
            <v>Silver</v>
          </cell>
          <cell r="E306">
            <v>44</v>
          </cell>
          <cell r="F306">
            <v>55</v>
          </cell>
          <cell r="G306">
            <v>49.28</v>
          </cell>
          <cell r="H306">
            <v>60</v>
          </cell>
          <cell r="I306">
            <v>59.14</v>
          </cell>
          <cell r="J306">
            <v>41.58</v>
          </cell>
          <cell r="K306">
            <v>50</v>
          </cell>
          <cell r="L306">
            <v>209.44</v>
          </cell>
          <cell r="M306">
            <v>260</v>
          </cell>
        </row>
        <row r="307">
          <cell r="A307">
            <v>2000006222</v>
          </cell>
          <cell r="B307" t="str">
            <v>WHEELS (2012)</v>
          </cell>
          <cell r="C307" t="str">
            <v>B-SMART 3</v>
          </cell>
          <cell r="D307" t="str">
            <v>Black</v>
          </cell>
          <cell r="E307">
            <v>44</v>
          </cell>
          <cell r="F307">
            <v>55</v>
          </cell>
          <cell r="G307">
            <v>49.28</v>
          </cell>
          <cell r="H307">
            <v>60</v>
          </cell>
          <cell r="I307">
            <v>59.14</v>
          </cell>
          <cell r="J307">
            <v>41.58</v>
          </cell>
          <cell r="K307">
            <v>50</v>
          </cell>
          <cell r="L307">
            <v>209.44</v>
          </cell>
          <cell r="M307">
            <v>260</v>
          </cell>
        </row>
        <row r="308">
          <cell r="A308">
            <v>2000006223</v>
          </cell>
          <cell r="B308" t="str">
            <v>WHEELS (2012)</v>
          </cell>
          <cell r="C308" t="str">
            <v>B-SMART 4</v>
          </cell>
          <cell r="D308" t="str">
            <v>Silver</v>
          </cell>
          <cell r="E308">
            <v>49.5</v>
          </cell>
          <cell r="F308">
            <v>60</v>
          </cell>
          <cell r="G308">
            <v>55.44</v>
          </cell>
          <cell r="H308">
            <v>65</v>
          </cell>
          <cell r="I308">
            <v>66.53</v>
          </cell>
          <cell r="J308">
            <v>46.78</v>
          </cell>
          <cell r="K308">
            <v>55</v>
          </cell>
          <cell r="L308">
            <v>235.62</v>
          </cell>
          <cell r="M308">
            <v>290</v>
          </cell>
        </row>
        <row r="309">
          <cell r="A309">
            <v>2000006224</v>
          </cell>
          <cell r="B309" t="str">
            <v>WHEELS (2012)</v>
          </cell>
          <cell r="C309" t="str">
            <v>B-SMART 4</v>
          </cell>
          <cell r="D309" t="str">
            <v>Black</v>
          </cell>
          <cell r="E309">
            <v>49.5</v>
          </cell>
          <cell r="F309">
            <v>60</v>
          </cell>
          <cell r="G309">
            <v>55.44</v>
          </cell>
          <cell r="H309">
            <v>65</v>
          </cell>
          <cell r="I309">
            <v>66.53</v>
          </cell>
          <cell r="J309">
            <v>46.78</v>
          </cell>
          <cell r="K309">
            <v>55</v>
          </cell>
          <cell r="L309">
            <v>235.62</v>
          </cell>
          <cell r="M309">
            <v>290</v>
          </cell>
        </row>
        <row r="310">
          <cell r="A310">
            <v>2000003043</v>
          </cell>
          <cell r="B310" t="str">
            <v>BASKET</v>
          </cell>
          <cell r="C310" t="str">
            <v>B-MOBILE</v>
          </cell>
          <cell r="D310">
            <v>0</v>
          </cell>
          <cell r="E310">
            <v>18.68</v>
          </cell>
          <cell r="F310">
            <v>25</v>
          </cell>
          <cell r="G310">
            <v>22.82</v>
          </cell>
          <cell r="H310">
            <v>25</v>
          </cell>
          <cell r="I310">
            <v>22.82</v>
          </cell>
          <cell r="J310">
            <v>19.64</v>
          </cell>
          <cell r="K310">
            <v>25</v>
          </cell>
          <cell r="L310">
            <v>96.99</v>
          </cell>
          <cell r="M310">
            <v>120</v>
          </cell>
        </row>
        <row r="311">
          <cell r="A311">
            <v>2000003044</v>
          </cell>
          <cell r="B311" t="str">
            <v xml:space="preserve">HOOD </v>
          </cell>
          <cell r="C311" t="str">
            <v>B-MOBILE</v>
          </cell>
          <cell r="D311" t="str">
            <v>Blue Atoll</v>
          </cell>
          <cell r="E311">
            <v>44.27</v>
          </cell>
          <cell r="F311">
            <v>55</v>
          </cell>
          <cell r="G311">
            <v>54.1</v>
          </cell>
          <cell r="H311">
            <v>65</v>
          </cell>
          <cell r="I311">
            <v>54.1</v>
          </cell>
          <cell r="J311">
            <v>41.84</v>
          </cell>
          <cell r="K311">
            <v>50</v>
          </cell>
          <cell r="L311">
            <v>229.93</v>
          </cell>
          <cell r="M311">
            <v>285</v>
          </cell>
        </row>
        <row r="312">
          <cell r="A312">
            <v>2000003046</v>
          </cell>
          <cell r="B312" t="str">
            <v xml:space="preserve">HOOD </v>
          </cell>
          <cell r="C312" t="str">
            <v>B-MOBILE</v>
          </cell>
          <cell r="D312" t="str">
            <v>Venetian Red</v>
          </cell>
          <cell r="E312">
            <v>44.27</v>
          </cell>
          <cell r="F312">
            <v>55</v>
          </cell>
          <cell r="G312">
            <v>54.1</v>
          </cell>
          <cell r="H312">
            <v>65</v>
          </cell>
          <cell r="I312">
            <v>54.1</v>
          </cell>
          <cell r="J312">
            <v>41.84</v>
          </cell>
          <cell r="K312">
            <v>50</v>
          </cell>
          <cell r="L312">
            <v>229.93</v>
          </cell>
          <cell r="M312">
            <v>285</v>
          </cell>
        </row>
        <row r="313">
          <cell r="A313">
            <v>2000006230</v>
          </cell>
          <cell r="B313" t="str">
            <v xml:space="preserve">HOOD </v>
          </cell>
          <cell r="C313" t="str">
            <v>B-MOBILE</v>
          </cell>
          <cell r="D313" t="str">
            <v>Chili Pepper</v>
          </cell>
          <cell r="E313">
            <v>44.27</v>
          </cell>
          <cell r="F313">
            <v>55</v>
          </cell>
          <cell r="G313">
            <v>54.1</v>
          </cell>
          <cell r="H313">
            <v>65</v>
          </cell>
          <cell r="I313">
            <v>54.1</v>
          </cell>
          <cell r="J313">
            <v>41.84</v>
          </cell>
          <cell r="K313">
            <v>50</v>
          </cell>
          <cell r="L313">
            <v>229.93</v>
          </cell>
          <cell r="M313">
            <v>285</v>
          </cell>
        </row>
        <row r="314">
          <cell r="A314">
            <v>2000003056</v>
          </cell>
          <cell r="B314" t="str">
            <v>LOCK CATCH</v>
          </cell>
          <cell r="C314" t="str">
            <v>B-MOBILE</v>
          </cell>
          <cell r="D314">
            <v>0</v>
          </cell>
          <cell r="E314">
            <v>5.83</v>
          </cell>
          <cell r="F314">
            <v>7</v>
          </cell>
          <cell r="G314">
            <v>7.12</v>
          </cell>
          <cell r="H314">
            <v>10</v>
          </cell>
          <cell r="I314">
            <v>15</v>
          </cell>
          <cell r="J314">
            <v>5.51</v>
          </cell>
          <cell r="K314">
            <v>5</v>
          </cell>
          <cell r="L314">
            <v>30.26</v>
          </cell>
          <cell r="M314">
            <v>35</v>
          </cell>
        </row>
        <row r="315">
          <cell r="A315" t="str">
            <v>PRC058473</v>
          </cell>
          <cell r="B315" t="str">
            <v xml:space="preserve">RAINCOVER </v>
          </cell>
          <cell r="C315" t="str">
            <v>B-MOBILE</v>
          </cell>
          <cell r="D315">
            <v>0</v>
          </cell>
          <cell r="E315">
            <v>16.309999999999999</v>
          </cell>
          <cell r="F315">
            <v>20</v>
          </cell>
          <cell r="G315">
            <v>19.920000000000002</v>
          </cell>
          <cell r="H315">
            <v>25</v>
          </cell>
          <cell r="I315">
            <v>19.920000000000002</v>
          </cell>
          <cell r="J315">
            <v>15.41</v>
          </cell>
          <cell r="K315">
            <v>20</v>
          </cell>
          <cell r="L315">
            <v>84.66</v>
          </cell>
          <cell r="M315">
            <v>105</v>
          </cell>
        </row>
        <row r="316">
          <cell r="A316">
            <v>2000003846</v>
          </cell>
          <cell r="B316" t="str">
            <v>RAINCOVER (2011)</v>
          </cell>
          <cell r="C316" t="str">
            <v>B-MOBILE</v>
          </cell>
          <cell r="D316">
            <v>0</v>
          </cell>
          <cell r="E316">
            <v>13.62</v>
          </cell>
          <cell r="F316">
            <v>16</v>
          </cell>
          <cell r="G316">
            <v>15.25</v>
          </cell>
          <cell r="H316">
            <v>20</v>
          </cell>
          <cell r="I316">
            <v>18.3</v>
          </cell>
          <cell r="J316">
            <v>12.87</v>
          </cell>
          <cell r="K316">
            <v>15</v>
          </cell>
          <cell r="L316">
            <v>64.81</v>
          </cell>
          <cell r="M316">
            <v>80</v>
          </cell>
        </row>
        <row r="317">
          <cell r="A317">
            <v>2000025492</v>
          </cell>
          <cell r="B317" t="str">
            <v>SEAT UNIT</v>
          </cell>
          <cell r="C317" t="str">
            <v>B-READY</v>
          </cell>
          <cell r="D317" t="str">
            <v>Cosmos Black</v>
          </cell>
          <cell r="E317">
            <v>126.5</v>
          </cell>
          <cell r="F317">
            <v>155</v>
          </cell>
          <cell r="G317">
            <v>141.68</v>
          </cell>
          <cell r="H317">
            <v>170</v>
          </cell>
          <cell r="I317">
            <v>170.02</v>
          </cell>
          <cell r="J317">
            <v>119.54</v>
          </cell>
          <cell r="K317">
            <v>145</v>
          </cell>
          <cell r="L317">
            <v>602.14</v>
          </cell>
          <cell r="M317">
            <v>740</v>
          </cell>
        </row>
        <row r="318">
          <cell r="A318">
            <v>2000025493</v>
          </cell>
          <cell r="B318" t="str">
            <v>SEAT UNIT</v>
          </cell>
          <cell r="C318" t="str">
            <v>B-READY</v>
          </cell>
          <cell r="D318" t="str">
            <v>Steel Grey</v>
          </cell>
          <cell r="E318">
            <v>126.5</v>
          </cell>
          <cell r="F318">
            <v>155</v>
          </cell>
          <cell r="G318">
            <v>141.68</v>
          </cell>
          <cell r="H318">
            <v>170</v>
          </cell>
          <cell r="I318">
            <v>170.02</v>
          </cell>
          <cell r="J318">
            <v>119.54</v>
          </cell>
          <cell r="K318">
            <v>145</v>
          </cell>
          <cell r="L318">
            <v>602.14</v>
          </cell>
          <cell r="M318">
            <v>740</v>
          </cell>
        </row>
        <row r="319">
          <cell r="A319">
            <v>2000025494</v>
          </cell>
          <cell r="B319" t="str">
            <v>SEAT UNIT</v>
          </cell>
          <cell r="C319" t="str">
            <v>B-READY</v>
          </cell>
          <cell r="D319" t="str">
            <v>Flame Red</v>
          </cell>
          <cell r="E319">
            <v>126.5</v>
          </cell>
          <cell r="F319">
            <v>155</v>
          </cell>
          <cell r="G319">
            <v>141.68</v>
          </cell>
          <cell r="H319">
            <v>170</v>
          </cell>
          <cell r="I319">
            <v>170.02</v>
          </cell>
          <cell r="J319">
            <v>119.54</v>
          </cell>
          <cell r="K319">
            <v>145</v>
          </cell>
          <cell r="L319">
            <v>602.14</v>
          </cell>
          <cell r="M319">
            <v>740</v>
          </cell>
        </row>
        <row r="320">
          <cell r="A320">
            <v>2000025495</v>
          </cell>
          <cell r="B320" t="str">
            <v>SEAT UNIT</v>
          </cell>
          <cell r="C320" t="str">
            <v>B-READY</v>
          </cell>
          <cell r="D320" t="str">
            <v>Mineral Purple</v>
          </cell>
          <cell r="E320">
            <v>126.5</v>
          </cell>
          <cell r="F320">
            <v>155</v>
          </cell>
          <cell r="G320">
            <v>141.68</v>
          </cell>
          <cell r="H320">
            <v>170</v>
          </cell>
          <cell r="I320">
            <v>170.02</v>
          </cell>
          <cell r="J320">
            <v>119.54</v>
          </cell>
          <cell r="K320">
            <v>145</v>
          </cell>
          <cell r="L320">
            <v>602.14</v>
          </cell>
          <cell r="M320">
            <v>740</v>
          </cell>
        </row>
        <row r="321">
          <cell r="A321">
            <v>2000025504</v>
          </cell>
          <cell r="B321" t="str">
            <v>CHASSIS</v>
          </cell>
          <cell r="C321" t="str">
            <v>B-READY</v>
          </cell>
          <cell r="D321">
            <v>0</v>
          </cell>
          <cell r="E321">
            <v>187</v>
          </cell>
          <cell r="F321">
            <v>225</v>
          </cell>
          <cell r="G321">
            <v>209.44</v>
          </cell>
          <cell r="H321">
            <v>250</v>
          </cell>
          <cell r="I321">
            <v>251.33</v>
          </cell>
          <cell r="J321">
            <v>176.72</v>
          </cell>
          <cell r="K321">
            <v>210</v>
          </cell>
          <cell r="L321">
            <v>890.12</v>
          </cell>
          <cell r="M321">
            <v>1095</v>
          </cell>
        </row>
        <row r="322">
          <cell r="A322">
            <v>2000025488</v>
          </cell>
          <cell r="B322" t="str">
            <v>BUMPER BAR</v>
          </cell>
          <cell r="C322" t="str">
            <v>B-READY</v>
          </cell>
          <cell r="D322" t="str">
            <v>Cosmos Black</v>
          </cell>
          <cell r="E322">
            <v>9.9</v>
          </cell>
          <cell r="F322">
            <v>15</v>
          </cell>
          <cell r="G322">
            <v>11.09</v>
          </cell>
          <cell r="H322">
            <v>15</v>
          </cell>
          <cell r="I322">
            <v>13.31</v>
          </cell>
          <cell r="J322">
            <v>9.36</v>
          </cell>
          <cell r="K322">
            <v>10</v>
          </cell>
          <cell r="L322">
            <v>47.13</v>
          </cell>
          <cell r="M322">
            <v>60</v>
          </cell>
        </row>
        <row r="323">
          <cell r="A323">
            <v>2000025489</v>
          </cell>
          <cell r="B323" t="str">
            <v>BUMPER BAR</v>
          </cell>
          <cell r="C323" t="str">
            <v>B-READY</v>
          </cell>
          <cell r="D323" t="str">
            <v>Steel Grey</v>
          </cell>
          <cell r="E323">
            <v>9.9</v>
          </cell>
          <cell r="F323">
            <v>15</v>
          </cell>
          <cell r="G323">
            <v>11.09</v>
          </cell>
          <cell r="H323">
            <v>15</v>
          </cell>
          <cell r="I323">
            <v>13.31</v>
          </cell>
          <cell r="J323">
            <v>9.36</v>
          </cell>
          <cell r="K323">
            <v>10</v>
          </cell>
          <cell r="L323">
            <v>47.13</v>
          </cell>
          <cell r="M323">
            <v>60</v>
          </cell>
        </row>
        <row r="324">
          <cell r="A324">
            <v>2000025490</v>
          </cell>
          <cell r="B324" t="str">
            <v>BUMPER BAR</v>
          </cell>
          <cell r="C324" t="str">
            <v>B-READY</v>
          </cell>
          <cell r="D324" t="str">
            <v>Flame Red</v>
          </cell>
          <cell r="E324">
            <v>9.9</v>
          </cell>
          <cell r="F324">
            <v>15</v>
          </cell>
          <cell r="G324">
            <v>11.09</v>
          </cell>
          <cell r="H324">
            <v>15</v>
          </cell>
          <cell r="I324">
            <v>13.31</v>
          </cell>
          <cell r="J324">
            <v>9.36</v>
          </cell>
          <cell r="K324">
            <v>10</v>
          </cell>
          <cell r="L324">
            <v>47.13</v>
          </cell>
          <cell r="M324">
            <v>60</v>
          </cell>
        </row>
        <row r="325">
          <cell r="A325">
            <v>2000025491</v>
          </cell>
          <cell r="B325" t="str">
            <v>BUMPER BAR</v>
          </cell>
          <cell r="C325" t="str">
            <v>B-READY</v>
          </cell>
          <cell r="D325" t="str">
            <v>Mineral Purple</v>
          </cell>
          <cell r="E325">
            <v>9.9</v>
          </cell>
          <cell r="F325">
            <v>15</v>
          </cell>
          <cell r="G325">
            <v>11.09</v>
          </cell>
          <cell r="H325">
            <v>15</v>
          </cell>
          <cell r="I325">
            <v>13.31</v>
          </cell>
          <cell r="J325">
            <v>9.36</v>
          </cell>
          <cell r="K325">
            <v>10</v>
          </cell>
          <cell r="L325">
            <v>47.13</v>
          </cell>
          <cell r="M325">
            <v>60</v>
          </cell>
        </row>
        <row r="326">
          <cell r="A326">
            <v>2000025505</v>
          </cell>
          <cell r="B326" t="str">
            <v>BASKET</v>
          </cell>
          <cell r="C326" t="str">
            <v>B-READY</v>
          </cell>
          <cell r="D326">
            <v>0</v>
          </cell>
          <cell r="E326">
            <v>24.2</v>
          </cell>
          <cell r="F326">
            <v>30</v>
          </cell>
          <cell r="G326">
            <v>27.1</v>
          </cell>
          <cell r="H326">
            <v>35</v>
          </cell>
          <cell r="I326">
            <v>32.520000000000003</v>
          </cell>
          <cell r="J326">
            <v>22.87</v>
          </cell>
          <cell r="K326">
            <v>25</v>
          </cell>
          <cell r="L326">
            <v>115.18</v>
          </cell>
          <cell r="M326">
            <v>140</v>
          </cell>
        </row>
        <row r="327">
          <cell r="A327">
            <v>2000025500</v>
          </cell>
          <cell r="B327" t="str">
            <v>HOOD</v>
          </cell>
          <cell r="C327" t="str">
            <v>B-READY</v>
          </cell>
          <cell r="D327" t="str">
            <v>Cosmos Black</v>
          </cell>
          <cell r="E327">
            <v>38.5</v>
          </cell>
          <cell r="F327">
            <v>50</v>
          </cell>
          <cell r="G327">
            <v>43.12</v>
          </cell>
          <cell r="H327">
            <v>50</v>
          </cell>
          <cell r="I327">
            <v>51.74</v>
          </cell>
          <cell r="J327">
            <v>36.380000000000003</v>
          </cell>
          <cell r="K327">
            <v>45</v>
          </cell>
          <cell r="L327">
            <v>183.26</v>
          </cell>
          <cell r="M327">
            <v>225</v>
          </cell>
        </row>
        <row r="328">
          <cell r="A328">
            <v>2000025501</v>
          </cell>
          <cell r="B328" t="str">
            <v>HOOD</v>
          </cell>
          <cell r="C328" t="str">
            <v>B-READY</v>
          </cell>
          <cell r="D328" t="str">
            <v>Steel Grey</v>
          </cell>
          <cell r="E328">
            <v>38.5</v>
          </cell>
          <cell r="F328">
            <v>50</v>
          </cell>
          <cell r="G328">
            <v>43.12</v>
          </cell>
          <cell r="H328">
            <v>50</v>
          </cell>
          <cell r="I328">
            <v>51.74</v>
          </cell>
          <cell r="J328">
            <v>36.380000000000003</v>
          </cell>
          <cell r="K328">
            <v>45</v>
          </cell>
          <cell r="L328">
            <v>183.26</v>
          </cell>
          <cell r="M328">
            <v>225</v>
          </cell>
        </row>
        <row r="329">
          <cell r="A329">
            <v>2000025502</v>
          </cell>
          <cell r="B329" t="str">
            <v>HOOD</v>
          </cell>
          <cell r="C329" t="str">
            <v>B-READY</v>
          </cell>
          <cell r="D329" t="str">
            <v>Flame Red</v>
          </cell>
          <cell r="E329">
            <v>38.5</v>
          </cell>
          <cell r="F329">
            <v>50</v>
          </cell>
          <cell r="G329">
            <v>43.12</v>
          </cell>
          <cell r="H329">
            <v>50</v>
          </cell>
          <cell r="I329">
            <v>51.74</v>
          </cell>
          <cell r="J329">
            <v>36.380000000000003</v>
          </cell>
          <cell r="K329">
            <v>45</v>
          </cell>
          <cell r="L329">
            <v>183.26</v>
          </cell>
          <cell r="M329">
            <v>225</v>
          </cell>
        </row>
        <row r="330">
          <cell r="A330">
            <v>2000025503</v>
          </cell>
          <cell r="B330" t="str">
            <v>HOOD</v>
          </cell>
          <cell r="C330" t="str">
            <v>B-READY</v>
          </cell>
          <cell r="D330" t="str">
            <v>Mineral Purple</v>
          </cell>
          <cell r="E330">
            <v>38.5</v>
          </cell>
          <cell r="F330">
            <v>50</v>
          </cell>
          <cell r="G330">
            <v>43.12</v>
          </cell>
          <cell r="H330">
            <v>50</v>
          </cell>
          <cell r="I330">
            <v>51.74</v>
          </cell>
          <cell r="J330">
            <v>36.380000000000003</v>
          </cell>
          <cell r="K330">
            <v>45</v>
          </cell>
          <cell r="L330">
            <v>183.26</v>
          </cell>
          <cell r="M330">
            <v>225</v>
          </cell>
        </row>
        <row r="331">
          <cell r="A331">
            <v>2000025486</v>
          </cell>
          <cell r="B331" t="str">
            <v>FRONT WHEEL SET</v>
          </cell>
          <cell r="C331" t="str">
            <v>B-READY</v>
          </cell>
          <cell r="D331">
            <v>0</v>
          </cell>
          <cell r="E331">
            <v>40.700000000000003</v>
          </cell>
          <cell r="F331">
            <v>50</v>
          </cell>
          <cell r="G331">
            <v>45.58</v>
          </cell>
          <cell r="H331">
            <v>55</v>
          </cell>
          <cell r="I331">
            <v>54.7</v>
          </cell>
          <cell r="J331">
            <v>38.46</v>
          </cell>
          <cell r="K331">
            <v>45</v>
          </cell>
          <cell r="L331">
            <v>193.72</v>
          </cell>
          <cell r="M331">
            <v>240</v>
          </cell>
        </row>
        <row r="332">
          <cell r="A332">
            <v>2000025487</v>
          </cell>
          <cell r="B332" t="str">
            <v>REAR WHEEL SET</v>
          </cell>
          <cell r="C332" t="str">
            <v>B-READY</v>
          </cell>
          <cell r="D332">
            <v>0</v>
          </cell>
          <cell r="E332">
            <v>46.2</v>
          </cell>
          <cell r="F332">
            <v>55</v>
          </cell>
          <cell r="G332">
            <v>51.74</v>
          </cell>
          <cell r="H332">
            <v>60</v>
          </cell>
          <cell r="I332">
            <v>62.09</v>
          </cell>
          <cell r="J332">
            <v>43.66</v>
          </cell>
          <cell r="K332">
            <v>50</v>
          </cell>
          <cell r="L332">
            <v>219.9</v>
          </cell>
          <cell r="M332">
            <v>270</v>
          </cell>
        </row>
        <row r="333">
          <cell r="A333">
            <v>2000025506</v>
          </cell>
          <cell r="B333" t="str">
            <v xml:space="preserve">HANDLE INCL. HANDLE ADJUSTER </v>
          </cell>
          <cell r="C333" t="str">
            <v>B-READY</v>
          </cell>
          <cell r="D333">
            <v>0</v>
          </cell>
          <cell r="E333">
            <v>18.260000000000002</v>
          </cell>
          <cell r="F333">
            <v>22</v>
          </cell>
          <cell r="G333">
            <v>20.45</v>
          </cell>
          <cell r="H333">
            <v>25</v>
          </cell>
          <cell r="I333">
            <v>24.54</v>
          </cell>
          <cell r="J333">
            <v>17.260000000000002</v>
          </cell>
          <cell r="K333">
            <v>20</v>
          </cell>
          <cell r="L333">
            <v>86.91</v>
          </cell>
          <cell r="M333">
            <v>105</v>
          </cell>
        </row>
        <row r="334">
          <cell r="A334">
            <v>2000025507</v>
          </cell>
          <cell r="B334" t="str">
            <v>CHASSIS LOCK INCL. SCREWS</v>
          </cell>
          <cell r="C334" t="str">
            <v>B-READY</v>
          </cell>
          <cell r="D334">
            <v>0</v>
          </cell>
          <cell r="E334">
            <v>3.3</v>
          </cell>
          <cell r="F334">
            <v>5</v>
          </cell>
          <cell r="G334">
            <v>3.7</v>
          </cell>
          <cell r="H334">
            <v>5</v>
          </cell>
          <cell r="I334">
            <v>4.4400000000000004</v>
          </cell>
          <cell r="J334">
            <v>3.12</v>
          </cell>
          <cell r="K334">
            <v>5</v>
          </cell>
          <cell r="L334">
            <v>15.73</v>
          </cell>
          <cell r="M334">
            <v>20</v>
          </cell>
        </row>
        <row r="335">
          <cell r="A335">
            <v>2000025508</v>
          </cell>
          <cell r="B335" t="str">
            <v>EXTENSION ADAPTERS</v>
          </cell>
          <cell r="C335" t="str">
            <v>B-READY</v>
          </cell>
          <cell r="D335">
            <v>0</v>
          </cell>
          <cell r="E335">
            <v>11</v>
          </cell>
          <cell r="F335">
            <v>15</v>
          </cell>
          <cell r="G335">
            <v>12.32</v>
          </cell>
          <cell r="H335">
            <v>15</v>
          </cell>
          <cell r="I335">
            <v>14.78</v>
          </cell>
          <cell r="J335">
            <v>10.4</v>
          </cell>
          <cell r="K335">
            <v>10</v>
          </cell>
          <cell r="L335">
            <v>52.36</v>
          </cell>
          <cell r="M335">
            <v>65</v>
          </cell>
        </row>
        <row r="336">
          <cell r="A336">
            <v>2000025509</v>
          </cell>
          <cell r="B336" t="str">
            <v>REAR WHEEL COVERS</v>
          </cell>
          <cell r="C336" t="str">
            <v>B-READY</v>
          </cell>
          <cell r="D336">
            <v>0</v>
          </cell>
          <cell r="E336">
            <v>5.5</v>
          </cell>
          <cell r="F336">
            <v>10</v>
          </cell>
          <cell r="G336">
            <v>6.16</v>
          </cell>
          <cell r="H336">
            <v>5</v>
          </cell>
          <cell r="I336">
            <v>7.39</v>
          </cell>
          <cell r="J336">
            <v>5.2</v>
          </cell>
          <cell r="K336">
            <v>5</v>
          </cell>
          <cell r="L336">
            <v>26.18</v>
          </cell>
          <cell r="M336">
            <v>30</v>
          </cell>
        </row>
        <row r="337">
          <cell r="A337">
            <v>2000025510</v>
          </cell>
          <cell r="B337" t="str">
            <v>INFANT CARRIER COVER</v>
          </cell>
          <cell r="C337" t="str">
            <v>B-READY</v>
          </cell>
          <cell r="D337">
            <v>0</v>
          </cell>
          <cell r="E337">
            <v>11.73</v>
          </cell>
          <cell r="F337">
            <v>15</v>
          </cell>
          <cell r="G337">
            <v>13.13</v>
          </cell>
          <cell r="H337">
            <v>15</v>
          </cell>
          <cell r="I337">
            <v>15.76</v>
          </cell>
          <cell r="J337">
            <v>11.08</v>
          </cell>
          <cell r="K337">
            <v>15</v>
          </cell>
          <cell r="L337">
            <v>55.8</v>
          </cell>
          <cell r="M337">
            <v>70</v>
          </cell>
        </row>
        <row r="338">
          <cell r="A338">
            <v>2000021655</v>
          </cell>
          <cell r="B338" t="str">
            <v xml:space="preserve">SEAT UNIT FRAME </v>
          </cell>
          <cell r="C338" t="str">
            <v>BRITAX SMILE</v>
          </cell>
          <cell r="D338" t="str">
            <v>Silver</v>
          </cell>
          <cell r="E338">
            <v>57.97</v>
          </cell>
          <cell r="F338">
            <v>70</v>
          </cell>
          <cell r="G338">
            <v>70.83</v>
          </cell>
          <cell r="H338">
            <v>85</v>
          </cell>
          <cell r="I338">
            <v>70.83</v>
          </cell>
          <cell r="J338">
            <v>54.78</v>
          </cell>
          <cell r="K338">
            <v>65</v>
          </cell>
          <cell r="L338">
            <v>301.02999999999997</v>
          </cell>
          <cell r="M338">
            <v>370</v>
          </cell>
        </row>
        <row r="339">
          <cell r="A339">
            <v>2000021658</v>
          </cell>
          <cell r="B339" t="str">
            <v xml:space="preserve">SEAT UNIT SOFT GOODS </v>
          </cell>
          <cell r="C339" t="str">
            <v>BRITAX SMILE</v>
          </cell>
          <cell r="D339" t="str">
            <v>Black</v>
          </cell>
          <cell r="E339">
            <v>79.599999999999994</v>
          </cell>
          <cell r="F339">
            <v>95</v>
          </cell>
          <cell r="G339">
            <v>97.26</v>
          </cell>
          <cell r="H339">
            <v>115</v>
          </cell>
          <cell r="I339">
            <v>97.26</v>
          </cell>
          <cell r="J339">
            <v>75.22</v>
          </cell>
          <cell r="K339">
            <v>90</v>
          </cell>
          <cell r="L339">
            <v>413.36</v>
          </cell>
          <cell r="M339">
            <v>510</v>
          </cell>
        </row>
        <row r="340">
          <cell r="A340">
            <v>2000021659</v>
          </cell>
          <cell r="B340" t="str">
            <v xml:space="preserve">SEAT UNIT SOFT GOODS </v>
          </cell>
          <cell r="C340" t="str">
            <v>BRITAX SMILE</v>
          </cell>
          <cell r="D340" t="str">
            <v>Navy</v>
          </cell>
          <cell r="E340">
            <v>79.599999999999994</v>
          </cell>
          <cell r="F340">
            <v>95</v>
          </cell>
          <cell r="G340">
            <v>97.26</v>
          </cell>
          <cell r="H340">
            <v>115</v>
          </cell>
          <cell r="I340">
            <v>97.26</v>
          </cell>
          <cell r="J340">
            <v>75.22</v>
          </cell>
          <cell r="K340">
            <v>90</v>
          </cell>
          <cell r="L340">
            <v>413.36</v>
          </cell>
          <cell r="M340">
            <v>510</v>
          </cell>
        </row>
        <row r="341">
          <cell r="A341">
            <v>2000021665</v>
          </cell>
          <cell r="B341" t="str">
            <v xml:space="preserve">HOOD </v>
          </cell>
          <cell r="C341" t="str">
            <v>BRITAX SMILE</v>
          </cell>
          <cell r="D341" t="str">
            <v>Red</v>
          </cell>
          <cell r="E341">
            <v>44.27</v>
          </cell>
          <cell r="F341">
            <v>55</v>
          </cell>
          <cell r="G341">
            <v>54.1</v>
          </cell>
          <cell r="H341">
            <v>65</v>
          </cell>
          <cell r="I341">
            <v>54.1</v>
          </cell>
          <cell r="J341">
            <v>41.84</v>
          </cell>
          <cell r="K341">
            <v>50</v>
          </cell>
          <cell r="L341">
            <v>229.93</v>
          </cell>
          <cell r="M341">
            <v>285</v>
          </cell>
        </row>
        <row r="342">
          <cell r="A342">
            <v>2000021666</v>
          </cell>
          <cell r="B342" t="str">
            <v xml:space="preserve">HOOD </v>
          </cell>
          <cell r="C342" t="str">
            <v>BRITAX SMILE</v>
          </cell>
          <cell r="D342" t="str">
            <v>Black</v>
          </cell>
          <cell r="E342">
            <v>44.27</v>
          </cell>
          <cell r="F342">
            <v>55</v>
          </cell>
          <cell r="G342">
            <v>54.1</v>
          </cell>
          <cell r="H342">
            <v>65</v>
          </cell>
          <cell r="I342">
            <v>54.1</v>
          </cell>
          <cell r="J342">
            <v>41.84</v>
          </cell>
          <cell r="K342">
            <v>50</v>
          </cell>
          <cell r="L342">
            <v>229.93</v>
          </cell>
          <cell r="M342">
            <v>285</v>
          </cell>
        </row>
        <row r="343">
          <cell r="A343">
            <v>2000021667</v>
          </cell>
          <cell r="B343" t="str">
            <v xml:space="preserve">HOOD </v>
          </cell>
          <cell r="C343" t="str">
            <v>BRITAX SMILE</v>
          </cell>
          <cell r="D343" t="str">
            <v>Navy</v>
          </cell>
          <cell r="E343">
            <v>44.27</v>
          </cell>
          <cell r="F343">
            <v>55</v>
          </cell>
          <cell r="G343">
            <v>54.1</v>
          </cell>
          <cell r="H343">
            <v>65</v>
          </cell>
          <cell r="I343">
            <v>54.1</v>
          </cell>
          <cell r="J343">
            <v>41.84</v>
          </cell>
          <cell r="K343">
            <v>50</v>
          </cell>
          <cell r="L343">
            <v>229.93</v>
          </cell>
          <cell r="M343">
            <v>285</v>
          </cell>
        </row>
        <row r="344">
          <cell r="A344">
            <v>2000021668</v>
          </cell>
          <cell r="B344" t="str">
            <v xml:space="preserve">HOOD </v>
          </cell>
          <cell r="C344" t="str">
            <v>BRITAX SMILE</v>
          </cell>
          <cell r="D344" t="str">
            <v>Silver</v>
          </cell>
          <cell r="E344">
            <v>44.27</v>
          </cell>
          <cell r="F344">
            <v>55</v>
          </cell>
          <cell r="G344">
            <v>54.1</v>
          </cell>
          <cell r="H344">
            <v>65</v>
          </cell>
          <cell r="I344">
            <v>54.1</v>
          </cell>
          <cell r="J344">
            <v>41.84</v>
          </cell>
          <cell r="K344">
            <v>50</v>
          </cell>
          <cell r="L344">
            <v>229.93</v>
          </cell>
          <cell r="M344">
            <v>285</v>
          </cell>
        </row>
        <row r="345">
          <cell r="A345">
            <v>2000021669</v>
          </cell>
          <cell r="B345" t="str">
            <v>BUMPER BAR</v>
          </cell>
          <cell r="C345" t="str">
            <v>BRITAX SMILE</v>
          </cell>
          <cell r="D345" t="str">
            <v>Black</v>
          </cell>
          <cell r="E345">
            <v>13.76</v>
          </cell>
          <cell r="F345">
            <v>20</v>
          </cell>
          <cell r="G345">
            <v>16.82</v>
          </cell>
          <cell r="H345">
            <v>20</v>
          </cell>
          <cell r="I345">
            <v>16.82</v>
          </cell>
          <cell r="J345">
            <v>13</v>
          </cell>
          <cell r="K345">
            <v>15</v>
          </cell>
          <cell r="L345">
            <v>71.489999999999995</v>
          </cell>
          <cell r="M345">
            <v>90</v>
          </cell>
        </row>
        <row r="346">
          <cell r="A346">
            <v>2000021670</v>
          </cell>
          <cell r="B346" t="str">
            <v>CHASSIS</v>
          </cell>
          <cell r="C346" t="str">
            <v>BRITAX SMILE</v>
          </cell>
          <cell r="D346" t="str">
            <v>Silver</v>
          </cell>
          <cell r="E346">
            <v>206.9</v>
          </cell>
          <cell r="F346">
            <v>250</v>
          </cell>
          <cell r="G346">
            <v>252.79</v>
          </cell>
          <cell r="H346">
            <v>305</v>
          </cell>
          <cell r="I346">
            <v>252.79</v>
          </cell>
          <cell r="J346">
            <v>195.52</v>
          </cell>
          <cell r="K346">
            <v>235</v>
          </cell>
          <cell r="L346">
            <v>1074.3599999999999</v>
          </cell>
          <cell r="M346">
            <v>1320</v>
          </cell>
        </row>
        <row r="347">
          <cell r="A347">
            <v>2000021674</v>
          </cell>
          <cell r="B347" t="str">
            <v xml:space="preserve">REAR WHEEL TYRE SET </v>
          </cell>
          <cell r="C347" t="str">
            <v>BRITAX SMILE</v>
          </cell>
          <cell r="D347">
            <v>0</v>
          </cell>
          <cell r="E347">
            <v>10.88</v>
          </cell>
          <cell r="F347">
            <v>15</v>
          </cell>
          <cell r="G347">
            <v>13.3</v>
          </cell>
          <cell r="H347">
            <v>15</v>
          </cell>
          <cell r="I347">
            <v>13.3</v>
          </cell>
          <cell r="J347">
            <v>10.28</v>
          </cell>
          <cell r="K347">
            <v>10</v>
          </cell>
          <cell r="L347">
            <v>56.53</v>
          </cell>
          <cell r="M347">
            <v>70</v>
          </cell>
        </row>
        <row r="348">
          <cell r="A348">
            <v>2000021675</v>
          </cell>
          <cell r="B348" t="str">
            <v>REAR WHEEL TUBE SET</v>
          </cell>
          <cell r="C348" t="str">
            <v>BRITAX SMILE</v>
          </cell>
          <cell r="D348">
            <v>0</v>
          </cell>
          <cell r="E348">
            <v>7.42</v>
          </cell>
          <cell r="F348">
            <v>10</v>
          </cell>
          <cell r="G348">
            <v>9.07</v>
          </cell>
          <cell r="H348">
            <v>10</v>
          </cell>
          <cell r="I348">
            <v>9.07</v>
          </cell>
          <cell r="J348">
            <v>7.01</v>
          </cell>
          <cell r="K348">
            <v>10</v>
          </cell>
          <cell r="L348">
            <v>38.549999999999997</v>
          </cell>
          <cell r="M348">
            <v>45</v>
          </cell>
        </row>
        <row r="349">
          <cell r="A349">
            <v>2000021676</v>
          </cell>
          <cell r="B349" t="str">
            <v>REAR WHEEL SET</v>
          </cell>
          <cell r="C349" t="str">
            <v>BRITAX SMILE</v>
          </cell>
          <cell r="D349">
            <v>0</v>
          </cell>
          <cell r="E349">
            <v>63.12</v>
          </cell>
          <cell r="F349">
            <v>80</v>
          </cell>
          <cell r="G349">
            <v>77.12</v>
          </cell>
          <cell r="H349">
            <v>95</v>
          </cell>
          <cell r="I349">
            <v>77.12</v>
          </cell>
          <cell r="J349">
            <v>59.65</v>
          </cell>
          <cell r="K349">
            <v>70</v>
          </cell>
          <cell r="L349">
            <v>327.76</v>
          </cell>
          <cell r="M349">
            <v>405</v>
          </cell>
        </row>
        <row r="350">
          <cell r="A350">
            <v>2000021677</v>
          </cell>
          <cell r="B350" t="str">
            <v>FRONT WHEEL SET</v>
          </cell>
          <cell r="C350" t="str">
            <v>BRITAX SMILE</v>
          </cell>
          <cell r="D350">
            <v>0</v>
          </cell>
          <cell r="E350">
            <v>44.85</v>
          </cell>
          <cell r="F350">
            <v>55</v>
          </cell>
          <cell r="G350">
            <v>54.8</v>
          </cell>
          <cell r="H350">
            <v>65</v>
          </cell>
          <cell r="I350">
            <v>54.8</v>
          </cell>
          <cell r="J350">
            <v>42.38</v>
          </cell>
          <cell r="K350">
            <v>50</v>
          </cell>
          <cell r="L350">
            <v>232.9</v>
          </cell>
          <cell r="M350">
            <v>285</v>
          </cell>
        </row>
        <row r="351">
          <cell r="A351">
            <v>2000021678</v>
          </cell>
          <cell r="B351" t="str">
            <v>BASKET</v>
          </cell>
          <cell r="C351" t="str">
            <v>BRITAX SMILE</v>
          </cell>
          <cell r="D351">
            <v>0</v>
          </cell>
          <cell r="E351">
            <v>27.05</v>
          </cell>
          <cell r="F351">
            <v>35</v>
          </cell>
          <cell r="G351">
            <v>33.049999999999997</v>
          </cell>
          <cell r="H351">
            <v>40</v>
          </cell>
          <cell r="I351">
            <v>33.049999999999997</v>
          </cell>
          <cell r="J351">
            <v>23.71</v>
          </cell>
          <cell r="K351">
            <v>30</v>
          </cell>
          <cell r="L351">
            <v>140.46</v>
          </cell>
          <cell r="M351">
            <v>175</v>
          </cell>
        </row>
        <row r="352">
          <cell r="A352">
            <v>2000021680</v>
          </cell>
          <cell r="B352" t="str">
            <v xml:space="preserve">RAINCOVER </v>
          </cell>
          <cell r="C352" t="str">
            <v>BRITAX SMILE</v>
          </cell>
          <cell r="D352">
            <v>0</v>
          </cell>
          <cell r="E352">
            <v>17.36</v>
          </cell>
          <cell r="F352">
            <v>25</v>
          </cell>
          <cell r="G352">
            <v>21.21</v>
          </cell>
          <cell r="H352">
            <v>25</v>
          </cell>
          <cell r="I352">
            <v>21.21</v>
          </cell>
          <cell r="J352">
            <v>16.41</v>
          </cell>
          <cell r="K352">
            <v>20</v>
          </cell>
          <cell r="L352">
            <v>90.14</v>
          </cell>
          <cell r="M352">
            <v>110</v>
          </cell>
        </row>
        <row r="353">
          <cell r="A353">
            <v>2000025579</v>
          </cell>
          <cell r="B353" t="str">
            <v>SHOULDER- AND WAIST STRAP SET</v>
          </cell>
          <cell r="C353" t="str">
            <v>BRITAX SMILE</v>
          </cell>
          <cell r="D353">
            <v>0</v>
          </cell>
          <cell r="E353">
            <v>17.36</v>
          </cell>
          <cell r="F353">
            <v>15</v>
          </cell>
          <cell r="G353">
            <v>19.440000000000001</v>
          </cell>
          <cell r="H353">
            <v>25</v>
          </cell>
          <cell r="I353">
            <v>19.440000000000001</v>
          </cell>
          <cell r="J353">
            <v>16.41</v>
          </cell>
          <cell r="K353">
            <v>20</v>
          </cell>
          <cell r="L353">
            <v>82.62</v>
          </cell>
          <cell r="M353">
            <v>100</v>
          </cell>
        </row>
        <row r="354">
          <cell r="A354">
            <v>2000025034</v>
          </cell>
          <cell r="B354" t="str">
            <v>SEAT UNIT FRAME</v>
          </cell>
          <cell r="C354" t="str">
            <v>BRITAX SMILE 2</v>
          </cell>
          <cell r="D354">
            <v>0</v>
          </cell>
          <cell r="E354">
            <v>60.54</v>
          </cell>
          <cell r="F354">
            <v>75</v>
          </cell>
          <cell r="G354">
            <v>67.81</v>
          </cell>
          <cell r="H354">
            <v>80</v>
          </cell>
          <cell r="I354">
            <v>81.37</v>
          </cell>
          <cell r="J354">
            <v>51.48</v>
          </cell>
          <cell r="K354">
            <v>60</v>
          </cell>
          <cell r="L354">
            <v>288.19</v>
          </cell>
          <cell r="M354">
            <v>355</v>
          </cell>
        </row>
        <row r="355">
          <cell r="A355">
            <v>2000025035</v>
          </cell>
          <cell r="B355" t="str">
            <v>CHASSIS</v>
          </cell>
          <cell r="C355" t="str">
            <v>BRITAX SMILE 2</v>
          </cell>
          <cell r="D355">
            <v>0</v>
          </cell>
          <cell r="E355">
            <v>235.4</v>
          </cell>
          <cell r="F355">
            <v>285</v>
          </cell>
          <cell r="G355">
            <v>263.64999999999998</v>
          </cell>
          <cell r="H355">
            <v>315</v>
          </cell>
          <cell r="I355">
            <v>316.38</v>
          </cell>
          <cell r="J355">
            <v>222.45</v>
          </cell>
          <cell r="K355">
            <v>265</v>
          </cell>
          <cell r="L355">
            <v>1120.51</v>
          </cell>
          <cell r="M355">
            <v>1380</v>
          </cell>
        </row>
        <row r="356">
          <cell r="A356">
            <v>2000025036</v>
          </cell>
          <cell r="B356" t="str">
            <v>BUMPER BAR</v>
          </cell>
          <cell r="C356" t="str">
            <v>BRITAX SMILE 2</v>
          </cell>
          <cell r="D356" t="str">
            <v>Cosmos Black</v>
          </cell>
          <cell r="E356">
            <v>16.5</v>
          </cell>
          <cell r="F356">
            <v>20</v>
          </cell>
          <cell r="G356">
            <v>18.48</v>
          </cell>
          <cell r="H356">
            <v>20</v>
          </cell>
          <cell r="I356">
            <v>22.18</v>
          </cell>
          <cell r="J356">
            <v>15.59</v>
          </cell>
          <cell r="K356">
            <v>20</v>
          </cell>
          <cell r="L356">
            <v>78.540000000000006</v>
          </cell>
          <cell r="M356">
            <v>95</v>
          </cell>
        </row>
        <row r="357">
          <cell r="A357">
            <v>2000025037</v>
          </cell>
          <cell r="B357" t="str">
            <v>BASKET</v>
          </cell>
          <cell r="C357" t="str">
            <v>BRITAX SMILE 2</v>
          </cell>
          <cell r="D357">
            <v>0</v>
          </cell>
          <cell r="E357">
            <v>27.05</v>
          </cell>
          <cell r="F357">
            <v>35</v>
          </cell>
          <cell r="G357">
            <v>30.3</v>
          </cell>
          <cell r="H357">
            <v>35</v>
          </cell>
          <cell r="I357">
            <v>36.36</v>
          </cell>
          <cell r="J357">
            <v>25.56</v>
          </cell>
          <cell r="K357">
            <v>30</v>
          </cell>
          <cell r="L357">
            <v>128.78</v>
          </cell>
          <cell r="M357">
            <v>160</v>
          </cell>
        </row>
        <row r="358">
          <cell r="A358">
            <v>2000025038</v>
          </cell>
          <cell r="B358" t="str">
            <v>HOOD</v>
          </cell>
          <cell r="C358" t="str">
            <v>BRITAX SMILE 2</v>
          </cell>
          <cell r="D358" t="str">
            <v>Flame Red</v>
          </cell>
          <cell r="E358">
            <v>55.18</v>
          </cell>
          <cell r="F358">
            <v>70</v>
          </cell>
          <cell r="G358">
            <v>61.8</v>
          </cell>
          <cell r="H358">
            <v>75</v>
          </cell>
          <cell r="I358">
            <v>74.16</v>
          </cell>
          <cell r="J358">
            <v>59.11</v>
          </cell>
          <cell r="K358">
            <v>70</v>
          </cell>
          <cell r="L358">
            <v>262.64999999999998</v>
          </cell>
          <cell r="M358">
            <v>325</v>
          </cell>
        </row>
        <row r="359">
          <cell r="A359">
            <v>2000025039</v>
          </cell>
          <cell r="B359" t="str">
            <v>HOOD</v>
          </cell>
          <cell r="C359" t="str">
            <v>BRITAX SMILE 2</v>
          </cell>
          <cell r="D359" t="str">
            <v>Cosmos Black</v>
          </cell>
          <cell r="E359">
            <v>55.18</v>
          </cell>
          <cell r="F359">
            <v>70</v>
          </cell>
          <cell r="G359">
            <v>61.8</v>
          </cell>
          <cell r="H359">
            <v>75</v>
          </cell>
          <cell r="I359">
            <v>74.16</v>
          </cell>
          <cell r="J359">
            <v>59.11</v>
          </cell>
          <cell r="K359">
            <v>70</v>
          </cell>
          <cell r="L359">
            <v>262.64999999999998</v>
          </cell>
          <cell r="M359">
            <v>325</v>
          </cell>
        </row>
        <row r="360">
          <cell r="A360">
            <v>2000025040</v>
          </cell>
          <cell r="B360" t="str">
            <v>HOOD</v>
          </cell>
          <cell r="C360" t="str">
            <v>BRITAX SMILE 2</v>
          </cell>
          <cell r="D360" t="str">
            <v>Steel Grey</v>
          </cell>
          <cell r="E360">
            <v>55.18</v>
          </cell>
          <cell r="F360">
            <v>70</v>
          </cell>
          <cell r="G360">
            <v>61.8</v>
          </cell>
          <cell r="H360">
            <v>75</v>
          </cell>
          <cell r="I360">
            <v>74.16</v>
          </cell>
          <cell r="J360">
            <v>59.11</v>
          </cell>
          <cell r="K360">
            <v>70</v>
          </cell>
          <cell r="L360">
            <v>262.64999999999998</v>
          </cell>
          <cell r="M360">
            <v>325</v>
          </cell>
        </row>
        <row r="361">
          <cell r="A361">
            <v>2000025041</v>
          </cell>
          <cell r="B361" t="str">
            <v>HOOD</v>
          </cell>
          <cell r="C361" t="str">
            <v>BRITAX SMILE 2</v>
          </cell>
          <cell r="D361" t="str">
            <v>Lagoon Green</v>
          </cell>
          <cell r="E361">
            <v>55.18</v>
          </cell>
          <cell r="F361">
            <v>70</v>
          </cell>
          <cell r="G361">
            <v>61.8</v>
          </cell>
          <cell r="H361">
            <v>75</v>
          </cell>
          <cell r="I361">
            <v>74.16</v>
          </cell>
          <cell r="J361">
            <v>59.11</v>
          </cell>
          <cell r="K361">
            <v>70</v>
          </cell>
          <cell r="L361">
            <v>262.64999999999998</v>
          </cell>
          <cell r="M361">
            <v>325</v>
          </cell>
        </row>
        <row r="362">
          <cell r="A362">
            <v>2000025042</v>
          </cell>
          <cell r="B362" t="str">
            <v>HOOD</v>
          </cell>
          <cell r="C362" t="str">
            <v>BRITAX SMILE 2</v>
          </cell>
          <cell r="D362" t="str">
            <v>Mineral Purple</v>
          </cell>
          <cell r="E362">
            <v>55.18</v>
          </cell>
          <cell r="F362">
            <v>70</v>
          </cell>
          <cell r="G362">
            <v>61.8</v>
          </cell>
          <cell r="H362">
            <v>75</v>
          </cell>
          <cell r="I362">
            <v>74.16</v>
          </cell>
          <cell r="J362">
            <v>59.11</v>
          </cell>
          <cell r="K362">
            <v>70</v>
          </cell>
          <cell r="L362">
            <v>262.64999999999998</v>
          </cell>
          <cell r="M362">
            <v>325</v>
          </cell>
        </row>
        <row r="363">
          <cell r="A363">
            <v>2000025043</v>
          </cell>
          <cell r="B363" t="str">
            <v>HOOD</v>
          </cell>
          <cell r="C363" t="str">
            <v>BRITAX SMILE 2</v>
          </cell>
          <cell r="D363" t="str">
            <v>Wood Brown</v>
          </cell>
          <cell r="E363">
            <v>55.18</v>
          </cell>
          <cell r="F363">
            <v>70</v>
          </cell>
          <cell r="G363">
            <v>61.8</v>
          </cell>
          <cell r="H363">
            <v>75</v>
          </cell>
          <cell r="I363">
            <v>74.16</v>
          </cell>
          <cell r="J363">
            <v>52.15</v>
          </cell>
          <cell r="K363">
            <v>65</v>
          </cell>
          <cell r="L363">
            <v>262.64999999999998</v>
          </cell>
          <cell r="M363">
            <v>325</v>
          </cell>
        </row>
        <row r="364">
          <cell r="A364">
            <v>2000025044</v>
          </cell>
          <cell r="B364" t="str">
            <v>HOOD</v>
          </cell>
          <cell r="C364" t="str">
            <v>BRITAX SMILE 2</v>
          </cell>
          <cell r="D364" t="str">
            <v>Rose Pink</v>
          </cell>
          <cell r="E364">
            <v>55.18</v>
          </cell>
          <cell r="F364">
            <v>70</v>
          </cell>
          <cell r="G364">
            <v>61.8</v>
          </cell>
          <cell r="H364">
            <v>75</v>
          </cell>
          <cell r="I364">
            <v>74.16</v>
          </cell>
          <cell r="J364">
            <v>52.15</v>
          </cell>
          <cell r="K364">
            <v>65</v>
          </cell>
          <cell r="L364">
            <v>262.64999999999998</v>
          </cell>
          <cell r="M364">
            <v>325</v>
          </cell>
        </row>
        <row r="365">
          <cell r="A365">
            <v>2000025045</v>
          </cell>
          <cell r="B365" t="str">
            <v>HOOD</v>
          </cell>
          <cell r="C365" t="str">
            <v>BRITAX SMILE 2</v>
          </cell>
          <cell r="D365" t="str">
            <v>Ocean Blue</v>
          </cell>
          <cell r="E365">
            <v>55.18</v>
          </cell>
          <cell r="F365">
            <v>70</v>
          </cell>
          <cell r="G365">
            <v>61.8</v>
          </cell>
          <cell r="H365">
            <v>75</v>
          </cell>
          <cell r="I365">
            <v>74.16</v>
          </cell>
          <cell r="J365">
            <v>52.15</v>
          </cell>
          <cell r="K365">
            <v>65</v>
          </cell>
          <cell r="L365">
            <v>262.64999999999998</v>
          </cell>
          <cell r="M365">
            <v>325</v>
          </cell>
        </row>
        <row r="366">
          <cell r="A366">
            <v>2000025046</v>
          </cell>
          <cell r="B366" t="str">
            <v>APRON</v>
          </cell>
          <cell r="C366" t="str">
            <v>BRITAX SMILE 2</v>
          </cell>
          <cell r="D366" t="str">
            <v>Cosmos Black</v>
          </cell>
          <cell r="E366">
            <v>26.85</v>
          </cell>
          <cell r="F366">
            <v>35</v>
          </cell>
          <cell r="G366">
            <v>30.07</v>
          </cell>
          <cell r="H366">
            <v>35</v>
          </cell>
          <cell r="I366">
            <v>36.090000000000003</v>
          </cell>
          <cell r="J366">
            <v>25.37</v>
          </cell>
          <cell r="K366">
            <v>30</v>
          </cell>
          <cell r="L366">
            <v>127.8</v>
          </cell>
          <cell r="M366">
            <v>155</v>
          </cell>
        </row>
        <row r="367">
          <cell r="A367">
            <v>2000025047</v>
          </cell>
          <cell r="B367" t="str">
            <v>SEAT UNIT FABRIC INCL. HARNESS AND BUMPER BAR COVER</v>
          </cell>
          <cell r="C367" t="str">
            <v>BRITAX SMILE 2</v>
          </cell>
          <cell r="D367" t="str">
            <v>Flame Red</v>
          </cell>
          <cell r="E367">
            <v>63.8</v>
          </cell>
          <cell r="F367">
            <v>80</v>
          </cell>
          <cell r="G367">
            <v>71.459999999999994</v>
          </cell>
          <cell r="H367">
            <v>85</v>
          </cell>
          <cell r="I367">
            <v>85.75</v>
          </cell>
          <cell r="J367">
            <v>66.319999999999993</v>
          </cell>
          <cell r="K367">
            <v>80</v>
          </cell>
          <cell r="L367">
            <v>303.70999999999998</v>
          </cell>
          <cell r="M367">
            <v>375</v>
          </cell>
        </row>
        <row r="368">
          <cell r="A368">
            <v>2000025048</v>
          </cell>
          <cell r="B368" t="str">
            <v>SEAT UNIT FABRIC INCL. HARNESS AND BUMPER BAR COVER</v>
          </cell>
          <cell r="C368" t="str">
            <v>BRITAX SMILE 2</v>
          </cell>
          <cell r="D368" t="str">
            <v>Cosmos Black</v>
          </cell>
          <cell r="E368">
            <v>63.8</v>
          </cell>
          <cell r="F368">
            <v>80</v>
          </cell>
          <cell r="G368">
            <v>71.459999999999994</v>
          </cell>
          <cell r="H368">
            <v>85</v>
          </cell>
          <cell r="I368">
            <v>85.75</v>
          </cell>
          <cell r="J368">
            <v>66.319999999999993</v>
          </cell>
          <cell r="K368">
            <v>80</v>
          </cell>
          <cell r="L368">
            <v>303.70999999999998</v>
          </cell>
          <cell r="M368">
            <v>375</v>
          </cell>
        </row>
        <row r="369">
          <cell r="A369">
            <v>2000025049</v>
          </cell>
          <cell r="B369" t="str">
            <v>SEAT UNIT FABRIC INCL. HARNESS AND BUMPER BAR COVER</v>
          </cell>
          <cell r="C369" t="str">
            <v>BRITAX SMILE 2</v>
          </cell>
          <cell r="D369" t="str">
            <v>Steel Grey</v>
          </cell>
          <cell r="E369">
            <v>63.8</v>
          </cell>
          <cell r="F369">
            <v>80</v>
          </cell>
          <cell r="G369">
            <v>71.459999999999994</v>
          </cell>
          <cell r="H369">
            <v>85</v>
          </cell>
          <cell r="I369">
            <v>85.75</v>
          </cell>
          <cell r="J369">
            <v>66.319999999999993</v>
          </cell>
          <cell r="K369">
            <v>80</v>
          </cell>
          <cell r="L369">
            <v>303.70999999999998</v>
          </cell>
          <cell r="M369">
            <v>375</v>
          </cell>
        </row>
        <row r="370">
          <cell r="A370">
            <v>2000025050</v>
          </cell>
          <cell r="B370" t="str">
            <v>SEAT UNIT FABRIC INCL. HARNESS AND BUMPER BAR COVER</v>
          </cell>
          <cell r="C370" t="str">
            <v>BRITAX SMILE 2</v>
          </cell>
          <cell r="D370" t="str">
            <v>Lagoon Green</v>
          </cell>
          <cell r="E370">
            <v>63.8</v>
          </cell>
          <cell r="F370">
            <v>80</v>
          </cell>
          <cell r="G370">
            <v>71.459999999999994</v>
          </cell>
          <cell r="H370">
            <v>85</v>
          </cell>
          <cell r="I370">
            <v>85.75</v>
          </cell>
          <cell r="J370">
            <v>66.319999999999993</v>
          </cell>
          <cell r="K370">
            <v>80</v>
          </cell>
          <cell r="L370">
            <v>303.70999999999998</v>
          </cell>
          <cell r="M370">
            <v>375</v>
          </cell>
        </row>
        <row r="371">
          <cell r="A371">
            <v>2000025051</v>
          </cell>
          <cell r="B371" t="str">
            <v>SEAT UNIT FABRIC INCL. HARNESS AND BUMPER BAR COVER</v>
          </cell>
          <cell r="C371" t="str">
            <v>BRITAX SMILE 2</v>
          </cell>
          <cell r="D371" t="str">
            <v>Mineral Purple</v>
          </cell>
          <cell r="E371">
            <v>63.8</v>
          </cell>
          <cell r="F371">
            <v>80</v>
          </cell>
          <cell r="G371">
            <v>71.459999999999994</v>
          </cell>
          <cell r="H371">
            <v>85</v>
          </cell>
          <cell r="I371">
            <v>85.75</v>
          </cell>
          <cell r="J371">
            <v>66.319999999999993</v>
          </cell>
          <cell r="K371">
            <v>80</v>
          </cell>
          <cell r="L371">
            <v>303.70999999999998</v>
          </cell>
          <cell r="M371">
            <v>375</v>
          </cell>
        </row>
        <row r="372">
          <cell r="A372">
            <v>2000025052</v>
          </cell>
          <cell r="B372" t="str">
            <v>SEAT UNIT FABRIC INCL. HARNESS AND BUMPER BAR COVER</v>
          </cell>
          <cell r="C372" t="str">
            <v>BRITAX SMILE 2</v>
          </cell>
          <cell r="D372" t="str">
            <v>Wood Brown</v>
          </cell>
          <cell r="E372">
            <v>63.8</v>
          </cell>
          <cell r="F372">
            <v>80</v>
          </cell>
          <cell r="G372">
            <v>71.459999999999994</v>
          </cell>
          <cell r="H372">
            <v>85</v>
          </cell>
          <cell r="I372">
            <v>85.75</v>
          </cell>
          <cell r="J372">
            <v>66.319999999999993</v>
          </cell>
          <cell r="K372">
            <v>80</v>
          </cell>
          <cell r="L372">
            <v>303.70999999999998</v>
          </cell>
          <cell r="M372">
            <v>375</v>
          </cell>
        </row>
        <row r="373">
          <cell r="A373">
            <v>2000025053</v>
          </cell>
          <cell r="B373" t="str">
            <v>SEAT UNIT FABRIC INCL. HARNESS AND BUMPER BAR COVER</v>
          </cell>
          <cell r="C373" t="str">
            <v>BRITAX SMILE 2</v>
          </cell>
          <cell r="D373" t="str">
            <v>Rose Pink</v>
          </cell>
          <cell r="E373">
            <v>63.8</v>
          </cell>
          <cell r="F373">
            <v>80</v>
          </cell>
          <cell r="G373">
            <v>71.459999999999994</v>
          </cell>
          <cell r="H373">
            <v>85</v>
          </cell>
          <cell r="I373">
            <v>85.75</v>
          </cell>
          <cell r="J373">
            <v>66.319999999999993</v>
          </cell>
          <cell r="K373">
            <v>80</v>
          </cell>
          <cell r="L373">
            <v>303.70999999999998</v>
          </cell>
          <cell r="M373">
            <v>375</v>
          </cell>
        </row>
        <row r="374">
          <cell r="A374">
            <v>2000025054</v>
          </cell>
          <cell r="B374" t="str">
            <v>SEAT UNIT FABRIC INCL. HARNESS AND BUMPER BAR COVER</v>
          </cell>
          <cell r="C374" t="str">
            <v>BRITAX SMILE 2</v>
          </cell>
          <cell r="D374" t="str">
            <v>Ocean Blue</v>
          </cell>
          <cell r="E374">
            <v>63.8</v>
          </cell>
          <cell r="F374">
            <v>80</v>
          </cell>
          <cell r="G374">
            <v>71.459999999999994</v>
          </cell>
          <cell r="H374">
            <v>85</v>
          </cell>
          <cell r="I374">
            <v>85.75</v>
          </cell>
          <cell r="J374">
            <v>66.319999999999993</v>
          </cell>
          <cell r="K374">
            <v>80</v>
          </cell>
          <cell r="L374">
            <v>303.70999999999998</v>
          </cell>
          <cell r="M374">
            <v>375</v>
          </cell>
        </row>
        <row r="375">
          <cell r="A375">
            <v>2000026805</v>
          </cell>
          <cell r="B375" t="str">
            <v>SEAT UNIT FABRIC INCL. HARNESS AND BUMPER BAR COVER</v>
          </cell>
          <cell r="C375" t="str">
            <v>BRITAX SMILE 2</v>
          </cell>
          <cell r="D375" t="str">
            <v>Olive Green</v>
          </cell>
          <cell r="E375">
            <v>63.8</v>
          </cell>
          <cell r="F375">
            <v>80</v>
          </cell>
          <cell r="G375">
            <v>71.459999999999994</v>
          </cell>
          <cell r="H375">
            <v>85</v>
          </cell>
          <cell r="I375">
            <v>85.75</v>
          </cell>
          <cell r="J375">
            <v>66.319999999999993</v>
          </cell>
          <cell r="K375">
            <v>80</v>
          </cell>
          <cell r="L375">
            <v>303.70999999999998</v>
          </cell>
          <cell r="M375">
            <v>375</v>
          </cell>
        </row>
        <row r="376">
          <cell r="A376">
            <v>2000026806</v>
          </cell>
          <cell r="B376" t="str">
            <v>SEAT UNIT FABRIC INCL. HARNESS AND BUMPER BAR COVER</v>
          </cell>
          <cell r="C376" t="str">
            <v>BRITAX SMILE 2</v>
          </cell>
          <cell r="D376" t="str">
            <v>Sand Beige</v>
          </cell>
          <cell r="E376">
            <v>63.8</v>
          </cell>
          <cell r="F376">
            <v>80</v>
          </cell>
          <cell r="G376">
            <v>71.459999999999994</v>
          </cell>
          <cell r="H376">
            <v>85</v>
          </cell>
          <cell r="I376">
            <v>85.75</v>
          </cell>
          <cell r="J376">
            <v>66.319999999999993</v>
          </cell>
          <cell r="K376">
            <v>80</v>
          </cell>
          <cell r="L376">
            <v>303.70999999999998</v>
          </cell>
          <cell r="M376">
            <v>375</v>
          </cell>
        </row>
        <row r="377">
          <cell r="A377">
            <v>2000026807</v>
          </cell>
          <cell r="B377" t="str">
            <v>SEAT UNIT FABRIC INCL. HARNESS AND BUMPER BAR COVER</v>
          </cell>
          <cell r="C377" t="str">
            <v>BRITAX SMILE 2</v>
          </cell>
          <cell r="D377" t="str">
            <v>Wine Red</v>
          </cell>
          <cell r="E377">
            <v>63.8</v>
          </cell>
          <cell r="F377">
            <v>80</v>
          </cell>
          <cell r="G377">
            <v>71.459999999999994</v>
          </cell>
          <cell r="H377">
            <v>85</v>
          </cell>
          <cell r="I377">
            <v>85.75</v>
          </cell>
          <cell r="J377">
            <v>66.319999999999993</v>
          </cell>
          <cell r="K377">
            <v>80</v>
          </cell>
          <cell r="L377">
            <v>303.70999999999998</v>
          </cell>
          <cell r="M377">
            <v>375</v>
          </cell>
        </row>
        <row r="378">
          <cell r="A378">
            <v>2000029261</v>
          </cell>
          <cell r="B378" t="str">
            <v>SEAT UNIT FABRIC INCL. HARNESS AND BUMPER BAR COVER</v>
          </cell>
          <cell r="C378" t="str">
            <v>BRITAX SMILE 2</v>
          </cell>
          <cell r="D378" t="str">
            <v>Blue Denim</v>
          </cell>
          <cell r="E378">
            <v>70.180000000000007</v>
          </cell>
          <cell r="F378">
            <v>84</v>
          </cell>
          <cell r="G378">
            <v>78.61</v>
          </cell>
          <cell r="H378">
            <v>95</v>
          </cell>
          <cell r="I378">
            <v>94.33</v>
          </cell>
          <cell r="J378">
            <v>66.319999999999993</v>
          </cell>
          <cell r="K378">
            <v>80</v>
          </cell>
          <cell r="L378">
            <v>334.09</v>
          </cell>
          <cell r="M378">
            <v>410</v>
          </cell>
        </row>
        <row r="379">
          <cell r="A379">
            <v>2000029262</v>
          </cell>
          <cell r="B379" t="str">
            <v>SEAT UNIT FABRIC INCL. HARNESS AND BUMPER BAR COVER</v>
          </cell>
          <cell r="C379" t="str">
            <v>BRITAX SMILE 2</v>
          </cell>
          <cell r="D379" t="str">
            <v>Black Denim</v>
          </cell>
          <cell r="E379">
            <v>70.180000000000007</v>
          </cell>
          <cell r="F379">
            <v>84</v>
          </cell>
          <cell r="G379">
            <v>78.61</v>
          </cell>
          <cell r="H379">
            <v>95</v>
          </cell>
          <cell r="I379">
            <v>94.33</v>
          </cell>
          <cell r="J379">
            <v>66.319999999999993</v>
          </cell>
          <cell r="K379">
            <v>80</v>
          </cell>
          <cell r="L379">
            <v>334.09</v>
          </cell>
          <cell r="M379">
            <v>410</v>
          </cell>
        </row>
        <row r="380">
          <cell r="A380">
            <v>2000029263</v>
          </cell>
          <cell r="B380" t="str">
            <v>SEAT UNIT FABRIC INCL. HARNESS AND BUMPER BAR COVER</v>
          </cell>
          <cell r="C380" t="str">
            <v>BRITAX SMILE 2</v>
          </cell>
          <cell r="D380" t="str">
            <v>Olive Denim</v>
          </cell>
          <cell r="E380">
            <v>70.180000000000007</v>
          </cell>
          <cell r="F380">
            <v>84</v>
          </cell>
          <cell r="G380">
            <v>78.61</v>
          </cell>
          <cell r="H380">
            <v>95</v>
          </cell>
          <cell r="I380">
            <v>94.33</v>
          </cell>
          <cell r="J380">
            <v>66.319999999999993</v>
          </cell>
          <cell r="K380">
            <v>80</v>
          </cell>
          <cell r="L380">
            <v>334.09</v>
          </cell>
          <cell r="M380">
            <v>410</v>
          </cell>
        </row>
        <row r="381">
          <cell r="A381">
            <v>2000026802</v>
          </cell>
          <cell r="B381" t="str">
            <v>CANOPY</v>
          </cell>
          <cell r="C381" t="str">
            <v>BRITAX SMILE 2</v>
          </cell>
          <cell r="D381" t="str">
            <v>Olive Green</v>
          </cell>
          <cell r="E381">
            <v>55.18</v>
          </cell>
          <cell r="F381">
            <v>55</v>
          </cell>
          <cell r="G381">
            <v>61.8</v>
          </cell>
          <cell r="H381">
            <v>75</v>
          </cell>
          <cell r="I381">
            <v>74.16</v>
          </cell>
          <cell r="J381">
            <v>52.15</v>
          </cell>
          <cell r="K381">
            <v>65</v>
          </cell>
          <cell r="L381">
            <v>262.64999999999998</v>
          </cell>
          <cell r="M381">
            <v>325</v>
          </cell>
        </row>
        <row r="382">
          <cell r="A382">
            <v>2000026803</v>
          </cell>
          <cell r="B382" t="str">
            <v>CANOPY</v>
          </cell>
          <cell r="C382" t="str">
            <v>BRITAX SMILE 2</v>
          </cell>
          <cell r="D382" t="str">
            <v>Sand Beige</v>
          </cell>
          <cell r="E382">
            <v>55.18</v>
          </cell>
          <cell r="F382">
            <v>55</v>
          </cell>
          <cell r="G382">
            <v>61.8</v>
          </cell>
          <cell r="H382">
            <v>75</v>
          </cell>
          <cell r="I382">
            <v>74.16</v>
          </cell>
          <cell r="J382">
            <v>52.15</v>
          </cell>
          <cell r="K382">
            <v>65</v>
          </cell>
          <cell r="L382">
            <v>262.64999999999998</v>
          </cell>
          <cell r="M382">
            <v>325</v>
          </cell>
        </row>
        <row r="383">
          <cell r="A383">
            <v>2000026804</v>
          </cell>
          <cell r="B383" t="str">
            <v>CANOPY</v>
          </cell>
          <cell r="C383" t="str">
            <v>BRITAX SMILE 2</v>
          </cell>
          <cell r="D383" t="str">
            <v>Wine Red</v>
          </cell>
          <cell r="E383">
            <v>55.18</v>
          </cell>
          <cell r="F383">
            <v>55</v>
          </cell>
          <cell r="G383">
            <v>61.8</v>
          </cell>
          <cell r="H383">
            <v>75</v>
          </cell>
          <cell r="I383">
            <v>74.16</v>
          </cell>
          <cell r="J383">
            <v>52.15</v>
          </cell>
          <cell r="K383">
            <v>65</v>
          </cell>
          <cell r="L383">
            <v>262.64999999999998</v>
          </cell>
          <cell r="M383">
            <v>325</v>
          </cell>
        </row>
        <row r="384">
          <cell r="A384">
            <v>2000029237</v>
          </cell>
          <cell r="B384" t="str">
            <v>CANOPY</v>
          </cell>
          <cell r="C384" t="str">
            <v>BRITAX SMILE 2</v>
          </cell>
          <cell r="D384" t="str">
            <v>Blue Denim</v>
          </cell>
          <cell r="E384">
            <v>60.7</v>
          </cell>
          <cell r="F384">
            <v>73</v>
          </cell>
          <cell r="G384">
            <v>67.98</v>
          </cell>
          <cell r="H384">
            <v>80</v>
          </cell>
          <cell r="I384">
            <v>81.58</v>
          </cell>
          <cell r="J384">
            <v>51.8</v>
          </cell>
          <cell r="K384">
            <v>60</v>
          </cell>
          <cell r="L384">
            <v>288.92</v>
          </cell>
          <cell r="M384">
            <v>355</v>
          </cell>
        </row>
        <row r="385">
          <cell r="A385">
            <v>2000029239</v>
          </cell>
          <cell r="B385" t="str">
            <v>CANOPY</v>
          </cell>
          <cell r="C385" t="str">
            <v>BRITAX SMILE 2</v>
          </cell>
          <cell r="D385" t="str">
            <v>Black Denim</v>
          </cell>
          <cell r="E385">
            <v>60.7</v>
          </cell>
          <cell r="F385">
            <v>73</v>
          </cell>
          <cell r="G385">
            <v>67.98</v>
          </cell>
          <cell r="H385">
            <v>80</v>
          </cell>
          <cell r="I385">
            <v>81.58</v>
          </cell>
          <cell r="J385">
            <v>57.36</v>
          </cell>
          <cell r="K385">
            <v>70</v>
          </cell>
          <cell r="L385">
            <v>288.92</v>
          </cell>
          <cell r="M385">
            <v>355</v>
          </cell>
        </row>
        <row r="386">
          <cell r="A386">
            <v>2000029238</v>
          </cell>
          <cell r="B386" t="str">
            <v>CANOPY</v>
          </cell>
          <cell r="C386" t="str">
            <v>BRITAX SMILE 2</v>
          </cell>
          <cell r="D386" t="str">
            <v>Olive Denim</v>
          </cell>
          <cell r="E386">
            <v>60.7</v>
          </cell>
          <cell r="F386">
            <v>73</v>
          </cell>
          <cell r="G386">
            <v>67.98</v>
          </cell>
          <cell r="H386">
            <v>80</v>
          </cell>
          <cell r="I386">
            <v>81.58</v>
          </cell>
          <cell r="J386">
            <v>57.36</v>
          </cell>
          <cell r="K386">
            <v>70</v>
          </cell>
          <cell r="L386">
            <v>288.92</v>
          </cell>
          <cell r="M386">
            <v>355</v>
          </cell>
        </row>
        <row r="387">
          <cell r="A387">
            <v>2000025460</v>
          </cell>
          <cell r="B387" t="str">
            <v>SHOULDER- AND WAIST STRAP SET</v>
          </cell>
          <cell r="C387" t="str">
            <v>BRITAX SMILE 2</v>
          </cell>
          <cell r="D387">
            <v>0</v>
          </cell>
          <cell r="E387">
            <v>17.36</v>
          </cell>
          <cell r="F387">
            <v>21</v>
          </cell>
          <cell r="G387">
            <v>19.440000000000001</v>
          </cell>
          <cell r="H387">
            <v>25</v>
          </cell>
          <cell r="I387">
            <v>19.440000000000001</v>
          </cell>
          <cell r="J387">
            <v>16.41</v>
          </cell>
          <cell r="K387">
            <v>20</v>
          </cell>
          <cell r="L387">
            <v>82.62</v>
          </cell>
          <cell r="M387">
            <v>100</v>
          </cell>
        </row>
        <row r="388">
          <cell r="A388">
            <v>2000025113</v>
          </cell>
          <cell r="B388" t="str">
            <v xml:space="preserve">UPPER HANDLE BAR INCL. FASTENER AND KNEE JOINT </v>
          </cell>
          <cell r="C388" t="str">
            <v>BRITAX SMILE 2</v>
          </cell>
          <cell r="D388">
            <v>0</v>
          </cell>
          <cell r="E388">
            <v>22.54</v>
          </cell>
          <cell r="F388">
            <v>27</v>
          </cell>
          <cell r="G388">
            <v>25.25</v>
          </cell>
          <cell r="H388">
            <v>30</v>
          </cell>
          <cell r="I388">
            <v>30.3</v>
          </cell>
          <cell r="J388">
            <v>21.3</v>
          </cell>
          <cell r="K388">
            <v>25</v>
          </cell>
          <cell r="L388">
            <v>107.31</v>
          </cell>
          <cell r="M388">
            <v>130</v>
          </cell>
        </row>
        <row r="389">
          <cell r="A389" t="str">
            <v>R366090009501</v>
          </cell>
          <cell r="B389" t="str">
            <v>INNER TUBE, REAR WHEEL</v>
          </cell>
          <cell r="C389" t="str">
            <v>BRITAX SMILE 2</v>
          </cell>
          <cell r="D389">
            <v>0</v>
          </cell>
          <cell r="E389">
            <v>3.76</v>
          </cell>
          <cell r="F389">
            <v>5</v>
          </cell>
          <cell r="G389">
            <v>4.21</v>
          </cell>
          <cell r="H389">
            <v>5</v>
          </cell>
          <cell r="I389">
            <v>5.0599999999999996</v>
          </cell>
          <cell r="J389">
            <v>3.55</v>
          </cell>
          <cell r="K389">
            <v>5</v>
          </cell>
          <cell r="L389">
            <v>17.89</v>
          </cell>
          <cell r="M389">
            <v>20</v>
          </cell>
        </row>
        <row r="390">
          <cell r="A390" t="str">
            <v>R366090009201</v>
          </cell>
          <cell r="B390" t="str">
            <v>INNER TUBE, FRONT WHEEL</v>
          </cell>
          <cell r="C390" t="str">
            <v>BRITAX SMILE 2</v>
          </cell>
          <cell r="D390">
            <v>0</v>
          </cell>
          <cell r="E390">
            <v>7.33</v>
          </cell>
          <cell r="F390">
            <v>10</v>
          </cell>
          <cell r="G390">
            <v>8.2100000000000009</v>
          </cell>
          <cell r="H390">
            <v>10</v>
          </cell>
          <cell r="I390">
            <v>9.86</v>
          </cell>
          <cell r="J390">
            <v>6.93</v>
          </cell>
          <cell r="K390">
            <v>10</v>
          </cell>
          <cell r="L390">
            <v>34.89</v>
          </cell>
          <cell r="M390">
            <v>45</v>
          </cell>
        </row>
        <row r="391">
          <cell r="A391" t="str">
            <v>R366050999001</v>
          </cell>
          <cell r="B391" t="str">
            <v>REAR WHEEL BLACK</v>
          </cell>
          <cell r="C391" t="str">
            <v>BRITAX SMILE 2</v>
          </cell>
          <cell r="D391" t="str">
            <v>Black</v>
          </cell>
          <cell r="E391">
            <v>30.66</v>
          </cell>
          <cell r="F391">
            <v>40</v>
          </cell>
          <cell r="G391">
            <v>34.340000000000003</v>
          </cell>
          <cell r="H391">
            <v>40</v>
          </cell>
          <cell r="I391">
            <v>41.2</v>
          </cell>
          <cell r="J391">
            <v>29.5</v>
          </cell>
          <cell r="K391">
            <v>35</v>
          </cell>
          <cell r="L391">
            <v>145.94999999999999</v>
          </cell>
          <cell r="M391">
            <v>180</v>
          </cell>
        </row>
        <row r="392">
          <cell r="A392" t="str">
            <v>R366050999101</v>
          </cell>
          <cell r="B392" t="str">
            <v>FRONT WHEEL</v>
          </cell>
          <cell r="C392" t="str">
            <v>BRITAX SMILE 2</v>
          </cell>
          <cell r="D392" t="str">
            <v>Black</v>
          </cell>
          <cell r="E392">
            <v>27.74</v>
          </cell>
          <cell r="F392">
            <v>35</v>
          </cell>
          <cell r="G392">
            <v>31.07</v>
          </cell>
          <cell r="H392">
            <v>35</v>
          </cell>
          <cell r="I392">
            <v>37.28</v>
          </cell>
          <cell r="J392">
            <v>29.5</v>
          </cell>
          <cell r="K392">
            <v>35</v>
          </cell>
          <cell r="L392">
            <v>132.05000000000001</v>
          </cell>
          <cell r="M392">
            <v>160</v>
          </cell>
        </row>
        <row r="393">
          <cell r="A393" t="str">
            <v>R366090001301</v>
          </cell>
          <cell r="B393" t="str">
            <v>MUD PROTECTOR</v>
          </cell>
          <cell r="C393" t="str">
            <v>BRITAX SMILE 2</v>
          </cell>
          <cell r="D393">
            <v>0</v>
          </cell>
          <cell r="E393">
            <v>1.58</v>
          </cell>
          <cell r="F393">
            <v>5</v>
          </cell>
          <cell r="G393">
            <v>1.77</v>
          </cell>
          <cell r="H393">
            <v>0</v>
          </cell>
          <cell r="I393">
            <v>2.13</v>
          </cell>
          <cell r="J393">
            <v>1.49</v>
          </cell>
          <cell r="K393">
            <v>0</v>
          </cell>
          <cell r="L393">
            <v>7.52</v>
          </cell>
          <cell r="M393">
            <v>10</v>
          </cell>
        </row>
        <row r="394">
          <cell r="A394" t="str">
            <v>R366090001201</v>
          </cell>
          <cell r="B394" t="str">
            <v xml:space="preserve">FOOTREST JOINT INCL. FASTENER </v>
          </cell>
          <cell r="C394" t="str">
            <v>BRITAX SMILE 2</v>
          </cell>
          <cell r="D394">
            <v>0</v>
          </cell>
          <cell r="E394">
            <v>2.1800000000000002</v>
          </cell>
          <cell r="F394">
            <v>5</v>
          </cell>
          <cell r="G394">
            <v>2.44</v>
          </cell>
          <cell r="H394">
            <v>5</v>
          </cell>
          <cell r="I394">
            <v>2.93</v>
          </cell>
          <cell r="J394">
            <v>2.06</v>
          </cell>
          <cell r="K394">
            <v>0</v>
          </cell>
          <cell r="L394">
            <v>10.37</v>
          </cell>
          <cell r="M394">
            <v>15</v>
          </cell>
        </row>
        <row r="395">
          <cell r="A395">
            <v>2000011691</v>
          </cell>
          <cell r="B395" t="str">
            <v xml:space="preserve">SWIVEL PART SET </v>
          </cell>
          <cell r="C395" t="str">
            <v>BRITAX SMILE 2</v>
          </cell>
          <cell r="D395">
            <v>0</v>
          </cell>
          <cell r="E395">
            <v>5.5</v>
          </cell>
          <cell r="F395">
            <v>8</v>
          </cell>
          <cell r="G395">
            <v>6.16</v>
          </cell>
          <cell r="H395">
            <v>5</v>
          </cell>
          <cell r="I395">
            <v>7.39</v>
          </cell>
          <cell r="J395">
            <v>5.2</v>
          </cell>
          <cell r="K395">
            <v>5</v>
          </cell>
          <cell r="L395">
            <v>26.18</v>
          </cell>
          <cell r="M395">
            <v>30</v>
          </cell>
        </row>
        <row r="396">
          <cell r="A396" t="str">
            <v>R366090001702</v>
          </cell>
          <cell r="B396" t="str">
            <v xml:space="preserve">ASSEMBL. BRAKE INCL. FASTENER </v>
          </cell>
          <cell r="C396" t="str">
            <v>BRITAX SMILE 2</v>
          </cell>
          <cell r="D396">
            <v>0</v>
          </cell>
          <cell r="E396">
            <v>24.55</v>
          </cell>
          <cell r="F396">
            <v>30</v>
          </cell>
          <cell r="G396">
            <v>27.5</v>
          </cell>
          <cell r="H396">
            <v>35</v>
          </cell>
          <cell r="I396">
            <v>33</v>
          </cell>
          <cell r="J396">
            <v>23.2</v>
          </cell>
          <cell r="K396">
            <v>30</v>
          </cell>
          <cell r="L396">
            <v>116.88</v>
          </cell>
          <cell r="M396">
            <v>145</v>
          </cell>
        </row>
        <row r="397">
          <cell r="A397">
            <v>2000011392</v>
          </cell>
          <cell r="B397" t="str">
            <v xml:space="preserve">LOWER SWIVEL ATTACHMENT </v>
          </cell>
          <cell r="C397" t="str">
            <v>BRITAX SMILE 2</v>
          </cell>
          <cell r="D397">
            <v>0</v>
          </cell>
          <cell r="E397">
            <v>3.3</v>
          </cell>
          <cell r="F397">
            <v>7</v>
          </cell>
          <cell r="G397">
            <v>3.7</v>
          </cell>
          <cell r="H397">
            <v>5</v>
          </cell>
          <cell r="I397">
            <v>4.4400000000000004</v>
          </cell>
          <cell r="J397">
            <v>3.12</v>
          </cell>
          <cell r="K397">
            <v>5</v>
          </cell>
          <cell r="L397">
            <v>15.73</v>
          </cell>
          <cell r="M397">
            <v>20</v>
          </cell>
        </row>
        <row r="398">
          <cell r="A398">
            <v>2000021681</v>
          </cell>
          <cell r="B398" t="str">
            <v xml:space="preserve">RAINCOVER </v>
          </cell>
          <cell r="C398" t="str">
            <v>BRITAX SMILE CARRYCOT</v>
          </cell>
          <cell r="D398">
            <v>0</v>
          </cell>
          <cell r="E398">
            <v>22</v>
          </cell>
          <cell r="F398">
            <v>30</v>
          </cell>
          <cell r="G398">
            <v>26.88</v>
          </cell>
          <cell r="H398">
            <v>30</v>
          </cell>
          <cell r="I398">
            <v>26.88</v>
          </cell>
          <cell r="J398">
            <v>20.79</v>
          </cell>
          <cell r="K398">
            <v>25</v>
          </cell>
          <cell r="L398">
            <v>114.24</v>
          </cell>
          <cell r="M398">
            <v>140</v>
          </cell>
        </row>
        <row r="399">
          <cell r="A399">
            <v>2000004029</v>
          </cell>
          <cell r="B399" t="str">
            <v xml:space="preserve">RAINCOVER </v>
          </cell>
          <cell r="C399" t="str">
            <v>BRITAX HARD CARRYCOT</v>
          </cell>
          <cell r="D399">
            <v>0</v>
          </cell>
          <cell r="E399">
            <v>14.2</v>
          </cell>
          <cell r="F399">
            <v>20</v>
          </cell>
          <cell r="G399">
            <v>15.91</v>
          </cell>
          <cell r="H399">
            <v>20</v>
          </cell>
          <cell r="I399">
            <v>17.36</v>
          </cell>
          <cell r="J399">
            <v>13.42</v>
          </cell>
          <cell r="K399">
            <v>15</v>
          </cell>
          <cell r="L399">
            <v>67.62</v>
          </cell>
          <cell r="M399">
            <v>85</v>
          </cell>
        </row>
        <row r="400">
          <cell r="A400">
            <v>2000021604</v>
          </cell>
          <cell r="B400" t="str">
            <v>REPLACEMENT CANOPY (old collection)</v>
          </cell>
          <cell r="C400" t="str">
            <v>BRITAX AFFINITY</v>
          </cell>
          <cell r="D400" t="str">
            <v>Chili Pepper</v>
          </cell>
          <cell r="E400">
            <v>49.43</v>
          </cell>
          <cell r="F400">
            <v>60</v>
          </cell>
          <cell r="G400">
            <v>60.39</v>
          </cell>
          <cell r="H400">
            <v>70</v>
          </cell>
          <cell r="I400">
            <v>60.39</v>
          </cell>
          <cell r="J400">
            <v>46.71</v>
          </cell>
          <cell r="K400">
            <v>55</v>
          </cell>
          <cell r="L400">
            <v>256.66000000000003</v>
          </cell>
          <cell r="M400">
            <v>315</v>
          </cell>
        </row>
        <row r="401">
          <cell r="A401">
            <v>2000021606</v>
          </cell>
          <cell r="B401" t="str">
            <v>REPLACEMENT CANOPY (old collection)</v>
          </cell>
          <cell r="C401" t="str">
            <v>BRITAX AFFINITY</v>
          </cell>
          <cell r="D401" t="str">
            <v>Cactus Green</v>
          </cell>
          <cell r="E401">
            <v>49.43</v>
          </cell>
          <cell r="F401">
            <v>60</v>
          </cell>
          <cell r="G401">
            <v>60.39</v>
          </cell>
          <cell r="H401">
            <v>70</v>
          </cell>
          <cell r="I401">
            <v>60.39</v>
          </cell>
          <cell r="J401">
            <v>46.71</v>
          </cell>
          <cell r="K401">
            <v>55</v>
          </cell>
          <cell r="L401">
            <v>256.66000000000003</v>
          </cell>
          <cell r="M401">
            <v>315</v>
          </cell>
        </row>
        <row r="402">
          <cell r="A402">
            <v>2000021608</v>
          </cell>
          <cell r="B402" t="str">
            <v>REPLACEMENT CANOPY (old collection)</v>
          </cell>
          <cell r="C402" t="str">
            <v>BRITAX AFFINITY</v>
          </cell>
          <cell r="D402" t="str">
            <v>Fossil Brown</v>
          </cell>
          <cell r="E402">
            <v>49.43</v>
          </cell>
          <cell r="F402">
            <v>60</v>
          </cell>
          <cell r="G402">
            <v>60.39</v>
          </cell>
          <cell r="H402">
            <v>70</v>
          </cell>
          <cell r="I402">
            <v>60.39</v>
          </cell>
          <cell r="J402">
            <v>46.71</v>
          </cell>
          <cell r="K402">
            <v>55</v>
          </cell>
          <cell r="L402">
            <v>256.66000000000003</v>
          </cell>
          <cell r="M402">
            <v>315</v>
          </cell>
        </row>
        <row r="403">
          <cell r="A403">
            <v>2000021609</v>
          </cell>
          <cell r="B403" t="str">
            <v>REPLACEMENT CANOPY (old collection)</v>
          </cell>
          <cell r="C403" t="str">
            <v>BRITAX AFFINITY</v>
          </cell>
          <cell r="D403" t="str">
            <v>Blue Sky</v>
          </cell>
          <cell r="E403">
            <v>49.43</v>
          </cell>
          <cell r="F403">
            <v>60</v>
          </cell>
          <cell r="G403">
            <v>60.39</v>
          </cell>
          <cell r="H403">
            <v>70</v>
          </cell>
          <cell r="I403">
            <v>60.39</v>
          </cell>
          <cell r="J403">
            <v>46.71</v>
          </cell>
          <cell r="K403">
            <v>55</v>
          </cell>
          <cell r="L403">
            <v>256.66000000000003</v>
          </cell>
          <cell r="M403">
            <v>315</v>
          </cell>
        </row>
        <row r="404">
          <cell r="A404">
            <v>2000021605</v>
          </cell>
          <cell r="B404" t="str">
            <v>REPLACEMENT CANOPY (old collection)</v>
          </cell>
          <cell r="C404" t="str">
            <v>BRITAX AFFINITY</v>
          </cell>
          <cell r="D404" t="str">
            <v>Black Thunder</v>
          </cell>
          <cell r="E404">
            <v>49.43</v>
          </cell>
          <cell r="F404">
            <v>60</v>
          </cell>
          <cell r="G404">
            <v>60.39</v>
          </cell>
          <cell r="H404">
            <v>70</v>
          </cell>
          <cell r="I404">
            <v>60.39</v>
          </cell>
          <cell r="J404">
            <v>46.71</v>
          </cell>
          <cell r="K404">
            <v>55</v>
          </cell>
          <cell r="L404">
            <v>256.66000000000003</v>
          </cell>
          <cell r="M404">
            <v>315</v>
          </cell>
        </row>
        <row r="405">
          <cell r="A405">
            <v>2000021607</v>
          </cell>
          <cell r="B405" t="str">
            <v>REPLACEMENT CANOPY (old collection)</v>
          </cell>
          <cell r="C405" t="str">
            <v>BRITAX AFFINITY</v>
          </cell>
          <cell r="D405" t="str">
            <v>Cool Berry</v>
          </cell>
          <cell r="E405">
            <v>49.43</v>
          </cell>
          <cell r="F405">
            <v>60</v>
          </cell>
          <cell r="G405">
            <v>60.39</v>
          </cell>
          <cell r="H405">
            <v>70</v>
          </cell>
          <cell r="I405">
            <v>60.39</v>
          </cell>
          <cell r="J405">
            <v>46.71</v>
          </cell>
          <cell r="K405">
            <v>55</v>
          </cell>
          <cell r="L405">
            <v>256.66000000000003</v>
          </cell>
          <cell r="M405">
            <v>315</v>
          </cell>
        </row>
        <row r="406">
          <cell r="A406">
            <v>2000009553</v>
          </cell>
          <cell r="B406" t="str">
            <v>BUMPER BAR (old collections)</v>
          </cell>
          <cell r="C406" t="str">
            <v>BRITAX AFFINITY</v>
          </cell>
          <cell r="D406">
            <v>0</v>
          </cell>
          <cell r="E406">
            <v>13.76</v>
          </cell>
          <cell r="F406">
            <v>20</v>
          </cell>
          <cell r="G406">
            <v>16.82</v>
          </cell>
          <cell r="H406">
            <v>20</v>
          </cell>
          <cell r="I406">
            <v>16.82</v>
          </cell>
          <cell r="J406">
            <v>13</v>
          </cell>
          <cell r="K406">
            <v>15</v>
          </cell>
          <cell r="L406">
            <v>71.489999999999995</v>
          </cell>
          <cell r="M406">
            <v>90</v>
          </cell>
        </row>
        <row r="407">
          <cell r="A407">
            <v>2000026292</v>
          </cell>
          <cell r="B407" t="str">
            <v>BUMPER BAR (2015)</v>
          </cell>
          <cell r="C407" t="str">
            <v>BRITAX AFFINITY</v>
          </cell>
          <cell r="D407">
            <v>0</v>
          </cell>
          <cell r="E407">
            <v>16.5</v>
          </cell>
          <cell r="F407">
            <v>20</v>
          </cell>
          <cell r="G407">
            <v>18.48</v>
          </cell>
          <cell r="H407">
            <v>20</v>
          </cell>
          <cell r="I407">
            <v>22.18</v>
          </cell>
          <cell r="J407">
            <v>15.59</v>
          </cell>
          <cell r="K407">
            <v>20</v>
          </cell>
          <cell r="L407">
            <v>78.540000000000006</v>
          </cell>
          <cell r="M407">
            <v>95</v>
          </cell>
        </row>
        <row r="408">
          <cell r="A408">
            <v>2000009554</v>
          </cell>
          <cell r="B408" t="str">
            <v>BASKET</v>
          </cell>
          <cell r="C408" t="str">
            <v>BRITAX AFFINITY</v>
          </cell>
          <cell r="D408">
            <v>0</v>
          </cell>
          <cell r="E408">
            <v>18.68</v>
          </cell>
          <cell r="F408">
            <v>25</v>
          </cell>
          <cell r="G408">
            <v>22.82</v>
          </cell>
          <cell r="H408">
            <v>25</v>
          </cell>
          <cell r="I408">
            <v>22.82</v>
          </cell>
          <cell r="J408">
            <v>17.649999999999999</v>
          </cell>
          <cell r="K408">
            <v>20</v>
          </cell>
          <cell r="L408">
            <v>96.99</v>
          </cell>
          <cell r="M408">
            <v>120</v>
          </cell>
        </row>
        <row r="409">
          <cell r="A409">
            <v>2000014619</v>
          </cell>
          <cell r="B409" t="str">
            <v>SEAT UNIT</v>
          </cell>
          <cell r="C409" t="str">
            <v>BRITAX AFFINITY</v>
          </cell>
          <cell r="D409" t="str">
            <v>Chrome</v>
          </cell>
          <cell r="E409">
            <v>95.67</v>
          </cell>
          <cell r="F409">
            <v>115</v>
          </cell>
          <cell r="G409">
            <v>107.15</v>
          </cell>
          <cell r="H409">
            <v>130</v>
          </cell>
          <cell r="I409">
            <v>128.58000000000001</v>
          </cell>
          <cell r="L409">
            <v>455.39</v>
          </cell>
          <cell r="M409">
            <v>560</v>
          </cell>
        </row>
        <row r="410">
          <cell r="A410">
            <v>2000010301</v>
          </cell>
          <cell r="B410" t="str">
            <v>RAINCOVER CARRYCOT</v>
          </cell>
          <cell r="C410" t="str">
            <v>BRITAX AFFINITY</v>
          </cell>
          <cell r="D410">
            <v>0</v>
          </cell>
          <cell r="E410">
            <v>11.73</v>
          </cell>
          <cell r="F410">
            <v>15</v>
          </cell>
          <cell r="G410">
            <v>38.6</v>
          </cell>
          <cell r="H410">
            <v>45</v>
          </cell>
          <cell r="I410">
            <v>38.6</v>
          </cell>
          <cell r="J410">
            <v>11.08</v>
          </cell>
          <cell r="K410">
            <v>15</v>
          </cell>
          <cell r="L410">
            <v>164.05</v>
          </cell>
          <cell r="M410">
            <v>200</v>
          </cell>
        </row>
        <row r="411">
          <cell r="A411">
            <v>2000025319</v>
          </cell>
          <cell r="B411" t="str">
            <v xml:space="preserve">FRONT WHEEL SET </v>
          </cell>
          <cell r="C411" t="str">
            <v>BRITAX AFFINITY</v>
          </cell>
          <cell r="D411" t="str">
            <v>Black</v>
          </cell>
          <cell r="E411">
            <v>35.83</v>
          </cell>
          <cell r="F411">
            <v>45</v>
          </cell>
          <cell r="G411">
            <v>40.130000000000003</v>
          </cell>
          <cell r="H411">
            <v>50</v>
          </cell>
          <cell r="I411">
            <v>54.8</v>
          </cell>
          <cell r="J411">
            <v>31.6</v>
          </cell>
          <cell r="K411">
            <v>40</v>
          </cell>
          <cell r="L411">
            <v>170.55</v>
          </cell>
          <cell r="M411">
            <v>210</v>
          </cell>
        </row>
        <row r="412">
          <cell r="A412">
            <v>2000025320</v>
          </cell>
          <cell r="B412" t="str">
            <v xml:space="preserve">FRONT WHEEL SET </v>
          </cell>
          <cell r="C412" t="str">
            <v>BRITAX AFFINITY</v>
          </cell>
          <cell r="D412" t="str">
            <v>Chrome</v>
          </cell>
          <cell r="E412">
            <v>35.83</v>
          </cell>
          <cell r="F412">
            <v>45</v>
          </cell>
          <cell r="G412">
            <v>40.130000000000003</v>
          </cell>
          <cell r="H412">
            <v>50</v>
          </cell>
          <cell r="I412">
            <v>54.8</v>
          </cell>
          <cell r="J412">
            <v>31.6</v>
          </cell>
          <cell r="K412">
            <v>40</v>
          </cell>
          <cell r="L412">
            <v>170.55</v>
          </cell>
          <cell r="M412">
            <v>210</v>
          </cell>
        </row>
        <row r="413">
          <cell r="A413">
            <v>2000025321</v>
          </cell>
          <cell r="B413" t="str">
            <v xml:space="preserve">FRONT WHEEL SET </v>
          </cell>
          <cell r="C413" t="str">
            <v>BRITAX AFFINITY</v>
          </cell>
          <cell r="D413" t="str">
            <v>Silver</v>
          </cell>
          <cell r="E413">
            <v>35.83</v>
          </cell>
          <cell r="F413">
            <v>45</v>
          </cell>
          <cell r="G413">
            <v>40.130000000000003</v>
          </cell>
          <cell r="H413">
            <v>50</v>
          </cell>
          <cell r="I413">
            <v>54.8</v>
          </cell>
          <cell r="J413">
            <v>31.6</v>
          </cell>
          <cell r="K413">
            <v>40</v>
          </cell>
          <cell r="L413">
            <v>170.55</v>
          </cell>
          <cell r="M413">
            <v>210</v>
          </cell>
        </row>
        <row r="414">
          <cell r="A414">
            <v>2000010300</v>
          </cell>
          <cell r="B414" t="str">
            <v>REAR WHEEL SET</v>
          </cell>
          <cell r="C414" t="str">
            <v>BRITAX AFFINITY</v>
          </cell>
          <cell r="D414">
            <v>0</v>
          </cell>
          <cell r="E414">
            <v>63.12</v>
          </cell>
          <cell r="F414">
            <v>80</v>
          </cell>
          <cell r="G414">
            <v>77.12</v>
          </cell>
          <cell r="H414">
            <v>95</v>
          </cell>
          <cell r="I414">
            <v>77.12</v>
          </cell>
          <cell r="J414">
            <v>59.65</v>
          </cell>
          <cell r="K414">
            <v>70</v>
          </cell>
          <cell r="L414">
            <v>327.76</v>
          </cell>
          <cell r="M414">
            <v>405</v>
          </cell>
        </row>
        <row r="415">
          <cell r="A415">
            <v>2000025336</v>
          </cell>
          <cell r="B415" t="str">
            <v xml:space="preserve">HANDLE + HANDLE ADJUSTER </v>
          </cell>
          <cell r="C415" t="str">
            <v>BRITAX AFFINITY</v>
          </cell>
          <cell r="D415" t="str">
            <v>Black</v>
          </cell>
          <cell r="E415">
            <v>49.5</v>
          </cell>
          <cell r="F415">
            <v>60</v>
          </cell>
          <cell r="G415">
            <v>55.44</v>
          </cell>
          <cell r="H415">
            <v>65</v>
          </cell>
          <cell r="I415">
            <v>66.53</v>
          </cell>
          <cell r="J415">
            <v>43.66</v>
          </cell>
          <cell r="K415">
            <v>50</v>
          </cell>
          <cell r="L415">
            <v>235.62</v>
          </cell>
          <cell r="M415">
            <v>290</v>
          </cell>
        </row>
        <row r="416">
          <cell r="A416">
            <v>2000025337</v>
          </cell>
          <cell r="B416" t="str">
            <v xml:space="preserve">HANDLE + HANDLE ADJUSTER </v>
          </cell>
          <cell r="C416" t="str">
            <v>BRITAX AFFINITY</v>
          </cell>
          <cell r="D416" t="str">
            <v>Chome</v>
          </cell>
          <cell r="E416">
            <v>49.5</v>
          </cell>
          <cell r="F416">
            <v>60</v>
          </cell>
          <cell r="G416">
            <v>55.44</v>
          </cell>
          <cell r="H416">
            <v>65</v>
          </cell>
          <cell r="I416">
            <v>66.53</v>
          </cell>
          <cell r="J416">
            <v>43.66</v>
          </cell>
          <cell r="K416">
            <v>50</v>
          </cell>
          <cell r="L416">
            <v>235.62</v>
          </cell>
          <cell r="M416">
            <v>290</v>
          </cell>
        </row>
        <row r="417">
          <cell r="A417">
            <v>2000025338</v>
          </cell>
          <cell r="B417" t="str">
            <v xml:space="preserve">HANDLE + HANDLE ADJUSTER </v>
          </cell>
          <cell r="C417" t="str">
            <v>BRITAX AFFINITY</v>
          </cell>
          <cell r="D417" t="str">
            <v>Silver</v>
          </cell>
          <cell r="E417">
            <v>49.5</v>
          </cell>
          <cell r="F417">
            <v>60</v>
          </cell>
          <cell r="G417">
            <v>55.44</v>
          </cell>
          <cell r="H417">
            <v>65</v>
          </cell>
          <cell r="I417">
            <v>66.53</v>
          </cell>
          <cell r="J417">
            <v>43.66</v>
          </cell>
          <cell r="K417">
            <v>50</v>
          </cell>
          <cell r="L417">
            <v>235.62</v>
          </cell>
          <cell r="M417">
            <v>290</v>
          </cell>
        </row>
        <row r="418">
          <cell r="A418">
            <v>2000025339</v>
          </cell>
          <cell r="B418" t="str">
            <v>CHASSIS</v>
          </cell>
          <cell r="C418" t="str">
            <v>BRITAX AFFINITY</v>
          </cell>
          <cell r="D418" t="str">
            <v>Black</v>
          </cell>
          <cell r="E418">
            <v>309.72000000000003</v>
          </cell>
          <cell r="F418">
            <v>370</v>
          </cell>
          <cell r="G418">
            <v>346.88</v>
          </cell>
          <cell r="H418">
            <v>415</v>
          </cell>
          <cell r="I418">
            <v>416.26</v>
          </cell>
          <cell r="J418">
            <v>273.17</v>
          </cell>
          <cell r="K418">
            <v>330</v>
          </cell>
          <cell r="L418">
            <v>1474.24</v>
          </cell>
          <cell r="M418">
            <v>1815</v>
          </cell>
        </row>
        <row r="419">
          <cell r="A419">
            <v>2000025340</v>
          </cell>
          <cell r="B419" t="str">
            <v>CHASSIS</v>
          </cell>
          <cell r="C419" t="str">
            <v>BRITAX AFFINITY</v>
          </cell>
          <cell r="D419" t="str">
            <v>Chrome</v>
          </cell>
          <cell r="E419">
            <v>309.72000000000003</v>
          </cell>
          <cell r="F419">
            <v>370</v>
          </cell>
          <cell r="G419">
            <v>346.88</v>
          </cell>
          <cell r="H419">
            <v>415</v>
          </cell>
          <cell r="I419">
            <v>416.26</v>
          </cell>
          <cell r="J419">
            <v>273.17</v>
          </cell>
          <cell r="K419">
            <v>330</v>
          </cell>
          <cell r="L419">
            <v>1474.24</v>
          </cell>
          <cell r="M419">
            <v>1815</v>
          </cell>
        </row>
        <row r="420">
          <cell r="A420">
            <v>2000025342</v>
          </cell>
          <cell r="B420" t="str">
            <v>CHASSIS</v>
          </cell>
          <cell r="C420" t="str">
            <v>BRITAX AFFINITY</v>
          </cell>
          <cell r="D420" t="str">
            <v>White</v>
          </cell>
          <cell r="E420">
            <v>309.72000000000003</v>
          </cell>
          <cell r="F420">
            <v>370</v>
          </cell>
          <cell r="G420">
            <v>346.88</v>
          </cell>
          <cell r="H420">
            <v>415</v>
          </cell>
          <cell r="I420">
            <v>416.26</v>
          </cell>
          <cell r="J420">
            <v>273.17</v>
          </cell>
          <cell r="K420">
            <v>330</v>
          </cell>
          <cell r="L420">
            <v>1474.24</v>
          </cell>
          <cell r="M420">
            <v>1815</v>
          </cell>
        </row>
        <row r="421">
          <cell r="A421">
            <v>2000025341</v>
          </cell>
          <cell r="B421" t="str">
            <v>CHASSIS</v>
          </cell>
          <cell r="C421" t="str">
            <v>BRITAX AFFINITY</v>
          </cell>
          <cell r="D421" t="str">
            <v>Silver</v>
          </cell>
          <cell r="E421">
            <v>309.72000000000003</v>
          </cell>
          <cell r="F421">
            <v>370</v>
          </cell>
          <cell r="G421">
            <v>346.88</v>
          </cell>
          <cell r="H421">
            <v>415</v>
          </cell>
          <cell r="I421">
            <v>416.26</v>
          </cell>
          <cell r="J421">
            <v>273.17</v>
          </cell>
          <cell r="K421">
            <v>330</v>
          </cell>
          <cell r="L421">
            <v>1474.24</v>
          </cell>
          <cell r="M421">
            <v>1815</v>
          </cell>
        </row>
        <row r="422">
          <cell r="A422">
            <v>2000025435</v>
          </cell>
          <cell r="B422" t="str">
            <v xml:space="preserve">BRAKE REPAIR KIT </v>
          </cell>
          <cell r="C422" t="str">
            <v>BRITAX AFFINITY</v>
          </cell>
          <cell r="D422" t="str">
            <v>Black</v>
          </cell>
          <cell r="E422">
            <v>44</v>
          </cell>
          <cell r="F422">
            <v>53</v>
          </cell>
          <cell r="G422">
            <v>49.28</v>
          </cell>
          <cell r="H422">
            <v>60</v>
          </cell>
          <cell r="I422">
            <v>59.14</v>
          </cell>
          <cell r="J422">
            <v>38.81</v>
          </cell>
          <cell r="K422">
            <v>45</v>
          </cell>
          <cell r="L422">
            <v>209.44</v>
          </cell>
          <cell r="M422">
            <v>260</v>
          </cell>
        </row>
        <row r="423">
          <cell r="A423">
            <v>2000025447</v>
          </cell>
          <cell r="B423" t="str">
            <v xml:space="preserve">BRAKE REPAIR KIT </v>
          </cell>
          <cell r="C423" t="str">
            <v>BRITAX AFFINITY</v>
          </cell>
          <cell r="D423" t="str">
            <v>Silver</v>
          </cell>
          <cell r="E423">
            <v>44</v>
          </cell>
          <cell r="F423">
            <v>53</v>
          </cell>
          <cell r="G423">
            <v>49.28</v>
          </cell>
          <cell r="H423">
            <v>60</v>
          </cell>
          <cell r="I423">
            <v>59.14</v>
          </cell>
          <cell r="J423">
            <v>38.81</v>
          </cell>
          <cell r="K423">
            <v>45</v>
          </cell>
          <cell r="L423">
            <v>209.44</v>
          </cell>
          <cell r="M423">
            <v>260</v>
          </cell>
        </row>
        <row r="424">
          <cell r="A424">
            <v>2000025448</v>
          </cell>
          <cell r="B424" t="str">
            <v xml:space="preserve">BRAKE REPAIR KIT </v>
          </cell>
          <cell r="C424" t="str">
            <v>BRITAX AFFINITY</v>
          </cell>
          <cell r="D424" t="str">
            <v>Chrome</v>
          </cell>
          <cell r="E424">
            <v>44</v>
          </cell>
          <cell r="F424">
            <v>53</v>
          </cell>
          <cell r="G424">
            <v>49.28</v>
          </cell>
          <cell r="H424">
            <v>60</v>
          </cell>
          <cell r="I424">
            <v>59.14</v>
          </cell>
          <cell r="J424">
            <v>38.81</v>
          </cell>
          <cell r="K424">
            <v>45</v>
          </cell>
          <cell r="L424">
            <v>209.44</v>
          </cell>
          <cell r="M424">
            <v>260</v>
          </cell>
        </row>
        <row r="425">
          <cell r="A425">
            <v>2000012225</v>
          </cell>
          <cell r="B425" t="str">
            <v>INNER TUBE AIR TYRE</v>
          </cell>
          <cell r="C425" t="str">
            <v>BRITAX AFFINITY</v>
          </cell>
          <cell r="D425">
            <v>0</v>
          </cell>
          <cell r="E425">
            <v>12.44</v>
          </cell>
          <cell r="F425">
            <v>15</v>
          </cell>
          <cell r="G425">
            <v>15.2</v>
          </cell>
          <cell r="H425">
            <v>20</v>
          </cell>
          <cell r="I425">
            <v>15.2</v>
          </cell>
          <cell r="J425">
            <v>11.76</v>
          </cell>
          <cell r="K425">
            <v>15</v>
          </cell>
          <cell r="L425">
            <v>64.599999999999994</v>
          </cell>
          <cell r="M425">
            <v>80</v>
          </cell>
        </row>
        <row r="426">
          <cell r="A426">
            <v>2000025322</v>
          </cell>
          <cell r="B426" t="str">
            <v>REAR WHEEL SET</v>
          </cell>
          <cell r="C426" t="str">
            <v>BRITAX AFFINITY 2</v>
          </cell>
          <cell r="D426">
            <v>0</v>
          </cell>
          <cell r="E426">
            <v>79.2</v>
          </cell>
          <cell r="F426">
            <v>95</v>
          </cell>
          <cell r="G426">
            <v>88.7</v>
          </cell>
          <cell r="H426">
            <v>105</v>
          </cell>
          <cell r="I426">
            <v>106.44</v>
          </cell>
          <cell r="J426">
            <v>69.849999999999994</v>
          </cell>
          <cell r="K426">
            <v>85</v>
          </cell>
          <cell r="L426">
            <v>376.98</v>
          </cell>
          <cell r="M426">
            <v>465</v>
          </cell>
        </row>
        <row r="427">
          <cell r="A427">
            <v>2000025330</v>
          </cell>
          <cell r="B427" t="str">
            <v>HOOD</v>
          </cell>
          <cell r="C427" t="str">
            <v>BRITAX AFFINITY 2</v>
          </cell>
          <cell r="D427" t="str">
            <v>Cosmos Black</v>
          </cell>
          <cell r="E427">
            <v>53.9</v>
          </cell>
          <cell r="F427">
            <v>65</v>
          </cell>
          <cell r="G427">
            <v>60.37</v>
          </cell>
          <cell r="H427">
            <v>70</v>
          </cell>
          <cell r="I427">
            <v>72.44</v>
          </cell>
          <cell r="J427">
            <v>47.54</v>
          </cell>
          <cell r="K427">
            <v>55</v>
          </cell>
          <cell r="L427">
            <v>256.57</v>
          </cell>
          <cell r="M427">
            <v>315</v>
          </cell>
        </row>
        <row r="428">
          <cell r="A428">
            <v>2000025331</v>
          </cell>
          <cell r="B428" t="str">
            <v>HOOD</v>
          </cell>
          <cell r="C428" t="str">
            <v>BRITAX AFFINITY 2</v>
          </cell>
          <cell r="D428" t="str">
            <v>Flame Red</v>
          </cell>
          <cell r="E428">
            <v>53.9</v>
          </cell>
          <cell r="F428">
            <v>65</v>
          </cell>
          <cell r="G428">
            <v>60.37</v>
          </cell>
          <cell r="H428">
            <v>70</v>
          </cell>
          <cell r="I428">
            <v>72.44</v>
          </cell>
          <cell r="J428">
            <v>47.54</v>
          </cell>
          <cell r="K428">
            <v>55</v>
          </cell>
          <cell r="L428">
            <v>256.57</v>
          </cell>
          <cell r="M428">
            <v>315</v>
          </cell>
        </row>
        <row r="429">
          <cell r="A429">
            <v>2000025332</v>
          </cell>
          <cell r="B429" t="str">
            <v>HOOD</v>
          </cell>
          <cell r="C429" t="str">
            <v>BRITAX AFFINITY 2</v>
          </cell>
          <cell r="D429" t="str">
            <v>Lagoon Green</v>
          </cell>
          <cell r="E429">
            <v>53.9</v>
          </cell>
          <cell r="F429">
            <v>65</v>
          </cell>
          <cell r="G429">
            <v>60.37</v>
          </cell>
          <cell r="H429">
            <v>70</v>
          </cell>
          <cell r="I429">
            <v>72.44</v>
          </cell>
          <cell r="J429">
            <v>47.54</v>
          </cell>
          <cell r="K429">
            <v>55</v>
          </cell>
          <cell r="L429">
            <v>256.57</v>
          </cell>
          <cell r="M429">
            <v>315</v>
          </cell>
        </row>
        <row r="430">
          <cell r="A430">
            <v>2000025333</v>
          </cell>
          <cell r="B430" t="str">
            <v>HOOD</v>
          </cell>
          <cell r="C430" t="str">
            <v>BRITAX AFFINITY 2</v>
          </cell>
          <cell r="D430" t="str">
            <v>Ocean Blue</v>
          </cell>
          <cell r="E430">
            <v>53.9</v>
          </cell>
          <cell r="F430">
            <v>65</v>
          </cell>
          <cell r="G430">
            <v>60.37</v>
          </cell>
          <cell r="H430">
            <v>70</v>
          </cell>
          <cell r="I430">
            <v>72.44</v>
          </cell>
          <cell r="J430">
            <v>47.54</v>
          </cell>
          <cell r="K430">
            <v>55</v>
          </cell>
          <cell r="L430">
            <v>256.57</v>
          </cell>
          <cell r="M430">
            <v>315</v>
          </cell>
        </row>
        <row r="431">
          <cell r="A431">
            <v>2000025334</v>
          </cell>
          <cell r="B431" t="str">
            <v>HOOD</v>
          </cell>
          <cell r="C431" t="str">
            <v>BRITAX AFFINITY 2</v>
          </cell>
          <cell r="D431" t="str">
            <v>Wood Brown</v>
          </cell>
          <cell r="E431">
            <v>53.9</v>
          </cell>
          <cell r="F431">
            <v>65</v>
          </cell>
          <cell r="G431">
            <v>60.37</v>
          </cell>
          <cell r="H431">
            <v>70</v>
          </cell>
          <cell r="I431">
            <v>72.44</v>
          </cell>
          <cell r="J431">
            <v>47.54</v>
          </cell>
          <cell r="K431">
            <v>55</v>
          </cell>
          <cell r="L431">
            <v>256.57</v>
          </cell>
          <cell r="M431">
            <v>315</v>
          </cell>
        </row>
        <row r="432">
          <cell r="A432">
            <v>2000025335</v>
          </cell>
          <cell r="B432" t="str">
            <v>HOOD</v>
          </cell>
          <cell r="C432" t="str">
            <v>BRITAX AFFINITY 2</v>
          </cell>
          <cell r="D432" t="str">
            <v>Mineral Lilac</v>
          </cell>
          <cell r="E432">
            <v>53.9</v>
          </cell>
          <cell r="F432">
            <v>65</v>
          </cell>
          <cell r="G432">
            <v>60.37</v>
          </cell>
          <cell r="H432">
            <v>70</v>
          </cell>
          <cell r="I432">
            <v>72.44</v>
          </cell>
          <cell r="J432">
            <v>47.54</v>
          </cell>
          <cell r="K432">
            <v>55</v>
          </cell>
          <cell r="L432">
            <v>256.57</v>
          </cell>
          <cell r="M432">
            <v>315</v>
          </cell>
        </row>
        <row r="433">
          <cell r="A433">
            <v>2000025324</v>
          </cell>
          <cell r="B433" t="str">
            <v>SEAT UNIT COMPLETE WITH FABRICS</v>
          </cell>
          <cell r="C433" t="str">
            <v>BRITAX AFFINITY 2</v>
          </cell>
          <cell r="D433" t="str">
            <v>Black</v>
          </cell>
          <cell r="E433">
            <v>99</v>
          </cell>
          <cell r="F433">
            <v>120</v>
          </cell>
          <cell r="G433">
            <v>110.88</v>
          </cell>
          <cell r="H433">
            <v>135</v>
          </cell>
          <cell r="I433">
            <v>133.06</v>
          </cell>
          <cell r="L433">
            <v>471.24</v>
          </cell>
          <cell r="M433">
            <v>580</v>
          </cell>
        </row>
        <row r="434">
          <cell r="A434">
            <v>2000025325</v>
          </cell>
          <cell r="B434" t="str">
            <v>SEAT UNIT COMPLETE WITH FABRICS</v>
          </cell>
          <cell r="C434" t="str">
            <v>BRITAX AFFINITY 2</v>
          </cell>
          <cell r="D434" t="str">
            <v>Chrome</v>
          </cell>
          <cell r="E434">
            <v>99</v>
          </cell>
          <cell r="F434">
            <v>120</v>
          </cell>
          <cell r="G434">
            <v>110.88</v>
          </cell>
          <cell r="H434">
            <v>135</v>
          </cell>
          <cell r="I434">
            <v>133.06</v>
          </cell>
          <cell r="L434">
            <v>471.24</v>
          </cell>
          <cell r="M434">
            <v>580</v>
          </cell>
        </row>
        <row r="435">
          <cell r="A435">
            <v>2000025326</v>
          </cell>
          <cell r="B435" t="str">
            <v>SEAT UNIT COMPLETE WITH FABRICS</v>
          </cell>
          <cell r="C435" t="str">
            <v>BRITAX AFFINITY 2</v>
          </cell>
          <cell r="D435" t="str">
            <v>Silver</v>
          </cell>
          <cell r="E435">
            <v>99</v>
          </cell>
          <cell r="F435">
            <v>120</v>
          </cell>
          <cell r="G435">
            <v>110.88</v>
          </cell>
          <cell r="H435">
            <v>135</v>
          </cell>
          <cell r="I435">
            <v>133.06</v>
          </cell>
          <cell r="L435">
            <v>471.24</v>
          </cell>
          <cell r="M435">
            <v>580</v>
          </cell>
        </row>
        <row r="436">
          <cell r="A436">
            <v>2000025323</v>
          </cell>
          <cell r="B436" t="str">
            <v>BASKET</v>
          </cell>
          <cell r="C436" t="str">
            <v>BRITAX AFFINITY 2</v>
          </cell>
          <cell r="D436" t="str">
            <v>Black</v>
          </cell>
          <cell r="E436">
            <v>18.68</v>
          </cell>
          <cell r="F436">
            <v>25</v>
          </cell>
          <cell r="G436">
            <v>20.92</v>
          </cell>
          <cell r="H436">
            <v>25</v>
          </cell>
          <cell r="I436">
            <v>25.1</v>
          </cell>
          <cell r="J436">
            <v>16.48</v>
          </cell>
          <cell r="K436">
            <v>20</v>
          </cell>
          <cell r="L436">
            <v>88.91</v>
          </cell>
          <cell r="M436">
            <v>110</v>
          </cell>
        </row>
        <row r="437">
          <cell r="A437">
            <v>2000012156</v>
          </cell>
          <cell r="B437" t="str">
            <v xml:space="preserve">CHASSIS </v>
          </cell>
          <cell r="C437" t="str">
            <v>BRITAX GO</v>
          </cell>
          <cell r="D437" t="str">
            <v xml:space="preserve">White </v>
          </cell>
          <cell r="E437">
            <v>265.58</v>
          </cell>
          <cell r="F437">
            <v>320</v>
          </cell>
          <cell r="G437">
            <v>324.49</v>
          </cell>
          <cell r="H437">
            <v>390</v>
          </cell>
          <cell r="I437">
            <v>324.49</v>
          </cell>
          <cell r="J437">
            <v>250.97</v>
          </cell>
          <cell r="K437">
            <v>300</v>
          </cell>
          <cell r="L437">
            <v>1379.08</v>
          </cell>
          <cell r="M437">
            <v>1695</v>
          </cell>
        </row>
        <row r="438">
          <cell r="A438">
            <v>2000012157</v>
          </cell>
          <cell r="B438" t="str">
            <v xml:space="preserve">CHASSIS </v>
          </cell>
          <cell r="C438" t="str">
            <v>BRITAX GO</v>
          </cell>
          <cell r="D438" t="str">
            <v>Black</v>
          </cell>
          <cell r="E438">
            <v>265.58</v>
          </cell>
          <cell r="F438">
            <v>320</v>
          </cell>
          <cell r="G438">
            <v>324.49</v>
          </cell>
          <cell r="H438">
            <v>390</v>
          </cell>
          <cell r="I438">
            <v>324.49</v>
          </cell>
          <cell r="J438">
            <v>250.97</v>
          </cell>
          <cell r="K438">
            <v>300</v>
          </cell>
          <cell r="L438">
            <v>1379.08</v>
          </cell>
          <cell r="M438">
            <v>1695</v>
          </cell>
        </row>
        <row r="439">
          <cell r="A439">
            <v>2000012160</v>
          </cell>
          <cell r="B439" t="str">
            <v xml:space="preserve">REAR WHEEL SET </v>
          </cell>
          <cell r="C439" t="str">
            <v>BRITAX GO</v>
          </cell>
          <cell r="D439">
            <v>0</v>
          </cell>
          <cell r="E439">
            <v>44.75</v>
          </cell>
          <cell r="F439">
            <v>55</v>
          </cell>
          <cell r="G439">
            <v>54.68</v>
          </cell>
          <cell r="H439">
            <v>65</v>
          </cell>
          <cell r="I439">
            <v>54.68</v>
          </cell>
          <cell r="J439">
            <v>42.29</v>
          </cell>
          <cell r="K439">
            <v>50</v>
          </cell>
          <cell r="L439">
            <v>232.39</v>
          </cell>
          <cell r="M439">
            <v>285</v>
          </cell>
        </row>
        <row r="440">
          <cell r="A440">
            <v>2000012162</v>
          </cell>
          <cell r="B440" t="str">
            <v xml:space="preserve">FRONT WHEEL SET </v>
          </cell>
          <cell r="C440" t="str">
            <v>BRITAX GO</v>
          </cell>
          <cell r="D440">
            <v>0</v>
          </cell>
          <cell r="E440">
            <v>69.459999999999994</v>
          </cell>
          <cell r="F440">
            <v>85</v>
          </cell>
          <cell r="G440">
            <v>84.87</v>
          </cell>
          <cell r="H440">
            <v>100</v>
          </cell>
          <cell r="I440">
            <v>84.87</v>
          </cell>
          <cell r="J440">
            <v>65.64</v>
          </cell>
          <cell r="K440">
            <v>80</v>
          </cell>
          <cell r="L440">
            <v>360.7</v>
          </cell>
          <cell r="M440">
            <v>445</v>
          </cell>
        </row>
        <row r="441">
          <cell r="A441">
            <v>2000026629</v>
          </cell>
          <cell r="B441" t="str">
            <v>COUNTRY WHEEL SPARE AXLE AND JOINT</v>
          </cell>
          <cell r="C441" t="str">
            <v>BRITAX GO</v>
          </cell>
          <cell r="D441">
            <v>0</v>
          </cell>
          <cell r="E441">
            <v>16.809999999999999</v>
          </cell>
          <cell r="F441">
            <v>30</v>
          </cell>
          <cell r="G441">
            <v>18.829999999999998</v>
          </cell>
          <cell r="H441">
            <v>25</v>
          </cell>
          <cell r="I441">
            <v>18.829999999999998</v>
          </cell>
          <cell r="J441" t="str">
            <v>n.a.</v>
          </cell>
          <cell r="K441" t="str">
            <v>n.a.</v>
          </cell>
          <cell r="L441">
            <v>80.03</v>
          </cell>
          <cell r="M441">
            <v>100</v>
          </cell>
        </row>
        <row r="442">
          <cell r="A442">
            <v>2000012167</v>
          </cell>
          <cell r="B442" t="str">
            <v xml:space="preserve">TEXTIL BASKET </v>
          </cell>
          <cell r="C442" t="str">
            <v>BRITAX GO</v>
          </cell>
          <cell r="D442">
            <v>0</v>
          </cell>
          <cell r="E442">
            <v>27.56</v>
          </cell>
          <cell r="F442">
            <v>35</v>
          </cell>
          <cell r="G442">
            <v>33.67</v>
          </cell>
          <cell r="H442">
            <v>40</v>
          </cell>
          <cell r="I442">
            <v>33.67</v>
          </cell>
          <cell r="J442">
            <v>26.04</v>
          </cell>
          <cell r="K442">
            <v>30</v>
          </cell>
          <cell r="L442">
            <v>143.1</v>
          </cell>
          <cell r="M442">
            <v>175</v>
          </cell>
        </row>
        <row r="443">
          <cell r="A443">
            <v>2000023199</v>
          </cell>
          <cell r="B443" t="str">
            <v>SEAT UNIT</v>
          </cell>
          <cell r="C443" t="str">
            <v>BRITAX GO</v>
          </cell>
          <cell r="D443" t="str">
            <v>Cosmos Black/
Black Frame</v>
          </cell>
          <cell r="E443">
            <v>246.42</v>
          </cell>
          <cell r="F443">
            <v>295</v>
          </cell>
          <cell r="G443">
            <v>301.08999999999997</v>
          </cell>
          <cell r="H443">
            <v>360</v>
          </cell>
          <cell r="I443">
            <v>301.08999999999997</v>
          </cell>
          <cell r="J443">
            <v>232.87</v>
          </cell>
          <cell r="K443">
            <v>280</v>
          </cell>
          <cell r="L443">
            <v>1279.6300000000001</v>
          </cell>
          <cell r="M443">
            <v>1575</v>
          </cell>
        </row>
        <row r="444">
          <cell r="A444">
            <v>2000023200</v>
          </cell>
          <cell r="B444" t="str">
            <v>SEAT UNIT</v>
          </cell>
          <cell r="C444" t="str">
            <v>BRITAX GO</v>
          </cell>
          <cell r="D444" t="str">
            <v>Ocean Navy/
Black Frame</v>
          </cell>
          <cell r="E444">
            <v>246.42</v>
          </cell>
          <cell r="F444">
            <v>295</v>
          </cell>
          <cell r="G444">
            <v>301.08999999999997</v>
          </cell>
          <cell r="H444">
            <v>360</v>
          </cell>
          <cell r="I444">
            <v>301.08999999999997</v>
          </cell>
          <cell r="J444">
            <v>232.87</v>
          </cell>
          <cell r="K444">
            <v>280</v>
          </cell>
          <cell r="L444">
            <v>1279.6300000000001</v>
          </cell>
          <cell r="M444">
            <v>1575</v>
          </cell>
        </row>
        <row r="445">
          <cell r="A445">
            <v>2000023201</v>
          </cell>
          <cell r="B445" t="str">
            <v>SEAT UNIT</v>
          </cell>
          <cell r="C445" t="str">
            <v>BRITAX GO</v>
          </cell>
          <cell r="D445" t="str">
            <v>Wood Brown/
Black Frame</v>
          </cell>
          <cell r="E445">
            <v>246.42</v>
          </cell>
          <cell r="F445">
            <v>295</v>
          </cell>
          <cell r="G445">
            <v>301.08999999999997</v>
          </cell>
          <cell r="H445">
            <v>360</v>
          </cell>
          <cell r="I445">
            <v>301.08999999999997</v>
          </cell>
          <cell r="J445">
            <v>232.87</v>
          </cell>
          <cell r="K445">
            <v>280</v>
          </cell>
          <cell r="L445">
            <v>1279.6300000000001</v>
          </cell>
          <cell r="M445">
            <v>1575</v>
          </cell>
        </row>
        <row r="446">
          <cell r="A446">
            <v>2000023202</v>
          </cell>
          <cell r="B446" t="str">
            <v>SEAT UNIT</v>
          </cell>
          <cell r="C446" t="str">
            <v>BRITAX GO</v>
          </cell>
          <cell r="D446" t="str">
            <v>Flame Red/
Black Frame</v>
          </cell>
          <cell r="E446">
            <v>246.42</v>
          </cell>
          <cell r="F446">
            <v>295</v>
          </cell>
          <cell r="G446">
            <v>301.08999999999997</v>
          </cell>
          <cell r="H446">
            <v>360</v>
          </cell>
          <cell r="I446">
            <v>301.08999999999997</v>
          </cell>
          <cell r="J446">
            <v>232.87</v>
          </cell>
          <cell r="K446">
            <v>280</v>
          </cell>
          <cell r="L446">
            <v>1279.6300000000001</v>
          </cell>
          <cell r="M446">
            <v>1575</v>
          </cell>
        </row>
        <row r="447">
          <cell r="A447">
            <v>2000023203</v>
          </cell>
          <cell r="B447" t="str">
            <v>SEAT UNIT</v>
          </cell>
          <cell r="C447" t="str">
            <v>BRITAX GO</v>
          </cell>
          <cell r="D447" t="str">
            <v>Steel Grey/
White Frame</v>
          </cell>
          <cell r="E447">
            <v>246.42</v>
          </cell>
          <cell r="F447">
            <v>295</v>
          </cell>
          <cell r="G447">
            <v>301.08999999999997</v>
          </cell>
          <cell r="H447">
            <v>360</v>
          </cell>
          <cell r="I447">
            <v>301.08999999999997</v>
          </cell>
          <cell r="J447">
            <v>232.87</v>
          </cell>
          <cell r="K447">
            <v>280</v>
          </cell>
          <cell r="L447">
            <v>1279.6300000000001</v>
          </cell>
          <cell r="M447">
            <v>1575</v>
          </cell>
        </row>
        <row r="448">
          <cell r="A448">
            <v>2000023204</v>
          </cell>
          <cell r="B448" t="str">
            <v>SEAT UNIT</v>
          </cell>
          <cell r="C448" t="str">
            <v>BRITAX GO</v>
          </cell>
          <cell r="D448" t="str">
            <v>Mineral Purple/
White Frame</v>
          </cell>
          <cell r="E448">
            <v>246.42</v>
          </cell>
          <cell r="F448">
            <v>295</v>
          </cell>
          <cell r="G448">
            <v>301.08999999999997</v>
          </cell>
          <cell r="H448">
            <v>360</v>
          </cell>
          <cell r="I448">
            <v>301.08999999999997</v>
          </cell>
          <cell r="J448">
            <v>232.87</v>
          </cell>
          <cell r="K448">
            <v>280</v>
          </cell>
          <cell r="L448">
            <v>1279.6300000000001</v>
          </cell>
          <cell r="M448">
            <v>1575</v>
          </cell>
        </row>
        <row r="449">
          <cell r="A449">
            <v>2000012140</v>
          </cell>
          <cell r="B449" t="str">
            <v>SEAT UNIT</v>
          </cell>
          <cell r="C449" t="str">
            <v>BRITAX GO</v>
          </cell>
          <cell r="D449" t="str">
            <v>Black Thunder/
Black Frame</v>
          </cell>
          <cell r="E449">
            <v>165.67</v>
          </cell>
          <cell r="F449">
            <v>200</v>
          </cell>
          <cell r="G449">
            <v>202.42</v>
          </cell>
          <cell r="H449">
            <v>245</v>
          </cell>
          <cell r="I449">
            <v>202.42</v>
          </cell>
          <cell r="J449">
            <v>156.56</v>
          </cell>
          <cell r="K449">
            <v>190</v>
          </cell>
          <cell r="L449">
            <v>860.29</v>
          </cell>
          <cell r="M449">
            <v>1060</v>
          </cell>
        </row>
        <row r="450">
          <cell r="A450">
            <v>2000012141</v>
          </cell>
          <cell r="B450" t="str">
            <v>SEAT UNIT</v>
          </cell>
          <cell r="C450" t="str">
            <v>BRITAX GO</v>
          </cell>
          <cell r="D450" t="str">
            <v>Chili Pepper/
Black Frame</v>
          </cell>
          <cell r="E450">
            <v>165.67</v>
          </cell>
          <cell r="F450">
            <v>200</v>
          </cell>
          <cell r="G450">
            <v>202.42</v>
          </cell>
          <cell r="H450">
            <v>245</v>
          </cell>
          <cell r="I450">
            <v>202.42</v>
          </cell>
          <cell r="J450">
            <v>156.56</v>
          </cell>
          <cell r="K450">
            <v>190</v>
          </cell>
          <cell r="L450">
            <v>860.29</v>
          </cell>
          <cell r="M450">
            <v>1060</v>
          </cell>
        </row>
        <row r="451">
          <cell r="A451">
            <v>2000012142</v>
          </cell>
          <cell r="B451" t="str">
            <v>SEAT UNIT</v>
          </cell>
          <cell r="C451" t="str">
            <v>BRITAX GO</v>
          </cell>
          <cell r="D451" t="str">
            <v>Cool Berry/
White Frame</v>
          </cell>
          <cell r="E451">
            <v>165.67</v>
          </cell>
          <cell r="F451">
            <v>200</v>
          </cell>
          <cell r="G451">
            <v>202.42</v>
          </cell>
          <cell r="H451">
            <v>245</v>
          </cell>
          <cell r="I451">
            <v>202.42</v>
          </cell>
          <cell r="J451">
            <v>156.56</v>
          </cell>
          <cell r="K451">
            <v>190</v>
          </cell>
          <cell r="L451">
            <v>860.29</v>
          </cell>
          <cell r="M451">
            <v>1060</v>
          </cell>
        </row>
        <row r="452">
          <cell r="A452">
            <v>2000012143</v>
          </cell>
          <cell r="B452" t="str">
            <v>SEAT UNIT</v>
          </cell>
          <cell r="C452" t="str">
            <v>BRITAX GO</v>
          </cell>
          <cell r="D452" t="str">
            <v>Blue Sky/
White Frame</v>
          </cell>
          <cell r="E452">
            <v>165.67</v>
          </cell>
          <cell r="F452">
            <v>200</v>
          </cell>
          <cell r="G452">
            <v>202.42</v>
          </cell>
          <cell r="H452">
            <v>245</v>
          </cell>
          <cell r="I452">
            <v>202.42</v>
          </cell>
          <cell r="J452">
            <v>156.56</v>
          </cell>
          <cell r="K452">
            <v>190</v>
          </cell>
          <cell r="L452">
            <v>860.29</v>
          </cell>
          <cell r="M452">
            <v>1060</v>
          </cell>
        </row>
        <row r="453">
          <cell r="A453">
            <v>2000012144</v>
          </cell>
          <cell r="B453" t="str">
            <v>SEAT UNIT</v>
          </cell>
          <cell r="C453" t="str">
            <v>BRITAX GO</v>
          </cell>
          <cell r="D453" t="str">
            <v>Charcoal Grey/
Black Frame</v>
          </cell>
          <cell r="E453">
            <v>165.67</v>
          </cell>
          <cell r="F453">
            <v>200</v>
          </cell>
          <cell r="G453">
            <v>202.42</v>
          </cell>
          <cell r="H453">
            <v>245</v>
          </cell>
          <cell r="I453">
            <v>202.42</v>
          </cell>
          <cell r="J453">
            <v>156.56</v>
          </cell>
          <cell r="K453">
            <v>190</v>
          </cell>
          <cell r="L453">
            <v>860.29</v>
          </cell>
          <cell r="M453">
            <v>1060</v>
          </cell>
        </row>
        <row r="454">
          <cell r="A454">
            <v>2000026690</v>
          </cell>
          <cell r="B454" t="str">
            <v>SEAT UNIT</v>
          </cell>
          <cell r="C454" t="str">
            <v>BRITAX GO</v>
          </cell>
          <cell r="D454" t="str">
            <v>Olive Green/ Black Frame</v>
          </cell>
          <cell r="E454">
            <v>165.67</v>
          </cell>
          <cell r="F454">
            <v>295</v>
          </cell>
          <cell r="G454">
            <v>185.55</v>
          </cell>
          <cell r="H454">
            <v>225</v>
          </cell>
          <cell r="I454">
            <v>185.55</v>
          </cell>
          <cell r="J454">
            <v>156.56</v>
          </cell>
          <cell r="K454">
            <v>190</v>
          </cell>
          <cell r="L454">
            <v>788.59</v>
          </cell>
          <cell r="M454">
            <v>970</v>
          </cell>
        </row>
        <row r="455">
          <cell r="A455">
            <v>2000012145</v>
          </cell>
          <cell r="B455" t="str">
            <v>SEAT UNIT</v>
          </cell>
          <cell r="C455" t="str">
            <v>BRITAX GO</v>
          </cell>
          <cell r="D455" t="str">
            <v>Navy/White Frame</v>
          </cell>
          <cell r="E455">
            <v>165.67</v>
          </cell>
          <cell r="F455">
            <v>200</v>
          </cell>
          <cell r="G455">
            <v>202.42</v>
          </cell>
          <cell r="H455">
            <v>245</v>
          </cell>
          <cell r="I455">
            <v>202.42</v>
          </cell>
          <cell r="J455">
            <v>156.56</v>
          </cell>
          <cell r="K455">
            <v>190</v>
          </cell>
          <cell r="L455">
            <v>860.29</v>
          </cell>
          <cell r="M455">
            <v>1060</v>
          </cell>
        </row>
        <row r="456">
          <cell r="A456">
            <v>2000021622</v>
          </cell>
          <cell r="B456" t="str">
            <v>APRON SEAT UNIT</v>
          </cell>
          <cell r="C456" t="str">
            <v>BRITAX GO</v>
          </cell>
          <cell r="D456" t="str">
            <v>Black Thunder</v>
          </cell>
          <cell r="E456">
            <v>20.78</v>
          </cell>
          <cell r="F456">
            <v>25</v>
          </cell>
          <cell r="G456">
            <v>25.39</v>
          </cell>
          <cell r="H456">
            <v>30</v>
          </cell>
          <cell r="I456">
            <v>25.39</v>
          </cell>
          <cell r="J456">
            <v>19.64</v>
          </cell>
          <cell r="K456">
            <v>25</v>
          </cell>
          <cell r="L456">
            <v>107.91</v>
          </cell>
          <cell r="M456">
            <v>135</v>
          </cell>
        </row>
        <row r="457">
          <cell r="A457">
            <v>2000021623</v>
          </cell>
          <cell r="B457" t="str">
            <v>APRON SEAT UNIT</v>
          </cell>
          <cell r="C457" t="str">
            <v>BRITAX GO</v>
          </cell>
          <cell r="D457" t="str">
            <v>Chili Pepper</v>
          </cell>
          <cell r="E457">
            <v>20.78</v>
          </cell>
          <cell r="F457">
            <v>25</v>
          </cell>
          <cell r="G457">
            <v>25.39</v>
          </cell>
          <cell r="H457">
            <v>30</v>
          </cell>
          <cell r="I457">
            <v>25.39</v>
          </cell>
          <cell r="J457">
            <v>19.64</v>
          </cell>
          <cell r="K457">
            <v>25</v>
          </cell>
          <cell r="L457">
            <v>107.91</v>
          </cell>
          <cell r="M457">
            <v>135</v>
          </cell>
        </row>
        <row r="458">
          <cell r="A458">
            <v>2000021624</v>
          </cell>
          <cell r="B458" t="str">
            <v>APRON SEAT UNIT</v>
          </cell>
          <cell r="C458" t="str">
            <v>BRITAX GO</v>
          </cell>
          <cell r="D458" t="str">
            <v>Cool Berry</v>
          </cell>
          <cell r="E458">
            <v>20.78</v>
          </cell>
          <cell r="F458">
            <v>25</v>
          </cell>
          <cell r="G458">
            <v>25.39</v>
          </cell>
          <cell r="H458">
            <v>30</v>
          </cell>
          <cell r="I458">
            <v>25.39</v>
          </cell>
          <cell r="J458">
            <v>19.64</v>
          </cell>
          <cell r="K458">
            <v>25</v>
          </cell>
          <cell r="L458">
            <v>107.91</v>
          </cell>
          <cell r="M458">
            <v>135</v>
          </cell>
        </row>
        <row r="459">
          <cell r="A459">
            <v>2000021625</v>
          </cell>
          <cell r="B459" t="str">
            <v>APRON SEAT UNIT</v>
          </cell>
          <cell r="C459" t="str">
            <v>BRITAX GO</v>
          </cell>
          <cell r="D459" t="str">
            <v>Blue Sky</v>
          </cell>
          <cell r="E459">
            <v>20.78</v>
          </cell>
          <cell r="F459">
            <v>25</v>
          </cell>
          <cell r="G459">
            <v>25.39</v>
          </cell>
          <cell r="H459">
            <v>30</v>
          </cell>
          <cell r="I459">
            <v>25.39</v>
          </cell>
          <cell r="J459">
            <v>19.64</v>
          </cell>
          <cell r="K459">
            <v>25</v>
          </cell>
          <cell r="L459">
            <v>107.91</v>
          </cell>
          <cell r="M459">
            <v>135</v>
          </cell>
        </row>
        <row r="460">
          <cell r="A460">
            <v>2000021626</v>
          </cell>
          <cell r="B460" t="str">
            <v>APRON SEAT UNIT</v>
          </cell>
          <cell r="C460" t="str">
            <v>BRITAX GO</v>
          </cell>
          <cell r="D460" t="str">
            <v>Charcoal Grey</v>
          </cell>
          <cell r="E460">
            <v>20.78</v>
          </cell>
          <cell r="F460">
            <v>25</v>
          </cell>
          <cell r="G460">
            <v>25.39</v>
          </cell>
          <cell r="H460">
            <v>30</v>
          </cell>
          <cell r="I460">
            <v>25.39</v>
          </cell>
          <cell r="J460">
            <v>19.64</v>
          </cell>
          <cell r="K460">
            <v>25</v>
          </cell>
          <cell r="L460">
            <v>107.91</v>
          </cell>
          <cell r="M460">
            <v>135</v>
          </cell>
        </row>
        <row r="461">
          <cell r="A461">
            <v>2000021627</v>
          </cell>
          <cell r="B461" t="str">
            <v>APRON SEAT UNIT</v>
          </cell>
          <cell r="C461" t="str">
            <v>BRITAX GO</v>
          </cell>
          <cell r="D461" t="str">
            <v>Navy</v>
          </cell>
          <cell r="E461">
            <v>20.78</v>
          </cell>
          <cell r="F461">
            <v>25</v>
          </cell>
          <cell r="G461">
            <v>25.39</v>
          </cell>
          <cell r="H461">
            <v>30</v>
          </cell>
          <cell r="I461">
            <v>25.39</v>
          </cell>
          <cell r="J461">
            <v>19.64</v>
          </cell>
          <cell r="K461">
            <v>25</v>
          </cell>
          <cell r="L461">
            <v>107.91</v>
          </cell>
          <cell r="M461">
            <v>135</v>
          </cell>
        </row>
        <row r="462">
          <cell r="A462">
            <v>2000023209</v>
          </cell>
          <cell r="B462" t="str">
            <v xml:space="preserve">APRON SEAT UNIT  </v>
          </cell>
          <cell r="C462" t="str">
            <v>BRITAX GO</v>
          </cell>
          <cell r="D462" t="str">
            <v>Cosmos Black</v>
          </cell>
          <cell r="E462">
            <v>20.78</v>
          </cell>
          <cell r="F462">
            <v>25</v>
          </cell>
          <cell r="G462">
            <v>25.39</v>
          </cell>
          <cell r="H462">
            <v>30</v>
          </cell>
          <cell r="I462">
            <v>25.39</v>
          </cell>
          <cell r="J462">
            <v>19.64</v>
          </cell>
          <cell r="K462">
            <v>25</v>
          </cell>
          <cell r="L462">
            <v>107.91</v>
          </cell>
          <cell r="M462">
            <v>135</v>
          </cell>
        </row>
        <row r="463">
          <cell r="A463">
            <v>2000023210</v>
          </cell>
          <cell r="B463" t="str">
            <v xml:space="preserve">APRON SEAT UNIT  </v>
          </cell>
          <cell r="C463" t="str">
            <v>BRITAX GO</v>
          </cell>
          <cell r="D463" t="str">
            <v>Ocean Navy</v>
          </cell>
          <cell r="E463">
            <v>20.78</v>
          </cell>
          <cell r="F463">
            <v>25</v>
          </cell>
          <cell r="G463">
            <v>25.39</v>
          </cell>
          <cell r="H463">
            <v>30</v>
          </cell>
          <cell r="I463">
            <v>25.39</v>
          </cell>
          <cell r="J463">
            <v>19.64</v>
          </cell>
          <cell r="K463">
            <v>25</v>
          </cell>
          <cell r="L463">
            <v>107.91</v>
          </cell>
          <cell r="M463">
            <v>135</v>
          </cell>
        </row>
        <row r="464">
          <cell r="A464">
            <v>2000023211</v>
          </cell>
          <cell r="B464" t="str">
            <v>APRON SEAT UNIT</v>
          </cell>
          <cell r="C464" t="str">
            <v>BRITAX GO</v>
          </cell>
          <cell r="D464" t="str">
            <v>Wood Brown</v>
          </cell>
          <cell r="E464">
            <v>20.78</v>
          </cell>
          <cell r="F464">
            <v>25</v>
          </cell>
          <cell r="G464">
            <v>25.39</v>
          </cell>
          <cell r="H464">
            <v>30</v>
          </cell>
          <cell r="I464">
            <v>25.39</v>
          </cell>
          <cell r="J464">
            <v>19.64</v>
          </cell>
          <cell r="K464">
            <v>25</v>
          </cell>
          <cell r="L464">
            <v>107.91</v>
          </cell>
          <cell r="M464">
            <v>135</v>
          </cell>
        </row>
        <row r="465">
          <cell r="A465">
            <v>2000023212</v>
          </cell>
          <cell r="B465" t="str">
            <v xml:space="preserve">APRON SEAT UNIT  </v>
          </cell>
          <cell r="C465" t="str">
            <v>BRITAX GO</v>
          </cell>
          <cell r="D465" t="str">
            <v>Flame Red</v>
          </cell>
          <cell r="E465">
            <v>20.78</v>
          </cell>
          <cell r="F465">
            <v>25</v>
          </cell>
          <cell r="G465">
            <v>25.39</v>
          </cell>
          <cell r="H465">
            <v>30</v>
          </cell>
          <cell r="I465">
            <v>25.39</v>
          </cell>
          <cell r="J465">
            <v>19.64</v>
          </cell>
          <cell r="K465">
            <v>25</v>
          </cell>
          <cell r="L465">
            <v>107.91</v>
          </cell>
          <cell r="M465">
            <v>135</v>
          </cell>
        </row>
        <row r="466">
          <cell r="A466">
            <v>2000023213</v>
          </cell>
          <cell r="B466" t="str">
            <v xml:space="preserve">APRON SEAT UNIT  </v>
          </cell>
          <cell r="C466" t="str">
            <v>BRITAX GO</v>
          </cell>
          <cell r="D466" t="str">
            <v>Steel Grey</v>
          </cell>
          <cell r="E466">
            <v>20.78</v>
          </cell>
          <cell r="F466">
            <v>25</v>
          </cell>
          <cell r="G466">
            <v>25.39</v>
          </cell>
          <cell r="H466">
            <v>30</v>
          </cell>
          <cell r="I466">
            <v>25.39</v>
          </cell>
          <cell r="J466">
            <v>19.64</v>
          </cell>
          <cell r="K466">
            <v>25</v>
          </cell>
          <cell r="L466">
            <v>107.91</v>
          </cell>
          <cell r="M466">
            <v>135</v>
          </cell>
        </row>
        <row r="467">
          <cell r="A467">
            <v>2000023214</v>
          </cell>
          <cell r="B467" t="str">
            <v xml:space="preserve">APRON SEAT UNIT  </v>
          </cell>
          <cell r="C467" t="str">
            <v>BRITAX GO</v>
          </cell>
          <cell r="D467" t="str">
            <v>Mineral Purple</v>
          </cell>
          <cell r="E467">
            <v>20.78</v>
          </cell>
          <cell r="F467">
            <v>25</v>
          </cell>
          <cell r="G467">
            <v>25.39</v>
          </cell>
          <cell r="H467">
            <v>30</v>
          </cell>
          <cell r="I467">
            <v>25.39</v>
          </cell>
          <cell r="J467">
            <v>19.64</v>
          </cell>
          <cell r="K467">
            <v>25</v>
          </cell>
          <cell r="L467">
            <v>107.91</v>
          </cell>
          <cell r="M467">
            <v>135</v>
          </cell>
        </row>
        <row r="468">
          <cell r="A468">
            <v>2000026721</v>
          </cell>
          <cell r="B468" t="str">
            <v xml:space="preserve">APRON SEAT UNIT  </v>
          </cell>
          <cell r="C468" t="str">
            <v>BRITAX GO</v>
          </cell>
          <cell r="D468" t="str">
            <v>Olive Green</v>
          </cell>
          <cell r="E468">
            <v>20.78</v>
          </cell>
          <cell r="F468">
            <v>25</v>
          </cell>
          <cell r="G468">
            <v>25.39</v>
          </cell>
          <cell r="H468">
            <v>30</v>
          </cell>
          <cell r="I468">
            <v>25.39</v>
          </cell>
          <cell r="J468">
            <v>19.64</v>
          </cell>
          <cell r="K468">
            <v>25</v>
          </cell>
          <cell r="L468">
            <v>107.91</v>
          </cell>
          <cell r="M468">
            <v>135</v>
          </cell>
        </row>
        <row r="469">
          <cell r="A469">
            <v>2000012129</v>
          </cell>
          <cell r="B469" t="str">
            <v xml:space="preserve">HANDLE REPAIR KIT </v>
          </cell>
          <cell r="C469" t="str">
            <v>BRITAX GO</v>
          </cell>
          <cell r="D469" t="str">
            <v>Black</v>
          </cell>
          <cell r="E469">
            <v>32.71</v>
          </cell>
          <cell r="F469">
            <v>39</v>
          </cell>
          <cell r="G469">
            <v>39.97</v>
          </cell>
          <cell r="H469">
            <v>50</v>
          </cell>
          <cell r="I469">
            <v>39.97</v>
          </cell>
          <cell r="J469">
            <v>30.91</v>
          </cell>
          <cell r="K469">
            <v>35</v>
          </cell>
          <cell r="L469">
            <v>169.87</v>
          </cell>
          <cell r="M469">
            <v>210</v>
          </cell>
        </row>
        <row r="470">
          <cell r="A470">
            <v>2000012130</v>
          </cell>
          <cell r="B470" t="str">
            <v xml:space="preserve">HANDLE REPAIR KIT </v>
          </cell>
          <cell r="C470" t="str">
            <v>BRITAX GO</v>
          </cell>
          <cell r="D470" t="str">
            <v>White</v>
          </cell>
          <cell r="E470">
            <v>32.71</v>
          </cell>
          <cell r="F470">
            <v>39</v>
          </cell>
          <cell r="G470">
            <v>39.97</v>
          </cell>
          <cell r="H470">
            <v>50</v>
          </cell>
          <cell r="I470">
            <v>39.97</v>
          </cell>
          <cell r="J470">
            <v>30.91</v>
          </cell>
          <cell r="K470">
            <v>35</v>
          </cell>
          <cell r="L470">
            <v>169.87</v>
          </cell>
          <cell r="M470">
            <v>210</v>
          </cell>
        </row>
        <row r="471">
          <cell r="A471">
            <v>2000012210</v>
          </cell>
          <cell r="B471" t="str">
            <v xml:space="preserve">HANDLE ADJUSTER REPAIR KIT </v>
          </cell>
          <cell r="C471" t="str">
            <v>BRITAX GO</v>
          </cell>
          <cell r="D471">
            <v>0</v>
          </cell>
          <cell r="E471">
            <v>22</v>
          </cell>
          <cell r="F471">
            <v>26</v>
          </cell>
          <cell r="G471">
            <v>26.88</v>
          </cell>
          <cell r="H471">
            <v>30</v>
          </cell>
          <cell r="I471">
            <v>26.88</v>
          </cell>
          <cell r="J471">
            <v>20.79</v>
          </cell>
          <cell r="K471">
            <v>25</v>
          </cell>
          <cell r="L471">
            <v>114.24</v>
          </cell>
          <cell r="M471">
            <v>140</v>
          </cell>
        </row>
        <row r="472">
          <cell r="A472">
            <v>2000012208</v>
          </cell>
          <cell r="B472" t="str">
            <v xml:space="preserve">REAR WHEEL HUB REPAIR KIT </v>
          </cell>
          <cell r="C472" t="str">
            <v>BRITAX GO</v>
          </cell>
          <cell r="D472">
            <v>0</v>
          </cell>
          <cell r="E472">
            <v>5.5</v>
          </cell>
          <cell r="F472">
            <v>8</v>
          </cell>
          <cell r="G472">
            <v>6.72</v>
          </cell>
          <cell r="H472">
            <v>10</v>
          </cell>
          <cell r="I472">
            <v>6.72</v>
          </cell>
          <cell r="J472">
            <v>5.2</v>
          </cell>
          <cell r="K472">
            <v>5</v>
          </cell>
          <cell r="L472">
            <v>28.56</v>
          </cell>
          <cell r="M472">
            <v>35</v>
          </cell>
        </row>
        <row r="473">
          <cell r="A473">
            <v>2000012169</v>
          </cell>
          <cell r="B473" t="str">
            <v xml:space="preserve">BRAKE REPAIR KIT </v>
          </cell>
          <cell r="C473" t="str">
            <v>BRITAX GO</v>
          </cell>
          <cell r="D473">
            <v>0</v>
          </cell>
          <cell r="E473">
            <v>30.17</v>
          </cell>
          <cell r="F473">
            <v>36</v>
          </cell>
          <cell r="G473">
            <v>36.86</v>
          </cell>
          <cell r="H473">
            <v>45</v>
          </cell>
          <cell r="I473">
            <v>36.86</v>
          </cell>
          <cell r="J473">
            <v>28.51</v>
          </cell>
          <cell r="K473">
            <v>35</v>
          </cell>
          <cell r="L473">
            <v>156.66</v>
          </cell>
          <cell r="M473">
            <v>195</v>
          </cell>
        </row>
        <row r="474">
          <cell r="A474">
            <v>2000012171</v>
          </cell>
          <cell r="B474" t="str">
            <v xml:space="preserve">SUSPENSION REPAIR KIT </v>
          </cell>
          <cell r="C474" t="str">
            <v>BRITAX GO</v>
          </cell>
          <cell r="D474">
            <v>0</v>
          </cell>
          <cell r="E474">
            <v>22.54</v>
          </cell>
          <cell r="F474">
            <v>27</v>
          </cell>
          <cell r="G474">
            <v>27.54</v>
          </cell>
          <cell r="H474">
            <v>35</v>
          </cell>
          <cell r="I474">
            <v>27.54</v>
          </cell>
          <cell r="J474">
            <v>21.3</v>
          </cell>
          <cell r="K474">
            <v>25</v>
          </cell>
          <cell r="L474">
            <v>117.05</v>
          </cell>
          <cell r="M474">
            <v>145</v>
          </cell>
        </row>
        <row r="475">
          <cell r="A475">
            <v>2000012173</v>
          </cell>
          <cell r="B475" t="str">
            <v xml:space="preserve">SWIVEL ATTACHMENT REPAIR KIT </v>
          </cell>
          <cell r="C475" t="str">
            <v>BRITAX GO</v>
          </cell>
          <cell r="D475">
            <v>0</v>
          </cell>
          <cell r="E475">
            <v>10.24</v>
          </cell>
          <cell r="F475">
            <v>12</v>
          </cell>
          <cell r="G475">
            <v>12.51</v>
          </cell>
          <cell r="H475">
            <v>15</v>
          </cell>
          <cell r="I475">
            <v>12.51</v>
          </cell>
          <cell r="J475">
            <v>9.68</v>
          </cell>
          <cell r="K475">
            <v>10</v>
          </cell>
          <cell r="L475">
            <v>53.17</v>
          </cell>
          <cell r="M475">
            <v>65</v>
          </cell>
        </row>
        <row r="476">
          <cell r="A476">
            <v>2000025126</v>
          </cell>
          <cell r="B476" t="str">
            <v xml:space="preserve">SEAT UNIT FOOTREST ADJUSTER SET </v>
          </cell>
          <cell r="C476" t="str">
            <v>BRITAX GO</v>
          </cell>
          <cell r="D476">
            <v>0</v>
          </cell>
          <cell r="E476">
            <v>16.809999999999999</v>
          </cell>
          <cell r="F476">
            <v>20</v>
          </cell>
          <cell r="G476">
            <v>18.829999999999998</v>
          </cell>
          <cell r="H476">
            <v>25</v>
          </cell>
          <cell r="I476">
            <v>18.829999999999998</v>
          </cell>
          <cell r="J476" t="str">
            <v>n.a.</v>
          </cell>
          <cell r="K476" t="str">
            <v>n.a.</v>
          </cell>
          <cell r="L476">
            <v>80.03</v>
          </cell>
          <cell r="M476">
            <v>100</v>
          </cell>
        </row>
        <row r="477">
          <cell r="A477">
            <v>2000012164</v>
          </cell>
          <cell r="B477" t="str">
            <v>BUMPER BAR INCL. TEXTILE</v>
          </cell>
          <cell r="C477" t="str">
            <v>BRITAX GO</v>
          </cell>
          <cell r="D477" t="str">
            <v>Black</v>
          </cell>
          <cell r="E477">
            <v>15.87</v>
          </cell>
          <cell r="F477">
            <v>20</v>
          </cell>
          <cell r="G477">
            <v>19.38</v>
          </cell>
          <cell r="H477">
            <v>25</v>
          </cell>
          <cell r="I477">
            <v>19.38</v>
          </cell>
          <cell r="J477">
            <v>15</v>
          </cell>
          <cell r="K477">
            <v>20</v>
          </cell>
          <cell r="L477">
            <v>82.37</v>
          </cell>
          <cell r="M477">
            <v>100</v>
          </cell>
        </row>
        <row r="478">
          <cell r="A478">
            <v>2000023226</v>
          </cell>
          <cell r="B478" t="str">
            <v xml:space="preserve">BACKREST BOARD ASSEMBLED </v>
          </cell>
          <cell r="C478" t="str">
            <v>BRITAX GO</v>
          </cell>
          <cell r="D478">
            <v>0</v>
          </cell>
          <cell r="E478">
            <v>16</v>
          </cell>
          <cell r="F478">
            <v>20</v>
          </cell>
          <cell r="G478">
            <v>19.55</v>
          </cell>
          <cell r="H478">
            <v>25</v>
          </cell>
          <cell r="I478">
            <v>19.55</v>
          </cell>
          <cell r="J478">
            <v>15.12</v>
          </cell>
          <cell r="K478">
            <v>20</v>
          </cell>
          <cell r="L478">
            <v>83.09</v>
          </cell>
          <cell r="M478">
            <v>100</v>
          </cell>
        </row>
        <row r="479">
          <cell r="A479">
            <v>2000023227</v>
          </cell>
          <cell r="B479" t="str">
            <v>SEAT BOARD</v>
          </cell>
          <cell r="C479" t="str">
            <v>BRITAX GO</v>
          </cell>
          <cell r="D479">
            <v>0</v>
          </cell>
          <cell r="E479">
            <v>5.5</v>
          </cell>
          <cell r="F479">
            <v>10</v>
          </cell>
          <cell r="G479">
            <v>6.72</v>
          </cell>
          <cell r="H479">
            <v>10</v>
          </cell>
          <cell r="I479">
            <v>6.72</v>
          </cell>
          <cell r="J479">
            <v>5.2</v>
          </cell>
          <cell r="K479">
            <v>5</v>
          </cell>
          <cell r="L479">
            <v>28.56</v>
          </cell>
          <cell r="M479">
            <v>35</v>
          </cell>
        </row>
        <row r="480">
          <cell r="A480">
            <v>2000023228</v>
          </cell>
          <cell r="B480" t="str">
            <v>HARNESS INCLUDING BUCKLE AND HARNESS PADS</v>
          </cell>
          <cell r="C480" t="str">
            <v>BRITAX GO</v>
          </cell>
          <cell r="D480" t="str">
            <v>Black</v>
          </cell>
          <cell r="E480">
            <v>12.95</v>
          </cell>
          <cell r="F480">
            <v>20</v>
          </cell>
          <cell r="G480">
            <v>15.82</v>
          </cell>
          <cell r="H480">
            <v>20</v>
          </cell>
          <cell r="I480">
            <v>15.82</v>
          </cell>
          <cell r="J480">
            <v>12.24</v>
          </cell>
          <cell r="K480">
            <v>15</v>
          </cell>
          <cell r="L480">
            <v>67.239999999999995</v>
          </cell>
          <cell r="M480">
            <v>85</v>
          </cell>
        </row>
        <row r="481">
          <cell r="A481">
            <v>2000026837</v>
          </cell>
          <cell r="B481" t="str">
            <v>BACKREST BUCKLE</v>
          </cell>
          <cell r="C481" t="str">
            <v>BRITAX GO</v>
          </cell>
          <cell r="D481">
            <v>0</v>
          </cell>
          <cell r="E481">
            <v>5.5</v>
          </cell>
          <cell r="F481">
            <v>8</v>
          </cell>
          <cell r="G481">
            <v>6.16</v>
          </cell>
          <cell r="H481">
            <v>5</v>
          </cell>
          <cell r="I481">
            <v>6.16</v>
          </cell>
          <cell r="J481" t="str">
            <v>n.a.</v>
          </cell>
          <cell r="K481" t="str">
            <v>n.a.</v>
          </cell>
          <cell r="L481">
            <v>26.18</v>
          </cell>
          <cell r="M481">
            <v>30</v>
          </cell>
        </row>
        <row r="482">
          <cell r="A482">
            <v>2000012158</v>
          </cell>
          <cell r="B482" t="str">
            <v xml:space="preserve">CHASSIS </v>
          </cell>
          <cell r="C482" t="str">
            <v>BRITAX GO NEXT</v>
          </cell>
          <cell r="D482" t="str">
            <v>White</v>
          </cell>
          <cell r="E482">
            <v>265.58</v>
          </cell>
          <cell r="F482">
            <v>320</v>
          </cell>
          <cell r="G482">
            <v>324.49</v>
          </cell>
          <cell r="H482">
            <v>390</v>
          </cell>
          <cell r="I482">
            <v>324.49</v>
          </cell>
          <cell r="J482">
            <v>250.97</v>
          </cell>
          <cell r="K482">
            <v>300</v>
          </cell>
          <cell r="L482">
            <v>1379.08</v>
          </cell>
          <cell r="M482">
            <v>1695</v>
          </cell>
        </row>
        <row r="483">
          <cell r="A483">
            <v>2000012159</v>
          </cell>
          <cell r="B483" t="str">
            <v xml:space="preserve">CHASSIS </v>
          </cell>
          <cell r="C483" t="str">
            <v>BRITAX GO NEXT</v>
          </cell>
          <cell r="D483" t="str">
            <v>Black</v>
          </cell>
          <cell r="E483">
            <v>265.58</v>
          </cell>
          <cell r="F483">
            <v>320</v>
          </cell>
          <cell r="G483">
            <v>324.49</v>
          </cell>
          <cell r="H483">
            <v>390</v>
          </cell>
          <cell r="I483">
            <v>324.49</v>
          </cell>
          <cell r="J483">
            <v>250.97</v>
          </cell>
          <cell r="K483">
            <v>300</v>
          </cell>
          <cell r="L483">
            <v>1379.08</v>
          </cell>
          <cell r="M483">
            <v>1695</v>
          </cell>
        </row>
        <row r="484">
          <cell r="A484">
            <v>2000029505</v>
          </cell>
          <cell r="B484" t="str">
            <v>CHASSIS (LEATHERLOOK HANDLE)</v>
          </cell>
          <cell r="C484" t="str">
            <v>BRITAX GO NEXT</v>
          </cell>
          <cell r="D484" t="str">
            <v>White</v>
          </cell>
          <cell r="E484">
            <v>275.58</v>
          </cell>
          <cell r="F484">
            <v>328</v>
          </cell>
          <cell r="G484">
            <v>336.49</v>
          </cell>
          <cell r="H484">
            <v>405</v>
          </cell>
          <cell r="I484">
            <v>336.49</v>
          </cell>
          <cell r="J484">
            <v>260.42</v>
          </cell>
          <cell r="K484">
            <v>315</v>
          </cell>
          <cell r="L484">
            <v>1430.08</v>
          </cell>
          <cell r="M484">
            <v>1760</v>
          </cell>
        </row>
        <row r="485">
          <cell r="A485">
            <v>2000030019</v>
          </cell>
          <cell r="B485" t="str">
            <v>CHASSIS (LEATHERLOOK HANDLE)</v>
          </cell>
          <cell r="C485" t="str">
            <v>BRITAX GO BIG</v>
          </cell>
          <cell r="D485" t="str">
            <v xml:space="preserve">White </v>
          </cell>
          <cell r="E485">
            <v>287.68</v>
          </cell>
          <cell r="F485">
            <v>340</v>
          </cell>
          <cell r="G485">
            <v>321.01</v>
          </cell>
          <cell r="H485">
            <v>385</v>
          </cell>
          <cell r="I485">
            <v>383.21</v>
          </cell>
          <cell r="J485">
            <v>254.92</v>
          </cell>
          <cell r="K485">
            <v>305</v>
          </cell>
          <cell r="L485">
            <v>1364.29</v>
          </cell>
          <cell r="M485">
            <v>1680</v>
          </cell>
        </row>
        <row r="486">
          <cell r="A486">
            <v>2000029506</v>
          </cell>
          <cell r="B486" t="str">
            <v>CHASSIS (LETHERLOOK HANDLE)</v>
          </cell>
          <cell r="C486" t="str">
            <v>BRITAX GO NEXT</v>
          </cell>
          <cell r="D486" t="str">
            <v>Black</v>
          </cell>
          <cell r="E486">
            <v>275.58</v>
          </cell>
          <cell r="F486">
            <v>330</v>
          </cell>
          <cell r="G486">
            <v>336.49</v>
          </cell>
          <cell r="H486">
            <v>405</v>
          </cell>
          <cell r="I486">
            <v>336.49</v>
          </cell>
          <cell r="J486">
            <v>260.42</v>
          </cell>
          <cell r="K486">
            <v>315</v>
          </cell>
          <cell r="L486">
            <v>1430.08</v>
          </cell>
          <cell r="M486">
            <v>1760</v>
          </cell>
        </row>
        <row r="487">
          <cell r="A487">
            <v>2000029356</v>
          </cell>
          <cell r="B487" t="str">
            <v>CHASSIS (LEATHERLOOK HANDLE)</v>
          </cell>
          <cell r="C487" t="str">
            <v>BRITAX GO NEXT</v>
          </cell>
          <cell r="D487" t="str">
            <v>MATTE BLACK</v>
          </cell>
          <cell r="E487">
            <v>275.58</v>
          </cell>
          <cell r="F487">
            <v>330</v>
          </cell>
          <cell r="G487">
            <v>336.49</v>
          </cell>
          <cell r="H487">
            <v>405</v>
          </cell>
          <cell r="I487">
            <v>336.49</v>
          </cell>
          <cell r="J487">
            <v>260.42</v>
          </cell>
          <cell r="K487">
            <v>315</v>
          </cell>
          <cell r="L487">
            <v>1430.08</v>
          </cell>
          <cell r="M487">
            <v>1760</v>
          </cell>
        </row>
        <row r="488">
          <cell r="A488">
            <v>2000012161</v>
          </cell>
          <cell r="B488" t="str">
            <v xml:space="preserve">REAR WHEEL SET </v>
          </cell>
          <cell r="C488" t="str">
            <v>BRITAX GO NEXT</v>
          </cell>
          <cell r="D488">
            <v>0</v>
          </cell>
          <cell r="E488">
            <v>63.12</v>
          </cell>
          <cell r="F488">
            <v>80</v>
          </cell>
          <cell r="G488">
            <v>77.12</v>
          </cell>
          <cell r="H488">
            <v>95</v>
          </cell>
          <cell r="I488">
            <v>77.12</v>
          </cell>
          <cell r="J488">
            <v>59.65</v>
          </cell>
          <cell r="K488">
            <v>70</v>
          </cell>
          <cell r="L488">
            <v>327.76</v>
          </cell>
          <cell r="M488">
            <v>405</v>
          </cell>
        </row>
        <row r="489">
          <cell r="A489">
            <v>2000029362</v>
          </cell>
          <cell r="B489" t="str">
            <v>REAR WHEEL SET WHITE LINE</v>
          </cell>
          <cell r="C489" t="str">
            <v>BRITAX GO NEXT</v>
          </cell>
          <cell r="D489">
            <v>0</v>
          </cell>
          <cell r="E489">
            <v>68.12</v>
          </cell>
          <cell r="F489">
            <v>82</v>
          </cell>
          <cell r="G489">
            <v>82.12</v>
          </cell>
          <cell r="H489">
            <v>100</v>
          </cell>
          <cell r="I489">
            <v>82.12</v>
          </cell>
          <cell r="J489">
            <v>64.37</v>
          </cell>
          <cell r="K489">
            <v>75</v>
          </cell>
          <cell r="L489">
            <v>349.01</v>
          </cell>
          <cell r="M489">
            <v>430</v>
          </cell>
        </row>
        <row r="490">
          <cell r="A490">
            <v>2000012163</v>
          </cell>
          <cell r="B490" t="str">
            <v xml:space="preserve">FRONT WHEEL SET </v>
          </cell>
          <cell r="C490" t="str">
            <v>BRITAX GO NEXT</v>
          </cell>
          <cell r="D490">
            <v>0</v>
          </cell>
          <cell r="E490">
            <v>69.459999999999994</v>
          </cell>
          <cell r="F490">
            <v>85</v>
          </cell>
          <cell r="G490">
            <v>84.87</v>
          </cell>
          <cell r="H490">
            <v>100</v>
          </cell>
          <cell r="I490">
            <v>84.87</v>
          </cell>
          <cell r="J490">
            <v>65.64</v>
          </cell>
          <cell r="K490">
            <v>80</v>
          </cell>
          <cell r="L490">
            <v>360.7</v>
          </cell>
          <cell r="M490">
            <v>445</v>
          </cell>
        </row>
        <row r="491">
          <cell r="A491">
            <v>2000029363</v>
          </cell>
          <cell r="B491" t="str">
            <v>FRONT WHEEL SET (WHITE LINE)</v>
          </cell>
          <cell r="C491" t="str">
            <v>BRITAX GO NEXT</v>
          </cell>
          <cell r="D491">
            <v>0</v>
          </cell>
          <cell r="E491">
            <v>74.459999999999994</v>
          </cell>
          <cell r="F491">
            <v>89</v>
          </cell>
          <cell r="G491">
            <v>89.87</v>
          </cell>
          <cell r="H491">
            <v>110</v>
          </cell>
          <cell r="I491">
            <v>89.87</v>
          </cell>
          <cell r="J491">
            <v>70.36</v>
          </cell>
          <cell r="K491">
            <v>85</v>
          </cell>
          <cell r="L491">
            <v>381.95</v>
          </cell>
          <cell r="M491">
            <v>470</v>
          </cell>
        </row>
        <row r="492">
          <cell r="A492">
            <v>2000012168</v>
          </cell>
          <cell r="B492" t="str">
            <v xml:space="preserve">TEXTIL BASKET </v>
          </cell>
          <cell r="C492" t="str">
            <v>BRITAX GO NEXT</v>
          </cell>
          <cell r="D492" t="str">
            <v xml:space="preserve">Black </v>
          </cell>
          <cell r="E492">
            <v>27.56</v>
          </cell>
          <cell r="F492">
            <v>35</v>
          </cell>
          <cell r="G492">
            <v>33.67</v>
          </cell>
          <cell r="H492">
            <v>40</v>
          </cell>
          <cell r="I492">
            <v>33.67</v>
          </cell>
          <cell r="J492">
            <v>26.04</v>
          </cell>
          <cell r="K492">
            <v>30</v>
          </cell>
          <cell r="L492">
            <v>143.1</v>
          </cell>
          <cell r="M492">
            <v>175</v>
          </cell>
        </row>
        <row r="493">
          <cell r="A493">
            <v>2000029366</v>
          </cell>
          <cell r="B493" t="str">
            <v xml:space="preserve">TEXTIL BASKET </v>
          </cell>
          <cell r="C493" t="str">
            <v>BRITAX GO NEXT</v>
          </cell>
          <cell r="D493" t="str">
            <v>Grey Melange</v>
          </cell>
          <cell r="E493">
            <v>27.56</v>
          </cell>
          <cell r="F493">
            <v>33</v>
          </cell>
          <cell r="G493">
            <v>33.67</v>
          </cell>
          <cell r="H493">
            <v>40</v>
          </cell>
          <cell r="I493">
            <v>33.67</v>
          </cell>
          <cell r="J493">
            <v>26.04</v>
          </cell>
          <cell r="K493">
            <v>30</v>
          </cell>
          <cell r="L493">
            <v>143.1</v>
          </cell>
          <cell r="M493">
            <v>175</v>
          </cell>
        </row>
        <row r="494">
          <cell r="A494">
            <v>2000029367</v>
          </cell>
          <cell r="B494" t="str">
            <v xml:space="preserve">TEXTIL BASKET </v>
          </cell>
          <cell r="C494" t="str">
            <v>BRITAX GO NEXT</v>
          </cell>
          <cell r="D494" t="str">
            <v>Navy Melange</v>
          </cell>
          <cell r="E494">
            <v>27.56</v>
          </cell>
          <cell r="F494">
            <v>33</v>
          </cell>
          <cell r="G494">
            <v>33.67</v>
          </cell>
          <cell r="H494">
            <v>40</v>
          </cell>
          <cell r="I494">
            <v>33.67</v>
          </cell>
          <cell r="J494">
            <v>26.04</v>
          </cell>
          <cell r="K494">
            <v>30</v>
          </cell>
          <cell r="L494">
            <v>143.1</v>
          </cell>
          <cell r="M494">
            <v>175</v>
          </cell>
        </row>
        <row r="495">
          <cell r="A495">
            <v>2000012224</v>
          </cell>
          <cell r="B495" t="str">
            <v xml:space="preserve">AIR TYRE </v>
          </cell>
          <cell r="C495" t="str">
            <v>BRITAX GO NEXT</v>
          </cell>
          <cell r="D495">
            <v>0</v>
          </cell>
          <cell r="E495">
            <v>28.71</v>
          </cell>
          <cell r="F495">
            <v>35</v>
          </cell>
          <cell r="G495">
            <v>35.08</v>
          </cell>
          <cell r="H495">
            <v>40</v>
          </cell>
          <cell r="I495">
            <v>35.08</v>
          </cell>
          <cell r="J495">
            <v>27.13</v>
          </cell>
          <cell r="K495">
            <v>35</v>
          </cell>
          <cell r="L495">
            <v>149.09</v>
          </cell>
          <cell r="M495">
            <v>185</v>
          </cell>
        </row>
        <row r="496">
          <cell r="A496">
            <v>2000012150</v>
          </cell>
          <cell r="B496" t="str">
            <v xml:space="preserve">SEAT UNIT </v>
          </cell>
          <cell r="C496" t="str">
            <v>BRITAX GO NEXT</v>
          </cell>
          <cell r="D496" t="str">
            <v>Brown Melange/
Black Frame</v>
          </cell>
          <cell r="E496">
            <v>309.72000000000003</v>
          </cell>
          <cell r="F496">
            <v>370</v>
          </cell>
          <cell r="G496">
            <v>378.42</v>
          </cell>
          <cell r="H496">
            <v>455</v>
          </cell>
          <cell r="I496">
            <v>378.42</v>
          </cell>
          <cell r="J496">
            <v>292.69</v>
          </cell>
          <cell r="K496">
            <v>350</v>
          </cell>
          <cell r="L496">
            <v>1608.29</v>
          </cell>
          <cell r="M496">
            <v>1980</v>
          </cell>
        </row>
        <row r="497">
          <cell r="A497">
            <v>2000012152</v>
          </cell>
          <cell r="B497" t="str">
            <v xml:space="preserve">SEAT UNIT </v>
          </cell>
          <cell r="C497" t="str">
            <v>BRITAX GO NEXT</v>
          </cell>
          <cell r="D497" t="str">
            <v>Grey Melange/
White Frame</v>
          </cell>
          <cell r="E497">
            <v>309.72000000000003</v>
          </cell>
          <cell r="F497">
            <v>370</v>
          </cell>
          <cell r="G497">
            <v>378.42</v>
          </cell>
          <cell r="H497">
            <v>455</v>
          </cell>
          <cell r="I497">
            <v>378.42</v>
          </cell>
          <cell r="J497">
            <v>292.69</v>
          </cell>
          <cell r="K497">
            <v>350</v>
          </cell>
          <cell r="L497">
            <v>1608.29</v>
          </cell>
          <cell r="M497">
            <v>1980</v>
          </cell>
        </row>
        <row r="498">
          <cell r="A498">
            <v>2000021729</v>
          </cell>
          <cell r="B498" t="str">
            <v xml:space="preserve">SEAT UNIT </v>
          </cell>
          <cell r="C498" t="str">
            <v>BRITAX GO NEXT</v>
          </cell>
          <cell r="D498" t="str">
            <v>Navy Melange/
White Frame</v>
          </cell>
          <cell r="E498">
            <v>309.72000000000003</v>
          </cell>
          <cell r="F498">
            <v>370</v>
          </cell>
          <cell r="G498">
            <v>378.42</v>
          </cell>
          <cell r="H498">
            <v>455</v>
          </cell>
          <cell r="I498">
            <v>378.42</v>
          </cell>
          <cell r="J498">
            <v>292.69</v>
          </cell>
          <cell r="K498">
            <v>350</v>
          </cell>
          <cell r="L498">
            <v>1608.29</v>
          </cell>
          <cell r="M498">
            <v>1980</v>
          </cell>
        </row>
        <row r="499">
          <cell r="A499">
            <v>2000021730</v>
          </cell>
          <cell r="B499" t="str">
            <v xml:space="preserve">SEAT UNIT </v>
          </cell>
          <cell r="C499" t="str">
            <v>BRITAX GO NEXT</v>
          </cell>
          <cell r="D499" t="str">
            <v>Black Ink/
Black Frame</v>
          </cell>
          <cell r="E499">
            <v>309.72000000000003</v>
          </cell>
          <cell r="F499">
            <v>370</v>
          </cell>
          <cell r="G499">
            <v>378.42</v>
          </cell>
          <cell r="H499">
            <v>455</v>
          </cell>
          <cell r="I499">
            <v>378.42</v>
          </cell>
          <cell r="J499">
            <v>292.69</v>
          </cell>
          <cell r="K499">
            <v>350</v>
          </cell>
          <cell r="L499">
            <v>1608.29</v>
          </cell>
          <cell r="M499">
            <v>1980</v>
          </cell>
        </row>
        <row r="500">
          <cell r="A500">
            <v>2000023205</v>
          </cell>
          <cell r="B500" t="str">
            <v xml:space="preserve">SEAT UNIT </v>
          </cell>
          <cell r="C500" t="str">
            <v>BRITAX GO NEXT</v>
          </cell>
          <cell r="D500" t="str">
            <v>Olive Melange/
Black Frame</v>
          </cell>
          <cell r="E500">
            <v>309.72000000000003</v>
          </cell>
          <cell r="F500">
            <v>370</v>
          </cell>
          <cell r="G500">
            <v>378.42</v>
          </cell>
          <cell r="H500">
            <v>455</v>
          </cell>
          <cell r="I500">
            <v>378.42</v>
          </cell>
          <cell r="J500">
            <v>292.69</v>
          </cell>
          <cell r="K500">
            <v>350</v>
          </cell>
          <cell r="L500">
            <v>1608.29</v>
          </cell>
          <cell r="M500">
            <v>1980</v>
          </cell>
        </row>
        <row r="501">
          <cell r="A501">
            <v>2000023206</v>
          </cell>
          <cell r="B501" t="str">
            <v xml:space="preserve">SEAT UNIT </v>
          </cell>
          <cell r="C501" t="str">
            <v>BRITAX GO NEXT</v>
          </cell>
          <cell r="D501" t="str">
            <v>Beige Melange/
Black Frame</v>
          </cell>
          <cell r="E501">
            <v>309.72000000000003</v>
          </cell>
          <cell r="F501">
            <v>370</v>
          </cell>
          <cell r="G501">
            <v>378.42</v>
          </cell>
          <cell r="H501">
            <v>455</v>
          </cell>
          <cell r="I501">
            <v>378.42</v>
          </cell>
          <cell r="J501">
            <v>292.69</v>
          </cell>
          <cell r="K501">
            <v>350</v>
          </cell>
          <cell r="L501">
            <v>1608.29</v>
          </cell>
          <cell r="M501">
            <v>1980</v>
          </cell>
        </row>
        <row r="502">
          <cell r="A502">
            <v>2000029521</v>
          </cell>
          <cell r="B502" t="str">
            <v xml:space="preserve">SEAT UNIT </v>
          </cell>
          <cell r="C502" t="str">
            <v>BRITAX GO NEXT</v>
          </cell>
          <cell r="D502" t="str">
            <v>Dynamic Grey/ White Frame</v>
          </cell>
          <cell r="E502">
            <v>309.72000000000003</v>
          </cell>
          <cell r="F502">
            <v>369</v>
          </cell>
          <cell r="G502">
            <v>378.42</v>
          </cell>
          <cell r="H502">
            <v>455</v>
          </cell>
          <cell r="I502">
            <v>378.42</v>
          </cell>
          <cell r="J502">
            <v>292.69</v>
          </cell>
          <cell r="K502">
            <v>350</v>
          </cell>
          <cell r="L502">
            <v>1608.29</v>
          </cell>
          <cell r="M502">
            <v>1980</v>
          </cell>
        </row>
        <row r="503">
          <cell r="A503">
            <v>2000026693</v>
          </cell>
          <cell r="B503" t="str">
            <v xml:space="preserve">SEAT UNIT </v>
          </cell>
          <cell r="C503" t="str">
            <v>BRITAX GO NEXT</v>
          </cell>
          <cell r="D503" t="str">
            <v>Grey Melange/
Black Frame</v>
          </cell>
          <cell r="E503">
            <v>309.72000000000003</v>
          </cell>
          <cell r="F503">
            <v>295</v>
          </cell>
          <cell r="G503">
            <v>378.42</v>
          </cell>
          <cell r="H503">
            <v>455</v>
          </cell>
          <cell r="I503">
            <v>378.42</v>
          </cell>
          <cell r="J503">
            <v>292.69</v>
          </cell>
          <cell r="K503">
            <v>350</v>
          </cell>
          <cell r="L503">
            <v>1608.29</v>
          </cell>
          <cell r="M503">
            <v>1980</v>
          </cell>
        </row>
        <row r="504">
          <cell r="A504">
            <v>2000029522</v>
          </cell>
          <cell r="B504" t="str">
            <v xml:space="preserve">SEAT UNIT </v>
          </cell>
          <cell r="C504" t="str">
            <v>BRITAX GO NEXT</v>
          </cell>
          <cell r="D504" t="str">
            <v>Oxford Navy/ White Frame</v>
          </cell>
          <cell r="E504">
            <v>309.72000000000003</v>
          </cell>
          <cell r="F504">
            <v>369</v>
          </cell>
          <cell r="G504">
            <v>378.42</v>
          </cell>
          <cell r="H504">
            <v>455</v>
          </cell>
          <cell r="I504">
            <v>378.42</v>
          </cell>
          <cell r="J504">
            <v>292.69</v>
          </cell>
          <cell r="K504">
            <v>350</v>
          </cell>
          <cell r="L504">
            <v>1608.29</v>
          </cell>
          <cell r="M504">
            <v>1980</v>
          </cell>
        </row>
        <row r="505">
          <cell r="A505">
            <v>2000026694</v>
          </cell>
          <cell r="B505" t="str">
            <v xml:space="preserve">SEAT UNIT </v>
          </cell>
          <cell r="C505" t="str">
            <v>BRITAX GO NEXT</v>
          </cell>
          <cell r="D505" t="str">
            <v>Wine Red Melange/Black Frame</v>
          </cell>
          <cell r="E505">
            <v>309.72000000000003</v>
          </cell>
          <cell r="F505">
            <v>295</v>
          </cell>
          <cell r="G505">
            <v>378.42</v>
          </cell>
          <cell r="H505">
            <v>455</v>
          </cell>
          <cell r="I505">
            <v>378.42</v>
          </cell>
          <cell r="J505">
            <v>292.69</v>
          </cell>
          <cell r="K505">
            <v>350</v>
          </cell>
          <cell r="L505">
            <v>1608.29</v>
          </cell>
          <cell r="M505">
            <v>1980</v>
          </cell>
        </row>
        <row r="506">
          <cell r="A506">
            <v>2000029358</v>
          </cell>
          <cell r="B506" t="str">
            <v xml:space="preserve">SEAT UNIT </v>
          </cell>
          <cell r="C506" t="str">
            <v>BRITAX GO NEXT</v>
          </cell>
          <cell r="D506" t="str">
            <v xml:space="preserve">Graphite Melange/ Matte Black </v>
          </cell>
          <cell r="E506">
            <v>309.72000000000003</v>
          </cell>
          <cell r="F506">
            <v>369</v>
          </cell>
          <cell r="G506">
            <v>378.42</v>
          </cell>
          <cell r="H506">
            <v>455</v>
          </cell>
          <cell r="I506">
            <v>378.42</v>
          </cell>
          <cell r="J506">
            <v>292.69</v>
          </cell>
          <cell r="K506">
            <v>350</v>
          </cell>
          <cell r="L506">
            <v>1608.29</v>
          </cell>
          <cell r="M506">
            <v>1980</v>
          </cell>
        </row>
        <row r="507">
          <cell r="A507">
            <v>2000021628</v>
          </cell>
          <cell r="B507" t="str">
            <v xml:space="preserve">APRON SEAT UNIT </v>
          </cell>
          <cell r="C507" t="str">
            <v>BRITAX GO NEXT</v>
          </cell>
          <cell r="D507" t="str">
            <v>Brown Melange</v>
          </cell>
          <cell r="E507">
            <v>20.78</v>
          </cell>
          <cell r="F507">
            <v>25</v>
          </cell>
          <cell r="G507">
            <v>25.39</v>
          </cell>
          <cell r="H507">
            <v>30</v>
          </cell>
          <cell r="I507">
            <v>25.39</v>
          </cell>
          <cell r="J507">
            <v>19.64</v>
          </cell>
          <cell r="K507">
            <v>25</v>
          </cell>
          <cell r="L507">
            <v>107.91</v>
          </cell>
          <cell r="M507">
            <v>135</v>
          </cell>
        </row>
        <row r="508">
          <cell r="A508">
            <v>2000021629</v>
          </cell>
          <cell r="B508" t="str">
            <v xml:space="preserve">APRON SEAT UNIT </v>
          </cell>
          <cell r="C508" t="str">
            <v>BRITAX GO NEXT</v>
          </cell>
          <cell r="D508" t="str">
            <v>Black Melange</v>
          </cell>
          <cell r="E508">
            <v>20.78</v>
          </cell>
          <cell r="F508">
            <v>25</v>
          </cell>
          <cell r="G508">
            <v>25.39</v>
          </cell>
          <cell r="H508">
            <v>30</v>
          </cell>
          <cell r="I508">
            <v>25.39</v>
          </cell>
          <cell r="J508">
            <v>19.64</v>
          </cell>
          <cell r="K508">
            <v>25</v>
          </cell>
          <cell r="L508">
            <v>107.91</v>
          </cell>
          <cell r="M508">
            <v>135</v>
          </cell>
        </row>
        <row r="509">
          <cell r="A509">
            <v>2000021630</v>
          </cell>
          <cell r="B509" t="str">
            <v xml:space="preserve">APRON SEAT UNIT  </v>
          </cell>
          <cell r="C509" t="str">
            <v>BRITAX GO NEXT</v>
          </cell>
          <cell r="D509" t="str">
            <v>Grey Melange</v>
          </cell>
          <cell r="E509">
            <v>20.78</v>
          </cell>
          <cell r="F509">
            <v>25</v>
          </cell>
          <cell r="G509">
            <v>25.39</v>
          </cell>
          <cell r="H509">
            <v>30</v>
          </cell>
          <cell r="I509">
            <v>25.39</v>
          </cell>
          <cell r="J509">
            <v>19.64</v>
          </cell>
          <cell r="K509">
            <v>25</v>
          </cell>
          <cell r="L509">
            <v>107.91</v>
          </cell>
          <cell r="M509">
            <v>135</v>
          </cell>
        </row>
        <row r="510">
          <cell r="A510">
            <v>2000021733</v>
          </cell>
          <cell r="B510" t="str">
            <v xml:space="preserve">APRON SEAT UNIT </v>
          </cell>
          <cell r="C510" t="str">
            <v>BRITAX GO NEXT</v>
          </cell>
          <cell r="D510" t="str">
            <v>Navy Melange</v>
          </cell>
          <cell r="E510">
            <v>20.78</v>
          </cell>
          <cell r="F510">
            <v>25</v>
          </cell>
          <cell r="G510">
            <v>25.39</v>
          </cell>
          <cell r="H510">
            <v>30</v>
          </cell>
          <cell r="I510">
            <v>25.39</v>
          </cell>
          <cell r="J510">
            <v>19.64</v>
          </cell>
          <cell r="K510">
            <v>25</v>
          </cell>
          <cell r="L510">
            <v>107.91</v>
          </cell>
          <cell r="M510">
            <v>135</v>
          </cell>
        </row>
        <row r="511">
          <cell r="A511">
            <v>2000021734</v>
          </cell>
          <cell r="B511" t="str">
            <v xml:space="preserve">APRON SEAT UNIT </v>
          </cell>
          <cell r="C511" t="str">
            <v>BRITAX GO NEXT</v>
          </cell>
          <cell r="D511" t="str">
            <v>Black Ink</v>
          </cell>
          <cell r="E511">
            <v>20.78</v>
          </cell>
          <cell r="F511">
            <v>25</v>
          </cell>
          <cell r="G511">
            <v>25.39</v>
          </cell>
          <cell r="H511">
            <v>30</v>
          </cell>
          <cell r="I511">
            <v>25.39</v>
          </cell>
          <cell r="J511">
            <v>19.64</v>
          </cell>
          <cell r="K511">
            <v>25</v>
          </cell>
          <cell r="L511">
            <v>107.91</v>
          </cell>
          <cell r="M511">
            <v>135</v>
          </cell>
        </row>
        <row r="512">
          <cell r="A512">
            <v>2000023215</v>
          </cell>
          <cell r="B512" t="str">
            <v xml:space="preserve">APRON SEAT UNIT </v>
          </cell>
          <cell r="C512" t="str">
            <v>BRITAX GO NEXT</v>
          </cell>
          <cell r="D512" t="str">
            <v>Olive Melange</v>
          </cell>
          <cell r="E512">
            <v>20.78</v>
          </cell>
          <cell r="F512">
            <v>25</v>
          </cell>
          <cell r="G512">
            <v>25.39</v>
          </cell>
          <cell r="H512">
            <v>30</v>
          </cell>
          <cell r="I512">
            <v>25.39</v>
          </cell>
          <cell r="J512">
            <v>19.64</v>
          </cell>
          <cell r="K512">
            <v>25</v>
          </cell>
          <cell r="L512">
            <v>107.91</v>
          </cell>
          <cell r="M512">
            <v>135</v>
          </cell>
        </row>
        <row r="513">
          <cell r="A513">
            <v>2000023216</v>
          </cell>
          <cell r="B513" t="str">
            <v xml:space="preserve">APRON SEAT UNIT </v>
          </cell>
          <cell r="C513" t="str">
            <v>BRITAX GO NEXT</v>
          </cell>
          <cell r="D513" t="str">
            <v>Beige Melange</v>
          </cell>
          <cell r="E513">
            <v>20.78</v>
          </cell>
          <cell r="F513">
            <v>25</v>
          </cell>
          <cell r="G513">
            <v>25.39</v>
          </cell>
          <cell r="H513">
            <v>30</v>
          </cell>
          <cell r="I513">
            <v>25.39</v>
          </cell>
          <cell r="J513">
            <v>19.64</v>
          </cell>
          <cell r="K513">
            <v>25</v>
          </cell>
          <cell r="L513">
            <v>107.91</v>
          </cell>
          <cell r="M513">
            <v>135</v>
          </cell>
        </row>
        <row r="514">
          <cell r="A514">
            <v>2000026720</v>
          </cell>
          <cell r="B514" t="str">
            <v xml:space="preserve">APRON SEAT UNIT </v>
          </cell>
          <cell r="C514" t="str">
            <v>BRITAX GO NEXT</v>
          </cell>
          <cell r="D514" t="str">
            <v xml:space="preserve">Wine Red Melange </v>
          </cell>
          <cell r="E514">
            <v>20.78</v>
          </cell>
          <cell r="F514">
            <v>25</v>
          </cell>
          <cell r="G514">
            <v>25.39</v>
          </cell>
          <cell r="H514">
            <v>30</v>
          </cell>
          <cell r="I514">
            <v>25.39</v>
          </cell>
          <cell r="J514">
            <v>19.64</v>
          </cell>
          <cell r="K514">
            <v>25</v>
          </cell>
          <cell r="L514">
            <v>107.91</v>
          </cell>
          <cell r="M514">
            <v>135</v>
          </cell>
        </row>
        <row r="515">
          <cell r="A515">
            <v>2000029519</v>
          </cell>
          <cell r="B515" t="str">
            <v xml:space="preserve">APRON SEAT UNIT  </v>
          </cell>
          <cell r="C515" t="str">
            <v>BRITAX GO NEXT</v>
          </cell>
          <cell r="D515" t="str">
            <v>Dynamic Grey</v>
          </cell>
          <cell r="E515">
            <v>20.78</v>
          </cell>
          <cell r="F515">
            <v>25</v>
          </cell>
          <cell r="G515">
            <v>25.39</v>
          </cell>
          <cell r="H515">
            <v>30</v>
          </cell>
          <cell r="I515">
            <v>25.39</v>
          </cell>
          <cell r="J515">
            <v>19.64</v>
          </cell>
          <cell r="K515">
            <v>25</v>
          </cell>
          <cell r="L515">
            <v>107.91</v>
          </cell>
          <cell r="M515">
            <v>135</v>
          </cell>
        </row>
        <row r="516">
          <cell r="A516">
            <v>2000029520</v>
          </cell>
          <cell r="B516" t="str">
            <v xml:space="preserve">APRON SEAT UNIT  </v>
          </cell>
          <cell r="C516" t="str">
            <v>BRITAX GO NEXT</v>
          </cell>
          <cell r="D516" t="str">
            <v>Oxford Navy</v>
          </cell>
          <cell r="E516">
            <v>20.78</v>
          </cell>
          <cell r="F516">
            <v>25</v>
          </cell>
          <cell r="G516">
            <v>25.39</v>
          </cell>
          <cell r="H516">
            <v>30</v>
          </cell>
          <cell r="I516">
            <v>25.39</v>
          </cell>
          <cell r="J516">
            <v>19.64</v>
          </cell>
          <cell r="K516">
            <v>25</v>
          </cell>
          <cell r="L516">
            <v>107.91</v>
          </cell>
          <cell r="M516">
            <v>135</v>
          </cell>
        </row>
        <row r="517">
          <cell r="A517">
            <v>2000029518</v>
          </cell>
          <cell r="B517" t="str">
            <v xml:space="preserve">APRON SEAT UNIT  </v>
          </cell>
          <cell r="C517" t="str">
            <v>BRITAX GO NEXT</v>
          </cell>
          <cell r="D517" t="str">
            <v>Graphite Melange</v>
          </cell>
          <cell r="E517">
            <v>20.78</v>
          </cell>
          <cell r="F517">
            <v>25</v>
          </cell>
          <cell r="G517">
            <v>25.39</v>
          </cell>
          <cell r="H517">
            <v>30</v>
          </cell>
          <cell r="I517">
            <v>25.39</v>
          </cell>
          <cell r="J517">
            <v>19.64</v>
          </cell>
          <cell r="K517">
            <v>25</v>
          </cell>
          <cell r="L517">
            <v>107.91</v>
          </cell>
          <cell r="M517">
            <v>135</v>
          </cell>
        </row>
        <row r="518">
          <cell r="A518">
            <v>2000029378</v>
          </cell>
          <cell r="B518" t="str">
            <v>SEAT UNIT CANOPY</v>
          </cell>
          <cell r="C518" t="str">
            <v>BRITAX GO NEXT</v>
          </cell>
          <cell r="D518" t="str">
            <v>Dynamic Grey</v>
          </cell>
          <cell r="E518">
            <v>70.400000000000006</v>
          </cell>
          <cell r="F518">
            <v>84</v>
          </cell>
          <cell r="G518">
            <v>78.849999999999994</v>
          </cell>
          <cell r="H518">
            <v>95</v>
          </cell>
          <cell r="I518">
            <v>94.62</v>
          </cell>
          <cell r="J518">
            <v>62.09</v>
          </cell>
          <cell r="K518">
            <v>75</v>
          </cell>
          <cell r="L518">
            <v>335.11</v>
          </cell>
          <cell r="M518">
            <v>410</v>
          </cell>
        </row>
        <row r="519">
          <cell r="A519">
            <v>2000029377</v>
          </cell>
          <cell r="B519" t="str">
            <v>SEAT UNIT CANOPY</v>
          </cell>
          <cell r="C519" t="str">
            <v>BRITAX GO NEXT</v>
          </cell>
          <cell r="D519" t="str">
            <v>Graphite Melange</v>
          </cell>
          <cell r="E519">
            <v>70.400000000000006</v>
          </cell>
          <cell r="F519">
            <v>84</v>
          </cell>
          <cell r="G519">
            <v>78.849999999999994</v>
          </cell>
          <cell r="H519">
            <v>95</v>
          </cell>
          <cell r="I519">
            <v>94.62</v>
          </cell>
          <cell r="J519">
            <v>62.09</v>
          </cell>
          <cell r="K519">
            <v>75</v>
          </cell>
          <cell r="L519">
            <v>335.11</v>
          </cell>
          <cell r="M519">
            <v>410</v>
          </cell>
        </row>
        <row r="520">
          <cell r="A520">
            <v>2000029379</v>
          </cell>
          <cell r="B520" t="str">
            <v>SEAT UNIT CANOPY</v>
          </cell>
          <cell r="C520" t="str">
            <v>BRITAX GO NEXT</v>
          </cell>
          <cell r="D520" t="str">
            <v>Oxford Navy</v>
          </cell>
          <cell r="E520">
            <v>70.400000000000006</v>
          </cell>
          <cell r="F520">
            <v>84</v>
          </cell>
          <cell r="G520">
            <v>78.849999999999994</v>
          </cell>
          <cell r="H520">
            <v>95</v>
          </cell>
          <cell r="I520">
            <v>94.62</v>
          </cell>
          <cell r="J520">
            <v>62.09</v>
          </cell>
          <cell r="K520">
            <v>75</v>
          </cell>
          <cell r="L520">
            <v>335.11</v>
          </cell>
          <cell r="M520">
            <v>410</v>
          </cell>
        </row>
        <row r="521">
          <cell r="A521">
            <v>2000023196</v>
          </cell>
          <cell r="B521" t="str">
            <v>REAR WHEEL SET 2016</v>
          </cell>
          <cell r="C521" t="str">
            <v>BRITAX GO NEXT</v>
          </cell>
          <cell r="D521">
            <v>0</v>
          </cell>
          <cell r="E521">
            <v>63.12</v>
          </cell>
          <cell r="F521">
            <v>80</v>
          </cell>
          <cell r="G521">
            <v>77.12</v>
          </cell>
          <cell r="H521">
            <v>95</v>
          </cell>
          <cell r="I521">
            <v>77.12</v>
          </cell>
          <cell r="J521">
            <v>59.65</v>
          </cell>
          <cell r="K521">
            <v>70</v>
          </cell>
          <cell r="L521">
            <v>327.76</v>
          </cell>
          <cell r="M521">
            <v>405</v>
          </cell>
        </row>
        <row r="522">
          <cell r="A522">
            <v>2000023197</v>
          </cell>
          <cell r="B522" t="str">
            <v>FRONT WHEEL SET 2016</v>
          </cell>
          <cell r="C522" t="str">
            <v>BRITAX GO NEXT</v>
          </cell>
          <cell r="D522">
            <v>0</v>
          </cell>
          <cell r="E522">
            <v>69.459999999999994</v>
          </cell>
          <cell r="F522">
            <v>85</v>
          </cell>
          <cell r="G522">
            <v>84.87</v>
          </cell>
          <cell r="H522">
            <v>100</v>
          </cell>
          <cell r="I522">
            <v>84.87</v>
          </cell>
          <cell r="J522">
            <v>65.64</v>
          </cell>
          <cell r="K522">
            <v>80</v>
          </cell>
          <cell r="L522">
            <v>360.7</v>
          </cell>
          <cell r="M522">
            <v>445</v>
          </cell>
        </row>
        <row r="523">
          <cell r="A523">
            <v>2000023198</v>
          </cell>
          <cell r="B523" t="str">
            <v>AIR TYRE 2016</v>
          </cell>
          <cell r="C523" t="str">
            <v>BRITAX GO NEXT</v>
          </cell>
          <cell r="D523">
            <v>0</v>
          </cell>
          <cell r="E523">
            <v>28.71</v>
          </cell>
          <cell r="F523">
            <v>35</v>
          </cell>
          <cell r="G523">
            <v>35.08</v>
          </cell>
          <cell r="H523">
            <v>40</v>
          </cell>
          <cell r="I523">
            <v>35.08</v>
          </cell>
          <cell r="J523">
            <v>27.13</v>
          </cell>
          <cell r="K523">
            <v>35</v>
          </cell>
          <cell r="L523">
            <v>149.09</v>
          </cell>
          <cell r="M523">
            <v>185</v>
          </cell>
        </row>
        <row r="524">
          <cell r="A524">
            <v>2000029352</v>
          </cell>
          <cell r="B524" t="str">
            <v xml:space="preserve">HANDLE REPAIR KIT (LEATHERLOOK) </v>
          </cell>
          <cell r="C524" t="str">
            <v>BRITAX GO NEXT</v>
          </cell>
          <cell r="D524" t="str">
            <v>Black</v>
          </cell>
          <cell r="E524">
            <v>42.71</v>
          </cell>
          <cell r="F524">
            <v>51</v>
          </cell>
          <cell r="G524">
            <v>49.97</v>
          </cell>
          <cell r="H524">
            <v>60</v>
          </cell>
          <cell r="I524">
            <v>49.97</v>
          </cell>
          <cell r="J524">
            <v>40.36</v>
          </cell>
          <cell r="K524">
            <v>50</v>
          </cell>
          <cell r="L524">
            <v>212.37</v>
          </cell>
          <cell r="M524">
            <v>260</v>
          </cell>
        </row>
        <row r="525">
          <cell r="A525">
            <v>2000029479</v>
          </cell>
          <cell r="B525" t="str">
            <v xml:space="preserve">HANDLE REPAIR KIT (LEATHERLOOK) </v>
          </cell>
          <cell r="C525" t="str">
            <v>BRITAX GO NEXT</v>
          </cell>
          <cell r="D525" t="str">
            <v>Matte Black</v>
          </cell>
          <cell r="E525">
            <v>42.71</v>
          </cell>
          <cell r="F525">
            <v>51</v>
          </cell>
          <cell r="G525">
            <v>49.97</v>
          </cell>
          <cell r="H525">
            <v>60</v>
          </cell>
          <cell r="I525">
            <v>49.97</v>
          </cell>
          <cell r="J525">
            <v>40.36</v>
          </cell>
          <cell r="K525">
            <v>50</v>
          </cell>
          <cell r="L525">
            <v>212.37</v>
          </cell>
          <cell r="M525">
            <v>260</v>
          </cell>
        </row>
        <row r="526">
          <cell r="A526">
            <v>2000029354</v>
          </cell>
          <cell r="B526" t="str">
            <v xml:space="preserve">HANDLE REPAIR KIT (LEATHERLOOK) </v>
          </cell>
          <cell r="C526" t="str">
            <v>BRITAX GO NEXT</v>
          </cell>
          <cell r="D526" t="str">
            <v>White</v>
          </cell>
          <cell r="E526">
            <v>42.71</v>
          </cell>
          <cell r="F526">
            <v>51</v>
          </cell>
          <cell r="G526">
            <v>49.97</v>
          </cell>
          <cell r="H526">
            <v>60</v>
          </cell>
          <cell r="I526">
            <v>49.97</v>
          </cell>
          <cell r="J526">
            <v>40.36</v>
          </cell>
          <cell r="K526">
            <v>50</v>
          </cell>
          <cell r="L526">
            <v>212.37</v>
          </cell>
          <cell r="M526">
            <v>260</v>
          </cell>
        </row>
        <row r="527">
          <cell r="A527">
            <v>2000025133</v>
          </cell>
          <cell r="B527" t="str">
            <v>REAR WHEEL SET</v>
          </cell>
          <cell r="C527" t="str">
            <v>BRITAX GO BIG</v>
          </cell>
          <cell r="D527">
            <v>0</v>
          </cell>
          <cell r="E527">
            <v>79.2</v>
          </cell>
          <cell r="F527">
            <v>95</v>
          </cell>
          <cell r="G527">
            <v>88.7</v>
          </cell>
          <cell r="H527">
            <v>105</v>
          </cell>
          <cell r="I527">
            <v>106.44</v>
          </cell>
          <cell r="J527">
            <v>69.849999999999994</v>
          </cell>
          <cell r="K527">
            <v>85</v>
          </cell>
          <cell r="L527">
            <v>376.98</v>
          </cell>
          <cell r="M527">
            <v>465</v>
          </cell>
        </row>
        <row r="528">
          <cell r="A528">
            <v>2000029360</v>
          </cell>
          <cell r="B528" t="str">
            <v>REAR WHEEL SET WHITE LINE</v>
          </cell>
          <cell r="C528" t="str">
            <v>BRITAX GO BIG</v>
          </cell>
          <cell r="D528">
            <v>0</v>
          </cell>
          <cell r="E528">
            <v>84.2</v>
          </cell>
          <cell r="F528">
            <v>100</v>
          </cell>
          <cell r="G528">
            <v>93.7</v>
          </cell>
          <cell r="H528">
            <v>110</v>
          </cell>
          <cell r="I528">
            <v>111.44</v>
          </cell>
          <cell r="J528">
            <v>74.849999999999994</v>
          </cell>
          <cell r="K528">
            <v>90</v>
          </cell>
          <cell r="L528">
            <v>398.23</v>
          </cell>
          <cell r="M528">
            <v>490</v>
          </cell>
        </row>
        <row r="529">
          <cell r="A529">
            <v>2000025134</v>
          </cell>
          <cell r="B529" t="str">
            <v>FRONT WHEEL SET</v>
          </cell>
          <cell r="C529" t="str">
            <v>BRITAX GO BIG</v>
          </cell>
          <cell r="D529">
            <v>0</v>
          </cell>
          <cell r="E529">
            <v>62.7</v>
          </cell>
          <cell r="F529">
            <v>75</v>
          </cell>
          <cell r="G529">
            <v>70.22</v>
          </cell>
          <cell r="H529">
            <v>85</v>
          </cell>
          <cell r="I529">
            <v>84.27</v>
          </cell>
          <cell r="J529">
            <v>55.3</v>
          </cell>
          <cell r="K529">
            <v>65</v>
          </cell>
          <cell r="L529">
            <v>298.44</v>
          </cell>
          <cell r="M529">
            <v>365</v>
          </cell>
        </row>
        <row r="530">
          <cell r="A530">
            <v>2000029361</v>
          </cell>
          <cell r="B530" t="str">
            <v>FRONT WHEEL SET (WHITE LINE)</v>
          </cell>
          <cell r="C530" t="str">
            <v>BRITAX GO BIG</v>
          </cell>
          <cell r="D530">
            <v>0</v>
          </cell>
          <cell r="E530">
            <v>67.7</v>
          </cell>
          <cell r="F530">
            <v>80</v>
          </cell>
          <cell r="G530">
            <v>75.22</v>
          </cell>
          <cell r="H530">
            <v>90</v>
          </cell>
          <cell r="I530">
            <v>89.27</v>
          </cell>
          <cell r="J530">
            <v>60.3</v>
          </cell>
          <cell r="K530">
            <v>70</v>
          </cell>
          <cell r="L530">
            <v>319.69</v>
          </cell>
          <cell r="M530">
            <v>395</v>
          </cell>
        </row>
        <row r="531">
          <cell r="A531">
            <v>2000025136</v>
          </cell>
          <cell r="B531" t="str">
            <v>BACKREST BOARD ASSEMBLED</v>
          </cell>
          <cell r="C531" t="str">
            <v>BRITAX GO BIG</v>
          </cell>
          <cell r="D531">
            <v>0</v>
          </cell>
          <cell r="E531">
            <v>16.010000000000002</v>
          </cell>
          <cell r="F531">
            <v>20</v>
          </cell>
          <cell r="G531">
            <v>17.93</v>
          </cell>
          <cell r="H531">
            <v>20</v>
          </cell>
          <cell r="I531">
            <v>21.51</v>
          </cell>
          <cell r="J531">
            <v>14.12</v>
          </cell>
          <cell r="K531">
            <v>15</v>
          </cell>
          <cell r="L531">
            <v>76.2</v>
          </cell>
          <cell r="M531">
            <v>95</v>
          </cell>
        </row>
        <row r="532">
          <cell r="A532">
            <v>2000025137</v>
          </cell>
          <cell r="B532" t="str">
            <v>SEAT BOARD</v>
          </cell>
          <cell r="C532" t="str">
            <v>BRITAX GO BIG</v>
          </cell>
          <cell r="D532">
            <v>0</v>
          </cell>
          <cell r="E532">
            <v>5.5</v>
          </cell>
          <cell r="F532">
            <v>10</v>
          </cell>
          <cell r="G532">
            <v>6.16</v>
          </cell>
          <cell r="H532">
            <v>5</v>
          </cell>
          <cell r="I532">
            <v>7.39</v>
          </cell>
          <cell r="J532">
            <v>4.8499999999999996</v>
          </cell>
          <cell r="K532">
            <v>5</v>
          </cell>
          <cell r="L532">
            <v>26.18</v>
          </cell>
          <cell r="M532">
            <v>30</v>
          </cell>
        </row>
        <row r="533">
          <cell r="A533">
            <v>2000025138</v>
          </cell>
          <cell r="B533" t="str">
            <v xml:space="preserve">HARNESS INCLUDING BUCKLE AND HANRESS PADS </v>
          </cell>
          <cell r="C533" t="str">
            <v>BRITAX GO BIG</v>
          </cell>
          <cell r="D533" t="str">
            <v>Black</v>
          </cell>
          <cell r="E533">
            <v>18.27</v>
          </cell>
          <cell r="F533">
            <v>25</v>
          </cell>
          <cell r="G533">
            <v>20.46</v>
          </cell>
          <cell r="H533">
            <v>25</v>
          </cell>
          <cell r="I533">
            <v>24.56</v>
          </cell>
          <cell r="J533">
            <v>16.12</v>
          </cell>
          <cell r="K533">
            <v>20</v>
          </cell>
          <cell r="L533">
            <v>86.96</v>
          </cell>
          <cell r="M533">
            <v>105</v>
          </cell>
        </row>
        <row r="534">
          <cell r="A534">
            <v>2000025070</v>
          </cell>
          <cell r="B534" t="str">
            <v xml:space="preserve">HANDLE REPAIR KIT </v>
          </cell>
          <cell r="C534" t="str">
            <v>BRITAX GO BIG</v>
          </cell>
          <cell r="D534" t="str">
            <v>Black</v>
          </cell>
          <cell r="E534">
            <v>44.85</v>
          </cell>
          <cell r="F534">
            <v>54</v>
          </cell>
          <cell r="G534">
            <v>44.85</v>
          </cell>
          <cell r="H534">
            <v>55</v>
          </cell>
          <cell r="I534">
            <v>44.85</v>
          </cell>
          <cell r="J534">
            <v>42.38</v>
          </cell>
          <cell r="K534">
            <v>50</v>
          </cell>
          <cell r="L534">
            <v>190.61</v>
          </cell>
          <cell r="M534">
            <v>235</v>
          </cell>
        </row>
        <row r="535">
          <cell r="A535">
            <v>2000029355</v>
          </cell>
          <cell r="B535" t="str">
            <v xml:space="preserve">HANDLE REPAIR KIT (LEATHERLOOK) </v>
          </cell>
          <cell r="C535" t="str">
            <v>BRITAX GO BIG</v>
          </cell>
          <cell r="D535" t="str">
            <v>Black</v>
          </cell>
          <cell r="E535">
            <v>42.71</v>
          </cell>
          <cell r="F535">
            <v>50</v>
          </cell>
          <cell r="G535">
            <v>49.97</v>
          </cell>
          <cell r="H535">
            <v>60</v>
          </cell>
          <cell r="I535">
            <v>49.97</v>
          </cell>
          <cell r="J535">
            <v>40.36</v>
          </cell>
          <cell r="K535">
            <v>50</v>
          </cell>
          <cell r="L535">
            <v>212.37</v>
          </cell>
          <cell r="M535">
            <v>260</v>
          </cell>
        </row>
        <row r="536">
          <cell r="A536">
            <v>2000029480</v>
          </cell>
          <cell r="B536" t="str">
            <v xml:space="preserve">HANDLE REPAIR KIT (LEATHERLOOK) </v>
          </cell>
          <cell r="C536" t="str">
            <v>BRITAX GO BIG</v>
          </cell>
          <cell r="D536" t="str">
            <v>Matte Black</v>
          </cell>
          <cell r="E536">
            <v>42.71</v>
          </cell>
          <cell r="F536">
            <v>50</v>
          </cell>
          <cell r="G536">
            <v>49.97</v>
          </cell>
          <cell r="H536">
            <v>60</v>
          </cell>
          <cell r="I536">
            <v>49.97</v>
          </cell>
          <cell r="J536">
            <v>40.36</v>
          </cell>
          <cell r="K536">
            <v>50</v>
          </cell>
          <cell r="L536">
            <v>212.37</v>
          </cell>
          <cell r="M536">
            <v>260</v>
          </cell>
        </row>
        <row r="537">
          <cell r="A537">
            <v>2000029481</v>
          </cell>
          <cell r="B537" t="str">
            <v xml:space="preserve">HANDLE REPAIR KIT (LEATHERLOOK) </v>
          </cell>
          <cell r="C537" t="str">
            <v>BRITAX GO BIG</v>
          </cell>
          <cell r="D537" t="str">
            <v>White</v>
          </cell>
          <cell r="E537">
            <v>42.71</v>
          </cell>
          <cell r="F537">
            <v>50</v>
          </cell>
          <cell r="G537">
            <v>49.97</v>
          </cell>
          <cell r="H537">
            <v>60</v>
          </cell>
          <cell r="I537">
            <v>49.97</v>
          </cell>
          <cell r="J537">
            <v>40.36</v>
          </cell>
          <cell r="K537">
            <v>50</v>
          </cell>
          <cell r="L537">
            <v>212.37</v>
          </cell>
          <cell r="M537">
            <v>260</v>
          </cell>
        </row>
        <row r="538">
          <cell r="A538">
            <v>2000025124</v>
          </cell>
          <cell r="B538" t="str">
            <v xml:space="preserve">SUSPENSION REPAIR KIT </v>
          </cell>
          <cell r="C538" t="str">
            <v>BRITAX GO BIG</v>
          </cell>
          <cell r="D538">
            <v>0</v>
          </cell>
          <cell r="E538">
            <v>21.67</v>
          </cell>
          <cell r="F538">
            <v>26</v>
          </cell>
          <cell r="G538">
            <v>24.27</v>
          </cell>
          <cell r="H538">
            <v>30</v>
          </cell>
          <cell r="I538">
            <v>29.12</v>
          </cell>
          <cell r="J538">
            <v>19.11</v>
          </cell>
          <cell r="K538">
            <v>25</v>
          </cell>
          <cell r="L538">
            <v>103.15</v>
          </cell>
          <cell r="M538">
            <v>125</v>
          </cell>
        </row>
        <row r="539">
          <cell r="A539">
            <v>2000025132</v>
          </cell>
          <cell r="B539" t="str">
            <v>CHASSIS</v>
          </cell>
          <cell r="C539" t="str">
            <v>BRITAX GO BIG</v>
          </cell>
          <cell r="D539" t="str">
            <v>Black</v>
          </cell>
          <cell r="E539">
            <v>277.68</v>
          </cell>
          <cell r="F539">
            <v>335</v>
          </cell>
          <cell r="G539">
            <v>311.01</v>
          </cell>
          <cell r="H539">
            <v>375</v>
          </cell>
          <cell r="I539">
            <v>373.21</v>
          </cell>
          <cell r="J539">
            <v>244.92</v>
          </cell>
          <cell r="K539">
            <v>295</v>
          </cell>
          <cell r="L539">
            <v>1321.79</v>
          </cell>
          <cell r="M539">
            <v>1625</v>
          </cell>
        </row>
        <row r="540">
          <cell r="A540">
            <v>2000029507</v>
          </cell>
          <cell r="B540" t="str">
            <v>CHASSIS (LEATHERLOOK HANDLE)</v>
          </cell>
          <cell r="C540" t="str">
            <v>BRITAX GO BIG</v>
          </cell>
          <cell r="D540" t="str">
            <v>Black</v>
          </cell>
          <cell r="E540">
            <v>287.68</v>
          </cell>
          <cell r="F540">
            <v>345</v>
          </cell>
          <cell r="G540">
            <v>321.01</v>
          </cell>
          <cell r="H540">
            <v>385</v>
          </cell>
          <cell r="I540">
            <v>383.21</v>
          </cell>
          <cell r="J540">
            <v>254.92</v>
          </cell>
          <cell r="K540">
            <v>305</v>
          </cell>
          <cell r="L540">
            <v>1364.29</v>
          </cell>
          <cell r="M540">
            <v>1680</v>
          </cell>
        </row>
        <row r="541">
          <cell r="A541">
            <v>2000029357</v>
          </cell>
          <cell r="B541" t="str">
            <v>CHASSIS (LEATHERLOOK HANDLE)</v>
          </cell>
          <cell r="C541" t="str">
            <v>BRITAX GO BIG</v>
          </cell>
          <cell r="D541" t="str">
            <v>Matte Black</v>
          </cell>
          <cell r="E541">
            <v>287.68</v>
          </cell>
          <cell r="F541">
            <v>345</v>
          </cell>
          <cell r="G541">
            <v>321.01</v>
          </cell>
          <cell r="H541">
            <v>385</v>
          </cell>
          <cell r="I541">
            <v>383.21</v>
          </cell>
          <cell r="J541">
            <v>254.92</v>
          </cell>
          <cell r="K541">
            <v>305</v>
          </cell>
          <cell r="L541">
            <v>1364.29</v>
          </cell>
          <cell r="M541">
            <v>1680</v>
          </cell>
        </row>
        <row r="542">
          <cell r="A542">
            <v>2000025135</v>
          </cell>
          <cell r="B542" t="str">
            <v xml:space="preserve">TEXTIL BASKET </v>
          </cell>
          <cell r="C542" t="str">
            <v>BRITAX GO BIG</v>
          </cell>
          <cell r="D542" t="str">
            <v xml:space="preserve">Black </v>
          </cell>
          <cell r="E542">
            <v>68.2</v>
          </cell>
          <cell r="F542">
            <v>85</v>
          </cell>
          <cell r="G542">
            <v>76.38</v>
          </cell>
          <cell r="H542">
            <v>90</v>
          </cell>
          <cell r="I542">
            <v>91.66</v>
          </cell>
          <cell r="J542">
            <v>60.15</v>
          </cell>
          <cell r="K542">
            <v>70</v>
          </cell>
          <cell r="L542">
            <v>324.62</v>
          </cell>
          <cell r="M542">
            <v>400</v>
          </cell>
        </row>
        <row r="543">
          <cell r="A543">
            <v>2000029364</v>
          </cell>
          <cell r="B543" t="str">
            <v xml:space="preserve">TEXTIL BASKET </v>
          </cell>
          <cell r="C543" t="str">
            <v>BRITAX GO BIG</v>
          </cell>
          <cell r="D543" t="str">
            <v>Grey Melange</v>
          </cell>
          <cell r="E543">
            <v>68.2</v>
          </cell>
          <cell r="F543">
            <v>81</v>
          </cell>
          <cell r="G543">
            <v>76.38</v>
          </cell>
          <cell r="H543">
            <v>90</v>
          </cell>
          <cell r="I543">
            <v>76.38</v>
          </cell>
          <cell r="J543" t="str">
            <v>n.a.</v>
          </cell>
          <cell r="K543" t="str">
            <v>n.a.</v>
          </cell>
          <cell r="L543">
            <v>324.62</v>
          </cell>
          <cell r="M543">
            <v>400</v>
          </cell>
        </row>
        <row r="544">
          <cell r="A544">
            <v>2000029365</v>
          </cell>
          <cell r="B544" t="str">
            <v xml:space="preserve">TEXTIL BASKET </v>
          </cell>
          <cell r="C544" t="str">
            <v>BRITAX GO BIG</v>
          </cell>
          <cell r="D544" t="str">
            <v>Navy Melange</v>
          </cell>
          <cell r="E544">
            <v>68.2</v>
          </cell>
          <cell r="F544">
            <v>81</v>
          </cell>
          <cell r="G544">
            <v>76.38</v>
          </cell>
          <cell r="H544">
            <v>90</v>
          </cell>
          <cell r="I544">
            <v>76.38</v>
          </cell>
          <cell r="J544" t="str">
            <v>n.a.</v>
          </cell>
          <cell r="K544" t="str">
            <v>n.a.</v>
          </cell>
          <cell r="L544">
            <v>324.62</v>
          </cell>
          <cell r="M544">
            <v>400</v>
          </cell>
        </row>
        <row r="545">
          <cell r="A545">
            <v>2000025127</v>
          </cell>
          <cell r="B545" t="str">
            <v xml:space="preserve">SEAT UNIT </v>
          </cell>
          <cell r="C545" t="str">
            <v>BRITAX GO BIG</v>
          </cell>
          <cell r="D545" t="str">
            <v>Cosmos Black/
Black Frame</v>
          </cell>
          <cell r="E545">
            <v>297.14999999999998</v>
          </cell>
          <cell r="F545">
            <v>355</v>
          </cell>
          <cell r="G545">
            <v>332.81</v>
          </cell>
          <cell r="H545">
            <v>400</v>
          </cell>
          <cell r="I545">
            <v>399.37</v>
          </cell>
          <cell r="J545">
            <v>262.08999999999997</v>
          </cell>
          <cell r="K545">
            <v>315</v>
          </cell>
          <cell r="L545">
            <v>1414.44</v>
          </cell>
          <cell r="M545">
            <v>1740</v>
          </cell>
        </row>
        <row r="546">
          <cell r="A546">
            <v>2000025128</v>
          </cell>
          <cell r="B546" t="str">
            <v xml:space="preserve">SEAT UNIT </v>
          </cell>
          <cell r="C546" t="str">
            <v>BRITAX GO BIG</v>
          </cell>
          <cell r="D546" t="str">
            <v>Steel Grey/
Black Frame</v>
          </cell>
          <cell r="E546">
            <v>297.14999999999998</v>
          </cell>
          <cell r="F546">
            <v>355</v>
          </cell>
          <cell r="G546">
            <v>332.81</v>
          </cell>
          <cell r="H546">
            <v>400</v>
          </cell>
          <cell r="I546">
            <v>399.37</v>
          </cell>
          <cell r="J546">
            <v>262.08999999999997</v>
          </cell>
          <cell r="K546">
            <v>315</v>
          </cell>
          <cell r="L546">
            <v>1414.44</v>
          </cell>
          <cell r="M546">
            <v>1740</v>
          </cell>
        </row>
        <row r="547">
          <cell r="A547">
            <v>2000025129</v>
          </cell>
          <cell r="B547" t="str">
            <v xml:space="preserve">SEAT UNIT </v>
          </cell>
          <cell r="C547" t="str">
            <v>BRITAX GO BIG</v>
          </cell>
          <cell r="D547" t="str">
            <v>Ocean Navy/
Black Frame</v>
          </cell>
          <cell r="E547">
            <v>297.14999999999998</v>
          </cell>
          <cell r="F547">
            <v>355</v>
          </cell>
          <cell r="G547">
            <v>332.81</v>
          </cell>
          <cell r="H547">
            <v>400</v>
          </cell>
          <cell r="I547">
            <v>399.37</v>
          </cell>
          <cell r="J547">
            <v>262.08999999999997</v>
          </cell>
          <cell r="K547">
            <v>315</v>
          </cell>
          <cell r="L547">
            <v>1414.44</v>
          </cell>
          <cell r="M547">
            <v>1740</v>
          </cell>
        </row>
        <row r="548">
          <cell r="A548">
            <v>2000025130</v>
          </cell>
          <cell r="B548" t="str">
            <v xml:space="preserve">SEAT UNIT </v>
          </cell>
          <cell r="C548" t="str">
            <v>BRITAX GO BIG</v>
          </cell>
          <cell r="D548" t="str">
            <v>Flame Red
/Black Frame</v>
          </cell>
          <cell r="E548">
            <v>297.14999999999998</v>
          </cell>
          <cell r="F548">
            <v>355</v>
          </cell>
          <cell r="G548">
            <v>332.81</v>
          </cell>
          <cell r="H548">
            <v>400</v>
          </cell>
          <cell r="I548">
            <v>399.37</v>
          </cell>
          <cell r="J548">
            <v>262.08999999999997</v>
          </cell>
          <cell r="K548">
            <v>315</v>
          </cell>
          <cell r="L548">
            <v>1414.44</v>
          </cell>
          <cell r="M548">
            <v>1740</v>
          </cell>
        </row>
        <row r="549">
          <cell r="A549">
            <v>2000025131</v>
          </cell>
          <cell r="B549" t="str">
            <v xml:space="preserve">SEAT UNIT </v>
          </cell>
          <cell r="C549" t="str">
            <v>BRITAX GO BIG</v>
          </cell>
          <cell r="D549" t="str">
            <v>Mineral Purple/
Black Frame</v>
          </cell>
          <cell r="E549">
            <v>297.14999999999998</v>
          </cell>
          <cell r="F549">
            <v>355</v>
          </cell>
          <cell r="G549">
            <v>332.81</v>
          </cell>
          <cell r="H549">
            <v>400</v>
          </cell>
          <cell r="I549">
            <v>399.37</v>
          </cell>
          <cell r="J549">
            <v>262.08999999999997</v>
          </cell>
          <cell r="K549">
            <v>315</v>
          </cell>
          <cell r="L549">
            <v>1414.44</v>
          </cell>
          <cell r="M549">
            <v>1740</v>
          </cell>
        </row>
        <row r="550">
          <cell r="A550">
            <v>2000026688</v>
          </cell>
          <cell r="B550" t="str">
            <v xml:space="preserve">SEAT UNIT </v>
          </cell>
          <cell r="C550" t="str">
            <v>BRITAX GO BIG</v>
          </cell>
          <cell r="D550" t="str">
            <v>Olive Green/
Black Frame</v>
          </cell>
          <cell r="E550">
            <v>297.14999999999998</v>
          </cell>
          <cell r="F550">
            <v>355</v>
          </cell>
          <cell r="G550">
            <v>332.81</v>
          </cell>
          <cell r="H550">
            <v>400</v>
          </cell>
          <cell r="I550">
            <v>399.37</v>
          </cell>
          <cell r="J550">
            <v>262.08999999999997</v>
          </cell>
          <cell r="K550">
            <v>315</v>
          </cell>
          <cell r="L550">
            <v>1414.44</v>
          </cell>
          <cell r="M550">
            <v>1740</v>
          </cell>
        </row>
        <row r="551">
          <cell r="A551">
            <v>2000029523</v>
          </cell>
          <cell r="B551" t="str">
            <v xml:space="preserve">SEAT UNIT </v>
          </cell>
          <cell r="C551" t="str">
            <v>BRITAX GO BIG</v>
          </cell>
          <cell r="D551" t="str">
            <v>Dynamic Grey /
Black Frame</v>
          </cell>
          <cell r="E551">
            <v>297.14999999999998</v>
          </cell>
          <cell r="F551">
            <v>355</v>
          </cell>
          <cell r="G551">
            <v>332.81</v>
          </cell>
          <cell r="H551">
            <v>400</v>
          </cell>
          <cell r="I551">
            <v>399.37</v>
          </cell>
          <cell r="J551">
            <v>262.08999999999997</v>
          </cell>
          <cell r="K551">
            <v>315</v>
          </cell>
          <cell r="L551">
            <v>1414.44</v>
          </cell>
          <cell r="M551">
            <v>1740</v>
          </cell>
        </row>
        <row r="552">
          <cell r="A552">
            <v>2000029359</v>
          </cell>
          <cell r="B552" t="str">
            <v xml:space="preserve">SEAT UNIT </v>
          </cell>
          <cell r="C552" t="str">
            <v>BRITAX GO BIG</v>
          </cell>
          <cell r="D552" t="str">
            <v xml:space="preserve">Graphite Melange/ Matte Black Frame </v>
          </cell>
          <cell r="E552">
            <v>297.14999999999998</v>
          </cell>
          <cell r="F552">
            <v>355</v>
          </cell>
          <cell r="G552">
            <v>332.81</v>
          </cell>
          <cell r="H552">
            <v>400</v>
          </cell>
          <cell r="I552">
            <v>399.37</v>
          </cell>
          <cell r="J552">
            <v>262.08999999999997</v>
          </cell>
          <cell r="K552">
            <v>315</v>
          </cell>
          <cell r="L552">
            <v>1414.44</v>
          </cell>
          <cell r="M552">
            <v>1740</v>
          </cell>
        </row>
        <row r="553">
          <cell r="A553">
            <v>2000029525</v>
          </cell>
          <cell r="B553" t="str">
            <v xml:space="preserve">SEAT UNIT </v>
          </cell>
          <cell r="C553" t="str">
            <v>BRITAX GO BIG</v>
          </cell>
          <cell r="D553" t="str">
            <v>Grey Melange/ White Frame</v>
          </cell>
          <cell r="E553">
            <v>297.14999999999998</v>
          </cell>
          <cell r="F553">
            <v>355</v>
          </cell>
          <cell r="G553">
            <v>332.81</v>
          </cell>
          <cell r="H553">
            <v>400</v>
          </cell>
          <cell r="I553">
            <v>399.37</v>
          </cell>
          <cell r="J553">
            <v>262.08999999999997</v>
          </cell>
          <cell r="K553">
            <v>315</v>
          </cell>
          <cell r="L553">
            <v>1414.44</v>
          </cell>
          <cell r="M553">
            <v>1740</v>
          </cell>
        </row>
        <row r="554">
          <cell r="A554">
            <v>2000026689</v>
          </cell>
          <cell r="B554" t="str">
            <v xml:space="preserve">SEAT UNIT </v>
          </cell>
          <cell r="C554" t="str">
            <v>BRITAX GO BIG</v>
          </cell>
          <cell r="D554" t="str">
            <v>Grey Melange/ Black Frame</v>
          </cell>
          <cell r="E554">
            <v>297.14999999999998</v>
          </cell>
          <cell r="F554">
            <v>295</v>
          </cell>
          <cell r="G554">
            <v>332.81</v>
          </cell>
          <cell r="H554">
            <v>400</v>
          </cell>
          <cell r="I554">
            <v>399.37</v>
          </cell>
          <cell r="J554">
            <v>262.08999999999997</v>
          </cell>
          <cell r="K554">
            <v>315</v>
          </cell>
          <cell r="L554">
            <v>1414.44</v>
          </cell>
          <cell r="M554">
            <v>1740</v>
          </cell>
        </row>
        <row r="555">
          <cell r="A555">
            <v>2000029524</v>
          </cell>
          <cell r="B555" t="str">
            <v xml:space="preserve">SEAT UNIT </v>
          </cell>
          <cell r="C555" t="str">
            <v>BRITAX GO BIG</v>
          </cell>
          <cell r="D555" t="str">
            <v>Oxford Navy/ White Frame</v>
          </cell>
          <cell r="E555">
            <v>297.14999999999998</v>
          </cell>
          <cell r="F555">
            <v>355</v>
          </cell>
          <cell r="G555">
            <v>332.81</v>
          </cell>
          <cell r="H555">
            <v>400</v>
          </cell>
          <cell r="I555">
            <v>399.37</v>
          </cell>
          <cell r="J555">
            <v>262.08999999999997</v>
          </cell>
          <cell r="K555">
            <v>315</v>
          </cell>
          <cell r="L555">
            <v>1414.44</v>
          </cell>
          <cell r="M555">
            <v>1740</v>
          </cell>
        </row>
        <row r="556">
          <cell r="A556">
            <v>2000025139</v>
          </cell>
          <cell r="B556" t="str">
            <v>SEAT UNIT CANOPY</v>
          </cell>
          <cell r="C556" t="str">
            <v>BRITAX GO BIG</v>
          </cell>
          <cell r="D556" t="str">
            <v>Cosmos Black</v>
          </cell>
          <cell r="E556">
            <v>70.400000000000006</v>
          </cell>
          <cell r="F556">
            <v>85</v>
          </cell>
          <cell r="G556">
            <v>78.849999999999994</v>
          </cell>
          <cell r="H556">
            <v>95</v>
          </cell>
          <cell r="I556">
            <v>94.62</v>
          </cell>
          <cell r="J556">
            <v>62.09</v>
          </cell>
          <cell r="K556">
            <v>75</v>
          </cell>
          <cell r="L556">
            <v>335.11</v>
          </cell>
          <cell r="M556">
            <v>410</v>
          </cell>
        </row>
        <row r="557">
          <cell r="A557">
            <v>2000025140</v>
          </cell>
          <cell r="B557" t="str">
            <v>SEAT UNIT CANOPY</v>
          </cell>
          <cell r="C557" t="str">
            <v>BRITAX GO BIG</v>
          </cell>
          <cell r="D557" t="str">
            <v>Steel Grey</v>
          </cell>
          <cell r="E557">
            <v>70.400000000000006</v>
          </cell>
          <cell r="F557">
            <v>85</v>
          </cell>
          <cell r="G557">
            <v>78.849999999999994</v>
          </cell>
          <cell r="H557">
            <v>95</v>
          </cell>
          <cell r="I557">
            <v>94.62</v>
          </cell>
          <cell r="J557">
            <v>62.09</v>
          </cell>
          <cell r="K557">
            <v>75</v>
          </cell>
          <cell r="L557">
            <v>335.11</v>
          </cell>
          <cell r="M557">
            <v>410</v>
          </cell>
        </row>
        <row r="558">
          <cell r="A558">
            <v>2000025141</v>
          </cell>
          <cell r="B558" t="str">
            <v>SEAT UNIT CANOPY</v>
          </cell>
          <cell r="C558" t="str">
            <v>BRITAX GO BIG</v>
          </cell>
          <cell r="D558" t="str">
            <v>Ocean Navy</v>
          </cell>
          <cell r="E558">
            <v>70.400000000000006</v>
          </cell>
          <cell r="F558">
            <v>85</v>
          </cell>
          <cell r="G558">
            <v>78.849999999999994</v>
          </cell>
          <cell r="H558">
            <v>95</v>
          </cell>
          <cell r="I558">
            <v>94.62</v>
          </cell>
          <cell r="J558">
            <v>62.09</v>
          </cell>
          <cell r="K558">
            <v>75</v>
          </cell>
          <cell r="L558">
            <v>335.11</v>
          </cell>
          <cell r="M558">
            <v>410</v>
          </cell>
        </row>
        <row r="559">
          <cell r="A559">
            <v>2000025142</v>
          </cell>
          <cell r="B559" t="str">
            <v>SEAT UNIT CANOPY</v>
          </cell>
          <cell r="C559" t="str">
            <v>BRITAX GO BIG</v>
          </cell>
          <cell r="D559" t="str">
            <v>Flame Red</v>
          </cell>
          <cell r="E559">
            <v>70.400000000000006</v>
          </cell>
          <cell r="F559">
            <v>85</v>
          </cell>
          <cell r="G559">
            <v>78.849999999999994</v>
          </cell>
          <cell r="H559">
            <v>95</v>
          </cell>
          <cell r="I559">
            <v>94.62</v>
          </cell>
          <cell r="J559">
            <v>62.09</v>
          </cell>
          <cell r="K559">
            <v>75</v>
          </cell>
          <cell r="L559">
            <v>335.11</v>
          </cell>
          <cell r="M559">
            <v>410</v>
          </cell>
        </row>
        <row r="560">
          <cell r="A560">
            <v>2000025143</v>
          </cell>
          <cell r="B560" t="str">
            <v>SEAT UNIT CANOPY</v>
          </cell>
          <cell r="C560" t="str">
            <v>BRITAX GO BIG</v>
          </cell>
          <cell r="D560" t="str">
            <v>Mineral Purple</v>
          </cell>
          <cell r="E560">
            <v>70.400000000000006</v>
          </cell>
          <cell r="F560">
            <v>85</v>
          </cell>
          <cell r="G560">
            <v>78.849999999999994</v>
          </cell>
          <cell r="H560">
            <v>95</v>
          </cell>
          <cell r="I560">
            <v>94.62</v>
          </cell>
          <cell r="J560">
            <v>62.09</v>
          </cell>
          <cell r="K560">
            <v>75</v>
          </cell>
          <cell r="L560">
            <v>335.11</v>
          </cell>
          <cell r="M560">
            <v>410</v>
          </cell>
        </row>
        <row r="561">
          <cell r="A561">
            <v>2000026692</v>
          </cell>
          <cell r="B561" t="str">
            <v>SEAT UNIT CANOPY</v>
          </cell>
          <cell r="C561" t="str">
            <v>BRITAX GO BIG</v>
          </cell>
          <cell r="D561" t="str">
            <v>Olive Green</v>
          </cell>
          <cell r="E561">
            <v>70.400000000000006</v>
          </cell>
          <cell r="F561">
            <v>85</v>
          </cell>
          <cell r="G561">
            <v>78.849999999999994</v>
          </cell>
          <cell r="H561">
            <v>95</v>
          </cell>
          <cell r="I561">
            <v>94.62</v>
          </cell>
          <cell r="J561">
            <v>62.09</v>
          </cell>
          <cell r="K561">
            <v>75</v>
          </cell>
          <cell r="L561">
            <v>335.11</v>
          </cell>
          <cell r="M561">
            <v>410</v>
          </cell>
        </row>
        <row r="562">
          <cell r="A562">
            <v>2000029375</v>
          </cell>
          <cell r="B562" t="str">
            <v>SEAT UNIT CANOPY</v>
          </cell>
          <cell r="C562" t="str">
            <v>BRITAX GO BIG</v>
          </cell>
          <cell r="D562" t="str">
            <v>Dynamic Grey</v>
          </cell>
          <cell r="E562">
            <v>70.400000000000006</v>
          </cell>
          <cell r="F562">
            <v>85</v>
          </cell>
          <cell r="G562">
            <v>78.849999999999994</v>
          </cell>
          <cell r="H562">
            <v>95</v>
          </cell>
          <cell r="I562">
            <v>94.62</v>
          </cell>
          <cell r="J562">
            <v>62.09</v>
          </cell>
          <cell r="K562">
            <v>75</v>
          </cell>
          <cell r="L562">
            <v>335.11</v>
          </cell>
          <cell r="M562">
            <v>410</v>
          </cell>
        </row>
        <row r="563">
          <cell r="A563">
            <v>2000029374</v>
          </cell>
          <cell r="B563" t="str">
            <v>SEAT UNIT CANOPY</v>
          </cell>
          <cell r="C563" t="str">
            <v>BRITAX GO BIG</v>
          </cell>
          <cell r="D563" t="str">
            <v>Graphite Melange</v>
          </cell>
          <cell r="E563">
            <v>70.400000000000006</v>
          </cell>
          <cell r="F563">
            <v>85</v>
          </cell>
          <cell r="G563">
            <v>78.849999999999994</v>
          </cell>
          <cell r="H563">
            <v>95</v>
          </cell>
          <cell r="I563">
            <v>94.62</v>
          </cell>
          <cell r="J563">
            <v>62.09</v>
          </cell>
          <cell r="K563">
            <v>75</v>
          </cell>
          <cell r="L563">
            <v>335.11</v>
          </cell>
          <cell r="M563">
            <v>410</v>
          </cell>
        </row>
        <row r="564">
          <cell r="A564">
            <v>2000029376</v>
          </cell>
          <cell r="B564" t="str">
            <v>SEAT UNIT CANOPY</v>
          </cell>
          <cell r="C564" t="str">
            <v>BRITAX GO BIG</v>
          </cell>
          <cell r="D564" t="str">
            <v>Oxford Navy</v>
          </cell>
          <cell r="E564">
            <v>70.400000000000006</v>
          </cell>
          <cell r="F564">
            <v>85</v>
          </cell>
          <cell r="G564">
            <v>78.849999999999994</v>
          </cell>
          <cell r="H564">
            <v>95</v>
          </cell>
          <cell r="I564">
            <v>94.62</v>
          </cell>
          <cell r="J564">
            <v>62.09</v>
          </cell>
          <cell r="K564">
            <v>75</v>
          </cell>
          <cell r="L564">
            <v>335.11</v>
          </cell>
          <cell r="M564">
            <v>410</v>
          </cell>
        </row>
        <row r="565">
          <cell r="A565">
            <v>2000026691</v>
          </cell>
          <cell r="B565" t="str">
            <v>SEAT UNIT CANOPY</v>
          </cell>
          <cell r="C565" t="str">
            <v>BRITAX GO BIG</v>
          </cell>
          <cell r="D565" t="str">
            <v>Grey Melange</v>
          </cell>
          <cell r="E565">
            <v>70.400000000000006</v>
          </cell>
          <cell r="F565">
            <v>85</v>
          </cell>
          <cell r="G565">
            <v>78.849999999999994</v>
          </cell>
          <cell r="H565">
            <v>95</v>
          </cell>
          <cell r="I565">
            <v>94.62</v>
          </cell>
          <cell r="J565">
            <v>62.09</v>
          </cell>
          <cell r="K565">
            <v>75</v>
          </cell>
          <cell r="L565">
            <v>335.11</v>
          </cell>
          <cell r="M565">
            <v>410</v>
          </cell>
        </row>
        <row r="566">
          <cell r="A566">
            <v>2000025125</v>
          </cell>
          <cell r="B566" t="str">
            <v xml:space="preserve">SWIVEL ATTACHMENT REPAIR KIT </v>
          </cell>
          <cell r="C566" t="str">
            <v>BRITAX GO BIG</v>
          </cell>
          <cell r="D566">
            <v>0</v>
          </cell>
          <cell r="E566">
            <v>10.24</v>
          </cell>
          <cell r="F566">
            <v>12</v>
          </cell>
          <cell r="G566">
            <v>11.47</v>
          </cell>
          <cell r="H566">
            <v>15</v>
          </cell>
          <cell r="I566">
            <v>13.76</v>
          </cell>
          <cell r="J566">
            <v>9.0299999999999994</v>
          </cell>
          <cell r="K566">
            <v>10</v>
          </cell>
          <cell r="L566">
            <v>48.75</v>
          </cell>
          <cell r="M566">
            <v>60</v>
          </cell>
        </row>
        <row r="567">
          <cell r="A567">
            <v>2000021732</v>
          </cell>
          <cell r="B567" t="str">
            <v xml:space="preserve">PRAMBODY </v>
          </cell>
          <cell r="C567" t="str">
            <v>PRAMBODY SPARES GO/GO BIG/GO NEXT</v>
          </cell>
          <cell r="D567" t="str">
            <v>Black Ink</v>
          </cell>
          <cell r="E567">
            <v>218.49</v>
          </cell>
          <cell r="F567">
            <v>260</v>
          </cell>
          <cell r="G567">
            <v>244.71</v>
          </cell>
          <cell r="H567">
            <v>295</v>
          </cell>
          <cell r="I567">
            <v>250</v>
          </cell>
          <cell r="J567" t="str">
            <v>n.a.</v>
          </cell>
          <cell r="K567" t="str">
            <v>n.a.</v>
          </cell>
          <cell r="L567">
            <v>1040.02</v>
          </cell>
          <cell r="M567">
            <v>1280</v>
          </cell>
        </row>
        <row r="568">
          <cell r="A568">
            <v>2000012131</v>
          </cell>
          <cell r="B568" t="str">
            <v xml:space="preserve">PRAMBODY </v>
          </cell>
          <cell r="C568" t="str">
            <v>PRAMBODY SPARES GO/GO BIG/GO NEXT</v>
          </cell>
          <cell r="D568" t="str">
            <v>Brown Melange</v>
          </cell>
          <cell r="E568">
            <v>218.49</v>
          </cell>
          <cell r="F568">
            <v>260</v>
          </cell>
          <cell r="G568">
            <v>244.71</v>
          </cell>
          <cell r="H568">
            <v>295</v>
          </cell>
          <cell r="I568">
            <v>250</v>
          </cell>
          <cell r="J568" t="str">
            <v>n.a.</v>
          </cell>
          <cell r="K568" t="str">
            <v>n.a.</v>
          </cell>
          <cell r="L568">
            <v>1040.02</v>
          </cell>
          <cell r="M568">
            <v>1280</v>
          </cell>
        </row>
        <row r="569">
          <cell r="A569">
            <v>2000012132</v>
          </cell>
          <cell r="B569" t="str">
            <v xml:space="preserve">PRAMBODY </v>
          </cell>
          <cell r="C569" t="str">
            <v>PRAMBODY SPARES GO/GO BIG/GO NEXT</v>
          </cell>
          <cell r="D569" t="str">
            <v>Black Melange</v>
          </cell>
          <cell r="E569">
            <v>218.49</v>
          </cell>
          <cell r="F569">
            <v>260</v>
          </cell>
          <cell r="G569">
            <v>244.71</v>
          </cell>
          <cell r="H569">
            <v>295</v>
          </cell>
          <cell r="I569">
            <v>250</v>
          </cell>
          <cell r="J569" t="str">
            <v>n.a.</v>
          </cell>
          <cell r="K569" t="str">
            <v>n.a.</v>
          </cell>
          <cell r="L569">
            <v>1040.02</v>
          </cell>
          <cell r="M569">
            <v>1280</v>
          </cell>
        </row>
        <row r="570">
          <cell r="A570">
            <v>2000012133</v>
          </cell>
          <cell r="B570" t="str">
            <v xml:space="preserve">PRAMBODY </v>
          </cell>
          <cell r="C570" t="str">
            <v>PRAMBODY SPARES GO/GO BIG/GO NEXT</v>
          </cell>
          <cell r="D570" t="str">
            <v>Grey Melange</v>
          </cell>
          <cell r="E570">
            <v>218.49</v>
          </cell>
          <cell r="F570">
            <v>260</v>
          </cell>
          <cell r="G570">
            <v>244.71</v>
          </cell>
          <cell r="H570">
            <v>295</v>
          </cell>
          <cell r="I570">
            <v>250</v>
          </cell>
          <cell r="J570" t="str">
            <v>n.a.</v>
          </cell>
          <cell r="K570" t="str">
            <v>n.a.</v>
          </cell>
          <cell r="L570">
            <v>1040.02</v>
          </cell>
          <cell r="M570">
            <v>1280</v>
          </cell>
        </row>
        <row r="571">
          <cell r="A571">
            <v>2000021731</v>
          </cell>
          <cell r="B571" t="str">
            <v xml:space="preserve">PRAMBODY </v>
          </cell>
          <cell r="C571" t="str">
            <v>PRAMBODY SPARES GO/GO BIG/GO NEXT</v>
          </cell>
          <cell r="D571" t="str">
            <v>Navy Melange</v>
          </cell>
          <cell r="E571">
            <v>218.49</v>
          </cell>
          <cell r="F571">
            <v>260</v>
          </cell>
          <cell r="G571">
            <v>244.71</v>
          </cell>
          <cell r="H571">
            <v>295</v>
          </cell>
          <cell r="I571">
            <v>250</v>
          </cell>
          <cell r="J571" t="str">
            <v>n.a.</v>
          </cell>
          <cell r="K571" t="str">
            <v>n.a.</v>
          </cell>
          <cell r="L571">
            <v>1040.02</v>
          </cell>
          <cell r="M571">
            <v>1280</v>
          </cell>
        </row>
        <row r="572">
          <cell r="A572">
            <v>2000023207</v>
          </cell>
          <cell r="B572" t="str">
            <v xml:space="preserve">PRAMBODY </v>
          </cell>
          <cell r="C572" t="str">
            <v>PRAMBODY SPARES GO/GO BIG/GO NEXT</v>
          </cell>
          <cell r="D572" t="str">
            <v>Olive Melange</v>
          </cell>
          <cell r="E572">
            <v>218.49</v>
          </cell>
          <cell r="F572">
            <v>260</v>
          </cell>
          <cell r="G572">
            <v>244.71</v>
          </cell>
          <cell r="H572">
            <v>295</v>
          </cell>
          <cell r="I572">
            <v>250</v>
          </cell>
          <cell r="J572" t="str">
            <v>n.a.</v>
          </cell>
          <cell r="K572" t="str">
            <v>n.a.</v>
          </cell>
          <cell r="L572">
            <v>1040.02</v>
          </cell>
          <cell r="M572">
            <v>1280</v>
          </cell>
        </row>
        <row r="573">
          <cell r="A573">
            <v>2000023208</v>
          </cell>
          <cell r="B573" t="str">
            <v xml:space="preserve">PRAMBODY </v>
          </cell>
          <cell r="C573" t="str">
            <v>PRAMBODY SPARES GO/GO BIG/GO NEXT</v>
          </cell>
          <cell r="D573" t="str">
            <v>Beige Melange</v>
          </cell>
          <cell r="E573">
            <v>218.49</v>
          </cell>
          <cell r="F573">
            <v>260</v>
          </cell>
          <cell r="G573">
            <v>244.71</v>
          </cell>
          <cell r="H573">
            <v>295</v>
          </cell>
          <cell r="I573">
            <v>250</v>
          </cell>
          <cell r="J573" t="str">
            <v>n.a.</v>
          </cell>
          <cell r="K573" t="str">
            <v>n.a.</v>
          </cell>
          <cell r="L573">
            <v>1040.02</v>
          </cell>
          <cell r="M573">
            <v>1280</v>
          </cell>
        </row>
        <row r="574">
          <cell r="A574">
            <v>2000026695</v>
          </cell>
          <cell r="B574" t="str">
            <v xml:space="preserve">PRAMBODY </v>
          </cell>
          <cell r="C574" t="str">
            <v>PRAMBODY SPARES GO/GO BIG/GO NEXT</v>
          </cell>
          <cell r="D574" t="str">
            <v>Wine Red Melange</v>
          </cell>
          <cell r="E574">
            <v>218.49</v>
          </cell>
          <cell r="F574">
            <v>260</v>
          </cell>
          <cell r="G574">
            <v>244.71</v>
          </cell>
          <cell r="H574">
            <v>295</v>
          </cell>
          <cell r="I574">
            <v>250</v>
          </cell>
          <cell r="J574" t="str">
            <v>n.a.</v>
          </cell>
          <cell r="K574" t="str">
            <v>n.a.</v>
          </cell>
          <cell r="L574">
            <v>1040.02</v>
          </cell>
          <cell r="M574">
            <v>1280</v>
          </cell>
        </row>
        <row r="575">
          <cell r="A575">
            <v>2000021631</v>
          </cell>
          <cell r="B575" t="str">
            <v xml:space="preserve">APRON PRAMBODY </v>
          </cell>
          <cell r="C575" t="str">
            <v>PRAMBODY SPARES GO/GO BIG/GO NEXT</v>
          </cell>
          <cell r="D575" t="str">
            <v>Black Thunder</v>
          </cell>
          <cell r="E575">
            <v>25.09</v>
          </cell>
          <cell r="F575">
            <v>30</v>
          </cell>
          <cell r="G575">
            <v>30.65</v>
          </cell>
          <cell r="H575">
            <v>35</v>
          </cell>
          <cell r="I575">
            <v>30.65</v>
          </cell>
          <cell r="J575">
            <v>23.71</v>
          </cell>
          <cell r="K575">
            <v>30</v>
          </cell>
          <cell r="L575">
            <v>130.26</v>
          </cell>
          <cell r="M575">
            <v>160</v>
          </cell>
        </row>
        <row r="576">
          <cell r="A576">
            <v>2000021632</v>
          </cell>
          <cell r="B576" t="str">
            <v xml:space="preserve">APRON PRAMBODY </v>
          </cell>
          <cell r="C576" t="str">
            <v>PRAMBODY SPARES GO/GO BIG/GO NEXT</v>
          </cell>
          <cell r="D576" t="str">
            <v>Chili Pepper</v>
          </cell>
          <cell r="E576">
            <v>25.09</v>
          </cell>
          <cell r="F576">
            <v>30</v>
          </cell>
          <cell r="G576">
            <v>30.65</v>
          </cell>
          <cell r="H576">
            <v>35</v>
          </cell>
          <cell r="I576">
            <v>30.65</v>
          </cell>
          <cell r="J576">
            <v>23.71</v>
          </cell>
          <cell r="K576">
            <v>30</v>
          </cell>
          <cell r="L576">
            <v>130.26</v>
          </cell>
          <cell r="M576">
            <v>160</v>
          </cell>
        </row>
        <row r="577">
          <cell r="A577">
            <v>2000021633</v>
          </cell>
          <cell r="B577" t="str">
            <v xml:space="preserve">APRON PRAMBODY </v>
          </cell>
          <cell r="C577" t="str">
            <v>PRAMBODY SPARES GO/GO BIG/GO NEXT</v>
          </cell>
          <cell r="D577" t="str">
            <v>Cool Berry</v>
          </cell>
          <cell r="E577">
            <v>25.09</v>
          </cell>
          <cell r="F577">
            <v>30</v>
          </cell>
          <cell r="G577">
            <v>30.65</v>
          </cell>
          <cell r="H577">
            <v>35</v>
          </cell>
          <cell r="I577">
            <v>30.65</v>
          </cell>
          <cell r="J577">
            <v>23.71</v>
          </cell>
          <cell r="K577">
            <v>30</v>
          </cell>
          <cell r="L577">
            <v>130.26</v>
          </cell>
          <cell r="M577">
            <v>160</v>
          </cell>
        </row>
        <row r="578">
          <cell r="A578">
            <v>2000021634</v>
          </cell>
          <cell r="B578" t="str">
            <v xml:space="preserve">APRON PRAMBODY </v>
          </cell>
          <cell r="C578" t="str">
            <v>PRAMBODY SPARES GO/GO BIG/GO NEXT</v>
          </cell>
          <cell r="D578" t="str">
            <v>Blue Sky</v>
          </cell>
          <cell r="E578">
            <v>25.09</v>
          </cell>
          <cell r="F578">
            <v>30</v>
          </cell>
          <cell r="G578">
            <v>30.65</v>
          </cell>
          <cell r="H578">
            <v>35</v>
          </cell>
          <cell r="I578">
            <v>30.65</v>
          </cell>
          <cell r="J578">
            <v>23.71</v>
          </cell>
          <cell r="K578">
            <v>30</v>
          </cell>
          <cell r="L578">
            <v>130.26</v>
          </cell>
          <cell r="M578">
            <v>160</v>
          </cell>
        </row>
        <row r="579">
          <cell r="A579">
            <v>2000021635</v>
          </cell>
          <cell r="B579" t="str">
            <v xml:space="preserve">APRON PRAMBODY </v>
          </cell>
          <cell r="C579" t="str">
            <v>PRAMBODY SPARES GO/GO BIG/GO NEXT</v>
          </cell>
          <cell r="D579" t="str">
            <v>Charcoal Grey</v>
          </cell>
          <cell r="E579">
            <v>25.09</v>
          </cell>
          <cell r="F579">
            <v>60</v>
          </cell>
          <cell r="G579">
            <v>30.65</v>
          </cell>
          <cell r="H579">
            <v>35</v>
          </cell>
          <cell r="I579">
            <v>30.65</v>
          </cell>
          <cell r="J579">
            <v>23.71</v>
          </cell>
          <cell r="K579">
            <v>30</v>
          </cell>
          <cell r="L579">
            <v>130.26</v>
          </cell>
          <cell r="M579">
            <v>160</v>
          </cell>
        </row>
        <row r="580">
          <cell r="A580">
            <v>2000021636</v>
          </cell>
          <cell r="B580" t="str">
            <v xml:space="preserve">APRON PRAMBODY </v>
          </cell>
          <cell r="C580" t="str">
            <v>PRAMBODY SPARES GO/GO BIG/GO NEXT</v>
          </cell>
          <cell r="D580" t="str">
            <v>Navy</v>
          </cell>
          <cell r="E580">
            <v>25.09</v>
          </cell>
          <cell r="F580">
            <v>30</v>
          </cell>
          <cell r="G580">
            <v>30.65</v>
          </cell>
          <cell r="H580">
            <v>35</v>
          </cell>
          <cell r="I580">
            <v>30.65</v>
          </cell>
          <cell r="J580">
            <v>23.71</v>
          </cell>
          <cell r="K580">
            <v>30</v>
          </cell>
          <cell r="L580">
            <v>130.26</v>
          </cell>
          <cell r="M580">
            <v>160</v>
          </cell>
        </row>
        <row r="581">
          <cell r="A581">
            <v>2000023217</v>
          </cell>
          <cell r="B581" t="str">
            <v xml:space="preserve">APRON PRAMBODY </v>
          </cell>
          <cell r="C581" t="str">
            <v>PRAMBODY SPARES GO/GO BIG/GO NEXT</v>
          </cell>
          <cell r="D581" t="str">
            <v>Cosmos Black</v>
          </cell>
          <cell r="E581">
            <v>25.09</v>
          </cell>
          <cell r="F581">
            <v>30</v>
          </cell>
          <cell r="G581">
            <v>30.65</v>
          </cell>
          <cell r="H581">
            <v>35</v>
          </cell>
          <cell r="I581">
            <v>30.65</v>
          </cell>
          <cell r="J581">
            <v>23.71</v>
          </cell>
          <cell r="K581">
            <v>30</v>
          </cell>
          <cell r="L581">
            <v>130.26</v>
          </cell>
          <cell r="M581">
            <v>160</v>
          </cell>
        </row>
        <row r="582">
          <cell r="A582">
            <v>2000029372</v>
          </cell>
          <cell r="B582" t="str">
            <v xml:space="preserve">APRON PRAMBODY </v>
          </cell>
          <cell r="C582" t="str">
            <v>PRAMBODY SPARES GO/GO BIG/GO NEXT</v>
          </cell>
          <cell r="D582" t="str">
            <v>Cosmos Black 2018</v>
          </cell>
          <cell r="E582">
            <v>25.09</v>
          </cell>
          <cell r="F582">
            <v>30</v>
          </cell>
          <cell r="G582">
            <v>30.65</v>
          </cell>
          <cell r="H582">
            <v>35</v>
          </cell>
          <cell r="I582">
            <v>30.65</v>
          </cell>
          <cell r="J582">
            <v>23.71</v>
          </cell>
          <cell r="K582">
            <v>30</v>
          </cell>
          <cell r="L582">
            <v>130.26</v>
          </cell>
          <cell r="M582">
            <v>160</v>
          </cell>
        </row>
        <row r="583">
          <cell r="A583">
            <v>2000023221</v>
          </cell>
          <cell r="B583" t="str">
            <v xml:space="preserve">APRON PRAMBODY </v>
          </cell>
          <cell r="C583" t="str">
            <v>PRAMBODY SPARES GO/GO BIG/GO NEXT</v>
          </cell>
          <cell r="D583" t="str">
            <v>Steel Grey</v>
          </cell>
          <cell r="E583">
            <v>25.09</v>
          </cell>
          <cell r="F583">
            <v>30</v>
          </cell>
          <cell r="G583">
            <v>30.65</v>
          </cell>
          <cell r="H583">
            <v>35</v>
          </cell>
          <cell r="I583">
            <v>30.65</v>
          </cell>
          <cell r="J583">
            <v>23.71</v>
          </cell>
          <cell r="K583">
            <v>30</v>
          </cell>
          <cell r="L583">
            <v>130.26</v>
          </cell>
          <cell r="M583">
            <v>160</v>
          </cell>
        </row>
        <row r="584">
          <cell r="A584">
            <v>2000029369</v>
          </cell>
          <cell r="B584" t="str">
            <v xml:space="preserve">APRON PRAMBODY </v>
          </cell>
          <cell r="C584" t="str">
            <v>PRAMBODY SPARES GO/GO BIG/GO NEXT</v>
          </cell>
          <cell r="D584" t="str">
            <v>Steel Grey 2018</v>
          </cell>
          <cell r="E584">
            <v>25.09</v>
          </cell>
          <cell r="F584">
            <v>30</v>
          </cell>
          <cell r="G584">
            <v>30.65</v>
          </cell>
          <cell r="H584">
            <v>35</v>
          </cell>
          <cell r="I584">
            <v>30.65</v>
          </cell>
          <cell r="J584">
            <v>23.71</v>
          </cell>
          <cell r="K584">
            <v>30</v>
          </cell>
          <cell r="L584">
            <v>130.26</v>
          </cell>
          <cell r="M584">
            <v>160</v>
          </cell>
        </row>
        <row r="585">
          <cell r="A585">
            <v>2000021637</v>
          </cell>
          <cell r="B585" t="str">
            <v xml:space="preserve">APRON PRAMBODY </v>
          </cell>
          <cell r="C585" t="str">
            <v>PRAMBODY SPARES GO/GO BIG/GO NEXT</v>
          </cell>
          <cell r="D585" t="str">
            <v>Brown Melange</v>
          </cell>
          <cell r="E585">
            <v>25.09</v>
          </cell>
          <cell r="F585">
            <v>30</v>
          </cell>
          <cell r="G585">
            <v>30.65</v>
          </cell>
          <cell r="H585">
            <v>35</v>
          </cell>
          <cell r="I585">
            <v>30.65</v>
          </cell>
          <cell r="J585">
            <v>23.71</v>
          </cell>
          <cell r="K585">
            <v>30</v>
          </cell>
          <cell r="L585">
            <v>130.26</v>
          </cell>
          <cell r="M585">
            <v>160</v>
          </cell>
        </row>
        <row r="586">
          <cell r="A586">
            <v>2000021638</v>
          </cell>
          <cell r="B586" t="str">
            <v xml:space="preserve">APRON PRAMBODY </v>
          </cell>
          <cell r="C586" t="str">
            <v>PRAMBODY SPARES GO/GO BIG/GO NEXT</v>
          </cell>
          <cell r="D586" t="str">
            <v>Black Melange</v>
          </cell>
          <cell r="E586">
            <v>25.09</v>
          </cell>
          <cell r="F586">
            <v>30</v>
          </cell>
          <cell r="G586">
            <v>30.65</v>
          </cell>
          <cell r="H586">
            <v>35</v>
          </cell>
          <cell r="I586">
            <v>30.65</v>
          </cell>
          <cell r="J586">
            <v>23.71</v>
          </cell>
          <cell r="K586">
            <v>30</v>
          </cell>
          <cell r="L586">
            <v>130.26</v>
          </cell>
          <cell r="M586">
            <v>160</v>
          </cell>
        </row>
        <row r="587">
          <cell r="A587">
            <v>2000021639</v>
          </cell>
          <cell r="B587" t="str">
            <v xml:space="preserve">APRON PRAMBODY </v>
          </cell>
          <cell r="C587" t="str">
            <v>PRAMBODY SPARES GO/GO BIG/GO NEXT</v>
          </cell>
          <cell r="D587" t="str">
            <v>Grey Melange</v>
          </cell>
          <cell r="E587">
            <v>25.09</v>
          </cell>
          <cell r="F587">
            <v>30</v>
          </cell>
          <cell r="G587">
            <v>30.65</v>
          </cell>
          <cell r="H587">
            <v>35</v>
          </cell>
          <cell r="I587">
            <v>30.65</v>
          </cell>
          <cell r="J587">
            <v>23.71</v>
          </cell>
          <cell r="K587">
            <v>30</v>
          </cell>
          <cell r="L587">
            <v>130.26</v>
          </cell>
          <cell r="M587">
            <v>160</v>
          </cell>
        </row>
        <row r="588">
          <cell r="A588">
            <v>2000021735</v>
          </cell>
          <cell r="B588" t="str">
            <v xml:space="preserve">APRON PRAMBODY </v>
          </cell>
          <cell r="C588" t="str">
            <v>PRAMBODY SPARES GO/GO BIG/GO NEXT</v>
          </cell>
          <cell r="D588" t="str">
            <v>Navy Melange</v>
          </cell>
          <cell r="E588">
            <v>25.09</v>
          </cell>
          <cell r="F588">
            <v>30</v>
          </cell>
          <cell r="G588">
            <v>30.65</v>
          </cell>
          <cell r="H588">
            <v>35</v>
          </cell>
          <cell r="I588">
            <v>30.65</v>
          </cell>
          <cell r="J588">
            <v>23.71</v>
          </cell>
          <cell r="K588">
            <v>30</v>
          </cell>
          <cell r="L588">
            <v>130.26</v>
          </cell>
          <cell r="M588">
            <v>160</v>
          </cell>
        </row>
        <row r="589">
          <cell r="A589">
            <v>2000021736</v>
          </cell>
          <cell r="B589" t="str">
            <v xml:space="preserve">APRON PRAMBODY </v>
          </cell>
          <cell r="C589" t="str">
            <v>PRAMBODY SPARES GO/GO BIG/GO NEXT</v>
          </cell>
          <cell r="D589" t="str">
            <v>Black Ink</v>
          </cell>
          <cell r="E589">
            <v>25.09</v>
          </cell>
          <cell r="F589">
            <v>30</v>
          </cell>
          <cell r="G589">
            <v>30.65</v>
          </cell>
          <cell r="H589">
            <v>35</v>
          </cell>
          <cell r="I589">
            <v>30.65</v>
          </cell>
          <cell r="J589">
            <v>23.71</v>
          </cell>
          <cell r="K589">
            <v>30</v>
          </cell>
          <cell r="L589">
            <v>130.26</v>
          </cell>
          <cell r="M589">
            <v>160</v>
          </cell>
        </row>
        <row r="590">
          <cell r="A590">
            <v>2000029370</v>
          </cell>
          <cell r="B590" t="str">
            <v xml:space="preserve">APRON PRAMBODY </v>
          </cell>
          <cell r="C590" t="str">
            <v>PRAMBODY SPARES GO/GO BIG/GO NEXT</v>
          </cell>
          <cell r="D590" t="str">
            <v>Dynamic Grey</v>
          </cell>
          <cell r="E590">
            <v>25.09</v>
          </cell>
          <cell r="F590">
            <v>30</v>
          </cell>
          <cell r="G590">
            <v>30.65</v>
          </cell>
          <cell r="H590">
            <v>35</v>
          </cell>
          <cell r="I590">
            <v>30.65</v>
          </cell>
          <cell r="J590">
            <v>23.71</v>
          </cell>
          <cell r="K590">
            <v>30</v>
          </cell>
          <cell r="L590">
            <v>130.26</v>
          </cell>
          <cell r="M590">
            <v>160</v>
          </cell>
        </row>
        <row r="591">
          <cell r="A591">
            <v>2000029368</v>
          </cell>
          <cell r="B591" t="str">
            <v xml:space="preserve">APRON PARMBODY </v>
          </cell>
          <cell r="C591" t="str">
            <v>PRAMBODY SPARES GO/GO BIG/GO NEXT</v>
          </cell>
          <cell r="D591" t="str">
            <v>Graphite Melange</v>
          </cell>
          <cell r="E591">
            <v>25.09</v>
          </cell>
          <cell r="F591">
            <v>30</v>
          </cell>
          <cell r="G591">
            <v>30.65</v>
          </cell>
          <cell r="H591">
            <v>35</v>
          </cell>
          <cell r="I591">
            <v>30.65</v>
          </cell>
          <cell r="J591">
            <v>23.71</v>
          </cell>
          <cell r="K591">
            <v>30</v>
          </cell>
          <cell r="L591">
            <v>130.26</v>
          </cell>
          <cell r="M591">
            <v>160</v>
          </cell>
        </row>
        <row r="592">
          <cell r="A592">
            <v>2000029371</v>
          </cell>
          <cell r="B592" t="str">
            <v xml:space="preserve">APRON PRAMBODY </v>
          </cell>
          <cell r="C592" t="str">
            <v>PRAMBODY SPARES GO/GO BIG/GO NEXT</v>
          </cell>
          <cell r="D592" t="str">
            <v xml:space="preserve">Oxford Navy </v>
          </cell>
          <cell r="E592">
            <v>25.09</v>
          </cell>
          <cell r="F592">
            <v>30</v>
          </cell>
          <cell r="G592">
            <v>30.65</v>
          </cell>
          <cell r="H592">
            <v>35</v>
          </cell>
          <cell r="I592">
            <v>30.65</v>
          </cell>
          <cell r="J592">
            <v>23.71</v>
          </cell>
          <cell r="K592">
            <v>30</v>
          </cell>
          <cell r="L592">
            <v>130.26</v>
          </cell>
          <cell r="M592">
            <v>160</v>
          </cell>
        </row>
        <row r="593">
          <cell r="A593">
            <v>2000023229</v>
          </cell>
          <cell r="B593" t="str">
            <v>PRAMBODY CANOPY</v>
          </cell>
          <cell r="C593" t="str">
            <v>PRAMBODY SPARES GO/GO BIG/GO NEXT</v>
          </cell>
          <cell r="D593" t="str">
            <v>Cosmos Black</v>
          </cell>
          <cell r="E593">
            <v>54.48</v>
          </cell>
          <cell r="F593">
            <v>65</v>
          </cell>
          <cell r="G593">
            <v>66.56</v>
          </cell>
          <cell r="H593">
            <v>80</v>
          </cell>
          <cell r="I593">
            <v>66.56</v>
          </cell>
          <cell r="J593">
            <v>51.48</v>
          </cell>
          <cell r="K593">
            <v>60</v>
          </cell>
          <cell r="L593">
            <v>282.88</v>
          </cell>
          <cell r="M593">
            <v>350</v>
          </cell>
        </row>
        <row r="594">
          <cell r="A594">
            <v>2000029383</v>
          </cell>
          <cell r="B594" t="str">
            <v>PRAMBODY CANOPY</v>
          </cell>
          <cell r="C594" t="str">
            <v>PRAMBODY SPARES GO/GO BIG/GO NEXT</v>
          </cell>
          <cell r="D594" t="str">
            <v>Cosmos Black 2018</v>
          </cell>
          <cell r="E594">
            <v>54.48</v>
          </cell>
          <cell r="F594">
            <v>65</v>
          </cell>
          <cell r="G594">
            <v>66.56</v>
          </cell>
          <cell r="H594">
            <v>80</v>
          </cell>
          <cell r="I594">
            <v>66.56</v>
          </cell>
          <cell r="J594">
            <v>51.48</v>
          </cell>
          <cell r="K594">
            <v>60</v>
          </cell>
          <cell r="L594">
            <v>282.88</v>
          </cell>
          <cell r="M594">
            <v>350</v>
          </cell>
        </row>
        <row r="595">
          <cell r="A595">
            <v>2000023230</v>
          </cell>
          <cell r="B595" t="str">
            <v>PRAMBODY CANOPY</v>
          </cell>
          <cell r="C595" t="str">
            <v>PRAMBODY SPARES GO/GO BIG/GO NEXT</v>
          </cell>
          <cell r="D595" t="str">
            <v>Ocean Navy</v>
          </cell>
          <cell r="E595">
            <v>54.48</v>
          </cell>
          <cell r="F595">
            <v>65</v>
          </cell>
          <cell r="G595">
            <v>66.56</v>
          </cell>
          <cell r="H595">
            <v>80</v>
          </cell>
          <cell r="I595">
            <v>66.56</v>
          </cell>
          <cell r="J595">
            <v>51.48</v>
          </cell>
          <cell r="K595">
            <v>60</v>
          </cell>
          <cell r="L595">
            <v>282.88</v>
          </cell>
          <cell r="M595">
            <v>350</v>
          </cell>
        </row>
        <row r="596">
          <cell r="A596">
            <v>2000023234</v>
          </cell>
          <cell r="B596" t="str">
            <v>PRAMBODY CANOPY</v>
          </cell>
          <cell r="C596" t="str">
            <v>PRAMBODY SPARES GO/GO BIG/GO NEXT</v>
          </cell>
          <cell r="D596" t="str">
            <v>Steel Grey</v>
          </cell>
          <cell r="E596">
            <v>54.48</v>
          </cell>
          <cell r="F596">
            <v>65</v>
          </cell>
          <cell r="G596">
            <v>66.56</v>
          </cell>
          <cell r="H596">
            <v>80</v>
          </cell>
          <cell r="I596">
            <v>66.56</v>
          </cell>
          <cell r="J596">
            <v>51.48</v>
          </cell>
          <cell r="K596">
            <v>60</v>
          </cell>
          <cell r="L596">
            <v>282.88</v>
          </cell>
          <cell r="M596">
            <v>350</v>
          </cell>
        </row>
        <row r="597">
          <cell r="A597">
            <v>2000029384</v>
          </cell>
          <cell r="B597" t="str">
            <v>PRAMBODY CANOPY</v>
          </cell>
          <cell r="C597" t="str">
            <v>PRAMBODY SPARES GO/GO BIG/GO NEXT</v>
          </cell>
          <cell r="D597" t="str">
            <v>Steel Grey 2018</v>
          </cell>
          <cell r="E597">
            <v>54.48</v>
          </cell>
          <cell r="F597">
            <v>65</v>
          </cell>
          <cell r="G597">
            <v>66.56</v>
          </cell>
          <cell r="H597">
            <v>80</v>
          </cell>
          <cell r="I597">
            <v>66.56</v>
          </cell>
          <cell r="J597">
            <v>51.48</v>
          </cell>
          <cell r="K597">
            <v>60</v>
          </cell>
          <cell r="L597">
            <v>282.88</v>
          </cell>
          <cell r="M597">
            <v>350</v>
          </cell>
        </row>
        <row r="598">
          <cell r="A598">
            <v>2000023237</v>
          </cell>
          <cell r="B598" t="str">
            <v xml:space="preserve">PRAMBODY CANOPY </v>
          </cell>
          <cell r="C598" t="str">
            <v>PRAMBODY SPARES GO/GO BIG/GO NEXT</v>
          </cell>
          <cell r="D598" t="str">
            <v>Black Ink</v>
          </cell>
          <cell r="E598">
            <v>62.55</v>
          </cell>
          <cell r="F598">
            <v>75</v>
          </cell>
          <cell r="G598">
            <v>76.42</v>
          </cell>
          <cell r="H598">
            <v>90</v>
          </cell>
          <cell r="I598">
            <v>76.42</v>
          </cell>
          <cell r="J598">
            <v>59.11</v>
          </cell>
          <cell r="K598">
            <v>70</v>
          </cell>
          <cell r="L598">
            <v>324.79000000000002</v>
          </cell>
          <cell r="M598">
            <v>400</v>
          </cell>
        </row>
        <row r="599">
          <cell r="A599">
            <v>2000023240</v>
          </cell>
          <cell r="B599" t="str">
            <v xml:space="preserve">PRAMBODY CANOPY </v>
          </cell>
          <cell r="C599" t="str">
            <v>PRAMBODY SPARES GO/GO BIG/GO NEXT</v>
          </cell>
          <cell r="D599" t="str">
            <v>Grey Melange</v>
          </cell>
          <cell r="E599">
            <v>62.55</v>
          </cell>
          <cell r="F599">
            <v>75</v>
          </cell>
          <cell r="G599">
            <v>76.42</v>
          </cell>
          <cell r="H599">
            <v>90</v>
          </cell>
          <cell r="I599">
            <v>76.42</v>
          </cell>
          <cell r="J599">
            <v>59.11</v>
          </cell>
          <cell r="K599">
            <v>70</v>
          </cell>
          <cell r="L599">
            <v>324.79000000000002</v>
          </cell>
          <cell r="M599">
            <v>400</v>
          </cell>
        </row>
        <row r="600">
          <cell r="A600">
            <v>2000029382</v>
          </cell>
          <cell r="B600" t="str">
            <v xml:space="preserve">PRAMBODY CANOPY </v>
          </cell>
          <cell r="C600" t="str">
            <v>PRAMBODY SPARES GO/GO BIG/GO NEXT</v>
          </cell>
          <cell r="D600" t="str">
            <v>Oxford Navy</v>
          </cell>
          <cell r="E600">
            <v>62.55</v>
          </cell>
          <cell r="F600">
            <v>75</v>
          </cell>
          <cell r="G600">
            <v>76.42</v>
          </cell>
          <cell r="H600">
            <v>90</v>
          </cell>
          <cell r="I600">
            <v>76.42</v>
          </cell>
          <cell r="J600">
            <v>59.11</v>
          </cell>
          <cell r="K600">
            <v>70</v>
          </cell>
          <cell r="L600">
            <v>324.79000000000002</v>
          </cell>
          <cell r="M600">
            <v>400</v>
          </cell>
        </row>
        <row r="601">
          <cell r="A601">
            <v>2000029381</v>
          </cell>
          <cell r="B601" t="str">
            <v xml:space="preserve">PRAMBODY CANOPY </v>
          </cell>
          <cell r="C601" t="str">
            <v>PRAMBODY SPARES GO/GO BIG/GO NEXT</v>
          </cell>
          <cell r="D601" t="str">
            <v>Dynamic Grey</v>
          </cell>
          <cell r="E601">
            <v>62.55</v>
          </cell>
          <cell r="F601">
            <v>75</v>
          </cell>
          <cell r="G601">
            <v>76.42</v>
          </cell>
          <cell r="H601">
            <v>90</v>
          </cell>
          <cell r="I601">
            <v>76.42</v>
          </cell>
          <cell r="J601">
            <v>59.11</v>
          </cell>
          <cell r="K601">
            <v>70</v>
          </cell>
          <cell r="L601">
            <v>324.79000000000002</v>
          </cell>
          <cell r="M601">
            <v>400</v>
          </cell>
        </row>
        <row r="602">
          <cell r="A602">
            <v>2000029380</v>
          </cell>
          <cell r="B602" t="str">
            <v xml:space="preserve">PRAMBODY CANOPY </v>
          </cell>
          <cell r="C602" t="str">
            <v>PRAMBODY SPARES GO/GO BIG/GO NEXT</v>
          </cell>
          <cell r="D602" t="str">
            <v>Graphite Melange</v>
          </cell>
          <cell r="E602">
            <v>62.55</v>
          </cell>
          <cell r="F602">
            <v>75</v>
          </cell>
          <cell r="G602">
            <v>76.42</v>
          </cell>
          <cell r="H602">
            <v>90</v>
          </cell>
          <cell r="I602">
            <v>76.42</v>
          </cell>
          <cell r="J602">
            <v>59.11</v>
          </cell>
          <cell r="K602">
            <v>70</v>
          </cell>
          <cell r="L602">
            <v>324.79000000000002</v>
          </cell>
          <cell r="M602">
            <v>400</v>
          </cell>
        </row>
        <row r="603">
          <cell r="A603">
            <v>2000012137</v>
          </cell>
          <cell r="B603" t="str">
            <v xml:space="preserve">PRAMBODY ADAPTER </v>
          </cell>
          <cell r="C603" t="str">
            <v>PRAMBODY SPARES GO/GO BIG/GO NEXT</v>
          </cell>
          <cell r="D603">
            <v>0</v>
          </cell>
          <cell r="E603">
            <v>38.44</v>
          </cell>
          <cell r="F603">
            <v>50</v>
          </cell>
          <cell r="G603">
            <v>46.97</v>
          </cell>
          <cell r="H603">
            <v>55</v>
          </cell>
          <cell r="I603">
            <v>46.97</v>
          </cell>
          <cell r="J603">
            <v>36.33</v>
          </cell>
          <cell r="K603">
            <v>45</v>
          </cell>
          <cell r="L603">
            <v>199.62</v>
          </cell>
          <cell r="M603">
            <v>245</v>
          </cell>
        </row>
        <row r="604">
          <cell r="A604">
            <v>2000021640</v>
          </cell>
          <cell r="B604" t="str">
            <v>PRAMBODY MATTRESS</v>
          </cell>
          <cell r="C604" t="str">
            <v>PRAMBODY SPARES GO/GO BIG/GO NEXT</v>
          </cell>
          <cell r="D604">
            <v>0</v>
          </cell>
          <cell r="E604">
            <v>20</v>
          </cell>
          <cell r="F604">
            <v>25</v>
          </cell>
          <cell r="G604">
            <v>24.44</v>
          </cell>
          <cell r="H604">
            <v>30</v>
          </cell>
          <cell r="I604">
            <v>24.44</v>
          </cell>
          <cell r="J604">
            <v>18.899999999999999</v>
          </cell>
          <cell r="K604">
            <v>25</v>
          </cell>
          <cell r="L604">
            <v>103.87</v>
          </cell>
          <cell r="M604">
            <v>130</v>
          </cell>
        </row>
        <row r="605">
          <cell r="A605">
            <v>2000029373</v>
          </cell>
          <cell r="B605" t="str">
            <v>PRAMBODY MATRESS COVER JERSEY</v>
          </cell>
          <cell r="C605" t="str">
            <v>PRAMBODY SPARES GO/GO BIG/GO NEXT</v>
          </cell>
          <cell r="D605">
            <v>0</v>
          </cell>
          <cell r="E605">
            <v>16.809999999999999</v>
          </cell>
          <cell r="F605">
            <v>20</v>
          </cell>
          <cell r="G605">
            <v>18.829999999999998</v>
          </cell>
          <cell r="H605">
            <v>25</v>
          </cell>
          <cell r="I605">
            <v>18.829999999999998</v>
          </cell>
          <cell r="J605" t="str">
            <v>n.a.</v>
          </cell>
          <cell r="K605" t="str">
            <v>n.a.</v>
          </cell>
          <cell r="L605">
            <v>80.03</v>
          </cell>
          <cell r="M605">
            <v>100</v>
          </cell>
        </row>
        <row r="606">
          <cell r="A606">
            <v>2000009455</v>
          </cell>
          <cell r="B606" t="str">
            <v xml:space="preserve">HOOD </v>
          </cell>
          <cell r="C606" t="str">
            <v>BOB REVOLUTION CE</v>
          </cell>
          <cell r="D606" t="str">
            <v>Black</v>
          </cell>
          <cell r="E606">
            <v>39.770000000000003</v>
          </cell>
          <cell r="F606">
            <v>47</v>
          </cell>
          <cell r="G606">
            <v>48.59</v>
          </cell>
          <cell r="H606">
            <v>60</v>
          </cell>
          <cell r="I606">
            <v>48.59</v>
          </cell>
          <cell r="J606">
            <v>37.58</v>
          </cell>
          <cell r="K606">
            <v>45</v>
          </cell>
          <cell r="L606">
            <v>206.51</v>
          </cell>
          <cell r="M606">
            <v>255</v>
          </cell>
        </row>
        <row r="607">
          <cell r="A607">
            <v>2000009456</v>
          </cell>
          <cell r="B607" t="str">
            <v xml:space="preserve">HOOD </v>
          </cell>
          <cell r="C607" t="str">
            <v>BOB REVOLUTION CE</v>
          </cell>
          <cell r="D607" t="str">
            <v>Plum</v>
          </cell>
          <cell r="E607">
            <v>39.770000000000003</v>
          </cell>
          <cell r="F607">
            <v>47</v>
          </cell>
          <cell r="G607">
            <v>48.59</v>
          </cell>
          <cell r="H607">
            <v>60</v>
          </cell>
          <cell r="I607">
            <v>48.59</v>
          </cell>
          <cell r="J607">
            <v>37.58</v>
          </cell>
          <cell r="K607">
            <v>45</v>
          </cell>
          <cell r="L607">
            <v>206.51</v>
          </cell>
          <cell r="M607">
            <v>255</v>
          </cell>
        </row>
        <row r="608">
          <cell r="A608">
            <v>2000009462</v>
          </cell>
          <cell r="B608" t="str">
            <v xml:space="preserve">BASKET </v>
          </cell>
          <cell r="C608" t="str">
            <v>BOB REVOLUTION CE</v>
          </cell>
          <cell r="D608" t="str">
            <v>Black</v>
          </cell>
          <cell r="E608">
            <v>31.22</v>
          </cell>
          <cell r="F608">
            <v>37</v>
          </cell>
          <cell r="G608">
            <v>38.15</v>
          </cell>
          <cell r="H608">
            <v>45</v>
          </cell>
          <cell r="I608">
            <v>38.15</v>
          </cell>
          <cell r="J608">
            <v>29.5</v>
          </cell>
          <cell r="K608">
            <v>35</v>
          </cell>
          <cell r="L608">
            <v>162.13999999999999</v>
          </cell>
          <cell r="M608">
            <v>200</v>
          </cell>
        </row>
        <row r="609">
          <cell r="A609">
            <v>2000009463</v>
          </cell>
          <cell r="B609" t="str">
            <v xml:space="preserve">BASKET </v>
          </cell>
          <cell r="C609" t="str">
            <v>BOB REVOLUTION CE</v>
          </cell>
          <cell r="D609" t="str">
            <v>Plum</v>
          </cell>
          <cell r="E609">
            <v>31.22</v>
          </cell>
          <cell r="F609">
            <v>37</v>
          </cell>
          <cell r="G609">
            <v>38.15</v>
          </cell>
          <cell r="H609">
            <v>45</v>
          </cell>
          <cell r="I609">
            <v>38.15</v>
          </cell>
          <cell r="J609">
            <v>29.5</v>
          </cell>
          <cell r="K609">
            <v>35</v>
          </cell>
          <cell r="L609">
            <v>162.13999999999999</v>
          </cell>
          <cell r="M609">
            <v>200</v>
          </cell>
        </row>
        <row r="610">
          <cell r="A610">
            <v>2000009445</v>
          </cell>
          <cell r="B610" t="str">
            <v>WHEEL TYRE SET (3 pcs.)</v>
          </cell>
          <cell r="C610" t="str">
            <v>BOB REVOLUTION CE</v>
          </cell>
          <cell r="D610">
            <v>0</v>
          </cell>
          <cell r="E610">
            <v>19.829999999999998</v>
          </cell>
          <cell r="F610">
            <v>25</v>
          </cell>
          <cell r="G610">
            <v>24.23</v>
          </cell>
          <cell r="H610">
            <v>30</v>
          </cell>
          <cell r="I610">
            <v>24.23</v>
          </cell>
          <cell r="J610">
            <v>18.739999999999998</v>
          </cell>
          <cell r="K610">
            <v>20</v>
          </cell>
          <cell r="L610">
            <v>102.98</v>
          </cell>
          <cell r="M610">
            <v>125</v>
          </cell>
        </row>
        <row r="611">
          <cell r="A611">
            <v>2000009449</v>
          </cell>
          <cell r="B611" t="str">
            <v>WHEEL TUBE SET (3 pcs.)</v>
          </cell>
          <cell r="C611" t="str">
            <v>BOB REVOLUTION CE</v>
          </cell>
          <cell r="D611">
            <v>0</v>
          </cell>
          <cell r="E611">
            <v>11.29</v>
          </cell>
          <cell r="F611">
            <v>15</v>
          </cell>
          <cell r="G611">
            <v>13.79</v>
          </cell>
          <cell r="H611">
            <v>15</v>
          </cell>
          <cell r="I611">
            <v>13.79</v>
          </cell>
          <cell r="J611">
            <v>10.67</v>
          </cell>
          <cell r="K611">
            <v>15</v>
          </cell>
          <cell r="L611">
            <v>58.61</v>
          </cell>
          <cell r="M611">
            <v>70</v>
          </cell>
        </row>
        <row r="612">
          <cell r="A612">
            <v>2000009467</v>
          </cell>
          <cell r="B612" t="str">
            <v xml:space="preserve">QUICK RELEASE BOLT </v>
          </cell>
          <cell r="C612" t="str">
            <v>BOB REVOLUTION CE</v>
          </cell>
          <cell r="D612">
            <v>0</v>
          </cell>
          <cell r="E612">
            <v>6.61</v>
          </cell>
          <cell r="F612">
            <v>8</v>
          </cell>
          <cell r="G612">
            <v>8.08</v>
          </cell>
          <cell r="H612">
            <v>10</v>
          </cell>
          <cell r="I612">
            <v>8.08</v>
          </cell>
          <cell r="J612">
            <v>6.25</v>
          </cell>
          <cell r="K612">
            <v>10</v>
          </cell>
          <cell r="L612">
            <v>34.340000000000003</v>
          </cell>
          <cell r="M612">
            <v>40</v>
          </cell>
        </row>
        <row r="613">
          <cell r="A613">
            <v>2000010182</v>
          </cell>
          <cell r="B613" t="str">
            <v>FRONT WHEEL</v>
          </cell>
          <cell r="C613" t="str">
            <v>BOB REVOLUTION CE</v>
          </cell>
          <cell r="D613">
            <v>0</v>
          </cell>
          <cell r="E613">
            <v>29.22</v>
          </cell>
          <cell r="F613">
            <v>35</v>
          </cell>
          <cell r="G613">
            <v>35.700000000000003</v>
          </cell>
          <cell r="H613">
            <v>45</v>
          </cell>
          <cell r="I613">
            <v>35.700000000000003</v>
          </cell>
          <cell r="J613">
            <v>27.61</v>
          </cell>
          <cell r="K613">
            <v>35</v>
          </cell>
          <cell r="L613">
            <v>151.72999999999999</v>
          </cell>
          <cell r="M613">
            <v>185</v>
          </cell>
        </row>
        <row r="614">
          <cell r="A614">
            <v>2000010186</v>
          </cell>
          <cell r="B614" t="str">
            <v>REAR WHEELS</v>
          </cell>
          <cell r="C614" t="str">
            <v>BOB REVOLUTION CE</v>
          </cell>
          <cell r="D614">
            <v>0</v>
          </cell>
          <cell r="E614">
            <v>65.5</v>
          </cell>
          <cell r="F614">
            <v>80</v>
          </cell>
          <cell r="G614">
            <v>80.02</v>
          </cell>
          <cell r="H614">
            <v>95</v>
          </cell>
          <cell r="I614">
            <v>80.02</v>
          </cell>
          <cell r="J614">
            <v>61.9</v>
          </cell>
          <cell r="K614">
            <v>75</v>
          </cell>
          <cell r="L614">
            <v>340.09</v>
          </cell>
          <cell r="M614">
            <v>420</v>
          </cell>
        </row>
        <row r="615">
          <cell r="A615">
            <v>2000010360</v>
          </cell>
          <cell r="B615" t="str">
            <v>WHEEL TUBE</v>
          </cell>
          <cell r="C615" t="str">
            <v>BOB REVOLUTION CE</v>
          </cell>
          <cell r="D615">
            <v>0</v>
          </cell>
          <cell r="E615">
            <v>8.44</v>
          </cell>
          <cell r="F615">
            <v>15</v>
          </cell>
          <cell r="G615">
            <v>10.31</v>
          </cell>
          <cell r="H615">
            <v>10</v>
          </cell>
          <cell r="I615">
            <v>10.31</v>
          </cell>
          <cell r="J615">
            <v>7.98</v>
          </cell>
          <cell r="K615">
            <v>10</v>
          </cell>
          <cell r="L615">
            <v>43.82</v>
          </cell>
          <cell r="M615">
            <v>55</v>
          </cell>
        </row>
        <row r="616">
          <cell r="A616">
            <v>2000009444</v>
          </cell>
          <cell r="B616" t="str">
            <v>WHEEL TYRE SET (3 pcs)</v>
          </cell>
          <cell r="C616" t="str">
            <v>BOB REVOLUTION SE (Single)</v>
          </cell>
          <cell r="D616">
            <v>0</v>
          </cell>
          <cell r="E616">
            <v>21.39</v>
          </cell>
          <cell r="F616">
            <v>30</v>
          </cell>
          <cell r="G616">
            <v>26.14</v>
          </cell>
          <cell r="H616">
            <v>30</v>
          </cell>
          <cell r="I616">
            <v>26.14</v>
          </cell>
          <cell r="J616">
            <v>20.21</v>
          </cell>
          <cell r="K616">
            <v>25</v>
          </cell>
          <cell r="L616">
            <v>111.1</v>
          </cell>
          <cell r="M616">
            <v>135</v>
          </cell>
        </row>
        <row r="617">
          <cell r="A617">
            <v>2000009448</v>
          </cell>
          <cell r="B617" t="str">
            <v>WHEEL TUBE SET (3 pcs)</v>
          </cell>
          <cell r="C617" t="str">
            <v>BOB REVOLUTION SE (Single)</v>
          </cell>
          <cell r="D617">
            <v>0</v>
          </cell>
          <cell r="E617">
            <v>12.44</v>
          </cell>
          <cell r="F617">
            <v>15</v>
          </cell>
          <cell r="G617">
            <v>15.2</v>
          </cell>
          <cell r="H617">
            <v>20</v>
          </cell>
          <cell r="I617">
            <v>15.2</v>
          </cell>
          <cell r="J617">
            <v>11.76</v>
          </cell>
          <cell r="K617">
            <v>15</v>
          </cell>
          <cell r="L617">
            <v>64.599999999999994</v>
          </cell>
          <cell r="M617">
            <v>80</v>
          </cell>
        </row>
        <row r="618">
          <cell r="A618">
            <v>2000009453</v>
          </cell>
          <cell r="B618" t="str">
            <v xml:space="preserve">HOOD </v>
          </cell>
          <cell r="C618" t="str">
            <v>BOB REVOLUTION SE (Single)</v>
          </cell>
          <cell r="D618" t="str">
            <v>Orange</v>
          </cell>
          <cell r="E618">
            <v>39.770000000000003</v>
          </cell>
          <cell r="F618">
            <v>47</v>
          </cell>
          <cell r="G618">
            <v>48.59</v>
          </cell>
          <cell r="H618">
            <v>60</v>
          </cell>
          <cell r="I618">
            <v>48.59</v>
          </cell>
          <cell r="J618">
            <v>37.58</v>
          </cell>
          <cell r="K618">
            <v>45</v>
          </cell>
          <cell r="L618">
            <v>206.51</v>
          </cell>
          <cell r="M618">
            <v>255</v>
          </cell>
        </row>
        <row r="619">
          <cell r="A619">
            <v>2000009454</v>
          </cell>
          <cell r="B619" t="str">
            <v xml:space="preserve">HOOD </v>
          </cell>
          <cell r="C619" t="str">
            <v>BOB REVOLUTION SE (Single)</v>
          </cell>
          <cell r="D619" t="str">
            <v>Red</v>
          </cell>
          <cell r="E619">
            <v>39.770000000000003</v>
          </cell>
          <cell r="F619">
            <v>47</v>
          </cell>
          <cell r="G619">
            <v>48.59</v>
          </cell>
          <cell r="H619">
            <v>60</v>
          </cell>
          <cell r="I619">
            <v>48.59</v>
          </cell>
          <cell r="J619">
            <v>37.58</v>
          </cell>
          <cell r="K619">
            <v>45</v>
          </cell>
          <cell r="L619">
            <v>206.51</v>
          </cell>
          <cell r="M619">
            <v>255</v>
          </cell>
        </row>
        <row r="620">
          <cell r="A620">
            <v>2000009452</v>
          </cell>
          <cell r="B620" t="str">
            <v xml:space="preserve">HOOD </v>
          </cell>
          <cell r="C620" t="str">
            <v>BOB REVOLUTION SE (Single)</v>
          </cell>
          <cell r="D620" t="str">
            <v>Navy</v>
          </cell>
          <cell r="E620">
            <v>39.770000000000003</v>
          </cell>
          <cell r="F620">
            <v>47</v>
          </cell>
          <cell r="G620">
            <v>48.59</v>
          </cell>
          <cell r="H620">
            <v>60</v>
          </cell>
          <cell r="I620">
            <v>48.59</v>
          </cell>
          <cell r="J620">
            <v>37.58</v>
          </cell>
          <cell r="K620">
            <v>45</v>
          </cell>
          <cell r="L620">
            <v>206.51</v>
          </cell>
          <cell r="M620">
            <v>255</v>
          </cell>
        </row>
        <row r="621">
          <cell r="A621">
            <v>2000009460</v>
          </cell>
          <cell r="B621" t="str">
            <v xml:space="preserve">BASKET </v>
          </cell>
          <cell r="C621" t="str">
            <v>BOB REVOLUTION SE (Single)</v>
          </cell>
          <cell r="D621" t="str">
            <v>Orange</v>
          </cell>
          <cell r="E621">
            <v>31.22</v>
          </cell>
          <cell r="F621">
            <v>37</v>
          </cell>
          <cell r="G621">
            <v>38.15</v>
          </cell>
          <cell r="H621">
            <v>45</v>
          </cell>
          <cell r="I621">
            <v>38.15</v>
          </cell>
          <cell r="J621">
            <v>29.5</v>
          </cell>
          <cell r="K621">
            <v>35</v>
          </cell>
          <cell r="L621">
            <v>162.13999999999999</v>
          </cell>
          <cell r="M621">
            <v>200</v>
          </cell>
        </row>
        <row r="622">
          <cell r="A622">
            <v>2000009459</v>
          </cell>
          <cell r="B622" t="str">
            <v xml:space="preserve">BASKET </v>
          </cell>
          <cell r="C622" t="str">
            <v>BOB REVOLUTION SE (Single)</v>
          </cell>
          <cell r="D622" t="str">
            <v>Navy</v>
          </cell>
          <cell r="E622">
            <v>31.22</v>
          </cell>
          <cell r="F622">
            <v>37</v>
          </cell>
          <cell r="G622">
            <v>38.15</v>
          </cell>
          <cell r="H622">
            <v>45</v>
          </cell>
          <cell r="I622">
            <v>38.15</v>
          </cell>
          <cell r="J622">
            <v>29.5</v>
          </cell>
          <cell r="K622">
            <v>35</v>
          </cell>
          <cell r="L622">
            <v>162.13999999999999</v>
          </cell>
          <cell r="M622">
            <v>200</v>
          </cell>
        </row>
        <row r="623">
          <cell r="A623">
            <v>2000009461</v>
          </cell>
          <cell r="B623" t="str">
            <v xml:space="preserve">BASKET </v>
          </cell>
          <cell r="C623" t="str">
            <v>BOB REVOLUTION SE (Single)</v>
          </cell>
          <cell r="D623" t="str">
            <v>Red</v>
          </cell>
          <cell r="E623">
            <v>31.22</v>
          </cell>
          <cell r="F623">
            <v>37</v>
          </cell>
          <cell r="G623">
            <v>38.15</v>
          </cell>
          <cell r="H623">
            <v>45</v>
          </cell>
          <cell r="I623">
            <v>38.15</v>
          </cell>
          <cell r="J623">
            <v>29.5</v>
          </cell>
          <cell r="K623">
            <v>35</v>
          </cell>
          <cell r="L623">
            <v>162.13999999999999</v>
          </cell>
          <cell r="M623">
            <v>200</v>
          </cell>
        </row>
        <row r="624">
          <cell r="A624">
            <v>2000010181</v>
          </cell>
          <cell r="B624" t="str">
            <v>FRONT WHEEL</v>
          </cell>
          <cell r="C624" t="str">
            <v>BOB REVOLUTION SE (Single)</v>
          </cell>
          <cell r="D624">
            <v>0</v>
          </cell>
          <cell r="E624">
            <v>29.22</v>
          </cell>
          <cell r="F624">
            <v>35</v>
          </cell>
          <cell r="G624">
            <v>35.700000000000003</v>
          </cell>
          <cell r="H624">
            <v>45</v>
          </cell>
          <cell r="I624">
            <v>35.700000000000003</v>
          </cell>
          <cell r="J624">
            <v>27.61</v>
          </cell>
          <cell r="K624">
            <v>35</v>
          </cell>
          <cell r="L624">
            <v>151.72999999999999</v>
          </cell>
          <cell r="M624">
            <v>185</v>
          </cell>
        </row>
        <row r="625">
          <cell r="A625">
            <v>2000010185</v>
          </cell>
          <cell r="B625" t="str">
            <v>REAR WHEELS</v>
          </cell>
          <cell r="C625" t="str">
            <v>BOB REVOLUTION SE (Single)</v>
          </cell>
          <cell r="D625">
            <v>0</v>
          </cell>
          <cell r="E625">
            <v>54.82</v>
          </cell>
          <cell r="F625">
            <v>70</v>
          </cell>
          <cell r="G625">
            <v>66.98</v>
          </cell>
          <cell r="H625">
            <v>80</v>
          </cell>
          <cell r="I625">
            <v>66.98</v>
          </cell>
          <cell r="J625">
            <v>51.8</v>
          </cell>
          <cell r="K625">
            <v>60</v>
          </cell>
          <cell r="L625">
            <v>284.67</v>
          </cell>
          <cell r="M625">
            <v>350</v>
          </cell>
        </row>
        <row r="626">
          <cell r="A626">
            <v>2000010361</v>
          </cell>
          <cell r="B626" t="str">
            <v>WHEEL TUBE REAR</v>
          </cell>
          <cell r="C626" t="str">
            <v>BOB REVOLUTION SE (Single)</v>
          </cell>
          <cell r="D626">
            <v>0</v>
          </cell>
          <cell r="E626">
            <v>8.44</v>
          </cell>
          <cell r="F626">
            <v>15</v>
          </cell>
          <cell r="G626">
            <v>10.31</v>
          </cell>
          <cell r="H626">
            <v>10</v>
          </cell>
          <cell r="I626">
            <v>10.31</v>
          </cell>
          <cell r="J626">
            <v>7.98</v>
          </cell>
          <cell r="K626">
            <v>10</v>
          </cell>
          <cell r="L626">
            <v>43.82</v>
          </cell>
          <cell r="M626">
            <v>55</v>
          </cell>
        </row>
        <row r="627">
          <cell r="A627">
            <v>2000011681</v>
          </cell>
          <cell r="B627" t="str">
            <v xml:space="preserve">HOOD </v>
          </cell>
          <cell r="C627" t="str">
            <v>BOB REVOLUTION PRO (Single)</v>
          </cell>
          <cell r="D627" t="str">
            <v>Wilderness</v>
          </cell>
          <cell r="E627">
            <v>39.770000000000003</v>
          </cell>
          <cell r="F627">
            <v>47</v>
          </cell>
          <cell r="G627">
            <v>48.59</v>
          </cell>
          <cell r="H627">
            <v>60</v>
          </cell>
          <cell r="I627">
            <v>48.59</v>
          </cell>
          <cell r="J627">
            <v>37.58</v>
          </cell>
          <cell r="K627">
            <v>45</v>
          </cell>
          <cell r="L627">
            <v>206.51</v>
          </cell>
          <cell r="M627">
            <v>255</v>
          </cell>
        </row>
        <row r="628">
          <cell r="A628">
            <v>2000011682</v>
          </cell>
          <cell r="B628" t="str">
            <v xml:space="preserve">HOOD </v>
          </cell>
          <cell r="C628" t="str">
            <v>BOB REVOLUTION PRO (Single)</v>
          </cell>
          <cell r="D628" t="str">
            <v>Lagoon</v>
          </cell>
          <cell r="E628">
            <v>39.770000000000003</v>
          </cell>
          <cell r="F628">
            <v>47</v>
          </cell>
          <cell r="G628">
            <v>48.59</v>
          </cell>
          <cell r="H628">
            <v>60</v>
          </cell>
          <cell r="I628">
            <v>48.59</v>
          </cell>
          <cell r="J628">
            <v>37.58</v>
          </cell>
          <cell r="K628">
            <v>45</v>
          </cell>
          <cell r="L628">
            <v>206.51</v>
          </cell>
          <cell r="M628">
            <v>255</v>
          </cell>
        </row>
        <row r="629">
          <cell r="A629">
            <v>2000011676</v>
          </cell>
          <cell r="B629" t="str">
            <v xml:space="preserve">BASKET </v>
          </cell>
          <cell r="C629" t="str">
            <v>BOB REVOLUTION PRO (Single)</v>
          </cell>
          <cell r="D629" t="str">
            <v>Black</v>
          </cell>
          <cell r="E629">
            <v>31.22</v>
          </cell>
          <cell r="F629">
            <v>37</v>
          </cell>
          <cell r="G629">
            <v>38.15</v>
          </cell>
          <cell r="H629">
            <v>45</v>
          </cell>
          <cell r="I629">
            <v>38.15</v>
          </cell>
          <cell r="J629">
            <v>29.5</v>
          </cell>
          <cell r="K629">
            <v>35</v>
          </cell>
          <cell r="L629">
            <v>162.13999999999999</v>
          </cell>
          <cell r="M629">
            <v>200</v>
          </cell>
        </row>
        <row r="630">
          <cell r="A630">
            <v>2000011677</v>
          </cell>
          <cell r="B630" t="str">
            <v xml:space="preserve">BASKET </v>
          </cell>
          <cell r="C630" t="str">
            <v>BOB REVOLUTION PRO (Single)</v>
          </cell>
          <cell r="D630" t="str">
            <v>Orange</v>
          </cell>
          <cell r="E630">
            <v>31.22</v>
          </cell>
          <cell r="F630">
            <v>37</v>
          </cell>
          <cell r="G630">
            <v>38.15</v>
          </cell>
          <cell r="H630">
            <v>45</v>
          </cell>
          <cell r="I630">
            <v>38.15</v>
          </cell>
          <cell r="J630">
            <v>29.5</v>
          </cell>
          <cell r="K630">
            <v>35</v>
          </cell>
          <cell r="L630">
            <v>162.13999999999999</v>
          </cell>
          <cell r="M630">
            <v>200</v>
          </cell>
        </row>
        <row r="631">
          <cell r="A631">
            <v>2000011678</v>
          </cell>
          <cell r="B631" t="str">
            <v xml:space="preserve">BASKET </v>
          </cell>
          <cell r="C631" t="str">
            <v>BOB REVOLUTION PRO (Single)</v>
          </cell>
          <cell r="D631" t="str">
            <v>Red</v>
          </cell>
          <cell r="E631">
            <v>31.22</v>
          </cell>
          <cell r="F631">
            <v>37</v>
          </cell>
          <cell r="G631">
            <v>38.15</v>
          </cell>
          <cell r="H631">
            <v>45</v>
          </cell>
          <cell r="I631">
            <v>38.15</v>
          </cell>
          <cell r="J631">
            <v>29.5</v>
          </cell>
          <cell r="K631">
            <v>35</v>
          </cell>
          <cell r="L631">
            <v>162.13999999999999</v>
          </cell>
          <cell r="M631">
            <v>200</v>
          </cell>
        </row>
        <row r="632">
          <cell r="A632">
            <v>2000011679</v>
          </cell>
          <cell r="B632" t="str">
            <v xml:space="preserve">BASKET </v>
          </cell>
          <cell r="C632" t="str">
            <v>BOB REVOLUTION PRO (Single)</v>
          </cell>
          <cell r="D632" t="str">
            <v>Wilderness</v>
          </cell>
          <cell r="E632">
            <v>31.22</v>
          </cell>
          <cell r="F632">
            <v>37</v>
          </cell>
          <cell r="G632">
            <v>38.15</v>
          </cell>
          <cell r="H632">
            <v>45</v>
          </cell>
          <cell r="I632">
            <v>38.15</v>
          </cell>
          <cell r="J632">
            <v>29.5</v>
          </cell>
          <cell r="K632">
            <v>35</v>
          </cell>
          <cell r="L632">
            <v>162.13999999999999</v>
          </cell>
          <cell r="M632">
            <v>200</v>
          </cell>
        </row>
        <row r="633">
          <cell r="A633">
            <v>2000011680</v>
          </cell>
          <cell r="B633" t="str">
            <v xml:space="preserve">BASKET </v>
          </cell>
          <cell r="C633" t="str">
            <v>BOB REVOLUTION PRO (Single)</v>
          </cell>
          <cell r="D633" t="str">
            <v>Lagoon</v>
          </cell>
          <cell r="E633">
            <v>31.22</v>
          </cell>
          <cell r="F633">
            <v>37</v>
          </cell>
          <cell r="G633">
            <v>38.15</v>
          </cell>
          <cell r="H633">
            <v>45</v>
          </cell>
          <cell r="I633">
            <v>38.15</v>
          </cell>
          <cell r="J633">
            <v>29.5</v>
          </cell>
          <cell r="K633">
            <v>35</v>
          </cell>
          <cell r="L633">
            <v>162.13999999999999</v>
          </cell>
          <cell r="M633">
            <v>200</v>
          </cell>
        </row>
        <row r="634">
          <cell r="A634">
            <v>2000025800</v>
          </cell>
          <cell r="B634" t="str">
            <v>REAR WHEELS</v>
          </cell>
          <cell r="C634" t="str">
            <v>BOB REVOLUTION PRO (Single)</v>
          </cell>
          <cell r="D634">
            <v>0</v>
          </cell>
          <cell r="E634">
            <v>64.900000000000006</v>
          </cell>
          <cell r="F634">
            <v>80</v>
          </cell>
          <cell r="G634">
            <v>72.69</v>
          </cell>
          <cell r="H634">
            <v>85</v>
          </cell>
          <cell r="I634">
            <v>87.23</v>
          </cell>
          <cell r="J634">
            <v>57.24</v>
          </cell>
          <cell r="K634">
            <v>70</v>
          </cell>
          <cell r="L634">
            <v>308.93</v>
          </cell>
          <cell r="M634">
            <v>380</v>
          </cell>
        </row>
        <row r="635">
          <cell r="A635">
            <v>2000009446</v>
          </cell>
          <cell r="B635" t="str">
            <v>WHEEL TYRE SET (3 pcs)</v>
          </cell>
          <cell r="C635" t="str">
            <v>BOB IRONMAN (Single)</v>
          </cell>
          <cell r="D635">
            <v>0</v>
          </cell>
          <cell r="E635">
            <v>21.39</v>
          </cell>
          <cell r="F635">
            <v>30</v>
          </cell>
          <cell r="G635">
            <v>26.14</v>
          </cell>
          <cell r="H635">
            <v>30</v>
          </cell>
          <cell r="I635">
            <v>26.14</v>
          </cell>
          <cell r="J635">
            <v>20.21</v>
          </cell>
          <cell r="K635">
            <v>25</v>
          </cell>
          <cell r="L635">
            <v>111.1</v>
          </cell>
          <cell r="M635">
            <v>135</v>
          </cell>
        </row>
        <row r="636">
          <cell r="A636">
            <v>2000009457</v>
          </cell>
          <cell r="B636" t="str">
            <v xml:space="preserve">HOOD </v>
          </cell>
          <cell r="C636" t="str">
            <v>BOB IRONMAN (Single)</v>
          </cell>
          <cell r="D636" t="str">
            <v>Yellow</v>
          </cell>
          <cell r="E636">
            <v>39.770000000000003</v>
          </cell>
          <cell r="F636">
            <v>47</v>
          </cell>
          <cell r="G636">
            <v>48.59</v>
          </cell>
          <cell r="H636">
            <v>60</v>
          </cell>
          <cell r="I636">
            <v>48.59</v>
          </cell>
          <cell r="J636">
            <v>37.58</v>
          </cell>
          <cell r="K636">
            <v>45</v>
          </cell>
          <cell r="L636">
            <v>206.51</v>
          </cell>
          <cell r="M636">
            <v>255</v>
          </cell>
        </row>
        <row r="637">
          <cell r="A637">
            <v>2000009464</v>
          </cell>
          <cell r="B637" t="str">
            <v xml:space="preserve">BASKET </v>
          </cell>
          <cell r="C637" t="str">
            <v>BOB IRONMAN (Single)</v>
          </cell>
          <cell r="D637" t="str">
            <v>Yellow</v>
          </cell>
          <cell r="E637">
            <v>31.22</v>
          </cell>
          <cell r="F637">
            <v>37</v>
          </cell>
          <cell r="G637">
            <v>38.15</v>
          </cell>
          <cell r="H637">
            <v>45</v>
          </cell>
          <cell r="I637">
            <v>38.15</v>
          </cell>
          <cell r="J637">
            <v>29.5</v>
          </cell>
          <cell r="K637">
            <v>35</v>
          </cell>
          <cell r="L637">
            <v>162.13999999999999</v>
          </cell>
          <cell r="M637">
            <v>200</v>
          </cell>
        </row>
        <row r="638">
          <cell r="A638">
            <v>2000009466</v>
          </cell>
          <cell r="B638" t="str">
            <v>FRONT MUD GUARD</v>
          </cell>
          <cell r="C638" t="str">
            <v>BOB IRONMAN (Single)</v>
          </cell>
          <cell r="D638">
            <v>0</v>
          </cell>
          <cell r="E638">
            <v>5.5</v>
          </cell>
          <cell r="F638">
            <v>8</v>
          </cell>
          <cell r="G638">
            <v>6.72</v>
          </cell>
          <cell r="H638">
            <v>10</v>
          </cell>
          <cell r="I638">
            <v>6.72</v>
          </cell>
          <cell r="J638">
            <v>5.2</v>
          </cell>
          <cell r="K638">
            <v>5</v>
          </cell>
          <cell r="L638">
            <v>28.56</v>
          </cell>
          <cell r="M638">
            <v>35</v>
          </cell>
        </row>
        <row r="639">
          <cell r="A639">
            <v>2000009468</v>
          </cell>
          <cell r="B639" t="str">
            <v xml:space="preserve">BRAKE PADS </v>
          </cell>
          <cell r="C639" t="str">
            <v>BOB IRONMAN (Single)</v>
          </cell>
          <cell r="D639">
            <v>0</v>
          </cell>
          <cell r="E639">
            <v>5.5</v>
          </cell>
          <cell r="F639">
            <v>8</v>
          </cell>
          <cell r="G639">
            <v>6.72</v>
          </cell>
          <cell r="H639">
            <v>10</v>
          </cell>
          <cell r="I639">
            <v>6.72</v>
          </cell>
          <cell r="J639">
            <v>5.2</v>
          </cell>
          <cell r="K639">
            <v>5</v>
          </cell>
          <cell r="L639">
            <v>28.56</v>
          </cell>
          <cell r="M639">
            <v>35</v>
          </cell>
        </row>
        <row r="640">
          <cell r="A640">
            <v>2000010183</v>
          </cell>
          <cell r="B640" t="str">
            <v>FRONT WHEEL</v>
          </cell>
          <cell r="C640" t="str">
            <v>BOB IRONMAN (Single)</v>
          </cell>
          <cell r="D640">
            <v>0</v>
          </cell>
          <cell r="E640">
            <v>29.22</v>
          </cell>
          <cell r="F640">
            <v>35</v>
          </cell>
          <cell r="G640">
            <v>35.700000000000003</v>
          </cell>
          <cell r="H640">
            <v>45</v>
          </cell>
          <cell r="I640">
            <v>35.700000000000003</v>
          </cell>
          <cell r="J640">
            <v>27.61</v>
          </cell>
          <cell r="K640">
            <v>35</v>
          </cell>
          <cell r="L640">
            <v>151.72999999999999</v>
          </cell>
          <cell r="M640">
            <v>185</v>
          </cell>
        </row>
        <row r="641">
          <cell r="A641">
            <v>2000010187</v>
          </cell>
          <cell r="B641" t="str">
            <v>REAR WHEELS</v>
          </cell>
          <cell r="C641" t="str">
            <v>BOB IRONMAN (Single)</v>
          </cell>
          <cell r="D641">
            <v>0</v>
          </cell>
          <cell r="E641">
            <v>68.31</v>
          </cell>
          <cell r="F641">
            <v>85</v>
          </cell>
          <cell r="G641">
            <v>83.46</v>
          </cell>
          <cell r="H641">
            <v>100</v>
          </cell>
          <cell r="I641">
            <v>83.46</v>
          </cell>
          <cell r="J641">
            <v>64.55</v>
          </cell>
          <cell r="K641">
            <v>75</v>
          </cell>
          <cell r="L641">
            <v>354.71</v>
          </cell>
          <cell r="M641">
            <v>435</v>
          </cell>
        </row>
        <row r="642">
          <cell r="A642">
            <v>2000010362</v>
          </cell>
          <cell r="B642" t="str">
            <v>WHEEL TUBE FRONT/REAR</v>
          </cell>
          <cell r="C642" t="str">
            <v>BOB IRONMAN (Single)</v>
          </cell>
          <cell r="D642">
            <v>0</v>
          </cell>
          <cell r="E642">
            <v>8.44</v>
          </cell>
          <cell r="F642">
            <v>15</v>
          </cell>
          <cell r="G642">
            <v>10.31</v>
          </cell>
          <cell r="H642">
            <v>10</v>
          </cell>
          <cell r="I642">
            <v>10.31</v>
          </cell>
          <cell r="J642">
            <v>7.98</v>
          </cell>
          <cell r="K642">
            <v>10</v>
          </cell>
          <cell r="L642">
            <v>43.82</v>
          </cell>
          <cell r="M642">
            <v>55</v>
          </cell>
        </row>
        <row r="643">
          <cell r="A643">
            <v>2000009450</v>
          </cell>
          <cell r="B643" t="str">
            <v>WHEEL TUBE SET (3 pcs)</v>
          </cell>
          <cell r="C643" t="str">
            <v>BOB IRONMAN (Single)</v>
          </cell>
          <cell r="D643">
            <v>0</v>
          </cell>
          <cell r="E643">
            <v>12.44</v>
          </cell>
          <cell r="F643">
            <v>15</v>
          </cell>
          <cell r="G643">
            <v>15.2</v>
          </cell>
          <cell r="H643">
            <v>20</v>
          </cell>
          <cell r="I643">
            <v>15.2</v>
          </cell>
          <cell r="J643">
            <v>11.76</v>
          </cell>
          <cell r="K643">
            <v>15</v>
          </cell>
          <cell r="L643">
            <v>64.599999999999994</v>
          </cell>
          <cell r="M643">
            <v>80</v>
          </cell>
        </row>
        <row r="644">
          <cell r="A644">
            <v>2000009447</v>
          </cell>
          <cell r="B644" t="str">
            <v>WHEEL TYRE SET (3 pcs)</v>
          </cell>
          <cell r="C644" t="str">
            <v>BOB SUS (Single)</v>
          </cell>
          <cell r="D644">
            <v>0</v>
          </cell>
          <cell r="E644">
            <v>21.39</v>
          </cell>
          <cell r="F644">
            <v>30</v>
          </cell>
          <cell r="G644">
            <v>26.14</v>
          </cell>
          <cell r="H644">
            <v>30</v>
          </cell>
          <cell r="I644">
            <v>26.14</v>
          </cell>
          <cell r="J644">
            <v>20.21</v>
          </cell>
          <cell r="K644">
            <v>25</v>
          </cell>
          <cell r="L644">
            <v>111.1</v>
          </cell>
          <cell r="M644">
            <v>135</v>
          </cell>
        </row>
        <row r="645">
          <cell r="A645">
            <v>2000009451</v>
          </cell>
          <cell r="B645" t="str">
            <v>WHEEL TUBE SET (3 pcs)</v>
          </cell>
          <cell r="C645" t="str">
            <v>BOB SUS (Single)</v>
          </cell>
          <cell r="D645">
            <v>0</v>
          </cell>
          <cell r="E645">
            <v>12.44</v>
          </cell>
          <cell r="F645">
            <v>15</v>
          </cell>
          <cell r="G645">
            <v>15.2</v>
          </cell>
          <cell r="H645">
            <v>20</v>
          </cell>
          <cell r="I645">
            <v>15.2</v>
          </cell>
          <cell r="J645">
            <v>11.76</v>
          </cell>
          <cell r="K645">
            <v>15</v>
          </cell>
          <cell r="L645">
            <v>64.599999999999994</v>
          </cell>
          <cell r="M645">
            <v>80</v>
          </cell>
        </row>
        <row r="646">
          <cell r="A646">
            <v>2000009458</v>
          </cell>
          <cell r="B646" t="str">
            <v xml:space="preserve">HOOD </v>
          </cell>
          <cell r="C646" t="str">
            <v>BOB SUS (Single)</v>
          </cell>
          <cell r="D646" t="str">
            <v>Blue</v>
          </cell>
          <cell r="E646">
            <v>39.770000000000003</v>
          </cell>
          <cell r="F646">
            <v>47</v>
          </cell>
          <cell r="G646">
            <v>48.59</v>
          </cell>
          <cell r="H646">
            <v>60</v>
          </cell>
          <cell r="I646">
            <v>48.59</v>
          </cell>
          <cell r="J646">
            <v>37.58</v>
          </cell>
          <cell r="K646">
            <v>45</v>
          </cell>
          <cell r="L646">
            <v>206.51</v>
          </cell>
          <cell r="M646">
            <v>255</v>
          </cell>
        </row>
        <row r="647">
          <cell r="A647">
            <v>2000009465</v>
          </cell>
          <cell r="B647" t="str">
            <v xml:space="preserve">BASKET </v>
          </cell>
          <cell r="C647" t="str">
            <v>BOB SUS (Single)</v>
          </cell>
          <cell r="D647" t="str">
            <v>Blue</v>
          </cell>
          <cell r="E647">
            <v>31.22</v>
          </cell>
          <cell r="F647">
            <v>37</v>
          </cell>
          <cell r="G647">
            <v>38.15</v>
          </cell>
          <cell r="H647">
            <v>45</v>
          </cell>
          <cell r="I647">
            <v>38.15</v>
          </cell>
          <cell r="J647">
            <v>29.5</v>
          </cell>
          <cell r="K647">
            <v>35</v>
          </cell>
          <cell r="L647">
            <v>162.13999999999999</v>
          </cell>
          <cell r="M647">
            <v>200</v>
          </cell>
        </row>
        <row r="648">
          <cell r="A648">
            <v>2000010184</v>
          </cell>
          <cell r="B648" t="str">
            <v>FRONT WHEEL</v>
          </cell>
          <cell r="C648" t="str">
            <v>BOB SUS (Single)</v>
          </cell>
          <cell r="D648">
            <v>0</v>
          </cell>
          <cell r="E648">
            <v>29.22</v>
          </cell>
          <cell r="F648">
            <v>35</v>
          </cell>
          <cell r="G648">
            <v>35.700000000000003</v>
          </cell>
          <cell r="H648">
            <v>45</v>
          </cell>
          <cell r="I648">
            <v>35.700000000000003</v>
          </cell>
          <cell r="J648">
            <v>27.61</v>
          </cell>
          <cell r="K648">
            <v>35</v>
          </cell>
          <cell r="L648">
            <v>151.72999999999999</v>
          </cell>
          <cell r="M648">
            <v>185</v>
          </cell>
        </row>
        <row r="649">
          <cell r="A649">
            <v>2000010188</v>
          </cell>
          <cell r="B649" t="str">
            <v>REAR WHEELS</v>
          </cell>
          <cell r="C649" t="str">
            <v>BOB SUS (Single)</v>
          </cell>
          <cell r="D649">
            <v>0</v>
          </cell>
          <cell r="E649">
            <v>68.31</v>
          </cell>
          <cell r="F649">
            <v>85</v>
          </cell>
          <cell r="G649">
            <v>83.46</v>
          </cell>
          <cell r="H649">
            <v>100</v>
          </cell>
          <cell r="I649">
            <v>83.46</v>
          </cell>
          <cell r="J649">
            <v>64.55</v>
          </cell>
          <cell r="K649">
            <v>75</v>
          </cell>
          <cell r="L649">
            <v>354.71</v>
          </cell>
          <cell r="M649">
            <v>435</v>
          </cell>
        </row>
        <row r="650">
          <cell r="A650">
            <v>2000029825</v>
          </cell>
          <cell r="B650" t="str">
            <v>RAINCOVER FOR HARD CARRYCOT</v>
          </cell>
          <cell r="C650" t="str">
            <v>BOB Carrycot (Single)</v>
          </cell>
          <cell r="D650">
            <v>0</v>
          </cell>
          <cell r="E650">
            <v>21.15</v>
          </cell>
          <cell r="F650">
            <v>25</v>
          </cell>
          <cell r="G650">
            <v>23.69</v>
          </cell>
          <cell r="H650">
            <v>30</v>
          </cell>
          <cell r="I650">
            <v>23.69</v>
          </cell>
          <cell r="J650">
            <v>19.989999999999998</v>
          </cell>
          <cell r="K650">
            <v>25</v>
          </cell>
          <cell r="L650">
            <v>100.68</v>
          </cell>
          <cell r="M650">
            <v>125</v>
          </cell>
        </row>
        <row r="651">
          <cell r="A651">
            <v>2000025644</v>
          </cell>
          <cell r="B651" t="str">
            <v>SUN CANOPY</v>
          </cell>
          <cell r="C651" t="str">
            <v>BABY-SAFE i-SIZE</v>
          </cell>
          <cell r="D651" t="str">
            <v>Mineral Purple</v>
          </cell>
          <cell r="E651" t="str">
            <v>n.a.</v>
          </cell>
          <cell r="F651" t="str">
            <v>n.a.</v>
          </cell>
          <cell r="G651" t="str">
            <v>n.a.</v>
          </cell>
          <cell r="H651" t="str">
            <v>n.a.</v>
          </cell>
          <cell r="I651" t="str">
            <v>n.a.</v>
          </cell>
          <cell r="J651">
            <v>12.96</v>
          </cell>
          <cell r="K651">
            <v>15</v>
          </cell>
          <cell r="L651" t="str">
            <v>n.a.</v>
          </cell>
          <cell r="M651" t="str">
            <v>n.a.</v>
          </cell>
        </row>
        <row r="652">
          <cell r="A652">
            <v>2000027182</v>
          </cell>
          <cell r="B652" t="str">
            <v xml:space="preserve">NEWBORN INSERT </v>
          </cell>
          <cell r="C652" t="str">
            <v>BABY-SAFE i-SIZE</v>
          </cell>
          <cell r="D652" t="str">
            <v>Black</v>
          </cell>
          <cell r="E652" t="str">
            <v>n.a.</v>
          </cell>
          <cell r="F652" t="str">
            <v>n.a.</v>
          </cell>
          <cell r="G652" t="str">
            <v>n.a.</v>
          </cell>
          <cell r="H652" t="str">
            <v>n.a.</v>
          </cell>
          <cell r="I652" t="str">
            <v>n.a.</v>
          </cell>
          <cell r="J652">
            <v>16.5</v>
          </cell>
          <cell r="K652">
            <v>20</v>
          </cell>
          <cell r="L652" t="str">
            <v>n.a.</v>
          </cell>
          <cell r="M652" t="str">
            <v>n.a.</v>
          </cell>
        </row>
        <row r="653">
          <cell r="A653">
            <v>2000025650</v>
          </cell>
          <cell r="B653" t="str">
            <v>SHOULDER PAD SET</v>
          </cell>
          <cell r="C653" t="str">
            <v>BABY-SAFE i-SIZE</v>
          </cell>
          <cell r="D653" t="str">
            <v>Black</v>
          </cell>
          <cell r="E653" t="str">
            <v>n.a.</v>
          </cell>
          <cell r="F653" t="str">
            <v>n.a.</v>
          </cell>
          <cell r="G653" t="str">
            <v>n.a.</v>
          </cell>
          <cell r="H653" t="str">
            <v>n.a.</v>
          </cell>
          <cell r="I653" t="str">
            <v>n.a.</v>
          </cell>
          <cell r="J653">
            <v>10</v>
          </cell>
          <cell r="K653">
            <v>10</v>
          </cell>
          <cell r="L653" t="str">
            <v>n.a.</v>
          </cell>
          <cell r="M653" t="str">
            <v>n.a.</v>
          </cell>
        </row>
        <row r="654">
          <cell r="A654">
            <v>2000024472</v>
          </cell>
          <cell r="B654" t="str">
            <v>SHOULDER PAD SET</v>
          </cell>
          <cell r="C654" t="str">
            <v>BABY-SAFE</v>
          </cell>
          <cell r="D654" t="str">
            <v>Black</v>
          </cell>
          <cell r="E654" t="str">
            <v>n.a.</v>
          </cell>
          <cell r="F654" t="str">
            <v>n.a.</v>
          </cell>
          <cell r="G654" t="str">
            <v>n.a.</v>
          </cell>
          <cell r="H654" t="str">
            <v>n.a.</v>
          </cell>
          <cell r="I654" t="str">
            <v>n.a.</v>
          </cell>
          <cell r="J654">
            <v>10.34</v>
          </cell>
          <cell r="K654">
            <v>10</v>
          </cell>
          <cell r="L654" t="str">
            <v>n.a.</v>
          </cell>
          <cell r="M654" t="str">
            <v>n.a.</v>
          </cell>
        </row>
        <row r="655">
          <cell r="A655">
            <v>2000024333</v>
          </cell>
          <cell r="B655" t="str">
            <v xml:space="preserve">SUN CANOPY </v>
          </cell>
          <cell r="C655" t="str">
            <v>BABY SAFE plus II / SHR (A20)</v>
          </cell>
          <cell r="D655" t="str">
            <v>Mineral Purple</v>
          </cell>
          <cell r="E655" t="str">
            <v>n.a.</v>
          </cell>
          <cell r="F655" t="str">
            <v>n.a.</v>
          </cell>
          <cell r="G655" t="str">
            <v>n.a.</v>
          </cell>
          <cell r="H655" t="str">
            <v>n.a.</v>
          </cell>
          <cell r="I655" t="str">
            <v>n.a.</v>
          </cell>
          <cell r="J655">
            <v>10.34</v>
          </cell>
          <cell r="K655">
            <v>10</v>
          </cell>
          <cell r="L655" t="str">
            <v>n.a.</v>
          </cell>
          <cell r="M655" t="str">
            <v>n.a.</v>
          </cell>
        </row>
        <row r="656">
          <cell r="A656">
            <v>2000024332</v>
          </cell>
          <cell r="B656" t="str">
            <v xml:space="preserve">SUN CANOPY </v>
          </cell>
          <cell r="C656" t="str">
            <v>BABY SAFE plus II / SHR (A20)</v>
          </cell>
          <cell r="D656" t="str">
            <v>Ocean Blue</v>
          </cell>
          <cell r="E656" t="str">
            <v>n.a.</v>
          </cell>
          <cell r="F656" t="str">
            <v>n.a.</v>
          </cell>
          <cell r="G656" t="str">
            <v>n.a.</v>
          </cell>
          <cell r="H656" t="str">
            <v>n.a.</v>
          </cell>
          <cell r="I656" t="str">
            <v>n.a.</v>
          </cell>
          <cell r="J656">
            <v>10.34</v>
          </cell>
          <cell r="K656">
            <v>10</v>
          </cell>
          <cell r="L656" t="str">
            <v>n.a.</v>
          </cell>
          <cell r="M656" t="str">
            <v>n.a.</v>
          </cell>
        </row>
        <row r="657">
          <cell r="A657">
            <v>2000024579</v>
          </cell>
          <cell r="B657" t="str">
            <v>SHOULDER PAD SET</v>
          </cell>
          <cell r="C657" t="str">
            <v>BABY SAFE plus II / SHR (A20)</v>
          </cell>
          <cell r="E657" t="str">
            <v>n.a.</v>
          </cell>
          <cell r="F657" t="str">
            <v>n.a.</v>
          </cell>
          <cell r="G657" t="str">
            <v>n.a.</v>
          </cell>
          <cell r="H657" t="str">
            <v>n.a.</v>
          </cell>
          <cell r="I657" t="str">
            <v>n.a.</v>
          </cell>
          <cell r="J657">
            <v>12.97</v>
          </cell>
          <cell r="K657">
            <v>15</v>
          </cell>
          <cell r="L657" t="str">
            <v>n.a.</v>
          </cell>
          <cell r="M657" t="str">
            <v>n.a.</v>
          </cell>
        </row>
        <row r="658">
          <cell r="A658">
            <v>2000027469</v>
          </cell>
          <cell r="B658" t="str">
            <v>SEAT FABRIC</v>
          </cell>
          <cell r="C658" t="str">
            <v>BRITAX HOLIDAY</v>
          </cell>
          <cell r="E658" t="str">
            <v>n.a.</v>
          </cell>
          <cell r="F658" t="str">
            <v>n.a.</v>
          </cell>
          <cell r="G658" t="str">
            <v>n.a.</v>
          </cell>
          <cell r="H658" t="str">
            <v>n.a.</v>
          </cell>
          <cell r="I658" t="str">
            <v>n.a.</v>
          </cell>
          <cell r="J658">
            <v>19.260000000000002</v>
          </cell>
          <cell r="K658">
            <v>25</v>
          </cell>
          <cell r="L658" t="str">
            <v>n.a.</v>
          </cell>
          <cell r="M658" t="str">
            <v>n.a.</v>
          </cell>
        </row>
        <row r="659">
          <cell r="A659">
            <v>2000027476</v>
          </cell>
          <cell r="B659" t="str">
            <v xml:space="preserve">SEAT FABRIC </v>
          </cell>
          <cell r="C659" t="str">
            <v>B-LITE</v>
          </cell>
          <cell r="E659" t="str">
            <v>n.a.</v>
          </cell>
          <cell r="F659" t="str">
            <v>n.a.</v>
          </cell>
          <cell r="G659" t="str">
            <v>n.a.</v>
          </cell>
          <cell r="H659" t="str">
            <v>n.a.</v>
          </cell>
          <cell r="I659" t="str">
            <v>n.a.</v>
          </cell>
          <cell r="J659">
            <v>30</v>
          </cell>
          <cell r="K659">
            <v>35</v>
          </cell>
          <cell r="L659" t="str">
            <v>n.a.</v>
          </cell>
          <cell r="M659" t="str">
            <v>n.a.</v>
          </cell>
        </row>
        <row r="660">
          <cell r="A660">
            <v>2000025120</v>
          </cell>
          <cell r="B660" t="str">
            <v>SEAT UNIT INCL. HARNESS</v>
          </cell>
          <cell r="C660" t="str">
            <v>B-AGILE 3</v>
          </cell>
          <cell r="D660" t="str">
            <v>Cosmos Black</v>
          </cell>
          <cell r="E660" t="str">
            <v>n.a.</v>
          </cell>
          <cell r="F660" t="str">
            <v>n.a.</v>
          </cell>
          <cell r="G660" t="str">
            <v>n.a.</v>
          </cell>
          <cell r="H660" t="str">
            <v>n.a.</v>
          </cell>
          <cell r="I660" t="str">
            <v>n.a.</v>
          </cell>
          <cell r="J660">
            <v>42.29</v>
          </cell>
          <cell r="K660">
            <v>50</v>
          </cell>
          <cell r="L660" t="str">
            <v>n.a.</v>
          </cell>
          <cell r="M660" t="str">
            <v>n.a.</v>
          </cell>
        </row>
        <row r="661">
          <cell r="A661">
            <v>2000025121</v>
          </cell>
          <cell r="B661" t="str">
            <v>SEAT UNIT INCL. HARNESS FR</v>
          </cell>
          <cell r="C661" t="str">
            <v>B-AGILE DOUBLE</v>
          </cell>
          <cell r="D661" t="str">
            <v>Cosmos Black</v>
          </cell>
          <cell r="E661" t="str">
            <v>n.a.</v>
          </cell>
          <cell r="F661" t="str">
            <v>n.a.</v>
          </cell>
          <cell r="G661" t="str">
            <v>n.a.</v>
          </cell>
          <cell r="H661" t="str">
            <v>n.a.</v>
          </cell>
          <cell r="I661" t="str">
            <v>n.a.</v>
          </cell>
          <cell r="J661">
            <v>70.47</v>
          </cell>
          <cell r="K661">
            <v>85</v>
          </cell>
          <cell r="L661" t="str">
            <v>n.a.</v>
          </cell>
          <cell r="M661" t="str">
            <v>n.a.</v>
          </cell>
        </row>
        <row r="662">
          <cell r="A662">
            <v>2000025122</v>
          </cell>
          <cell r="B662" t="str">
            <v xml:space="preserve">SEAT UNIT INCL. HARNESS </v>
          </cell>
          <cell r="C662" t="str">
            <v>B-MOTION 3</v>
          </cell>
          <cell r="D662" t="str">
            <v>Cosmos Black</v>
          </cell>
          <cell r="E662" t="str">
            <v>n.a.</v>
          </cell>
          <cell r="F662" t="str">
            <v>n.a.</v>
          </cell>
          <cell r="G662" t="str">
            <v>n.a.</v>
          </cell>
          <cell r="H662" t="str">
            <v>n.a.</v>
          </cell>
          <cell r="I662" t="str">
            <v>n.a.</v>
          </cell>
          <cell r="J662">
            <v>42.29</v>
          </cell>
          <cell r="K662">
            <v>50</v>
          </cell>
          <cell r="L662" t="str">
            <v>n.a.</v>
          </cell>
          <cell r="M662" t="str">
            <v>n.a.</v>
          </cell>
        </row>
        <row r="663">
          <cell r="A663">
            <v>2000025123</v>
          </cell>
          <cell r="B663" t="str">
            <v xml:space="preserve">SEAT UNIT INCL. HARNESS </v>
          </cell>
          <cell r="C663" t="str">
            <v>B-MOTION 4</v>
          </cell>
          <cell r="D663" t="str">
            <v>Cosmos Black</v>
          </cell>
          <cell r="E663" t="str">
            <v>n.a.</v>
          </cell>
          <cell r="F663" t="str">
            <v>n.a.</v>
          </cell>
          <cell r="G663" t="str">
            <v>n.a.</v>
          </cell>
          <cell r="H663" t="str">
            <v>n.a.</v>
          </cell>
          <cell r="I663" t="str">
            <v>n.a.</v>
          </cell>
          <cell r="J663">
            <v>42.29</v>
          </cell>
          <cell r="K663">
            <v>50</v>
          </cell>
          <cell r="L663" t="str">
            <v>n.a.</v>
          </cell>
          <cell r="M663" t="str">
            <v>n.a.</v>
          </cell>
        </row>
        <row r="664">
          <cell r="A664">
            <v>2000002365</v>
          </cell>
          <cell r="B664" t="str">
            <v xml:space="preserve">APRON </v>
          </cell>
          <cell r="C664" t="str">
            <v>B-DUAL</v>
          </cell>
          <cell r="D664" t="str">
            <v>Blue Atoll</v>
          </cell>
          <cell r="E664" t="str">
            <v>n.a.</v>
          </cell>
          <cell r="F664" t="str">
            <v>n.a.</v>
          </cell>
          <cell r="G664" t="str">
            <v>n.a.</v>
          </cell>
          <cell r="H664" t="str">
            <v>n.a.</v>
          </cell>
          <cell r="I664" t="str">
            <v>n.a.</v>
          </cell>
          <cell r="J664">
            <v>42.29</v>
          </cell>
          <cell r="K664">
            <v>50</v>
          </cell>
          <cell r="L664" t="str">
            <v>n.a.</v>
          </cell>
          <cell r="M664" t="str">
            <v>n.a.</v>
          </cell>
        </row>
        <row r="665">
          <cell r="A665">
            <v>2000025496</v>
          </cell>
          <cell r="B665" t="str">
            <v>SEAT UNIT</v>
          </cell>
          <cell r="C665" t="str">
            <v>B-READY</v>
          </cell>
          <cell r="D665" t="str">
            <v>Cosmos Black</v>
          </cell>
          <cell r="E665" t="str">
            <v>n.a.</v>
          </cell>
          <cell r="F665" t="str">
            <v>n.a.</v>
          </cell>
          <cell r="G665" t="str">
            <v>n.a.</v>
          </cell>
          <cell r="H665" t="str">
            <v>n.a.</v>
          </cell>
          <cell r="I665" t="str">
            <v>n.a.</v>
          </cell>
          <cell r="J665">
            <v>119.54</v>
          </cell>
          <cell r="K665">
            <v>145</v>
          </cell>
          <cell r="L665" t="str">
            <v>n.a.</v>
          </cell>
          <cell r="M665" t="str">
            <v>n.a.</v>
          </cell>
        </row>
        <row r="666">
          <cell r="A666">
            <v>2000025497</v>
          </cell>
          <cell r="B666" t="str">
            <v>SEAT UNIT</v>
          </cell>
          <cell r="C666" t="str">
            <v>B-READY</v>
          </cell>
          <cell r="D666" t="str">
            <v>Steel Grey</v>
          </cell>
          <cell r="E666" t="str">
            <v>n.a.</v>
          </cell>
          <cell r="F666" t="str">
            <v>n.a.</v>
          </cell>
          <cell r="G666" t="str">
            <v>n.a.</v>
          </cell>
          <cell r="H666" t="str">
            <v>n.a.</v>
          </cell>
          <cell r="I666" t="str">
            <v>n.a.</v>
          </cell>
          <cell r="J666">
            <v>119.54</v>
          </cell>
          <cell r="K666">
            <v>145</v>
          </cell>
          <cell r="L666" t="str">
            <v>n.a.</v>
          </cell>
          <cell r="M666" t="str">
            <v>n.a.</v>
          </cell>
        </row>
        <row r="667">
          <cell r="A667">
            <v>2000025498</v>
          </cell>
          <cell r="B667" t="str">
            <v>SEAT UNIT</v>
          </cell>
          <cell r="C667" t="str">
            <v>B-READY</v>
          </cell>
          <cell r="D667" t="str">
            <v>Flame Red</v>
          </cell>
          <cell r="E667" t="str">
            <v>n.a.</v>
          </cell>
          <cell r="F667" t="str">
            <v>n.a.</v>
          </cell>
          <cell r="G667" t="str">
            <v>n.a.</v>
          </cell>
          <cell r="H667" t="str">
            <v>n.a.</v>
          </cell>
          <cell r="I667" t="str">
            <v>n.a.</v>
          </cell>
          <cell r="J667">
            <v>119.54</v>
          </cell>
          <cell r="K667">
            <v>145</v>
          </cell>
          <cell r="L667" t="str">
            <v>n.a.</v>
          </cell>
          <cell r="M667" t="str">
            <v>n.a.</v>
          </cell>
        </row>
        <row r="668">
          <cell r="A668">
            <v>2000025499</v>
          </cell>
          <cell r="B668" t="str">
            <v>SEAT UNIT</v>
          </cell>
          <cell r="C668" t="str">
            <v>B-READY</v>
          </cell>
          <cell r="D668" t="str">
            <v>Mineral Purple</v>
          </cell>
          <cell r="E668" t="str">
            <v>n.a.</v>
          </cell>
          <cell r="F668" t="str">
            <v>n.a.</v>
          </cell>
          <cell r="G668" t="str">
            <v>n.a.</v>
          </cell>
          <cell r="H668" t="str">
            <v>n.a.</v>
          </cell>
          <cell r="I668" t="str">
            <v>n.a.</v>
          </cell>
          <cell r="J668">
            <v>119.54</v>
          </cell>
          <cell r="K668">
            <v>145</v>
          </cell>
          <cell r="L668" t="str">
            <v>n.a.</v>
          </cell>
          <cell r="M668" t="str">
            <v>n.a.</v>
          </cell>
        </row>
        <row r="669">
          <cell r="A669">
            <v>2000021661</v>
          </cell>
          <cell r="B669" t="str">
            <v>SEAT UNIT SOFT GOODS FR</v>
          </cell>
          <cell r="C669" t="str">
            <v>BRITIX SMILE</v>
          </cell>
          <cell r="D669" t="str">
            <v>Red</v>
          </cell>
          <cell r="E669" t="str">
            <v>n.a.</v>
          </cell>
          <cell r="F669" t="str">
            <v>n.a.</v>
          </cell>
          <cell r="G669" t="str">
            <v>n.a.</v>
          </cell>
          <cell r="H669" t="str">
            <v>n.a.</v>
          </cell>
          <cell r="I669" t="str">
            <v>n.a.</v>
          </cell>
          <cell r="J669">
            <v>66.319999999999993</v>
          </cell>
          <cell r="K669">
            <v>80</v>
          </cell>
          <cell r="L669" t="str">
            <v>n.a.</v>
          </cell>
          <cell r="M669" t="str">
            <v>n.a.</v>
          </cell>
        </row>
        <row r="670">
          <cell r="A670">
            <v>2000021662</v>
          </cell>
          <cell r="B670" t="str">
            <v>SEAT UNIT SOFT GOODS FR</v>
          </cell>
          <cell r="C670" t="str">
            <v>BRITIX SMILE</v>
          </cell>
          <cell r="D670" t="str">
            <v>Black</v>
          </cell>
          <cell r="E670" t="str">
            <v>n.a.</v>
          </cell>
          <cell r="F670" t="str">
            <v>n.a.</v>
          </cell>
          <cell r="G670" t="str">
            <v>n.a.</v>
          </cell>
          <cell r="H670" t="str">
            <v>n.a.</v>
          </cell>
          <cell r="I670" t="str">
            <v>n.a.</v>
          </cell>
          <cell r="J670">
            <v>66.319999999999993</v>
          </cell>
          <cell r="K670">
            <v>80</v>
          </cell>
          <cell r="L670" t="str">
            <v>n.a.</v>
          </cell>
          <cell r="M670" t="str">
            <v>n.a.</v>
          </cell>
        </row>
        <row r="671">
          <cell r="A671">
            <v>2000021663</v>
          </cell>
          <cell r="B671" t="str">
            <v>SEAT UNIT SOFT GOODS FR</v>
          </cell>
          <cell r="C671" t="str">
            <v>BRITIX SMILE</v>
          </cell>
          <cell r="D671" t="str">
            <v>Navy</v>
          </cell>
          <cell r="E671" t="str">
            <v>n.a.</v>
          </cell>
          <cell r="F671" t="str">
            <v>n.a.</v>
          </cell>
          <cell r="G671" t="str">
            <v>n.a.</v>
          </cell>
          <cell r="H671" t="str">
            <v>n.a.</v>
          </cell>
          <cell r="I671" t="str">
            <v>n.a.</v>
          </cell>
          <cell r="J671">
            <v>66.319999999999993</v>
          </cell>
          <cell r="K671">
            <v>80</v>
          </cell>
          <cell r="L671" t="str">
            <v>n.a.</v>
          </cell>
          <cell r="M671" t="str">
            <v>n.a.</v>
          </cell>
        </row>
        <row r="672">
          <cell r="A672">
            <v>2000021664</v>
          </cell>
          <cell r="B672" t="str">
            <v>SEAT UNIT SOFT GOODS FR</v>
          </cell>
          <cell r="C672" t="str">
            <v>BRITIX SMILE</v>
          </cell>
          <cell r="D672" t="str">
            <v>Silver</v>
          </cell>
          <cell r="E672" t="str">
            <v>n.a.</v>
          </cell>
          <cell r="F672" t="str">
            <v>n.a.</v>
          </cell>
          <cell r="G672" t="str">
            <v>n.a.</v>
          </cell>
          <cell r="H672" t="str">
            <v>n.a.</v>
          </cell>
          <cell r="I672" t="str">
            <v>n.a.</v>
          </cell>
          <cell r="J672">
            <v>66.319999999999993</v>
          </cell>
          <cell r="K672">
            <v>80</v>
          </cell>
          <cell r="L672" t="str">
            <v>n.a.</v>
          </cell>
          <cell r="M672" t="str">
            <v>n.a.</v>
          </cell>
        </row>
        <row r="673">
          <cell r="A673">
            <v>2000021672</v>
          </cell>
          <cell r="B673" t="str">
            <v xml:space="preserve">CHASSIS </v>
          </cell>
          <cell r="C673" t="str">
            <v>BRITIX SMILE</v>
          </cell>
          <cell r="D673" t="str">
            <v>Silver</v>
          </cell>
          <cell r="E673" t="str">
            <v>n.a.</v>
          </cell>
          <cell r="F673" t="str">
            <v>n.a.</v>
          </cell>
          <cell r="G673" t="str">
            <v>n.a.</v>
          </cell>
          <cell r="H673" t="str">
            <v>n.a.</v>
          </cell>
          <cell r="I673" t="str">
            <v>n.a.</v>
          </cell>
          <cell r="J673">
            <v>222.45</v>
          </cell>
          <cell r="K673">
            <v>265</v>
          </cell>
          <cell r="L673" t="str">
            <v>n.a.</v>
          </cell>
          <cell r="M673" t="str">
            <v>n.a.</v>
          </cell>
        </row>
        <row r="674">
          <cell r="A674">
            <v>2000014618</v>
          </cell>
          <cell r="B674" t="str">
            <v>SEAT UNIT</v>
          </cell>
          <cell r="C674" t="str">
            <v>BRITAX AFFINITY</v>
          </cell>
          <cell r="D674" t="str">
            <v>Chrome</v>
          </cell>
          <cell r="E674" t="str">
            <v>n.a.</v>
          </cell>
          <cell r="F674" t="str">
            <v>n.a.</v>
          </cell>
          <cell r="G674" t="str">
            <v>n.a.</v>
          </cell>
          <cell r="H674" t="str">
            <v>n.a.</v>
          </cell>
          <cell r="I674" t="str">
            <v>n.a.</v>
          </cell>
          <cell r="J674">
            <v>90</v>
          </cell>
          <cell r="K674">
            <v>110</v>
          </cell>
          <cell r="L674" t="str">
            <v>n.a.</v>
          </cell>
          <cell r="M674" t="str">
            <v>n.a.</v>
          </cell>
        </row>
        <row r="675">
          <cell r="A675">
            <v>2000025327</v>
          </cell>
          <cell r="B675" t="str">
            <v xml:space="preserve">SEAT UNIT COMPLETE WITH FABRICS </v>
          </cell>
          <cell r="C675" t="str">
            <v>BRITAX AFFINITY 2</v>
          </cell>
          <cell r="D675" t="str">
            <v>Black</v>
          </cell>
          <cell r="E675" t="str">
            <v>n.a.</v>
          </cell>
          <cell r="F675" t="str">
            <v>n.a.</v>
          </cell>
          <cell r="G675" t="str">
            <v>n.a.</v>
          </cell>
          <cell r="H675" t="str">
            <v>n.a.</v>
          </cell>
          <cell r="I675" t="str">
            <v>n.a.</v>
          </cell>
          <cell r="J675">
            <v>90</v>
          </cell>
          <cell r="K675">
            <v>110</v>
          </cell>
          <cell r="L675" t="str">
            <v>n.a.</v>
          </cell>
          <cell r="M675" t="str">
            <v>n.a.</v>
          </cell>
        </row>
        <row r="676">
          <cell r="A676">
            <v>2000025329</v>
          </cell>
          <cell r="B676" t="str">
            <v>SEAT UNIT COMPLETE WITH FABRICS</v>
          </cell>
          <cell r="C676" t="str">
            <v>BRITAX AFFINITY 2</v>
          </cell>
          <cell r="D676" t="str">
            <v>Silver</v>
          </cell>
          <cell r="E676" t="str">
            <v>n.a.</v>
          </cell>
          <cell r="F676" t="str">
            <v>n.a.</v>
          </cell>
          <cell r="G676" t="str">
            <v>n.a.</v>
          </cell>
          <cell r="H676" t="str">
            <v>n.a.</v>
          </cell>
          <cell r="I676" t="str">
            <v>n.a.</v>
          </cell>
          <cell r="J676">
            <v>90</v>
          </cell>
          <cell r="K676">
            <v>110</v>
          </cell>
          <cell r="L676" t="str">
            <v>n.a.</v>
          </cell>
          <cell r="M676" t="str">
            <v>n.a.</v>
          </cell>
        </row>
        <row r="677">
          <cell r="A677">
            <v>2000029976</v>
          </cell>
          <cell r="B677" t="str">
            <v>Papilio Handle Black, Lever Grey, Leather Look Black</v>
          </cell>
          <cell r="C677" t="str">
            <v>SEED PAPILIO</v>
          </cell>
          <cell r="D677" t="str">
            <v>black, black leather</v>
          </cell>
          <cell r="E677">
            <v>79.83</v>
          </cell>
          <cell r="F677">
            <v>95</v>
          </cell>
          <cell r="G677">
            <v>88</v>
          </cell>
          <cell r="H677">
            <v>105</v>
          </cell>
          <cell r="I677" t="str">
            <v>n.a.</v>
          </cell>
          <cell r="J677" t="str">
            <v>n.a.</v>
          </cell>
          <cell r="K677" t="str">
            <v>n.a.</v>
          </cell>
          <cell r="L677">
            <v>374</v>
          </cell>
          <cell r="M677">
            <v>460</v>
          </cell>
        </row>
        <row r="678">
          <cell r="A678">
            <v>93066</v>
          </cell>
          <cell r="B678" t="str">
            <v>Papilio Handle Silver - Leatherlook Black</v>
          </cell>
          <cell r="C678" t="str">
            <v>SEED PAPILIO</v>
          </cell>
          <cell r="D678" t="str">
            <v>silver, black leather</v>
          </cell>
          <cell r="E678">
            <v>79.83</v>
          </cell>
          <cell r="F678">
            <v>95</v>
          </cell>
          <cell r="G678">
            <v>88</v>
          </cell>
          <cell r="H678">
            <v>105</v>
          </cell>
          <cell r="I678" t="str">
            <v>n.a.</v>
          </cell>
          <cell r="J678" t="str">
            <v>n.a.</v>
          </cell>
          <cell r="K678" t="str">
            <v>n.a.</v>
          </cell>
          <cell r="L678">
            <v>374</v>
          </cell>
          <cell r="M678">
            <v>460</v>
          </cell>
        </row>
        <row r="679">
          <cell r="A679">
            <v>93073</v>
          </cell>
          <cell r="B679" t="str">
            <v>Papilio Handle Silver, Lever Grey, Leather Look Cognac</v>
          </cell>
          <cell r="C679" t="str">
            <v>SEED PAPILIO</v>
          </cell>
          <cell r="D679" t="str">
            <v>silver, cognac leather</v>
          </cell>
          <cell r="E679">
            <v>79.83</v>
          </cell>
          <cell r="F679">
            <v>95</v>
          </cell>
          <cell r="G679">
            <v>88</v>
          </cell>
          <cell r="H679">
            <v>105</v>
          </cell>
          <cell r="I679" t="str">
            <v>n.a.</v>
          </cell>
          <cell r="J679" t="str">
            <v>n.a.</v>
          </cell>
          <cell r="K679" t="str">
            <v>n.a.</v>
          </cell>
          <cell r="L679">
            <v>374</v>
          </cell>
          <cell r="M679">
            <v>460</v>
          </cell>
        </row>
        <row r="680">
          <cell r="A680">
            <v>93134</v>
          </cell>
          <cell r="B680" t="str">
            <v>Papilio Handle Copper - Leatherlook Black</v>
          </cell>
          <cell r="C680" t="str">
            <v>SEED PAPILIO</v>
          </cell>
          <cell r="D680" t="str">
            <v>copper, black leather</v>
          </cell>
          <cell r="E680">
            <v>79.83</v>
          </cell>
          <cell r="F680">
            <v>95</v>
          </cell>
          <cell r="G680">
            <v>88</v>
          </cell>
          <cell r="H680">
            <v>105</v>
          </cell>
          <cell r="I680" t="str">
            <v>n.a.</v>
          </cell>
          <cell r="J680" t="str">
            <v>n.a.</v>
          </cell>
          <cell r="K680" t="str">
            <v>n.a.</v>
          </cell>
          <cell r="L680">
            <v>374</v>
          </cell>
          <cell r="M680">
            <v>460</v>
          </cell>
        </row>
        <row r="681">
          <cell r="A681">
            <v>2000029987</v>
          </cell>
          <cell r="B681" t="str">
            <v>Rear wheel set black</v>
          </cell>
          <cell r="C681" t="str">
            <v>SEED PAPILIO</v>
          </cell>
          <cell r="D681" t="str">
            <v>black</v>
          </cell>
          <cell r="E681">
            <v>79.2</v>
          </cell>
          <cell r="F681">
            <v>95</v>
          </cell>
          <cell r="G681">
            <v>88</v>
          </cell>
          <cell r="H681">
            <v>105</v>
          </cell>
          <cell r="I681" t="str">
            <v>n.a.</v>
          </cell>
          <cell r="J681" t="str">
            <v>n.a.</v>
          </cell>
          <cell r="K681" t="str">
            <v>n.a.</v>
          </cell>
          <cell r="L681">
            <v>374</v>
          </cell>
          <cell r="M681">
            <v>460</v>
          </cell>
        </row>
        <row r="682">
          <cell r="A682">
            <v>2000029988</v>
          </cell>
          <cell r="B682" t="str">
            <v>Rear wheel set silver</v>
          </cell>
          <cell r="C682" t="str">
            <v>SEED PAPILIO</v>
          </cell>
          <cell r="D682" t="str">
            <v>silver</v>
          </cell>
          <cell r="E682">
            <v>79.2</v>
          </cell>
          <cell r="F682">
            <v>95</v>
          </cell>
          <cell r="G682">
            <v>88</v>
          </cell>
          <cell r="H682">
            <v>105</v>
          </cell>
          <cell r="I682" t="str">
            <v>n.a.</v>
          </cell>
          <cell r="J682" t="str">
            <v>n.a.</v>
          </cell>
          <cell r="K682" t="str">
            <v>n.a.</v>
          </cell>
          <cell r="L682">
            <v>374</v>
          </cell>
          <cell r="M682">
            <v>460</v>
          </cell>
        </row>
        <row r="683">
          <cell r="A683">
            <v>2000029989</v>
          </cell>
          <cell r="B683" t="str">
            <v>Front wheel set black</v>
          </cell>
          <cell r="C683" t="str">
            <v>SEED PAPILIO</v>
          </cell>
          <cell r="D683" t="str">
            <v>black</v>
          </cell>
          <cell r="E683">
            <v>62.7</v>
          </cell>
          <cell r="F683">
            <v>75</v>
          </cell>
          <cell r="G683">
            <v>70</v>
          </cell>
          <cell r="H683">
            <v>85</v>
          </cell>
          <cell r="I683" t="str">
            <v>n.a.</v>
          </cell>
          <cell r="J683" t="str">
            <v>n.a.</v>
          </cell>
          <cell r="K683" t="str">
            <v>n.a.</v>
          </cell>
          <cell r="L683">
            <v>298.45</v>
          </cell>
          <cell r="M683">
            <v>365</v>
          </cell>
        </row>
        <row r="684">
          <cell r="A684">
            <v>2000029990</v>
          </cell>
          <cell r="B684" t="str">
            <v>Front wheel set silver</v>
          </cell>
          <cell r="C684" t="str">
            <v>SEED PAPILIO</v>
          </cell>
          <cell r="D684" t="str">
            <v>silver</v>
          </cell>
          <cell r="E684">
            <v>62.7</v>
          </cell>
          <cell r="F684">
            <v>75</v>
          </cell>
          <cell r="G684">
            <v>70</v>
          </cell>
          <cell r="H684">
            <v>85</v>
          </cell>
          <cell r="I684" t="str">
            <v>n.a.</v>
          </cell>
          <cell r="J684" t="str">
            <v>n.a.</v>
          </cell>
          <cell r="K684" t="str">
            <v>n.a.</v>
          </cell>
          <cell r="L684">
            <v>298.45</v>
          </cell>
          <cell r="M684">
            <v>365</v>
          </cell>
        </row>
        <row r="685">
          <cell r="A685">
            <v>2000010707</v>
          </cell>
          <cell r="B685" t="str">
            <v>GO Click&amp;Go Adapter</v>
          </cell>
          <cell r="C685" t="str">
            <v>GO</v>
          </cell>
          <cell r="E685">
            <v>21.85</v>
          </cell>
          <cell r="F685">
            <v>26</v>
          </cell>
          <cell r="G685">
            <v>28</v>
          </cell>
          <cell r="H685">
            <v>33</v>
          </cell>
          <cell r="I685">
            <v>26.05</v>
          </cell>
          <cell r="J685" t="str">
            <v>n.a.</v>
          </cell>
          <cell r="K685" t="str">
            <v>n.a.</v>
          </cell>
          <cell r="L685">
            <v>126.02</v>
          </cell>
          <cell r="M685">
            <v>155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35"/>
  <sheetViews>
    <sheetView tabSelected="1" zoomScaleNormal="100" workbookViewId="0">
      <pane ySplit="1" topLeftCell="B69" activePane="bottomLeft" state="frozen"/>
      <selection pane="bottomLeft" activeCell="E81" sqref="E81"/>
    </sheetView>
  </sheetViews>
  <sheetFormatPr defaultColWidth="11.42578125" defaultRowHeight="15"/>
  <cols>
    <col min="1" max="1" width="16.28515625" style="60" bestFit="1" customWidth="1"/>
    <col min="2" max="2" width="39.140625" style="61" customWidth="1"/>
    <col min="3" max="3" width="54.5703125" customWidth="1"/>
    <col min="4" max="4" width="12.140625" customWidth="1"/>
    <col min="5" max="5" width="15.140625" style="60" customWidth="1"/>
    <col min="6" max="6" width="19.28515625" style="60" customWidth="1"/>
    <col min="7" max="7" width="9.28515625" customWidth="1"/>
    <col min="8" max="8" width="12.140625" style="62" customWidth="1"/>
    <col min="9" max="9" width="11.42578125" style="60"/>
  </cols>
  <sheetData>
    <row r="1" spans="1:9" s="5" customFormat="1" ht="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 s="11" customFormat="1" ht="15" customHeight="1">
      <c r="A2" s="6">
        <v>2000025627</v>
      </c>
      <c r="B2" s="7" t="s">
        <v>9</v>
      </c>
      <c r="C2" s="7" t="str">
        <f>VLOOKUP(A2,[1]Translation!A:F,4,FALSE)</f>
        <v>Fach Bedienungsanleitung</v>
      </c>
      <c r="D2" s="7"/>
      <c r="E2" s="8" t="s">
        <v>10</v>
      </c>
      <c r="F2" s="8">
        <f>VLOOKUP(A2,'[1]PL ENG'!B:G,6, FALSE)</f>
        <v>4000984150902</v>
      </c>
      <c r="G2" s="8">
        <v>1</v>
      </c>
      <c r="H2" s="9">
        <f>VLOOKUP(A2,[1]pricing!A:M,5,FALSE)</f>
        <v>7.7</v>
      </c>
      <c r="I2" s="10">
        <f>VLOOKUP(A2,[1]pricing!A:M,6,FALSE)</f>
        <v>10</v>
      </c>
    </row>
    <row r="3" spans="1:9" s="11" customFormat="1" ht="15" customHeight="1">
      <c r="A3" s="6">
        <v>2000025628</v>
      </c>
      <c r="B3" s="7" t="s">
        <v>9</v>
      </c>
      <c r="C3" s="7" t="str">
        <f>VLOOKUP(A3,[1]Translation!A:F,4,FALSE)</f>
        <v>Kufengummidämpfer</v>
      </c>
      <c r="D3" s="7"/>
      <c r="E3" s="8" t="s">
        <v>10</v>
      </c>
      <c r="F3" s="8">
        <f>VLOOKUP(A3,'[1]PL ENG'!B:G,6, FALSE)</f>
        <v>4000984150919</v>
      </c>
      <c r="G3" s="8">
        <v>1</v>
      </c>
      <c r="H3" s="9">
        <f>VLOOKUP(A3,[1]pricing!A:M,5,FALSE)</f>
        <v>5.5</v>
      </c>
      <c r="I3" s="10">
        <f>VLOOKUP(A3,[1]pricing!A:M,6,FALSE)</f>
        <v>10</v>
      </c>
    </row>
    <row r="4" spans="1:9" s="11" customFormat="1" ht="15" customHeight="1">
      <c r="A4" s="6">
        <v>2000025629</v>
      </c>
      <c r="B4" s="7" t="s">
        <v>9</v>
      </c>
      <c r="C4" s="7" t="str">
        <f>VLOOKUP(A4,[1]Translation!A:F,4,FALSE)</f>
        <v>Schaumeinleger Kopfstütze</v>
      </c>
      <c r="D4" s="7"/>
      <c r="E4" s="8" t="s">
        <v>10</v>
      </c>
      <c r="F4" s="8">
        <f>VLOOKUP(A4,'[1]PL ENG'!B:G,6, FALSE)</f>
        <v>4000984150926</v>
      </c>
      <c r="G4" s="8">
        <v>1</v>
      </c>
      <c r="H4" s="9">
        <f>VLOOKUP(A4,[1]pricing!A:M,5,FALSE)</f>
        <v>5.5</v>
      </c>
      <c r="I4" s="10">
        <f>VLOOKUP(A4,[1]pricing!A:M,6,FALSE)</f>
        <v>10</v>
      </c>
    </row>
    <row r="5" spans="1:9" s="11" customFormat="1" ht="15" customHeight="1">
      <c r="A5" s="6">
        <v>2000025631</v>
      </c>
      <c r="B5" s="7" t="s">
        <v>9</v>
      </c>
      <c r="C5" s="7" t="str">
        <f>VLOOKUP(A5,[1]Translation!A:F,4,FALSE)</f>
        <v>Dämpfungseinleger Set Schale</v>
      </c>
      <c r="D5" s="7"/>
      <c r="E5" s="8" t="s">
        <v>10</v>
      </c>
      <c r="F5" s="8">
        <f>VLOOKUP(A5,'[1]PL ENG'!B:G,6, FALSE)</f>
        <v>4000984150940</v>
      </c>
      <c r="G5" s="8">
        <v>1</v>
      </c>
      <c r="H5" s="9">
        <f>VLOOKUP(A5,[1]pricing!A:M,5,FALSE)</f>
        <v>13.73</v>
      </c>
      <c r="I5" s="10">
        <f>VLOOKUP(A5,[1]pricing!A:M,6,FALSE)</f>
        <v>20</v>
      </c>
    </row>
    <row r="6" spans="1:9" s="11" customFormat="1" ht="15" customHeight="1">
      <c r="A6" s="6">
        <v>2000027397</v>
      </c>
      <c r="B6" s="7" t="s">
        <v>9</v>
      </c>
      <c r="C6" s="7" t="str">
        <f>VLOOKUP(A6,[1]Translation!A:F,4,FALSE)</f>
        <v>Dämpfungseinleger Set Schulter</v>
      </c>
      <c r="D6" s="7"/>
      <c r="E6" s="8" t="s">
        <v>10</v>
      </c>
      <c r="F6" s="8">
        <f>VLOOKUP(A6,'[1]PL ENG'!B:G,6, FALSE)</f>
        <v>4000984166286</v>
      </c>
      <c r="G6" s="8">
        <v>1</v>
      </c>
      <c r="H6" s="9">
        <f>VLOOKUP(A6,[1]pricing!A:M,5,FALSE)</f>
        <v>13.73</v>
      </c>
      <c r="I6" s="10">
        <f>VLOOKUP(A6,[1]pricing!A:M,6,FALSE)</f>
        <v>20</v>
      </c>
    </row>
    <row r="7" spans="1:9" s="11" customFormat="1" ht="15" customHeight="1">
      <c r="A7" s="6">
        <v>2000025641</v>
      </c>
      <c r="B7" s="7" t="s">
        <v>9</v>
      </c>
      <c r="C7" s="7" t="str">
        <f>VLOOKUP(A7,[1]Translation!A:F,4,FALSE)</f>
        <v>Sonnenverdeck</v>
      </c>
      <c r="D7" s="7" t="s">
        <v>11</v>
      </c>
      <c r="E7" s="8" t="s">
        <v>10</v>
      </c>
      <c r="F7" s="8">
        <f>VLOOKUP(A7,'[1]PL ENG'!B:G,6, FALSE)</f>
        <v>4000984151046</v>
      </c>
      <c r="G7" s="8">
        <v>1</v>
      </c>
      <c r="H7" s="9">
        <f>VLOOKUP(A7,[1]pricing!A:M,5,FALSE)</f>
        <v>12.43</v>
      </c>
      <c r="I7" s="10">
        <f>VLOOKUP(A7,[1]pricing!A:M,6,FALSE)</f>
        <v>15</v>
      </c>
    </row>
    <row r="8" spans="1:9" s="11" customFormat="1" ht="15" customHeight="1">
      <c r="A8" s="6">
        <v>2000025642</v>
      </c>
      <c r="B8" s="7" t="s">
        <v>9</v>
      </c>
      <c r="C8" s="7" t="str">
        <f>VLOOKUP(A8,[1]Translation!A:F,4,FALSE)</f>
        <v>Sonnenverdeck</v>
      </c>
      <c r="D8" s="7" t="s">
        <v>12</v>
      </c>
      <c r="E8" s="8" t="s">
        <v>10</v>
      </c>
      <c r="F8" s="8">
        <f>VLOOKUP(A8,'[1]PL ENG'!B:G,6, FALSE)</f>
        <v>4000984151053</v>
      </c>
      <c r="G8" s="8">
        <v>1</v>
      </c>
      <c r="H8" s="9">
        <f>VLOOKUP(A8,[1]pricing!A:M,5,FALSE)</f>
        <v>12.43</v>
      </c>
      <c r="I8" s="10">
        <f>VLOOKUP(A8,[1]pricing!A:M,6,FALSE)</f>
        <v>15</v>
      </c>
    </row>
    <row r="9" spans="1:9" s="11" customFormat="1" ht="15" customHeight="1">
      <c r="A9" s="6">
        <v>2000025643</v>
      </c>
      <c r="B9" s="7" t="s">
        <v>9</v>
      </c>
      <c r="C9" s="7" t="str">
        <f>VLOOKUP(A9,[1]Translation!A:F,4,FALSE)</f>
        <v>Sonnenverdeck</v>
      </c>
      <c r="D9" s="7" t="s">
        <v>13</v>
      </c>
      <c r="E9" s="8" t="s">
        <v>10</v>
      </c>
      <c r="F9" s="8">
        <f>VLOOKUP(A9,'[1]PL ENG'!B:G,6, FALSE)</f>
        <v>4000984151060</v>
      </c>
      <c r="G9" s="8">
        <v>1</v>
      </c>
      <c r="H9" s="9">
        <f>VLOOKUP(A9,[1]pricing!A:M,5,FALSE)</f>
        <v>12.43</v>
      </c>
      <c r="I9" s="10">
        <f>VLOOKUP(A9,[1]pricing!A:M,6,FALSE)</f>
        <v>15</v>
      </c>
    </row>
    <row r="10" spans="1:9" s="11" customFormat="1" ht="15" customHeight="1">
      <c r="A10" s="6">
        <v>2000026197</v>
      </c>
      <c r="B10" s="7" t="s">
        <v>9</v>
      </c>
      <c r="C10" s="7" t="str">
        <f>VLOOKUP(A10,[1]Translation!A:F,4,FALSE)</f>
        <v>Sonnenverdeck</v>
      </c>
      <c r="D10" s="7" t="s">
        <v>14</v>
      </c>
      <c r="E10" s="8" t="s">
        <v>10</v>
      </c>
      <c r="F10" s="8">
        <f>VLOOKUP(A10,'[1]PL ENG'!B:G,6, FALSE)</f>
        <v>4000984154450</v>
      </c>
      <c r="G10" s="8">
        <v>1</v>
      </c>
      <c r="H10" s="9">
        <f>VLOOKUP(A10,[1]pricing!A:M,5,FALSE)</f>
        <v>12.43</v>
      </c>
      <c r="I10" s="10">
        <f>VLOOKUP(A10,[1]pricing!A:M,6,FALSE)</f>
        <v>15</v>
      </c>
    </row>
    <row r="11" spans="1:9" s="11" customFormat="1" ht="15" customHeight="1">
      <c r="A11" s="6">
        <v>2000026198</v>
      </c>
      <c r="B11" s="7" t="s">
        <v>9</v>
      </c>
      <c r="C11" s="7" t="str">
        <f>VLOOKUP(A11,[1]Translation!A:F,4,FALSE)</f>
        <v>Sonnenverdeck</v>
      </c>
      <c r="D11" s="7" t="s">
        <v>15</v>
      </c>
      <c r="E11" s="8" t="s">
        <v>10</v>
      </c>
      <c r="F11" s="8">
        <f>VLOOKUP(A11,'[1]PL ENG'!B:G,6, FALSE)</f>
        <v>4000984154467</v>
      </c>
      <c r="G11" s="8">
        <v>1</v>
      </c>
      <c r="H11" s="9">
        <f>VLOOKUP(A11,[1]pricing!A:M,5,FALSE)</f>
        <v>12.43</v>
      </c>
      <c r="I11" s="10">
        <f>VLOOKUP(A11,[1]pricing!A:M,6,FALSE)</f>
        <v>15</v>
      </c>
    </row>
    <row r="12" spans="1:9" s="11" customFormat="1" ht="15" customHeight="1">
      <c r="A12" s="6">
        <v>2000026199</v>
      </c>
      <c r="B12" s="7" t="s">
        <v>9</v>
      </c>
      <c r="C12" s="7" t="str">
        <f>VLOOKUP(A12,[1]Translation!A:F,4,FALSE)</f>
        <v>Sonnenverdeck</v>
      </c>
      <c r="D12" s="7" t="s">
        <v>16</v>
      </c>
      <c r="E12" s="8" t="s">
        <v>10</v>
      </c>
      <c r="F12" s="8">
        <f>VLOOKUP(A12,'[1]PL ENG'!B:G,6, FALSE)</f>
        <v>4000984154474</v>
      </c>
      <c r="G12" s="8">
        <v>1</v>
      </c>
      <c r="H12" s="9">
        <f>VLOOKUP(A12,[1]pricing!A:M,5,FALSE)</f>
        <v>12.43</v>
      </c>
      <c r="I12" s="10">
        <f>VLOOKUP(A12,[1]pricing!A:M,6,FALSE)</f>
        <v>15</v>
      </c>
    </row>
    <row r="13" spans="1:9" s="11" customFormat="1" ht="15" customHeight="1">
      <c r="A13" s="6">
        <v>2000026200</v>
      </c>
      <c r="B13" s="7" t="s">
        <v>9</v>
      </c>
      <c r="C13" s="7" t="str">
        <f>VLOOKUP(A13,[1]Translation!A:F,4,FALSE)</f>
        <v>Sonnenverdeck</v>
      </c>
      <c r="D13" s="7" t="s">
        <v>17</v>
      </c>
      <c r="E13" s="8" t="s">
        <v>10</v>
      </c>
      <c r="F13" s="8">
        <f>VLOOKUP(A13,'[1]PL ENG'!B:G,6, FALSE)</f>
        <v>4000984154481</v>
      </c>
      <c r="G13" s="8">
        <v>1</v>
      </c>
      <c r="H13" s="9">
        <f>VLOOKUP(A13,[1]pricing!A:M,5,FALSE)</f>
        <v>12.43</v>
      </c>
      <c r="I13" s="10">
        <f>VLOOKUP(A13,[1]pricing!A:M,6,FALSE)</f>
        <v>15</v>
      </c>
    </row>
    <row r="14" spans="1:9" s="11" customFormat="1" ht="15" customHeight="1">
      <c r="A14" s="12">
        <v>2000029653</v>
      </c>
      <c r="B14" s="7" t="s">
        <v>9</v>
      </c>
      <c r="C14" s="7" t="str">
        <f>VLOOKUP(A14,[1]Translation!A:F,4,FALSE)</f>
        <v>Sonnenverdeck</v>
      </c>
      <c r="D14" s="13" t="s">
        <v>18</v>
      </c>
      <c r="E14" s="8" t="s">
        <v>10</v>
      </c>
      <c r="F14" s="8">
        <f>VLOOKUP(A14,'[1]PL ENG'!B:G,6, FALSE)</f>
        <v>4000984192483</v>
      </c>
      <c r="G14" s="8">
        <v>1</v>
      </c>
      <c r="H14" s="9">
        <f>VLOOKUP(A14,[1]pricing!A:M,5,FALSE)</f>
        <v>12.43</v>
      </c>
      <c r="I14" s="10">
        <f>VLOOKUP(A14,[1]pricing!A:M,6,FALSE)</f>
        <v>15</v>
      </c>
    </row>
    <row r="15" spans="1:9" s="11" customFormat="1" ht="15" customHeight="1">
      <c r="A15" s="15">
        <v>2000029633</v>
      </c>
      <c r="B15" s="7" t="s">
        <v>9</v>
      </c>
      <c r="C15" s="7" t="str">
        <f>VLOOKUP(A15,[1]Translation!A:F,4,FALSE)</f>
        <v>Sonnenverdeck</v>
      </c>
      <c r="D15" s="13" t="s">
        <v>19</v>
      </c>
      <c r="E15" s="8" t="s">
        <v>10</v>
      </c>
      <c r="F15" s="8">
        <f>VLOOKUP(A15,'[1]PL ENG'!B:G,6, FALSE)</f>
        <v>4000984192308</v>
      </c>
      <c r="G15" s="8">
        <v>1</v>
      </c>
      <c r="H15" s="9">
        <f>VLOOKUP(A15,[1]pricing!A:M,5,FALSE)</f>
        <v>12.43</v>
      </c>
      <c r="I15" s="10">
        <f>VLOOKUP(A15,[1]pricing!A:M,6,FALSE)</f>
        <v>15</v>
      </c>
    </row>
    <row r="16" spans="1:9" s="11" customFormat="1" ht="15" customHeight="1">
      <c r="A16" s="15">
        <v>2000029634</v>
      </c>
      <c r="B16" s="7" t="s">
        <v>9</v>
      </c>
      <c r="C16" s="7" t="str">
        <f>VLOOKUP(A16,[1]Translation!A:F,4,FALSE)</f>
        <v>Sonnenverdeck</v>
      </c>
      <c r="D16" s="13" t="s">
        <v>20</v>
      </c>
      <c r="E16" s="8" t="s">
        <v>10</v>
      </c>
      <c r="F16" s="8">
        <f>VLOOKUP(A16,'[1]PL ENG'!B:G,6, FALSE)</f>
        <v>4000984192315</v>
      </c>
      <c r="G16" s="8">
        <v>1</v>
      </c>
      <c r="H16" s="9">
        <f>VLOOKUP(A16,[1]pricing!A:M,5,FALSE)</f>
        <v>13.67</v>
      </c>
      <c r="I16" s="10">
        <f>VLOOKUP(A16,[1]pricing!A:M,6,FALSE)</f>
        <v>17</v>
      </c>
    </row>
    <row r="17" spans="1:9" s="11" customFormat="1" ht="15" customHeight="1">
      <c r="A17" s="15">
        <v>2000029635</v>
      </c>
      <c r="B17" s="7" t="s">
        <v>9</v>
      </c>
      <c r="C17" s="7" t="str">
        <f>VLOOKUP(A17,[1]Translation!A:F,4,FALSE)</f>
        <v>Sonnenverdeck</v>
      </c>
      <c r="D17" s="13" t="s">
        <v>21</v>
      </c>
      <c r="E17" s="8" t="s">
        <v>10</v>
      </c>
      <c r="F17" s="8">
        <f>VLOOKUP(A17,'[1]PL ENG'!B:G,6, FALSE)</f>
        <v>4000984192322</v>
      </c>
      <c r="G17" s="8">
        <v>1</v>
      </c>
      <c r="H17" s="9">
        <f>VLOOKUP(A17,[1]pricing!A:M,5,FALSE)</f>
        <v>13.67</v>
      </c>
      <c r="I17" s="10">
        <f>VLOOKUP(A17,[1]pricing!A:M,6,FALSE)</f>
        <v>17</v>
      </c>
    </row>
    <row r="18" spans="1:9" s="11" customFormat="1" ht="15" customHeight="1">
      <c r="A18" s="15">
        <v>2000029636</v>
      </c>
      <c r="B18" s="7" t="s">
        <v>9</v>
      </c>
      <c r="C18" s="7" t="str">
        <f>VLOOKUP(A18,[1]Translation!A:F,4,FALSE)</f>
        <v>Sonnenverdeck</v>
      </c>
      <c r="D18" s="13" t="s">
        <v>22</v>
      </c>
      <c r="E18" s="8" t="s">
        <v>10</v>
      </c>
      <c r="F18" s="8">
        <f>VLOOKUP(A18,'[1]PL ENG'!B:G,6, FALSE)</f>
        <v>4000984192339</v>
      </c>
      <c r="G18" s="8">
        <v>1</v>
      </c>
      <c r="H18" s="9">
        <f>VLOOKUP(A18,[1]pricing!A:M,5,FALSE)</f>
        <v>20.63</v>
      </c>
      <c r="I18" s="10">
        <f>VLOOKUP(A18,[1]pricing!A:M,6,FALSE)</f>
        <v>25</v>
      </c>
    </row>
    <row r="19" spans="1:9" s="11" customFormat="1" ht="15" customHeight="1">
      <c r="A19" s="15">
        <v>2000029637</v>
      </c>
      <c r="B19" s="7" t="s">
        <v>9</v>
      </c>
      <c r="C19" s="7" t="str">
        <f>VLOOKUP(A19,[1]Translation!A:F,4,FALSE)</f>
        <v>Sonnenverdeck</v>
      </c>
      <c r="D19" s="13" t="s">
        <v>23</v>
      </c>
      <c r="E19" s="8" t="s">
        <v>10</v>
      </c>
      <c r="F19" s="8">
        <f>VLOOKUP(A19,'[1]PL ENG'!B:G,6, FALSE)</f>
        <v>4000984192346</v>
      </c>
      <c r="G19" s="8">
        <v>1</v>
      </c>
      <c r="H19" s="9">
        <f>VLOOKUP(A19,[1]pricing!A:M,5,FALSE)</f>
        <v>13.67</v>
      </c>
      <c r="I19" s="10">
        <f>VLOOKUP(A19,[1]pricing!A:M,6,FALSE)</f>
        <v>17</v>
      </c>
    </row>
    <row r="20" spans="1:9" s="11" customFormat="1" ht="15" customHeight="1">
      <c r="A20" s="16">
        <v>2000027212</v>
      </c>
      <c r="B20" s="7" t="s">
        <v>9</v>
      </c>
      <c r="C20" s="7" t="str">
        <f>VLOOKUP(A20,[1]Translation!A:F,4,FALSE)</f>
        <v>Neugeboreneneinlage</v>
      </c>
      <c r="D20" s="7" t="s">
        <v>24</v>
      </c>
      <c r="E20" s="8" t="s">
        <v>10</v>
      </c>
      <c r="F20" s="8">
        <f>VLOOKUP(A20,'[1]PL ENG'!B:G,6, FALSE)</f>
        <v>4000984161816</v>
      </c>
      <c r="G20" s="8">
        <v>1</v>
      </c>
      <c r="H20" s="9">
        <f>VLOOKUP(A20,[1]pricing!A:M,5,FALSE)</f>
        <v>33.61</v>
      </c>
      <c r="I20" s="10">
        <f>VLOOKUP(A20,[1]pricing!A:M,6,FALSE)</f>
        <v>40</v>
      </c>
    </row>
    <row r="21" spans="1:9" s="11" customFormat="1" ht="15" customHeight="1">
      <c r="A21" s="6">
        <v>2000025649</v>
      </c>
      <c r="B21" s="7" t="s">
        <v>9</v>
      </c>
      <c r="C21" s="7" t="str">
        <f>VLOOKUP(A21,[1]Translation!A:F,4,FALSE)</f>
        <v>Schulterpolster Set</v>
      </c>
      <c r="D21" s="7" t="s">
        <v>24</v>
      </c>
      <c r="E21" s="8" t="s">
        <v>10</v>
      </c>
      <c r="F21" s="8">
        <f>VLOOKUP(A21,'[1]PL ENG'!B:G,6, FALSE)</f>
        <v>4000984151121</v>
      </c>
      <c r="G21" s="8">
        <v>1</v>
      </c>
      <c r="H21" s="9">
        <f>VLOOKUP(A21,[1]pricing!A:M,5,FALSE)</f>
        <v>6.37</v>
      </c>
      <c r="I21" s="10">
        <f>VLOOKUP(A21,[1]pricing!A:M,6,FALSE)</f>
        <v>10</v>
      </c>
    </row>
    <row r="22" spans="1:9" s="11" customFormat="1" ht="15" customHeight="1">
      <c r="A22" s="6">
        <v>2000007047</v>
      </c>
      <c r="B22" s="7" t="s">
        <v>9</v>
      </c>
      <c r="C22" s="7" t="str">
        <f>VLOOKUP(A22,[1]Translation!A:F,4,FALSE)</f>
        <v>Isofix Einführhilfe breit</v>
      </c>
      <c r="D22" s="7"/>
      <c r="E22" s="8" t="s">
        <v>10</v>
      </c>
      <c r="F22" s="8">
        <f>VLOOKUP(A22,'[1]PL ENG'!B:G,6, FALSE)</f>
        <v>4000984093384</v>
      </c>
      <c r="G22" s="8">
        <v>1</v>
      </c>
      <c r="H22" s="9">
        <f>VLOOKUP(A22,[1]pricing!A:M,5,FALSE)</f>
        <v>7.09</v>
      </c>
      <c r="I22" s="10">
        <f>VLOOKUP(A22,[1]pricing!A:M,6,FALSE)</f>
        <v>10</v>
      </c>
    </row>
    <row r="23" spans="1:9" s="17" customFormat="1" ht="15" customHeight="1">
      <c r="A23" s="6">
        <v>2000024320</v>
      </c>
      <c r="B23" s="7" t="s">
        <v>25</v>
      </c>
      <c r="C23" s="7" t="str">
        <f>VLOOKUP(A23,[1]Translation!A:F,4,FALSE)</f>
        <v>Sonnenverdeck</v>
      </c>
      <c r="D23" s="7" t="s">
        <v>11</v>
      </c>
      <c r="E23" s="8" t="s">
        <v>10</v>
      </c>
      <c r="F23" s="8">
        <f>VLOOKUP(A23,'[1]PL ENG'!B:G,6, FALSE)</f>
        <v>4000984145472</v>
      </c>
      <c r="G23" s="8">
        <v>1</v>
      </c>
      <c r="H23" s="9">
        <f>VLOOKUP(A23,[1]pricing!A:M,5,FALSE)</f>
        <v>12.43</v>
      </c>
      <c r="I23" s="10">
        <f>VLOOKUP(A23,[1]pricing!A:M,6,FALSE)</f>
        <v>15</v>
      </c>
    </row>
    <row r="24" spans="1:9" s="17" customFormat="1" ht="15" customHeight="1">
      <c r="A24" s="6">
        <v>2000026168</v>
      </c>
      <c r="B24" s="7" t="s">
        <v>25</v>
      </c>
      <c r="C24" s="7" t="str">
        <f>VLOOKUP(A24,[1]Translation!A:F,4,FALSE)</f>
        <v>Sonnenverdeck</v>
      </c>
      <c r="D24" s="7" t="s">
        <v>15</v>
      </c>
      <c r="E24" s="8" t="s">
        <v>10</v>
      </c>
      <c r="F24" s="8">
        <f>VLOOKUP(A24,'[1]PL ENG'!B:G,6, FALSE)</f>
        <v>4000984154160</v>
      </c>
      <c r="G24" s="8">
        <v>1</v>
      </c>
      <c r="H24" s="9">
        <f>VLOOKUP(A24,[1]pricing!A:M,5,FALSE)</f>
        <v>12.43</v>
      </c>
      <c r="I24" s="10">
        <f>VLOOKUP(A24,[1]pricing!A:M,6,FALSE)</f>
        <v>15</v>
      </c>
    </row>
    <row r="25" spans="1:9" s="17" customFormat="1" ht="15" customHeight="1">
      <c r="A25" s="6">
        <v>2000027359</v>
      </c>
      <c r="B25" s="7" t="s">
        <v>25</v>
      </c>
      <c r="C25" s="7" t="str">
        <f>VLOOKUP(A25,[1]Translation!A:F,4,FALSE)</f>
        <v>Sonnenverdeck</v>
      </c>
      <c r="D25" s="7" t="s">
        <v>14</v>
      </c>
      <c r="E25" s="8" t="s">
        <v>10</v>
      </c>
      <c r="F25" s="8">
        <f>VLOOKUP(A25,'[1]PL ENG'!B:G,6, FALSE)</f>
        <v>4000984161748</v>
      </c>
      <c r="G25" s="8">
        <v>1</v>
      </c>
      <c r="H25" s="9">
        <f>VLOOKUP(A25,[1]pricing!A:M,5,FALSE)</f>
        <v>12.43</v>
      </c>
      <c r="I25" s="10">
        <f>VLOOKUP(A25,[1]pricing!A:M,6,FALSE)</f>
        <v>15</v>
      </c>
    </row>
    <row r="26" spans="1:9" s="17" customFormat="1" ht="15" customHeight="1">
      <c r="A26" s="6">
        <v>2000024454</v>
      </c>
      <c r="B26" s="7" t="s">
        <v>25</v>
      </c>
      <c r="C26" s="7" t="str">
        <f>VLOOKUP(A26,[1]Translation!A:F,4,FALSE)</f>
        <v>Schulterpolster Set</v>
      </c>
      <c r="D26" s="7" t="s">
        <v>24</v>
      </c>
      <c r="E26" s="8" t="s">
        <v>10</v>
      </c>
      <c r="F26" s="8">
        <f>VLOOKUP(A26,'[1]PL ENG'!B:G,6, FALSE)</f>
        <v>4000984134155</v>
      </c>
      <c r="G26" s="8">
        <v>1</v>
      </c>
      <c r="H26" s="9">
        <f>VLOOKUP(A26,[1]pricing!A:M,5,FALSE)</f>
        <v>7.7</v>
      </c>
      <c r="I26" s="10">
        <f>VLOOKUP(A26,[1]pricing!A:M,6,FALSE)</f>
        <v>10</v>
      </c>
    </row>
    <row r="27" spans="1:9" s="17" customFormat="1" ht="15" customHeight="1">
      <c r="A27" s="6" t="s">
        <v>26</v>
      </c>
      <c r="B27" s="7" t="s">
        <v>25</v>
      </c>
      <c r="C27" s="7" t="str">
        <f>VLOOKUP(A27,[1]Translation!A:F,4,FALSE)</f>
        <v>Isofix Einführhilfe Primo Base</v>
      </c>
      <c r="D27" s="7"/>
      <c r="E27" s="8" t="s">
        <v>10</v>
      </c>
      <c r="F27" s="8"/>
      <c r="G27" s="8">
        <v>1</v>
      </c>
      <c r="H27" s="9">
        <f>VLOOKUP(A27,[1]pricing!A:M,5,FALSE)</f>
        <v>7.09</v>
      </c>
      <c r="I27" s="10">
        <f>VLOOKUP(A27,[1]pricing!A:M,6,FALSE)</f>
        <v>10</v>
      </c>
    </row>
    <row r="28" spans="1:9" ht="15" customHeight="1">
      <c r="A28" s="16">
        <v>2000003461</v>
      </c>
      <c r="B28" s="18" t="s">
        <v>27</v>
      </c>
      <c r="C28" s="7" t="str">
        <f>VLOOKUP(A28,[1]Translation!A:F,4,FALSE)</f>
        <v>Befestigungsklammern</v>
      </c>
      <c r="D28" s="18"/>
      <c r="E28" s="8" t="s">
        <v>10</v>
      </c>
      <c r="F28" s="8">
        <f>VLOOKUP(A28,'[1]PL ENG'!B:G,6, FALSE)</f>
        <v>4000984082340</v>
      </c>
      <c r="G28" s="14">
        <v>1</v>
      </c>
      <c r="H28" s="9">
        <f>VLOOKUP(A28,[1]pricing!A:M,5,FALSE)</f>
        <v>10.98</v>
      </c>
      <c r="I28" s="10">
        <f>VLOOKUP(A28,[1]pricing!A:M,6,FALSE)</f>
        <v>15</v>
      </c>
    </row>
    <row r="29" spans="1:9" ht="15" customHeight="1">
      <c r="A29" s="16">
        <v>2000008597</v>
      </c>
      <c r="B29" s="18" t="s">
        <v>27</v>
      </c>
      <c r="C29" s="7" t="str">
        <f>VLOOKUP(A29,[1]Translation!A:F,4,FALSE)</f>
        <v>Windschutz</v>
      </c>
      <c r="D29" s="18" t="s">
        <v>28</v>
      </c>
      <c r="E29" s="8" t="s">
        <v>10</v>
      </c>
      <c r="F29" s="8">
        <f>VLOOKUP(A29,'[1]PL ENG'!B:G,6, FALSE)</f>
        <v>4000984105452</v>
      </c>
      <c r="G29" s="14">
        <v>1</v>
      </c>
      <c r="H29" s="9">
        <f>VLOOKUP(A29,[1]pricing!A:M,5,FALSE)</f>
        <v>26.85</v>
      </c>
      <c r="I29" s="10">
        <f>VLOOKUP(A29,[1]pricing!A:M,6,FALSE)</f>
        <v>32</v>
      </c>
    </row>
    <row r="30" spans="1:9" ht="15" customHeight="1">
      <c r="A30" s="16">
        <v>2000008598</v>
      </c>
      <c r="B30" s="18" t="s">
        <v>27</v>
      </c>
      <c r="C30" s="7" t="str">
        <f>VLOOKUP(A30,[1]Translation!A:F,4,FALSE)</f>
        <v>Windschutz</v>
      </c>
      <c r="D30" s="18" t="s">
        <v>29</v>
      </c>
      <c r="E30" s="8" t="s">
        <v>10</v>
      </c>
      <c r="F30" s="8">
        <f>VLOOKUP(A30,'[1]PL ENG'!B:G,6, FALSE)</f>
        <v>4000984105469</v>
      </c>
      <c r="G30" s="14">
        <v>1</v>
      </c>
      <c r="H30" s="9">
        <f>VLOOKUP(A30,[1]pricing!A:M,5,FALSE)</f>
        <v>26.85</v>
      </c>
      <c r="I30" s="10">
        <f>VLOOKUP(A30,[1]pricing!A:M,6,FALSE)</f>
        <v>32</v>
      </c>
    </row>
    <row r="31" spans="1:9" ht="15" customHeight="1">
      <c r="A31" s="16">
        <v>2000003866</v>
      </c>
      <c r="B31" s="18" t="s">
        <v>27</v>
      </c>
      <c r="C31" s="7" t="str">
        <f>VLOOKUP(A31,[1]Translation!A:F,4,FALSE)</f>
        <v>Verdeck Römer (alte Kollektion)</v>
      </c>
      <c r="D31" s="18"/>
      <c r="E31" s="8" t="s">
        <v>10</v>
      </c>
      <c r="F31" s="8">
        <f>VLOOKUP(A31,'[1]PL ENG'!B:G,6, FALSE)</f>
        <v>4000984085112</v>
      </c>
      <c r="G31" s="14">
        <v>1</v>
      </c>
      <c r="H31" s="9">
        <f>VLOOKUP(A31,[1]pricing!A:M,5,FALSE)</f>
        <v>30.68</v>
      </c>
      <c r="I31" s="10">
        <f>VLOOKUP(A31,[1]pricing!A:M,6,FALSE)</f>
        <v>40</v>
      </c>
    </row>
    <row r="32" spans="1:9" ht="15" customHeight="1">
      <c r="A32" s="19">
        <v>2000003867</v>
      </c>
      <c r="B32" s="18" t="s">
        <v>27</v>
      </c>
      <c r="C32" s="7" t="str">
        <f>VLOOKUP(A32,[1]Translation!A:F,4,FALSE)</f>
        <v>Sonnenverdeck Britax (ältere Kollektionen)</v>
      </c>
      <c r="D32" s="18"/>
      <c r="E32" s="8" t="s">
        <v>10</v>
      </c>
      <c r="F32" s="8">
        <f>VLOOKUP(A32,'[1]PL ENG'!B:G,6, FALSE)</f>
        <v>4000984085105</v>
      </c>
      <c r="G32" s="14">
        <v>1</v>
      </c>
      <c r="H32" s="9">
        <f>VLOOKUP(A32,[1]pricing!A:M,5,FALSE)</f>
        <v>30.68</v>
      </c>
      <c r="I32" s="10">
        <f>VLOOKUP(A32,[1]pricing!A:M,6,FALSE)</f>
        <v>40</v>
      </c>
    </row>
    <row r="33" spans="1:9" s="17" customFormat="1" ht="15" customHeight="1">
      <c r="A33" s="6">
        <v>2000005977</v>
      </c>
      <c r="B33" s="7" t="s">
        <v>30</v>
      </c>
      <c r="C33" s="7" t="str">
        <f>VLOOKUP(A33,[1]Translation!A:F,4,FALSE)</f>
        <v>Gummiset für Verdeck</v>
      </c>
      <c r="D33" s="7"/>
      <c r="E33" s="8" t="s">
        <v>10</v>
      </c>
      <c r="F33" s="8">
        <f>VLOOKUP(A33,'[1]PL ENG'!B:G,6, FALSE)</f>
        <v>4000984090253</v>
      </c>
      <c r="G33" s="8">
        <v>1</v>
      </c>
      <c r="H33" s="9">
        <f>VLOOKUP(A33,[1]pricing!A:M,5,FALSE)</f>
        <v>6.64</v>
      </c>
      <c r="I33" s="10">
        <f>VLOOKUP(A33,[1]pricing!A:M,6,FALSE)</f>
        <v>10</v>
      </c>
    </row>
    <row r="34" spans="1:9" s="17" customFormat="1" ht="15" customHeight="1">
      <c r="A34" s="6">
        <v>2000003469</v>
      </c>
      <c r="B34" s="7" t="s">
        <v>30</v>
      </c>
      <c r="C34" s="7" t="str">
        <f>VLOOKUP(A34,[1]Translation!A:F,4,FALSE)</f>
        <v>Zweischlitzplatte Set</v>
      </c>
      <c r="D34" s="7"/>
      <c r="E34" s="8" t="s">
        <v>10</v>
      </c>
      <c r="F34" s="8">
        <f>VLOOKUP(A34,'[1]PL ENG'!B:G,6, FALSE)</f>
        <v>4000984082425</v>
      </c>
      <c r="G34" s="8">
        <v>1</v>
      </c>
      <c r="H34" s="9">
        <f>VLOOKUP(A34,[1]pricing!A:M,5,FALSE)</f>
        <v>7.05</v>
      </c>
      <c r="I34" s="10">
        <f>VLOOKUP(A34,[1]pricing!A:M,6,FALSE)</f>
        <v>10</v>
      </c>
    </row>
    <row r="35" spans="1:9" s="17" customFormat="1" ht="15" customHeight="1">
      <c r="A35" s="6">
        <v>2000003472</v>
      </c>
      <c r="B35" s="7" t="s">
        <v>30</v>
      </c>
      <c r="C35" s="7" t="str">
        <f>VLOOKUP(A35,[1]Translation!A:F,4,FALSE)</f>
        <v>Dämpfungseinleger Kopfstütze</v>
      </c>
      <c r="D35" s="7"/>
      <c r="E35" s="8" t="s">
        <v>10</v>
      </c>
      <c r="F35" s="8">
        <f>VLOOKUP(A35,'[1]PL ENG'!B:G,6, FALSE)</f>
        <v>4000984082456</v>
      </c>
      <c r="G35" s="8">
        <v>1</v>
      </c>
      <c r="H35" s="9">
        <f>VLOOKUP(A35,[1]pricing!A:M,5,FALSE)</f>
        <v>13.73</v>
      </c>
      <c r="I35" s="10">
        <f>VLOOKUP(A35,[1]pricing!A:M,6,FALSE)</f>
        <v>20</v>
      </c>
    </row>
    <row r="36" spans="1:9" s="17" customFormat="1" ht="15" customHeight="1">
      <c r="A36" s="6">
        <v>2000024336</v>
      </c>
      <c r="B36" s="7" t="s">
        <v>30</v>
      </c>
      <c r="C36" s="7" t="str">
        <f>VLOOKUP(A36,[1]Translation!A:F,4,FALSE)</f>
        <v>Sonnenverdeck Britax Römer (ältere Kollektionen)</v>
      </c>
      <c r="D36" s="7" t="s">
        <v>24</v>
      </c>
      <c r="E36" s="8" t="s">
        <v>10</v>
      </c>
      <c r="F36" s="8">
        <f>VLOOKUP(A36,'[1]PL ENG'!B:G,6, FALSE)</f>
        <v>4000984145199</v>
      </c>
      <c r="G36" s="8">
        <v>1</v>
      </c>
      <c r="H36" s="9">
        <f>VLOOKUP(A36,[1]pricing!A:M,5,FALSE)</f>
        <v>12.43</v>
      </c>
      <c r="I36" s="10">
        <f>VLOOKUP(A36,[1]pricing!A:M,6,FALSE)</f>
        <v>15</v>
      </c>
    </row>
    <row r="37" spans="1:9" s="17" customFormat="1" ht="15" customHeight="1">
      <c r="A37" s="6">
        <v>2000026853</v>
      </c>
      <c r="B37" s="7" t="s">
        <v>30</v>
      </c>
      <c r="C37" s="7" t="str">
        <f>VLOOKUP(A37,[1]Translation!A:F,4,FALSE)</f>
        <v xml:space="preserve">Sonnenverdeck </v>
      </c>
      <c r="D37" s="7" t="s">
        <v>12</v>
      </c>
      <c r="E37" s="8" t="s">
        <v>10</v>
      </c>
      <c r="F37" s="8">
        <f>VLOOKUP(A37,'[1]PL ENG'!B:G,6, FALSE)</f>
        <v>4000984158830</v>
      </c>
      <c r="G37" s="8">
        <v>1</v>
      </c>
      <c r="H37" s="9">
        <f>VLOOKUP(A37,[1]pricing!A:M,5,FALSE)</f>
        <v>12.43</v>
      </c>
      <c r="I37" s="10">
        <f>VLOOKUP(A37,[1]pricing!A:M,6,FALSE)</f>
        <v>15</v>
      </c>
    </row>
    <row r="38" spans="1:9" s="17" customFormat="1" ht="15" customHeight="1">
      <c r="A38" s="12">
        <v>2000029638</v>
      </c>
      <c r="B38" s="7" t="s">
        <v>30</v>
      </c>
      <c r="C38" s="7" t="str">
        <f>VLOOKUP(A38,[1]Translation!A:F,4,FALSE)</f>
        <v xml:space="preserve">Sonnenverdeck </v>
      </c>
      <c r="D38" s="7" t="s">
        <v>18</v>
      </c>
      <c r="E38" s="8" t="s">
        <v>10</v>
      </c>
      <c r="F38" s="8">
        <f>VLOOKUP(A38,'[1]PL ENG'!B:G,6, FALSE)</f>
        <v>4000984192353</v>
      </c>
      <c r="G38" s="8"/>
      <c r="H38" s="9">
        <f>VLOOKUP(A38,[1]pricing!A:M,5,FALSE)</f>
        <v>12.43</v>
      </c>
      <c r="I38" s="10">
        <f>VLOOKUP(A38,[1]pricing!A:M,6,FALSE)</f>
        <v>15</v>
      </c>
    </row>
    <row r="39" spans="1:9" s="17" customFormat="1" ht="15" customHeight="1">
      <c r="A39" s="12">
        <v>2000029639</v>
      </c>
      <c r="B39" s="7" t="s">
        <v>30</v>
      </c>
      <c r="C39" s="7" t="str">
        <f>VLOOKUP(A39,[1]Translation!A:F,4,FALSE)</f>
        <v xml:space="preserve">Sonnenverdeck </v>
      </c>
      <c r="D39" s="7" t="s">
        <v>19</v>
      </c>
      <c r="E39" s="8" t="s">
        <v>10</v>
      </c>
      <c r="F39" s="8">
        <f>VLOOKUP(A39,'[1]PL ENG'!B:G,6, FALSE)</f>
        <v>4000984192360</v>
      </c>
      <c r="G39" s="8">
        <v>1</v>
      </c>
      <c r="H39" s="9">
        <f>VLOOKUP(A39,[1]pricing!A:M,5,FALSE)</f>
        <v>12.43</v>
      </c>
      <c r="I39" s="10">
        <f>VLOOKUP(A39,[1]pricing!A:M,6,FALSE)</f>
        <v>15</v>
      </c>
    </row>
    <row r="40" spans="1:9" s="17" customFormat="1" ht="15" customHeight="1">
      <c r="A40" s="6">
        <v>2000003889</v>
      </c>
      <c r="B40" s="7" t="s">
        <v>30</v>
      </c>
      <c r="C40" s="7" t="str">
        <f>VLOOKUP(A40,[1]Translation!A:F,4,FALSE)</f>
        <v>Sitzeinlage Set</v>
      </c>
      <c r="D40" s="7"/>
      <c r="E40" s="8" t="s">
        <v>10</v>
      </c>
      <c r="F40" s="8">
        <f>VLOOKUP(A40,'[1]PL ENG'!B:G,6, FALSE)</f>
        <v>4000984085198</v>
      </c>
      <c r="G40" s="8">
        <v>1</v>
      </c>
      <c r="H40" s="9">
        <f>VLOOKUP(A40,[1]pricing!A:M,5,FALSE)</f>
        <v>13.63</v>
      </c>
      <c r="I40" s="10">
        <f>VLOOKUP(A40,[1]pricing!A:M,6,FALSE)</f>
        <v>20</v>
      </c>
    </row>
    <row r="41" spans="1:9" s="17" customFormat="1" ht="15.75" customHeight="1">
      <c r="A41" s="6">
        <v>2000006066</v>
      </c>
      <c r="B41" s="7" t="s">
        <v>30</v>
      </c>
      <c r="C41" s="7" t="str">
        <f>VLOOKUP(A41,[1]Translation!A:F,4,FALSE)</f>
        <v>Adapter</v>
      </c>
      <c r="D41" s="7"/>
      <c r="E41" s="8" t="s">
        <v>10</v>
      </c>
      <c r="F41" s="8">
        <f>VLOOKUP(A41,'[1]PL ENG'!B:G,6, FALSE)</f>
        <v>4000984090512</v>
      </c>
      <c r="G41" s="8">
        <v>1</v>
      </c>
      <c r="H41" s="9">
        <f>VLOOKUP(A41,[1]pricing!A:M,5,FALSE)</f>
        <v>13.49</v>
      </c>
      <c r="I41" s="10">
        <f>VLOOKUP(A41,[1]pricing!A:M,6,FALSE)</f>
        <v>20</v>
      </c>
    </row>
    <row r="42" spans="1:9" s="17" customFormat="1" ht="15" customHeight="1">
      <c r="A42" s="6">
        <v>2000003463</v>
      </c>
      <c r="B42" s="7" t="s">
        <v>31</v>
      </c>
      <c r="C42" s="7" t="str">
        <f>VLOOKUP(A42,[1]Translation!A:F,4,FALSE)</f>
        <v>Dämpfungseinleger Set</v>
      </c>
      <c r="D42" s="7"/>
      <c r="E42" s="8" t="s">
        <v>10</v>
      </c>
      <c r="F42" s="8">
        <f>VLOOKUP(A42,'[1]PL ENG'!B:G,6, FALSE)</f>
        <v>4000984082364</v>
      </c>
      <c r="G42" s="8">
        <v>1</v>
      </c>
      <c r="H42" s="9">
        <f>VLOOKUP(A42,[1]pricing!A:M,5,FALSE)</f>
        <v>13.73</v>
      </c>
      <c r="I42" s="10">
        <f>VLOOKUP(A42,[1]pricing!A:M,6,FALSE)</f>
        <v>20</v>
      </c>
    </row>
    <row r="43" spans="1:9" s="17" customFormat="1" ht="15" customHeight="1">
      <c r="A43" s="6">
        <v>2000003476</v>
      </c>
      <c r="B43" s="7" t="s">
        <v>31</v>
      </c>
      <c r="C43" s="7" t="str">
        <f>VLOOKUP(A43,[1]Translation!A:F,4,FALSE)</f>
        <v>Polsterkissen Liegeposition</v>
      </c>
      <c r="D43" s="7"/>
      <c r="E43" s="8" t="s">
        <v>10</v>
      </c>
      <c r="F43" s="8">
        <f>VLOOKUP(A43,'[1]PL ENG'!B:G,6, FALSE)</f>
        <v>4000984082494</v>
      </c>
      <c r="G43" s="8">
        <v>1</v>
      </c>
      <c r="H43" s="9">
        <f>VLOOKUP(A43,[1]pricing!A:M,5,FALSE)</f>
        <v>9.6999999999999993</v>
      </c>
      <c r="I43" s="10">
        <f>VLOOKUP(A43,[1]pricing!A:M,6,FALSE)</f>
        <v>15</v>
      </c>
    </row>
    <row r="44" spans="1:9" s="17" customFormat="1" ht="15" customHeight="1">
      <c r="A44" s="6">
        <v>2000005977</v>
      </c>
      <c r="B44" s="7" t="s">
        <v>31</v>
      </c>
      <c r="C44" s="7" t="str">
        <f>VLOOKUP(A44,[1]Translation!A:F,4,FALSE)</f>
        <v>Gummiset für Verdeck</v>
      </c>
      <c r="D44" s="7"/>
      <c r="E44" s="8" t="s">
        <v>10</v>
      </c>
      <c r="F44" s="8">
        <f>VLOOKUP(A44,'[1]PL ENG'!B:G,6, FALSE)</f>
        <v>4000984090253</v>
      </c>
      <c r="G44" s="8">
        <v>1</v>
      </c>
      <c r="H44" s="9">
        <f>VLOOKUP(A44,[1]pricing!A:M,5,FALSE)</f>
        <v>6.64</v>
      </c>
      <c r="I44" s="10">
        <f>VLOOKUP(A44,[1]pricing!A:M,6,FALSE)</f>
        <v>10</v>
      </c>
    </row>
    <row r="45" spans="1:9" s="17" customFormat="1" ht="15" customHeight="1">
      <c r="A45" s="6">
        <v>2000024336</v>
      </c>
      <c r="B45" s="7" t="s">
        <v>31</v>
      </c>
      <c r="C45" s="7" t="str">
        <f>VLOOKUP(A45,[1]Translation!A:F,4,FALSE)</f>
        <v>Sonnenverdeck Britax Römer (ältere Kollektionen)</v>
      </c>
      <c r="D45" s="7" t="s">
        <v>24</v>
      </c>
      <c r="E45" s="8" t="s">
        <v>10</v>
      </c>
      <c r="F45" s="8">
        <f>VLOOKUP(A45,'[1]PL ENG'!B:G,6, FALSE)</f>
        <v>4000984145199</v>
      </c>
      <c r="G45" s="8">
        <v>1</v>
      </c>
      <c r="H45" s="9">
        <f>VLOOKUP(A45,[1]pricing!A:M,5,FALSE)</f>
        <v>12.43</v>
      </c>
      <c r="I45" s="10">
        <f>VLOOKUP(A45,[1]pricing!A:M,6,FALSE)</f>
        <v>15</v>
      </c>
    </row>
    <row r="46" spans="1:9" s="17" customFormat="1" ht="15" customHeight="1">
      <c r="A46" s="6">
        <v>2000003471</v>
      </c>
      <c r="B46" s="7" t="s">
        <v>31</v>
      </c>
      <c r="C46" s="7" t="str">
        <f>VLOOKUP(A46,[1]Translation!A:F,4,FALSE)</f>
        <v>Dämpfungseinleger Kopfstütze</v>
      </c>
      <c r="D46" s="7"/>
      <c r="E46" s="8" t="s">
        <v>10</v>
      </c>
      <c r="F46" s="8">
        <f>VLOOKUP(A46,'[1]PL ENG'!B:G,6, FALSE)</f>
        <v>4000984082449</v>
      </c>
      <c r="G46" s="8">
        <v>1</v>
      </c>
      <c r="H46" s="9">
        <f>VLOOKUP(A46,[1]pricing!A:M,5,FALSE)</f>
        <v>13.73</v>
      </c>
      <c r="I46" s="10">
        <f>VLOOKUP(A46,[1]pricing!A:M,6,FALSE)</f>
        <v>20</v>
      </c>
    </row>
    <row r="47" spans="1:9" s="17" customFormat="1" ht="15" customHeight="1">
      <c r="A47" s="6">
        <v>2000003469</v>
      </c>
      <c r="B47" s="7" t="s">
        <v>31</v>
      </c>
      <c r="C47" s="7" t="str">
        <f>VLOOKUP(A47,[1]Translation!A:F,4,FALSE)</f>
        <v>Zweischlitzplatte Set</v>
      </c>
      <c r="D47" s="7"/>
      <c r="E47" s="8" t="s">
        <v>10</v>
      </c>
      <c r="F47" s="8">
        <f>VLOOKUP(A47,'[1]PL ENG'!B:G,6, FALSE)</f>
        <v>4000984082425</v>
      </c>
      <c r="G47" s="8">
        <v>1</v>
      </c>
      <c r="H47" s="9">
        <f>VLOOKUP(A47,[1]pricing!A:M,5,FALSE)</f>
        <v>7.05</v>
      </c>
      <c r="I47" s="10">
        <f>VLOOKUP(A47,[1]pricing!A:M,6,FALSE)</f>
        <v>10</v>
      </c>
    </row>
    <row r="48" spans="1:9" s="17" customFormat="1" ht="15" customHeight="1">
      <c r="A48" s="6">
        <v>2000006066</v>
      </c>
      <c r="B48" s="7" t="s">
        <v>31</v>
      </c>
      <c r="C48" s="7" t="str">
        <f>VLOOKUP(A48,[1]Translation!A:F,4,FALSE)</f>
        <v>Adapter</v>
      </c>
      <c r="D48" s="7"/>
      <c r="E48" s="8" t="s">
        <v>10</v>
      </c>
      <c r="F48" s="8">
        <f>VLOOKUP(A48,'[1]PL ENG'!B:G,6, FALSE)</f>
        <v>4000984090512</v>
      </c>
      <c r="G48" s="8">
        <v>1</v>
      </c>
      <c r="H48" s="9">
        <f>VLOOKUP(A48,[1]pricing!A:M,5,FALSE)</f>
        <v>13.49</v>
      </c>
      <c r="I48" s="10">
        <f>VLOOKUP(A48,[1]pricing!A:M,6,FALSE)</f>
        <v>20</v>
      </c>
    </row>
    <row r="49" spans="1:9" ht="15" customHeight="1">
      <c r="A49" s="6">
        <v>2000006066</v>
      </c>
      <c r="B49" s="7" t="s">
        <v>32</v>
      </c>
      <c r="C49" s="7" t="str">
        <f>VLOOKUP(A49,[1]Translation!A:F,4,FALSE)</f>
        <v>Adapter</v>
      </c>
      <c r="D49" s="7"/>
      <c r="E49" s="8" t="s">
        <v>10</v>
      </c>
      <c r="F49" s="8">
        <f>VLOOKUP(A49,'[1]PL ENG'!B:G,6, FALSE)</f>
        <v>4000984090512</v>
      </c>
      <c r="G49" s="8">
        <v>1</v>
      </c>
      <c r="H49" s="9">
        <f>VLOOKUP(A49,[1]pricing!A:M,5,FALSE)</f>
        <v>13.49</v>
      </c>
      <c r="I49" s="10">
        <f>VLOOKUP(A49,[1]pricing!A:M,6,FALSE)</f>
        <v>20</v>
      </c>
    </row>
    <row r="50" spans="1:9" s="23" customFormat="1" ht="30" customHeight="1">
      <c r="A50" s="20">
        <v>2000024330</v>
      </c>
      <c r="B50" s="7" t="s">
        <v>32</v>
      </c>
      <c r="C50" s="7" t="str">
        <f>VLOOKUP(A50,[1]Translation!A:F,4,FALSE)</f>
        <v>Sonnenverdeck</v>
      </c>
      <c r="D50" s="21" t="s">
        <v>33</v>
      </c>
      <c r="E50" s="8" t="s">
        <v>10</v>
      </c>
      <c r="F50" s="8">
        <f>VLOOKUP(A50,'[1]PL ENG'!B:G,6, FALSE)</f>
        <v>4000984145298</v>
      </c>
      <c r="G50" s="22">
        <v>1</v>
      </c>
      <c r="H50" s="9">
        <f>VLOOKUP(A50,[1]pricing!A:M,5,FALSE)</f>
        <v>12.43</v>
      </c>
      <c r="I50" s="10">
        <f>VLOOKUP(A50,[1]pricing!A:M,6,FALSE)</f>
        <v>15</v>
      </c>
    </row>
    <row r="51" spans="1:9" ht="15" customHeight="1">
      <c r="A51" s="6">
        <v>2000024331</v>
      </c>
      <c r="B51" s="7" t="s">
        <v>32</v>
      </c>
      <c r="C51" s="7" t="str">
        <f>VLOOKUP(A51,[1]Translation!A:F,4,FALSE)</f>
        <v>Sonnenverdeck</v>
      </c>
      <c r="D51" s="7" t="s">
        <v>12</v>
      </c>
      <c r="E51" s="8" t="s">
        <v>10</v>
      </c>
      <c r="F51" s="8">
        <f>VLOOKUP(A51,'[1]PL ENG'!B:G,6, FALSE)</f>
        <v>4000984145304</v>
      </c>
      <c r="G51" s="8">
        <v>1</v>
      </c>
      <c r="H51" s="9">
        <f>VLOOKUP(A51,[1]pricing!A:M,5,FALSE)</f>
        <v>12.43</v>
      </c>
      <c r="I51" s="10">
        <f>VLOOKUP(A51,[1]pricing!A:M,6,FALSE)</f>
        <v>15</v>
      </c>
    </row>
    <row r="52" spans="1:9" ht="15" customHeight="1">
      <c r="A52" s="6">
        <v>2000026166</v>
      </c>
      <c r="B52" s="7" t="s">
        <v>32</v>
      </c>
      <c r="C52" s="7" t="str">
        <f>VLOOKUP(A52,[1]Translation!A:F,4,FALSE)</f>
        <v>Sonnenverdeck</v>
      </c>
      <c r="D52" s="7" t="s">
        <v>15</v>
      </c>
      <c r="E52" s="8" t="s">
        <v>10</v>
      </c>
      <c r="F52" s="8">
        <f>VLOOKUP(A52,'[1]PL ENG'!B:G,6, FALSE)</f>
        <v>4000984154146</v>
      </c>
      <c r="G52" s="8">
        <v>1</v>
      </c>
      <c r="H52" s="9">
        <f>VLOOKUP(A52,[1]pricing!A:M,5,FALSE)</f>
        <v>12.43</v>
      </c>
      <c r="I52" s="10">
        <f>VLOOKUP(A52,[1]pricing!A:M,6,FALSE)</f>
        <v>15</v>
      </c>
    </row>
    <row r="53" spans="1:9" ht="15" customHeight="1">
      <c r="A53" s="15">
        <v>2000029640</v>
      </c>
      <c r="B53" s="7" t="s">
        <v>32</v>
      </c>
      <c r="C53" s="7" t="str">
        <f>VLOOKUP(A53,[1]Translation!A:F,4,FALSE)</f>
        <v>Sonnenverdeck</v>
      </c>
      <c r="D53" s="7" t="s">
        <v>18</v>
      </c>
      <c r="E53" s="8" t="s">
        <v>10</v>
      </c>
      <c r="F53" s="8">
        <f>VLOOKUP(A53,'[1]PL ENG'!B:G,6, FALSE)</f>
        <v>4000984192377</v>
      </c>
      <c r="G53" s="8">
        <v>1</v>
      </c>
      <c r="H53" s="9">
        <f>VLOOKUP(A53,[1]pricing!A:M,5,FALSE)</f>
        <v>12.43</v>
      </c>
      <c r="I53" s="10">
        <f>VLOOKUP(A53,[1]pricing!A:M,6,FALSE)</f>
        <v>15</v>
      </c>
    </row>
    <row r="54" spans="1:9" ht="15" customHeight="1">
      <c r="A54" s="15">
        <v>2000029641</v>
      </c>
      <c r="B54" s="7" t="s">
        <v>32</v>
      </c>
      <c r="C54" s="7" t="str">
        <f>VLOOKUP(A54,[1]Translation!A:F,4,FALSE)</f>
        <v>Sonnenverdeck</v>
      </c>
      <c r="D54" s="7" t="s">
        <v>19</v>
      </c>
      <c r="E54" s="8" t="s">
        <v>10</v>
      </c>
      <c r="F54" s="8">
        <f>VLOOKUP(A54,'[1]PL ENG'!B:G,6, FALSE)</f>
        <v>4000984192384</v>
      </c>
      <c r="G54" s="8">
        <v>1</v>
      </c>
      <c r="H54" s="9">
        <f>VLOOKUP(A54,[1]pricing!A:M,5,FALSE)</f>
        <v>12.43</v>
      </c>
      <c r="I54" s="10">
        <f>VLOOKUP(A54,[1]pricing!A:M,6,FALSE)</f>
        <v>15</v>
      </c>
    </row>
    <row r="55" spans="1:9" ht="15" customHeight="1">
      <c r="A55" s="6">
        <v>2000024465</v>
      </c>
      <c r="B55" s="7" t="s">
        <v>32</v>
      </c>
      <c r="C55" s="7" t="str">
        <f>VLOOKUP(A55,[1]Translation!A:F,4,FALSE)</f>
        <v>Schulterpolster Set</v>
      </c>
      <c r="D55" s="7" t="s">
        <v>24</v>
      </c>
      <c r="E55" s="8" t="s">
        <v>10</v>
      </c>
      <c r="F55" s="8">
        <f>VLOOKUP(A55,'[1]PL ENG'!B:G,6, FALSE)</f>
        <v>4000984134476</v>
      </c>
      <c r="G55" s="8">
        <v>1</v>
      </c>
      <c r="H55" s="9">
        <f>VLOOKUP(A55,[1]pricing!A:M,5,FALSE)</f>
        <v>6.37</v>
      </c>
      <c r="I55" s="10">
        <f>VLOOKUP(A55,[1]pricing!A:M,6,FALSE)</f>
        <v>10</v>
      </c>
    </row>
    <row r="56" spans="1:9" ht="15" customHeight="1">
      <c r="A56" s="6">
        <v>2000003464</v>
      </c>
      <c r="B56" s="7" t="s">
        <v>32</v>
      </c>
      <c r="C56" s="7" t="str">
        <f>VLOOKUP(A56,[1]Translation!A:F,4,FALSE)</f>
        <v>Dämpfungseinleger Kopfstütze</v>
      </c>
      <c r="D56" s="7"/>
      <c r="E56" s="8" t="s">
        <v>10</v>
      </c>
      <c r="F56" s="8">
        <f>VLOOKUP(A56,'[1]PL ENG'!B:G,6, FALSE)</f>
        <v>4000984082371</v>
      </c>
      <c r="G56" s="8">
        <v>1</v>
      </c>
      <c r="H56" s="9">
        <f>VLOOKUP(A56,[1]pricing!A:M,5,FALSE)</f>
        <v>13.73</v>
      </c>
      <c r="I56" s="10">
        <f>VLOOKUP(A56,[1]pricing!A:M,6,FALSE)</f>
        <v>20</v>
      </c>
    </row>
    <row r="57" spans="1:9" ht="15" customHeight="1">
      <c r="A57" s="6">
        <v>2000006624</v>
      </c>
      <c r="B57" s="7" t="s">
        <v>32</v>
      </c>
      <c r="C57" s="7" t="str">
        <f>VLOOKUP(A57,[1]Translation!A:F,4,FALSE)</f>
        <v>Fach Bedienungsanleitung</v>
      </c>
      <c r="D57" s="7" t="s">
        <v>24</v>
      </c>
      <c r="E57" s="8" t="s">
        <v>10</v>
      </c>
      <c r="F57" s="8">
        <f>VLOOKUP(A57,'[1]PL ENG'!B:G,6, FALSE)</f>
        <v>4000984092523</v>
      </c>
      <c r="G57" s="8">
        <v>1</v>
      </c>
      <c r="H57" s="9">
        <f>VLOOKUP(A57,[1]pricing!A:M,5,FALSE)</f>
        <v>11.49</v>
      </c>
      <c r="I57" s="10">
        <f>VLOOKUP(A57,[1]pricing!A:M,6,FALSE)</f>
        <v>15</v>
      </c>
    </row>
    <row r="58" spans="1:9" ht="15" customHeight="1">
      <c r="A58" s="6">
        <v>2000003463</v>
      </c>
      <c r="B58" s="7" t="s">
        <v>32</v>
      </c>
      <c r="C58" s="7" t="str">
        <f>VLOOKUP(A58,[1]Translation!A:F,4,FALSE)</f>
        <v>Dämpfungseinleger Set</v>
      </c>
      <c r="D58" s="7"/>
      <c r="E58" s="8" t="s">
        <v>10</v>
      </c>
      <c r="F58" s="8">
        <f>VLOOKUP(A58,'[1]PL ENG'!B:G,6, FALSE)</f>
        <v>4000984082364</v>
      </c>
      <c r="G58" s="8">
        <v>1</v>
      </c>
      <c r="H58" s="9">
        <f>VLOOKUP(A58,[1]pricing!A:M,5,FALSE)</f>
        <v>13.73</v>
      </c>
      <c r="I58" s="10">
        <f>VLOOKUP(A58,[1]pricing!A:M,6,FALSE)</f>
        <v>20</v>
      </c>
    </row>
    <row r="59" spans="1:9" ht="15" customHeight="1">
      <c r="A59" s="6">
        <v>2000026835</v>
      </c>
      <c r="B59" s="7" t="s">
        <v>32</v>
      </c>
      <c r="C59" s="7" t="str">
        <f>VLOOKUP(A59,[1]Translation!A:F,4,FALSE)</f>
        <v>Wellfederscheibe für Sonnenverdeck</v>
      </c>
      <c r="D59" s="7"/>
      <c r="E59" s="8" t="s">
        <v>10</v>
      </c>
      <c r="F59" s="8"/>
      <c r="G59" s="8">
        <v>1</v>
      </c>
      <c r="H59" s="9">
        <f>VLOOKUP(A59,[1]pricing!A:M,5,FALSE)</f>
        <v>6</v>
      </c>
      <c r="I59" s="10">
        <f>VLOOKUP(A59,[1]pricing!A:M,6,FALSE)</f>
        <v>8</v>
      </c>
    </row>
    <row r="60" spans="1:9" s="23" customFormat="1" ht="15.75" customHeight="1">
      <c r="A60" s="16">
        <v>2000007047</v>
      </c>
      <c r="B60" s="18" t="s">
        <v>34</v>
      </c>
      <c r="C60" s="7" t="str">
        <f>VLOOKUP(A60,[1]Translation!A:F,4,FALSE)</f>
        <v>Isofix Einführhilfe breit</v>
      </c>
      <c r="D60" s="7"/>
      <c r="E60" s="8" t="s">
        <v>10</v>
      </c>
      <c r="F60" s="8">
        <f>VLOOKUP(A60,'[1]PL ENG'!B:G,6, FALSE)</f>
        <v>4000984093384</v>
      </c>
      <c r="G60" s="8">
        <v>1</v>
      </c>
      <c r="H60" s="9">
        <f>VLOOKUP(A60,[1]pricing!A:M,5,FALSE)</f>
        <v>7.09</v>
      </c>
      <c r="I60" s="10">
        <f>VLOOKUP(A60,[1]pricing!A:M,6,FALSE)</f>
        <v>10</v>
      </c>
    </row>
    <row r="61" spans="1:9" s="23" customFormat="1" ht="15.75" customHeight="1">
      <c r="A61" s="6">
        <v>2000027524</v>
      </c>
      <c r="B61" s="18" t="s">
        <v>34</v>
      </c>
      <c r="C61" s="7" t="str">
        <f>VLOOKUP(A61,[1]Translation!A:F,4,FALSE)</f>
        <v>Dämpfungseinleger Rückenteil Set</v>
      </c>
      <c r="D61" s="7"/>
      <c r="E61" s="8" t="s">
        <v>10</v>
      </c>
      <c r="F61" s="8">
        <f>VLOOKUP(A61,'[1]PL ENG'!B:G,6, FALSE)</f>
        <v>4000984166774</v>
      </c>
      <c r="G61" s="8">
        <v>1</v>
      </c>
      <c r="H61" s="9">
        <f>VLOOKUP(A61,[1]pricing!A:M,5,FALSE)</f>
        <v>12.61</v>
      </c>
      <c r="I61" s="10">
        <f>VLOOKUP(A61,[1]pricing!A:M,6,FALSE)</f>
        <v>15</v>
      </c>
    </row>
    <row r="62" spans="1:9" s="23" customFormat="1" ht="15.75" customHeight="1">
      <c r="A62" s="6">
        <v>2000027525</v>
      </c>
      <c r="B62" s="18" t="s">
        <v>34</v>
      </c>
      <c r="C62" s="7" t="str">
        <f>VLOOKUP(A62,[1]Translation!A:F,4,FALSE)</f>
        <v>Dämpfungseinleger Kopfteil</v>
      </c>
      <c r="D62" s="7"/>
      <c r="E62" s="8" t="s">
        <v>10</v>
      </c>
      <c r="F62" s="8">
        <f>VLOOKUP(A62,'[1]PL ENG'!B:G,6, FALSE)</f>
        <v>4000984166781</v>
      </c>
      <c r="G62" s="8">
        <v>1</v>
      </c>
      <c r="H62" s="9">
        <f>VLOOKUP(A62,[1]pricing!A:M,5,FALSE)</f>
        <v>8.4</v>
      </c>
      <c r="I62" s="10">
        <f>VLOOKUP(A62,[1]pricing!A:M,6,FALSE)</f>
        <v>10</v>
      </c>
    </row>
    <row r="63" spans="1:9" s="23" customFormat="1" ht="15.75" customHeight="1">
      <c r="A63" s="6">
        <v>2000027526</v>
      </c>
      <c r="B63" s="18" t="s">
        <v>34</v>
      </c>
      <c r="C63" s="7" t="str">
        <f>VLOOKUP(A63,[1]Translation!A:F,4,FALSE)</f>
        <v>Blende Gurtversteller</v>
      </c>
      <c r="D63" s="7"/>
      <c r="E63" s="8" t="s">
        <v>10</v>
      </c>
      <c r="F63" s="8">
        <f>VLOOKUP(A63,'[1]PL ENG'!B:G,6, FALSE)</f>
        <v>4000984166798</v>
      </c>
      <c r="G63" s="8">
        <v>1</v>
      </c>
      <c r="H63" s="9">
        <f>VLOOKUP(A63,[1]pricing!A:M,5,FALSE)</f>
        <v>8.4</v>
      </c>
      <c r="I63" s="10">
        <f>VLOOKUP(A63,[1]pricing!A:M,6,FALSE)</f>
        <v>10</v>
      </c>
    </row>
    <row r="64" spans="1:9" s="23" customFormat="1" ht="60">
      <c r="A64" s="16">
        <v>2000027527</v>
      </c>
      <c r="B64" s="18" t="s">
        <v>34</v>
      </c>
      <c r="C64" s="7" t="str">
        <f>VLOOKUP(A64,[1]Translation!A:F,4,FALSE)</f>
        <v>Neugeboreneneinlage</v>
      </c>
      <c r="D64" s="24" t="s">
        <v>35</v>
      </c>
      <c r="E64" s="8" t="s">
        <v>10</v>
      </c>
      <c r="F64" s="8">
        <f>VLOOKUP(A64,'[1]PL ENG'!B:G,6, FALSE)</f>
        <v>4000984166804</v>
      </c>
      <c r="G64" s="8">
        <v>1</v>
      </c>
      <c r="H64" s="9">
        <f>VLOOKUP(A64,[1]pricing!A:M,5,FALSE)</f>
        <v>54.62</v>
      </c>
      <c r="I64" s="10">
        <f>VLOOKUP(A64,[1]pricing!A:M,6,FALSE)</f>
        <v>65</v>
      </c>
    </row>
    <row r="65" spans="1:9" s="23" customFormat="1" ht="15.75" customHeight="1">
      <c r="A65" s="16">
        <v>2000027528</v>
      </c>
      <c r="B65" s="18" t="s">
        <v>34</v>
      </c>
      <c r="C65" s="7" t="str">
        <f>VLOOKUP(A65,[1]Translation!A:F,4,FALSE)</f>
        <v>Neugeboreneneinlage</v>
      </c>
      <c r="D65" s="25" t="s">
        <v>12</v>
      </c>
      <c r="E65" s="8" t="s">
        <v>10</v>
      </c>
      <c r="F65" s="8">
        <f>VLOOKUP(A65,'[1]PL ENG'!B:G,6, FALSE)</f>
        <v>4000984166811</v>
      </c>
      <c r="G65" s="8">
        <v>1</v>
      </c>
      <c r="H65" s="9">
        <f>VLOOKUP(A65,[1]pricing!A:M,5,FALSE)</f>
        <v>54.62</v>
      </c>
      <c r="I65" s="10">
        <f>VLOOKUP(A65,[1]pricing!A:M,6,FALSE)</f>
        <v>65</v>
      </c>
    </row>
    <row r="66" spans="1:9" s="23" customFormat="1" ht="15.75" customHeight="1">
      <c r="A66" s="16">
        <v>2000027531</v>
      </c>
      <c r="B66" s="18" t="s">
        <v>34</v>
      </c>
      <c r="C66" s="7" t="str">
        <f>VLOOKUP(A66,[1]Translation!A:F,4,FALSE)</f>
        <v>Neugeboreneneinlage</v>
      </c>
      <c r="D66" s="25" t="s">
        <v>14</v>
      </c>
      <c r="E66" s="8" t="s">
        <v>10</v>
      </c>
      <c r="F66" s="8">
        <f>VLOOKUP(A66,'[1]PL ENG'!B:G,6, FALSE)</f>
        <v>4000984166842</v>
      </c>
      <c r="G66" s="8">
        <v>1</v>
      </c>
      <c r="H66" s="9">
        <f>VLOOKUP(A66,[1]pricing!A:M,5,FALSE)</f>
        <v>54.62</v>
      </c>
      <c r="I66" s="10">
        <f>VLOOKUP(A66,[1]pricing!A:M,6,FALSE)</f>
        <v>65</v>
      </c>
    </row>
    <row r="67" spans="1:9" s="23" customFormat="1" ht="15.75" customHeight="1">
      <c r="A67" s="16">
        <v>2000027532</v>
      </c>
      <c r="B67" s="18" t="s">
        <v>34</v>
      </c>
      <c r="C67" s="7" t="str">
        <f>VLOOKUP(A67,[1]Translation!A:F,4,FALSE)</f>
        <v>Neugeboreneneinlage</v>
      </c>
      <c r="D67" s="25" t="s">
        <v>15</v>
      </c>
      <c r="E67" s="8" t="s">
        <v>10</v>
      </c>
      <c r="F67" s="8">
        <f>VLOOKUP(A67,'[1]PL ENG'!B:G,6, FALSE)</f>
        <v>4000984166859</v>
      </c>
      <c r="G67" s="8">
        <v>1</v>
      </c>
      <c r="H67" s="9">
        <f>VLOOKUP(A67,[1]pricing!A:M,5,FALSE)</f>
        <v>54.62</v>
      </c>
      <c r="I67" s="10">
        <f>VLOOKUP(A67,[1]pricing!A:M,6,FALSE)</f>
        <v>65</v>
      </c>
    </row>
    <row r="68" spans="1:9" s="23" customFormat="1" ht="15.75" customHeight="1">
      <c r="A68" s="16">
        <v>2000027529</v>
      </c>
      <c r="B68" s="18" t="s">
        <v>34</v>
      </c>
      <c r="C68" s="7" t="str">
        <f>VLOOKUP(A68,[1]Translation!A:F,4,FALSE)</f>
        <v>Neugeboreneneinlage</v>
      </c>
      <c r="D68" s="25" t="s">
        <v>18</v>
      </c>
      <c r="E68" s="8" t="s">
        <v>10</v>
      </c>
      <c r="F68" s="8">
        <f>VLOOKUP(A68,'[1]PL ENG'!B:G,6, FALSE)</f>
        <v>4000984166828</v>
      </c>
      <c r="G68" s="8">
        <v>1</v>
      </c>
      <c r="H68" s="9">
        <f>VLOOKUP(A68,[1]pricing!A:M,5,FALSE)</f>
        <v>54.62</v>
      </c>
      <c r="I68" s="10">
        <f>VLOOKUP(A68,[1]pricing!A:M,6,FALSE)</f>
        <v>65</v>
      </c>
    </row>
    <row r="69" spans="1:9" s="23" customFormat="1" ht="15.75" customHeight="1">
      <c r="A69" s="16">
        <v>2000027530</v>
      </c>
      <c r="B69" s="18" t="s">
        <v>34</v>
      </c>
      <c r="C69" s="7" t="str">
        <f>VLOOKUP(A69,[1]Translation!A:F,4,FALSE)</f>
        <v>Neugeboreneneinlage</v>
      </c>
      <c r="D69" s="25" t="s">
        <v>19</v>
      </c>
      <c r="E69" s="8" t="s">
        <v>10</v>
      </c>
      <c r="F69" s="8">
        <f>VLOOKUP(A69,'[1]PL ENG'!B:G,6, FALSE)</f>
        <v>4000984166835</v>
      </c>
      <c r="G69" s="8">
        <v>1</v>
      </c>
      <c r="H69" s="9">
        <f>VLOOKUP(A69,[1]pricing!A:M,5,FALSE)</f>
        <v>54.62</v>
      </c>
      <c r="I69" s="10">
        <f>VLOOKUP(A69,[1]pricing!A:M,6,FALSE)</f>
        <v>65</v>
      </c>
    </row>
    <row r="70" spans="1:9" s="23" customFormat="1" ht="15.75" customHeight="1">
      <c r="A70" s="16">
        <v>2000027533</v>
      </c>
      <c r="B70" s="18" t="s">
        <v>34</v>
      </c>
      <c r="C70" s="7" t="str">
        <f>VLOOKUP(A70,[1]Translation!A:F,4,FALSE)</f>
        <v>Neugeboreneneinlage</v>
      </c>
      <c r="D70" s="25" t="s">
        <v>21</v>
      </c>
      <c r="E70" s="8" t="s">
        <v>10</v>
      </c>
      <c r="F70" s="8">
        <f>VLOOKUP(A70,'[1]PL ENG'!B:G,6, FALSE)</f>
        <v>4000984166866</v>
      </c>
      <c r="G70" s="8">
        <v>1</v>
      </c>
      <c r="H70" s="9">
        <f>VLOOKUP(A70,[1]pricing!A:M,5,FALSE)</f>
        <v>54.62</v>
      </c>
      <c r="I70" s="10">
        <f>VLOOKUP(A70,[1]pricing!A:M,6,FALSE)</f>
        <v>65</v>
      </c>
    </row>
    <row r="71" spans="1:9" s="23" customFormat="1" ht="15.75" customHeight="1">
      <c r="A71" s="16">
        <v>2000027534</v>
      </c>
      <c r="B71" s="18" t="s">
        <v>34</v>
      </c>
      <c r="C71" s="7" t="str">
        <f>VLOOKUP(A71,[1]Translation!A:F,4,FALSE)</f>
        <v>Schulterpolster Set</v>
      </c>
      <c r="D71" s="24" t="s">
        <v>11</v>
      </c>
      <c r="E71" s="8" t="s">
        <v>10</v>
      </c>
      <c r="F71" s="8">
        <f>VLOOKUP(A71,'[1]PL ENG'!B:G,6, FALSE)</f>
        <v>4000984166873</v>
      </c>
      <c r="G71" s="8">
        <v>1</v>
      </c>
      <c r="H71" s="9">
        <f>VLOOKUP(A71,[1]pricing!A:M,5,FALSE)</f>
        <v>12.61</v>
      </c>
      <c r="I71" s="10">
        <f>VLOOKUP(A71,[1]pricing!A:M,6,FALSE)</f>
        <v>15</v>
      </c>
    </row>
    <row r="72" spans="1:9" s="23" customFormat="1" ht="15.75" customHeight="1">
      <c r="A72" s="16">
        <v>2000027535</v>
      </c>
      <c r="B72" s="18" t="s">
        <v>34</v>
      </c>
      <c r="C72" s="7" t="str">
        <f>VLOOKUP(A72,[1]Translation!A:F,4,FALSE)</f>
        <v>Schulterpolster Set</v>
      </c>
      <c r="D72" s="25" t="s">
        <v>12</v>
      </c>
      <c r="E72" s="8" t="s">
        <v>10</v>
      </c>
      <c r="F72" s="8">
        <f>VLOOKUP(A72,'[1]PL ENG'!B:G,6, FALSE)</f>
        <v>4000984166880</v>
      </c>
      <c r="G72" s="8">
        <v>1</v>
      </c>
      <c r="H72" s="9">
        <f>VLOOKUP(A72,[1]pricing!A:M,5,FALSE)</f>
        <v>12.61</v>
      </c>
      <c r="I72" s="10">
        <f>VLOOKUP(A72,[1]pricing!A:M,6,FALSE)</f>
        <v>15</v>
      </c>
    </row>
    <row r="73" spans="1:9" s="23" customFormat="1" ht="15.75" customHeight="1">
      <c r="A73" s="16">
        <v>2000027538</v>
      </c>
      <c r="B73" s="18" t="s">
        <v>34</v>
      </c>
      <c r="C73" s="7" t="str">
        <f>VLOOKUP(A73,[1]Translation!A:F,4,FALSE)</f>
        <v>Schulterpolster Set</v>
      </c>
      <c r="D73" s="25" t="s">
        <v>14</v>
      </c>
      <c r="E73" s="8" t="s">
        <v>10</v>
      </c>
      <c r="F73" s="8">
        <f>VLOOKUP(A73,'[1]PL ENG'!B:G,6, FALSE)</f>
        <v>4000984166910</v>
      </c>
      <c r="G73" s="8">
        <v>1</v>
      </c>
      <c r="H73" s="9">
        <f>VLOOKUP(A73,[1]pricing!A:M,5,FALSE)</f>
        <v>12.61</v>
      </c>
      <c r="I73" s="10">
        <f>VLOOKUP(A73,[1]pricing!A:M,6,FALSE)</f>
        <v>15</v>
      </c>
    </row>
    <row r="74" spans="1:9" s="23" customFormat="1" ht="15.75" customHeight="1">
      <c r="A74" s="16">
        <v>2000027539</v>
      </c>
      <c r="B74" s="18" t="s">
        <v>34</v>
      </c>
      <c r="C74" s="7" t="str">
        <f>VLOOKUP(A74,[1]Translation!A:F,4,FALSE)</f>
        <v>Schulterpolster Set</v>
      </c>
      <c r="D74" s="25" t="s">
        <v>15</v>
      </c>
      <c r="E74" s="8" t="s">
        <v>10</v>
      </c>
      <c r="F74" s="8">
        <f>VLOOKUP(A74,'[1]PL ENG'!B:G,6, FALSE)</f>
        <v>4000984166927</v>
      </c>
      <c r="G74" s="8">
        <v>1</v>
      </c>
      <c r="H74" s="9">
        <f>VLOOKUP(A74,[1]pricing!A:M,5,FALSE)</f>
        <v>12.61</v>
      </c>
      <c r="I74" s="10">
        <f>VLOOKUP(A74,[1]pricing!A:M,6,FALSE)</f>
        <v>15</v>
      </c>
    </row>
    <row r="75" spans="1:9" s="23" customFormat="1" ht="15.75" customHeight="1">
      <c r="A75" s="16">
        <v>2000027536</v>
      </c>
      <c r="B75" s="18" t="s">
        <v>34</v>
      </c>
      <c r="C75" s="7" t="str">
        <f>VLOOKUP(A75,[1]Translation!A:F,4,FALSE)</f>
        <v>Schulterpolster Set</v>
      </c>
      <c r="D75" s="25" t="s">
        <v>18</v>
      </c>
      <c r="E75" s="8" t="s">
        <v>10</v>
      </c>
      <c r="F75" s="8">
        <f>VLOOKUP(A75,'[1]PL ENG'!B:G,6, FALSE)</f>
        <v>4000984166897</v>
      </c>
      <c r="G75" s="8">
        <v>1</v>
      </c>
      <c r="H75" s="9">
        <f>VLOOKUP(A75,[1]pricing!A:M,5,FALSE)</f>
        <v>12.61</v>
      </c>
      <c r="I75" s="10">
        <f>VLOOKUP(A75,[1]pricing!A:M,6,FALSE)</f>
        <v>15</v>
      </c>
    </row>
    <row r="76" spans="1:9" s="23" customFormat="1" ht="15.75" customHeight="1">
      <c r="A76" s="16">
        <v>2000027537</v>
      </c>
      <c r="B76" s="18" t="s">
        <v>34</v>
      </c>
      <c r="C76" s="7" t="str">
        <f>VLOOKUP(A76,[1]Translation!A:F,4,FALSE)</f>
        <v>Schulterpolster Set</v>
      </c>
      <c r="D76" s="25" t="s">
        <v>19</v>
      </c>
      <c r="E76" s="8" t="s">
        <v>10</v>
      </c>
      <c r="F76" s="8">
        <f>VLOOKUP(A76,'[1]PL ENG'!B:G,6, FALSE)</f>
        <v>4000984166903</v>
      </c>
      <c r="G76" s="8">
        <v>1</v>
      </c>
      <c r="H76" s="9">
        <f>VLOOKUP(A76,[1]pricing!A:M,5,FALSE)</f>
        <v>12.61</v>
      </c>
      <c r="I76" s="10">
        <f>VLOOKUP(A76,[1]pricing!A:M,6,FALSE)</f>
        <v>15</v>
      </c>
    </row>
    <row r="77" spans="1:9" s="23" customFormat="1" ht="15.75" customHeight="1">
      <c r="A77" s="16">
        <v>2000027541</v>
      </c>
      <c r="B77" s="18" t="s">
        <v>34</v>
      </c>
      <c r="C77" s="7" t="str">
        <f>VLOOKUP(A77,[1]Translation!A:F,4,FALSE)</f>
        <v>Schulterpolster Set</v>
      </c>
      <c r="D77" s="25" t="s">
        <v>21</v>
      </c>
      <c r="E77" s="8" t="s">
        <v>10</v>
      </c>
      <c r="F77" s="8">
        <f>VLOOKUP(A77,'[1]PL ENG'!B:G,6, FALSE)</f>
        <v>4000984181128</v>
      </c>
      <c r="G77" s="8">
        <v>1</v>
      </c>
      <c r="H77" s="9">
        <f>VLOOKUP(A77,[1]pricing!A:M,5,FALSE)</f>
        <v>13.87</v>
      </c>
      <c r="I77" s="10">
        <f>VLOOKUP(A77,[1]pricing!A:M,6,FALSE)</f>
        <v>17</v>
      </c>
    </row>
    <row r="78" spans="1:9" s="23" customFormat="1" ht="15.75" customHeight="1">
      <c r="A78" s="16">
        <v>2000027540</v>
      </c>
      <c r="B78" s="18" t="s">
        <v>34</v>
      </c>
      <c r="C78" s="7" t="str">
        <f>VLOOKUP(A78,[1]Translation!A:F,4,FALSE)</f>
        <v>Schulterpolster Set</v>
      </c>
      <c r="D78" s="25" t="s">
        <v>20</v>
      </c>
      <c r="E78" s="8" t="s">
        <v>10</v>
      </c>
      <c r="F78" s="8">
        <f>VLOOKUP(A78,'[1]PL ENG'!B:G,6, FALSE)</f>
        <v>4000984181111</v>
      </c>
      <c r="G78" s="8">
        <v>1</v>
      </c>
      <c r="H78" s="9">
        <f>VLOOKUP(A78,[1]pricing!A:M,5,FALSE)</f>
        <v>13.87</v>
      </c>
      <c r="I78" s="10">
        <f>VLOOKUP(A78,[1]pricing!A:M,6,FALSE)</f>
        <v>17</v>
      </c>
    </row>
    <row r="79" spans="1:9" s="23" customFormat="1" ht="15.75" customHeight="1">
      <c r="A79" s="16">
        <v>2000027542</v>
      </c>
      <c r="B79" s="18" t="s">
        <v>34</v>
      </c>
      <c r="C79" s="7" t="str">
        <f>VLOOKUP(A79,[1]Translation!A:F,4,FALSE)</f>
        <v>Schulterpolster Set</v>
      </c>
      <c r="D79" s="25" t="s">
        <v>23</v>
      </c>
      <c r="E79" s="8" t="s">
        <v>10</v>
      </c>
      <c r="F79" s="8">
        <f>VLOOKUP(A79,'[1]PL ENG'!B:G,6, FALSE)</f>
        <v>4000984181135</v>
      </c>
      <c r="G79" s="8">
        <v>1</v>
      </c>
      <c r="H79" s="9">
        <f>VLOOKUP(A79,[1]pricing!A:M,5,FALSE)</f>
        <v>13.87</v>
      </c>
      <c r="I79" s="10">
        <f>VLOOKUP(A79,[1]pricing!A:M,6,FALSE)</f>
        <v>17</v>
      </c>
    </row>
    <row r="80" spans="1:9" s="23" customFormat="1" ht="15.75" customHeight="1">
      <c r="A80" s="16"/>
      <c r="B80" s="18" t="s">
        <v>36</v>
      </c>
      <c r="C80" s="7" t="s">
        <v>37</v>
      </c>
      <c r="D80" s="25" t="s">
        <v>38</v>
      </c>
      <c r="E80" s="63" t="s">
        <v>39</v>
      </c>
      <c r="F80" s="64"/>
      <c r="G80" s="64"/>
      <c r="H80" s="64"/>
      <c r="I80" s="65"/>
    </row>
    <row r="81" spans="1:9" s="23" customFormat="1" ht="15.75" customHeight="1">
      <c r="A81" s="16">
        <v>2000007047</v>
      </c>
      <c r="B81" s="18" t="s">
        <v>40</v>
      </c>
      <c r="C81" s="7" t="str">
        <f>VLOOKUP(A81,[1]Translation!A:F,4,FALSE)</f>
        <v>Isofix Einführhilfe breit</v>
      </c>
      <c r="D81" s="7"/>
      <c r="E81" s="8" t="s">
        <v>10</v>
      </c>
      <c r="F81" s="8">
        <f>VLOOKUP(A81,'[1]PL ENG'!B:G,6, FALSE)</f>
        <v>4000984093384</v>
      </c>
      <c r="G81" s="8">
        <v>1</v>
      </c>
      <c r="H81" s="9">
        <f>VLOOKUP(A81,[1]pricing!A:M,5,FALSE)</f>
        <v>7.09</v>
      </c>
      <c r="I81" s="10">
        <f>VLOOKUP(A81,[1]pricing!A:M,6,FALSE)</f>
        <v>10</v>
      </c>
    </row>
    <row r="82" spans="1:9" s="23" customFormat="1" ht="15.75" customHeight="1">
      <c r="A82" s="6">
        <v>2000027524</v>
      </c>
      <c r="B82" s="18" t="s">
        <v>40</v>
      </c>
      <c r="C82" s="7" t="str">
        <f>VLOOKUP(A82,[1]Translation!A:F,4,FALSE)</f>
        <v>Dämpfungseinleger Rückenteil Set</v>
      </c>
      <c r="D82" s="7"/>
      <c r="E82" s="8" t="s">
        <v>10</v>
      </c>
      <c r="F82" s="8">
        <f>VLOOKUP(A82,'[1]PL ENG'!B:G,6, FALSE)</f>
        <v>4000984166774</v>
      </c>
      <c r="G82" s="8">
        <v>1</v>
      </c>
      <c r="H82" s="9">
        <f>VLOOKUP(A82,[1]pricing!A:M,5,FALSE)</f>
        <v>12.61</v>
      </c>
      <c r="I82" s="10">
        <f>VLOOKUP(A82,[1]pricing!A:M,6,FALSE)</f>
        <v>15</v>
      </c>
    </row>
    <row r="83" spans="1:9" s="23" customFormat="1" ht="15.75" customHeight="1">
      <c r="A83" s="6">
        <v>2000027525</v>
      </c>
      <c r="B83" s="18" t="s">
        <v>40</v>
      </c>
      <c r="C83" s="7" t="str">
        <f>VLOOKUP(A83,[1]Translation!A:F,4,FALSE)</f>
        <v>Dämpfungseinleger Kopfteil</v>
      </c>
      <c r="D83" s="7"/>
      <c r="E83" s="8" t="s">
        <v>10</v>
      </c>
      <c r="F83" s="8">
        <f>VLOOKUP(A83,'[1]PL ENG'!B:G,6, FALSE)</f>
        <v>4000984166781</v>
      </c>
      <c r="G83" s="8">
        <v>1</v>
      </c>
      <c r="H83" s="9">
        <f>VLOOKUP(A83,[1]pricing!A:M,5,FALSE)</f>
        <v>8.4</v>
      </c>
      <c r="I83" s="10">
        <f>VLOOKUP(A83,[1]pricing!A:M,6,FALSE)</f>
        <v>10</v>
      </c>
    </row>
    <row r="84" spans="1:9" s="23" customFormat="1" ht="15.75" customHeight="1">
      <c r="A84" s="6">
        <v>2000027526</v>
      </c>
      <c r="B84" s="18" t="s">
        <v>40</v>
      </c>
      <c r="C84" s="7" t="str">
        <f>VLOOKUP(A84,[1]Translation!A:F,4,FALSE)</f>
        <v>Blende Gurtversteller</v>
      </c>
      <c r="D84" s="7"/>
      <c r="E84" s="8" t="s">
        <v>10</v>
      </c>
      <c r="F84" s="8">
        <f>VLOOKUP(A84,'[1]PL ENG'!B:G,6, FALSE)</f>
        <v>4000984166798</v>
      </c>
      <c r="G84" s="8">
        <v>1</v>
      </c>
      <c r="H84" s="9">
        <f>VLOOKUP(A84,[1]pricing!A:M,5,FALSE)</f>
        <v>8.4</v>
      </c>
      <c r="I84" s="10">
        <f>VLOOKUP(A84,[1]pricing!A:M,6,FALSE)</f>
        <v>10</v>
      </c>
    </row>
    <row r="85" spans="1:9" s="23" customFormat="1" ht="60">
      <c r="A85" s="16">
        <v>2000027527</v>
      </c>
      <c r="B85" s="18" t="s">
        <v>40</v>
      </c>
      <c r="C85" s="7" t="str">
        <f>VLOOKUP(A85,[1]Translation!A:F,4,FALSE)</f>
        <v>Neugeboreneneinlage</v>
      </c>
      <c r="D85" s="24" t="s">
        <v>35</v>
      </c>
      <c r="E85" s="8" t="s">
        <v>10</v>
      </c>
      <c r="F85" s="8">
        <f>VLOOKUP(A85,'[1]PL ENG'!B:G,6, FALSE)</f>
        <v>4000984166804</v>
      </c>
      <c r="G85" s="8">
        <v>1</v>
      </c>
      <c r="H85" s="9">
        <f>VLOOKUP(A85,[1]pricing!A:M,5,FALSE)</f>
        <v>54.62</v>
      </c>
      <c r="I85" s="10">
        <f>VLOOKUP(A85,[1]pricing!A:M,6,FALSE)</f>
        <v>65</v>
      </c>
    </row>
    <row r="86" spans="1:9" s="23" customFormat="1" ht="15.75" customHeight="1">
      <c r="A86" s="16">
        <v>2000027531</v>
      </c>
      <c r="B86" s="18" t="s">
        <v>40</v>
      </c>
      <c r="C86" s="7" t="str">
        <f>VLOOKUP(A86,[1]Translation!A:F,4,FALSE)</f>
        <v>Neugeboreneneinlage</v>
      </c>
      <c r="D86" s="25" t="s">
        <v>14</v>
      </c>
      <c r="E86" s="8" t="s">
        <v>10</v>
      </c>
      <c r="F86" s="8">
        <f>VLOOKUP(A86,'[1]PL ENG'!B:G,6, FALSE)</f>
        <v>4000984166842</v>
      </c>
      <c r="G86" s="8">
        <v>1</v>
      </c>
      <c r="H86" s="9">
        <f>VLOOKUP(A86,[1]pricing!A:M,5,FALSE)</f>
        <v>54.62</v>
      </c>
      <c r="I86" s="10">
        <f>VLOOKUP(A86,[1]pricing!A:M,6,FALSE)</f>
        <v>65</v>
      </c>
    </row>
    <row r="87" spans="1:9" s="23" customFormat="1" ht="15.75" customHeight="1">
      <c r="A87" s="16">
        <v>2000027529</v>
      </c>
      <c r="B87" s="18" t="s">
        <v>40</v>
      </c>
      <c r="C87" s="7" t="str">
        <f>VLOOKUP(A87,[1]Translation!A:F,4,FALSE)</f>
        <v>Neugeboreneneinlage</v>
      </c>
      <c r="D87" s="25" t="s">
        <v>18</v>
      </c>
      <c r="E87" s="8" t="s">
        <v>10</v>
      </c>
      <c r="F87" s="8">
        <f>VLOOKUP(A87,'[1]PL ENG'!B:G,6, FALSE)</f>
        <v>4000984166828</v>
      </c>
      <c r="G87" s="8">
        <v>1</v>
      </c>
      <c r="H87" s="9">
        <f>VLOOKUP(A87,[1]pricing!A:M,5,FALSE)</f>
        <v>54.62</v>
      </c>
      <c r="I87" s="10">
        <f>VLOOKUP(A87,[1]pricing!A:M,6,FALSE)</f>
        <v>65</v>
      </c>
    </row>
    <row r="88" spans="1:9" s="23" customFormat="1" ht="15.75" customHeight="1">
      <c r="A88" s="16">
        <v>2000027534</v>
      </c>
      <c r="B88" s="18" t="s">
        <v>40</v>
      </c>
      <c r="C88" s="7" t="str">
        <f>VLOOKUP(A88,[1]Translation!A:F,4,FALSE)</f>
        <v>Schulterpolster Set</v>
      </c>
      <c r="D88" s="24" t="s">
        <v>11</v>
      </c>
      <c r="E88" s="8" t="s">
        <v>10</v>
      </c>
      <c r="F88" s="8">
        <f>VLOOKUP(A88,'[1]PL ENG'!B:G,6, FALSE)</f>
        <v>4000984166873</v>
      </c>
      <c r="G88" s="8">
        <v>1</v>
      </c>
      <c r="H88" s="9">
        <f>VLOOKUP(A88,[1]pricing!A:M,5,FALSE)</f>
        <v>12.61</v>
      </c>
      <c r="I88" s="10">
        <f>VLOOKUP(A88,[1]pricing!A:M,6,FALSE)</f>
        <v>15</v>
      </c>
    </row>
    <row r="89" spans="1:9" s="23" customFormat="1" ht="15.75" customHeight="1">
      <c r="A89" s="16">
        <v>2000027538</v>
      </c>
      <c r="B89" s="18" t="s">
        <v>40</v>
      </c>
      <c r="C89" s="7" t="str">
        <f>VLOOKUP(A89,[1]Translation!A:F,4,FALSE)</f>
        <v>Schulterpolster Set</v>
      </c>
      <c r="D89" s="25" t="s">
        <v>14</v>
      </c>
      <c r="E89" s="8" t="s">
        <v>10</v>
      </c>
      <c r="F89" s="8">
        <f>VLOOKUP(A89,'[1]PL ENG'!B:G,6, FALSE)</f>
        <v>4000984166910</v>
      </c>
      <c r="G89" s="8">
        <v>1</v>
      </c>
      <c r="H89" s="9">
        <f>VLOOKUP(A89,[1]pricing!A:M,5,FALSE)</f>
        <v>12.61</v>
      </c>
      <c r="I89" s="10">
        <f>VLOOKUP(A89,[1]pricing!A:M,6,FALSE)</f>
        <v>15</v>
      </c>
    </row>
    <row r="90" spans="1:9" s="23" customFormat="1" ht="15.75" customHeight="1">
      <c r="A90" s="16">
        <v>2000027536</v>
      </c>
      <c r="B90" s="18" t="s">
        <v>40</v>
      </c>
      <c r="C90" s="7" t="str">
        <f>VLOOKUP(A90,[1]Translation!A:F,4,FALSE)</f>
        <v>Schulterpolster Set</v>
      </c>
      <c r="D90" s="25" t="s">
        <v>18</v>
      </c>
      <c r="E90" s="8" t="s">
        <v>10</v>
      </c>
      <c r="F90" s="8">
        <f>VLOOKUP(A90,'[1]PL ENG'!B:G,6, FALSE)</f>
        <v>4000984166897</v>
      </c>
      <c r="G90" s="8">
        <v>1</v>
      </c>
      <c r="H90" s="9">
        <f>VLOOKUP(A90,[1]pricing!A:M,5,FALSE)</f>
        <v>12.61</v>
      </c>
      <c r="I90" s="10">
        <f>VLOOKUP(A90,[1]pricing!A:M,6,FALSE)</f>
        <v>15</v>
      </c>
    </row>
    <row r="91" spans="1:9" s="23" customFormat="1" ht="15.75" customHeight="1">
      <c r="A91" s="16">
        <v>2000027540</v>
      </c>
      <c r="B91" s="18" t="s">
        <v>40</v>
      </c>
      <c r="C91" s="7" t="str">
        <f>VLOOKUP(A91,[1]Translation!A:F,4,FALSE)</f>
        <v>Schulterpolster Set</v>
      </c>
      <c r="D91" s="25" t="s">
        <v>20</v>
      </c>
      <c r="E91" s="8" t="s">
        <v>10</v>
      </c>
      <c r="F91" s="8">
        <f>VLOOKUP(A91,'[1]PL ENG'!B:G,6, FALSE)</f>
        <v>4000984181111</v>
      </c>
      <c r="G91" s="8">
        <v>1</v>
      </c>
      <c r="H91" s="9">
        <f>VLOOKUP(A91,[1]pricing!A:M,5,FALSE)</f>
        <v>13.87</v>
      </c>
      <c r="I91" s="10">
        <f>VLOOKUP(A91,[1]pricing!A:M,6,FALSE)</f>
        <v>17</v>
      </c>
    </row>
    <row r="92" spans="1:9" s="23" customFormat="1" ht="15.75" customHeight="1">
      <c r="A92" s="16">
        <v>2000027542</v>
      </c>
      <c r="B92" s="18" t="s">
        <v>40</v>
      </c>
      <c r="C92" s="7" t="str">
        <f>VLOOKUP(A92,[1]Translation!A:F,4,FALSE)</f>
        <v>Schulterpolster Set</v>
      </c>
      <c r="D92" s="25" t="s">
        <v>23</v>
      </c>
      <c r="E92" s="8" t="s">
        <v>10</v>
      </c>
      <c r="F92" s="8">
        <f>VLOOKUP(A92,'[1]PL ENG'!B:G,6, FALSE)</f>
        <v>4000984181135</v>
      </c>
      <c r="G92" s="8">
        <v>1</v>
      </c>
      <c r="H92" s="9">
        <f>VLOOKUP(A92,[1]pricing!A:M,5,FALSE)</f>
        <v>13.87</v>
      </c>
      <c r="I92" s="10">
        <f>VLOOKUP(A92,[1]pricing!A:M,6,FALSE)</f>
        <v>17</v>
      </c>
    </row>
    <row r="93" spans="1:9" ht="45" customHeight="1">
      <c r="A93" s="12">
        <v>2000024309</v>
      </c>
      <c r="B93" s="26" t="s">
        <v>41</v>
      </c>
      <c r="C93" s="7" t="str">
        <f>VLOOKUP(A93,[1]Translation!A:F,4,FALSE)</f>
        <v>Neugeboreneneinlage</v>
      </c>
      <c r="D93" s="27" t="s">
        <v>42</v>
      </c>
      <c r="E93" s="8" t="s">
        <v>10</v>
      </c>
      <c r="F93" s="8">
        <f>VLOOKUP(A93,'[1]PL ENG'!B:G,6, FALSE)</f>
        <v>4000984145366</v>
      </c>
      <c r="G93" s="28">
        <v>1</v>
      </c>
      <c r="H93" s="9">
        <f>VLOOKUP(A93,[1]pricing!A:M,5,FALSE)</f>
        <v>19.07</v>
      </c>
      <c r="I93" s="10">
        <f>VLOOKUP(A93,[1]pricing!A:M,6,FALSE)</f>
        <v>25</v>
      </c>
    </row>
    <row r="94" spans="1:9" ht="15" customHeight="1">
      <c r="A94" s="16">
        <v>2000024310</v>
      </c>
      <c r="B94" s="26" t="s">
        <v>41</v>
      </c>
      <c r="C94" s="7" t="str">
        <f>VLOOKUP(A94,[1]Translation!A:F,4,FALSE)</f>
        <v>Neugeboreneneinlage</v>
      </c>
      <c r="D94" s="18" t="s">
        <v>12</v>
      </c>
      <c r="E94" s="8" t="s">
        <v>10</v>
      </c>
      <c r="F94" s="8">
        <f>VLOOKUP(A94,'[1]PL ENG'!B:G,6, FALSE)</f>
        <v>4000984145373</v>
      </c>
      <c r="G94" s="14">
        <v>1</v>
      </c>
      <c r="H94" s="9">
        <f>VLOOKUP(A94,[1]pricing!A:M,5,FALSE)</f>
        <v>19.07</v>
      </c>
      <c r="I94" s="10">
        <f>VLOOKUP(A94,[1]pricing!A:M,6,FALSE)</f>
        <v>25</v>
      </c>
    </row>
    <row r="95" spans="1:9" ht="15" customHeight="1">
      <c r="A95" s="16">
        <v>2000026204</v>
      </c>
      <c r="B95" s="26" t="s">
        <v>41</v>
      </c>
      <c r="C95" s="7" t="str">
        <f>VLOOKUP(A95,[1]Translation!A:F,4,FALSE)</f>
        <v>Neugeboreneneinlage</v>
      </c>
      <c r="D95" s="18" t="s">
        <v>14</v>
      </c>
      <c r="E95" s="8" t="s">
        <v>10</v>
      </c>
      <c r="F95" s="8">
        <f>VLOOKUP(A95,'[1]PL ENG'!B:G,6, FALSE)</f>
        <v>4000984154528</v>
      </c>
      <c r="G95" s="14">
        <v>1</v>
      </c>
      <c r="H95" s="9">
        <f>VLOOKUP(A95,[1]pricing!A:M,5,FALSE)</f>
        <v>19.07</v>
      </c>
      <c r="I95" s="10">
        <f>VLOOKUP(A95,[1]pricing!A:M,6,FALSE)</f>
        <v>25</v>
      </c>
    </row>
    <row r="96" spans="1:9" ht="15" customHeight="1">
      <c r="A96" s="29">
        <v>2000027730</v>
      </c>
      <c r="B96" s="26" t="s">
        <v>41</v>
      </c>
      <c r="C96" s="7" t="str">
        <f>VLOOKUP(A96,[1]Translation!A:F,4,FALSE)</f>
        <v>Neugeboreneneinlage</v>
      </c>
      <c r="D96" s="18" t="s">
        <v>18</v>
      </c>
      <c r="E96" s="8" t="s">
        <v>10</v>
      </c>
      <c r="F96" s="8">
        <f>VLOOKUP(A96,'[1]PL ENG'!B:G,6, FALSE)</f>
        <v>4000984182835</v>
      </c>
      <c r="G96" s="14">
        <v>1</v>
      </c>
      <c r="H96" s="9">
        <f>VLOOKUP(A96,[1]pricing!A:M,5,FALSE)</f>
        <v>19.07</v>
      </c>
      <c r="I96" s="10">
        <f>VLOOKUP(A96,[1]pricing!A:M,6,FALSE)</f>
        <v>25</v>
      </c>
    </row>
    <row r="97" spans="1:9" ht="15" customHeight="1">
      <c r="A97" s="29">
        <v>2000027733</v>
      </c>
      <c r="B97" s="26" t="s">
        <v>41</v>
      </c>
      <c r="C97" s="7" t="str">
        <f>VLOOKUP(A97,[1]Translation!A:F,4,FALSE)</f>
        <v>Neugeboreneneinlage</v>
      </c>
      <c r="D97" s="18" t="s">
        <v>19</v>
      </c>
      <c r="E97" s="8" t="s">
        <v>10</v>
      </c>
      <c r="F97" s="8">
        <f>VLOOKUP(A97,'[1]PL ENG'!B:G,6, FALSE)</f>
        <v>4000984182866</v>
      </c>
      <c r="G97" s="14">
        <v>1</v>
      </c>
      <c r="H97" s="9">
        <f>VLOOKUP(A97,[1]pricing!A:M,5,FALSE)</f>
        <v>19.07</v>
      </c>
      <c r="I97" s="10">
        <f>VLOOKUP(A97,[1]pricing!A:M,6,FALSE)</f>
        <v>25</v>
      </c>
    </row>
    <row r="98" spans="1:9" ht="30">
      <c r="A98" s="12">
        <v>2000024285</v>
      </c>
      <c r="B98" s="26" t="s">
        <v>41</v>
      </c>
      <c r="C98" s="7" t="str">
        <f>VLOOKUP(A98,[1]Translation!A:F,4,FALSE)</f>
        <v>Schulterpolster Set</v>
      </c>
      <c r="D98" s="27" t="s">
        <v>11</v>
      </c>
      <c r="E98" s="8" t="s">
        <v>10</v>
      </c>
      <c r="F98" s="8">
        <f>VLOOKUP(A98,'[1]PL ENG'!B:G,6, FALSE)</f>
        <v>4000984145694</v>
      </c>
      <c r="G98" s="28">
        <v>1</v>
      </c>
      <c r="H98" s="9">
        <f>VLOOKUP(A98,[1]pricing!A:M,5,FALSE)</f>
        <v>9.94</v>
      </c>
      <c r="I98" s="10">
        <f>VLOOKUP(A98,[1]pricing!A:M,6,FALSE)</f>
        <v>12</v>
      </c>
    </row>
    <row r="99" spans="1:9" ht="15" customHeight="1">
      <c r="A99" s="16">
        <v>2000024286</v>
      </c>
      <c r="B99" s="26" t="s">
        <v>41</v>
      </c>
      <c r="C99" s="7" t="str">
        <f>VLOOKUP(A99,[1]Translation!A:F,4,FALSE)</f>
        <v>Schulterpolster Set</v>
      </c>
      <c r="D99" s="18" t="s">
        <v>12</v>
      </c>
      <c r="E99" s="8" t="s">
        <v>10</v>
      </c>
      <c r="F99" s="8">
        <f>VLOOKUP(A99,'[1]PL ENG'!B:G,6, FALSE)</f>
        <v>4000984145700</v>
      </c>
      <c r="G99" s="14">
        <v>1</v>
      </c>
      <c r="H99" s="9">
        <f>VLOOKUP(A99,[1]pricing!A:M,5,FALSE)</f>
        <v>9.94</v>
      </c>
      <c r="I99" s="10">
        <f>VLOOKUP(A99,[1]pricing!A:M,6,FALSE)</f>
        <v>12</v>
      </c>
    </row>
    <row r="100" spans="1:9" ht="15" customHeight="1">
      <c r="A100" s="16">
        <v>2000026206</v>
      </c>
      <c r="B100" s="26" t="s">
        <v>41</v>
      </c>
      <c r="C100" s="7" t="str">
        <f>VLOOKUP(A100,[1]Translation!A:F,4,FALSE)</f>
        <v>Schulterpolster Set</v>
      </c>
      <c r="D100" s="18" t="s">
        <v>14</v>
      </c>
      <c r="E100" s="8" t="s">
        <v>10</v>
      </c>
      <c r="F100" s="8">
        <f>VLOOKUP(A100,'[1]PL ENG'!B:G,6, FALSE)</f>
        <v>4000984154542</v>
      </c>
      <c r="G100" s="14">
        <v>1</v>
      </c>
      <c r="H100" s="9">
        <f>VLOOKUP(A100,[1]pricing!A:M,5,FALSE)</f>
        <v>9.94</v>
      </c>
      <c r="I100" s="10">
        <f>VLOOKUP(A100,[1]pricing!A:M,6,FALSE)</f>
        <v>12</v>
      </c>
    </row>
    <row r="101" spans="1:9" ht="15" customHeight="1">
      <c r="A101" s="16">
        <v>2000027731</v>
      </c>
      <c r="B101" s="26" t="s">
        <v>41</v>
      </c>
      <c r="C101" s="7" t="str">
        <f>VLOOKUP(A101,[1]Translation!A:F,4,FALSE)</f>
        <v>Schulterpolster Set</v>
      </c>
      <c r="D101" s="18" t="s">
        <v>18</v>
      </c>
      <c r="E101" s="8" t="s">
        <v>10</v>
      </c>
      <c r="F101" s="8">
        <f>VLOOKUP(A101,'[1]PL ENG'!B:G,6, FALSE)</f>
        <v>4000984182842</v>
      </c>
      <c r="G101" s="14">
        <v>1</v>
      </c>
      <c r="H101" s="9">
        <f>VLOOKUP(A101,[1]pricing!A:M,5,FALSE)</f>
        <v>9.94</v>
      </c>
      <c r="I101" s="10">
        <f>VLOOKUP(A101,[1]pricing!A:M,6,FALSE)</f>
        <v>12</v>
      </c>
    </row>
    <row r="102" spans="1:9" ht="15" customHeight="1">
      <c r="A102" s="16">
        <v>2000027734</v>
      </c>
      <c r="B102" s="26" t="s">
        <v>41</v>
      </c>
      <c r="C102" s="7" t="str">
        <f>VLOOKUP(A102,[1]Translation!A:F,4,FALSE)</f>
        <v>Schulterpolster Set</v>
      </c>
      <c r="D102" s="18" t="s">
        <v>19</v>
      </c>
      <c r="E102" s="8" t="s">
        <v>10</v>
      </c>
      <c r="F102" s="8">
        <f>VLOOKUP(A102,'[1]PL ENG'!B:G,6, FALSE)</f>
        <v>4000984182873</v>
      </c>
      <c r="G102" s="14">
        <v>1</v>
      </c>
      <c r="H102" s="9">
        <f>VLOOKUP(A102,[1]pricing!A:M,5,FALSE)</f>
        <v>9.94</v>
      </c>
      <c r="I102" s="10">
        <f>VLOOKUP(A102,[1]pricing!A:M,6,FALSE)</f>
        <v>12</v>
      </c>
    </row>
    <row r="103" spans="1:9" ht="15" customHeight="1">
      <c r="A103" s="16">
        <v>2000027737</v>
      </c>
      <c r="B103" s="26" t="s">
        <v>41</v>
      </c>
      <c r="C103" s="7" t="str">
        <f>VLOOKUP(A103,[1]Translation!A:F,4,FALSE)</f>
        <v>Schulterpolster Set</v>
      </c>
      <c r="D103" s="18" t="s">
        <v>20</v>
      </c>
      <c r="E103" s="8" t="s">
        <v>10</v>
      </c>
      <c r="F103" s="8">
        <f>VLOOKUP(A103,'[1]PL ENG'!B:G,6, FALSE)</f>
        <v>4000984182903</v>
      </c>
      <c r="G103" s="14">
        <v>1</v>
      </c>
      <c r="H103" s="9">
        <f>VLOOKUP(A103,[1]pricing!A:M,5,FALSE)</f>
        <v>10.94</v>
      </c>
      <c r="I103" s="10">
        <f>VLOOKUP(A103,[1]pricing!A:M,6,FALSE)</f>
        <v>14</v>
      </c>
    </row>
    <row r="104" spans="1:9" ht="15" customHeight="1">
      <c r="A104" s="16">
        <v>2000003672</v>
      </c>
      <c r="B104" s="26" t="s">
        <v>41</v>
      </c>
      <c r="C104" s="7" t="str">
        <f>VLOOKUP(A104,[1]Translation!A:F,4,FALSE)</f>
        <v>Gurtabdeckung</v>
      </c>
      <c r="D104" s="18"/>
      <c r="E104" s="8" t="s">
        <v>10</v>
      </c>
      <c r="F104" s="8">
        <f>VLOOKUP(A104,'[1]PL ENG'!B:G,6, FALSE)</f>
        <v>4000984084634</v>
      </c>
      <c r="G104" s="14">
        <v>1</v>
      </c>
      <c r="H104" s="9">
        <f>VLOOKUP(A104,[1]pricing!A:M,5,FALSE)</f>
        <v>8</v>
      </c>
      <c r="I104" s="10">
        <f>VLOOKUP(A104,[1]pricing!A:M,6,FALSE)</f>
        <v>10</v>
      </c>
    </row>
    <row r="105" spans="1:9" ht="15" customHeight="1">
      <c r="A105" s="16">
        <v>2000003675</v>
      </c>
      <c r="B105" s="26" t="s">
        <v>41</v>
      </c>
      <c r="C105" s="7" t="str">
        <f>VLOOKUP(A105,[1]Translation!A:F,4,FALSE)</f>
        <v>Dämpfungseinleger Set</v>
      </c>
      <c r="D105" s="18"/>
      <c r="E105" s="8" t="s">
        <v>10</v>
      </c>
      <c r="F105" s="8">
        <f>VLOOKUP(A105,'[1]PL ENG'!B:G,6, FALSE)</f>
        <v>4000984084665</v>
      </c>
      <c r="G105" s="14">
        <v>1</v>
      </c>
      <c r="H105" s="9">
        <f>VLOOKUP(A105,[1]pricing!A:M,5,FALSE)</f>
        <v>13.73</v>
      </c>
      <c r="I105" s="10">
        <f>VLOOKUP(A105,[1]pricing!A:M,6,FALSE)</f>
        <v>20</v>
      </c>
    </row>
    <row r="106" spans="1:9" ht="15" customHeight="1">
      <c r="A106" s="16">
        <v>2000024298</v>
      </c>
      <c r="B106" s="26" t="s">
        <v>41</v>
      </c>
      <c r="C106" s="7" t="str">
        <f>VLOOKUP(A106,[1]Translation!A:F,4,FALSE)</f>
        <v>Gurtschlosspolster</v>
      </c>
      <c r="D106" s="18" t="s">
        <v>24</v>
      </c>
      <c r="E106" s="8" t="s">
        <v>10</v>
      </c>
      <c r="F106" s="8">
        <f>VLOOKUP(A106,'[1]PL ENG'!B:G,6, FALSE)</f>
        <v>4000984145540</v>
      </c>
      <c r="G106" s="14">
        <v>1</v>
      </c>
      <c r="H106" s="9">
        <f>VLOOKUP(A106,[1]pricing!A:M,5,FALSE)</f>
        <v>8</v>
      </c>
      <c r="I106" s="10">
        <f>VLOOKUP(A106,[1]pricing!A:M,6,FALSE)</f>
        <v>10</v>
      </c>
    </row>
    <row r="107" spans="1:9" ht="15" customHeight="1">
      <c r="A107" s="16">
        <v>2000003886</v>
      </c>
      <c r="B107" s="26" t="s">
        <v>41</v>
      </c>
      <c r="C107" s="7" t="str">
        <f>VLOOKUP(A107,[1]Translation!A:F,4,FALSE)</f>
        <v xml:space="preserve">Gurtset </v>
      </c>
      <c r="D107" s="18"/>
      <c r="E107" s="8" t="s">
        <v>43</v>
      </c>
      <c r="F107" s="8">
        <f>VLOOKUP(A107,'[1]PL ENG'!B:G,6, FALSE)</f>
        <v>4000984085167</v>
      </c>
      <c r="G107" s="14">
        <v>1</v>
      </c>
      <c r="H107" s="9">
        <f>VLOOKUP(A107,[1]pricing!A:M,5,FALSE)</f>
        <v>8</v>
      </c>
      <c r="I107" s="10">
        <f>VLOOKUP(A107,[1]pricing!A:M,6,FALSE)</f>
        <v>10</v>
      </c>
    </row>
    <row r="108" spans="1:9" ht="15" customHeight="1">
      <c r="A108" s="16">
        <v>2000010924</v>
      </c>
      <c r="B108" s="18" t="s">
        <v>44</v>
      </c>
      <c r="C108" s="7" t="str">
        <f>VLOOKUP(A108,[1]Translation!A:F,4,FALSE)</f>
        <v>Fach Bedienungsanleitung</v>
      </c>
      <c r="D108" s="18"/>
      <c r="E108" s="8" t="s">
        <v>10</v>
      </c>
      <c r="F108" s="8">
        <f>VLOOKUP(A108,'[1]PL ENG'!B:G,6, FALSE)</f>
        <v>5012124062944</v>
      </c>
      <c r="G108" s="14">
        <v>1</v>
      </c>
      <c r="H108" s="9">
        <f>VLOOKUP(A108,[1]pricing!A:M,5,FALSE)</f>
        <v>11.49</v>
      </c>
      <c r="I108" s="10">
        <f>VLOOKUP(A108,[1]pricing!A:M,6,FALSE)</f>
        <v>15</v>
      </c>
    </row>
    <row r="109" spans="1:9" ht="15" customHeight="1">
      <c r="A109" s="16">
        <v>2000024313</v>
      </c>
      <c r="B109" s="18" t="s">
        <v>44</v>
      </c>
      <c r="C109" s="7" t="str">
        <f>VLOOKUP(A109,[1]Translation!A:F,4,FALSE)</f>
        <v>Neugeboreneneinlage</v>
      </c>
      <c r="D109" s="18" t="s">
        <v>24</v>
      </c>
      <c r="E109" s="8" t="s">
        <v>10</v>
      </c>
      <c r="F109" s="8">
        <f>VLOOKUP(A109,'[1]PL ENG'!B:G,6, FALSE)</f>
        <v>4000984145403</v>
      </c>
      <c r="G109" s="14">
        <v>1</v>
      </c>
      <c r="H109" s="9">
        <f>VLOOKUP(A109,[1]pricing!A:M,5,FALSE)</f>
        <v>20.37</v>
      </c>
      <c r="I109" s="10">
        <f>VLOOKUP(A109,[1]pricing!A:M,6,FALSE)</f>
        <v>25</v>
      </c>
    </row>
    <row r="110" spans="1:9" ht="15" customHeight="1">
      <c r="A110" s="16">
        <v>2000010466</v>
      </c>
      <c r="B110" s="18" t="s">
        <v>44</v>
      </c>
      <c r="C110" s="7" t="str">
        <f>VLOOKUP(A110,[1]Translation!A:F,4,FALSE)</f>
        <v>Blende Gurtversteller</v>
      </c>
      <c r="D110" s="18"/>
      <c r="E110" s="8" t="s">
        <v>10</v>
      </c>
      <c r="F110" s="8">
        <f>VLOOKUP(A110,'[1]PL ENG'!B:G,6, FALSE)</f>
        <v>5012124062913</v>
      </c>
      <c r="G110" s="14">
        <v>1</v>
      </c>
      <c r="H110" s="9">
        <f>VLOOKUP(A110,[1]pricing!A:M,5,FALSE)</f>
        <v>10.14</v>
      </c>
      <c r="I110" s="10">
        <f>VLOOKUP(A110,[1]pricing!A:M,6,FALSE)</f>
        <v>15</v>
      </c>
    </row>
    <row r="111" spans="1:9" ht="15" customHeight="1">
      <c r="A111" s="12">
        <v>2000024298</v>
      </c>
      <c r="B111" s="18" t="s">
        <v>44</v>
      </c>
      <c r="C111" s="7" t="str">
        <f>VLOOKUP(A111,[1]Translation!A:F,4,FALSE)</f>
        <v>Gurtschlosspolster</v>
      </c>
      <c r="D111" s="27" t="s">
        <v>24</v>
      </c>
      <c r="E111" s="8" t="s">
        <v>10</v>
      </c>
      <c r="F111" s="8">
        <f>VLOOKUP(A111,'[1]PL ENG'!B:G,6, FALSE)</f>
        <v>4000984145540</v>
      </c>
      <c r="G111" s="28">
        <v>1</v>
      </c>
      <c r="H111" s="9">
        <f>VLOOKUP(A111,[1]pricing!A:M,5,FALSE)</f>
        <v>8</v>
      </c>
      <c r="I111" s="10">
        <f>VLOOKUP(A111,[1]pricing!A:M,6,FALSE)</f>
        <v>10</v>
      </c>
    </row>
    <row r="112" spans="1:9" ht="15" customHeight="1">
      <c r="A112" s="16">
        <v>2000024293</v>
      </c>
      <c r="B112" s="18" t="s">
        <v>44</v>
      </c>
      <c r="C112" s="7" t="str">
        <f>VLOOKUP(A112,[1]Translation!A:F,4,FALSE)</f>
        <v>Schulterpolster Set</v>
      </c>
      <c r="D112" s="18" t="s">
        <v>45</v>
      </c>
      <c r="E112" s="8" t="s">
        <v>10</v>
      </c>
      <c r="F112" s="8">
        <f>VLOOKUP(A112,'[1]PL ENG'!B:G,6, FALSE)</f>
        <v>4000984145496</v>
      </c>
      <c r="G112" s="14">
        <v>1</v>
      </c>
      <c r="H112" s="9">
        <f>VLOOKUP(A112,[1]pricing!A:M,5,FALSE)</f>
        <v>14.24</v>
      </c>
      <c r="I112" s="10">
        <f>VLOOKUP(A112,[1]pricing!A:M,6,FALSE)</f>
        <v>20</v>
      </c>
    </row>
    <row r="113" spans="1:9" ht="30" customHeight="1">
      <c r="A113" s="12">
        <v>2000024289</v>
      </c>
      <c r="B113" s="18" t="s">
        <v>44</v>
      </c>
      <c r="C113" s="7" t="str">
        <f>VLOOKUP(A113,[1]Translation!A:F,4,FALSE)</f>
        <v>Schulterpolster Set</v>
      </c>
      <c r="D113" s="27" t="s">
        <v>11</v>
      </c>
      <c r="E113" s="8" t="s">
        <v>10</v>
      </c>
      <c r="F113" s="8">
        <f>VLOOKUP(A113,'[1]PL ENG'!B:G,6, FALSE)</f>
        <v>4000984145731</v>
      </c>
      <c r="G113" s="28">
        <v>1</v>
      </c>
      <c r="H113" s="9">
        <f>VLOOKUP(A113,[1]pricing!A:M,5,FALSE)</f>
        <v>14.24</v>
      </c>
      <c r="I113" s="10">
        <f>VLOOKUP(A113,[1]pricing!A:M,6,FALSE)</f>
        <v>20</v>
      </c>
    </row>
    <row r="114" spans="1:9" ht="15" customHeight="1">
      <c r="A114" s="16">
        <v>2000024290</v>
      </c>
      <c r="B114" s="18" t="s">
        <v>44</v>
      </c>
      <c r="C114" s="7" t="str">
        <f>VLOOKUP(A114,[1]Translation!A:F,4,FALSE)</f>
        <v>Schulterpolster Set</v>
      </c>
      <c r="D114" s="18" t="s">
        <v>12</v>
      </c>
      <c r="E114" s="8" t="s">
        <v>10</v>
      </c>
      <c r="F114" s="8">
        <f>VLOOKUP(A114,'[1]PL ENG'!B:G,6, FALSE)</f>
        <v>4000984145748</v>
      </c>
      <c r="G114" s="14">
        <v>1</v>
      </c>
      <c r="H114" s="9">
        <f>VLOOKUP(A114,[1]pricing!A:M,5,FALSE)</f>
        <v>14.24</v>
      </c>
      <c r="I114" s="10">
        <f>VLOOKUP(A114,[1]pricing!A:M,6,FALSE)</f>
        <v>20</v>
      </c>
    </row>
    <row r="115" spans="1:9" ht="15" customHeight="1">
      <c r="A115" s="16">
        <v>2000026208</v>
      </c>
      <c r="B115" s="18" t="s">
        <v>44</v>
      </c>
      <c r="C115" s="7" t="str">
        <f>VLOOKUP(A115,[1]Translation!A:F,4,FALSE)</f>
        <v>Schulterpolster Set</v>
      </c>
      <c r="D115" s="18" t="s">
        <v>14</v>
      </c>
      <c r="E115" s="8" t="s">
        <v>10</v>
      </c>
      <c r="F115" s="8">
        <f>VLOOKUP(A115,'[1]PL ENG'!B:G,6, FALSE)</f>
        <v>4000984154566</v>
      </c>
      <c r="G115" s="14">
        <v>1</v>
      </c>
      <c r="H115" s="9">
        <f>VLOOKUP(A115,[1]pricing!A:M,5,FALSE)</f>
        <v>14.24</v>
      </c>
      <c r="I115" s="10">
        <f>VLOOKUP(A115,[1]pricing!A:M,6,FALSE)</f>
        <v>20</v>
      </c>
    </row>
    <row r="116" spans="1:9" ht="15" customHeight="1">
      <c r="A116" s="16">
        <v>2000027768</v>
      </c>
      <c r="B116" s="18" t="s">
        <v>44</v>
      </c>
      <c r="C116" s="7" t="str">
        <f>VLOOKUP(A116,[1]Translation!A:F,4,FALSE)</f>
        <v>Schulterpolster Set</v>
      </c>
      <c r="D116" s="18" t="s">
        <v>18</v>
      </c>
      <c r="E116" s="8" t="s">
        <v>10</v>
      </c>
      <c r="F116" s="8">
        <f>VLOOKUP(A116,'[1]PL ENG'!B:G,6, FALSE)</f>
        <v>4000984183214</v>
      </c>
      <c r="G116" s="14">
        <v>1</v>
      </c>
      <c r="H116" s="9">
        <f>VLOOKUP(A116,[1]pricing!A:M,5,FALSE)</f>
        <v>14.24</v>
      </c>
      <c r="I116" s="10">
        <f>VLOOKUP(A116,[1]pricing!A:M,6,FALSE)</f>
        <v>20</v>
      </c>
    </row>
    <row r="117" spans="1:9" ht="15" customHeight="1">
      <c r="A117" s="16">
        <v>2000027769</v>
      </c>
      <c r="B117" s="18" t="s">
        <v>44</v>
      </c>
      <c r="C117" s="7" t="str">
        <f>VLOOKUP(A117,[1]Translation!A:F,4,FALSE)</f>
        <v>Schulterpolster Set</v>
      </c>
      <c r="D117" s="18" t="s">
        <v>19</v>
      </c>
      <c r="E117" s="8" t="s">
        <v>10</v>
      </c>
      <c r="F117" s="8">
        <f>VLOOKUP(A117,'[1]PL ENG'!B:G,6, FALSE)</f>
        <v>4000984183221</v>
      </c>
      <c r="G117" s="14">
        <v>1</v>
      </c>
      <c r="H117" s="9">
        <f>VLOOKUP(A117,[1]pricing!A:M,5,FALSE)</f>
        <v>14.24</v>
      </c>
      <c r="I117" s="10">
        <f>VLOOKUP(A117,[1]pricing!A:M,6,FALSE)</f>
        <v>20</v>
      </c>
    </row>
    <row r="118" spans="1:9" ht="15.75" customHeight="1">
      <c r="A118" s="30">
        <v>2000026498</v>
      </c>
      <c r="B118" s="18" t="s">
        <v>44</v>
      </c>
      <c r="C118" s="7" t="str">
        <f>VLOOKUP(A118,[1]Translation!A:F,4,FALSE)</f>
        <v>Bezug für Rückprallbügel schmal</v>
      </c>
      <c r="D118" s="18" t="s">
        <v>24</v>
      </c>
      <c r="E118" s="8" t="s">
        <v>10</v>
      </c>
      <c r="F118" s="8">
        <f>VLOOKUP(A118,'[1]PL ENG'!B:G,6, FALSE)</f>
        <v>4000984155075</v>
      </c>
      <c r="G118" s="14">
        <v>1</v>
      </c>
      <c r="H118" s="9">
        <f>VLOOKUP(A118,[1]pricing!A:M,5,FALSE)</f>
        <v>8</v>
      </c>
      <c r="I118" s="10">
        <f>VLOOKUP(A118,[1]pricing!A:M,6,FALSE)</f>
        <v>10</v>
      </c>
    </row>
    <row r="119" spans="1:9" ht="15" customHeight="1">
      <c r="A119" s="12">
        <v>2000010837</v>
      </c>
      <c r="B119" s="26" t="s">
        <v>46</v>
      </c>
      <c r="C119" s="7" t="str">
        <f>VLOOKUP(A119,[1]Translation!A:F,4,FALSE)</f>
        <v>Fach Bedienungsanleitung</v>
      </c>
      <c r="D119" s="31"/>
      <c r="E119" s="8" t="s">
        <v>10</v>
      </c>
      <c r="F119" s="8">
        <f>VLOOKUP(A119,'[1]PL ENG'!B:G,6, FALSE)</f>
        <v>5012124063064</v>
      </c>
      <c r="G119" s="28">
        <v>1</v>
      </c>
      <c r="H119" s="9">
        <f>VLOOKUP(A119,[1]pricing!A:M,5,FALSE)</f>
        <v>11.49</v>
      </c>
      <c r="I119" s="10">
        <f>VLOOKUP(A119,[1]pricing!A:M,6,FALSE)</f>
        <v>15</v>
      </c>
    </row>
    <row r="120" spans="1:9" ht="15" customHeight="1">
      <c r="A120" s="32">
        <v>2000007141</v>
      </c>
      <c r="B120" s="26" t="s">
        <v>46</v>
      </c>
      <c r="C120" s="7" t="str">
        <f>VLOOKUP(A120,[1]Translation!A:F,4,FALSE)</f>
        <v>Dämpfungseinleger Set</v>
      </c>
      <c r="D120" s="33"/>
      <c r="E120" s="8" t="s">
        <v>10</v>
      </c>
      <c r="F120" s="8">
        <f>VLOOKUP(A120,'[1]PL ENG'!B:G,6, FALSE)</f>
        <v>4000984093698</v>
      </c>
      <c r="G120" s="34">
        <v>1</v>
      </c>
      <c r="H120" s="9">
        <f>VLOOKUP(A120,[1]pricing!A:M,5,FALSE)</f>
        <v>13.73</v>
      </c>
      <c r="I120" s="10">
        <f>VLOOKUP(A120,[1]pricing!A:M,6,FALSE)</f>
        <v>20</v>
      </c>
    </row>
    <row r="121" spans="1:9" ht="15" customHeight="1">
      <c r="A121" s="16">
        <v>2000003485</v>
      </c>
      <c r="B121" s="26" t="s">
        <v>46</v>
      </c>
      <c r="C121" s="7" t="str">
        <f>VLOOKUP(A121,[1]Translation!A:F,4,FALSE)</f>
        <v xml:space="preserve">Gurtset </v>
      </c>
      <c r="D121" s="18"/>
      <c r="E121" s="8" t="s">
        <v>43</v>
      </c>
      <c r="F121" s="8">
        <f>VLOOKUP(A121,'[1]PL ENG'!B:G,6, FALSE)</f>
        <v>4000984082586</v>
      </c>
      <c r="G121" s="14">
        <v>1</v>
      </c>
      <c r="H121" s="9">
        <f>VLOOKUP(A121,[1]pricing!A:M,5,FALSE)</f>
        <v>19.32</v>
      </c>
      <c r="I121" s="10">
        <f>VLOOKUP(A121,[1]pricing!A:M,6,FALSE)</f>
        <v>23</v>
      </c>
    </row>
    <row r="122" spans="1:9" ht="30" customHeight="1">
      <c r="A122" s="12">
        <v>2000024289</v>
      </c>
      <c r="B122" s="26" t="s">
        <v>47</v>
      </c>
      <c r="C122" s="7" t="str">
        <f>VLOOKUP(A122,[1]Translation!A:F,4,FALSE)</f>
        <v>Schulterpolster Set</v>
      </c>
      <c r="D122" s="27" t="s">
        <v>48</v>
      </c>
      <c r="E122" s="8" t="s">
        <v>10</v>
      </c>
      <c r="F122" s="8">
        <f>VLOOKUP(A122,'[1]PL ENG'!B:G,6, FALSE)</f>
        <v>4000984145731</v>
      </c>
      <c r="G122" s="28">
        <v>1</v>
      </c>
      <c r="H122" s="9">
        <f>VLOOKUP(A122,[1]pricing!A:M,5,FALSE)</f>
        <v>14.24</v>
      </c>
      <c r="I122" s="10">
        <f>VLOOKUP(A122,[1]pricing!A:M,6,FALSE)</f>
        <v>20</v>
      </c>
    </row>
    <row r="123" spans="1:9" s="17" customFormat="1" ht="15" customHeight="1">
      <c r="A123" s="16">
        <v>2000024298</v>
      </c>
      <c r="B123" s="26" t="s">
        <v>47</v>
      </c>
      <c r="C123" s="7" t="str">
        <f>VLOOKUP(A123,[1]Translation!A:F,4,FALSE)</f>
        <v>Gurtschlosspolster</v>
      </c>
      <c r="D123" s="18" t="s">
        <v>24</v>
      </c>
      <c r="E123" s="8" t="s">
        <v>10</v>
      </c>
      <c r="F123" s="8">
        <f>VLOOKUP(A123,'[1]PL ENG'!B:G,6, FALSE)</f>
        <v>4000984145540</v>
      </c>
      <c r="G123" s="14">
        <v>1</v>
      </c>
      <c r="H123" s="9">
        <f>VLOOKUP(A123,[1]pricing!A:M,5,FALSE)</f>
        <v>8</v>
      </c>
      <c r="I123" s="10">
        <f>VLOOKUP(A123,[1]pricing!A:M,6,FALSE)</f>
        <v>10</v>
      </c>
    </row>
    <row r="124" spans="1:9" s="17" customFormat="1" ht="30" customHeight="1">
      <c r="A124" s="12">
        <v>2000024315</v>
      </c>
      <c r="B124" s="26" t="s">
        <v>47</v>
      </c>
      <c r="C124" s="7" t="str">
        <f>VLOOKUP(A124,[1]Translation!A:F,4,FALSE)</f>
        <v>Neugeboreneneinlage</v>
      </c>
      <c r="D124" s="27" t="s">
        <v>49</v>
      </c>
      <c r="E124" s="8" t="s">
        <v>10</v>
      </c>
      <c r="F124" s="8">
        <f>VLOOKUP(A124,'[1]PL ENG'!B:G,6, FALSE)</f>
        <v>4000984145427</v>
      </c>
      <c r="G124" s="28">
        <v>1</v>
      </c>
      <c r="H124" s="9">
        <f>VLOOKUP(A124,[1]pricing!A:M,5,FALSE)</f>
        <v>20.37</v>
      </c>
      <c r="I124" s="10">
        <f>VLOOKUP(A124,[1]pricing!A:M,6,FALSE)</f>
        <v>25</v>
      </c>
    </row>
    <row r="125" spans="1:9" s="17" customFormat="1" ht="15" customHeight="1">
      <c r="A125" s="12">
        <v>2000010837</v>
      </c>
      <c r="B125" s="26" t="s">
        <v>47</v>
      </c>
      <c r="C125" s="7" t="str">
        <f>VLOOKUP(A125,[1]Translation!A:F,4,FALSE)</f>
        <v>Fach Bedienungsanleitung</v>
      </c>
      <c r="D125" s="27"/>
      <c r="E125" s="8" t="s">
        <v>10</v>
      </c>
      <c r="F125" s="8">
        <f>VLOOKUP(A125,'[1]PL ENG'!B:G,6, FALSE)</f>
        <v>5012124063064</v>
      </c>
      <c r="G125" s="28">
        <v>1</v>
      </c>
      <c r="H125" s="9">
        <f>VLOOKUP(A125,[1]pricing!A:M,5,FALSE)</f>
        <v>11.49</v>
      </c>
      <c r="I125" s="10">
        <f>VLOOKUP(A125,[1]pricing!A:M,6,FALSE)</f>
        <v>15</v>
      </c>
    </row>
    <row r="126" spans="1:9" s="17" customFormat="1" ht="15" customHeight="1">
      <c r="A126" s="12">
        <v>2000007141</v>
      </c>
      <c r="B126" s="26" t="s">
        <v>47</v>
      </c>
      <c r="C126" s="7" t="str">
        <f>VLOOKUP(A126,[1]Translation!A:F,4,FALSE)</f>
        <v>Dämpfungseinleger Set</v>
      </c>
      <c r="D126" s="27"/>
      <c r="E126" s="8" t="s">
        <v>10</v>
      </c>
      <c r="F126" s="8">
        <f>VLOOKUP(A126,'[1]PL ENG'!B:G,6, FALSE)</f>
        <v>4000984093698</v>
      </c>
      <c r="G126" s="28">
        <v>1</v>
      </c>
      <c r="H126" s="9">
        <f>VLOOKUP(A126,[1]pricing!A:M,5,FALSE)</f>
        <v>13.73</v>
      </c>
      <c r="I126" s="10">
        <f>VLOOKUP(A126,[1]pricing!A:M,6,FALSE)</f>
        <v>20</v>
      </c>
    </row>
    <row r="127" spans="1:9" ht="15" customHeight="1">
      <c r="A127" s="32">
        <v>2000003485</v>
      </c>
      <c r="B127" s="26" t="s">
        <v>47</v>
      </c>
      <c r="C127" s="7" t="str">
        <f>VLOOKUP(A127,[1]Translation!A:F,4,FALSE)</f>
        <v xml:space="preserve">Gurtset </v>
      </c>
      <c r="D127" s="33"/>
      <c r="E127" s="8" t="s">
        <v>43</v>
      </c>
      <c r="F127" s="8">
        <f>VLOOKUP(A127,'[1]PL ENG'!B:G,6, FALSE)</f>
        <v>4000984082586</v>
      </c>
      <c r="G127" s="35">
        <v>1</v>
      </c>
      <c r="H127" s="9">
        <f>VLOOKUP(A127,[1]pricing!A:M,5,FALSE)</f>
        <v>19.32</v>
      </c>
      <c r="I127" s="10">
        <f>VLOOKUP(A127,[1]pricing!A:M,6,FALSE)</f>
        <v>23</v>
      </c>
    </row>
    <row r="128" spans="1:9" ht="15" customHeight="1">
      <c r="A128" s="16">
        <v>2000024314</v>
      </c>
      <c r="B128" s="26" t="s">
        <v>47</v>
      </c>
      <c r="C128" s="7" t="str">
        <f>VLOOKUP(A128,[1]Translation!A:F,4,FALSE)</f>
        <v>Bezug für Rückprallbügel</v>
      </c>
      <c r="D128" s="18" t="s">
        <v>24</v>
      </c>
      <c r="E128" s="8" t="s">
        <v>10</v>
      </c>
      <c r="F128" s="8">
        <f>VLOOKUP(A128,'[1]PL ENG'!B:G,6, FALSE)</f>
        <v>4000984145410</v>
      </c>
      <c r="G128" s="14">
        <v>1</v>
      </c>
      <c r="H128" s="9">
        <f>VLOOKUP(A128,[1]pricing!A:M,5,FALSE)</f>
        <v>15.93</v>
      </c>
      <c r="I128" s="10">
        <f>VLOOKUP(A128,[1]pricing!A:M,6,FALSE)</f>
        <v>10</v>
      </c>
    </row>
    <row r="129" spans="1:9" ht="15" customHeight="1">
      <c r="A129" s="36">
        <v>2000003891</v>
      </c>
      <c r="B129" s="26" t="s">
        <v>47</v>
      </c>
      <c r="C129" s="7" t="str">
        <f>VLOOKUP(A129,[1]Translation!A:F,4,FALSE)</f>
        <v>Blenden Set Gurtversteller</v>
      </c>
      <c r="D129" s="18"/>
      <c r="E129" s="8" t="s">
        <v>10</v>
      </c>
      <c r="F129" s="8">
        <f>VLOOKUP(A129,'[1]PL ENG'!B:G,6, FALSE)</f>
        <v>4000984085211</v>
      </c>
      <c r="G129" s="14">
        <v>1</v>
      </c>
      <c r="H129" s="9">
        <f>VLOOKUP(A129,[1]pricing!A:M,5,FALSE)</f>
        <v>8</v>
      </c>
      <c r="I129" s="10">
        <f>VLOOKUP(A129,[1]pricing!A:M,6,FALSE)</f>
        <v>10</v>
      </c>
    </row>
    <row r="130" spans="1:9" s="17" customFormat="1" ht="15.75" customHeight="1">
      <c r="A130" s="16">
        <v>2000027480</v>
      </c>
      <c r="B130" s="18" t="s">
        <v>50</v>
      </c>
      <c r="C130" s="7" t="str">
        <f>VLOOKUP(A130,[1]Translation!A:F,4,FALSE)</f>
        <v>Fach Bedienungsanleitung</v>
      </c>
      <c r="D130" s="37"/>
      <c r="E130" s="8" t="s">
        <v>10</v>
      </c>
      <c r="F130" s="8">
        <f>VLOOKUP(A130,'[1]PL ENG'!B:G,6, FALSE)</f>
        <v>4000984166439</v>
      </c>
      <c r="G130" s="35">
        <v>1</v>
      </c>
      <c r="H130" s="9">
        <f>VLOOKUP(A130,[1]pricing!A:M,5,FALSE)</f>
        <v>8</v>
      </c>
      <c r="I130" s="10">
        <f>VLOOKUP(A130,[1]pricing!A:M,6,FALSE)</f>
        <v>10</v>
      </c>
    </row>
    <row r="131" spans="1:9" s="17" customFormat="1" ht="15.75" customHeight="1">
      <c r="A131" s="16">
        <v>2000027481</v>
      </c>
      <c r="B131" s="18" t="s">
        <v>50</v>
      </c>
      <c r="C131" s="7" t="str">
        <f>VLOOKUP(A131,[1]Translation!A:F,4,FALSE)</f>
        <v>Dämpfungseinleger Kopfstütze mit Befestigungsstopfen</v>
      </c>
      <c r="D131" s="37"/>
      <c r="E131" s="8" t="s">
        <v>10</v>
      </c>
      <c r="F131" s="8">
        <f>VLOOKUP(A131,'[1]PL ENG'!B:G,6, FALSE)</f>
        <v>4000984166446</v>
      </c>
      <c r="G131" s="14">
        <v>1</v>
      </c>
      <c r="H131" s="9">
        <f>VLOOKUP(A131,[1]pricing!A:M,5,FALSE)</f>
        <v>8</v>
      </c>
      <c r="I131" s="10">
        <f>VLOOKUP(A131,[1]pricing!A:M,6,FALSE)</f>
        <v>10</v>
      </c>
    </row>
    <row r="132" spans="1:9" s="17" customFormat="1" ht="15.75" customHeight="1">
      <c r="A132" s="6">
        <v>2000007049</v>
      </c>
      <c r="B132" s="18" t="s">
        <v>50</v>
      </c>
      <c r="C132" s="7" t="str">
        <f>VLOOKUP(A132,[1]Translation!A:F,4,FALSE)</f>
        <v>Dämpfungseinleger Set</v>
      </c>
      <c r="D132" s="7"/>
      <c r="E132" s="8" t="s">
        <v>10</v>
      </c>
      <c r="F132" s="8">
        <f>VLOOKUP(A132,'[1]PL ENG'!B:G,6, FALSE)</f>
        <v>4000984093360</v>
      </c>
      <c r="G132" s="8">
        <v>1</v>
      </c>
      <c r="H132" s="9">
        <f>VLOOKUP(A132,[1]pricing!A:M,5,FALSE)</f>
        <v>13.73</v>
      </c>
      <c r="I132" s="10">
        <f>VLOOKUP(A132,[1]pricing!A:M,6,FALSE)</f>
        <v>20</v>
      </c>
    </row>
    <row r="133" spans="1:9" s="17" customFormat="1" ht="15.75" customHeight="1">
      <c r="A133" s="16">
        <v>2000027482</v>
      </c>
      <c r="B133" s="18" t="s">
        <v>50</v>
      </c>
      <c r="C133" s="7" t="str">
        <f>VLOOKUP(A133,[1]Translation!A:F,4,FALSE)</f>
        <v>Schaumeinleger</v>
      </c>
      <c r="D133" s="37"/>
      <c r="E133" s="8" t="s">
        <v>10</v>
      </c>
      <c r="F133" s="8">
        <f>VLOOKUP(A133,'[1]PL ENG'!B:G,6, FALSE)</f>
        <v>4000984166453</v>
      </c>
      <c r="G133" s="35">
        <v>1</v>
      </c>
      <c r="H133" s="9">
        <f>VLOOKUP(A133,[1]pricing!A:M,5,FALSE)</f>
        <v>8</v>
      </c>
      <c r="I133" s="10">
        <f>VLOOKUP(A133,[1]pricing!A:M,6,FALSE)</f>
        <v>10</v>
      </c>
    </row>
    <row r="134" spans="1:9" s="17" customFormat="1" ht="15.75" customHeight="1">
      <c r="A134" s="16">
        <v>2000007047</v>
      </c>
      <c r="B134" s="18" t="s">
        <v>50</v>
      </c>
      <c r="C134" s="7" t="str">
        <f>VLOOKUP(A134,[1]Translation!A:F,4,FALSE)</f>
        <v>Isofix Einführhilfe breit</v>
      </c>
      <c r="D134" s="37"/>
      <c r="E134" s="8" t="s">
        <v>10</v>
      </c>
      <c r="F134" s="8">
        <f>VLOOKUP(A134,'[1]PL ENG'!B:G,6, FALSE)</f>
        <v>4000984093384</v>
      </c>
      <c r="G134" s="14">
        <v>1</v>
      </c>
      <c r="H134" s="9">
        <f>VLOOKUP(A134,[1]pricing!A:M,5,FALSE)</f>
        <v>7.09</v>
      </c>
      <c r="I134" s="10">
        <f>VLOOKUP(A134,[1]pricing!A:M,6,FALSE)</f>
        <v>10</v>
      </c>
    </row>
    <row r="135" spans="1:9" s="17" customFormat="1" ht="15.75" customHeight="1">
      <c r="A135" s="16">
        <v>2000027492</v>
      </c>
      <c r="B135" s="18" t="s">
        <v>50</v>
      </c>
      <c r="C135" s="7" t="str">
        <f>VLOOKUP(A135,[1]Translation!A:F,4,FALSE)</f>
        <v>Schulterpolster Set</v>
      </c>
      <c r="D135" s="24" t="s">
        <v>11</v>
      </c>
      <c r="E135" s="8" t="s">
        <v>10</v>
      </c>
      <c r="F135" s="8">
        <f>VLOOKUP(A135,'[1]PL ENG'!B:G,6, FALSE)</f>
        <v>4000984166552</v>
      </c>
      <c r="G135" s="14">
        <v>1</v>
      </c>
      <c r="H135" s="9">
        <f>VLOOKUP(A135,[1]pricing!A:M,5,FALSE)</f>
        <v>12.61</v>
      </c>
      <c r="I135" s="10">
        <f>VLOOKUP(A135,[1]pricing!A:M,6,FALSE)</f>
        <v>15</v>
      </c>
    </row>
    <row r="136" spans="1:9" s="17" customFormat="1" ht="15.75" customHeight="1">
      <c r="A136" s="16">
        <v>2000027493</v>
      </c>
      <c r="B136" s="18" t="s">
        <v>50</v>
      </c>
      <c r="C136" s="7" t="str">
        <f>VLOOKUP(A136,[1]Translation!A:F,4,FALSE)</f>
        <v>Schulterpolster Set</v>
      </c>
      <c r="D136" s="25" t="s">
        <v>12</v>
      </c>
      <c r="E136" s="8" t="s">
        <v>10</v>
      </c>
      <c r="F136" s="8">
        <f>VLOOKUP(A136,'[1]PL ENG'!B:G,6, FALSE)</f>
        <v>4000984166569</v>
      </c>
      <c r="G136" s="35">
        <v>1</v>
      </c>
      <c r="H136" s="9">
        <f>VLOOKUP(A136,[1]pricing!A:M,5,FALSE)</f>
        <v>12.61</v>
      </c>
      <c r="I136" s="10">
        <f>VLOOKUP(A136,[1]pricing!A:M,6,FALSE)</f>
        <v>15</v>
      </c>
    </row>
    <row r="137" spans="1:9" s="17" customFormat="1" ht="15.75" customHeight="1">
      <c r="A137" s="16">
        <v>2000027494</v>
      </c>
      <c r="B137" s="18" t="s">
        <v>50</v>
      </c>
      <c r="C137" s="7" t="str">
        <f>VLOOKUP(A137,[1]Translation!A:F,4,FALSE)</f>
        <v>Schulterpolster Set</v>
      </c>
      <c r="D137" s="25" t="s">
        <v>14</v>
      </c>
      <c r="E137" s="8" t="s">
        <v>10</v>
      </c>
      <c r="F137" s="8">
        <f>VLOOKUP(A137,'[1]PL ENG'!B:G,6, FALSE)</f>
        <v>4000984166576</v>
      </c>
      <c r="G137" s="14">
        <v>1</v>
      </c>
      <c r="H137" s="9">
        <f>VLOOKUP(A137,[1]pricing!A:M,5,FALSE)</f>
        <v>12.61</v>
      </c>
      <c r="I137" s="10">
        <f>VLOOKUP(A137,[1]pricing!A:M,6,FALSE)</f>
        <v>15</v>
      </c>
    </row>
    <row r="138" spans="1:9" s="17" customFormat="1" ht="15.75" customHeight="1">
      <c r="A138" s="16">
        <v>2000027495</v>
      </c>
      <c r="B138" s="18" t="s">
        <v>50</v>
      </c>
      <c r="C138" s="7" t="str">
        <f>VLOOKUP(A138,[1]Translation!A:F,4,FALSE)</f>
        <v>Schulterpolster Set</v>
      </c>
      <c r="D138" s="25" t="s">
        <v>15</v>
      </c>
      <c r="E138" s="8" t="s">
        <v>10</v>
      </c>
      <c r="F138" s="8">
        <f>VLOOKUP(A138,'[1]PL ENG'!B:G,6, FALSE)</f>
        <v>4000984166583</v>
      </c>
      <c r="G138" s="14">
        <v>1</v>
      </c>
      <c r="H138" s="9">
        <f>VLOOKUP(A138,[1]pricing!A:M,5,FALSE)</f>
        <v>12.61</v>
      </c>
      <c r="I138" s="10">
        <f>VLOOKUP(A138,[1]pricing!A:M,6,FALSE)</f>
        <v>15</v>
      </c>
    </row>
    <row r="139" spans="1:9" s="17" customFormat="1" ht="15.75" customHeight="1">
      <c r="A139" s="16">
        <v>2000027496</v>
      </c>
      <c r="B139" s="18" t="s">
        <v>50</v>
      </c>
      <c r="C139" s="7" t="str">
        <f>VLOOKUP(A139,[1]Translation!A:F,4,FALSE)</f>
        <v>Schulterpolster Set</v>
      </c>
      <c r="D139" s="25" t="s">
        <v>18</v>
      </c>
      <c r="E139" s="8" t="s">
        <v>10</v>
      </c>
      <c r="F139" s="8">
        <f>VLOOKUP(A139,'[1]PL ENG'!B:G,6, FALSE)</f>
        <v>4000984166590</v>
      </c>
      <c r="G139" s="35">
        <v>1</v>
      </c>
      <c r="H139" s="9">
        <f>VLOOKUP(A139,[1]pricing!A:M,5,FALSE)</f>
        <v>12.61</v>
      </c>
      <c r="I139" s="10">
        <f>VLOOKUP(A139,[1]pricing!A:M,6,FALSE)</f>
        <v>15</v>
      </c>
    </row>
    <row r="140" spans="1:9" s="17" customFormat="1" ht="15.75" customHeight="1">
      <c r="A140" s="16">
        <v>2000027497</v>
      </c>
      <c r="B140" s="18" t="s">
        <v>50</v>
      </c>
      <c r="C140" s="7" t="str">
        <f>VLOOKUP(A140,[1]Translation!A:F,4,FALSE)</f>
        <v>Schulterpolster Set</v>
      </c>
      <c r="D140" s="25" t="s">
        <v>19</v>
      </c>
      <c r="E140" s="8" t="s">
        <v>10</v>
      </c>
      <c r="F140" s="8">
        <f>VLOOKUP(A140,'[1]PL ENG'!B:G,6, FALSE)</f>
        <v>4000984166606</v>
      </c>
      <c r="G140" s="14">
        <v>1</v>
      </c>
      <c r="H140" s="9">
        <f>VLOOKUP(A140,[1]pricing!A:M,5,FALSE)</f>
        <v>12.61</v>
      </c>
      <c r="I140" s="10">
        <f>VLOOKUP(A140,[1]pricing!A:M,6,FALSE)</f>
        <v>15</v>
      </c>
    </row>
    <row r="141" spans="1:9" s="17" customFormat="1" ht="15.75" customHeight="1">
      <c r="A141" s="16">
        <v>2000027498</v>
      </c>
      <c r="B141" s="18" t="s">
        <v>50</v>
      </c>
      <c r="C141" s="7" t="str">
        <f>VLOOKUP(A141,[1]Translation!A:F,4,FALSE)</f>
        <v>Schulterpolster Set</v>
      </c>
      <c r="D141" s="25" t="s">
        <v>20</v>
      </c>
      <c r="E141" s="8" t="s">
        <v>10</v>
      </c>
      <c r="F141" s="8">
        <f>VLOOKUP(A141,'[1]PL ENG'!B:G,6, FALSE)</f>
        <v>4000984166613</v>
      </c>
      <c r="G141" s="14">
        <v>1</v>
      </c>
      <c r="H141" s="9">
        <f>VLOOKUP(A141,[1]pricing!A:M,5,FALSE)</f>
        <v>13.87</v>
      </c>
      <c r="I141" s="10">
        <f>VLOOKUP(A141,[1]pricing!A:M,6,FALSE)</f>
        <v>17</v>
      </c>
    </row>
    <row r="142" spans="1:9" s="17" customFormat="1" ht="15.75" customHeight="1">
      <c r="A142" s="16">
        <v>2000027499</v>
      </c>
      <c r="B142" s="18" t="s">
        <v>50</v>
      </c>
      <c r="C142" s="7" t="str">
        <f>VLOOKUP(A142,[1]Translation!A:F,4,FALSE)</f>
        <v>Schulterpolster Set</v>
      </c>
      <c r="D142" s="25" t="s">
        <v>21</v>
      </c>
      <c r="E142" s="8" t="s">
        <v>10</v>
      </c>
      <c r="F142" s="8">
        <f>VLOOKUP(A142,'[1]PL ENG'!B:G,6, FALSE)</f>
        <v>4000984166620</v>
      </c>
      <c r="G142" s="35">
        <v>1</v>
      </c>
      <c r="H142" s="9">
        <f>VLOOKUP(A142,[1]pricing!A:M,5,FALSE)</f>
        <v>13.87</v>
      </c>
      <c r="I142" s="10">
        <f>VLOOKUP(A142,[1]pricing!A:M,6,FALSE)</f>
        <v>17</v>
      </c>
    </row>
    <row r="143" spans="1:9" s="17" customFormat="1" ht="15.75" customHeight="1">
      <c r="A143" s="16">
        <v>2000027500</v>
      </c>
      <c r="B143" s="18" t="s">
        <v>50</v>
      </c>
      <c r="C143" s="7" t="str">
        <f>VLOOKUP(A143,[1]Translation!A:F,4,FALSE)</f>
        <v>Schulterpolster Set</v>
      </c>
      <c r="D143" s="25" t="s">
        <v>23</v>
      </c>
      <c r="E143" s="8" t="s">
        <v>10</v>
      </c>
      <c r="F143" s="8">
        <f>VLOOKUP(A143,'[1]PL ENG'!B:G,6, FALSE)</f>
        <v>4000984166637</v>
      </c>
      <c r="G143" s="14">
        <v>1</v>
      </c>
      <c r="H143" s="9">
        <f>VLOOKUP(A143,[1]pricing!A:M,5,FALSE)</f>
        <v>13.87</v>
      </c>
      <c r="I143" s="10">
        <f>VLOOKUP(A143,[1]pricing!A:M,6,FALSE)</f>
        <v>17</v>
      </c>
    </row>
    <row r="144" spans="1:9" s="17" customFormat="1" ht="15" customHeight="1">
      <c r="A144" s="6">
        <v>2000012436</v>
      </c>
      <c r="B144" s="7" t="s">
        <v>51</v>
      </c>
      <c r="C144" s="7" t="str">
        <f>VLOOKUP(A144,[1]Translation!A:F,4,FALSE)</f>
        <v xml:space="preserve">Dämpfungseinleger Sitzfläche Set </v>
      </c>
      <c r="D144" s="8"/>
      <c r="E144" s="8" t="s">
        <v>10</v>
      </c>
      <c r="F144" s="8">
        <f>VLOOKUP(A144,'[1]PL ENG'!B:G,6, FALSE)</f>
        <v>4000984115833</v>
      </c>
      <c r="G144" s="8">
        <v>1</v>
      </c>
      <c r="H144" s="9">
        <f>VLOOKUP(A144,[1]pricing!A:M,5,FALSE)</f>
        <v>13.73</v>
      </c>
      <c r="I144" s="10">
        <f>VLOOKUP(A144,[1]pricing!A:M,6,FALSE)</f>
        <v>20</v>
      </c>
    </row>
    <row r="145" spans="1:9" s="17" customFormat="1" ht="15" customHeight="1">
      <c r="A145" s="6">
        <v>2000012437</v>
      </c>
      <c r="B145" s="7" t="s">
        <v>51</v>
      </c>
      <c r="C145" s="7" t="str">
        <f>VLOOKUP(A145,[1]Translation!A:F,4,FALSE)</f>
        <v xml:space="preserve">Dämpfungseinleger Set </v>
      </c>
      <c r="D145" s="8"/>
      <c r="E145" s="8" t="s">
        <v>10</v>
      </c>
      <c r="F145" s="8">
        <f>VLOOKUP(A145,'[1]PL ENG'!B:G,6, FALSE)</f>
        <v>4000984115840</v>
      </c>
      <c r="G145" s="8">
        <v>1</v>
      </c>
      <c r="H145" s="9">
        <f>VLOOKUP(A145,[1]pricing!A:M,5,FALSE)</f>
        <v>13.73</v>
      </c>
      <c r="I145" s="10">
        <f>VLOOKUP(A145,[1]pricing!A:M,6,FALSE)</f>
        <v>20</v>
      </c>
    </row>
    <row r="146" spans="1:9" s="17" customFormat="1" ht="15" customHeight="1">
      <c r="A146" s="6">
        <v>2000012438</v>
      </c>
      <c r="B146" s="7" t="s">
        <v>51</v>
      </c>
      <c r="C146" s="7" t="str">
        <f>VLOOKUP(A146,[1]Translation!A:F,4,FALSE)</f>
        <v xml:space="preserve">Gurtset </v>
      </c>
      <c r="D146" s="8"/>
      <c r="E146" s="8" t="s">
        <v>43</v>
      </c>
      <c r="F146" s="8">
        <f>VLOOKUP(A146,'[1]PL ENG'!B:G,6, FALSE)</f>
        <v>4000984115857</v>
      </c>
      <c r="G146" s="8">
        <v>1</v>
      </c>
      <c r="H146" s="9">
        <f>VLOOKUP(A146,[1]pricing!A:M,5,FALSE)</f>
        <v>19.32</v>
      </c>
      <c r="I146" s="10">
        <f>VLOOKUP(A146,[1]pricing!A:M,6,FALSE)</f>
        <v>23</v>
      </c>
    </row>
    <row r="147" spans="1:9" s="17" customFormat="1" ht="15" customHeight="1">
      <c r="A147" s="6">
        <v>2000012441</v>
      </c>
      <c r="B147" s="7" t="s">
        <v>51</v>
      </c>
      <c r="C147" s="7" t="str">
        <f>VLOOKUP(A147,[1]Translation!A:F,4,FALSE)</f>
        <v>Schaumeinleger</v>
      </c>
      <c r="D147" s="8"/>
      <c r="E147" s="8" t="s">
        <v>10</v>
      </c>
      <c r="F147" s="8">
        <f>VLOOKUP(A147,'[1]PL ENG'!B:G,6, FALSE)</f>
        <v>4000984115888</v>
      </c>
      <c r="G147" s="8">
        <v>1</v>
      </c>
      <c r="H147" s="9">
        <f>VLOOKUP(A147,[1]pricing!A:M,5,FALSE)</f>
        <v>9.0500000000000007</v>
      </c>
      <c r="I147" s="10">
        <f>VLOOKUP(A147,[1]pricing!A:M,6,FALSE)</f>
        <v>15</v>
      </c>
    </row>
    <row r="148" spans="1:9" s="17" customFormat="1" ht="15" customHeight="1">
      <c r="A148" s="6">
        <v>2000007048</v>
      </c>
      <c r="B148" s="7" t="s">
        <v>51</v>
      </c>
      <c r="C148" s="7" t="str">
        <f>VLOOKUP(A148,[1]Translation!A:F,4,FALSE)</f>
        <v>Dämpfungseinleger Kopfstütze mit Befestigungsstopfen</v>
      </c>
      <c r="D148" s="8"/>
      <c r="E148" s="8" t="s">
        <v>10</v>
      </c>
      <c r="F148" s="8">
        <f>VLOOKUP(A148,'[1]PL ENG'!B:G,6, FALSE)</f>
        <v>4000984093377</v>
      </c>
      <c r="G148" s="8">
        <v>1</v>
      </c>
      <c r="H148" s="9">
        <f>VLOOKUP(A148,[1]pricing!A:M,5,FALSE)</f>
        <v>9.6999999999999993</v>
      </c>
      <c r="I148" s="10">
        <f>VLOOKUP(A148,[1]pricing!A:M,6,FALSE)</f>
        <v>15</v>
      </c>
    </row>
    <row r="149" spans="1:9" s="17" customFormat="1" ht="15" customHeight="1">
      <c r="A149" s="6">
        <v>2000024282</v>
      </c>
      <c r="B149" s="7" t="s">
        <v>51</v>
      </c>
      <c r="C149" s="7" t="str">
        <f>VLOOKUP(A149,[1]Translation!A:F,4,FALSE)</f>
        <v>Schulterpolster Set</v>
      </c>
      <c r="D149" s="7" t="s">
        <v>45</v>
      </c>
      <c r="E149" s="8" t="s">
        <v>10</v>
      </c>
      <c r="F149" s="8">
        <f>VLOOKUP(A149,'[1]PL ENG'!B:G,6, FALSE)</f>
        <v>4000984145663</v>
      </c>
      <c r="G149" s="8">
        <v>1</v>
      </c>
      <c r="H149" s="9">
        <f>VLOOKUP(A149,[1]pricing!A:M,5,FALSE)</f>
        <v>15.93</v>
      </c>
      <c r="I149" s="10">
        <f>VLOOKUP(A149,[1]pricing!A:M,6,FALSE)</f>
        <v>19</v>
      </c>
    </row>
    <row r="150" spans="1:9" s="17" customFormat="1" ht="30" customHeight="1">
      <c r="A150" s="20">
        <v>2000024276</v>
      </c>
      <c r="B150" s="7" t="s">
        <v>51</v>
      </c>
      <c r="C150" s="7" t="str">
        <f>VLOOKUP(A150,[1]Translation!A:F,4,FALSE)</f>
        <v>Schulterpolster Set</v>
      </c>
      <c r="D150" s="21" t="s">
        <v>11</v>
      </c>
      <c r="E150" s="8" t="s">
        <v>10</v>
      </c>
      <c r="F150" s="8">
        <f>VLOOKUP(A150,'[1]PL ENG'!B:G,6, FALSE)</f>
        <v>4000984145878</v>
      </c>
      <c r="G150" s="22">
        <v>1</v>
      </c>
      <c r="H150" s="9">
        <f>VLOOKUP(A150,[1]pricing!A:M,5,FALSE)</f>
        <v>15.93</v>
      </c>
      <c r="I150" s="10">
        <f>VLOOKUP(A150,[1]pricing!A:M,6,FALSE)</f>
        <v>19</v>
      </c>
    </row>
    <row r="151" spans="1:9" s="17" customFormat="1" ht="15" customHeight="1">
      <c r="A151" s="6">
        <v>2000024277</v>
      </c>
      <c r="B151" s="7" t="s">
        <v>51</v>
      </c>
      <c r="C151" s="7" t="str">
        <f>VLOOKUP(A151,[1]Translation!A:F,4,FALSE)</f>
        <v>Schulterpolster Set</v>
      </c>
      <c r="D151" s="7" t="s">
        <v>12</v>
      </c>
      <c r="E151" s="8" t="s">
        <v>10</v>
      </c>
      <c r="F151" s="8">
        <f>VLOOKUP(A151,'[1]PL ENG'!B:G,6, FALSE)</f>
        <v>4000984145885</v>
      </c>
      <c r="G151" s="8">
        <v>1</v>
      </c>
      <c r="H151" s="9">
        <f>VLOOKUP(A151,[1]pricing!A:M,5,FALSE)</f>
        <v>15.93</v>
      </c>
      <c r="I151" s="10">
        <f>VLOOKUP(A151,[1]pricing!A:M,6,FALSE)</f>
        <v>19</v>
      </c>
    </row>
    <row r="152" spans="1:9" s="17" customFormat="1" ht="15" customHeight="1">
      <c r="A152" s="6">
        <v>2000026183</v>
      </c>
      <c r="B152" s="7" t="s">
        <v>51</v>
      </c>
      <c r="C152" s="7" t="str">
        <f>VLOOKUP(A152,[1]Translation!A:F,4,FALSE)</f>
        <v>Schulterpolster Set</v>
      </c>
      <c r="D152" s="7" t="s">
        <v>14</v>
      </c>
      <c r="E152" s="8" t="s">
        <v>10</v>
      </c>
      <c r="F152" s="8">
        <f>VLOOKUP(A152,'[1]PL ENG'!B:G,6, FALSE)</f>
        <v>4000984154313</v>
      </c>
      <c r="G152" s="8">
        <v>1</v>
      </c>
      <c r="H152" s="9">
        <f>VLOOKUP(A152,[1]pricing!A:M,5,FALSE)</f>
        <v>15.93</v>
      </c>
      <c r="I152" s="10">
        <f>VLOOKUP(A152,[1]pricing!A:M,6,FALSE)</f>
        <v>19</v>
      </c>
    </row>
    <row r="153" spans="1:9" s="17" customFormat="1" ht="15" customHeight="1">
      <c r="A153" s="6">
        <v>2000026184</v>
      </c>
      <c r="B153" s="7" t="s">
        <v>51</v>
      </c>
      <c r="C153" s="7" t="str">
        <f>VLOOKUP(A153,[1]Translation!A:F,4,FALSE)</f>
        <v>Schulterpolster Set</v>
      </c>
      <c r="D153" s="7" t="s">
        <v>15</v>
      </c>
      <c r="E153" s="8" t="s">
        <v>10</v>
      </c>
      <c r="F153" s="8">
        <f>VLOOKUP(A153,'[1]PL ENG'!B:G,6, FALSE)</f>
        <v>4000984154320</v>
      </c>
      <c r="G153" s="8">
        <v>1</v>
      </c>
      <c r="H153" s="9">
        <f>VLOOKUP(A153,[1]pricing!A:M,5,FALSE)</f>
        <v>15.93</v>
      </c>
      <c r="I153" s="10">
        <f>VLOOKUP(A153,[1]pricing!A:M,6,FALSE)</f>
        <v>19</v>
      </c>
    </row>
    <row r="154" spans="1:9" s="17" customFormat="1" ht="15" customHeight="1">
      <c r="A154" s="16">
        <v>2000027778</v>
      </c>
      <c r="B154" s="7" t="s">
        <v>51</v>
      </c>
      <c r="C154" s="7" t="str">
        <f>VLOOKUP(A154,[1]Translation!A:F,4,FALSE)</f>
        <v>Schulterpolster Set</v>
      </c>
      <c r="D154" s="18" t="s">
        <v>18</v>
      </c>
      <c r="E154" s="8" t="s">
        <v>10</v>
      </c>
      <c r="F154" s="8">
        <f>VLOOKUP(A154,'[1]PL ENG'!B:G,6, FALSE)</f>
        <v>4000984183313</v>
      </c>
      <c r="G154" s="8">
        <v>1</v>
      </c>
      <c r="H154" s="9">
        <f>VLOOKUP(A154,[1]pricing!A:M,5,FALSE)</f>
        <v>15.93</v>
      </c>
      <c r="I154" s="10">
        <f>VLOOKUP(A154,[1]pricing!A:M,6,FALSE)</f>
        <v>19</v>
      </c>
    </row>
    <row r="155" spans="1:9" s="17" customFormat="1" ht="15" customHeight="1">
      <c r="A155" s="16">
        <v>2000027780</v>
      </c>
      <c r="B155" s="7" t="s">
        <v>51</v>
      </c>
      <c r="C155" s="7" t="str">
        <f>VLOOKUP(A155,[1]Translation!A:F,4,FALSE)</f>
        <v>Schulterpolster Set</v>
      </c>
      <c r="D155" s="18" t="s">
        <v>19</v>
      </c>
      <c r="E155" s="8" t="s">
        <v>10</v>
      </c>
      <c r="F155" s="8">
        <f>VLOOKUP(A155,'[1]PL ENG'!B:G,6, FALSE)</f>
        <v>4000984183337</v>
      </c>
      <c r="G155" s="8">
        <v>1</v>
      </c>
      <c r="H155" s="9">
        <f>VLOOKUP(A155,[1]pricing!A:M,5,FALSE)</f>
        <v>15.93</v>
      </c>
      <c r="I155" s="10">
        <f>VLOOKUP(A155,[1]pricing!A:M,6,FALSE)</f>
        <v>19</v>
      </c>
    </row>
    <row r="156" spans="1:9" s="17" customFormat="1" ht="15" customHeight="1">
      <c r="A156" s="16">
        <v>2000027777</v>
      </c>
      <c r="B156" s="7" t="s">
        <v>51</v>
      </c>
      <c r="C156" s="7" t="str">
        <f>VLOOKUP(A156,[1]Translation!A:F,4,FALSE)</f>
        <v>Schulterpolster Set</v>
      </c>
      <c r="D156" s="18" t="s">
        <v>20</v>
      </c>
      <c r="E156" s="8" t="s">
        <v>10</v>
      </c>
      <c r="F156" s="8">
        <f>VLOOKUP(A156,'[1]PL ENG'!B:G,6, FALSE)</f>
        <v>4000984183306</v>
      </c>
      <c r="G156" s="8">
        <v>1</v>
      </c>
      <c r="H156" s="9">
        <f>VLOOKUP(A156,[1]pricing!A:M,5,FALSE)</f>
        <v>17.52</v>
      </c>
      <c r="I156" s="10">
        <f>VLOOKUP(A156,[1]pricing!A:M,6,FALSE)</f>
        <v>21</v>
      </c>
    </row>
    <row r="157" spans="1:9" s="17" customFormat="1" ht="15" customHeight="1">
      <c r="A157" s="16">
        <v>2000027779</v>
      </c>
      <c r="B157" s="7" t="s">
        <v>51</v>
      </c>
      <c r="C157" s="7" t="str">
        <f>VLOOKUP(A157,[1]Translation!A:F,4,FALSE)</f>
        <v>Schulterpolster Set</v>
      </c>
      <c r="D157" s="18" t="s">
        <v>21</v>
      </c>
      <c r="E157" s="8" t="s">
        <v>10</v>
      </c>
      <c r="F157" s="8">
        <f>VLOOKUP(A157,'[1]PL ENG'!B:G,6, FALSE)</f>
        <v>4000984183320</v>
      </c>
      <c r="G157" s="8">
        <v>1</v>
      </c>
      <c r="H157" s="9">
        <f>VLOOKUP(A157,[1]pricing!A:M,5,FALSE)</f>
        <v>17.52</v>
      </c>
      <c r="I157" s="10">
        <f>VLOOKUP(A157,[1]pricing!A:M,6,FALSE)</f>
        <v>21</v>
      </c>
    </row>
    <row r="158" spans="1:9" s="17" customFormat="1" ht="15" customHeight="1">
      <c r="A158" s="16">
        <v>2000029690</v>
      </c>
      <c r="B158" s="7" t="s">
        <v>51</v>
      </c>
      <c r="C158" s="7" t="str">
        <f>VLOOKUP(A158,[1]Translation!A:F,4,FALSE)</f>
        <v>Schulterpolster Set</v>
      </c>
      <c r="D158" s="18" t="s">
        <v>23</v>
      </c>
      <c r="E158" s="8" t="s">
        <v>10</v>
      </c>
      <c r="F158" s="8">
        <f>VLOOKUP(A158,'[1]PL ENG'!B:G,6, FALSE)</f>
        <v>4000984192650</v>
      </c>
      <c r="G158" s="8">
        <v>1</v>
      </c>
      <c r="H158" s="9">
        <f>VLOOKUP(A158,[1]pricing!A:M,5,FALSE)</f>
        <v>17.52</v>
      </c>
      <c r="I158" s="10">
        <f>VLOOKUP(A158,[1]pricing!A:M,6,FALSE)</f>
        <v>21</v>
      </c>
    </row>
    <row r="159" spans="1:9" s="17" customFormat="1" ht="15" customHeight="1">
      <c r="A159" s="16">
        <v>2000003672</v>
      </c>
      <c r="B159" s="18" t="s">
        <v>52</v>
      </c>
      <c r="C159" s="7" t="str">
        <f>VLOOKUP(A159,[1]Translation!A:F,4,FALSE)</f>
        <v>Gurtabdeckung</v>
      </c>
      <c r="D159" s="18"/>
      <c r="E159" s="8" t="s">
        <v>10</v>
      </c>
      <c r="F159" s="8">
        <f>VLOOKUP(A159,'[1]PL ENG'!B:G,6, FALSE)</f>
        <v>4000984084634</v>
      </c>
      <c r="G159" s="14">
        <v>1</v>
      </c>
      <c r="H159" s="9">
        <f>VLOOKUP(A159,[1]pricing!A:M,5,FALSE)</f>
        <v>8</v>
      </c>
      <c r="I159" s="10">
        <f>VLOOKUP(A159,[1]pricing!A:M,6,FALSE)</f>
        <v>10</v>
      </c>
    </row>
    <row r="160" spans="1:9" s="17" customFormat="1" ht="15" customHeight="1">
      <c r="A160" s="16">
        <v>2000003675</v>
      </c>
      <c r="B160" s="18" t="s">
        <v>52</v>
      </c>
      <c r="C160" s="7" t="str">
        <f>VLOOKUP(A160,[1]Translation!A:F,4,FALSE)</f>
        <v>Dämpfungseinleger Set</v>
      </c>
      <c r="D160" s="18"/>
      <c r="E160" s="8" t="s">
        <v>10</v>
      </c>
      <c r="F160" s="8">
        <f>VLOOKUP(A160,'[1]PL ENG'!B:G,6, FALSE)</f>
        <v>4000984084665</v>
      </c>
      <c r="G160" s="14">
        <v>1</v>
      </c>
      <c r="H160" s="9">
        <f>VLOOKUP(A160,[1]pricing!A:M,5,FALSE)</f>
        <v>13.73</v>
      </c>
      <c r="I160" s="10">
        <f>VLOOKUP(A160,[1]pricing!A:M,6,FALSE)</f>
        <v>20</v>
      </c>
    </row>
    <row r="161" spans="1:9" s="17" customFormat="1" ht="15" customHeight="1">
      <c r="A161" s="16">
        <v>2000004211</v>
      </c>
      <c r="B161" s="18" t="s">
        <v>52</v>
      </c>
      <c r="C161" s="7" t="str">
        <f>VLOOKUP(A161,[1]Translation!A:F,4,FALSE)</f>
        <v>Flugzeugzubehör Set</v>
      </c>
      <c r="D161" s="18"/>
      <c r="E161" s="8" t="s">
        <v>10</v>
      </c>
      <c r="F161" s="8">
        <f>VLOOKUP(A161,'[1]PL ENG'!B:G,6, FALSE)</f>
        <v>4000984085969</v>
      </c>
      <c r="G161" s="14">
        <v>1</v>
      </c>
      <c r="H161" s="9">
        <f>VLOOKUP(A161,[1]pricing!A:M,5,FALSE)</f>
        <v>15.93</v>
      </c>
      <c r="I161" s="10">
        <f>VLOOKUP(A161,[1]pricing!A:M,6,FALSE)</f>
        <v>19</v>
      </c>
    </row>
    <row r="162" spans="1:9" s="17" customFormat="1" ht="15" customHeight="1">
      <c r="A162" s="16">
        <v>2000024285</v>
      </c>
      <c r="B162" s="18" t="s">
        <v>52</v>
      </c>
      <c r="C162" s="7" t="str">
        <f>VLOOKUP(A162,[1]Translation!A:F,4,FALSE)</f>
        <v>Schulterpolster Set</v>
      </c>
      <c r="D162" s="18" t="s">
        <v>24</v>
      </c>
      <c r="E162" s="8" t="s">
        <v>10</v>
      </c>
      <c r="F162" s="8">
        <f>VLOOKUP(A162,'[1]PL ENG'!B:G,6, FALSE)</f>
        <v>4000984145694</v>
      </c>
      <c r="G162" s="14">
        <v>1</v>
      </c>
      <c r="H162" s="9">
        <f>VLOOKUP(A162,[1]pricing!A:M,5,FALSE)</f>
        <v>9.94</v>
      </c>
      <c r="I162" s="10">
        <f>VLOOKUP(A162,[1]pricing!A:M,6,FALSE)</f>
        <v>12</v>
      </c>
    </row>
    <row r="163" spans="1:9" s="17" customFormat="1" ht="15" customHeight="1">
      <c r="A163" s="16">
        <v>2000003871</v>
      </c>
      <c r="B163" s="18" t="s">
        <v>52</v>
      </c>
      <c r="C163" s="7" t="str">
        <f>VLOOKUP(A163,[1]Translation!A:F,4,FALSE)</f>
        <v xml:space="preserve">Gurtset </v>
      </c>
      <c r="D163" s="18"/>
      <c r="E163" s="8" t="s">
        <v>43</v>
      </c>
      <c r="F163" s="8">
        <f>VLOOKUP(A163,'[1]PL ENG'!B:G,6, FALSE)</f>
        <v>4000984085068</v>
      </c>
      <c r="G163" s="14">
        <v>1</v>
      </c>
      <c r="H163" s="9">
        <f>VLOOKUP(A163,[1]pricing!A:M,5,FALSE)</f>
        <v>9.94</v>
      </c>
      <c r="I163" s="10">
        <f>VLOOKUP(A163,[1]pricing!A:M,6,FALSE)</f>
        <v>12</v>
      </c>
    </row>
    <row r="164" spans="1:9" s="17" customFormat="1" ht="15" customHeight="1">
      <c r="A164" s="6">
        <v>2000007007</v>
      </c>
      <c r="B164" s="7" t="s">
        <v>53</v>
      </c>
      <c r="C164" s="7" t="str">
        <f>VLOOKUP(A164,[1]Translation!A:F,4,FALSE)</f>
        <v xml:space="preserve">Fach Bedienungsanleitung </v>
      </c>
      <c r="D164" s="7" t="s">
        <v>54</v>
      </c>
      <c r="E164" s="8" t="s">
        <v>10</v>
      </c>
      <c r="F164" s="8">
        <f>VLOOKUP(A164,'[1]PL ENG'!B:G,6, FALSE)</f>
        <v>4000984093391</v>
      </c>
      <c r="G164" s="8">
        <v>1</v>
      </c>
      <c r="H164" s="9">
        <f>VLOOKUP(A164,[1]pricing!A:M,5,FALSE)</f>
        <v>11.49</v>
      </c>
      <c r="I164" s="10">
        <f>VLOOKUP(A164,[1]pricing!A:M,6,FALSE)</f>
        <v>15</v>
      </c>
    </row>
    <row r="165" spans="1:9" s="17" customFormat="1" ht="15" customHeight="1">
      <c r="A165" s="6">
        <v>2000007047</v>
      </c>
      <c r="B165" s="7" t="s">
        <v>53</v>
      </c>
      <c r="C165" s="7" t="str">
        <f>VLOOKUP(A165,[1]Translation!A:F,4,FALSE)</f>
        <v>Isofix Einführhilfe breit</v>
      </c>
      <c r="D165" s="7" t="s">
        <v>24</v>
      </c>
      <c r="E165" s="8" t="s">
        <v>10</v>
      </c>
      <c r="F165" s="8">
        <f>VLOOKUP(A165,'[1]PL ENG'!B:G,6, FALSE)</f>
        <v>4000984093384</v>
      </c>
      <c r="G165" s="8">
        <v>1</v>
      </c>
      <c r="H165" s="9">
        <f>VLOOKUP(A165,[1]pricing!A:M,5,FALSE)</f>
        <v>7.09</v>
      </c>
      <c r="I165" s="10">
        <f>VLOOKUP(A165,[1]pricing!A:M,6,FALSE)</f>
        <v>10</v>
      </c>
    </row>
    <row r="166" spans="1:9" s="17" customFormat="1" ht="15" customHeight="1">
      <c r="A166" s="6">
        <v>2000007049</v>
      </c>
      <c r="B166" s="7" t="s">
        <v>53</v>
      </c>
      <c r="C166" s="7" t="str">
        <f>VLOOKUP(A166,[1]Translation!A:F,4,FALSE)</f>
        <v>Dämpfungseinleger Set</v>
      </c>
      <c r="D166" s="7"/>
      <c r="E166" s="8" t="s">
        <v>10</v>
      </c>
      <c r="F166" s="8">
        <f>VLOOKUP(A166,'[1]PL ENG'!B:G,6, FALSE)</f>
        <v>4000984093360</v>
      </c>
      <c r="G166" s="8">
        <v>1</v>
      </c>
      <c r="H166" s="9">
        <f>VLOOKUP(A166,[1]pricing!A:M,5,FALSE)</f>
        <v>13.73</v>
      </c>
      <c r="I166" s="10">
        <f>VLOOKUP(A166,[1]pricing!A:M,6,FALSE)</f>
        <v>20</v>
      </c>
    </row>
    <row r="167" spans="1:9" s="17" customFormat="1" ht="15" customHeight="1">
      <c r="A167" s="6">
        <v>2000007048</v>
      </c>
      <c r="B167" s="7" t="s">
        <v>53</v>
      </c>
      <c r="C167" s="7" t="str">
        <f>VLOOKUP(A167,[1]Translation!A:F,4,FALSE)</f>
        <v>Dämpfungseinleger Kopfstütze mit Befestigungsstopfen</v>
      </c>
      <c r="D167" s="7"/>
      <c r="E167" s="8" t="s">
        <v>10</v>
      </c>
      <c r="F167" s="8">
        <f>VLOOKUP(A167,'[1]PL ENG'!B:G,6, FALSE)</f>
        <v>4000984093377</v>
      </c>
      <c r="G167" s="8">
        <v>1</v>
      </c>
      <c r="H167" s="9">
        <f>VLOOKUP(A167,[1]pricing!A:M,5,FALSE)</f>
        <v>9.6999999999999993</v>
      </c>
      <c r="I167" s="10">
        <f>VLOOKUP(A167,[1]pricing!A:M,6,FALSE)</f>
        <v>15</v>
      </c>
    </row>
    <row r="168" spans="1:9" s="17" customFormat="1" ht="15" customHeight="1">
      <c r="A168" s="6">
        <v>2000021914</v>
      </c>
      <c r="B168" s="7" t="s">
        <v>53</v>
      </c>
      <c r="C168" s="7" t="str">
        <f>VLOOKUP(A168,[1]Translation!A:F,4,FALSE)</f>
        <v>Schaumeinleger</v>
      </c>
      <c r="D168" s="7"/>
      <c r="E168" s="8" t="s">
        <v>10</v>
      </c>
      <c r="F168" s="8">
        <f>VLOOKUP(A168,'[1]PL ENG'!B:G,6, FALSE)</f>
        <v>4000984131895</v>
      </c>
      <c r="G168" s="8">
        <v>1</v>
      </c>
      <c r="H168" s="9">
        <f>VLOOKUP(A168,[1]pricing!A:M,5,FALSE)</f>
        <v>9.0500000000000007</v>
      </c>
      <c r="I168" s="10">
        <f>VLOOKUP(A168,[1]pricing!A:M,6,FALSE)</f>
        <v>15</v>
      </c>
    </row>
    <row r="169" spans="1:9" s="17" customFormat="1" ht="30">
      <c r="A169" s="20">
        <v>2000024267</v>
      </c>
      <c r="B169" s="38" t="s">
        <v>55</v>
      </c>
      <c r="C169" s="7" t="str">
        <f>VLOOKUP(A169,[1]Translation!A:F,4,FALSE)</f>
        <v>Schulterpolster Set</v>
      </c>
      <c r="D169" s="21" t="s">
        <v>11</v>
      </c>
      <c r="E169" s="8" t="s">
        <v>10</v>
      </c>
      <c r="F169" s="8">
        <f>VLOOKUP(A169,'[1]PL ENG'!B:G,6, FALSE)</f>
        <v>4000984145786</v>
      </c>
      <c r="G169" s="22">
        <v>1</v>
      </c>
      <c r="H169" s="9">
        <f>VLOOKUP(A169,[1]pricing!A:M,5,FALSE)</f>
        <v>15.93</v>
      </c>
      <c r="I169" s="10">
        <f>VLOOKUP(A169,[1]pricing!A:M,6,FALSE)</f>
        <v>20</v>
      </c>
    </row>
    <row r="170" spans="1:9" s="17" customFormat="1" ht="15" customHeight="1">
      <c r="A170" s="6">
        <v>2000024268</v>
      </c>
      <c r="B170" s="38" t="s">
        <v>55</v>
      </c>
      <c r="C170" s="7" t="str">
        <f>VLOOKUP(A170,[1]Translation!A:F,4,FALSE)</f>
        <v>Schulterpolster Set</v>
      </c>
      <c r="D170" s="7" t="s">
        <v>12</v>
      </c>
      <c r="E170" s="8" t="s">
        <v>10</v>
      </c>
      <c r="F170" s="8">
        <f>VLOOKUP(A170,'[1]PL ENG'!B:G,6, FALSE)</f>
        <v>4000984145793</v>
      </c>
      <c r="G170" s="8">
        <v>1</v>
      </c>
      <c r="H170" s="9">
        <f>VLOOKUP(A170,[1]pricing!A:M,5,FALSE)</f>
        <v>15.93</v>
      </c>
      <c r="I170" s="10">
        <f>VLOOKUP(A170,[1]pricing!A:M,6,FALSE)</f>
        <v>20</v>
      </c>
    </row>
    <row r="171" spans="1:9" s="17" customFormat="1" ht="15" customHeight="1">
      <c r="A171" s="6">
        <v>2000024269</v>
      </c>
      <c r="B171" s="38" t="s">
        <v>55</v>
      </c>
      <c r="C171" s="7" t="str">
        <f>VLOOKUP(A171,[1]Translation!A:F,4,FALSE)</f>
        <v>Schulterpolster Set</v>
      </c>
      <c r="D171" s="7" t="s">
        <v>13</v>
      </c>
      <c r="E171" s="8" t="s">
        <v>10</v>
      </c>
      <c r="F171" s="8">
        <f>VLOOKUP(A171,'[1]PL ENG'!B:G,6, FALSE)</f>
        <v>4000984145809</v>
      </c>
      <c r="G171" s="8">
        <v>1</v>
      </c>
      <c r="H171" s="9">
        <f>VLOOKUP(A171,[1]pricing!A:M,5,FALSE)</f>
        <v>15.93</v>
      </c>
      <c r="I171" s="10">
        <f>VLOOKUP(A171,[1]pricing!A:M,6,FALSE)</f>
        <v>20</v>
      </c>
    </row>
    <row r="172" spans="1:9" s="17" customFormat="1" ht="15" customHeight="1">
      <c r="A172" s="6">
        <v>2000026180</v>
      </c>
      <c r="B172" s="38" t="s">
        <v>55</v>
      </c>
      <c r="C172" s="7" t="str">
        <f>VLOOKUP(A172,[1]Translation!A:F,4,FALSE)</f>
        <v>Schulterpolster Set</v>
      </c>
      <c r="D172" s="7" t="s">
        <v>14</v>
      </c>
      <c r="E172" s="8" t="s">
        <v>10</v>
      </c>
      <c r="F172" s="8">
        <f>VLOOKUP(A172,'[1]PL ENG'!B:G,6, FALSE)</f>
        <v>4000984154283</v>
      </c>
      <c r="G172" s="8">
        <v>1</v>
      </c>
      <c r="H172" s="9">
        <f>VLOOKUP(A172,[1]pricing!A:M,5,FALSE)</f>
        <v>15.93</v>
      </c>
      <c r="I172" s="10">
        <f>VLOOKUP(A172,[1]pricing!A:M,6,FALSE)</f>
        <v>20</v>
      </c>
    </row>
    <row r="173" spans="1:9" s="17" customFormat="1" ht="15" customHeight="1">
      <c r="A173" s="6">
        <v>2000003453</v>
      </c>
      <c r="B173" s="38" t="s">
        <v>55</v>
      </c>
      <c r="C173" s="7" t="str">
        <f>VLOOKUP(A173,[1]Translation!A:F,4,FALSE)</f>
        <v>Dämpfungseinleger Kopfstütze</v>
      </c>
      <c r="D173" s="7"/>
      <c r="E173" s="8" t="s">
        <v>10</v>
      </c>
      <c r="F173" s="8">
        <f>VLOOKUP(A173,'[1]PL ENG'!B:G,6, FALSE)</f>
        <v>4000984082265</v>
      </c>
      <c r="G173" s="8">
        <v>1</v>
      </c>
      <c r="H173" s="9">
        <f>VLOOKUP(A173,[1]pricing!A:M,5,FALSE)</f>
        <v>13.73</v>
      </c>
      <c r="I173" s="10">
        <f>VLOOKUP(A173,[1]pricing!A:M,6,FALSE)</f>
        <v>20</v>
      </c>
    </row>
    <row r="174" spans="1:9" s="17" customFormat="1" ht="15" customHeight="1">
      <c r="A174" s="6">
        <v>2000003454</v>
      </c>
      <c r="B174" s="38" t="s">
        <v>55</v>
      </c>
      <c r="C174" s="7" t="str">
        <f>VLOOKUP(A174,[1]Translation!A:F,4,FALSE)</f>
        <v>Gurtklemmen Set</v>
      </c>
      <c r="D174" s="7"/>
      <c r="E174" s="8" t="s">
        <v>10</v>
      </c>
      <c r="F174" s="8">
        <f>VLOOKUP(A174,'[1]PL ENG'!B:G,6, FALSE)</f>
        <v>4000984082272</v>
      </c>
      <c r="G174" s="8">
        <v>1</v>
      </c>
      <c r="H174" s="9">
        <f>VLOOKUP(A174,[1]pricing!A:M,5,FALSE)</f>
        <v>17.32</v>
      </c>
      <c r="I174" s="10">
        <f>VLOOKUP(A174,[1]pricing!A:M,6,FALSE)</f>
        <v>25</v>
      </c>
    </row>
    <row r="175" spans="1:9" s="17" customFormat="1" ht="15" customHeight="1">
      <c r="A175" s="6">
        <v>2000003455</v>
      </c>
      <c r="B175" s="38" t="s">
        <v>55</v>
      </c>
      <c r="C175" s="7" t="str">
        <f>VLOOKUP(A175,[1]Translation!A:F,4,FALSE)</f>
        <v xml:space="preserve">Gurtset </v>
      </c>
      <c r="D175" s="7"/>
      <c r="E175" s="8" t="s">
        <v>43</v>
      </c>
      <c r="F175" s="8">
        <f>VLOOKUP(A175,'[1]PL ENG'!B:G,6, FALSE)</f>
        <v>4000984082289</v>
      </c>
      <c r="G175" s="8">
        <v>1</v>
      </c>
      <c r="H175" s="9">
        <f>VLOOKUP(A175,[1]pricing!A:M,5,FALSE)</f>
        <v>19.32</v>
      </c>
      <c r="I175" s="10">
        <f>VLOOKUP(A175,[1]pricing!A:M,6,FALSE)</f>
        <v>23</v>
      </c>
    </row>
    <row r="176" spans="1:9" s="17" customFormat="1" ht="15" customHeight="1">
      <c r="A176" s="6">
        <v>2000003887</v>
      </c>
      <c r="B176" s="38" t="s">
        <v>55</v>
      </c>
      <c r="C176" s="7" t="str">
        <f>VLOOKUP(A176,[1]Translation!A:F,4,FALSE)</f>
        <v>Schaumeinleger</v>
      </c>
      <c r="D176" s="7"/>
      <c r="E176" s="8" t="s">
        <v>10</v>
      </c>
      <c r="F176" s="8">
        <f>VLOOKUP(A176,'[1]PL ENG'!B:G,6, FALSE)</f>
        <v>4000984085174</v>
      </c>
      <c r="G176" s="8">
        <v>1</v>
      </c>
      <c r="H176" s="9">
        <f>VLOOKUP(A176,[1]pricing!A:M,5,FALSE)</f>
        <v>9.0500000000000007</v>
      </c>
      <c r="I176" s="10">
        <f>VLOOKUP(A176,[1]pricing!A:M,6,FALSE)</f>
        <v>15</v>
      </c>
    </row>
    <row r="177" spans="1:9" s="17" customFormat="1" ht="15" customHeight="1">
      <c r="A177" s="6">
        <v>55450050</v>
      </c>
      <c r="B177" s="38" t="s">
        <v>55</v>
      </c>
      <c r="C177" s="7" t="str">
        <f>VLOOKUP(A177,[1]Translation!A:F,4,FALSE)</f>
        <v>Isofix Einführhilfe</v>
      </c>
      <c r="D177" s="7"/>
      <c r="E177" s="8" t="s">
        <v>10</v>
      </c>
      <c r="F177" s="8">
        <f>VLOOKUP(A177,'[1]PL ENG'!B:G,6, FALSE)</f>
        <v>4000984100327</v>
      </c>
      <c r="G177" s="8">
        <v>1</v>
      </c>
      <c r="H177" s="9">
        <f>VLOOKUP(A177,[1]pricing!A:M,5,FALSE)</f>
        <v>7.09</v>
      </c>
      <c r="I177" s="10">
        <f>VLOOKUP(A177,[1]pricing!A:M,6,FALSE)</f>
        <v>10</v>
      </c>
    </row>
    <row r="178" spans="1:9" s="17" customFormat="1" ht="30">
      <c r="A178" s="20">
        <v>2000024261</v>
      </c>
      <c r="B178" s="38" t="s">
        <v>56</v>
      </c>
      <c r="C178" s="7" t="str">
        <f>VLOOKUP(A178,[1]Translation!A:F,4,FALSE)</f>
        <v>Schulterpolster Set</v>
      </c>
      <c r="D178" s="21" t="s">
        <v>11</v>
      </c>
      <c r="E178" s="8" t="s">
        <v>10</v>
      </c>
      <c r="F178" s="8">
        <f>VLOOKUP(A178,'[1]PL ENG'!B:G,6, FALSE)</f>
        <v>4000984146004</v>
      </c>
      <c r="G178" s="22">
        <v>1</v>
      </c>
      <c r="H178" s="9">
        <f>VLOOKUP(A178,[1]pricing!A:M,5,FALSE)</f>
        <v>15.93</v>
      </c>
      <c r="I178" s="10">
        <f>VLOOKUP(A178,[1]pricing!A:M,6,FALSE)</f>
        <v>20</v>
      </c>
    </row>
    <row r="179" spans="1:9" s="17" customFormat="1" ht="15" customHeight="1">
      <c r="A179" s="6">
        <v>2000024262</v>
      </c>
      <c r="B179" s="38" t="s">
        <v>56</v>
      </c>
      <c r="C179" s="7" t="str">
        <f>VLOOKUP(A179,[1]Translation!A:F,4,FALSE)</f>
        <v>Schulterpolster Set</v>
      </c>
      <c r="D179" s="7" t="s">
        <v>12</v>
      </c>
      <c r="E179" s="8" t="s">
        <v>10</v>
      </c>
      <c r="F179" s="8">
        <f>VLOOKUP(A179,'[1]PL ENG'!B:G,6, FALSE)</f>
        <v>4000984146011</v>
      </c>
      <c r="G179" s="8">
        <v>1</v>
      </c>
      <c r="H179" s="9">
        <f>VLOOKUP(A179,[1]pricing!A:M,5,FALSE)</f>
        <v>15.93</v>
      </c>
      <c r="I179" s="10">
        <f>VLOOKUP(A179,[1]pricing!A:M,6,FALSE)</f>
        <v>20</v>
      </c>
    </row>
    <row r="180" spans="1:9" s="17" customFormat="1" ht="15" customHeight="1">
      <c r="A180" s="6">
        <v>2000024266</v>
      </c>
      <c r="B180" s="38" t="s">
        <v>56</v>
      </c>
      <c r="C180" s="7" t="str">
        <f>VLOOKUP(A180,[1]Translation!A:F,4,FALSE)</f>
        <v>Schulterpolster Set</v>
      </c>
      <c r="D180" s="7" t="s">
        <v>57</v>
      </c>
      <c r="E180" s="8" t="s">
        <v>10</v>
      </c>
      <c r="F180" s="8">
        <f>VLOOKUP(A180,'[1]PL ENG'!B:G,6, FALSE)</f>
        <v>4000984145779</v>
      </c>
      <c r="G180" s="8">
        <v>1</v>
      </c>
      <c r="H180" s="9">
        <f>VLOOKUP(A180,[1]pricing!A:M,5,FALSE)</f>
        <v>15.93</v>
      </c>
      <c r="I180" s="10">
        <f>VLOOKUP(A180,[1]pricing!A:M,6,FALSE)</f>
        <v>20</v>
      </c>
    </row>
    <row r="181" spans="1:9" s="17" customFormat="1" ht="15" customHeight="1">
      <c r="A181" s="6">
        <v>2000024265</v>
      </c>
      <c r="B181" s="38" t="s">
        <v>56</v>
      </c>
      <c r="C181" s="7" t="str">
        <f>VLOOKUP(A181,[1]Translation!A:F,4,FALSE)</f>
        <v>Schulterpolster Set</v>
      </c>
      <c r="D181" s="7" t="s">
        <v>58</v>
      </c>
      <c r="E181" s="8" t="s">
        <v>10</v>
      </c>
      <c r="F181" s="8">
        <f>VLOOKUP(A181,'[1]PL ENG'!B:G,6, FALSE)</f>
        <v>4000984145762</v>
      </c>
      <c r="G181" s="8">
        <v>1</v>
      </c>
      <c r="H181" s="9">
        <f>VLOOKUP(A181,[1]pricing!A:M,5,FALSE)</f>
        <v>15.93</v>
      </c>
      <c r="I181" s="10">
        <f>VLOOKUP(A181,[1]pricing!A:M,6,FALSE)</f>
        <v>20</v>
      </c>
    </row>
    <row r="182" spans="1:9" s="17" customFormat="1" ht="15" customHeight="1">
      <c r="A182" s="6">
        <v>2000024263</v>
      </c>
      <c r="B182" s="38" t="s">
        <v>56</v>
      </c>
      <c r="C182" s="7" t="str">
        <f>VLOOKUP(A182,[1]Translation!A:F,4,FALSE)</f>
        <v>Schulterpolster Set</v>
      </c>
      <c r="D182" s="7" t="s">
        <v>13</v>
      </c>
      <c r="E182" s="8" t="s">
        <v>10</v>
      </c>
      <c r="F182" s="8">
        <f>VLOOKUP(A182,'[1]PL ENG'!B:G,6, FALSE)</f>
        <v>4000984146028</v>
      </c>
      <c r="G182" s="8">
        <v>1</v>
      </c>
      <c r="H182" s="9">
        <f>VLOOKUP(A182,[1]pricing!A:M,5,FALSE)</f>
        <v>15.93</v>
      </c>
      <c r="I182" s="10">
        <f>VLOOKUP(A182,[1]pricing!A:M,6,FALSE)</f>
        <v>20</v>
      </c>
    </row>
    <row r="183" spans="1:9" s="17" customFormat="1" ht="15" customHeight="1">
      <c r="A183" s="16">
        <v>2000026172</v>
      </c>
      <c r="B183" s="38" t="s">
        <v>56</v>
      </c>
      <c r="C183" s="7" t="str">
        <f>VLOOKUP(A183,[1]Translation!A:F,4,FALSE)</f>
        <v>Schulterpolster Set</v>
      </c>
      <c r="D183" s="18" t="s">
        <v>15</v>
      </c>
      <c r="E183" s="8" t="s">
        <v>10</v>
      </c>
      <c r="F183" s="8">
        <f>VLOOKUP(A183,'[1]PL ENG'!B:G,6, FALSE)</f>
        <v>4000984154207</v>
      </c>
      <c r="G183" s="14">
        <v>1</v>
      </c>
      <c r="H183" s="9">
        <f>VLOOKUP(A183,[1]pricing!A:M,5,FALSE)</f>
        <v>15.93</v>
      </c>
      <c r="I183" s="10">
        <f>VLOOKUP(A183,[1]pricing!A:M,6,FALSE)</f>
        <v>20</v>
      </c>
    </row>
    <row r="184" spans="1:9" s="17" customFormat="1" ht="15" customHeight="1">
      <c r="A184" s="16">
        <v>2000026171</v>
      </c>
      <c r="B184" s="38" t="s">
        <v>56</v>
      </c>
      <c r="C184" s="7" t="str">
        <f>VLOOKUP(A184,[1]Translation!A:F,4,FALSE)</f>
        <v>Schulterpolster Set</v>
      </c>
      <c r="D184" s="18" t="s">
        <v>14</v>
      </c>
      <c r="E184" s="8" t="s">
        <v>10</v>
      </c>
      <c r="F184" s="8">
        <f>VLOOKUP(A184,'[1]PL ENG'!B:G,6, FALSE)</f>
        <v>4000984154191</v>
      </c>
      <c r="G184" s="14">
        <v>1</v>
      </c>
      <c r="H184" s="9">
        <f>VLOOKUP(A184,[1]pricing!A:M,5,FALSE)</f>
        <v>15.93</v>
      </c>
      <c r="I184" s="10">
        <f>VLOOKUP(A184,[1]pricing!A:M,6,FALSE)</f>
        <v>25</v>
      </c>
    </row>
    <row r="185" spans="1:9" s="17" customFormat="1" ht="15" customHeight="1">
      <c r="A185" s="6">
        <v>2000003486</v>
      </c>
      <c r="B185" s="38" t="s">
        <v>56</v>
      </c>
      <c r="C185" s="7" t="str">
        <f>VLOOKUP(A185,[1]Translation!A:F,4,FALSE)</f>
        <v>Gurtklemmen Set</v>
      </c>
      <c r="D185" s="7"/>
      <c r="E185" s="8" t="s">
        <v>43</v>
      </c>
      <c r="F185" s="8">
        <f>VLOOKUP(A185,'[1]PL ENG'!B:G,6, FALSE)</f>
        <v>4000984082593</v>
      </c>
      <c r="G185" s="8">
        <v>1</v>
      </c>
      <c r="H185" s="9">
        <f>VLOOKUP(A185,[1]pricing!A:M,5,FALSE)</f>
        <v>17.32</v>
      </c>
      <c r="I185" s="10">
        <f>VLOOKUP(A185,[1]pricing!A:M,6,FALSE)</f>
        <v>21</v>
      </c>
    </row>
    <row r="186" spans="1:9" s="17" customFormat="1" ht="15" customHeight="1">
      <c r="A186" s="6">
        <v>2000003478</v>
      </c>
      <c r="B186" s="38" t="s">
        <v>56</v>
      </c>
      <c r="C186" s="7" t="str">
        <f>VLOOKUP(A186,[1]Translation!A:F,4,FALSE)</f>
        <v>Dämpfungseinleger Set mit Befestigungsstopfen</v>
      </c>
      <c r="D186" s="7"/>
      <c r="E186" s="8" t="s">
        <v>10</v>
      </c>
      <c r="F186" s="8">
        <f>VLOOKUP(A186,'[1]PL ENG'!B:G,6, FALSE)</f>
        <v>4000984082517</v>
      </c>
      <c r="G186" s="8">
        <v>1</v>
      </c>
      <c r="H186" s="9">
        <f>VLOOKUP(A186,[1]pricing!A:M,5,FALSE)</f>
        <v>13.73</v>
      </c>
      <c r="I186" s="10">
        <f>VLOOKUP(A186,[1]pricing!A:M,6,FALSE)</f>
        <v>20</v>
      </c>
    </row>
    <row r="187" spans="1:9" s="17" customFormat="1" ht="15" customHeight="1">
      <c r="A187" s="6">
        <v>2000003480</v>
      </c>
      <c r="B187" s="38" t="s">
        <v>56</v>
      </c>
      <c r="C187" s="7" t="str">
        <f>VLOOKUP(A187,[1]Translation!A:F,4,FALSE)</f>
        <v xml:space="preserve">Dämpfungseinleger Kopfstütze mit Befestigungsstopfen </v>
      </c>
      <c r="D187" s="7"/>
      <c r="E187" s="8" t="s">
        <v>10</v>
      </c>
      <c r="F187" s="8">
        <f>VLOOKUP(A187,'[1]PL ENG'!B:G,6, FALSE)</f>
        <v>4000984082531</v>
      </c>
      <c r="G187" s="8">
        <v>1</v>
      </c>
      <c r="H187" s="9">
        <f>VLOOKUP(A187,[1]pricing!A:M,5,FALSE)</f>
        <v>13.73</v>
      </c>
      <c r="I187" s="10">
        <f>VLOOKUP(A187,[1]pricing!A:M,6,FALSE)</f>
        <v>20</v>
      </c>
    </row>
    <row r="188" spans="1:9" s="17" customFormat="1" ht="15" customHeight="1">
      <c r="A188" s="6">
        <v>2000003892</v>
      </c>
      <c r="B188" s="38" t="s">
        <v>56</v>
      </c>
      <c r="C188" s="7" t="str">
        <f>VLOOKUP(A188,[1]Translation!A:F,4,FALSE)</f>
        <v>Schaumeinleger</v>
      </c>
      <c r="D188" s="7"/>
      <c r="E188" s="8" t="s">
        <v>10</v>
      </c>
      <c r="F188" s="8">
        <f>VLOOKUP(A188,'[1]PL ENG'!B:G,6, FALSE)</f>
        <v>4000984085228</v>
      </c>
      <c r="G188" s="8">
        <v>1</v>
      </c>
      <c r="H188" s="9">
        <f>VLOOKUP(A188,[1]pricing!A:M,5,FALSE)</f>
        <v>9.0500000000000007</v>
      </c>
      <c r="I188" s="10">
        <f>VLOOKUP(A188,[1]pricing!A:M,6,FALSE)</f>
        <v>15</v>
      </c>
    </row>
    <row r="189" spans="1:9" s="17" customFormat="1" ht="15" customHeight="1">
      <c r="A189" s="6">
        <v>2000003469</v>
      </c>
      <c r="B189" s="38" t="s">
        <v>56</v>
      </c>
      <c r="C189" s="7" t="str">
        <f>VLOOKUP(A189,[1]Translation!A:F,4,FALSE)</f>
        <v>Zweischlitzplatte Set</v>
      </c>
      <c r="D189" s="7"/>
      <c r="E189" s="8" t="s">
        <v>10</v>
      </c>
      <c r="F189" s="8">
        <f>VLOOKUP(A189,'[1]PL ENG'!B:G,6, FALSE)</f>
        <v>4000984082425</v>
      </c>
      <c r="G189" s="8">
        <v>1</v>
      </c>
      <c r="H189" s="9">
        <f>VLOOKUP(A189,[1]pricing!A:M,5,FALSE)</f>
        <v>7.05</v>
      </c>
      <c r="I189" s="10">
        <f>VLOOKUP(A189,[1]pricing!A:M,6,FALSE)</f>
        <v>10</v>
      </c>
    </row>
    <row r="190" spans="1:9" s="17" customFormat="1" ht="15" customHeight="1">
      <c r="A190" s="16">
        <v>2000003485</v>
      </c>
      <c r="B190" s="38" t="s">
        <v>56</v>
      </c>
      <c r="C190" s="7" t="str">
        <f>VLOOKUP(A190,[1]Translation!A:F,4,FALSE)</f>
        <v xml:space="preserve">Gurtset </v>
      </c>
      <c r="D190" s="18"/>
      <c r="E190" s="8" t="s">
        <v>43</v>
      </c>
      <c r="F190" s="8">
        <f>VLOOKUP(A190,'[1]PL ENG'!B:G,6, FALSE)</f>
        <v>4000984082586</v>
      </c>
      <c r="G190" s="14">
        <v>1</v>
      </c>
      <c r="H190" s="9">
        <f>VLOOKUP(A190,[1]pricing!A:M,5,FALSE)</f>
        <v>19.32</v>
      </c>
      <c r="I190" s="10">
        <f>VLOOKUP(A190,[1]pricing!A:M,6,FALSE)</f>
        <v>23</v>
      </c>
    </row>
    <row r="191" spans="1:9" ht="15" customHeight="1">
      <c r="A191" s="19">
        <v>2000003891</v>
      </c>
      <c r="B191" s="38" t="s">
        <v>56</v>
      </c>
      <c r="C191" s="7" t="str">
        <f>VLOOKUP(A191,[1]Translation!A:F,4,FALSE)</f>
        <v>Blenden Set Gurtversteller</v>
      </c>
      <c r="D191" s="18"/>
      <c r="E191" s="8" t="s">
        <v>10</v>
      </c>
      <c r="F191" s="8">
        <f>VLOOKUP(A191,'[1]PL ENG'!B:G,6, FALSE)</f>
        <v>4000984085211</v>
      </c>
      <c r="G191" s="14">
        <v>1</v>
      </c>
      <c r="H191" s="9">
        <f>VLOOKUP(A191,[1]pricing!A:M,5,FALSE)</f>
        <v>8</v>
      </c>
      <c r="I191" s="10">
        <f>VLOOKUP(A191,[1]pricing!A:M,6,FALSE)</f>
        <v>10</v>
      </c>
    </row>
    <row r="192" spans="1:9" s="17" customFormat="1" ht="15" customHeight="1">
      <c r="A192" s="6">
        <v>2000003482</v>
      </c>
      <c r="B192" s="7" t="s">
        <v>59</v>
      </c>
      <c r="C192" s="7" t="str">
        <f>VLOOKUP(A192,[1]Translation!A:F,4,FALSE)</f>
        <v>Dämpfungseinleger Kopfstütze</v>
      </c>
      <c r="D192" s="7"/>
      <c r="E192" s="8" t="s">
        <v>10</v>
      </c>
      <c r="F192" s="8">
        <f>VLOOKUP(A192,'[1]PL ENG'!B:G,6, FALSE)</f>
        <v>4000984082555</v>
      </c>
      <c r="G192" s="8">
        <v>1</v>
      </c>
      <c r="H192" s="9">
        <f>VLOOKUP(A192,[1]pricing!A:M,5,FALSE)</f>
        <v>13.73</v>
      </c>
      <c r="I192" s="10">
        <f>VLOOKUP(A192,[1]pricing!A:M,6,FALSE)</f>
        <v>20</v>
      </c>
    </row>
    <row r="193" spans="1:9" s="17" customFormat="1" ht="15" customHeight="1">
      <c r="A193" s="6">
        <v>2000003478</v>
      </c>
      <c r="B193" s="7" t="s">
        <v>60</v>
      </c>
      <c r="C193" s="7" t="str">
        <f>VLOOKUP(A193,[1]Translation!A:F,4,FALSE)</f>
        <v>Dämpfungseinleger Set mit Befestigungsstopfen</v>
      </c>
      <c r="D193" s="7"/>
      <c r="E193" s="8" t="s">
        <v>10</v>
      </c>
      <c r="F193" s="8">
        <f>VLOOKUP(A193,'[1]PL ENG'!B:G,6, FALSE)</f>
        <v>4000984082517</v>
      </c>
      <c r="G193" s="8">
        <v>1</v>
      </c>
      <c r="H193" s="9">
        <f>VLOOKUP(A193,[1]pricing!A:M,5,FALSE)</f>
        <v>13.73</v>
      </c>
      <c r="I193" s="10">
        <f>VLOOKUP(A193,[1]pricing!A:M,6,FALSE)</f>
        <v>20</v>
      </c>
    </row>
    <row r="194" spans="1:9" s="17" customFormat="1" ht="15" customHeight="1">
      <c r="A194" s="6">
        <v>2000003480</v>
      </c>
      <c r="B194" s="7" t="s">
        <v>60</v>
      </c>
      <c r="C194" s="7" t="str">
        <f>VLOOKUP(A194,[1]Translation!A:F,4,FALSE)</f>
        <v xml:space="preserve">Dämpfungseinleger Kopfstütze mit Befestigungsstopfen </v>
      </c>
      <c r="D194" s="7"/>
      <c r="E194" s="8" t="s">
        <v>10</v>
      </c>
      <c r="F194" s="8">
        <f>VLOOKUP(A194,'[1]PL ENG'!B:G,6, FALSE)</f>
        <v>4000984082531</v>
      </c>
      <c r="G194" s="8">
        <v>1</v>
      </c>
      <c r="H194" s="9">
        <f>VLOOKUP(A194,[1]pricing!A:M,5,FALSE)</f>
        <v>13.73</v>
      </c>
      <c r="I194" s="10">
        <f>VLOOKUP(A194,[1]pricing!A:M,6,FALSE)</f>
        <v>20</v>
      </c>
    </row>
    <row r="195" spans="1:9" s="17" customFormat="1" ht="15" customHeight="1">
      <c r="A195" s="6">
        <v>2000003892</v>
      </c>
      <c r="B195" s="7" t="s">
        <v>60</v>
      </c>
      <c r="C195" s="7" t="str">
        <f>VLOOKUP(A195,[1]Translation!A:F,4,FALSE)</f>
        <v>Schaumeinleger</v>
      </c>
      <c r="D195" s="7"/>
      <c r="E195" s="8" t="s">
        <v>10</v>
      </c>
      <c r="F195" s="8">
        <f>VLOOKUP(A195,'[1]PL ENG'!B:G,6, FALSE)</f>
        <v>4000984085228</v>
      </c>
      <c r="G195" s="8">
        <v>1</v>
      </c>
      <c r="H195" s="9">
        <f>VLOOKUP(A195,[1]pricing!A:M,5,FALSE)</f>
        <v>9.0500000000000007</v>
      </c>
      <c r="I195" s="10">
        <f>VLOOKUP(A195,[1]pricing!A:M,6,FALSE)</f>
        <v>15</v>
      </c>
    </row>
    <row r="196" spans="1:9" s="17" customFormat="1" ht="15" customHeight="1">
      <c r="A196" s="6">
        <v>2000003469</v>
      </c>
      <c r="B196" s="7" t="s">
        <v>60</v>
      </c>
      <c r="C196" s="7" t="str">
        <f>VLOOKUP(A196,[1]Translation!A:F,4,FALSE)</f>
        <v>Zweischlitzplatte Set</v>
      </c>
      <c r="D196" s="7"/>
      <c r="E196" s="8" t="s">
        <v>10</v>
      </c>
      <c r="F196" s="8">
        <f>VLOOKUP(A196,'[1]PL ENG'!B:G,6, FALSE)</f>
        <v>4000984082425</v>
      </c>
      <c r="G196" s="8">
        <v>1</v>
      </c>
      <c r="H196" s="9">
        <f>VLOOKUP(A196,[1]pricing!A:M,5,FALSE)</f>
        <v>7.05</v>
      </c>
      <c r="I196" s="10">
        <f>VLOOKUP(A196,[1]pricing!A:M,6,FALSE)</f>
        <v>10</v>
      </c>
    </row>
    <row r="197" spans="1:9" s="17" customFormat="1" ht="15" customHeight="1">
      <c r="A197" s="6">
        <v>2000003868</v>
      </c>
      <c r="B197" s="7" t="s">
        <v>60</v>
      </c>
      <c r="C197" s="7" t="str">
        <f>VLOOKUP(A197,[1]Translation!A:F,4,FALSE)</f>
        <v>Spannklappenrad Set</v>
      </c>
      <c r="D197" s="7"/>
      <c r="E197" s="8" t="s">
        <v>10</v>
      </c>
      <c r="F197" s="8">
        <f>VLOOKUP(A197,'[1]PL ENG'!B:G,6, FALSE)</f>
        <v>4000984085099</v>
      </c>
      <c r="G197" s="8">
        <v>1</v>
      </c>
      <c r="H197" s="9">
        <f>VLOOKUP(A197,[1]pricing!A:M,5,FALSE)</f>
        <v>6.64</v>
      </c>
      <c r="I197" s="10">
        <f>VLOOKUP(A197,[1]pricing!A:M,6,FALSE)</f>
        <v>10</v>
      </c>
    </row>
    <row r="198" spans="1:9" s="17" customFormat="1" ht="15" customHeight="1">
      <c r="A198" s="6">
        <v>2000003485</v>
      </c>
      <c r="B198" s="7" t="s">
        <v>60</v>
      </c>
      <c r="C198" s="7" t="str">
        <f>VLOOKUP(A198,[1]Translation!A:F,4,FALSE)</f>
        <v xml:space="preserve">Gurtset </v>
      </c>
      <c r="D198" s="7"/>
      <c r="E198" s="8" t="s">
        <v>43</v>
      </c>
      <c r="F198" s="8">
        <f>VLOOKUP(A198,'[1]PL ENG'!B:G,6, FALSE)</f>
        <v>4000984082586</v>
      </c>
      <c r="G198" s="8">
        <v>1</v>
      </c>
      <c r="H198" s="9">
        <f>VLOOKUP(A198,[1]pricing!A:M,5,FALSE)</f>
        <v>19.32</v>
      </c>
      <c r="I198" s="10">
        <f>VLOOKUP(A198,[1]pricing!A:M,6,FALSE)</f>
        <v>23</v>
      </c>
    </row>
    <row r="199" spans="1:9" s="17" customFormat="1" ht="15" customHeight="1">
      <c r="A199" s="6">
        <v>2000003890</v>
      </c>
      <c r="B199" s="7" t="s">
        <v>61</v>
      </c>
      <c r="C199" s="7" t="str">
        <f>VLOOKUP(A199,[1]Translation!A:F,4,FALSE)</f>
        <v>Dämpfungseinleger Kopfstütze</v>
      </c>
      <c r="D199" s="7"/>
      <c r="E199" s="8" t="s">
        <v>10</v>
      </c>
      <c r="F199" s="8">
        <f>VLOOKUP(A199,'[1]PL ENG'!B:G,6, FALSE)</f>
        <v>4000984085204</v>
      </c>
      <c r="G199" s="8">
        <v>1</v>
      </c>
      <c r="H199" s="9">
        <f>VLOOKUP(A199,[1]pricing!A:M,5,FALSE)</f>
        <v>13.73</v>
      </c>
      <c r="I199" s="10">
        <f>VLOOKUP(A199,[1]pricing!A:M,6,FALSE)</f>
        <v>20</v>
      </c>
    </row>
    <row r="200" spans="1:9" s="17" customFormat="1" ht="15" customHeight="1">
      <c r="A200" s="6">
        <v>2000003891</v>
      </c>
      <c r="B200" s="7" t="s">
        <v>61</v>
      </c>
      <c r="C200" s="7" t="str">
        <f>VLOOKUP(A200,[1]Translation!A:F,4,FALSE)</f>
        <v>Blenden Set Gurtversteller</v>
      </c>
      <c r="D200" s="7"/>
      <c r="E200" s="8" t="s">
        <v>10</v>
      </c>
      <c r="F200" s="8">
        <f>VLOOKUP(A200,'[1]PL ENG'!B:G,6, FALSE)</f>
        <v>4000984085211</v>
      </c>
      <c r="G200" s="8">
        <v>1</v>
      </c>
      <c r="H200" s="9">
        <f>VLOOKUP(A200,[1]pricing!A:M,5,FALSE)</f>
        <v>8</v>
      </c>
      <c r="I200" s="10">
        <f>VLOOKUP(A200,[1]pricing!A:M,6,FALSE)</f>
        <v>10</v>
      </c>
    </row>
    <row r="201" spans="1:9" s="17" customFormat="1" ht="15" customHeight="1">
      <c r="A201" s="16">
        <v>2000003485</v>
      </c>
      <c r="B201" s="7" t="s">
        <v>61</v>
      </c>
      <c r="C201" s="7" t="str">
        <f>VLOOKUP(A201,[1]Translation!A:F,4,FALSE)</f>
        <v xml:space="preserve">Gurtset </v>
      </c>
      <c r="D201" s="18"/>
      <c r="E201" s="8" t="s">
        <v>43</v>
      </c>
      <c r="F201" s="8">
        <f>VLOOKUP(A201,'[1]PL ENG'!B:G,6, FALSE)</f>
        <v>4000984082586</v>
      </c>
      <c r="G201" s="14">
        <v>1</v>
      </c>
      <c r="H201" s="9">
        <f>VLOOKUP(A201,[1]pricing!A:M,5,FALSE)</f>
        <v>19.32</v>
      </c>
      <c r="I201" s="10">
        <f>VLOOKUP(A201,[1]pricing!A:M,6,FALSE)</f>
        <v>23</v>
      </c>
    </row>
    <row r="202" spans="1:9" s="17" customFormat="1" ht="15" customHeight="1">
      <c r="A202" s="6">
        <v>2000003483</v>
      </c>
      <c r="B202" s="7" t="s">
        <v>62</v>
      </c>
      <c r="C202" s="7" t="str">
        <f>VLOOKUP(A202,[1]Translation!A:F,4,FALSE)</f>
        <v>Dämpfungseinleger Kopfstütze</v>
      </c>
      <c r="D202" s="7"/>
      <c r="E202" s="8" t="s">
        <v>10</v>
      </c>
      <c r="F202" s="8">
        <f>VLOOKUP(A202,'[1]PL ENG'!B:G,6, FALSE)</f>
        <v>4000984082562</v>
      </c>
      <c r="G202" s="8">
        <v>1</v>
      </c>
      <c r="H202" s="9">
        <f>VLOOKUP(A202,[1]pricing!A:M,5,FALSE)</f>
        <v>13.73</v>
      </c>
      <c r="I202" s="10">
        <f>VLOOKUP(A202,[1]pricing!A:M,6,FALSE)</f>
        <v>20</v>
      </c>
    </row>
    <row r="203" spans="1:9" s="17" customFormat="1" ht="15" customHeight="1">
      <c r="A203" s="6">
        <v>2000003891</v>
      </c>
      <c r="B203" s="7" t="s">
        <v>62</v>
      </c>
      <c r="C203" s="7" t="str">
        <f>VLOOKUP(A203,[1]Translation!A:F,4,FALSE)</f>
        <v>Blenden Set Gurtversteller</v>
      </c>
      <c r="D203" s="7"/>
      <c r="E203" s="8" t="s">
        <v>10</v>
      </c>
      <c r="F203" s="8">
        <f>VLOOKUP(A203,'[1]PL ENG'!B:G,6, FALSE)</f>
        <v>4000984085211</v>
      </c>
      <c r="G203" s="8">
        <v>1</v>
      </c>
      <c r="H203" s="9">
        <f>VLOOKUP(A203,[1]pricing!A:M,5,FALSE)</f>
        <v>8</v>
      </c>
      <c r="I203" s="10">
        <f>VLOOKUP(A203,[1]pricing!A:M,6,FALSE)</f>
        <v>10</v>
      </c>
    </row>
    <row r="204" spans="1:9" s="17" customFormat="1" ht="15" customHeight="1">
      <c r="A204" s="16">
        <v>2000003485</v>
      </c>
      <c r="B204" s="7" t="s">
        <v>62</v>
      </c>
      <c r="C204" s="7" t="str">
        <f>VLOOKUP(A204,[1]Translation!A:F,4,FALSE)</f>
        <v xml:space="preserve">Gurtset </v>
      </c>
      <c r="D204" s="18"/>
      <c r="E204" s="8" t="s">
        <v>43</v>
      </c>
      <c r="F204" s="8">
        <f>VLOOKUP(A204,'[1]PL ENG'!B:G,6, FALSE)</f>
        <v>4000984082586</v>
      </c>
      <c r="G204" s="14">
        <v>1</v>
      </c>
      <c r="H204" s="9">
        <f>VLOOKUP(A204,[1]pricing!A:M,5,FALSE)</f>
        <v>19.32</v>
      </c>
      <c r="I204" s="10">
        <f>VLOOKUP(A204,[1]pricing!A:M,6,FALSE)</f>
        <v>23</v>
      </c>
    </row>
    <row r="205" spans="1:9" s="17" customFormat="1" ht="15" customHeight="1">
      <c r="A205" s="16">
        <v>2000007050</v>
      </c>
      <c r="B205" s="18" t="s">
        <v>63</v>
      </c>
      <c r="C205" s="7" t="str">
        <f>VLOOKUP(A205,[1]Translation!A:F,4,FALSE)</f>
        <v>Blenden Set Gurtversteller</v>
      </c>
      <c r="D205" s="7"/>
      <c r="E205" s="8" t="s">
        <v>10</v>
      </c>
      <c r="F205" s="8">
        <f>VLOOKUP(A205,'[1]PL ENG'!B:G,6, FALSE)</f>
        <v>4000984093353</v>
      </c>
      <c r="G205" s="8">
        <v>1</v>
      </c>
      <c r="H205" s="9">
        <f>VLOOKUP(A205,[1]pricing!A:M,5,FALSE)</f>
        <v>7.02</v>
      </c>
      <c r="I205" s="10">
        <f>VLOOKUP(A205,[1]pricing!A:M,6,FALSE)</f>
        <v>10</v>
      </c>
    </row>
    <row r="206" spans="1:9" s="17" customFormat="1" ht="15" customHeight="1">
      <c r="A206" s="20">
        <v>2000024298</v>
      </c>
      <c r="B206" s="18" t="s">
        <v>63</v>
      </c>
      <c r="C206" s="7" t="str">
        <f>VLOOKUP(A206,[1]Translation!A:F,4,FALSE)</f>
        <v>Gurtschlosspolster</v>
      </c>
      <c r="D206" s="21" t="s">
        <v>24</v>
      </c>
      <c r="E206" s="8" t="s">
        <v>10</v>
      </c>
      <c r="F206" s="8">
        <f>VLOOKUP(A206,'[1]PL ENG'!B:G,6, FALSE)</f>
        <v>4000984145540</v>
      </c>
      <c r="G206" s="22">
        <v>1</v>
      </c>
      <c r="H206" s="9">
        <f>VLOOKUP(A206,[1]pricing!A:M,5,FALSE)</f>
        <v>8</v>
      </c>
      <c r="I206" s="10">
        <f>VLOOKUP(A206,[1]pricing!A:M,6,FALSE)</f>
        <v>10</v>
      </c>
    </row>
    <row r="207" spans="1:9" s="17" customFormat="1" ht="15" customHeight="1">
      <c r="A207" s="6">
        <v>2000003453</v>
      </c>
      <c r="B207" s="18" t="s">
        <v>63</v>
      </c>
      <c r="C207" s="7" t="str">
        <f>VLOOKUP(A207,[1]Translation!A:F,4,FALSE)</f>
        <v>Dämpfungseinleger Kopfstütze</v>
      </c>
      <c r="D207" s="7"/>
      <c r="E207" s="8" t="s">
        <v>10</v>
      </c>
      <c r="F207" s="8">
        <f>VLOOKUP(A207,'[1]PL ENG'!B:G,6, FALSE)</f>
        <v>4000984082265</v>
      </c>
      <c r="G207" s="8">
        <v>1</v>
      </c>
      <c r="H207" s="9">
        <f>VLOOKUP(A207,[1]pricing!A:M,5,FALSE)</f>
        <v>13.73</v>
      </c>
      <c r="I207" s="10">
        <f>VLOOKUP(A207,[1]pricing!A:M,6,FALSE)</f>
        <v>20</v>
      </c>
    </row>
    <row r="208" spans="1:9" s="17" customFormat="1" ht="15" customHeight="1">
      <c r="A208" s="6">
        <v>2000003454</v>
      </c>
      <c r="B208" s="18" t="s">
        <v>63</v>
      </c>
      <c r="C208" s="7" t="str">
        <f>VLOOKUP(A208,[1]Translation!A:F,4,FALSE)</f>
        <v>Gurtklemmen Set</v>
      </c>
      <c r="D208" s="7"/>
      <c r="E208" s="8" t="s">
        <v>10</v>
      </c>
      <c r="F208" s="8">
        <f>VLOOKUP(A208,'[1]PL ENG'!B:G,6, FALSE)</f>
        <v>4000984082272</v>
      </c>
      <c r="G208" s="8">
        <v>1</v>
      </c>
      <c r="H208" s="9">
        <f>VLOOKUP(A208,[1]pricing!A:M,5,FALSE)</f>
        <v>17.32</v>
      </c>
      <c r="I208" s="10">
        <f>VLOOKUP(A208,[1]pricing!A:M,6,FALSE)</f>
        <v>25</v>
      </c>
    </row>
    <row r="209" spans="1:9" s="17" customFormat="1" ht="15" customHeight="1">
      <c r="A209" s="6">
        <v>2000003455</v>
      </c>
      <c r="B209" s="18" t="s">
        <v>63</v>
      </c>
      <c r="C209" s="7" t="str">
        <f>VLOOKUP(A209,[1]Translation!A:F,4,FALSE)</f>
        <v xml:space="preserve">Gurtset </v>
      </c>
      <c r="D209" s="7"/>
      <c r="E209" s="8" t="s">
        <v>43</v>
      </c>
      <c r="F209" s="8">
        <f>VLOOKUP(A209,'[1]PL ENG'!B:G,6, FALSE)</f>
        <v>4000984082289</v>
      </c>
      <c r="G209" s="8">
        <v>1</v>
      </c>
      <c r="H209" s="9">
        <f>VLOOKUP(A209,[1]pricing!A:M,5,FALSE)</f>
        <v>19.32</v>
      </c>
      <c r="I209" s="10">
        <f>VLOOKUP(A209,[1]pricing!A:M,6,FALSE)</f>
        <v>23</v>
      </c>
    </row>
    <row r="210" spans="1:9" s="17" customFormat="1" ht="15" customHeight="1">
      <c r="A210" s="6">
        <v>2000003887</v>
      </c>
      <c r="B210" s="18" t="s">
        <v>63</v>
      </c>
      <c r="C210" s="7" t="str">
        <f>VLOOKUP(A210,[1]Translation!A:F,4,FALSE)</f>
        <v>Schaumeinleger</v>
      </c>
      <c r="D210" s="7"/>
      <c r="E210" s="8" t="s">
        <v>10</v>
      </c>
      <c r="F210" s="8">
        <f>VLOOKUP(A210,'[1]PL ENG'!B:G,6, FALSE)</f>
        <v>4000984085174</v>
      </c>
      <c r="G210" s="8">
        <v>1</v>
      </c>
      <c r="H210" s="9">
        <f>VLOOKUP(A210,[1]pricing!A:M,5,FALSE)</f>
        <v>9.0500000000000007</v>
      </c>
      <c r="I210" s="10">
        <f>VLOOKUP(A210,[1]pricing!A:M,6,FALSE)</f>
        <v>15</v>
      </c>
    </row>
    <row r="211" spans="1:9" s="17" customFormat="1" ht="30" customHeight="1">
      <c r="A211" s="20">
        <v>2000024261</v>
      </c>
      <c r="B211" s="18" t="s">
        <v>63</v>
      </c>
      <c r="C211" s="7" t="str">
        <f>VLOOKUP(A211,[1]Translation!A:F,4,FALSE)</f>
        <v>Schulterpolster Set</v>
      </c>
      <c r="D211" s="21" t="s">
        <v>11</v>
      </c>
      <c r="E211" s="8" t="s">
        <v>10</v>
      </c>
      <c r="F211" s="8">
        <f>VLOOKUP(A211,'[1]PL ENG'!B:G,6, FALSE)</f>
        <v>4000984146004</v>
      </c>
      <c r="G211" s="22">
        <v>1</v>
      </c>
      <c r="H211" s="9">
        <f>VLOOKUP(A211,[1]pricing!A:M,5,FALSE)</f>
        <v>15.93</v>
      </c>
      <c r="I211" s="10">
        <f>VLOOKUP(A211,[1]pricing!A:M,6,FALSE)</f>
        <v>20</v>
      </c>
    </row>
    <row r="212" spans="1:9" s="17" customFormat="1" ht="15" customHeight="1">
      <c r="A212" s="6">
        <v>2000024262</v>
      </c>
      <c r="B212" s="18" t="s">
        <v>63</v>
      </c>
      <c r="C212" s="7" t="str">
        <f>VLOOKUP(A212,[1]Translation!A:F,4,FALSE)</f>
        <v>Schulterpolster Set</v>
      </c>
      <c r="D212" s="7" t="s">
        <v>12</v>
      </c>
      <c r="E212" s="8" t="s">
        <v>10</v>
      </c>
      <c r="F212" s="8">
        <f>VLOOKUP(A212,'[1]PL ENG'!B:G,6, FALSE)</f>
        <v>4000984146011</v>
      </c>
      <c r="G212" s="8">
        <v>1</v>
      </c>
      <c r="H212" s="9">
        <f>VLOOKUP(A212,[1]pricing!A:M,5,FALSE)</f>
        <v>15.93</v>
      </c>
      <c r="I212" s="10">
        <f>VLOOKUP(A212,[1]pricing!A:M,6,FALSE)</f>
        <v>20</v>
      </c>
    </row>
    <row r="213" spans="1:9" s="17" customFormat="1" ht="15" customHeight="1">
      <c r="A213" s="16">
        <v>2000026172</v>
      </c>
      <c r="B213" s="18" t="s">
        <v>63</v>
      </c>
      <c r="C213" s="7" t="str">
        <f>VLOOKUP(A213,[1]Translation!A:F,4,FALSE)</f>
        <v>Schulterpolster Set</v>
      </c>
      <c r="D213" s="18" t="s">
        <v>15</v>
      </c>
      <c r="E213" s="8" t="s">
        <v>10</v>
      </c>
      <c r="F213" s="8">
        <f>VLOOKUP(A213,'[1]PL ENG'!B:G,6, FALSE)</f>
        <v>4000984154207</v>
      </c>
      <c r="G213" s="14">
        <v>1</v>
      </c>
      <c r="H213" s="9">
        <f>VLOOKUP(A213,[1]pricing!A:M,5,FALSE)</f>
        <v>15.93</v>
      </c>
      <c r="I213" s="10">
        <f>VLOOKUP(A213,[1]pricing!A:M,6,FALSE)</f>
        <v>20</v>
      </c>
    </row>
    <row r="214" spans="1:9" s="17" customFormat="1" ht="15" customHeight="1">
      <c r="A214" s="16">
        <v>2000026171</v>
      </c>
      <c r="B214" s="18" t="s">
        <v>63</v>
      </c>
      <c r="C214" s="7" t="str">
        <f>VLOOKUP(A214,[1]Translation!A:F,4,FALSE)</f>
        <v>Schulterpolster Set</v>
      </c>
      <c r="D214" s="18" t="s">
        <v>14</v>
      </c>
      <c r="E214" s="8" t="s">
        <v>10</v>
      </c>
      <c r="F214" s="8">
        <f>VLOOKUP(A214,'[1]PL ENG'!B:G,6, FALSE)</f>
        <v>4000984154191</v>
      </c>
      <c r="G214" s="14">
        <v>1</v>
      </c>
      <c r="H214" s="9">
        <f>VLOOKUP(A214,[1]pricing!A:M,5,FALSE)</f>
        <v>15.93</v>
      </c>
      <c r="I214" s="10">
        <f>VLOOKUP(A214,[1]pricing!A:M,6,FALSE)</f>
        <v>25</v>
      </c>
    </row>
    <row r="215" spans="1:9" s="17" customFormat="1" ht="15" customHeight="1">
      <c r="A215" s="16">
        <v>2000027770</v>
      </c>
      <c r="B215" s="18" t="s">
        <v>63</v>
      </c>
      <c r="C215" s="7" t="str">
        <f>VLOOKUP(A215,[1]Translation!A:F,4,FALSE)</f>
        <v>Schulterpolster Set</v>
      </c>
      <c r="D215" s="18" t="s">
        <v>18</v>
      </c>
      <c r="E215" s="8" t="s">
        <v>10</v>
      </c>
      <c r="F215" s="8">
        <f>VLOOKUP(A215,'[1]PL ENG'!B:G,6, FALSE)</f>
        <v>4000984183238</v>
      </c>
      <c r="G215" s="8">
        <v>1</v>
      </c>
      <c r="H215" s="9">
        <f>VLOOKUP(A215,[1]pricing!A:M,5,FALSE)</f>
        <v>15.93</v>
      </c>
      <c r="I215" s="10">
        <f>VLOOKUP(A215,[1]pricing!A:M,6,FALSE)</f>
        <v>19</v>
      </c>
    </row>
    <row r="216" spans="1:9" s="17" customFormat="1" ht="15" customHeight="1">
      <c r="A216" s="16">
        <v>2000027771</v>
      </c>
      <c r="B216" s="18" t="s">
        <v>63</v>
      </c>
      <c r="C216" s="7" t="str">
        <f>VLOOKUP(A216,[1]Translation!A:F,4,FALSE)</f>
        <v>Schulterpolster Set</v>
      </c>
      <c r="D216" s="18" t="s">
        <v>19</v>
      </c>
      <c r="E216" s="8" t="s">
        <v>10</v>
      </c>
      <c r="F216" s="8">
        <f>VLOOKUP(A216,'[1]PL ENG'!B:G,6, FALSE)</f>
        <v>4000984183245</v>
      </c>
      <c r="G216" s="14">
        <v>1</v>
      </c>
      <c r="H216" s="9">
        <f>VLOOKUP(A216,[1]pricing!A:M,5,FALSE)</f>
        <v>15.93</v>
      </c>
      <c r="I216" s="10">
        <f>VLOOKUP(A216,[1]pricing!A:M,6,FALSE)</f>
        <v>19</v>
      </c>
    </row>
    <row r="217" spans="1:9" s="17" customFormat="1" ht="15" customHeight="1">
      <c r="A217" s="6">
        <v>2000003469</v>
      </c>
      <c r="B217" s="18" t="s">
        <v>63</v>
      </c>
      <c r="C217" s="7" t="str">
        <f>VLOOKUP(A217,[1]Translation!A:F,4,FALSE)</f>
        <v>Zweischlitzplatte Set</v>
      </c>
      <c r="D217" s="7"/>
      <c r="E217" s="8" t="s">
        <v>10</v>
      </c>
      <c r="F217" s="8">
        <f>VLOOKUP(A217,'[1]PL ENG'!B:G,6, FALSE)</f>
        <v>4000984082425</v>
      </c>
      <c r="G217" s="8">
        <v>1</v>
      </c>
      <c r="H217" s="9">
        <f>VLOOKUP(A217,[1]pricing!A:M,5,FALSE)</f>
        <v>7.05</v>
      </c>
      <c r="I217" s="10">
        <f>VLOOKUP(A217,[1]pricing!A:M,6,FALSE)</f>
        <v>10</v>
      </c>
    </row>
    <row r="218" spans="1:9" s="17" customFormat="1" ht="15" customHeight="1">
      <c r="A218" s="16">
        <v>55450050</v>
      </c>
      <c r="B218" s="18" t="s">
        <v>63</v>
      </c>
      <c r="C218" s="7" t="str">
        <f>VLOOKUP(A218,[1]Translation!A:F,4,FALSE)</f>
        <v>Isofix Einführhilfe</v>
      </c>
      <c r="D218" s="18"/>
      <c r="E218" s="8" t="s">
        <v>10</v>
      </c>
      <c r="F218" s="8">
        <f>VLOOKUP(A218,'[1]PL ENG'!B:G,6, FALSE)</f>
        <v>4000984100327</v>
      </c>
      <c r="G218" s="8">
        <v>1</v>
      </c>
      <c r="H218" s="9">
        <f>VLOOKUP(A218,[1]pricing!A:M,5,FALSE)</f>
        <v>7.09</v>
      </c>
      <c r="I218" s="10">
        <f>VLOOKUP(A218,[1]pricing!A:M,6,FALSE)</f>
        <v>10</v>
      </c>
    </row>
    <row r="219" spans="1:9" s="17" customFormat="1" ht="15.75" customHeight="1">
      <c r="A219" s="36">
        <v>2000026839</v>
      </c>
      <c r="B219" s="18" t="s">
        <v>63</v>
      </c>
      <c r="C219" s="7" t="str">
        <f>VLOOKUP(A219,[1]Translation!A:F,4,FALSE)</f>
        <v>Schutzrohr</v>
      </c>
      <c r="D219" s="18"/>
      <c r="E219" s="8" t="s">
        <v>10</v>
      </c>
      <c r="F219" s="8">
        <f>VLOOKUP(A219,'[1]PL ENG'!B:G,6, FALSE)</f>
        <v>4000984161953</v>
      </c>
      <c r="G219" s="14">
        <v>1</v>
      </c>
      <c r="H219" s="9">
        <f>VLOOKUP(A219,[1]pricing!A:M,5,FALSE)</f>
        <v>8</v>
      </c>
      <c r="I219" s="10">
        <f>VLOOKUP(A219,[1]pricing!A:M,6,FALSE)</f>
        <v>10</v>
      </c>
    </row>
    <row r="220" spans="1:9" s="17" customFormat="1" ht="15" customHeight="1">
      <c r="A220" s="16">
        <v>2000003685</v>
      </c>
      <c r="B220" s="18" t="s">
        <v>64</v>
      </c>
      <c r="C220" s="7" t="str">
        <f>VLOOKUP(A220,[1]Translation!A:F,4,FALSE)</f>
        <v>Gurtabdeckung</v>
      </c>
      <c r="D220" s="18"/>
      <c r="E220" s="8" t="s">
        <v>10</v>
      </c>
      <c r="F220" s="8">
        <f>VLOOKUP(A220,'[1]PL ENG'!B:G,6, FALSE)</f>
        <v>4000984084764</v>
      </c>
      <c r="G220" s="14">
        <v>1</v>
      </c>
      <c r="H220" s="9">
        <f>VLOOKUP(A220,[1]pricing!A:M,5,FALSE)</f>
        <v>8</v>
      </c>
      <c r="I220" s="10">
        <f>VLOOKUP(A220,[1]pricing!A:M,6,FALSE)</f>
        <v>10</v>
      </c>
    </row>
    <row r="221" spans="1:9" s="17" customFormat="1" ht="15" customHeight="1">
      <c r="A221" s="16">
        <v>2000003686</v>
      </c>
      <c r="B221" s="18" t="s">
        <v>64</v>
      </c>
      <c r="C221" s="7" t="str">
        <f>VLOOKUP(A221,[1]Translation!A:F,4,FALSE)</f>
        <v>Dämpfungseinleger Set</v>
      </c>
      <c r="D221" s="18"/>
      <c r="E221" s="8" t="s">
        <v>10</v>
      </c>
      <c r="F221" s="8">
        <f>VLOOKUP(A221,'[1]PL ENG'!B:G,6, FALSE)</f>
        <v>4000984084771</v>
      </c>
      <c r="G221" s="14">
        <v>1</v>
      </c>
      <c r="H221" s="9">
        <f>VLOOKUP(A221,[1]pricing!A:M,5,FALSE)</f>
        <v>13.73</v>
      </c>
      <c r="I221" s="10">
        <f>VLOOKUP(A221,[1]pricing!A:M,6,FALSE)</f>
        <v>20</v>
      </c>
    </row>
    <row r="222" spans="1:9" s="17" customFormat="1" ht="15" customHeight="1">
      <c r="A222" s="16">
        <v>2000024285</v>
      </c>
      <c r="B222" s="18" t="s">
        <v>64</v>
      </c>
      <c r="C222" s="7" t="str">
        <f>VLOOKUP(A222,[1]Translation!A:F,4,FALSE)</f>
        <v>Schulterpolster Set</v>
      </c>
      <c r="D222" s="18" t="s">
        <v>24</v>
      </c>
      <c r="E222" s="8" t="s">
        <v>10</v>
      </c>
      <c r="F222" s="8">
        <f>VLOOKUP(A222,'[1]PL ENG'!B:G,6, FALSE)</f>
        <v>4000984145694</v>
      </c>
      <c r="G222" s="14">
        <v>1</v>
      </c>
      <c r="H222" s="9">
        <f>VLOOKUP(A222,[1]pricing!A:M,5,FALSE)</f>
        <v>9.94</v>
      </c>
      <c r="I222" s="10">
        <f>VLOOKUP(A222,[1]pricing!A:M,6,FALSE)</f>
        <v>12</v>
      </c>
    </row>
    <row r="223" spans="1:9" s="17" customFormat="1" ht="15" customHeight="1">
      <c r="A223" s="6">
        <v>2000024295</v>
      </c>
      <c r="B223" s="7" t="s">
        <v>65</v>
      </c>
      <c r="C223" s="7" t="str">
        <f>VLOOKUP(A223,[1]Translation!A:F,4,FALSE)</f>
        <v>Schulterpolster Set</v>
      </c>
      <c r="D223" s="7" t="s">
        <v>24</v>
      </c>
      <c r="E223" s="8" t="s">
        <v>10</v>
      </c>
      <c r="F223" s="8">
        <f>VLOOKUP(A223,'[1]PL ENG'!B:G,6, FALSE)</f>
        <v>4000984145519</v>
      </c>
      <c r="G223" s="8">
        <v>1</v>
      </c>
      <c r="H223" s="9">
        <f>VLOOKUP(A223,[1]pricing!A:M,5,FALSE)</f>
        <v>6.15</v>
      </c>
      <c r="I223" s="10">
        <f>VLOOKUP(A223,[1]pricing!A:M,6,FALSE)</f>
        <v>10</v>
      </c>
    </row>
    <row r="224" spans="1:9" s="17" customFormat="1" ht="15" customHeight="1">
      <c r="A224" s="32">
        <v>2000007141</v>
      </c>
      <c r="B224" s="7" t="s">
        <v>65</v>
      </c>
      <c r="C224" s="7" t="str">
        <f>VLOOKUP(A224,[1]Translation!A:F,4,FALSE)</f>
        <v>Dämpfungseinleger Set</v>
      </c>
      <c r="D224" s="33"/>
      <c r="E224" s="8" t="s">
        <v>10</v>
      </c>
      <c r="F224" s="8">
        <f>VLOOKUP(A224,'[1]PL ENG'!B:G,6, FALSE)</f>
        <v>4000984093698</v>
      </c>
      <c r="G224" s="34">
        <v>1</v>
      </c>
      <c r="H224" s="9">
        <f>VLOOKUP(A224,[1]pricing!A:M,5,FALSE)</f>
        <v>13.73</v>
      </c>
      <c r="I224" s="10">
        <f>VLOOKUP(A224,[1]pricing!A:M,6,FALSE)</f>
        <v>20</v>
      </c>
    </row>
    <row r="225" spans="1:9" s="17" customFormat="1" ht="15" customHeight="1">
      <c r="A225" s="20">
        <v>2000024298</v>
      </c>
      <c r="B225" s="7" t="s">
        <v>65</v>
      </c>
      <c r="C225" s="7" t="str">
        <f>VLOOKUP(A225,[1]Translation!A:F,4,FALSE)</f>
        <v>Gurtschlosspolster</v>
      </c>
      <c r="D225" s="21" t="s">
        <v>24</v>
      </c>
      <c r="E225" s="8" t="s">
        <v>10</v>
      </c>
      <c r="F225" s="8">
        <f>VLOOKUP(A225,'[1]PL ENG'!B:G,6, FALSE)</f>
        <v>4000984145540</v>
      </c>
      <c r="G225" s="22">
        <v>1</v>
      </c>
      <c r="H225" s="9">
        <f>VLOOKUP(A225,[1]pricing!A:M,5,FALSE)</f>
        <v>8</v>
      </c>
      <c r="I225" s="10">
        <f>VLOOKUP(A225,[1]pricing!A:M,6,FALSE)</f>
        <v>10</v>
      </c>
    </row>
    <row r="226" spans="1:9" s="17" customFormat="1" ht="15" customHeight="1">
      <c r="A226" s="20">
        <v>2000010527</v>
      </c>
      <c r="B226" s="7" t="s">
        <v>65</v>
      </c>
      <c r="C226" s="7" t="str">
        <f>VLOOKUP(A226,[1]Translation!A:F,4,FALSE)</f>
        <v>Neigungsadapter</v>
      </c>
      <c r="D226" s="21"/>
      <c r="E226" s="8" t="s">
        <v>10</v>
      </c>
      <c r="F226" s="8">
        <f>VLOOKUP(A226,'[1]PL ENG'!B:G,6, FALSE)</f>
        <v>4000984108606</v>
      </c>
      <c r="G226" s="22">
        <v>1</v>
      </c>
      <c r="H226" s="9">
        <f>VLOOKUP(A226,[1]pricing!A:M,5,FALSE)</f>
        <v>5.63</v>
      </c>
      <c r="I226" s="10">
        <f>VLOOKUP(A226,[1]pricing!A:M,6,FALSE)</f>
        <v>10</v>
      </c>
    </row>
    <row r="227" spans="1:9" ht="15" customHeight="1">
      <c r="A227" s="19">
        <v>2000003891</v>
      </c>
      <c r="B227" s="7" t="s">
        <v>65</v>
      </c>
      <c r="C227" s="7" t="str">
        <f>VLOOKUP(A227,[1]Translation!A:F,4,FALSE)</f>
        <v>Blenden Set Gurtversteller</v>
      </c>
      <c r="D227" s="18"/>
      <c r="E227" s="8" t="s">
        <v>10</v>
      </c>
      <c r="F227" s="8">
        <f>VLOOKUP(A227,'[1]PL ENG'!B:G,6, FALSE)</f>
        <v>4000984085211</v>
      </c>
      <c r="G227" s="14">
        <v>1</v>
      </c>
      <c r="H227" s="9">
        <f>VLOOKUP(A227,[1]pricing!A:M,5,FALSE)</f>
        <v>8</v>
      </c>
      <c r="I227" s="10">
        <f>VLOOKUP(A227,[1]pricing!A:M,6,FALSE)</f>
        <v>10</v>
      </c>
    </row>
    <row r="228" spans="1:9" s="17" customFormat="1" ht="15" customHeight="1">
      <c r="A228" s="6">
        <v>2000024297</v>
      </c>
      <c r="B228" s="7" t="s">
        <v>66</v>
      </c>
      <c r="C228" s="7" t="str">
        <f>VLOOKUP(A228,[1]Translation!A:F,4,FALSE)</f>
        <v>Schulterpolster Set</v>
      </c>
      <c r="D228" s="7" t="s">
        <v>24</v>
      </c>
      <c r="E228" s="8" t="s">
        <v>10</v>
      </c>
      <c r="F228" s="8">
        <f>VLOOKUP(A228,'[1]PL ENG'!B:G,6, FALSE)</f>
        <v>4000984145533</v>
      </c>
      <c r="G228" s="8">
        <v>1</v>
      </c>
      <c r="H228" s="9">
        <f>VLOOKUP(A228,[1]pricing!A:M,5,FALSE)</f>
        <v>6.15</v>
      </c>
      <c r="I228" s="10">
        <f>VLOOKUP(A228,[1]pricing!A:M,6,FALSE)</f>
        <v>10</v>
      </c>
    </row>
    <row r="229" spans="1:9" s="17" customFormat="1" ht="15" customHeight="1">
      <c r="A229" s="20">
        <v>2000024298</v>
      </c>
      <c r="B229" s="7" t="s">
        <v>66</v>
      </c>
      <c r="C229" s="7" t="str">
        <f>VLOOKUP(A229,[1]Translation!A:F,4,FALSE)</f>
        <v>Gurtschlosspolster</v>
      </c>
      <c r="D229" s="21" t="s">
        <v>24</v>
      </c>
      <c r="E229" s="8" t="s">
        <v>10</v>
      </c>
      <c r="F229" s="8">
        <f>VLOOKUP(A229,'[1]PL ENG'!B:G,6, FALSE)</f>
        <v>4000984145540</v>
      </c>
      <c r="G229" s="22">
        <v>1</v>
      </c>
      <c r="H229" s="9">
        <f>VLOOKUP(A229,[1]pricing!A:M,5,FALSE)</f>
        <v>8</v>
      </c>
      <c r="I229" s="10">
        <f>VLOOKUP(A229,[1]pricing!A:M,6,FALSE)</f>
        <v>10</v>
      </c>
    </row>
    <row r="230" spans="1:9" s="17" customFormat="1" ht="15" customHeight="1">
      <c r="A230" s="6">
        <v>2000003688</v>
      </c>
      <c r="B230" s="7" t="s">
        <v>66</v>
      </c>
      <c r="C230" s="7" t="str">
        <f>VLOOKUP(A230,[1]Translation!A:F,4,FALSE)</f>
        <v>Dämpfungseinleger Set</v>
      </c>
      <c r="D230" s="7"/>
      <c r="E230" s="8" t="s">
        <v>10</v>
      </c>
      <c r="F230" s="8">
        <f>VLOOKUP(A230,'[1]PL ENG'!B:G,6, FALSE)</f>
        <v>4000984084795</v>
      </c>
      <c r="G230" s="8">
        <v>1</v>
      </c>
      <c r="H230" s="9">
        <f>VLOOKUP(A230,[1]pricing!A:M,5,FALSE)</f>
        <v>13.73</v>
      </c>
      <c r="I230" s="10">
        <f>VLOOKUP(A230,[1]pricing!A:M,6,FALSE)</f>
        <v>20</v>
      </c>
    </row>
    <row r="231" spans="1:9" s="17" customFormat="1" ht="15" customHeight="1">
      <c r="A231" s="6">
        <v>2000006818</v>
      </c>
      <c r="B231" s="7" t="s">
        <v>66</v>
      </c>
      <c r="C231" s="7" t="str">
        <f>VLOOKUP(A231,[1]Translation!A:F,4,FALSE)</f>
        <v>Fixiergurt</v>
      </c>
      <c r="D231" s="7"/>
      <c r="E231" s="8" t="s">
        <v>10</v>
      </c>
      <c r="F231" s="8">
        <f>VLOOKUP(A231,'[1]PL ENG'!B:G,6, FALSE)</f>
        <v>4000984092790</v>
      </c>
      <c r="G231" s="8">
        <v>1</v>
      </c>
      <c r="H231" s="9">
        <f>VLOOKUP(A231,[1]pricing!A:M,5,FALSE)</f>
        <v>7.8</v>
      </c>
      <c r="I231" s="10">
        <f>VLOOKUP(A231,[1]pricing!A:M,6,FALSE)</f>
        <v>10</v>
      </c>
    </row>
    <row r="232" spans="1:9" s="17" customFormat="1" ht="15" customHeight="1">
      <c r="A232" s="6">
        <v>2000024296</v>
      </c>
      <c r="B232" s="7" t="s">
        <v>67</v>
      </c>
      <c r="C232" s="7" t="str">
        <f>VLOOKUP(A232,[1]Translation!A:F,4,FALSE)</f>
        <v>Schulterpolster Set</v>
      </c>
      <c r="D232" s="7" t="s">
        <v>24</v>
      </c>
      <c r="E232" s="8" t="s">
        <v>10</v>
      </c>
      <c r="F232" s="8">
        <f>VLOOKUP(A232,'[1]PL ENG'!B:G,6, FALSE)</f>
        <v>4000984145526</v>
      </c>
      <c r="G232" s="8">
        <v>1</v>
      </c>
      <c r="H232" s="9">
        <f>VLOOKUP(A232,[1]pricing!A:M,5,FALSE)</f>
        <v>6.15</v>
      </c>
      <c r="I232" s="10">
        <f>VLOOKUP(A232,[1]pricing!A:M,6,FALSE)</f>
        <v>10</v>
      </c>
    </row>
    <row r="233" spans="1:9" s="17" customFormat="1" ht="15" customHeight="1">
      <c r="A233" s="6">
        <v>2000003680</v>
      </c>
      <c r="B233" s="7" t="s">
        <v>67</v>
      </c>
      <c r="C233" s="7" t="str">
        <f>VLOOKUP(A233,[1]Translation!A:F,4,FALSE)</f>
        <v>Dämpfungseinleger Set</v>
      </c>
      <c r="D233" s="7"/>
      <c r="E233" s="8" t="s">
        <v>10</v>
      </c>
      <c r="F233" s="8">
        <f>VLOOKUP(A233,'[1]PL ENG'!B:G,6, FALSE)</f>
        <v>4000984084719</v>
      </c>
      <c r="G233" s="8">
        <v>1</v>
      </c>
      <c r="H233" s="9">
        <f>VLOOKUP(A233,[1]pricing!A:M,5,FALSE)</f>
        <v>13.73</v>
      </c>
      <c r="I233" s="10">
        <f>VLOOKUP(A233,[1]pricing!A:M,6,FALSE)</f>
        <v>20</v>
      </c>
    </row>
    <row r="234" spans="1:9" s="17" customFormat="1" ht="15" customHeight="1">
      <c r="A234" s="20">
        <v>2000024298</v>
      </c>
      <c r="B234" s="7" t="s">
        <v>67</v>
      </c>
      <c r="C234" s="7" t="str">
        <f>VLOOKUP(A234,[1]Translation!A:F,4,FALSE)</f>
        <v>Gurtschlosspolster</v>
      </c>
      <c r="D234" s="21" t="s">
        <v>24</v>
      </c>
      <c r="E234" s="8" t="s">
        <v>10</v>
      </c>
      <c r="F234" s="8">
        <f>VLOOKUP(A234,'[1]PL ENG'!B:G,6, FALSE)</f>
        <v>4000984145540</v>
      </c>
      <c r="G234" s="22">
        <v>1</v>
      </c>
      <c r="H234" s="9">
        <f>VLOOKUP(A234,[1]pricing!A:M,5,FALSE)</f>
        <v>8</v>
      </c>
      <c r="I234" s="10">
        <f>VLOOKUP(A234,[1]pricing!A:M,6,FALSE)</f>
        <v>10</v>
      </c>
    </row>
    <row r="235" spans="1:9" s="17" customFormat="1" ht="15" customHeight="1">
      <c r="A235" s="20">
        <v>2000010527</v>
      </c>
      <c r="B235" s="7" t="s">
        <v>67</v>
      </c>
      <c r="C235" s="7" t="str">
        <f>VLOOKUP(A235,[1]Translation!A:F,4,FALSE)</f>
        <v>Neigungsadapter</v>
      </c>
      <c r="D235" s="21"/>
      <c r="E235" s="8" t="s">
        <v>10</v>
      </c>
      <c r="F235" s="8">
        <f>VLOOKUP(A235,'[1]PL ENG'!B:G,6, FALSE)</f>
        <v>4000984108606</v>
      </c>
      <c r="G235" s="22">
        <v>1</v>
      </c>
      <c r="H235" s="9">
        <f>VLOOKUP(A235,[1]pricing!A:M,5,FALSE)</f>
        <v>5.63</v>
      </c>
      <c r="I235" s="10">
        <f>VLOOKUP(A235,[1]pricing!A:M,6,FALSE)</f>
        <v>10</v>
      </c>
    </row>
    <row r="236" spans="1:9" s="17" customFormat="1" ht="15" customHeight="1">
      <c r="A236" s="6">
        <v>2000024294</v>
      </c>
      <c r="B236" s="7" t="s">
        <v>68</v>
      </c>
      <c r="C236" s="7" t="str">
        <f>VLOOKUP(A236,[1]Translation!A:F,4,FALSE)</f>
        <v>Schulterpolster Set</v>
      </c>
      <c r="D236" s="7" t="s">
        <v>24</v>
      </c>
      <c r="E236" s="8" t="s">
        <v>10</v>
      </c>
      <c r="F236" s="8">
        <f>VLOOKUP(A236,'[1]PL ENG'!B:G,6, FALSE)</f>
        <v>4000984145502</v>
      </c>
      <c r="G236" s="8">
        <v>1</v>
      </c>
      <c r="H236" s="9">
        <f>VLOOKUP(A236,[1]pricing!A:M,5,FALSE)</f>
        <v>15.76</v>
      </c>
      <c r="I236" s="10">
        <f>VLOOKUP(A236,[1]pricing!A:M,6,FALSE)</f>
        <v>20</v>
      </c>
    </row>
    <row r="237" spans="1:9" ht="15" customHeight="1">
      <c r="A237" s="20">
        <v>2000024298</v>
      </c>
      <c r="B237" s="7" t="s">
        <v>68</v>
      </c>
      <c r="C237" s="7" t="str">
        <f>VLOOKUP(A237,[1]Translation!A:F,4,FALSE)</f>
        <v>Gurtschlosspolster</v>
      </c>
      <c r="D237" s="21" t="s">
        <v>24</v>
      </c>
      <c r="E237" s="8" t="s">
        <v>10</v>
      </c>
      <c r="F237" s="8">
        <f>VLOOKUP(A237,'[1]PL ENG'!B:G,6, FALSE)</f>
        <v>4000984145540</v>
      </c>
      <c r="G237" s="22">
        <v>1</v>
      </c>
      <c r="H237" s="9">
        <f>VLOOKUP(A237,[1]pricing!A:M,5,FALSE)</f>
        <v>8</v>
      </c>
      <c r="I237" s="10">
        <f>VLOOKUP(A237,[1]pricing!A:M,6,FALSE)</f>
        <v>10</v>
      </c>
    </row>
    <row r="238" spans="1:9" ht="15" customHeight="1">
      <c r="A238" s="20">
        <v>2000003683</v>
      </c>
      <c r="B238" s="7" t="s">
        <v>68</v>
      </c>
      <c r="C238" s="7" t="str">
        <f>VLOOKUP(A238,[1]Translation!A:F,4,FALSE)</f>
        <v>Dämpfungseinleger Set</v>
      </c>
      <c r="D238" s="21"/>
      <c r="E238" s="8" t="s">
        <v>10</v>
      </c>
      <c r="F238" s="8">
        <f>VLOOKUP(A238,'[1]PL ENG'!B:G,6, FALSE)</f>
        <v>4000984084740</v>
      </c>
      <c r="G238" s="22">
        <v>1</v>
      </c>
      <c r="H238" s="9">
        <f>VLOOKUP(A238,[1]pricing!A:M,5,FALSE)</f>
        <v>13.73</v>
      </c>
      <c r="I238" s="10">
        <f>VLOOKUP(A238,[1]pricing!A:M,6,FALSE)</f>
        <v>20</v>
      </c>
    </row>
    <row r="239" spans="1:9" ht="15" customHeight="1">
      <c r="A239" s="6">
        <v>2000010641</v>
      </c>
      <c r="B239" s="7" t="s">
        <v>69</v>
      </c>
      <c r="C239" s="7" t="str">
        <f>VLOOKUP(A239,[1]Translation!A:F,4,FALSE)</f>
        <v>Fach Gurtabdeckung</v>
      </c>
      <c r="D239" s="39"/>
      <c r="E239" s="8" t="s">
        <v>10</v>
      </c>
      <c r="F239" s="8">
        <f>VLOOKUP(A239,'[1]PL ENG'!B:G,6, FALSE)</f>
        <v>5012124062906</v>
      </c>
      <c r="G239" s="22">
        <v>1</v>
      </c>
      <c r="H239" s="9">
        <f>VLOOKUP(A239,[1]pricing!A:M,5,FALSE)</f>
        <v>8</v>
      </c>
      <c r="I239" s="10">
        <f>VLOOKUP(A239,[1]pricing!A:M,6,FALSE)</f>
        <v>10</v>
      </c>
    </row>
    <row r="240" spans="1:9" ht="15" customHeight="1">
      <c r="A240" s="6">
        <v>2000010466</v>
      </c>
      <c r="B240" s="7" t="s">
        <v>69</v>
      </c>
      <c r="C240" s="7" t="str">
        <f>VLOOKUP(A240,[1]Translation!A:F,4,FALSE)</f>
        <v>Blende Gurtversteller</v>
      </c>
      <c r="D240" s="39"/>
      <c r="E240" s="8" t="s">
        <v>10</v>
      </c>
      <c r="F240" s="8">
        <f>VLOOKUP(A240,'[1]PL ENG'!B:G,6, FALSE)</f>
        <v>5012124062913</v>
      </c>
      <c r="G240" s="22">
        <v>1</v>
      </c>
      <c r="H240" s="9">
        <f>VLOOKUP(A240,[1]pricing!A:M,5,FALSE)</f>
        <v>10.14</v>
      </c>
      <c r="I240" s="10">
        <f>VLOOKUP(A240,[1]pricing!A:M,6,FALSE)</f>
        <v>15</v>
      </c>
    </row>
    <row r="241" spans="1:9" ht="15" customHeight="1">
      <c r="A241" s="6">
        <v>2000010468</v>
      </c>
      <c r="B241" s="7" t="s">
        <v>69</v>
      </c>
      <c r="C241" s="7" t="str">
        <f>VLOOKUP(A241,[1]Translation!A:F,4,FALSE)</f>
        <v xml:space="preserve">Gurtklemmen Set </v>
      </c>
      <c r="D241" s="39"/>
      <c r="E241" s="8" t="s">
        <v>43</v>
      </c>
      <c r="F241" s="8">
        <f>VLOOKUP(A241,'[1]PL ENG'!B:G,6, FALSE)</f>
        <v>5012124062890</v>
      </c>
      <c r="G241" s="22">
        <v>1</v>
      </c>
      <c r="H241" s="9">
        <f>VLOOKUP(A241,[1]pricing!A:M,5,FALSE)</f>
        <v>14.2</v>
      </c>
      <c r="I241" s="10">
        <f>VLOOKUP(A241,[1]pricing!A:M,6,FALSE)</f>
        <v>20</v>
      </c>
    </row>
    <row r="242" spans="1:9" s="17" customFormat="1" ht="15" customHeight="1">
      <c r="A242" s="6">
        <v>2000026210</v>
      </c>
      <c r="B242" s="7" t="s">
        <v>70</v>
      </c>
      <c r="C242" s="7" t="str">
        <f>VLOOKUP(A242,[1]Translation!A:F,4,FALSE)</f>
        <v>Schulterpolster Set</v>
      </c>
      <c r="D242" s="7" t="s">
        <v>14</v>
      </c>
      <c r="E242" s="8" t="s">
        <v>10</v>
      </c>
      <c r="F242" s="8">
        <f>VLOOKUP(A242,'[1]PL ENG'!B:G,6, FALSE)</f>
        <v>4000984154580</v>
      </c>
      <c r="G242" s="8">
        <v>1</v>
      </c>
      <c r="H242" s="9">
        <f>VLOOKUP(A242,[1]pricing!A:M,5,FALSE)</f>
        <v>16.07</v>
      </c>
      <c r="I242" s="10">
        <f>VLOOKUP(A242,[1]pricing!A:M,6,FALSE)</f>
        <v>20</v>
      </c>
    </row>
    <row r="243" spans="1:9" s="17" customFormat="1" ht="15" customHeight="1">
      <c r="A243" s="6">
        <v>2000024259</v>
      </c>
      <c r="B243" s="7" t="s">
        <v>70</v>
      </c>
      <c r="C243" s="7" t="str">
        <f>VLOOKUP(A243,[1]Translation!A:F,4,FALSE)</f>
        <v>Schulterpolster Set</v>
      </c>
      <c r="D243" s="7" t="s">
        <v>45</v>
      </c>
      <c r="E243" s="8" t="s">
        <v>10</v>
      </c>
      <c r="F243" s="8">
        <f>VLOOKUP(A243,'[1]PL ENG'!B:G,6, FALSE)</f>
        <v>4000984145984</v>
      </c>
      <c r="G243" s="8">
        <v>1</v>
      </c>
      <c r="H243" s="9">
        <f>VLOOKUP(A243,[1]pricing!A:M,5,FALSE)</f>
        <v>16.07</v>
      </c>
      <c r="I243" s="10">
        <f>VLOOKUP(A243,[1]pricing!A:M,6,FALSE)</f>
        <v>20</v>
      </c>
    </row>
    <row r="244" spans="1:9" s="17" customFormat="1" ht="30">
      <c r="A244" s="20">
        <v>2000024255</v>
      </c>
      <c r="B244" s="7" t="s">
        <v>70</v>
      </c>
      <c r="C244" s="7" t="str">
        <f>VLOOKUP(A244,[1]Translation!A:F,4,FALSE)</f>
        <v>Schulterpolster Set</v>
      </c>
      <c r="D244" s="21" t="s">
        <v>11</v>
      </c>
      <c r="E244" s="8" t="s">
        <v>10</v>
      </c>
      <c r="F244" s="8">
        <f>VLOOKUP(A244,'[1]PL ENG'!B:G,6, FALSE)</f>
        <v>4000984145946</v>
      </c>
      <c r="G244" s="22">
        <v>1</v>
      </c>
      <c r="H244" s="9">
        <f>VLOOKUP(A244,[1]pricing!A:M,5,FALSE)</f>
        <v>16.07</v>
      </c>
      <c r="I244" s="10">
        <f>VLOOKUP(A244,[1]pricing!A:M,6,FALSE)</f>
        <v>20</v>
      </c>
    </row>
    <row r="245" spans="1:9" s="17" customFormat="1" ht="15" customHeight="1">
      <c r="A245" s="6">
        <v>2000024256</v>
      </c>
      <c r="B245" s="7" t="s">
        <v>70</v>
      </c>
      <c r="C245" s="7" t="str">
        <f>VLOOKUP(A245,[1]Translation!A:F,4,FALSE)</f>
        <v>Schulterpolster Set</v>
      </c>
      <c r="D245" s="7" t="s">
        <v>12</v>
      </c>
      <c r="E245" s="8" t="s">
        <v>10</v>
      </c>
      <c r="F245" s="8">
        <f>VLOOKUP(A245,'[1]PL ENG'!B:G,6, FALSE)</f>
        <v>4000984145953</v>
      </c>
      <c r="G245" s="8">
        <v>1</v>
      </c>
      <c r="H245" s="9">
        <f>VLOOKUP(A245,[1]pricing!A:M,5,FALSE)</f>
        <v>16.07</v>
      </c>
      <c r="I245" s="10">
        <f>VLOOKUP(A245,[1]pricing!A:M,6,FALSE)</f>
        <v>20</v>
      </c>
    </row>
    <row r="246" spans="1:9" s="17" customFormat="1" ht="15" customHeight="1">
      <c r="A246" s="6">
        <v>2000024258</v>
      </c>
      <c r="B246" s="7" t="s">
        <v>70</v>
      </c>
      <c r="C246" s="7" t="str">
        <f>VLOOKUP(A246,[1]Translation!A:F,4,FALSE)</f>
        <v>Schulterpolster Set</v>
      </c>
      <c r="D246" s="7" t="s">
        <v>58</v>
      </c>
      <c r="E246" s="8" t="s">
        <v>10</v>
      </c>
      <c r="F246" s="8">
        <f>VLOOKUP(A246,'[1]PL ENG'!B:G,6, FALSE)</f>
        <v>4000984145977</v>
      </c>
      <c r="G246" s="8">
        <v>1</v>
      </c>
      <c r="H246" s="9">
        <f>VLOOKUP(A246,[1]pricing!A:M,5,FALSE)</f>
        <v>16.07</v>
      </c>
      <c r="I246" s="10">
        <f>VLOOKUP(A246,[1]pricing!A:M,6,FALSE)</f>
        <v>20</v>
      </c>
    </row>
    <row r="247" spans="1:9" s="17" customFormat="1" ht="15" customHeight="1">
      <c r="A247" s="6">
        <v>2000024257</v>
      </c>
      <c r="B247" s="7" t="s">
        <v>70</v>
      </c>
      <c r="C247" s="7" t="str">
        <f>VLOOKUP(A247,[1]Translation!A:F,4,FALSE)</f>
        <v>Schulterpolster Set</v>
      </c>
      <c r="D247" s="7" t="s">
        <v>13</v>
      </c>
      <c r="E247" s="8" t="s">
        <v>10</v>
      </c>
      <c r="F247" s="8">
        <f>VLOOKUP(A247,'[1]PL ENG'!B:G,6, FALSE)</f>
        <v>4000984145960</v>
      </c>
      <c r="G247" s="8">
        <v>1</v>
      </c>
      <c r="H247" s="9">
        <f>VLOOKUP(A247,[1]pricing!A:M,5,FALSE)</f>
        <v>16.07</v>
      </c>
      <c r="I247" s="10">
        <f>VLOOKUP(A247,[1]pricing!A:M,6,FALSE)</f>
        <v>20</v>
      </c>
    </row>
    <row r="248" spans="1:9" s="40" customFormat="1" ht="15" customHeight="1">
      <c r="A248" s="6">
        <v>2000010466</v>
      </c>
      <c r="B248" s="7" t="s">
        <v>70</v>
      </c>
      <c r="C248" s="7" t="str">
        <f>VLOOKUP(A248,[1]Translation!A:F,4,FALSE)</f>
        <v>Blende Gurtversteller</v>
      </c>
      <c r="D248" s="7"/>
      <c r="E248" s="8" t="s">
        <v>10</v>
      </c>
      <c r="F248" s="8">
        <f>VLOOKUP(A248,'[1]PL ENG'!B:G,6, FALSE)</f>
        <v>5012124062913</v>
      </c>
      <c r="G248" s="8">
        <v>1</v>
      </c>
      <c r="H248" s="9">
        <f>VLOOKUP(A248,[1]pricing!A:M,5,FALSE)</f>
        <v>10.14</v>
      </c>
      <c r="I248" s="10">
        <f>VLOOKUP(A248,[1]pricing!A:M,6,FALSE)</f>
        <v>15</v>
      </c>
    </row>
    <row r="249" spans="1:9" s="17" customFormat="1" ht="15" customHeight="1">
      <c r="A249" s="6">
        <v>2000024595</v>
      </c>
      <c r="B249" s="7" t="s">
        <v>70</v>
      </c>
      <c r="C249" s="7" t="str">
        <f>VLOOKUP(A249,[1]Translation!A:F,4,FALSE)</f>
        <v>Fach Gurtabdeckung</v>
      </c>
      <c r="D249" s="7"/>
      <c r="E249" s="8" t="s">
        <v>10</v>
      </c>
      <c r="F249" s="8">
        <f>VLOOKUP(A249,'[1]PL ENG'!B:G,6, FALSE)</f>
        <v>4000984148527</v>
      </c>
      <c r="G249" s="8">
        <v>1</v>
      </c>
      <c r="H249" s="9">
        <f>VLOOKUP(A249,[1]pricing!A:M,5,FALSE)</f>
        <v>8</v>
      </c>
      <c r="I249" s="10">
        <f>VLOOKUP(A249,[1]pricing!A:M,6,FALSE)</f>
        <v>10</v>
      </c>
    </row>
    <row r="250" spans="1:9" s="17" customFormat="1" ht="15" customHeight="1">
      <c r="A250" s="20">
        <v>2000024298</v>
      </c>
      <c r="B250" s="7" t="s">
        <v>70</v>
      </c>
      <c r="C250" s="7" t="str">
        <f>VLOOKUP(A250,[1]Translation!A:F,4,FALSE)</f>
        <v>Gurtschlosspolster</v>
      </c>
      <c r="D250" s="21" t="s">
        <v>24</v>
      </c>
      <c r="E250" s="8" t="s">
        <v>10</v>
      </c>
      <c r="F250" s="8">
        <f>VLOOKUP(A250,'[1]PL ENG'!B:G,6, FALSE)</f>
        <v>4000984145540</v>
      </c>
      <c r="G250" s="22">
        <v>1</v>
      </c>
      <c r="H250" s="9">
        <f>VLOOKUP(A250,[1]pricing!A:M,5,FALSE)</f>
        <v>8</v>
      </c>
      <c r="I250" s="10">
        <f>VLOOKUP(A250,[1]pricing!A:M,6,FALSE)</f>
        <v>10</v>
      </c>
    </row>
    <row r="251" spans="1:9" s="17" customFormat="1" ht="15" customHeight="1">
      <c r="A251" s="20">
        <v>2000024304</v>
      </c>
      <c r="B251" s="7" t="s">
        <v>70</v>
      </c>
      <c r="C251" s="7" t="str">
        <f>VLOOKUP(A251,[1]Translation!A:F,4,FALSE)</f>
        <v xml:space="preserve">Polster für SECUREGUARD </v>
      </c>
      <c r="D251" s="21" t="s">
        <v>24</v>
      </c>
      <c r="E251" s="8" t="s">
        <v>10</v>
      </c>
      <c r="F251" s="8">
        <f>VLOOKUP(A251,'[1]PL ENG'!B:G,6, FALSE)</f>
        <v>4000984145601</v>
      </c>
      <c r="G251" s="22">
        <v>1</v>
      </c>
      <c r="H251" s="9">
        <f>VLOOKUP(A251,[1]pricing!A:M,5,FALSE)</f>
        <v>6.37</v>
      </c>
      <c r="I251" s="10">
        <f>VLOOKUP(A251,[1]pricing!A:M,6,FALSE)</f>
        <v>10</v>
      </c>
    </row>
    <row r="252" spans="1:9" s="17" customFormat="1" ht="15" customHeight="1">
      <c r="A252" s="6">
        <v>2000024425</v>
      </c>
      <c r="B252" s="7" t="s">
        <v>70</v>
      </c>
      <c r="C252" s="7" t="str">
        <f>VLOOKUP(A252,[1]Translation!A:F,4,FALSE)</f>
        <v>SECUREGUARD ohne Polster</v>
      </c>
      <c r="D252" s="7"/>
      <c r="E252" s="8" t="s">
        <v>10</v>
      </c>
      <c r="F252" s="8">
        <f>VLOOKUP(A252,'[1]PL ENG'!B:G,6, FALSE)</f>
        <v>4000984130539</v>
      </c>
      <c r="G252" s="8">
        <v>1</v>
      </c>
      <c r="H252" s="9">
        <f>VLOOKUP(A252,[1]pricing!A:M,5,FALSE)</f>
        <v>9.56</v>
      </c>
      <c r="I252" s="10">
        <f>VLOOKUP(A252,[1]pricing!A:M,6,FALSE)</f>
        <v>15</v>
      </c>
    </row>
    <row r="253" spans="1:9" s="17" customFormat="1" ht="15" customHeight="1">
      <c r="A253" s="6">
        <v>2000003469</v>
      </c>
      <c r="B253" s="7" t="s">
        <v>70</v>
      </c>
      <c r="C253" s="7" t="str">
        <f>VLOOKUP(A253,[1]Translation!A:F,4,FALSE)</f>
        <v>Zweischlitzplatte Set</v>
      </c>
      <c r="D253" s="7"/>
      <c r="E253" s="8" t="s">
        <v>10</v>
      </c>
      <c r="F253" s="8">
        <f>VLOOKUP(A253,'[1]PL ENG'!B:G,6, FALSE)</f>
        <v>4000984082425</v>
      </c>
      <c r="G253" s="8">
        <v>1</v>
      </c>
      <c r="H253" s="9">
        <f>VLOOKUP(A253,[1]pricing!A:M,5,FALSE)</f>
        <v>7.05</v>
      </c>
      <c r="I253" s="10">
        <f>VLOOKUP(A253,[1]pricing!A:M,6,FALSE)</f>
        <v>10</v>
      </c>
    </row>
    <row r="254" spans="1:9" s="23" customFormat="1" ht="15.75" customHeight="1">
      <c r="A254" s="16">
        <v>2000007047</v>
      </c>
      <c r="B254" s="8" t="s">
        <v>70</v>
      </c>
      <c r="C254" s="7" t="str">
        <f>VLOOKUP(A254,[1]Translation!A:F,4,FALSE)</f>
        <v>Isofix Einführhilfe breit</v>
      </c>
      <c r="D254" s="7"/>
      <c r="E254" s="8" t="s">
        <v>10</v>
      </c>
      <c r="F254" s="8">
        <f>VLOOKUP(A254,'[1]PL ENG'!B:G,6, FALSE)</f>
        <v>4000984093384</v>
      </c>
      <c r="G254" s="8">
        <v>1</v>
      </c>
      <c r="H254" s="9">
        <f>VLOOKUP(A254,[1]pricing!A:M,5,FALSE)</f>
        <v>7.09</v>
      </c>
      <c r="I254" s="10">
        <f>VLOOKUP(A254,[1]pricing!A:M,6,FALSE)</f>
        <v>10</v>
      </c>
    </row>
    <row r="255" spans="1:9" s="17" customFormat="1" ht="15" customHeight="1">
      <c r="A255" s="6">
        <v>2000003677</v>
      </c>
      <c r="B255" s="7" t="s">
        <v>71</v>
      </c>
      <c r="C255" s="7" t="str">
        <f>VLOOKUP(A255,[1]Translation!A:F,4,FALSE)</f>
        <v>Gurtabdeckung</v>
      </c>
      <c r="D255" s="7"/>
      <c r="E255" s="8" t="s">
        <v>10</v>
      </c>
      <c r="F255" s="8">
        <f>VLOOKUP(A255,'[1]PL ENG'!B:G,6, FALSE)</f>
        <v>4000984084689</v>
      </c>
      <c r="G255" s="8">
        <v>1</v>
      </c>
      <c r="H255" s="9">
        <f>VLOOKUP(A255,[1]pricing!A:M,5,FALSE)</f>
        <v>8</v>
      </c>
      <c r="I255" s="10">
        <f>VLOOKUP(A255,[1]pricing!A:M,6,FALSE)</f>
        <v>10</v>
      </c>
    </row>
    <row r="256" spans="1:9" s="17" customFormat="1" ht="15" customHeight="1">
      <c r="A256" s="6">
        <v>2000003678</v>
      </c>
      <c r="B256" s="7" t="s">
        <v>71</v>
      </c>
      <c r="C256" s="7" t="str">
        <f>VLOOKUP(A256,[1]Translation!A:F,4,FALSE)</f>
        <v>Dämpfungseinleger Kopfstütze</v>
      </c>
      <c r="D256" s="7"/>
      <c r="E256" s="8" t="s">
        <v>10</v>
      </c>
      <c r="F256" s="8">
        <f>VLOOKUP(A256,'[1]PL ENG'!B:G,6, FALSE)</f>
        <v>4000984084696</v>
      </c>
      <c r="G256" s="8">
        <v>1</v>
      </c>
      <c r="H256" s="9">
        <f>VLOOKUP(A256,[1]pricing!A:M,5,FALSE)</f>
        <v>13.73</v>
      </c>
      <c r="I256" s="10">
        <f>VLOOKUP(A256,[1]pricing!A:M,6,FALSE)</f>
        <v>20</v>
      </c>
    </row>
    <row r="257" spans="1:9" s="17" customFormat="1" ht="15" customHeight="1">
      <c r="A257" s="20">
        <v>2000024298</v>
      </c>
      <c r="B257" s="7" t="s">
        <v>71</v>
      </c>
      <c r="C257" s="7" t="str">
        <f>VLOOKUP(A257,[1]Translation!A:F,4,FALSE)</f>
        <v>Gurtschlosspolster</v>
      </c>
      <c r="D257" s="21" t="s">
        <v>24</v>
      </c>
      <c r="E257" s="8" t="s">
        <v>10</v>
      </c>
      <c r="F257" s="8">
        <f>VLOOKUP(A257,'[1]PL ENG'!B:G,6, FALSE)</f>
        <v>4000984145540</v>
      </c>
      <c r="G257" s="22">
        <v>1</v>
      </c>
      <c r="H257" s="9">
        <f>VLOOKUP(A257,[1]pricing!A:M,5,FALSE)</f>
        <v>8</v>
      </c>
      <c r="I257" s="10">
        <f>VLOOKUP(A257,[1]pricing!A:M,6,FALSE)</f>
        <v>10</v>
      </c>
    </row>
    <row r="258" spans="1:9" s="17" customFormat="1" ht="15" customHeight="1">
      <c r="A258" s="6">
        <v>2000024294</v>
      </c>
      <c r="B258" s="7" t="s">
        <v>71</v>
      </c>
      <c r="C258" s="7" t="str">
        <f>VLOOKUP(A258,[1]Translation!A:F,4,FALSE)</f>
        <v>Schulterpolster Set</v>
      </c>
      <c r="D258" s="7" t="s">
        <v>24</v>
      </c>
      <c r="E258" s="8" t="s">
        <v>10</v>
      </c>
      <c r="F258" s="8">
        <f>VLOOKUP(A258,'[1]PL ENG'!B:G,6, FALSE)</f>
        <v>4000984145502</v>
      </c>
      <c r="G258" s="8">
        <v>1</v>
      </c>
      <c r="H258" s="9">
        <f>VLOOKUP(A258,[1]pricing!A:M,5,FALSE)</f>
        <v>15.76</v>
      </c>
      <c r="I258" s="10">
        <f>VLOOKUP(A258,[1]pricing!A:M,6,FALSE)</f>
        <v>20</v>
      </c>
    </row>
    <row r="259" spans="1:9" ht="15" customHeight="1">
      <c r="A259" s="6">
        <v>2000026427</v>
      </c>
      <c r="B259" s="7" t="s">
        <v>72</v>
      </c>
      <c r="C259" s="7" t="str">
        <f>VLOOKUP(A259,[1]Translation!A:F,4,FALSE)</f>
        <v>Schulterpolster Set</v>
      </c>
      <c r="D259" s="7" t="s">
        <v>11</v>
      </c>
      <c r="E259" s="8" t="s">
        <v>10</v>
      </c>
      <c r="F259" s="8">
        <f>VLOOKUP(A259,'[1]PL ENG'!B:G,6, FALSE)</f>
        <v>4000984154740</v>
      </c>
      <c r="G259" s="8">
        <v>1</v>
      </c>
      <c r="H259" s="9">
        <f>VLOOKUP(A259,[1]pricing!A:M,5,FALSE)</f>
        <v>15.76</v>
      </c>
      <c r="I259" s="10">
        <f>VLOOKUP(A259,[1]pricing!A:M,6,FALSE)</f>
        <v>20</v>
      </c>
    </row>
    <row r="260" spans="1:9" ht="15" customHeight="1">
      <c r="A260" s="6">
        <v>2000026428</v>
      </c>
      <c r="B260" s="7" t="s">
        <v>72</v>
      </c>
      <c r="C260" s="7" t="str">
        <f>VLOOKUP(A260,[1]Translation!A:F,4,FALSE)</f>
        <v>Schulterpolster Set</v>
      </c>
      <c r="D260" s="7" t="s">
        <v>12</v>
      </c>
      <c r="E260" s="8" t="s">
        <v>10</v>
      </c>
      <c r="F260" s="8">
        <f>VLOOKUP(A260,'[1]PL ENG'!B:G,6, FALSE)</f>
        <v>4000984154757</v>
      </c>
      <c r="G260" s="8">
        <v>1</v>
      </c>
      <c r="H260" s="9">
        <f>VLOOKUP(A260,[1]pricing!A:M,5,FALSE)</f>
        <v>15.76</v>
      </c>
      <c r="I260" s="10">
        <f>VLOOKUP(A260,[1]pricing!A:M,6,FALSE)</f>
        <v>20</v>
      </c>
    </row>
    <row r="261" spans="1:9" ht="15" customHeight="1">
      <c r="A261" s="6">
        <v>2000026431</v>
      </c>
      <c r="B261" s="7" t="s">
        <v>72</v>
      </c>
      <c r="C261" s="7" t="str">
        <f>VLOOKUP(A261,[1]Translation!A:F,4,FALSE)</f>
        <v>Schulterpolster Set</v>
      </c>
      <c r="D261" s="7" t="s">
        <v>45</v>
      </c>
      <c r="E261" s="8" t="s">
        <v>10</v>
      </c>
      <c r="F261" s="8">
        <f>VLOOKUP(A261,'[1]PL ENG'!B:G,6, FALSE)</f>
        <v>4000984154788</v>
      </c>
      <c r="G261" s="8">
        <v>1</v>
      </c>
      <c r="H261" s="9">
        <f>VLOOKUP(A261,[1]pricing!A:M,5,FALSE)</f>
        <v>15.76</v>
      </c>
      <c r="I261" s="10">
        <f>VLOOKUP(A261,[1]pricing!A:M,6,FALSE)</f>
        <v>20</v>
      </c>
    </row>
    <row r="262" spans="1:9" ht="15" customHeight="1">
      <c r="A262" s="16">
        <v>2000027773</v>
      </c>
      <c r="B262" s="7" t="s">
        <v>72</v>
      </c>
      <c r="C262" s="7" t="str">
        <f>VLOOKUP(A262,[1]Translation!A:F,4,FALSE)</f>
        <v>Schulterpolster Set</v>
      </c>
      <c r="D262" s="7" t="s">
        <v>20</v>
      </c>
      <c r="E262" s="8" t="s">
        <v>10</v>
      </c>
      <c r="F262" s="8">
        <f>VLOOKUP(A262,'[1]PL ENG'!B:G,6, FALSE)</f>
        <v>4000984183269</v>
      </c>
      <c r="G262" s="8">
        <v>1</v>
      </c>
      <c r="H262" s="9">
        <f>VLOOKUP(A262,[1]pricing!A:M,5,FALSE)</f>
        <v>15.76</v>
      </c>
      <c r="I262" s="10">
        <f>VLOOKUP(A262,[1]pricing!A:M,6,FALSE)</f>
        <v>20</v>
      </c>
    </row>
    <row r="263" spans="1:9" ht="15" customHeight="1">
      <c r="A263" s="16">
        <v>2000027774</v>
      </c>
      <c r="B263" s="7" t="s">
        <v>72</v>
      </c>
      <c r="C263" s="7" t="str">
        <f>VLOOKUP(A263,[1]Translation!A:F,4,FALSE)</f>
        <v>Schulterpolster Set</v>
      </c>
      <c r="D263" s="13" t="s">
        <v>18</v>
      </c>
      <c r="E263" s="8" t="s">
        <v>10</v>
      </c>
      <c r="F263" s="8">
        <f>VLOOKUP(A263,'[1]PL ENG'!B:G,6, FALSE)</f>
        <v>4000984183276</v>
      </c>
      <c r="G263" s="8">
        <v>1</v>
      </c>
      <c r="H263" s="9">
        <f>VLOOKUP(A263,[1]pricing!A:M,5,FALSE)</f>
        <v>15.76</v>
      </c>
      <c r="I263" s="10">
        <f>VLOOKUP(A263,[1]pricing!A:M,6,FALSE)</f>
        <v>20</v>
      </c>
    </row>
    <row r="264" spans="1:9" ht="15" customHeight="1">
      <c r="A264" s="16">
        <v>2000027775</v>
      </c>
      <c r="B264" s="7" t="s">
        <v>72</v>
      </c>
      <c r="C264" s="7" t="str">
        <f>VLOOKUP(A264,[1]Translation!A:F,4,FALSE)</f>
        <v>Schulterpolster Set</v>
      </c>
      <c r="D264" s="13" t="s">
        <v>14</v>
      </c>
      <c r="E264" s="8" t="s">
        <v>10</v>
      </c>
      <c r="F264" s="8">
        <f>VLOOKUP(A264,'[1]PL ENG'!B:G,6, FALSE)</f>
        <v>4000984183283</v>
      </c>
      <c r="G264" s="8">
        <v>1</v>
      </c>
      <c r="H264" s="9">
        <f>VLOOKUP(A264,[1]pricing!A:M,5,FALSE)</f>
        <v>15.76</v>
      </c>
      <c r="I264" s="10">
        <f>VLOOKUP(A264,[1]pricing!A:M,6,FALSE)</f>
        <v>20</v>
      </c>
    </row>
    <row r="265" spans="1:9" ht="15" customHeight="1">
      <c r="A265" s="16">
        <v>2000027776</v>
      </c>
      <c r="B265" s="7" t="s">
        <v>72</v>
      </c>
      <c r="C265" s="7" t="str">
        <f>VLOOKUP(A265,[1]Translation!A:F,4,FALSE)</f>
        <v>Schulterpolster Set</v>
      </c>
      <c r="D265" s="13" t="s">
        <v>19</v>
      </c>
      <c r="E265" s="8" t="s">
        <v>10</v>
      </c>
      <c r="F265" s="8">
        <f>VLOOKUP(A265,'[1]PL ENG'!B:G,6, FALSE)</f>
        <v>4000984183290</v>
      </c>
      <c r="G265" s="8">
        <v>1</v>
      </c>
      <c r="H265" s="9">
        <f>VLOOKUP(A265,[1]pricing!A:M,5,FALSE)</f>
        <v>15.76</v>
      </c>
      <c r="I265" s="10">
        <f>VLOOKUP(A265,[1]pricing!A:M,6,FALSE)</f>
        <v>20</v>
      </c>
    </row>
    <row r="266" spans="1:9" s="41" customFormat="1" ht="15" customHeight="1">
      <c r="A266" s="6">
        <v>2000007047</v>
      </c>
      <c r="B266" s="7" t="s">
        <v>72</v>
      </c>
      <c r="C266" s="7" t="str">
        <f>VLOOKUP(A266,[1]Translation!A:F,4,FALSE)</f>
        <v>Isofix Einführhilfe breit</v>
      </c>
      <c r="D266" s="7"/>
      <c r="E266" s="8" t="s">
        <v>10</v>
      </c>
      <c r="F266" s="8">
        <f>VLOOKUP(A266,'[1]PL ENG'!B:G,6, FALSE)</f>
        <v>4000984093384</v>
      </c>
      <c r="G266" s="8">
        <v>1</v>
      </c>
      <c r="H266" s="9">
        <f>VLOOKUP(A266,[1]pricing!A:M,5,FALSE)</f>
        <v>7.09</v>
      </c>
      <c r="I266" s="10">
        <f>VLOOKUP(A266,[1]pricing!A:M,6,FALSE)</f>
        <v>10</v>
      </c>
    </row>
    <row r="267" spans="1:9" s="41" customFormat="1" ht="15" customHeight="1">
      <c r="A267" s="6">
        <v>2000003677</v>
      </c>
      <c r="B267" s="7" t="s">
        <v>72</v>
      </c>
      <c r="C267" s="7" t="str">
        <f>VLOOKUP(A267,[1]Translation!A:F,4,FALSE)</f>
        <v>Gurtabdeckung</v>
      </c>
      <c r="D267" s="7"/>
      <c r="E267" s="8" t="s">
        <v>10</v>
      </c>
      <c r="F267" s="8">
        <f>VLOOKUP(A267,'[1]PL ENG'!B:G,6, FALSE)</f>
        <v>4000984084689</v>
      </c>
      <c r="G267" s="8">
        <v>1</v>
      </c>
      <c r="H267" s="9">
        <f>VLOOKUP(A267,[1]pricing!A:M,5,FALSE)</f>
        <v>8</v>
      </c>
      <c r="I267" s="10">
        <f>VLOOKUP(A267,[1]pricing!A:M,6,FALSE)</f>
        <v>10</v>
      </c>
    </row>
    <row r="268" spans="1:9" s="41" customFormat="1" ht="15" customHeight="1">
      <c r="A268" s="6">
        <v>2000003678</v>
      </c>
      <c r="B268" s="7" t="s">
        <v>72</v>
      </c>
      <c r="C268" s="7" t="str">
        <f>VLOOKUP(A268,[1]Translation!A:F,4,FALSE)</f>
        <v>Dämpfungseinleger Kopfstütze</v>
      </c>
      <c r="D268" s="7"/>
      <c r="E268" s="8" t="s">
        <v>10</v>
      </c>
      <c r="F268" s="8">
        <f>VLOOKUP(A268,'[1]PL ENG'!B:G,6, FALSE)</f>
        <v>4000984084696</v>
      </c>
      <c r="G268" s="8">
        <v>1</v>
      </c>
      <c r="H268" s="9">
        <f>VLOOKUP(A268,[1]pricing!A:M,5,FALSE)</f>
        <v>13.73</v>
      </c>
      <c r="I268" s="10">
        <f>VLOOKUP(A268,[1]pricing!A:M,6,FALSE)</f>
        <v>20</v>
      </c>
    </row>
    <row r="269" spans="1:9" s="41" customFormat="1" ht="15" customHeight="1">
      <c r="A269" s="6">
        <v>2000024298</v>
      </c>
      <c r="B269" s="7" t="s">
        <v>72</v>
      </c>
      <c r="C269" s="7" t="str">
        <f>VLOOKUP(A269,[1]Translation!A:F,4,FALSE)</f>
        <v>Gurtschlosspolster</v>
      </c>
      <c r="D269" s="7" t="s">
        <v>24</v>
      </c>
      <c r="E269" s="8" t="s">
        <v>10</v>
      </c>
      <c r="F269" s="8">
        <f>VLOOKUP(A269,'[1]PL ENG'!B:G,6, FALSE)</f>
        <v>4000984145540</v>
      </c>
      <c r="G269" s="8">
        <v>1</v>
      </c>
      <c r="H269" s="9">
        <f>VLOOKUP(A269,[1]pricing!A:M,5,FALSE)</f>
        <v>8</v>
      </c>
      <c r="I269" s="10">
        <f>VLOOKUP(A269,[1]pricing!A:M,6,FALSE)</f>
        <v>10</v>
      </c>
    </row>
    <row r="270" spans="1:9" ht="15" customHeight="1">
      <c r="A270" s="16">
        <v>2000003458</v>
      </c>
      <c r="B270" s="18" t="s">
        <v>73</v>
      </c>
      <c r="C270" s="7" t="str">
        <f>VLOOKUP(A270,[1]Translation!A:F,4,FALSE)</f>
        <v>Polsterausgleichsstück</v>
      </c>
      <c r="D270" s="18"/>
      <c r="E270" s="8" t="s">
        <v>10</v>
      </c>
      <c r="F270" s="8">
        <f>VLOOKUP(A270,'[1]PL ENG'!B:G,6, FALSE)</f>
        <v>4000984082319</v>
      </c>
      <c r="G270" s="14">
        <v>1</v>
      </c>
      <c r="H270" s="9">
        <f>VLOOKUP(A270,[1]pricing!A:M,5,FALSE)</f>
        <v>15.09</v>
      </c>
      <c r="I270" s="10">
        <f>VLOOKUP(A270,[1]pricing!A:M,6,FALSE)</f>
        <v>20</v>
      </c>
    </row>
    <row r="271" spans="1:9" ht="15" customHeight="1">
      <c r="A271" s="16">
        <v>2000003457</v>
      </c>
      <c r="B271" s="18" t="s">
        <v>73</v>
      </c>
      <c r="C271" s="7" t="str">
        <f>VLOOKUP(A271,[1]Translation!A:F,4,FALSE)</f>
        <v>Dämpfungseinleger Set</v>
      </c>
      <c r="D271" s="18"/>
      <c r="E271" s="8" t="s">
        <v>10</v>
      </c>
      <c r="F271" s="8">
        <f>VLOOKUP(A271,'[1]PL ENG'!B:G,6, FALSE)</f>
        <v>4000984082302</v>
      </c>
      <c r="G271" s="14">
        <v>1</v>
      </c>
      <c r="H271" s="9">
        <f>VLOOKUP(A271,[1]pricing!A:M,5,FALSE)</f>
        <v>13.73</v>
      </c>
      <c r="I271" s="10">
        <f>VLOOKUP(A271,[1]pricing!A:M,6,FALSE)</f>
        <v>20</v>
      </c>
    </row>
    <row r="272" spans="1:9" ht="15" customHeight="1">
      <c r="A272" s="16">
        <v>2000003460</v>
      </c>
      <c r="B272" s="18" t="s">
        <v>73</v>
      </c>
      <c r="C272" s="7" t="str">
        <f>VLOOKUP(A272,[1]Translation!A:F,4,FALSE)</f>
        <v xml:space="preserve">Dämpfungseinleger Set Kopf- und Rückenteil klein Set </v>
      </c>
      <c r="D272" s="18"/>
      <c r="E272" s="8" t="s">
        <v>10</v>
      </c>
      <c r="F272" s="8">
        <f>VLOOKUP(A272,'[1]PL ENG'!B:G,6, FALSE)</f>
        <v>4000984082333</v>
      </c>
      <c r="G272" s="14">
        <v>1</v>
      </c>
      <c r="H272" s="9">
        <f>VLOOKUP(A272,[1]pricing!A:M,5,FALSE)</f>
        <v>16.809999999999999</v>
      </c>
      <c r="I272" s="10">
        <f>VLOOKUP(A272,[1]pricing!A:M,6,FALSE)</f>
        <v>20</v>
      </c>
    </row>
    <row r="273" spans="1:9" ht="15" customHeight="1">
      <c r="A273" s="16">
        <v>2000029398</v>
      </c>
      <c r="B273" s="18" t="s">
        <v>73</v>
      </c>
      <c r="C273" s="7" t="str">
        <f>VLOOKUP(A273,[1]Translation!A:F,4,FALSE)</f>
        <v xml:space="preserve">Dämpfungseinleger Kopfteil </v>
      </c>
      <c r="D273" s="42"/>
      <c r="E273" s="8" t="s">
        <v>10</v>
      </c>
      <c r="F273" s="8">
        <f>VLOOKUP(A273,'[1]PL ENG'!B:G,6, FALSE)</f>
        <v>4000984191547</v>
      </c>
      <c r="G273" s="8">
        <v>1</v>
      </c>
      <c r="H273" s="9">
        <f>VLOOKUP(A273,[1]pricing!A:M,5,FALSE)</f>
        <v>8.4</v>
      </c>
      <c r="I273" s="10">
        <f>VLOOKUP(A273,[1]pricing!A:M,6,FALSE)</f>
        <v>10</v>
      </c>
    </row>
    <row r="274" spans="1:9" ht="15" customHeight="1">
      <c r="A274" s="16">
        <v>2000029399</v>
      </c>
      <c r="B274" s="18" t="s">
        <v>73</v>
      </c>
      <c r="C274" s="7" t="str">
        <f>VLOOKUP(A274,[1]Translation!A:F,4,FALSE)</f>
        <v>Dämpfungseinleger Rückenteile Set</v>
      </c>
      <c r="D274" s="42"/>
      <c r="E274" s="8" t="s">
        <v>10</v>
      </c>
      <c r="F274" s="8">
        <f>VLOOKUP(A274,'[1]PL ENG'!B:G,6, FALSE)</f>
        <v>4000984191554</v>
      </c>
      <c r="G274" s="8">
        <v>1</v>
      </c>
      <c r="H274" s="9">
        <f>VLOOKUP(A274,[1]pricing!A:M,5,FALSE)</f>
        <v>8</v>
      </c>
      <c r="I274" s="10">
        <f>VLOOKUP(A274,[1]pricing!A:M,6,FALSE)</f>
        <v>10</v>
      </c>
    </row>
    <row r="275" spans="1:9" ht="15" customHeight="1">
      <c r="A275" s="16">
        <v>2000003458</v>
      </c>
      <c r="B275" s="18" t="s">
        <v>74</v>
      </c>
      <c r="C275" s="7" t="str">
        <f>VLOOKUP(A275,[1]Translation!A:F,4,FALSE)</f>
        <v>Polsterausgleichsstück</v>
      </c>
      <c r="D275" s="18"/>
      <c r="E275" s="8" t="s">
        <v>10</v>
      </c>
      <c r="F275" s="8">
        <f>VLOOKUP(A275,'[1]PL ENG'!B:G,6, FALSE)</f>
        <v>4000984082319</v>
      </c>
      <c r="G275" s="14">
        <v>1</v>
      </c>
      <c r="H275" s="9">
        <f>VLOOKUP(A275,[1]pricing!A:M,5,FALSE)</f>
        <v>15.09</v>
      </c>
      <c r="I275" s="10">
        <f>VLOOKUP(A275,[1]pricing!A:M,6,FALSE)</f>
        <v>20</v>
      </c>
    </row>
    <row r="276" spans="1:9" ht="15" customHeight="1">
      <c r="A276" s="16">
        <v>2000003457</v>
      </c>
      <c r="B276" s="18" t="s">
        <v>74</v>
      </c>
      <c r="C276" s="7" t="str">
        <f>VLOOKUP(A276,[1]Translation!A:F,4,FALSE)</f>
        <v>Dämpfungseinleger Set</v>
      </c>
      <c r="D276" s="18"/>
      <c r="E276" s="8" t="s">
        <v>10</v>
      </c>
      <c r="F276" s="8">
        <f>VLOOKUP(A276,'[1]PL ENG'!B:G,6, FALSE)</f>
        <v>4000984082302</v>
      </c>
      <c r="G276" s="14">
        <v>1</v>
      </c>
      <c r="H276" s="9">
        <f>VLOOKUP(A276,[1]pricing!A:M,5,FALSE)</f>
        <v>13.73</v>
      </c>
      <c r="I276" s="10">
        <f>VLOOKUP(A276,[1]pricing!A:M,6,FALSE)</f>
        <v>20</v>
      </c>
    </row>
    <row r="277" spans="1:9" ht="15" customHeight="1">
      <c r="A277" s="16">
        <v>2000003460</v>
      </c>
      <c r="B277" s="18" t="s">
        <v>74</v>
      </c>
      <c r="C277" s="7" t="str">
        <f>VLOOKUP(A277,[1]Translation!A:F,4,FALSE)</f>
        <v xml:space="preserve">Dämpfungseinleger Set Kopf- und Rückenteil klein Set </v>
      </c>
      <c r="D277" s="18"/>
      <c r="E277" s="8" t="s">
        <v>10</v>
      </c>
      <c r="F277" s="8">
        <f>VLOOKUP(A277,'[1]PL ENG'!B:G,6, FALSE)</f>
        <v>4000984082333</v>
      </c>
      <c r="G277" s="14">
        <v>1</v>
      </c>
      <c r="H277" s="9">
        <f>VLOOKUP(A277,[1]pricing!A:M,5,FALSE)</f>
        <v>16.809999999999999</v>
      </c>
      <c r="I277" s="10">
        <f>VLOOKUP(A277,[1]pricing!A:M,6,FALSE)</f>
        <v>20</v>
      </c>
    </row>
    <row r="278" spans="1:9" ht="15" customHeight="1">
      <c r="A278" s="16">
        <v>2000029398</v>
      </c>
      <c r="B278" s="18" t="s">
        <v>74</v>
      </c>
      <c r="C278" s="7" t="str">
        <f>VLOOKUP(A278,[1]Translation!A:F,4,FALSE)</f>
        <v xml:space="preserve">Dämpfungseinleger Kopfteil </v>
      </c>
      <c r="D278" s="18"/>
      <c r="E278" s="8" t="s">
        <v>10</v>
      </c>
      <c r="F278" s="8">
        <f>VLOOKUP(A278,'[1]PL ENG'!B:G,6, FALSE)</f>
        <v>4000984191547</v>
      </c>
      <c r="G278" s="14">
        <v>1</v>
      </c>
      <c r="H278" s="9">
        <f>VLOOKUP(A278,[1]pricing!A:M,5,FALSE)</f>
        <v>8.4</v>
      </c>
      <c r="I278" s="10">
        <f>VLOOKUP(A278,[1]pricing!A:M,6,FALSE)</f>
        <v>10</v>
      </c>
    </row>
    <row r="279" spans="1:9" ht="15" customHeight="1">
      <c r="A279" s="16">
        <v>2000029399</v>
      </c>
      <c r="B279" s="18" t="s">
        <v>74</v>
      </c>
      <c r="C279" s="7" t="str">
        <f>VLOOKUP(A279,[1]Translation!A:F,4,FALSE)</f>
        <v>Dämpfungseinleger Rückenteile Set</v>
      </c>
      <c r="D279" s="18"/>
      <c r="E279" s="8" t="s">
        <v>10</v>
      </c>
      <c r="F279" s="8">
        <f>VLOOKUP(A279,'[1]PL ENG'!B:G,6, FALSE)</f>
        <v>4000984191554</v>
      </c>
      <c r="G279" s="14">
        <v>1</v>
      </c>
      <c r="H279" s="9">
        <f>VLOOKUP(A279,[1]pricing!A:M,5,FALSE)</f>
        <v>8</v>
      </c>
      <c r="I279" s="10">
        <f>VLOOKUP(A279,[1]pricing!A:M,6,FALSE)</f>
        <v>10</v>
      </c>
    </row>
    <row r="280" spans="1:9" ht="15" customHeight="1">
      <c r="A280" s="16">
        <v>2000029400</v>
      </c>
      <c r="B280" s="18" t="s">
        <v>75</v>
      </c>
      <c r="C280" s="7" t="str">
        <f>VLOOKUP(A280,[1]Translation!A:F,4,FALSE)</f>
        <v xml:space="preserve">Dämpfungseinleger Kopfteil </v>
      </c>
      <c r="D280" s="18"/>
      <c r="E280" s="8" t="s">
        <v>10</v>
      </c>
      <c r="F280" s="8">
        <f>VLOOKUP(A280,'[1]PL ENG'!B:G,6, FALSE)</f>
        <v>4000984191561</v>
      </c>
      <c r="G280" s="14">
        <v>1</v>
      </c>
      <c r="H280" s="9">
        <f>VLOOKUP(A280,[1]pricing!A:M,5,FALSE)</f>
        <v>8</v>
      </c>
      <c r="I280" s="10">
        <f>VLOOKUP(A280,[1]pricing!A:M,6,FALSE)</f>
        <v>10</v>
      </c>
    </row>
    <row r="281" spans="1:9" ht="15" customHeight="1">
      <c r="A281" s="16">
        <v>2000029401</v>
      </c>
      <c r="B281" s="18" t="s">
        <v>75</v>
      </c>
      <c r="C281" s="7" t="str">
        <f>VLOOKUP(A281,[1]Translation!A:F,4,FALSE)</f>
        <v>Dämpfungseinleger Rückenteile Set</v>
      </c>
      <c r="D281" s="18"/>
      <c r="E281" s="8" t="s">
        <v>10</v>
      </c>
      <c r="F281" s="8">
        <f>VLOOKUP(A281,'[1]PL ENG'!B:G,6, FALSE)</f>
        <v>4000984191578</v>
      </c>
      <c r="G281" s="14">
        <v>1</v>
      </c>
      <c r="H281" s="9">
        <f>VLOOKUP(A281,[1]pricing!A:M,5,FALSE)</f>
        <v>8</v>
      </c>
      <c r="I281" s="10">
        <f>VLOOKUP(A281,[1]pricing!A:M,6,FALSE)</f>
        <v>10</v>
      </c>
    </row>
    <row r="282" spans="1:9" ht="15" customHeight="1">
      <c r="A282" s="16">
        <v>2000010377</v>
      </c>
      <c r="B282" s="18" t="s">
        <v>75</v>
      </c>
      <c r="C282" s="7" t="str">
        <f>VLOOKUP(A282,[1]Translation!A:F,4,FALSE)</f>
        <v>XP-PAD Set</v>
      </c>
      <c r="D282" s="18"/>
      <c r="E282" s="8" t="s">
        <v>10</v>
      </c>
      <c r="F282" s="8">
        <f>VLOOKUP(A282,'[1]PL ENG'!B:G,6, FALSE)</f>
        <v>4000984108170</v>
      </c>
      <c r="G282" s="14">
        <v>1</v>
      </c>
      <c r="H282" s="9">
        <f>VLOOKUP(A282,[1]pricing!A:M,5,FALSE)</f>
        <v>20.54</v>
      </c>
      <c r="I282" s="10">
        <f>VLOOKUP(A282,[1]pricing!A:M,6,FALSE)</f>
        <v>25</v>
      </c>
    </row>
    <row r="283" spans="1:9" ht="15" customHeight="1">
      <c r="A283" s="16">
        <v>55450050</v>
      </c>
      <c r="B283" s="18" t="s">
        <v>76</v>
      </c>
      <c r="C283" s="7" t="str">
        <f>VLOOKUP(A283,[1]Translation!A:F,4,FALSE)</f>
        <v>Isofix Einführhilfe</v>
      </c>
      <c r="D283" s="18"/>
      <c r="E283" s="8" t="s">
        <v>10</v>
      </c>
      <c r="F283" s="8">
        <f>VLOOKUP(A283,'[1]PL ENG'!B:G,6, FALSE)</f>
        <v>4000984100327</v>
      </c>
      <c r="G283" s="14">
        <v>1</v>
      </c>
      <c r="H283" s="9">
        <f>VLOOKUP(A283,[1]pricing!A:M,5,FALSE)</f>
        <v>7.09</v>
      </c>
      <c r="I283" s="10">
        <f>VLOOKUP(A283,[1]pricing!A:M,6,FALSE)</f>
        <v>10</v>
      </c>
    </row>
    <row r="284" spans="1:9" ht="15" customHeight="1">
      <c r="A284" s="16">
        <v>2000029398</v>
      </c>
      <c r="B284" s="18" t="s">
        <v>76</v>
      </c>
      <c r="C284" s="7" t="str">
        <f>VLOOKUP(A284,[1]Translation!A:F,4,FALSE)</f>
        <v xml:space="preserve">Dämpfungseinleger Kopfteil </v>
      </c>
      <c r="D284" s="18"/>
      <c r="E284" s="8" t="s">
        <v>10</v>
      </c>
      <c r="F284" s="8">
        <f>VLOOKUP(A284,'[1]PL ENG'!B:G,6, FALSE)</f>
        <v>4000984191547</v>
      </c>
      <c r="G284" s="14">
        <v>1</v>
      </c>
      <c r="H284" s="9">
        <f>VLOOKUP(A284,[1]pricing!A:M,5,FALSE)</f>
        <v>8.4</v>
      </c>
      <c r="I284" s="10">
        <f>VLOOKUP(A284,[1]pricing!A:M,6,FALSE)</f>
        <v>10</v>
      </c>
    </row>
    <row r="285" spans="1:9" ht="15" customHeight="1">
      <c r="A285" s="16">
        <v>2000029399</v>
      </c>
      <c r="B285" s="18" t="s">
        <v>76</v>
      </c>
      <c r="C285" s="7" t="str">
        <f>VLOOKUP(A285,[1]Translation!A:F,4,FALSE)</f>
        <v>Dämpfungseinleger Rückenteile Set</v>
      </c>
      <c r="D285" s="18"/>
      <c r="E285" s="8" t="s">
        <v>10</v>
      </c>
      <c r="F285" s="8">
        <f>VLOOKUP(A285,'[1]PL ENG'!B:G,6, FALSE)</f>
        <v>4000984191554</v>
      </c>
      <c r="G285" s="14">
        <v>1</v>
      </c>
      <c r="H285" s="9">
        <f>VLOOKUP(A285,[1]pricing!A:M,5,FALSE)</f>
        <v>8</v>
      </c>
      <c r="I285" s="10">
        <f>VLOOKUP(A285,[1]pricing!A:M,6,FALSE)</f>
        <v>10</v>
      </c>
    </row>
    <row r="286" spans="1:9" ht="15" customHeight="1">
      <c r="A286" s="16">
        <v>2000029398</v>
      </c>
      <c r="B286" s="18" t="s">
        <v>77</v>
      </c>
      <c r="C286" s="7" t="str">
        <f>VLOOKUP(A286,[1]Translation!A:F,4,FALSE)</f>
        <v xml:space="preserve">Dämpfungseinleger Kopfteil </v>
      </c>
      <c r="D286" s="18"/>
      <c r="E286" s="8" t="s">
        <v>10</v>
      </c>
      <c r="F286" s="8">
        <f>VLOOKUP(A286,'[1]PL ENG'!B:G,6, FALSE)</f>
        <v>4000984191547</v>
      </c>
      <c r="G286" s="14">
        <v>1</v>
      </c>
      <c r="H286" s="9">
        <f>VLOOKUP(A286,[1]pricing!A:M,5,FALSE)</f>
        <v>8.4</v>
      </c>
      <c r="I286" s="10">
        <f>VLOOKUP(A286,[1]pricing!A:M,6,FALSE)</f>
        <v>10</v>
      </c>
    </row>
    <row r="287" spans="1:9" ht="15" customHeight="1">
      <c r="A287" s="16">
        <v>2000029399</v>
      </c>
      <c r="B287" s="18" t="s">
        <v>77</v>
      </c>
      <c r="C287" s="7" t="str">
        <f>VLOOKUP(A287,[1]Translation!A:F,4,FALSE)</f>
        <v>Dämpfungseinleger Rückenteile Set</v>
      </c>
      <c r="D287" s="18"/>
      <c r="E287" s="8" t="s">
        <v>10</v>
      </c>
      <c r="F287" s="8">
        <f>VLOOKUP(A287,'[1]PL ENG'!B:G,6, FALSE)</f>
        <v>4000984191554</v>
      </c>
      <c r="G287" s="14">
        <v>1</v>
      </c>
      <c r="H287" s="9">
        <f>VLOOKUP(A287,[1]pricing!A:M,5,FALSE)</f>
        <v>8</v>
      </c>
      <c r="I287" s="10">
        <f>VLOOKUP(A287,[1]pricing!A:M,6,FALSE)</f>
        <v>10</v>
      </c>
    </row>
    <row r="288" spans="1:9" ht="15" customHeight="1">
      <c r="A288" s="6">
        <v>2000007047</v>
      </c>
      <c r="B288" s="18" t="s">
        <v>77</v>
      </c>
      <c r="C288" s="7" t="str">
        <f>VLOOKUP(A288,[1]Translation!A:F,4,FALSE)</f>
        <v>Isofix Einführhilfe breit</v>
      </c>
      <c r="D288" s="7"/>
      <c r="E288" s="8" t="s">
        <v>10</v>
      </c>
      <c r="F288" s="8">
        <f>VLOOKUP(A288,'[1]PL ENG'!B:G,6, FALSE)</f>
        <v>4000984093384</v>
      </c>
      <c r="G288" s="8">
        <v>1</v>
      </c>
      <c r="H288" s="9">
        <f>VLOOKUP(A288,[1]pricing!A:M,5,FALSE)</f>
        <v>7.09</v>
      </c>
      <c r="I288" s="10">
        <f>VLOOKUP(A288,[1]pricing!A:M,6,FALSE)</f>
        <v>10</v>
      </c>
    </row>
    <row r="289" spans="1:9" ht="15" customHeight="1">
      <c r="A289" s="16">
        <v>2000029400</v>
      </c>
      <c r="B289" s="18" t="s">
        <v>78</v>
      </c>
      <c r="C289" s="7" t="str">
        <f>VLOOKUP(A289,[1]Translation!A:F,4,FALSE)</f>
        <v xml:space="preserve">Dämpfungseinleger Kopfteil </v>
      </c>
      <c r="D289" s="18"/>
      <c r="E289" s="8" t="s">
        <v>10</v>
      </c>
      <c r="F289" s="8">
        <f>VLOOKUP(A289,'[1]PL ENG'!B:G,6, FALSE)</f>
        <v>4000984191561</v>
      </c>
      <c r="G289" s="14">
        <v>1</v>
      </c>
      <c r="H289" s="9">
        <f>VLOOKUP(A289,[1]pricing!A:M,5,FALSE)</f>
        <v>8</v>
      </c>
      <c r="I289" s="10">
        <f>VLOOKUP(A289,[1]pricing!A:M,6,FALSE)</f>
        <v>10</v>
      </c>
    </row>
    <row r="290" spans="1:9" ht="15" customHeight="1">
      <c r="A290" s="16">
        <v>2000029401</v>
      </c>
      <c r="B290" s="18" t="s">
        <v>78</v>
      </c>
      <c r="C290" s="7" t="str">
        <f>VLOOKUP(A290,[1]Translation!A:F,4,FALSE)</f>
        <v>Dämpfungseinleger Rückenteile Set</v>
      </c>
      <c r="D290" s="18"/>
      <c r="E290" s="8" t="s">
        <v>10</v>
      </c>
      <c r="F290" s="8">
        <f>VLOOKUP(A290,'[1]PL ENG'!B:G,6, FALSE)</f>
        <v>4000984191578</v>
      </c>
      <c r="G290" s="14">
        <v>1</v>
      </c>
      <c r="H290" s="9">
        <f>VLOOKUP(A290,[1]pricing!A:M,5,FALSE)</f>
        <v>8</v>
      </c>
      <c r="I290" s="10">
        <f>VLOOKUP(A290,[1]pricing!A:M,6,FALSE)</f>
        <v>10</v>
      </c>
    </row>
    <row r="291" spans="1:9" ht="15" customHeight="1">
      <c r="A291" s="6">
        <v>2000007047</v>
      </c>
      <c r="B291" s="18" t="s">
        <v>78</v>
      </c>
      <c r="C291" s="7" t="str">
        <f>VLOOKUP(A291,[1]Translation!A:F,4,FALSE)</f>
        <v>Isofix Einführhilfe breit</v>
      </c>
      <c r="D291" s="7"/>
      <c r="E291" s="8" t="s">
        <v>10</v>
      </c>
      <c r="F291" s="8">
        <f>VLOOKUP(A291,'[1]PL ENG'!B:G,6, FALSE)</f>
        <v>4000984093384</v>
      </c>
      <c r="G291" s="8">
        <v>1</v>
      </c>
      <c r="H291" s="9">
        <f>VLOOKUP(A291,[1]pricing!A:M,5,FALSE)</f>
        <v>7.09</v>
      </c>
      <c r="I291" s="10">
        <f>VLOOKUP(A291,[1]pricing!A:M,6,FALSE)</f>
        <v>10</v>
      </c>
    </row>
    <row r="292" spans="1:9" ht="15" customHeight="1">
      <c r="A292" s="12">
        <v>2000024304</v>
      </c>
      <c r="B292" s="26" t="s">
        <v>79</v>
      </c>
      <c r="C292" s="7" t="str">
        <f>VLOOKUP(A292,[1]Translation!A:F,4,FALSE)</f>
        <v xml:space="preserve">Polster für SECUREGUARD </v>
      </c>
      <c r="D292" s="27" t="s">
        <v>24</v>
      </c>
      <c r="E292" s="8" t="s">
        <v>10</v>
      </c>
      <c r="F292" s="8">
        <f>VLOOKUP(A292,'[1]PL ENG'!B:G,6, FALSE)</f>
        <v>4000984145601</v>
      </c>
      <c r="G292" s="28">
        <v>1</v>
      </c>
      <c r="H292" s="9">
        <f>VLOOKUP(A292,[1]pricing!A:M,5,FALSE)</f>
        <v>6.37</v>
      </c>
      <c r="I292" s="10">
        <f>VLOOKUP(A292,[1]pricing!A:M,6,FALSE)</f>
        <v>10</v>
      </c>
    </row>
    <row r="293" spans="1:9" ht="15" customHeight="1">
      <c r="A293" s="16">
        <v>2000024425</v>
      </c>
      <c r="B293" s="26" t="s">
        <v>79</v>
      </c>
      <c r="C293" s="7" t="str">
        <f>VLOOKUP(A293,[1]Translation!A:F,4,FALSE)</f>
        <v>SECUREGUARD ohne Polster</v>
      </c>
      <c r="D293" s="18"/>
      <c r="E293" s="8" t="s">
        <v>10</v>
      </c>
      <c r="F293" s="8">
        <f>VLOOKUP(A293,'[1]PL ENG'!B:G,6, FALSE)</f>
        <v>4000984130539</v>
      </c>
      <c r="G293" s="14">
        <v>1</v>
      </c>
      <c r="H293" s="9">
        <f>VLOOKUP(A293,[1]pricing!A:M,5,FALSE)</f>
        <v>9.56</v>
      </c>
      <c r="I293" s="10">
        <f>VLOOKUP(A293,[1]pricing!A:M,6,FALSE)</f>
        <v>15</v>
      </c>
    </row>
    <row r="294" spans="1:9" ht="15" customHeight="1">
      <c r="A294" s="16">
        <v>2000029400</v>
      </c>
      <c r="B294" s="26" t="s">
        <v>79</v>
      </c>
      <c r="C294" s="7" t="str">
        <f>VLOOKUP(A294,[1]Translation!A:F,4,FALSE)</f>
        <v xml:space="preserve">Dämpfungseinleger Kopfteil </v>
      </c>
      <c r="D294" s="18"/>
      <c r="E294" s="8" t="s">
        <v>10</v>
      </c>
      <c r="F294" s="8">
        <f>VLOOKUP(A294,'[1]PL ENG'!B:G,6, FALSE)</f>
        <v>4000984191561</v>
      </c>
      <c r="G294" s="14">
        <v>1</v>
      </c>
      <c r="H294" s="9">
        <f>VLOOKUP(A294,[1]pricing!A:M,5,FALSE)</f>
        <v>8</v>
      </c>
      <c r="I294" s="10">
        <f>VLOOKUP(A294,[1]pricing!A:M,6,FALSE)</f>
        <v>10</v>
      </c>
    </row>
    <row r="295" spans="1:9" ht="15" customHeight="1">
      <c r="A295" s="16">
        <v>2000029401</v>
      </c>
      <c r="B295" s="26" t="s">
        <v>79</v>
      </c>
      <c r="C295" s="7" t="str">
        <f>VLOOKUP(A295,[1]Translation!A:F,4,FALSE)</f>
        <v>Dämpfungseinleger Rückenteile Set</v>
      </c>
      <c r="D295" s="18"/>
      <c r="E295" s="8" t="s">
        <v>10</v>
      </c>
      <c r="F295" s="8">
        <f>VLOOKUP(A295,'[1]PL ENG'!B:G,6, FALSE)</f>
        <v>4000984191578</v>
      </c>
      <c r="G295" s="14">
        <v>1</v>
      </c>
      <c r="H295" s="9">
        <f>VLOOKUP(A295,[1]pricing!A:M,5,FALSE)</f>
        <v>8</v>
      </c>
      <c r="I295" s="10">
        <f>VLOOKUP(A295,[1]pricing!A:M,6,FALSE)</f>
        <v>10</v>
      </c>
    </row>
    <row r="296" spans="1:9" ht="15" customHeight="1">
      <c r="A296" s="16">
        <v>2000010377</v>
      </c>
      <c r="B296" s="26" t="s">
        <v>79</v>
      </c>
      <c r="C296" s="7" t="str">
        <f>VLOOKUP(A296,[1]Translation!A:F,4,FALSE)</f>
        <v>XP-PAD Set</v>
      </c>
      <c r="D296" s="18"/>
      <c r="E296" s="8" t="s">
        <v>10</v>
      </c>
      <c r="F296" s="8">
        <f>VLOOKUP(A296,'[1]PL ENG'!B:G,6, FALSE)</f>
        <v>4000984108170</v>
      </c>
      <c r="G296" s="14">
        <v>1</v>
      </c>
      <c r="H296" s="9">
        <f>VLOOKUP(A296,[1]pricing!A:M,5,FALSE)</f>
        <v>20.54</v>
      </c>
      <c r="I296" s="10">
        <f>VLOOKUP(A296,[1]pricing!A:M,6,FALSE)</f>
        <v>25</v>
      </c>
    </row>
    <row r="297" spans="1:9" ht="15" customHeight="1">
      <c r="A297" s="6">
        <v>2000007047</v>
      </c>
      <c r="B297" s="26" t="s">
        <v>79</v>
      </c>
      <c r="C297" s="7" t="str">
        <f>VLOOKUP(A297,[1]Translation!A:F,4,FALSE)</f>
        <v>Isofix Einführhilfe breit</v>
      </c>
      <c r="D297" s="7"/>
      <c r="E297" s="8" t="s">
        <v>10</v>
      </c>
      <c r="F297" s="8">
        <f>VLOOKUP(A297,'[1]PL ENG'!B:G,6, FALSE)</f>
        <v>4000984093384</v>
      </c>
      <c r="G297" s="8">
        <v>1</v>
      </c>
      <c r="H297" s="9">
        <f>VLOOKUP(A297,[1]pricing!A:M,5,FALSE)</f>
        <v>7.09</v>
      </c>
      <c r="I297" s="10">
        <f>VLOOKUP(A297,[1]pricing!A:M,6,FALSE)</f>
        <v>10</v>
      </c>
    </row>
    <row r="298" spans="1:9" ht="15" customHeight="1">
      <c r="A298" s="16">
        <v>2000029398</v>
      </c>
      <c r="B298" s="18" t="s">
        <v>80</v>
      </c>
      <c r="C298" s="7" t="str">
        <f>VLOOKUP(A298,[1]Translation!A:F,4,FALSE)</f>
        <v xml:space="preserve">Dämpfungseinleger Kopfteil </v>
      </c>
      <c r="D298" s="18"/>
      <c r="E298" s="8" t="s">
        <v>10</v>
      </c>
      <c r="F298" s="8">
        <f>VLOOKUP(A298,'[1]PL ENG'!B:G,6, FALSE)</f>
        <v>4000984191547</v>
      </c>
      <c r="G298" s="14">
        <v>1</v>
      </c>
      <c r="H298" s="9">
        <f>VLOOKUP(A298,[1]pricing!A:M,5,FALSE)</f>
        <v>8.4</v>
      </c>
      <c r="I298" s="10">
        <f>VLOOKUP(A298,[1]pricing!A:M,6,FALSE)</f>
        <v>10</v>
      </c>
    </row>
    <row r="299" spans="1:9" s="17" customFormat="1" ht="15" customHeight="1">
      <c r="A299" s="16">
        <v>2000029399</v>
      </c>
      <c r="B299" s="18" t="s">
        <v>80</v>
      </c>
      <c r="C299" s="7" t="str">
        <f>VLOOKUP(A299,[1]Translation!A:F,4,FALSE)</f>
        <v>Dämpfungseinleger Rückenteile Set</v>
      </c>
      <c r="D299" s="18"/>
      <c r="E299" s="8" t="s">
        <v>10</v>
      </c>
      <c r="F299" s="8">
        <f>VLOOKUP(A299,'[1]PL ENG'!B:G,6, FALSE)</f>
        <v>4000984191554</v>
      </c>
      <c r="G299" s="14">
        <v>1</v>
      </c>
      <c r="H299" s="9">
        <f>VLOOKUP(A299,[1]pricing!A:M,5,FALSE)</f>
        <v>8</v>
      </c>
      <c r="I299" s="10">
        <f>VLOOKUP(A299,[1]pricing!A:M,6,FALSE)</f>
        <v>10</v>
      </c>
    </row>
    <row r="300" spans="1:9" s="17" customFormat="1" ht="15" customHeight="1">
      <c r="A300" s="16">
        <v>2000003670</v>
      </c>
      <c r="B300" s="18" t="s">
        <v>81</v>
      </c>
      <c r="C300" s="7" t="str">
        <f>VLOOKUP(A300,[1]Translation!A:F,4,FALSE)</f>
        <v>Dämpfungseinleger Kopfstütze</v>
      </c>
      <c r="D300" s="18"/>
      <c r="E300" s="8" t="s">
        <v>10</v>
      </c>
      <c r="F300" s="8">
        <f>VLOOKUP(A300,'[1]PL ENG'!B:G,6, FALSE)</f>
        <v>4000984084610</v>
      </c>
      <c r="G300" s="8">
        <v>1</v>
      </c>
      <c r="H300" s="9">
        <f>VLOOKUP(A300,[1]pricing!A:M,5,FALSE)</f>
        <v>8</v>
      </c>
      <c r="I300" s="10">
        <f>VLOOKUP(A300,[1]pricing!A:M,6,FALSE)</f>
        <v>10</v>
      </c>
    </row>
    <row r="301" spans="1:9" s="17" customFormat="1" ht="15" customHeight="1">
      <c r="A301" s="16">
        <v>2000003447</v>
      </c>
      <c r="B301" s="18" t="s">
        <v>82</v>
      </c>
      <c r="C301" s="7" t="str">
        <f>VLOOKUP(A301,[1]Translation!A:F,4,FALSE)</f>
        <v>Metallbügel</v>
      </c>
      <c r="D301" s="18"/>
      <c r="E301" s="8" t="s">
        <v>10</v>
      </c>
      <c r="F301" s="8">
        <f>VLOOKUP(A301,'[1]PL ENG'!B:G,6, FALSE)</f>
        <v>4000984082203</v>
      </c>
      <c r="G301" s="8">
        <v>1</v>
      </c>
      <c r="H301" s="9">
        <f>VLOOKUP(A301,[1]pricing!A:M,5,FALSE)</f>
        <v>19.899999999999999</v>
      </c>
      <c r="I301" s="10">
        <f>VLOOKUP(A301,[1]pricing!A:M,6,FALSE)</f>
        <v>25</v>
      </c>
    </row>
    <row r="302" spans="1:9" s="17" customFormat="1" ht="15" customHeight="1">
      <c r="A302" s="16">
        <v>28071010</v>
      </c>
      <c r="B302" s="18" t="s">
        <v>82</v>
      </c>
      <c r="C302" s="7" t="str">
        <f>VLOOKUP(A302,[1]Translation!A:F,4,FALSE)</f>
        <v>Adapter Zweithalterung</v>
      </c>
      <c r="D302" s="18"/>
      <c r="E302" s="8" t="s">
        <v>10</v>
      </c>
      <c r="F302" s="8">
        <f>VLOOKUP(A302,'[1]PL ENG'!B:G,6, FALSE)</f>
        <v>4000984119022</v>
      </c>
      <c r="G302" s="8">
        <v>1</v>
      </c>
      <c r="H302" s="9">
        <f>VLOOKUP(A302,[1]pricing!A:M,5,FALSE)</f>
        <v>8</v>
      </c>
      <c r="I302" s="10">
        <f>VLOOKUP(A302,[1]pricing!A:M,6,FALSE)</f>
        <v>10</v>
      </c>
    </row>
    <row r="303" spans="1:9" s="17" customFormat="1" ht="15" customHeight="1">
      <c r="A303" s="16">
        <v>2000003449</v>
      </c>
      <c r="B303" s="18" t="s">
        <v>82</v>
      </c>
      <c r="C303" s="7" t="str">
        <f>VLOOKUP(A303,[1]Translation!A:F,4,FALSE)</f>
        <v>Befestigungsstopfen</v>
      </c>
      <c r="D303" s="18"/>
      <c r="E303" s="8" t="s">
        <v>10</v>
      </c>
      <c r="F303" s="8">
        <f>VLOOKUP(A303,'[1]PL ENG'!B:G,6, FALSE)</f>
        <v>4000984082227</v>
      </c>
      <c r="G303" s="8">
        <v>1</v>
      </c>
      <c r="H303" s="9">
        <f>VLOOKUP(A303,[1]pricing!A:M,5,FALSE)</f>
        <v>8</v>
      </c>
      <c r="I303" s="10">
        <f>VLOOKUP(A303,[1]pricing!A:M,6,FALSE)</f>
        <v>10</v>
      </c>
    </row>
    <row r="304" spans="1:9" s="40" customFormat="1" ht="15" customHeight="1">
      <c r="A304" s="16">
        <v>2000024426</v>
      </c>
      <c r="B304" s="18" t="s">
        <v>82</v>
      </c>
      <c r="C304" s="7" t="str">
        <f>VLOOKUP(A304,[1]Translation!A:F,4,FALSE)</f>
        <v>Klemmplatte inkl. Schrauben</v>
      </c>
      <c r="D304" s="18"/>
      <c r="E304" s="8" t="s">
        <v>10</v>
      </c>
      <c r="F304" s="8">
        <f>VLOOKUP(A304,'[1]PL ENG'!B:G,6, FALSE)</f>
        <v>4000984130546</v>
      </c>
      <c r="G304" s="8">
        <v>1</v>
      </c>
      <c r="H304" s="9">
        <f>VLOOKUP(A304,[1]pricing!A:M,5,FALSE)</f>
        <v>9.36</v>
      </c>
      <c r="I304" s="10">
        <f>VLOOKUP(A304,[1]pricing!A:M,6,FALSE)</f>
        <v>15</v>
      </c>
    </row>
    <row r="305" spans="1:9" s="40" customFormat="1" ht="15" customHeight="1">
      <c r="A305" s="16">
        <v>2000025770</v>
      </c>
      <c r="B305" s="18" t="s">
        <v>82</v>
      </c>
      <c r="C305" s="7" t="str">
        <f>VLOOKUP(A305,[1]Translation!A:F,4,FALSE)</f>
        <v>Set Schrauben für Klemmplatte</v>
      </c>
      <c r="D305" s="18"/>
      <c r="E305" s="8" t="s">
        <v>10</v>
      </c>
      <c r="F305" s="8">
        <f>VLOOKUP(A305,'[1]PL ENG'!B:G,6, FALSE)</f>
        <v>4000984152333</v>
      </c>
      <c r="G305" s="8">
        <v>1</v>
      </c>
      <c r="H305" s="9">
        <f>VLOOKUP(A305,[1]pricing!A:M,5,FALSE)</f>
        <v>8</v>
      </c>
      <c r="I305" s="10">
        <f>VLOOKUP(A305,[1]pricing!A:M,6,FALSE)</f>
        <v>10</v>
      </c>
    </row>
    <row r="306" spans="1:9" s="40" customFormat="1" ht="15" customHeight="1">
      <c r="A306" s="16">
        <v>2000025769</v>
      </c>
      <c r="B306" s="18" t="s">
        <v>82</v>
      </c>
      <c r="C306" s="7" t="str">
        <f>VLOOKUP(A306,[1]Translation!A:F,4,FALSE)</f>
        <v>Rückstrahler</v>
      </c>
      <c r="D306" s="18"/>
      <c r="E306" s="8" t="s">
        <v>10</v>
      </c>
      <c r="F306" s="8">
        <f>VLOOKUP(A306,'[1]PL ENG'!B:G,6, FALSE)</f>
        <v>4000984152326</v>
      </c>
      <c r="G306" s="8">
        <v>1</v>
      </c>
      <c r="H306" s="9">
        <f>VLOOKUP(A306,[1]pricing!A:M,5,FALSE)</f>
        <v>8</v>
      </c>
      <c r="I306" s="10">
        <f>VLOOKUP(A306,[1]pricing!A:M,6,FALSE)</f>
        <v>10</v>
      </c>
    </row>
    <row r="307" spans="1:9" s="40" customFormat="1" ht="15" customHeight="1">
      <c r="A307" s="16">
        <v>2000025803</v>
      </c>
      <c r="B307" s="18" t="s">
        <v>82</v>
      </c>
      <c r="C307" s="7" t="str">
        <f>VLOOKUP(A307,[1]Translation!A:F,4,FALSE)</f>
        <v>Bedienhebel</v>
      </c>
      <c r="D307" s="18" t="s">
        <v>54</v>
      </c>
      <c r="E307" s="8" t="s">
        <v>10</v>
      </c>
      <c r="F307" s="8">
        <f>VLOOKUP(A307,'[1]PL ENG'!B:G,6, FALSE)</f>
        <v>4000984152449</v>
      </c>
      <c r="G307" s="8">
        <v>1</v>
      </c>
      <c r="H307" s="9">
        <f>VLOOKUP(A307,[1]pricing!A:M,5,FALSE)</f>
        <v>9.9</v>
      </c>
      <c r="I307" s="10">
        <f>VLOOKUP(A307,[1]pricing!A:M,6,FALSE)</f>
        <v>15</v>
      </c>
    </row>
    <row r="308" spans="1:9" s="40" customFormat="1" ht="15" customHeight="1">
      <c r="A308" s="16">
        <v>2000029337</v>
      </c>
      <c r="B308" s="18" t="s">
        <v>82</v>
      </c>
      <c r="C308" s="7" t="str">
        <f>VLOOKUP(A308,[1]Translation!A:F,4,FALSE)</f>
        <v>Schulterpolster Set  und Gurtzeug 2-step (2018)</v>
      </c>
      <c r="D308" s="18" t="s">
        <v>24</v>
      </c>
      <c r="E308" s="8" t="s">
        <v>10</v>
      </c>
      <c r="F308" s="8">
        <f>VLOOKUP(A308,'[1]PL ENG'!B:G,6, FALSE)</f>
        <v>4000984190991</v>
      </c>
      <c r="G308" s="8">
        <v>1</v>
      </c>
      <c r="H308" s="9">
        <f>VLOOKUP(A308,[1]pricing!A:M,5,FALSE)</f>
        <v>16.809999999999999</v>
      </c>
      <c r="I308" s="10">
        <f>VLOOKUP(A308,[1]pricing!A:M,6,FALSE)</f>
        <v>20</v>
      </c>
    </row>
    <row r="309" spans="1:9" s="40" customFormat="1" ht="15" customHeight="1">
      <c r="A309" s="16">
        <v>2000025768</v>
      </c>
      <c r="B309" s="18" t="s">
        <v>82</v>
      </c>
      <c r="C309" s="7" t="str">
        <f>VLOOKUP(A309,[1]Translation!A:F,4,FALSE)</f>
        <v>Fußriemen Set</v>
      </c>
      <c r="D309" s="18" t="s">
        <v>54</v>
      </c>
      <c r="E309" s="8" t="s">
        <v>10</v>
      </c>
      <c r="F309" s="8">
        <f>VLOOKUP(A309,'[1]PL ENG'!B:G,6, FALSE)</f>
        <v>4000984152319</v>
      </c>
      <c r="G309" s="8">
        <v>1</v>
      </c>
      <c r="H309" s="9">
        <f>VLOOKUP(A309,[1]pricing!A:M,5,FALSE)</f>
        <v>8</v>
      </c>
      <c r="I309" s="10">
        <f>VLOOKUP(A309,[1]pricing!A:M,6,FALSE)</f>
        <v>10</v>
      </c>
    </row>
    <row r="310" spans="1:9" s="17" customFormat="1" ht="15" customHeight="1">
      <c r="A310" s="16">
        <v>2000026836</v>
      </c>
      <c r="B310" s="18" t="s">
        <v>82</v>
      </c>
      <c r="C310" s="7" t="str">
        <f>VLOOKUP(A310,[1]Translation!A:F,4,FALSE)</f>
        <v>Fach Bedienungsanleitung</v>
      </c>
      <c r="D310" s="18"/>
      <c r="E310" s="8" t="s">
        <v>10</v>
      </c>
      <c r="F310" s="8">
        <f>VLOOKUP(A310,'[1]PL ENG'!B:G,6, FALSE)</f>
        <v>4000984158670</v>
      </c>
      <c r="G310" s="8">
        <v>1</v>
      </c>
      <c r="H310" s="9">
        <f>VLOOKUP(A310,[1]pricing!A:M,5,FALSE)</f>
        <v>8</v>
      </c>
      <c r="I310" s="10">
        <f>VLOOKUP(A310,[1]pricing!A:M,6,FALSE)</f>
        <v>10</v>
      </c>
    </row>
    <row r="311" spans="1:9" s="17" customFormat="1" ht="15" customHeight="1">
      <c r="A311" s="16">
        <v>2000003447</v>
      </c>
      <c r="B311" s="18" t="s">
        <v>83</v>
      </c>
      <c r="C311" s="7" t="str">
        <f>VLOOKUP(A311,[1]Translation!A:F,4,FALSE)</f>
        <v>Metallbügel</v>
      </c>
      <c r="D311" s="18"/>
      <c r="E311" s="8" t="s">
        <v>10</v>
      </c>
      <c r="F311" s="8">
        <f>VLOOKUP(A311,'[1]PL ENG'!B:G,6, FALSE)</f>
        <v>4000984082203</v>
      </c>
      <c r="G311" s="8">
        <v>1</v>
      </c>
      <c r="H311" s="9">
        <f>VLOOKUP(A311,[1]pricing!A:M,5,FALSE)</f>
        <v>19.899999999999999</v>
      </c>
      <c r="I311" s="10">
        <f>VLOOKUP(A311,[1]pricing!A:M,6,FALSE)</f>
        <v>25</v>
      </c>
    </row>
    <row r="312" spans="1:9" s="17" customFormat="1" ht="15" customHeight="1">
      <c r="A312" s="16">
        <v>28071010</v>
      </c>
      <c r="B312" s="18" t="s">
        <v>83</v>
      </c>
      <c r="C312" s="7" t="str">
        <f>VLOOKUP(A312,[1]Translation!A:F,4,FALSE)</f>
        <v>Adapter Zweithalterung</v>
      </c>
      <c r="D312" s="18"/>
      <c r="E312" s="8" t="s">
        <v>10</v>
      </c>
      <c r="F312" s="8">
        <f>VLOOKUP(A312,'[1]PL ENG'!B:G,6, FALSE)</f>
        <v>4000984119022</v>
      </c>
      <c r="G312" s="8">
        <v>1</v>
      </c>
      <c r="H312" s="9">
        <f>VLOOKUP(A312,[1]pricing!A:M,5,FALSE)</f>
        <v>8</v>
      </c>
      <c r="I312" s="10">
        <f>VLOOKUP(A312,[1]pricing!A:M,6,FALSE)</f>
        <v>10</v>
      </c>
    </row>
    <row r="313" spans="1:9" s="17" customFormat="1" ht="15" customHeight="1">
      <c r="A313" s="16">
        <v>2000003449</v>
      </c>
      <c r="B313" s="18" t="s">
        <v>83</v>
      </c>
      <c r="C313" s="7" t="str">
        <f>VLOOKUP(A313,[1]Translation!A:F,4,FALSE)</f>
        <v>Befestigungsstopfen</v>
      </c>
      <c r="D313" s="18"/>
      <c r="E313" s="8" t="s">
        <v>10</v>
      </c>
      <c r="F313" s="8">
        <f>VLOOKUP(A313,'[1]PL ENG'!B:G,6, FALSE)</f>
        <v>4000984082227</v>
      </c>
      <c r="G313" s="8">
        <v>1</v>
      </c>
      <c r="H313" s="9">
        <f>VLOOKUP(A313,[1]pricing!A:M,5,FALSE)</f>
        <v>8</v>
      </c>
      <c r="I313" s="10">
        <f>VLOOKUP(A313,[1]pricing!A:M,6,FALSE)</f>
        <v>10</v>
      </c>
    </row>
    <row r="314" spans="1:9" s="40" customFormat="1" ht="15" customHeight="1">
      <c r="A314" s="16">
        <v>2000024426</v>
      </c>
      <c r="B314" s="18" t="s">
        <v>83</v>
      </c>
      <c r="C314" s="7" t="str">
        <f>VLOOKUP(A314,[1]Translation!A:F,4,FALSE)</f>
        <v>Klemmplatte inkl. Schrauben</v>
      </c>
      <c r="D314" s="18"/>
      <c r="E314" s="8" t="s">
        <v>10</v>
      </c>
      <c r="F314" s="8">
        <f>VLOOKUP(A314,'[1]PL ENG'!B:G,6, FALSE)</f>
        <v>4000984130546</v>
      </c>
      <c r="G314" s="8">
        <v>1</v>
      </c>
      <c r="H314" s="9">
        <f>VLOOKUP(A314,[1]pricing!A:M,5,FALSE)</f>
        <v>9.36</v>
      </c>
      <c r="I314" s="10">
        <f>VLOOKUP(A314,[1]pricing!A:M,6,FALSE)</f>
        <v>15</v>
      </c>
    </row>
    <row r="315" spans="1:9" s="40" customFormat="1" ht="15" customHeight="1">
      <c r="A315" s="16">
        <v>2000025770</v>
      </c>
      <c r="B315" s="18" t="s">
        <v>83</v>
      </c>
      <c r="C315" s="7" t="str">
        <f>VLOOKUP(A315,[1]Translation!A:F,4,FALSE)</f>
        <v>Set Schrauben für Klemmplatte</v>
      </c>
      <c r="D315" s="18"/>
      <c r="E315" s="8" t="s">
        <v>10</v>
      </c>
      <c r="F315" s="8">
        <f>VLOOKUP(A315,'[1]PL ENG'!B:G,6, FALSE)</f>
        <v>4000984152333</v>
      </c>
      <c r="G315" s="8">
        <v>1</v>
      </c>
      <c r="H315" s="9">
        <f>VLOOKUP(A315,[1]pricing!A:M,5,FALSE)</f>
        <v>8</v>
      </c>
      <c r="I315" s="10">
        <f>VLOOKUP(A315,[1]pricing!A:M,6,FALSE)</f>
        <v>10</v>
      </c>
    </row>
    <row r="316" spans="1:9" s="40" customFormat="1" ht="15" customHeight="1">
      <c r="A316" s="16">
        <v>2000025769</v>
      </c>
      <c r="B316" s="18" t="s">
        <v>83</v>
      </c>
      <c r="C316" s="7" t="str">
        <f>VLOOKUP(A316,[1]Translation!A:F,4,FALSE)</f>
        <v>Rückstrahler</v>
      </c>
      <c r="D316" s="18"/>
      <c r="E316" s="8" t="s">
        <v>10</v>
      </c>
      <c r="F316" s="8">
        <f>VLOOKUP(A316,'[1]PL ENG'!B:G,6, FALSE)</f>
        <v>4000984152326</v>
      </c>
      <c r="G316" s="8">
        <v>1</v>
      </c>
      <c r="H316" s="9">
        <f>VLOOKUP(A316,[1]pricing!A:M,5,FALSE)</f>
        <v>8</v>
      </c>
      <c r="I316" s="10">
        <f>VLOOKUP(A316,[1]pricing!A:M,6,FALSE)</f>
        <v>10</v>
      </c>
    </row>
    <row r="317" spans="1:9" s="40" customFormat="1" ht="15" customHeight="1">
      <c r="A317" s="16">
        <v>2000025803</v>
      </c>
      <c r="B317" s="18" t="s">
        <v>83</v>
      </c>
      <c r="C317" s="7" t="str">
        <f>VLOOKUP(A317,[1]Translation!A:F,4,FALSE)</f>
        <v>Bedienhebel</v>
      </c>
      <c r="D317" s="18" t="s">
        <v>54</v>
      </c>
      <c r="E317" s="8" t="s">
        <v>10</v>
      </c>
      <c r="F317" s="8">
        <f>VLOOKUP(A317,'[1]PL ENG'!B:G,6, FALSE)</f>
        <v>4000984152449</v>
      </c>
      <c r="G317" s="8">
        <v>1</v>
      </c>
      <c r="H317" s="9">
        <f>VLOOKUP(A317,[1]pricing!A:M,5,FALSE)</f>
        <v>9.9</v>
      </c>
      <c r="I317" s="10">
        <f>VLOOKUP(A317,[1]pricing!A:M,6,FALSE)</f>
        <v>15</v>
      </c>
    </row>
    <row r="318" spans="1:9" s="40" customFormat="1" ht="15" customHeight="1">
      <c r="A318" s="16">
        <v>2000029338</v>
      </c>
      <c r="B318" s="18" t="s">
        <v>83</v>
      </c>
      <c r="C318" s="7" t="str">
        <f>VLOOKUP(A318,[1]Translation!A:F,4,FALSE)</f>
        <v>Schulterpolster Set  und Gurtzeug 2-step (2018)</v>
      </c>
      <c r="D318" s="18" t="s">
        <v>24</v>
      </c>
      <c r="E318" s="8" t="s">
        <v>10</v>
      </c>
      <c r="F318" s="8">
        <f>VLOOKUP(A318,'[1]PL ENG'!B:G,6, FALSE)</f>
        <v>4000984191004</v>
      </c>
      <c r="G318" s="8">
        <v>1</v>
      </c>
      <c r="H318" s="9">
        <f>VLOOKUP(A318,[1]pricing!A:M,5,FALSE)</f>
        <v>16.809999999999999</v>
      </c>
      <c r="I318" s="10">
        <f>VLOOKUP(A318,[1]pricing!A:M,6,FALSE)</f>
        <v>20</v>
      </c>
    </row>
    <row r="319" spans="1:9" s="40" customFormat="1" ht="15" customHeight="1">
      <c r="A319" s="16">
        <v>2000025768</v>
      </c>
      <c r="B319" s="18" t="s">
        <v>83</v>
      </c>
      <c r="C319" s="7" t="str">
        <f>VLOOKUP(A319,[1]Translation!A:F,4,FALSE)</f>
        <v>Fußriemen Set</v>
      </c>
      <c r="D319" s="18" t="s">
        <v>54</v>
      </c>
      <c r="E319" s="8" t="s">
        <v>10</v>
      </c>
      <c r="F319" s="8">
        <f>VLOOKUP(A319,'[1]PL ENG'!B:G,6, FALSE)</f>
        <v>4000984152319</v>
      </c>
      <c r="G319" s="8">
        <v>1</v>
      </c>
      <c r="H319" s="9">
        <f>VLOOKUP(A319,[1]pricing!A:M,5,FALSE)</f>
        <v>8</v>
      </c>
      <c r="I319" s="10">
        <f>VLOOKUP(A319,[1]pricing!A:M,6,FALSE)</f>
        <v>10</v>
      </c>
    </row>
    <row r="320" spans="1:9" s="40" customFormat="1" ht="15.75" customHeight="1">
      <c r="A320" s="16">
        <v>2000026836</v>
      </c>
      <c r="B320" s="18" t="s">
        <v>83</v>
      </c>
      <c r="C320" s="7" t="str">
        <f>VLOOKUP(A320,[1]Translation!A:F,4,FALSE)</f>
        <v>Fach Bedienungsanleitung</v>
      </c>
      <c r="D320" s="18"/>
      <c r="E320" s="8" t="s">
        <v>10</v>
      </c>
      <c r="F320" s="8">
        <f>VLOOKUP(A320,'[1]PL ENG'!B:G,6, FALSE)</f>
        <v>4000984158670</v>
      </c>
      <c r="G320" s="8">
        <v>1</v>
      </c>
      <c r="H320" s="9">
        <f>VLOOKUP(A320,[1]pricing!A:M,5,FALSE)</f>
        <v>8</v>
      </c>
      <c r="I320" s="10">
        <f>VLOOKUP(A320,[1]pricing!A:M,6,FALSE)</f>
        <v>10</v>
      </c>
    </row>
    <row r="321" spans="1:9" s="40" customFormat="1" ht="15.75" customHeight="1">
      <c r="A321" s="6">
        <v>2000027467</v>
      </c>
      <c r="B321" s="7" t="s">
        <v>84</v>
      </c>
      <c r="C321" s="7" t="str">
        <f>VLOOKUP(A321,[1]Translation!A:F,4,FALSE)</f>
        <v>Vorderräder Set</v>
      </c>
      <c r="D321" s="43"/>
      <c r="E321" s="8" t="s">
        <v>10</v>
      </c>
      <c r="F321" s="8">
        <f>VLOOKUP(A321,'[1]PL ENG'!B:G,6, FALSE)</f>
        <v>4000984166316</v>
      </c>
      <c r="G321" s="8">
        <v>1</v>
      </c>
      <c r="H321" s="9">
        <f>VLOOKUP(A321,[1]pricing!A:M,5,FALSE)</f>
        <v>16.809999999999999</v>
      </c>
      <c r="I321" s="10">
        <f>VLOOKUP(A321,[1]pricing!A:M,6,FALSE)</f>
        <v>20</v>
      </c>
    </row>
    <row r="322" spans="1:9" s="40" customFormat="1" ht="15.75" customHeight="1">
      <c r="A322" s="6">
        <v>2000027468</v>
      </c>
      <c r="B322" s="7" t="s">
        <v>84</v>
      </c>
      <c r="C322" s="7" t="str">
        <f>VLOOKUP(A322,[1]Translation!A:F,4,FALSE)</f>
        <v>Sitzbezug</v>
      </c>
      <c r="D322" s="43"/>
      <c r="E322" s="8" t="s">
        <v>10</v>
      </c>
      <c r="F322" s="8">
        <f>VLOOKUP(A322,'[1]PL ENG'!B:G,6, FALSE)</f>
        <v>4000984166323</v>
      </c>
      <c r="G322" s="8">
        <v>1</v>
      </c>
      <c r="H322" s="9">
        <f>VLOOKUP(A322,[1]pricing!A:M,5,FALSE)</f>
        <v>21.01</v>
      </c>
      <c r="I322" s="10">
        <f>VLOOKUP(A322,[1]pricing!A:M,6,FALSE)</f>
        <v>25</v>
      </c>
    </row>
    <row r="323" spans="1:9" s="40" customFormat="1" ht="15.75" customHeight="1">
      <c r="A323" s="6">
        <v>2000027470</v>
      </c>
      <c r="B323" s="7" t="s">
        <v>84</v>
      </c>
      <c r="C323" s="7" t="str">
        <f>VLOOKUP(A323,[1]Translation!A:F,4,FALSE)</f>
        <v>Korb</v>
      </c>
      <c r="D323" s="43"/>
      <c r="E323" s="8" t="s">
        <v>10</v>
      </c>
      <c r="F323" s="8">
        <f>VLOOKUP(A323,'[1]PL ENG'!B:G,6, FALSE)</f>
        <v>4000984166347</v>
      </c>
      <c r="G323" s="8">
        <v>1</v>
      </c>
      <c r="H323" s="9">
        <f>VLOOKUP(A323,[1]pricing!A:M,5,FALSE)</f>
        <v>16.809999999999999</v>
      </c>
      <c r="I323" s="10">
        <f>VLOOKUP(A323,[1]pricing!A:M,6,FALSE)</f>
        <v>20</v>
      </c>
    </row>
    <row r="324" spans="1:9" s="40" customFormat="1" ht="15.75" customHeight="1">
      <c r="A324" s="6">
        <v>2000027471</v>
      </c>
      <c r="B324" s="7" t="s">
        <v>84</v>
      </c>
      <c r="C324" s="7" t="str">
        <f>VLOOKUP(A324,[1]Translation!A:F,4,FALSE)</f>
        <v>Verdeck mit Schulterpolster</v>
      </c>
      <c r="D324" s="43"/>
      <c r="E324" s="8" t="s">
        <v>10</v>
      </c>
      <c r="F324" s="8">
        <f>VLOOKUP(A324,'[1]PL ENG'!B:G,6, FALSE)</f>
        <v>4000984166354</v>
      </c>
      <c r="G324" s="8">
        <v>1</v>
      </c>
      <c r="H324" s="9">
        <f>VLOOKUP(A324,[1]pricing!A:M,5,FALSE)</f>
        <v>16.809999999999999</v>
      </c>
      <c r="I324" s="10">
        <f>VLOOKUP(A324,[1]pricing!A:M,6,FALSE)</f>
        <v>20</v>
      </c>
    </row>
    <row r="325" spans="1:9" s="40" customFormat="1" ht="15.75" customHeight="1">
      <c r="A325" s="6">
        <v>2000027472</v>
      </c>
      <c r="B325" s="7" t="s">
        <v>85</v>
      </c>
      <c r="C325" s="7" t="str">
        <f>VLOOKUP(A325,[1]Translation!A:F,4,FALSE)</f>
        <v>Vorderräder Set</v>
      </c>
      <c r="D325" s="18"/>
      <c r="E325" s="8" t="s">
        <v>10</v>
      </c>
      <c r="F325" s="8">
        <f>VLOOKUP(A325,'[1]PL ENG'!B:G,6, FALSE)</f>
        <v>4000984166361</v>
      </c>
      <c r="G325" s="8">
        <v>1</v>
      </c>
      <c r="H325" s="9">
        <f>VLOOKUP(A325,[1]pricing!A:M,5,FALSE)</f>
        <v>25.21</v>
      </c>
      <c r="I325" s="10">
        <f>VLOOKUP(A325,[1]pricing!A:M,6,FALSE)</f>
        <v>30</v>
      </c>
    </row>
    <row r="326" spans="1:9" s="40" customFormat="1" ht="15.75" customHeight="1">
      <c r="A326" s="6">
        <v>2000027473</v>
      </c>
      <c r="B326" s="7" t="s">
        <v>85</v>
      </c>
      <c r="C326" s="7" t="str">
        <f>VLOOKUP(A326,[1]Translation!A:F,4,FALSE)</f>
        <v>Hinterräder Set</v>
      </c>
      <c r="D326" s="18"/>
      <c r="E326" s="8" t="s">
        <v>10</v>
      </c>
      <c r="F326" s="8">
        <f>VLOOKUP(A326,'[1]PL ENG'!B:G,6, FALSE)</f>
        <v>4000984166378</v>
      </c>
      <c r="G326" s="8">
        <v>1</v>
      </c>
      <c r="H326" s="9">
        <f>VLOOKUP(A326,[1]pricing!A:M,5,FALSE)</f>
        <v>25.21</v>
      </c>
      <c r="I326" s="10">
        <f>VLOOKUP(A326,[1]pricing!A:M,6,FALSE)</f>
        <v>30</v>
      </c>
    </row>
    <row r="327" spans="1:9" s="40" customFormat="1" ht="15.75" customHeight="1">
      <c r="A327" s="6">
        <v>2000027474</v>
      </c>
      <c r="B327" s="7" t="s">
        <v>85</v>
      </c>
      <c r="C327" s="7" t="str">
        <f>VLOOKUP(A327,[1]Translation!A:F,4,FALSE)</f>
        <v>Korb</v>
      </c>
      <c r="D327" s="18"/>
      <c r="E327" s="8" t="s">
        <v>10</v>
      </c>
      <c r="F327" s="8">
        <f>VLOOKUP(A327,'[1]PL ENG'!B:G,6, FALSE)</f>
        <v>4000984166385</v>
      </c>
      <c r="G327" s="8">
        <v>1</v>
      </c>
      <c r="H327" s="9">
        <f>VLOOKUP(A327,[1]pricing!A:M,5,FALSE)</f>
        <v>16.809999999999999</v>
      </c>
      <c r="I327" s="10">
        <f>VLOOKUP(A327,[1]pricing!A:M,6,FALSE)</f>
        <v>20</v>
      </c>
    </row>
    <row r="328" spans="1:9" s="40" customFormat="1" ht="15.75" customHeight="1">
      <c r="A328" s="6">
        <v>2000027475</v>
      </c>
      <c r="B328" s="7" t="s">
        <v>85</v>
      </c>
      <c r="C328" s="7" t="str">
        <f>VLOOKUP(A328,[1]Translation!A:F,4,FALSE)</f>
        <v xml:space="preserve">Sitzbezug </v>
      </c>
      <c r="D328" s="18"/>
      <c r="E328" s="8" t="s">
        <v>43</v>
      </c>
      <c r="F328" s="8">
        <f>VLOOKUP(A328,'[1]PL ENG'!B:G,6, FALSE)</f>
        <v>4000984166392</v>
      </c>
      <c r="G328" s="8">
        <v>1</v>
      </c>
      <c r="H328" s="9">
        <f>VLOOKUP(A328,[1]pricing!A:M,5,FALSE)</f>
        <v>33.61</v>
      </c>
      <c r="I328" s="10">
        <f>VLOOKUP(A328,[1]pricing!A:M,6,FALSE)</f>
        <v>40</v>
      </c>
    </row>
    <row r="329" spans="1:9" s="40" customFormat="1" ht="15.75" customHeight="1">
      <c r="A329" s="6">
        <v>2000027477</v>
      </c>
      <c r="B329" s="7" t="s">
        <v>85</v>
      </c>
      <c r="C329" s="7" t="str">
        <f>VLOOKUP(A329,[1]Translation!A:F,4,FALSE)</f>
        <v xml:space="preserve">Spielbügel </v>
      </c>
      <c r="D329" s="18" t="s">
        <v>11</v>
      </c>
      <c r="E329" s="8" t="s">
        <v>10</v>
      </c>
      <c r="F329" s="8">
        <f>VLOOKUP(A329,'[1]PL ENG'!B:G,6, FALSE)</f>
        <v>4000984166415</v>
      </c>
      <c r="G329" s="8">
        <v>1</v>
      </c>
      <c r="H329" s="9">
        <f>VLOOKUP(A329,[1]pricing!A:M,5,FALSE)</f>
        <v>16.809999999999999</v>
      </c>
      <c r="I329" s="10">
        <f>VLOOKUP(A329,[1]pricing!A:M,6,FALSE)</f>
        <v>20</v>
      </c>
    </row>
    <row r="330" spans="1:9" s="40" customFormat="1" ht="15.75" customHeight="1">
      <c r="A330" s="6">
        <v>2000027478</v>
      </c>
      <c r="B330" s="7" t="s">
        <v>85</v>
      </c>
      <c r="C330" s="7" t="str">
        <f>VLOOKUP(A330,[1]Translation!A:F,4,FALSE)</f>
        <v xml:space="preserve">Fußablage </v>
      </c>
      <c r="D330" s="18"/>
      <c r="E330" s="8" t="s">
        <v>43</v>
      </c>
      <c r="F330" s="8">
        <f>VLOOKUP(A330,'[1]PL ENG'!B:G,6, FALSE)</f>
        <v>4000984166422</v>
      </c>
      <c r="G330" s="8">
        <v>1</v>
      </c>
      <c r="H330" s="9">
        <f>VLOOKUP(A330,[1]pricing!A:M,5,FALSE)</f>
        <v>16.809999999999999</v>
      </c>
      <c r="I330" s="10">
        <f>VLOOKUP(A330,[1]pricing!A:M,6,FALSE)</f>
        <v>20</v>
      </c>
    </row>
    <row r="331" spans="1:9" s="17" customFormat="1" ht="15" customHeight="1">
      <c r="A331" s="6">
        <v>2000029129</v>
      </c>
      <c r="B331" s="7" t="s">
        <v>85</v>
      </c>
      <c r="C331" s="7" t="str">
        <f>VLOOKUP(A331,[1]Translation!A:F,4,FALSE)</f>
        <v>Verdeck mit Schulterpolster</v>
      </c>
      <c r="D331" s="18" t="s">
        <v>11</v>
      </c>
      <c r="E331" s="8" t="s">
        <v>10</v>
      </c>
      <c r="F331" s="8">
        <f>VLOOKUP(A331,'[1]PL ENG'!B:G,6, FALSE)</f>
        <v>4000984189704</v>
      </c>
      <c r="G331" s="8">
        <v>1</v>
      </c>
      <c r="H331" s="9">
        <f>VLOOKUP(A331,[1]pricing!A:M,5,FALSE)</f>
        <v>25.21</v>
      </c>
      <c r="I331" s="10">
        <f>VLOOKUP(A331,[1]pricing!A:M,6,FALSE)</f>
        <v>30</v>
      </c>
    </row>
    <row r="332" spans="1:9" s="17" customFormat="1" ht="15" customHeight="1">
      <c r="A332" s="6">
        <v>2000005808</v>
      </c>
      <c r="B332" s="7" t="s">
        <v>86</v>
      </c>
      <c r="C332" s="7" t="str">
        <f>VLOOKUP(A332,[1]Translation!A:F,4,FALSE)</f>
        <v>Verdeck</v>
      </c>
      <c r="D332" s="7" t="s">
        <v>29</v>
      </c>
      <c r="E332" s="8" t="s">
        <v>10</v>
      </c>
      <c r="F332" s="8">
        <f>VLOOKUP(A332,'[1]PL ENG'!B:G,6, FALSE)</f>
        <v>4000984089752</v>
      </c>
      <c r="G332" s="8">
        <v>1</v>
      </c>
      <c r="H332" s="9">
        <f>VLOOKUP(A332,[1]pricing!A:M,5,FALSE)</f>
        <v>44.27</v>
      </c>
      <c r="I332" s="10">
        <f>VLOOKUP(A332,[1]pricing!A:M,6,FALSE)</f>
        <v>55</v>
      </c>
    </row>
    <row r="333" spans="1:9" s="17" customFormat="1" ht="15" customHeight="1">
      <c r="A333" s="6">
        <v>2000008007</v>
      </c>
      <c r="B333" s="7" t="s">
        <v>86</v>
      </c>
      <c r="C333" s="7" t="str">
        <f>VLOOKUP(A333,[1]Translation!A:F,4,FALSE)</f>
        <v>Verdeck</v>
      </c>
      <c r="D333" s="7" t="s">
        <v>87</v>
      </c>
      <c r="E333" s="8" t="s">
        <v>10</v>
      </c>
      <c r="F333" s="8">
        <f>VLOOKUP(A333,'[1]PL ENG'!B:G,6, FALSE)</f>
        <v>4000984094763</v>
      </c>
      <c r="G333" s="8">
        <v>1</v>
      </c>
      <c r="H333" s="9">
        <f>VLOOKUP(A333,[1]pricing!A:M,5,FALSE)</f>
        <v>44.27</v>
      </c>
      <c r="I333" s="10">
        <f>VLOOKUP(A333,[1]pricing!A:M,6,FALSE)</f>
        <v>55</v>
      </c>
    </row>
    <row r="334" spans="1:9" s="17" customFormat="1" ht="15" customHeight="1">
      <c r="A334" s="6">
        <v>2000008008</v>
      </c>
      <c r="B334" s="7" t="s">
        <v>86</v>
      </c>
      <c r="C334" s="7" t="str">
        <f>VLOOKUP(A334,[1]Translation!A:F,4,FALSE)</f>
        <v>Verdeck</v>
      </c>
      <c r="D334" s="7" t="s">
        <v>88</v>
      </c>
      <c r="E334" s="8" t="s">
        <v>10</v>
      </c>
      <c r="F334" s="8">
        <f>VLOOKUP(A334,'[1]PL ENG'!B:G,6, FALSE)</f>
        <v>4000984094770</v>
      </c>
      <c r="G334" s="8">
        <v>1</v>
      </c>
      <c r="H334" s="9">
        <f>VLOOKUP(A334,[1]pricing!A:M,5,FALSE)</f>
        <v>44.27</v>
      </c>
      <c r="I334" s="10">
        <f>VLOOKUP(A334,[1]pricing!A:M,6,FALSE)</f>
        <v>55</v>
      </c>
    </row>
    <row r="335" spans="1:9" s="17" customFormat="1" ht="15" customHeight="1">
      <c r="A335" s="6">
        <v>2000008009</v>
      </c>
      <c r="B335" s="7" t="s">
        <v>86</v>
      </c>
      <c r="C335" s="7" t="str">
        <f>VLOOKUP(A335,[1]Translation!A:F,4,FALSE)</f>
        <v>Verdeck</v>
      </c>
      <c r="D335" s="7" t="s">
        <v>89</v>
      </c>
      <c r="E335" s="8" t="s">
        <v>10</v>
      </c>
      <c r="F335" s="8">
        <f>VLOOKUP(A335,'[1]PL ENG'!B:G,6, FALSE)</f>
        <v>4000984094787</v>
      </c>
      <c r="G335" s="8">
        <v>1</v>
      </c>
      <c r="H335" s="9">
        <f>VLOOKUP(A335,[1]pricing!A:M,5,FALSE)</f>
        <v>44.27</v>
      </c>
      <c r="I335" s="10">
        <f>VLOOKUP(A335,[1]pricing!A:M,6,FALSE)</f>
        <v>55</v>
      </c>
    </row>
    <row r="336" spans="1:9" s="17" customFormat="1" ht="15" customHeight="1">
      <c r="A336" s="6">
        <v>2000024743</v>
      </c>
      <c r="B336" s="7" t="s">
        <v>86</v>
      </c>
      <c r="C336" s="7" t="str">
        <f>VLOOKUP(A336,[1]Translation!A:F,4,FALSE)</f>
        <v>Verdeck</v>
      </c>
      <c r="D336" s="7" t="s">
        <v>90</v>
      </c>
      <c r="E336" s="8" t="s">
        <v>10</v>
      </c>
      <c r="F336" s="8">
        <f>VLOOKUP(A336,'[1]PL ENG'!B:G,6, FALSE)</f>
        <v>4000984138153</v>
      </c>
      <c r="G336" s="8">
        <v>1</v>
      </c>
      <c r="H336" s="9">
        <f>VLOOKUP(A336,[1]pricing!A:M,5,FALSE)</f>
        <v>44.27</v>
      </c>
      <c r="I336" s="10">
        <f>VLOOKUP(A336,[1]pricing!A:M,6,FALSE)</f>
        <v>55</v>
      </c>
    </row>
    <row r="337" spans="1:9" s="17" customFormat="1" ht="15" customHeight="1">
      <c r="A337" s="6">
        <v>2000024738</v>
      </c>
      <c r="B337" s="7" t="s">
        <v>86</v>
      </c>
      <c r="C337" s="7" t="str">
        <f>VLOOKUP(A337,[1]Translation!A:F,4,FALSE)</f>
        <v>Verdeck</v>
      </c>
      <c r="D337" s="7" t="s">
        <v>11</v>
      </c>
      <c r="E337" s="8" t="s">
        <v>10</v>
      </c>
      <c r="F337" s="8">
        <f>VLOOKUP(A337,'[1]PL ENG'!B:G,6, FALSE)</f>
        <v>4000984138061</v>
      </c>
      <c r="G337" s="8">
        <v>1</v>
      </c>
      <c r="H337" s="9">
        <f>VLOOKUP(A337,[1]pricing!A:M,5,FALSE)</f>
        <v>44.27</v>
      </c>
      <c r="I337" s="10">
        <f>VLOOKUP(A337,[1]pricing!A:M,6,FALSE)</f>
        <v>55</v>
      </c>
    </row>
    <row r="338" spans="1:9" s="17" customFormat="1" ht="15" customHeight="1">
      <c r="A338" s="6">
        <v>2000024739</v>
      </c>
      <c r="B338" s="7" t="s">
        <v>86</v>
      </c>
      <c r="C338" s="7" t="str">
        <f>VLOOKUP(A338,[1]Translation!A:F,4,FALSE)</f>
        <v>Verdeck</v>
      </c>
      <c r="D338" s="7" t="s">
        <v>12</v>
      </c>
      <c r="E338" s="8" t="s">
        <v>10</v>
      </c>
      <c r="F338" s="8">
        <f>VLOOKUP(A338,'[1]PL ENG'!B:G,6, FALSE)</f>
        <v>4000984138115</v>
      </c>
      <c r="G338" s="8">
        <v>1</v>
      </c>
      <c r="H338" s="9">
        <f>VLOOKUP(A338,[1]pricing!A:M,5,FALSE)</f>
        <v>44.27</v>
      </c>
      <c r="I338" s="10">
        <f>VLOOKUP(A338,[1]pricing!A:M,6,FALSE)</f>
        <v>55</v>
      </c>
    </row>
    <row r="339" spans="1:9" s="17" customFormat="1" ht="15" customHeight="1">
      <c r="A339" s="6">
        <v>2000024742</v>
      </c>
      <c r="B339" s="7" t="s">
        <v>86</v>
      </c>
      <c r="C339" s="7" t="str">
        <f>VLOOKUP(A339,[1]Translation!A:F,4,FALSE)</f>
        <v>Verdeck</v>
      </c>
      <c r="D339" s="7" t="s">
        <v>91</v>
      </c>
      <c r="E339" s="8" t="s">
        <v>10</v>
      </c>
      <c r="F339" s="8">
        <f>VLOOKUP(A339,'[1]PL ENG'!B:G,6, FALSE)</f>
        <v>4000984138146</v>
      </c>
      <c r="G339" s="8">
        <v>1</v>
      </c>
      <c r="H339" s="9">
        <f>VLOOKUP(A339,[1]pricing!A:M,5,FALSE)</f>
        <v>44.27</v>
      </c>
      <c r="I339" s="10">
        <f>VLOOKUP(A339,[1]pricing!A:M,6,FALSE)</f>
        <v>55</v>
      </c>
    </row>
    <row r="340" spans="1:9" s="17" customFormat="1" ht="15" customHeight="1">
      <c r="A340" s="6">
        <v>2000026808</v>
      </c>
      <c r="B340" s="7" t="s">
        <v>86</v>
      </c>
      <c r="C340" s="7" t="str">
        <f>VLOOKUP(A340,[1]Translation!A:F,4,FALSE)</f>
        <v>Verdeck</v>
      </c>
      <c r="D340" s="44" t="s">
        <v>92</v>
      </c>
      <c r="E340" s="8" t="s">
        <v>10</v>
      </c>
      <c r="F340" s="8" t="str">
        <f>VLOOKUP(A340,'[1]PL ENG'!B:G,6, FALSE)</f>
        <v xml:space="preserve"> 4000984157963</v>
      </c>
      <c r="G340" s="8">
        <v>1</v>
      </c>
      <c r="H340" s="9">
        <f>VLOOKUP(A340,[1]pricing!A:M,5,FALSE)</f>
        <v>44.27</v>
      </c>
      <c r="I340" s="10">
        <f>VLOOKUP(A340,[1]pricing!A:M,6,FALSE)</f>
        <v>55</v>
      </c>
    </row>
    <row r="341" spans="1:9" s="17" customFormat="1" ht="15" customHeight="1">
      <c r="A341" s="6" t="s">
        <v>93</v>
      </c>
      <c r="B341" s="7" t="s">
        <v>86</v>
      </c>
      <c r="C341" s="7" t="str">
        <f>VLOOKUP(A341,[1]Translation!A:F,4,FALSE)</f>
        <v>Verdeck</v>
      </c>
      <c r="D341" s="44" t="s">
        <v>15</v>
      </c>
      <c r="E341" s="8" t="s">
        <v>10</v>
      </c>
      <c r="F341" s="8" t="str">
        <f>VLOOKUP(A341,'[1]PL ENG'!B:G,6, FALSE)</f>
        <v>4000984157970</v>
      </c>
      <c r="G341" s="8">
        <v>1</v>
      </c>
      <c r="H341" s="9">
        <f>VLOOKUP(A341,[1]pricing!A:M,5,FALSE)</f>
        <v>44.27</v>
      </c>
      <c r="I341" s="10">
        <f>VLOOKUP(A341,[1]pricing!A:M,6,FALSE)</f>
        <v>55</v>
      </c>
    </row>
    <row r="342" spans="1:9" s="17" customFormat="1" ht="15" customHeight="1">
      <c r="A342" s="6">
        <v>2000026810</v>
      </c>
      <c r="B342" s="7" t="s">
        <v>86</v>
      </c>
      <c r="C342" s="7" t="str">
        <f>VLOOKUP(A342,[1]Translation!A:F,4,FALSE)</f>
        <v>Verdeck</v>
      </c>
      <c r="D342" s="44" t="s">
        <v>94</v>
      </c>
      <c r="E342" s="8" t="s">
        <v>10</v>
      </c>
      <c r="F342" s="8" t="str">
        <f>VLOOKUP(A342,'[1]PL ENG'!B:G,6, FALSE)</f>
        <v>4000984157987</v>
      </c>
      <c r="G342" s="8">
        <v>1</v>
      </c>
      <c r="H342" s="9">
        <f>VLOOKUP(A342,[1]pricing!A:M,5,FALSE)</f>
        <v>44.27</v>
      </c>
      <c r="I342" s="10">
        <f>VLOOKUP(A342,[1]pricing!A:M,6,FALSE)</f>
        <v>55</v>
      </c>
    </row>
    <row r="343" spans="1:9" s="17" customFormat="1" ht="15" customHeight="1">
      <c r="A343" s="6">
        <v>2000005806</v>
      </c>
      <c r="B343" s="7" t="s">
        <v>86</v>
      </c>
      <c r="C343" s="7" t="str">
        <f>VLOOKUP(A343,[1]Translation!A:F,4,FALSE)</f>
        <v>Korb</v>
      </c>
      <c r="D343" s="7"/>
      <c r="E343" s="8" t="s">
        <v>10</v>
      </c>
      <c r="F343" s="8">
        <f>VLOOKUP(A343,'[1]PL ENG'!B:G,6, FALSE)</f>
        <v>4000984089776</v>
      </c>
      <c r="G343" s="8">
        <v>1</v>
      </c>
      <c r="H343" s="9">
        <f>VLOOKUP(A343,[1]pricing!A:M,5,FALSE)</f>
        <v>14.17</v>
      </c>
      <c r="I343" s="10">
        <f>VLOOKUP(A343,[1]pricing!A:M,6,FALSE)</f>
        <v>20</v>
      </c>
    </row>
    <row r="344" spans="1:9" s="17" customFormat="1" ht="15" customHeight="1">
      <c r="A344" s="6">
        <v>2000008005</v>
      </c>
      <c r="B344" s="7" t="s">
        <v>86</v>
      </c>
      <c r="C344" s="7" t="str">
        <f>VLOOKUP(A344,[1]Translation!A:F,4,FALSE)</f>
        <v>Räder Set</v>
      </c>
      <c r="D344" s="7" t="s">
        <v>24</v>
      </c>
      <c r="E344" s="8" t="s">
        <v>10</v>
      </c>
      <c r="F344" s="8">
        <f>VLOOKUP(A344,'[1]PL ENG'!B:G,6, FALSE)</f>
        <v>4000984094749</v>
      </c>
      <c r="G344" s="8">
        <v>1</v>
      </c>
      <c r="H344" s="9">
        <f>VLOOKUP(A344,[1]pricing!A:M,5,FALSE)</f>
        <v>35.83</v>
      </c>
      <c r="I344" s="10">
        <f>VLOOKUP(A344,[1]pricing!A:M,6,FALSE)</f>
        <v>45</v>
      </c>
    </row>
    <row r="345" spans="1:9" s="17" customFormat="1" ht="15" customHeight="1">
      <c r="A345" s="6">
        <v>2000008006</v>
      </c>
      <c r="B345" s="7" t="s">
        <v>86</v>
      </c>
      <c r="C345" s="7" t="str">
        <f>VLOOKUP(A345,[1]Translation!A:F,4,FALSE)</f>
        <v>Räder Set</v>
      </c>
      <c r="D345" s="7" t="s">
        <v>95</v>
      </c>
      <c r="E345" s="8" t="s">
        <v>10</v>
      </c>
      <c r="F345" s="8">
        <f>VLOOKUP(A345,'[1]PL ENG'!B:G,6, FALSE)</f>
        <v>4000984094756</v>
      </c>
      <c r="G345" s="8">
        <v>1</v>
      </c>
      <c r="H345" s="9">
        <f>VLOOKUP(A345,[1]pricing!A:M,5,FALSE)</f>
        <v>35.83</v>
      </c>
      <c r="I345" s="10">
        <f>VLOOKUP(A345,[1]pricing!A:M,6,FALSE)</f>
        <v>45</v>
      </c>
    </row>
    <row r="346" spans="1:9" s="17" customFormat="1" ht="15" customHeight="1">
      <c r="A346" s="6">
        <v>2000005809</v>
      </c>
      <c r="B346" s="7" t="s">
        <v>86</v>
      </c>
      <c r="C346" s="7" t="str">
        <f>VLOOKUP(A346,[1]Translation!A:F,4,FALSE)</f>
        <v>Verriegelung</v>
      </c>
      <c r="D346" s="7"/>
      <c r="E346" s="8" t="s">
        <v>10</v>
      </c>
      <c r="F346" s="8">
        <f>VLOOKUP(A346,'[1]PL ENG'!B:G,6, FALSE)</f>
        <v>4000984089745</v>
      </c>
      <c r="G346" s="8">
        <v>1</v>
      </c>
      <c r="H346" s="9">
        <f>VLOOKUP(A346,[1]pricing!A:M,5,FALSE)</f>
        <v>5.83</v>
      </c>
      <c r="I346" s="10">
        <f>VLOOKUP(A346,[1]pricing!A:M,6,FALSE)</f>
        <v>10</v>
      </c>
    </row>
    <row r="347" spans="1:9" s="17" customFormat="1" ht="15" customHeight="1">
      <c r="A347" s="6">
        <v>2000025114</v>
      </c>
      <c r="B347" s="7" t="s">
        <v>86</v>
      </c>
      <c r="C347" s="7" t="str">
        <f>VLOOKUP(A347,[1]Translation!A:F,4,FALSE)</f>
        <v>Sitzeinheit inkl. Gurt</v>
      </c>
      <c r="D347" s="7" t="s">
        <v>11</v>
      </c>
      <c r="E347" s="8" t="s">
        <v>10</v>
      </c>
      <c r="F347" s="8">
        <f>VLOOKUP(A347,'[1]PL ENG'!B:G,6, FALSE)</f>
        <v>4000984144185</v>
      </c>
      <c r="G347" s="8">
        <v>1</v>
      </c>
      <c r="H347" s="9">
        <f>VLOOKUP(A347,[1]pricing!A:M,5,FALSE)</f>
        <v>54.48</v>
      </c>
      <c r="I347" s="10">
        <f>VLOOKUP(A347,[1]pricing!A:M,6,FALSE)</f>
        <v>65</v>
      </c>
    </row>
    <row r="348" spans="1:9" s="17" customFormat="1" ht="15" customHeight="1">
      <c r="A348" s="6">
        <v>2000005808</v>
      </c>
      <c r="B348" s="7" t="s">
        <v>96</v>
      </c>
      <c r="C348" s="7" t="str">
        <f>VLOOKUP(A348,[1]Translation!A:F,4,FALSE)</f>
        <v>Verdeck</v>
      </c>
      <c r="D348" s="7" t="s">
        <v>29</v>
      </c>
      <c r="E348" s="8" t="s">
        <v>10</v>
      </c>
      <c r="F348" s="8">
        <f>VLOOKUP(A348,'[1]PL ENG'!B:G,6, FALSE)</f>
        <v>4000984089752</v>
      </c>
      <c r="G348" s="8">
        <v>1</v>
      </c>
      <c r="H348" s="9">
        <f>VLOOKUP(A348,[1]pricing!A:M,5,FALSE)</f>
        <v>44.27</v>
      </c>
      <c r="I348" s="10">
        <f>VLOOKUP(A348,[1]pricing!A:M,6,FALSE)</f>
        <v>55</v>
      </c>
    </row>
    <row r="349" spans="1:9" s="17" customFormat="1" ht="15" customHeight="1">
      <c r="A349" s="6">
        <v>2000008007</v>
      </c>
      <c r="B349" s="7" t="s">
        <v>96</v>
      </c>
      <c r="C349" s="7" t="str">
        <f>VLOOKUP(A349,[1]Translation!A:F,4,FALSE)</f>
        <v>Verdeck</v>
      </c>
      <c r="D349" s="7" t="s">
        <v>87</v>
      </c>
      <c r="E349" s="8" t="s">
        <v>10</v>
      </c>
      <c r="F349" s="8">
        <f>VLOOKUP(A349,'[1]PL ENG'!B:G,6, FALSE)</f>
        <v>4000984094763</v>
      </c>
      <c r="G349" s="8">
        <v>1</v>
      </c>
      <c r="H349" s="9">
        <f>VLOOKUP(A349,[1]pricing!A:M,5,FALSE)</f>
        <v>44.27</v>
      </c>
      <c r="I349" s="10">
        <f>VLOOKUP(A349,[1]pricing!A:M,6,FALSE)</f>
        <v>55</v>
      </c>
    </row>
    <row r="350" spans="1:9" s="17" customFormat="1" ht="15" customHeight="1">
      <c r="A350" s="6">
        <v>2000008008</v>
      </c>
      <c r="B350" s="7" t="s">
        <v>96</v>
      </c>
      <c r="C350" s="7" t="str">
        <f>VLOOKUP(A350,[1]Translation!A:F,4,FALSE)</f>
        <v>Verdeck</v>
      </c>
      <c r="D350" s="7" t="s">
        <v>88</v>
      </c>
      <c r="E350" s="8" t="s">
        <v>10</v>
      </c>
      <c r="F350" s="8">
        <f>VLOOKUP(A350,'[1]PL ENG'!B:G,6, FALSE)</f>
        <v>4000984094770</v>
      </c>
      <c r="G350" s="8">
        <v>1</v>
      </c>
      <c r="H350" s="9">
        <f>VLOOKUP(A350,[1]pricing!A:M,5,FALSE)</f>
        <v>44.27</v>
      </c>
      <c r="I350" s="10">
        <f>VLOOKUP(A350,[1]pricing!A:M,6,FALSE)</f>
        <v>55</v>
      </c>
    </row>
    <row r="351" spans="1:9" s="17" customFormat="1" ht="15" customHeight="1">
      <c r="A351" s="6">
        <v>2000008009</v>
      </c>
      <c r="B351" s="7" t="s">
        <v>96</v>
      </c>
      <c r="C351" s="7" t="str">
        <f>VLOOKUP(A351,[1]Translation!A:F,4,FALSE)</f>
        <v>Verdeck</v>
      </c>
      <c r="D351" s="7" t="s">
        <v>89</v>
      </c>
      <c r="E351" s="8" t="s">
        <v>10</v>
      </c>
      <c r="F351" s="8">
        <f>VLOOKUP(A351,'[1]PL ENG'!B:G,6, FALSE)</f>
        <v>4000984094787</v>
      </c>
      <c r="G351" s="8">
        <v>1</v>
      </c>
      <c r="H351" s="9">
        <f>VLOOKUP(A351,[1]pricing!A:M,5,FALSE)</f>
        <v>44.27</v>
      </c>
      <c r="I351" s="10">
        <f>VLOOKUP(A351,[1]pricing!A:M,6,FALSE)</f>
        <v>55</v>
      </c>
    </row>
    <row r="352" spans="1:9" s="17" customFormat="1" ht="15" customHeight="1">
      <c r="A352" s="6">
        <v>2000024743</v>
      </c>
      <c r="B352" s="7" t="s">
        <v>96</v>
      </c>
      <c r="C352" s="7" t="str">
        <f>VLOOKUP(A352,[1]Translation!A:F,4,FALSE)</f>
        <v>Verdeck</v>
      </c>
      <c r="D352" s="7" t="s">
        <v>90</v>
      </c>
      <c r="E352" s="8" t="s">
        <v>10</v>
      </c>
      <c r="F352" s="8">
        <f>VLOOKUP(A352,'[1]PL ENG'!B:G,6, FALSE)</f>
        <v>4000984138153</v>
      </c>
      <c r="G352" s="8">
        <v>1</v>
      </c>
      <c r="H352" s="9">
        <f>VLOOKUP(A352,[1]pricing!A:M,5,FALSE)</f>
        <v>44.27</v>
      </c>
      <c r="I352" s="10">
        <f>VLOOKUP(A352,[1]pricing!A:M,6,FALSE)</f>
        <v>55</v>
      </c>
    </row>
    <row r="353" spans="1:9" s="17" customFormat="1" ht="15" customHeight="1">
      <c r="A353" s="6">
        <v>2000024738</v>
      </c>
      <c r="B353" s="7" t="s">
        <v>96</v>
      </c>
      <c r="C353" s="7" t="str">
        <f>VLOOKUP(A353,[1]Translation!A:F,4,FALSE)</f>
        <v>Verdeck</v>
      </c>
      <c r="D353" s="7" t="s">
        <v>11</v>
      </c>
      <c r="E353" s="8" t="s">
        <v>10</v>
      </c>
      <c r="F353" s="8">
        <f>VLOOKUP(A353,'[1]PL ENG'!B:G,6, FALSE)</f>
        <v>4000984138061</v>
      </c>
      <c r="G353" s="8">
        <v>1</v>
      </c>
      <c r="H353" s="9">
        <f>VLOOKUP(A353,[1]pricing!A:M,5,FALSE)</f>
        <v>44.27</v>
      </c>
      <c r="I353" s="10">
        <f>VLOOKUP(A353,[1]pricing!A:M,6,FALSE)</f>
        <v>55</v>
      </c>
    </row>
    <row r="354" spans="1:9" s="17" customFormat="1" ht="15" customHeight="1">
      <c r="A354" s="6">
        <v>2000024739</v>
      </c>
      <c r="B354" s="7" t="s">
        <v>96</v>
      </c>
      <c r="C354" s="7" t="str">
        <f>VLOOKUP(A354,[1]Translation!A:F,4,FALSE)</f>
        <v>Verdeck</v>
      </c>
      <c r="D354" s="7" t="s">
        <v>12</v>
      </c>
      <c r="E354" s="8" t="s">
        <v>10</v>
      </c>
      <c r="F354" s="8">
        <f>VLOOKUP(A354,'[1]PL ENG'!B:G,6, FALSE)</f>
        <v>4000984138115</v>
      </c>
      <c r="G354" s="8">
        <v>1</v>
      </c>
      <c r="H354" s="9">
        <f>VLOOKUP(A354,[1]pricing!A:M,5,FALSE)</f>
        <v>44.27</v>
      </c>
      <c r="I354" s="10">
        <f>VLOOKUP(A354,[1]pricing!A:M,6,FALSE)</f>
        <v>55</v>
      </c>
    </row>
    <row r="355" spans="1:9" s="17" customFormat="1" ht="15" customHeight="1">
      <c r="A355" s="6">
        <v>2000024742</v>
      </c>
      <c r="B355" s="7" t="s">
        <v>96</v>
      </c>
      <c r="C355" s="7" t="str">
        <f>VLOOKUP(A355,[1]Translation!A:F,4,FALSE)</f>
        <v>Verdeck</v>
      </c>
      <c r="D355" s="7" t="s">
        <v>91</v>
      </c>
      <c r="E355" s="8" t="s">
        <v>10</v>
      </c>
      <c r="F355" s="8">
        <f>VLOOKUP(A355,'[1]PL ENG'!B:G,6, FALSE)</f>
        <v>4000984138146</v>
      </c>
      <c r="G355" s="8">
        <v>1</v>
      </c>
      <c r="H355" s="9">
        <f>VLOOKUP(A355,[1]pricing!A:M,5,FALSE)</f>
        <v>44.27</v>
      </c>
      <c r="I355" s="10">
        <f>VLOOKUP(A355,[1]pricing!A:M,6,FALSE)</f>
        <v>55</v>
      </c>
    </row>
    <row r="356" spans="1:9" s="17" customFormat="1" ht="15" customHeight="1">
      <c r="A356" s="6">
        <v>2000024741</v>
      </c>
      <c r="B356" s="7" t="s">
        <v>96</v>
      </c>
      <c r="C356" s="7" t="str">
        <f>VLOOKUP(A356,[1]Translation!A:F,4,FALSE)</f>
        <v>Verdeck</v>
      </c>
      <c r="D356" s="7" t="s">
        <v>16</v>
      </c>
      <c r="E356" s="8" t="s">
        <v>10</v>
      </c>
      <c r="F356" s="8">
        <f>VLOOKUP(A356,'[1]PL ENG'!B:G,6, FALSE)</f>
        <v>4000984138139</v>
      </c>
      <c r="G356" s="8">
        <v>1</v>
      </c>
      <c r="H356" s="9">
        <f>VLOOKUP(A356,[1]pricing!A:M,5,FALSE)</f>
        <v>44.27</v>
      </c>
      <c r="I356" s="10">
        <f>VLOOKUP(A356,[1]pricing!A:M,6,FALSE)</f>
        <v>55</v>
      </c>
    </row>
    <row r="357" spans="1:9" s="17" customFormat="1" ht="15" customHeight="1">
      <c r="A357" s="6">
        <v>2000026808</v>
      </c>
      <c r="B357" s="7" t="s">
        <v>96</v>
      </c>
      <c r="C357" s="7" t="str">
        <f>VLOOKUP(A357,[1]Translation!A:F,4,FALSE)</f>
        <v>Verdeck</v>
      </c>
      <c r="D357" s="44" t="s">
        <v>92</v>
      </c>
      <c r="E357" s="8" t="s">
        <v>10</v>
      </c>
      <c r="F357" s="8" t="str">
        <f>VLOOKUP(A357,'[1]PL ENG'!B:G,6, FALSE)</f>
        <v xml:space="preserve"> 4000984157963</v>
      </c>
      <c r="G357" s="8">
        <v>1</v>
      </c>
      <c r="H357" s="9">
        <f>VLOOKUP(A357,[1]pricing!A:M,5,FALSE)</f>
        <v>44.27</v>
      </c>
      <c r="I357" s="10">
        <f>VLOOKUP(A357,[1]pricing!A:M,6,FALSE)</f>
        <v>55</v>
      </c>
    </row>
    <row r="358" spans="1:9" s="17" customFormat="1" ht="15" customHeight="1">
      <c r="A358" s="6" t="s">
        <v>93</v>
      </c>
      <c r="B358" s="7" t="s">
        <v>96</v>
      </c>
      <c r="C358" s="7" t="str">
        <f>VLOOKUP(A358,[1]Translation!A:F,4,FALSE)</f>
        <v>Verdeck</v>
      </c>
      <c r="D358" s="44" t="s">
        <v>15</v>
      </c>
      <c r="E358" s="8" t="s">
        <v>10</v>
      </c>
      <c r="F358" s="8" t="str">
        <f>VLOOKUP(A358,'[1]PL ENG'!B:G,6, FALSE)</f>
        <v>4000984157970</v>
      </c>
      <c r="G358" s="8">
        <v>1</v>
      </c>
      <c r="H358" s="9">
        <f>VLOOKUP(A358,[1]pricing!A:M,5,FALSE)</f>
        <v>44.27</v>
      </c>
      <c r="I358" s="10">
        <f>VLOOKUP(A358,[1]pricing!A:M,6,FALSE)</f>
        <v>55</v>
      </c>
    </row>
    <row r="359" spans="1:9" s="17" customFormat="1" ht="15" customHeight="1">
      <c r="A359" s="6">
        <v>2000026810</v>
      </c>
      <c r="B359" s="7" t="s">
        <v>96</v>
      </c>
      <c r="C359" s="7" t="str">
        <f>VLOOKUP(A359,[1]Translation!A:F,4,FALSE)</f>
        <v>Verdeck</v>
      </c>
      <c r="D359" s="44" t="s">
        <v>94</v>
      </c>
      <c r="E359" s="8" t="s">
        <v>10</v>
      </c>
      <c r="F359" s="8" t="str">
        <f>VLOOKUP(A359,'[1]PL ENG'!B:G,6, FALSE)</f>
        <v>4000984157987</v>
      </c>
      <c r="G359" s="8">
        <v>1</v>
      </c>
      <c r="H359" s="9">
        <f>VLOOKUP(A359,[1]pricing!A:M,5,FALSE)</f>
        <v>44.27</v>
      </c>
      <c r="I359" s="10">
        <f>VLOOKUP(A359,[1]pricing!A:M,6,FALSE)</f>
        <v>55</v>
      </c>
    </row>
    <row r="360" spans="1:9" s="17" customFormat="1" ht="15" customHeight="1">
      <c r="A360" s="6">
        <v>2000005806</v>
      </c>
      <c r="B360" s="7" t="s">
        <v>96</v>
      </c>
      <c r="C360" s="7" t="str">
        <f>VLOOKUP(A360,[1]Translation!A:F,4,FALSE)</f>
        <v>Korb</v>
      </c>
      <c r="D360" s="7"/>
      <c r="E360" s="8" t="s">
        <v>10</v>
      </c>
      <c r="F360" s="8">
        <f>VLOOKUP(A360,'[1]PL ENG'!B:G,6, FALSE)</f>
        <v>4000984089776</v>
      </c>
      <c r="G360" s="8">
        <v>1</v>
      </c>
      <c r="H360" s="9">
        <f>VLOOKUP(A360,[1]pricing!A:M,5,FALSE)</f>
        <v>14.17</v>
      </c>
      <c r="I360" s="10">
        <f>VLOOKUP(A360,[1]pricing!A:M,6,FALSE)</f>
        <v>20</v>
      </c>
    </row>
    <row r="361" spans="1:9" s="17" customFormat="1" ht="15" customHeight="1">
      <c r="A361" s="6">
        <v>2000005805</v>
      </c>
      <c r="B361" s="7" t="s">
        <v>96</v>
      </c>
      <c r="C361" s="7" t="str">
        <f>VLOOKUP(A361,[1]Translation!A:F,4,FALSE)</f>
        <v>Räder Set</v>
      </c>
      <c r="D361" s="7" t="s">
        <v>24</v>
      </c>
      <c r="E361" s="8" t="s">
        <v>10</v>
      </c>
      <c r="F361" s="8">
        <f>VLOOKUP(A361,'[1]PL ENG'!B:G,6, FALSE)</f>
        <v>4000984089783</v>
      </c>
      <c r="G361" s="8">
        <v>1</v>
      </c>
      <c r="H361" s="9">
        <f>VLOOKUP(A361,[1]pricing!A:M,5,FALSE)</f>
        <v>35.83</v>
      </c>
      <c r="I361" s="10">
        <f>VLOOKUP(A361,[1]pricing!A:M,6,FALSE)</f>
        <v>45</v>
      </c>
    </row>
    <row r="362" spans="1:9" s="17" customFormat="1" ht="15" customHeight="1">
      <c r="A362" s="6">
        <v>2000024859</v>
      </c>
      <c r="B362" s="7" t="s">
        <v>96</v>
      </c>
      <c r="C362" s="7" t="str">
        <f>VLOOKUP(A362,[1]Translation!A:F,4,FALSE)</f>
        <v>Windschutz</v>
      </c>
      <c r="D362" s="7" t="s">
        <v>24</v>
      </c>
      <c r="E362" s="8" t="s">
        <v>10</v>
      </c>
      <c r="F362" s="8">
        <f>VLOOKUP(A362,'[1]PL ENG'!B:G,6, FALSE)</f>
        <v>4000984148596</v>
      </c>
      <c r="G362" s="8">
        <v>1</v>
      </c>
      <c r="H362" s="9">
        <f>VLOOKUP(A362,[1]pricing!A:M,5,FALSE)</f>
        <v>20.78</v>
      </c>
      <c r="I362" s="10">
        <f>VLOOKUP(A362,[1]pricing!A:M,6,FALSE)</f>
        <v>25</v>
      </c>
    </row>
    <row r="363" spans="1:9" s="17" customFormat="1" ht="15" customHeight="1">
      <c r="A363" s="6">
        <v>2000005809</v>
      </c>
      <c r="B363" s="7" t="s">
        <v>96</v>
      </c>
      <c r="C363" s="7" t="str">
        <f>VLOOKUP(A363,[1]Translation!A:F,4,FALSE)</f>
        <v>Verriegelung</v>
      </c>
      <c r="D363" s="7"/>
      <c r="E363" s="8" t="s">
        <v>10</v>
      </c>
      <c r="F363" s="8">
        <f>VLOOKUP(A363,'[1]PL ENG'!B:G,6, FALSE)</f>
        <v>4000984089745</v>
      </c>
      <c r="G363" s="8">
        <v>1</v>
      </c>
      <c r="H363" s="9">
        <f>VLOOKUP(A363,[1]pricing!A:M,5,FALSE)</f>
        <v>5.83</v>
      </c>
      <c r="I363" s="10">
        <f>VLOOKUP(A363,[1]pricing!A:M,6,FALSE)</f>
        <v>10</v>
      </c>
    </row>
    <row r="364" spans="1:9" s="17" customFormat="1" ht="15" customHeight="1">
      <c r="A364" s="6">
        <v>2000025114</v>
      </c>
      <c r="B364" s="7" t="s">
        <v>96</v>
      </c>
      <c r="C364" s="7" t="str">
        <f>VLOOKUP(A364,[1]Translation!A:F,4,FALSE)</f>
        <v>Sitzeinheit inkl. Gurt</v>
      </c>
      <c r="D364" s="7" t="s">
        <v>11</v>
      </c>
      <c r="E364" s="8" t="s">
        <v>10</v>
      </c>
      <c r="F364" s="8">
        <f>VLOOKUP(A364,'[1]PL ENG'!B:G,6, FALSE)</f>
        <v>4000984144185</v>
      </c>
      <c r="G364" s="8">
        <v>1</v>
      </c>
      <c r="H364" s="9">
        <f>VLOOKUP(A364,[1]pricing!A:M,5,FALSE)</f>
        <v>54.48</v>
      </c>
      <c r="I364" s="10">
        <f>VLOOKUP(A364,[1]pricing!A:M,6,FALSE)</f>
        <v>65</v>
      </c>
    </row>
    <row r="365" spans="1:9" s="17" customFormat="1" ht="15" customHeight="1">
      <c r="A365" s="6">
        <v>2000025577</v>
      </c>
      <c r="B365" s="7" t="s">
        <v>96</v>
      </c>
      <c r="C365" s="7" t="str">
        <f>VLOOKUP(A365,[1]Translation!A:F,4,FALSE)</f>
        <v xml:space="preserve">Fußstütze Bezug </v>
      </c>
      <c r="D365" s="7"/>
      <c r="E365" s="8" t="s">
        <v>43</v>
      </c>
      <c r="F365" s="8">
        <f>VLOOKUP(A365,'[1]PL ENG'!B:G,6, FALSE)</f>
        <v>4000984150452</v>
      </c>
      <c r="G365" s="8">
        <v>1</v>
      </c>
      <c r="H365" s="9">
        <f>VLOOKUP(A365,[1]pricing!A:M,5,FALSE)</f>
        <v>8</v>
      </c>
      <c r="I365" s="10">
        <f>VLOOKUP(A365,[1]pricing!A:M,6,FALSE)</f>
        <v>10</v>
      </c>
    </row>
    <row r="366" spans="1:9" s="17" customFormat="1" ht="15" customHeight="1">
      <c r="A366" s="6">
        <v>2000026852</v>
      </c>
      <c r="B366" s="7" t="s">
        <v>96</v>
      </c>
      <c r="C366" s="7" t="str">
        <f>VLOOKUP(A366,[1]Translation!A:F,4,FALSE)</f>
        <v xml:space="preserve">Vorderradanbringung </v>
      </c>
      <c r="D366" s="7"/>
      <c r="E366" s="8" t="s">
        <v>43</v>
      </c>
      <c r="F366" s="8" t="str">
        <f>VLOOKUP(A366,'[1]PL ENG'!B:G,6, FALSE)</f>
        <v>4000984158809</v>
      </c>
      <c r="G366" s="8">
        <v>1</v>
      </c>
      <c r="H366" s="9">
        <f>VLOOKUP(A366,[1]pricing!A:M,5,FALSE)</f>
        <v>16.809999999999999</v>
      </c>
      <c r="I366" s="10">
        <f>VLOOKUP(A366,[1]pricing!A:M,6,FALSE)</f>
        <v>20</v>
      </c>
    </row>
    <row r="367" spans="1:9" s="17" customFormat="1" ht="15" customHeight="1">
      <c r="A367" s="6">
        <v>2000008817</v>
      </c>
      <c r="B367" s="7" t="s">
        <v>97</v>
      </c>
      <c r="C367" s="7" t="str">
        <f>VLOOKUP(A367,[1]Translation!A:F,4,FALSE)</f>
        <v>Räder Set</v>
      </c>
      <c r="D367" s="7" t="s">
        <v>95</v>
      </c>
      <c r="E367" s="8" t="s">
        <v>10</v>
      </c>
      <c r="F367" s="8">
        <f>VLOOKUP(A367,'[1]PL ENG'!B:G,6, FALSE)</f>
        <v>4000984099201</v>
      </c>
      <c r="G367" s="8">
        <v>1</v>
      </c>
      <c r="H367" s="9">
        <f>VLOOKUP(A367,[1]pricing!A:M,5,FALSE)</f>
        <v>49.49</v>
      </c>
      <c r="I367" s="10">
        <f>VLOOKUP(A367,[1]pricing!A:M,6,FALSE)</f>
        <v>60</v>
      </c>
    </row>
    <row r="368" spans="1:9" s="17" customFormat="1" ht="15" customHeight="1">
      <c r="A368" s="6">
        <v>2000014617</v>
      </c>
      <c r="B368" s="7" t="s">
        <v>97</v>
      </c>
      <c r="C368" s="7" t="str">
        <f>VLOOKUP(A368,[1]Translation!A:F,4,FALSE)</f>
        <v>Räder Set</v>
      </c>
      <c r="D368" s="7" t="s">
        <v>24</v>
      </c>
      <c r="E368" s="8" t="s">
        <v>10</v>
      </c>
      <c r="F368" s="8">
        <f>VLOOKUP(A368,'[1]PL ENG'!B:G,6, FALSE)</f>
        <v>4000984122756</v>
      </c>
      <c r="G368" s="8">
        <v>1</v>
      </c>
      <c r="H368" s="9">
        <f>VLOOKUP(A368,[1]pricing!A:M,5,FALSE)</f>
        <v>49.49</v>
      </c>
      <c r="I368" s="10">
        <f>VLOOKUP(A368,[1]pricing!A:M,6,FALSE)</f>
        <v>60</v>
      </c>
    </row>
    <row r="369" spans="1:9" s="17" customFormat="1" ht="15" customHeight="1">
      <c r="A369" s="6">
        <v>2000008820</v>
      </c>
      <c r="B369" s="7" t="s">
        <v>97</v>
      </c>
      <c r="C369" s="7" t="str">
        <f>VLOOKUP(A369,[1]Translation!A:F,4,FALSE)</f>
        <v>Korb</v>
      </c>
      <c r="D369" s="7"/>
      <c r="E369" s="8" t="s">
        <v>10</v>
      </c>
      <c r="F369" s="8">
        <f>VLOOKUP(A369,'[1]PL ENG'!B:G,6, FALSE)</f>
        <v>4000984099171</v>
      </c>
      <c r="G369" s="8">
        <v>1</v>
      </c>
      <c r="H369" s="9">
        <f>VLOOKUP(A369,[1]pricing!A:M,5,FALSE)</f>
        <v>18.68</v>
      </c>
      <c r="I369" s="10">
        <f>VLOOKUP(A369,[1]pricing!A:M,6,FALSE)</f>
        <v>25</v>
      </c>
    </row>
    <row r="370" spans="1:9" ht="15" customHeight="1">
      <c r="A370" s="6">
        <v>2000009649</v>
      </c>
      <c r="B370" s="7" t="s">
        <v>97</v>
      </c>
      <c r="C370" s="7" t="str">
        <f>VLOOKUP(A370,[1]Translation!A:F,4,FALSE)</f>
        <v>Regenverdeck</v>
      </c>
      <c r="D370" s="7"/>
      <c r="E370" s="8" t="s">
        <v>10</v>
      </c>
      <c r="F370" s="8">
        <f>VLOOKUP(A370,'[1]PL ENG'!B:G,6, FALSE)</f>
        <v>4000984106183</v>
      </c>
      <c r="G370" s="8">
        <v>1</v>
      </c>
      <c r="H370" s="9">
        <f>VLOOKUP(A370,[1]pricing!A:M,5,FALSE)</f>
        <v>21.15</v>
      </c>
      <c r="I370" s="10">
        <f>VLOOKUP(A370,[1]pricing!A:M,6,FALSE)</f>
        <v>30</v>
      </c>
    </row>
    <row r="371" spans="1:9" ht="15" customHeight="1">
      <c r="A371" s="6">
        <v>2000024744</v>
      </c>
      <c r="B371" s="7" t="s">
        <v>97</v>
      </c>
      <c r="C371" s="7" t="str">
        <f>VLOOKUP(A371,[1]Translation!A:F,4,FALSE)</f>
        <v>Verdeck</v>
      </c>
      <c r="D371" s="7" t="s">
        <v>11</v>
      </c>
      <c r="E371" s="8" t="s">
        <v>10</v>
      </c>
      <c r="F371" s="8">
        <f>VLOOKUP(A371,'[1]PL ENG'!B:G,6, FALSE)</f>
        <v>4000984138320</v>
      </c>
      <c r="G371" s="8">
        <v>1</v>
      </c>
      <c r="H371" s="9">
        <f>VLOOKUP(A371,[1]pricing!A:M,5,FALSE)</f>
        <v>85.9</v>
      </c>
      <c r="I371" s="10">
        <f>VLOOKUP(A371,[1]pricing!A:M,6,FALSE)</f>
        <v>100</v>
      </c>
    </row>
    <row r="372" spans="1:9" s="17" customFormat="1" ht="15" customHeight="1">
      <c r="A372" s="6">
        <v>2000024745</v>
      </c>
      <c r="B372" s="7" t="s">
        <v>97</v>
      </c>
      <c r="C372" s="7" t="str">
        <f>VLOOKUP(A372,[1]Translation!A:F,4,FALSE)</f>
        <v>Verdeck</v>
      </c>
      <c r="D372" s="7" t="s">
        <v>12</v>
      </c>
      <c r="E372" s="8" t="s">
        <v>10</v>
      </c>
      <c r="F372" s="8">
        <f>VLOOKUP(A372,'[1]PL ENG'!B:G,6, FALSE)</f>
        <v>4000984138337</v>
      </c>
      <c r="G372" s="8">
        <v>1</v>
      </c>
      <c r="H372" s="9">
        <f>VLOOKUP(A372,[1]pricing!A:M,5,FALSE)</f>
        <v>85.9</v>
      </c>
      <c r="I372" s="10">
        <f>VLOOKUP(A372,[1]pricing!A:M,6,FALSE)</f>
        <v>100</v>
      </c>
    </row>
    <row r="373" spans="1:9" s="17" customFormat="1" ht="15" customHeight="1">
      <c r="A373" s="6">
        <v>2000008819</v>
      </c>
      <c r="B373" s="7" t="s">
        <v>97</v>
      </c>
      <c r="C373" s="7" t="str">
        <f>VLOOKUP(A373,[1]Translation!A:F,4,FALSE)</f>
        <v>Verdeck</v>
      </c>
      <c r="D373" s="7" t="s">
        <v>24</v>
      </c>
      <c r="E373" s="8" t="s">
        <v>10</v>
      </c>
      <c r="F373" s="8">
        <f>VLOOKUP(A373,'[1]PL ENG'!B:G,6, FALSE)</f>
        <v>4000984099188</v>
      </c>
      <c r="G373" s="8">
        <v>1</v>
      </c>
      <c r="H373" s="9">
        <f>VLOOKUP(A373,[1]pricing!A:M,5,FALSE)</f>
        <v>85.9</v>
      </c>
      <c r="I373" s="10">
        <f>VLOOKUP(A373,[1]pricing!A:M,6,FALSE)</f>
        <v>100</v>
      </c>
    </row>
    <row r="374" spans="1:9" s="17" customFormat="1" ht="15" customHeight="1">
      <c r="A374" s="6">
        <v>2000026811</v>
      </c>
      <c r="B374" s="7" t="s">
        <v>97</v>
      </c>
      <c r="C374" s="7" t="str">
        <f>VLOOKUP(A374,[1]Translation!A:F,4,FALSE)</f>
        <v>Verdeck</v>
      </c>
      <c r="D374" s="7" t="s">
        <v>92</v>
      </c>
      <c r="E374" s="8" t="s">
        <v>10</v>
      </c>
      <c r="F374" s="8" t="str">
        <f>VLOOKUP(A374,'[1]PL ENG'!B:G,6, FALSE)</f>
        <v>'4000984157994</v>
      </c>
      <c r="G374" s="8">
        <v>1</v>
      </c>
      <c r="H374" s="9">
        <f>VLOOKUP(A374,[1]pricing!A:M,5,FALSE)</f>
        <v>85.9</v>
      </c>
      <c r="I374" s="10">
        <f>VLOOKUP(A374,[1]pricing!A:M,6,FALSE)</f>
        <v>100</v>
      </c>
    </row>
    <row r="375" spans="1:9" s="17" customFormat="1" ht="15" customHeight="1">
      <c r="A375" s="6">
        <v>2000025116</v>
      </c>
      <c r="B375" s="7" t="s">
        <v>97</v>
      </c>
      <c r="C375" s="7" t="str">
        <f>VLOOKUP(A375,[1]Translation!A:F,4,FALSE)</f>
        <v>Sitzeinheit inkl. Gurt</v>
      </c>
      <c r="D375" s="7" t="s">
        <v>11</v>
      </c>
      <c r="E375" s="8" t="s">
        <v>10</v>
      </c>
      <c r="F375" s="8">
        <f>VLOOKUP(A375,'[1]PL ENG'!B:G,6, FALSE)</f>
        <v>4000984144253</v>
      </c>
      <c r="G375" s="8">
        <v>1</v>
      </c>
      <c r="H375" s="9">
        <f>VLOOKUP(A375,[1]pricing!A:M,5,FALSE)</f>
        <v>90.78</v>
      </c>
      <c r="I375" s="10">
        <f>VLOOKUP(A375,[1]pricing!A:M,6,FALSE)</f>
        <v>110</v>
      </c>
    </row>
    <row r="376" spans="1:9" s="17" customFormat="1" ht="15" customHeight="1">
      <c r="A376" s="6">
        <v>2000005809</v>
      </c>
      <c r="B376" s="7" t="s">
        <v>97</v>
      </c>
      <c r="C376" s="7" t="str">
        <f>VLOOKUP(A376,[1]Translation!A:F,4,FALSE)</f>
        <v>Verriegelung</v>
      </c>
      <c r="D376" s="7"/>
      <c r="E376" s="8" t="s">
        <v>10</v>
      </c>
      <c r="F376" s="8">
        <f>VLOOKUP(A376,'[1]PL ENG'!B:G,6, FALSE)</f>
        <v>4000984089745</v>
      </c>
      <c r="G376" s="8">
        <v>1</v>
      </c>
      <c r="H376" s="9">
        <f>VLOOKUP(A376,[1]pricing!A:M,5,FALSE)</f>
        <v>5.83</v>
      </c>
      <c r="I376" s="10">
        <f>VLOOKUP(A376,[1]pricing!A:M,6,FALSE)</f>
        <v>10</v>
      </c>
    </row>
    <row r="377" spans="1:9" s="17" customFormat="1" ht="15" customHeight="1">
      <c r="A377" s="6">
        <v>2000021788</v>
      </c>
      <c r="B377" s="7" t="s">
        <v>98</v>
      </c>
      <c r="C377" s="7" t="str">
        <f>VLOOKUP(A377,[1]Translation!A:F,4,FALSE)</f>
        <v>Verdeck</v>
      </c>
      <c r="D377" s="7" t="s">
        <v>28</v>
      </c>
      <c r="E377" s="8" t="s">
        <v>10</v>
      </c>
      <c r="F377" s="8">
        <f>VLOOKUP(A377,'[1]PL ENG'!B:G,6, FALSE)</f>
        <v>4000984124958</v>
      </c>
      <c r="G377" s="8">
        <v>1</v>
      </c>
      <c r="H377" s="9">
        <f>VLOOKUP(A377,[1]pricing!A:M,5,FALSE)</f>
        <v>44.27</v>
      </c>
      <c r="I377" s="10">
        <f>VLOOKUP(A377,[1]pricing!A:M,6,FALSE)</f>
        <v>55</v>
      </c>
    </row>
    <row r="378" spans="1:9" s="17" customFormat="1" ht="15" customHeight="1">
      <c r="A378" s="6">
        <v>2000021809</v>
      </c>
      <c r="B378" s="7" t="s">
        <v>98</v>
      </c>
      <c r="C378" s="7" t="str">
        <f>VLOOKUP(A378,[1]Translation!A:F,4,FALSE)</f>
        <v>Verdeck</v>
      </c>
      <c r="D378" s="7" t="s">
        <v>88</v>
      </c>
      <c r="E378" s="8" t="s">
        <v>10</v>
      </c>
      <c r="F378" s="8">
        <f>VLOOKUP(A378,'[1]PL ENG'!B:G,6, FALSE)</f>
        <v>4000984125092</v>
      </c>
      <c r="G378" s="8">
        <v>1</v>
      </c>
      <c r="H378" s="9">
        <f>VLOOKUP(A378,[1]pricing!A:M,5,FALSE)</f>
        <v>44.27</v>
      </c>
      <c r="I378" s="10">
        <f>VLOOKUP(A378,[1]pricing!A:M,6,FALSE)</f>
        <v>55</v>
      </c>
    </row>
    <row r="379" spans="1:9" s="17" customFormat="1" ht="15" customHeight="1">
      <c r="A379" s="6">
        <v>2000021810</v>
      </c>
      <c r="B379" s="7" t="s">
        <v>98</v>
      </c>
      <c r="C379" s="7" t="str">
        <f>VLOOKUP(A379,[1]Translation!A:F,4,FALSE)</f>
        <v>Verdeck</v>
      </c>
      <c r="D379" s="7" t="s">
        <v>29</v>
      </c>
      <c r="E379" s="8" t="s">
        <v>10</v>
      </c>
      <c r="F379" s="8">
        <f>VLOOKUP(A379,'[1]PL ENG'!B:G,6, FALSE)</f>
        <v>4000984125108</v>
      </c>
      <c r="G379" s="8">
        <v>1</v>
      </c>
      <c r="H379" s="9">
        <f>VLOOKUP(A379,[1]pricing!A:M,5,FALSE)</f>
        <v>44.27</v>
      </c>
      <c r="I379" s="10">
        <f>VLOOKUP(A379,[1]pricing!A:M,6,FALSE)</f>
        <v>55</v>
      </c>
    </row>
    <row r="380" spans="1:9" s="17" customFormat="1" ht="15" customHeight="1">
      <c r="A380" s="6">
        <v>2000021811</v>
      </c>
      <c r="B380" s="7" t="s">
        <v>98</v>
      </c>
      <c r="C380" s="7" t="str">
        <f>VLOOKUP(A380,[1]Translation!A:F,4,FALSE)</f>
        <v>Verdeck</v>
      </c>
      <c r="D380" s="7" t="s">
        <v>87</v>
      </c>
      <c r="E380" s="8" t="s">
        <v>10</v>
      </c>
      <c r="F380" s="8">
        <f>VLOOKUP(A380,'[1]PL ENG'!B:G,6, FALSE)</f>
        <v>4000984125115</v>
      </c>
      <c r="G380" s="8">
        <v>1</v>
      </c>
      <c r="H380" s="9">
        <f>VLOOKUP(A380,[1]pricing!A:M,5,FALSE)</f>
        <v>44.27</v>
      </c>
      <c r="I380" s="10">
        <f>VLOOKUP(A380,[1]pricing!A:M,6,FALSE)</f>
        <v>55</v>
      </c>
    </row>
    <row r="381" spans="1:9" s="17" customFormat="1" ht="15" customHeight="1">
      <c r="A381" s="6">
        <v>2000005805</v>
      </c>
      <c r="B381" s="7" t="s">
        <v>98</v>
      </c>
      <c r="C381" s="7" t="str">
        <f>VLOOKUP(A381,[1]Translation!A:F,4,FALSE)</f>
        <v>Räder Set</v>
      </c>
      <c r="D381" s="7" t="s">
        <v>24</v>
      </c>
      <c r="E381" s="8" t="s">
        <v>10</v>
      </c>
      <c r="F381" s="8">
        <f>VLOOKUP(A381,'[1]PL ENG'!B:G,6, FALSE)</f>
        <v>4000984089783</v>
      </c>
      <c r="G381" s="8">
        <v>1</v>
      </c>
      <c r="H381" s="9">
        <f>VLOOKUP(A381,[1]pricing!A:M,5,FALSE)</f>
        <v>35.83</v>
      </c>
      <c r="I381" s="10">
        <f>VLOOKUP(A381,[1]pricing!A:M,6,FALSE)</f>
        <v>45</v>
      </c>
    </row>
    <row r="382" spans="1:9" s="17" customFormat="1" ht="15" customHeight="1">
      <c r="A382" s="6">
        <v>2000005806</v>
      </c>
      <c r="B382" s="7" t="s">
        <v>99</v>
      </c>
      <c r="C382" s="7" t="str">
        <f>VLOOKUP(A382,[1]Translation!A:F,4,FALSE)</f>
        <v>Korb</v>
      </c>
      <c r="D382" s="7"/>
      <c r="E382" s="8" t="s">
        <v>10</v>
      </c>
      <c r="F382" s="8">
        <f>VLOOKUP(A382,'[1]PL ENG'!B:G,6, FALSE)</f>
        <v>4000984089776</v>
      </c>
      <c r="G382" s="8">
        <v>1</v>
      </c>
      <c r="H382" s="9">
        <f>VLOOKUP(A382,[1]pricing!A:M,5,FALSE)</f>
        <v>14.17</v>
      </c>
      <c r="I382" s="10">
        <f>VLOOKUP(A382,[1]pricing!A:M,6,FALSE)</f>
        <v>20</v>
      </c>
    </row>
    <row r="383" spans="1:9" s="17" customFormat="1" ht="15" customHeight="1">
      <c r="A383" s="6">
        <v>2000005805</v>
      </c>
      <c r="B383" s="7" t="s">
        <v>99</v>
      </c>
      <c r="C383" s="7" t="str">
        <f>VLOOKUP(A383,[1]Translation!A:F,4,FALSE)</f>
        <v>Räder Set</v>
      </c>
      <c r="D383" s="7" t="s">
        <v>24</v>
      </c>
      <c r="E383" s="8" t="s">
        <v>10</v>
      </c>
      <c r="F383" s="8">
        <f>VLOOKUP(A383,'[1]PL ENG'!B:G,6, FALSE)</f>
        <v>4000984089783</v>
      </c>
      <c r="G383" s="8">
        <v>1</v>
      </c>
      <c r="H383" s="9">
        <f>VLOOKUP(A383,[1]pricing!A:M,5,FALSE)</f>
        <v>35.83</v>
      </c>
      <c r="I383" s="10">
        <f>VLOOKUP(A383,[1]pricing!A:M,6,FALSE)</f>
        <v>45</v>
      </c>
    </row>
    <row r="384" spans="1:9" s="17" customFormat="1" ht="15" customHeight="1">
      <c r="A384" s="6">
        <v>2000005809</v>
      </c>
      <c r="B384" s="7" t="s">
        <v>99</v>
      </c>
      <c r="C384" s="7" t="str">
        <f>VLOOKUP(A384,[1]Translation!A:F,4,FALSE)</f>
        <v>Verriegelung</v>
      </c>
      <c r="D384" s="7"/>
      <c r="E384" s="8" t="s">
        <v>10</v>
      </c>
      <c r="F384" s="8">
        <f>VLOOKUP(A384,'[1]PL ENG'!B:G,6, FALSE)</f>
        <v>4000984089745</v>
      </c>
      <c r="G384" s="8">
        <v>1</v>
      </c>
      <c r="H384" s="9">
        <f>VLOOKUP(A384,[1]pricing!A:M,5,FALSE)</f>
        <v>5.83</v>
      </c>
      <c r="I384" s="10">
        <f>VLOOKUP(A384,[1]pricing!A:M,6,FALSE)</f>
        <v>10</v>
      </c>
    </row>
    <row r="385" spans="1:9" s="17" customFormat="1" ht="15" customHeight="1">
      <c r="A385" s="6">
        <v>2000025115</v>
      </c>
      <c r="B385" s="7" t="s">
        <v>99</v>
      </c>
      <c r="C385" s="7" t="str">
        <f>VLOOKUP(A385,[1]Translation!A:F,4,FALSE)</f>
        <v>Sitzeinheit inkl. Gurt</v>
      </c>
      <c r="D385" s="7" t="s">
        <v>11</v>
      </c>
      <c r="E385" s="8" t="s">
        <v>10</v>
      </c>
      <c r="F385" s="8">
        <f>VLOOKUP(A385,'[1]PL ENG'!B:G,6, FALSE)</f>
        <v>4000984144208</v>
      </c>
      <c r="G385" s="8">
        <v>1</v>
      </c>
      <c r="H385" s="9">
        <f>VLOOKUP(A385,[1]pricing!A:M,5,FALSE)</f>
        <v>63.25</v>
      </c>
      <c r="I385" s="10">
        <f>VLOOKUP(A385,[1]pricing!A:M,6,FALSE)</f>
        <v>80</v>
      </c>
    </row>
    <row r="386" spans="1:9" s="17" customFormat="1" ht="15" customHeight="1">
      <c r="A386" s="6">
        <v>2000026852</v>
      </c>
      <c r="B386" s="7" t="s">
        <v>99</v>
      </c>
      <c r="C386" s="7" t="str">
        <f>VLOOKUP(A386,[1]Translation!A:F,4,FALSE)</f>
        <v xml:space="preserve">Vorderradanbringung </v>
      </c>
      <c r="D386" s="7"/>
      <c r="E386" s="8" t="s">
        <v>43</v>
      </c>
      <c r="F386" s="8" t="str">
        <f>VLOOKUP(A386,'[1]PL ENG'!B:G,6, FALSE)</f>
        <v>4000984158809</v>
      </c>
      <c r="G386" s="8">
        <v>1</v>
      </c>
      <c r="H386" s="9">
        <f>VLOOKUP(A386,[1]pricing!A:M,5,FALSE)</f>
        <v>16.809999999999999</v>
      </c>
      <c r="I386" s="10">
        <f>VLOOKUP(A386,[1]pricing!A:M,6,FALSE)</f>
        <v>20</v>
      </c>
    </row>
    <row r="387" spans="1:9" s="17" customFormat="1" ht="15" customHeight="1">
      <c r="A387" s="6">
        <v>2000029340</v>
      </c>
      <c r="B387" s="7" t="s">
        <v>99</v>
      </c>
      <c r="C387" s="7" t="str">
        <f>VLOOKUP(A387,[1]Translation!A:F,4,FALSE)</f>
        <v xml:space="preserve">Fußstützen Reparaturset 2018 </v>
      </c>
      <c r="D387" s="7"/>
      <c r="E387" s="8" t="s">
        <v>43</v>
      </c>
      <c r="F387" s="8">
        <f>VLOOKUP(A387,'[1]PL ENG'!B:G,6, FALSE)</f>
        <v>4000984191028</v>
      </c>
      <c r="G387" s="8">
        <v>1</v>
      </c>
      <c r="H387" s="9">
        <f>VLOOKUP(A387,[1]pricing!A:M,5,FALSE)</f>
        <v>12.61</v>
      </c>
      <c r="I387" s="10">
        <f>VLOOKUP(A387,[1]pricing!A:M,6,FALSE)</f>
        <v>15</v>
      </c>
    </row>
    <row r="388" spans="1:9" s="17" customFormat="1" ht="15" customHeight="1">
      <c r="A388" s="6">
        <v>2000005806</v>
      </c>
      <c r="B388" s="7" t="s">
        <v>100</v>
      </c>
      <c r="C388" s="7" t="str">
        <f>VLOOKUP(A388,[1]Translation!A:F,4,FALSE)</f>
        <v>Korb</v>
      </c>
      <c r="D388" s="7"/>
      <c r="E388" s="8" t="s">
        <v>10</v>
      </c>
      <c r="F388" s="8">
        <f>VLOOKUP(A388,'[1]PL ENG'!B:G,6, FALSE)</f>
        <v>4000984089776</v>
      </c>
      <c r="G388" s="8">
        <v>1</v>
      </c>
      <c r="H388" s="9">
        <f>VLOOKUP(A388,[1]pricing!A:M,5,FALSE)</f>
        <v>14.17</v>
      </c>
      <c r="I388" s="10">
        <f>VLOOKUP(A388,[1]pricing!A:M,6,FALSE)</f>
        <v>20</v>
      </c>
    </row>
    <row r="389" spans="1:9" s="17" customFormat="1" ht="15" customHeight="1">
      <c r="A389" s="6">
        <v>2000010989</v>
      </c>
      <c r="B389" s="7" t="s">
        <v>100</v>
      </c>
      <c r="C389" s="7" t="str">
        <f>VLOOKUP(A389,[1]Translation!A:F,4,FALSE)</f>
        <v>Vorderrad</v>
      </c>
      <c r="D389" s="7" t="s">
        <v>24</v>
      </c>
      <c r="E389" s="8" t="s">
        <v>10</v>
      </c>
      <c r="F389" s="8">
        <f>VLOOKUP(A389,'[1]PL ENG'!B:G,6, FALSE)</f>
        <v>4000984111255</v>
      </c>
      <c r="G389" s="8">
        <v>1</v>
      </c>
      <c r="H389" s="9">
        <f>VLOOKUP(A389,[1]pricing!A:M,5,FALSE)</f>
        <v>44.85</v>
      </c>
      <c r="I389" s="10">
        <f>VLOOKUP(A389,[1]pricing!A:M,6,FALSE)</f>
        <v>55</v>
      </c>
    </row>
    <row r="390" spans="1:9" s="17" customFormat="1" ht="15" customHeight="1">
      <c r="A390" s="6">
        <v>2000010988</v>
      </c>
      <c r="B390" s="7" t="s">
        <v>100</v>
      </c>
      <c r="C390" s="7" t="str">
        <f>VLOOKUP(A390,[1]Translation!A:F,4,FALSE)</f>
        <v>Hinterräder Set</v>
      </c>
      <c r="D390" s="7" t="s">
        <v>24</v>
      </c>
      <c r="E390" s="8" t="s">
        <v>10</v>
      </c>
      <c r="F390" s="8">
        <f>VLOOKUP(A390,'[1]PL ENG'!B:G,6, FALSE)</f>
        <v>4000984111248</v>
      </c>
      <c r="G390" s="8">
        <v>1</v>
      </c>
      <c r="H390" s="9">
        <f>VLOOKUP(A390,[1]pricing!A:M,5,FALSE)</f>
        <v>44.75</v>
      </c>
      <c r="I390" s="10">
        <f>VLOOKUP(A390,[1]pricing!A:M,6,FALSE)</f>
        <v>55</v>
      </c>
    </row>
    <row r="391" spans="1:9" s="17" customFormat="1" ht="15" customHeight="1">
      <c r="A391" s="6">
        <v>2000010990</v>
      </c>
      <c r="B391" s="7" t="s">
        <v>100</v>
      </c>
      <c r="C391" s="7" t="str">
        <f>VLOOKUP(A391,[1]Translation!A:F,4,FALSE)</f>
        <v>Schlauch hinten</v>
      </c>
      <c r="D391" s="7"/>
      <c r="E391" s="8" t="s">
        <v>10</v>
      </c>
      <c r="F391" s="8">
        <f>VLOOKUP(A391,'[1]PL ENG'!B:G,6, FALSE)</f>
        <v>4000984111262</v>
      </c>
      <c r="G391" s="8">
        <v>1</v>
      </c>
      <c r="H391" s="9">
        <f>VLOOKUP(A391,[1]pricing!A:M,5,FALSE)</f>
        <v>8.44</v>
      </c>
      <c r="I391" s="10">
        <f>VLOOKUP(A391,[1]pricing!A:M,6,FALSE)</f>
        <v>15</v>
      </c>
    </row>
    <row r="392" spans="1:9" s="17" customFormat="1" ht="15" customHeight="1">
      <c r="A392" s="6">
        <v>2000026722</v>
      </c>
      <c r="B392" s="7" t="s">
        <v>100</v>
      </c>
      <c r="C392" s="7" t="str">
        <f>VLOOKUP(A392,[1]Translation!A:F,4,FALSE)</f>
        <v xml:space="preserve">Schlauch vorne </v>
      </c>
      <c r="D392" s="7"/>
      <c r="E392" s="8" t="s">
        <v>10</v>
      </c>
      <c r="F392" s="8" t="str">
        <f>VLOOKUP(A392,'[1]PL ENG'!B:G,6, FALSE)</f>
        <v>'4000984156287</v>
      </c>
      <c r="G392" s="8">
        <v>1</v>
      </c>
      <c r="H392" s="9">
        <f>VLOOKUP(A392,[1]pricing!A:M,5,FALSE)</f>
        <v>4.2</v>
      </c>
      <c r="I392" s="10">
        <f>VLOOKUP(A392,[1]pricing!A:M,6,FALSE)</f>
        <v>5</v>
      </c>
    </row>
    <row r="393" spans="1:9" s="17" customFormat="1" ht="15" customHeight="1">
      <c r="A393" s="6">
        <v>2000026850</v>
      </c>
      <c r="B393" s="7" t="s">
        <v>100</v>
      </c>
      <c r="C393" s="7" t="str">
        <f>VLOOKUP(A393,[1]Translation!A:F,4,FALSE)</f>
        <v xml:space="preserve">Vorderradeinstellung </v>
      </c>
      <c r="D393" s="7"/>
      <c r="E393" s="8" t="s">
        <v>43</v>
      </c>
      <c r="F393" s="8" t="str">
        <f>VLOOKUP(A393,'[1]PL ENG'!B:G,6, FALSE)</f>
        <v>4000984158786</v>
      </c>
      <c r="G393" s="8">
        <v>1</v>
      </c>
      <c r="H393" s="9">
        <f>VLOOKUP(A393,[1]pricing!A:M,5,FALSE)</f>
        <v>8.4</v>
      </c>
      <c r="I393" s="10">
        <f>VLOOKUP(A393,[1]pricing!A:M,6,FALSE)</f>
        <v>10</v>
      </c>
    </row>
    <row r="394" spans="1:9" s="17" customFormat="1" ht="15" customHeight="1">
      <c r="A394" s="6">
        <v>2000024738</v>
      </c>
      <c r="B394" s="7" t="s">
        <v>100</v>
      </c>
      <c r="C394" s="7" t="str">
        <f>VLOOKUP(A394,[1]Translation!A:F,4,FALSE)</f>
        <v>Verdeck</v>
      </c>
      <c r="D394" s="7" t="s">
        <v>11</v>
      </c>
      <c r="E394" s="8" t="s">
        <v>10</v>
      </c>
      <c r="F394" s="8">
        <f>VLOOKUP(A394,'[1]PL ENG'!B:G,6, FALSE)</f>
        <v>4000984138061</v>
      </c>
      <c r="G394" s="8">
        <v>1</v>
      </c>
      <c r="H394" s="9">
        <f>VLOOKUP(A394,[1]pricing!A:M,5,FALSE)</f>
        <v>44.27</v>
      </c>
      <c r="I394" s="10">
        <f>VLOOKUP(A394,[1]pricing!A:M,6,FALSE)</f>
        <v>55</v>
      </c>
    </row>
    <row r="395" spans="1:9" s="17" customFormat="1" ht="15" customHeight="1">
      <c r="A395" s="6">
        <v>2000024739</v>
      </c>
      <c r="B395" s="7" t="s">
        <v>100</v>
      </c>
      <c r="C395" s="7" t="str">
        <f>VLOOKUP(A395,[1]Translation!A:F,4,FALSE)</f>
        <v>Verdeck</v>
      </c>
      <c r="D395" s="7" t="s">
        <v>12</v>
      </c>
      <c r="E395" s="8" t="s">
        <v>10</v>
      </c>
      <c r="F395" s="8">
        <f>VLOOKUP(A395,'[1]PL ENG'!B:G,6, FALSE)</f>
        <v>4000984138115</v>
      </c>
      <c r="G395" s="8">
        <v>1</v>
      </c>
      <c r="H395" s="9">
        <f>VLOOKUP(A395,[1]pricing!A:M,5,FALSE)</f>
        <v>44.27</v>
      </c>
      <c r="I395" s="10">
        <f>VLOOKUP(A395,[1]pricing!A:M,6,FALSE)</f>
        <v>55</v>
      </c>
    </row>
    <row r="396" spans="1:9" s="17" customFormat="1" ht="15" customHeight="1">
      <c r="A396" s="6">
        <v>2000024742</v>
      </c>
      <c r="B396" s="7" t="s">
        <v>100</v>
      </c>
      <c r="C396" s="7" t="str">
        <f>VLOOKUP(A396,[1]Translation!A:F,4,FALSE)</f>
        <v>Verdeck</v>
      </c>
      <c r="D396" s="7" t="s">
        <v>91</v>
      </c>
      <c r="E396" s="8" t="s">
        <v>10</v>
      </c>
      <c r="F396" s="8">
        <f>VLOOKUP(A396,'[1]PL ENG'!B:G,6, FALSE)</f>
        <v>4000984138146</v>
      </c>
      <c r="G396" s="8">
        <v>1</v>
      </c>
      <c r="H396" s="9">
        <f>VLOOKUP(A396,[1]pricing!A:M,5,FALSE)</f>
        <v>44.27</v>
      </c>
      <c r="I396" s="10">
        <f>VLOOKUP(A396,[1]pricing!A:M,6,FALSE)</f>
        <v>55</v>
      </c>
    </row>
    <row r="397" spans="1:9" s="17" customFormat="1" ht="15" customHeight="1">
      <c r="A397" s="6">
        <v>2000024740</v>
      </c>
      <c r="B397" s="7" t="s">
        <v>100</v>
      </c>
      <c r="C397" s="7" t="str">
        <f>VLOOKUP(A397,[1]Translation!A:F,4,FALSE)</f>
        <v>Verdeck</v>
      </c>
      <c r="D397" s="7" t="s">
        <v>13</v>
      </c>
      <c r="E397" s="8" t="s">
        <v>10</v>
      </c>
      <c r="F397" s="8">
        <f>VLOOKUP(A397,'[1]PL ENG'!B:G,6, FALSE)</f>
        <v>4000984138122</v>
      </c>
      <c r="G397" s="8">
        <v>1</v>
      </c>
      <c r="H397" s="9">
        <f>VLOOKUP(A397,[1]pricing!A:M,5,FALSE)</f>
        <v>44.27</v>
      </c>
      <c r="I397" s="10">
        <f>VLOOKUP(A397,[1]pricing!A:M,6,FALSE)</f>
        <v>55</v>
      </c>
    </row>
    <row r="398" spans="1:9" s="17" customFormat="1" ht="15" customHeight="1">
      <c r="A398" s="6" t="s">
        <v>101</v>
      </c>
      <c r="B398" s="7" t="s">
        <v>100</v>
      </c>
      <c r="C398" s="7" t="str">
        <f>VLOOKUP(A398,[1]Translation!A:F,4,FALSE)</f>
        <v>Verdeck</v>
      </c>
      <c r="D398" s="7" t="s">
        <v>29</v>
      </c>
      <c r="E398" s="8" t="s">
        <v>10</v>
      </c>
      <c r="F398" s="8">
        <f>VLOOKUP(A398,'[1]PL ENG'!B:G,6, FALSE)</f>
        <v>4000984123227</v>
      </c>
      <c r="G398" s="8">
        <v>1</v>
      </c>
      <c r="H398" s="9">
        <f>VLOOKUP(A398,[1]pricing!A:M,5,FALSE)</f>
        <v>44.27</v>
      </c>
      <c r="I398" s="10">
        <f>VLOOKUP(A398,[1]pricing!A:M,6,FALSE)</f>
        <v>55</v>
      </c>
    </row>
    <row r="399" spans="1:9" s="17" customFormat="1" ht="15" customHeight="1">
      <c r="A399" s="6">
        <v>2000026808</v>
      </c>
      <c r="B399" s="7" t="s">
        <v>100</v>
      </c>
      <c r="C399" s="7" t="str">
        <f>VLOOKUP(A399,[1]Translation!A:F,4,FALSE)</f>
        <v>Verdeck</v>
      </c>
      <c r="D399" s="44" t="s">
        <v>92</v>
      </c>
      <c r="E399" s="8" t="s">
        <v>10</v>
      </c>
      <c r="F399" s="8" t="str">
        <f>VLOOKUP(A399,'[1]PL ENG'!B:G,6, FALSE)</f>
        <v xml:space="preserve"> 4000984157963</v>
      </c>
      <c r="G399" s="8">
        <v>1</v>
      </c>
      <c r="H399" s="9">
        <f>VLOOKUP(A399,[1]pricing!A:M,5,FALSE)</f>
        <v>44.27</v>
      </c>
      <c r="I399" s="10">
        <f>VLOOKUP(A399,[1]pricing!A:M,6,FALSE)</f>
        <v>55</v>
      </c>
    </row>
    <row r="400" spans="1:9" s="17" customFormat="1" ht="15" customHeight="1">
      <c r="A400" s="6" t="s">
        <v>93</v>
      </c>
      <c r="B400" s="7" t="s">
        <v>100</v>
      </c>
      <c r="C400" s="7" t="str">
        <f>VLOOKUP(A400,[1]Translation!A:F,4,FALSE)</f>
        <v>Verdeck</v>
      </c>
      <c r="D400" s="44" t="s">
        <v>15</v>
      </c>
      <c r="E400" s="8" t="s">
        <v>10</v>
      </c>
      <c r="F400" s="8" t="str">
        <f>VLOOKUP(A400,'[1]PL ENG'!B:G,6, FALSE)</f>
        <v>4000984157970</v>
      </c>
      <c r="G400" s="8">
        <v>1</v>
      </c>
      <c r="H400" s="9">
        <f>VLOOKUP(A400,[1]pricing!A:M,5,FALSE)</f>
        <v>44.27</v>
      </c>
      <c r="I400" s="10">
        <f>VLOOKUP(A400,[1]pricing!A:M,6,FALSE)</f>
        <v>55</v>
      </c>
    </row>
    <row r="401" spans="1:9" s="17" customFormat="1" ht="15" customHeight="1">
      <c r="A401" s="6">
        <v>2000026810</v>
      </c>
      <c r="B401" s="7" t="s">
        <v>100</v>
      </c>
      <c r="C401" s="7" t="str">
        <f>VLOOKUP(A401,[1]Translation!A:F,4,FALSE)</f>
        <v>Verdeck</v>
      </c>
      <c r="D401" s="44" t="s">
        <v>94</v>
      </c>
      <c r="E401" s="8" t="s">
        <v>10</v>
      </c>
      <c r="F401" s="8" t="str">
        <f>VLOOKUP(A401,'[1]PL ENG'!B:G,6, FALSE)</f>
        <v>4000984157987</v>
      </c>
      <c r="G401" s="8">
        <v>1</v>
      </c>
      <c r="H401" s="9">
        <f>VLOOKUP(A401,[1]pricing!A:M,5,FALSE)</f>
        <v>44.27</v>
      </c>
      <c r="I401" s="10">
        <f>VLOOKUP(A401,[1]pricing!A:M,6,FALSE)</f>
        <v>55</v>
      </c>
    </row>
    <row r="402" spans="1:9" s="17" customFormat="1" ht="15" customHeight="1">
      <c r="A402" s="6">
        <v>2000009631</v>
      </c>
      <c r="B402" s="7" t="s">
        <v>100</v>
      </c>
      <c r="C402" s="7" t="str">
        <f>VLOOKUP(A402,[1]Translation!A:F,4,FALSE)</f>
        <v xml:space="preserve">Griff </v>
      </c>
      <c r="D402" s="7"/>
      <c r="E402" s="8" t="s">
        <v>43</v>
      </c>
      <c r="F402" s="8">
        <f>VLOOKUP(A402,'[1]PL ENG'!B:G,6, FALSE)</f>
        <v>4000984107609</v>
      </c>
      <c r="G402" s="8">
        <v>1</v>
      </c>
      <c r="H402" s="9">
        <f>VLOOKUP(A402,[1]pricing!A:M,5,FALSE)</f>
        <v>10.85</v>
      </c>
      <c r="I402" s="10">
        <f>VLOOKUP(A402,[1]pricing!A:M,6,FALSE)</f>
        <v>13</v>
      </c>
    </row>
    <row r="403" spans="1:9" s="17" customFormat="1" ht="15" customHeight="1">
      <c r="A403" s="6">
        <v>2000005809</v>
      </c>
      <c r="B403" s="7" t="s">
        <v>100</v>
      </c>
      <c r="C403" s="7" t="str">
        <f>VLOOKUP(A403,[1]Translation!A:F,4,FALSE)</f>
        <v>Verriegelung</v>
      </c>
      <c r="D403" s="7"/>
      <c r="E403" s="8" t="s">
        <v>10</v>
      </c>
      <c r="F403" s="8">
        <f>VLOOKUP(A403,'[1]PL ENG'!B:G,6, FALSE)</f>
        <v>4000984089745</v>
      </c>
      <c r="G403" s="8">
        <v>1</v>
      </c>
      <c r="H403" s="9">
        <f>VLOOKUP(A403,[1]pricing!A:M,5,FALSE)</f>
        <v>5.83</v>
      </c>
      <c r="I403" s="10">
        <f>VLOOKUP(A403,[1]pricing!A:M,6,FALSE)</f>
        <v>10</v>
      </c>
    </row>
    <row r="404" spans="1:9" s="17" customFormat="1" ht="15" customHeight="1">
      <c r="A404" s="6">
        <v>2000025117</v>
      </c>
      <c r="B404" s="7" t="s">
        <v>100</v>
      </c>
      <c r="C404" s="7" t="str">
        <f>VLOOKUP(A404,[1]Translation!A:F,4,FALSE)</f>
        <v>Sitzeinheit inkl. Gurt</v>
      </c>
      <c r="D404" s="7" t="s">
        <v>11</v>
      </c>
      <c r="E404" s="8" t="s">
        <v>10</v>
      </c>
      <c r="F404" s="8">
        <f>VLOOKUP(A404,'[1]PL ENG'!B:G,6, FALSE)</f>
        <v>4000984144277</v>
      </c>
      <c r="G404" s="8">
        <v>1</v>
      </c>
      <c r="H404" s="9">
        <f>VLOOKUP(A404,[1]pricing!A:M,5,FALSE)</f>
        <v>63.25</v>
      </c>
      <c r="I404" s="10">
        <f>VLOOKUP(A404,[1]pricing!A:M,6,FALSE)</f>
        <v>80</v>
      </c>
    </row>
    <row r="405" spans="1:9" s="17" customFormat="1" ht="15" customHeight="1">
      <c r="A405" s="6">
        <v>2000025576</v>
      </c>
      <c r="B405" s="7" t="s">
        <v>100</v>
      </c>
      <c r="C405" s="7" t="str">
        <f>VLOOKUP(A405,[1]Translation!A:F,4,FALSE)</f>
        <v xml:space="preserve">Fußstütze Bezug </v>
      </c>
      <c r="D405" s="7"/>
      <c r="E405" s="8" t="s">
        <v>43</v>
      </c>
      <c r="F405" s="8">
        <f>VLOOKUP(A405,'[1]PL ENG'!B:G,6, FALSE)</f>
        <v>4000984150445</v>
      </c>
      <c r="G405" s="8">
        <v>1</v>
      </c>
      <c r="H405" s="9">
        <f>VLOOKUP(A405,[1]pricing!A:M,5,FALSE)</f>
        <v>8.25</v>
      </c>
      <c r="I405" s="10">
        <f>VLOOKUP(A405,[1]pricing!A:M,6,FALSE)</f>
        <v>15</v>
      </c>
    </row>
    <row r="406" spans="1:9" s="17" customFormat="1" ht="15" customHeight="1">
      <c r="A406" s="6">
        <v>2000005806</v>
      </c>
      <c r="B406" s="7" t="s">
        <v>102</v>
      </c>
      <c r="C406" s="7" t="str">
        <f>VLOOKUP(A406,[1]Translation!A:F,4,FALSE)</f>
        <v>Korb</v>
      </c>
      <c r="D406" s="7"/>
      <c r="E406" s="8" t="s">
        <v>10</v>
      </c>
      <c r="F406" s="8">
        <f>VLOOKUP(A406,'[1]PL ENG'!B:G,6, FALSE)</f>
        <v>4000984089776</v>
      </c>
      <c r="G406" s="8">
        <v>1</v>
      </c>
      <c r="H406" s="9">
        <f>VLOOKUP(A406,[1]pricing!A:M,5,FALSE)</f>
        <v>14.17</v>
      </c>
      <c r="I406" s="10">
        <f>VLOOKUP(A406,[1]pricing!A:M,6,FALSE)</f>
        <v>20</v>
      </c>
    </row>
    <row r="407" spans="1:9" s="17" customFormat="1" ht="15" customHeight="1">
      <c r="A407" s="6">
        <v>2000024738</v>
      </c>
      <c r="B407" s="7" t="s">
        <v>102</v>
      </c>
      <c r="C407" s="7" t="str">
        <f>VLOOKUP(A407,[1]Translation!A:F,4,FALSE)</f>
        <v>Verdeck</v>
      </c>
      <c r="D407" s="7" t="s">
        <v>11</v>
      </c>
      <c r="E407" s="8" t="s">
        <v>10</v>
      </c>
      <c r="F407" s="8">
        <f>VLOOKUP(A407,'[1]PL ENG'!B:G,6, FALSE)</f>
        <v>4000984138061</v>
      </c>
      <c r="G407" s="8">
        <v>1</v>
      </c>
      <c r="H407" s="9">
        <f>VLOOKUP(A407,[1]pricing!A:M,5,FALSE)</f>
        <v>44.27</v>
      </c>
      <c r="I407" s="10">
        <f>VLOOKUP(A407,[1]pricing!A:M,6,FALSE)</f>
        <v>55</v>
      </c>
    </row>
    <row r="408" spans="1:9" s="17" customFormat="1" ht="15" customHeight="1">
      <c r="A408" s="6">
        <v>2000024739</v>
      </c>
      <c r="B408" s="7" t="s">
        <v>102</v>
      </c>
      <c r="C408" s="7" t="str">
        <f>VLOOKUP(A408,[1]Translation!A:F,4,FALSE)</f>
        <v>Verdeck</v>
      </c>
      <c r="D408" s="7" t="s">
        <v>12</v>
      </c>
      <c r="E408" s="8" t="s">
        <v>10</v>
      </c>
      <c r="F408" s="8">
        <f>VLOOKUP(A408,'[1]PL ENG'!B:G,6, FALSE)</f>
        <v>4000984138115</v>
      </c>
      <c r="G408" s="8">
        <v>1</v>
      </c>
      <c r="H408" s="9">
        <f>VLOOKUP(A408,[1]pricing!A:M,5,FALSE)</f>
        <v>44.27</v>
      </c>
      <c r="I408" s="10">
        <f>VLOOKUP(A408,[1]pricing!A:M,6,FALSE)</f>
        <v>55</v>
      </c>
    </row>
    <row r="409" spans="1:9" s="17" customFormat="1" ht="15" customHeight="1">
      <c r="A409" s="6">
        <v>2000024742</v>
      </c>
      <c r="B409" s="7" t="s">
        <v>102</v>
      </c>
      <c r="C409" s="7" t="str">
        <f>VLOOKUP(A409,[1]Translation!A:F,4,FALSE)</f>
        <v>Verdeck</v>
      </c>
      <c r="D409" s="7" t="s">
        <v>91</v>
      </c>
      <c r="E409" s="8" t="s">
        <v>10</v>
      </c>
      <c r="F409" s="8">
        <f>VLOOKUP(A409,'[1]PL ENG'!B:G,6, FALSE)</f>
        <v>4000984138146</v>
      </c>
      <c r="G409" s="8">
        <v>1</v>
      </c>
      <c r="H409" s="9">
        <f>VLOOKUP(A409,[1]pricing!A:M,5,FALSE)</f>
        <v>44.27</v>
      </c>
      <c r="I409" s="10">
        <f>VLOOKUP(A409,[1]pricing!A:M,6,FALSE)</f>
        <v>55</v>
      </c>
    </row>
    <row r="410" spans="1:9" s="17" customFormat="1" ht="15" customHeight="1">
      <c r="A410" s="6">
        <v>2000024741</v>
      </c>
      <c r="B410" s="7" t="s">
        <v>102</v>
      </c>
      <c r="C410" s="7" t="str">
        <f>VLOOKUP(A410,[1]Translation!A:F,4,FALSE)</f>
        <v>Verdeck</v>
      </c>
      <c r="D410" s="7" t="s">
        <v>16</v>
      </c>
      <c r="E410" s="8" t="s">
        <v>10</v>
      </c>
      <c r="F410" s="8">
        <f>VLOOKUP(A410,'[1]PL ENG'!B:G,6, FALSE)</f>
        <v>4000984138139</v>
      </c>
      <c r="G410" s="8">
        <v>1</v>
      </c>
      <c r="H410" s="9">
        <f>VLOOKUP(A410,[1]pricing!A:M,5,FALSE)</f>
        <v>44.27</v>
      </c>
      <c r="I410" s="10">
        <f>VLOOKUP(A410,[1]pricing!A:M,6,FALSE)</f>
        <v>55</v>
      </c>
    </row>
    <row r="411" spans="1:9" s="17" customFormat="1" ht="15" customHeight="1">
      <c r="A411" s="6">
        <v>2000024740</v>
      </c>
      <c r="B411" s="7" t="s">
        <v>102</v>
      </c>
      <c r="C411" s="7" t="str">
        <f>VLOOKUP(A411,[1]Translation!A:F,4,FALSE)</f>
        <v>Verdeck</v>
      </c>
      <c r="D411" s="7" t="s">
        <v>13</v>
      </c>
      <c r="E411" s="8" t="s">
        <v>10</v>
      </c>
      <c r="F411" s="8">
        <f>VLOOKUP(A411,'[1]PL ENG'!B:G,6, FALSE)</f>
        <v>4000984138122</v>
      </c>
      <c r="G411" s="8">
        <v>1</v>
      </c>
      <c r="H411" s="9">
        <f>VLOOKUP(A411,[1]pricing!A:M,5,FALSE)</f>
        <v>44.27</v>
      </c>
      <c r="I411" s="10">
        <f>VLOOKUP(A411,[1]pricing!A:M,6,FALSE)</f>
        <v>55</v>
      </c>
    </row>
    <row r="412" spans="1:9" s="17" customFormat="1" ht="15" customHeight="1">
      <c r="A412" s="6" t="s">
        <v>101</v>
      </c>
      <c r="B412" s="7" t="s">
        <v>102</v>
      </c>
      <c r="C412" s="7" t="str">
        <f>VLOOKUP(A412,[1]Translation!A:F,4,FALSE)</f>
        <v>Verdeck</v>
      </c>
      <c r="D412" s="7" t="s">
        <v>29</v>
      </c>
      <c r="E412" s="8" t="s">
        <v>10</v>
      </c>
      <c r="F412" s="8">
        <f>VLOOKUP(A412,'[1]PL ENG'!B:G,6, FALSE)</f>
        <v>4000984123227</v>
      </c>
      <c r="G412" s="8">
        <v>1</v>
      </c>
      <c r="H412" s="9">
        <f>VLOOKUP(A412,[1]pricing!A:M,5,FALSE)</f>
        <v>44.27</v>
      </c>
      <c r="I412" s="10">
        <f>VLOOKUP(A412,[1]pricing!A:M,6,FALSE)</f>
        <v>55</v>
      </c>
    </row>
    <row r="413" spans="1:9" s="17" customFormat="1" ht="15" customHeight="1">
      <c r="A413" s="6">
        <v>2000026808</v>
      </c>
      <c r="B413" s="7" t="s">
        <v>102</v>
      </c>
      <c r="C413" s="7" t="str">
        <f>VLOOKUP(A413,[1]Translation!A:F,4,FALSE)</f>
        <v>Verdeck</v>
      </c>
      <c r="D413" s="44" t="s">
        <v>92</v>
      </c>
      <c r="E413" s="8" t="s">
        <v>10</v>
      </c>
      <c r="F413" s="8" t="str">
        <f>VLOOKUP(A413,'[1]PL ENG'!B:G,6, FALSE)</f>
        <v xml:space="preserve"> 4000984157963</v>
      </c>
      <c r="G413" s="8">
        <v>1</v>
      </c>
      <c r="H413" s="9">
        <f>VLOOKUP(A413,[1]pricing!A:M,5,FALSE)</f>
        <v>44.27</v>
      </c>
      <c r="I413" s="10">
        <f>VLOOKUP(A413,[1]pricing!A:M,6,FALSE)</f>
        <v>55</v>
      </c>
    </row>
    <row r="414" spans="1:9" s="17" customFormat="1" ht="15" customHeight="1">
      <c r="A414" s="6" t="s">
        <v>93</v>
      </c>
      <c r="B414" s="7" t="s">
        <v>102</v>
      </c>
      <c r="C414" s="7" t="str">
        <f>VLOOKUP(A414,[1]Translation!A:F,4,FALSE)</f>
        <v>Verdeck</v>
      </c>
      <c r="D414" s="44" t="s">
        <v>15</v>
      </c>
      <c r="E414" s="8" t="s">
        <v>10</v>
      </c>
      <c r="F414" s="8" t="str">
        <f>VLOOKUP(A414,'[1]PL ENG'!B:G,6, FALSE)</f>
        <v>4000984157970</v>
      </c>
      <c r="G414" s="8">
        <v>1</v>
      </c>
      <c r="H414" s="9">
        <f>VLOOKUP(A414,[1]pricing!A:M,5,FALSE)</f>
        <v>44.27</v>
      </c>
      <c r="I414" s="10">
        <f>VLOOKUP(A414,[1]pricing!A:M,6,FALSE)</f>
        <v>55</v>
      </c>
    </row>
    <row r="415" spans="1:9" s="17" customFormat="1" ht="15" customHeight="1">
      <c r="A415" s="6">
        <v>2000026810</v>
      </c>
      <c r="B415" s="7" t="s">
        <v>102</v>
      </c>
      <c r="C415" s="7" t="str">
        <f>VLOOKUP(A415,[1]Translation!A:F,4,FALSE)</f>
        <v>Verdeck</v>
      </c>
      <c r="D415" s="44" t="s">
        <v>94</v>
      </c>
      <c r="E415" s="8" t="s">
        <v>10</v>
      </c>
      <c r="F415" s="8" t="str">
        <f>VLOOKUP(A415,'[1]PL ENG'!B:G,6, FALSE)</f>
        <v>4000984157987</v>
      </c>
      <c r="G415" s="8">
        <v>1</v>
      </c>
      <c r="H415" s="9">
        <f>VLOOKUP(A415,[1]pricing!A:M,5,FALSE)</f>
        <v>44.27</v>
      </c>
      <c r="I415" s="10">
        <f>VLOOKUP(A415,[1]pricing!A:M,6,FALSE)</f>
        <v>55</v>
      </c>
    </row>
    <row r="416" spans="1:9" s="17" customFormat="1" ht="15" customHeight="1">
      <c r="A416" s="6">
        <v>2000024859</v>
      </c>
      <c r="B416" s="7" t="s">
        <v>102</v>
      </c>
      <c r="C416" s="7" t="str">
        <f>VLOOKUP(A416,[1]Translation!A:F,4,FALSE)</f>
        <v>Windschutz</v>
      </c>
      <c r="D416" s="7" t="s">
        <v>24</v>
      </c>
      <c r="E416" s="8" t="s">
        <v>10</v>
      </c>
      <c r="F416" s="8">
        <f>VLOOKUP(A416,'[1]PL ENG'!B:G,6, FALSE)</f>
        <v>4000984148596</v>
      </c>
      <c r="G416" s="8">
        <v>1</v>
      </c>
      <c r="H416" s="9">
        <f>VLOOKUP(A416,[1]pricing!A:M,5,FALSE)</f>
        <v>20.78</v>
      </c>
      <c r="I416" s="10">
        <f>VLOOKUP(A416,[1]pricing!A:M,6,FALSE)</f>
        <v>25</v>
      </c>
    </row>
    <row r="417" spans="1:9" s="17" customFormat="1" ht="15" customHeight="1">
      <c r="A417" s="6">
        <v>2000009628</v>
      </c>
      <c r="B417" s="7" t="s">
        <v>102</v>
      </c>
      <c r="C417" s="7" t="str">
        <f>VLOOKUP(A417,[1]Translation!A:F,4,FALSE)</f>
        <v>Vorderräder Set</v>
      </c>
      <c r="D417" s="7" t="s">
        <v>24</v>
      </c>
      <c r="E417" s="8" t="s">
        <v>10</v>
      </c>
      <c r="F417" s="8">
        <f>VLOOKUP(A417,'[1]PL ENG'!B:G,6, FALSE)</f>
        <v>4000984107579</v>
      </c>
      <c r="G417" s="8">
        <v>1</v>
      </c>
      <c r="H417" s="9">
        <f>VLOOKUP(A417,[1]pricing!A:M,5,FALSE)</f>
        <v>44.85</v>
      </c>
      <c r="I417" s="10">
        <f>VLOOKUP(A417,[1]pricing!A:M,6,FALSE)</f>
        <v>55</v>
      </c>
    </row>
    <row r="418" spans="1:9" s="17" customFormat="1" ht="15" customHeight="1">
      <c r="A418" s="6">
        <v>2000009629</v>
      </c>
      <c r="B418" s="7" t="s">
        <v>102</v>
      </c>
      <c r="C418" s="7" t="str">
        <f>VLOOKUP(A418,[1]Translation!A:F,4,FALSE)</f>
        <v>Hinterräder Set</v>
      </c>
      <c r="D418" s="7" t="s">
        <v>24</v>
      </c>
      <c r="E418" s="8" t="s">
        <v>10</v>
      </c>
      <c r="F418" s="8">
        <f>VLOOKUP(A418,'[1]PL ENG'!B:G,6, FALSE)</f>
        <v>4000984107586</v>
      </c>
      <c r="G418" s="8">
        <v>1</v>
      </c>
      <c r="H418" s="9">
        <f>VLOOKUP(A418,[1]pricing!A:M,5,FALSE)</f>
        <v>44.75</v>
      </c>
      <c r="I418" s="10">
        <f>VLOOKUP(A418,[1]pricing!A:M,6,FALSE)</f>
        <v>55</v>
      </c>
    </row>
    <row r="419" spans="1:9" s="17" customFormat="1" ht="15" customHeight="1">
      <c r="A419" s="6">
        <v>2000009630</v>
      </c>
      <c r="B419" s="7" t="s">
        <v>102</v>
      </c>
      <c r="C419" s="7" t="str">
        <f>VLOOKUP(A419,[1]Translation!A:F,4,FALSE)</f>
        <v>Schlauch hinten</v>
      </c>
      <c r="D419" s="7"/>
      <c r="E419" s="8" t="s">
        <v>10</v>
      </c>
      <c r="F419" s="8">
        <f>VLOOKUP(A419,'[1]PL ENG'!B:G,6, FALSE)</f>
        <v>4000984107593</v>
      </c>
      <c r="G419" s="8">
        <v>1</v>
      </c>
      <c r="H419" s="9">
        <f>VLOOKUP(A419,[1]pricing!A:M,5,FALSE)</f>
        <v>8.44</v>
      </c>
      <c r="I419" s="10">
        <f>VLOOKUP(A419,[1]pricing!A:M,6,FALSE)</f>
        <v>15</v>
      </c>
    </row>
    <row r="420" spans="1:9" s="17" customFormat="1" ht="15" customHeight="1">
      <c r="A420" s="6">
        <v>2000009631</v>
      </c>
      <c r="B420" s="7" t="s">
        <v>102</v>
      </c>
      <c r="C420" s="7" t="str">
        <f>VLOOKUP(A420,[1]Translation!A:F,4,FALSE)</f>
        <v xml:space="preserve">Griff </v>
      </c>
      <c r="D420" s="7"/>
      <c r="E420" s="8" t="s">
        <v>43</v>
      </c>
      <c r="F420" s="8">
        <f>VLOOKUP(A420,'[1]PL ENG'!B:G,6, FALSE)</f>
        <v>4000984107609</v>
      </c>
      <c r="G420" s="8">
        <v>1</v>
      </c>
      <c r="H420" s="9">
        <f>VLOOKUP(A420,[1]pricing!A:M,5,FALSE)</f>
        <v>10.85</v>
      </c>
      <c r="I420" s="10">
        <f>VLOOKUP(A420,[1]pricing!A:M,6,FALSE)</f>
        <v>13</v>
      </c>
    </row>
    <row r="421" spans="1:9" s="17" customFormat="1" ht="15" customHeight="1">
      <c r="A421" s="6">
        <v>2000005809</v>
      </c>
      <c r="B421" s="7" t="s">
        <v>102</v>
      </c>
      <c r="C421" s="7" t="str">
        <f>VLOOKUP(A421,[1]Translation!A:F,4,FALSE)</f>
        <v>Verriegelung</v>
      </c>
      <c r="D421" s="7"/>
      <c r="E421" s="8" t="s">
        <v>10</v>
      </c>
      <c r="F421" s="8">
        <f>VLOOKUP(A421,'[1]PL ENG'!B:G,6, FALSE)</f>
        <v>4000984089745</v>
      </c>
      <c r="G421" s="8">
        <v>1</v>
      </c>
      <c r="H421" s="9">
        <f>VLOOKUP(A421,[1]pricing!A:M,5,FALSE)</f>
        <v>5.83</v>
      </c>
      <c r="I421" s="10">
        <f>VLOOKUP(A421,[1]pricing!A:M,6,FALSE)</f>
        <v>10</v>
      </c>
    </row>
    <row r="422" spans="1:9" s="17" customFormat="1" ht="15" customHeight="1">
      <c r="A422" s="6">
        <v>2000025118</v>
      </c>
      <c r="B422" s="7" t="s">
        <v>102</v>
      </c>
      <c r="C422" s="7" t="str">
        <f>VLOOKUP(A422,[1]Translation!A:F,4,FALSE)</f>
        <v>Sitzeinheit inkl. Gurt</v>
      </c>
      <c r="D422" s="7" t="s">
        <v>11</v>
      </c>
      <c r="E422" s="8" t="s">
        <v>10</v>
      </c>
      <c r="F422" s="8">
        <f>VLOOKUP(A422,'[1]PL ENG'!B:G,6, FALSE)</f>
        <v>4000984144505</v>
      </c>
      <c r="G422" s="8">
        <v>1</v>
      </c>
      <c r="H422" s="9">
        <f>VLOOKUP(A422,[1]pricing!A:M,5,FALSE)</f>
        <v>63.25</v>
      </c>
      <c r="I422" s="10">
        <f>VLOOKUP(A422,[1]pricing!A:M,6,FALSE)</f>
        <v>80</v>
      </c>
    </row>
    <row r="423" spans="1:9" s="17" customFormat="1" ht="15" customHeight="1">
      <c r="A423" s="6">
        <v>2000025578</v>
      </c>
      <c r="B423" s="7" t="s">
        <v>102</v>
      </c>
      <c r="C423" s="7" t="str">
        <f>VLOOKUP(A423,[1]Translation!A:F,4,FALSE)</f>
        <v xml:space="preserve">Fußstütze Bezug </v>
      </c>
      <c r="D423" s="7"/>
      <c r="E423" s="8" t="s">
        <v>43</v>
      </c>
      <c r="F423" s="8">
        <f>VLOOKUP(A423,'[1]PL ENG'!B:G,6, FALSE)</f>
        <v>4000984150469</v>
      </c>
      <c r="G423" s="8">
        <v>1</v>
      </c>
      <c r="H423" s="9">
        <f>VLOOKUP(A423,[1]pricing!A:M,5,FALSE)</f>
        <v>8.25</v>
      </c>
      <c r="I423" s="10">
        <f>VLOOKUP(A423,[1]pricing!A:M,6,FALSE)</f>
        <v>15</v>
      </c>
    </row>
    <row r="424" spans="1:9" s="17" customFormat="1" ht="15" customHeight="1">
      <c r="A424" s="6">
        <v>2000026723</v>
      </c>
      <c r="B424" s="7" t="s">
        <v>102</v>
      </c>
      <c r="C424" s="7" t="str">
        <f>VLOOKUP(A424,[1]Translation!A:F,4,FALSE)</f>
        <v xml:space="preserve">Schlauch vorne </v>
      </c>
      <c r="D424" s="7"/>
      <c r="E424" s="8" t="s">
        <v>43</v>
      </c>
      <c r="F424" s="8" t="str">
        <f>VLOOKUP(A424,'[1]PL ENG'!B:G,6, FALSE)</f>
        <v>4000984156294</v>
      </c>
      <c r="G424" s="8">
        <v>1</v>
      </c>
      <c r="H424" s="9">
        <f>VLOOKUP(A424,[1]pricing!A:M,5,FALSE)</f>
        <v>4.2</v>
      </c>
      <c r="I424" s="10">
        <f>VLOOKUP(A424,[1]pricing!A:M,6,FALSE)</f>
        <v>5</v>
      </c>
    </row>
    <row r="425" spans="1:9" s="17" customFormat="1" ht="15" customHeight="1">
      <c r="A425" s="6">
        <v>2000026852</v>
      </c>
      <c r="B425" s="7" t="s">
        <v>102</v>
      </c>
      <c r="C425" s="7" t="str">
        <f>VLOOKUP(A425,[1]Translation!A:F,4,FALSE)</f>
        <v xml:space="preserve">Vorderradanbringung </v>
      </c>
      <c r="D425" s="7"/>
      <c r="E425" s="8" t="s">
        <v>43</v>
      </c>
      <c r="F425" s="8" t="str">
        <f>VLOOKUP(A425,'[1]PL ENG'!B:G,6, FALSE)</f>
        <v>4000984158809</v>
      </c>
      <c r="G425" s="8">
        <v>1</v>
      </c>
      <c r="H425" s="9">
        <f>VLOOKUP(A425,[1]pricing!A:M,5,FALSE)</f>
        <v>16.809999999999999</v>
      </c>
      <c r="I425" s="10">
        <f>VLOOKUP(A425,[1]pricing!A:M,6,FALSE)</f>
        <v>20</v>
      </c>
    </row>
    <row r="426" spans="1:9" s="17" customFormat="1" ht="15" customHeight="1">
      <c r="A426" s="6">
        <v>2000024429</v>
      </c>
      <c r="B426" s="7" t="s">
        <v>103</v>
      </c>
      <c r="C426" s="7" t="str">
        <f>VLOOKUP(A426,[1]Translation!A:F,4,FALSE)</f>
        <v>Hinterräder Set</v>
      </c>
      <c r="D426" s="18"/>
      <c r="E426" s="8" t="s">
        <v>10</v>
      </c>
      <c r="F426" s="8">
        <f>VLOOKUP(A426,'[1]PL ENG'!B:G,6, FALSE)</f>
        <v>4000984132069</v>
      </c>
      <c r="G426" s="8">
        <v>1</v>
      </c>
      <c r="H426" s="9">
        <f>VLOOKUP(A426,[1]pricing!A:M,5,FALSE)</f>
        <v>44.75</v>
      </c>
      <c r="I426" s="10">
        <f>VLOOKUP(A426,[1]pricing!A:M,6,FALSE)</f>
        <v>55</v>
      </c>
    </row>
    <row r="427" spans="1:9" s="17" customFormat="1" ht="15" customHeight="1">
      <c r="A427" s="6">
        <v>2000024430</v>
      </c>
      <c r="B427" s="7" t="s">
        <v>103</v>
      </c>
      <c r="C427" s="7" t="str">
        <f>VLOOKUP(A427,[1]Translation!A:F,4,FALSE)</f>
        <v>Vorderräder Set</v>
      </c>
      <c r="D427" s="18"/>
      <c r="E427" s="8" t="s">
        <v>10</v>
      </c>
      <c r="F427" s="8">
        <f>VLOOKUP(A427,'[1]PL ENG'!B:G,6, FALSE)</f>
        <v>4000984132656</v>
      </c>
      <c r="G427" s="8">
        <v>1</v>
      </c>
      <c r="H427" s="9">
        <f>VLOOKUP(A427,[1]pricing!A:M,5,FALSE)</f>
        <v>44.85</v>
      </c>
      <c r="I427" s="10">
        <f>VLOOKUP(A427,[1]pricing!A:M,6,FALSE)</f>
        <v>55</v>
      </c>
    </row>
    <row r="428" spans="1:9" s="17" customFormat="1" ht="15" customHeight="1">
      <c r="A428" s="6">
        <v>2000024431</v>
      </c>
      <c r="B428" s="7" t="s">
        <v>103</v>
      </c>
      <c r="C428" s="7" t="str">
        <f>VLOOKUP(A428,[1]Translation!A:F,4,FALSE)</f>
        <v>Korb</v>
      </c>
      <c r="D428" s="18"/>
      <c r="E428" s="8" t="s">
        <v>10</v>
      </c>
      <c r="F428" s="8">
        <f>VLOOKUP(A428,'[1]PL ENG'!B:G,6, FALSE)</f>
        <v>4000984132663</v>
      </c>
      <c r="G428" s="8">
        <v>1</v>
      </c>
      <c r="H428" s="9">
        <f>VLOOKUP(A428,[1]pricing!A:M,5,FALSE)</f>
        <v>18.68</v>
      </c>
      <c r="I428" s="10">
        <f>VLOOKUP(A428,[1]pricing!A:M,6,FALSE)</f>
        <v>25</v>
      </c>
    </row>
    <row r="429" spans="1:9" s="17" customFormat="1" ht="15" customHeight="1">
      <c r="A429" s="6">
        <v>2000024432</v>
      </c>
      <c r="B429" s="7" t="s">
        <v>103</v>
      </c>
      <c r="C429" s="7" t="str">
        <f>VLOOKUP(A429,[1]Translation!A:F,4,FALSE)</f>
        <v>Rückenplatte</v>
      </c>
      <c r="D429" s="18"/>
      <c r="E429" s="8" t="s">
        <v>10</v>
      </c>
      <c r="F429" s="8">
        <f>VLOOKUP(A429,'[1]PL ENG'!B:G,6, FALSE)</f>
        <v>4000984132670</v>
      </c>
      <c r="G429" s="8">
        <v>1</v>
      </c>
      <c r="H429" s="9">
        <f>VLOOKUP(A429,[1]pricing!A:M,5,FALSE)</f>
        <v>9.4600000000000009</v>
      </c>
      <c r="I429" s="10">
        <f>VLOOKUP(A429,[1]pricing!A:M,6,FALSE)</f>
        <v>15</v>
      </c>
    </row>
    <row r="430" spans="1:9" s="17" customFormat="1" ht="15" customHeight="1">
      <c r="A430" s="6">
        <v>2000009631</v>
      </c>
      <c r="B430" s="7" t="s">
        <v>103</v>
      </c>
      <c r="C430" s="7" t="str">
        <f>VLOOKUP(A430,[1]Translation!A:F,4,FALSE)</f>
        <v xml:space="preserve">Griff </v>
      </c>
      <c r="D430" s="18"/>
      <c r="E430" s="8" t="s">
        <v>43</v>
      </c>
      <c r="F430" s="8">
        <f>VLOOKUP(A430,'[1]PL ENG'!B:G,6, FALSE)</f>
        <v>4000984107609</v>
      </c>
      <c r="G430" s="8">
        <v>1</v>
      </c>
      <c r="H430" s="9">
        <f>VLOOKUP(A430,[1]pricing!A:M,5,FALSE)</f>
        <v>10.85</v>
      </c>
      <c r="I430" s="10">
        <f>VLOOKUP(A430,[1]pricing!A:M,6,FALSE)</f>
        <v>13</v>
      </c>
    </row>
    <row r="431" spans="1:9" s="17" customFormat="1" ht="15" customHeight="1">
      <c r="A431" s="6">
        <v>2000025119</v>
      </c>
      <c r="B431" s="7" t="s">
        <v>103</v>
      </c>
      <c r="C431" s="7" t="str">
        <f>VLOOKUP(A431,[1]Translation!A:F,4,FALSE)</f>
        <v>Sitzeinheit inkl. Gurt</v>
      </c>
      <c r="D431" s="7" t="s">
        <v>11</v>
      </c>
      <c r="E431" s="8" t="s">
        <v>10</v>
      </c>
      <c r="F431" s="8">
        <f>VLOOKUP(A431,'[1]PL ENG'!B:G,6, FALSE)</f>
        <v>4000984144529</v>
      </c>
      <c r="G431" s="8">
        <v>1</v>
      </c>
      <c r="H431" s="9">
        <f>VLOOKUP(A431,[1]pricing!A:M,5,FALSE)</f>
        <v>66</v>
      </c>
      <c r="I431" s="10">
        <f>VLOOKUP(A431,[1]pricing!A:M,6,FALSE)</f>
        <v>80</v>
      </c>
    </row>
    <row r="432" spans="1:9" s="17" customFormat="1" ht="15" customHeight="1">
      <c r="A432" s="6">
        <v>2000025572</v>
      </c>
      <c r="B432" s="7" t="s">
        <v>103</v>
      </c>
      <c r="C432" s="7" t="str">
        <f>VLOOKUP(A432,[1]Translation!A:F,4,FALSE)</f>
        <v>Fußstützen Reparaturset</v>
      </c>
      <c r="D432" s="7"/>
      <c r="E432" s="8" t="s">
        <v>10</v>
      </c>
      <c r="F432" s="8" t="str">
        <f>VLOOKUP(A432,'[1]PL ENG'!B:G,6, FALSE)</f>
        <v>4000984150384</v>
      </c>
      <c r="G432" s="8">
        <v>1</v>
      </c>
      <c r="H432" s="9">
        <f>VLOOKUP(A432,[1]pricing!A:M,5,FALSE)</f>
        <v>12.61</v>
      </c>
      <c r="I432" s="10">
        <f>VLOOKUP(A432,[1]pricing!A:M,6,FALSE)</f>
        <v>15</v>
      </c>
    </row>
    <row r="433" spans="1:9" s="17" customFormat="1" ht="15" customHeight="1">
      <c r="A433" s="6">
        <v>2000029339</v>
      </c>
      <c r="B433" s="7" t="s">
        <v>103</v>
      </c>
      <c r="C433" s="7" t="str">
        <f>VLOOKUP(A433,[1]Translation!A:F,4,FALSE)</f>
        <v xml:space="preserve">Fußstützen Reparaturset 2018 </v>
      </c>
      <c r="D433" s="7"/>
      <c r="E433" s="8" t="s">
        <v>43</v>
      </c>
      <c r="F433" s="8">
        <f>VLOOKUP(A433,'[1]PL ENG'!B:G,6, FALSE)</f>
        <v>4000984191011</v>
      </c>
      <c r="G433" s="8">
        <v>1</v>
      </c>
      <c r="H433" s="9">
        <f>VLOOKUP(A433,[1]pricing!A:M,5,FALSE)</f>
        <v>12.61</v>
      </c>
      <c r="I433" s="10">
        <f>VLOOKUP(A433,[1]pricing!A:M,6,FALSE)</f>
        <v>15</v>
      </c>
    </row>
    <row r="434" spans="1:9" s="17" customFormat="1" ht="15" customHeight="1">
      <c r="A434" s="6">
        <v>2000026852</v>
      </c>
      <c r="B434" s="7" t="s">
        <v>103</v>
      </c>
      <c r="C434" s="7" t="str">
        <f>VLOOKUP(A434,[1]Translation!A:F,4,FALSE)</f>
        <v xml:space="preserve">Vorderradanbringung </v>
      </c>
      <c r="D434" s="7"/>
      <c r="E434" s="8" t="s">
        <v>43</v>
      </c>
      <c r="F434" s="8" t="str">
        <f>VLOOKUP(A434,'[1]PL ENG'!B:G,6, FALSE)</f>
        <v>4000984158809</v>
      </c>
      <c r="G434" s="8">
        <v>1</v>
      </c>
      <c r="H434" s="9">
        <f>VLOOKUP(A434,[1]pricing!A:M,5,FALSE)</f>
        <v>16.809999999999999</v>
      </c>
      <c r="I434" s="10">
        <f>VLOOKUP(A434,[1]pricing!A:M,6,FALSE)</f>
        <v>20</v>
      </c>
    </row>
    <row r="435" spans="1:9" s="17" customFormat="1" ht="15" customHeight="1">
      <c r="A435" s="6">
        <v>2000005809</v>
      </c>
      <c r="B435" s="7" t="s">
        <v>103</v>
      </c>
      <c r="C435" s="7" t="str">
        <f>VLOOKUP(A435,[1]Translation!A:F,4,FALSE)</f>
        <v>Verriegelung</v>
      </c>
      <c r="D435" s="7"/>
      <c r="E435" s="8" t="s">
        <v>10</v>
      </c>
      <c r="F435" s="8">
        <f>VLOOKUP(A435,'[1]PL ENG'!B:G,6, FALSE)</f>
        <v>4000984089745</v>
      </c>
      <c r="G435" s="8">
        <v>1</v>
      </c>
      <c r="H435" s="9">
        <f>VLOOKUP(A435,[1]pricing!A:M,5,FALSE)</f>
        <v>5.83</v>
      </c>
      <c r="I435" s="10">
        <f>VLOOKUP(A435,[1]pricing!A:M,6,FALSE)</f>
        <v>10</v>
      </c>
    </row>
    <row r="436" spans="1:9" s="17" customFormat="1" ht="15" customHeight="1">
      <c r="A436" s="6">
        <v>2000003039</v>
      </c>
      <c r="B436" s="7" t="s">
        <v>104</v>
      </c>
      <c r="C436" s="7" t="str">
        <f>VLOOKUP(A436,[1]Translation!A:F,4,FALSE)</f>
        <v>Korb (2011)</v>
      </c>
      <c r="D436" s="7"/>
      <c r="E436" s="8" t="s">
        <v>10</v>
      </c>
      <c r="F436" s="8">
        <f>VLOOKUP(A436,'[1]PL ENG'!B:G,6, FALSE)</f>
        <v>4000984081466</v>
      </c>
      <c r="G436" s="8">
        <v>1</v>
      </c>
      <c r="H436" s="9">
        <f>VLOOKUP(A436,[1]pricing!A:M,5,FALSE)</f>
        <v>18.68</v>
      </c>
      <c r="I436" s="10">
        <f>VLOOKUP(A436,[1]pricing!A:M,6,FALSE)</f>
        <v>25</v>
      </c>
    </row>
    <row r="437" spans="1:9" s="17" customFormat="1" ht="15" customHeight="1">
      <c r="A437" s="6">
        <v>2000003790</v>
      </c>
      <c r="B437" s="7" t="s">
        <v>104</v>
      </c>
      <c r="C437" s="7" t="str">
        <f>VLOOKUP(A437,[1]Translation!A:F,4,FALSE)</f>
        <v>Korb (2010)</v>
      </c>
      <c r="D437" s="7"/>
      <c r="E437" s="8" t="s">
        <v>10</v>
      </c>
      <c r="F437" s="8">
        <f>VLOOKUP(A437,'[1]PL ENG'!B:G,6, FALSE)</f>
        <v>4000984084931</v>
      </c>
      <c r="G437" s="8">
        <v>1</v>
      </c>
      <c r="H437" s="9">
        <f>VLOOKUP(A437,[1]pricing!A:M,5,FALSE)</f>
        <v>18.68</v>
      </c>
      <c r="I437" s="10">
        <f>VLOOKUP(A437,[1]pricing!A:M,6,FALSE)</f>
        <v>25</v>
      </c>
    </row>
    <row r="438" spans="1:9" s="17" customFormat="1" ht="15" customHeight="1">
      <c r="A438" s="6">
        <v>2000008863</v>
      </c>
      <c r="B438" s="7" t="s">
        <v>104</v>
      </c>
      <c r="C438" s="7" t="str">
        <f>VLOOKUP(A438,[1]Translation!A:F,4,FALSE)</f>
        <v>Windschutz</v>
      </c>
      <c r="D438" s="7" t="s">
        <v>87</v>
      </c>
      <c r="E438" s="8" t="s">
        <v>10</v>
      </c>
      <c r="F438" s="8">
        <f>VLOOKUP(A438,'[1]PL ENG'!B:G,6, FALSE)</f>
        <v>4000984099362</v>
      </c>
      <c r="G438" s="8">
        <v>1</v>
      </c>
      <c r="H438" s="9">
        <f>VLOOKUP(A438,[1]pricing!A:M,5,FALSE)</f>
        <v>20.78</v>
      </c>
      <c r="I438" s="10">
        <f>VLOOKUP(A438,[1]pricing!A:M,6,FALSE)</f>
        <v>25</v>
      </c>
    </row>
    <row r="439" spans="1:9" s="17" customFormat="1" ht="15" customHeight="1">
      <c r="A439" s="6">
        <v>2000008861</v>
      </c>
      <c r="B439" s="7" t="s">
        <v>104</v>
      </c>
      <c r="C439" s="7" t="str">
        <f>VLOOKUP(A439,[1]Translation!A:F,4,FALSE)</f>
        <v>Windschutz</v>
      </c>
      <c r="D439" s="7" t="s">
        <v>105</v>
      </c>
      <c r="E439" s="8" t="s">
        <v>10</v>
      </c>
      <c r="F439" s="8">
        <f>VLOOKUP(A439,'[1]PL ENG'!B:G,6, FALSE)</f>
        <v>4000984099348</v>
      </c>
      <c r="G439" s="8">
        <v>1</v>
      </c>
      <c r="H439" s="9">
        <f>VLOOKUP(A439,[1]pricing!A:M,5,FALSE)</f>
        <v>20.78</v>
      </c>
      <c r="I439" s="10">
        <f>VLOOKUP(A439,[1]pricing!A:M,6,FALSE)</f>
        <v>25</v>
      </c>
    </row>
    <row r="440" spans="1:9" s="17" customFormat="1" ht="15" customHeight="1">
      <c r="A440" s="6">
        <v>2000008864</v>
      </c>
      <c r="B440" s="7" t="s">
        <v>104</v>
      </c>
      <c r="C440" s="7" t="str">
        <f>VLOOKUP(A440,[1]Translation!A:F,4,FALSE)</f>
        <v>Windschutz</v>
      </c>
      <c r="D440" s="7" t="s">
        <v>88</v>
      </c>
      <c r="E440" s="8" t="s">
        <v>10</v>
      </c>
      <c r="F440" s="8">
        <f>VLOOKUP(A440,'[1]PL ENG'!B:G,6, FALSE)</f>
        <v>4000984099379</v>
      </c>
      <c r="G440" s="8">
        <v>1</v>
      </c>
      <c r="H440" s="9">
        <f>VLOOKUP(A440,[1]pricing!A:M,5,FALSE)</f>
        <v>20.78</v>
      </c>
      <c r="I440" s="10">
        <f>VLOOKUP(A440,[1]pricing!A:M,6,FALSE)</f>
        <v>25</v>
      </c>
    </row>
    <row r="441" spans="1:9" s="17" customFormat="1" ht="15" customHeight="1">
      <c r="A441" s="6">
        <v>2000005964</v>
      </c>
      <c r="B441" s="7" t="s">
        <v>104</v>
      </c>
      <c r="C441" s="7" t="str">
        <f>VLOOKUP(A441,[1]Translation!A:F,4,FALSE)</f>
        <v>Windschutz</v>
      </c>
      <c r="D441" s="7" t="s">
        <v>106</v>
      </c>
      <c r="E441" s="8" t="s">
        <v>10</v>
      </c>
      <c r="F441" s="8">
        <f>VLOOKUP(A441,'[1]PL ENG'!B:G,6, FALSE)</f>
        <v>4000984090123</v>
      </c>
      <c r="G441" s="8">
        <v>1</v>
      </c>
      <c r="H441" s="9">
        <f>VLOOKUP(A441,[1]pricing!A:M,5,FALSE)</f>
        <v>20.78</v>
      </c>
      <c r="I441" s="10">
        <f>VLOOKUP(A441,[1]pricing!A:M,6,FALSE)</f>
        <v>25</v>
      </c>
    </row>
    <row r="442" spans="1:9" s="17" customFormat="1" ht="15" customHeight="1">
      <c r="A442" s="6">
        <v>2000002366</v>
      </c>
      <c r="B442" s="7" t="s">
        <v>104</v>
      </c>
      <c r="C442" s="7" t="str">
        <f>VLOOKUP(A442,[1]Translation!A:F,4,FALSE)</f>
        <v>Windschutz</v>
      </c>
      <c r="D442" s="7" t="s">
        <v>107</v>
      </c>
      <c r="E442" s="8" t="s">
        <v>10</v>
      </c>
      <c r="F442" s="8">
        <f>VLOOKUP(A442,'[1]PL ENG'!B:G,6, FALSE)</f>
        <v>4000984076769</v>
      </c>
      <c r="G442" s="8">
        <v>1</v>
      </c>
      <c r="H442" s="9">
        <f>VLOOKUP(A442,[1]pricing!A:M,5,FALSE)</f>
        <v>20.78</v>
      </c>
      <c r="I442" s="10">
        <f>VLOOKUP(A442,[1]pricing!A:M,6,FALSE)</f>
        <v>25</v>
      </c>
    </row>
    <row r="443" spans="1:9" s="17" customFormat="1" ht="15" customHeight="1">
      <c r="A443" s="6">
        <v>2000010099</v>
      </c>
      <c r="B443" s="7" t="s">
        <v>104</v>
      </c>
      <c r="C443" s="7" t="str">
        <f>VLOOKUP(A443,[1]Translation!A:F,4,FALSE)</f>
        <v>Verdeck</v>
      </c>
      <c r="D443" s="7" t="s">
        <v>87</v>
      </c>
      <c r="E443" s="8" t="s">
        <v>10</v>
      </c>
      <c r="F443" s="8">
        <f>VLOOKUP(A443,'[1]PL ENG'!B:G,6, FALSE)</f>
        <v>4000984106848</v>
      </c>
      <c r="G443" s="8">
        <v>1</v>
      </c>
      <c r="H443" s="9">
        <f>VLOOKUP(A443,[1]pricing!A:M,5,FALSE)</f>
        <v>44.27</v>
      </c>
      <c r="I443" s="10">
        <f>VLOOKUP(A443,[1]pricing!A:M,6,FALSE)</f>
        <v>55</v>
      </c>
    </row>
    <row r="444" spans="1:9" s="17" customFormat="1" ht="15" customHeight="1">
      <c r="A444" s="6">
        <v>2000010100</v>
      </c>
      <c r="B444" s="7" t="s">
        <v>104</v>
      </c>
      <c r="C444" s="7" t="str">
        <f>VLOOKUP(A444,[1]Translation!A:F,4,FALSE)</f>
        <v>Verdeck</v>
      </c>
      <c r="D444" s="7" t="s">
        <v>88</v>
      </c>
      <c r="E444" s="8" t="s">
        <v>10</v>
      </c>
      <c r="F444" s="8">
        <f>VLOOKUP(A444,'[1]PL ENG'!B:G,6, FALSE)</f>
        <v>4000984106831</v>
      </c>
      <c r="G444" s="8">
        <v>1</v>
      </c>
      <c r="H444" s="9">
        <f>VLOOKUP(A444,[1]pricing!A:M,5,FALSE)</f>
        <v>44.27</v>
      </c>
      <c r="I444" s="10">
        <f>VLOOKUP(A444,[1]pricing!A:M,6,FALSE)</f>
        <v>55</v>
      </c>
    </row>
    <row r="445" spans="1:9" s="17" customFormat="1" ht="15" customHeight="1">
      <c r="A445" s="6">
        <v>2000003036</v>
      </c>
      <c r="B445" s="7" t="s">
        <v>104</v>
      </c>
      <c r="C445" s="7" t="str">
        <f>VLOOKUP(A445,[1]Translation!A:F,4,FALSE)</f>
        <v>Verdeck</v>
      </c>
      <c r="D445" s="7" t="s">
        <v>108</v>
      </c>
      <c r="E445" s="8" t="s">
        <v>10</v>
      </c>
      <c r="F445" s="8">
        <f>VLOOKUP(A445,'[1]PL ENG'!B:G,6, FALSE)</f>
        <v>4000984081497</v>
      </c>
      <c r="G445" s="8">
        <v>1</v>
      </c>
      <c r="H445" s="9">
        <f>VLOOKUP(A445,[1]pricing!A:M,5,FALSE)</f>
        <v>44.27</v>
      </c>
      <c r="I445" s="10">
        <f>VLOOKUP(A445,[1]pricing!A:M,6,FALSE)</f>
        <v>55</v>
      </c>
    </row>
    <row r="446" spans="1:9" s="17" customFormat="1" ht="15" customHeight="1">
      <c r="A446" s="6">
        <v>2000006218</v>
      </c>
      <c r="B446" s="7" t="s">
        <v>104</v>
      </c>
      <c r="C446" s="7" t="str">
        <f>VLOOKUP(A446,[1]Translation!A:F,4,FALSE)</f>
        <v>Verdeck (2012)</v>
      </c>
      <c r="D446" s="7" t="s">
        <v>29</v>
      </c>
      <c r="E446" s="8" t="s">
        <v>10</v>
      </c>
      <c r="F446" s="8">
        <f>VLOOKUP(A446,'[1]PL ENG'!B:G,6, FALSE)</f>
        <v>4000984091083</v>
      </c>
      <c r="G446" s="8">
        <v>1</v>
      </c>
      <c r="H446" s="9">
        <f>VLOOKUP(A446,[1]pricing!A:M,5,FALSE)</f>
        <v>44.27</v>
      </c>
      <c r="I446" s="10">
        <f>VLOOKUP(A446,[1]pricing!A:M,6,FALSE)</f>
        <v>55</v>
      </c>
    </row>
    <row r="447" spans="1:9" s="17" customFormat="1" ht="15" customHeight="1">
      <c r="A447" s="6">
        <v>2000010598</v>
      </c>
      <c r="B447" s="7" t="s">
        <v>104</v>
      </c>
      <c r="C447" s="7" t="str">
        <f>VLOOKUP(A447,[1]Translation!A:F,4,FALSE)</f>
        <v>Verdeck (2013)</v>
      </c>
      <c r="D447" s="7" t="s">
        <v>29</v>
      </c>
      <c r="E447" s="8" t="s">
        <v>10</v>
      </c>
      <c r="F447" s="8">
        <f>VLOOKUP(A447,'[1]PL ENG'!B:G,6, FALSE)</f>
        <v>4000984108903</v>
      </c>
      <c r="G447" s="8">
        <v>1</v>
      </c>
      <c r="H447" s="9">
        <f>VLOOKUP(A447,[1]pricing!A:M,5,FALSE)</f>
        <v>44.27</v>
      </c>
      <c r="I447" s="10">
        <f>VLOOKUP(A447,[1]pricing!A:M,6,FALSE)</f>
        <v>55</v>
      </c>
    </row>
    <row r="448" spans="1:9" s="17" customFormat="1" ht="15" customHeight="1">
      <c r="A448" s="6">
        <v>2000003789</v>
      </c>
      <c r="B448" s="7" t="s">
        <v>104</v>
      </c>
      <c r="C448" s="7" t="str">
        <f>VLOOKUP(A448,[1]Translation!A:F,4,FALSE)</f>
        <v>Gurtverlängerungen</v>
      </c>
      <c r="D448" s="7"/>
      <c r="E448" s="8" t="s">
        <v>10</v>
      </c>
      <c r="F448" s="8">
        <f>VLOOKUP(A448,'[1]PL ENG'!B:G,6, FALSE)</f>
        <v>4000984084924</v>
      </c>
      <c r="G448" s="8">
        <v>1</v>
      </c>
      <c r="H448" s="9">
        <f>VLOOKUP(A448,[1]pricing!A:M,5,FALSE)</f>
        <v>5.5</v>
      </c>
      <c r="I448" s="10">
        <f>VLOOKUP(A448,[1]pricing!A:M,6,FALSE)</f>
        <v>10</v>
      </c>
    </row>
    <row r="449" spans="1:9" s="17" customFormat="1" ht="15" customHeight="1">
      <c r="A449" s="6">
        <v>2000000632</v>
      </c>
      <c r="B449" s="7" t="s">
        <v>104</v>
      </c>
      <c r="C449" s="7" t="str">
        <f>VLOOKUP(A449,[1]Translation!A:F,4,FALSE)</f>
        <v>Spielbügel</v>
      </c>
      <c r="D449" s="7" t="s">
        <v>109</v>
      </c>
      <c r="E449" s="8" t="s">
        <v>10</v>
      </c>
      <c r="F449" s="8">
        <f>VLOOKUP(A449,'[1]PL ENG'!B:G,6, FALSE)</f>
        <v>4000984070514</v>
      </c>
      <c r="G449" s="8">
        <v>1</v>
      </c>
      <c r="H449" s="9">
        <f>VLOOKUP(A449,[1]pricing!A:M,5,FALSE)</f>
        <v>13.76</v>
      </c>
      <c r="I449" s="10">
        <f>VLOOKUP(A449,[1]pricing!A:M,6,FALSE)</f>
        <v>20</v>
      </c>
    </row>
    <row r="450" spans="1:9" s="17" customFormat="1" ht="15" customHeight="1">
      <c r="A450" s="6">
        <v>2000008863</v>
      </c>
      <c r="B450" s="7" t="s">
        <v>110</v>
      </c>
      <c r="C450" s="7" t="str">
        <f>VLOOKUP(A450,[1]Translation!A:F,4,FALSE)</f>
        <v>Windschutz</v>
      </c>
      <c r="D450" s="7" t="s">
        <v>87</v>
      </c>
      <c r="E450" s="8" t="s">
        <v>10</v>
      </c>
      <c r="F450" s="8">
        <f>VLOOKUP(A450,'[1]PL ENG'!B:G,6, FALSE)</f>
        <v>4000984099362</v>
      </c>
      <c r="G450" s="8">
        <v>1</v>
      </c>
      <c r="H450" s="9">
        <f>VLOOKUP(A450,[1]pricing!A:M,5,FALSE)</f>
        <v>20.78</v>
      </c>
      <c r="I450" s="10">
        <f>VLOOKUP(A450,[1]pricing!A:M,6,FALSE)</f>
        <v>25</v>
      </c>
    </row>
    <row r="451" spans="1:9" s="17" customFormat="1" ht="15" customHeight="1">
      <c r="A451" s="6">
        <v>2000008861</v>
      </c>
      <c r="B451" s="7" t="s">
        <v>110</v>
      </c>
      <c r="C451" s="7" t="str">
        <f>VLOOKUP(A451,[1]Translation!A:F,4,FALSE)</f>
        <v>Windschutz</v>
      </c>
      <c r="D451" s="7" t="s">
        <v>105</v>
      </c>
      <c r="E451" s="8" t="s">
        <v>10</v>
      </c>
      <c r="F451" s="8">
        <f>VLOOKUP(A451,'[1]PL ENG'!B:G,6, FALSE)</f>
        <v>4000984099348</v>
      </c>
      <c r="G451" s="8">
        <v>1</v>
      </c>
      <c r="H451" s="9">
        <f>VLOOKUP(A451,[1]pricing!A:M,5,FALSE)</f>
        <v>20.78</v>
      </c>
      <c r="I451" s="10">
        <f>VLOOKUP(A451,[1]pricing!A:M,6,FALSE)</f>
        <v>25</v>
      </c>
    </row>
    <row r="452" spans="1:9" s="17" customFormat="1" ht="15" customHeight="1">
      <c r="A452" s="6">
        <v>2000008864</v>
      </c>
      <c r="B452" s="7" t="s">
        <v>110</v>
      </c>
      <c r="C452" s="7" t="str">
        <f>VLOOKUP(A452,[1]Translation!A:F,4,FALSE)</f>
        <v>Windschutz</v>
      </c>
      <c r="D452" s="7" t="s">
        <v>88</v>
      </c>
      <c r="E452" s="8" t="s">
        <v>10</v>
      </c>
      <c r="F452" s="8">
        <f>VLOOKUP(A452,'[1]PL ENG'!B:G,6, FALSE)</f>
        <v>4000984099379</v>
      </c>
      <c r="G452" s="8">
        <v>1</v>
      </c>
      <c r="H452" s="9">
        <f>VLOOKUP(A452,[1]pricing!A:M,5,FALSE)</f>
        <v>20.78</v>
      </c>
      <c r="I452" s="10">
        <f>VLOOKUP(A452,[1]pricing!A:M,6,FALSE)</f>
        <v>25</v>
      </c>
    </row>
    <row r="453" spans="1:9" s="17" customFormat="1" ht="15" customHeight="1">
      <c r="A453" s="6">
        <v>2000005964</v>
      </c>
      <c r="B453" s="7" t="s">
        <v>110</v>
      </c>
      <c r="C453" s="7" t="str">
        <f>VLOOKUP(A453,[1]Translation!A:F,4,FALSE)</f>
        <v>Windschutz</v>
      </c>
      <c r="D453" s="7" t="s">
        <v>106</v>
      </c>
      <c r="E453" s="8" t="s">
        <v>10</v>
      </c>
      <c r="F453" s="8">
        <f>VLOOKUP(A453,'[1]PL ENG'!B:G,6, FALSE)</f>
        <v>4000984090123</v>
      </c>
      <c r="G453" s="8">
        <v>1</v>
      </c>
      <c r="H453" s="9">
        <f>VLOOKUP(A453,[1]pricing!A:M,5,FALSE)</f>
        <v>20.78</v>
      </c>
      <c r="I453" s="10">
        <f>VLOOKUP(A453,[1]pricing!A:M,6,FALSE)</f>
        <v>25</v>
      </c>
    </row>
    <row r="454" spans="1:9" s="17" customFormat="1" ht="15" customHeight="1">
      <c r="A454" s="6">
        <v>2000002366</v>
      </c>
      <c r="B454" s="7" t="s">
        <v>110</v>
      </c>
      <c r="C454" s="7" t="str">
        <f>VLOOKUP(A454,[1]Translation!A:F,4,FALSE)</f>
        <v>Windschutz</v>
      </c>
      <c r="D454" s="7" t="s">
        <v>107</v>
      </c>
      <c r="E454" s="8" t="s">
        <v>10</v>
      </c>
      <c r="F454" s="8">
        <f>VLOOKUP(A454,'[1]PL ENG'!B:G,6, FALSE)</f>
        <v>4000984076769</v>
      </c>
      <c r="G454" s="8">
        <v>1</v>
      </c>
      <c r="H454" s="9">
        <f>VLOOKUP(A454,[1]pricing!A:M,5,FALSE)</f>
        <v>20.78</v>
      </c>
      <c r="I454" s="10">
        <f>VLOOKUP(A454,[1]pricing!A:M,6,FALSE)</f>
        <v>25</v>
      </c>
    </row>
    <row r="455" spans="1:9" s="17" customFormat="1" ht="15" customHeight="1">
      <c r="A455" s="6">
        <v>2000003036</v>
      </c>
      <c r="B455" s="7" t="s">
        <v>110</v>
      </c>
      <c r="C455" s="7" t="str">
        <f>VLOOKUP(A455,[1]Translation!A:F,4,FALSE)</f>
        <v>Verdeck</v>
      </c>
      <c r="D455" s="7" t="s">
        <v>108</v>
      </c>
      <c r="E455" s="8" t="s">
        <v>10</v>
      </c>
      <c r="F455" s="8">
        <f>VLOOKUP(A455,'[1]PL ENG'!B:G,6, FALSE)</f>
        <v>4000984081497</v>
      </c>
      <c r="G455" s="8">
        <v>1</v>
      </c>
      <c r="H455" s="9">
        <f>VLOOKUP(A455,[1]pricing!A:M,5,FALSE)</f>
        <v>44.27</v>
      </c>
      <c r="I455" s="10">
        <f>VLOOKUP(A455,[1]pricing!A:M,6,FALSE)</f>
        <v>55</v>
      </c>
    </row>
    <row r="456" spans="1:9" s="17" customFormat="1" ht="15" customHeight="1">
      <c r="A456" s="6">
        <v>2000006218</v>
      </c>
      <c r="B456" s="7" t="s">
        <v>110</v>
      </c>
      <c r="C456" s="7" t="str">
        <f>VLOOKUP(A456,[1]Translation!A:F,4,FALSE)</f>
        <v>Verdeck (2012)</v>
      </c>
      <c r="D456" s="7" t="s">
        <v>29</v>
      </c>
      <c r="E456" s="8" t="s">
        <v>10</v>
      </c>
      <c r="F456" s="8">
        <f>VLOOKUP(A456,'[1]PL ENG'!B:G,6, FALSE)</f>
        <v>4000984091083</v>
      </c>
      <c r="G456" s="8">
        <v>1</v>
      </c>
      <c r="H456" s="9">
        <f>VLOOKUP(A456,[1]pricing!A:M,5,FALSE)</f>
        <v>44.27</v>
      </c>
      <c r="I456" s="10">
        <f>VLOOKUP(A456,[1]pricing!A:M,6,FALSE)</f>
        <v>55</v>
      </c>
    </row>
    <row r="457" spans="1:9" s="17" customFormat="1" ht="15" customHeight="1">
      <c r="A457" s="6">
        <v>2000010598</v>
      </c>
      <c r="B457" s="7" t="s">
        <v>110</v>
      </c>
      <c r="C457" s="7" t="str">
        <f>VLOOKUP(A457,[1]Translation!A:F,4,FALSE)</f>
        <v>Verdeck (2013)</v>
      </c>
      <c r="D457" s="7" t="s">
        <v>29</v>
      </c>
      <c r="E457" s="8" t="s">
        <v>10</v>
      </c>
      <c r="F457" s="8">
        <f>VLOOKUP(A457,'[1]PL ENG'!B:G,6, FALSE)</f>
        <v>4000984108903</v>
      </c>
      <c r="G457" s="8">
        <v>1</v>
      </c>
      <c r="H457" s="9">
        <f>VLOOKUP(A457,[1]pricing!A:M,5,FALSE)</f>
        <v>44.27</v>
      </c>
      <c r="I457" s="10">
        <f>VLOOKUP(A457,[1]pricing!A:M,6,FALSE)</f>
        <v>55</v>
      </c>
    </row>
    <row r="458" spans="1:9" s="17" customFormat="1" ht="15" customHeight="1">
      <c r="A458" s="6">
        <v>2000003789</v>
      </c>
      <c r="B458" s="7" t="s">
        <v>110</v>
      </c>
      <c r="C458" s="7" t="str">
        <f>VLOOKUP(A458,[1]Translation!A:F,4,FALSE)</f>
        <v>Gurtverlängerungen</v>
      </c>
      <c r="D458" s="7"/>
      <c r="E458" s="8" t="s">
        <v>10</v>
      </c>
      <c r="F458" s="8">
        <f>VLOOKUP(A458,'[1]PL ENG'!B:G,6, FALSE)</f>
        <v>4000984084924</v>
      </c>
      <c r="G458" s="8">
        <v>1</v>
      </c>
      <c r="H458" s="9">
        <f>VLOOKUP(A458,[1]pricing!A:M,5,FALSE)</f>
        <v>5.5</v>
      </c>
      <c r="I458" s="10">
        <f>VLOOKUP(A458,[1]pricing!A:M,6,FALSE)</f>
        <v>10</v>
      </c>
    </row>
    <row r="459" spans="1:9" s="17" customFormat="1" ht="15" customHeight="1">
      <c r="A459" s="6">
        <v>2000000632</v>
      </c>
      <c r="B459" s="7" t="s">
        <v>110</v>
      </c>
      <c r="C459" s="7" t="str">
        <f>VLOOKUP(A459,[1]Translation!A:F,4,FALSE)</f>
        <v>Spielbügel</v>
      </c>
      <c r="D459" s="7" t="s">
        <v>109</v>
      </c>
      <c r="E459" s="8" t="s">
        <v>10</v>
      </c>
      <c r="F459" s="8">
        <f>VLOOKUP(A459,'[1]PL ENG'!B:G,6, FALSE)</f>
        <v>4000984070514</v>
      </c>
      <c r="G459" s="8">
        <v>1</v>
      </c>
      <c r="H459" s="9">
        <f>VLOOKUP(A459,[1]pricing!A:M,5,FALSE)</f>
        <v>13.76</v>
      </c>
      <c r="I459" s="10">
        <f>VLOOKUP(A459,[1]pricing!A:M,6,FALSE)</f>
        <v>20</v>
      </c>
    </row>
    <row r="460" spans="1:9" s="17" customFormat="1" ht="15" customHeight="1">
      <c r="A460" s="6">
        <v>2000003054</v>
      </c>
      <c r="B460" s="7" t="s">
        <v>110</v>
      </c>
      <c r="C460" s="7" t="str">
        <f>VLOOKUP(A460,[1]Translation!A:F,4,FALSE)</f>
        <v xml:space="preserve">Bremsenreparatur Set (2010) </v>
      </c>
      <c r="D460" s="7"/>
      <c r="E460" s="8" t="s">
        <v>43</v>
      </c>
      <c r="F460" s="8">
        <f>VLOOKUP(A460,'[1]PL ENG'!B:G,6, FALSE)</f>
        <v>4000984081312</v>
      </c>
      <c r="G460" s="8">
        <v>1</v>
      </c>
      <c r="H460" s="9">
        <f>VLOOKUP(A460,[1]pricing!A:M,5,FALSE)</f>
        <v>17.73</v>
      </c>
      <c r="I460" s="10">
        <f>VLOOKUP(A460,[1]pricing!A:M,6,FALSE)</f>
        <v>21</v>
      </c>
    </row>
    <row r="461" spans="1:9" s="17" customFormat="1" ht="15" customHeight="1">
      <c r="A461" s="6">
        <v>2000006229</v>
      </c>
      <c r="B461" s="7" t="s">
        <v>110</v>
      </c>
      <c r="C461" s="7" t="str">
        <f>VLOOKUP(A461,[1]Translation!A:F,4,FALSE)</f>
        <v xml:space="preserve">Bremsenreparatur Set (2012&amp;2013) </v>
      </c>
      <c r="D461" s="7"/>
      <c r="E461" s="8" t="s">
        <v>43</v>
      </c>
      <c r="F461" s="8">
        <f>VLOOKUP(A461,'[1]PL ENG'!B:G,6, FALSE)</f>
        <v>4000984090970</v>
      </c>
      <c r="G461" s="8">
        <v>1</v>
      </c>
      <c r="H461" s="9">
        <f>VLOOKUP(A461,[1]pricing!A:M,5,FALSE)</f>
        <v>15.95</v>
      </c>
      <c r="I461" s="10">
        <f>VLOOKUP(A461,[1]pricing!A:M,6,FALSE)</f>
        <v>19</v>
      </c>
    </row>
    <row r="462" spans="1:9" s="17" customFormat="1" ht="15" customHeight="1">
      <c r="A462" s="6">
        <v>2000009850</v>
      </c>
      <c r="B462" s="7" t="s">
        <v>110</v>
      </c>
      <c r="C462" s="7" t="str">
        <f>VLOOKUP(A462,[1]Translation!A:F,4,FALSE)</f>
        <v xml:space="preserve">Button Griff </v>
      </c>
      <c r="D462" s="7"/>
      <c r="E462" s="8" t="s">
        <v>43</v>
      </c>
      <c r="F462" s="8">
        <f>VLOOKUP(A462,'[1]PL ENG'!B:G,6, FALSE)</f>
        <v>4000984112696</v>
      </c>
      <c r="G462" s="8">
        <v>1</v>
      </c>
      <c r="H462" s="9">
        <f>VLOOKUP(A462,[1]pricing!A:M,5,FALSE)</f>
        <v>3.3</v>
      </c>
      <c r="I462" s="10">
        <f>VLOOKUP(A462,[1]pricing!A:M,6,FALSE)</f>
        <v>5</v>
      </c>
    </row>
    <row r="463" spans="1:9" s="17" customFormat="1" ht="15" customHeight="1">
      <c r="A463" s="6">
        <v>2000006220</v>
      </c>
      <c r="B463" s="7" t="s">
        <v>110</v>
      </c>
      <c r="C463" s="7" t="str">
        <f>VLOOKUP(A463,[1]Translation!A:F,4,FALSE)</f>
        <v>Korb</v>
      </c>
      <c r="D463" s="7"/>
      <c r="E463" s="8" t="s">
        <v>10</v>
      </c>
      <c r="F463" s="8">
        <f>VLOOKUP(A463,'[1]PL ENG'!B:G,6, FALSE)</f>
        <v>4000984091069</v>
      </c>
      <c r="G463" s="8">
        <v>1</v>
      </c>
      <c r="H463" s="9">
        <f>VLOOKUP(A463,[1]pricing!A:M,5,FALSE)</f>
        <v>13.73</v>
      </c>
      <c r="I463" s="10">
        <f>VLOOKUP(A463,[1]pricing!A:M,6,FALSE)</f>
        <v>20</v>
      </c>
    </row>
    <row r="464" spans="1:9" s="17" customFormat="1" ht="15" customHeight="1">
      <c r="A464" s="6">
        <v>2000003055</v>
      </c>
      <c r="B464" s="7" t="s">
        <v>110</v>
      </c>
      <c r="C464" s="7" t="str">
        <f>VLOOKUP(A464,[1]Translation!A:F,4,FALSE)</f>
        <v>Verriegelung</v>
      </c>
      <c r="D464" s="7"/>
      <c r="E464" s="8" t="s">
        <v>10</v>
      </c>
      <c r="F464" s="8">
        <f>VLOOKUP(A464,'[1]PL ENG'!B:G,6, FALSE)</f>
        <v>4000984081305</v>
      </c>
      <c r="G464" s="8">
        <v>1</v>
      </c>
      <c r="H464" s="9">
        <f>VLOOKUP(A464,[1]pricing!A:M,5,FALSE)</f>
        <v>5.5</v>
      </c>
      <c r="I464" s="10">
        <f>VLOOKUP(A464,[1]pricing!A:M,6,FALSE)</f>
        <v>10</v>
      </c>
    </row>
    <row r="465" spans="1:9" s="17" customFormat="1" ht="15" customHeight="1">
      <c r="A465" s="6">
        <v>2000006221</v>
      </c>
      <c r="B465" s="7" t="s">
        <v>110</v>
      </c>
      <c r="C465" s="7" t="str">
        <f>VLOOKUP(A465,[1]Translation!A:F,4,FALSE)</f>
        <v>Räder (2012)</v>
      </c>
      <c r="D465" s="7" t="s">
        <v>95</v>
      </c>
      <c r="E465" s="8" t="s">
        <v>10</v>
      </c>
      <c r="F465" s="8">
        <f>VLOOKUP(A465,'[1]PL ENG'!B:G,6, FALSE)</f>
        <v>4000984091052</v>
      </c>
      <c r="G465" s="8">
        <v>1</v>
      </c>
      <c r="H465" s="9">
        <f>VLOOKUP(A465,[1]pricing!A:M,5,FALSE)</f>
        <v>44</v>
      </c>
      <c r="I465" s="10">
        <f>VLOOKUP(A465,[1]pricing!A:M,6,FALSE)</f>
        <v>55</v>
      </c>
    </row>
    <row r="466" spans="1:9" s="17" customFormat="1" ht="15" customHeight="1">
      <c r="A466" s="6">
        <v>2000006222</v>
      </c>
      <c r="B466" s="7" t="s">
        <v>110</v>
      </c>
      <c r="C466" s="7" t="str">
        <f>VLOOKUP(A466,[1]Translation!A:F,4,FALSE)</f>
        <v>Räder (2012)</v>
      </c>
      <c r="D466" s="7" t="s">
        <v>24</v>
      </c>
      <c r="E466" s="8" t="s">
        <v>10</v>
      </c>
      <c r="F466" s="8">
        <f>VLOOKUP(A466,'[1]PL ENG'!B:G,6, FALSE)</f>
        <v>4000984091045</v>
      </c>
      <c r="G466" s="8">
        <v>1</v>
      </c>
      <c r="H466" s="9">
        <f>VLOOKUP(A466,[1]pricing!A:M,5,FALSE)</f>
        <v>44</v>
      </c>
      <c r="I466" s="10">
        <f>VLOOKUP(A466,[1]pricing!A:M,6,FALSE)</f>
        <v>55</v>
      </c>
    </row>
    <row r="467" spans="1:9" s="17" customFormat="1" ht="15" customHeight="1">
      <c r="A467" s="6">
        <v>2000008863</v>
      </c>
      <c r="B467" s="7" t="s">
        <v>111</v>
      </c>
      <c r="C467" s="7" t="str">
        <f>VLOOKUP(A467,[1]Translation!A:F,4,FALSE)</f>
        <v>Windschutz</v>
      </c>
      <c r="D467" s="7" t="s">
        <v>87</v>
      </c>
      <c r="E467" s="8" t="s">
        <v>10</v>
      </c>
      <c r="F467" s="8">
        <f>VLOOKUP(A467,'[1]PL ENG'!B:G,6, FALSE)</f>
        <v>4000984099362</v>
      </c>
      <c r="G467" s="8">
        <v>1</v>
      </c>
      <c r="H467" s="9">
        <f>VLOOKUP(A467,[1]pricing!A:M,5,FALSE)</f>
        <v>20.78</v>
      </c>
      <c r="I467" s="10">
        <f>VLOOKUP(A467,[1]pricing!A:M,6,FALSE)</f>
        <v>25</v>
      </c>
    </row>
    <row r="468" spans="1:9" s="17" customFormat="1" ht="15" customHeight="1">
      <c r="A468" s="6">
        <v>2000008861</v>
      </c>
      <c r="B468" s="7" t="s">
        <v>111</v>
      </c>
      <c r="C468" s="7" t="str">
        <f>VLOOKUP(A468,[1]Translation!A:F,4,FALSE)</f>
        <v>Windschutz</v>
      </c>
      <c r="D468" s="7" t="s">
        <v>105</v>
      </c>
      <c r="E468" s="8" t="s">
        <v>10</v>
      </c>
      <c r="F468" s="8">
        <f>VLOOKUP(A468,'[1]PL ENG'!B:G,6, FALSE)</f>
        <v>4000984099348</v>
      </c>
      <c r="G468" s="8">
        <v>1</v>
      </c>
      <c r="H468" s="9">
        <f>VLOOKUP(A468,[1]pricing!A:M,5,FALSE)</f>
        <v>20.78</v>
      </c>
      <c r="I468" s="10">
        <f>VLOOKUP(A468,[1]pricing!A:M,6,FALSE)</f>
        <v>25</v>
      </c>
    </row>
    <row r="469" spans="1:9" s="17" customFormat="1" ht="15" customHeight="1">
      <c r="A469" s="6">
        <v>2000008864</v>
      </c>
      <c r="B469" s="7" t="s">
        <v>111</v>
      </c>
      <c r="C469" s="7" t="str">
        <f>VLOOKUP(A469,[1]Translation!A:F,4,FALSE)</f>
        <v>Windschutz</v>
      </c>
      <c r="D469" s="7" t="s">
        <v>88</v>
      </c>
      <c r="E469" s="8" t="s">
        <v>10</v>
      </c>
      <c r="F469" s="8">
        <f>VLOOKUP(A469,'[1]PL ENG'!B:G,6, FALSE)</f>
        <v>4000984099379</v>
      </c>
      <c r="G469" s="8">
        <v>1</v>
      </c>
      <c r="H469" s="9">
        <f>VLOOKUP(A469,[1]pricing!A:M,5,FALSE)</f>
        <v>20.78</v>
      </c>
      <c r="I469" s="10">
        <f>VLOOKUP(A469,[1]pricing!A:M,6,FALSE)</f>
        <v>25</v>
      </c>
    </row>
    <row r="470" spans="1:9" s="17" customFormat="1" ht="15" customHeight="1">
      <c r="A470" s="6">
        <v>2000005964</v>
      </c>
      <c r="B470" s="7" t="s">
        <v>111</v>
      </c>
      <c r="C470" s="7" t="str">
        <f>VLOOKUP(A470,[1]Translation!A:F,4,FALSE)</f>
        <v>Windschutz</v>
      </c>
      <c r="D470" s="7" t="s">
        <v>106</v>
      </c>
      <c r="E470" s="8" t="s">
        <v>10</v>
      </c>
      <c r="F470" s="8">
        <f>VLOOKUP(A470,'[1]PL ENG'!B:G,6, FALSE)</f>
        <v>4000984090123</v>
      </c>
      <c r="G470" s="8">
        <v>1</v>
      </c>
      <c r="H470" s="9">
        <f>VLOOKUP(A470,[1]pricing!A:M,5,FALSE)</f>
        <v>20.78</v>
      </c>
      <c r="I470" s="10">
        <f>VLOOKUP(A470,[1]pricing!A:M,6,FALSE)</f>
        <v>25</v>
      </c>
    </row>
    <row r="471" spans="1:9" s="17" customFormat="1" ht="15" customHeight="1">
      <c r="A471" s="6">
        <v>2000002366</v>
      </c>
      <c r="B471" s="7" t="s">
        <v>111</v>
      </c>
      <c r="C471" s="7" t="str">
        <f>VLOOKUP(A471,[1]Translation!A:F,4,FALSE)</f>
        <v>Windschutz</v>
      </c>
      <c r="D471" s="7" t="s">
        <v>107</v>
      </c>
      <c r="E471" s="8" t="s">
        <v>10</v>
      </c>
      <c r="F471" s="8">
        <f>VLOOKUP(A471,'[1]PL ENG'!B:G,6, FALSE)</f>
        <v>4000984076769</v>
      </c>
      <c r="G471" s="8">
        <v>1</v>
      </c>
      <c r="H471" s="9">
        <f>VLOOKUP(A471,[1]pricing!A:M,5,FALSE)</f>
        <v>20.78</v>
      </c>
      <c r="I471" s="10">
        <f>VLOOKUP(A471,[1]pricing!A:M,6,FALSE)</f>
        <v>25</v>
      </c>
    </row>
    <row r="472" spans="1:9" s="17" customFormat="1" ht="15" customHeight="1">
      <c r="A472" s="6">
        <v>2000003036</v>
      </c>
      <c r="B472" s="7" t="s">
        <v>111</v>
      </c>
      <c r="C472" s="7" t="str">
        <f>VLOOKUP(A472,[1]Translation!A:F,4,FALSE)</f>
        <v>Verdeck</v>
      </c>
      <c r="D472" s="7" t="s">
        <v>108</v>
      </c>
      <c r="E472" s="8" t="s">
        <v>10</v>
      </c>
      <c r="F472" s="8">
        <f>VLOOKUP(A472,'[1]PL ENG'!B:G,6, FALSE)</f>
        <v>4000984081497</v>
      </c>
      <c r="G472" s="8">
        <v>1</v>
      </c>
      <c r="H472" s="9">
        <f>VLOOKUP(A472,[1]pricing!A:M,5,FALSE)</f>
        <v>44.27</v>
      </c>
      <c r="I472" s="10">
        <f>VLOOKUP(A472,[1]pricing!A:M,6,FALSE)</f>
        <v>55</v>
      </c>
    </row>
    <row r="473" spans="1:9" s="17" customFormat="1" ht="15" customHeight="1">
      <c r="A473" s="6">
        <v>2000006218</v>
      </c>
      <c r="B473" s="7" t="s">
        <v>111</v>
      </c>
      <c r="C473" s="7" t="str">
        <f>VLOOKUP(A473,[1]Translation!A:F,4,FALSE)</f>
        <v>Verdeck (2012)</v>
      </c>
      <c r="D473" s="7" t="s">
        <v>29</v>
      </c>
      <c r="E473" s="8" t="s">
        <v>10</v>
      </c>
      <c r="F473" s="8">
        <f>VLOOKUP(A473,'[1]PL ENG'!B:G,6, FALSE)</f>
        <v>4000984091083</v>
      </c>
      <c r="G473" s="8">
        <v>1</v>
      </c>
      <c r="H473" s="9">
        <f>VLOOKUP(A473,[1]pricing!A:M,5,FALSE)</f>
        <v>44.27</v>
      </c>
      <c r="I473" s="10">
        <f>VLOOKUP(A473,[1]pricing!A:M,6,FALSE)</f>
        <v>55</v>
      </c>
    </row>
    <row r="474" spans="1:9" s="17" customFormat="1" ht="15" customHeight="1">
      <c r="A474" s="6">
        <v>2000010598</v>
      </c>
      <c r="B474" s="7" t="s">
        <v>111</v>
      </c>
      <c r="C474" s="7" t="str">
        <f>VLOOKUP(A474,[1]Translation!A:F,4,FALSE)</f>
        <v>Verdeck (2013)</v>
      </c>
      <c r="D474" s="7" t="s">
        <v>29</v>
      </c>
      <c r="E474" s="8" t="s">
        <v>10</v>
      </c>
      <c r="F474" s="8">
        <f>VLOOKUP(A474,'[1]PL ENG'!B:G,6, FALSE)</f>
        <v>4000984108903</v>
      </c>
      <c r="G474" s="8">
        <v>1</v>
      </c>
      <c r="H474" s="9">
        <f>VLOOKUP(A474,[1]pricing!A:M,5,FALSE)</f>
        <v>44.27</v>
      </c>
      <c r="I474" s="10">
        <f>VLOOKUP(A474,[1]pricing!A:M,6,FALSE)</f>
        <v>55</v>
      </c>
    </row>
    <row r="475" spans="1:9" s="17" customFormat="1" ht="15" customHeight="1">
      <c r="A475" s="6">
        <v>2000003789</v>
      </c>
      <c r="B475" s="7" t="s">
        <v>111</v>
      </c>
      <c r="C475" s="7" t="str">
        <f>VLOOKUP(A475,[1]Translation!A:F,4,FALSE)</f>
        <v>Gurtverlängerungen</v>
      </c>
      <c r="D475" s="7"/>
      <c r="E475" s="8" t="s">
        <v>10</v>
      </c>
      <c r="F475" s="8">
        <f>VLOOKUP(A475,'[1]PL ENG'!B:G,6, FALSE)</f>
        <v>4000984084924</v>
      </c>
      <c r="G475" s="8">
        <v>1</v>
      </c>
      <c r="H475" s="9">
        <f>VLOOKUP(A475,[1]pricing!A:M,5,FALSE)</f>
        <v>5.5</v>
      </c>
      <c r="I475" s="10">
        <f>VLOOKUP(A475,[1]pricing!A:M,6,FALSE)</f>
        <v>10</v>
      </c>
    </row>
    <row r="476" spans="1:9" s="17" customFormat="1" ht="15" customHeight="1">
      <c r="A476" s="6">
        <v>2000000632</v>
      </c>
      <c r="B476" s="7" t="s">
        <v>111</v>
      </c>
      <c r="C476" s="7" t="str">
        <f>VLOOKUP(A476,[1]Translation!A:F,4,FALSE)</f>
        <v>Spielbügel</v>
      </c>
      <c r="D476" s="7" t="s">
        <v>109</v>
      </c>
      <c r="E476" s="8" t="s">
        <v>10</v>
      </c>
      <c r="F476" s="8">
        <f>VLOOKUP(A476,'[1]PL ENG'!B:G,6, FALSE)</f>
        <v>4000984070514</v>
      </c>
      <c r="G476" s="8">
        <v>1</v>
      </c>
      <c r="H476" s="9">
        <f>VLOOKUP(A476,[1]pricing!A:M,5,FALSE)</f>
        <v>13.76</v>
      </c>
      <c r="I476" s="10">
        <f>VLOOKUP(A476,[1]pricing!A:M,6,FALSE)</f>
        <v>20</v>
      </c>
    </row>
    <row r="477" spans="1:9" s="17" customFormat="1" ht="15" customHeight="1">
      <c r="A477" s="6">
        <v>2000003054</v>
      </c>
      <c r="B477" s="7" t="s">
        <v>111</v>
      </c>
      <c r="C477" s="7" t="str">
        <f>VLOOKUP(A477,[1]Translation!A:F,4,FALSE)</f>
        <v xml:space="preserve">Bremsenreparatur Set (2010) </v>
      </c>
      <c r="D477" s="7"/>
      <c r="E477" s="8" t="s">
        <v>43</v>
      </c>
      <c r="F477" s="8">
        <f>VLOOKUP(A477,'[1]PL ENG'!B:G,6, FALSE)</f>
        <v>4000984081312</v>
      </c>
      <c r="G477" s="8">
        <v>1</v>
      </c>
      <c r="H477" s="9">
        <f>VLOOKUP(A477,[1]pricing!A:M,5,FALSE)</f>
        <v>17.73</v>
      </c>
      <c r="I477" s="10">
        <f>VLOOKUP(A477,[1]pricing!A:M,6,FALSE)</f>
        <v>21</v>
      </c>
    </row>
    <row r="478" spans="1:9" s="17" customFormat="1" ht="15" customHeight="1">
      <c r="A478" s="6">
        <v>2000006229</v>
      </c>
      <c r="B478" s="7" t="s">
        <v>111</v>
      </c>
      <c r="C478" s="7" t="str">
        <f>VLOOKUP(A478,[1]Translation!A:F,4,FALSE)</f>
        <v xml:space="preserve">Bremsenreparatur Set (2012&amp;2013) </v>
      </c>
      <c r="D478" s="7"/>
      <c r="E478" s="8" t="s">
        <v>43</v>
      </c>
      <c r="F478" s="8">
        <f>VLOOKUP(A478,'[1]PL ENG'!B:G,6, FALSE)</f>
        <v>4000984090970</v>
      </c>
      <c r="G478" s="8">
        <v>1</v>
      </c>
      <c r="H478" s="9">
        <f>VLOOKUP(A478,[1]pricing!A:M,5,FALSE)</f>
        <v>15.95</v>
      </c>
      <c r="I478" s="10">
        <f>VLOOKUP(A478,[1]pricing!A:M,6,FALSE)</f>
        <v>19</v>
      </c>
    </row>
    <row r="479" spans="1:9" s="17" customFormat="1" ht="15" customHeight="1">
      <c r="A479" s="6">
        <v>2000009850</v>
      </c>
      <c r="B479" s="7" t="s">
        <v>111</v>
      </c>
      <c r="C479" s="7" t="str">
        <f>VLOOKUP(A479,[1]Translation!A:F,4,FALSE)</f>
        <v xml:space="preserve">Button Griff </v>
      </c>
      <c r="D479" s="7"/>
      <c r="E479" s="8" t="s">
        <v>43</v>
      </c>
      <c r="F479" s="8">
        <f>VLOOKUP(A479,'[1]PL ENG'!B:G,6, FALSE)</f>
        <v>4000984112696</v>
      </c>
      <c r="G479" s="8">
        <v>1</v>
      </c>
      <c r="H479" s="9">
        <f>VLOOKUP(A479,[1]pricing!A:M,5,FALSE)</f>
        <v>3.3</v>
      </c>
      <c r="I479" s="10">
        <f>VLOOKUP(A479,[1]pricing!A:M,6,FALSE)</f>
        <v>5</v>
      </c>
    </row>
    <row r="480" spans="1:9" s="17" customFormat="1" ht="15" customHeight="1">
      <c r="A480" s="6">
        <v>2000006220</v>
      </c>
      <c r="B480" s="7" t="s">
        <v>111</v>
      </c>
      <c r="C480" s="7" t="str">
        <f>VLOOKUP(A480,[1]Translation!A:F,4,FALSE)</f>
        <v>Korb</v>
      </c>
      <c r="D480" s="7"/>
      <c r="E480" s="8" t="s">
        <v>10</v>
      </c>
      <c r="F480" s="8">
        <f>VLOOKUP(A480,'[1]PL ENG'!B:G,6, FALSE)</f>
        <v>4000984091069</v>
      </c>
      <c r="G480" s="8">
        <v>1</v>
      </c>
      <c r="H480" s="9">
        <f>VLOOKUP(A480,[1]pricing!A:M,5,FALSE)</f>
        <v>13.73</v>
      </c>
      <c r="I480" s="10">
        <f>VLOOKUP(A480,[1]pricing!A:M,6,FALSE)</f>
        <v>20</v>
      </c>
    </row>
    <row r="481" spans="1:9" s="17" customFormat="1" ht="15" customHeight="1">
      <c r="A481" s="6">
        <v>2000003055</v>
      </c>
      <c r="B481" s="7" t="s">
        <v>111</v>
      </c>
      <c r="C481" s="7" t="str">
        <f>VLOOKUP(A481,[1]Translation!A:F,4,FALSE)</f>
        <v>Verriegelung</v>
      </c>
      <c r="D481" s="7"/>
      <c r="E481" s="8" t="s">
        <v>10</v>
      </c>
      <c r="F481" s="8">
        <f>VLOOKUP(A481,'[1]PL ENG'!B:G,6, FALSE)</f>
        <v>4000984081305</v>
      </c>
      <c r="G481" s="8">
        <v>1</v>
      </c>
      <c r="H481" s="9">
        <f>VLOOKUP(A481,[1]pricing!A:M,5,FALSE)</f>
        <v>5.5</v>
      </c>
      <c r="I481" s="10">
        <f>VLOOKUP(A481,[1]pricing!A:M,6,FALSE)</f>
        <v>10</v>
      </c>
    </row>
    <row r="482" spans="1:9" s="17" customFormat="1" ht="15" customHeight="1">
      <c r="A482" s="6">
        <v>2000006223</v>
      </c>
      <c r="B482" s="7" t="s">
        <v>111</v>
      </c>
      <c r="C482" s="7" t="str">
        <f>VLOOKUP(A482,[1]Translation!A:F,4,FALSE)</f>
        <v>Räder (2012)</v>
      </c>
      <c r="D482" s="7" t="s">
        <v>95</v>
      </c>
      <c r="E482" s="8" t="s">
        <v>10</v>
      </c>
      <c r="F482" s="8">
        <f>VLOOKUP(A482,'[1]PL ENG'!B:G,6, FALSE)</f>
        <v>4000984091038</v>
      </c>
      <c r="G482" s="8">
        <v>1</v>
      </c>
      <c r="H482" s="9">
        <f>VLOOKUP(A482,[1]pricing!A:M,5,FALSE)</f>
        <v>49.5</v>
      </c>
      <c r="I482" s="10">
        <f>VLOOKUP(A482,[1]pricing!A:M,6,FALSE)</f>
        <v>60</v>
      </c>
    </row>
    <row r="483" spans="1:9" s="17" customFormat="1" ht="15" customHeight="1">
      <c r="A483" s="6">
        <v>2000006224</v>
      </c>
      <c r="B483" s="7" t="s">
        <v>111</v>
      </c>
      <c r="C483" s="7" t="str">
        <f>VLOOKUP(A483,[1]Translation!A:F,4,FALSE)</f>
        <v>Räder (2012)</v>
      </c>
      <c r="D483" s="7" t="s">
        <v>24</v>
      </c>
      <c r="E483" s="8" t="s">
        <v>10</v>
      </c>
      <c r="F483" s="8">
        <f>VLOOKUP(A483,'[1]PL ENG'!B:G,6, FALSE)</f>
        <v>4000984091021</v>
      </c>
      <c r="G483" s="8">
        <v>1</v>
      </c>
      <c r="H483" s="9">
        <f>VLOOKUP(A483,[1]pricing!A:M,5,FALSE)</f>
        <v>49.5</v>
      </c>
      <c r="I483" s="10">
        <f>VLOOKUP(A483,[1]pricing!A:M,6,FALSE)</f>
        <v>60</v>
      </c>
    </row>
    <row r="484" spans="1:9" s="17" customFormat="1" ht="15" customHeight="1">
      <c r="A484" s="6">
        <v>2000003043</v>
      </c>
      <c r="B484" s="7" t="s">
        <v>112</v>
      </c>
      <c r="C484" s="7" t="str">
        <f>VLOOKUP(A484,[1]Translation!A:F,4,FALSE)</f>
        <v>Korb</v>
      </c>
      <c r="D484" s="7"/>
      <c r="E484" s="8" t="s">
        <v>10</v>
      </c>
      <c r="F484" s="8">
        <f>VLOOKUP(A484,'[1]PL ENG'!B:G,6, FALSE)</f>
        <v>4000984081428</v>
      </c>
      <c r="G484" s="8">
        <v>1</v>
      </c>
      <c r="H484" s="9">
        <f>VLOOKUP(A484,[1]pricing!A:M,5,FALSE)</f>
        <v>18.68</v>
      </c>
      <c r="I484" s="10">
        <f>VLOOKUP(A484,[1]pricing!A:M,6,FALSE)</f>
        <v>25</v>
      </c>
    </row>
    <row r="485" spans="1:9" s="17" customFormat="1" ht="15" customHeight="1">
      <c r="A485" s="6">
        <v>2000003044</v>
      </c>
      <c r="B485" s="7" t="s">
        <v>112</v>
      </c>
      <c r="C485" s="7" t="str">
        <f>VLOOKUP(A485,[1]Translation!A:F,4,FALSE)</f>
        <v>Verdeck</v>
      </c>
      <c r="D485" s="7" t="s">
        <v>108</v>
      </c>
      <c r="E485" s="8" t="s">
        <v>10</v>
      </c>
      <c r="F485" s="8">
        <f>VLOOKUP(A485,'[1]PL ENG'!B:G,6, FALSE)</f>
        <v>4000984081411</v>
      </c>
      <c r="G485" s="8">
        <v>1</v>
      </c>
      <c r="H485" s="9">
        <f>VLOOKUP(A485,[1]pricing!A:M,5,FALSE)</f>
        <v>44.27</v>
      </c>
      <c r="I485" s="10">
        <f>VLOOKUP(A485,[1]pricing!A:M,6,FALSE)</f>
        <v>55</v>
      </c>
    </row>
    <row r="486" spans="1:9" s="17" customFormat="1" ht="15" customHeight="1">
      <c r="A486" s="6">
        <v>2000003046</v>
      </c>
      <c r="B486" s="7" t="s">
        <v>112</v>
      </c>
      <c r="C486" s="7" t="str">
        <f>VLOOKUP(A486,[1]Translation!A:F,4,FALSE)</f>
        <v>Verdeck</v>
      </c>
      <c r="D486" s="7" t="s">
        <v>113</v>
      </c>
      <c r="E486" s="8" t="s">
        <v>10</v>
      </c>
      <c r="F486" s="8">
        <f>VLOOKUP(A486,'[1]PL ENG'!B:G,6, FALSE)</f>
        <v>4000984081398</v>
      </c>
      <c r="G486" s="8">
        <v>1</v>
      </c>
      <c r="H486" s="9">
        <f>VLOOKUP(A486,[1]pricing!A:M,5,FALSE)</f>
        <v>44.27</v>
      </c>
      <c r="I486" s="10">
        <f>VLOOKUP(A486,[1]pricing!A:M,6,FALSE)</f>
        <v>55</v>
      </c>
    </row>
    <row r="487" spans="1:9" s="17" customFormat="1" ht="15" customHeight="1">
      <c r="A487" s="6">
        <v>2000006230</v>
      </c>
      <c r="B487" s="7" t="s">
        <v>112</v>
      </c>
      <c r="C487" s="7" t="str">
        <f>VLOOKUP(A487,[1]Translation!A:F,4,FALSE)</f>
        <v>Verdeck</v>
      </c>
      <c r="D487" s="7" t="s">
        <v>29</v>
      </c>
      <c r="E487" s="8" t="s">
        <v>10</v>
      </c>
      <c r="F487" s="8">
        <f>VLOOKUP(A487,'[1]PL ENG'!B:G,6, FALSE)</f>
        <v>4000984090963</v>
      </c>
      <c r="G487" s="8">
        <v>1</v>
      </c>
      <c r="H487" s="9">
        <f>VLOOKUP(A487,[1]pricing!A:M,5,FALSE)</f>
        <v>44.27</v>
      </c>
      <c r="I487" s="10">
        <f>VLOOKUP(A487,[1]pricing!A:M,6,FALSE)</f>
        <v>55</v>
      </c>
    </row>
    <row r="488" spans="1:9" s="17" customFormat="1" ht="15" customHeight="1">
      <c r="A488" s="6">
        <v>2000003056</v>
      </c>
      <c r="B488" s="7" t="s">
        <v>112</v>
      </c>
      <c r="C488" s="7" t="str">
        <f>VLOOKUP(A488,[1]Translation!A:F,4,FALSE)</f>
        <v>Verriegelung</v>
      </c>
      <c r="D488" s="7"/>
      <c r="E488" s="8" t="s">
        <v>10</v>
      </c>
      <c r="F488" s="8">
        <f>VLOOKUP(A488,'[1]PL ENG'!B:G,6, FALSE)</f>
        <v>4000984081299</v>
      </c>
      <c r="G488" s="8">
        <v>1</v>
      </c>
      <c r="H488" s="9">
        <f>VLOOKUP(A488,[1]pricing!A:M,5,FALSE)</f>
        <v>5.83</v>
      </c>
      <c r="I488" s="10">
        <f>VLOOKUP(A488,[1]pricing!A:M,6,FALSE)</f>
        <v>7</v>
      </c>
    </row>
    <row r="489" spans="1:9" s="17" customFormat="1" ht="15" customHeight="1">
      <c r="A489" s="6" t="s">
        <v>114</v>
      </c>
      <c r="B489" s="7" t="s">
        <v>112</v>
      </c>
      <c r="C489" s="7" t="str">
        <f>VLOOKUP(A489,[1]Translation!A:F,4,FALSE)</f>
        <v>Regenverdeck</v>
      </c>
      <c r="D489" s="7"/>
      <c r="E489" s="8" t="s">
        <v>10</v>
      </c>
      <c r="F489" s="8">
        <f>VLOOKUP(A489,'[1]PL ENG'!B:G,6, FALSE)</f>
        <v>5012124058473</v>
      </c>
      <c r="G489" s="8">
        <v>1</v>
      </c>
      <c r="H489" s="9">
        <f>VLOOKUP(A489,[1]pricing!A:M,5,FALSE)</f>
        <v>16.309999999999999</v>
      </c>
      <c r="I489" s="10">
        <f>VLOOKUP(A489,[1]pricing!A:M,6,FALSE)</f>
        <v>20</v>
      </c>
    </row>
    <row r="490" spans="1:9" s="17" customFormat="1" ht="15" customHeight="1">
      <c r="A490" s="6">
        <v>2000003846</v>
      </c>
      <c r="B490" s="7" t="s">
        <v>112</v>
      </c>
      <c r="C490" s="7" t="str">
        <f>VLOOKUP(A490,[1]Translation!A:F,4,FALSE)</f>
        <v>Regenverdeck (2011)</v>
      </c>
      <c r="D490" s="7"/>
      <c r="E490" s="8" t="s">
        <v>10</v>
      </c>
      <c r="F490" s="8">
        <f>VLOOKUP(A490,'[1]PL ENG'!B:G,6, FALSE)</f>
        <v>4000984112986</v>
      </c>
      <c r="G490" s="8">
        <v>1</v>
      </c>
      <c r="H490" s="9">
        <f>VLOOKUP(A490,[1]pricing!A:M,5,FALSE)</f>
        <v>13.62</v>
      </c>
      <c r="I490" s="10">
        <f>VLOOKUP(A490,[1]pricing!A:M,6,FALSE)</f>
        <v>16</v>
      </c>
    </row>
    <row r="491" spans="1:9" s="17" customFormat="1" ht="15" customHeight="1">
      <c r="A491" s="6">
        <v>2000003054</v>
      </c>
      <c r="B491" s="7" t="s">
        <v>112</v>
      </c>
      <c r="C491" s="7" t="str">
        <f>VLOOKUP(A491,[1]Translation!A:F,4,FALSE)</f>
        <v xml:space="preserve">Bremsenreparatur Set (2010) </v>
      </c>
      <c r="D491" s="7"/>
      <c r="E491" s="8" t="s">
        <v>43</v>
      </c>
      <c r="F491" s="8">
        <f>VLOOKUP(A491,'[1]PL ENG'!B:G,6, FALSE)</f>
        <v>4000984081312</v>
      </c>
      <c r="G491" s="8">
        <v>1</v>
      </c>
      <c r="H491" s="9">
        <f>VLOOKUP(A491,[1]pricing!A:M,5,FALSE)</f>
        <v>17.73</v>
      </c>
      <c r="I491" s="10">
        <f>VLOOKUP(A491,[1]pricing!A:M,6,FALSE)</f>
        <v>21</v>
      </c>
    </row>
    <row r="492" spans="1:9" s="17" customFormat="1" ht="15" customHeight="1">
      <c r="A492" s="6">
        <v>2000025492</v>
      </c>
      <c r="B492" s="7" t="s">
        <v>115</v>
      </c>
      <c r="C492" s="7" t="str">
        <f>VLOOKUP(A492,[1]Translation!A:F,4,FALSE)</f>
        <v>Sitzeinheit</v>
      </c>
      <c r="D492" s="7" t="s">
        <v>11</v>
      </c>
      <c r="E492" s="8" t="s">
        <v>10</v>
      </c>
      <c r="F492" s="8">
        <f>VLOOKUP(A492,'[1]PL ENG'!B:G,6, FALSE)</f>
        <v>4000984149753</v>
      </c>
      <c r="G492" s="8">
        <v>1</v>
      </c>
      <c r="H492" s="9">
        <f>VLOOKUP(A492,[1]pricing!A:M,5,FALSE)</f>
        <v>126.5</v>
      </c>
      <c r="I492" s="10">
        <f>VLOOKUP(A492,[1]pricing!A:M,6,FALSE)</f>
        <v>155</v>
      </c>
    </row>
    <row r="493" spans="1:9" s="17" customFormat="1" ht="15" customHeight="1">
      <c r="A493" s="6">
        <v>2000025493</v>
      </c>
      <c r="B493" s="7" t="s">
        <v>115</v>
      </c>
      <c r="C493" s="7" t="str">
        <f>VLOOKUP(A493,[1]Translation!A:F,4,FALSE)</f>
        <v>Sitzeinheit</v>
      </c>
      <c r="D493" s="7" t="s">
        <v>92</v>
      </c>
      <c r="E493" s="8" t="s">
        <v>10</v>
      </c>
      <c r="F493" s="8">
        <f>VLOOKUP(A493,'[1]PL ENG'!B:G,6, FALSE)</f>
        <v>4000984149760</v>
      </c>
      <c r="G493" s="8">
        <v>1</v>
      </c>
      <c r="H493" s="9">
        <f>VLOOKUP(A493,[1]pricing!A:M,5,FALSE)</f>
        <v>126.5</v>
      </c>
      <c r="I493" s="10">
        <f>VLOOKUP(A493,[1]pricing!A:M,6,FALSE)</f>
        <v>155</v>
      </c>
    </row>
    <row r="494" spans="1:9" s="17" customFormat="1" ht="15" customHeight="1">
      <c r="A494" s="6">
        <v>2000025494</v>
      </c>
      <c r="B494" s="7" t="s">
        <v>115</v>
      </c>
      <c r="C494" s="7" t="str">
        <f>VLOOKUP(A494,[1]Translation!A:F,4,FALSE)</f>
        <v>Sitzeinheit</v>
      </c>
      <c r="D494" s="7" t="s">
        <v>12</v>
      </c>
      <c r="E494" s="8" t="s">
        <v>10</v>
      </c>
      <c r="F494" s="8">
        <f>VLOOKUP(A494,'[1]PL ENG'!B:G,6, FALSE)</f>
        <v>4000984149777</v>
      </c>
      <c r="G494" s="8">
        <v>1</v>
      </c>
      <c r="H494" s="9">
        <f>VLOOKUP(A494,[1]pricing!A:M,5,FALSE)</f>
        <v>126.5</v>
      </c>
      <c r="I494" s="10">
        <f>VLOOKUP(A494,[1]pricing!A:M,6,FALSE)</f>
        <v>155</v>
      </c>
    </row>
    <row r="495" spans="1:9" s="17" customFormat="1" ht="15" customHeight="1">
      <c r="A495" s="6">
        <v>2000025495</v>
      </c>
      <c r="B495" s="7" t="s">
        <v>115</v>
      </c>
      <c r="C495" s="7" t="str">
        <f>VLOOKUP(A495,[1]Translation!A:F,4,FALSE)</f>
        <v>Sitzeinheit</v>
      </c>
      <c r="D495" s="7" t="s">
        <v>58</v>
      </c>
      <c r="E495" s="8" t="s">
        <v>10</v>
      </c>
      <c r="F495" s="8">
        <f>VLOOKUP(A495,'[1]PL ENG'!B:G,6, FALSE)</f>
        <v>4000984149784</v>
      </c>
      <c r="G495" s="8">
        <v>1</v>
      </c>
      <c r="H495" s="9">
        <f>VLOOKUP(A495,[1]pricing!A:M,5,FALSE)</f>
        <v>126.5</v>
      </c>
      <c r="I495" s="10">
        <f>VLOOKUP(A495,[1]pricing!A:M,6,FALSE)</f>
        <v>155</v>
      </c>
    </row>
    <row r="496" spans="1:9" s="17" customFormat="1" ht="15" customHeight="1">
      <c r="A496" s="6">
        <v>2000025504</v>
      </c>
      <c r="B496" s="7" t="s">
        <v>115</v>
      </c>
      <c r="C496" s="7" t="str">
        <f>VLOOKUP(A496,[1]Translation!A:F,4,FALSE)</f>
        <v>Chassis</v>
      </c>
      <c r="D496" s="7"/>
      <c r="E496" s="8" t="s">
        <v>10</v>
      </c>
      <c r="F496" s="8">
        <f>VLOOKUP(A496,'[1]PL ENG'!B:G,6, FALSE)</f>
        <v>4000984149876</v>
      </c>
      <c r="G496" s="8">
        <v>1</v>
      </c>
      <c r="H496" s="9">
        <f>VLOOKUP(A496,[1]pricing!A:M,5,FALSE)</f>
        <v>187</v>
      </c>
      <c r="I496" s="10">
        <f>VLOOKUP(A496,[1]pricing!A:M,6,FALSE)</f>
        <v>225</v>
      </c>
    </row>
    <row r="497" spans="1:9" s="17" customFormat="1" ht="15" customHeight="1">
      <c r="A497" s="6">
        <v>2000025488</v>
      </c>
      <c r="B497" s="7" t="s">
        <v>115</v>
      </c>
      <c r="C497" s="7" t="str">
        <f>VLOOKUP(A497,[1]Translation!A:F,4,FALSE)</f>
        <v>Spielbügel</v>
      </c>
      <c r="D497" s="7" t="s">
        <v>11</v>
      </c>
      <c r="E497" s="8" t="s">
        <v>10</v>
      </c>
      <c r="F497" s="8">
        <f>VLOOKUP(A497,'[1]PL ENG'!B:G,6, FALSE)</f>
        <v>4000984149715</v>
      </c>
      <c r="G497" s="8">
        <v>1</v>
      </c>
      <c r="H497" s="9">
        <f>VLOOKUP(A497,[1]pricing!A:M,5,FALSE)</f>
        <v>9.9</v>
      </c>
      <c r="I497" s="10">
        <f>VLOOKUP(A497,[1]pricing!A:M,6,FALSE)</f>
        <v>15</v>
      </c>
    </row>
    <row r="498" spans="1:9" s="17" customFormat="1" ht="15" customHeight="1">
      <c r="A498" s="6">
        <v>2000025489</v>
      </c>
      <c r="B498" s="7" t="s">
        <v>115</v>
      </c>
      <c r="C498" s="7" t="str">
        <f>VLOOKUP(A498,[1]Translation!A:F,4,FALSE)</f>
        <v>Spielbügel</v>
      </c>
      <c r="D498" s="7" t="s">
        <v>92</v>
      </c>
      <c r="E498" s="8" t="s">
        <v>10</v>
      </c>
      <c r="F498" s="8">
        <f>VLOOKUP(A498,'[1]PL ENG'!B:G,6, FALSE)</f>
        <v>4000984149722</v>
      </c>
      <c r="G498" s="8">
        <v>1</v>
      </c>
      <c r="H498" s="9">
        <f>VLOOKUP(A498,[1]pricing!A:M,5,FALSE)</f>
        <v>9.9</v>
      </c>
      <c r="I498" s="10">
        <f>VLOOKUP(A498,[1]pricing!A:M,6,FALSE)</f>
        <v>15</v>
      </c>
    </row>
    <row r="499" spans="1:9" s="17" customFormat="1" ht="15" customHeight="1">
      <c r="A499" s="6">
        <v>2000025490</v>
      </c>
      <c r="B499" s="7" t="s">
        <v>115</v>
      </c>
      <c r="C499" s="7" t="str">
        <f>VLOOKUP(A499,[1]Translation!A:F,4,FALSE)</f>
        <v>Spielbügel</v>
      </c>
      <c r="D499" s="7" t="s">
        <v>12</v>
      </c>
      <c r="E499" s="8" t="s">
        <v>10</v>
      </c>
      <c r="F499" s="8">
        <f>VLOOKUP(A499,'[1]PL ENG'!B:G,6, FALSE)</f>
        <v>4000984149739</v>
      </c>
      <c r="G499" s="8">
        <v>1</v>
      </c>
      <c r="H499" s="9">
        <f>VLOOKUP(A499,[1]pricing!A:M,5,FALSE)</f>
        <v>9.9</v>
      </c>
      <c r="I499" s="10">
        <f>VLOOKUP(A499,[1]pricing!A:M,6,FALSE)</f>
        <v>15</v>
      </c>
    </row>
    <row r="500" spans="1:9" s="17" customFormat="1" ht="15" customHeight="1">
      <c r="A500" s="6">
        <v>2000025491</v>
      </c>
      <c r="B500" s="7" t="s">
        <v>115</v>
      </c>
      <c r="C500" s="7" t="str">
        <f>VLOOKUP(A500,[1]Translation!A:F,4,FALSE)</f>
        <v>Spielbügel</v>
      </c>
      <c r="D500" s="7" t="s">
        <v>58</v>
      </c>
      <c r="E500" s="8" t="s">
        <v>10</v>
      </c>
      <c r="F500" s="8">
        <f>VLOOKUP(A500,'[1]PL ENG'!B:G,6, FALSE)</f>
        <v>4000984149746</v>
      </c>
      <c r="G500" s="8">
        <v>1</v>
      </c>
      <c r="H500" s="9">
        <f>VLOOKUP(A500,[1]pricing!A:M,5,FALSE)</f>
        <v>9.9</v>
      </c>
      <c r="I500" s="10">
        <f>VLOOKUP(A500,[1]pricing!A:M,6,FALSE)</f>
        <v>15</v>
      </c>
    </row>
    <row r="501" spans="1:9" s="17" customFormat="1" ht="15" customHeight="1">
      <c r="A501" s="6">
        <v>2000025505</v>
      </c>
      <c r="B501" s="7" t="s">
        <v>115</v>
      </c>
      <c r="C501" s="7" t="str">
        <f>VLOOKUP(A501,[1]Translation!A:F,4,FALSE)</f>
        <v>Korb</v>
      </c>
      <c r="D501" s="7"/>
      <c r="E501" s="8" t="s">
        <v>10</v>
      </c>
      <c r="F501" s="8">
        <f>VLOOKUP(A501,'[1]PL ENG'!B:G,6, FALSE)</f>
        <v>4000984149883</v>
      </c>
      <c r="G501" s="8">
        <v>1</v>
      </c>
      <c r="H501" s="9">
        <f>VLOOKUP(A501,[1]pricing!A:M,5,FALSE)</f>
        <v>24.2</v>
      </c>
      <c r="I501" s="10">
        <f>VLOOKUP(A501,[1]pricing!A:M,6,FALSE)</f>
        <v>30</v>
      </c>
    </row>
    <row r="502" spans="1:9" s="17" customFormat="1" ht="15" customHeight="1">
      <c r="A502" s="6">
        <v>2000025500</v>
      </c>
      <c r="B502" s="7" t="s">
        <v>115</v>
      </c>
      <c r="C502" s="7" t="str">
        <f>VLOOKUP(A502,[1]Translation!A:F,4,FALSE)</f>
        <v>Verdeck</v>
      </c>
      <c r="D502" s="7" t="s">
        <v>11</v>
      </c>
      <c r="E502" s="8" t="s">
        <v>10</v>
      </c>
      <c r="F502" s="8">
        <f>VLOOKUP(A502,'[1]PL ENG'!B:G,6, FALSE)</f>
        <v>4000984149838</v>
      </c>
      <c r="G502" s="8">
        <v>1</v>
      </c>
      <c r="H502" s="9">
        <f>VLOOKUP(A502,[1]pricing!A:M,5,FALSE)</f>
        <v>38.5</v>
      </c>
      <c r="I502" s="10">
        <f>VLOOKUP(A502,[1]pricing!A:M,6,FALSE)</f>
        <v>50</v>
      </c>
    </row>
    <row r="503" spans="1:9" s="17" customFormat="1" ht="15" customHeight="1">
      <c r="A503" s="6">
        <v>2000025501</v>
      </c>
      <c r="B503" s="7" t="s">
        <v>115</v>
      </c>
      <c r="C503" s="7" t="str">
        <f>VLOOKUP(A503,[1]Translation!A:F,4,FALSE)</f>
        <v>Verdeck</v>
      </c>
      <c r="D503" s="7" t="s">
        <v>92</v>
      </c>
      <c r="E503" s="8" t="s">
        <v>10</v>
      </c>
      <c r="F503" s="8">
        <f>VLOOKUP(A503,'[1]PL ENG'!B:G,6, FALSE)</f>
        <v>4000984149845</v>
      </c>
      <c r="G503" s="8">
        <v>1</v>
      </c>
      <c r="H503" s="9">
        <f>VLOOKUP(A503,[1]pricing!A:M,5,FALSE)</f>
        <v>38.5</v>
      </c>
      <c r="I503" s="10">
        <f>VLOOKUP(A503,[1]pricing!A:M,6,FALSE)</f>
        <v>50</v>
      </c>
    </row>
    <row r="504" spans="1:9" s="17" customFormat="1" ht="15" customHeight="1">
      <c r="A504" s="6">
        <v>2000025502</v>
      </c>
      <c r="B504" s="7" t="s">
        <v>115</v>
      </c>
      <c r="C504" s="7" t="str">
        <f>VLOOKUP(A504,[1]Translation!A:F,4,FALSE)</f>
        <v>Verdeck</v>
      </c>
      <c r="D504" s="7" t="s">
        <v>12</v>
      </c>
      <c r="E504" s="8" t="s">
        <v>10</v>
      </c>
      <c r="F504" s="8">
        <f>VLOOKUP(A504,'[1]PL ENG'!B:G,6, FALSE)</f>
        <v>4000984149852</v>
      </c>
      <c r="G504" s="8">
        <v>1</v>
      </c>
      <c r="H504" s="9">
        <f>VLOOKUP(A504,[1]pricing!A:M,5,FALSE)</f>
        <v>38.5</v>
      </c>
      <c r="I504" s="10">
        <f>VLOOKUP(A504,[1]pricing!A:M,6,FALSE)</f>
        <v>50</v>
      </c>
    </row>
    <row r="505" spans="1:9" s="17" customFormat="1" ht="15" customHeight="1">
      <c r="A505" s="6">
        <v>2000025503</v>
      </c>
      <c r="B505" s="7" t="s">
        <v>115</v>
      </c>
      <c r="C505" s="7" t="str">
        <f>VLOOKUP(A505,[1]Translation!A:F,4,FALSE)</f>
        <v>Verdeck</v>
      </c>
      <c r="D505" s="7" t="s">
        <v>58</v>
      </c>
      <c r="E505" s="8" t="s">
        <v>10</v>
      </c>
      <c r="F505" s="8">
        <f>VLOOKUP(A505,'[1]PL ENG'!B:G,6, FALSE)</f>
        <v>4000984149869</v>
      </c>
      <c r="G505" s="8">
        <v>1</v>
      </c>
      <c r="H505" s="9">
        <f>VLOOKUP(A505,[1]pricing!A:M,5,FALSE)</f>
        <v>38.5</v>
      </c>
      <c r="I505" s="10">
        <f>VLOOKUP(A505,[1]pricing!A:M,6,FALSE)</f>
        <v>50</v>
      </c>
    </row>
    <row r="506" spans="1:9" s="17" customFormat="1" ht="15" customHeight="1">
      <c r="A506" s="6">
        <v>2000025486</v>
      </c>
      <c r="B506" s="7" t="s">
        <v>115</v>
      </c>
      <c r="C506" s="7" t="str">
        <f>VLOOKUP(A506,[1]Translation!A:F,4,FALSE)</f>
        <v>Vorderräder Set</v>
      </c>
      <c r="D506" s="7"/>
      <c r="E506" s="8" t="s">
        <v>10</v>
      </c>
      <c r="F506" s="8">
        <f>VLOOKUP(A506,'[1]PL ENG'!B:G,6, FALSE)</f>
        <v>4000984149692</v>
      </c>
      <c r="G506" s="8">
        <v>1</v>
      </c>
      <c r="H506" s="9">
        <f>VLOOKUP(A506,[1]pricing!A:M,5,FALSE)</f>
        <v>40.700000000000003</v>
      </c>
      <c r="I506" s="10">
        <f>VLOOKUP(A506,[1]pricing!A:M,6,FALSE)</f>
        <v>50</v>
      </c>
    </row>
    <row r="507" spans="1:9" s="17" customFormat="1" ht="15" customHeight="1">
      <c r="A507" s="6">
        <v>2000025487</v>
      </c>
      <c r="B507" s="7" t="s">
        <v>115</v>
      </c>
      <c r="C507" s="7" t="str">
        <f>VLOOKUP(A507,[1]Translation!A:F,4,FALSE)</f>
        <v>Hinterräder Set</v>
      </c>
      <c r="D507" s="7"/>
      <c r="E507" s="8" t="s">
        <v>10</v>
      </c>
      <c r="F507" s="8">
        <f>VLOOKUP(A507,'[1]PL ENG'!B:G,6, FALSE)</f>
        <v>4000984149708</v>
      </c>
      <c r="G507" s="8">
        <v>1</v>
      </c>
      <c r="H507" s="9">
        <f>VLOOKUP(A507,[1]pricing!A:M,5,FALSE)</f>
        <v>46.2</v>
      </c>
      <c r="I507" s="10">
        <f>VLOOKUP(A507,[1]pricing!A:M,6,FALSE)</f>
        <v>55</v>
      </c>
    </row>
    <row r="508" spans="1:9" s="17" customFormat="1" ht="15" customHeight="1">
      <c r="A508" s="6">
        <v>2000025506</v>
      </c>
      <c r="B508" s="7" t="s">
        <v>115</v>
      </c>
      <c r="C508" s="7" t="str">
        <f>VLOOKUP(A508,[1]Translation!A:F,4,FALSE)</f>
        <v xml:space="preserve">Griff-Reparatur Set </v>
      </c>
      <c r="D508" s="7"/>
      <c r="E508" s="8" t="s">
        <v>43</v>
      </c>
      <c r="F508" s="8">
        <f>VLOOKUP(A508,'[1]PL ENG'!B:G,6, FALSE)</f>
        <v>4000984149890</v>
      </c>
      <c r="G508" s="8">
        <v>1</v>
      </c>
      <c r="H508" s="9">
        <f>VLOOKUP(A508,[1]pricing!A:M,5,FALSE)</f>
        <v>18.260000000000002</v>
      </c>
      <c r="I508" s="10">
        <f>VLOOKUP(A508,[1]pricing!A:M,6,FALSE)</f>
        <v>22</v>
      </c>
    </row>
    <row r="509" spans="1:9" s="17" customFormat="1" ht="15" customHeight="1">
      <c r="A509" s="6">
        <v>2000025507</v>
      </c>
      <c r="B509" s="7" t="s">
        <v>115</v>
      </c>
      <c r="C509" s="7" t="str">
        <f>VLOOKUP(A509,[1]Translation!A:F,4,FALSE)</f>
        <v>Verriegelung</v>
      </c>
      <c r="D509" s="7"/>
      <c r="E509" s="8" t="s">
        <v>10</v>
      </c>
      <c r="F509" s="8">
        <f>VLOOKUP(A509,'[1]PL ENG'!B:G,6, FALSE)</f>
        <v>4000984149906</v>
      </c>
      <c r="G509" s="8">
        <v>1</v>
      </c>
      <c r="H509" s="9">
        <f>VLOOKUP(A509,[1]pricing!A:M,5,FALSE)</f>
        <v>3.3</v>
      </c>
      <c r="I509" s="10">
        <f>VLOOKUP(A509,[1]pricing!A:M,6,FALSE)</f>
        <v>5</v>
      </c>
    </row>
    <row r="510" spans="1:9" s="17" customFormat="1" ht="15" customHeight="1">
      <c r="A510" s="6">
        <v>2000025508</v>
      </c>
      <c r="B510" s="7" t="s">
        <v>115</v>
      </c>
      <c r="C510" s="7" t="str">
        <f>VLOOKUP(A510,[1]Translation!A:F,4,FALSE)</f>
        <v>Verlängerungsadapter</v>
      </c>
      <c r="D510" s="7"/>
      <c r="E510" s="8" t="s">
        <v>10</v>
      </c>
      <c r="F510" s="8">
        <f>VLOOKUP(A510,'[1]PL ENG'!B:G,6, FALSE)</f>
        <v>4000984149913</v>
      </c>
      <c r="G510" s="8">
        <v>1</v>
      </c>
      <c r="H510" s="9">
        <f>VLOOKUP(A510,[1]pricing!A:M,5,FALSE)</f>
        <v>11</v>
      </c>
      <c r="I510" s="10">
        <f>VLOOKUP(A510,[1]pricing!A:M,6,FALSE)</f>
        <v>15</v>
      </c>
    </row>
    <row r="511" spans="1:9" s="17" customFormat="1" ht="15" customHeight="1">
      <c r="A511" s="6">
        <v>2000025509</v>
      </c>
      <c r="B511" s="7" t="s">
        <v>115</v>
      </c>
      <c r="C511" s="7" t="str">
        <f>VLOOKUP(A511,[1]Translation!A:F,4,FALSE)</f>
        <v>Hinterräder Abdeckung</v>
      </c>
      <c r="D511" s="7"/>
      <c r="E511" s="8" t="s">
        <v>10</v>
      </c>
      <c r="F511" s="8">
        <f>VLOOKUP(A511,'[1]PL ENG'!B:G,6, FALSE)</f>
        <v>4000984149920</v>
      </c>
      <c r="G511" s="8">
        <v>1</v>
      </c>
      <c r="H511" s="9">
        <f>VLOOKUP(A511,[1]pricing!A:M,5,FALSE)</f>
        <v>5.5</v>
      </c>
      <c r="I511" s="10">
        <f>VLOOKUP(A511,[1]pricing!A:M,6,FALSE)</f>
        <v>10</v>
      </c>
    </row>
    <row r="512" spans="1:9" s="17" customFormat="1" ht="15" customHeight="1">
      <c r="A512" s="6">
        <v>2000025510</v>
      </c>
      <c r="B512" s="7" t="s">
        <v>115</v>
      </c>
      <c r="C512" s="7" t="str">
        <f>VLOOKUP(A512,[1]Translation!A:F,4,FALSE)</f>
        <v>Babyschale Abdeckung</v>
      </c>
      <c r="D512" s="7"/>
      <c r="E512" s="8" t="s">
        <v>10</v>
      </c>
      <c r="F512" s="8">
        <f>VLOOKUP(A512,'[1]PL ENG'!B:G,6, FALSE)</f>
        <v>4000984149937</v>
      </c>
      <c r="G512" s="8">
        <v>1</v>
      </c>
      <c r="H512" s="9">
        <f>VLOOKUP(A512,[1]pricing!A:M,5,FALSE)</f>
        <v>11.73</v>
      </c>
      <c r="I512" s="10">
        <f>VLOOKUP(A512,[1]pricing!A:M,6,FALSE)</f>
        <v>15</v>
      </c>
    </row>
    <row r="513" spans="1:9" s="17" customFormat="1" ht="15" customHeight="1">
      <c r="A513" s="6">
        <v>2000021655</v>
      </c>
      <c r="B513" s="7" t="s">
        <v>116</v>
      </c>
      <c r="C513" s="7" t="str">
        <f>VLOOKUP(A513,[1]Translation!A:F,4,FALSE)</f>
        <v>Sitzeinheit Rahmen</v>
      </c>
      <c r="D513" s="7" t="s">
        <v>95</v>
      </c>
      <c r="E513" s="8" t="s">
        <v>10</v>
      </c>
      <c r="F513" s="8">
        <f>VLOOKUP(A513,'[1]PL ENG'!B:G,6, FALSE)</f>
        <v>4000984117820</v>
      </c>
      <c r="G513" s="8">
        <v>1</v>
      </c>
      <c r="H513" s="9">
        <f>VLOOKUP(A513,[1]pricing!A:M,5,FALSE)</f>
        <v>57.97</v>
      </c>
      <c r="I513" s="10">
        <f>VLOOKUP(A513,[1]pricing!A:M,6,FALSE)</f>
        <v>70</v>
      </c>
    </row>
    <row r="514" spans="1:9" s="17" customFormat="1" ht="15" customHeight="1">
      <c r="A514" s="6">
        <v>2000021658</v>
      </c>
      <c r="B514" s="7" t="s">
        <v>116</v>
      </c>
      <c r="C514" s="7" t="str">
        <f>VLOOKUP(A514,[1]Translation!A:F,4,FALSE)</f>
        <v>Sitzeinheit</v>
      </c>
      <c r="D514" s="7" t="s">
        <v>24</v>
      </c>
      <c r="E514" s="8" t="s">
        <v>10</v>
      </c>
      <c r="F514" s="8">
        <f>VLOOKUP(A514,'[1]PL ENG'!B:G,6, FALSE)</f>
        <v>4000984117851</v>
      </c>
      <c r="G514" s="8">
        <v>1</v>
      </c>
      <c r="H514" s="9">
        <f>VLOOKUP(A514,[1]pricing!A:M,5,FALSE)</f>
        <v>79.599999999999994</v>
      </c>
      <c r="I514" s="10">
        <f>VLOOKUP(A514,[1]pricing!A:M,6,FALSE)</f>
        <v>95</v>
      </c>
    </row>
    <row r="515" spans="1:9" s="17" customFormat="1" ht="15" customHeight="1">
      <c r="A515" s="6">
        <v>2000021659</v>
      </c>
      <c r="B515" s="7" t="s">
        <v>116</v>
      </c>
      <c r="C515" s="7" t="str">
        <f>VLOOKUP(A515,[1]Translation!A:F,4,FALSE)</f>
        <v>Sitzeinheit</v>
      </c>
      <c r="D515" s="7" t="s">
        <v>117</v>
      </c>
      <c r="E515" s="8" t="s">
        <v>10</v>
      </c>
      <c r="F515" s="8">
        <f>VLOOKUP(A515,'[1]PL ENG'!B:G,6, FALSE)</f>
        <v>4000984117868</v>
      </c>
      <c r="G515" s="8">
        <v>1</v>
      </c>
      <c r="H515" s="9">
        <f>VLOOKUP(A515,[1]pricing!A:M,5,FALSE)</f>
        <v>79.599999999999994</v>
      </c>
      <c r="I515" s="10">
        <f>VLOOKUP(A515,[1]pricing!A:M,6,FALSE)</f>
        <v>95</v>
      </c>
    </row>
    <row r="516" spans="1:9" s="17" customFormat="1" ht="15" customHeight="1">
      <c r="A516" s="6">
        <v>2000021665</v>
      </c>
      <c r="B516" s="7" t="s">
        <v>116</v>
      </c>
      <c r="C516" s="7" t="str">
        <f>VLOOKUP(A516,[1]Translation!A:F,4,FALSE)</f>
        <v>Verdeck</v>
      </c>
      <c r="D516" s="7" t="s">
        <v>118</v>
      </c>
      <c r="E516" s="8" t="s">
        <v>10</v>
      </c>
      <c r="F516" s="8">
        <f>VLOOKUP(A516,'[1]PL ENG'!B:G,6, FALSE)</f>
        <v>4000984117929</v>
      </c>
      <c r="G516" s="8">
        <v>1</v>
      </c>
      <c r="H516" s="9">
        <f>VLOOKUP(A516,[1]pricing!A:M,5,FALSE)</f>
        <v>44.27</v>
      </c>
      <c r="I516" s="10">
        <f>VLOOKUP(A516,[1]pricing!A:M,6,FALSE)</f>
        <v>55</v>
      </c>
    </row>
    <row r="517" spans="1:9" s="17" customFormat="1" ht="15" customHeight="1">
      <c r="A517" s="6">
        <v>2000021666</v>
      </c>
      <c r="B517" s="7" t="s">
        <v>116</v>
      </c>
      <c r="C517" s="7" t="str">
        <f>VLOOKUP(A517,[1]Translation!A:F,4,FALSE)</f>
        <v>Verdeck</v>
      </c>
      <c r="D517" s="7" t="s">
        <v>24</v>
      </c>
      <c r="E517" s="8" t="s">
        <v>10</v>
      </c>
      <c r="F517" s="8">
        <f>VLOOKUP(A517,'[1]PL ENG'!B:G,6, FALSE)</f>
        <v>4000984117936</v>
      </c>
      <c r="G517" s="8">
        <v>1</v>
      </c>
      <c r="H517" s="9">
        <f>VLOOKUP(A517,[1]pricing!A:M,5,FALSE)</f>
        <v>44.27</v>
      </c>
      <c r="I517" s="10">
        <f>VLOOKUP(A517,[1]pricing!A:M,6,FALSE)</f>
        <v>55</v>
      </c>
    </row>
    <row r="518" spans="1:9" s="17" customFormat="1" ht="15" customHeight="1">
      <c r="A518" s="6">
        <v>2000021667</v>
      </c>
      <c r="B518" s="7" t="s">
        <v>116</v>
      </c>
      <c r="C518" s="7" t="str">
        <f>VLOOKUP(A518,[1]Translation!A:F,4,FALSE)</f>
        <v>Verdeck</v>
      </c>
      <c r="D518" s="7" t="s">
        <v>117</v>
      </c>
      <c r="E518" s="8" t="s">
        <v>10</v>
      </c>
      <c r="F518" s="8">
        <f>VLOOKUP(A518,'[1]PL ENG'!B:G,6, FALSE)</f>
        <v>4000984117943</v>
      </c>
      <c r="G518" s="8">
        <v>1</v>
      </c>
      <c r="H518" s="9">
        <f>VLOOKUP(A518,[1]pricing!A:M,5,FALSE)</f>
        <v>44.27</v>
      </c>
      <c r="I518" s="10">
        <f>VLOOKUP(A518,[1]pricing!A:M,6,FALSE)</f>
        <v>55</v>
      </c>
    </row>
    <row r="519" spans="1:9" s="17" customFormat="1" ht="15" customHeight="1">
      <c r="A519" s="6">
        <v>2000021668</v>
      </c>
      <c r="B519" s="7" t="s">
        <v>116</v>
      </c>
      <c r="C519" s="7" t="str">
        <f>VLOOKUP(A519,[1]Translation!A:F,4,FALSE)</f>
        <v>Verdeck</v>
      </c>
      <c r="D519" s="7" t="s">
        <v>95</v>
      </c>
      <c r="E519" s="8" t="s">
        <v>10</v>
      </c>
      <c r="F519" s="8">
        <f>VLOOKUP(A519,'[1]PL ENG'!B:G,6, FALSE)</f>
        <v>4000984117950</v>
      </c>
      <c r="G519" s="8">
        <v>1</v>
      </c>
      <c r="H519" s="9">
        <f>VLOOKUP(A519,[1]pricing!A:M,5,FALSE)</f>
        <v>44.27</v>
      </c>
      <c r="I519" s="10">
        <f>VLOOKUP(A519,[1]pricing!A:M,6,FALSE)</f>
        <v>55</v>
      </c>
    </row>
    <row r="520" spans="1:9" s="17" customFormat="1" ht="15" customHeight="1">
      <c r="A520" s="6">
        <v>2000021669</v>
      </c>
      <c r="B520" s="7" t="s">
        <v>116</v>
      </c>
      <c r="C520" s="7" t="str">
        <f>VLOOKUP(A520,[1]Translation!A:F,4,FALSE)</f>
        <v>Spielbügel</v>
      </c>
      <c r="D520" s="7" t="s">
        <v>24</v>
      </c>
      <c r="E520" s="8" t="s">
        <v>10</v>
      </c>
      <c r="F520" s="8">
        <f>VLOOKUP(A520,'[1]PL ENG'!B:G,6, FALSE)</f>
        <v>4000984117967</v>
      </c>
      <c r="G520" s="8">
        <v>1</v>
      </c>
      <c r="H520" s="9">
        <f>VLOOKUP(A520,[1]pricing!A:M,5,FALSE)</f>
        <v>13.76</v>
      </c>
      <c r="I520" s="10">
        <f>VLOOKUP(A520,[1]pricing!A:M,6,FALSE)</f>
        <v>20</v>
      </c>
    </row>
    <row r="521" spans="1:9" s="17" customFormat="1" ht="15" customHeight="1">
      <c r="A521" s="6">
        <v>2000021670</v>
      </c>
      <c r="B521" s="7" t="s">
        <v>116</v>
      </c>
      <c r="C521" s="7" t="str">
        <f>VLOOKUP(A521,[1]Translation!A:F,4,FALSE)</f>
        <v>Chassis</v>
      </c>
      <c r="D521" s="7" t="s">
        <v>95</v>
      </c>
      <c r="E521" s="8" t="s">
        <v>10</v>
      </c>
      <c r="F521" s="8">
        <f>VLOOKUP(A521,'[1]PL ENG'!B:G,6, FALSE)</f>
        <v>4000984117974</v>
      </c>
      <c r="G521" s="8">
        <v>1</v>
      </c>
      <c r="H521" s="9">
        <f>VLOOKUP(A521,[1]pricing!A:M,5,FALSE)</f>
        <v>206.9</v>
      </c>
      <c r="I521" s="10">
        <f>VLOOKUP(A521,[1]pricing!A:M,6,FALSE)</f>
        <v>250</v>
      </c>
    </row>
    <row r="522" spans="1:9" s="17" customFormat="1" ht="15" customHeight="1">
      <c r="A522" s="6">
        <v>2000021674</v>
      </c>
      <c r="B522" s="7" t="s">
        <v>116</v>
      </c>
      <c r="C522" s="7" t="str">
        <f>VLOOKUP(A522,[1]Translation!A:F,4,FALSE)</f>
        <v>Reifen Set hinten</v>
      </c>
      <c r="D522" s="7"/>
      <c r="E522" s="8" t="s">
        <v>10</v>
      </c>
      <c r="F522" s="8">
        <f>VLOOKUP(A522,'[1]PL ENG'!B:G,6, FALSE)</f>
        <v>4000984118018</v>
      </c>
      <c r="G522" s="8">
        <v>1</v>
      </c>
      <c r="H522" s="9">
        <f>VLOOKUP(A522,[1]pricing!A:M,5,FALSE)</f>
        <v>10.88</v>
      </c>
      <c r="I522" s="10">
        <f>VLOOKUP(A522,[1]pricing!A:M,6,FALSE)</f>
        <v>15</v>
      </c>
    </row>
    <row r="523" spans="1:9" s="17" customFormat="1" ht="15" customHeight="1">
      <c r="A523" s="6">
        <v>2000021675</v>
      </c>
      <c r="B523" s="7" t="s">
        <v>116</v>
      </c>
      <c r="C523" s="7" t="str">
        <f>VLOOKUP(A523,[1]Translation!A:F,4,FALSE)</f>
        <v>Schlauch Set hinten</v>
      </c>
      <c r="D523" s="7"/>
      <c r="E523" s="8" t="s">
        <v>10</v>
      </c>
      <c r="F523" s="8">
        <f>VLOOKUP(A523,'[1]PL ENG'!B:G,6, FALSE)</f>
        <v>4000984118025</v>
      </c>
      <c r="G523" s="8">
        <v>1</v>
      </c>
      <c r="H523" s="9">
        <f>VLOOKUP(A523,[1]pricing!A:M,5,FALSE)</f>
        <v>7.42</v>
      </c>
      <c r="I523" s="10">
        <f>VLOOKUP(A523,[1]pricing!A:M,6,FALSE)</f>
        <v>10</v>
      </c>
    </row>
    <row r="524" spans="1:9" s="17" customFormat="1" ht="15" customHeight="1">
      <c r="A524" s="6">
        <v>2000021676</v>
      </c>
      <c r="B524" s="7" t="s">
        <v>116</v>
      </c>
      <c r="C524" s="7" t="str">
        <f>VLOOKUP(A524,[1]Translation!A:F,4,FALSE)</f>
        <v>Hinterräder Set</v>
      </c>
      <c r="D524" s="7"/>
      <c r="E524" s="8" t="s">
        <v>10</v>
      </c>
      <c r="F524" s="8">
        <f>VLOOKUP(A524,'[1]PL ENG'!B:G,6, FALSE)</f>
        <v>4000984118032</v>
      </c>
      <c r="G524" s="8">
        <v>1</v>
      </c>
      <c r="H524" s="9">
        <f>VLOOKUP(A524,[1]pricing!A:M,5,FALSE)</f>
        <v>63.12</v>
      </c>
      <c r="I524" s="10">
        <f>VLOOKUP(A524,[1]pricing!A:M,6,FALSE)</f>
        <v>80</v>
      </c>
    </row>
    <row r="525" spans="1:9" s="17" customFormat="1" ht="15" customHeight="1">
      <c r="A525" s="6">
        <v>2000021677</v>
      </c>
      <c r="B525" s="7" t="s">
        <v>116</v>
      </c>
      <c r="C525" s="7" t="str">
        <f>VLOOKUP(A525,[1]Translation!A:F,4,FALSE)</f>
        <v>Vorderräder Set</v>
      </c>
      <c r="D525" s="7"/>
      <c r="E525" s="8" t="s">
        <v>10</v>
      </c>
      <c r="F525" s="8">
        <f>VLOOKUP(A525,'[1]PL ENG'!B:G,6, FALSE)</f>
        <v>4000984118049</v>
      </c>
      <c r="G525" s="8">
        <v>1</v>
      </c>
      <c r="H525" s="9">
        <f>VLOOKUP(A525,[1]pricing!A:M,5,FALSE)</f>
        <v>44.85</v>
      </c>
      <c r="I525" s="10">
        <f>VLOOKUP(A525,[1]pricing!A:M,6,FALSE)</f>
        <v>55</v>
      </c>
    </row>
    <row r="526" spans="1:9" s="17" customFormat="1" ht="15" customHeight="1">
      <c r="A526" s="6">
        <v>2000021678</v>
      </c>
      <c r="B526" s="7" t="s">
        <v>116</v>
      </c>
      <c r="C526" s="7" t="str">
        <f>VLOOKUP(A526,[1]Translation!A:F,4,FALSE)</f>
        <v>Korb</v>
      </c>
      <c r="D526" s="7"/>
      <c r="E526" s="8" t="s">
        <v>10</v>
      </c>
      <c r="F526" s="8">
        <f>VLOOKUP(A526,'[1]PL ENG'!B:G,6, FALSE)</f>
        <v>4000984118056</v>
      </c>
      <c r="G526" s="8">
        <v>1</v>
      </c>
      <c r="H526" s="9">
        <f>VLOOKUP(A526,[1]pricing!A:M,5,FALSE)</f>
        <v>27.05</v>
      </c>
      <c r="I526" s="10">
        <f>VLOOKUP(A526,[1]pricing!A:M,6,FALSE)</f>
        <v>35</v>
      </c>
    </row>
    <row r="527" spans="1:9" s="17" customFormat="1" ht="15" customHeight="1">
      <c r="A527" s="6">
        <v>2000021680</v>
      </c>
      <c r="B527" s="7" t="s">
        <v>116</v>
      </c>
      <c r="C527" s="7" t="str">
        <f>VLOOKUP(A527,[1]Translation!A:F,4,FALSE)</f>
        <v>Regenverdeck</v>
      </c>
      <c r="D527" s="7"/>
      <c r="E527" s="8" t="s">
        <v>10</v>
      </c>
      <c r="F527" s="8">
        <f>VLOOKUP(A527,'[1]PL ENG'!B:G,6, FALSE)</f>
        <v>4000984118070</v>
      </c>
      <c r="G527" s="8">
        <v>1</v>
      </c>
      <c r="H527" s="9">
        <f>VLOOKUP(A527,[1]pricing!A:M,5,FALSE)</f>
        <v>17.36</v>
      </c>
      <c r="I527" s="10">
        <f>VLOOKUP(A527,[1]pricing!A:M,6,FALSE)</f>
        <v>25</v>
      </c>
    </row>
    <row r="528" spans="1:9" s="40" customFormat="1" ht="15" customHeight="1">
      <c r="A528" s="6">
        <v>2000025579</v>
      </c>
      <c r="B528" s="7" t="s">
        <v>116</v>
      </c>
      <c r="C528" s="7" t="str">
        <f>VLOOKUP(A528,[1]Translation!A:F,4,FALSE)</f>
        <v>Schulter- und Hüftgurt</v>
      </c>
      <c r="D528" s="7"/>
      <c r="E528" s="8" t="s">
        <v>10</v>
      </c>
      <c r="F528" s="8" t="str">
        <f>VLOOKUP(A528,'[1]PL ENG'!B:G,6, FALSE)</f>
        <v>4000984150483</v>
      </c>
      <c r="G528" s="8">
        <v>1</v>
      </c>
      <c r="H528" s="9">
        <f>VLOOKUP(A528,[1]pricing!A:M,5,FALSE)</f>
        <v>17.36</v>
      </c>
      <c r="I528" s="10">
        <f>VLOOKUP(A528,[1]pricing!A:M,6,FALSE)</f>
        <v>15</v>
      </c>
    </row>
    <row r="529" spans="1:9" s="40" customFormat="1" ht="15" customHeight="1">
      <c r="A529" s="6">
        <v>2000025034</v>
      </c>
      <c r="B529" s="7" t="s">
        <v>119</v>
      </c>
      <c r="C529" s="7" t="str">
        <f>VLOOKUP(A529,[1]Translation!A:F,4,FALSE)</f>
        <v>Sitzeinheit Rahmen</v>
      </c>
      <c r="D529" s="7"/>
      <c r="E529" s="8" t="s">
        <v>10</v>
      </c>
      <c r="F529" s="8">
        <f>VLOOKUP(A529,'[1]PL ENG'!B:G,6, FALSE)</f>
        <v>4000984140279</v>
      </c>
      <c r="G529" s="8">
        <v>1</v>
      </c>
      <c r="H529" s="9">
        <f>VLOOKUP(A529,[1]pricing!A:M,5,FALSE)</f>
        <v>60.54</v>
      </c>
      <c r="I529" s="10">
        <f>VLOOKUP(A529,[1]pricing!A:M,6,FALSE)</f>
        <v>75</v>
      </c>
    </row>
    <row r="530" spans="1:9" s="40" customFormat="1" ht="15" customHeight="1">
      <c r="A530" s="6">
        <v>2000025035</v>
      </c>
      <c r="B530" s="7" t="s">
        <v>119</v>
      </c>
      <c r="C530" s="7" t="str">
        <f>VLOOKUP(A530,[1]Translation!A:F,4,FALSE)</f>
        <v>Chassis</v>
      </c>
      <c r="D530" s="7"/>
      <c r="E530" s="8" t="s">
        <v>10</v>
      </c>
      <c r="F530" s="8">
        <f>VLOOKUP(A530,'[1]PL ENG'!B:G,6, FALSE)</f>
        <v>4000984140286</v>
      </c>
      <c r="G530" s="8">
        <v>1</v>
      </c>
      <c r="H530" s="9">
        <f>VLOOKUP(A530,[1]pricing!A:M,5,FALSE)</f>
        <v>235.4</v>
      </c>
      <c r="I530" s="10">
        <f>VLOOKUP(A530,[1]pricing!A:M,6,FALSE)</f>
        <v>285</v>
      </c>
    </row>
    <row r="531" spans="1:9" s="40" customFormat="1" ht="15" customHeight="1">
      <c r="A531" s="6">
        <v>2000025036</v>
      </c>
      <c r="B531" s="7" t="s">
        <v>119</v>
      </c>
      <c r="C531" s="7" t="str">
        <f>VLOOKUP(A531,[1]Translation!A:F,4,FALSE)</f>
        <v>Spielbügel</v>
      </c>
      <c r="D531" s="7" t="s">
        <v>11</v>
      </c>
      <c r="E531" s="8" t="s">
        <v>10</v>
      </c>
      <c r="F531" s="8">
        <f>VLOOKUP(A531,'[1]PL ENG'!B:G,6, FALSE)</f>
        <v>4000984140293</v>
      </c>
      <c r="G531" s="8">
        <v>1</v>
      </c>
      <c r="H531" s="9">
        <f>VLOOKUP(A531,[1]pricing!A:M,5,FALSE)</f>
        <v>16.5</v>
      </c>
      <c r="I531" s="10">
        <f>VLOOKUP(A531,[1]pricing!A:M,6,FALSE)</f>
        <v>20</v>
      </c>
    </row>
    <row r="532" spans="1:9" s="40" customFormat="1" ht="15" customHeight="1">
      <c r="A532" s="6">
        <v>2000025037</v>
      </c>
      <c r="B532" s="7" t="s">
        <v>119</v>
      </c>
      <c r="C532" s="7" t="str">
        <f>VLOOKUP(A532,[1]Translation!A:F,4,FALSE)</f>
        <v>Korb</v>
      </c>
      <c r="D532" s="7"/>
      <c r="E532" s="8" t="s">
        <v>10</v>
      </c>
      <c r="F532" s="8">
        <f>VLOOKUP(A532,'[1]PL ENG'!B:G,6, FALSE)</f>
        <v>4000984140309</v>
      </c>
      <c r="G532" s="8">
        <v>1</v>
      </c>
      <c r="H532" s="9">
        <f>VLOOKUP(A532,[1]pricing!A:M,5,FALSE)</f>
        <v>27.05</v>
      </c>
      <c r="I532" s="10">
        <f>VLOOKUP(A532,[1]pricing!A:M,6,FALSE)</f>
        <v>35</v>
      </c>
    </row>
    <row r="533" spans="1:9" s="40" customFormat="1" ht="15" customHeight="1">
      <c r="A533" s="6">
        <v>2000025038</v>
      </c>
      <c r="B533" s="7" t="s">
        <v>119</v>
      </c>
      <c r="C533" s="7" t="str">
        <f>VLOOKUP(A533,[1]Translation!A:F,4,FALSE)</f>
        <v>Verdeck</v>
      </c>
      <c r="D533" s="7" t="s">
        <v>12</v>
      </c>
      <c r="E533" s="8" t="s">
        <v>10</v>
      </c>
      <c r="F533" s="8">
        <f>VLOOKUP(A533,'[1]PL ENG'!B:G,6, FALSE)</f>
        <v>4000984140316</v>
      </c>
      <c r="G533" s="8">
        <v>1</v>
      </c>
      <c r="H533" s="9">
        <f>VLOOKUP(A533,[1]pricing!A:M,5,FALSE)</f>
        <v>55.18</v>
      </c>
      <c r="I533" s="10">
        <f>VLOOKUP(A533,[1]pricing!A:M,6,FALSE)</f>
        <v>70</v>
      </c>
    </row>
    <row r="534" spans="1:9" s="40" customFormat="1" ht="15" customHeight="1">
      <c r="A534" s="6">
        <v>2000025039</v>
      </c>
      <c r="B534" s="7" t="s">
        <v>119</v>
      </c>
      <c r="C534" s="7" t="str">
        <f>VLOOKUP(A534,[1]Translation!A:F,4,FALSE)</f>
        <v>Verdeck</v>
      </c>
      <c r="D534" s="7" t="s">
        <v>11</v>
      </c>
      <c r="E534" s="8" t="s">
        <v>10</v>
      </c>
      <c r="F534" s="8">
        <f>VLOOKUP(A534,'[1]PL ENG'!B:G,6, FALSE)</f>
        <v>4000984140323</v>
      </c>
      <c r="G534" s="8">
        <v>1</v>
      </c>
      <c r="H534" s="9">
        <f>VLOOKUP(A534,[1]pricing!A:M,5,FALSE)</f>
        <v>55.18</v>
      </c>
      <c r="I534" s="10">
        <f>VLOOKUP(A534,[1]pricing!A:M,6,FALSE)</f>
        <v>70</v>
      </c>
    </row>
    <row r="535" spans="1:9" s="40" customFormat="1" ht="15" customHeight="1">
      <c r="A535" s="6">
        <v>2000025040</v>
      </c>
      <c r="B535" s="7" t="s">
        <v>119</v>
      </c>
      <c r="C535" s="7" t="str">
        <f>VLOOKUP(A535,[1]Translation!A:F,4,FALSE)</f>
        <v>Verdeck</v>
      </c>
      <c r="D535" s="7" t="s">
        <v>92</v>
      </c>
      <c r="E535" s="8" t="s">
        <v>10</v>
      </c>
      <c r="F535" s="8">
        <f>VLOOKUP(A535,'[1]PL ENG'!B:G,6, FALSE)</f>
        <v>4000984140576</v>
      </c>
      <c r="G535" s="8">
        <v>1</v>
      </c>
      <c r="H535" s="9">
        <f>VLOOKUP(A535,[1]pricing!A:M,5,FALSE)</f>
        <v>55.18</v>
      </c>
      <c r="I535" s="10">
        <f>VLOOKUP(A535,[1]pricing!A:M,6,FALSE)</f>
        <v>70</v>
      </c>
    </row>
    <row r="536" spans="1:9" s="40" customFormat="1" ht="15" customHeight="1">
      <c r="A536" s="6">
        <v>2000025041</v>
      </c>
      <c r="B536" s="7" t="s">
        <v>119</v>
      </c>
      <c r="C536" s="7" t="str">
        <f>VLOOKUP(A536,[1]Translation!A:F,4,FALSE)</f>
        <v>Verdeck</v>
      </c>
      <c r="D536" s="7" t="s">
        <v>16</v>
      </c>
      <c r="E536" s="8" t="s">
        <v>10</v>
      </c>
      <c r="F536" s="8">
        <f>VLOOKUP(A536,'[1]PL ENG'!B:G,6, FALSE)</f>
        <v>4000984140583</v>
      </c>
      <c r="G536" s="8">
        <v>1</v>
      </c>
      <c r="H536" s="9">
        <f>VLOOKUP(A536,[1]pricing!A:M,5,FALSE)</f>
        <v>55.18</v>
      </c>
      <c r="I536" s="10">
        <f>VLOOKUP(A536,[1]pricing!A:M,6,FALSE)</f>
        <v>70</v>
      </c>
    </row>
    <row r="537" spans="1:9" s="40" customFormat="1" ht="15" customHeight="1">
      <c r="A537" s="6">
        <v>2000025042</v>
      </c>
      <c r="B537" s="7" t="s">
        <v>119</v>
      </c>
      <c r="C537" s="7" t="str">
        <f>VLOOKUP(A537,[1]Translation!A:F,4,FALSE)</f>
        <v>Verdeck</v>
      </c>
      <c r="D537" s="7" t="s">
        <v>58</v>
      </c>
      <c r="E537" s="8" t="s">
        <v>10</v>
      </c>
      <c r="F537" s="8">
        <f>VLOOKUP(A537,'[1]PL ENG'!B:G,6, FALSE)</f>
        <v>4000984140590</v>
      </c>
      <c r="G537" s="8">
        <v>1</v>
      </c>
      <c r="H537" s="9">
        <f>VLOOKUP(A537,[1]pricing!A:M,5,FALSE)</f>
        <v>55.18</v>
      </c>
      <c r="I537" s="10">
        <f>VLOOKUP(A537,[1]pricing!A:M,6,FALSE)</f>
        <v>70</v>
      </c>
    </row>
    <row r="538" spans="1:9" s="40" customFormat="1" ht="15" customHeight="1">
      <c r="A538" s="6">
        <v>2000025043</v>
      </c>
      <c r="B538" s="7" t="s">
        <v>119</v>
      </c>
      <c r="C538" s="7" t="str">
        <f>VLOOKUP(A538,[1]Translation!A:F,4,FALSE)</f>
        <v>Verdeck</v>
      </c>
      <c r="D538" s="7" t="s">
        <v>91</v>
      </c>
      <c r="E538" s="8" t="s">
        <v>10</v>
      </c>
      <c r="F538" s="8">
        <f>VLOOKUP(A538,'[1]PL ENG'!B:G,6, FALSE)</f>
        <v>4000984140606</v>
      </c>
      <c r="G538" s="8">
        <v>1</v>
      </c>
      <c r="H538" s="9">
        <f>VLOOKUP(A538,[1]pricing!A:M,5,FALSE)</f>
        <v>55.18</v>
      </c>
      <c r="I538" s="10">
        <f>VLOOKUP(A538,[1]pricing!A:M,6,FALSE)</f>
        <v>70</v>
      </c>
    </row>
    <row r="539" spans="1:9" s="40" customFormat="1" ht="15" customHeight="1">
      <c r="A539" s="6">
        <v>2000025044</v>
      </c>
      <c r="B539" s="7" t="s">
        <v>119</v>
      </c>
      <c r="C539" s="7" t="str">
        <f>VLOOKUP(A539,[1]Translation!A:F,4,FALSE)</f>
        <v>Verdeck</v>
      </c>
      <c r="D539" s="7" t="s">
        <v>120</v>
      </c>
      <c r="E539" s="8" t="s">
        <v>10</v>
      </c>
      <c r="F539" s="8">
        <f>VLOOKUP(A539,'[1]PL ENG'!B:G,6, FALSE)</f>
        <v>4000984140736</v>
      </c>
      <c r="G539" s="8">
        <v>1</v>
      </c>
      <c r="H539" s="9">
        <f>VLOOKUP(A539,[1]pricing!A:M,5,FALSE)</f>
        <v>55.18</v>
      </c>
      <c r="I539" s="10">
        <f>VLOOKUP(A539,[1]pricing!A:M,6,FALSE)</f>
        <v>70</v>
      </c>
    </row>
    <row r="540" spans="1:9" s="40" customFormat="1" ht="15" customHeight="1">
      <c r="A540" s="6">
        <v>2000025045</v>
      </c>
      <c r="B540" s="7" t="s">
        <v>119</v>
      </c>
      <c r="C540" s="7" t="str">
        <f>VLOOKUP(A540,[1]Translation!A:F,4,FALSE)</f>
        <v>Verdeck</v>
      </c>
      <c r="D540" s="7" t="s">
        <v>13</v>
      </c>
      <c r="E540" s="8" t="s">
        <v>10</v>
      </c>
      <c r="F540" s="8">
        <f>VLOOKUP(A540,'[1]PL ENG'!B:G,6, FALSE)</f>
        <v>4000984140743</v>
      </c>
      <c r="G540" s="8">
        <v>1</v>
      </c>
      <c r="H540" s="9">
        <f>VLOOKUP(A540,[1]pricing!A:M,5,FALSE)</f>
        <v>55.18</v>
      </c>
      <c r="I540" s="10">
        <f>VLOOKUP(A540,[1]pricing!A:M,6,FALSE)</f>
        <v>70</v>
      </c>
    </row>
    <row r="541" spans="1:9" s="40" customFormat="1" ht="15" customHeight="1">
      <c r="A541" s="6">
        <v>2000025046</v>
      </c>
      <c r="B541" s="7" t="s">
        <v>119</v>
      </c>
      <c r="C541" s="7" t="str">
        <f>VLOOKUP(A541,[1]Translation!A:F,4,FALSE)</f>
        <v>Windschutz</v>
      </c>
      <c r="D541" s="7" t="s">
        <v>11</v>
      </c>
      <c r="E541" s="8" t="s">
        <v>10</v>
      </c>
      <c r="F541" s="8">
        <f>VLOOKUP(A541,'[1]PL ENG'!B:G,6, FALSE)</f>
        <v>4000984140750</v>
      </c>
      <c r="G541" s="8">
        <v>1</v>
      </c>
      <c r="H541" s="9">
        <f>VLOOKUP(A541,[1]pricing!A:M,5,FALSE)</f>
        <v>26.85</v>
      </c>
      <c r="I541" s="10">
        <f>VLOOKUP(A541,[1]pricing!A:M,6,FALSE)</f>
        <v>35</v>
      </c>
    </row>
    <row r="542" spans="1:9" s="40" customFormat="1" ht="15" customHeight="1">
      <c r="A542" s="6">
        <v>2000025047</v>
      </c>
      <c r="B542" s="7" t="s">
        <v>119</v>
      </c>
      <c r="C542" s="7" t="str">
        <f>VLOOKUP(A542,[1]Translation!A:F,4,FALSE)</f>
        <v>Sitzeinheit mit Gurt und Spielbügelbezug</v>
      </c>
      <c r="D542" s="7" t="s">
        <v>12</v>
      </c>
      <c r="E542" s="8" t="s">
        <v>10</v>
      </c>
      <c r="F542" s="8">
        <f>VLOOKUP(A542,'[1]PL ENG'!B:G,6, FALSE)</f>
        <v>4000984140767</v>
      </c>
      <c r="G542" s="8">
        <v>1</v>
      </c>
      <c r="H542" s="9">
        <f>VLOOKUP(A542,[1]pricing!A:M,5,FALSE)</f>
        <v>63.8</v>
      </c>
      <c r="I542" s="10">
        <f>VLOOKUP(A542,[1]pricing!A:M,6,FALSE)</f>
        <v>80</v>
      </c>
    </row>
    <row r="543" spans="1:9" s="40" customFormat="1" ht="15" customHeight="1">
      <c r="A543" s="6">
        <v>2000025048</v>
      </c>
      <c r="B543" s="7" t="s">
        <v>119</v>
      </c>
      <c r="C543" s="7" t="str">
        <f>VLOOKUP(A543,[1]Translation!A:F,4,FALSE)</f>
        <v>Sitzeinheit mit Gurt und Spielbügelbezug</v>
      </c>
      <c r="D543" s="7" t="s">
        <v>11</v>
      </c>
      <c r="E543" s="8" t="s">
        <v>10</v>
      </c>
      <c r="F543" s="8">
        <f>VLOOKUP(A543,'[1]PL ENG'!B:G,6, FALSE)</f>
        <v>4000984140798</v>
      </c>
      <c r="G543" s="8">
        <v>1</v>
      </c>
      <c r="H543" s="9">
        <f>VLOOKUP(A543,[1]pricing!A:M,5,FALSE)</f>
        <v>63.8</v>
      </c>
      <c r="I543" s="10">
        <f>VLOOKUP(A543,[1]pricing!A:M,6,FALSE)</f>
        <v>80</v>
      </c>
    </row>
    <row r="544" spans="1:9" s="40" customFormat="1" ht="15" customHeight="1">
      <c r="A544" s="6">
        <v>2000025049</v>
      </c>
      <c r="B544" s="7" t="s">
        <v>119</v>
      </c>
      <c r="C544" s="7" t="str">
        <f>VLOOKUP(A544,[1]Translation!A:F,4,FALSE)</f>
        <v>Sitzeinheit mit Gurt und Spielbügelbezug</v>
      </c>
      <c r="D544" s="7" t="s">
        <v>92</v>
      </c>
      <c r="E544" s="8" t="s">
        <v>10</v>
      </c>
      <c r="F544" s="8">
        <f>VLOOKUP(A544,'[1]PL ENG'!B:G,6, FALSE)</f>
        <v>4000984140828</v>
      </c>
      <c r="G544" s="8">
        <v>1</v>
      </c>
      <c r="H544" s="9">
        <f>VLOOKUP(A544,[1]pricing!A:M,5,FALSE)</f>
        <v>63.8</v>
      </c>
      <c r="I544" s="10">
        <f>VLOOKUP(A544,[1]pricing!A:M,6,FALSE)</f>
        <v>80</v>
      </c>
    </row>
    <row r="545" spans="1:9" s="40" customFormat="1" ht="15" customHeight="1">
      <c r="A545" s="6">
        <v>2000025050</v>
      </c>
      <c r="B545" s="7" t="s">
        <v>119</v>
      </c>
      <c r="C545" s="7" t="str">
        <f>VLOOKUP(A545,[1]Translation!A:F,4,FALSE)</f>
        <v>Sitzeinheit mit Gurt und Spielbügelbezug</v>
      </c>
      <c r="D545" s="7" t="s">
        <v>16</v>
      </c>
      <c r="E545" s="8" t="s">
        <v>10</v>
      </c>
      <c r="F545" s="8">
        <f>VLOOKUP(A545,'[1]PL ENG'!B:G,6, FALSE)</f>
        <v>4000984140835</v>
      </c>
      <c r="G545" s="8">
        <v>1</v>
      </c>
      <c r="H545" s="9">
        <f>VLOOKUP(A545,[1]pricing!A:M,5,FALSE)</f>
        <v>63.8</v>
      </c>
      <c r="I545" s="10">
        <f>VLOOKUP(A545,[1]pricing!A:M,6,FALSE)</f>
        <v>80</v>
      </c>
    </row>
    <row r="546" spans="1:9" s="40" customFormat="1" ht="15" customHeight="1">
      <c r="A546" s="6">
        <v>2000025051</v>
      </c>
      <c r="B546" s="7" t="s">
        <v>119</v>
      </c>
      <c r="C546" s="7" t="str">
        <f>VLOOKUP(A546,[1]Translation!A:F,4,FALSE)</f>
        <v>Sitzeinheit mit Gurt und Spielbügelbezug</v>
      </c>
      <c r="D546" s="7" t="s">
        <v>58</v>
      </c>
      <c r="E546" s="8" t="s">
        <v>10</v>
      </c>
      <c r="F546" s="8">
        <f>VLOOKUP(A546,'[1]PL ENG'!B:G,6, FALSE)</f>
        <v>4000984140859</v>
      </c>
      <c r="G546" s="8">
        <v>1</v>
      </c>
      <c r="H546" s="9">
        <f>VLOOKUP(A546,[1]pricing!A:M,5,FALSE)</f>
        <v>63.8</v>
      </c>
      <c r="I546" s="10">
        <f>VLOOKUP(A546,[1]pricing!A:M,6,FALSE)</f>
        <v>80</v>
      </c>
    </row>
    <row r="547" spans="1:9" s="40" customFormat="1" ht="15" customHeight="1">
      <c r="A547" s="6">
        <v>2000025052</v>
      </c>
      <c r="B547" s="7" t="s">
        <v>119</v>
      </c>
      <c r="C547" s="7" t="str">
        <f>VLOOKUP(A547,[1]Translation!A:F,4,FALSE)</f>
        <v>Sitzeinheit mit Gurt und Spielbügelbezug</v>
      </c>
      <c r="D547" s="7" t="s">
        <v>91</v>
      </c>
      <c r="E547" s="8" t="s">
        <v>10</v>
      </c>
      <c r="F547" s="8">
        <f>VLOOKUP(A547,'[1]PL ENG'!B:G,6, FALSE)</f>
        <v>4000984140866</v>
      </c>
      <c r="G547" s="8">
        <v>1</v>
      </c>
      <c r="H547" s="9">
        <f>VLOOKUP(A547,[1]pricing!A:M,5,FALSE)</f>
        <v>63.8</v>
      </c>
      <c r="I547" s="10">
        <f>VLOOKUP(A547,[1]pricing!A:M,6,FALSE)</f>
        <v>80</v>
      </c>
    </row>
    <row r="548" spans="1:9" s="40" customFormat="1" ht="15" customHeight="1">
      <c r="A548" s="6">
        <v>2000025053</v>
      </c>
      <c r="B548" s="7" t="s">
        <v>119</v>
      </c>
      <c r="C548" s="7" t="str">
        <f>VLOOKUP(A548,[1]Translation!A:F,4,FALSE)</f>
        <v>Sitzeinheit mit Gurt und Spielbügelbezug</v>
      </c>
      <c r="D548" s="7" t="s">
        <v>120</v>
      </c>
      <c r="E548" s="8" t="s">
        <v>10</v>
      </c>
      <c r="F548" s="8">
        <f>VLOOKUP(A548,'[1]PL ENG'!B:G,6, FALSE)</f>
        <v>4000984141498</v>
      </c>
      <c r="G548" s="8">
        <v>1</v>
      </c>
      <c r="H548" s="9">
        <f>VLOOKUP(A548,[1]pricing!A:M,5,FALSE)</f>
        <v>63.8</v>
      </c>
      <c r="I548" s="10">
        <f>VLOOKUP(A548,[1]pricing!A:M,6,FALSE)</f>
        <v>80</v>
      </c>
    </row>
    <row r="549" spans="1:9" s="40" customFormat="1" ht="15" customHeight="1">
      <c r="A549" s="6">
        <v>2000025054</v>
      </c>
      <c r="B549" s="7" t="s">
        <v>119</v>
      </c>
      <c r="C549" s="7" t="str">
        <f>VLOOKUP(A549,[1]Translation!A:F,4,FALSE)</f>
        <v>Sitzeinheit mit Gurt und Spielbügelbezug</v>
      </c>
      <c r="D549" s="7" t="s">
        <v>13</v>
      </c>
      <c r="E549" s="8" t="s">
        <v>10</v>
      </c>
      <c r="F549" s="8">
        <f>VLOOKUP(A549,'[1]PL ENG'!B:G,6, FALSE)</f>
        <v>4000984141924</v>
      </c>
      <c r="G549" s="8">
        <v>1</v>
      </c>
      <c r="H549" s="9">
        <f>VLOOKUP(A549,[1]pricing!A:M,5,FALSE)</f>
        <v>63.8</v>
      </c>
      <c r="I549" s="10">
        <f>VLOOKUP(A549,[1]pricing!A:M,6,FALSE)</f>
        <v>80</v>
      </c>
    </row>
    <row r="550" spans="1:9" s="40" customFormat="1" ht="15" customHeight="1">
      <c r="A550" s="45">
        <v>2000026805</v>
      </c>
      <c r="B550" s="7" t="s">
        <v>119</v>
      </c>
      <c r="C550" s="7" t="str">
        <f>VLOOKUP(A550,[1]Translation!A:F,4,FALSE)</f>
        <v>Sitzeinheit mit Gurt und Spielbügelbezug</v>
      </c>
      <c r="D550" s="44" t="s">
        <v>15</v>
      </c>
      <c r="E550" s="8" t="s">
        <v>10</v>
      </c>
      <c r="F550" s="8" t="str">
        <f>VLOOKUP(A550,'[1]PL ENG'!B:G,6, FALSE)</f>
        <v>4000984157932</v>
      </c>
      <c r="G550" s="8">
        <v>1</v>
      </c>
      <c r="H550" s="9">
        <f>VLOOKUP(A550,[1]pricing!A:M,5,FALSE)</f>
        <v>63.8</v>
      </c>
      <c r="I550" s="10">
        <f>VLOOKUP(A550,[1]pricing!A:M,6,FALSE)</f>
        <v>80</v>
      </c>
    </row>
    <row r="551" spans="1:9" s="40" customFormat="1" ht="15" customHeight="1">
      <c r="A551" s="45">
        <v>2000026806</v>
      </c>
      <c r="B551" s="7" t="s">
        <v>119</v>
      </c>
      <c r="C551" s="7" t="str">
        <f>VLOOKUP(A551,[1]Translation!A:F,4,FALSE)</f>
        <v>Sitzeinheit mit Gurt und Spielbügelbezug</v>
      </c>
      <c r="D551" s="44" t="s">
        <v>121</v>
      </c>
      <c r="E551" s="8" t="s">
        <v>10</v>
      </c>
      <c r="F551" s="8" t="str">
        <f>VLOOKUP(A551,'[1]PL ENG'!B:G,6, FALSE)</f>
        <v>4000984157949</v>
      </c>
      <c r="G551" s="8">
        <v>1</v>
      </c>
      <c r="H551" s="9">
        <f>VLOOKUP(A551,[1]pricing!A:M,5,FALSE)</f>
        <v>63.8</v>
      </c>
      <c r="I551" s="10">
        <f>VLOOKUP(A551,[1]pricing!A:M,6,FALSE)</f>
        <v>80</v>
      </c>
    </row>
    <row r="552" spans="1:9" s="40" customFormat="1" ht="15" customHeight="1">
      <c r="A552" s="45">
        <v>2000026807</v>
      </c>
      <c r="B552" s="7" t="s">
        <v>119</v>
      </c>
      <c r="C552" s="7" t="str">
        <f>VLOOKUP(A552,[1]Translation!A:F,4,FALSE)</f>
        <v>Sitzeinheit mit Gurt und Spielbügelbezug</v>
      </c>
      <c r="D552" s="44" t="s">
        <v>94</v>
      </c>
      <c r="E552" s="8" t="s">
        <v>10</v>
      </c>
      <c r="F552" s="8" t="str">
        <f>VLOOKUP(A552,'[1]PL ENG'!B:G,6, FALSE)</f>
        <v>4000984157956</v>
      </c>
      <c r="G552" s="8">
        <v>1</v>
      </c>
      <c r="H552" s="9">
        <f>VLOOKUP(A552,[1]pricing!A:M,5,FALSE)</f>
        <v>63.8</v>
      </c>
      <c r="I552" s="10">
        <f>VLOOKUP(A552,[1]pricing!A:M,6,FALSE)</f>
        <v>80</v>
      </c>
    </row>
    <row r="553" spans="1:9" s="40" customFormat="1" ht="15" customHeight="1">
      <c r="A553" s="45">
        <v>2000029261</v>
      </c>
      <c r="B553" s="7" t="s">
        <v>119</v>
      </c>
      <c r="C553" s="7" t="str">
        <f>VLOOKUP(A553,[1]Translation!A:F,4,FALSE)</f>
        <v>Sitzeinheit mit Gurt und Spielbügelbezug</v>
      </c>
      <c r="D553" s="44" t="s">
        <v>122</v>
      </c>
      <c r="E553" s="8" t="s">
        <v>10</v>
      </c>
      <c r="F553" s="8">
        <f>VLOOKUP(A553,'[1]PL ENG'!B:G,6, FALSE)</f>
        <v>4000984190519</v>
      </c>
      <c r="G553" s="8">
        <v>1</v>
      </c>
      <c r="H553" s="9">
        <f>VLOOKUP(A553,[1]pricing!A:M,5,FALSE)</f>
        <v>70.180000000000007</v>
      </c>
      <c r="I553" s="10">
        <f>VLOOKUP(A553,[1]pricing!A:M,6,FALSE)</f>
        <v>84</v>
      </c>
    </row>
    <row r="554" spans="1:9" s="40" customFormat="1" ht="15" customHeight="1">
      <c r="A554" s="45">
        <v>2000029262</v>
      </c>
      <c r="B554" s="7" t="s">
        <v>119</v>
      </c>
      <c r="C554" s="7" t="str">
        <f>VLOOKUP(A554,[1]Translation!A:F,4,FALSE)</f>
        <v>Sitzeinheit mit Gurt und Spielbügelbezug</v>
      </c>
      <c r="D554" s="44" t="s">
        <v>123</v>
      </c>
      <c r="E554" s="8" t="s">
        <v>10</v>
      </c>
      <c r="F554" s="8">
        <f>VLOOKUP(A554,'[1]PL ENG'!B:G,6, FALSE)</f>
        <v>4000984190526</v>
      </c>
      <c r="G554" s="8">
        <v>1</v>
      </c>
      <c r="H554" s="9">
        <f>VLOOKUP(A554,[1]pricing!A:M,5,FALSE)</f>
        <v>70.180000000000007</v>
      </c>
      <c r="I554" s="10">
        <f>VLOOKUP(A554,[1]pricing!A:M,6,FALSE)</f>
        <v>84</v>
      </c>
    </row>
    <row r="555" spans="1:9" s="40" customFormat="1" ht="15" customHeight="1">
      <c r="A555" s="45">
        <v>2000029263</v>
      </c>
      <c r="B555" s="7" t="s">
        <v>119</v>
      </c>
      <c r="C555" s="7" t="str">
        <f>VLOOKUP(A555,[1]Translation!A:F,4,FALSE)</f>
        <v>Sitzeinheit mit Gurt und Spielbügelbezug</v>
      </c>
      <c r="D555" s="44" t="s">
        <v>124</v>
      </c>
      <c r="E555" s="8" t="s">
        <v>10</v>
      </c>
      <c r="F555" s="8">
        <f>VLOOKUP(A555,'[1]PL ENG'!B:G,6, FALSE)</f>
        <v>4000984190533</v>
      </c>
      <c r="G555" s="8">
        <v>1</v>
      </c>
      <c r="H555" s="9">
        <f>VLOOKUP(A555,[1]pricing!A:M,5,FALSE)</f>
        <v>70.180000000000007</v>
      </c>
      <c r="I555" s="10">
        <f>VLOOKUP(A555,[1]pricing!A:M,6,FALSE)</f>
        <v>84</v>
      </c>
    </row>
    <row r="556" spans="1:9" s="40" customFormat="1" ht="15" customHeight="1">
      <c r="A556" s="45">
        <v>2000026802</v>
      </c>
      <c r="B556" s="7" t="s">
        <v>119</v>
      </c>
      <c r="C556" s="7" t="str">
        <f>VLOOKUP(A556,[1]Translation!A:F,4,FALSE)</f>
        <v>Verdeck</v>
      </c>
      <c r="D556" s="44" t="s">
        <v>15</v>
      </c>
      <c r="E556" s="8" t="s">
        <v>10</v>
      </c>
      <c r="F556" s="8" t="str">
        <f>VLOOKUP(A556,'[1]PL ENG'!B:G,6, FALSE)</f>
        <v>4000984157901</v>
      </c>
      <c r="G556" s="8">
        <v>1</v>
      </c>
      <c r="H556" s="9">
        <f>VLOOKUP(A556,[1]pricing!A:M,5,FALSE)</f>
        <v>55.18</v>
      </c>
      <c r="I556" s="10">
        <f>VLOOKUP(A556,[1]pricing!A:M,6,FALSE)</f>
        <v>55</v>
      </c>
    </row>
    <row r="557" spans="1:9" s="40" customFormat="1" ht="15" customHeight="1">
      <c r="A557" s="45">
        <v>2000026803</v>
      </c>
      <c r="B557" s="7" t="s">
        <v>119</v>
      </c>
      <c r="C557" s="7" t="str">
        <f>VLOOKUP(A557,[1]Translation!A:F,4,FALSE)</f>
        <v>Verdeck</v>
      </c>
      <c r="D557" s="44" t="s">
        <v>121</v>
      </c>
      <c r="E557" s="8" t="s">
        <v>10</v>
      </c>
      <c r="F557" s="8" t="str">
        <f>VLOOKUP(A557,'[1]PL ENG'!B:G,6, FALSE)</f>
        <v>4000984157918</v>
      </c>
      <c r="G557" s="8">
        <v>1</v>
      </c>
      <c r="H557" s="9">
        <f>VLOOKUP(A557,[1]pricing!A:M,5,FALSE)</f>
        <v>55.18</v>
      </c>
      <c r="I557" s="10">
        <f>VLOOKUP(A557,[1]pricing!A:M,6,FALSE)</f>
        <v>55</v>
      </c>
    </row>
    <row r="558" spans="1:9" s="40" customFormat="1" ht="15" customHeight="1">
      <c r="A558" s="45">
        <v>2000026804</v>
      </c>
      <c r="B558" s="7" t="s">
        <v>119</v>
      </c>
      <c r="C558" s="7" t="str">
        <f>VLOOKUP(A558,[1]Translation!A:F,4,FALSE)</f>
        <v>Verdeck</v>
      </c>
      <c r="D558" s="44" t="s">
        <v>94</v>
      </c>
      <c r="E558" s="8" t="s">
        <v>10</v>
      </c>
      <c r="F558" s="8" t="str">
        <f>VLOOKUP(A558,'[1]PL ENG'!B:G,6, FALSE)</f>
        <v>4000984157925</v>
      </c>
      <c r="G558" s="8">
        <v>1</v>
      </c>
      <c r="H558" s="9">
        <f>VLOOKUP(A558,[1]pricing!A:M,5,FALSE)</f>
        <v>55.18</v>
      </c>
      <c r="I558" s="10">
        <f>VLOOKUP(A558,[1]pricing!A:M,6,FALSE)</f>
        <v>55</v>
      </c>
    </row>
    <row r="559" spans="1:9" s="40" customFormat="1" ht="15" customHeight="1">
      <c r="A559" s="45">
        <v>2000029237</v>
      </c>
      <c r="B559" s="7" t="s">
        <v>119</v>
      </c>
      <c r="C559" s="7" t="str">
        <f>VLOOKUP(A559,[1]Translation!A:F,4,FALSE)</f>
        <v>Verdeck</v>
      </c>
      <c r="D559" s="44" t="s">
        <v>122</v>
      </c>
      <c r="E559" s="8" t="s">
        <v>10</v>
      </c>
      <c r="F559" s="8">
        <f>VLOOKUP(A559,'[1]PL ENG'!B:G,6, FALSE)</f>
        <v>4000984190489</v>
      </c>
      <c r="G559" s="8">
        <v>1</v>
      </c>
      <c r="H559" s="9">
        <f>VLOOKUP(A559,[1]pricing!A:M,5,FALSE)</f>
        <v>60.7</v>
      </c>
      <c r="I559" s="10">
        <f>VLOOKUP(A559,[1]pricing!A:M,6,FALSE)</f>
        <v>73</v>
      </c>
    </row>
    <row r="560" spans="1:9" s="40" customFormat="1" ht="15" customHeight="1">
      <c r="A560" s="45">
        <v>2000029239</v>
      </c>
      <c r="B560" s="7" t="s">
        <v>119</v>
      </c>
      <c r="C560" s="7" t="str">
        <f>VLOOKUP(A560,[1]Translation!A:F,4,FALSE)</f>
        <v>Verdeck</v>
      </c>
      <c r="D560" s="44" t="s">
        <v>123</v>
      </c>
      <c r="E560" s="8" t="s">
        <v>10</v>
      </c>
      <c r="F560" s="8">
        <f>VLOOKUP(A560,'[1]PL ENG'!B:G,6, FALSE)</f>
        <v>4000984190502</v>
      </c>
      <c r="G560" s="8">
        <v>1</v>
      </c>
      <c r="H560" s="9">
        <f>VLOOKUP(A560,[1]pricing!A:M,5,FALSE)</f>
        <v>60.7</v>
      </c>
      <c r="I560" s="10">
        <f>VLOOKUP(A560,[1]pricing!A:M,6,FALSE)</f>
        <v>73</v>
      </c>
    </row>
    <row r="561" spans="1:9" s="40" customFormat="1" ht="15" customHeight="1">
      <c r="A561" s="45">
        <v>2000029238</v>
      </c>
      <c r="B561" s="7" t="s">
        <v>119</v>
      </c>
      <c r="C561" s="7" t="str">
        <f>VLOOKUP(A561,[1]Translation!A:F,4,FALSE)</f>
        <v>Verdeck</v>
      </c>
      <c r="D561" s="44" t="s">
        <v>124</v>
      </c>
      <c r="E561" s="8" t="s">
        <v>10</v>
      </c>
      <c r="F561" s="8">
        <f>VLOOKUP(A561,'[1]PL ENG'!B:G,6, FALSE)</f>
        <v>4000984190496</v>
      </c>
      <c r="G561" s="8">
        <v>1</v>
      </c>
      <c r="H561" s="9">
        <f>VLOOKUP(A561,[1]pricing!A:M,5,FALSE)</f>
        <v>60.7</v>
      </c>
      <c r="I561" s="10">
        <f>VLOOKUP(A561,[1]pricing!A:M,6,FALSE)</f>
        <v>73</v>
      </c>
    </row>
    <row r="562" spans="1:9" s="46" customFormat="1">
      <c r="A562" s="6">
        <v>2000025460</v>
      </c>
      <c r="B562" s="7" t="s">
        <v>119</v>
      </c>
      <c r="C562" s="7" t="str">
        <f>VLOOKUP(A562,[1]Translation!A:F,4,FALSE)</f>
        <v>Schulter- und Hüftgurt</v>
      </c>
      <c r="D562" s="7"/>
      <c r="E562" s="8" t="s">
        <v>10</v>
      </c>
      <c r="F562" s="8" t="str">
        <f>VLOOKUP(A562,'[1]PL ENG'!B:G,6, FALSE)</f>
        <v>4000984149531</v>
      </c>
      <c r="G562" s="8">
        <v>1</v>
      </c>
      <c r="H562" s="9">
        <f>VLOOKUP(A562,[1]pricing!A:M,5,FALSE)</f>
        <v>17.36</v>
      </c>
      <c r="I562" s="10">
        <f>VLOOKUP(A562,[1]pricing!A:M,6,FALSE)</f>
        <v>21</v>
      </c>
    </row>
    <row r="563" spans="1:9" s="40" customFormat="1" ht="15" customHeight="1">
      <c r="A563" s="20">
        <v>2000025113</v>
      </c>
      <c r="B563" s="7" t="s">
        <v>119</v>
      </c>
      <c r="C563" s="7" t="str">
        <f>VLOOKUP(A563,[1]Translation!A:F,4,FALSE)</f>
        <v xml:space="preserve">Griff-Reparatur Set </v>
      </c>
      <c r="D563" s="38"/>
      <c r="E563" s="8" t="s">
        <v>43</v>
      </c>
      <c r="F563" s="8">
        <f>VLOOKUP(A563,'[1]PL ENG'!B:G,6, FALSE)</f>
        <v>4000984144109</v>
      </c>
      <c r="G563" s="22">
        <v>1</v>
      </c>
      <c r="H563" s="9">
        <f>VLOOKUP(A563,[1]pricing!A:M,5,FALSE)</f>
        <v>22.54</v>
      </c>
      <c r="I563" s="10">
        <f>VLOOKUP(A563,[1]pricing!A:M,6,FALSE)</f>
        <v>27</v>
      </c>
    </row>
    <row r="564" spans="1:9" s="40" customFormat="1" ht="15" customHeight="1">
      <c r="A564" s="6" t="s">
        <v>125</v>
      </c>
      <c r="B564" s="7" t="s">
        <v>119</v>
      </c>
      <c r="C564" s="7" t="str">
        <f>VLOOKUP(A564,[1]Translation!A:F,4,FALSE)</f>
        <v>Schlauch hinten</v>
      </c>
      <c r="D564" s="7"/>
      <c r="E564" s="8" t="s">
        <v>10</v>
      </c>
      <c r="F564" s="8">
        <f>VLOOKUP(A564,'[1]PL ENG'!B:G,6, FALSE)</f>
        <v>4000984130287</v>
      </c>
      <c r="G564" s="8">
        <v>1</v>
      </c>
      <c r="H564" s="9">
        <f>VLOOKUP(A564,[1]pricing!A:M,5,FALSE)</f>
        <v>3.76</v>
      </c>
      <c r="I564" s="10">
        <f>VLOOKUP(A564,[1]pricing!A:M,6,FALSE)</f>
        <v>5</v>
      </c>
    </row>
    <row r="565" spans="1:9" s="40" customFormat="1" ht="15" customHeight="1">
      <c r="A565" s="6" t="s">
        <v>126</v>
      </c>
      <c r="B565" s="7" t="s">
        <v>119</v>
      </c>
      <c r="C565" s="7" t="str">
        <f>VLOOKUP(A565,[1]Translation!A:F,4,FALSE)</f>
        <v>Schlauch vorne</v>
      </c>
      <c r="D565" s="7"/>
      <c r="E565" s="8" t="s">
        <v>10</v>
      </c>
      <c r="F565" s="8">
        <f>VLOOKUP(A565,'[1]PL ENG'!B:G,6, FALSE)</f>
        <v>4000984130270</v>
      </c>
      <c r="G565" s="8">
        <v>1</v>
      </c>
      <c r="H565" s="9">
        <f>VLOOKUP(A565,[1]pricing!A:M,5,FALSE)</f>
        <v>7.33</v>
      </c>
      <c r="I565" s="10">
        <f>VLOOKUP(A565,[1]pricing!A:M,6,FALSE)</f>
        <v>10</v>
      </c>
    </row>
    <row r="566" spans="1:9" s="40" customFormat="1" ht="15" customHeight="1">
      <c r="A566" s="6" t="s">
        <v>127</v>
      </c>
      <c r="B566" s="7" t="s">
        <v>119</v>
      </c>
      <c r="C566" s="7" t="str">
        <f>VLOOKUP(A566,[1]Translation!A:F,4,FALSE)</f>
        <v>Hinterräder</v>
      </c>
      <c r="D566" s="7" t="s">
        <v>24</v>
      </c>
      <c r="E566" s="8" t="s">
        <v>10</v>
      </c>
      <c r="F566" s="8">
        <f>VLOOKUP(A566,'[1]PL ENG'!B:G,6, FALSE)</f>
        <v>4000984130041</v>
      </c>
      <c r="G566" s="8">
        <v>1</v>
      </c>
      <c r="H566" s="9">
        <f>VLOOKUP(A566,[1]pricing!A:M,5,FALSE)</f>
        <v>30.66</v>
      </c>
      <c r="I566" s="10">
        <f>VLOOKUP(A566,[1]pricing!A:M,6,FALSE)</f>
        <v>40</v>
      </c>
    </row>
    <row r="567" spans="1:9" s="40" customFormat="1" ht="15" customHeight="1">
      <c r="A567" s="6" t="s">
        <v>128</v>
      </c>
      <c r="B567" s="7" t="s">
        <v>119</v>
      </c>
      <c r="C567" s="7" t="str">
        <f>VLOOKUP(A567,[1]Translation!A:F,4,FALSE)</f>
        <v>Vorderrad</v>
      </c>
      <c r="D567" s="7" t="s">
        <v>24</v>
      </c>
      <c r="E567" s="8" t="s">
        <v>10</v>
      </c>
      <c r="F567" s="8">
        <f>VLOOKUP(A567,'[1]PL ENG'!B:G,6, FALSE)</f>
        <v>4000984130058</v>
      </c>
      <c r="G567" s="8">
        <v>1</v>
      </c>
      <c r="H567" s="9">
        <f>VLOOKUP(A567,[1]pricing!A:M,5,FALSE)</f>
        <v>27.74</v>
      </c>
      <c r="I567" s="10">
        <f>VLOOKUP(A567,[1]pricing!A:M,6,FALSE)</f>
        <v>35</v>
      </c>
    </row>
    <row r="568" spans="1:9" s="40" customFormat="1" ht="15" customHeight="1">
      <c r="A568" s="6" t="s">
        <v>129</v>
      </c>
      <c r="B568" s="7" t="s">
        <v>119</v>
      </c>
      <c r="C568" s="7" t="str">
        <f>VLOOKUP(A568,[1]Translation!A:F,4,FALSE)</f>
        <v>Schutzblech</v>
      </c>
      <c r="D568" s="7"/>
      <c r="E568" s="8" t="s">
        <v>10</v>
      </c>
      <c r="F568" s="8">
        <f>VLOOKUP(A568,'[1]PL ENG'!B:G,6, FALSE)</f>
        <v>4000984130195</v>
      </c>
      <c r="G568" s="8">
        <v>1</v>
      </c>
      <c r="H568" s="9">
        <f>VLOOKUP(A568,[1]pricing!A:M,5,FALSE)</f>
        <v>1.58</v>
      </c>
      <c r="I568" s="10">
        <f>VLOOKUP(A568,[1]pricing!A:M,6,FALSE)</f>
        <v>5</v>
      </c>
    </row>
    <row r="569" spans="1:9" s="40" customFormat="1" ht="15" customHeight="1">
      <c r="A569" s="6" t="s">
        <v>130</v>
      </c>
      <c r="B569" s="7" t="s">
        <v>119</v>
      </c>
      <c r="C569" s="7" t="str">
        <f>VLOOKUP(A569,[1]Translation!A:F,4,FALSE)</f>
        <v xml:space="preserve">Füßstützen-Reparaturset </v>
      </c>
      <c r="D569" s="7"/>
      <c r="E569" s="8" t="s">
        <v>43</v>
      </c>
      <c r="F569" s="8">
        <f>VLOOKUP(A569,'[1]PL ENG'!B:G,6, FALSE)</f>
        <v>4000984130188</v>
      </c>
      <c r="G569" s="8">
        <v>1</v>
      </c>
      <c r="H569" s="9">
        <f>VLOOKUP(A569,[1]pricing!A:M,5,FALSE)</f>
        <v>2.1800000000000002</v>
      </c>
      <c r="I569" s="10">
        <f>VLOOKUP(A569,[1]pricing!A:M,6,FALSE)</f>
        <v>5</v>
      </c>
    </row>
    <row r="570" spans="1:9" s="40" customFormat="1" ht="15" customHeight="1">
      <c r="A570" s="6">
        <v>2000011691</v>
      </c>
      <c r="B570" s="7" t="s">
        <v>119</v>
      </c>
      <c r="C570" s="7" t="str">
        <f>VLOOKUP(A570,[1]Translation!A:F,4,FALSE)</f>
        <v xml:space="preserve">Schwenkrad Befestigungs Reparatur Set </v>
      </c>
      <c r="D570" s="7"/>
      <c r="E570" s="8" t="s">
        <v>43</v>
      </c>
      <c r="F570" s="8">
        <f>VLOOKUP(A570,'[1]PL ENG'!B:G,6, FALSE)</f>
        <v>4000984125276</v>
      </c>
      <c r="G570" s="8">
        <v>1</v>
      </c>
      <c r="H570" s="9">
        <f>VLOOKUP(A570,[1]pricing!A:M,5,FALSE)</f>
        <v>5.5</v>
      </c>
      <c r="I570" s="10">
        <f>VLOOKUP(A570,[1]pricing!A:M,6,FALSE)</f>
        <v>8</v>
      </c>
    </row>
    <row r="571" spans="1:9" s="40" customFormat="1" ht="15" customHeight="1">
      <c r="A571" s="6" t="s">
        <v>131</v>
      </c>
      <c r="B571" s="7" t="s">
        <v>119</v>
      </c>
      <c r="C571" s="7" t="str">
        <f>VLOOKUP(A571,[1]Translation!A:F,4,FALSE)</f>
        <v xml:space="preserve">Bremsen Reparatur Set </v>
      </c>
      <c r="D571" s="7"/>
      <c r="E571" s="8" t="s">
        <v>43</v>
      </c>
      <c r="F571" s="8">
        <f>VLOOKUP(A571,'[1]PL ENG'!B:G,6, FALSE)</f>
        <v>4000984130218</v>
      </c>
      <c r="G571" s="8">
        <v>1</v>
      </c>
      <c r="H571" s="9">
        <f>VLOOKUP(A571,[1]pricing!A:M,5,FALSE)</f>
        <v>24.55</v>
      </c>
      <c r="I571" s="10">
        <f>VLOOKUP(A571,[1]pricing!A:M,6,FALSE)</f>
        <v>30</v>
      </c>
    </row>
    <row r="572" spans="1:9" s="17" customFormat="1" ht="15" customHeight="1">
      <c r="A572" s="6">
        <v>2000011392</v>
      </c>
      <c r="B572" s="7" t="s">
        <v>119</v>
      </c>
      <c r="C572" s="7" t="str">
        <f>VLOOKUP(A572,[1]Translation!A:F,4,FALSE)</f>
        <v xml:space="preserve">Untere Schwenkrad Befestigung  </v>
      </c>
      <c r="D572" s="7"/>
      <c r="E572" s="8" t="s">
        <v>43</v>
      </c>
      <c r="F572" s="8">
        <f>VLOOKUP(A572,'[1]PL ENG'!B:G,6, FALSE)</f>
        <v>4000984111835</v>
      </c>
      <c r="G572" s="8">
        <v>1</v>
      </c>
      <c r="H572" s="9">
        <f>VLOOKUP(A572,[1]pricing!A:M,5,FALSE)</f>
        <v>3.3</v>
      </c>
      <c r="I572" s="10">
        <f>VLOOKUP(A572,[1]pricing!A:M,6,FALSE)</f>
        <v>7</v>
      </c>
    </row>
    <row r="573" spans="1:9" s="17" customFormat="1" ht="15" customHeight="1">
      <c r="A573" s="6">
        <v>2000021681</v>
      </c>
      <c r="B573" s="7" t="s">
        <v>132</v>
      </c>
      <c r="C573" s="7" t="str">
        <f>VLOOKUP(A573,[1]Translation!A:F,4,FALSE)</f>
        <v>Regenverdeck</v>
      </c>
      <c r="D573" s="7"/>
      <c r="E573" s="8" t="s">
        <v>10</v>
      </c>
      <c r="F573" s="8">
        <f>VLOOKUP(A573,'[1]PL ENG'!B:G,6, FALSE)</f>
        <v>4000984118087</v>
      </c>
      <c r="G573" s="8">
        <v>1</v>
      </c>
      <c r="H573" s="9">
        <f>VLOOKUP(A573,[1]pricing!A:M,5,FALSE)</f>
        <v>22</v>
      </c>
      <c r="I573" s="10">
        <f>VLOOKUP(A573,[1]pricing!A:M,6,FALSE)</f>
        <v>30</v>
      </c>
    </row>
    <row r="574" spans="1:9" s="17" customFormat="1" ht="15" customHeight="1">
      <c r="A574" s="6">
        <v>2000004029</v>
      </c>
      <c r="B574" s="7" t="s">
        <v>133</v>
      </c>
      <c r="C574" s="7" t="str">
        <f>VLOOKUP(A574,[1]Translation!A:F,4,FALSE)</f>
        <v>Regenverdeck</v>
      </c>
      <c r="D574" s="7"/>
      <c r="E574" s="8" t="s">
        <v>10</v>
      </c>
      <c r="F574" s="8">
        <f>VLOOKUP(A574,'[1]PL ENG'!B:G,6, FALSE)</f>
        <v>4000984085600</v>
      </c>
      <c r="G574" s="8">
        <v>1</v>
      </c>
      <c r="H574" s="9">
        <f>VLOOKUP(A574,[1]pricing!A:M,5,FALSE)</f>
        <v>14.2</v>
      </c>
      <c r="I574" s="10">
        <f>VLOOKUP(A574,[1]pricing!A:M,6,FALSE)</f>
        <v>20</v>
      </c>
    </row>
    <row r="575" spans="1:9" s="17" customFormat="1" ht="15" customHeight="1">
      <c r="A575" s="6">
        <v>2000021604</v>
      </c>
      <c r="B575" s="7" t="s">
        <v>134</v>
      </c>
      <c r="C575" s="7" t="str">
        <f>VLOOKUP(A575,[1]Translation!A:F,4,FALSE)</f>
        <v>Verdeck (alte Kollektion)</v>
      </c>
      <c r="D575" s="7" t="s">
        <v>29</v>
      </c>
      <c r="E575" s="8" t="s">
        <v>10</v>
      </c>
      <c r="F575" s="8">
        <f>VLOOKUP(A575,'[1]PL ENG'!B:G,6, FALSE)</f>
        <v>4000984116533</v>
      </c>
      <c r="G575" s="8">
        <v>1</v>
      </c>
      <c r="H575" s="9">
        <f>VLOOKUP(A575,[1]pricing!A:M,5,FALSE)</f>
        <v>49.43</v>
      </c>
      <c r="I575" s="10">
        <f>VLOOKUP(A575,[1]pricing!A:M,6,FALSE)</f>
        <v>60</v>
      </c>
    </row>
    <row r="576" spans="1:9" s="17" customFormat="1" ht="15" customHeight="1">
      <c r="A576" s="6">
        <v>2000021606</v>
      </c>
      <c r="B576" s="7" t="s">
        <v>134</v>
      </c>
      <c r="C576" s="7" t="str">
        <f>VLOOKUP(A576,[1]Translation!A:F,4,FALSE)</f>
        <v>Verdeck (alte Kollektion)</v>
      </c>
      <c r="D576" s="7" t="s">
        <v>135</v>
      </c>
      <c r="E576" s="8" t="s">
        <v>10</v>
      </c>
      <c r="F576" s="8">
        <f>VLOOKUP(A576,'[1]PL ENG'!B:G,6, FALSE)</f>
        <v>4000984116557</v>
      </c>
      <c r="G576" s="8">
        <v>1</v>
      </c>
      <c r="H576" s="9">
        <f>VLOOKUP(A576,[1]pricing!A:M,5,FALSE)</f>
        <v>49.43</v>
      </c>
      <c r="I576" s="10">
        <f>VLOOKUP(A576,[1]pricing!A:M,6,FALSE)</f>
        <v>60</v>
      </c>
    </row>
    <row r="577" spans="1:9" s="17" customFormat="1" ht="15" customHeight="1">
      <c r="A577" s="6">
        <v>2000021608</v>
      </c>
      <c r="B577" s="7" t="s">
        <v>134</v>
      </c>
      <c r="C577" s="7" t="str">
        <f>VLOOKUP(A577,[1]Translation!A:F,4,FALSE)</f>
        <v>Verdeck (alte Kollektion)</v>
      </c>
      <c r="D577" s="7" t="s">
        <v>89</v>
      </c>
      <c r="E577" s="8" t="s">
        <v>10</v>
      </c>
      <c r="F577" s="8">
        <f>VLOOKUP(A577,'[1]PL ENG'!B:G,6, FALSE)</f>
        <v>4000984116571</v>
      </c>
      <c r="G577" s="8">
        <v>1</v>
      </c>
      <c r="H577" s="9">
        <f>VLOOKUP(A577,[1]pricing!A:M,5,FALSE)</f>
        <v>49.43</v>
      </c>
      <c r="I577" s="10">
        <f>VLOOKUP(A577,[1]pricing!A:M,6,FALSE)</f>
        <v>60</v>
      </c>
    </row>
    <row r="578" spans="1:9" s="17" customFormat="1" ht="15" customHeight="1">
      <c r="A578" s="6">
        <v>2000021609</v>
      </c>
      <c r="B578" s="7" t="s">
        <v>134</v>
      </c>
      <c r="C578" s="7" t="str">
        <f>VLOOKUP(A578,[1]Translation!A:F,4,FALSE)</f>
        <v>Verdeck (alte Kollektion)</v>
      </c>
      <c r="D578" s="7" t="s">
        <v>87</v>
      </c>
      <c r="E578" s="8" t="s">
        <v>10</v>
      </c>
      <c r="F578" s="8">
        <f>VLOOKUP(A578,'[1]PL ENG'!B:G,6, FALSE)</f>
        <v>4000984116588</v>
      </c>
      <c r="G578" s="8">
        <v>1</v>
      </c>
      <c r="H578" s="9">
        <f>VLOOKUP(A578,[1]pricing!A:M,5,FALSE)</f>
        <v>49.43</v>
      </c>
      <c r="I578" s="10">
        <f>VLOOKUP(A578,[1]pricing!A:M,6,FALSE)</f>
        <v>60</v>
      </c>
    </row>
    <row r="579" spans="1:9" s="17" customFormat="1" ht="15" customHeight="1">
      <c r="A579" s="6">
        <v>2000021605</v>
      </c>
      <c r="B579" s="7" t="s">
        <v>134</v>
      </c>
      <c r="C579" s="7" t="str">
        <f>VLOOKUP(A579,[1]Translation!A:F,4,FALSE)</f>
        <v>Verdeck (alte Kollektion)</v>
      </c>
      <c r="D579" s="7" t="s">
        <v>28</v>
      </c>
      <c r="E579" s="8" t="s">
        <v>10</v>
      </c>
      <c r="F579" s="8">
        <f>VLOOKUP(A579,'[1]PL ENG'!B:G,6, FALSE)</f>
        <v>4000984116540</v>
      </c>
      <c r="G579" s="8">
        <v>1</v>
      </c>
      <c r="H579" s="9">
        <f>VLOOKUP(A579,[1]pricing!A:M,5,FALSE)</f>
        <v>49.43</v>
      </c>
      <c r="I579" s="10">
        <f>VLOOKUP(A579,[1]pricing!A:M,6,FALSE)</f>
        <v>60</v>
      </c>
    </row>
    <row r="580" spans="1:9" s="17" customFormat="1" ht="15" customHeight="1">
      <c r="A580" s="6">
        <v>2000021607</v>
      </c>
      <c r="B580" s="7" t="s">
        <v>134</v>
      </c>
      <c r="C580" s="7" t="str">
        <f>VLOOKUP(A580,[1]Translation!A:F,4,FALSE)</f>
        <v>Verdeck (alte Kollektion)</v>
      </c>
      <c r="D580" s="7" t="s">
        <v>88</v>
      </c>
      <c r="E580" s="8" t="s">
        <v>10</v>
      </c>
      <c r="F580" s="8">
        <f>VLOOKUP(A580,'[1]PL ENG'!B:G,6, FALSE)</f>
        <v>4000984116564</v>
      </c>
      <c r="G580" s="8">
        <v>1</v>
      </c>
      <c r="H580" s="9">
        <f>VLOOKUP(A580,[1]pricing!A:M,5,FALSE)</f>
        <v>49.43</v>
      </c>
      <c r="I580" s="10">
        <f>VLOOKUP(A580,[1]pricing!A:M,6,FALSE)</f>
        <v>60</v>
      </c>
    </row>
    <row r="581" spans="1:9" s="17" customFormat="1" ht="15" customHeight="1">
      <c r="A581" s="6">
        <v>2000009553</v>
      </c>
      <c r="B581" s="7" t="s">
        <v>134</v>
      </c>
      <c r="C581" s="7" t="str">
        <f>VLOOKUP(A581,[1]Translation!A:F,4,FALSE)</f>
        <v>Spielbügel (ältere Kollektionen)</v>
      </c>
      <c r="D581" s="7"/>
      <c r="E581" s="8" t="s">
        <v>10</v>
      </c>
      <c r="F581" s="8">
        <f>VLOOKUP(A581,'[1]PL ENG'!B:G,6, FALSE)</f>
        <v>4000984107531</v>
      </c>
      <c r="G581" s="8">
        <v>1</v>
      </c>
      <c r="H581" s="9">
        <f>VLOOKUP(A581,[1]pricing!A:M,5,FALSE)</f>
        <v>13.76</v>
      </c>
      <c r="I581" s="10">
        <f>VLOOKUP(A581,[1]pricing!A:M,6,FALSE)</f>
        <v>20</v>
      </c>
    </row>
    <row r="582" spans="1:9" s="17" customFormat="1" ht="15" customHeight="1">
      <c r="A582" s="6">
        <v>2000026292</v>
      </c>
      <c r="B582" s="7" t="s">
        <v>134</v>
      </c>
      <c r="C582" s="7" t="str">
        <f>VLOOKUP(A582,[1]Translation!A:F,4,FALSE)</f>
        <v>Spielbügel (für Modell ab 2015)</v>
      </c>
      <c r="D582" s="7"/>
      <c r="E582" s="8" t="s">
        <v>10</v>
      </c>
      <c r="F582" s="8">
        <f>VLOOKUP(A582,'[1]PL ENG'!B:G,6, FALSE)</f>
        <v>4000984154726</v>
      </c>
      <c r="G582" s="8">
        <v>1</v>
      </c>
      <c r="H582" s="9">
        <f>VLOOKUP(A582,[1]pricing!A:M,5,FALSE)</f>
        <v>16.5</v>
      </c>
      <c r="I582" s="10">
        <f>VLOOKUP(A582,[1]pricing!A:M,6,FALSE)</f>
        <v>20</v>
      </c>
    </row>
    <row r="583" spans="1:9" s="17" customFormat="1" ht="15" customHeight="1">
      <c r="A583" s="6">
        <v>2000009554</v>
      </c>
      <c r="B583" s="7" t="s">
        <v>134</v>
      </c>
      <c r="C583" s="7" t="str">
        <f>VLOOKUP(A583,[1]Translation!A:F,4,FALSE)</f>
        <v>Korb</v>
      </c>
      <c r="D583" s="7"/>
      <c r="E583" s="8" t="s">
        <v>10</v>
      </c>
      <c r="F583" s="8">
        <f>VLOOKUP(A583,'[1]PL ENG'!B:G,6, FALSE)</f>
        <v>4000984107548</v>
      </c>
      <c r="G583" s="8">
        <v>1</v>
      </c>
      <c r="H583" s="9">
        <f>VLOOKUP(A583,[1]pricing!A:M,5,FALSE)</f>
        <v>18.68</v>
      </c>
      <c r="I583" s="10">
        <f>VLOOKUP(A583,[1]pricing!A:M,6,FALSE)</f>
        <v>25</v>
      </c>
    </row>
    <row r="584" spans="1:9" s="17" customFormat="1" ht="15" customHeight="1">
      <c r="A584" s="6">
        <v>2000014619</v>
      </c>
      <c r="B584" s="7" t="s">
        <v>134</v>
      </c>
      <c r="C584" s="7" t="str">
        <f>VLOOKUP(A584,[1]Translation!A:F,4,FALSE)</f>
        <v>Sitzeinheit</v>
      </c>
      <c r="D584" s="7" t="s">
        <v>136</v>
      </c>
      <c r="E584" s="8" t="s">
        <v>10</v>
      </c>
      <c r="F584" s="8">
        <f>VLOOKUP(A584,'[1]PL ENG'!B:G,6, FALSE)</f>
        <v>4000984122770</v>
      </c>
      <c r="G584" s="8">
        <v>1</v>
      </c>
      <c r="H584" s="9">
        <f>VLOOKUP(A584,[1]pricing!A:M,5,FALSE)</f>
        <v>95.67</v>
      </c>
      <c r="I584" s="10">
        <f>VLOOKUP(A584,[1]pricing!A:M,6,FALSE)</f>
        <v>115</v>
      </c>
    </row>
    <row r="585" spans="1:9" s="17" customFormat="1" ht="15" customHeight="1">
      <c r="A585" s="6">
        <v>2000010301</v>
      </c>
      <c r="B585" s="7" t="s">
        <v>134</v>
      </c>
      <c r="C585" s="7" t="str">
        <f>VLOOKUP(A585,[1]Translation!A:F,4,FALSE)</f>
        <v>Regenverdeck</v>
      </c>
      <c r="D585" s="7"/>
      <c r="E585" s="8" t="s">
        <v>10</v>
      </c>
      <c r="F585" s="8">
        <f>VLOOKUP(A585,'[1]PL ENG'!B:G,6, FALSE)</f>
        <v>4000984107678</v>
      </c>
      <c r="G585" s="8">
        <v>1</v>
      </c>
      <c r="H585" s="9">
        <f>VLOOKUP(A585,[1]pricing!A:M,5,FALSE)</f>
        <v>11.73</v>
      </c>
      <c r="I585" s="10">
        <f>VLOOKUP(A585,[1]pricing!A:M,6,FALSE)</f>
        <v>15</v>
      </c>
    </row>
    <row r="586" spans="1:9" s="17" customFormat="1" ht="15" customHeight="1">
      <c r="A586" s="6">
        <v>2000025319</v>
      </c>
      <c r="B586" s="7" t="s">
        <v>134</v>
      </c>
      <c r="C586" s="7" t="str">
        <f>VLOOKUP(A586,[1]Translation!A:F,4,FALSE)</f>
        <v>Vorderräder Set</v>
      </c>
      <c r="D586" s="7" t="s">
        <v>24</v>
      </c>
      <c r="E586" s="8" t="s">
        <v>10</v>
      </c>
      <c r="F586" s="8">
        <f>VLOOKUP(A586,'[1]PL ENG'!B:G,6, FALSE)</f>
        <v>4000984148688</v>
      </c>
      <c r="G586" s="8">
        <v>1</v>
      </c>
      <c r="H586" s="9">
        <f>VLOOKUP(A586,[1]pricing!A:M,5,FALSE)</f>
        <v>35.83</v>
      </c>
      <c r="I586" s="10">
        <f>VLOOKUP(A586,[1]pricing!A:M,6,FALSE)</f>
        <v>45</v>
      </c>
    </row>
    <row r="587" spans="1:9" s="17" customFormat="1" ht="15" customHeight="1">
      <c r="A587" s="6">
        <v>2000025320</v>
      </c>
      <c r="B587" s="7" t="s">
        <v>134</v>
      </c>
      <c r="C587" s="7" t="str">
        <f>VLOOKUP(A587,[1]Translation!A:F,4,FALSE)</f>
        <v>Vorderräder Set</v>
      </c>
      <c r="D587" s="7" t="s">
        <v>137</v>
      </c>
      <c r="E587" s="8" t="s">
        <v>10</v>
      </c>
      <c r="F587" s="8">
        <f>VLOOKUP(A587,'[1]PL ENG'!B:G,6, FALSE)</f>
        <v>4000984148695</v>
      </c>
      <c r="G587" s="8">
        <v>1</v>
      </c>
      <c r="H587" s="9">
        <f>VLOOKUP(A587,[1]pricing!A:M,5,FALSE)</f>
        <v>35.83</v>
      </c>
      <c r="I587" s="10">
        <f>VLOOKUP(A587,[1]pricing!A:M,6,FALSE)</f>
        <v>45</v>
      </c>
    </row>
    <row r="588" spans="1:9" s="17" customFormat="1" ht="15" customHeight="1">
      <c r="A588" s="6">
        <v>2000025321</v>
      </c>
      <c r="B588" s="7" t="s">
        <v>134</v>
      </c>
      <c r="C588" s="7" t="str">
        <f>VLOOKUP(A588,[1]Translation!A:F,4,FALSE)</f>
        <v>Vorderräder Set</v>
      </c>
      <c r="D588" s="7" t="s">
        <v>95</v>
      </c>
      <c r="E588" s="8" t="s">
        <v>10</v>
      </c>
      <c r="F588" s="8">
        <f>VLOOKUP(A588,'[1]PL ENG'!B:G,6, FALSE)</f>
        <v>4000984148701</v>
      </c>
      <c r="G588" s="8">
        <v>1</v>
      </c>
      <c r="H588" s="9">
        <f>VLOOKUP(A588,[1]pricing!A:M,5,FALSE)</f>
        <v>35.83</v>
      </c>
      <c r="I588" s="10">
        <f>VLOOKUP(A588,[1]pricing!A:M,6,FALSE)</f>
        <v>45</v>
      </c>
    </row>
    <row r="589" spans="1:9" s="17" customFormat="1" ht="15" customHeight="1">
      <c r="A589" s="6">
        <v>2000010300</v>
      </c>
      <c r="B589" s="7" t="s">
        <v>134</v>
      </c>
      <c r="C589" s="7" t="str">
        <f>VLOOKUP(A589,[1]Translation!A:F,4,FALSE)</f>
        <v>Hinterräder Set</v>
      </c>
      <c r="D589" s="7"/>
      <c r="E589" s="8" t="s">
        <v>10</v>
      </c>
      <c r="F589" s="8">
        <f>VLOOKUP(A589,'[1]PL ENG'!B:G,6, FALSE)</f>
        <v>4000984107661</v>
      </c>
      <c r="G589" s="8">
        <v>1</v>
      </c>
      <c r="H589" s="9">
        <f>VLOOKUP(A589,[1]pricing!A:M,5,FALSE)</f>
        <v>63.12</v>
      </c>
      <c r="I589" s="10">
        <f>VLOOKUP(A589,[1]pricing!A:M,6,FALSE)</f>
        <v>80</v>
      </c>
    </row>
    <row r="590" spans="1:9" s="17" customFormat="1" ht="15" customHeight="1">
      <c r="A590" s="6">
        <v>2000025336</v>
      </c>
      <c r="B590" s="7" t="s">
        <v>134</v>
      </c>
      <c r="C590" s="7" t="str">
        <f>VLOOKUP(A590,[1]Translation!A:F,4,FALSE)</f>
        <v xml:space="preserve">Griff-Reparatur Set </v>
      </c>
      <c r="D590" s="7" t="s">
        <v>24</v>
      </c>
      <c r="E590" s="8" t="s">
        <v>43</v>
      </c>
      <c r="F590" s="8">
        <f>VLOOKUP(A590,'[1]PL ENG'!B:G,6, FALSE)</f>
        <v>4000984148855</v>
      </c>
      <c r="G590" s="8">
        <v>1</v>
      </c>
      <c r="H590" s="9">
        <f>VLOOKUP(A590,[1]pricing!A:M,5,FALSE)</f>
        <v>49.5</v>
      </c>
      <c r="I590" s="10">
        <f>VLOOKUP(A590,[1]pricing!A:M,6,FALSE)</f>
        <v>60</v>
      </c>
    </row>
    <row r="591" spans="1:9" s="17" customFormat="1" ht="15" customHeight="1">
      <c r="A591" s="6">
        <v>2000025337</v>
      </c>
      <c r="B591" s="7" t="s">
        <v>134</v>
      </c>
      <c r="C591" s="7" t="str">
        <f>VLOOKUP(A591,[1]Translation!A:F,4,FALSE)</f>
        <v xml:space="preserve">Griff-Reparatur Set </v>
      </c>
      <c r="D591" s="7" t="s">
        <v>136</v>
      </c>
      <c r="E591" s="8" t="s">
        <v>43</v>
      </c>
      <c r="F591" s="8">
        <f>VLOOKUP(A591,'[1]PL ENG'!B:G,6, FALSE)</f>
        <v>4000984148862</v>
      </c>
      <c r="G591" s="8">
        <v>1</v>
      </c>
      <c r="H591" s="9">
        <f>VLOOKUP(A591,[1]pricing!A:M,5,FALSE)</f>
        <v>49.5</v>
      </c>
      <c r="I591" s="10">
        <f>VLOOKUP(A591,[1]pricing!A:M,6,FALSE)</f>
        <v>60</v>
      </c>
    </row>
    <row r="592" spans="1:9" s="17" customFormat="1" ht="15" customHeight="1">
      <c r="A592" s="6">
        <v>2000025338</v>
      </c>
      <c r="B592" s="7" t="s">
        <v>134</v>
      </c>
      <c r="C592" s="7" t="str">
        <f>VLOOKUP(A592,[1]Translation!A:F,4,FALSE)</f>
        <v xml:space="preserve">Griff-Reparatur Set </v>
      </c>
      <c r="D592" s="7" t="s">
        <v>95</v>
      </c>
      <c r="E592" s="8" t="s">
        <v>43</v>
      </c>
      <c r="F592" s="8">
        <f>VLOOKUP(A592,'[1]PL ENG'!B:G,6, FALSE)</f>
        <v>4000984148879</v>
      </c>
      <c r="G592" s="8">
        <v>1</v>
      </c>
      <c r="H592" s="9">
        <f>VLOOKUP(A592,[1]pricing!A:M,5,FALSE)</f>
        <v>49.5</v>
      </c>
      <c r="I592" s="10">
        <f>VLOOKUP(A592,[1]pricing!A:M,6,FALSE)</f>
        <v>60</v>
      </c>
    </row>
    <row r="593" spans="1:9" s="17" customFormat="1" ht="15" customHeight="1">
      <c r="A593" s="6">
        <v>2000025339</v>
      </c>
      <c r="B593" s="7" t="s">
        <v>134</v>
      </c>
      <c r="C593" s="7" t="str">
        <f>VLOOKUP(A593,[1]Translation!A:F,4,FALSE)</f>
        <v>Chassis</v>
      </c>
      <c r="D593" s="7" t="s">
        <v>24</v>
      </c>
      <c r="E593" s="8" t="s">
        <v>10</v>
      </c>
      <c r="F593" s="8">
        <f>VLOOKUP(A593,'[1]PL ENG'!B:G,6, FALSE)</f>
        <v>4000984148886</v>
      </c>
      <c r="G593" s="8">
        <v>1</v>
      </c>
      <c r="H593" s="9">
        <f>VLOOKUP(A593,[1]pricing!A:M,5,FALSE)</f>
        <v>309.72000000000003</v>
      </c>
      <c r="I593" s="10">
        <f>VLOOKUP(A593,[1]pricing!A:M,6,FALSE)</f>
        <v>370</v>
      </c>
    </row>
    <row r="594" spans="1:9" s="17" customFormat="1" ht="15" customHeight="1">
      <c r="A594" s="6">
        <v>2000025340</v>
      </c>
      <c r="B594" s="7" t="s">
        <v>134</v>
      </c>
      <c r="C594" s="7" t="str">
        <f>VLOOKUP(A594,[1]Translation!A:F,4,FALSE)</f>
        <v>Chassis</v>
      </c>
      <c r="D594" s="7" t="s">
        <v>137</v>
      </c>
      <c r="E594" s="8" t="s">
        <v>10</v>
      </c>
      <c r="F594" s="8">
        <f>VLOOKUP(A594,'[1]PL ENG'!B:G,6, FALSE)</f>
        <v>4000984148893</v>
      </c>
      <c r="G594" s="8">
        <v>1</v>
      </c>
      <c r="H594" s="9">
        <f>VLOOKUP(A594,[1]pricing!A:M,5,FALSE)</f>
        <v>309.72000000000003</v>
      </c>
      <c r="I594" s="10">
        <f>VLOOKUP(A594,[1]pricing!A:M,6,FALSE)</f>
        <v>370</v>
      </c>
    </row>
    <row r="595" spans="1:9" s="17" customFormat="1" ht="15" customHeight="1">
      <c r="A595" s="6">
        <v>2000025342</v>
      </c>
      <c r="B595" s="7" t="s">
        <v>134</v>
      </c>
      <c r="C595" s="7" t="str">
        <f>VLOOKUP(A595,[1]Translation!A:F,4,FALSE)</f>
        <v>Chassis</v>
      </c>
      <c r="D595" s="7" t="s">
        <v>138</v>
      </c>
      <c r="E595" s="8" t="s">
        <v>10</v>
      </c>
      <c r="F595" s="8">
        <f>VLOOKUP(A595,'[1]PL ENG'!B:G,6, FALSE)</f>
        <v>4000984148916</v>
      </c>
      <c r="G595" s="8">
        <v>1</v>
      </c>
      <c r="H595" s="9">
        <f>VLOOKUP(A595,[1]pricing!A:M,5,FALSE)</f>
        <v>309.72000000000003</v>
      </c>
      <c r="I595" s="10">
        <f>VLOOKUP(A595,[1]pricing!A:M,6,FALSE)</f>
        <v>370</v>
      </c>
    </row>
    <row r="596" spans="1:9" s="17" customFormat="1" ht="15" customHeight="1">
      <c r="A596" s="6">
        <v>2000025341</v>
      </c>
      <c r="B596" s="7" t="s">
        <v>134</v>
      </c>
      <c r="C596" s="7" t="str">
        <f>VLOOKUP(A596,[1]Translation!A:F,4,FALSE)</f>
        <v>Chassis</v>
      </c>
      <c r="D596" s="7" t="s">
        <v>95</v>
      </c>
      <c r="E596" s="8" t="s">
        <v>10</v>
      </c>
      <c r="F596" s="8">
        <f>VLOOKUP(A596,'[1]PL ENG'!B:G,6, FALSE)</f>
        <v>4000984148909</v>
      </c>
      <c r="G596" s="8">
        <v>1</v>
      </c>
      <c r="H596" s="9">
        <f>VLOOKUP(A596,[1]pricing!A:M,5,FALSE)</f>
        <v>309.72000000000003</v>
      </c>
      <c r="I596" s="10">
        <f>VLOOKUP(A596,[1]pricing!A:M,6,FALSE)</f>
        <v>370</v>
      </c>
    </row>
    <row r="597" spans="1:9" s="17" customFormat="1" ht="15" customHeight="1">
      <c r="A597" s="6">
        <v>2000025435</v>
      </c>
      <c r="B597" s="7" t="s">
        <v>134</v>
      </c>
      <c r="C597" s="7" t="str">
        <f>VLOOKUP(A597,[1]Translation!A:F,4,FALSE)</f>
        <v xml:space="preserve">Bremsen Reparatur Set </v>
      </c>
      <c r="D597" s="7" t="s">
        <v>24</v>
      </c>
      <c r="E597" s="8" t="s">
        <v>43</v>
      </c>
      <c r="F597" s="8">
        <f>VLOOKUP(A597,'[1]PL ENG'!B:G,6, FALSE)</f>
        <v>4000984149289</v>
      </c>
      <c r="G597" s="8">
        <v>1</v>
      </c>
      <c r="H597" s="9">
        <f>VLOOKUP(A597,[1]pricing!A:M,5,FALSE)</f>
        <v>44</v>
      </c>
      <c r="I597" s="10">
        <f>VLOOKUP(A597,[1]pricing!A:M,6,FALSE)</f>
        <v>53</v>
      </c>
    </row>
    <row r="598" spans="1:9" s="17" customFormat="1" ht="15" customHeight="1">
      <c r="A598" s="6">
        <v>2000025447</v>
      </c>
      <c r="B598" s="7" t="s">
        <v>134</v>
      </c>
      <c r="C598" s="7" t="str">
        <f>VLOOKUP(A598,[1]Translation!A:F,4,FALSE)</f>
        <v xml:space="preserve">Bremsen Reparatur Set </v>
      </c>
      <c r="D598" s="7" t="s">
        <v>95</v>
      </c>
      <c r="E598" s="8" t="s">
        <v>43</v>
      </c>
      <c r="F598" s="8">
        <f>VLOOKUP(A598,'[1]PL ENG'!B:G,6, FALSE)</f>
        <v>4000984149418</v>
      </c>
      <c r="G598" s="8">
        <v>1</v>
      </c>
      <c r="H598" s="9">
        <f>VLOOKUP(A598,[1]pricing!A:M,5,FALSE)</f>
        <v>44</v>
      </c>
      <c r="I598" s="10">
        <f>VLOOKUP(A598,[1]pricing!A:M,6,FALSE)</f>
        <v>53</v>
      </c>
    </row>
    <row r="599" spans="1:9" s="17" customFormat="1" ht="15" customHeight="1">
      <c r="A599" s="6">
        <v>2000025448</v>
      </c>
      <c r="B599" s="7" t="s">
        <v>134</v>
      </c>
      <c r="C599" s="7" t="str">
        <f>VLOOKUP(A599,[1]Translation!A:F,4,FALSE)</f>
        <v xml:space="preserve">Bremsen Reparatur Set </v>
      </c>
      <c r="D599" s="7" t="s">
        <v>137</v>
      </c>
      <c r="E599" s="8" t="s">
        <v>43</v>
      </c>
      <c r="F599" s="8">
        <f>VLOOKUP(A599,'[1]PL ENG'!B:G,6, FALSE)</f>
        <v>4000984149425</v>
      </c>
      <c r="G599" s="8">
        <v>1</v>
      </c>
      <c r="H599" s="9">
        <f>VLOOKUP(A599,[1]pricing!A:M,5,FALSE)</f>
        <v>44</v>
      </c>
      <c r="I599" s="10">
        <f>VLOOKUP(A599,[1]pricing!A:M,6,FALSE)</f>
        <v>53</v>
      </c>
    </row>
    <row r="600" spans="1:9" s="17" customFormat="1" ht="15" customHeight="1">
      <c r="A600" s="6">
        <v>2000012225</v>
      </c>
      <c r="B600" s="7" t="s">
        <v>134</v>
      </c>
      <c r="C600" s="7" t="str">
        <f>VLOOKUP(A600,[1]Translation!A:F,4,FALSE)</f>
        <v>Schlauch für Luftreifen</v>
      </c>
      <c r="D600" s="7"/>
      <c r="E600" s="8" t="s">
        <v>10</v>
      </c>
      <c r="F600" s="8">
        <f>VLOOKUP(A600,'[1]PL ENG'!B:G,6, FALSE)</f>
        <v>4000984114867</v>
      </c>
      <c r="G600" s="8">
        <v>1</v>
      </c>
      <c r="H600" s="9">
        <f>VLOOKUP(A600,[1]pricing!A:M,5,FALSE)</f>
        <v>12.44</v>
      </c>
      <c r="I600" s="10">
        <f>VLOOKUP(A600,[1]pricing!A:M,6,FALSE)</f>
        <v>15</v>
      </c>
    </row>
    <row r="601" spans="1:9" s="17" customFormat="1" ht="15" customHeight="1">
      <c r="A601" s="6">
        <v>2000009554</v>
      </c>
      <c r="B601" s="7" t="s">
        <v>134</v>
      </c>
      <c r="C601" s="7" t="str">
        <f>VLOOKUP(A601,[1]Translation!A:F,4,FALSE)</f>
        <v>Korb</v>
      </c>
      <c r="D601" s="7" t="s">
        <v>54</v>
      </c>
      <c r="E601" s="8" t="s">
        <v>10</v>
      </c>
      <c r="F601" s="8">
        <f>VLOOKUP(A601,'[1]PL ENG'!B:G,6, FALSE)</f>
        <v>4000984107548</v>
      </c>
      <c r="G601" s="8">
        <v>1</v>
      </c>
      <c r="H601" s="9">
        <f>VLOOKUP(A601,[1]pricing!A:M,5,FALSE)</f>
        <v>18.68</v>
      </c>
      <c r="I601" s="10">
        <f>VLOOKUP(A601,[1]pricing!A:M,6,FALSE)</f>
        <v>25</v>
      </c>
    </row>
    <row r="602" spans="1:9" s="17" customFormat="1" ht="15" customHeight="1">
      <c r="A602" s="6">
        <v>2000010301</v>
      </c>
      <c r="B602" s="7" t="s">
        <v>139</v>
      </c>
      <c r="C602" s="7" t="str">
        <f>VLOOKUP(A602,[1]Translation!A:F,4,FALSE)</f>
        <v>Regenverdeck</v>
      </c>
      <c r="D602" s="7"/>
      <c r="E602" s="8" t="s">
        <v>10</v>
      </c>
      <c r="F602" s="8">
        <f>VLOOKUP(A602,'[1]PL ENG'!B:G,6, FALSE)</f>
        <v>4000984107678</v>
      </c>
      <c r="G602" s="8">
        <v>1</v>
      </c>
      <c r="H602" s="9">
        <f>VLOOKUP(A602,[1]pricing!A:M,5,FALSE)</f>
        <v>11.73</v>
      </c>
      <c r="I602" s="10">
        <f>VLOOKUP(A602,[1]pricing!A:M,6,FALSE)</f>
        <v>15</v>
      </c>
    </row>
    <row r="603" spans="1:9" s="17" customFormat="1" ht="15" customHeight="1">
      <c r="A603" s="6">
        <v>2000025319</v>
      </c>
      <c r="B603" s="7" t="s">
        <v>139</v>
      </c>
      <c r="C603" s="7" t="str">
        <f>VLOOKUP(A603,[1]Translation!A:F,4,FALSE)</f>
        <v>Vorderräder Set</v>
      </c>
      <c r="D603" s="7" t="s">
        <v>24</v>
      </c>
      <c r="E603" s="8" t="s">
        <v>10</v>
      </c>
      <c r="F603" s="8">
        <f>VLOOKUP(A603,'[1]PL ENG'!B:G,6, FALSE)</f>
        <v>4000984148688</v>
      </c>
      <c r="G603" s="8">
        <v>1</v>
      </c>
      <c r="H603" s="9">
        <f>VLOOKUP(A603,[1]pricing!A:M,5,FALSE)</f>
        <v>35.83</v>
      </c>
      <c r="I603" s="10">
        <f>VLOOKUP(A603,[1]pricing!A:M,6,FALSE)</f>
        <v>45</v>
      </c>
    </row>
    <row r="604" spans="1:9" s="17" customFormat="1" ht="15" customHeight="1">
      <c r="A604" s="6">
        <v>2000025320</v>
      </c>
      <c r="B604" s="7" t="s">
        <v>139</v>
      </c>
      <c r="C604" s="7" t="str">
        <f>VLOOKUP(A604,[1]Translation!A:F,4,FALSE)</f>
        <v>Vorderräder Set</v>
      </c>
      <c r="D604" s="7" t="s">
        <v>137</v>
      </c>
      <c r="E604" s="8" t="s">
        <v>10</v>
      </c>
      <c r="F604" s="8">
        <f>VLOOKUP(A604,'[1]PL ENG'!B:G,6, FALSE)</f>
        <v>4000984148695</v>
      </c>
      <c r="G604" s="8">
        <v>1</v>
      </c>
      <c r="H604" s="9">
        <f>VLOOKUP(A604,[1]pricing!A:M,5,FALSE)</f>
        <v>35.83</v>
      </c>
      <c r="I604" s="10">
        <f>VLOOKUP(A604,[1]pricing!A:M,6,FALSE)</f>
        <v>45</v>
      </c>
    </row>
    <row r="605" spans="1:9" s="17" customFormat="1" ht="15" customHeight="1">
      <c r="A605" s="6">
        <v>2000025321</v>
      </c>
      <c r="B605" s="7" t="s">
        <v>139</v>
      </c>
      <c r="C605" s="7" t="str">
        <f>VLOOKUP(A605,[1]Translation!A:F,4,FALSE)</f>
        <v>Vorderräder Set</v>
      </c>
      <c r="D605" s="7" t="s">
        <v>95</v>
      </c>
      <c r="E605" s="8" t="s">
        <v>10</v>
      </c>
      <c r="F605" s="8">
        <f>VLOOKUP(A605,'[1]PL ENG'!B:G,6, FALSE)</f>
        <v>4000984148701</v>
      </c>
      <c r="G605" s="8">
        <v>1</v>
      </c>
      <c r="H605" s="9">
        <f>VLOOKUP(A605,[1]pricing!A:M,5,FALSE)</f>
        <v>35.83</v>
      </c>
      <c r="I605" s="10">
        <f>VLOOKUP(A605,[1]pricing!A:M,6,FALSE)</f>
        <v>45</v>
      </c>
    </row>
    <row r="606" spans="1:9" s="17" customFormat="1" ht="15" customHeight="1">
      <c r="A606" s="6">
        <v>2000025322</v>
      </c>
      <c r="B606" s="7" t="s">
        <v>139</v>
      </c>
      <c r="C606" s="7" t="str">
        <f>VLOOKUP(A606,[1]Translation!A:F,4,FALSE)</f>
        <v>Hinterräder Set</v>
      </c>
      <c r="D606" s="7"/>
      <c r="E606" s="8" t="s">
        <v>10</v>
      </c>
      <c r="F606" s="8">
        <f>VLOOKUP(A606,'[1]PL ENG'!B:G,6, FALSE)</f>
        <v>4000984148718</v>
      </c>
      <c r="G606" s="8">
        <v>1</v>
      </c>
      <c r="H606" s="9">
        <f>VLOOKUP(A606,[1]pricing!A:M,5,FALSE)</f>
        <v>79.2</v>
      </c>
      <c r="I606" s="10">
        <f>VLOOKUP(A606,[1]pricing!A:M,6,FALSE)</f>
        <v>95</v>
      </c>
    </row>
    <row r="607" spans="1:9" s="17" customFormat="1" ht="15" customHeight="1">
      <c r="A607" s="6">
        <v>2000026292</v>
      </c>
      <c r="B607" s="7" t="s">
        <v>139</v>
      </c>
      <c r="C607" s="7" t="str">
        <f>VLOOKUP(A607,[1]Translation!A:F,4,FALSE)</f>
        <v>Spielbügel (für Modell ab 2015)</v>
      </c>
      <c r="D607" s="7"/>
      <c r="E607" s="8" t="s">
        <v>10</v>
      </c>
      <c r="F607" s="8">
        <f>VLOOKUP(A607,'[1]PL ENG'!B:G,6, FALSE)</f>
        <v>4000984154726</v>
      </c>
      <c r="G607" s="8">
        <v>1</v>
      </c>
      <c r="H607" s="9">
        <f>VLOOKUP(A607,[1]pricing!A:M,5,FALSE)</f>
        <v>16.5</v>
      </c>
      <c r="I607" s="10">
        <f>VLOOKUP(A607,[1]pricing!A:M,6,FALSE)</f>
        <v>20</v>
      </c>
    </row>
    <row r="608" spans="1:9" s="17" customFormat="1" ht="15" customHeight="1">
      <c r="A608" s="6">
        <v>2000025336</v>
      </c>
      <c r="B608" s="7" t="s">
        <v>139</v>
      </c>
      <c r="C608" s="7" t="str">
        <f>VLOOKUP(A608,[1]Translation!A:F,4,FALSE)</f>
        <v xml:space="preserve">Griff-Reparatur Set </v>
      </c>
      <c r="D608" s="7" t="s">
        <v>24</v>
      </c>
      <c r="E608" s="8" t="s">
        <v>43</v>
      </c>
      <c r="F608" s="8">
        <f>VLOOKUP(A608,'[1]PL ENG'!B:G,6, FALSE)</f>
        <v>4000984148855</v>
      </c>
      <c r="G608" s="8">
        <v>1</v>
      </c>
      <c r="H608" s="9">
        <f>VLOOKUP(A608,[1]pricing!A:M,5,FALSE)</f>
        <v>49.5</v>
      </c>
      <c r="I608" s="10">
        <f>VLOOKUP(A608,[1]pricing!A:M,6,FALSE)</f>
        <v>60</v>
      </c>
    </row>
    <row r="609" spans="1:9" s="17" customFormat="1" ht="15" customHeight="1">
      <c r="A609" s="6">
        <v>2000025337</v>
      </c>
      <c r="B609" s="7" t="s">
        <v>139</v>
      </c>
      <c r="C609" s="7" t="str">
        <f>VLOOKUP(A609,[1]Translation!A:F,4,FALSE)</f>
        <v xml:space="preserve">Griff-Reparatur Set </v>
      </c>
      <c r="D609" s="7" t="s">
        <v>136</v>
      </c>
      <c r="E609" s="8" t="s">
        <v>43</v>
      </c>
      <c r="F609" s="8">
        <f>VLOOKUP(A609,'[1]PL ENG'!B:G,6, FALSE)</f>
        <v>4000984148862</v>
      </c>
      <c r="G609" s="8">
        <v>1</v>
      </c>
      <c r="H609" s="9">
        <f>VLOOKUP(A609,[1]pricing!A:M,5,FALSE)</f>
        <v>49.5</v>
      </c>
      <c r="I609" s="10">
        <f>VLOOKUP(A609,[1]pricing!A:M,6,FALSE)</f>
        <v>60</v>
      </c>
    </row>
    <row r="610" spans="1:9" s="17" customFormat="1" ht="15" customHeight="1">
      <c r="A610" s="6">
        <v>2000025338</v>
      </c>
      <c r="B610" s="7" t="s">
        <v>139</v>
      </c>
      <c r="C610" s="7" t="str">
        <f>VLOOKUP(A610,[1]Translation!A:F,4,FALSE)</f>
        <v xml:space="preserve">Griff-Reparatur Set </v>
      </c>
      <c r="D610" s="7" t="s">
        <v>95</v>
      </c>
      <c r="E610" s="8" t="s">
        <v>43</v>
      </c>
      <c r="F610" s="8">
        <f>VLOOKUP(A610,'[1]PL ENG'!B:G,6, FALSE)</f>
        <v>4000984148879</v>
      </c>
      <c r="G610" s="8">
        <v>1</v>
      </c>
      <c r="H610" s="9">
        <f>VLOOKUP(A610,[1]pricing!A:M,5,FALSE)</f>
        <v>49.5</v>
      </c>
      <c r="I610" s="10">
        <f>VLOOKUP(A610,[1]pricing!A:M,6,FALSE)</f>
        <v>60</v>
      </c>
    </row>
    <row r="611" spans="1:9" s="17" customFormat="1" ht="15" customHeight="1">
      <c r="A611" s="6">
        <v>2000025339</v>
      </c>
      <c r="B611" s="7" t="s">
        <v>139</v>
      </c>
      <c r="C611" s="7" t="str">
        <f>VLOOKUP(A611,[1]Translation!A:F,4,FALSE)</f>
        <v>Chassis</v>
      </c>
      <c r="D611" s="7" t="s">
        <v>24</v>
      </c>
      <c r="E611" s="8" t="s">
        <v>10</v>
      </c>
      <c r="F611" s="8">
        <f>VLOOKUP(A611,'[1]PL ENG'!B:G,6, FALSE)</f>
        <v>4000984148886</v>
      </c>
      <c r="G611" s="8">
        <v>1</v>
      </c>
      <c r="H611" s="9">
        <f>VLOOKUP(A611,[1]pricing!A:M,5,FALSE)</f>
        <v>309.72000000000003</v>
      </c>
      <c r="I611" s="10">
        <f>VLOOKUP(A611,[1]pricing!A:M,6,FALSE)</f>
        <v>370</v>
      </c>
    </row>
    <row r="612" spans="1:9" s="17" customFormat="1" ht="15" customHeight="1">
      <c r="A612" s="6">
        <v>2000025340</v>
      </c>
      <c r="B612" s="7" t="s">
        <v>139</v>
      </c>
      <c r="C612" s="7" t="str">
        <f>VLOOKUP(A612,[1]Translation!A:F,4,FALSE)</f>
        <v>Chassis</v>
      </c>
      <c r="D612" s="7" t="s">
        <v>137</v>
      </c>
      <c r="E612" s="8" t="s">
        <v>10</v>
      </c>
      <c r="F612" s="8">
        <f>VLOOKUP(A612,'[1]PL ENG'!B:G,6, FALSE)</f>
        <v>4000984148893</v>
      </c>
      <c r="G612" s="8">
        <v>1</v>
      </c>
      <c r="H612" s="9">
        <f>VLOOKUP(A612,[1]pricing!A:M,5,FALSE)</f>
        <v>309.72000000000003</v>
      </c>
      <c r="I612" s="10">
        <f>VLOOKUP(A612,[1]pricing!A:M,6,FALSE)</f>
        <v>370</v>
      </c>
    </row>
    <row r="613" spans="1:9" s="17" customFormat="1" ht="15" customHeight="1">
      <c r="A613" s="6">
        <v>2000025342</v>
      </c>
      <c r="B613" s="7" t="s">
        <v>139</v>
      </c>
      <c r="C613" s="7" t="str">
        <f>VLOOKUP(A613,[1]Translation!A:F,4,FALSE)</f>
        <v>Chassis</v>
      </c>
      <c r="D613" s="7" t="s">
        <v>138</v>
      </c>
      <c r="E613" s="8" t="s">
        <v>10</v>
      </c>
      <c r="F613" s="8">
        <f>VLOOKUP(A613,'[1]PL ENG'!B:G,6, FALSE)</f>
        <v>4000984148916</v>
      </c>
      <c r="G613" s="8">
        <v>1</v>
      </c>
      <c r="H613" s="9">
        <f>VLOOKUP(A613,[1]pricing!A:M,5,FALSE)</f>
        <v>309.72000000000003</v>
      </c>
      <c r="I613" s="10">
        <f>VLOOKUP(A613,[1]pricing!A:M,6,FALSE)</f>
        <v>370</v>
      </c>
    </row>
    <row r="614" spans="1:9" s="17" customFormat="1" ht="15" customHeight="1">
      <c r="A614" s="6">
        <v>2000025341</v>
      </c>
      <c r="B614" s="7" t="s">
        <v>139</v>
      </c>
      <c r="C614" s="7" t="str">
        <f>VLOOKUP(A614,[1]Translation!A:F,4,FALSE)</f>
        <v>Chassis</v>
      </c>
      <c r="D614" s="7" t="s">
        <v>95</v>
      </c>
      <c r="E614" s="8" t="s">
        <v>10</v>
      </c>
      <c r="F614" s="8">
        <f>VLOOKUP(A614,'[1]PL ENG'!B:G,6, FALSE)</f>
        <v>4000984148909</v>
      </c>
      <c r="G614" s="8">
        <v>1</v>
      </c>
      <c r="H614" s="9">
        <f>VLOOKUP(A614,[1]pricing!A:M,5,FALSE)</f>
        <v>309.72000000000003</v>
      </c>
      <c r="I614" s="10">
        <f>VLOOKUP(A614,[1]pricing!A:M,6,FALSE)</f>
        <v>370</v>
      </c>
    </row>
    <row r="615" spans="1:9" s="17" customFormat="1" ht="15" customHeight="1">
      <c r="A615" s="6">
        <v>2000025435</v>
      </c>
      <c r="B615" s="7" t="s">
        <v>139</v>
      </c>
      <c r="C615" s="7" t="str">
        <f>VLOOKUP(A615,[1]Translation!A:F,4,FALSE)</f>
        <v xml:space="preserve">Bremsen Reparatur Set </v>
      </c>
      <c r="D615" s="7" t="s">
        <v>24</v>
      </c>
      <c r="E615" s="8" t="s">
        <v>43</v>
      </c>
      <c r="F615" s="8">
        <f>VLOOKUP(A615,'[1]PL ENG'!B:G,6, FALSE)</f>
        <v>4000984149289</v>
      </c>
      <c r="G615" s="8">
        <v>1</v>
      </c>
      <c r="H615" s="9">
        <f>VLOOKUP(A615,[1]pricing!A:M,5,FALSE)</f>
        <v>44</v>
      </c>
      <c r="I615" s="10">
        <f>VLOOKUP(A615,[1]pricing!A:M,6,FALSE)</f>
        <v>53</v>
      </c>
    </row>
    <row r="616" spans="1:9" s="17" customFormat="1" ht="15" customHeight="1">
      <c r="A616" s="6">
        <v>2000025447</v>
      </c>
      <c r="B616" s="7" t="s">
        <v>139</v>
      </c>
      <c r="C616" s="7" t="str">
        <f>VLOOKUP(A616,[1]Translation!A:F,4,FALSE)</f>
        <v xml:space="preserve">Bremsen Reparatur Set </v>
      </c>
      <c r="D616" s="7" t="s">
        <v>95</v>
      </c>
      <c r="E616" s="8" t="s">
        <v>43</v>
      </c>
      <c r="F616" s="8">
        <f>VLOOKUP(A616,'[1]PL ENG'!B:G,6, FALSE)</f>
        <v>4000984149418</v>
      </c>
      <c r="G616" s="8">
        <v>1</v>
      </c>
      <c r="H616" s="9">
        <f>VLOOKUP(A616,[1]pricing!A:M,5,FALSE)</f>
        <v>44</v>
      </c>
      <c r="I616" s="10">
        <f>VLOOKUP(A616,[1]pricing!A:M,6,FALSE)</f>
        <v>53</v>
      </c>
    </row>
    <row r="617" spans="1:9" s="17" customFormat="1" ht="15" customHeight="1">
      <c r="A617" s="6">
        <v>2000025448</v>
      </c>
      <c r="B617" s="7" t="s">
        <v>139</v>
      </c>
      <c r="C617" s="7" t="str">
        <f>VLOOKUP(A617,[1]Translation!A:F,4,FALSE)</f>
        <v xml:space="preserve">Bremsen Reparatur Set </v>
      </c>
      <c r="D617" s="7" t="s">
        <v>137</v>
      </c>
      <c r="E617" s="8" t="s">
        <v>43</v>
      </c>
      <c r="F617" s="8">
        <f>VLOOKUP(A617,'[1]PL ENG'!B:G,6, FALSE)</f>
        <v>4000984149425</v>
      </c>
      <c r="G617" s="8">
        <v>1</v>
      </c>
      <c r="H617" s="9">
        <f>VLOOKUP(A617,[1]pricing!A:M,5,FALSE)</f>
        <v>44</v>
      </c>
      <c r="I617" s="10">
        <f>VLOOKUP(A617,[1]pricing!A:M,6,FALSE)</f>
        <v>53</v>
      </c>
    </row>
    <row r="618" spans="1:9" s="17" customFormat="1" ht="15" customHeight="1">
      <c r="A618" s="6">
        <v>2000025330</v>
      </c>
      <c r="B618" s="7" t="s">
        <v>139</v>
      </c>
      <c r="C618" s="7" t="str">
        <f>VLOOKUP(A618,[1]Translation!A:F,4,FALSE)</f>
        <v xml:space="preserve">Verdeck </v>
      </c>
      <c r="D618" s="7" t="s">
        <v>11</v>
      </c>
      <c r="E618" s="8" t="s">
        <v>10</v>
      </c>
      <c r="F618" s="8">
        <f>VLOOKUP(A618,'[1]PL ENG'!B:G,6, FALSE)</f>
        <v>4000984148794</v>
      </c>
      <c r="G618" s="8">
        <v>1</v>
      </c>
      <c r="H618" s="9">
        <f>VLOOKUP(A618,[1]pricing!A:M,5,FALSE)</f>
        <v>53.9</v>
      </c>
      <c r="I618" s="10">
        <f>VLOOKUP(A618,[1]pricing!A:M,6,FALSE)</f>
        <v>65</v>
      </c>
    </row>
    <row r="619" spans="1:9" s="17" customFormat="1" ht="15" customHeight="1">
      <c r="A619" s="6">
        <v>2000025331</v>
      </c>
      <c r="B619" s="7" t="s">
        <v>139</v>
      </c>
      <c r="C619" s="7" t="str">
        <f>VLOOKUP(A619,[1]Translation!A:F,4,FALSE)</f>
        <v xml:space="preserve">Verdeck </v>
      </c>
      <c r="D619" s="7" t="s">
        <v>12</v>
      </c>
      <c r="E619" s="8" t="s">
        <v>10</v>
      </c>
      <c r="F619" s="8">
        <f>VLOOKUP(A619,'[1]PL ENG'!B:G,6, FALSE)</f>
        <v>4000984148800</v>
      </c>
      <c r="G619" s="8">
        <v>1</v>
      </c>
      <c r="H619" s="9">
        <f>VLOOKUP(A619,[1]pricing!A:M,5,FALSE)</f>
        <v>53.9</v>
      </c>
      <c r="I619" s="10">
        <f>VLOOKUP(A619,[1]pricing!A:M,6,FALSE)</f>
        <v>65</v>
      </c>
    </row>
    <row r="620" spans="1:9" s="17" customFormat="1" ht="15" customHeight="1">
      <c r="A620" s="6">
        <v>2000025332</v>
      </c>
      <c r="B620" s="7" t="s">
        <v>139</v>
      </c>
      <c r="C620" s="7" t="str">
        <f>VLOOKUP(A620,[1]Translation!A:F,4,FALSE)</f>
        <v xml:space="preserve">Verdeck </v>
      </c>
      <c r="D620" s="7" t="s">
        <v>16</v>
      </c>
      <c r="E620" s="8" t="s">
        <v>10</v>
      </c>
      <c r="F620" s="8">
        <f>VLOOKUP(A620,'[1]PL ENG'!B:G,6, FALSE)</f>
        <v>4000984148817</v>
      </c>
      <c r="G620" s="8">
        <v>1</v>
      </c>
      <c r="H620" s="9">
        <f>VLOOKUP(A620,[1]pricing!A:M,5,FALSE)</f>
        <v>53.9</v>
      </c>
      <c r="I620" s="10">
        <f>VLOOKUP(A620,[1]pricing!A:M,6,FALSE)</f>
        <v>65</v>
      </c>
    </row>
    <row r="621" spans="1:9" s="17" customFormat="1" ht="15" customHeight="1">
      <c r="A621" s="6">
        <v>2000025333</v>
      </c>
      <c r="B621" s="7" t="s">
        <v>139</v>
      </c>
      <c r="C621" s="7" t="str">
        <f>VLOOKUP(A621,[1]Translation!A:F,4,FALSE)</f>
        <v xml:space="preserve">Verdeck </v>
      </c>
      <c r="D621" s="7" t="s">
        <v>13</v>
      </c>
      <c r="E621" s="8" t="s">
        <v>10</v>
      </c>
      <c r="F621" s="8">
        <f>VLOOKUP(A621,'[1]PL ENG'!B:G,6, FALSE)</f>
        <v>4000984148824</v>
      </c>
      <c r="G621" s="8">
        <v>1</v>
      </c>
      <c r="H621" s="9">
        <f>VLOOKUP(A621,[1]pricing!A:M,5,FALSE)</f>
        <v>53.9</v>
      </c>
      <c r="I621" s="10">
        <f>VLOOKUP(A621,[1]pricing!A:M,6,FALSE)</f>
        <v>65</v>
      </c>
    </row>
    <row r="622" spans="1:9" s="17" customFormat="1" ht="15" customHeight="1">
      <c r="A622" s="6">
        <v>2000025334</v>
      </c>
      <c r="B622" s="7" t="s">
        <v>139</v>
      </c>
      <c r="C622" s="7" t="str">
        <f>VLOOKUP(A622,[1]Translation!A:F,4,FALSE)</f>
        <v xml:space="preserve">Verdeck </v>
      </c>
      <c r="D622" s="7" t="s">
        <v>91</v>
      </c>
      <c r="E622" s="8" t="s">
        <v>10</v>
      </c>
      <c r="F622" s="8">
        <f>VLOOKUP(A622,'[1]PL ENG'!B:G,6, FALSE)</f>
        <v>4000984148831</v>
      </c>
      <c r="G622" s="8">
        <v>1</v>
      </c>
      <c r="H622" s="9">
        <f>VLOOKUP(A622,[1]pricing!A:M,5,FALSE)</f>
        <v>53.9</v>
      </c>
      <c r="I622" s="10">
        <f>VLOOKUP(A622,[1]pricing!A:M,6,FALSE)</f>
        <v>65</v>
      </c>
    </row>
    <row r="623" spans="1:9" s="17" customFormat="1" ht="15" customHeight="1">
      <c r="A623" s="6">
        <v>2000025335</v>
      </c>
      <c r="B623" s="7" t="s">
        <v>139</v>
      </c>
      <c r="C623" s="7" t="str">
        <f>VLOOKUP(A623,[1]Translation!A:F,4,FALSE)</f>
        <v xml:space="preserve">Verdeck </v>
      </c>
      <c r="D623" s="7" t="s">
        <v>90</v>
      </c>
      <c r="E623" s="8" t="s">
        <v>10</v>
      </c>
      <c r="F623" s="8">
        <f>VLOOKUP(A623,'[1]PL ENG'!B:G,6, FALSE)</f>
        <v>4000984148848</v>
      </c>
      <c r="G623" s="8">
        <v>1</v>
      </c>
      <c r="H623" s="9">
        <f>VLOOKUP(A623,[1]pricing!A:M,5,FALSE)</f>
        <v>53.9</v>
      </c>
      <c r="I623" s="10">
        <f>VLOOKUP(A623,[1]pricing!A:M,6,FALSE)</f>
        <v>65</v>
      </c>
    </row>
    <row r="624" spans="1:9" s="17" customFormat="1" ht="15" customHeight="1">
      <c r="A624" s="6">
        <v>2000025324</v>
      </c>
      <c r="B624" s="7" t="s">
        <v>139</v>
      </c>
      <c r="C624" s="7" t="str">
        <f>VLOOKUP(A624,[1]Translation!A:F,4,FALSE)</f>
        <v>Sitzeinheit</v>
      </c>
      <c r="D624" s="7" t="s">
        <v>24</v>
      </c>
      <c r="E624" s="8" t="s">
        <v>10</v>
      </c>
      <c r="F624" s="8">
        <f>VLOOKUP(A624,'[1]PL ENG'!B:G,6, FALSE)</f>
        <v>4000984148732</v>
      </c>
      <c r="G624" s="8">
        <v>1</v>
      </c>
      <c r="H624" s="9">
        <f>VLOOKUP(A624,[1]pricing!A:M,5,FALSE)</f>
        <v>99</v>
      </c>
      <c r="I624" s="10">
        <f>VLOOKUP(A624,[1]pricing!A:M,6,FALSE)</f>
        <v>120</v>
      </c>
    </row>
    <row r="625" spans="1:9" s="17" customFormat="1" ht="15" customHeight="1">
      <c r="A625" s="6">
        <v>2000025325</v>
      </c>
      <c r="B625" s="7" t="s">
        <v>139</v>
      </c>
      <c r="C625" s="7" t="str">
        <f>VLOOKUP(A625,[1]Translation!A:F,4,FALSE)</f>
        <v>Sitzeinheit</v>
      </c>
      <c r="D625" s="7" t="s">
        <v>137</v>
      </c>
      <c r="E625" s="8" t="s">
        <v>10</v>
      </c>
      <c r="F625" s="8">
        <f>VLOOKUP(A625,'[1]PL ENG'!B:G,6, FALSE)</f>
        <v>4000984148749</v>
      </c>
      <c r="G625" s="8">
        <v>1</v>
      </c>
      <c r="H625" s="9">
        <f>VLOOKUP(A625,[1]pricing!A:M,5,FALSE)</f>
        <v>99</v>
      </c>
      <c r="I625" s="10">
        <f>VLOOKUP(A625,[1]pricing!A:M,6,FALSE)</f>
        <v>120</v>
      </c>
    </row>
    <row r="626" spans="1:9" s="17" customFormat="1" ht="15" customHeight="1">
      <c r="A626" s="6">
        <v>2000025326</v>
      </c>
      <c r="B626" s="7" t="s">
        <v>139</v>
      </c>
      <c r="C626" s="7" t="str">
        <f>VLOOKUP(A626,[1]Translation!A:F,4,FALSE)</f>
        <v>Sitzeinheit</v>
      </c>
      <c r="D626" s="7" t="s">
        <v>95</v>
      </c>
      <c r="E626" s="8" t="s">
        <v>10</v>
      </c>
      <c r="F626" s="8">
        <f>VLOOKUP(A626,'[1]PL ENG'!B:G,6, FALSE)</f>
        <v>4000984148756</v>
      </c>
      <c r="G626" s="8">
        <v>1</v>
      </c>
      <c r="H626" s="9">
        <f>VLOOKUP(A626,[1]pricing!A:M,5,FALSE)</f>
        <v>99</v>
      </c>
      <c r="I626" s="10">
        <f>VLOOKUP(A626,[1]pricing!A:M,6,FALSE)</f>
        <v>120</v>
      </c>
    </row>
    <row r="627" spans="1:9" s="17" customFormat="1" ht="15" customHeight="1">
      <c r="A627" s="6">
        <v>2000009554</v>
      </c>
      <c r="B627" s="7" t="s">
        <v>139</v>
      </c>
      <c r="C627" s="7" t="str">
        <f>VLOOKUP(A627,[1]Translation!A:F,4,FALSE)</f>
        <v>Korb</v>
      </c>
      <c r="D627" s="7" t="s">
        <v>54</v>
      </c>
      <c r="E627" s="8" t="s">
        <v>10</v>
      </c>
      <c r="F627" s="8">
        <f>VLOOKUP(A627,'[1]PL ENG'!B:G,6, FALSE)</f>
        <v>4000984107548</v>
      </c>
      <c r="G627" s="8">
        <v>1</v>
      </c>
      <c r="H627" s="9">
        <f>VLOOKUP(A627,[1]pricing!A:M,5,FALSE)</f>
        <v>18.68</v>
      </c>
      <c r="I627" s="10">
        <f>VLOOKUP(A627,[1]pricing!A:M,6,FALSE)</f>
        <v>25</v>
      </c>
    </row>
    <row r="628" spans="1:9" s="17" customFormat="1" ht="15" customHeight="1">
      <c r="A628" s="6">
        <v>2000025323</v>
      </c>
      <c r="B628" s="7" t="s">
        <v>139</v>
      </c>
      <c r="C628" s="7" t="str">
        <f>VLOOKUP(A628,[1]Translation!A:F,4,FALSE)</f>
        <v>Korb</v>
      </c>
      <c r="D628" s="7" t="s">
        <v>24</v>
      </c>
      <c r="E628" s="8" t="s">
        <v>10</v>
      </c>
      <c r="F628" s="8">
        <f>VLOOKUP(A628,'[1]PL ENG'!B:G,6, FALSE)</f>
        <v>4000984148725</v>
      </c>
      <c r="G628" s="8">
        <v>1</v>
      </c>
      <c r="H628" s="9">
        <f>VLOOKUP(A628,[1]pricing!A:M,5,FALSE)</f>
        <v>18.68</v>
      </c>
      <c r="I628" s="10">
        <f>VLOOKUP(A628,[1]pricing!A:M,6,FALSE)</f>
        <v>25</v>
      </c>
    </row>
    <row r="629" spans="1:9" s="17" customFormat="1" ht="15" customHeight="1">
      <c r="A629" s="6">
        <v>2000012156</v>
      </c>
      <c r="B629" s="7" t="s">
        <v>140</v>
      </c>
      <c r="C629" s="7" t="str">
        <f>VLOOKUP(A629,[1]Translation!A:F,4,FALSE)</f>
        <v>Chassis</v>
      </c>
      <c r="D629" s="7" t="s">
        <v>141</v>
      </c>
      <c r="E629" s="8" t="s">
        <v>10</v>
      </c>
      <c r="F629" s="8">
        <f>VLOOKUP(A629,'[1]PL ENG'!B:G,6, FALSE)</f>
        <v>4000984114454</v>
      </c>
      <c r="G629" s="8">
        <v>1</v>
      </c>
      <c r="H629" s="9">
        <f>VLOOKUP(A629,[1]pricing!A:M,5,FALSE)</f>
        <v>265.58</v>
      </c>
      <c r="I629" s="10">
        <f>VLOOKUP(A629,[1]pricing!A:M,6,FALSE)</f>
        <v>320</v>
      </c>
    </row>
    <row r="630" spans="1:9" s="17" customFormat="1" ht="15" customHeight="1">
      <c r="A630" s="6">
        <v>2000012157</v>
      </c>
      <c r="B630" s="7" t="s">
        <v>140</v>
      </c>
      <c r="C630" s="7" t="str">
        <f>VLOOKUP(A630,[1]Translation!A:F,4,FALSE)</f>
        <v>Chassis</v>
      </c>
      <c r="D630" s="7" t="s">
        <v>24</v>
      </c>
      <c r="E630" s="8" t="s">
        <v>10</v>
      </c>
      <c r="F630" s="8">
        <f>VLOOKUP(A630,'[1]PL ENG'!B:G,6, FALSE)</f>
        <v>4000984114461</v>
      </c>
      <c r="G630" s="8">
        <v>1</v>
      </c>
      <c r="H630" s="9">
        <f>VLOOKUP(A630,[1]pricing!A:M,5,FALSE)</f>
        <v>265.58</v>
      </c>
      <c r="I630" s="10">
        <f>VLOOKUP(A630,[1]pricing!A:M,6,FALSE)</f>
        <v>320</v>
      </c>
    </row>
    <row r="631" spans="1:9" s="17" customFormat="1" ht="15" customHeight="1">
      <c r="A631" s="6">
        <v>2000012160</v>
      </c>
      <c r="B631" s="7" t="s">
        <v>140</v>
      </c>
      <c r="C631" s="7" t="str">
        <f>VLOOKUP(A631,[1]Translation!A:F,4,FALSE)</f>
        <v>Hinterräder Set</v>
      </c>
      <c r="D631" s="7"/>
      <c r="E631" s="8" t="s">
        <v>10</v>
      </c>
      <c r="F631" s="8">
        <f>VLOOKUP(A631,'[1]PL ENG'!B:G,6, FALSE)</f>
        <v>4000984114492</v>
      </c>
      <c r="G631" s="8">
        <v>1</v>
      </c>
      <c r="H631" s="9">
        <f>VLOOKUP(A631,[1]pricing!A:M,5,FALSE)</f>
        <v>44.75</v>
      </c>
      <c r="I631" s="10">
        <f>VLOOKUP(A631,[1]pricing!A:M,6,FALSE)</f>
        <v>55</v>
      </c>
    </row>
    <row r="632" spans="1:9" s="17" customFormat="1" ht="15" customHeight="1">
      <c r="A632" s="6">
        <v>2000012162</v>
      </c>
      <c r="B632" s="7" t="s">
        <v>140</v>
      </c>
      <c r="C632" s="7" t="str">
        <f>VLOOKUP(A632,[1]Translation!A:F,4,FALSE)</f>
        <v>Vorderräder Set</v>
      </c>
      <c r="D632" s="7"/>
      <c r="E632" s="8" t="s">
        <v>10</v>
      </c>
      <c r="F632" s="8">
        <f>VLOOKUP(A632,'[1]PL ENG'!B:G,6, FALSE)</f>
        <v>4000984114515</v>
      </c>
      <c r="G632" s="8">
        <v>1</v>
      </c>
      <c r="H632" s="9">
        <f>VLOOKUP(A632,[1]pricing!A:M,5,FALSE)</f>
        <v>69.459999999999994</v>
      </c>
      <c r="I632" s="10">
        <f>VLOOKUP(A632,[1]pricing!A:M,6,FALSE)</f>
        <v>85</v>
      </c>
    </row>
    <row r="633" spans="1:9" s="17" customFormat="1" ht="15" customHeight="1">
      <c r="A633" s="6">
        <v>2000026629</v>
      </c>
      <c r="B633" s="7" t="s">
        <v>140</v>
      </c>
      <c r="C633" s="7" t="str">
        <f>VLOOKUP(A633,[1]Translation!A:F,4,FALSE)</f>
        <v>Ersatz-Radachse und Gelenk für Geländeräder</v>
      </c>
      <c r="D633" s="7"/>
      <c r="E633" s="8" t="s">
        <v>10</v>
      </c>
      <c r="F633" s="8">
        <f>VLOOKUP(A633,'[1]PL ENG'!B:G,6, FALSE)</f>
        <v>4000984155914</v>
      </c>
      <c r="G633" s="8">
        <v>1</v>
      </c>
      <c r="H633" s="9">
        <f>VLOOKUP(A633,[1]pricing!A:M,5,FALSE)</f>
        <v>16.809999999999999</v>
      </c>
      <c r="I633" s="10">
        <f>VLOOKUP(A633,[1]pricing!A:M,6,FALSE)</f>
        <v>30</v>
      </c>
    </row>
    <row r="634" spans="1:9" s="17" customFormat="1" ht="30" customHeight="1">
      <c r="A634" s="6">
        <v>2000012167</v>
      </c>
      <c r="B634" s="7" t="s">
        <v>140</v>
      </c>
      <c r="C634" s="7" t="str">
        <f>VLOOKUP(A634,[1]Translation!A:F,4,FALSE)</f>
        <v>Korb</v>
      </c>
      <c r="D634" s="7"/>
      <c r="E634" s="8" t="s">
        <v>10</v>
      </c>
      <c r="F634" s="8">
        <f>VLOOKUP(A634,'[1]PL ENG'!B:G,6, FALSE)</f>
        <v>4000984114560</v>
      </c>
      <c r="G634" s="8">
        <v>1</v>
      </c>
      <c r="H634" s="9">
        <f>VLOOKUP(A634,[1]pricing!A:M,5,FALSE)</f>
        <v>27.56</v>
      </c>
      <c r="I634" s="10">
        <f>VLOOKUP(A634,[1]pricing!A:M,6,FALSE)</f>
        <v>35</v>
      </c>
    </row>
    <row r="635" spans="1:9" s="17" customFormat="1" ht="30" customHeight="1">
      <c r="A635" s="20">
        <v>2000023199</v>
      </c>
      <c r="B635" s="7" t="s">
        <v>140</v>
      </c>
      <c r="C635" s="7" t="str">
        <f>VLOOKUP(A635,[1]Translation!A:F,4,FALSE)</f>
        <v>Sitzeinheit</v>
      </c>
      <c r="D635" s="21" t="s">
        <v>142</v>
      </c>
      <c r="E635" s="8" t="s">
        <v>10</v>
      </c>
      <c r="F635" s="8">
        <f>VLOOKUP(A635,'[1]PL ENG'!B:G,6, FALSE)</f>
        <v>4000984141689</v>
      </c>
      <c r="G635" s="22">
        <v>1</v>
      </c>
      <c r="H635" s="9">
        <f>VLOOKUP(A635,[1]pricing!A:M,5,FALSE)</f>
        <v>246.42</v>
      </c>
      <c r="I635" s="10">
        <f>VLOOKUP(A635,[1]pricing!A:M,6,FALSE)</f>
        <v>295</v>
      </c>
    </row>
    <row r="636" spans="1:9" s="17" customFormat="1" ht="30" customHeight="1">
      <c r="A636" s="20">
        <v>2000023200</v>
      </c>
      <c r="B636" s="7" t="s">
        <v>140</v>
      </c>
      <c r="C636" s="7" t="str">
        <f>VLOOKUP(A636,[1]Translation!A:F,4,FALSE)</f>
        <v>Sitzeinheit</v>
      </c>
      <c r="D636" s="21" t="s">
        <v>143</v>
      </c>
      <c r="E636" s="8" t="s">
        <v>10</v>
      </c>
      <c r="F636" s="8">
        <f>VLOOKUP(A636,'[1]PL ENG'!B:G,6, FALSE)</f>
        <v>4000984141696</v>
      </c>
      <c r="G636" s="22">
        <v>1</v>
      </c>
      <c r="H636" s="9">
        <f>VLOOKUP(A636,[1]pricing!A:M,5,FALSE)</f>
        <v>246.42</v>
      </c>
      <c r="I636" s="10">
        <f>VLOOKUP(A636,[1]pricing!A:M,6,FALSE)</f>
        <v>295</v>
      </c>
    </row>
    <row r="637" spans="1:9" s="17" customFormat="1" ht="30" customHeight="1">
      <c r="A637" s="20">
        <v>2000023201</v>
      </c>
      <c r="B637" s="7" t="s">
        <v>140</v>
      </c>
      <c r="C637" s="7" t="str">
        <f>VLOOKUP(A637,[1]Translation!A:F,4,FALSE)</f>
        <v>Sitzeinheit</v>
      </c>
      <c r="D637" s="21" t="s">
        <v>144</v>
      </c>
      <c r="E637" s="8" t="s">
        <v>10</v>
      </c>
      <c r="F637" s="8">
        <f>VLOOKUP(A637,'[1]PL ENG'!B:G,6, FALSE)</f>
        <v>4000984141702</v>
      </c>
      <c r="G637" s="22">
        <v>1</v>
      </c>
      <c r="H637" s="9">
        <f>VLOOKUP(A637,[1]pricing!A:M,5,FALSE)</f>
        <v>246.42</v>
      </c>
      <c r="I637" s="10">
        <f>VLOOKUP(A637,[1]pricing!A:M,6,FALSE)</f>
        <v>295</v>
      </c>
    </row>
    <row r="638" spans="1:9" s="17" customFormat="1" ht="30" customHeight="1">
      <c r="A638" s="20">
        <v>2000023202</v>
      </c>
      <c r="B638" s="7" t="s">
        <v>140</v>
      </c>
      <c r="C638" s="7" t="str">
        <f>VLOOKUP(A638,[1]Translation!A:F,4,FALSE)</f>
        <v>Sitzeinheit</v>
      </c>
      <c r="D638" s="21" t="s">
        <v>145</v>
      </c>
      <c r="E638" s="8" t="s">
        <v>10</v>
      </c>
      <c r="F638" s="8">
        <f>VLOOKUP(A638,'[1]PL ENG'!B:G,6, FALSE)</f>
        <v>4000984141719</v>
      </c>
      <c r="G638" s="22">
        <v>1</v>
      </c>
      <c r="H638" s="9">
        <f>VLOOKUP(A638,[1]pricing!A:M,5,FALSE)</f>
        <v>246.42</v>
      </c>
      <c r="I638" s="10">
        <f>VLOOKUP(A638,[1]pricing!A:M,6,FALSE)</f>
        <v>295</v>
      </c>
    </row>
    <row r="639" spans="1:9" s="17" customFormat="1" ht="30" customHeight="1">
      <c r="A639" s="20">
        <v>2000023203</v>
      </c>
      <c r="B639" s="7" t="s">
        <v>140</v>
      </c>
      <c r="C639" s="7" t="str">
        <f>VLOOKUP(A639,[1]Translation!A:F,4,FALSE)</f>
        <v>Sitzeinheit</v>
      </c>
      <c r="D639" s="21" t="s">
        <v>146</v>
      </c>
      <c r="E639" s="8" t="s">
        <v>10</v>
      </c>
      <c r="F639" s="8">
        <f>VLOOKUP(A639,'[1]PL ENG'!B:G,6, FALSE)</f>
        <v>4000984141726</v>
      </c>
      <c r="G639" s="22">
        <v>1</v>
      </c>
      <c r="H639" s="9">
        <f>VLOOKUP(A639,[1]pricing!A:M,5,FALSE)</f>
        <v>246.42</v>
      </c>
      <c r="I639" s="10">
        <f>VLOOKUP(A639,[1]pricing!A:M,6,FALSE)</f>
        <v>295</v>
      </c>
    </row>
    <row r="640" spans="1:9" s="17" customFormat="1" ht="30" customHeight="1">
      <c r="A640" s="20">
        <v>2000023204</v>
      </c>
      <c r="B640" s="7" t="s">
        <v>140</v>
      </c>
      <c r="C640" s="7" t="str">
        <f>VLOOKUP(A640,[1]Translation!A:F,4,FALSE)</f>
        <v>Sitzeinheit</v>
      </c>
      <c r="D640" s="21" t="s">
        <v>147</v>
      </c>
      <c r="E640" s="8" t="s">
        <v>10</v>
      </c>
      <c r="F640" s="8">
        <f>VLOOKUP(A640,'[1]PL ENG'!B:G,6, FALSE)</f>
        <v>4000984141733</v>
      </c>
      <c r="G640" s="22">
        <v>1</v>
      </c>
      <c r="H640" s="9">
        <f>VLOOKUP(A640,[1]pricing!A:M,5,FALSE)</f>
        <v>246.42</v>
      </c>
      <c r="I640" s="10">
        <f>VLOOKUP(A640,[1]pricing!A:M,6,FALSE)</f>
        <v>295</v>
      </c>
    </row>
    <row r="641" spans="1:9" s="17" customFormat="1" ht="30" customHeight="1">
      <c r="A641" s="20">
        <v>2000012140</v>
      </c>
      <c r="B641" s="7" t="s">
        <v>140</v>
      </c>
      <c r="C641" s="7" t="str">
        <f>VLOOKUP(A641,[1]Translation!A:F,4,FALSE)</f>
        <v>Sitzeinheit</v>
      </c>
      <c r="D641" s="21" t="s">
        <v>148</v>
      </c>
      <c r="E641" s="8" t="s">
        <v>10</v>
      </c>
      <c r="F641" s="8">
        <f>VLOOKUP(A641,'[1]PL ENG'!B:G,6, FALSE)</f>
        <v>4000984114294</v>
      </c>
      <c r="G641" s="22">
        <v>1</v>
      </c>
      <c r="H641" s="9">
        <f>VLOOKUP(A641,[1]pricing!A:M,5,FALSE)</f>
        <v>165.67</v>
      </c>
      <c r="I641" s="10">
        <f>VLOOKUP(A641,[1]pricing!A:M,6,FALSE)</f>
        <v>200</v>
      </c>
    </row>
    <row r="642" spans="1:9" s="17" customFormat="1" ht="30" customHeight="1">
      <c r="A642" s="20">
        <v>2000012141</v>
      </c>
      <c r="B642" s="7" t="s">
        <v>140</v>
      </c>
      <c r="C642" s="7" t="str">
        <f>VLOOKUP(A642,[1]Translation!A:F,4,FALSE)</f>
        <v>Sitzeinheit</v>
      </c>
      <c r="D642" s="21" t="s">
        <v>149</v>
      </c>
      <c r="E642" s="8" t="s">
        <v>10</v>
      </c>
      <c r="F642" s="8">
        <f>VLOOKUP(A642,'[1]PL ENG'!B:G,6, FALSE)</f>
        <v>4000984114300</v>
      </c>
      <c r="G642" s="22">
        <v>1</v>
      </c>
      <c r="H642" s="9">
        <f>VLOOKUP(A642,[1]pricing!A:M,5,FALSE)</f>
        <v>165.67</v>
      </c>
      <c r="I642" s="10">
        <f>VLOOKUP(A642,[1]pricing!A:M,6,FALSE)</f>
        <v>200</v>
      </c>
    </row>
    <row r="643" spans="1:9" s="17" customFormat="1" ht="30" customHeight="1">
      <c r="A643" s="20">
        <v>2000012142</v>
      </c>
      <c r="B643" s="7" t="s">
        <v>140</v>
      </c>
      <c r="C643" s="7" t="str">
        <f>VLOOKUP(A643,[1]Translation!A:F,4,FALSE)</f>
        <v>Sitzeinheit</v>
      </c>
      <c r="D643" s="21" t="s">
        <v>150</v>
      </c>
      <c r="E643" s="8" t="s">
        <v>10</v>
      </c>
      <c r="F643" s="8">
        <f>VLOOKUP(A643,'[1]PL ENG'!B:G,6, FALSE)</f>
        <v>4000984114317</v>
      </c>
      <c r="G643" s="22">
        <v>1</v>
      </c>
      <c r="H643" s="9">
        <f>VLOOKUP(A643,[1]pricing!A:M,5,FALSE)</f>
        <v>165.67</v>
      </c>
      <c r="I643" s="10">
        <f>VLOOKUP(A643,[1]pricing!A:M,6,FALSE)</f>
        <v>200</v>
      </c>
    </row>
    <row r="644" spans="1:9" s="17" customFormat="1" ht="30" customHeight="1">
      <c r="A644" s="20">
        <v>2000012143</v>
      </c>
      <c r="B644" s="7" t="s">
        <v>140</v>
      </c>
      <c r="C644" s="7" t="str">
        <f>VLOOKUP(A644,[1]Translation!A:F,4,FALSE)</f>
        <v>Sitzeinheit</v>
      </c>
      <c r="D644" s="21" t="s">
        <v>151</v>
      </c>
      <c r="E644" s="8" t="s">
        <v>10</v>
      </c>
      <c r="F644" s="8">
        <f>VLOOKUP(A644,'[1]PL ENG'!B:G,6, FALSE)</f>
        <v>4000984114324</v>
      </c>
      <c r="G644" s="22">
        <v>1</v>
      </c>
      <c r="H644" s="9">
        <f>VLOOKUP(A644,[1]pricing!A:M,5,FALSE)</f>
        <v>165.67</v>
      </c>
      <c r="I644" s="10">
        <f>VLOOKUP(A644,[1]pricing!A:M,6,FALSE)</f>
        <v>200</v>
      </c>
    </row>
    <row r="645" spans="1:9" s="17" customFormat="1" ht="30" customHeight="1">
      <c r="A645" s="20">
        <v>2000012144</v>
      </c>
      <c r="B645" s="7" t="s">
        <v>140</v>
      </c>
      <c r="C645" s="7" t="str">
        <f>VLOOKUP(A645,[1]Translation!A:F,4,FALSE)</f>
        <v>Sitzeinheit</v>
      </c>
      <c r="D645" s="21" t="s">
        <v>152</v>
      </c>
      <c r="E645" s="8" t="s">
        <v>10</v>
      </c>
      <c r="F645" s="8">
        <f>VLOOKUP(A645,'[1]PL ENG'!B:G,6, FALSE)</f>
        <v>4000984114331</v>
      </c>
      <c r="G645" s="22">
        <v>1</v>
      </c>
      <c r="H645" s="9">
        <f>VLOOKUP(A645,[1]pricing!A:M,5,FALSE)</f>
        <v>165.67</v>
      </c>
      <c r="I645" s="10">
        <f>VLOOKUP(A645,[1]pricing!A:M,6,FALSE)</f>
        <v>200</v>
      </c>
    </row>
    <row r="646" spans="1:9" s="17" customFormat="1" ht="15" customHeight="1">
      <c r="A646" s="20">
        <v>2000026690</v>
      </c>
      <c r="B646" s="7" t="s">
        <v>140</v>
      </c>
      <c r="C646" s="7" t="str">
        <f>VLOOKUP(A646,[1]Translation!A:F,4,FALSE)</f>
        <v>Sitzeinheit</v>
      </c>
      <c r="D646" s="21" t="s">
        <v>153</v>
      </c>
      <c r="E646" s="8" t="s">
        <v>10</v>
      </c>
      <c r="F646" s="8">
        <f>VLOOKUP(A646,'[1]PL ENG'!B:G,6, FALSE)</f>
        <v>4000984155860</v>
      </c>
      <c r="G646" s="22">
        <v>1</v>
      </c>
      <c r="H646" s="9">
        <f>VLOOKUP(A646,[1]pricing!A:M,5,FALSE)</f>
        <v>165.67</v>
      </c>
      <c r="I646" s="10">
        <f>VLOOKUP(A646,[1]pricing!A:M,6,FALSE)</f>
        <v>295</v>
      </c>
    </row>
    <row r="647" spans="1:9" s="17" customFormat="1" ht="15" customHeight="1">
      <c r="A647" s="6">
        <v>2000012145</v>
      </c>
      <c r="B647" s="7" t="s">
        <v>140</v>
      </c>
      <c r="C647" s="7" t="str">
        <f>VLOOKUP(A647,[1]Translation!A:F,4,FALSE)</f>
        <v>Sitzeinheit</v>
      </c>
      <c r="D647" s="7" t="s">
        <v>154</v>
      </c>
      <c r="E647" s="8" t="s">
        <v>10</v>
      </c>
      <c r="F647" s="8">
        <f>VLOOKUP(A647,'[1]PL ENG'!B:G,6, FALSE)</f>
        <v>4000984114348</v>
      </c>
      <c r="G647" s="8">
        <v>1</v>
      </c>
      <c r="H647" s="9">
        <f>VLOOKUP(A647,[1]pricing!A:M,5,FALSE)</f>
        <v>165.67</v>
      </c>
      <c r="I647" s="10">
        <f>VLOOKUP(A647,[1]pricing!A:M,6,FALSE)</f>
        <v>200</v>
      </c>
    </row>
    <row r="648" spans="1:9" s="17" customFormat="1" ht="15" customHeight="1">
      <c r="A648" s="47">
        <v>2000021622</v>
      </c>
      <c r="B648" s="7" t="s">
        <v>140</v>
      </c>
      <c r="C648" s="7" t="str">
        <f>VLOOKUP(A648,[1]Translation!A:F,4,FALSE)</f>
        <v>Windschutz für Sitzeinheit</v>
      </c>
      <c r="D648" s="7" t="s">
        <v>28</v>
      </c>
      <c r="E648" s="8" t="s">
        <v>10</v>
      </c>
      <c r="F648" s="8">
        <f>VLOOKUP(A648,'[1]PL ENG'!B:G,6, FALSE)</f>
        <v>4000984116663</v>
      </c>
      <c r="G648" s="8">
        <v>1</v>
      </c>
      <c r="H648" s="9">
        <f>VLOOKUP(A648,[1]pricing!A:M,5,FALSE)</f>
        <v>20.78</v>
      </c>
      <c r="I648" s="10">
        <f>VLOOKUP(A648,[1]pricing!A:M,6,FALSE)</f>
        <v>25</v>
      </c>
    </row>
    <row r="649" spans="1:9" s="17" customFormat="1" ht="15" customHeight="1">
      <c r="A649" s="47">
        <v>2000021623</v>
      </c>
      <c r="B649" s="7" t="s">
        <v>140</v>
      </c>
      <c r="C649" s="7" t="str">
        <f>VLOOKUP(A649,[1]Translation!A:F,4,FALSE)</f>
        <v>Windschutz für Sitzeinheit</v>
      </c>
      <c r="D649" s="7" t="s">
        <v>29</v>
      </c>
      <c r="E649" s="8" t="s">
        <v>10</v>
      </c>
      <c r="F649" s="8">
        <f>VLOOKUP(A649,'[1]PL ENG'!B:G,6, FALSE)</f>
        <v>4000984116670</v>
      </c>
      <c r="G649" s="8">
        <v>1</v>
      </c>
      <c r="H649" s="9">
        <f>VLOOKUP(A649,[1]pricing!A:M,5,FALSE)</f>
        <v>20.78</v>
      </c>
      <c r="I649" s="10">
        <f>VLOOKUP(A649,[1]pricing!A:M,6,FALSE)</f>
        <v>25</v>
      </c>
    </row>
    <row r="650" spans="1:9" s="17" customFormat="1" ht="15" customHeight="1">
      <c r="A650" s="47">
        <v>2000021624</v>
      </c>
      <c r="B650" s="7" t="s">
        <v>140</v>
      </c>
      <c r="C650" s="7" t="str">
        <f>VLOOKUP(A650,[1]Translation!A:F,4,FALSE)</f>
        <v>Windschutz für Sitzeinheit</v>
      </c>
      <c r="D650" s="7" t="s">
        <v>88</v>
      </c>
      <c r="E650" s="8" t="s">
        <v>10</v>
      </c>
      <c r="F650" s="8">
        <f>VLOOKUP(A650,'[1]PL ENG'!B:G,6, FALSE)</f>
        <v>4000984116687</v>
      </c>
      <c r="G650" s="8">
        <v>1</v>
      </c>
      <c r="H650" s="9">
        <f>VLOOKUP(A650,[1]pricing!A:M,5,FALSE)</f>
        <v>20.78</v>
      </c>
      <c r="I650" s="10">
        <f>VLOOKUP(A650,[1]pricing!A:M,6,FALSE)</f>
        <v>25</v>
      </c>
    </row>
    <row r="651" spans="1:9" s="17" customFormat="1" ht="15" customHeight="1">
      <c r="A651" s="47">
        <v>2000021625</v>
      </c>
      <c r="B651" s="7" t="s">
        <v>140</v>
      </c>
      <c r="C651" s="7" t="str">
        <f>VLOOKUP(A651,[1]Translation!A:F,4,FALSE)</f>
        <v>Windschutz für Sitzeinheit</v>
      </c>
      <c r="D651" s="7" t="s">
        <v>87</v>
      </c>
      <c r="E651" s="8" t="s">
        <v>10</v>
      </c>
      <c r="F651" s="8">
        <f>VLOOKUP(A651,'[1]PL ENG'!B:G,6, FALSE)</f>
        <v>4000984116694</v>
      </c>
      <c r="G651" s="8">
        <v>1</v>
      </c>
      <c r="H651" s="9">
        <f>VLOOKUP(A651,[1]pricing!A:M,5,FALSE)</f>
        <v>20.78</v>
      </c>
      <c r="I651" s="10">
        <f>VLOOKUP(A651,[1]pricing!A:M,6,FALSE)</f>
        <v>25</v>
      </c>
    </row>
    <row r="652" spans="1:9" s="17" customFormat="1" ht="15" customHeight="1">
      <c r="A652" s="47">
        <v>2000021626</v>
      </c>
      <c r="B652" s="7" t="s">
        <v>140</v>
      </c>
      <c r="C652" s="7" t="str">
        <f>VLOOKUP(A652,[1]Translation!A:F,4,FALSE)</f>
        <v>Windschutz für Sitzeinheit</v>
      </c>
      <c r="D652" s="7" t="s">
        <v>155</v>
      </c>
      <c r="E652" s="8" t="s">
        <v>10</v>
      </c>
      <c r="F652" s="8">
        <f>VLOOKUP(A652,'[1]PL ENG'!B:G,6, FALSE)</f>
        <v>4000984116700</v>
      </c>
      <c r="G652" s="8">
        <v>1</v>
      </c>
      <c r="H652" s="9">
        <f>VLOOKUP(A652,[1]pricing!A:M,5,FALSE)</f>
        <v>20.78</v>
      </c>
      <c r="I652" s="10">
        <f>VLOOKUP(A652,[1]pricing!A:M,6,FALSE)</f>
        <v>25</v>
      </c>
    </row>
    <row r="653" spans="1:9" s="17" customFormat="1" ht="15" customHeight="1">
      <c r="A653" s="47">
        <v>2000021627</v>
      </c>
      <c r="B653" s="7" t="s">
        <v>140</v>
      </c>
      <c r="C653" s="7" t="str">
        <f>VLOOKUP(A653,[1]Translation!A:F,4,FALSE)</f>
        <v>Windschutz für Sitzeinheit</v>
      </c>
      <c r="D653" s="7" t="s">
        <v>117</v>
      </c>
      <c r="E653" s="8" t="s">
        <v>10</v>
      </c>
      <c r="F653" s="8">
        <f>VLOOKUP(A653,'[1]PL ENG'!B:G,6, FALSE)</f>
        <v>4000984116717</v>
      </c>
      <c r="G653" s="8">
        <v>1</v>
      </c>
      <c r="H653" s="9">
        <f>VLOOKUP(A653,[1]pricing!A:M,5,FALSE)</f>
        <v>20.78</v>
      </c>
      <c r="I653" s="10">
        <f>VLOOKUP(A653,[1]pricing!A:M,6,FALSE)</f>
        <v>25</v>
      </c>
    </row>
    <row r="654" spans="1:9" s="17" customFormat="1" ht="15" customHeight="1">
      <c r="A654" s="6">
        <v>2000023209</v>
      </c>
      <c r="B654" s="7" t="s">
        <v>140</v>
      </c>
      <c r="C654" s="7" t="str">
        <f>VLOOKUP(A654,[1]Translation!A:F,4,FALSE)</f>
        <v>Windschutz für Sitzeinheit</v>
      </c>
      <c r="D654" s="7" t="s">
        <v>11</v>
      </c>
      <c r="E654" s="8" t="s">
        <v>10</v>
      </c>
      <c r="F654" s="8">
        <f>VLOOKUP(A654,'[1]PL ENG'!B:G,6, FALSE)</f>
        <v>4000984141788</v>
      </c>
      <c r="G654" s="8">
        <v>1</v>
      </c>
      <c r="H654" s="9">
        <f>VLOOKUP(A654,[1]pricing!A:M,5,FALSE)</f>
        <v>20.78</v>
      </c>
      <c r="I654" s="10">
        <f>VLOOKUP(A654,[1]pricing!A:M,6,FALSE)</f>
        <v>25</v>
      </c>
    </row>
    <row r="655" spans="1:9" s="17" customFormat="1" ht="15" customHeight="1">
      <c r="A655" s="6">
        <v>2000023210</v>
      </c>
      <c r="B655" s="7" t="s">
        <v>140</v>
      </c>
      <c r="C655" s="7" t="str">
        <f>VLOOKUP(A655,[1]Translation!A:F,4,FALSE)</f>
        <v>Windschutz für Sitzeinheit</v>
      </c>
      <c r="D655" s="7" t="s">
        <v>156</v>
      </c>
      <c r="E655" s="8" t="s">
        <v>10</v>
      </c>
      <c r="F655" s="8">
        <f>VLOOKUP(A655,'[1]PL ENG'!B:G,6, FALSE)</f>
        <v>4000984141795</v>
      </c>
      <c r="G655" s="8">
        <v>1</v>
      </c>
      <c r="H655" s="9">
        <f>VLOOKUP(A655,[1]pricing!A:M,5,FALSE)</f>
        <v>20.78</v>
      </c>
      <c r="I655" s="10">
        <f>VLOOKUP(A655,[1]pricing!A:M,6,FALSE)</f>
        <v>25</v>
      </c>
    </row>
    <row r="656" spans="1:9" s="17" customFormat="1" ht="15" customHeight="1">
      <c r="A656" s="6">
        <v>2000023211</v>
      </c>
      <c r="B656" s="7" t="s">
        <v>140</v>
      </c>
      <c r="C656" s="7" t="str">
        <f>VLOOKUP(A656,[1]Translation!A:F,4,FALSE)</f>
        <v>Windschutz für Sitzeinheit</v>
      </c>
      <c r="D656" s="7" t="s">
        <v>91</v>
      </c>
      <c r="E656" s="8" t="s">
        <v>10</v>
      </c>
      <c r="F656" s="8">
        <f>VLOOKUP(A656,'[1]PL ENG'!B:G,6, FALSE)</f>
        <v>4000984141801</v>
      </c>
      <c r="G656" s="8">
        <v>1</v>
      </c>
      <c r="H656" s="9">
        <f>VLOOKUP(A656,[1]pricing!A:M,5,FALSE)</f>
        <v>20.78</v>
      </c>
      <c r="I656" s="10">
        <f>VLOOKUP(A656,[1]pricing!A:M,6,FALSE)</f>
        <v>25</v>
      </c>
    </row>
    <row r="657" spans="1:9" s="17" customFormat="1" ht="15" customHeight="1">
      <c r="A657" s="6">
        <v>2000023212</v>
      </c>
      <c r="B657" s="7" t="s">
        <v>140</v>
      </c>
      <c r="C657" s="7" t="str">
        <f>VLOOKUP(A657,[1]Translation!A:F,4,FALSE)</f>
        <v>Windschutz für Sitzeinheit</v>
      </c>
      <c r="D657" s="7" t="s">
        <v>12</v>
      </c>
      <c r="E657" s="8" t="s">
        <v>10</v>
      </c>
      <c r="F657" s="8">
        <f>VLOOKUP(A657,'[1]PL ENG'!B:G,6, FALSE)</f>
        <v>4000984141818</v>
      </c>
      <c r="G657" s="8">
        <v>1</v>
      </c>
      <c r="H657" s="9">
        <f>VLOOKUP(A657,[1]pricing!A:M,5,FALSE)</f>
        <v>20.78</v>
      </c>
      <c r="I657" s="10">
        <f>VLOOKUP(A657,[1]pricing!A:M,6,FALSE)</f>
        <v>25</v>
      </c>
    </row>
    <row r="658" spans="1:9" s="17" customFormat="1" ht="15" customHeight="1">
      <c r="A658" s="6">
        <v>2000023213</v>
      </c>
      <c r="B658" s="7" t="s">
        <v>140</v>
      </c>
      <c r="C658" s="7" t="str">
        <f>VLOOKUP(A658,[1]Translation!A:F,4,FALSE)</f>
        <v>Windschutz für Sitzeinheit</v>
      </c>
      <c r="D658" s="7" t="s">
        <v>92</v>
      </c>
      <c r="E658" s="8" t="s">
        <v>10</v>
      </c>
      <c r="F658" s="8">
        <f>VLOOKUP(A658,'[1]PL ENG'!B:G,6, FALSE)</f>
        <v>4000984141825</v>
      </c>
      <c r="G658" s="8">
        <v>1</v>
      </c>
      <c r="H658" s="9">
        <f>VLOOKUP(A658,[1]pricing!A:M,5,FALSE)</f>
        <v>20.78</v>
      </c>
      <c r="I658" s="10">
        <f>VLOOKUP(A658,[1]pricing!A:M,6,FALSE)</f>
        <v>25</v>
      </c>
    </row>
    <row r="659" spans="1:9" s="17" customFormat="1" ht="15" customHeight="1">
      <c r="A659" s="6">
        <v>2000023214</v>
      </c>
      <c r="B659" s="7" t="s">
        <v>140</v>
      </c>
      <c r="C659" s="7" t="str">
        <f>VLOOKUP(A659,[1]Translation!A:F,4,FALSE)</f>
        <v>Windschutz für Sitzeinheit</v>
      </c>
      <c r="D659" s="7" t="s">
        <v>58</v>
      </c>
      <c r="E659" s="8" t="s">
        <v>10</v>
      </c>
      <c r="F659" s="8">
        <f>VLOOKUP(A659,'[1]PL ENG'!B:G,6, FALSE)</f>
        <v>4000984141832</v>
      </c>
      <c r="G659" s="8">
        <v>1</v>
      </c>
      <c r="H659" s="9">
        <f>VLOOKUP(A659,[1]pricing!A:M,5,FALSE)</f>
        <v>20.78</v>
      </c>
      <c r="I659" s="10">
        <f>VLOOKUP(A659,[1]pricing!A:M,6,FALSE)</f>
        <v>25</v>
      </c>
    </row>
    <row r="660" spans="1:9" s="17" customFormat="1" ht="15" customHeight="1">
      <c r="A660" s="6">
        <v>2000026721</v>
      </c>
      <c r="B660" s="7" t="s">
        <v>140</v>
      </c>
      <c r="C660" s="7" t="str">
        <f>VLOOKUP(A660,[1]Translation!A:F,4,FALSE)</f>
        <v>Windschutz für Sitzeinheit</v>
      </c>
      <c r="D660" s="7" t="s">
        <v>15</v>
      </c>
      <c r="E660" s="8" t="s">
        <v>10</v>
      </c>
      <c r="F660" s="8">
        <f>VLOOKUP(A660,'[1]PL ENG'!B:G,6, FALSE)</f>
        <v>4000984156270</v>
      </c>
      <c r="G660" s="8">
        <v>1</v>
      </c>
      <c r="H660" s="9">
        <f>VLOOKUP(A660,[1]pricing!A:M,5,FALSE)</f>
        <v>20.78</v>
      </c>
      <c r="I660" s="10">
        <f>VLOOKUP(A660,[1]pricing!A:M,6,FALSE)</f>
        <v>25</v>
      </c>
    </row>
    <row r="661" spans="1:9" s="17" customFormat="1" ht="15" customHeight="1">
      <c r="A661" s="16">
        <v>2000012129</v>
      </c>
      <c r="B661" s="7" t="s">
        <v>140</v>
      </c>
      <c r="C661" s="7" t="str">
        <f>VLOOKUP(A661,[1]Translation!A:F,4,FALSE)</f>
        <v xml:space="preserve">Griff Reparatur Set </v>
      </c>
      <c r="D661" s="18" t="s">
        <v>24</v>
      </c>
      <c r="E661" s="8" t="s">
        <v>43</v>
      </c>
      <c r="F661" s="8">
        <f>VLOOKUP(A661,'[1]PL ENG'!B:G,6, FALSE)</f>
        <v>4000984114201</v>
      </c>
      <c r="G661" s="14">
        <v>1</v>
      </c>
      <c r="H661" s="9">
        <f>VLOOKUP(A661,[1]pricing!A:M,5,FALSE)</f>
        <v>32.71</v>
      </c>
      <c r="I661" s="10">
        <f>VLOOKUP(A661,[1]pricing!A:M,6,FALSE)</f>
        <v>39</v>
      </c>
    </row>
    <row r="662" spans="1:9" s="17" customFormat="1" ht="15" customHeight="1">
      <c r="A662" s="16">
        <v>2000012130</v>
      </c>
      <c r="B662" s="7" t="s">
        <v>140</v>
      </c>
      <c r="C662" s="7" t="str">
        <f>VLOOKUP(A662,[1]Translation!A:F,4,FALSE)</f>
        <v xml:space="preserve">Griff Reparatur Set </v>
      </c>
      <c r="D662" s="18" t="s">
        <v>138</v>
      </c>
      <c r="E662" s="8" t="s">
        <v>43</v>
      </c>
      <c r="F662" s="8">
        <f>VLOOKUP(A662,'[1]PL ENG'!B:G,6, FALSE)</f>
        <v>4000984114218</v>
      </c>
      <c r="G662" s="14">
        <v>1</v>
      </c>
      <c r="H662" s="9">
        <f>VLOOKUP(A662,[1]pricing!A:M,5,FALSE)</f>
        <v>32.71</v>
      </c>
      <c r="I662" s="10">
        <f>VLOOKUP(A662,[1]pricing!A:M,6,FALSE)</f>
        <v>39</v>
      </c>
    </row>
    <row r="663" spans="1:9" s="17" customFormat="1" ht="15" customHeight="1">
      <c r="A663" s="16">
        <v>2000012210</v>
      </c>
      <c r="B663" s="7" t="s">
        <v>140</v>
      </c>
      <c r="C663" s="7" t="str">
        <f>VLOOKUP(A663,[1]Translation!A:F,4,FALSE)</f>
        <v xml:space="preserve">Griff Reparatur Set  </v>
      </c>
      <c r="D663" s="18"/>
      <c r="E663" s="8" t="s">
        <v>43</v>
      </c>
      <c r="F663" s="8">
        <f>VLOOKUP(A663,'[1]PL ENG'!B:G,6, FALSE)</f>
        <v>4000984114744</v>
      </c>
      <c r="G663" s="14">
        <v>1</v>
      </c>
      <c r="H663" s="9">
        <f>VLOOKUP(A663,[1]pricing!A:M,5,FALSE)</f>
        <v>22</v>
      </c>
      <c r="I663" s="10">
        <f>VLOOKUP(A663,[1]pricing!A:M,6,FALSE)</f>
        <v>26</v>
      </c>
    </row>
    <row r="664" spans="1:9" s="17" customFormat="1" ht="15" customHeight="1">
      <c r="A664" s="16">
        <v>2000012208</v>
      </c>
      <c r="B664" s="7" t="s">
        <v>140</v>
      </c>
      <c r="C664" s="7" t="str">
        <f>VLOOKUP(A664,[1]Translation!A:F,4,FALSE)</f>
        <v xml:space="preserve">Hinterrad Reparatur Set </v>
      </c>
      <c r="D664" s="18"/>
      <c r="E664" s="8" t="s">
        <v>43</v>
      </c>
      <c r="F664" s="8">
        <f>VLOOKUP(A664,'[1]PL ENG'!B:G,6, FALSE)</f>
        <v>4000984114720</v>
      </c>
      <c r="G664" s="14">
        <v>1</v>
      </c>
      <c r="H664" s="9">
        <f>VLOOKUP(A664,[1]pricing!A:M,5,FALSE)</f>
        <v>5.5</v>
      </c>
      <c r="I664" s="10">
        <f>VLOOKUP(A664,[1]pricing!A:M,6,FALSE)</f>
        <v>8</v>
      </c>
    </row>
    <row r="665" spans="1:9" s="17" customFormat="1" ht="15" customHeight="1">
      <c r="A665" s="16">
        <v>2000012169</v>
      </c>
      <c r="B665" s="7" t="s">
        <v>140</v>
      </c>
      <c r="C665" s="7" t="str">
        <f>VLOOKUP(A665,[1]Translation!A:F,4,FALSE)</f>
        <v xml:space="preserve">Bremsen Reparatur Set </v>
      </c>
      <c r="D665" s="18"/>
      <c r="E665" s="8" t="s">
        <v>43</v>
      </c>
      <c r="F665" s="8">
        <f>VLOOKUP(A665,'[1]PL ENG'!B:G,6, FALSE)</f>
        <v>4000984114584</v>
      </c>
      <c r="G665" s="14">
        <v>1</v>
      </c>
      <c r="H665" s="9">
        <f>VLOOKUP(A665,[1]pricing!A:M,5,FALSE)</f>
        <v>30.17</v>
      </c>
      <c r="I665" s="10">
        <f>VLOOKUP(A665,[1]pricing!A:M,6,FALSE)</f>
        <v>36</v>
      </c>
    </row>
    <row r="666" spans="1:9" s="17" customFormat="1" ht="15" customHeight="1">
      <c r="A666" s="16">
        <v>2000012171</v>
      </c>
      <c r="B666" s="7" t="s">
        <v>140</v>
      </c>
      <c r="C666" s="7" t="str">
        <f>VLOOKUP(A666,[1]Translation!A:F,4,FALSE)</f>
        <v xml:space="preserve">Federung Reparatur Set </v>
      </c>
      <c r="D666" s="18"/>
      <c r="E666" s="8" t="s">
        <v>43</v>
      </c>
      <c r="F666" s="8">
        <f>VLOOKUP(A666,'[1]PL ENG'!B:G,6, FALSE)</f>
        <v>4000984114607</v>
      </c>
      <c r="G666" s="14">
        <v>1</v>
      </c>
      <c r="H666" s="9">
        <f>VLOOKUP(A666,[1]pricing!A:M,5,FALSE)</f>
        <v>22.54</v>
      </c>
      <c r="I666" s="10">
        <f>VLOOKUP(A666,[1]pricing!A:M,6,FALSE)</f>
        <v>27</v>
      </c>
    </row>
    <row r="667" spans="1:9" ht="15" customHeight="1">
      <c r="A667" s="16">
        <v>2000012173</v>
      </c>
      <c r="B667" s="7" t="s">
        <v>140</v>
      </c>
      <c r="C667" s="7" t="str">
        <f>VLOOKUP(A667,[1]Translation!A:F,4,FALSE)</f>
        <v xml:space="preserve">Schwenkrad Befestigungs Reparatur Set </v>
      </c>
      <c r="D667" s="18"/>
      <c r="E667" s="8" t="s">
        <v>43</v>
      </c>
      <c r="F667" s="8">
        <f>VLOOKUP(A667,'[1]PL ENG'!B:G,6, FALSE)</f>
        <v>4000984114621</v>
      </c>
      <c r="G667" s="14">
        <v>1</v>
      </c>
      <c r="H667" s="9">
        <f>VLOOKUP(A667,[1]pricing!A:M,5,FALSE)</f>
        <v>10.24</v>
      </c>
      <c r="I667" s="10">
        <f>VLOOKUP(A667,[1]pricing!A:M,6,FALSE)</f>
        <v>12</v>
      </c>
    </row>
    <row r="668" spans="1:9" s="17" customFormat="1" ht="15" customHeight="1">
      <c r="A668" s="16">
        <v>2000025126</v>
      </c>
      <c r="B668" s="7" t="s">
        <v>140</v>
      </c>
      <c r="C668" s="7" t="str">
        <f>VLOOKUP(A668,[1]Translation!A:F,4,FALSE)</f>
        <v xml:space="preserve">Sitzeinheit Beinauflage Reparatur Set </v>
      </c>
      <c r="D668" s="18"/>
      <c r="E668" s="8" t="s">
        <v>43</v>
      </c>
      <c r="F668" s="8">
        <f>VLOOKUP(A668,'[1]PL ENG'!B:G,6, FALSE)</f>
        <v>4000984145090</v>
      </c>
      <c r="G668" s="14">
        <v>1</v>
      </c>
      <c r="H668" s="9">
        <f>VLOOKUP(A668,[1]pricing!A:M,5,FALSE)</f>
        <v>16.809999999999999</v>
      </c>
      <c r="I668" s="10">
        <f>VLOOKUP(A668,[1]pricing!A:M,6,FALSE)</f>
        <v>20</v>
      </c>
    </row>
    <row r="669" spans="1:9" s="17" customFormat="1" ht="15" customHeight="1">
      <c r="A669" s="16">
        <v>2000012164</v>
      </c>
      <c r="B669" s="7" t="s">
        <v>140</v>
      </c>
      <c r="C669" s="7" t="str">
        <f>VLOOKUP(A669,[1]Translation!A:F,4,FALSE)</f>
        <v>Spielbügel inkl. Bezug</v>
      </c>
      <c r="D669" s="18" t="s">
        <v>24</v>
      </c>
      <c r="E669" s="8" t="s">
        <v>10</v>
      </c>
      <c r="F669" s="8">
        <f>VLOOKUP(A669,'[1]PL ENG'!B:G,6, FALSE)</f>
        <v>4000984114539</v>
      </c>
      <c r="G669" s="14">
        <v>1</v>
      </c>
      <c r="H669" s="9">
        <f>VLOOKUP(A669,[1]pricing!A:M,5,FALSE)</f>
        <v>15.87</v>
      </c>
      <c r="I669" s="10">
        <f>VLOOKUP(A669,[1]pricing!A:M,6,FALSE)</f>
        <v>20</v>
      </c>
    </row>
    <row r="670" spans="1:9" s="17" customFormat="1" ht="15" customHeight="1">
      <c r="A670" s="16">
        <v>2000023226</v>
      </c>
      <c r="B670" s="7" t="s">
        <v>140</v>
      </c>
      <c r="C670" s="7" t="str">
        <f>VLOOKUP(A670,[1]Translation!A:F,4,FALSE)</f>
        <v>Rückenplatte</v>
      </c>
      <c r="D670" s="18"/>
      <c r="E670" s="8" t="s">
        <v>10</v>
      </c>
      <c r="F670" s="8">
        <f>VLOOKUP(A670,'[1]PL ENG'!B:G,6, FALSE)</f>
        <v>4000984141955</v>
      </c>
      <c r="G670" s="14">
        <v>1</v>
      </c>
      <c r="H670" s="9">
        <f>VLOOKUP(A670,[1]pricing!A:M,5,FALSE)</f>
        <v>16</v>
      </c>
      <c r="I670" s="10">
        <f>VLOOKUP(A670,[1]pricing!A:M,6,FALSE)</f>
        <v>20</v>
      </c>
    </row>
    <row r="671" spans="1:9" s="17" customFormat="1" ht="15" customHeight="1">
      <c r="A671" s="16">
        <v>2000023227</v>
      </c>
      <c r="B671" s="7" t="s">
        <v>140</v>
      </c>
      <c r="C671" s="7" t="str">
        <f>VLOOKUP(A671,[1]Translation!A:F,4,FALSE)</f>
        <v>Sitzplatte</v>
      </c>
      <c r="D671" s="18"/>
      <c r="E671" s="8" t="s">
        <v>10</v>
      </c>
      <c r="F671" s="8">
        <f>VLOOKUP(A671,'[1]PL ENG'!B:G,6, FALSE)</f>
        <v>4000984141962</v>
      </c>
      <c r="G671" s="14">
        <v>1</v>
      </c>
      <c r="H671" s="9">
        <f>VLOOKUP(A671,[1]pricing!A:M,5,FALSE)</f>
        <v>5.5</v>
      </c>
      <c r="I671" s="10">
        <f>VLOOKUP(A671,[1]pricing!A:M,6,FALSE)</f>
        <v>10</v>
      </c>
    </row>
    <row r="672" spans="1:9" s="40" customFormat="1" ht="15" customHeight="1">
      <c r="A672" s="16">
        <v>2000023228</v>
      </c>
      <c r="B672" s="7" t="s">
        <v>140</v>
      </c>
      <c r="C672" s="7" t="str">
        <f>VLOOKUP(A672,[1]Translation!A:F,4,FALSE)</f>
        <v>Gurt mit Schloss und Schulterpolster</v>
      </c>
      <c r="D672" s="18" t="s">
        <v>24</v>
      </c>
      <c r="E672" s="8" t="s">
        <v>10</v>
      </c>
      <c r="F672" s="8">
        <f>VLOOKUP(A672,'[1]PL ENG'!B:G,6, FALSE)</f>
        <v>4000984141979</v>
      </c>
      <c r="G672" s="14">
        <v>1</v>
      </c>
      <c r="H672" s="9">
        <f>VLOOKUP(A672,[1]pricing!A:M,5,FALSE)</f>
        <v>12.95</v>
      </c>
      <c r="I672" s="10">
        <f>VLOOKUP(A672,[1]pricing!A:M,6,FALSE)</f>
        <v>20</v>
      </c>
    </row>
    <row r="673" spans="1:9" s="17" customFormat="1" ht="15" customHeight="1">
      <c r="A673" s="16">
        <v>2000026837</v>
      </c>
      <c r="B673" s="7" t="s">
        <v>140</v>
      </c>
      <c r="C673" s="7" t="str">
        <f>VLOOKUP(A673,[1]Translation!A:F,4,FALSE)</f>
        <v>Rückenlehnenschnalle</v>
      </c>
      <c r="D673" s="18"/>
      <c r="E673" s="8" t="s">
        <v>10</v>
      </c>
      <c r="F673" s="8">
        <f>VLOOKUP(A673,'[1]PL ENG'!B:G,6, FALSE)</f>
        <v>4000984158687</v>
      </c>
      <c r="G673" s="14">
        <v>1</v>
      </c>
      <c r="H673" s="9">
        <f>VLOOKUP(A673,[1]pricing!A:M,5,FALSE)</f>
        <v>5.5</v>
      </c>
      <c r="I673" s="10">
        <f>VLOOKUP(A673,[1]pricing!A:M,6,FALSE)</f>
        <v>8</v>
      </c>
    </row>
    <row r="674" spans="1:9" s="40" customFormat="1" ht="15" customHeight="1">
      <c r="A674" s="16">
        <v>2000010707</v>
      </c>
      <c r="B674" s="7" t="s">
        <v>140</v>
      </c>
      <c r="C674" s="7" t="str">
        <f>VLOOKUP(A674,[1]Translation!A:F,4,FALSE)</f>
        <v>Click&amp;Go Adapter</v>
      </c>
      <c r="D674" s="18"/>
      <c r="E674" s="8" t="s">
        <v>10</v>
      </c>
      <c r="F674" s="8">
        <f>VLOOKUP(A674,'[1]PL ENG'!B:G,6, FALSE)</f>
        <v>4000984109672</v>
      </c>
      <c r="G674" s="14">
        <v>1</v>
      </c>
      <c r="H674" s="9">
        <f>VLOOKUP(A674,[1]pricing!A:M,5,FALSE)</f>
        <v>21.85</v>
      </c>
      <c r="I674" s="10">
        <f>VLOOKUP(A674,[1]pricing!A:M,6,FALSE)</f>
        <v>26</v>
      </c>
    </row>
    <row r="675" spans="1:9" s="17" customFormat="1" ht="15" customHeight="1">
      <c r="A675" s="6">
        <v>2000012158</v>
      </c>
      <c r="B675" s="7" t="s">
        <v>157</v>
      </c>
      <c r="C675" s="7" t="str">
        <f>VLOOKUP(A675,[1]Translation!A:F,4,FALSE)</f>
        <v>Chassis</v>
      </c>
      <c r="D675" s="7" t="s">
        <v>138</v>
      </c>
      <c r="E675" s="8" t="s">
        <v>10</v>
      </c>
      <c r="F675" s="8">
        <f>VLOOKUP(A675,'[1]PL ENG'!B:G,6, FALSE)</f>
        <v>4000984114478</v>
      </c>
      <c r="G675" s="8">
        <v>1</v>
      </c>
      <c r="H675" s="9">
        <f>VLOOKUP(A675,[1]pricing!A:M,5,FALSE)</f>
        <v>265.58</v>
      </c>
      <c r="I675" s="10">
        <f>VLOOKUP(A675,[1]pricing!A:M,6,FALSE)</f>
        <v>320</v>
      </c>
    </row>
    <row r="676" spans="1:9" s="17" customFormat="1" ht="15" customHeight="1">
      <c r="A676" s="6">
        <v>2000012159</v>
      </c>
      <c r="B676" s="7" t="s">
        <v>157</v>
      </c>
      <c r="C676" s="7" t="str">
        <f>VLOOKUP(A676,[1]Translation!A:F,4,FALSE)</f>
        <v>Chassis</v>
      </c>
      <c r="D676" s="7" t="s">
        <v>24</v>
      </c>
      <c r="E676" s="8" t="s">
        <v>10</v>
      </c>
      <c r="F676" s="8">
        <f>VLOOKUP(A676,'[1]PL ENG'!B:G,6, FALSE)</f>
        <v>4000984114485</v>
      </c>
      <c r="G676" s="8">
        <v>1</v>
      </c>
      <c r="H676" s="9">
        <f>VLOOKUP(A676,[1]pricing!A:M,5,FALSE)</f>
        <v>265.58</v>
      </c>
      <c r="I676" s="10">
        <f>VLOOKUP(A676,[1]pricing!A:M,6,FALSE)</f>
        <v>320</v>
      </c>
    </row>
    <row r="677" spans="1:9" s="17" customFormat="1" ht="15" customHeight="1">
      <c r="A677" s="6">
        <v>2000029505</v>
      </c>
      <c r="B677" s="7" t="s">
        <v>157</v>
      </c>
      <c r="C677" s="7" t="str">
        <f>VLOOKUP(A677,[1]Translation!A:F,4,FALSE)</f>
        <v>Chassis (Griff in Lederoptik)</v>
      </c>
      <c r="D677" s="7" t="s">
        <v>138</v>
      </c>
      <c r="E677" s="8" t="s">
        <v>10</v>
      </c>
      <c r="F677" s="8">
        <f>VLOOKUP(A677,'[1]PL ENG'!B:G,6, FALSE)</f>
        <v>4000984191738</v>
      </c>
      <c r="G677" s="8">
        <v>1</v>
      </c>
      <c r="H677" s="9">
        <f>VLOOKUP(A677,[1]pricing!A:M,5,FALSE)</f>
        <v>275.58</v>
      </c>
      <c r="I677" s="10">
        <f>VLOOKUP(A677,[1]pricing!A:M,6,FALSE)</f>
        <v>328</v>
      </c>
    </row>
    <row r="678" spans="1:9" s="17" customFormat="1" ht="15" customHeight="1">
      <c r="A678" s="6">
        <v>2000029506</v>
      </c>
      <c r="B678" s="7" t="s">
        <v>157</v>
      </c>
      <c r="C678" s="7" t="str">
        <f>VLOOKUP(A678,[1]Translation!A:F,4,FALSE)</f>
        <v>Chassis  (Griff in Lederoptik)</v>
      </c>
      <c r="D678" s="7" t="s">
        <v>24</v>
      </c>
      <c r="E678" s="8" t="s">
        <v>10</v>
      </c>
      <c r="F678" s="8">
        <f>VLOOKUP(A678,'[1]PL ENG'!B:G,6, FALSE)</f>
        <v>4000984191745</v>
      </c>
      <c r="G678" s="8">
        <v>1</v>
      </c>
      <c r="H678" s="9">
        <f>VLOOKUP(A678,[1]pricing!A:M,5,FALSE)</f>
        <v>275.58</v>
      </c>
      <c r="I678" s="10">
        <f>VLOOKUP(A678,[1]pricing!A:M,6,FALSE)</f>
        <v>330</v>
      </c>
    </row>
    <row r="679" spans="1:9" s="17" customFormat="1" ht="15" customHeight="1">
      <c r="A679" s="6">
        <v>2000029356</v>
      </c>
      <c r="B679" s="7" t="s">
        <v>157</v>
      </c>
      <c r="C679" s="7" t="str">
        <f>VLOOKUP(A679,[1]Translation!A:F,4,FALSE)</f>
        <v>Chassis (Griff in Lederoptik)</v>
      </c>
      <c r="D679" s="7" t="s">
        <v>158</v>
      </c>
      <c r="E679" s="8" t="s">
        <v>10</v>
      </c>
      <c r="F679" s="8">
        <f>VLOOKUP(A679,'[1]PL ENG'!B:G,6, FALSE)</f>
        <v>4000984191158</v>
      </c>
      <c r="G679" s="8">
        <v>1</v>
      </c>
      <c r="H679" s="9">
        <f>VLOOKUP(A679,[1]pricing!A:M,5,FALSE)</f>
        <v>275.58</v>
      </c>
      <c r="I679" s="10">
        <f>VLOOKUP(A679,[1]pricing!A:M,6,FALSE)</f>
        <v>330</v>
      </c>
    </row>
    <row r="680" spans="1:9" s="17" customFormat="1" ht="15" customHeight="1">
      <c r="A680" s="16">
        <v>2000012161</v>
      </c>
      <c r="B680" s="7" t="s">
        <v>157</v>
      </c>
      <c r="C680" s="7" t="str">
        <f>VLOOKUP(A680,[1]Translation!A:F,4,FALSE)</f>
        <v>Hinterräder Set</v>
      </c>
      <c r="D680" s="7"/>
      <c r="E680" s="8" t="s">
        <v>10</v>
      </c>
      <c r="F680" s="8">
        <f>VLOOKUP(A680,'[1]PL ENG'!B:G,6, FALSE)</f>
        <v>4000984114508</v>
      </c>
      <c r="G680" s="8">
        <v>1</v>
      </c>
      <c r="H680" s="9">
        <f>VLOOKUP(A680,[1]pricing!A:M,5,FALSE)</f>
        <v>63.12</v>
      </c>
      <c r="I680" s="10">
        <f>VLOOKUP(A680,[1]pricing!A:M,6,FALSE)</f>
        <v>80</v>
      </c>
    </row>
    <row r="681" spans="1:9" s="17" customFormat="1" ht="15" customHeight="1">
      <c r="A681" s="16">
        <v>2000029362</v>
      </c>
      <c r="B681" s="7" t="s">
        <v>157</v>
      </c>
      <c r="C681" s="7" t="str">
        <f>VLOOKUP(A681,[1]Translation!A:F,4,FALSE)</f>
        <v>Hinterräder Set WHITE LINE</v>
      </c>
      <c r="D681" s="7"/>
      <c r="E681" s="8" t="s">
        <v>10</v>
      </c>
      <c r="F681" s="8">
        <f>VLOOKUP(A681,'[1]PL ENG'!B:G,6, FALSE)</f>
        <v>4000984191219</v>
      </c>
      <c r="G681" s="8">
        <v>1</v>
      </c>
      <c r="H681" s="9">
        <f>VLOOKUP(A681,[1]pricing!A:M,5,FALSE)</f>
        <v>68.12</v>
      </c>
      <c r="I681" s="10">
        <f>VLOOKUP(A681,[1]pricing!A:M,6,FALSE)</f>
        <v>82</v>
      </c>
    </row>
    <row r="682" spans="1:9" s="17" customFormat="1" ht="15" customHeight="1">
      <c r="A682" s="16">
        <v>2000012163</v>
      </c>
      <c r="B682" s="7" t="s">
        <v>157</v>
      </c>
      <c r="C682" s="7" t="str">
        <f>VLOOKUP(A682,[1]Translation!A:F,4,FALSE)</f>
        <v>Vorderräder Set</v>
      </c>
      <c r="D682" s="7"/>
      <c r="E682" s="8" t="s">
        <v>10</v>
      </c>
      <c r="F682" s="8">
        <f>VLOOKUP(A682,'[1]PL ENG'!B:G,6, FALSE)</f>
        <v>4000984114522</v>
      </c>
      <c r="G682" s="8">
        <v>1</v>
      </c>
      <c r="H682" s="9">
        <f>VLOOKUP(A682,[1]pricing!A:M,5,FALSE)</f>
        <v>69.459999999999994</v>
      </c>
      <c r="I682" s="10">
        <f>VLOOKUP(A682,[1]pricing!A:M,6,FALSE)</f>
        <v>85</v>
      </c>
    </row>
    <row r="683" spans="1:9" s="17" customFormat="1" ht="15" customHeight="1">
      <c r="A683" s="16">
        <v>2000029363</v>
      </c>
      <c r="B683" s="7" t="s">
        <v>157</v>
      </c>
      <c r="C683" s="7" t="str">
        <f>VLOOKUP(A683,[1]Translation!A:F,4,FALSE)</f>
        <v>Vorderräder Set (WHITE LINE)</v>
      </c>
      <c r="D683" s="7"/>
      <c r="E683" s="8" t="s">
        <v>10</v>
      </c>
      <c r="F683" s="8">
        <f>VLOOKUP(A683,'[1]PL ENG'!B:G,6, FALSE)</f>
        <v>4000984191226</v>
      </c>
      <c r="G683" s="8">
        <v>1</v>
      </c>
      <c r="H683" s="9">
        <f>VLOOKUP(A683,[1]pricing!A:M,5,FALSE)</f>
        <v>74.459999999999994</v>
      </c>
      <c r="I683" s="10">
        <f>VLOOKUP(A683,[1]pricing!A:M,6,FALSE)</f>
        <v>89</v>
      </c>
    </row>
    <row r="684" spans="1:9" s="17" customFormat="1" ht="15" customHeight="1">
      <c r="A684" s="16">
        <v>2000026629</v>
      </c>
      <c r="B684" s="7" t="s">
        <v>157</v>
      </c>
      <c r="C684" s="7" t="str">
        <f>VLOOKUP(A684,[1]Translation!A:F,4,FALSE)</f>
        <v>Ersatz-Radachse und Gelenk für Geländeräder</v>
      </c>
      <c r="D684" s="7"/>
      <c r="E684" s="8" t="s">
        <v>10</v>
      </c>
      <c r="F684" s="8">
        <f>VLOOKUP(A684,'[1]PL ENG'!B:G,6, FALSE)</f>
        <v>4000984155914</v>
      </c>
      <c r="G684" s="8">
        <v>1</v>
      </c>
      <c r="H684" s="9">
        <f>VLOOKUP(A684,[1]pricing!A:M,5,FALSE)</f>
        <v>16.809999999999999</v>
      </c>
      <c r="I684" s="10">
        <f>VLOOKUP(A684,[1]pricing!A:M,6,FALSE)</f>
        <v>30</v>
      </c>
    </row>
    <row r="685" spans="1:9" s="17" customFormat="1" ht="15" customHeight="1">
      <c r="A685" s="16">
        <v>2000012168</v>
      </c>
      <c r="B685" s="7" t="s">
        <v>157</v>
      </c>
      <c r="C685" s="7" t="str">
        <f>VLOOKUP(A685,[1]Translation!A:F,4,FALSE)</f>
        <v>Korb</v>
      </c>
      <c r="D685" s="48" t="s">
        <v>159</v>
      </c>
      <c r="E685" s="8" t="s">
        <v>10</v>
      </c>
      <c r="F685" s="8">
        <f>VLOOKUP(A685,'[1]PL ENG'!B:G,6, FALSE)</f>
        <v>4000984114577</v>
      </c>
      <c r="G685" s="8">
        <v>1</v>
      </c>
      <c r="H685" s="9">
        <f>VLOOKUP(A685,[1]pricing!A:M,5,FALSE)</f>
        <v>27.56</v>
      </c>
      <c r="I685" s="10">
        <f>VLOOKUP(A685,[1]pricing!A:M,6,FALSE)</f>
        <v>35</v>
      </c>
    </row>
    <row r="686" spans="1:9" s="17" customFormat="1" ht="15" customHeight="1">
      <c r="A686" s="16">
        <v>2000029366</v>
      </c>
      <c r="B686" s="7" t="s">
        <v>157</v>
      </c>
      <c r="C686" s="7" t="str">
        <f>VLOOKUP(A686,[1]Translation!A:F,4,FALSE)</f>
        <v>Korb</v>
      </c>
      <c r="D686" s="48" t="s">
        <v>160</v>
      </c>
      <c r="E686" s="8" t="s">
        <v>10</v>
      </c>
      <c r="F686" s="8">
        <f>VLOOKUP(A686,'[1]PL ENG'!B:G,6, FALSE)</f>
        <v>4000984191257</v>
      </c>
      <c r="G686" s="8">
        <v>1</v>
      </c>
      <c r="H686" s="9">
        <f>VLOOKUP(A686,[1]pricing!A:M,5,FALSE)</f>
        <v>27.56</v>
      </c>
      <c r="I686" s="10">
        <f>VLOOKUP(A686,[1]pricing!A:M,6,FALSE)</f>
        <v>33</v>
      </c>
    </row>
    <row r="687" spans="1:9" s="17" customFormat="1" ht="15" customHeight="1">
      <c r="A687" s="16">
        <v>2000029367</v>
      </c>
      <c r="B687" s="7" t="s">
        <v>157</v>
      </c>
      <c r="C687" s="7" t="str">
        <f>VLOOKUP(A687,[1]Translation!A:F,4,FALSE)</f>
        <v>Korb</v>
      </c>
      <c r="D687" s="48" t="s">
        <v>161</v>
      </c>
      <c r="E687" s="8" t="s">
        <v>10</v>
      </c>
      <c r="F687" s="8">
        <f>VLOOKUP(A687,'[1]PL ENG'!B:G,6, FALSE)</f>
        <v>4000984191264</v>
      </c>
      <c r="G687" s="8">
        <v>1</v>
      </c>
      <c r="H687" s="9">
        <f>VLOOKUP(A687,[1]pricing!A:M,5,FALSE)</f>
        <v>27.56</v>
      </c>
      <c r="I687" s="10">
        <f>VLOOKUP(A687,[1]pricing!A:M,6,FALSE)</f>
        <v>33</v>
      </c>
    </row>
    <row r="688" spans="1:9" s="17" customFormat="1" ht="15" customHeight="1">
      <c r="A688" s="16">
        <v>2000012224</v>
      </c>
      <c r="B688" s="7" t="s">
        <v>157</v>
      </c>
      <c r="C688" s="7" t="str">
        <f>VLOOKUP(A688,[1]Translation!A:F,4,FALSE)</f>
        <v>Luftreifen</v>
      </c>
      <c r="D688" s="7"/>
      <c r="E688" s="8" t="s">
        <v>10</v>
      </c>
      <c r="F688" s="8">
        <f>VLOOKUP(A688,'[1]PL ENG'!B:G,6, FALSE)</f>
        <v>4000984114850</v>
      </c>
      <c r="G688" s="8">
        <v>1</v>
      </c>
      <c r="H688" s="9">
        <f>VLOOKUP(A688,[1]pricing!A:M,5,FALSE)</f>
        <v>28.71</v>
      </c>
      <c r="I688" s="10">
        <f>VLOOKUP(A688,[1]pricing!A:M,6,FALSE)</f>
        <v>35</v>
      </c>
    </row>
    <row r="689" spans="1:9" s="17" customFormat="1" ht="30" customHeight="1">
      <c r="A689" s="16">
        <v>2000012225</v>
      </c>
      <c r="B689" s="7" t="s">
        <v>157</v>
      </c>
      <c r="C689" s="7" t="str">
        <f>VLOOKUP(A689,[1]Translation!A:F,4,FALSE)</f>
        <v>Schlauch für Luftreifen</v>
      </c>
      <c r="D689" s="7"/>
      <c r="E689" s="8" t="s">
        <v>10</v>
      </c>
      <c r="F689" s="8">
        <f>VLOOKUP(A689,'[1]PL ENG'!B:G,6, FALSE)</f>
        <v>4000984114867</v>
      </c>
      <c r="G689" s="8">
        <v>1</v>
      </c>
      <c r="H689" s="9">
        <f>VLOOKUP(A689,[1]pricing!A:M,5,FALSE)</f>
        <v>12.44</v>
      </c>
      <c r="I689" s="10">
        <f>VLOOKUP(A689,[1]pricing!A:M,6,FALSE)</f>
        <v>15</v>
      </c>
    </row>
    <row r="690" spans="1:9" s="17" customFormat="1" ht="30" customHeight="1">
      <c r="A690" s="16">
        <v>2000012150</v>
      </c>
      <c r="B690" s="7" t="s">
        <v>157</v>
      </c>
      <c r="C690" s="7" t="str">
        <f>VLOOKUP(A690,[1]Translation!A:F,4,FALSE)</f>
        <v>Sitzeinheit</v>
      </c>
      <c r="D690" s="21" t="s">
        <v>162</v>
      </c>
      <c r="E690" s="8" t="s">
        <v>10</v>
      </c>
      <c r="F690" s="8">
        <f>VLOOKUP(A690,'[1]PL ENG'!B:G,6, FALSE)</f>
        <v>4000984114393</v>
      </c>
      <c r="G690" s="22">
        <v>1</v>
      </c>
      <c r="H690" s="9">
        <f>VLOOKUP(A690,[1]pricing!A:M,5,FALSE)</f>
        <v>309.72000000000003</v>
      </c>
      <c r="I690" s="10">
        <f>VLOOKUP(A690,[1]pricing!A:M,6,FALSE)</f>
        <v>370</v>
      </c>
    </row>
    <row r="691" spans="1:9" s="17" customFormat="1" ht="30" customHeight="1">
      <c r="A691" s="16">
        <v>2000012152</v>
      </c>
      <c r="B691" s="7" t="s">
        <v>157</v>
      </c>
      <c r="C691" s="7" t="str">
        <f>VLOOKUP(A691,[1]Translation!A:F,4,FALSE)</f>
        <v>Sitzeinheit</v>
      </c>
      <c r="D691" s="21" t="s">
        <v>163</v>
      </c>
      <c r="E691" s="8" t="s">
        <v>10</v>
      </c>
      <c r="F691" s="8">
        <f>VLOOKUP(A691,'[1]PL ENG'!B:G,6, FALSE)</f>
        <v>4000984114416</v>
      </c>
      <c r="G691" s="22">
        <v>1</v>
      </c>
      <c r="H691" s="9">
        <f>VLOOKUP(A691,[1]pricing!A:M,5,FALSE)</f>
        <v>309.72000000000003</v>
      </c>
      <c r="I691" s="10">
        <f>VLOOKUP(A691,[1]pricing!A:M,6,FALSE)</f>
        <v>370</v>
      </c>
    </row>
    <row r="692" spans="1:9" s="17" customFormat="1" ht="30" customHeight="1">
      <c r="A692" s="16">
        <v>2000021729</v>
      </c>
      <c r="B692" s="7" t="s">
        <v>157</v>
      </c>
      <c r="C692" s="7" t="str">
        <f>VLOOKUP(A692,[1]Translation!A:F,4,FALSE)</f>
        <v>Sitzeinheit</v>
      </c>
      <c r="D692" s="21" t="s">
        <v>164</v>
      </c>
      <c r="E692" s="8" t="s">
        <v>10</v>
      </c>
      <c r="F692" s="8">
        <f>VLOOKUP(A692,'[1]PL ENG'!B:G,6, FALSE)</f>
        <v>4000984118407</v>
      </c>
      <c r="G692" s="22">
        <v>1</v>
      </c>
      <c r="H692" s="9">
        <f>VLOOKUP(A692,[1]pricing!A:M,5,FALSE)</f>
        <v>309.72000000000003</v>
      </c>
      <c r="I692" s="10">
        <f>VLOOKUP(A692,[1]pricing!A:M,6,FALSE)</f>
        <v>370</v>
      </c>
    </row>
    <row r="693" spans="1:9" s="17" customFormat="1" ht="30" customHeight="1">
      <c r="A693" s="16">
        <v>2000021730</v>
      </c>
      <c r="B693" s="7" t="s">
        <v>157</v>
      </c>
      <c r="C693" s="7" t="str">
        <f>VLOOKUP(A693,[1]Translation!A:F,4,FALSE)</f>
        <v>Sitzeinheit</v>
      </c>
      <c r="D693" s="21" t="s">
        <v>165</v>
      </c>
      <c r="E693" s="8" t="s">
        <v>10</v>
      </c>
      <c r="F693" s="8">
        <f>VLOOKUP(A693,'[1]PL ENG'!B:G,6, FALSE)</f>
        <v>4000984118414</v>
      </c>
      <c r="G693" s="22">
        <v>1</v>
      </c>
      <c r="H693" s="9">
        <f>VLOOKUP(A693,[1]pricing!A:M,5,FALSE)</f>
        <v>309.72000000000003</v>
      </c>
      <c r="I693" s="10">
        <f>VLOOKUP(A693,[1]pricing!A:M,6,FALSE)</f>
        <v>370</v>
      </c>
    </row>
    <row r="694" spans="1:9" s="17" customFormat="1" ht="30" customHeight="1">
      <c r="A694" s="16">
        <v>2000023205</v>
      </c>
      <c r="B694" s="7" t="s">
        <v>157</v>
      </c>
      <c r="C694" s="7" t="str">
        <f>VLOOKUP(A694,[1]Translation!A:F,4,FALSE)</f>
        <v>Sitzeinheit</v>
      </c>
      <c r="D694" s="21" t="s">
        <v>166</v>
      </c>
      <c r="E694" s="8" t="s">
        <v>10</v>
      </c>
      <c r="F694" s="8">
        <f>VLOOKUP(A694,'[1]PL ENG'!B:G,6, FALSE)</f>
        <v>4000984141740</v>
      </c>
      <c r="G694" s="22">
        <v>1</v>
      </c>
      <c r="H694" s="9">
        <f>VLOOKUP(A694,[1]pricing!A:M,5,FALSE)</f>
        <v>309.72000000000003</v>
      </c>
      <c r="I694" s="10">
        <f>VLOOKUP(A694,[1]pricing!A:M,6,FALSE)</f>
        <v>370</v>
      </c>
    </row>
    <row r="695" spans="1:9" s="17" customFormat="1" ht="30" customHeight="1">
      <c r="A695" s="16">
        <v>2000023206</v>
      </c>
      <c r="B695" s="7" t="s">
        <v>157</v>
      </c>
      <c r="C695" s="7" t="str">
        <f>VLOOKUP(A695,[1]Translation!A:F,4,FALSE)</f>
        <v>Sitzeinheit</v>
      </c>
      <c r="D695" s="21" t="s">
        <v>167</v>
      </c>
      <c r="E695" s="8" t="s">
        <v>10</v>
      </c>
      <c r="F695" s="8">
        <f>VLOOKUP(A695,'[1]PL ENG'!B:G,6, FALSE)</f>
        <v>4000984141757</v>
      </c>
      <c r="G695" s="22">
        <v>1</v>
      </c>
      <c r="H695" s="9">
        <f>VLOOKUP(A695,[1]pricing!A:M,5,FALSE)</f>
        <v>309.72000000000003</v>
      </c>
      <c r="I695" s="10">
        <f>VLOOKUP(A695,[1]pricing!A:M,6,FALSE)</f>
        <v>370</v>
      </c>
    </row>
    <row r="696" spans="1:9" s="17" customFormat="1" ht="30" customHeight="1">
      <c r="A696" s="16">
        <v>2000029521</v>
      </c>
      <c r="B696" s="7" t="s">
        <v>157</v>
      </c>
      <c r="C696" s="7" t="str">
        <f>VLOOKUP(A696,[1]Translation!A:F,4,FALSE)</f>
        <v>Sitzeinheit</v>
      </c>
      <c r="D696" s="21" t="s">
        <v>168</v>
      </c>
      <c r="E696" s="8" t="s">
        <v>10</v>
      </c>
      <c r="F696" s="8">
        <f>VLOOKUP(A696,'[1]PL ENG'!B:G,6, FALSE)</f>
        <v>4000984191813</v>
      </c>
      <c r="G696" s="22">
        <v>1</v>
      </c>
      <c r="H696" s="9">
        <f>VLOOKUP(A696,[1]pricing!A:M,5,FALSE)</f>
        <v>309.72000000000003</v>
      </c>
      <c r="I696" s="10">
        <f>VLOOKUP(A696,[1]pricing!A:M,6,FALSE)</f>
        <v>369</v>
      </c>
    </row>
    <row r="697" spans="1:9" s="17" customFormat="1" ht="30" customHeight="1">
      <c r="A697" s="16">
        <v>2000026693</v>
      </c>
      <c r="B697" s="7" t="s">
        <v>157</v>
      </c>
      <c r="C697" s="7" t="str">
        <f>VLOOKUP(A697,[1]Translation!A:F,4,FALSE)</f>
        <v>Sitzeinheit</v>
      </c>
      <c r="D697" s="21" t="s">
        <v>169</v>
      </c>
      <c r="E697" s="8" t="s">
        <v>10</v>
      </c>
      <c r="F697" s="8">
        <f>VLOOKUP(A697,'[1]PL ENG'!B:G,6, FALSE)</f>
        <v>4000984155891</v>
      </c>
      <c r="G697" s="22">
        <v>1</v>
      </c>
      <c r="H697" s="9">
        <f>VLOOKUP(A697,[1]pricing!A:M,5,FALSE)</f>
        <v>309.72000000000003</v>
      </c>
      <c r="I697" s="10">
        <f>VLOOKUP(A697,[1]pricing!A:M,6,FALSE)</f>
        <v>295</v>
      </c>
    </row>
    <row r="698" spans="1:9" s="17" customFormat="1" ht="29.25" customHeight="1">
      <c r="A698" s="16">
        <v>2000029522</v>
      </c>
      <c r="B698" s="7" t="s">
        <v>157</v>
      </c>
      <c r="C698" s="7" t="str">
        <f>VLOOKUP(A698,[1]Translation!A:F,4,FALSE)</f>
        <v>Sitzeinheit</v>
      </c>
      <c r="D698" s="21" t="s">
        <v>170</v>
      </c>
      <c r="E698" s="8" t="s">
        <v>10</v>
      </c>
      <c r="F698" s="8">
        <f>VLOOKUP(A698,'[1]PL ENG'!B:G,6, FALSE)</f>
        <v>4000984191837</v>
      </c>
      <c r="G698" s="22">
        <v>1</v>
      </c>
      <c r="H698" s="9">
        <f>VLOOKUP(A698,[1]pricing!A:M,5,FALSE)</f>
        <v>309.72000000000003</v>
      </c>
      <c r="I698" s="10">
        <f>VLOOKUP(A698,[1]pricing!A:M,6,FALSE)</f>
        <v>369</v>
      </c>
    </row>
    <row r="699" spans="1:9" s="17" customFormat="1" ht="30" customHeight="1">
      <c r="A699" s="16">
        <v>2000026694</v>
      </c>
      <c r="B699" s="7" t="s">
        <v>157</v>
      </c>
      <c r="C699" s="7" t="str">
        <f>VLOOKUP(A699,[1]Translation!A:F,4,FALSE)</f>
        <v>Sitzeinheit</v>
      </c>
      <c r="D699" s="21" t="s">
        <v>171</v>
      </c>
      <c r="E699" s="8" t="s">
        <v>10</v>
      </c>
      <c r="F699" s="8">
        <f>VLOOKUP(A699,'[1]PL ENG'!B:G,6, FALSE)</f>
        <v>4000984155822</v>
      </c>
      <c r="G699" s="22">
        <v>1</v>
      </c>
      <c r="H699" s="9">
        <f>VLOOKUP(A699,[1]pricing!A:M,5,FALSE)</f>
        <v>309.72000000000003</v>
      </c>
      <c r="I699" s="10">
        <f>VLOOKUP(A699,[1]pricing!A:M,6,FALSE)</f>
        <v>295</v>
      </c>
    </row>
    <row r="700" spans="1:9" s="17" customFormat="1" ht="15" customHeight="1">
      <c r="A700" s="16">
        <v>2000029358</v>
      </c>
      <c r="B700" s="7" t="s">
        <v>157</v>
      </c>
      <c r="C700" s="7" t="str">
        <f>VLOOKUP(A700,[1]Translation!A:F,4,FALSE)</f>
        <v>Sitzeinheit</v>
      </c>
      <c r="D700" s="21" t="s">
        <v>172</v>
      </c>
      <c r="E700" s="8" t="s">
        <v>10</v>
      </c>
      <c r="F700" s="8">
        <f>VLOOKUP(A700,'[1]PL ENG'!B:G,6, FALSE)</f>
        <v>4000984191172</v>
      </c>
      <c r="G700" s="22">
        <v>1</v>
      </c>
      <c r="H700" s="9">
        <f>VLOOKUP(A700,[1]pricing!A:M,5,FALSE)</f>
        <v>309.72000000000003</v>
      </c>
      <c r="I700" s="10">
        <f>VLOOKUP(A700,[1]pricing!A:M,6,FALSE)</f>
        <v>369</v>
      </c>
    </row>
    <row r="701" spans="1:9" s="17" customFormat="1" ht="15" customHeight="1">
      <c r="A701" s="16">
        <v>2000021628</v>
      </c>
      <c r="B701" s="7" t="s">
        <v>157</v>
      </c>
      <c r="C701" s="7" t="str">
        <f>VLOOKUP(A701,[1]Translation!A:F,4,FALSE)</f>
        <v>Windschutz für Sitzeinheit</v>
      </c>
      <c r="D701" s="7" t="s">
        <v>173</v>
      </c>
      <c r="E701" s="8" t="s">
        <v>10</v>
      </c>
      <c r="F701" s="8">
        <f>VLOOKUP(A701,'[1]PL ENG'!B:G,6, FALSE)</f>
        <v>4000984116724</v>
      </c>
      <c r="G701" s="8">
        <v>1</v>
      </c>
      <c r="H701" s="9">
        <f>VLOOKUP(A701,[1]pricing!A:M,5,FALSE)</f>
        <v>20.78</v>
      </c>
      <c r="I701" s="10">
        <f>VLOOKUP(A701,[1]pricing!A:M,6,FALSE)</f>
        <v>25</v>
      </c>
    </row>
    <row r="702" spans="1:9" s="17" customFormat="1" ht="15" customHeight="1">
      <c r="A702" s="16">
        <v>2000021629</v>
      </c>
      <c r="B702" s="7" t="s">
        <v>157</v>
      </c>
      <c r="C702" s="7" t="str">
        <f>VLOOKUP(A702,[1]Translation!A:F,4,FALSE)</f>
        <v>Windschutz für Sitzeinheit</v>
      </c>
      <c r="D702" s="7" t="s">
        <v>174</v>
      </c>
      <c r="E702" s="8" t="s">
        <v>10</v>
      </c>
      <c r="F702" s="8">
        <f>VLOOKUP(A702,'[1]PL ENG'!B:G,6, FALSE)</f>
        <v>4000984116731</v>
      </c>
      <c r="G702" s="8">
        <v>1</v>
      </c>
      <c r="H702" s="9">
        <f>VLOOKUP(A702,[1]pricing!A:M,5,FALSE)</f>
        <v>20.78</v>
      </c>
      <c r="I702" s="10">
        <f>VLOOKUP(A702,[1]pricing!A:M,6,FALSE)</f>
        <v>25</v>
      </c>
    </row>
    <row r="703" spans="1:9" s="17" customFormat="1" ht="15" customHeight="1">
      <c r="A703" s="16">
        <v>2000021630</v>
      </c>
      <c r="B703" s="7" t="s">
        <v>157</v>
      </c>
      <c r="C703" s="7" t="str">
        <f>VLOOKUP(A703,[1]Translation!A:F,4,FALSE)</f>
        <v>Windschutz für Sitzeinheit</v>
      </c>
      <c r="D703" s="7" t="s">
        <v>160</v>
      </c>
      <c r="E703" s="8" t="s">
        <v>10</v>
      </c>
      <c r="F703" s="8">
        <f>VLOOKUP(A703,'[1]PL ENG'!B:G,6, FALSE)</f>
        <v>4000984116748</v>
      </c>
      <c r="G703" s="8">
        <v>1</v>
      </c>
      <c r="H703" s="9">
        <f>VLOOKUP(A703,[1]pricing!A:M,5,FALSE)</f>
        <v>20.78</v>
      </c>
      <c r="I703" s="10">
        <f>VLOOKUP(A703,[1]pricing!A:M,6,FALSE)</f>
        <v>25</v>
      </c>
    </row>
    <row r="704" spans="1:9" s="17" customFormat="1" ht="15" customHeight="1">
      <c r="A704" s="16">
        <v>2000021733</v>
      </c>
      <c r="B704" s="7" t="s">
        <v>157</v>
      </c>
      <c r="C704" s="7" t="str">
        <f>VLOOKUP(A704,[1]Translation!A:F,4,FALSE)</f>
        <v>Windschutz für Sitzeinheit</v>
      </c>
      <c r="D704" s="7" t="s">
        <v>161</v>
      </c>
      <c r="E704" s="8" t="s">
        <v>10</v>
      </c>
      <c r="F704" s="8">
        <f>VLOOKUP(A704,'[1]PL ENG'!B:G,6, FALSE)</f>
        <v>4000984118445</v>
      </c>
      <c r="G704" s="8">
        <v>1</v>
      </c>
      <c r="H704" s="9">
        <f>VLOOKUP(A704,[1]pricing!A:M,5,FALSE)</f>
        <v>20.78</v>
      </c>
      <c r="I704" s="10">
        <f>VLOOKUP(A704,[1]pricing!A:M,6,FALSE)</f>
        <v>25</v>
      </c>
    </row>
    <row r="705" spans="1:9" s="17" customFormat="1" ht="15" customHeight="1">
      <c r="A705" s="16">
        <v>2000021734</v>
      </c>
      <c r="B705" s="7" t="s">
        <v>157</v>
      </c>
      <c r="C705" s="7" t="str">
        <f>VLOOKUP(A705,[1]Translation!A:F,4,FALSE)</f>
        <v>Windschutz für Sitzeinheit</v>
      </c>
      <c r="D705" s="7" t="s">
        <v>175</v>
      </c>
      <c r="E705" s="8" t="s">
        <v>10</v>
      </c>
      <c r="F705" s="8">
        <f>VLOOKUP(A705,'[1]PL ENG'!B:G,6, FALSE)</f>
        <v>4000984118452</v>
      </c>
      <c r="G705" s="8">
        <v>1</v>
      </c>
      <c r="H705" s="9">
        <f>VLOOKUP(A705,[1]pricing!A:M,5,FALSE)</f>
        <v>20.78</v>
      </c>
      <c r="I705" s="10">
        <f>VLOOKUP(A705,[1]pricing!A:M,6,FALSE)</f>
        <v>25</v>
      </c>
    </row>
    <row r="706" spans="1:9" s="17" customFormat="1" ht="15" customHeight="1">
      <c r="A706" s="16">
        <v>2000023215</v>
      </c>
      <c r="B706" s="7" t="s">
        <v>157</v>
      </c>
      <c r="C706" s="7" t="str">
        <f>VLOOKUP(A706,[1]Translation!A:F,4,FALSE)</f>
        <v>Windschutz für Sitzeinheit</v>
      </c>
      <c r="D706" s="7" t="s">
        <v>176</v>
      </c>
      <c r="E706" s="8" t="s">
        <v>10</v>
      </c>
      <c r="F706" s="8">
        <f>VLOOKUP(A706,'[1]PL ENG'!B:G,6, FALSE)</f>
        <v>4000984141849</v>
      </c>
      <c r="G706" s="8">
        <v>1</v>
      </c>
      <c r="H706" s="9">
        <f>VLOOKUP(A706,[1]pricing!A:M,5,FALSE)</f>
        <v>20.78</v>
      </c>
      <c r="I706" s="10">
        <f>VLOOKUP(A706,[1]pricing!A:M,6,FALSE)</f>
        <v>25</v>
      </c>
    </row>
    <row r="707" spans="1:9" s="17" customFormat="1" ht="15" customHeight="1">
      <c r="A707" s="16">
        <v>2000023216</v>
      </c>
      <c r="B707" s="7" t="s">
        <v>157</v>
      </c>
      <c r="C707" s="7" t="str">
        <f>VLOOKUP(A707,[1]Translation!A:F,4,FALSE)</f>
        <v>Windschutz für Sitzeinheit</v>
      </c>
      <c r="D707" s="7" t="s">
        <v>177</v>
      </c>
      <c r="E707" s="8" t="s">
        <v>10</v>
      </c>
      <c r="F707" s="8">
        <f>VLOOKUP(A707,'[1]PL ENG'!B:G,6, FALSE)</f>
        <v>4000984141856</v>
      </c>
      <c r="G707" s="8">
        <v>1</v>
      </c>
      <c r="H707" s="9">
        <f>VLOOKUP(A707,[1]pricing!A:M,5,FALSE)</f>
        <v>20.78</v>
      </c>
      <c r="I707" s="10">
        <f>VLOOKUP(A707,[1]pricing!A:M,6,FALSE)</f>
        <v>25</v>
      </c>
    </row>
    <row r="708" spans="1:9" s="40" customFormat="1" ht="15" customHeight="1">
      <c r="A708" s="16">
        <v>2000026720</v>
      </c>
      <c r="B708" s="7" t="s">
        <v>157</v>
      </c>
      <c r="C708" s="7" t="str">
        <f>VLOOKUP(A708,[1]Translation!A:F,4,FALSE)</f>
        <v>Windschutz für Sitzeinheit</v>
      </c>
      <c r="D708" s="7" t="s">
        <v>178</v>
      </c>
      <c r="E708" s="8" t="s">
        <v>10</v>
      </c>
      <c r="F708" s="8">
        <f>VLOOKUP(A708,'[1]PL ENG'!B:G,6, FALSE)</f>
        <v>4000984156263</v>
      </c>
      <c r="G708" s="8">
        <v>1</v>
      </c>
      <c r="H708" s="9">
        <f>VLOOKUP(A708,[1]pricing!A:M,5,FALSE)</f>
        <v>20.78</v>
      </c>
      <c r="I708" s="10">
        <f>VLOOKUP(A708,[1]pricing!A:M,6,FALSE)</f>
        <v>25</v>
      </c>
    </row>
    <row r="709" spans="1:9" s="40" customFormat="1" ht="15" customHeight="1">
      <c r="A709" s="16">
        <v>2000029519</v>
      </c>
      <c r="B709" s="7" t="s">
        <v>157</v>
      </c>
      <c r="C709" s="7" t="str">
        <f>VLOOKUP(A709,[1]Translation!A:F,4,FALSE)</f>
        <v>Windschutz für Sitzeinheit</v>
      </c>
      <c r="D709" s="18" t="s">
        <v>179</v>
      </c>
      <c r="E709" s="8" t="s">
        <v>10</v>
      </c>
      <c r="F709" s="8">
        <f>VLOOKUP(A709,'[1]PL ENG'!B:G,6, FALSE)</f>
        <v>4000984191790</v>
      </c>
      <c r="G709" s="14">
        <v>1</v>
      </c>
      <c r="H709" s="9">
        <f>VLOOKUP(A709,[1]pricing!A:M,5,FALSE)</f>
        <v>20.78</v>
      </c>
      <c r="I709" s="10">
        <f>VLOOKUP(A709,[1]pricing!A:M,6,FALSE)</f>
        <v>25</v>
      </c>
    </row>
    <row r="710" spans="1:9" s="40" customFormat="1" ht="15" customHeight="1">
      <c r="A710" s="16">
        <v>2000029520</v>
      </c>
      <c r="B710" s="7" t="s">
        <v>157</v>
      </c>
      <c r="C710" s="7" t="str">
        <f>VLOOKUP(A710,[1]Translation!A:F,4,FALSE)</f>
        <v>Windschutz für Sitzeinheit</v>
      </c>
      <c r="D710" s="18" t="s">
        <v>180</v>
      </c>
      <c r="E710" s="8" t="s">
        <v>10</v>
      </c>
      <c r="F710" s="8">
        <f>VLOOKUP(A710,'[1]PL ENG'!B:G,6, FALSE)</f>
        <v>4000984191806</v>
      </c>
      <c r="G710" s="14">
        <v>1</v>
      </c>
      <c r="H710" s="9">
        <f>VLOOKUP(A710,[1]pricing!A:M,5,FALSE)</f>
        <v>20.78</v>
      </c>
      <c r="I710" s="10">
        <f>VLOOKUP(A710,[1]pricing!A:M,6,FALSE)</f>
        <v>25</v>
      </c>
    </row>
    <row r="711" spans="1:9" s="17" customFormat="1" ht="15" customHeight="1">
      <c r="A711" s="16">
        <v>2000029518</v>
      </c>
      <c r="B711" s="7" t="s">
        <v>157</v>
      </c>
      <c r="C711" s="7" t="str">
        <f>VLOOKUP(A711,[1]Translation!A:F,4,FALSE)</f>
        <v>Windschutz für Sitzeinheit</v>
      </c>
      <c r="D711" s="18" t="s">
        <v>181</v>
      </c>
      <c r="E711" s="8" t="s">
        <v>10</v>
      </c>
      <c r="F711" s="8">
        <f>VLOOKUP(A711,'[1]PL ENG'!B:G,6, FALSE)</f>
        <v>4000984191783</v>
      </c>
      <c r="G711" s="14">
        <v>1</v>
      </c>
      <c r="H711" s="9">
        <f>VLOOKUP(A711,[1]pricing!A:M,5,FALSE)</f>
        <v>20.78</v>
      </c>
      <c r="I711" s="10">
        <f>VLOOKUP(A711,[1]pricing!A:M,6,FALSE)</f>
        <v>25</v>
      </c>
    </row>
    <row r="712" spans="1:9" s="17" customFormat="1" ht="15" customHeight="1">
      <c r="A712" s="16">
        <v>2000029378</v>
      </c>
      <c r="B712" s="7" t="s">
        <v>157</v>
      </c>
      <c r="C712" s="7" t="str">
        <f>VLOOKUP(A712,[1]Translation!A:F,4,FALSE)</f>
        <v>Verdeck</v>
      </c>
      <c r="D712" s="48" t="s">
        <v>179</v>
      </c>
      <c r="E712" s="8" t="s">
        <v>10</v>
      </c>
      <c r="F712" s="8">
        <f>VLOOKUP(A712,'[1]PL ENG'!B:G,6, FALSE)</f>
        <v>4000984191370</v>
      </c>
      <c r="G712" s="8">
        <v>1</v>
      </c>
      <c r="H712" s="9">
        <f>VLOOKUP(A712,[1]pricing!A:M,5,FALSE)</f>
        <v>70.400000000000006</v>
      </c>
      <c r="I712" s="10">
        <f>VLOOKUP(A712,[1]pricing!A:M,6,FALSE)</f>
        <v>84</v>
      </c>
    </row>
    <row r="713" spans="1:9" s="17" customFormat="1" ht="15" customHeight="1">
      <c r="A713" s="16">
        <v>2000029377</v>
      </c>
      <c r="B713" s="7" t="s">
        <v>157</v>
      </c>
      <c r="C713" s="7" t="str">
        <f>VLOOKUP(A713,[1]Translation!A:F,4,FALSE)</f>
        <v>Verdeck</v>
      </c>
      <c r="D713" s="48" t="s">
        <v>181</v>
      </c>
      <c r="E713" s="8" t="s">
        <v>10</v>
      </c>
      <c r="F713" s="8">
        <f>VLOOKUP(A713,'[1]PL ENG'!B:G,6, FALSE)</f>
        <v>4000984191363</v>
      </c>
      <c r="G713" s="8">
        <v>1</v>
      </c>
      <c r="H713" s="9">
        <f>VLOOKUP(A713,[1]pricing!A:M,5,FALSE)</f>
        <v>70.400000000000006</v>
      </c>
      <c r="I713" s="10">
        <f>VLOOKUP(A713,[1]pricing!A:M,6,FALSE)</f>
        <v>84</v>
      </c>
    </row>
    <row r="714" spans="1:9" s="17" customFormat="1" ht="15" customHeight="1">
      <c r="A714" s="16">
        <v>2000029379</v>
      </c>
      <c r="B714" s="7" t="s">
        <v>157</v>
      </c>
      <c r="C714" s="7" t="str">
        <f>VLOOKUP(A714,[1]Translation!A:F,4,FALSE)</f>
        <v>Verdeck</v>
      </c>
      <c r="D714" s="48" t="s">
        <v>180</v>
      </c>
      <c r="E714" s="8" t="s">
        <v>10</v>
      </c>
      <c r="F714" s="8">
        <f>VLOOKUP(A714,'[1]PL ENG'!B:G,6, FALSE)</f>
        <v>4000984191387</v>
      </c>
      <c r="G714" s="8">
        <v>1</v>
      </c>
      <c r="H714" s="9">
        <f>VLOOKUP(A714,[1]pricing!A:M,5,FALSE)</f>
        <v>70.400000000000006</v>
      </c>
      <c r="I714" s="10">
        <f>VLOOKUP(A714,[1]pricing!A:M,6,FALSE)</f>
        <v>84</v>
      </c>
    </row>
    <row r="715" spans="1:9" s="17" customFormat="1" ht="15" customHeight="1">
      <c r="A715" s="16">
        <v>2000023196</v>
      </c>
      <c r="B715" s="7" t="s">
        <v>157</v>
      </c>
      <c r="C715" s="7" t="str">
        <f>VLOOKUP(A715,[1]Translation!A:F,4,FALSE)</f>
        <v>Hinterräder Set 2016</v>
      </c>
      <c r="D715" s="7"/>
      <c r="E715" s="8" t="s">
        <v>10</v>
      </c>
      <c r="F715" s="8">
        <f>VLOOKUP(A715,'[1]PL ENG'!B:G,6, FALSE)</f>
        <v>4000984141658</v>
      </c>
      <c r="G715" s="8">
        <v>1</v>
      </c>
      <c r="H715" s="9">
        <f>VLOOKUP(A715,[1]pricing!A:M,5,FALSE)</f>
        <v>63.12</v>
      </c>
      <c r="I715" s="10">
        <f>VLOOKUP(A715,[1]pricing!A:M,6,FALSE)</f>
        <v>80</v>
      </c>
    </row>
    <row r="716" spans="1:9" ht="15" customHeight="1">
      <c r="A716" s="16">
        <v>2000023197</v>
      </c>
      <c r="B716" s="7" t="s">
        <v>157</v>
      </c>
      <c r="C716" s="7" t="str">
        <f>VLOOKUP(A716,[1]Translation!A:F,4,FALSE)</f>
        <v>Vorderräder Set 2016</v>
      </c>
      <c r="D716" s="7"/>
      <c r="E716" s="8" t="s">
        <v>10</v>
      </c>
      <c r="F716" s="8">
        <f>VLOOKUP(A716,'[1]PL ENG'!B:G,6, FALSE)</f>
        <v>4000984141665</v>
      </c>
      <c r="G716" s="8">
        <v>1</v>
      </c>
      <c r="H716" s="9">
        <f>VLOOKUP(A716,[1]pricing!A:M,5,FALSE)</f>
        <v>69.459999999999994</v>
      </c>
      <c r="I716" s="10">
        <f>VLOOKUP(A716,[1]pricing!A:M,6,FALSE)</f>
        <v>85</v>
      </c>
    </row>
    <row r="717" spans="1:9" ht="15" customHeight="1">
      <c r="A717" s="16">
        <v>2000023198</v>
      </c>
      <c r="B717" s="7" t="s">
        <v>157</v>
      </c>
      <c r="C717" s="7" t="str">
        <f>VLOOKUP(A717,[1]Translation!A:F,4,FALSE)</f>
        <v>Luftreifen 2016</v>
      </c>
      <c r="D717" s="7"/>
      <c r="E717" s="8" t="s">
        <v>10</v>
      </c>
      <c r="F717" s="8">
        <f>VLOOKUP(A717,'[1]PL ENG'!B:G,6, FALSE)</f>
        <v>4000984141672</v>
      </c>
      <c r="G717" s="8">
        <v>1</v>
      </c>
      <c r="H717" s="9">
        <f>VLOOKUP(A717,[1]pricing!A:M,5,FALSE)</f>
        <v>28.71</v>
      </c>
      <c r="I717" s="10">
        <f>VLOOKUP(A717,[1]pricing!A:M,6,FALSE)</f>
        <v>35</v>
      </c>
    </row>
    <row r="718" spans="1:9" ht="15" customHeight="1">
      <c r="A718" s="16">
        <v>2000012129</v>
      </c>
      <c r="B718" s="7" t="s">
        <v>157</v>
      </c>
      <c r="C718" s="7" t="str">
        <f>VLOOKUP(A718,[1]Translation!A:F,4,FALSE)</f>
        <v xml:space="preserve">Griff Reparatur Set </v>
      </c>
      <c r="D718" s="18" t="s">
        <v>24</v>
      </c>
      <c r="E718" s="8" t="s">
        <v>43</v>
      </c>
      <c r="F718" s="8">
        <f>VLOOKUP(A718,'[1]PL ENG'!B:G,6, FALSE)</f>
        <v>4000984114201</v>
      </c>
      <c r="G718" s="14">
        <v>1</v>
      </c>
      <c r="H718" s="9">
        <f>VLOOKUP(A718,[1]pricing!A:M,5,FALSE)</f>
        <v>32.71</v>
      </c>
      <c r="I718" s="10">
        <f>VLOOKUP(A718,[1]pricing!A:M,6,FALSE)</f>
        <v>39</v>
      </c>
    </row>
    <row r="719" spans="1:9" ht="15" customHeight="1">
      <c r="A719" s="16">
        <v>2000012130</v>
      </c>
      <c r="B719" s="7" t="s">
        <v>157</v>
      </c>
      <c r="C719" s="7" t="str">
        <f>VLOOKUP(A719,[1]Translation!A:F,4,FALSE)</f>
        <v xml:space="preserve">Griff Reparatur Set </v>
      </c>
      <c r="D719" s="18" t="s">
        <v>138</v>
      </c>
      <c r="E719" s="8" t="s">
        <v>43</v>
      </c>
      <c r="F719" s="8">
        <f>VLOOKUP(A719,'[1]PL ENG'!B:G,6, FALSE)</f>
        <v>4000984114218</v>
      </c>
      <c r="G719" s="14">
        <v>1</v>
      </c>
      <c r="H719" s="9">
        <f>VLOOKUP(A719,[1]pricing!A:M,5,FALSE)</f>
        <v>32.71</v>
      </c>
      <c r="I719" s="10">
        <f>VLOOKUP(A719,[1]pricing!A:M,6,FALSE)</f>
        <v>39</v>
      </c>
    </row>
    <row r="720" spans="1:9" ht="15" customHeight="1">
      <c r="A720" s="16">
        <v>2000029352</v>
      </c>
      <c r="B720" s="7" t="s">
        <v>157</v>
      </c>
      <c r="C720" s="7" t="str">
        <f>VLOOKUP(A720,[1]Translation!A:F,4,FALSE)</f>
        <v xml:space="preserve">Griff Reparatur Set Lederoptik </v>
      </c>
      <c r="D720" s="18" t="s">
        <v>24</v>
      </c>
      <c r="E720" s="8" t="s">
        <v>43</v>
      </c>
      <c r="F720" s="8">
        <f>VLOOKUP(A720,'[1]PL ENG'!B:G,6, FALSE)</f>
        <v>4000984191110</v>
      </c>
      <c r="G720" s="14">
        <v>1</v>
      </c>
      <c r="H720" s="9">
        <f>VLOOKUP(A720,[1]pricing!A:M,5,FALSE)</f>
        <v>42.71</v>
      </c>
      <c r="I720" s="10">
        <f>VLOOKUP(A720,[1]pricing!A:M,6,FALSE)</f>
        <v>51</v>
      </c>
    </row>
    <row r="721" spans="1:9" ht="15" customHeight="1">
      <c r="A721" s="49">
        <v>2000029479</v>
      </c>
      <c r="B721" s="7" t="s">
        <v>157</v>
      </c>
      <c r="C721" s="7" t="str">
        <f>VLOOKUP(A721,[1]Translation!A:F,4,FALSE)</f>
        <v xml:space="preserve">Griff Reparatur Set Lederoptik </v>
      </c>
      <c r="D721" s="18" t="s">
        <v>182</v>
      </c>
      <c r="E721" s="8" t="s">
        <v>43</v>
      </c>
      <c r="F721" s="8">
        <f>VLOOKUP(A721,'[1]PL ENG'!B:G,6, FALSE)</f>
        <v>4000984191684</v>
      </c>
      <c r="G721" s="14">
        <v>1</v>
      </c>
      <c r="H721" s="9">
        <f>VLOOKUP(A721,[1]pricing!A:M,5,FALSE)</f>
        <v>42.71</v>
      </c>
      <c r="I721" s="10">
        <f>VLOOKUP(A721,[1]pricing!A:M,6,FALSE)</f>
        <v>51</v>
      </c>
    </row>
    <row r="722" spans="1:9" ht="15" customHeight="1">
      <c r="A722" s="16">
        <v>2000029354</v>
      </c>
      <c r="B722" s="7" t="s">
        <v>157</v>
      </c>
      <c r="C722" s="7" t="str">
        <f>VLOOKUP(A722,[1]Translation!A:F,4,FALSE)</f>
        <v xml:space="preserve">Griff Reparatur Set Lederoptik </v>
      </c>
      <c r="D722" s="18" t="s">
        <v>138</v>
      </c>
      <c r="E722" s="8" t="s">
        <v>43</v>
      </c>
      <c r="F722" s="8">
        <f>VLOOKUP(A722,'[1]PL ENG'!B:G,6, FALSE)</f>
        <v>4000984191134</v>
      </c>
      <c r="G722" s="14">
        <v>1</v>
      </c>
      <c r="H722" s="9">
        <f>VLOOKUP(A722,[1]pricing!A:M,5,FALSE)</f>
        <v>42.71</v>
      </c>
      <c r="I722" s="10">
        <f>VLOOKUP(A722,[1]pricing!A:M,6,FALSE)</f>
        <v>51</v>
      </c>
    </row>
    <row r="723" spans="1:9" ht="15" customHeight="1">
      <c r="A723" s="16">
        <v>2000012210</v>
      </c>
      <c r="B723" s="7" t="s">
        <v>157</v>
      </c>
      <c r="C723" s="7" t="str">
        <f>VLOOKUP(A723,[1]Translation!A:F,4,FALSE)</f>
        <v xml:space="preserve">Griff Reparatur Set  </v>
      </c>
      <c r="D723" s="18"/>
      <c r="E723" s="8" t="s">
        <v>43</v>
      </c>
      <c r="F723" s="8">
        <f>VLOOKUP(A723,'[1]PL ENG'!B:G,6, FALSE)</f>
        <v>4000984114744</v>
      </c>
      <c r="G723" s="14">
        <v>1</v>
      </c>
      <c r="H723" s="9">
        <f>VLOOKUP(A723,[1]pricing!A:M,5,FALSE)</f>
        <v>22</v>
      </c>
      <c r="I723" s="10">
        <f>VLOOKUP(A723,[1]pricing!A:M,6,FALSE)</f>
        <v>26</v>
      </c>
    </row>
    <row r="724" spans="1:9" ht="15" customHeight="1">
      <c r="A724" s="16">
        <v>2000012208</v>
      </c>
      <c r="B724" s="7" t="s">
        <v>157</v>
      </c>
      <c r="C724" s="7" t="str">
        <f>VLOOKUP(A724,[1]Translation!A:F,4,FALSE)</f>
        <v xml:space="preserve">Hinterrad Reparatur Set </v>
      </c>
      <c r="D724" s="18"/>
      <c r="E724" s="8" t="s">
        <v>43</v>
      </c>
      <c r="F724" s="8">
        <f>VLOOKUP(A724,'[1]PL ENG'!B:G,6, FALSE)</f>
        <v>4000984114720</v>
      </c>
      <c r="G724" s="14">
        <v>1</v>
      </c>
      <c r="H724" s="9">
        <f>VLOOKUP(A724,[1]pricing!A:M,5,FALSE)</f>
        <v>5.5</v>
      </c>
      <c r="I724" s="10">
        <f>VLOOKUP(A724,[1]pricing!A:M,6,FALSE)</f>
        <v>8</v>
      </c>
    </row>
    <row r="725" spans="1:9" ht="15" customHeight="1">
      <c r="A725" s="16">
        <v>2000012169</v>
      </c>
      <c r="B725" s="7" t="s">
        <v>157</v>
      </c>
      <c r="C725" s="7" t="str">
        <f>VLOOKUP(A725,[1]Translation!A:F,4,FALSE)</f>
        <v xml:space="preserve">Bremsen Reparatur Set </v>
      </c>
      <c r="D725" s="18"/>
      <c r="E725" s="8" t="s">
        <v>43</v>
      </c>
      <c r="F725" s="8">
        <f>VLOOKUP(A725,'[1]PL ENG'!B:G,6, FALSE)</f>
        <v>4000984114584</v>
      </c>
      <c r="G725" s="14">
        <v>1</v>
      </c>
      <c r="H725" s="9">
        <f>VLOOKUP(A725,[1]pricing!A:M,5,FALSE)</f>
        <v>30.17</v>
      </c>
      <c r="I725" s="10">
        <f>VLOOKUP(A725,[1]pricing!A:M,6,FALSE)</f>
        <v>36</v>
      </c>
    </row>
    <row r="726" spans="1:9" ht="15" customHeight="1">
      <c r="A726" s="16">
        <v>2000012171</v>
      </c>
      <c r="B726" s="7" t="s">
        <v>157</v>
      </c>
      <c r="C726" s="7" t="str">
        <f>VLOOKUP(A726,[1]Translation!A:F,4,FALSE)</f>
        <v xml:space="preserve">Federung Reparatur Set </v>
      </c>
      <c r="D726" s="18"/>
      <c r="E726" s="8" t="s">
        <v>43</v>
      </c>
      <c r="F726" s="8">
        <f>VLOOKUP(A726,'[1]PL ENG'!B:G,6, FALSE)</f>
        <v>4000984114607</v>
      </c>
      <c r="G726" s="14">
        <v>1</v>
      </c>
      <c r="H726" s="9">
        <f>VLOOKUP(A726,[1]pricing!A:M,5,FALSE)</f>
        <v>22.54</v>
      </c>
      <c r="I726" s="10">
        <f>VLOOKUP(A726,[1]pricing!A:M,6,FALSE)</f>
        <v>27</v>
      </c>
    </row>
    <row r="727" spans="1:9" ht="15" customHeight="1">
      <c r="A727" s="16">
        <v>2000012173</v>
      </c>
      <c r="B727" s="7" t="s">
        <v>157</v>
      </c>
      <c r="C727" s="7" t="str">
        <f>VLOOKUP(A727,[1]Translation!A:F,4,FALSE)</f>
        <v xml:space="preserve">Schwenkrad Befestigungs Reparatur Set </v>
      </c>
      <c r="D727" s="18"/>
      <c r="E727" s="8" t="s">
        <v>43</v>
      </c>
      <c r="F727" s="8">
        <f>VLOOKUP(A727,'[1]PL ENG'!B:G,6, FALSE)</f>
        <v>4000984114621</v>
      </c>
      <c r="G727" s="14">
        <v>1</v>
      </c>
      <c r="H727" s="9">
        <f>VLOOKUP(A727,[1]pricing!A:M,5,FALSE)</f>
        <v>10.24</v>
      </c>
      <c r="I727" s="10">
        <f>VLOOKUP(A727,[1]pricing!A:M,6,FALSE)</f>
        <v>12</v>
      </c>
    </row>
    <row r="728" spans="1:9" ht="15" customHeight="1">
      <c r="A728" s="16">
        <v>2000025126</v>
      </c>
      <c r="B728" s="7" t="s">
        <v>157</v>
      </c>
      <c r="C728" s="7" t="str">
        <f>VLOOKUP(A728,[1]Translation!A:F,4,FALSE)</f>
        <v xml:space="preserve">Sitzeinheit Beinauflage Reparatur Set </v>
      </c>
      <c r="D728" s="18"/>
      <c r="E728" s="8" t="s">
        <v>43</v>
      </c>
      <c r="F728" s="8">
        <f>VLOOKUP(A728,'[1]PL ENG'!B:G,6, FALSE)</f>
        <v>4000984145090</v>
      </c>
      <c r="G728" s="14">
        <v>1</v>
      </c>
      <c r="H728" s="9">
        <f>VLOOKUP(A728,[1]pricing!A:M,5,FALSE)</f>
        <v>16.809999999999999</v>
      </c>
      <c r="I728" s="10">
        <f>VLOOKUP(A728,[1]pricing!A:M,6,FALSE)</f>
        <v>20</v>
      </c>
    </row>
    <row r="729" spans="1:9" ht="15" customHeight="1">
      <c r="A729" s="16">
        <v>2000012164</v>
      </c>
      <c r="B729" s="7" t="s">
        <v>157</v>
      </c>
      <c r="C729" s="7" t="str">
        <f>VLOOKUP(A729,[1]Translation!A:F,4,FALSE)</f>
        <v>Spielbügel inkl. Bezug</v>
      </c>
      <c r="D729" s="18" t="s">
        <v>24</v>
      </c>
      <c r="E729" s="8" t="s">
        <v>10</v>
      </c>
      <c r="F729" s="8">
        <f>VLOOKUP(A729,'[1]PL ENG'!B:G,6, FALSE)</f>
        <v>4000984114539</v>
      </c>
      <c r="G729" s="14">
        <v>1</v>
      </c>
      <c r="H729" s="9">
        <f>VLOOKUP(A729,[1]pricing!A:M,5,FALSE)</f>
        <v>15.87</v>
      </c>
      <c r="I729" s="10">
        <f>VLOOKUP(A729,[1]pricing!A:M,6,FALSE)</f>
        <v>20</v>
      </c>
    </row>
    <row r="730" spans="1:9" ht="15" customHeight="1">
      <c r="A730" s="16">
        <v>2000023226</v>
      </c>
      <c r="B730" s="7" t="s">
        <v>157</v>
      </c>
      <c r="C730" s="7" t="str">
        <f>VLOOKUP(A730,[1]Translation!A:F,4,FALSE)</f>
        <v>Rückenplatte</v>
      </c>
      <c r="D730" s="18"/>
      <c r="E730" s="8" t="s">
        <v>10</v>
      </c>
      <c r="F730" s="8">
        <f>VLOOKUP(A730,'[1]PL ENG'!B:G,6, FALSE)</f>
        <v>4000984141955</v>
      </c>
      <c r="G730" s="14">
        <v>1</v>
      </c>
      <c r="H730" s="9">
        <f>VLOOKUP(A730,[1]pricing!A:M,5,FALSE)</f>
        <v>16</v>
      </c>
      <c r="I730" s="10">
        <f>VLOOKUP(A730,[1]pricing!A:M,6,FALSE)</f>
        <v>20</v>
      </c>
    </row>
    <row r="731" spans="1:9" ht="15" customHeight="1">
      <c r="A731" s="16">
        <v>2000023227</v>
      </c>
      <c r="B731" s="7" t="s">
        <v>157</v>
      </c>
      <c r="C731" s="7" t="str">
        <f>VLOOKUP(A731,[1]Translation!A:F,4,FALSE)</f>
        <v>Sitzplatte</v>
      </c>
      <c r="D731" s="18"/>
      <c r="E731" s="8" t="s">
        <v>10</v>
      </c>
      <c r="F731" s="8">
        <f>VLOOKUP(A731,'[1]PL ENG'!B:G,6, FALSE)</f>
        <v>4000984141962</v>
      </c>
      <c r="G731" s="14">
        <v>1</v>
      </c>
      <c r="H731" s="9">
        <f>VLOOKUP(A731,[1]pricing!A:M,5,FALSE)</f>
        <v>5.5</v>
      </c>
      <c r="I731" s="10">
        <f>VLOOKUP(A731,[1]pricing!A:M,6,FALSE)</f>
        <v>10</v>
      </c>
    </row>
    <row r="732" spans="1:9" s="40" customFormat="1" ht="15" customHeight="1">
      <c r="A732" s="16">
        <v>2000023228</v>
      </c>
      <c r="B732" s="7" t="s">
        <v>157</v>
      </c>
      <c r="C732" s="7" t="str">
        <f>VLOOKUP(A732,[1]Translation!A:F,4,FALSE)</f>
        <v>Gurt mit Schloss und Schulterpolster</v>
      </c>
      <c r="D732" s="18" t="s">
        <v>24</v>
      </c>
      <c r="E732" s="8" t="s">
        <v>10</v>
      </c>
      <c r="F732" s="8">
        <f>VLOOKUP(A732,'[1]PL ENG'!B:G,6, FALSE)</f>
        <v>4000984141979</v>
      </c>
      <c r="G732" s="14">
        <v>1</v>
      </c>
      <c r="H732" s="9">
        <f>VLOOKUP(A732,[1]pricing!A:M,5,FALSE)</f>
        <v>12.95</v>
      </c>
      <c r="I732" s="10">
        <f>VLOOKUP(A732,[1]pricing!A:M,6,FALSE)</f>
        <v>20</v>
      </c>
    </row>
    <row r="733" spans="1:9" s="40" customFormat="1" ht="15" customHeight="1">
      <c r="A733" s="16">
        <v>2000026837</v>
      </c>
      <c r="B733" s="7" t="s">
        <v>157</v>
      </c>
      <c r="C733" s="7" t="str">
        <f>VLOOKUP(A733,[1]Translation!A:F,4,FALSE)</f>
        <v>Rückenlehnenschnalle</v>
      </c>
      <c r="D733" s="18"/>
      <c r="E733" s="8" t="s">
        <v>10</v>
      </c>
      <c r="F733" s="8">
        <f>VLOOKUP(A733,'[1]PL ENG'!B:G,6, FALSE)</f>
        <v>4000984158687</v>
      </c>
      <c r="G733" s="14">
        <v>1</v>
      </c>
      <c r="H733" s="9">
        <f>VLOOKUP(A733,[1]pricing!A:M,5,FALSE)</f>
        <v>5.5</v>
      </c>
      <c r="I733" s="10">
        <f>VLOOKUP(A733,[1]pricing!A:M,6,FALSE)</f>
        <v>8</v>
      </c>
    </row>
    <row r="734" spans="1:9" s="40" customFormat="1" ht="15" customHeight="1">
      <c r="A734" s="16">
        <v>2000010707</v>
      </c>
      <c r="B734" s="7" t="s">
        <v>157</v>
      </c>
      <c r="C734" s="7" t="str">
        <f>VLOOKUP(A734,[1]Translation!A:F,4,FALSE)</f>
        <v>Click&amp;Go Adapter</v>
      </c>
      <c r="D734" s="18"/>
      <c r="E734" s="8" t="s">
        <v>10</v>
      </c>
      <c r="F734" s="8">
        <f>VLOOKUP(A734,'[1]PL ENG'!B:G,6, FALSE)</f>
        <v>4000984109672</v>
      </c>
      <c r="G734" s="14">
        <v>1</v>
      </c>
      <c r="H734" s="9">
        <f>VLOOKUP(A734,[1]pricing!A:M,5,FALSE)</f>
        <v>21.85</v>
      </c>
      <c r="I734" s="10">
        <f>VLOOKUP(A734,[1]pricing!A:M,6,FALSE)</f>
        <v>26</v>
      </c>
    </row>
    <row r="735" spans="1:9" s="40" customFormat="1" ht="15" customHeight="1">
      <c r="A735" s="16">
        <v>2000012210</v>
      </c>
      <c r="B735" s="18" t="s">
        <v>183</v>
      </c>
      <c r="C735" s="7" t="str">
        <f>VLOOKUP(A735,[1]Translation!A:F,4,FALSE)</f>
        <v xml:space="preserve">Griff Reparatur Set  </v>
      </c>
      <c r="D735" s="18"/>
      <c r="E735" s="8" t="s">
        <v>43</v>
      </c>
      <c r="F735" s="8">
        <f>VLOOKUP(A735,'[1]PL ENG'!B:G,6, FALSE)</f>
        <v>4000984114744</v>
      </c>
      <c r="G735" s="14">
        <v>1</v>
      </c>
      <c r="H735" s="9">
        <f>VLOOKUP(A735,[1]pricing!A:M,5,FALSE)</f>
        <v>22</v>
      </c>
      <c r="I735" s="10">
        <f>VLOOKUP(A735,[1]pricing!A:M,6,FALSE)</f>
        <v>26</v>
      </c>
    </row>
    <row r="736" spans="1:9" s="40" customFormat="1" ht="15" customHeight="1">
      <c r="A736" s="16">
        <v>2000012208</v>
      </c>
      <c r="B736" s="18" t="s">
        <v>183</v>
      </c>
      <c r="C736" s="7" t="str">
        <f>VLOOKUP(A736,[1]Translation!A:F,4,FALSE)</f>
        <v xml:space="preserve">Hinterrad Reparatur Set </v>
      </c>
      <c r="D736" s="18"/>
      <c r="E736" s="8" t="s">
        <v>43</v>
      </c>
      <c r="F736" s="8">
        <f>VLOOKUP(A736,'[1]PL ENG'!B:G,6, FALSE)</f>
        <v>4000984114720</v>
      </c>
      <c r="G736" s="14">
        <v>1</v>
      </c>
      <c r="H736" s="9">
        <f>VLOOKUP(A736,[1]pricing!A:M,5,FALSE)</f>
        <v>5.5</v>
      </c>
      <c r="I736" s="10">
        <f>VLOOKUP(A736,[1]pricing!A:M,6,FALSE)</f>
        <v>8</v>
      </c>
    </row>
    <row r="737" spans="1:9" s="40" customFormat="1" ht="15" customHeight="1">
      <c r="A737" s="16">
        <v>2000012169</v>
      </c>
      <c r="B737" s="18" t="s">
        <v>183</v>
      </c>
      <c r="C737" s="7" t="str">
        <f>VLOOKUP(A737,[1]Translation!A:F,4,FALSE)</f>
        <v xml:space="preserve">Bremsen Reparatur Set </v>
      </c>
      <c r="D737" s="18"/>
      <c r="E737" s="8" t="s">
        <v>43</v>
      </c>
      <c r="F737" s="8">
        <f>VLOOKUP(A737,'[1]PL ENG'!B:G,6, FALSE)</f>
        <v>4000984114584</v>
      </c>
      <c r="G737" s="14">
        <v>1</v>
      </c>
      <c r="H737" s="9">
        <f>VLOOKUP(A737,[1]pricing!A:M,5,FALSE)</f>
        <v>30.17</v>
      </c>
      <c r="I737" s="10">
        <f>VLOOKUP(A737,[1]pricing!A:M,6,FALSE)</f>
        <v>36</v>
      </c>
    </row>
    <row r="738" spans="1:9" s="40" customFormat="1" ht="15" customHeight="1">
      <c r="A738" s="16">
        <v>2000012164</v>
      </c>
      <c r="B738" s="18" t="s">
        <v>183</v>
      </c>
      <c r="C738" s="7" t="str">
        <f>VLOOKUP(A738,[1]Translation!A:F,4,FALSE)</f>
        <v>Spielbügel inkl. Bezug</v>
      </c>
      <c r="D738" s="18" t="s">
        <v>24</v>
      </c>
      <c r="E738" s="8" t="s">
        <v>10</v>
      </c>
      <c r="F738" s="8">
        <f>VLOOKUP(A738,'[1]PL ENG'!B:G,6, FALSE)</f>
        <v>4000984114539</v>
      </c>
      <c r="G738" s="14">
        <v>1</v>
      </c>
      <c r="H738" s="9">
        <f>VLOOKUP(A738,[1]pricing!A:M,5,FALSE)</f>
        <v>15.87</v>
      </c>
      <c r="I738" s="10">
        <f>VLOOKUP(A738,[1]pricing!A:M,6,FALSE)</f>
        <v>20</v>
      </c>
    </row>
    <row r="739" spans="1:9" s="40" customFormat="1" ht="15" customHeight="1">
      <c r="A739" s="16">
        <v>2000023209</v>
      </c>
      <c r="B739" s="18" t="s">
        <v>183</v>
      </c>
      <c r="C739" s="7" t="str">
        <f>VLOOKUP(A739,[1]Translation!A:F,4,FALSE)</f>
        <v>Windschutz für Sitzeinheit</v>
      </c>
      <c r="D739" s="18" t="s">
        <v>11</v>
      </c>
      <c r="E739" s="8" t="s">
        <v>10</v>
      </c>
      <c r="F739" s="8">
        <f>VLOOKUP(A739,'[1]PL ENG'!B:G,6, FALSE)</f>
        <v>4000984141788</v>
      </c>
      <c r="G739" s="14">
        <v>1</v>
      </c>
      <c r="H739" s="9">
        <f>VLOOKUP(A739,[1]pricing!A:M,5,FALSE)</f>
        <v>20.78</v>
      </c>
      <c r="I739" s="10">
        <f>VLOOKUP(A739,[1]pricing!A:M,6,FALSE)</f>
        <v>25</v>
      </c>
    </row>
    <row r="740" spans="1:9" s="40" customFormat="1" ht="15" customHeight="1">
      <c r="A740" s="16">
        <v>2000023210</v>
      </c>
      <c r="B740" s="18" t="s">
        <v>183</v>
      </c>
      <c r="C740" s="7" t="str">
        <f>VLOOKUP(A740,[1]Translation!A:F,4,FALSE)</f>
        <v>Windschutz für Sitzeinheit</v>
      </c>
      <c r="D740" s="18" t="s">
        <v>156</v>
      </c>
      <c r="E740" s="8" t="s">
        <v>10</v>
      </c>
      <c r="F740" s="8">
        <f>VLOOKUP(A740,'[1]PL ENG'!B:G,6, FALSE)</f>
        <v>4000984141795</v>
      </c>
      <c r="G740" s="14">
        <v>1</v>
      </c>
      <c r="H740" s="9">
        <f>VLOOKUP(A740,[1]pricing!A:M,5,FALSE)</f>
        <v>20.78</v>
      </c>
      <c r="I740" s="10">
        <f>VLOOKUP(A740,[1]pricing!A:M,6,FALSE)</f>
        <v>25</v>
      </c>
    </row>
    <row r="741" spans="1:9" s="40" customFormat="1" ht="15" customHeight="1">
      <c r="A741" s="16">
        <v>2000023212</v>
      </c>
      <c r="B741" s="18" t="s">
        <v>183</v>
      </c>
      <c r="C741" s="7" t="str">
        <f>VLOOKUP(A741,[1]Translation!A:F,4,FALSE)</f>
        <v>Windschutz für Sitzeinheit</v>
      </c>
      <c r="D741" s="18" t="s">
        <v>12</v>
      </c>
      <c r="E741" s="8" t="s">
        <v>10</v>
      </c>
      <c r="F741" s="8">
        <f>VLOOKUP(A741,'[1]PL ENG'!B:G,6, FALSE)</f>
        <v>4000984141818</v>
      </c>
      <c r="G741" s="14">
        <v>1</v>
      </c>
      <c r="H741" s="9">
        <f>VLOOKUP(A741,[1]pricing!A:M,5,FALSE)</f>
        <v>20.78</v>
      </c>
      <c r="I741" s="10">
        <f>VLOOKUP(A741,[1]pricing!A:M,6,FALSE)</f>
        <v>25</v>
      </c>
    </row>
    <row r="742" spans="1:9" s="40" customFormat="1" ht="15" customHeight="1">
      <c r="A742" s="16">
        <v>2000023213</v>
      </c>
      <c r="B742" s="18" t="s">
        <v>183</v>
      </c>
      <c r="C742" s="7" t="str">
        <f>VLOOKUP(A742,[1]Translation!A:F,4,FALSE)</f>
        <v>Windschutz für Sitzeinheit</v>
      </c>
      <c r="D742" s="18" t="s">
        <v>92</v>
      </c>
      <c r="E742" s="8" t="s">
        <v>10</v>
      </c>
      <c r="F742" s="8">
        <f>VLOOKUP(A742,'[1]PL ENG'!B:G,6, FALSE)</f>
        <v>4000984141825</v>
      </c>
      <c r="G742" s="14">
        <v>1</v>
      </c>
      <c r="H742" s="9">
        <f>VLOOKUP(A742,[1]pricing!A:M,5,FALSE)</f>
        <v>20.78</v>
      </c>
      <c r="I742" s="10">
        <f>VLOOKUP(A742,[1]pricing!A:M,6,FALSE)</f>
        <v>25</v>
      </c>
    </row>
    <row r="743" spans="1:9" s="40" customFormat="1" ht="15" customHeight="1">
      <c r="A743" s="16">
        <v>2000023214</v>
      </c>
      <c r="B743" s="18" t="s">
        <v>183</v>
      </c>
      <c r="C743" s="7" t="str">
        <f>VLOOKUP(A743,[1]Translation!A:F,4,FALSE)</f>
        <v>Windschutz für Sitzeinheit</v>
      </c>
      <c r="D743" s="18" t="s">
        <v>58</v>
      </c>
      <c r="E743" s="8" t="s">
        <v>10</v>
      </c>
      <c r="F743" s="8">
        <f>VLOOKUP(A743,'[1]PL ENG'!B:G,6, FALSE)</f>
        <v>4000984141832</v>
      </c>
      <c r="G743" s="14">
        <v>1</v>
      </c>
      <c r="H743" s="9">
        <f>VLOOKUP(A743,[1]pricing!A:M,5,FALSE)</f>
        <v>20.78</v>
      </c>
      <c r="I743" s="10">
        <f>VLOOKUP(A743,[1]pricing!A:M,6,FALSE)</f>
        <v>25</v>
      </c>
    </row>
    <row r="744" spans="1:9" s="40" customFormat="1" ht="15" customHeight="1">
      <c r="A744" s="16">
        <v>2000026721</v>
      </c>
      <c r="B744" s="18" t="s">
        <v>183</v>
      </c>
      <c r="C744" s="7" t="str">
        <f>VLOOKUP(A744,[1]Translation!A:F,4,FALSE)</f>
        <v>Windschutz für Sitzeinheit</v>
      </c>
      <c r="D744" s="18" t="s">
        <v>15</v>
      </c>
      <c r="E744" s="8" t="s">
        <v>10</v>
      </c>
      <c r="F744" s="8">
        <f>VLOOKUP(A744,'[1]PL ENG'!B:G,6, FALSE)</f>
        <v>4000984156270</v>
      </c>
      <c r="G744" s="14">
        <v>1</v>
      </c>
      <c r="H744" s="9">
        <f>VLOOKUP(A744,[1]pricing!A:M,5,FALSE)</f>
        <v>20.78</v>
      </c>
      <c r="I744" s="10">
        <f>VLOOKUP(A744,[1]pricing!A:M,6,FALSE)</f>
        <v>25</v>
      </c>
    </row>
    <row r="745" spans="1:9" s="40" customFormat="1" ht="15" customHeight="1">
      <c r="A745" s="16">
        <v>2000029519</v>
      </c>
      <c r="B745" s="18" t="s">
        <v>183</v>
      </c>
      <c r="C745" s="7" t="str">
        <f>VLOOKUP(A745,[1]Translation!A:F,4,FALSE)</f>
        <v>Windschutz für Sitzeinheit</v>
      </c>
      <c r="D745" s="18" t="s">
        <v>179</v>
      </c>
      <c r="E745" s="8" t="s">
        <v>10</v>
      </c>
      <c r="F745" s="8">
        <f>VLOOKUP(A745,'[1]PL ENG'!B:G,6, FALSE)</f>
        <v>4000984191790</v>
      </c>
      <c r="G745" s="14">
        <v>1</v>
      </c>
      <c r="H745" s="9">
        <f>VLOOKUP(A745,[1]pricing!A:M,5,FALSE)</f>
        <v>20.78</v>
      </c>
      <c r="I745" s="10">
        <f>VLOOKUP(A745,[1]pricing!A:M,6,FALSE)</f>
        <v>25</v>
      </c>
    </row>
    <row r="746" spans="1:9" s="40" customFormat="1" ht="15" customHeight="1">
      <c r="A746" s="16">
        <v>2000029520</v>
      </c>
      <c r="B746" s="18" t="s">
        <v>183</v>
      </c>
      <c r="C746" s="7" t="str">
        <f>VLOOKUP(A746,[1]Translation!A:F,4,FALSE)</f>
        <v>Windschutz für Sitzeinheit</v>
      </c>
      <c r="D746" s="18" t="s">
        <v>180</v>
      </c>
      <c r="E746" s="8" t="s">
        <v>10</v>
      </c>
      <c r="F746" s="8">
        <f>VLOOKUP(A746,'[1]PL ENG'!B:G,6, FALSE)</f>
        <v>4000984191806</v>
      </c>
      <c r="G746" s="14">
        <v>1</v>
      </c>
      <c r="H746" s="9">
        <f>VLOOKUP(A746,[1]pricing!A:M,5,FALSE)</f>
        <v>20.78</v>
      </c>
      <c r="I746" s="10">
        <f>VLOOKUP(A746,[1]pricing!A:M,6,FALSE)</f>
        <v>25</v>
      </c>
    </row>
    <row r="747" spans="1:9" s="40" customFormat="1" ht="15" customHeight="1">
      <c r="A747" s="16">
        <v>2000021630</v>
      </c>
      <c r="B747" s="18" t="s">
        <v>183</v>
      </c>
      <c r="C747" s="7" t="str">
        <f>VLOOKUP(A747,[1]Translation!A:F,4,FALSE)</f>
        <v>Windschutz für Sitzeinheit</v>
      </c>
      <c r="D747" s="18" t="s">
        <v>184</v>
      </c>
      <c r="E747" s="8" t="s">
        <v>10</v>
      </c>
      <c r="F747" s="8">
        <f>VLOOKUP(A747,'[1]PL ENG'!B:G,6, FALSE)</f>
        <v>4000984116748</v>
      </c>
      <c r="G747" s="14">
        <v>1</v>
      </c>
      <c r="H747" s="9">
        <f>VLOOKUP(A747,[1]pricing!A:M,5,FALSE)</f>
        <v>20.78</v>
      </c>
      <c r="I747" s="10">
        <f>VLOOKUP(A747,[1]pricing!A:M,6,FALSE)</f>
        <v>25</v>
      </c>
    </row>
    <row r="748" spans="1:9" s="40" customFormat="1" ht="15" customHeight="1">
      <c r="A748" s="16">
        <v>2000029518</v>
      </c>
      <c r="B748" s="18" t="s">
        <v>183</v>
      </c>
      <c r="C748" s="7" t="str">
        <f>VLOOKUP(A748,[1]Translation!A:F,4,FALSE)</f>
        <v>Windschutz für Sitzeinheit</v>
      </c>
      <c r="D748" s="18" t="s">
        <v>185</v>
      </c>
      <c r="E748" s="8" t="s">
        <v>10</v>
      </c>
      <c r="F748" s="8">
        <f>VLOOKUP(A748,'[1]PL ENG'!B:G,6, FALSE)</f>
        <v>4000984191783</v>
      </c>
      <c r="G748" s="14">
        <v>1</v>
      </c>
      <c r="H748" s="9">
        <f>VLOOKUP(A748,[1]pricing!A:M,5,FALSE)</f>
        <v>20.78</v>
      </c>
      <c r="I748" s="10">
        <f>VLOOKUP(A748,[1]pricing!A:M,6,FALSE)</f>
        <v>25</v>
      </c>
    </row>
    <row r="749" spans="1:9" s="40" customFormat="1" ht="15" customHeight="1">
      <c r="A749" s="16">
        <v>2000025133</v>
      </c>
      <c r="B749" s="18" t="s">
        <v>183</v>
      </c>
      <c r="C749" s="7" t="str">
        <f>VLOOKUP(A749,[1]Translation!A:F,4,FALSE)</f>
        <v>Hinterräder Set</v>
      </c>
      <c r="D749" s="18"/>
      <c r="E749" s="8" t="s">
        <v>10</v>
      </c>
      <c r="F749" s="8">
        <f>VLOOKUP(A749,'[1]PL ENG'!B:G,6, FALSE)</f>
        <v>4000984145168</v>
      </c>
      <c r="G749" s="14">
        <v>1</v>
      </c>
      <c r="H749" s="9">
        <f>VLOOKUP(A749,[1]pricing!A:M,5,FALSE)</f>
        <v>79.2</v>
      </c>
      <c r="I749" s="10">
        <f>VLOOKUP(A749,[1]pricing!A:M,6,FALSE)</f>
        <v>95</v>
      </c>
    </row>
    <row r="750" spans="1:9" s="40" customFormat="1" ht="15" customHeight="1">
      <c r="A750" s="16">
        <v>2000029360</v>
      </c>
      <c r="B750" s="18" t="s">
        <v>183</v>
      </c>
      <c r="C750" s="7" t="str">
        <f>VLOOKUP(A750,[1]Translation!A:F,4,FALSE)</f>
        <v>Hinterräder Set WHITE LINE</v>
      </c>
      <c r="D750" s="18"/>
      <c r="E750" s="8" t="s">
        <v>10</v>
      </c>
      <c r="F750" s="8">
        <f>VLOOKUP(A750,'[1]PL ENG'!B:G,6, FALSE)</f>
        <v>4000984191196</v>
      </c>
      <c r="G750" s="14">
        <v>1</v>
      </c>
      <c r="H750" s="9">
        <f>VLOOKUP(A750,[1]pricing!A:M,5,FALSE)</f>
        <v>84.2</v>
      </c>
      <c r="I750" s="10">
        <f>VLOOKUP(A750,[1]pricing!A:M,6,FALSE)</f>
        <v>100</v>
      </c>
    </row>
    <row r="751" spans="1:9" s="40" customFormat="1" ht="15" customHeight="1">
      <c r="A751" s="16">
        <v>2000025134</v>
      </c>
      <c r="B751" s="18" t="s">
        <v>183</v>
      </c>
      <c r="C751" s="7" t="str">
        <f>VLOOKUP(A751,[1]Translation!A:F,4,FALSE)</f>
        <v>Vorderräder Set</v>
      </c>
      <c r="D751" s="18"/>
      <c r="E751" s="8" t="s">
        <v>10</v>
      </c>
      <c r="F751" s="8">
        <f>VLOOKUP(A751,'[1]PL ENG'!B:G,6, FALSE)</f>
        <v>4000984147391</v>
      </c>
      <c r="G751" s="14">
        <v>1</v>
      </c>
      <c r="H751" s="9">
        <f>VLOOKUP(A751,[1]pricing!A:M,5,FALSE)</f>
        <v>62.7</v>
      </c>
      <c r="I751" s="10">
        <f>VLOOKUP(A751,[1]pricing!A:M,6,FALSE)</f>
        <v>75</v>
      </c>
    </row>
    <row r="752" spans="1:9" s="40" customFormat="1" ht="15" customHeight="1">
      <c r="A752" s="16">
        <v>2000029361</v>
      </c>
      <c r="B752" s="18" t="s">
        <v>183</v>
      </c>
      <c r="C752" s="7" t="str">
        <f>VLOOKUP(A752,[1]Translation!A:F,4,FALSE)</f>
        <v>Vorderräder Set (WHITE LINE)</v>
      </c>
      <c r="D752" s="18"/>
      <c r="E752" s="8" t="s">
        <v>10</v>
      </c>
      <c r="F752" s="8">
        <f>VLOOKUP(A752,'[1]PL ENG'!B:G,6, FALSE)</f>
        <v>4000984191202</v>
      </c>
      <c r="G752" s="14">
        <v>1</v>
      </c>
      <c r="H752" s="9">
        <f>VLOOKUP(A752,[1]pricing!A:M,5,FALSE)</f>
        <v>67.7</v>
      </c>
      <c r="I752" s="10">
        <f>VLOOKUP(A752,[1]pricing!A:M,6,FALSE)</f>
        <v>80</v>
      </c>
    </row>
    <row r="753" spans="1:9" s="40" customFormat="1" ht="15" customHeight="1">
      <c r="A753" s="16">
        <v>2000025136</v>
      </c>
      <c r="B753" s="18" t="s">
        <v>183</v>
      </c>
      <c r="C753" s="7" t="str">
        <f>VLOOKUP(A753,[1]Translation!A:F,4,FALSE)</f>
        <v>Rückenplatte</v>
      </c>
      <c r="D753" s="18"/>
      <c r="E753" s="8" t="s">
        <v>10</v>
      </c>
      <c r="F753" s="8">
        <f>VLOOKUP(A753,'[1]PL ENG'!B:G,6, FALSE)</f>
        <v>4000984147414</v>
      </c>
      <c r="G753" s="14">
        <v>1</v>
      </c>
      <c r="H753" s="9">
        <f>VLOOKUP(A753,[1]pricing!A:M,5,FALSE)</f>
        <v>16.010000000000002</v>
      </c>
      <c r="I753" s="10">
        <f>VLOOKUP(A753,[1]pricing!A:M,6,FALSE)</f>
        <v>20</v>
      </c>
    </row>
    <row r="754" spans="1:9" s="40" customFormat="1" ht="15" customHeight="1">
      <c r="A754" s="16">
        <v>2000025137</v>
      </c>
      <c r="B754" s="18" t="s">
        <v>183</v>
      </c>
      <c r="C754" s="7" t="str">
        <f>VLOOKUP(A754,[1]Translation!A:F,4,FALSE)</f>
        <v>Sitzplatte</v>
      </c>
      <c r="D754" s="18"/>
      <c r="E754" s="8" t="s">
        <v>10</v>
      </c>
      <c r="F754" s="8">
        <f>VLOOKUP(A754,'[1]PL ENG'!B:G,6, FALSE)</f>
        <v>4000984147421</v>
      </c>
      <c r="G754" s="50"/>
      <c r="H754" s="9">
        <f>VLOOKUP(A754,[1]pricing!A:M,5,FALSE)</f>
        <v>5.5</v>
      </c>
      <c r="I754" s="10">
        <f>VLOOKUP(A754,[1]pricing!A:M,6,FALSE)</f>
        <v>10</v>
      </c>
    </row>
    <row r="755" spans="1:9" s="40" customFormat="1" ht="15" customHeight="1">
      <c r="A755" s="16">
        <v>2000025138</v>
      </c>
      <c r="B755" s="18" t="s">
        <v>183</v>
      </c>
      <c r="C755" s="7" t="str">
        <f>VLOOKUP(A755,[1]Translation!A:F,4,FALSE)</f>
        <v>Gurt mit Schloss und Schulterpolster</v>
      </c>
      <c r="D755" s="18" t="s">
        <v>24</v>
      </c>
      <c r="E755" s="8" t="s">
        <v>10</v>
      </c>
      <c r="F755" s="8">
        <f>VLOOKUP(A755,'[1]PL ENG'!B:G,6, FALSE)</f>
        <v>4000984147438</v>
      </c>
      <c r="G755" s="14">
        <v>1</v>
      </c>
      <c r="H755" s="9">
        <f>VLOOKUP(A755,[1]pricing!A:M,5,FALSE)</f>
        <v>18.27</v>
      </c>
      <c r="I755" s="10">
        <f>VLOOKUP(A755,[1]pricing!A:M,6,FALSE)</f>
        <v>25</v>
      </c>
    </row>
    <row r="756" spans="1:9" s="40" customFormat="1" ht="15" customHeight="1">
      <c r="A756" s="16">
        <v>2000026837</v>
      </c>
      <c r="B756" s="18" t="s">
        <v>183</v>
      </c>
      <c r="C756" s="7" t="str">
        <f>VLOOKUP(A756,[1]Translation!A:F,4,FALSE)</f>
        <v>Rückenlehnenschnalle</v>
      </c>
      <c r="D756" s="18"/>
      <c r="E756" s="8" t="s">
        <v>10</v>
      </c>
      <c r="F756" s="8">
        <f>VLOOKUP(A756,'[1]PL ENG'!B:G,6, FALSE)</f>
        <v>4000984158687</v>
      </c>
      <c r="G756" s="14">
        <v>1</v>
      </c>
      <c r="H756" s="9">
        <f>VLOOKUP(A756,[1]pricing!A:M,5,FALSE)</f>
        <v>5.5</v>
      </c>
      <c r="I756" s="10">
        <f>VLOOKUP(A756,[1]pricing!A:M,6,FALSE)</f>
        <v>8</v>
      </c>
    </row>
    <row r="757" spans="1:9" s="40" customFormat="1" ht="15" customHeight="1">
      <c r="A757" s="16">
        <v>2000025070</v>
      </c>
      <c r="B757" s="18" t="s">
        <v>183</v>
      </c>
      <c r="C757" s="7" t="str">
        <f>VLOOKUP(A757,[1]Translation!A:F,4,FALSE)</f>
        <v xml:space="preserve">Griff Reparatur Set </v>
      </c>
      <c r="D757" s="18" t="s">
        <v>24</v>
      </c>
      <c r="E757" s="8" t="s">
        <v>43</v>
      </c>
      <c r="F757" s="8">
        <f>VLOOKUP(A757,'[1]PL ENG'!B:G,6, FALSE)</f>
        <v>4000984142464</v>
      </c>
      <c r="G757" s="14">
        <v>1</v>
      </c>
      <c r="H757" s="9">
        <f>VLOOKUP(A757,[1]pricing!A:M,5,FALSE)</f>
        <v>44.85</v>
      </c>
      <c r="I757" s="10">
        <f>VLOOKUP(A757,[1]pricing!A:M,6,FALSE)</f>
        <v>54</v>
      </c>
    </row>
    <row r="758" spans="1:9" s="40" customFormat="1" ht="15" customHeight="1">
      <c r="A758" s="16">
        <v>2000029355</v>
      </c>
      <c r="B758" s="18" t="s">
        <v>183</v>
      </c>
      <c r="C758" s="7" t="str">
        <f>VLOOKUP(A758,[1]Translation!A:F,4,FALSE)</f>
        <v xml:space="preserve">Griff Reparatur Set Lederoptik </v>
      </c>
      <c r="D758" s="18" t="s">
        <v>24</v>
      </c>
      <c r="E758" s="8" t="s">
        <v>43</v>
      </c>
      <c r="F758" s="8">
        <f>VLOOKUP(A758,'[1]PL ENG'!B:G,6, FALSE)</f>
        <v>4000984191141</v>
      </c>
      <c r="G758" s="14">
        <v>1</v>
      </c>
      <c r="H758" s="9">
        <f>VLOOKUP(A758,[1]pricing!A:M,5,FALSE)</f>
        <v>42.71</v>
      </c>
      <c r="I758" s="10">
        <f>VLOOKUP(A758,[1]pricing!A:M,6,FALSE)</f>
        <v>50</v>
      </c>
    </row>
    <row r="759" spans="1:9" s="40" customFormat="1" ht="15" customHeight="1">
      <c r="A759" s="16">
        <v>2000029480</v>
      </c>
      <c r="B759" s="18" t="s">
        <v>183</v>
      </c>
      <c r="C759" s="7" t="str">
        <f>VLOOKUP(A759,[1]Translation!A:F,4,FALSE)</f>
        <v xml:space="preserve">Griff Reparatur Set Lederoptik </v>
      </c>
      <c r="D759" s="18" t="s">
        <v>182</v>
      </c>
      <c r="E759" s="8" t="s">
        <v>43</v>
      </c>
      <c r="F759" s="8">
        <f>VLOOKUP(A759,'[1]PL ENG'!B:G,6, FALSE)</f>
        <v>4000984191691</v>
      </c>
      <c r="G759" s="14">
        <v>1</v>
      </c>
      <c r="H759" s="9">
        <f>VLOOKUP(A759,[1]pricing!A:M,5,FALSE)</f>
        <v>42.71</v>
      </c>
      <c r="I759" s="10">
        <f>VLOOKUP(A759,[1]pricing!A:M,6,FALSE)</f>
        <v>50</v>
      </c>
    </row>
    <row r="760" spans="1:9" s="40" customFormat="1" ht="15" customHeight="1">
      <c r="A760" s="16">
        <v>2000029481</v>
      </c>
      <c r="B760" s="18" t="s">
        <v>183</v>
      </c>
      <c r="C760" s="7" t="str">
        <f>VLOOKUP(A760,[1]Translation!A:F,4,FALSE)</f>
        <v xml:space="preserve">Griff Reparatur Set Lederoptik </v>
      </c>
      <c r="D760" s="18" t="s">
        <v>138</v>
      </c>
      <c r="E760" s="8" t="s">
        <v>43</v>
      </c>
      <c r="F760" s="8">
        <f>VLOOKUP(A760,'[1]PL ENG'!B:G,6, FALSE)</f>
        <v>4000984191707</v>
      </c>
      <c r="G760" s="14">
        <v>1</v>
      </c>
      <c r="H760" s="9">
        <f>VLOOKUP(A760,[1]pricing!A:M,5,FALSE)</f>
        <v>42.71</v>
      </c>
      <c r="I760" s="10">
        <f>VLOOKUP(A760,[1]pricing!A:M,6,FALSE)</f>
        <v>50</v>
      </c>
    </row>
    <row r="761" spans="1:9" s="40" customFormat="1" ht="15" customHeight="1">
      <c r="A761" s="16">
        <v>2000025124</v>
      </c>
      <c r="B761" s="18" t="s">
        <v>183</v>
      </c>
      <c r="C761" s="7" t="str">
        <f>VLOOKUP(A761,[1]Translation!A:F,4,FALSE)</f>
        <v xml:space="preserve">Federung Reparatur Set </v>
      </c>
      <c r="D761" s="18"/>
      <c r="E761" s="8" t="s">
        <v>43</v>
      </c>
      <c r="F761" s="8">
        <f>VLOOKUP(A761,'[1]PL ENG'!B:G,6, FALSE)</f>
        <v>4000984145069</v>
      </c>
      <c r="G761" s="14">
        <v>1</v>
      </c>
      <c r="H761" s="9">
        <f>VLOOKUP(A761,[1]pricing!A:M,5,FALSE)</f>
        <v>21.67</v>
      </c>
      <c r="I761" s="10">
        <f>VLOOKUP(A761,[1]pricing!A:M,6,FALSE)</f>
        <v>26</v>
      </c>
    </row>
    <row r="762" spans="1:9" s="40" customFormat="1" ht="15" customHeight="1">
      <c r="A762" s="16">
        <v>2000025132</v>
      </c>
      <c r="B762" s="18" t="s">
        <v>183</v>
      </c>
      <c r="C762" s="7" t="str">
        <f>VLOOKUP(A762,[1]Translation!A:F,4,FALSE)</f>
        <v xml:space="preserve">Chassis </v>
      </c>
      <c r="D762" s="18" t="s">
        <v>24</v>
      </c>
      <c r="E762" s="8" t="s">
        <v>10</v>
      </c>
      <c r="F762" s="8">
        <f>VLOOKUP(A762,'[1]PL ENG'!B:G,6, FALSE)</f>
        <v>4000984145151</v>
      </c>
      <c r="G762" s="14">
        <v>1</v>
      </c>
      <c r="H762" s="9">
        <f>VLOOKUP(A762,[1]pricing!A:M,5,FALSE)</f>
        <v>277.68</v>
      </c>
      <c r="I762" s="10">
        <f>VLOOKUP(A762,[1]pricing!A:M,6,FALSE)</f>
        <v>335</v>
      </c>
    </row>
    <row r="763" spans="1:9" s="40" customFormat="1" ht="15" customHeight="1">
      <c r="A763" s="16">
        <v>2000029507</v>
      </c>
      <c r="B763" s="18" t="s">
        <v>183</v>
      </c>
      <c r="C763" s="7" t="str">
        <f>VLOOKUP(A763,[1]Translation!A:F,4,FALSE)</f>
        <v>Chassis (Griff in Lederoptik)</v>
      </c>
      <c r="D763" s="18" t="s">
        <v>24</v>
      </c>
      <c r="E763" s="8" t="s">
        <v>10</v>
      </c>
      <c r="F763" s="8">
        <f>VLOOKUP(A763,'[1]PL ENG'!B:G,6, FALSE)</f>
        <v>4000984191752</v>
      </c>
      <c r="G763" s="14">
        <v>1</v>
      </c>
      <c r="H763" s="9">
        <f>VLOOKUP(A763,[1]pricing!A:M,5,FALSE)</f>
        <v>287.68</v>
      </c>
      <c r="I763" s="10">
        <f>VLOOKUP(A763,[1]pricing!A:M,6,FALSE)</f>
        <v>345</v>
      </c>
    </row>
    <row r="764" spans="1:9" s="40" customFormat="1" ht="15" customHeight="1">
      <c r="A764" s="16">
        <v>2000029357</v>
      </c>
      <c r="B764" s="18" t="s">
        <v>183</v>
      </c>
      <c r="C764" s="7" t="str">
        <f>VLOOKUP(A764,[1]Translation!A:F,4,FALSE)</f>
        <v>Chassis (Griff in Lederoptik)</v>
      </c>
      <c r="D764" s="18" t="s">
        <v>182</v>
      </c>
      <c r="E764" s="8" t="s">
        <v>10</v>
      </c>
      <c r="F764" s="8">
        <f>VLOOKUP(A764,'[1]PL ENG'!B:G,6, FALSE)</f>
        <v>4000984191165</v>
      </c>
      <c r="G764" s="14">
        <v>1</v>
      </c>
      <c r="H764" s="9">
        <f>VLOOKUP(A764,[1]pricing!A:M,5,FALSE)</f>
        <v>287.68</v>
      </c>
      <c r="I764" s="10">
        <f>VLOOKUP(A764,[1]pricing!A:M,6,FALSE)</f>
        <v>345</v>
      </c>
    </row>
    <row r="765" spans="1:9" s="40" customFormat="1" ht="15" customHeight="1">
      <c r="A765" s="16">
        <v>2000030019</v>
      </c>
      <c r="B765" s="18" t="s">
        <v>183</v>
      </c>
      <c r="C765" s="7" t="str">
        <f>VLOOKUP(A765,[1]Translation!A:F,4,FALSE)</f>
        <v>Chassis (Griff in Lederoptik)</v>
      </c>
      <c r="D765" s="18" t="s">
        <v>141</v>
      </c>
      <c r="E765" s="8" t="s">
        <v>10</v>
      </c>
      <c r="F765" s="8">
        <f>VLOOKUP(A765,'[1]PL ENG'!B:G,6, FALSE)</f>
        <v>4000984194067</v>
      </c>
      <c r="G765" s="14">
        <v>1</v>
      </c>
      <c r="H765" s="9">
        <f>VLOOKUP(A765,[1]pricing!A:M,5,FALSE)</f>
        <v>287.68</v>
      </c>
      <c r="I765" s="10">
        <f>VLOOKUP(A765,[1]pricing!A:M,6,FALSE)</f>
        <v>340</v>
      </c>
    </row>
    <row r="766" spans="1:9" s="40" customFormat="1" ht="15" customHeight="1">
      <c r="A766" s="16">
        <v>2000025135</v>
      </c>
      <c r="B766" s="18" t="s">
        <v>183</v>
      </c>
      <c r="C766" s="7" t="str">
        <f>VLOOKUP(A766,[1]Translation!A:F,4,FALSE)</f>
        <v>Korb</v>
      </c>
      <c r="D766" s="18" t="s">
        <v>159</v>
      </c>
      <c r="E766" s="8" t="s">
        <v>10</v>
      </c>
      <c r="F766" s="8">
        <f>VLOOKUP(A766,'[1]PL ENG'!B:G,6, FALSE)</f>
        <v>4000984147407</v>
      </c>
      <c r="G766" s="14">
        <v>1</v>
      </c>
      <c r="H766" s="9">
        <f>VLOOKUP(A766,[1]pricing!A:M,5,FALSE)</f>
        <v>68.2</v>
      </c>
      <c r="I766" s="10">
        <f>VLOOKUP(A766,[1]pricing!A:M,6,FALSE)</f>
        <v>85</v>
      </c>
    </row>
    <row r="767" spans="1:9" s="40" customFormat="1" ht="15" customHeight="1">
      <c r="A767" s="16">
        <v>2000029364</v>
      </c>
      <c r="B767" s="18" t="s">
        <v>183</v>
      </c>
      <c r="C767" s="7" t="str">
        <f>VLOOKUP(A767,[1]Translation!A:F,4,FALSE)</f>
        <v>Korb</v>
      </c>
      <c r="D767" s="18" t="s">
        <v>160</v>
      </c>
      <c r="E767" s="8" t="s">
        <v>10</v>
      </c>
      <c r="F767" s="8">
        <f>VLOOKUP(A767,'[1]PL ENG'!B:G,6, FALSE)</f>
        <v>4000984191233</v>
      </c>
      <c r="G767" s="14">
        <v>1</v>
      </c>
      <c r="H767" s="9">
        <f>VLOOKUP(A767,[1]pricing!A:M,5,FALSE)</f>
        <v>68.2</v>
      </c>
      <c r="I767" s="10">
        <f>VLOOKUP(A767,[1]pricing!A:M,6,FALSE)</f>
        <v>81</v>
      </c>
    </row>
    <row r="768" spans="1:9" s="46" customFormat="1" ht="30" customHeight="1">
      <c r="A768" s="16">
        <v>2000029365</v>
      </c>
      <c r="B768" s="18" t="s">
        <v>183</v>
      </c>
      <c r="C768" s="7" t="str">
        <f>VLOOKUP(A768,[1]Translation!A:F,4,FALSE)</f>
        <v>Korb</v>
      </c>
      <c r="D768" s="18" t="s">
        <v>161</v>
      </c>
      <c r="E768" s="8" t="s">
        <v>10</v>
      </c>
      <c r="F768" s="8">
        <f>VLOOKUP(A768,'[1]PL ENG'!B:G,6, FALSE)</f>
        <v>4000984191240</v>
      </c>
      <c r="G768" s="14">
        <v>1</v>
      </c>
      <c r="H768" s="9">
        <f>VLOOKUP(A768,[1]pricing!A:M,5,FALSE)</f>
        <v>68.2</v>
      </c>
      <c r="I768" s="10">
        <f>VLOOKUP(A768,[1]pricing!A:M,6,FALSE)</f>
        <v>81</v>
      </c>
    </row>
    <row r="769" spans="1:9" s="46" customFormat="1" ht="30" customHeight="1">
      <c r="A769" s="16">
        <v>2000025127</v>
      </c>
      <c r="B769" s="18" t="s">
        <v>183</v>
      </c>
      <c r="C769" s="7" t="str">
        <f>VLOOKUP(A769,[1]Translation!A:F,4,FALSE)</f>
        <v>Sitzeinheit</v>
      </c>
      <c r="D769" s="27" t="s">
        <v>142</v>
      </c>
      <c r="E769" s="8" t="s">
        <v>10</v>
      </c>
      <c r="F769" s="8">
        <f>VLOOKUP(A769,'[1]PL ENG'!B:G,6, FALSE)</f>
        <v>4000984145106</v>
      </c>
      <c r="G769" s="28">
        <v>1</v>
      </c>
      <c r="H769" s="9">
        <f>VLOOKUP(A769,[1]pricing!A:M,5,FALSE)</f>
        <v>297.14999999999998</v>
      </c>
      <c r="I769" s="10">
        <f>VLOOKUP(A769,[1]pricing!A:M,6,FALSE)</f>
        <v>355</v>
      </c>
    </row>
    <row r="770" spans="1:9" s="46" customFormat="1" ht="30" customHeight="1">
      <c r="A770" s="16">
        <v>2000025128</v>
      </c>
      <c r="B770" s="18" t="s">
        <v>183</v>
      </c>
      <c r="C770" s="7" t="str">
        <f>VLOOKUP(A770,[1]Translation!A:F,4,FALSE)</f>
        <v>Sitzeinheit</v>
      </c>
      <c r="D770" s="27" t="s">
        <v>186</v>
      </c>
      <c r="E770" s="8" t="s">
        <v>10</v>
      </c>
      <c r="F770" s="8">
        <f>VLOOKUP(A770,'[1]PL ENG'!B:G,6, FALSE)</f>
        <v>4000984145113</v>
      </c>
      <c r="G770" s="28">
        <v>1</v>
      </c>
      <c r="H770" s="9">
        <f>VLOOKUP(A770,[1]pricing!A:M,5,FALSE)</f>
        <v>297.14999999999998</v>
      </c>
      <c r="I770" s="10">
        <f>VLOOKUP(A770,[1]pricing!A:M,6,FALSE)</f>
        <v>355</v>
      </c>
    </row>
    <row r="771" spans="1:9" s="46" customFormat="1" ht="30" customHeight="1">
      <c r="A771" s="12">
        <v>2000025129</v>
      </c>
      <c r="B771" s="18" t="s">
        <v>183</v>
      </c>
      <c r="C771" s="7" t="str">
        <f>VLOOKUP(A771,[1]Translation!A:F,4,FALSE)</f>
        <v>Sitzeinheit</v>
      </c>
      <c r="D771" s="27" t="s">
        <v>143</v>
      </c>
      <c r="E771" s="8" t="s">
        <v>10</v>
      </c>
      <c r="F771" s="8">
        <f>VLOOKUP(A771,'[1]PL ENG'!B:G,6, FALSE)</f>
        <v>4000984145120</v>
      </c>
      <c r="G771" s="28">
        <v>1</v>
      </c>
      <c r="H771" s="9">
        <f>VLOOKUP(A771,[1]pricing!A:M,5,FALSE)</f>
        <v>297.14999999999998</v>
      </c>
      <c r="I771" s="10">
        <f>VLOOKUP(A771,[1]pricing!A:M,6,FALSE)</f>
        <v>355</v>
      </c>
    </row>
    <row r="772" spans="1:9" s="46" customFormat="1" ht="30" customHeight="1">
      <c r="A772" s="12">
        <v>2000025130</v>
      </c>
      <c r="B772" s="18" t="s">
        <v>183</v>
      </c>
      <c r="C772" s="7" t="str">
        <f>VLOOKUP(A772,[1]Translation!A:F,4,FALSE)</f>
        <v>Sitzeinheit</v>
      </c>
      <c r="D772" s="27" t="s">
        <v>187</v>
      </c>
      <c r="E772" s="8" t="s">
        <v>10</v>
      </c>
      <c r="F772" s="8">
        <f>VLOOKUP(A772,'[1]PL ENG'!B:G,6, FALSE)</f>
        <v>4000984145137</v>
      </c>
      <c r="G772" s="28">
        <v>1</v>
      </c>
      <c r="H772" s="9">
        <f>VLOOKUP(A772,[1]pricing!A:M,5,FALSE)</f>
        <v>297.14999999999998</v>
      </c>
      <c r="I772" s="10">
        <f>VLOOKUP(A772,[1]pricing!A:M,6,FALSE)</f>
        <v>355</v>
      </c>
    </row>
    <row r="773" spans="1:9" s="46" customFormat="1" ht="30" customHeight="1">
      <c r="A773" s="12">
        <v>2000025131</v>
      </c>
      <c r="B773" s="18" t="s">
        <v>183</v>
      </c>
      <c r="C773" s="7" t="str">
        <f>VLOOKUP(A773,[1]Translation!A:F,4,FALSE)</f>
        <v>Sitzeinheit</v>
      </c>
      <c r="D773" s="27" t="s">
        <v>188</v>
      </c>
      <c r="E773" s="8" t="s">
        <v>10</v>
      </c>
      <c r="F773" s="8">
        <f>VLOOKUP(A773,'[1]PL ENG'!B:G,6, FALSE)</f>
        <v>4000984145144</v>
      </c>
      <c r="G773" s="28">
        <v>1</v>
      </c>
      <c r="H773" s="9">
        <f>VLOOKUP(A773,[1]pricing!A:M,5,FALSE)</f>
        <v>297.14999999999998</v>
      </c>
      <c r="I773" s="10">
        <f>VLOOKUP(A773,[1]pricing!A:M,6,FALSE)</f>
        <v>355</v>
      </c>
    </row>
    <row r="774" spans="1:9" s="46" customFormat="1" ht="30" customHeight="1">
      <c r="A774" s="12">
        <v>2000026688</v>
      </c>
      <c r="B774" s="18" t="s">
        <v>183</v>
      </c>
      <c r="C774" s="7" t="str">
        <f>VLOOKUP(A774,[1]Translation!A:F,4,FALSE)</f>
        <v>Sitzeinheit</v>
      </c>
      <c r="D774" s="27" t="s">
        <v>189</v>
      </c>
      <c r="E774" s="8" t="s">
        <v>10</v>
      </c>
      <c r="F774" s="8">
        <f>VLOOKUP(A774,'[1]PL ENG'!B:G,6, FALSE)</f>
        <v>4000984155846</v>
      </c>
      <c r="G774" s="28">
        <v>1</v>
      </c>
      <c r="H774" s="9">
        <f>VLOOKUP(A774,[1]pricing!A:M,5,FALSE)</f>
        <v>297.14999999999998</v>
      </c>
      <c r="I774" s="10">
        <f>VLOOKUP(A774,[1]pricing!A:M,6,FALSE)</f>
        <v>355</v>
      </c>
    </row>
    <row r="775" spans="1:9" s="46" customFormat="1" ht="30" customHeight="1">
      <c r="A775" s="6">
        <v>2000029523</v>
      </c>
      <c r="B775" s="18" t="s">
        <v>183</v>
      </c>
      <c r="C775" s="7" t="str">
        <f>VLOOKUP(A775,[1]Translation!A:F,4,FALSE)</f>
        <v>Sitzeinheit</v>
      </c>
      <c r="D775" s="27" t="s">
        <v>190</v>
      </c>
      <c r="E775" s="8" t="s">
        <v>10</v>
      </c>
      <c r="F775" s="8">
        <f>VLOOKUP(A775,'[1]PL ENG'!B:G,6, FALSE)</f>
        <v>4000984191844</v>
      </c>
      <c r="G775" s="28">
        <v>1</v>
      </c>
      <c r="H775" s="9">
        <f>VLOOKUP(A775,[1]pricing!A:M,5,FALSE)</f>
        <v>297.14999999999998</v>
      </c>
      <c r="I775" s="10">
        <f>VLOOKUP(A775,[1]pricing!A:M,6,FALSE)</f>
        <v>355</v>
      </c>
    </row>
    <row r="776" spans="1:9" s="46" customFormat="1" ht="30" customHeight="1">
      <c r="A776" s="6">
        <v>2000029359</v>
      </c>
      <c r="B776" s="18" t="s">
        <v>183</v>
      </c>
      <c r="C776" s="7" t="str">
        <f>VLOOKUP(A776,[1]Translation!A:F,4,FALSE)</f>
        <v>Sitzeinheit</v>
      </c>
      <c r="D776" s="27" t="s">
        <v>191</v>
      </c>
      <c r="E776" s="8" t="s">
        <v>10</v>
      </c>
      <c r="F776" s="8">
        <f>VLOOKUP(A776,'[1]PL ENG'!B:G,6, FALSE)</f>
        <v>4000984191189</v>
      </c>
      <c r="G776" s="28">
        <v>1</v>
      </c>
      <c r="H776" s="9">
        <f>VLOOKUP(A776,[1]pricing!A:M,5,FALSE)</f>
        <v>297.14999999999998</v>
      </c>
      <c r="I776" s="10">
        <f>VLOOKUP(A776,[1]pricing!A:M,6,FALSE)</f>
        <v>355</v>
      </c>
    </row>
    <row r="777" spans="1:9" s="46" customFormat="1" ht="30" customHeight="1">
      <c r="A777" s="6">
        <v>2000029525</v>
      </c>
      <c r="B777" s="18" t="s">
        <v>183</v>
      </c>
      <c r="C777" s="7" t="str">
        <f>VLOOKUP(A777,[1]Translation!A:F,4,FALSE)</f>
        <v>Sitzeinheit</v>
      </c>
      <c r="D777" s="27" t="s">
        <v>192</v>
      </c>
      <c r="E777" s="8" t="s">
        <v>10</v>
      </c>
      <c r="F777" s="8">
        <f>VLOOKUP(A777,'[1]PL ENG'!B:G,6, FALSE)</f>
        <v>4000984191868</v>
      </c>
      <c r="G777" s="28">
        <v>1</v>
      </c>
      <c r="H777" s="9">
        <f>VLOOKUP(A777,[1]pricing!A:M,5,FALSE)</f>
        <v>297.14999999999998</v>
      </c>
      <c r="I777" s="10">
        <f>VLOOKUP(A777,[1]pricing!A:M,6,FALSE)</f>
        <v>355</v>
      </c>
    </row>
    <row r="778" spans="1:9" s="46" customFormat="1" ht="30" customHeight="1">
      <c r="A778" s="6">
        <v>2000026689</v>
      </c>
      <c r="B778" s="18" t="s">
        <v>183</v>
      </c>
      <c r="C778" s="7" t="str">
        <f>VLOOKUP(A778,[1]Translation!A:F,4,FALSE)</f>
        <v>Sitzeinheit</v>
      </c>
      <c r="D778" s="27" t="s">
        <v>193</v>
      </c>
      <c r="E778" s="8" t="s">
        <v>10</v>
      </c>
      <c r="F778" s="8">
        <f>VLOOKUP(A778,'[1]PL ENG'!B:G,6, FALSE)</f>
        <v>4000984155853</v>
      </c>
      <c r="G778" s="28">
        <v>1</v>
      </c>
      <c r="H778" s="9">
        <f>VLOOKUP(A778,[1]pricing!A:M,5,FALSE)</f>
        <v>297.14999999999998</v>
      </c>
      <c r="I778" s="10">
        <f>VLOOKUP(A778,[1]pricing!A:M,6,FALSE)</f>
        <v>295</v>
      </c>
    </row>
    <row r="779" spans="1:9" s="40" customFormat="1" ht="15" customHeight="1">
      <c r="A779" s="6">
        <v>2000029524</v>
      </c>
      <c r="B779" s="18" t="s">
        <v>183</v>
      </c>
      <c r="C779" s="7" t="str">
        <f>VLOOKUP(A779,[1]Translation!A:F,4,FALSE)</f>
        <v>Sitzeinheit</v>
      </c>
      <c r="D779" s="27" t="s">
        <v>170</v>
      </c>
      <c r="E779" s="8" t="s">
        <v>10</v>
      </c>
      <c r="F779" s="8">
        <f>VLOOKUP(A779,'[1]PL ENG'!B:G,6, FALSE)</f>
        <v>4000984191851</v>
      </c>
      <c r="G779" s="28">
        <v>1</v>
      </c>
      <c r="H779" s="9">
        <f>VLOOKUP(A779,[1]pricing!A:M,5,FALSE)</f>
        <v>297.14999999999998</v>
      </c>
      <c r="I779" s="10">
        <f>VLOOKUP(A779,[1]pricing!A:M,6,FALSE)</f>
        <v>355</v>
      </c>
    </row>
    <row r="780" spans="1:9" s="40" customFormat="1" ht="15" customHeight="1">
      <c r="A780" s="6">
        <v>2000025139</v>
      </c>
      <c r="B780" s="18" t="s">
        <v>183</v>
      </c>
      <c r="C780" s="7" t="str">
        <f>VLOOKUP(A780,[1]Translation!A:F,4,FALSE)</f>
        <v>Verdeck</v>
      </c>
      <c r="D780" s="18" t="s">
        <v>11</v>
      </c>
      <c r="E780" s="8" t="s">
        <v>10</v>
      </c>
      <c r="F780" s="8">
        <f>VLOOKUP(A780,'[1]PL ENG'!B:G,6, FALSE)</f>
        <v>4000984147445</v>
      </c>
      <c r="G780" s="14">
        <v>1</v>
      </c>
      <c r="H780" s="9">
        <f>VLOOKUP(A780,[1]pricing!A:M,5,FALSE)</f>
        <v>70.400000000000006</v>
      </c>
      <c r="I780" s="10">
        <f>VLOOKUP(A780,[1]pricing!A:M,6,FALSE)</f>
        <v>85</v>
      </c>
    </row>
    <row r="781" spans="1:9" s="40" customFormat="1" ht="15" customHeight="1">
      <c r="A781" s="6">
        <v>2000025140</v>
      </c>
      <c r="B781" s="18" t="s">
        <v>183</v>
      </c>
      <c r="C781" s="7" t="str">
        <f>VLOOKUP(A781,[1]Translation!A:F,4,FALSE)</f>
        <v>Verdeck</v>
      </c>
      <c r="D781" s="18" t="s">
        <v>92</v>
      </c>
      <c r="E781" s="8" t="s">
        <v>10</v>
      </c>
      <c r="F781" s="8">
        <f>VLOOKUP(A781,'[1]PL ENG'!B:G,6, FALSE)</f>
        <v>4000984147452</v>
      </c>
      <c r="G781" s="14">
        <v>1</v>
      </c>
      <c r="H781" s="9">
        <f>VLOOKUP(A781,[1]pricing!A:M,5,FALSE)</f>
        <v>70.400000000000006</v>
      </c>
      <c r="I781" s="10">
        <f>VLOOKUP(A781,[1]pricing!A:M,6,FALSE)</f>
        <v>85</v>
      </c>
    </row>
    <row r="782" spans="1:9" s="40" customFormat="1" ht="15" customHeight="1">
      <c r="A782" s="6">
        <v>2000025141</v>
      </c>
      <c r="B782" s="18" t="s">
        <v>183</v>
      </c>
      <c r="C782" s="7" t="str">
        <f>VLOOKUP(A782,[1]Translation!A:F,4,FALSE)</f>
        <v>Verdeck</v>
      </c>
      <c r="D782" s="18" t="s">
        <v>156</v>
      </c>
      <c r="E782" s="8" t="s">
        <v>10</v>
      </c>
      <c r="F782" s="8">
        <f>VLOOKUP(A782,'[1]PL ENG'!B:G,6, FALSE)</f>
        <v>4000984147469</v>
      </c>
      <c r="G782" s="14">
        <v>1</v>
      </c>
      <c r="H782" s="9">
        <f>VLOOKUP(A782,[1]pricing!A:M,5,FALSE)</f>
        <v>70.400000000000006</v>
      </c>
      <c r="I782" s="10">
        <f>VLOOKUP(A782,[1]pricing!A:M,6,FALSE)</f>
        <v>85</v>
      </c>
    </row>
    <row r="783" spans="1:9" s="40" customFormat="1" ht="15" customHeight="1">
      <c r="A783" s="6">
        <v>2000025142</v>
      </c>
      <c r="B783" s="18" t="s">
        <v>183</v>
      </c>
      <c r="C783" s="7" t="str">
        <f>VLOOKUP(A783,[1]Translation!A:F,4,FALSE)</f>
        <v>Verdeck</v>
      </c>
      <c r="D783" s="18" t="s">
        <v>12</v>
      </c>
      <c r="E783" s="8" t="s">
        <v>10</v>
      </c>
      <c r="F783" s="8">
        <f>VLOOKUP(A783,'[1]PL ENG'!B:G,6, FALSE)</f>
        <v>4000984147476</v>
      </c>
      <c r="G783" s="14">
        <v>1</v>
      </c>
      <c r="H783" s="9">
        <f>VLOOKUP(A783,[1]pricing!A:M,5,FALSE)</f>
        <v>70.400000000000006</v>
      </c>
      <c r="I783" s="10">
        <f>VLOOKUP(A783,[1]pricing!A:M,6,FALSE)</f>
        <v>85</v>
      </c>
    </row>
    <row r="784" spans="1:9" s="40" customFormat="1" ht="15" customHeight="1">
      <c r="A784" s="6">
        <v>2000025143</v>
      </c>
      <c r="B784" s="18" t="s">
        <v>183</v>
      </c>
      <c r="C784" s="7" t="str">
        <f>VLOOKUP(A784,[1]Translation!A:F,4,FALSE)</f>
        <v>Verdeck</v>
      </c>
      <c r="D784" s="18" t="s">
        <v>58</v>
      </c>
      <c r="E784" s="8" t="s">
        <v>10</v>
      </c>
      <c r="F784" s="8">
        <f>VLOOKUP(A784,'[1]PL ENG'!B:G,6, FALSE)</f>
        <v>4000984147483</v>
      </c>
      <c r="G784" s="14">
        <v>1</v>
      </c>
      <c r="H784" s="9">
        <f>VLOOKUP(A784,[1]pricing!A:M,5,FALSE)</f>
        <v>70.400000000000006</v>
      </c>
      <c r="I784" s="10">
        <f>VLOOKUP(A784,[1]pricing!A:M,6,FALSE)</f>
        <v>85</v>
      </c>
    </row>
    <row r="785" spans="1:9" s="40" customFormat="1" ht="15" customHeight="1">
      <c r="A785" s="6">
        <v>2000026692</v>
      </c>
      <c r="B785" s="18" t="s">
        <v>183</v>
      </c>
      <c r="C785" s="7" t="str">
        <f>VLOOKUP(A785,[1]Translation!A:F,4,FALSE)</f>
        <v>Verdeck</v>
      </c>
      <c r="D785" s="18" t="s">
        <v>15</v>
      </c>
      <c r="E785" s="8" t="s">
        <v>10</v>
      </c>
      <c r="F785" s="8">
        <f>VLOOKUP(A785,'[1]PL ENG'!B:G,6, FALSE)</f>
        <v>4000984155884</v>
      </c>
      <c r="G785" s="14">
        <v>1</v>
      </c>
      <c r="H785" s="9">
        <f>VLOOKUP(A785,[1]pricing!A:M,5,FALSE)</f>
        <v>70.400000000000006</v>
      </c>
      <c r="I785" s="10">
        <f>VLOOKUP(A785,[1]pricing!A:M,6,FALSE)</f>
        <v>85</v>
      </c>
    </row>
    <row r="786" spans="1:9" s="40" customFormat="1" ht="15" customHeight="1">
      <c r="A786" s="6">
        <v>2000029375</v>
      </c>
      <c r="B786" s="18" t="s">
        <v>183</v>
      </c>
      <c r="C786" s="7" t="str">
        <f>VLOOKUP(A786,[1]Translation!A:F,4,FALSE)</f>
        <v>Verdeck</v>
      </c>
      <c r="D786" s="48" t="s">
        <v>179</v>
      </c>
      <c r="E786" s="8" t="s">
        <v>10</v>
      </c>
      <c r="F786" s="8">
        <f>VLOOKUP(A786,'[1]PL ENG'!B:G,6, FALSE)</f>
        <v>4000984191349</v>
      </c>
      <c r="G786" s="14">
        <v>1</v>
      </c>
      <c r="H786" s="9">
        <f>VLOOKUP(A786,[1]pricing!A:M,5,FALSE)</f>
        <v>70.400000000000006</v>
      </c>
      <c r="I786" s="10">
        <f>VLOOKUP(A786,[1]pricing!A:M,6,FALSE)</f>
        <v>85</v>
      </c>
    </row>
    <row r="787" spans="1:9" s="40" customFormat="1" ht="15" customHeight="1">
      <c r="A787" s="6">
        <v>2000029374</v>
      </c>
      <c r="B787" s="18" t="s">
        <v>183</v>
      </c>
      <c r="C787" s="7" t="str">
        <f>VLOOKUP(A787,[1]Translation!A:F,4,FALSE)</f>
        <v>Verdeck</v>
      </c>
      <c r="D787" s="48" t="s">
        <v>181</v>
      </c>
      <c r="E787" s="8" t="s">
        <v>10</v>
      </c>
      <c r="F787" s="8">
        <f>VLOOKUP(A787,'[1]PL ENG'!B:G,6, FALSE)</f>
        <v>4000984191332</v>
      </c>
      <c r="G787" s="14">
        <v>1</v>
      </c>
      <c r="H787" s="9">
        <f>VLOOKUP(A787,[1]pricing!A:M,5,FALSE)</f>
        <v>70.400000000000006</v>
      </c>
      <c r="I787" s="10">
        <f>VLOOKUP(A787,[1]pricing!A:M,6,FALSE)</f>
        <v>85</v>
      </c>
    </row>
    <row r="788" spans="1:9" s="40" customFormat="1" ht="15" customHeight="1">
      <c r="A788" s="6">
        <v>2000029376</v>
      </c>
      <c r="B788" s="18" t="s">
        <v>183</v>
      </c>
      <c r="C788" s="7" t="str">
        <f>VLOOKUP(A788,[1]Translation!A:F,4,FALSE)</f>
        <v>Verdeck</v>
      </c>
      <c r="D788" s="48" t="s">
        <v>180</v>
      </c>
      <c r="E788" s="8" t="s">
        <v>10</v>
      </c>
      <c r="F788" s="8">
        <f>VLOOKUP(A788,'[1]PL ENG'!B:G,6, FALSE)</f>
        <v>4000984191356</v>
      </c>
      <c r="G788" s="14">
        <v>1</v>
      </c>
      <c r="H788" s="9">
        <f>VLOOKUP(A788,[1]pricing!A:M,5,FALSE)</f>
        <v>70.400000000000006</v>
      </c>
      <c r="I788" s="10">
        <f>VLOOKUP(A788,[1]pricing!A:M,6,FALSE)</f>
        <v>85</v>
      </c>
    </row>
    <row r="789" spans="1:9" s="40" customFormat="1" ht="15" customHeight="1">
      <c r="A789" s="6">
        <v>2000026691</v>
      </c>
      <c r="B789" s="18" t="s">
        <v>183</v>
      </c>
      <c r="C789" s="7" t="str">
        <f>VLOOKUP(A789,[1]Translation!A:F,4,FALSE)</f>
        <v>Verdeck</v>
      </c>
      <c r="D789" s="48" t="s">
        <v>160</v>
      </c>
      <c r="E789" s="8" t="s">
        <v>10</v>
      </c>
      <c r="F789" s="8">
        <f>VLOOKUP(A789,'[1]PL ENG'!B:G,6, FALSE)</f>
        <v>4000984155877</v>
      </c>
      <c r="G789" s="14">
        <v>1</v>
      </c>
      <c r="H789" s="9">
        <f>VLOOKUP(A789,[1]pricing!A:M,5,FALSE)</f>
        <v>70.400000000000006</v>
      </c>
      <c r="I789" s="10">
        <f>VLOOKUP(A789,[1]pricing!A:M,6,FALSE)</f>
        <v>85</v>
      </c>
    </row>
    <row r="790" spans="1:9" ht="15" customHeight="1">
      <c r="A790" s="6">
        <v>2000025125</v>
      </c>
      <c r="B790" s="18" t="s">
        <v>183</v>
      </c>
      <c r="C790" s="7" t="str">
        <f>VLOOKUP(A790,[1]Translation!A:F,4,FALSE)</f>
        <v xml:space="preserve">Schwenkrad Befestigungs Reparatur Set </v>
      </c>
      <c r="D790" s="18"/>
      <c r="E790" s="8" t="s">
        <v>43</v>
      </c>
      <c r="F790" s="8">
        <f>VLOOKUP(A790,'[1]PL ENG'!B:G,6, FALSE)</f>
        <v>4000984145076</v>
      </c>
      <c r="G790" s="14">
        <v>1</v>
      </c>
      <c r="H790" s="9">
        <f>VLOOKUP(A790,[1]pricing!A:M,5,FALSE)</f>
        <v>10.24</v>
      </c>
      <c r="I790" s="10">
        <f>VLOOKUP(A790,[1]pricing!A:M,6,FALSE)</f>
        <v>12</v>
      </c>
    </row>
    <row r="791" spans="1:9" s="17" customFormat="1" ht="15" customHeight="1">
      <c r="A791" s="6">
        <v>2000025126</v>
      </c>
      <c r="B791" s="18" t="s">
        <v>183</v>
      </c>
      <c r="C791" s="7" t="str">
        <f>VLOOKUP(A791,[1]Translation!A:F,4,FALSE)</f>
        <v xml:space="preserve">Sitzeinheit Beinauflage Reparatur Set </v>
      </c>
      <c r="D791" s="18"/>
      <c r="E791" s="8" t="s">
        <v>43</v>
      </c>
      <c r="F791" s="8">
        <f>VLOOKUP(A791,'[1]PL ENG'!B:G,6, FALSE)</f>
        <v>4000984145090</v>
      </c>
      <c r="G791" s="14">
        <v>1</v>
      </c>
      <c r="H791" s="9">
        <f>VLOOKUP(A791,[1]pricing!A:M,5,FALSE)</f>
        <v>16.809999999999999</v>
      </c>
      <c r="I791" s="10">
        <f>VLOOKUP(A791,[1]pricing!A:M,6,FALSE)</f>
        <v>20</v>
      </c>
    </row>
    <row r="792" spans="1:9" s="40" customFormat="1" ht="15" customHeight="1">
      <c r="A792" s="16">
        <v>2000010707</v>
      </c>
      <c r="B792" s="18" t="s">
        <v>183</v>
      </c>
      <c r="C792" s="7" t="str">
        <f>VLOOKUP(A792,[1]Translation!A:F,4,FALSE)</f>
        <v>Click&amp;Go Adapter</v>
      </c>
      <c r="D792" s="18"/>
      <c r="E792" s="8" t="s">
        <v>10</v>
      </c>
      <c r="F792" s="8">
        <f>VLOOKUP(A792,'[1]PL ENG'!B:G,6, FALSE)</f>
        <v>4000984109672</v>
      </c>
      <c r="G792" s="14">
        <v>1</v>
      </c>
      <c r="H792" s="9">
        <f>VLOOKUP(A792,[1]pricing!A:M,5,FALSE)</f>
        <v>21.85</v>
      </c>
      <c r="I792" s="10">
        <f>VLOOKUP(A792,[1]pricing!A:M,6,FALSE)</f>
        <v>26</v>
      </c>
    </row>
    <row r="793" spans="1:9" s="17" customFormat="1" ht="15" customHeight="1">
      <c r="A793" s="6">
        <v>2000021732</v>
      </c>
      <c r="B793" s="7" t="s">
        <v>194</v>
      </c>
      <c r="C793" s="7" t="str">
        <f>VLOOKUP(A793,[1]Translation!A:F,4,FALSE)</f>
        <v>Prambody</v>
      </c>
      <c r="D793" s="7" t="s">
        <v>175</v>
      </c>
      <c r="E793" s="8" t="s">
        <v>10</v>
      </c>
      <c r="F793" s="8">
        <f>VLOOKUP(A793,'[1]PL ENG'!B:G,6, FALSE)</f>
        <v>4000984118438</v>
      </c>
      <c r="G793" s="8">
        <v>1</v>
      </c>
      <c r="H793" s="9">
        <f>VLOOKUP(A793,[1]pricing!A:M,5,FALSE)</f>
        <v>218.49</v>
      </c>
      <c r="I793" s="10">
        <f>VLOOKUP(A793,[1]pricing!A:M,6,FALSE)</f>
        <v>260</v>
      </c>
    </row>
    <row r="794" spans="1:9" s="17" customFormat="1" ht="15" customHeight="1">
      <c r="A794" s="6">
        <v>2000012131</v>
      </c>
      <c r="B794" s="7" t="s">
        <v>194</v>
      </c>
      <c r="C794" s="7" t="str">
        <f>VLOOKUP(A794,[1]Translation!A:F,4,FALSE)</f>
        <v>Prambody</v>
      </c>
      <c r="D794" s="7" t="s">
        <v>173</v>
      </c>
      <c r="E794" s="8" t="s">
        <v>10</v>
      </c>
      <c r="F794" s="8">
        <f>VLOOKUP(A794,'[1]PL ENG'!B:G,6, FALSE)</f>
        <v>4000984114225</v>
      </c>
      <c r="G794" s="8">
        <v>1</v>
      </c>
      <c r="H794" s="9">
        <f>VLOOKUP(A794,[1]pricing!A:M,5,FALSE)</f>
        <v>218.49</v>
      </c>
      <c r="I794" s="10">
        <f>VLOOKUP(A794,[1]pricing!A:M,6,FALSE)</f>
        <v>260</v>
      </c>
    </row>
    <row r="795" spans="1:9" s="17" customFormat="1" ht="15" customHeight="1">
      <c r="A795" s="6">
        <v>2000012132</v>
      </c>
      <c r="B795" s="7" t="s">
        <v>194</v>
      </c>
      <c r="C795" s="7" t="str">
        <f>VLOOKUP(A795,[1]Translation!A:F,4,FALSE)</f>
        <v>Prambody</v>
      </c>
      <c r="D795" s="7" t="s">
        <v>174</v>
      </c>
      <c r="E795" s="8" t="s">
        <v>10</v>
      </c>
      <c r="F795" s="8">
        <f>VLOOKUP(A795,'[1]PL ENG'!B:G,6, FALSE)</f>
        <v>4000984114232</v>
      </c>
      <c r="G795" s="8">
        <v>1</v>
      </c>
      <c r="H795" s="9">
        <f>VLOOKUP(A795,[1]pricing!A:M,5,FALSE)</f>
        <v>218.49</v>
      </c>
      <c r="I795" s="10">
        <f>VLOOKUP(A795,[1]pricing!A:M,6,FALSE)</f>
        <v>260</v>
      </c>
    </row>
    <row r="796" spans="1:9" s="17" customFormat="1" ht="15" customHeight="1">
      <c r="A796" s="6">
        <v>2000012133</v>
      </c>
      <c r="B796" s="7" t="s">
        <v>194</v>
      </c>
      <c r="C796" s="7" t="str">
        <f>VLOOKUP(A796,[1]Translation!A:F,4,FALSE)</f>
        <v>Prambody</v>
      </c>
      <c r="D796" s="7" t="s">
        <v>160</v>
      </c>
      <c r="E796" s="8" t="s">
        <v>10</v>
      </c>
      <c r="F796" s="8">
        <f>VLOOKUP(A796,'[1]PL ENG'!B:G,6, FALSE)</f>
        <v>4000984114249</v>
      </c>
      <c r="G796" s="8">
        <v>1</v>
      </c>
      <c r="H796" s="9">
        <f>VLOOKUP(A796,[1]pricing!A:M,5,FALSE)</f>
        <v>218.49</v>
      </c>
      <c r="I796" s="10">
        <f>VLOOKUP(A796,[1]pricing!A:M,6,FALSE)</f>
        <v>260</v>
      </c>
    </row>
    <row r="797" spans="1:9" s="17" customFormat="1" ht="15" customHeight="1">
      <c r="A797" s="6">
        <v>2000021731</v>
      </c>
      <c r="B797" s="7" t="s">
        <v>194</v>
      </c>
      <c r="C797" s="7" t="str">
        <f>VLOOKUP(A797,[1]Translation!A:F,4,FALSE)</f>
        <v>Prambody</v>
      </c>
      <c r="D797" s="7" t="s">
        <v>161</v>
      </c>
      <c r="E797" s="8" t="s">
        <v>10</v>
      </c>
      <c r="F797" s="8">
        <f>VLOOKUP(A797,'[1]PL ENG'!B:G,6, FALSE)</f>
        <v>4000984118421</v>
      </c>
      <c r="G797" s="8">
        <v>1</v>
      </c>
      <c r="H797" s="9">
        <f>VLOOKUP(A797,[1]pricing!A:M,5,FALSE)</f>
        <v>218.49</v>
      </c>
      <c r="I797" s="10">
        <f>VLOOKUP(A797,[1]pricing!A:M,6,FALSE)</f>
        <v>260</v>
      </c>
    </row>
    <row r="798" spans="1:9" s="17" customFormat="1" ht="15" customHeight="1">
      <c r="A798" s="6">
        <v>2000023207</v>
      </c>
      <c r="B798" s="7" t="s">
        <v>194</v>
      </c>
      <c r="C798" s="7" t="str">
        <f>VLOOKUP(A798,[1]Translation!A:F,4,FALSE)</f>
        <v>Prambody</v>
      </c>
      <c r="D798" s="7" t="s">
        <v>176</v>
      </c>
      <c r="E798" s="8" t="s">
        <v>10</v>
      </c>
      <c r="F798" s="8">
        <f>VLOOKUP(A798,'[1]PL ENG'!B:G,6, FALSE)</f>
        <v>4000984141764</v>
      </c>
      <c r="G798" s="8">
        <v>1</v>
      </c>
      <c r="H798" s="9">
        <f>VLOOKUP(A798,[1]pricing!A:M,5,FALSE)</f>
        <v>218.49</v>
      </c>
      <c r="I798" s="10">
        <f>VLOOKUP(A798,[1]pricing!A:M,6,FALSE)</f>
        <v>260</v>
      </c>
    </row>
    <row r="799" spans="1:9" s="17" customFormat="1" ht="15" customHeight="1">
      <c r="A799" s="6">
        <v>2000023208</v>
      </c>
      <c r="B799" s="7" t="s">
        <v>194</v>
      </c>
      <c r="C799" s="7" t="str">
        <f>VLOOKUP(A799,[1]Translation!A:F,4,FALSE)</f>
        <v>Prambody</v>
      </c>
      <c r="D799" s="7" t="s">
        <v>177</v>
      </c>
      <c r="E799" s="8" t="s">
        <v>10</v>
      </c>
      <c r="F799" s="8">
        <f>VLOOKUP(A799,'[1]PL ENG'!B:G,6, FALSE)</f>
        <v>4000984141771</v>
      </c>
      <c r="G799" s="8">
        <v>1</v>
      </c>
      <c r="H799" s="9">
        <f>VLOOKUP(A799,[1]pricing!A:M,5,FALSE)</f>
        <v>218.49</v>
      </c>
      <c r="I799" s="10">
        <f>VLOOKUP(A799,[1]pricing!A:M,6,FALSE)</f>
        <v>260</v>
      </c>
    </row>
    <row r="800" spans="1:9" s="17" customFormat="1" ht="15" customHeight="1">
      <c r="A800" s="6">
        <v>2000026695</v>
      </c>
      <c r="B800" s="7" t="s">
        <v>194</v>
      </c>
      <c r="C800" s="7" t="str">
        <f>VLOOKUP(A800,[1]Translation!A:F,4,FALSE)</f>
        <v>Prambody</v>
      </c>
      <c r="D800" s="7" t="s">
        <v>195</v>
      </c>
      <c r="E800" s="8" t="s">
        <v>10</v>
      </c>
      <c r="F800" s="8">
        <f>VLOOKUP(A800,'[1]PL ENG'!B:G,6, FALSE)</f>
        <v>4000984155907</v>
      </c>
      <c r="G800" s="8">
        <v>1</v>
      </c>
      <c r="H800" s="9">
        <f>VLOOKUP(A800,[1]pricing!A:M,5,FALSE)</f>
        <v>218.49</v>
      </c>
      <c r="I800" s="10">
        <f>VLOOKUP(A800,[1]pricing!A:M,6,FALSE)</f>
        <v>260</v>
      </c>
    </row>
    <row r="801" spans="1:9" s="17" customFormat="1" ht="15" customHeight="1">
      <c r="A801" s="6">
        <v>2000021631</v>
      </c>
      <c r="B801" s="7" t="s">
        <v>194</v>
      </c>
      <c r="C801" s="7" t="str">
        <f>VLOOKUP(A801,[1]Translation!A:F,4,FALSE)</f>
        <v xml:space="preserve">Windschutz für Prambody </v>
      </c>
      <c r="D801" s="7" t="s">
        <v>28</v>
      </c>
      <c r="E801" s="8" t="s">
        <v>10</v>
      </c>
      <c r="F801" s="8">
        <f>VLOOKUP(A801,'[1]PL ENG'!B:G,6, FALSE)</f>
        <v>4000984116755</v>
      </c>
      <c r="G801" s="8">
        <v>1</v>
      </c>
      <c r="H801" s="9">
        <f>VLOOKUP(A801,[1]pricing!A:M,5,FALSE)</f>
        <v>25.09</v>
      </c>
      <c r="I801" s="10">
        <f>VLOOKUP(A801,[1]pricing!A:M,6,FALSE)</f>
        <v>30</v>
      </c>
    </row>
    <row r="802" spans="1:9" s="17" customFormat="1" ht="15" customHeight="1">
      <c r="A802" s="6">
        <v>2000021632</v>
      </c>
      <c r="B802" s="7" t="s">
        <v>194</v>
      </c>
      <c r="C802" s="7" t="str">
        <f>VLOOKUP(A802,[1]Translation!A:F,4,FALSE)</f>
        <v xml:space="preserve">Windschutz für Prambody </v>
      </c>
      <c r="D802" s="7" t="s">
        <v>29</v>
      </c>
      <c r="E802" s="8" t="s">
        <v>10</v>
      </c>
      <c r="F802" s="8">
        <f>VLOOKUP(A802,'[1]PL ENG'!B:G,6, FALSE)</f>
        <v>4000984116762</v>
      </c>
      <c r="G802" s="8">
        <v>1</v>
      </c>
      <c r="H802" s="9">
        <f>VLOOKUP(A802,[1]pricing!A:M,5,FALSE)</f>
        <v>25.09</v>
      </c>
      <c r="I802" s="10">
        <f>VLOOKUP(A802,[1]pricing!A:M,6,FALSE)</f>
        <v>30</v>
      </c>
    </row>
    <row r="803" spans="1:9" s="17" customFormat="1" ht="15" customHeight="1">
      <c r="A803" s="6">
        <v>2000021633</v>
      </c>
      <c r="B803" s="7" t="s">
        <v>194</v>
      </c>
      <c r="C803" s="7" t="str">
        <f>VLOOKUP(A803,[1]Translation!A:F,4,FALSE)</f>
        <v xml:space="preserve">Windschutz für Prambody </v>
      </c>
      <c r="D803" s="7" t="s">
        <v>88</v>
      </c>
      <c r="E803" s="8" t="s">
        <v>10</v>
      </c>
      <c r="F803" s="8">
        <f>VLOOKUP(A803,'[1]PL ENG'!B:G,6, FALSE)</f>
        <v>4000984116779</v>
      </c>
      <c r="G803" s="8">
        <v>1</v>
      </c>
      <c r="H803" s="9">
        <f>VLOOKUP(A803,[1]pricing!A:M,5,FALSE)</f>
        <v>25.09</v>
      </c>
      <c r="I803" s="10">
        <f>VLOOKUP(A803,[1]pricing!A:M,6,FALSE)</f>
        <v>30</v>
      </c>
    </row>
    <row r="804" spans="1:9" s="17" customFormat="1" ht="15" customHeight="1">
      <c r="A804" s="6">
        <v>2000021634</v>
      </c>
      <c r="B804" s="7" t="s">
        <v>194</v>
      </c>
      <c r="C804" s="7" t="str">
        <f>VLOOKUP(A804,[1]Translation!A:F,4,FALSE)</f>
        <v xml:space="preserve">Windschutz für Prambody </v>
      </c>
      <c r="D804" s="7" t="s">
        <v>87</v>
      </c>
      <c r="E804" s="8" t="s">
        <v>10</v>
      </c>
      <c r="F804" s="8">
        <f>VLOOKUP(A804,'[1]PL ENG'!B:G,6, FALSE)</f>
        <v>4000984116786</v>
      </c>
      <c r="G804" s="8">
        <v>1</v>
      </c>
      <c r="H804" s="9">
        <f>VLOOKUP(A804,[1]pricing!A:M,5,FALSE)</f>
        <v>25.09</v>
      </c>
      <c r="I804" s="10">
        <f>VLOOKUP(A804,[1]pricing!A:M,6,FALSE)</f>
        <v>30</v>
      </c>
    </row>
    <row r="805" spans="1:9" s="17" customFormat="1" ht="15" customHeight="1">
      <c r="A805" s="6">
        <v>2000021635</v>
      </c>
      <c r="B805" s="7" t="s">
        <v>194</v>
      </c>
      <c r="C805" s="7" t="str">
        <f>VLOOKUP(A805,[1]Translation!A:F,4,FALSE)</f>
        <v xml:space="preserve">Windschutz für Prambody </v>
      </c>
      <c r="D805" s="7" t="s">
        <v>155</v>
      </c>
      <c r="E805" s="8" t="s">
        <v>10</v>
      </c>
      <c r="F805" s="8">
        <f>VLOOKUP(A805,'[1]PL ENG'!B:G,6, FALSE)</f>
        <v>4000984116793</v>
      </c>
      <c r="G805" s="8">
        <v>1</v>
      </c>
      <c r="H805" s="9">
        <f>VLOOKUP(A805,[1]pricing!A:M,5,FALSE)</f>
        <v>25.09</v>
      </c>
      <c r="I805" s="10">
        <f>VLOOKUP(A805,[1]pricing!A:M,6,FALSE)</f>
        <v>60</v>
      </c>
    </row>
    <row r="806" spans="1:9" s="17" customFormat="1" ht="15" customHeight="1">
      <c r="A806" s="6">
        <v>2000021636</v>
      </c>
      <c r="B806" s="7" t="s">
        <v>194</v>
      </c>
      <c r="C806" s="7" t="str">
        <f>VLOOKUP(A806,[1]Translation!A:F,4,FALSE)</f>
        <v xml:space="preserve">Windschutz für Prambody </v>
      </c>
      <c r="D806" s="7" t="s">
        <v>117</v>
      </c>
      <c r="E806" s="8" t="s">
        <v>10</v>
      </c>
      <c r="F806" s="8">
        <f>VLOOKUP(A806,'[1]PL ENG'!B:G,6, FALSE)</f>
        <v>4000984116809</v>
      </c>
      <c r="G806" s="8">
        <v>1</v>
      </c>
      <c r="H806" s="9">
        <f>VLOOKUP(A806,[1]pricing!A:M,5,FALSE)</f>
        <v>25.09</v>
      </c>
      <c r="I806" s="10">
        <f>VLOOKUP(A806,[1]pricing!A:M,6,FALSE)</f>
        <v>30</v>
      </c>
    </row>
    <row r="807" spans="1:9" s="17" customFormat="1" ht="15" customHeight="1">
      <c r="A807" s="6">
        <v>2000023217</v>
      </c>
      <c r="B807" s="7" t="s">
        <v>194</v>
      </c>
      <c r="C807" s="7" t="str">
        <f>VLOOKUP(A807,[1]Translation!A:F,4,FALSE)</f>
        <v xml:space="preserve">Windschutz für Prambody </v>
      </c>
      <c r="D807" s="18" t="s">
        <v>11</v>
      </c>
      <c r="E807" s="8" t="s">
        <v>10</v>
      </c>
      <c r="F807" s="8">
        <f>VLOOKUP(A807,'[1]PL ENG'!B:G,6, FALSE)</f>
        <v>4000984141863</v>
      </c>
      <c r="G807" s="8">
        <v>1</v>
      </c>
      <c r="H807" s="9">
        <f>VLOOKUP(A807,[1]pricing!A:M,5,FALSE)</f>
        <v>25.09</v>
      </c>
      <c r="I807" s="10">
        <f>VLOOKUP(A807,[1]pricing!A:M,6,FALSE)</f>
        <v>30</v>
      </c>
    </row>
    <row r="808" spans="1:9" s="17" customFormat="1" ht="15" customHeight="1">
      <c r="A808" s="16">
        <v>2000029372</v>
      </c>
      <c r="B808" s="7" t="s">
        <v>194</v>
      </c>
      <c r="C808" s="7" t="str">
        <f>VLOOKUP(A808,[1]Translation!A:F,4,FALSE)</f>
        <v xml:space="preserve">Windschutz für Prambody </v>
      </c>
      <c r="D808" s="51" t="s">
        <v>196</v>
      </c>
      <c r="E808" s="8" t="s">
        <v>10</v>
      </c>
      <c r="F808" s="8">
        <f>VLOOKUP(A808,'[1]PL ENG'!B:G,6, FALSE)</f>
        <v>4000984191318</v>
      </c>
      <c r="G808" s="8">
        <v>1</v>
      </c>
      <c r="H808" s="9">
        <f>VLOOKUP(A808,[1]pricing!A:M,5,FALSE)</f>
        <v>25.09</v>
      </c>
      <c r="I808" s="10">
        <f>VLOOKUP(A808,[1]pricing!A:M,6,FALSE)</f>
        <v>30</v>
      </c>
    </row>
    <row r="809" spans="1:9" s="17" customFormat="1" ht="15" customHeight="1">
      <c r="A809" s="6">
        <v>2000023221</v>
      </c>
      <c r="B809" s="7" t="s">
        <v>194</v>
      </c>
      <c r="C809" s="7" t="str">
        <f>VLOOKUP(A809,[1]Translation!A:F,4,FALSE)</f>
        <v xml:space="preserve">Windschutz für Prambody </v>
      </c>
      <c r="D809" s="18" t="s">
        <v>92</v>
      </c>
      <c r="E809" s="8" t="s">
        <v>10</v>
      </c>
      <c r="F809" s="8">
        <f>VLOOKUP(A809,'[1]PL ENG'!B:G,6, FALSE)</f>
        <v>4000984141900</v>
      </c>
      <c r="G809" s="8">
        <v>1</v>
      </c>
      <c r="H809" s="9">
        <f>VLOOKUP(A809,[1]pricing!A:M,5,FALSE)</f>
        <v>25.09</v>
      </c>
      <c r="I809" s="10">
        <f>VLOOKUP(A809,[1]pricing!A:M,6,FALSE)</f>
        <v>30</v>
      </c>
    </row>
    <row r="810" spans="1:9" s="17" customFormat="1" ht="15" customHeight="1">
      <c r="A810" s="16">
        <v>2000029369</v>
      </c>
      <c r="B810" s="7" t="s">
        <v>194</v>
      </c>
      <c r="C810" s="7" t="str">
        <f>VLOOKUP(A810,[1]Translation!A:F,4,FALSE)</f>
        <v xml:space="preserve">Windschutz für Prambody </v>
      </c>
      <c r="D810" s="7" t="s">
        <v>197</v>
      </c>
      <c r="E810" s="8" t="s">
        <v>10</v>
      </c>
      <c r="F810" s="8">
        <f>VLOOKUP(A810,'[1]PL ENG'!B:G,6, FALSE)</f>
        <v>4000984191288</v>
      </c>
      <c r="G810" s="8">
        <v>1</v>
      </c>
      <c r="H810" s="9">
        <f>VLOOKUP(A810,[1]pricing!A:M,5,FALSE)</f>
        <v>25.09</v>
      </c>
      <c r="I810" s="10">
        <f>VLOOKUP(A810,[1]pricing!A:M,6,FALSE)</f>
        <v>30</v>
      </c>
    </row>
    <row r="811" spans="1:9" s="17" customFormat="1" ht="15" customHeight="1">
      <c r="A811" s="6">
        <v>2000021637</v>
      </c>
      <c r="B811" s="7" t="s">
        <v>194</v>
      </c>
      <c r="C811" s="7" t="str">
        <f>VLOOKUP(A811,[1]Translation!A:F,4,FALSE)</f>
        <v xml:space="preserve">Windschutz für Prambody </v>
      </c>
      <c r="D811" s="7" t="s">
        <v>173</v>
      </c>
      <c r="E811" s="8" t="s">
        <v>10</v>
      </c>
      <c r="F811" s="8">
        <f>VLOOKUP(A811,'[1]PL ENG'!B:G,6, FALSE)</f>
        <v>4000984116816</v>
      </c>
      <c r="G811" s="8">
        <v>1</v>
      </c>
      <c r="H811" s="9">
        <f>VLOOKUP(A811,[1]pricing!A:M,5,FALSE)</f>
        <v>25.09</v>
      </c>
      <c r="I811" s="10">
        <f>VLOOKUP(A811,[1]pricing!A:M,6,FALSE)</f>
        <v>30</v>
      </c>
    </row>
    <row r="812" spans="1:9" s="17" customFormat="1" ht="15" customHeight="1">
      <c r="A812" s="6">
        <v>2000021638</v>
      </c>
      <c r="B812" s="7" t="s">
        <v>194</v>
      </c>
      <c r="C812" s="7" t="str">
        <f>VLOOKUP(A812,[1]Translation!A:F,4,FALSE)</f>
        <v xml:space="preserve">Windschutz für Prambody </v>
      </c>
      <c r="D812" s="7" t="s">
        <v>174</v>
      </c>
      <c r="E812" s="8" t="s">
        <v>10</v>
      </c>
      <c r="F812" s="8">
        <f>VLOOKUP(A812,'[1]PL ENG'!B:G,6, FALSE)</f>
        <v>4000984116823</v>
      </c>
      <c r="G812" s="8">
        <v>1</v>
      </c>
      <c r="H812" s="9">
        <f>VLOOKUP(A812,[1]pricing!A:M,5,FALSE)</f>
        <v>25.09</v>
      </c>
      <c r="I812" s="10">
        <f>VLOOKUP(A812,[1]pricing!A:M,6,FALSE)</f>
        <v>30</v>
      </c>
    </row>
    <row r="813" spans="1:9" s="17" customFormat="1" ht="15" customHeight="1">
      <c r="A813" s="6">
        <v>2000021639</v>
      </c>
      <c r="B813" s="7" t="s">
        <v>194</v>
      </c>
      <c r="C813" s="7" t="str">
        <f>VLOOKUP(A813,[1]Translation!A:F,4,FALSE)</f>
        <v xml:space="preserve">Windschutz für Prambody </v>
      </c>
      <c r="D813" s="7" t="s">
        <v>160</v>
      </c>
      <c r="E813" s="8" t="s">
        <v>10</v>
      </c>
      <c r="F813" s="8">
        <f>VLOOKUP(A813,'[1]PL ENG'!B:G,6, FALSE)</f>
        <v>4000984116830</v>
      </c>
      <c r="G813" s="8">
        <v>1</v>
      </c>
      <c r="H813" s="9">
        <f>VLOOKUP(A813,[1]pricing!A:M,5,FALSE)</f>
        <v>25.09</v>
      </c>
      <c r="I813" s="10">
        <f>VLOOKUP(A813,[1]pricing!A:M,6,FALSE)</f>
        <v>30</v>
      </c>
    </row>
    <row r="814" spans="1:9" s="17" customFormat="1" ht="15" customHeight="1">
      <c r="A814" s="6">
        <v>2000021735</v>
      </c>
      <c r="B814" s="7" t="s">
        <v>194</v>
      </c>
      <c r="C814" s="7" t="str">
        <f>VLOOKUP(A814,[1]Translation!A:F,4,FALSE)</f>
        <v xml:space="preserve">Windschutz für Prambody </v>
      </c>
      <c r="D814" s="7" t="s">
        <v>161</v>
      </c>
      <c r="E814" s="8" t="s">
        <v>10</v>
      </c>
      <c r="F814" s="8">
        <f>VLOOKUP(A814,'[1]PL ENG'!B:G,6, FALSE)</f>
        <v>4000984118469</v>
      </c>
      <c r="G814" s="8">
        <v>1</v>
      </c>
      <c r="H814" s="9">
        <f>VLOOKUP(A814,[1]pricing!A:M,5,FALSE)</f>
        <v>25.09</v>
      </c>
      <c r="I814" s="10">
        <f>VLOOKUP(A814,[1]pricing!A:M,6,FALSE)</f>
        <v>30</v>
      </c>
    </row>
    <row r="815" spans="1:9" s="17" customFormat="1" ht="15" customHeight="1">
      <c r="A815" s="6">
        <v>2000021736</v>
      </c>
      <c r="B815" s="7" t="s">
        <v>194</v>
      </c>
      <c r="C815" s="7" t="str">
        <f>VLOOKUP(A815,[1]Translation!A:F,4,FALSE)</f>
        <v xml:space="preserve">Windschutz für Prambody </v>
      </c>
      <c r="D815" s="7" t="s">
        <v>175</v>
      </c>
      <c r="E815" s="8" t="s">
        <v>10</v>
      </c>
      <c r="F815" s="8">
        <f>VLOOKUP(A815,'[1]PL ENG'!B:G,6, FALSE)</f>
        <v>4000984118476</v>
      </c>
      <c r="G815" s="8">
        <v>1</v>
      </c>
      <c r="H815" s="9">
        <f>VLOOKUP(A815,[1]pricing!A:M,5,FALSE)</f>
        <v>25.09</v>
      </c>
      <c r="I815" s="10">
        <f>VLOOKUP(A815,[1]pricing!A:M,6,FALSE)</f>
        <v>30</v>
      </c>
    </row>
    <row r="816" spans="1:9" s="17" customFormat="1" ht="15" customHeight="1">
      <c r="A816" s="16">
        <v>2000029370</v>
      </c>
      <c r="B816" s="7" t="s">
        <v>194</v>
      </c>
      <c r="C816" s="7" t="str">
        <f>VLOOKUP(A816,[1]Translation!A:F,4,FALSE)</f>
        <v xml:space="preserve">Windschutz für Prambody </v>
      </c>
      <c r="D816" s="48" t="s">
        <v>179</v>
      </c>
      <c r="E816" s="8" t="s">
        <v>10</v>
      </c>
      <c r="F816" s="8">
        <f>VLOOKUP(A816,'[1]PL ENG'!B:G,6, FALSE)</f>
        <v>4000984191295</v>
      </c>
      <c r="G816" s="8">
        <v>1</v>
      </c>
      <c r="H816" s="9">
        <f>VLOOKUP(A816,[1]pricing!A:M,5,FALSE)</f>
        <v>25.09</v>
      </c>
      <c r="I816" s="10">
        <f>VLOOKUP(A816,[1]pricing!A:M,6,FALSE)</f>
        <v>30</v>
      </c>
    </row>
    <row r="817" spans="1:11" s="17" customFormat="1" ht="15" customHeight="1">
      <c r="A817" s="16">
        <v>2000029368</v>
      </c>
      <c r="B817" s="7" t="s">
        <v>194</v>
      </c>
      <c r="C817" s="7" t="str">
        <f>VLOOKUP(A817,[1]Translation!A:F,4,FALSE)</f>
        <v xml:space="preserve">Windschutz für Prambody </v>
      </c>
      <c r="D817" s="48" t="s">
        <v>181</v>
      </c>
      <c r="E817" s="8" t="s">
        <v>10</v>
      </c>
      <c r="F817" s="8">
        <f>VLOOKUP(A817,'[1]PL ENG'!B:G,6, FALSE)</f>
        <v>4000984191271</v>
      </c>
      <c r="G817" s="8">
        <v>1</v>
      </c>
      <c r="H817" s="9">
        <f>VLOOKUP(A817,[1]pricing!A:M,5,FALSE)</f>
        <v>25.09</v>
      </c>
      <c r="I817" s="10">
        <f>VLOOKUP(A817,[1]pricing!A:M,6,FALSE)</f>
        <v>30</v>
      </c>
    </row>
    <row r="818" spans="1:11" s="17" customFormat="1" ht="15" customHeight="1">
      <c r="A818" s="16">
        <v>2000029371</v>
      </c>
      <c r="B818" s="7" t="s">
        <v>194</v>
      </c>
      <c r="C818" s="7" t="str">
        <f>VLOOKUP(A818,[1]Translation!A:F,4,FALSE)</f>
        <v xml:space="preserve">Windschutz für Prambody </v>
      </c>
      <c r="D818" s="48" t="s">
        <v>198</v>
      </c>
      <c r="E818" s="8" t="s">
        <v>10</v>
      </c>
      <c r="F818" s="8">
        <f>VLOOKUP(A818,'[1]PL ENG'!B:G,6, FALSE)</f>
        <v>4000984191301</v>
      </c>
      <c r="G818" s="8">
        <v>1</v>
      </c>
      <c r="H818" s="9">
        <f>VLOOKUP(A818,[1]pricing!A:M,5,FALSE)</f>
        <v>25.09</v>
      </c>
      <c r="I818" s="10">
        <f>VLOOKUP(A818,[1]pricing!A:M,6,FALSE)</f>
        <v>30</v>
      </c>
    </row>
    <row r="819" spans="1:11" s="17" customFormat="1" ht="15" customHeight="1">
      <c r="A819" s="6">
        <v>2000023229</v>
      </c>
      <c r="B819" s="7" t="s">
        <v>194</v>
      </c>
      <c r="C819" s="7" t="str">
        <f>VLOOKUP(A819,[1]Translation!A:F,4,FALSE)</f>
        <v>Verdeck für Prambody</v>
      </c>
      <c r="D819" s="18" t="s">
        <v>11</v>
      </c>
      <c r="E819" s="8" t="s">
        <v>10</v>
      </c>
      <c r="F819" s="8">
        <f>VLOOKUP(A819,'[1]PL ENG'!B:G,6, FALSE)</f>
        <v>4000984141986</v>
      </c>
      <c r="G819" s="8">
        <v>1</v>
      </c>
      <c r="H819" s="9">
        <f>VLOOKUP(A819,[1]pricing!A:M,5,FALSE)</f>
        <v>54.48</v>
      </c>
      <c r="I819" s="10">
        <f>VLOOKUP(A819,[1]pricing!A:M,6,FALSE)</f>
        <v>65</v>
      </c>
    </row>
    <row r="820" spans="1:11" s="17" customFormat="1" ht="15" customHeight="1">
      <c r="A820" s="16">
        <v>2000029383</v>
      </c>
      <c r="B820" s="7" t="s">
        <v>194</v>
      </c>
      <c r="C820" s="7" t="str">
        <f>VLOOKUP(A820,[1]Translation!A:F,4,FALSE)</f>
        <v>Verdeck für Prambody</v>
      </c>
      <c r="D820" s="51" t="s">
        <v>196</v>
      </c>
      <c r="E820" s="8" t="s">
        <v>10</v>
      </c>
      <c r="F820" s="8">
        <f>VLOOKUP(A820,'[1]PL ENG'!B:G,6, FALSE)</f>
        <v>4000984191424</v>
      </c>
      <c r="G820" s="8">
        <v>1</v>
      </c>
      <c r="H820" s="9">
        <f>VLOOKUP(A820,[1]pricing!A:M,5,FALSE)</f>
        <v>54.48</v>
      </c>
      <c r="I820" s="10">
        <f>VLOOKUP(A820,[1]pricing!A:M,6,FALSE)</f>
        <v>65</v>
      </c>
    </row>
    <row r="821" spans="1:11" s="17" customFormat="1" ht="15" customHeight="1">
      <c r="A821" s="6">
        <v>2000023230</v>
      </c>
      <c r="B821" s="7" t="s">
        <v>194</v>
      </c>
      <c r="C821" s="7" t="str">
        <f>VLOOKUP(A821,[1]Translation!A:F,4,FALSE)</f>
        <v>Verdeck für Prambody</v>
      </c>
      <c r="D821" s="18" t="s">
        <v>156</v>
      </c>
      <c r="E821" s="8" t="s">
        <v>10</v>
      </c>
      <c r="F821" s="8">
        <f>VLOOKUP(A821,'[1]PL ENG'!B:G,6, FALSE)</f>
        <v>4000984141993</v>
      </c>
      <c r="G821" s="8">
        <v>1</v>
      </c>
      <c r="H821" s="9">
        <f>VLOOKUP(A821,[1]pricing!A:M,5,FALSE)</f>
        <v>54.48</v>
      </c>
      <c r="I821" s="10">
        <f>VLOOKUP(A821,[1]pricing!A:M,6,FALSE)</f>
        <v>65</v>
      </c>
    </row>
    <row r="822" spans="1:11" s="17" customFormat="1" ht="15" customHeight="1">
      <c r="A822" s="6">
        <v>2000023234</v>
      </c>
      <c r="B822" s="7" t="s">
        <v>194</v>
      </c>
      <c r="C822" s="7" t="str">
        <f>VLOOKUP(A822,[1]Translation!A:F,4,FALSE)</f>
        <v>Verdeck für Prambody</v>
      </c>
      <c r="D822" s="18" t="s">
        <v>92</v>
      </c>
      <c r="E822" s="8" t="s">
        <v>10</v>
      </c>
      <c r="F822" s="8">
        <f>VLOOKUP(A822,'[1]PL ENG'!B:G,6, FALSE)</f>
        <v>4000984142037</v>
      </c>
      <c r="G822" s="8">
        <v>1</v>
      </c>
      <c r="H822" s="9">
        <f>VLOOKUP(A822,[1]pricing!A:M,5,FALSE)</f>
        <v>54.48</v>
      </c>
      <c r="I822" s="10">
        <f>VLOOKUP(A822,[1]pricing!A:M,6,FALSE)</f>
        <v>65</v>
      </c>
    </row>
    <row r="823" spans="1:11" ht="15" customHeight="1">
      <c r="A823" s="16">
        <v>2000029384</v>
      </c>
      <c r="B823" s="7" t="s">
        <v>194</v>
      </c>
      <c r="C823" s="7" t="str">
        <f>VLOOKUP(A823,[1]Translation!A:F,4,FALSE)</f>
        <v>Verdeck für Prambody</v>
      </c>
      <c r="D823" s="51" t="s">
        <v>197</v>
      </c>
      <c r="E823" s="8" t="s">
        <v>10</v>
      </c>
      <c r="F823" s="8">
        <f>VLOOKUP(A823,'[1]PL ENG'!B:G,6, FALSE)</f>
        <v>4000984191431</v>
      </c>
      <c r="G823" s="8">
        <v>1</v>
      </c>
      <c r="H823" s="9">
        <f>VLOOKUP(A823,[1]pricing!A:M,5,FALSE)</f>
        <v>54.48</v>
      </c>
      <c r="I823" s="10">
        <f>VLOOKUP(A823,[1]pricing!A:M,6,FALSE)</f>
        <v>65</v>
      </c>
    </row>
    <row r="824" spans="1:11" ht="15" customHeight="1">
      <c r="A824" s="6">
        <v>2000023237</v>
      </c>
      <c r="B824" s="7" t="s">
        <v>194</v>
      </c>
      <c r="C824" s="7" t="str">
        <f>VLOOKUP(A824,[1]Translation!A:F,4,FALSE)</f>
        <v>Verdeck für Prambody</v>
      </c>
      <c r="D824" s="7" t="s">
        <v>175</v>
      </c>
      <c r="E824" s="8" t="s">
        <v>10</v>
      </c>
      <c r="F824" s="8">
        <f>VLOOKUP(A824,'[1]PL ENG'!B:G,6, FALSE)</f>
        <v>4000984142068</v>
      </c>
      <c r="G824" s="8">
        <v>1</v>
      </c>
      <c r="H824" s="9">
        <f>VLOOKUP(A824,[1]pricing!A:M,5,FALSE)</f>
        <v>62.55</v>
      </c>
      <c r="I824" s="10">
        <f>VLOOKUP(A824,[1]pricing!A:M,6,FALSE)</f>
        <v>75</v>
      </c>
    </row>
    <row r="825" spans="1:11" ht="15" customHeight="1">
      <c r="A825" s="6">
        <v>2000023240</v>
      </c>
      <c r="B825" s="7" t="s">
        <v>194</v>
      </c>
      <c r="C825" s="7" t="str">
        <f>VLOOKUP(A825,[1]Translation!A:F,4,FALSE)</f>
        <v>Verdeck für Prambody</v>
      </c>
      <c r="D825" s="7" t="s">
        <v>160</v>
      </c>
      <c r="E825" s="8" t="s">
        <v>10</v>
      </c>
      <c r="F825" s="8">
        <f>VLOOKUP(A825,'[1]PL ENG'!B:G,6, FALSE)</f>
        <v>4000984142099</v>
      </c>
      <c r="G825" s="8">
        <v>1</v>
      </c>
      <c r="H825" s="9">
        <f>VLOOKUP(A825,[1]pricing!A:M,5,FALSE)</f>
        <v>62.55</v>
      </c>
      <c r="I825" s="10">
        <f>VLOOKUP(A825,[1]pricing!A:M,6,FALSE)</f>
        <v>75</v>
      </c>
    </row>
    <row r="826" spans="1:11" ht="15" customHeight="1">
      <c r="A826" s="16">
        <v>2000029382</v>
      </c>
      <c r="B826" s="7" t="s">
        <v>194</v>
      </c>
      <c r="C826" s="7" t="str">
        <f>VLOOKUP(A826,[1]Translation!A:F,4,FALSE)</f>
        <v>Verdeck für Prambody</v>
      </c>
      <c r="D826" s="48" t="s">
        <v>180</v>
      </c>
      <c r="E826" s="8" t="s">
        <v>10</v>
      </c>
      <c r="F826" s="8">
        <f>VLOOKUP(A826,'[1]PL ENG'!B:G,6, FALSE)</f>
        <v>4000984191417</v>
      </c>
      <c r="G826" s="8">
        <v>1</v>
      </c>
      <c r="H826" s="9">
        <f>VLOOKUP(A826,[1]pricing!A:M,5,FALSE)</f>
        <v>62.55</v>
      </c>
      <c r="I826" s="10">
        <f>VLOOKUP(A826,[1]pricing!A:M,6,FALSE)</f>
        <v>75</v>
      </c>
    </row>
    <row r="827" spans="1:11" ht="15" customHeight="1">
      <c r="A827" s="16">
        <v>2000029381</v>
      </c>
      <c r="B827" s="7" t="s">
        <v>194</v>
      </c>
      <c r="C827" s="7" t="str">
        <f>VLOOKUP(A827,[1]Translation!A:F,4,FALSE)</f>
        <v>Verdeck für Prambody</v>
      </c>
      <c r="D827" s="48" t="s">
        <v>179</v>
      </c>
      <c r="E827" s="8" t="s">
        <v>10</v>
      </c>
      <c r="F827" s="8">
        <f>VLOOKUP(A827,'[1]PL ENG'!B:G,6, FALSE)</f>
        <v>4000984191400</v>
      </c>
      <c r="G827" s="8">
        <v>1</v>
      </c>
      <c r="H827" s="9">
        <f>VLOOKUP(A827,[1]pricing!A:M,5,FALSE)</f>
        <v>62.55</v>
      </c>
      <c r="I827" s="10">
        <f>VLOOKUP(A827,[1]pricing!A:M,6,FALSE)</f>
        <v>75</v>
      </c>
    </row>
    <row r="828" spans="1:11" s="17" customFormat="1" ht="15" customHeight="1">
      <c r="A828" s="16">
        <v>2000029380</v>
      </c>
      <c r="B828" s="7" t="s">
        <v>194</v>
      </c>
      <c r="C828" s="7" t="str">
        <f>VLOOKUP(A828,[1]Translation!A:F,4,FALSE)</f>
        <v>Verdeck für Prambody</v>
      </c>
      <c r="D828" s="48" t="s">
        <v>181</v>
      </c>
      <c r="E828" s="8" t="s">
        <v>10</v>
      </c>
      <c r="F828" s="8">
        <f>VLOOKUP(A828,'[1]PL ENG'!B:G,6, FALSE)</f>
        <v>4000984191394</v>
      </c>
      <c r="G828" s="8">
        <v>1</v>
      </c>
      <c r="H828" s="9">
        <f>VLOOKUP(A828,[1]pricing!A:M,5,FALSE)</f>
        <v>62.55</v>
      </c>
      <c r="I828" s="10">
        <f>VLOOKUP(A828,[1]pricing!A:M,6,FALSE)</f>
        <v>75</v>
      </c>
    </row>
    <row r="829" spans="1:11" s="17" customFormat="1" ht="15" customHeight="1">
      <c r="A829" s="16">
        <v>2000012137</v>
      </c>
      <c r="B829" s="7" t="s">
        <v>194</v>
      </c>
      <c r="C829" s="7" t="str">
        <f>VLOOKUP(A829,[1]Translation!A:F,4,FALSE)</f>
        <v>Adapter für Prambody</v>
      </c>
      <c r="D829" s="18"/>
      <c r="E829" s="8" t="s">
        <v>10</v>
      </c>
      <c r="F829" s="8">
        <f>VLOOKUP(A829,'[1]PL ENG'!B:G,6, FALSE)</f>
        <v>4000984114287</v>
      </c>
      <c r="G829" s="14">
        <v>1</v>
      </c>
      <c r="H829" s="9">
        <f>VLOOKUP(A829,[1]pricing!A:M,5,FALSE)</f>
        <v>38.44</v>
      </c>
      <c r="I829" s="10">
        <f>VLOOKUP(A829,[1]pricing!A:M,6,FALSE)</f>
        <v>50</v>
      </c>
    </row>
    <row r="830" spans="1:11" ht="15" customHeight="1">
      <c r="A830" s="16">
        <v>2000021640</v>
      </c>
      <c r="B830" s="7" t="s">
        <v>194</v>
      </c>
      <c r="C830" s="7" t="str">
        <f>VLOOKUP(A830,[1]Translation!A:F,4,FALSE)</f>
        <v>Matratze für Prambody</v>
      </c>
      <c r="D830" s="18"/>
      <c r="E830" s="8" t="s">
        <v>10</v>
      </c>
      <c r="F830" s="8">
        <f>VLOOKUP(A830,'[1]PL ENG'!B:G,6, FALSE)</f>
        <v>4000984116847</v>
      </c>
      <c r="G830" s="14">
        <v>1</v>
      </c>
      <c r="H830" s="9">
        <f>VLOOKUP(A830,[1]pricing!A:M,5,FALSE)</f>
        <v>20</v>
      </c>
      <c r="I830" s="10">
        <f>VLOOKUP(A830,[1]pricing!A:M,6,FALSE)</f>
        <v>25</v>
      </c>
    </row>
    <row r="831" spans="1:11" s="17" customFormat="1" ht="15" customHeight="1">
      <c r="A831" s="16">
        <v>2000029373</v>
      </c>
      <c r="B831" s="7" t="s">
        <v>194</v>
      </c>
      <c r="C831" s="7" t="str">
        <f>VLOOKUP(A831,[1]Translation!A:F,4,FALSE)</f>
        <v>Matratze für Prambody COVER JERSEY</v>
      </c>
      <c r="D831" s="18"/>
      <c r="E831" s="8" t="s">
        <v>10</v>
      </c>
      <c r="F831" s="8">
        <f>VLOOKUP(A831,'[1]PL ENG'!B:G,6, FALSE)</f>
        <v>4000984191325</v>
      </c>
      <c r="G831" s="14">
        <v>1</v>
      </c>
      <c r="H831" s="9">
        <f>VLOOKUP(A831,[1]pricing!A:M,5,FALSE)</f>
        <v>16.809999999999999</v>
      </c>
      <c r="I831" s="10">
        <f>VLOOKUP(A831,[1]pricing!A:M,6,FALSE)</f>
        <v>20</v>
      </c>
    </row>
    <row r="832" spans="1:11" s="17" customFormat="1" ht="15" customHeight="1">
      <c r="A832" s="16">
        <v>2000029976</v>
      </c>
      <c r="B832" s="18" t="s">
        <v>199</v>
      </c>
      <c r="C832" s="7" t="str">
        <f>VLOOKUP(A832,[1]Translation!A:F,4,FALSE)</f>
        <v>Griff Black, Lever Grey, Leather Look Black</v>
      </c>
      <c r="D832" s="18" t="s">
        <v>200</v>
      </c>
      <c r="E832" s="14" t="s">
        <v>43</v>
      </c>
      <c r="F832" s="8">
        <f>VLOOKUP(A832,'[1]PL ENG'!B:G,6, FALSE)</f>
        <v>4000984193954</v>
      </c>
      <c r="G832" s="14">
        <v>1</v>
      </c>
      <c r="H832" s="9">
        <f>VLOOKUP(A832,[1]pricing!A:M,5,FALSE)</f>
        <v>79.83</v>
      </c>
      <c r="I832" s="10">
        <f>VLOOKUP(A832,[1]pricing!A:M,6,FALSE)</f>
        <v>95</v>
      </c>
      <c r="K832" s="17" t="s">
        <v>201</v>
      </c>
    </row>
    <row r="833" spans="1:11" s="17" customFormat="1" ht="15" customHeight="1">
      <c r="A833" s="16">
        <v>93066</v>
      </c>
      <c r="B833" s="18" t="s">
        <v>199</v>
      </c>
      <c r="C833" s="7" t="str">
        <f>VLOOKUP(A833,[1]Translation!A:F,4,FALSE)</f>
        <v>Griff Silver - Leatherlook Black</v>
      </c>
      <c r="D833" s="18" t="s">
        <v>202</v>
      </c>
      <c r="E833" s="14" t="s">
        <v>43</v>
      </c>
      <c r="F833" s="8">
        <f>VLOOKUP(A833,'[1]PL ENG'!B:G,6, FALSE)</f>
        <v>4260383013066</v>
      </c>
      <c r="G833" s="14">
        <v>1</v>
      </c>
      <c r="H833" s="9">
        <f>VLOOKUP(A833,[1]pricing!A:M,5,FALSE)</f>
        <v>79.83</v>
      </c>
      <c r="I833" s="10">
        <f>VLOOKUP(A833,[1]pricing!A:M,6,FALSE)</f>
        <v>95</v>
      </c>
      <c r="K833" s="17" t="s">
        <v>201</v>
      </c>
    </row>
    <row r="834" spans="1:11" s="17" customFormat="1" ht="15" customHeight="1">
      <c r="A834" s="16">
        <v>93073</v>
      </c>
      <c r="B834" s="18" t="s">
        <v>199</v>
      </c>
      <c r="C834" s="7" t="str">
        <f>VLOOKUP(A834,[1]Translation!A:F,4,FALSE)</f>
        <v>Griff Silver, Lever Grey, Leather Look Cognac</v>
      </c>
      <c r="D834" s="18" t="s">
        <v>203</v>
      </c>
      <c r="E834" s="14" t="s">
        <v>43</v>
      </c>
      <c r="F834" s="8">
        <f>VLOOKUP(A834,'[1]PL ENG'!B:G,6, FALSE)</f>
        <v>4000984191516</v>
      </c>
      <c r="G834" s="14">
        <v>1</v>
      </c>
      <c r="H834" s="9">
        <f>VLOOKUP(A834,[1]pricing!A:M,5,FALSE)</f>
        <v>79.83</v>
      </c>
      <c r="I834" s="10">
        <f>VLOOKUP(A834,[1]pricing!A:M,6,FALSE)</f>
        <v>95</v>
      </c>
      <c r="K834" s="17" t="s">
        <v>201</v>
      </c>
    </row>
    <row r="835" spans="1:11" s="17" customFormat="1" ht="15" customHeight="1">
      <c r="A835" s="16">
        <v>93134</v>
      </c>
      <c r="B835" s="18" t="s">
        <v>199</v>
      </c>
      <c r="C835" s="7" t="str">
        <f>VLOOKUP(A835,[1]Translation!A:F,4,FALSE)</f>
        <v>Griff Copper - Leatherlook Black</v>
      </c>
      <c r="D835" s="18" t="s">
        <v>204</v>
      </c>
      <c r="E835" s="14" t="s">
        <v>43</v>
      </c>
      <c r="F835" s="8">
        <f>VLOOKUP(A835,'[1]PL ENG'!B:G,6, FALSE)</f>
        <v>4260383013134</v>
      </c>
      <c r="G835" s="14">
        <v>1</v>
      </c>
      <c r="H835" s="9">
        <f>VLOOKUP(A835,[1]pricing!A:M,5,FALSE)</f>
        <v>79.83</v>
      </c>
      <c r="I835" s="10">
        <f>VLOOKUP(A835,[1]pricing!A:M,6,FALSE)</f>
        <v>95</v>
      </c>
      <c r="K835" s="17" t="s">
        <v>201</v>
      </c>
    </row>
    <row r="836" spans="1:11" s="17" customFormat="1" ht="15" customHeight="1">
      <c r="A836" s="16">
        <v>2000029987</v>
      </c>
      <c r="B836" s="18" t="s">
        <v>199</v>
      </c>
      <c r="C836" s="7" t="str">
        <f>VLOOKUP(A836,[1]Translation!A:F,4,FALSE)</f>
        <v>Hinterräder Set</v>
      </c>
      <c r="D836" s="18" t="s">
        <v>205</v>
      </c>
      <c r="E836" s="14" t="s">
        <v>43</v>
      </c>
      <c r="F836" s="8">
        <f>VLOOKUP(A836,'[1]PL ENG'!B:G,6, FALSE)</f>
        <v>4000984194333</v>
      </c>
      <c r="G836" s="14">
        <v>1</v>
      </c>
      <c r="H836" s="9">
        <f>VLOOKUP(A836,[1]pricing!A:M,5,FALSE)</f>
        <v>79.2</v>
      </c>
      <c r="I836" s="10">
        <f>VLOOKUP(A836,[1]pricing!A:M,6,FALSE)</f>
        <v>95</v>
      </c>
      <c r="K836" s="17" t="s">
        <v>201</v>
      </c>
    </row>
    <row r="837" spans="1:11" s="17" customFormat="1" ht="15" customHeight="1">
      <c r="A837" s="16">
        <v>2000029988</v>
      </c>
      <c r="B837" s="18" t="s">
        <v>199</v>
      </c>
      <c r="C837" s="7" t="str">
        <f>VLOOKUP(A837,[1]Translation!A:F,4,FALSE)</f>
        <v>Hinterräder Set</v>
      </c>
      <c r="D837" s="18" t="s">
        <v>206</v>
      </c>
      <c r="E837" s="14" t="s">
        <v>43</v>
      </c>
      <c r="F837" s="8">
        <f>VLOOKUP(A837,'[1]PL ENG'!B:G,6, FALSE)</f>
        <v>4000984194340</v>
      </c>
      <c r="G837" s="14">
        <v>1</v>
      </c>
      <c r="H837" s="9">
        <f>VLOOKUP(A837,[1]pricing!A:M,5,FALSE)</f>
        <v>79.2</v>
      </c>
      <c r="I837" s="10">
        <f>VLOOKUP(A837,[1]pricing!A:M,6,FALSE)</f>
        <v>95</v>
      </c>
      <c r="K837" s="17" t="s">
        <v>201</v>
      </c>
    </row>
    <row r="838" spans="1:11" s="17" customFormat="1" ht="15" customHeight="1">
      <c r="A838" s="16">
        <v>2000029989</v>
      </c>
      <c r="B838" s="18" t="s">
        <v>199</v>
      </c>
      <c r="C838" s="7" t="str">
        <f>VLOOKUP(A838,[1]Translation!A:F,4,FALSE)</f>
        <v xml:space="preserve">Vorderräder Set </v>
      </c>
      <c r="D838" s="18" t="s">
        <v>205</v>
      </c>
      <c r="E838" s="14" t="s">
        <v>43</v>
      </c>
      <c r="F838" s="8">
        <f>VLOOKUP(A838,'[1]PL ENG'!B:G,6, FALSE)</f>
        <v>4000984194357</v>
      </c>
      <c r="G838" s="14">
        <v>1</v>
      </c>
      <c r="H838" s="9">
        <f>VLOOKUP(A838,[1]pricing!A:M,5,FALSE)</f>
        <v>62.7</v>
      </c>
      <c r="I838" s="10">
        <f>VLOOKUP(A838,[1]pricing!A:M,6,FALSE)</f>
        <v>75</v>
      </c>
      <c r="K838" s="17" t="s">
        <v>201</v>
      </c>
    </row>
    <row r="839" spans="1:11" s="17" customFormat="1" ht="15" customHeight="1">
      <c r="A839" s="16">
        <v>2000029990</v>
      </c>
      <c r="B839" s="18" t="s">
        <v>199</v>
      </c>
      <c r="C839" s="7" t="str">
        <f>VLOOKUP(A839,[1]Translation!A:F,4,FALSE)</f>
        <v xml:space="preserve">Vorderräder Set </v>
      </c>
      <c r="D839" s="18" t="s">
        <v>206</v>
      </c>
      <c r="E839" s="14" t="s">
        <v>43</v>
      </c>
      <c r="F839" s="8">
        <f>VLOOKUP(A839,'[1]PL ENG'!B:G,6, FALSE)</f>
        <v>4000984194364</v>
      </c>
      <c r="G839" s="14">
        <v>1</v>
      </c>
      <c r="H839" s="9">
        <f>VLOOKUP(A839,[1]pricing!A:M,5,FALSE)</f>
        <v>62.7</v>
      </c>
      <c r="I839" s="10">
        <f>VLOOKUP(A839,[1]pricing!A:M,6,FALSE)</f>
        <v>75</v>
      </c>
      <c r="K839" s="17" t="s">
        <v>201</v>
      </c>
    </row>
    <row r="840" spans="1:11" s="17" customFormat="1" ht="15" customHeight="1">
      <c r="A840" s="16">
        <v>2000009455</v>
      </c>
      <c r="B840" s="7" t="s">
        <v>207</v>
      </c>
      <c r="C840" s="7" t="str">
        <f>VLOOKUP(A840,[1]Translation!A:F,4,FALSE)</f>
        <v xml:space="preserve">Verdeck </v>
      </c>
      <c r="D840" s="7" t="s">
        <v>24</v>
      </c>
      <c r="E840" s="14" t="s">
        <v>43</v>
      </c>
      <c r="F840" s="8">
        <f>VLOOKUP(A840,'[1]PL ENG'!B:G,6, FALSE)</f>
        <v>4000984103915</v>
      </c>
      <c r="G840" s="14">
        <v>1</v>
      </c>
      <c r="H840" s="9">
        <f>VLOOKUP(A840,[1]pricing!A:M,5,FALSE)</f>
        <v>39.770000000000003</v>
      </c>
      <c r="I840" s="10">
        <f>VLOOKUP(A840,[1]pricing!A:M,6,FALSE)</f>
        <v>47</v>
      </c>
    </row>
    <row r="841" spans="1:11" s="17" customFormat="1" ht="15" customHeight="1">
      <c r="A841" s="16">
        <v>2000009456</v>
      </c>
      <c r="B841" s="7" t="s">
        <v>207</v>
      </c>
      <c r="C841" s="7" t="str">
        <f>VLOOKUP(A841,[1]Translation!A:F,4,FALSE)</f>
        <v xml:space="preserve">Verdeck </v>
      </c>
      <c r="D841" s="7" t="s">
        <v>208</v>
      </c>
      <c r="E841" s="14" t="s">
        <v>43</v>
      </c>
      <c r="F841" s="8">
        <f>VLOOKUP(A841,'[1]PL ENG'!B:G,6, FALSE)</f>
        <v>4000984103908</v>
      </c>
      <c r="G841" s="14">
        <v>1</v>
      </c>
      <c r="H841" s="9">
        <f>VLOOKUP(A841,[1]pricing!A:M,5,FALSE)</f>
        <v>39.770000000000003</v>
      </c>
      <c r="I841" s="10">
        <f>VLOOKUP(A841,[1]pricing!A:M,6,FALSE)</f>
        <v>47</v>
      </c>
    </row>
    <row r="842" spans="1:11" s="17" customFormat="1" ht="15" customHeight="1">
      <c r="A842" s="6">
        <v>2000009462</v>
      </c>
      <c r="B842" s="7" t="s">
        <v>207</v>
      </c>
      <c r="C842" s="7" t="str">
        <f>VLOOKUP(A842,[1]Translation!A:F,4,FALSE)</f>
        <v xml:space="preserve">Korb </v>
      </c>
      <c r="D842" s="7" t="s">
        <v>24</v>
      </c>
      <c r="E842" s="14" t="s">
        <v>43</v>
      </c>
      <c r="F842" s="8">
        <f>VLOOKUP(A842,'[1]PL ENG'!B:G,6, FALSE)</f>
        <v>4000984103847</v>
      </c>
      <c r="G842" s="14">
        <v>1</v>
      </c>
      <c r="H842" s="9">
        <f>VLOOKUP(A842,[1]pricing!A:M,5,FALSE)</f>
        <v>31.22</v>
      </c>
      <c r="I842" s="10">
        <f>VLOOKUP(A842,[1]pricing!A:M,6,FALSE)</f>
        <v>37</v>
      </c>
    </row>
    <row r="843" spans="1:11" s="17" customFormat="1" ht="15" customHeight="1">
      <c r="A843" s="6">
        <v>2000009463</v>
      </c>
      <c r="B843" s="7" t="s">
        <v>207</v>
      </c>
      <c r="C843" s="7" t="str">
        <f>VLOOKUP(A843,[1]Translation!A:F,4,FALSE)</f>
        <v xml:space="preserve">Korb </v>
      </c>
      <c r="D843" s="7" t="s">
        <v>208</v>
      </c>
      <c r="E843" s="14" t="s">
        <v>43</v>
      </c>
      <c r="F843" s="8">
        <f>VLOOKUP(A843,'[1]PL ENG'!B:G,6, FALSE)</f>
        <v>4000984103830</v>
      </c>
      <c r="G843" s="14">
        <v>1</v>
      </c>
      <c r="H843" s="9">
        <f>VLOOKUP(A843,[1]pricing!A:M,5,FALSE)</f>
        <v>31.22</v>
      </c>
      <c r="I843" s="10">
        <f>VLOOKUP(A843,[1]pricing!A:M,6,FALSE)</f>
        <v>37</v>
      </c>
    </row>
    <row r="844" spans="1:11" s="17" customFormat="1" ht="15" customHeight="1">
      <c r="A844" s="6">
        <v>2000009445</v>
      </c>
      <c r="B844" s="7" t="s">
        <v>207</v>
      </c>
      <c r="C844" s="7" t="str">
        <f>VLOOKUP(A844,[1]Translation!A:F,4,FALSE)</f>
        <v>Reifen Set (3 Stück)</v>
      </c>
      <c r="D844" s="7"/>
      <c r="E844" s="14" t="s">
        <v>10</v>
      </c>
      <c r="F844" s="8">
        <f>VLOOKUP(A844,'[1]PL ENG'!B:G,6, FALSE)</f>
        <v>4000984105483</v>
      </c>
      <c r="G844" s="14">
        <v>1</v>
      </c>
      <c r="H844" s="9">
        <f>VLOOKUP(A844,[1]pricing!A:M,5,FALSE)</f>
        <v>19.829999999999998</v>
      </c>
      <c r="I844" s="10">
        <f>VLOOKUP(A844,[1]pricing!A:M,6,FALSE)</f>
        <v>25</v>
      </c>
    </row>
    <row r="845" spans="1:11" s="17" customFormat="1" ht="15" customHeight="1">
      <c r="A845" s="6">
        <v>2000009449</v>
      </c>
      <c r="B845" s="7" t="s">
        <v>207</v>
      </c>
      <c r="C845" s="7" t="str">
        <f>VLOOKUP(A845,[1]Translation!A:F,4,FALSE)</f>
        <v>Schlauch Set (3 Stück)</v>
      </c>
      <c r="D845" s="7"/>
      <c r="E845" s="14" t="s">
        <v>10</v>
      </c>
      <c r="F845" s="8">
        <f>VLOOKUP(A845,'[1]PL ENG'!B:G,6, FALSE)</f>
        <v>4000984103977</v>
      </c>
      <c r="G845" s="14">
        <v>1</v>
      </c>
      <c r="H845" s="9">
        <f>VLOOKUP(A845,[1]pricing!A:M,5,FALSE)</f>
        <v>11.29</v>
      </c>
      <c r="I845" s="10">
        <f>VLOOKUP(A845,[1]pricing!A:M,6,FALSE)</f>
        <v>15</v>
      </c>
    </row>
    <row r="846" spans="1:11" s="17" customFormat="1" ht="15" customHeight="1">
      <c r="A846" s="6">
        <v>2000009467</v>
      </c>
      <c r="B846" s="7" t="s">
        <v>207</v>
      </c>
      <c r="C846" s="7" t="str">
        <f>VLOOKUP(A846,[1]Translation!A:F,4,FALSE)</f>
        <v xml:space="preserve">Schnellverschluss-Schraube </v>
      </c>
      <c r="D846" s="7"/>
      <c r="E846" s="14" t="s">
        <v>43</v>
      </c>
      <c r="F846" s="8">
        <f>VLOOKUP(A846,'[1]PL ENG'!B:G,6, FALSE)</f>
        <v>4000984103793</v>
      </c>
      <c r="G846" s="14">
        <v>1</v>
      </c>
      <c r="H846" s="9">
        <f>VLOOKUP(A846,[1]pricing!A:M,5,FALSE)</f>
        <v>6.61</v>
      </c>
      <c r="I846" s="10">
        <f>VLOOKUP(A846,[1]pricing!A:M,6,FALSE)</f>
        <v>8</v>
      </c>
    </row>
    <row r="847" spans="1:11" s="17" customFormat="1" ht="15" customHeight="1">
      <c r="A847" s="6">
        <v>2000010182</v>
      </c>
      <c r="B847" s="7" t="s">
        <v>207</v>
      </c>
      <c r="C847" s="7" t="str">
        <f>VLOOKUP(A847,[1]Translation!A:F,4,FALSE)</f>
        <v>Vorderrad</v>
      </c>
      <c r="D847" s="7"/>
      <c r="E847" s="8" t="s">
        <v>10</v>
      </c>
      <c r="F847" s="8">
        <f>VLOOKUP(A847,'[1]PL ENG'!B:G,6, FALSE)</f>
        <v>4000984107319</v>
      </c>
      <c r="G847" s="14">
        <v>1</v>
      </c>
      <c r="H847" s="9">
        <f>VLOOKUP(A847,[1]pricing!A:M,5,FALSE)</f>
        <v>29.22</v>
      </c>
      <c r="I847" s="10">
        <f>VLOOKUP(A847,[1]pricing!A:M,6,FALSE)</f>
        <v>35</v>
      </c>
    </row>
    <row r="848" spans="1:11" s="17" customFormat="1" ht="15" customHeight="1">
      <c r="A848" s="6">
        <v>2000010186</v>
      </c>
      <c r="B848" s="7" t="s">
        <v>207</v>
      </c>
      <c r="C848" s="7" t="str">
        <f>VLOOKUP(A848,[1]Translation!A:F,4,FALSE)</f>
        <v>Hinterräder</v>
      </c>
      <c r="D848" s="7"/>
      <c r="E848" s="8" t="s">
        <v>10</v>
      </c>
      <c r="F848" s="8">
        <f>VLOOKUP(A848,'[1]PL ENG'!B:G,6, FALSE)</f>
        <v>4000984107357</v>
      </c>
      <c r="G848" s="14">
        <v>1</v>
      </c>
      <c r="H848" s="9">
        <f>VLOOKUP(A848,[1]pricing!A:M,5,FALSE)</f>
        <v>65.5</v>
      </c>
      <c r="I848" s="10">
        <f>VLOOKUP(A848,[1]pricing!A:M,6,FALSE)</f>
        <v>80</v>
      </c>
    </row>
    <row r="849" spans="1:9" s="17" customFormat="1" ht="15" customHeight="1">
      <c r="A849" s="6">
        <v>2000010360</v>
      </c>
      <c r="B849" s="7" t="s">
        <v>207</v>
      </c>
      <c r="C849" s="7" t="str">
        <f>VLOOKUP(A849,[1]Translation!A:F,4,FALSE)</f>
        <v>Schlauch</v>
      </c>
      <c r="D849" s="7"/>
      <c r="E849" s="8" t="s">
        <v>10</v>
      </c>
      <c r="F849" s="8">
        <f>VLOOKUP(A849,'[1]PL ENG'!B:G,6, FALSE)</f>
        <v>4000984108064</v>
      </c>
      <c r="G849" s="14">
        <v>1</v>
      </c>
      <c r="H849" s="9">
        <f>VLOOKUP(A849,[1]pricing!A:M,5,FALSE)</f>
        <v>8.44</v>
      </c>
      <c r="I849" s="10">
        <f>VLOOKUP(A849,[1]pricing!A:M,6,FALSE)</f>
        <v>15</v>
      </c>
    </row>
    <row r="850" spans="1:9" s="17" customFormat="1" ht="15" customHeight="1">
      <c r="A850" s="6">
        <v>2000009444</v>
      </c>
      <c r="B850" s="7" t="s">
        <v>209</v>
      </c>
      <c r="C850" s="7" t="str">
        <f>VLOOKUP(A850,[1]Translation!A:F,4,FALSE)</f>
        <v>Reifen Set (3 Stück)</v>
      </c>
      <c r="D850" s="7"/>
      <c r="E850" s="8" t="s">
        <v>10</v>
      </c>
      <c r="F850" s="8">
        <f>VLOOKUP(A850,'[1]PL ENG'!B:G,6, FALSE)</f>
        <v>4000984105490</v>
      </c>
      <c r="G850" s="14">
        <v>1</v>
      </c>
      <c r="H850" s="9">
        <f>VLOOKUP(A850,[1]pricing!A:M,5,FALSE)</f>
        <v>21.39</v>
      </c>
      <c r="I850" s="10">
        <f>VLOOKUP(A850,[1]pricing!A:M,6,FALSE)</f>
        <v>30</v>
      </c>
    </row>
    <row r="851" spans="1:9" s="17" customFormat="1" ht="15" customHeight="1">
      <c r="A851" s="6">
        <v>2000009448</v>
      </c>
      <c r="B851" s="7" t="s">
        <v>209</v>
      </c>
      <c r="C851" s="7" t="str">
        <f>VLOOKUP(A851,[1]Translation!A:F,4,FALSE)</f>
        <v>Schlauch Set (3 Stück)</v>
      </c>
      <c r="D851" s="7"/>
      <c r="E851" s="8" t="s">
        <v>10</v>
      </c>
      <c r="F851" s="8">
        <f>VLOOKUP(A851,'[1]PL ENG'!B:G,6, FALSE)</f>
        <v>4000984103984</v>
      </c>
      <c r="G851" s="14">
        <v>1</v>
      </c>
      <c r="H851" s="9">
        <f>VLOOKUP(A851,[1]pricing!A:M,5,FALSE)</f>
        <v>12.44</v>
      </c>
      <c r="I851" s="10">
        <f>VLOOKUP(A851,[1]pricing!A:M,6,FALSE)</f>
        <v>15</v>
      </c>
    </row>
    <row r="852" spans="1:9" s="17" customFormat="1" ht="15" customHeight="1">
      <c r="A852" s="6">
        <v>2000009453</v>
      </c>
      <c r="B852" s="7" t="s">
        <v>209</v>
      </c>
      <c r="C852" s="7" t="str">
        <f>VLOOKUP(A852,[1]Translation!A:F,4,FALSE)</f>
        <v xml:space="preserve">Verdeck </v>
      </c>
      <c r="D852" s="7" t="s">
        <v>210</v>
      </c>
      <c r="E852" s="8" t="s">
        <v>43</v>
      </c>
      <c r="F852" s="8">
        <f>VLOOKUP(A852,'[1]PL ENG'!B:G,6, FALSE)</f>
        <v>4000984103939</v>
      </c>
      <c r="G852" s="14">
        <v>1</v>
      </c>
      <c r="H852" s="9">
        <f>VLOOKUP(A852,[1]pricing!A:M,5,FALSE)</f>
        <v>39.770000000000003</v>
      </c>
      <c r="I852" s="10">
        <f>VLOOKUP(A852,[1]pricing!A:M,6,FALSE)</f>
        <v>47</v>
      </c>
    </row>
    <row r="853" spans="1:9" s="17" customFormat="1" ht="15" customHeight="1">
      <c r="A853" s="6">
        <v>2000009454</v>
      </c>
      <c r="B853" s="7" t="s">
        <v>209</v>
      </c>
      <c r="C853" s="7" t="str">
        <f>VLOOKUP(A853,[1]Translation!A:F,4,FALSE)</f>
        <v xml:space="preserve">Verdeck </v>
      </c>
      <c r="D853" s="7" t="s">
        <v>118</v>
      </c>
      <c r="E853" s="8" t="s">
        <v>43</v>
      </c>
      <c r="F853" s="8">
        <f>VLOOKUP(A853,'[1]PL ENG'!B:G,6, FALSE)</f>
        <v>4000984103922</v>
      </c>
      <c r="G853" s="14">
        <v>1</v>
      </c>
      <c r="H853" s="9">
        <f>VLOOKUP(A853,[1]pricing!A:M,5,FALSE)</f>
        <v>39.770000000000003</v>
      </c>
      <c r="I853" s="10">
        <f>VLOOKUP(A853,[1]pricing!A:M,6,FALSE)</f>
        <v>47</v>
      </c>
    </row>
    <row r="854" spans="1:9" s="17" customFormat="1" ht="15" customHeight="1">
      <c r="A854" s="6">
        <v>2000009455</v>
      </c>
      <c r="B854" s="7" t="s">
        <v>209</v>
      </c>
      <c r="C854" s="7" t="str">
        <f>VLOOKUP(A854,[1]Translation!A:F,4,FALSE)</f>
        <v xml:space="preserve">Verdeck </v>
      </c>
      <c r="D854" s="7" t="s">
        <v>24</v>
      </c>
      <c r="E854" s="8" t="s">
        <v>43</v>
      </c>
      <c r="F854" s="8">
        <f>VLOOKUP(A854,'[1]PL ENG'!B:G,6, FALSE)</f>
        <v>4000984103915</v>
      </c>
      <c r="G854" s="14">
        <v>1</v>
      </c>
      <c r="H854" s="9">
        <f>VLOOKUP(A854,[1]pricing!A:M,5,FALSE)</f>
        <v>39.770000000000003</v>
      </c>
      <c r="I854" s="10">
        <f>VLOOKUP(A854,[1]pricing!A:M,6,FALSE)</f>
        <v>47</v>
      </c>
    </row>
    <row r="855" spans="1:9" s="17" customFormat="1" ht="15" customHeight="1">
      <c r="A855" s="6">
        <v>2000009456</v>
      </c>
      <c r="B855" s="7" t="s">
        <v>209</v>
      </c>
      <c r="C855" s="7" t="str">
        <f>VLOOKUP(A855,[1]Translation!A:F,4,FALSE)</f>
        <v xml:space="preserve">Verdeck </v>
      </c>
      <c r="D855" s="7" t="s">
        <v>208</v>
      </c>
      <c r="E855" s="8" t="s">
        <v>43</v>
      </c>
      <c r="F855" s="8">
        <f>VLOOKUP(A855,'[1]PL ENG'!B:G,6, FALSE)</f>
        <v>4000984103908</v>
      </c>
      <c r="G855" s="14">
        <v>1</v>
      </c>
      <c r="H855" s="9">
        <f>VLOOKUP(A855,[1]pricing!A:M,5,FALSE)</f>
        <v>39.770000000000003</v>
      </c>
      <c r="I855" s="10">
        <f>VLOOKUP(A855,[1]pricing!A:M,6,FALSE)</f>
        <v>47</v>
      </c>
    </row>
    <row r="856" spans="1:9" s="17" customFormat="1" ht="15" customHeight="1">
      <c r="A856" s="6">
        <v>2000009452</v>
      </c>
      <c r="B856" s="7" t="s">
        <v>209</v>
      </c>
      <c r="C856" s="7" t="str">
        <f>VLOOKUP(A856,[1]Translation!A:F,4,FALSE)</f>
        <v xml:space="preserve">Verdeck </v>
      </c>
      <c r="D856" s="7" t="s">
        <v>117</v>
      </c>
      <c r="E856" s="8" t="s">
        <v>43</v>
      </c>
      <c r="F856" s="8">
        <f>VLOOKUP(A856,'[1]PL ENG'!B:G,6, FALSE)</f>
        <v>4000984103946</v>
      </c>
      <c r="G856" s="14">
        <v>1</v>
      </c>
      <c r="H856" s="9">
        <f>VLOOKUP(A856,[1]pricing!A:M,5,FALSE)</f>
        <v>39.770000000000003</v>
      </c>
      <c r="I856" s="10">
        <f>VLOOKUP(A856,[1]pricing!A:M,6,FALSE)</f>
        <v>47</v>
      </c>
    </row>
    <row r="857" spans="1:9" s="17" customFormat="1" ht="15" customHeight="1">
      <c r="A857" s="6">
        <v>2000009460</v>
      </c>
      <c r="B857" s="7" t="s">
        <v>209</v>
      </c>
      <c r="C857" s="7" t="str">
        <f>VLOOKUP(A857,[1]Translation!A:F,4,FALSE)</f>
        <v xml:space="preserve">Korb </v>
      </c>
      <c r="D857" s="7" t="s">
        <v>210</v>
      </c>
      <c r="E857" s="8" t="s">
        <v>43</v>
      </c>
      <c r="F857" s="8">
        <f>VLOOKUP(A857,'[1]PL ENG'!B:G,6, FALSE)</f>
        <v>4000984103861</v>
      </c>
      <c r="G857" s="14">
        <v>1</v>
      </c>
      <c r="H857" s="9">
        <f>VLOOKUP(A857,[1]pricing!A:M,5,FALSE)</f>
        <v>31.22</v>
      </c>
      <c r="I857" s="10">
        <f>VLOOKUP(A857,[1]pricing!A:M,6,FALSE)</f>
        <v>37</v>
      </c>
    </row>
    <row r="858" spans="1:9" s="17" customFormat="1" ht="15" customHeight="1">
      <c r="A858" s="6">
        <v>2000009462</v>
      </c>
      <c r="B858" s="7" t="s">
        <v>209</v>
      </c>
      <c r="C858" s="7" t="str">
        <f>VLOOKUP(A858,[1]Translation!A:F,4,FALSE)</f>
        <v xml:space="preserve">Korb </v>
      </c>
      <c r="D858" s="7" t="s">
        <v>24</v>
      </c>
      <c r="E858" s="8" t="s">
        <v>43</v>
      </c>
      <c r="F858" s="8">
        <f>VLOOKUP(A858,'[1]PL ENG'!B:G,6, FALSE)</f>
        <v>4000984103847</v>
      </c>
      <c r="G858" s="14">
        <v>1</v>
      </c>
      <c r="H858" s="9">
        <f>VLOOKUP(A858,[1]pricing!A:M,5,FALSE)</f>
        <v>31.22</v>
      </c>
      <c r="I858" s="10">
        <f>VLOOKUP(A858,[1]pricing!A:M,6,FALSE)</f>
        <v>37</v>
      </c>
    </row>
    <row r="859" spans="1:9" s="17" customFormat="1" ht="15" customHeight="1">
      <c r="A859" s="6">
        <v>2000009463</v>
      </c>
      <c r="B859" s="7" t="s">
        <v>209</v>
      </c>
      <c r="C859" s="7" t="str">
        <f>VLOOKUP(A859,[1]Translation!A:F,4,FALSE)</f>
        <v xml:space="preserve">Korb </v>
      </c>
      <c r="D859" s="7" t="s">
        <v>208</v>
      </c>
      <c r="E859" s="8" t="s">
        <v>43</v>
      </c>
      <c r="F859" s="8">
        <f>VLOOKUP(A859,'[1]PL ENG'!B:G,6, FALSE)</f>
        <v>4000984103830</v>
      </c>
      <c r="G859" s="14">
        <v>1</v>
      </c>
      <c r="H859" s="9">
        <f>VLOOKUP(A859,[1]pricing!A:M,5,FALSE)</f>
        <v>31.22</v>
      </c>
      <c r="I859" s="10">
        <f>VLOOKUP(A859,[1]pricing!A:M,6,FALSE)</f>
        <v>37</v>
      </c>
    </row>
    <row r="860" spans="1:9" s="17" customFormat="1" ht="15" customHeight="1">
      <c r="A860" s="6">
        <v>2000009459</v>
      </c>
      <c r="B860" s="7" t="s">
        <v>209</v>
      </c>
      <c r="C860" s="7" t="str">
        <f>VLOOKUP(A860,[1]Translation!A:F,4,FALSE)</f>
        <v xml:space="preserve">Korb </v>
      </c>
      <c r="D860" s="7" t="s">
        <v>117</v>
      </c>
      <c r="E860" s="8" t="s">
        <v>43</v>
      </c>
      <c r="F860" s="8">
        <f>VLOOKUP(A860,'[1]PL ENG'!B:G,6, FALSE)</f>
        <v>4000984103878</v>
      </c>
      <c r="G860" s="14">
        <v>1</v>
      </c>
      <c r="H860" s="9">
        <f>VLOOKUP(A860,[1]pricing!A:M,5,FALSE)</f>
        <v>31.22</v>
      </c>
      <c r="I860" s="10">
        <f>VLOOKUP(A860,[1]pricing!A:M,6,FALSE)</f>
        <v>37</v>
      </c>
    </row>
    <row r="861" spans="1:9" s="17" customFormat="1" ht="15" customHeight="1">
      <c r="A861" s="6">
        <v>2000009461</v>
      </c>
      <c r="B861" s="7" t="s">
        <v>209</v>
      </c>
      <c r="C861" s="7" t="str">
        <f>VLOOKUP(A861,[1]Translation!A:F,4,FALSE)</f>
        <v xml:space="preserve">Korb </v>
      </c>
      <c r="D861" s="7" t="s">
        <v>118</v>
      </c>
      <c r="E861" s="8" t="s">
        <v>43</v>
      </c>
      <c r="F861" s="8">
        <f>VLOOKUP(A861,'[1]PL ENG'!B:G,6, FALSE)</f>
        <v>4000984103854</v>
      </c>
      <c r="G861" s="14">
        <v>1</v>
      </c>
      <c r="H861" s="9">
        <f>VLOOKUP(A861,[1]pricing!A:M,5,FALSE)</f>
        <v>31.22</v>
      </c>
      <c r="I861" s="10">
        <f>VLOOKUP(A861,[1]pricing!A:M,6,FALSE)</f>
        <v>37</v>
      </c>
    </row>
    <row r="862" spans="1:9" s="17" customFormat="1" ht="15" customHeight="1">
      <c r="A862" s="6">
        <v>2000009467</v>
      </c>
      <c r="B862" s="7" t="s">
        <v>209</v>
      </c>
      <c r="C862" s="7" t="str">
        <f>VLOOKUP(A862,[1]Translation!A:F,4,FALSE)</f>
        <v xml:space="preserve">Schnellverschluss-Schraube </v>
      </c>
      <c r="D862" s="7"/>
      <c r="E862" s="8" t="s">
        <v>43</v>
      </c>
      <c r="F862" s="8">
        <f>VLOOKUP(A862,'[1]PL ENG'!B:G,6, FALSE)</f>
        <v>4000984103793</v>
      </c>
      <c r="G862" s="14">
        <v>1</v>
      </c>
      <c r="H862" s="9">
        <f>VLOOKUP(A862,[1]pricing!A:M,5,FALSE)</f>
        <v>6.61</v>
      </c>
      <c r="I862" s="10">
        <f>VLOOKUP(A862,[1]pricing!A:M,6,FALSE)</f>
        <v>8</v>
      </c>
    </row>
    <row r="863" spans="1:9" s="17" customFormat="1" ht="15" customHeight="1">
      <c r="A863" s="6">
        <v>2000010181</v>
      </c>
      <c r="B863" s="7" t="s">
        <v>209</v>
      </c>
      <c r="C863" s="7" t="str">
        <f>VLOOKUP(A863,[1]Translation!A:F,4,FALSE)</f>
        <v>Vorderrad</v>
      </c>
      <c r="D863" s="7"/>
      <c r="E863" s="8" t="s">
        <v>10</v>
      </c>
      <c r="F863" s="8">
        <f>VLOOKUP(A863,'[1]PL ENG'!B:G,6, FALSE)</f>
        <v>4000984107302</v>
      </c>
      <c r="G863" s="14">
        <v>1</v>
      </c>
      <c r="H863" s="9">
        <f>VLOOKUP(A863,[1]pricing!A:M,5,FALSE)</f>
        <v>29.22</v>
      </c>
      <c r="I863" s="10">
        <f>VLOOKUP(A863,[1]pricing!A:M,6,FALSE)</f>
        <v>35</v>
      </c>
    </row>
    <row r="864" spans="1:9" s="17" customFormat="1" ht="15" customHeight="1">
      <c r="A864" s="6">
        <v>2000010185</v>
      </c>
      <c r="B864" s="7" t="s">
        <v>209</v>
      </c>
      <c r="C864" s="7" t="str">
        <f>VLOOKUP(A864,[1]Translation!A:F,4,FALSE)</f>
        <v>Hinterräder</v>
      </c>
      <c r="D864" s="7"/>
      <c r="E864" s="8" t="s">
        <v>10</v>
      </c>
      <c r="F864" s="8">
        <f>VLOOKUP(A864,'[1]PL ENG'!B:G,6, FALSE)</f>
        <v>4000984107340</v>
      </c>
      <c r="G864" s="14">
        <v>1</v>
      </c>
      <c r="H864" s="9">
        <f>VLOOKUP(A864,[1]pricing!A:M,5,FALSE)</f>
        <v>54.82</v>
      </c>
      <c r="I864" s="10">
        <f>VLOOKUP(A864,[1]pricing!A:M,6,FALSE)</f>
        <v>70</v>
      </c>
    </row>
    <row r="865" spans="1:9" s="17" customFormat="1" ht="15" customHeight="1">
      <c r="A865" s="6">
        <v>2000010360</v>
      </c>
      <c r="B865" s="7" t="s">
        <v>209</v>
      </c>
      <c r="C865" s="7" t="str">
        <f>VLOOKUP(A865,[1]Translation!A:F,4,FALSE)</f>
        <v>Schlauch</v>
      </c>
      <c r="D865" s="7"/>
      <c r="E865" s="8" t="s">
        <v>10</v>
      </c>
      <c r="F865" s="8">
        <f>VLOOKUP(A865,'[1]PL ENG'!B:G,6, FALSE)</f>
        <v>4000984108064</v>
      </c>
      <c r="G865" s="14">
        <v>1</v>
      </c>
      <c r="H865" s="9">
        <f>VLOOKUP(A865,[1]pricing!A:M,5,FALSE)</f>
        <v>8.44</v>
      </c>
      <c r="I865" s="10">
        <f>VLOOKUP(A865,[1]pricing!A:M,6,FALSE)</f>
        <v>15</v>
      </c>
    </row>
    <row r="866" spans="1:9" s="17" customFormat="1" ht="15" customHeight="1">
      <c r="A866" s="6">
        <v>2000010361</v>
      </c>
      <c r="B866" s="7" t="s">
        <v>209</v>
      </c>
      <c r="C866" s="7" t="str">
        <f>VLOOKUP(A866,[1]Translation!A:F,4,FALSE)</f>
        <v>Schlauch hinten</v>
      </c>
      <c r="D866" s="7"/>
      <c r="E866" s="8" t="s">
        <v>10</v>
      </c>
      <c r="F866" s="8">
        <f>VLOOKUP(A866,'[1]PL ENG'!B:G,6, FALSE)</f>
        <v>4000984108071</v>
      </c>
      <c r="G866" s="14">
        <v>1</v>
      </c>
      <c r="H866" s="9">
        <f>VLOOKUP(A866,[1]pricing!A:M,5,FALSE)</f>
        <v>8.44</v>
      </c>
      <c r="I866" s="10">
        <f>VLOOKUP(A866,[1]pricing!A:M,6,FALSE)</f>
        <v>15</v>
      </c>
    </row>
    <row r="867" spans="1:9" s="17" customFormat="1" ht="15" customHeight="1">
      <c r="A867" s="6">
        <v>2000009444</v>
      </c>
      <c r="B867" s="7" t="s">
        <v>211</v>
      </c>
      <c r="C867" s="7" t="str">
        <f>VLOOKUP(A867,[1]Translation!A:F,4,FALSE)</f>
        <v>Reifen Set (3 Stück)</v>
      </c>
      <c r="D867" s="7"/>
      <c r="E867" s="8" t="s">
        <v>10</v>
      </c>
      <c r="F867" s="8">
        <f>VLOOKUP(A867,'[1]PL ENG'!B:G,6, FALSE)</f>
        <v>4000984105490</v>
      </c>
      <c r="G867" s="14">
        <v>1</v>
      </c>
      <c r="H867" s="9">
        <f>VLOOKUP(A867,[1]pricing!A:M,5,FALSE)</f>
        <v>21.39</v>
      </c>
      <c r="I867" s="10">
        <f>VLOOKUP(A867,[1]pricing!A:M,6,FALSE)</f>
        <v>30</v>
      </c>
    </row>
    <row r="868" spans="1:9" s="17" customFormat="1" ht="15" customHeight="1">
      <c r="A868" s="6">
        <v>2000009448</v>
      </c>
      <c r="B868" s="7" t="s">
        <v>211</v>
      </c>
      <c r="C868" s="7" t="str">
        <f>VLOOKUP(A868,[1]Translation!A:F,4,FALSE)</f>
        <v>Schlauch Set (3 Stück)</v>
      </c>
      <c r="D868" s="7"/>
      <c r="E868" s="8" t="s">
        <v>10</v>
      </c>
      <c r="F868" s="8">
        <f>VLOOKUP(A868,'[1]PL ENG'!B:G,6, FALSE)</f>
        <v>4000984103984</v>
      </c>
      <c r="G868" s="14">
        <v>1</v>
      </c>
      <c r="H868" s="9">
        <f>VLOOKUP(A868,[1]pricing!A:M,5,FALSE)</f>
        <v>12.44</v>
      </c>
      <c r="I868" s="10">
        <f>VLOOKUP(A868,[1]pricing!A:M,6,FALSE)</f>
        <v>15</v>
      </c>
    </row>
    <row r="869" spans="1:9" s="17" customFormat="1" ht="15" customHeight="1">
      <c r="A869" s="6">
        <v>2000009467</v>
      </c>
      <c r="B869" s="7" t="s">
        <v>211</v>
      </c>
      <c r="C869" s="7" t="str">
        <f>VLOOKUP(A869,[1]Translation!A:F,4,FALSE)</f>
        <v xml:space="preserve">Schnellverschluss-Schraube </v>
      </c>
      <c r="D869" s="7"/>
      <c r="E869" s="8" t="s">
        <v>43</v>
      </c>
      <c r="F869" s="8">
        <f>VLOOKUP(A869,'[1]PL ENG'!B:G,6, FALSE)</f>
        <v>4000984103793</v>
      </c>
      <c r="G869" s="14">
        <v>1</v>
      </c>
      <c r="H869" s="9">
        <f>VLOOKUP(A869,[1]pricing!A:M,5,FALSE)</f>
        <v>6.61</v>
      </c>
      <c r="I869" s="10">
        <f>VLOOKUP(A869,[1]pricing!A:M,6,FALSE)</f>
        <v>8</v>
      </c>
    </row>
    <row r="870" spans="1:9" s="17" customFormat="1" ht="15" customHeight="1">
      <c r="A870" s="6">
        <v>2000010181</v>
      </c>
      <c r="B870" s="7" t="s">
        <v>211</v>
      </c>
      <c r="C870" s="7" t="str">
        <f>VLOOKUP(A870,[1]Translation!A:F,4,FALSE)</f>
        <v>Vorderrad</v>
      </c>
      <c r="D870" s="7"/>
      <c r="E870" s="8" t="s">
        <v>10</v>
      </c>
      <c r="F870" s="8">
        <f>VLOOKUP(A870,'[1]PL ENG'!B:G,6, FALSE)</f>
        <v>4000984107302</v>
      </c>
      <c r="G870" s="14">
        <v>1</v>
      </c>
      <c r="H870" s="9">
        <f>VLOOKUP(A870,[1]pricing!A:M,5,FALSE)</f>
        <v>29.22</v>
      </c>
      <c r="I870" s="10">
        <f>VLOOKUP(A870,[1]pricing!A:M,6,FALSE)</f>
        <v>35</v>
      </c>
    </row>
    <row r="871" spans="1:9" s="17" customFormat="1" ht="15" customHeight="1">
      <c r="A871" s="6">
        <v>2000010185</v>
      </c>
      <c r="B871" s="7" t="s">
        <v>211</v>
      </c>
      <c r="C871" s="7" t="str">
        <f>VLOOKUP(A871,[1]Translation!A:F,4,FALSE)</f>
        <v>Hinterräder</v>
      </c>
      <c r="D871" s="7"/>
      <c r="E871" s="8" t="s">
        <v>10</v>
      </c>
      <c r="F871" s="8">
        <f>VLOOKUP(A871,'[1]PL ENG'!B:G,6, FALSE)</f>
        <v>4000984107340</v>
      </c>
      <c r="G871" s="14">
        <v>1</v>
      </c>
      <c r="H871" s="9">
        <f>VLOOKUP(A871,[1]pricing!A:M,5,FALSE)</f>
        <v>54.82</v>
      </c>
      <c r="I871" s="10">
        <f>VLOOKUP(A871,[1]pricing!A:M,6,FALSE)</f>
        <v>70</v>
      </c>
    </row>
    <row r="872" spans="1:9" s="17" customFormat="1" ht="15" customHeight="1">
      <c r="A872" s="6">
        <v>2000010360</v>
      </c>
      <c r="B872" s="7" t="s">
        <v>211</v>
      </c>
      <c r="C872" s="7" t="str">
        <f>VLOOKUP(A872,[1]Translation!A:F,4,FALSE)</f>
        <v>Schlauch</v>
      </c>
      <c r="D872" s="7"/>
      <c r="E872" s="8" t="s">
        <v>10</v>
      </c>
      <c r="F872" s="8">
        <f>VLOOKUP(A872,'[1]PL ENG'!B:G,6, FALSE)</f>
        <v>4000984108064</v>
      </c>
      <c r="G872" s="14">
        <v>1</v>
      </c>
      <c r="H872" s="9">
        <f>VLOOKUP(A872,[1]pricing!A:M,5,FALSE)</f>
        <v>8.44</v>
      </c>
      <c r="I872" s="10">
        <f>VLOOKUP(A872,[1]pricing!A:M,6,FALSE)</f>
        <v>15</v>
      </c>
    </row>
    <row r="873" spans="1:9" s="17" customFormat="1" ht="15" customHeight="1">
      <c r="A873" s="6">
        <v>2000009444</v>
      </c>
      <c r="B873" s="7" t="s">
        <v>212</v>
      </c>
      <c r="C873" s="7" t="str">
        <f>VLOOKUP(A873,[1]Translation!A:F,4,FALSE)</f>
        <v>Reifen Set (3 Stück)</v>
      </c>
      <c r="D873" s="7"/>
      <c r="E873" s="8" t="s">
        <v>10</v>
      </c>
      <c r="F873" s="8">
        <f>VLOOKUP(A873,'[1]PL ENG'!B:G,6, FALSE)</f>
        <v>4000984105490</v>
      </c>
      <c r="G873" s="14">
        <v>1</v>
      </c>
      <c r="H873" s="9">
        <f>VLOOKUP(A873,[1]pricing!A:M,5,FALSE)</f>
        <v>21.39</v>
      </c>
      <c r="I873" s="10">
        <f>VLOOKUP(A873,[1]pricing!A:M,6,FALSE)</f>
        <v>30</v>
      </c>
    </row>
    <row r="874" spans="1:9" s="17" customFormat="1" ht="15" customHeight="1">
      <c r="A874" s="6">
        <v>2000009448</v>
      </c>
      <c r="B874" s="7" t="s">
        <v>212</v>
      </c>
      <c r="C874" s="7" t="str">
        <f>VLOOKUP(A874,[1]Translation!A:F,4,FALSE)</f>
        <v>Schlauch Set (3 Stück)</v>
      </c>
      <c r="D874" s="7"/>
      <c r="E874" s="8" t="s">
        <v>10</v>
      </c>
      <c r="F874" s="8">
        <f>VLOOKUP(A874,'[1]PL ENG'!B:G,6, FALSE)</f>
        <v>4000984103984</v>
      </c>
      <c r="G874" s="14">
        <v>1</v>
      </c>
      <c r="H874" s="9">
        <f>VLOOKUP(A874,[1]pricing!A:M,5,FALSE)</f>
        <v>12.44</v>
      </c>
      <c r="I874" s="10">
        <f>VLOOKUP(A874,[1]pricing!A:M,6,FALSE)</f>
        <v>15</v>
      </c>
    </row>
    <row r="875" spans="1:9" s="17" customFormat="1" ht="15" customHeight="1">
      <c r="A875" s="6">
        <v>2000009453</v>
      </c>
      <c r="B875" s="7" t="s">
        <v>212</v>
      </c>
      <c r="C875" s="7" t="str">
        <f>VLOOKUP(A875,[1]Translation!A:F,4,FALSE)</f>
        <v xml:space="preserve">Verdeck </v>
      </c>
      <c r="D875" s="7" t="s">
        <v>210</v>
      </c>
      <c r="E875" s="8" t="s">
        <v>43</v>
      </c>
      <c r="F875" s="8">
        <f>VLOOKUP(A875,'[1]PL ENG'!B:G,6, FALSE)</f>
        <v>4000984103939</v>
      </c>
      <c r="G875" s="14">
        <v>1</v>
      </c>
      <c r="H875" s="9">
        <f>VLOOKUP(A875,[1]pricing!A:M,5,FALSE)</f>
        <v>39.770000000000003</v>
      </c>
      <c r="I875" s="10">
        <f>VLOOKUP(A875,[1]pricing!A:M,6,FALSE)</f>
        <v>47</v>
      </c>
    </row>
    <row r="876" spans="1:9" s="17" customFormat="1" ht="15" customHeight="1">
      <c r="A876" s="6">
        <v>2000009454</v>
      </c>
      <c r="B876" s="7" t="s">
        <v>212</v>
      </c>
      <c r="C876" s="7" t="str">
        <f>VLOOKUP(A876,[1]Translation!A:F,4,FALSE)</f>
        <v xml:space="preserve">Verdeck </v>
      </c>
      <c r="D876" s="7" t="s">
        <v>118</v>
      </c>
      <c r="E876" s="8" t="s">
        <v>43</v>
      </c>
      <c r="F876" s="8">
        <f>VLOOKUP(A876,'[1]PL ENG'!B:G,6, FALSE)</f>
        <v>4000984103922</v>
      </c>
      <c r="G876" s="14">
        <v>1</v>
      </c>
      <c r="H876" s="9">
        <f>VLOOKUP(A876,[1]pricing!A:M,5,FALSE)</f>
        <v>39.770000000000003</v>
      </c>
      <c r="I876" s="10">
        <f>VLOOKUP(A876,[1]pricing!A:M,6,FALSE)</f>
        <v>47</v>
      </c>
    </row>
    <row r="877" spans="1:9" s="17" customFormat="1" ht="15" customHeight="1">
      <c r="A877" s="6">
        <v>2000009455</v>
      </c>
      <c r="B877" s="7" t="s">
        <v>212</v>
      </c>
      <c r="C877" s="7" t="str">
        <f>VLOOKUP(A877,[1]Translation!A:F,4,FALSE)</f>
        <v xml:space="preserve">Verdeck </v>
      </c>
      <c r="D877" s="7" t="s">
        <v>24</v>
      </c>
      <c r="E877" s="8" t="s">
        <v>43</v>
      </c>
      <c r="F877" s="8">
        <f>VLOOKUP(A877,'[1]PL ENG'!B:G,6, FALSE)</f>
        <v>4000984103915</v>
      </c>
      <c r="G877" s="14">
        <v>1</v>
      </c>
      <c r="H877" s="9">
        <f>VLOOKUP(A877,[1]pricing!A:M,5,FALSE)</f>
        <v>39.770000000000003</v>
      </c>
      <c r="I877" s="10">
        <f>VLOOKUP(A877,[1]pricing!A:M,6,FALSE)</f>
        <v>47</v>
      </c>
    </row>
    <row r="878" spans="1:9" s="17" customFormat="1" ht="15" customHeight="1">
      <c r="A878" s="6">
        <v>2000011681</v>
      </c>
      <c r="B878" s="7" t="s">
        <v>212</v>
      </c>
      <c r="C878" s="7" t="str">
        <f>VLOOKUP(A878,[1]Translation!A:F,4,FALSE)</f>
        <v xml:space="preserve">Verdeck </v>
      </c>
      <c r="D878" s="7" t="s">
        <v>213</v>
      </c>
      <c r="E878" s="8" t="s">
        <v>43</v>
      </c>
      <c r="F878" s="8">
        <f>VLOOKUP(A878,'[1]PL ENG'!B:G,6, FALSE)</f>
        <v>4000984112665</v>
      </c>
      <c r="G878" s="14">
        <v>1</v>
      </c>
      <c r="H878" s="9">
        <f>VLOOKUP(A878,[1]pricing!A:M,5,FALSE)</f>
        <v>39.770000000000003</v>
      </c>
      <c r="I878" s="10">
        <f>VLOOKUP(A878,[1]pricing!A:M,6,FALSE)</f>
        <v>47</v>
      </c>
    </row>
    <row r="879" spans="1:9" s="17" customFormat="1" ht="15" customHeight="1">
      <c r="A879" s="6">
        <v>2000011682</v>
      </c>
      <c r="B879" s="7" t="s">
        <v>212</v>
      </c>
      <c r="C879" s="7" t="str">
        <f>VLOOKUP(A879,[1]Translation!A:F,4,FALSE)</f>
        <v xml:space="preserve">Verdeck </v>
      </c>
      <c r="D879" s="7" t="s">
        <v>214</v>
      </c>
      <c r="E879" s="8" t="s">
        <v>43</v>
      </c>
      <c r="F879" s="8">
        <f>VLOOKUP(A879,'[1]PL ENG'!B:G,6, FALSE)</f>
        <v>4000984112672</v>
      </c>
      <c r="G879" s="14">
        <v>1</v>
      </c>
      <c r="H879" s="9">
        <f>VLOOKUP(A879,[1]pricing!A:M,5,FALSE)</f>
        <v>39.770000000000003</v>
      </c>
      <c r="I879" s="10">
        <f>VLOOKUP(A879,[1]pricing!A:M,6,FALSE)</f>
        <v>47</v>
      </c>
    </row>
    <row r="880" spans="1:9" s="17" customFormat="1" ht="15" customHeight="1">
      <c r="A880" s="6">
        <v>2000009467</v>
      </c>
      <c r="B880" s="7" t="s">
        <v>212</v>
      </c>
      <c r="C880" s="7" t="str">
        <f>VLOOKUP(A880,[1]Translation!A:F,4,FALSE)</f>
        <v xml:space="preserve">Schnellverschluss-Schraube </v>
      </c>
      <c r="D880" s="7"/>
      <c r="E880" s="8" t="s">
        <v>43</v>
      </c>
      <c r="F880" s="8">
        <f>VLOOKUP(A880,'[1]PL ENG'!B:G,6, FALSE)</f>
        <v>4000984103793</v>
      </c>
      <c r="G880" s="14">
        <v>1</v>
      </c>
      <c r="H880" s="9">
        <f>VLOOKUP(A880,[1]pricing!A:M,5,FALSE)</f>
        <v>6.61</v>
      </c>
      <c r="I880" s="10">
        <f>VLOOKUP(A880,[1]pricing!A:M,6,FALSE)</f>
        <v>8</v>
      </c>
    </row>
    <row r="881" spans="1:9" s="17" customFormat="1" ht="15" customHeight="1">
      <c r="A881" s="6">
        <v>2000011676</v>
      </c>
      <c r="B881" s="7" t="s">
        <v>212</v>
      </c>
      <c r="C881" s="7" t="str">
        <f>VLOOKUP(A881,[1]Translation!A:F,4,FALSE)</f>
        <v xml:space="preserve">Korb </v>
      </c>
      <c r="D881" s="7" t="s">
        <v>24</v>
      </c>
      <c r="E881" s="8" t="s">
        <v>43</v>
      </c>
      <c r="F881" s="8">
        <f>VLOOKUP(A881,'[1]PL ENG'!B:G,6, FALSE)</f>
        <v>4000984112610</v>
      </c>
      <c r="G881" s="14">
        <v>1</v>
      </c>
      <c r="H881" s="9">
        <f>VLOOKUP(A881,[1]pricing!A:M,5,FALSE)</f>
        <v>31.22</v>
      </c>
      <c r="I881" s="10">
        <f>VLOOKUP(A881,[1]pricing!A:M,6,FALSE)</f>
        <v>37</v>
      </c>
    </row>
    <row r="882" spans="1:9" s="17" customFormat="1" ht="15" customHeight="1">
      <c r="A882" s="6">
        <v>2000011677</v>
      </c>
      <c r="B882" s="7" t="s">
        <v>212</v>
      </c>
      <c r="C882" s="7" t="str">
        <f>VLOOKUP(A882,[1]Translation!A:F,4,FALSE)</f>
        <v xml:space="preserve">Korb </v>
      </c>
      <c r="D882" s="7" t="s">
        <v>210</v>
      </c>
      <c r="E882" s="8" t="s">
        <v>43</v>
      </c>
      <c r="F882" s="8">
        <f>VLOOKUP(A882,'[1]PL ENG'!B:G,6, FALSE)</f>
        <v>4000984112627</v>
      </c>
      <c r="G882" s="14">
        <v>1</v>
      </c>
      <c r="H882" s="9">
        <f>VLOOKUP(A882,[1]pricing!A:M,5,FALSE)</f>
        <v>31.22</v>
      </c>
      <c r="I882" s="10">
        <f>VLOOKUP(A882,[1]pricing!A:M,6,FALSE)</f>
        <v>37</v>
      </c>
    </row>
    <row r="883" spans="1:9" s="17" customFormat="1" ht="15" customHeight="1">
      <c r="A883" s="6">
        <v>2000011678</v>
      </c>
      <c r="B883" s="7" t="s">
        <v>212</v>
      </c>
      <c r="C883" s="7" t="str">
        <f>VLOOKUP(A883,[1]Translation!A:F,4,FALSE)</f>
        <v xml:space="preserve">Korb </v>
      </c>
      <c r="D883" s="7" t="s">
        <v>118</v>
      </c>
      <c r="E883" s="8" t="s">
        <v>43</v>
      </c>
      <c r="F883" s="8">
        <f>VLOOKUP(A883,'[1]PL ENG'!B:G,6, FALSE)</f>
        <v>4000984112634</v>
      </c>
      <c r="G883" s="14">
        <v>1</v>
      </c>
      <c r="H883" s="9">
        <f>VLOOKUP(A883,[1]pricing!A:M,5,FALSE)</f>
        <v>31.22</v>
      </c>
      <c r="I883" s="10">
        <f>VLOOKUP(A883,[1]pricing!A:M,6,FALSE)</f>
        <v>37</v>
      </c>
    </row>
    <row r="884" spans="1:9" s="17" customFormat="1" ht="15" customHeight="1">
      <c r="A884" s="6">
        <v>2000011679</v>
      </c>
      <c r="B884" s="7" t="s">
        <v>212</v>
      </c>
      <c r="C884" s="7" t="str">
        <f>VLOOKUP(A884,[1]Translation!A:F,4,FALSE)</f>
        <v xml:space="preserve">Korb </v>
      </c>
      <c r="D884" s="7" t="s">
        <v>213</v>
      </c>
      <c r="E884" s="8" t="s">
        <v>43</v>
      </c>
      <c r="F884" s="8">
        <f>VLOOKUP(A884,'[1]PL ENG'!B:G,6, FALSE)</f>
        <v>4000984112641</v>
      </c>
      <c r="G884" s="14">
        <v>1</v>
      </c>
      <c r="H884" s="9">
        <f>VLOOKUP(A884,[1]pricing!A:M,5,FALSE)</f>
        <v>31.22</v>
      </c>
      <c r="I884" s="10">
        <f>VLOOKUP(A884,[1]pricing!A:M,6,FALSE)</f>
        <v>37</v>
      </c>
    </row>
    <row r="885" spans="1:9" s="17" customFormat="1" ht="15" customHeight="1">
      <c r="A885" s="6">
        <v>2000011680</v>
      </c>
      <c r="B885" s="7" t="s">
        <v>212</v>
      </c>
      <c r="C885" s="7" t="str">
        <f>VLOOKUP(A885,[1]Translation!A:F,4,FALSE)</f>
        <v xml:space="preserve">Korb </v>
      </c>
      <c r="D885" s="7" t="s">
        <v>214</v>
      </c>
      <c r="E885" s="8" t="s">
        <v>43</v>
      </c>
      <c r="F885" s="8">
        <f>VLOOKUP(A885,'[1]PL ENG'!B:G,6, FALSE)</f>
        <v>4000984112658</v>
      </c>
      <c r="G885" s="14">
        <v>1</v>
      </c>
      <c r="H885" s="9">
        <f>VLOOKUP(A885,[1]pricing!A:M,5,FALSE)</f>
        <v>31.22</v>
      </c>
      <c r="I885" s="10">
        <f>VLOOKUP(A885,[1]pricing!A:M,6,FALSE)</f>
        <v>37</v>
      </c>
    </row>
    <row r="886" spans="1:9" s="17" customFormat="1" ht="15" customHeight="1">
      <c r="A886" s="6">
        <v>2000010360</v>
      </c>
      <c r="B886" s="7" t="s">
        <v>212</v>
      </c>
      <c r="C886" s="7" t="str">
        <f>VLOOKUP(A886,[1]Translation!A:F,4,FALSE)</f>
        <v>Schlauch</v>
      </c>
      <c r="D886" s="7"/>
      <c r="E886" s="8" t="s">
        <v>10</v>
      </c>
      <c r="F886" s="8">
        <f>VLOOKUP(A886,'[1]PL ENG'!B:G,6, FALSE)</f>
        <v>4000984108064</v>
      </c>
      <c r="G886" s="14">
        <v>1</v>
      </c>
      <c r="H886" s="9">
        <f>VLOOKUP(A886,[1]pricing!A:M,5,FALSE)</f>
        <v>8.44</v>
      </c>
      <c r="I886" s="10">
        <f>VLOOKUP(A886,[1]pricing!A:M,6,FALSE)</f>
        <v>15</v>
      </c>
    </row>
    <row r="887" spans="1:9" s="17" customFormat="1" ht="15" customHeight="1">
      <c r="A887" s="6">
        <v>2000010361</v>
      </c>
      <c r="B887" s="7" t="s">
        <v>212</v>
      </c>
      <c r="C887" s="7" t="str">
        <f>VLOOKUP(A887,[1]Translation!A:F,4,FALSE)</f>
        <v>Schlauch hinten</v>
      </c>
      <c r="D887" s="7"/>
      <c r="E887" s="8" t="s">
        <v>10</v>
      </c>
      <c r="F887" s="8">
        <f>VLOOKUP(A887,'[1]PL ENG'!B:G,6, FALSE)</f>
        <v>4000984108071</v>
      </c>
      <c r="G887" s="14">
        <v>1</v>
      </c>
      <c r="H887" s="9">
        <f>VLOOKUP(A887,[1]pricing!A:M,5,FALSE)</f>
        <v>8.44</v>
      </c>
      <c r="I887" s="10">
        <f>VLOOKUP(A887,[1]pricing!A:M,6,FALSE)</f>
        <v>15</v>
      </c>
    </row>
    <row r="888" spans="1:9" s="17" customFormat="1" ht="15" customHeight="1">
      <c r="A888" s="6">
        <v>2000010181</v>
      </c>
      <c r="B888" s="7" t="s">
        <v>212</v>
      </c>
      <c r="C888" s="7" t="str">
        <f>VLOOKUP(A888,[1]Translation!A:F,4,FALSE)</f>
        <v>Vorderrad</v>
      </c>
      <c r="D888" s="7"/>
      <c r="E888" s="8" t="s">
        <v>10</v>
      </c>
      <c r="F888" s="8">
        <f>VLOOKUP(A888,'[1]PL ENG'!B:G,6, FALSE)</f>
        <v>4000984107302</v>
      </c>
      <c r="G888" s="14">
        <v>1</v>
      </c>
      <c r="H888" s="9">
        <f>VLOOKUP(A888,[1]pricing!A:M,5,FALSE)</f>
        <v>29.22</v>
      </c>
      <c r="I888" s="10">
        <f>VLOOKUP(A888,[1]pricing!A:M,6,FALSE)</f>
        <v>35</v>
      </c>
    </row>
    <row r="889" spans="1:9" s="17" customFormat="1" ht="15" customHeight="1">
      <c r="A889" s="6">
        <v>2000025800</v>
      </c>
      <c r="B889" s="7" t="s">
        <v>212</v>
      </c>
      <c r="C889" s="7" t="str">
        <f>VLOOKUP(A889,[1]Translation!A:F,4,FALSE)</f>
        <v>Hinterräder</v>
      </c>
      <c r="D889" s="7"/>
      <c r="E889" s="8" t="s">
        <v>10</v>
      </c>
      <c r="F889" s="8">
        <f>VLOOKUP(A889,'[1]PL ENG'!B:G,6, FALSE)</f>
        <v>4000984152425</v>
      </c>
      <c r="G889" s="14">
        <v>1</v>
      </c>
      <c r="H889" s="9">
        <f>VLOOKUP(A889,[1]pricing!A:M,5,FALSE)</f>
        <v>64.900000000000006</v>
      </c>
      <c r="I889" s="10">
        <f>VLOOKUP(A889,[1]pricing!A:M,6,FALSE)</f>
        <v>80</v>
      </c>
    </row>
    <row r="890" spans="1:9" s="17" customFormat="1" ht="15" customHeight="1">
      <c r="A890" s="6">
        <v>2000009444</v>
      </c>
      <c r="B890" s="7" t="s">
        <v>215</v>
      </c>
      <c r="C890" s="7" t="str">
        <f>VLOOKUP(A890,[1]Translation!A:F,4,FALSE)</f>
        <v>Reifen Set (3 Stück)</v>
      </c>
      <c r="D890" s="7"/>
      <c r="E890" s="8" t="s">
        <v>10</v>
      </c>
      <c r="F890" s="8">
        <f>VLOOKUP(A890,'[1]PL ENG'!B:G,6, FALSE)</f>
        <v>4000984105490</v>
      </c>
      <c r="G890" s="14">
        <v>1</v>
      </c>
      <c r="H890" s="9">
        <f>VLOOKUP(A890,[1]pricing!A:M,5,FALSE)</f>
        <v>21.39</v>
      </c>
      <c r="I890" s="10">
        <f>VLOOKUP(A890,[1]pricing!A:M,6,FALSE)</f>
        <v>30</v>
      </c>
    </row>
    <row r="891" spans="1:9" s="17" customFormat="1" ht="15" customHeight="1">
      <c r="A891" s="6">
        <v>2000009448</v>
      </c>
      <c r="B891" s="7" t="s">
        <v>215</v>
      </c>
      <c r="C891" s="7" t="str">
        <f>VLOOKUP(A891,[1]Translation!A:F,4,FALSE)</f>
        <v>Schlauch Set (3 Stück)</v>
      </c>
      <c r="D891" s="7"/>
      <c r="E891" s="8" t="s">
        <v>10</v>
      </c>
      <c r="F891" s="8">
        <f>VLOOKUP(A891,'[1]PL ENG'!B:G,6, FALSE)</f>
        <v>4000984103984</v>
      </c>
      <c r="G891" s="14">
        <v>1</v>
      </c>
      <c r="H891" s="9">
        <f>VLOOKUP(A891,[1]pricing!A:M,5,FALSE)</f>
        <v>12.44</v>
      </c>
      <c r="I891" s="10">
        <f>VLOOKUP(A891,[1]pricing!A:M,6,FALSE)</f>
        <v>15</v>
      </c>
    </row>
    <row r="892" spans="1:9" s="17" customFormat="1" ht="15" customHeight="1">
      <c r="A892" s="6">
        <v>2000009467</v>
      </c>
      <c r="B892" s="7" t="s">
        <v>215</v>
      </c>
      <c r="C892" s="7" t="str">
        <f>VLOOKUP(A892,[1]Translation!A:F,4,FALSE)</f>
        <v xml:space="preserve">Schnellverschluss-Schraube </v>
      </c>
      <c r="D892" s="7"/>
      <c r="E892" s="8" t="s">
        <v>43</v>
      </c>
      <c r="F892" s="8">
        <f>VLOOKUP(A892,'[1]PL ENG'!B:G,6, FALSE)</f>
        <v>4000984103793</v>
      </c>
      <c r="G892" s="14">
        <v>1</v>
      </c>
      <c r="H892" s="9">
        <f>VLOOKUP(A892,[1]pricing!A:M,5,FALSE)</f>
        <v>6.61</v>
      </c>
      <c r="I892" s="10">
        <f>VLOOKUP(A892,[1]pricing!A:M,6,FALSE)</f>
        <v>8</v>
      </c>
    </row>
    <row r="893" spans="1:9" s="17" customFormat="1" ht="15" customHeight="1">
      <c r="A893" s="6">
        <v>2000010181</v>
      </c>
      <c r="B893" s="7" t="s">
        <v>215</v>
      </c>
      <c r="C893" s="7" t="str">
        <f>VLOOKUP(A893,[1]Translation!A:F,4,FALSE)</f>
        <v>Vorderrad</v>
      </c>
      <c r="D893" s="7"/>
      <c r="E893" s="8" t="s">
        <v>10</v>
      </c>
      <c r="F893" s="8">
        <f>VLOOKUP(A893,'[1]PL ENG'!B:G,6, FALSE)</f>
        <v>4000984107302</v>
      </c>
      <c r="G893" s="14">
        <v>1</v>
      </c>
      <c r="H893" s="9">
        <f>VLOOKUP(A893,[1]pricing!A:M,5,FALSE)</f>
        <v>29.22</v>
      </c>
      <c r="I893" s="10">
        <f>VLOOKUP(A893,[1]pricing!A:M,6,FALSE)</f>
        <v>35</v>
      </c>
    </row>
    <row r="894" spans="1:9" s="17" customFormat="1" ht="15" customHeight="1">
      <c r="A894" s="6">
        <v>2000010360</v>
      </c>
      <c r="B894" s="7" t="s">
        <v>215</v>
      </c>
      <c r="C894" s="7" t="str">
        <f>VLOOKUP(A894,[1]Translation!A:F,4,FALSE)</f>
        <v>Schlauch</v>
      </c>
      <c r="D894" s="7"/>
      <c r="E894" s="8" t="s">
        <v>10</v>
      </c>
      <c r="F894" s="8">
        <f>VLOOKUP(A894,'[1]PL ENG'!B:G,6, FALSE)</f>
        <v>4000984108064</v>
      </c>
      <c r="G894" s="14">
        <v>1</v>
      </c>
      <c r="H894" s="9">
        <f>VLOOKUP(A894,[1]pricing!A:M,5,FALSE)</f>
        <v>8.44</v>
      </c>
      <c r="I894" s="10">
        <f>VLOOKUP(A894,[1]pricing!A:M,6,FALSE)</f>
        <v>15</v>
      </c>
    </row>
    <row r="895" spans="1:9" s="17" customFormat="1" ht="15" customHeight="1">
      <c r="A895" s="6">
        <v>2000010361</v>
      </c>
      <c r="B895" s="7" t="s">
        <v>215</v>
      </c>
      <c r="C895" s="7" t="str">
        <f>VLOOKUP(A895,[1]Translation!A:F,4,FALSE)</f>
        <v>Schlauch hinten</v>
      </c>
      <c r="D895" s="7"/>
      <c r="E895" s="8" t="s">
        <v>10</v>
      </c>
      <c r="F895" s="8">
        <f>VLOOKUP(A895,'[1]PL ENG'!B:G,6, FALSE)</f>
        <v>4000984108071</v>
      </c>
      <c r="G895" s="14">
        <v>1</v>
      </c>
      <c r="H895" s="9">
        <f>VLOOKUP(A895,[1]pricing!A:M,5,FALSE)</f>
        <v>8.44</v>
      </c>
      <c r="I895" s="10">
        <f>VLOOKUP(A895,[1]pricing!A:M,6,FALSE)</f>
        <v>15</v>
      </c>
    </row>
    <row r="896" spans="1:9" ht="15" customHeight="1">
      <c r="A896" s="6">
        <v>2000025800</v>
      </c>
      <c r="B896" s="7" t="s">
        <v>215</v>
      </c>
      <c r="C896" s="7" t="str">
        <f>VLOOKUP(A896,[1]Translation!A:F,4,FALSE)</f>
        <v>Hinterräder</v>
      </c>
      <c r="D896" s="7"/>
      <c r="E896" s="8" t="s">
        <v>10</v>
      </c>
      <c r="F896" s="8">
        <f>VLOOKUP(A896,'[1]PL ENG'!B:G,6, FALSE)</f>
        <v>4000984152425</v>
      </c>
      <c r="G896" s="14">
        <v>1</v>
      </c>
      <c r="H896" s="9">
        <f>VLOOKUP(A896,[1]pricing!A:M,5,FALSE)</f>
        <v>64.900000000000006</v>
      </c>
      <c r="I896" s="10">
        <f>VLOOKUP(A896,[1]pricing!A:M,6,FALSE)</f>
        <v>80</v>
      </c>
    </row>
    <row r="897" spans="1:9" s="17" customFormat="1" ht="15" customHeight="1">
      <c r="A897" s="6">
        <v>2000009446</v>
      </c>
      <c r="B897" s="7" t="s">
        <v>216</v>
      </c>
      <c r="C897" s="7" t="str">
        <f>VLOOKUP(A897,[1]Translation!A:F,4,FALSE)</f>
        <v>Reifen Set (3 Stück)</v>
      </c>
      <c r="D897" s="7"/>
      <c r="E897" s="8" t="s">
        <v>10</v>
      </c>
      <c r="F897" s="8">
        <f>VLOOKUP(A897,'[1]PL ENG'!B:G,6, FALSE)</f>
        <v>4000984104035</v>
      </c>
      <c r="G897" s="14">
        <v>1</v>
      </c>
      <c r="H897" s="9">
        <f>VLOOKUP(A897,[1]pricing!A:M,5,FALSE)</f>
        <v>21.39</v>
      </c>
      <c r="I897" s="10">
        <f>VLOOKUP(A897,[1]pricing!A:M,6,FALSE)</f>
        <v>30</v>
      </c>
    </row>
    <row r="898" spans="1:9" s="17" customFormat="1" ht="15" customHeight="1">
      <c r="A898" s="6">
        <v>2000009457</v>
      </c>
      <c r="B898" s="7" t="s">
        <v>216</v>
      </c>
      <c r="C898" s="7" t="str">
        <f>VLOOKUP(A898,[1]Translation!A:F,4,FALSE)</f>
        <v xml:space="preserve">Verdeck </v>
      </c>
      <c r="D898" s="7" t="s">
        <v>217</v>
      </c>
      <c r="E898" s="8" t="s">
        <v>43</v>
      </c>
      <c r="F898" s="8">
        <f>VLOOKUP(A898,'[1]PL ENG'!B:G,6, FALSE)</f>
        <v>4000984103892</v>
      </c>
      <c r="G898" s="14">
        <v>1</v>
      </c>
      <c r="H898" s="9">
        <f>VLOOKUP(A898,[1]pricing!A:M,5,FALSE)</f>
        <v>39.770000000000003</v>
      </c>
      <c r="I898" s="10">
        <f>VLOOKUP(A898,[1]pricing!A:M,6,FALSE)</f>
        <v>47</v>
      </c>
    </row>
    <row r="899" spans="1:9" s="17" customFormat="1" ht="15" customHeight="1">
      <c r="A899" s="6">
        <v>2000009464</v>
      </c>
      <c r="B899" s="7" t="s">
        <v>216</v>
      </c>
      <c r="C899" s="7" t="str">
        <f>VLOOKUP(A899,[1]Translation!A:F,4,FALSE)</f>
        <v xml:space="preserve">Korb </v>
      </c>
      <c r="D899" s="7" t="s">
        <v>217</v>
      </c>
      <c r="E899" s="8" t="s">
        <v>43</v>
      </c>
      <c r="F899" s="8">
        <f>VLOOKUP(A899,'[1]PL ENG'!B:G,6, FALSE)</f>
        <v>4000984103823</v>
      </c>
      <c r="G899" s="14">
        <v>1</v>
      </c>
      <c r="H899" s="9">
        <f>VLOOKUP(A899,[1]pricing!A:M,5,FALSE)</f>
        <v>31.22</v>
      </c>
      <c r="I899" s="10">
        <f>VLOOKUP(A899,[1]pricing!A:M,6,FALSE)</f>
        <v>37</v>
      </c>
    </row>
    <row r="900" spans="1:9" s="17" customFormat="1" ht="15" customHeight="1">
      <c r="A900" s="6">
        <v>2000009466</v>
      </c>
      <c r="B900" s="7" t="s">
        <v>216</v>
      </c>
      <c r="C900" s="7" t="str">
        <f>VLOOKUP(A900,[1]Translation!A:F,4,FALSE)</f>
        <v>Schutzblech vorne</v>
      </c>
      <c r="D900" s="7"/>
      <c r="E900" s="8" t="s">
        <v>10</v>
      </c>
      <c r="F900" s="8">
        <f>VLOOKUP(A900,'[1]PL ENG'!B:G,6, FALSE)</f>
        <v>4000984103809</v>
      </c>
      <c r="G900" s="14">
        <v>1</v>
      </c>
      <c r="H900" s="9">
        <f>VLOOKUP(A900,[1]pricing!A:M,5,FALSE)</f>
        <v>5.5</v>
      </c>
      <c r="I900" s="10">
        <f>VLOOKUP(A900,[1]pricing!A:M,6,FALSE)</f>
        <v>8</v>
      </c>
    </row>
    <row r="901" spans="1:9" s="17" customFormat="1" ht="15" customHeight="1">
      <c r="A901" s="6">
        <v>2000009467</v>
      </c>
      <c r="B901" s="7" t="s">
        <v>216</v>
      </c>
      <c r="C901" s="7" t="str">
        <f>VLOOKUP(A901,[1]Translation!A:F,4,FALSE)</f>
        <v xml:space="preserve">Schnellverschluss-Schraube </v>
      </c>
      <c r="D901" s="7"/>
      <c r="E901" s="8" t="s">
        <v>43</v>
      </c>
      <c r="F901" s="8">
        <f>VLOOKUP(A901,'[1]PL ENG'!B:G,6, FALSE)</f>
        <v>4000984103793</v>
      </c>
      <c r="G901" s="14">
        <v>1</v>
      </c>
      <c r="H901" s="9">
        <f>VLOOKUP(A901,[1]pricing!A:M,5,FALSE)</f>
        <v>6.61</v>
      </c>
      <c r="I901" s="10">
        <f>VLOOKUP(A901,[1]pricing!A:M,6,FALSE)</f>
        <v>8</v>
      </c>
    </row>
    <row r="902" spans="1:9" s="17" customFormat="1" ht="15" customHeight="1">
      <c r="A902" s="6">
        <v>2000009468</v>
      </c>
      <c r="B902" s="7" t="s">
        <v>216</v>
      </c>
      <c r="C902" s="7" t="str">
        <f>VLOOKUP(A902,[1]Translation!A:F,4,FALSE)</f>
        <v xml:space="preserve">Bremsklötze </v>
      </c>
      <c r="D902" s="7"/>
      <c r="E902" s="8" t="s">
        <v>43</v>
      </c>
      <c r="F902" s="8">
        <f>VLOOKUP(A902,'[1]PL ENG'!B:G,6, FALSE)</f>
        <v>4000984103786</v>
      </c>
      <c r="G902" s="14">
        <v>1</v>
      </c>
      <c r="H902" s="9">
        <f>VLOOKUP(A902,[1]pricing!A:M,5,FALSE)</f>
        <v>5.5</v>
      </c>
      <c r="I902" s="10">
        <f>VLOOKUP(A902,[1]pricing!A:M,6,FALSE)</f>
        <v>8</v>
      </c>
    </row>
    <row r="903" spans="1:9" s="17" customFormat="1" ht="15" customHeight="1">
      <c r="A903" s="6">
        <v>2000010183</v>
      </c>
      <c r="B903" s="7" t="s">
        <v>216</v>
      </c>
      <c r="C903" s="7" t="str">
        <f>VLOOKUP(A903,[1]Translation!A:F,4,FALSE)</f>
        <v>Vorderrad</v>
      </c>
      <c r="D903" s="7"/>
      <c r="E903" s="8" t="s">
        <v>10</v>
      </c>
      <c r="F903" s="8">
        <f>VLOOKUP(A903,'[1]PL ENG'!B:G,6, FALSE)</f>
        <v>4000984107326</v>
      </c>
      <c r="G903" s="14">
        <v>1</v>
      </c>
      <c r="H903" s="9">
        <f>VLOOKUP(A903,[1]pricing!A:M,5,FALSE)</f>
        <v>29.22</v>
      </c>
      <c r="I903" s="10">
        <f>VLOOKUP(A903,[1]pricing!A:M,6,FALSE)</f>
        <v>35</v>
      </c>
    </row>
    <row r="904" spans="1:9" ht="15" customHeight="1">
      <c r="A904" s="6">
        <v>2000010187</v>
      </c>
      <c r="B904" s="7" t="s">
        <v>216</v>
      </c>
      <c r="C904" s="7" t="str">
        <f>VLOOKUP(A904,[1]Translation!A:F,4,FALSE)</f>
        <v>Hinterräder</v>
      </c>
      <c r="D904" s="7"/>
      <c r="E904" s="8" t="s">
        <v>10</v>
      </c>
      <c r="F904" s="8">
        <f>VLOOKUP(A904,'[1]PL ENG'!B:G,6, FALSE)</f>
        <v>4000984107364</v>
      </c>
      <c r="G904" s="14">
        <v>1</v>
      </c>
      <c r="H904" s="9">
        <f>VLOOKUP(A904,[1]pricing!A:M,5,FALSE)</f>
        <v>68.31</v>
      </c>
      <c r="I904" s="10">
        <f>VLOOKUP(A904,[1]pricing!A:M,6,FALSE)</f>
        <v>85</v>
      </c>
    </row>
    <row r="905" spans="1:9" s="17" customFormat="1" ht="15" customHeight="1">
      <c r="A905" s="6">
        <v>2000010362</v>
      </c>
      <c r="B905" s="7" t="s">
        <v>216</v>
      </c>
      <c r="C905" s="7" t="str">
        <f>VLOOKUP(A905,[1]Translation!A:F,4,FALSE)</f>
        <v>Schlauch vorne/hinten</v>
      </c>
      <c r="D905" s="7"/>
      <c r="E905" s="8" t="s">
        <v>10</v>
      </c>
      <c r="F905" s="8">
        <f>VLOOKUP(A905,'[1]PL ENG'!B:G,6, FALSE)</f>
        <v>4000984108088</v>
      </c>
      <c r="G905" s="14">
        <v>1</v>
      </c>
      <c r="H905" s="9">
        <f>VLOOKUP(A905,[1]pricing!A:M,5,FALSE)</f>
        <v>8.44</v>
      </c>
      <c r="I905" s="10">
        <f>VLOOKUP(A905,[1]pricing!A:M,6,FALSE)</f>
        <v>15</v>
      </c>
    </row>
    <row r="906" spans="1:9" s="17" customFormat="1" ht="15" customHeight="1">
      <c r="A906" s="16">
        <v>2000009450</v>
      </c>
      <c r="B906" s="7" t="s">
        <v>216</v>
      </c>
      <c r="C906" s="7" t="str">
        <f>VLOOKUP(A906,[1]Translation!A:F,4,FALSE)</f>
        <v>Schlauch Set (3 Stück)</v>
      </c>
      <c r="D906" s="18"/>
      <c r="E906" s="8" t="s">
        <v>10</v>
      </c>
      <c r="F906" s="8">
        <f>VLOOKUP(A906,'[1]PL ENG'!B:G,6, FALSE)</f>
        <v>4000984103960</v>
      </c>
      <c r="G906" s="14">
        <v>1</v>
      </c>
      <c r="H906" s="9">
        <f>VLOOKUP(A906,[1]pricing!A:M,5,FALSE)</f>
        <v>12.44</v>
      </c>
      <c r="I906" s="10">
        <f>VLOOKUP(A906,[1]pricing!A:M,6,FALSE)</f>
        <v>15</v>
      </c>
    </row>
    <row r="907" spans="1:9" s="17" customFormat="1" ht="15" customHeight="1">
      <c r="A907" s="6">
        <v>2000009446</v>
      </c>
      <c r="B907" s="7" t="s">
        <v>218</v>
      </c>
      <c r="C907" s="7" t="str">
        <f>VLOOKUP(A907,[1]Translation!A:F,4,FALSE)</f>
        <v>Reifen Set (3 Stück)</v>
      </c>
      <c r="D907" s="7"/>
      <c r="E907" s="8" t="s">
        <v>10</v>
      </c>
      <c r="F907" s="8">
        <f>VLOOKUP(A907,'[1]PL ENG'!B:G,6, FALSE)</f>
        <v>4000984104035</v>
      </c>
      <c r="G907" s="14">
        <v>1</v>
      </c>
      <c r="H907" s="9">
        <f>VLOOKUP(A907,[1]pricing!A:M,5,FALSE)</f>
        <v>21.39</v>
      </c>
      <c r="I907" s="10">
        <f>VLOOKUP(A907,[1]pricing!A:M,6,FALSE)</f>
        <v>30</v>
      </c>
    </row>
    <row r="908" spans="1:9" s="17" customFormat="1" ht="15" customHeight="1">
      <c r="A908" s="6">
        <v>2000009466</v>
      </c>
      <c r="B908" s="7" t="s">
        <v>218</v>
      </c>
      <c r="C908" s="7" t="str">
        <f>VLOOKUP(A908,[1]Translation!A:F,4,FALSE)</f>
        <v>Schutzblech vorne</v>
      </c>
      <c r="D908" s="7"/>
      <c r="E908" s="8" t="s">
        <v>10</v>
      </c>
      <c r="F908" s="8">
        <f>VLOOKUP(A908,'[1]PL ENG'!B:G,6, FALSE)</f>
        <v>4000984103809</v>
      </c>
      <c r="G908" s="14">
        <v>1</v>
      </c>
      <c r="H908" s="9">
        <f>VLOOKUP(A908,[1]pricing!A:M,5,FALSE)</f>
        <v>5.5</v>
      </c>
      <c r="I908" s="10">
        <f>VLOOKUP(A908,[1]pricing!A:M,6,FALSE)</f>
        <v>8</v>
      </c>
    </row>
    <row r="909" spans="1:9" s="17" customFormat="1" ht="15" customHeight="1">
      <c r="A909" s="6">
        <v>2000009467</v>
      </c>
      <c r="B909" s="7" t="s">
        <v>218</v>
      </c>
      <c r="C909" s="7" t="str">
        <f>VLOOKUP(A909,[1]Translation!A:F,4,FALSE)</f>
        <v xml:space="preserve">Schnellverschluss-Schraube </v>
      </c>
      <c r="D909" s="7"/>
      <c r="E909" s="8" t="s">
        <v>43</v>
      </c>
      <c r="F909" s="8">
        <f>VLOOKUP(A909,'[1]PL ENG'!B:G,6, FALSE)</f>
        <v>4000984103793</v>
      </c>
      <c r="G909" s="14">
        <v>1</v>
      </c>
      <c r="H909" s="9">
        <f>VLOOKUP(A909,[1]pricing!A:M,5,FALSE)</f>
        <v>6.61</v>
      </c>
      <c r="I909" s="10">
        <f>VLOOKUP(A909,[1]pricing!A:M,6,FALSE)</f>
        <v>8</v>
      </c>
    </row>
    <row r="910" spans="1:9" s="17" customFormat="1" ht="15" customHeight="1">
      <c r="A910" s="6">
        <v>2000009468</v>
      </c>
      <c r="B910" s="7" t="s">
        <v>218</v>
      </c>
      <c r="C910" s="7" t="str">
        <f>VLOOKUP(A910,[1]Translation!A:F,4,FALSE)</f>
        <v xml:space="preserve">Bremsklötze </v>
      </c>
      <c r="D910" s="7"/>
      <c r="E910" s="8" t="s">
        <v>43</v>
      </c>
      <c r="F910" s="8">
        <f>VLOOKUP(A910,'[1]PL ENG'!B:G,6, FALSE)</f>
        <v>4000984103786</v>
      </c>
      <c r="G910" s="14">
        <v>1</v>
      </c>
      <c r="H910" s="9">
        <f>VLOOKUP(A910,[1]pricing!A:M,5,FALSE)</f>
        <v>5.5</v>
      </c>
      <c r="I910" s="10">
        <f>VLOOKUP(A910,[1]pricing!A:M,6,FALSE)</f>
        <v>8</v>
      </c>
    </row>
    <row r="911" spans="1:9" s="17" customFormat="1" ht="15" customHeight="1">
      <c r="A911" s="6">
        <v>2000010183</v>
      </c>
      <c r="B911" s="7" t="s">
        <v>218</v>
      </c>
      <c r="C911" s="7" t="str">
        <f>VLOOKUP(A911,[1]Translation!A:F,4,FALSE)</f>
        <v>Vorderrad</v>
      </c>
      <c r="D911" s="7"/>
      <c r="E911" s="8" t="s">
        <v>10</v>
      </c>
      <c r="F911" s="8">
        <f>VLOOKUP(A911,'[1]PL ENG'!B:G,6, FALSE)</f>
        <v>4000984107326</v>
      </c>
      <c r="G911" s="14">
        <v>1</v>
      </c>
      <c r="H911" s="9">
        <f>VLOOKUP(A911,[1]pricing!A:M,5,FALSE)</f>
        <v>29.22</v>
      </c>
      <c r="I911" s="10">
        <f>VLOOKUP(A911,[1]pricing!A:M,6,FALSE)</f>
        <v>35</v>
      </c>
    </row>
    <row r="912" spans="1:9" s="17" customFormat="1" ht="15" customHeight="1">
      <c r="A912" s="6">
        <v>2000010187</v>
      </c>
      <c r="B912" s="7" t="s">
        <v>218</v>
      </c>
      <c r="C912" s="7" t="str">
        <f>VLOOKUP(A912,[1]Translation!A:F,4,FALSE)</f>
        <v>Hinterräder</v>
      </c>
      <c r="D912" s="7"/>
      <c r="E912" s="8" t="s">
        <v>10</v>
      </c>
      <c r="F912" s="8">
        <f>VLOOKUP(A912,'[1]PL ENG'!B:G,6, FALSE)</f>
        <v>4000984107364</v>
      </c>
      <c r="G912" s="14">
        <v>1</v>
      </c>
      <c r="H912" s="9">
        <f>VLOOKUP(A912,[1]pricing!A:M,5,FALSE)</f>
        <v>68.31</v>
      </c>
      <c r="I912" s="10">
        <f>VLOOKUP(A912,[1]pricing!A:M,6,FALSE)</f>
        <v>85</v>
      </c>
    </row>
    <row r="913" spans="1:9" s="17" customFormat="1" ht="15" customHeight="1">
      <c r="A913" s="6">
        <v>2000010362</v>
      </c>
      <c r="B913" s="7" t="s">
        <v>218</v>
      </c>
      <c r="C913" s="7" t="str">
        <f>VLOOKUP(A913,[1]Translation!A:F,4,FALSE)</f>
        <v>Schlauch vorne/hinten</v>
      </c>
      <c r="D913" s="7"/>
      <c r="E913" s="8" t="s">
        <v>10</v>
      </c>
      <c r="F913" s="8">
        <f>VLOOKUP(A913,'[1]PL ENG'!B:G,6, FALSE)</f>
        <v>4000984108088</v>
      </c>
      <c r="G913" s="14">
        <v>1</v>
      </c>
      <c r="H913" s="9">
        <f>VLOOKUP(A913,[1]pricing!A:M,5,FALSE)</f>
        <v>8.44</v>
      </c>
      <c r="I913" s="10">
        <f>VLOOKUP(A913,[1]pricing!A:M,6,FALSE)</f>
        <v>15</v>
      </c>
    </row>
    <row r="914" spans="1:9" s="17" customFormat="1" ht="15" customHeight="1">
      <c r="A914" s="6">
        <v>2000009450</v>
      </c>
      <c r="B914" s="7" t="s">
        <v>218</v>
      </c>
      <c r="C914" s="7" t="str">
        <f>VLOOKUP(A914,[1]Translation!A:F,4,FALSE)</f>
        <v>Schlauch Set (3 Stück)</v>
      </c>
      <c r="D914" s="7"/>
      <c r="E914" s="8" t="s">
        <v>10</v>
      </c>
      <c r="F914" s="8">
        <f>VLOOKUP(A914,'[1]PL ENG'!B:G,6, FALSE)</f>
        <v>4000984103960</v>
      </c>
      <c r="G914" s="14">
        <v>1</v>
      </c>
      <c r="H914" s="9">
        <f>VLOOKUP(A914,[1]pricing!A:M,5,FALSE)</f>
        <v>12.44</v>
      </c>
      <c r="I914" s="10">
        <f>VLOOKUP(A914,[1]pricing!A:M,6,FALSE)</f>
        <v>15</v>
      </c>
    </row>
    <row r="915" spans="1:9" s="17" customFormat="1" ht="15" customHeight="1">
      <c r="A915" s="6">
        <v>2000009447</v>
      </c>
      <c r="B915" s="7" t="s">
        <v>219</v>
      </c>
      <c r="C915" s="7" t="str">
        <f>VLOOKUP(A915,[1]Translation!A:F,4,FALSE)</f>
        <v>Reifen Set (3 Stück)</v>
      </c>
      <c r="D915" s="7"/>
      <c r="E915" s="8" t="s">
        <v>10</v>
      </c>
      <c r="F915" s="8">
        <f>VLOOKUP(A915,'[1]PL ENG'!B:G,6, FALSE)</f>
        <v>4000984103991</v>
      </c>
      <c r="G915" s="14">
        <v>1</v>
      </c>
      <c r="H915" s="9">
        <f>VLOOKUP(A915,[1]pricing!A:M,5,FALSE)</f>
        <v>21.39</v>
      </c>
      <c r="I915" s="10">
        <f>VLOOKUP(A915,[1]pricing!A:M,6,FALSE)</f>
        <v>30</v>
      </c>
    </row>
    <row r="916" spans="1:9" s="17" customFormat="1" ht="15" customHeight="1">
      <c r="A916" s="6">
        <v>2000009451</v>
      </c>
      <c r="B916" s="7" t="s">
        <v>219</v>
      </c>
      <c r="C916" s="7" t="str">
        <f>VLOOKUP(A916,[1]Translation!A:F,4,FALSE)</f>
        <v>Schlauch Set (3 Stück)</v>
      </c>
      <c r="D916" s="7"/>
      <c r="E916" s="8" t="s">
        <v>10</v>
      </c>
      <c r="F916" s="8">
        <f>VLOOKUP(A916,'[1]PL ENG'!B:G,6, FALSE)</f>
        <v>4000984103953</v>
      </c>
      <c r="G916" s="14">
        <v>1</v>
      </c>
      <c r="H916" s="9">
        <f>VLOOKUP(A916,[1]pricing!A:M,5,FALSE)</f>
        <v>12.44</v>
      </c>
      <c r="I916" s="10">
        <f>VLOOKUP(A916,[1]pricing!A:M,6,FALSE)</f>
        <v>15</v>
      </c>
    </row>
    <row r="917" spans="1:9" s="17" customFormat="1" ht="15" customHeight="1">
      <c r="A917" s="6">
        <v>2000009453</v>
      </c>
      <c r="B917" s="7" t="s">
        <v>219</v>
      </c>
      <c r="C917" s="7" t="str">
        <f>VLOOKUP(A917,[1]Translation!A:F,4,FALSE)</f>
        <v xml:space="preserve">Verdeck </v>
      </c>
      <c r="D917" s="7" t="s">
        <v>210</v>
      </c>
      <c r="E917" s="8" t="s">
        <v>43</v>
      </c>
      <c r="F917" s="8">
        <f>VLOOKUP(A917,'[1]PL ENG'!B:G,6, FALSE)</f>
        <v>4000984103939</v>
      </c>
      <c r="G917" s="14">
        <v>1</v>
      </c>
      <c r="H917" s="9">
        <f>VLOOKUP(A917,[1]pricing!A:M,5,FALSE)</f>
        <v>39.770000000000003</v>
      </c>
      <c r="I917" s="10">
        <f>VLOOKUP(A917,[1]pricing!A:M,6,FALSE)</f>
        <v>47</v>
      </c>
    </row>
    <row r="918" spans="1:9" s="17" customFormat="1" ht="15" customHeight="1">
      <c r="A918" s="6">
        <v>2000009458</v>
      </c>
      <c r="B918" s="7" t="s">
        <v>219</v>
      </c>
      <c r="C918" s="7" t="str">
        <f>VLOOKUP(A918,[1]Translation!A:F,4,FALSE)</f>
        <v xml:space="preserve">Verdeck </v>
      </c>
      <c r="D918" s="7" t="s">
        <v>220</v>
      </c>
      <c r="E918" s="8" t="s">
        <v>43</v>
      </c>
      <c r="F918" s="8">
        <f>VLOOKUP(A918,'[1]PL ENG'!B:G,6, FALSE)</f>
        <v>4000984103885</v>
      </c>
      <c r="G918" s="14">
        <v>1</v>
      </c>
      <c r="H918" s="9">
        <f>VLOOKUP(A918,[1]pricing!A:M,5,FALSE)</f>
        <v>39.770000000000003</v>
      </c>
      <c r="I918" s="10">
        <f>VLOOKUP(A918,[1]pricing!A:M,6,FALSE)</f>
        <v>47</v>
      </c>
    </row>
    <row r="919" spans="1:9" s="17" customFormat="1" ht="15" customHeight="1">
      <c r="A919" s="6">
        <v>2000009460</v>
      </c>
      <c r="B919" s="7" t="s">
        <v>219</v>
      </c>
      <c r="C919" s="7" t="str">
        <f>VLOOKUP(A919,[1]Translation!A:F,4,FALSE)</f>
        <v xml:space="preserve">Korb </v>
      </c>
      <c r="D919" s="7" t="s">
        <v>210</v>
      </c>
      <c r="E919" s="8" t="s">
        <v>43</v>
      </c>
      <c r="F919" s="8">
        <f>VLOOKUP(A919,'[1]PL ENG'!B:G,6, FALSE)</f>
        <v>4000984103861</v>
      </c>
      <c r="G919" s="14">
        <v>1</v>
      </c>
      <c r="H919" s="9">
        <f>VLOOKUP(A919,[1]pricing!A:M,5,FALSE)</f>
        <v>31.22</v>
      </c>
      <c r="I919" s="10">
        <f>VLOOKUP(A919,[1]pricing!A:M,6,FALSE)</f>
        <v>37</v>
      </c>
    </row>
    <row r="920" spans="1:9" s="17" customFormat="1" ht="15" customHeight="1">
      <c r="A920" s="6">
        <v>2000009465</v>
      </c>
      <c r="B920" s="7" t="s">
        <v>219</v>
      </c>
      <c r="C920" s="7" t="str">
        <f>VLOOKUP(A920,[1]Translation!A:F,4,FALSE)</f>
        <v xml:space="preserve">Korb </v>
      </c>
      <c r="D920" s="7" t="s">
        <v>220</v>
      </c>
      <c r="E920" s="8" t="s">
        <v>43</v>
      </c>
      <c r="F920" s="8">
        <f>VLOOKUP(A920,'[1]PL ENG'!B:G,6, FALSE)</f>
        <v>4000984103816</v>
      </c>
      <c r="G920" s="14">
        <v>1</v>
      </c>
      <c r="H920" s="9">
        <f>VLOOKUP(A920,[1]pricing!A:M,5,FALSE)</f>
        <v>31.22</v>
      </c>
      <c r="I920" s="10">
        <f>VLOOKUP(A920,[1]pricing!A:M,6,FALSE)</f>
        <v>37</v>
      </c>
    </row>
    <row r="921" spans="1:9" s="17" customFormat="1" ht="15" customHeight="1">
      <c r="A921" s="6">
        <v>2000009466</v>
      </c>
      <c r="B921" s="7" t="s">
        <v>219</v>
      </c>
      <c r="C921" s="7" t="str">
        <f>VLOOKUP(A921,[1]Translation!A:F,4,FALSE)</f>
        <v>Schutzblech vorne</v>
      </c>
      <c r="D921" s="7"/>
      <c r="E921" s="8" t="s">
        <v>10</v>
      </c>
      <c r="F921" s="8">
        <f>VLOOKUP(A921,'[1]PL ENG'!B:G,6, FALSE)</f>
        <v>4000984103809</v>
      </c>
      <c r="G921" s="14">
        <v>1</v>
      </c>
      <c r="H921" s="9">
        <f>VLOOKUP(A921,[1]pricing!A:M,5,FALSE)</f>
        <v>5.5</v>
      </c>
      <c r="I921" s="10">
        <f>VLOOKUP(A921,[1]pricing!A:M,6,FALSE)</f>
        <v>8</v>
      </c>
    </row>
    <row r="922" spans="1:9" s="17" customFormat="1" ht="15" customHeight="1">
      <c r="A922" s="6">
        <v>2000009467</v>
      </c>
      <c r="B922" s="7" t="s">
        <v>219</v>
      </c>
      <c r="C922" s="7" t="str">
        <f>VLOOKUP(A922,[1]Translation!A:F,4,FALSE)</f>
        <v xml:space="preserve">Schnellverschluss-Schraube </v>
      </c>
      <c r="D922" s="7"/>
      <c r="E922" s="8" t="s">
        <v>43</v>
      </c>
      <c r="F922" s="8">
        <f>VLOOKUP(A922,'[1]PL ENG'!B:G,6, FALSE)</f>
        <v>4000984103793</v>
      </c>
      <c r="G922" s="14">
        <v>1</v>
      </c>
      <c r="H922" s="9">
        <f>VLOOKUP(A922,[1]pricing!A:M,5,FALSE)</f>
        <v>6.61</v>
      </c>
      <c r="I922" s="10">
        <f>VLOOKUP(A922,[1]pricing!A:M,6,FALSE)</f>
        <v>8</v>
      </c>
    </row>
    <row r="923" spans="1:9" s="17" customFormat="1" ht="15" customHeight="1">
      <c r="A923" s="6">
        <v>2000009468</v>
      </c>
      <c r="B923" s="7" t="s">
        <v>219</v>
      </c>
      <c r="C923" s="7" t="str">
        <f>VLOOKUP(A923,[1]Translation!A:F,4,FALSE)</f>
        <v xml:space="preserve">Bremsklötze </v>
      </c>
      <c r="D923" s="7"/>
      <c r="E923" s="8" t="s">
        <v>43</v>
      </c>
      <c r="F923" s="8">
        <f>VLOOKUP(A923,'[1]PL ENG'!B:G,6, FALSE)</f>
        <v>4000984103786</v>
      </c>
      <c r="G923" s="14">
        <v>1</v>
      </c>
      <c r="H923" s="9">
        <f>VLOOKUP(A923,[1]pricing!A:M,5,FALSE)</f>
        <v>5.5</v>
      </c>
      <c r="I923" s="10">
        <f>VLOOKUP(A923,[1]pricing!A:M,6,FALSE)</f>
        <v>8</v>
      </c>
    </row>
    <row r="924" spans="1:9" s="17" customFormat="1" ht="15" customHeight="1">
      <c r="A924" s="6">
        <v>2000010184</v>
      </c>
      <c r="B924" s="7" t="s">
        <v>219</v>
      </c>
      <c r="C924" s="7" t="str">
        <f>VLOOKUP(A924,[1]Translation!A:F,4,FALSE)</f>
        <v>Vorderrad</v>
      </c>
      <c r="D924" s="7"/>
      <c r="E924" s="8" t="s">
        <v>10</v>
      </c>
      <c r="F924" s="8">
        <f>VLOOKUP(A924,'[1]PL ENG'!B:G,6, FALSE)</f>
        <v>4000984107333</v>
      </c>
      <c r="G924" s="14">
        <v>1</v>
      </c>
      <c r="H924" s="9">
        <f>VLOOKUP(A924,[1]pricing!A:M,5,FALSE)</f>
        <v>29.22</v>
      </c>
      <c r="I924" s="10">
        <f>VLOOKUP(A924,[1]pricing!A:M,6,FALSE)</f>
        <v>35</v>
      </c>
    </row>
    <row r="925" spans="1:9" s="17" customFormat="1" ht="15" customHeight="1">
      <c r="A925" s="6">
        <v>2000010188</v>
      </c>
      <c r="B925" s="7" t="s">
        <v>219</v>
      </c>
      <c r="C925" s="7" t="str">
        <f>VLOOKUP(A925,[1]Translation!A:F,4,FALSE)</f>
        <v>Hinterräder</v>
      </c>
      <c r="D925" s="7"/>
      <c r="E925" s="8" t="s">
        <v>10</v>
      </c>
      <c r="F925" s="8">
        <f>VLOOKUP(A925,'[1]PL ENG'!B:G,6, FALSE)</f>
        <v>4000984107371</v>
      </c>
      <c r="G925" s="14">
        <v>1</v>
      </c>
      <c r="H925" s="9">
        <f>VLOOKUP(A925,[1]pricing!A:M,5,FALSE)</f>
        <v>68.31</v>
      </c>
      <c r="I925" s="10">
        <f>VLOOKUP(A925,[1]pricing!A:M,6,FALSE)</f>
        <v>85</v>
      </c>
    </row>
    <row r="926" spans="1:9" s="17" customFormat="1" ht="15" customHeight="1">
      <c r="A926" s="6">
        <v>2000010361</v>
      </c>
      <c r="B926" s="7" t="s">
        <v>219</v>
      </c>
      <c r="C926" s="7" t="str">
        <f>VLOOKUP(A926,[1]Translation!A:F,4,FALSE)</f>
        <v>Schlauch hinten</v>
      </c>
      <c r="D926" s="7"/>
      <c r="E926" s="8" t="s">
        <v>10</v>
      </c>
      <c r="F926" s="8">
        <f>VLOOKUP(A926,'[1]PL ENG'!B:G,6, FALSE)</f>
        <v>4000984108071</v>
      </c>
      <c r="G926" s="14">
        <v>1</v>
      </c>
      <c r="H926" s="9">
        <f>VLOOKUP(A926,[1]pricing!A:M,5,FALSE)</f>
        <v>8.44</v>
      </c>
      <c r="I926" s="10">
        <f>VLOOKUP(A926,[1]pricing!A:M,6,FALSE)</f>
        <v>15</v>
      </c>
    </row>
    <row r="927" spans="1:9" s="17" customFormat="1" ht="15" customHeight="1">
      <c r="A927" s="6">
        <v>2000009447</v>
      </c>
      <c r="B927" s="7" t="s">
        <v>221</v>
      </c>
      <c r="C927" s="7" t="str">
        <f>VLOOKUP(A927,[1]Translation!A:F,4,FALSE)</f>
        <v>Reifen Set (3 Stück)</v>
      </c>
      <c r="D927" s="7"/>
      <c r="E927" s="8" t="s">
        <v>10</v>
      </c>
      <c r="F927" s="8">
        <f>VLOOKUP(A927,'[1]PL ENG'!B:G,6, FALSE)</f>
        <v>4000984103991</v>
      </c>
      <c r="G927" s="14">
        <v>1</v>
      </c>
      <c r="H927" s="9">
        <f>VLOOKUP(A927,[1]pricing!A:M,5,FALSE)</f>
        <v>21.39</v>
      </c>
      <c r="I927" s="10">
        <f>VLOOKUP(A927,[1]pricing!A:M,6,FALSE)</f>
        <v>30</v>
      </c>
    </row>
    <row r="928" spans="1:9" s="17" customFormat="1" ht="15" customHeight="1">
      <c r="A928" s="6">
        <v>2000009451</v>
      </c>
      <c r="B928" s="7" t="s">
        <v>221</v>
      </c>
      <c r="C928" s="7" t="str">
        <f>VLOOKUP(A928,[1]Translation!A:F,4,FALSE)</f>
        <v>Schlauch Set (3 Stück)</v>
      </c>
      <c r="D928" s="7"/>
      <c r="E928" s="8" t="s">
        <v>10</v>
      </c>
      <c r="F928" s="8">
        <f>VLOOKUP(A928,'[1]PL ENG'!B:G,6, FALSE)</f>
        <v>4000984103953</v>
      </c>
      <c r="G928" s="14">
        <v>1</v>
      </c>
      <c r="H928" s="9">
        <f>VLOOKUP(A928,[1]pricing!A:M,5,FALSE)</f>
        <v>12.44</v>
      </c>
      <c r="I928" s="10">
        <f>VLOOKUP(A928,[1]pricing!A:M,6,FALSE)</f>
        <v>15</v>
      </c>
    </row>
    <row r="929" spans="1:9" ht="15" customHeight="1">
      <c r="A929" s="6">
        <v>2000009466</v>
      </c>
      <c r="B929" s="7" t="s">
        <v>221</v>
      </c>
      <c r="C929" s="7" t="str">
        <f>VLOOKUP(A929,[1]Translation!A:F,4,FALSE)</f>
        <v>Schutzblech vorne</v>
      </c>
      <c r="D929" s="7"/>
      <c r="E929" s="8" t="s">
        <v>10</v>
      </c>
      <c r="F929" s="8">
        <f>VLOOKUP(A929,'[1]PL ENG'!B:G,6, FALSE)</f>
        <v>4000984103809</v>
      </c>
      <c r="G929" s="14">
        <v>1</v>
      </c>
      <c r="H929" s="9">
        <f>VLOOKUP(A929,[1]pricing!A:M,5,FALSE)</f>
        <v>5.5</v>
      </c>
      <c r="I929" s="10">
        <f>VLOOKUP(A929,[1]pricing!A:M,6,FALSE)</f>
        <v>8</v>
      </c>
    </row>
    <row r="930" spans="1:9" ht="15" customHeight="1">
      <c r="A930" s="6">
        <v>2000009467</v>
      </c>
      <c r="B930" s="7" t="s">
        <v>221</v>
      </c>
      <c r="C930" s="7" t="str">
        <f>VLOOKUP(A930,[1]Translation!A:F,4,FALSE)</f>
        <v xml:space="preserve">Schnellverschluss-Schraube </v>
      </c>
      <c r="D930" s="7"/>
      <c r="E930" s="8" t="s">
        <v>43</v>
      </c>
      <c r="F930" s="8">
        <f>VLOOKUP(A930,'[1]PL ENG'!B:G,6, FALSE)</f>
        <v>4000984103793</v>
      </c>
      <c r="G930" s="14">
        <v>1</v>
      </c>
      <c r="H930" s="9">
        <f>VLOOKUP(A930,[1]pricing!A:M,5,FALSE)</f>
        <v>6.61</v>
      </c>
      <c r="I930" s="10">
        <f>VLOOKUP(A930,[1]pricing!A:M,6,FALSE)</f>
        <v>8</v>
      </c>
    </row>
    <row r="931" spans="1:9" ht="15" customHeight="1">
      <c r="A931" s="6">
        <v>2000009468</v>
      </c>
      <c r="B931" s="7" t="s">
        <v>221</v>
      </c>
      <c r="C931" s="7" t="str">
        <f>VLOOKUP(A931,[1]Translation!A:F,4,FALSE)</f>
        <v xml:space="preserve">Bremsklötze </v>
      </c>
      <c r="D931" s="7"/>
      <c r="E931" s="8" t="s">
        <v>43</v>
      </c>
      <c r="F931" s="8">
        <f>VLOOKUP(A931,'[1]PL ENG'!B:G,6, FALSE)</f>
        <v>4000984103786</v>
      </c>
      <c r="G931" s="14">
        <v>1</v>
      </c>
      <c r="H931" s="9">
        <f>VLOOKUP(A931,[1]pricing!A:M,5,FALSE)</f>
        <v>5.5</v>
      </c>
      <c r="I931" s="10">
        <f>VLOOKUP(A931,[1]pricing!A:M,6,FALSE)</f>
        <v>8</v>
      </c>
    </row>
    <row r="932" spans="1:9" ht="15" customHeight="1">
      <c r="A932" s="6">
        <v>2000010184</v>
      </c>
      <c r="B932" s="7" t="s">
        <v>221</v>
      </c>
      <c r="C932" s="7" t="str">
        <f>VLOOKUP(A932,[1]Translation!A:F,4,FALSE)</f>
        <v>Vorderrad</v>
      </c>
      <c r="D932" s="7"/>
      <c r="E932" s="8" t="s">
        <v>10</v>
      </c>
      <c r="F932" s="8">
        <f>VLOOKUP(A932,'[1]PL ENG'!B:G,6, FALSE)</f>
        <v>4000984107333</v>
      </c>
      <c r="G932" s="14">
        <v>1</v>
      </c>
      <c r="H932" s="9">
        <f>VLOOKUP(A932,[1]pricing!A:M,5,FALSE)</f>
        <v>29.22</v>
      </c>
      <c r="I932" s="10">
        <f>VLOOKUP(A932,[1]pricing!A:M,6,FALSE)</f>
        <v>35</v>
      </c>
    </row>
    <row r="933" spans="1:9" ht="15.75" customHeight="1">
      <c r="A933" s="6">
        <v>2000010188</v>
      </c>
      <c r="B933" s="7" t="s">
        <v>221</v>
      </c>
      <c r="C933" s="7" t="str">
        <f>VLOOKUP(A933,[1]Translation!A:F,4,FALSE)</f>
        <v>Hinterräder</v>
      </c>
      <c r="D933" s="18"/>
      <c r="E933" s="8" t="s">
        <v>10</v>
      </c>
      <c r="F933" s="8">
        <f>VLOOKUP(A933,'[1]PL ENG'!B:G,6, FALSE)</f>
        <v>4000984107371</v>
      </c>
      <c r="G933" s="14">
        <v>1</v>
      </c>
      <c r="H933" s="9">
        <f>VLOOKUP(A933,[1]pricing!A:M,5,FALSE)</f>
        <v>68.31</v>
      </c>
      <c r="I933" s="10">
        <f>VLOOKUP(A933,[1]pricing!A:M,6,FALSE)</f>
        <v>85</v>
      </c>
    </row>
    <row r="934" spans="1:9" s="41" customFormat="1">
      <c r="A934" s="6">
        <v>2000010361</v>
      </c>
      <c r="B934" s="7" t="s">
        <v>221</v>
      </c>
      <c r="C934" s="7" t="str">
        <f>VLOOKUP(A934,[1]Translation!A:F,4,FALSE)</f>
        <v>Schlauch hinten</v>
      </c>
      <c r="D934" s="18"/>
      <c r="E934" s="8" t="s">
        <v>10</v>
      </c>
      <c r="F934" s="8">
        <f>VLOOKUP(A934,'[1]PL ENG'!B:G,6, FALSE)</f>
        <v>4000984108071</v>
      </c>
      <c r="G934" s="14">
        <v>1</v>
      </c>
      <c r="H934" s="9">
        <f>VLOOKUP(A934,[1]pricing!A:M,5,FALSE)</f>
        <v>8.44</v>
      </c>
      <c r="I934" s="10">
        <f>VLOOKUP(A934,[1]pricing!A:M,6,FALSE)</f>
        <v>15</v>
      </c>
    </row>
    <row r="935" spans="1:9" ht="15.75" thickBot="1">
      <c r="A935" s="52">
        <v>2000029825</v>
      </c>
      <c r="B935" s="53" t="s">
        <v>222</v>
      </c>
      <c r="C935" s="54" t="str">
        <f>VLOOKUP(A935,[1]Translation!A:F,4,FALSE)</f>
        <v>Regenverdeck Kinderwagenaufsatz</v>
      </c>
      <c r="D935" s="55"/>
      <c r="E935" s="56" t="s">
        <v>10</v>
      </c>
      <c r="F935" s="56">
        <f>VLOOKUP(A935,'[1]PL ENG'!B:G,6, FALSE)</f>
        <v>4000984193381</v>
      </c>
      <c r="G935" s="57">
        <v>1</v>
      </c>
      <c r="H935" s="58">
        <f>VLOOKUP(A935,[1]pricing!A:M,5,FALSE)</f>
        <v>21.15</v>
      </c>
      <c r="I935" s="59">
        <f>VLOOKUP(A935,[1]pricing!A:M,6,FALSE)</f>
        <v>25</v>
      </c>
    </row>
  </sheetData>
  <autoFilter ref="A1:I935" xr:uid="{00000000-0009-0000-0000-000000000000}"/>
  <mergeCells count="1">
    <mergeCell ref="E80:I80"/>
  </mergeCells>
  <conditionalFormatting sqref="A45">
    <cfRule type="cellIs" dxfId="198" priority="161" operator="equal">
      <formula>1019537173</formula>
    </cfRule>
  </conditionalFormatting>
  <conditionalFormatting sqref="A771:A774">
    <cfRule type="duplicateValues" dxfId="197" priority="162"/>
  </conditionalFormatting>
  <conditionalFormatting sqref="A40">
    <cfRule type="cellIs" dxfId="196" priority="160" operator="equal">
      <formula>1019537173</formula>
    </cfRule>
  </conditionalFormatting>
  <conditionalFormatting sqref="A96:A97">
    <cfRule type="duplicateValues" dxfId="195" priority="158"/>
    <cfRule type="duplicateValues" dxfId="194" priority="159"/>
  </conditionalFormatting>
  <conditionalFormatting sqref="A101:A103">
    <cfRule type="duplicateValues" dxfId="193" priority="155"/>
  </conditionalFormatting>
  <conditionalFormatting sqref="A101:A103">
    <cfRule type="duplicateValues" dxfId="192" priority="156"/>
    <cfRule type="duplicateValues" dxfId="191" priority="157"/>
  </conditionalFormatting>
  <conditionalFormatting sqref="A116:A117">
    <cfRule type="duplicateValues" dxfId="190" priority="152"/>
  </conditionalFormatting>
  <conditionalFormatting sqref="A116:A117">
    <cfRule type="duplicateValues" dxfId="189" priority="153"/>
    <cfRule type="duplicateValues" dxfId="188" priority="154"/>
  </conditionalFormatting>
  <conditionalFormatting sqref="A118">
    <cfRule type="duplicateValues" dxfId="187" priority="148"/>
    <cfRule type="duplicateValues" dxfId="186" priority="149"/>
    <cfRule type="duplicateValues" dxfId="185" priority="150"/>
  </conditionalFormatting>
  <conditionalFormatting sqref="A118">
    <cfRule type="duplicateValues" dxfId="184" priority="151"/>
  </conditionalFormatting>
  <conditionalFormatting sqref="A118">
    <cfRule type="duplicateValues" dxfId="183" priority="146"/>
    <cfRule type="duplicateValues" dxfId="182" priority="147"/>
  </conditionalFormatting>
  <conditionalFormatting sqref="A118">
    <cfRule type="duplicateValues" dxfId="181" priority="145"/>
  </conditionalFormatting>
  <conditionalFormatting sqref="A129">
    <cfRule type="duplicateValues" dxfId="180" priority="141"/>
    <cfRule type="duplicateValues" dxfId="179" priority="142"/>
    <cfRule type="duplicateValues" dxfId="178" priority="143"/>
  </conditionalFormatting>
  <conditionalFormatting sqref="A129">
    <cfRule type="duplicateValues" dxfId="177" priority="144"/>
  </conditionalFormatting>
  <conditionalFormatting sqref="A129">
    <cfRule type="duplicateValues" dxfId="176" priority="139"/>
    <cfRule type="duplicateValues" dxfId="175" priority="140"/>
  </conditionalFormatting>
  <conditionalFormatting sqref="A129">
    <cfRule type="duplicateValues" dxfId="174" priority="138"/>
  </conditionalFormatting>
  <conditionalFormatting sqref="A154">
    <cfRule type="duplicateValues" dxfId="173" priority="135"/>
  </conditionalFormatting>
  <conditionalFormatting sqref="A154">
    <cfRule type="duplicateValues" dxfId="172" priority="136"/>
    <cfRule type="duplicateValues" dxfId="171" priority="137"/>
  </conditionalFormatting>
  <conditionalFormatting sqref="A155:A157">
    <cfRule type="duplicateValues" dxfId="170" priority="132"/>
  </conditionalFormatting>
  <conditionalFormatting sqref="A155:A157">
    <cfRule type="duplicateValues" dxfId="169" priority="133"/>
    <cfRule type="duplicateValues" dxfId="168" priority="134"/>
  </conditionalFormatting>
  <conditionalFormatting sqref="A64:A65">
    <cfRule type="duplicateValues" dxfId="167" priority="130"/>
    <cfRule type="duplicateValues" dxfId="166" priority="131"/>
  </conditionalFormatting>
  <conditionalFormatting sqref="A64:A65">
    <cfRule type="duplicateValues" dxfId="165" priority="129"/>
  </conditionalFormatting>
  <conditionalFormatting sqref="A66:A67">
    <cfRule type="duplicateValues" dxfId="164" priority="127"/>
    <cfRule type="duplicateValues" dxfId="163" priority="128"/>
  </conditionalFormatting>
  <conditionalFormatting sqref="A66:A67">
    <cfRule type="duplicateValues" dxfId="162" priority="126"/>
  </conditionalFormatting>
  <conditionalFormatting sqref="A68:A69">
    <cfRule type="duplicateValues" dxfId="161" priority="124"/>
    <cfRule type="duplicateValues" dxfId="160" priority="125"/>
  </conditionalFormatting>
  <conditionalFormatting sqref="A68:A69">
    <cfRule type="duplicateValues" dxfId="159" priority="123"/>
  </conditionalFormatting>
  <conditionalFormatting sqref="A70">
    <cfRule type="duplicateValues" dxfId="158" priority="121"/>
    <cfRule type="duplicateValues" dxfId="157" priority="122"/>
  </conditionalFormatting>
  <conditionalFormatting sqref="A70">
    <cfRule type="duplicateValues" dxfId="156" priority="120"/>
  </conditionalFormatting>
  <conditionalFormatting sqref="A71:A72">
    <cfRule type="duplicateValues" dxfId="155" priority="118"/>
    <cfRule type="duplicateValues" dxfId="154" priority="119"/>
  </conditionalFormatting>
  <conditionalFormatting sqref="A71:A72">
    <cfRule type="duplicateValues" dxfId="153" priority="117"/>
  </conditionalFormatting>
  <conditionalFormatting sqref="A73:A74">
    <cfRule type="duplicateValues" dxfId="152" priority="115"/>
    <cfRule type="duplicateValues" dxfId="151" priority="116"/>
  </conditionalFormatting>
  <conditionalFormatting sqref="A73:A74">
    <cfRule type="duplicateValues" dxfId="150" priority="114"/>
  </conditionalFormatting>
  <conditionalFormatting sqref="A75:A76">
    <cfRule type="duplicateValues" dxfId="149" priority="112"/>
    <cfRule type="duplicateValues" dxfId="148" priority="113"/>
  </conditionalFormatting>
  <conditionalFormatting sqref="A75:A76">
    <cfRule type="duplicateValues" dxfId="147" priority="111"/>
  </conditionalFormatting>
  <conditionalFormatting sqref="A77">
    <cfRule type="duplicateValues" dxfId="146" priority="109"/>
    <cfRule type="duplicateValues" dxfId="145" priority="110"/>
  </conditionalFormatting>
  <conditionalFormatting sqref="A77">
    <cfRule type="duplicateValues" dxfId="144" priority="108"/>
  </conditionalFormatting>
  <conditionalFormatting sqref="A78">
    <cfRule type="duplicateValues" dxfId="143" priority="106"/>
    <cfRule type="duplicateValues" dxfId="142" priority="107"/>
  </conditionalFormatting>
  <conditionalFormatting sqref="A78">
    <cfRule type="duplicateValues" dxfId="141" priority="105"/>
  </conditionalFormatting>
  <conditionalFormatting sqref="A79:A80">
    <cfRule type="duplicateValues" dxfId="140" priority="103"/>
    <cfRule type="duplicateValues" dxfId="139" priority="104"/>
  </conditionalFormatting>
  <conditionalFormatting sqref="A79:A80">
    <cfRule type="duplicateValues" dxfId="138" priority="102"/>
  </conditionalFormatting>
  <conditionalFormatting sqref="A135:A143">
    <cfRule type="duplicateValues" dxfId="137" priority="100"/>
    <cfRule type="duplicateValues" dxfId="136" priority="101"/>
  </conditionalFormatting>
  <conditionalFormatting sqref="A135:A143">
    <cfRule type="duplicateValues" dxfId="135" priority="99"/>
  </conditionalFormatting>
  <conditionalFormatting sqref="A191">
    <cfRule type="duplicateValues" dxfId="134" priority="95"/>
    <cfRule type="duplicateValues" dxfId="133" priority="96"/>
    <cfRule type="duplicateValues" dxfId="132" priority="97"/>
  </conditionalFormatting>
  <conditionalFormatting sqref="A191">
    <cfRule type="duplicateValues" dxfId="131" priority="98"/>
  </conditionalFormatting>
  <conditionalFormatting sqref="A191">
    <cfRule type="duplicateValues" dxfId="130" priority="93"/>
    <cfRule type="duplicateValues" dxfId="129" priority="94"/>
  </conditionalFormatting>
  <conditionalFormatting sqref="A191">
    <cfRule type="duplicateValues" dxfId="128" priority="92"/>
  </conditionalFormatting>
  <conditionalFormatting sqref="A219">
    <cfRule type="duplicateValues" dxfId="127" priority="88"/>
    <cfRule type="duplicateValues" dxfId="126" priority="89"/>
    <cfRule type="duplicateValues" dxfId="125" priority="90"/>
  </conditionalFormatting>
  <conditionalFormatting sqref="A219">
    <cfRule type="duplicateValues" dxfId="124" priority="91"/>
  </conditionalFormatting>
  <conditionalFormatting sqref="A219">
    <cfRule type="duplicateValues" dxfId="123" priority="86"/>
    <cfRule type="duplicateValues" dxfId="122" priority="87"/>
  </conditionalFormatting>
  <conditionalFormatting sqref="A219">
    <cfRule type="duplicateValues" dxfId="121" priority="85"/>
  </conditionalFormatting>
  <conditionalFormatting sqref="A215:A216">
    <cfRule type="duplicateValues" dxfId="120" priority="82"/>
  </conditionalFormatting>
  <conditionalFormatting sqref="A215:A216">
    <cfRule type="duplicateValues" dxfId="119" priority="83"/>
    <cfRule type="duplicateValues" dxfId="118" priority="84"/>
  </conditionalFormatting>
  <conditionalFormatting sqref="A214">
    <cfRule type="duplicateValues" dxfId="117" priority="80"/>
    <cfRule type="duplicateValues" dxfId="116" priority="81"/>
  </conditionalFormatting>
  <conditionalFormatting sqref="A214">
    <cfRule type="duplicateValues" dxfId="115" priority="79"/>
  </conditionalFormatting>
  <conditionalFormatting sqref="A184">
    <cfRule type="duplicateValues" dxfId="114" priority="77"/>
    <cfRule type="duplicateValues" dxfId="113" priority="78"/>
  </conditionalFormatting>
  <conditionalFormatting sqref="A184">
    <cfRule type="duplicateValues" dxfId="112" priority="76"/>
  </conditionalFormatting>
  <conditionalFormatting sqref="A227">
    <cfRule type="duplicateValues" dxfId="111" priority="72"/>
    <cfRule type="duplicateValues" dxfId="110" priority="73"/>
    <cfRule type="duplicateValues" dxfId="109" priority="74"/>
  </conditionalFormatting>
  <conditionalFormatting sqref="A227">
    <cfRule type="duplicateValues" dxfId="108" priority="75"/>
  </conditionalFormatting>
  <conditionalFormatting sqref="A227">
    <cfRule type="duplicateValues" dxfId="107" priority="70"/>
    <cfRule type="duplicateValues" dxfId="106" priority="71"/>
  </conditionalFormatting>
  <conditionalFormatting sqref="A227">
    <cfRule type="duplicateValues" dxfId="105" priority="69"/>
  </conditionalFormatting>
  <conditionalFormatting sqref="A262:A265">
    <cfRule type="duplicateValues" dxfId="104" priority="66"/>
  </conditionalFormatting>
  <conditionalFormatting sqref="A262:A265">
    <cfRule type="duplicateValues" dxfId="103" priority="67"/>
    <cfRule type="duplicateValues" dxfId="102" priority="68"/>
  </conditionalFormatting>
  <conditionalFormatting sqref="A273:A274">
    <cfRule type="duplicateValues" dxfId="101" priority="63"/>
  </conditionalFormatting>
  <conditionalFormatting sqref="A273:A274">
    <cfRule type="duplicateValues" dxfId="100" priority="64"/>
    <cfRule type="duplicateValues" dxfId="99" priority="65"/>
  </conditionalFormatting>
  <conditionalFormatting sqref="A91">
    <cfRule type="duplicateValues" dxfId="98" priority="61"/>
    <cfRule type="duplicateValues" dxfId="97" priority="62"/>
  </conditionalFormatting>
  <conditionalFormatting sqref="A91">
    <cfRule type="duplicateValues" dxfId="96" priority="60"/>
  </conditionalFormatting>
  <conditionalFormatting sqref="A85">
    <cfRule type="duplicateValues" dxfId="95" priority="163"/>
    <cfRule type="duplicateValues" dxfId="94" priority="164"/>
  </conditionalFormatting>
  <conditionalFormatting sqref="A85">
    <cfRule type="duplicateValues" dxfId="93" priority="165"/>
  </conditionalFormatting>
  <conditionalFormatting sqref="A87">
    <cfRule type="duplicateValues" dxfId="92" priority="166"/>
    <cfRule type="duplicateValues" dxfId="91" priority="167"/>
  </conditionalFormatting>
  <conditionalFormatting sqref="A87">
    <cfRule type="duplicateValues" dxfId="90" priority="168"/>
  </conditionalFormatting>
  <conditionalFormatting sqref="A88">
    <cfRule type="duplicateValues" dxfId="89" priority="169"/>
    <cfRule type="duplicateValues" dxfId="88" priority="170"/>
  </conditionalFormatting>
  <conditionalFormatting sqref="A88">
    <cfRule type="duplicateValues" dxfId="87" priority="171"/>
  </conditionalFormatting>
  <conditionalFormatting sqref="A86">
    <cfRule type="duplicateValues" dxfId="86" priority="172"/>
    <cfRule type="duplicateValues" dxfId="85" priority="173"/>
  </conditionalFormatting>
  <conditionalFormatting sqref="A86">
    <cfRule type="duplicateValues" dxfId="84" priority="174"/>
  </conditionalFormatting>
  <conditionalFormatting sqref="A89">
    <cfRule type="duplicateValues" dxfId="83" priority="175"/>
    <cfRule type="duplicateValues" dxfId="82" priority="176"/>
  </conditionalFormatting>
  <conditionalFormatting sqref="A89">
    <cfRule type="duplicateValues" dxfId="81" priority="177"/>
  </conditionalFormatting>
  <conditionalFormatting sqref="A90">
    <cfRule type="duplicateValues" dxfId="80" priority="178"/>
    <cfRule type="duplicateValues" dxfId="79" priority="179"/>
  </conditionalFormatting>
  <conditionalFormatting sqref="A90">
    <cfRule type="duplicateValues" dxfId="78" priority="180"/>
  </conditionalFormatting>
  <conditionalFormatting sqref="A720:A722">
    <cfRule type="duplicateValues" dxfId="77" priority="57"/>
  </conditionalFormatting>
  <conditionalFormatting sqref="A720:A722">
    <cfRule type="duplicateValues" dxfId="76" priority="58"/>
    <cfRule type="duplicateValues" dxfId="75" priority="59"/>
  </conditionalFormatting>
  <conditionalFormatting sqref="A633">
    <cfRule type="duplicateValues" dxfId="74" priority="56"/>
  </conditionalFormatting>
  <conditionalFormatting sqref="A668">
    <cfRule type="duplicateValues" dxfId="73" priority="55"/>
  </conditionalFormatting>
  <conditionalFormatting sqref="A600">
    <cfRule type="duplicateValues" dxfId="72" priority="54"/>
  </conditionalFormatting>
  <conditionalFormatting sqref="A550:A552">
    <cfRule type="duplicateValues" dxfId="71" priority="51"/>
    <cfRule type="duplicateValues" dxfId="70" priority="52"/>
  </conditionalFormatting>
  <conditionalFormatting sqref="A550:A552">
    <cfRule type="duplicateValues" dxfId="69" priority="53"/>
  </conditionalFormatting>
  <conditionalFormatting sqref="A556:A558">
    <cfRule type="duplicateValues" dxfId="68" priority="48"/>
    <cfRule type="duplicateValues" dxfId="67" priority="49"/>
  </conditionalFormatting>
  <conditionalFormatting sqref="A556:A558">
    <cfRule type="duplicateValues" dxfId="66" priority="50"/>
  </conditionalFormatting>
  <conditionalFormatting sqref="A425">
    <cfRule type="duplicateValues" dxfId="65" priority="46"/>
    <cfRule type="duplicateValues" dxfId="64" priority="47"/>
  </conditionalFormatting>
  <conditionalFormatting sqref="A425">
    <cfRule type="duplicateValues" dxfId="63" priority="45"/>
  </conditionalFormatting>
  <conditionalFormatting sqref="A14:A18">
    <cfRule type="duplicateValues" dxfId="62" priority="38"/>
    <cfRule type="duplicateValues" dxfId="61" priority="39"/>
    <cfRule type="duplicateValues" dxfId="60" priority="40"/>
  </conditionalFormatting>
  <conditionalFormatting sqref="A14:A18">
    <cfRule type="duplicateValues" dxfId="59" priority="41"/>
  </conditionalFormatting>
  <conditionalFormatting sqref="A14:A18">
    <cfRule type="duplicateValues" dxfId="58" priority="42"/>
    <cfRule type="duplicateValues" dxfId="57" priority="43"/>
  </conditionalFormatting>
  <conditionalFormatting sqref="A14:A18">
    <cfRule type="duplicateValues" dxfId="56" priority="44"/>
  </conditionalFormatting>
  <conditionalFormatting sqref="A19">
    <cfRule type="duplicateValues" dxfId="55" priority="34"/>
    <cfRule type="duplicateValues" dxfId="54" priority="35"/>
    <cfRule type="duplicateValues" dxfId="53" priority="36"/>
  </conditionalFormatting>
  <conditionalFormatting sqref="A19">
    <cfRule type="duplicateValues" dxfId="52" priority="37"/>
  </conditionalFormatting>
  <conditionalFormatting sqref="A19">
    <cfRule type="duplicateValues" dxfId="51" priority="32"/>
    <cfRule type="duplicateValues" dxfId="50" priority="33"/>
  </conditionalFormatting>
  <conditionalFormatting sqref="A19">
    <cfRule type="duplicateValues" dxfId="49" priority="31"/>
  </conditionalFormatting>
  <conditionalFormatting sqref="A96:A97">
    <cfRule type="duplicateValues" dxfId="48" priority="181"/>
  </conditionalFormatting>
  <conditionalFormatting sqref="A158">
    <cfRule type="duplicateValues" dxfId="47" priority="28"/>
  </conditionalFormatting>
  <conditionalFormatting sqref="A158">
    <cfRule type="duplicateValues" dxfId="46" priority="29"/>
    <cfRule type="duplicateValues" dxfId="45" priority="30"/>
  </conditionalFormatting>
  <conditionalFormatting sqref="A20">
    <cfRule type="duplicateValues" dxfId="44" priority="182"/>
    <cfRule type="duplicateValues" dxfId="43" priority="183"/>
  </conditionalFormatting>
  <conditionalFormatting sqref="A20">
    <cfRule type="duplicateValues" dxfId="42" priority="184"/>
  </conditionalFormatting>
  <conditionalFormatting sqref="A278:A279">
    <cfRule type="duplicateValues" dxfId="41" priority="25"/>
  </conditionalFormatting>
  <conditionalFormatting sqref="A278:A279">
    <cfRule type="duplicateValues" dxfId="40" priority="26"/>
    <cfRule type="duplicateValues" dxfId="39" priority="27"/>
  </conditionalFormatting>
  <conditionalFormatting sqref="A284:A285">
    <cfRule type="duplicateValues" dxfId="38" priority="22"/>
  </conditionalFormatting>
  <conditionalFormatting sqref="A284:A285">
    <cfRule type="duplicateValues" dxfId="37" priority="23"/>
    <cfRule type="duplicateValues" dxfId="36" priority="24"/>
  </conditionalFormatting>
  <conditionalFormatting sqref="A286:A287">
    <cfRule type="duplicateValues" dxfId="35" priority="19"/>
  </conditionalFormatting>
  <conditionalFormatting sqref="A286:A287">
    <cfRule type="duplicateValues" dxfId="34" priority="20"/>
    <cfRule type="duplicateValues" dxfId="33" priority="21"/>
  </conditionalFormatting>
  <conditionalFormatting sqref="A298:A299">
    <cfRule type="duplicateValues" dxfId="32" priority="16"/>
  </conditionalFormatting>
  <conditionalFormatting sqref="A298:A299">
    <cfRule type="duplicateValues" dxfId="31" priority="17"/>
    <cfRule type="duplicateValues" dxfId="30" priority="18"/>
  </conditionalFormatting>
  <conditionalFormatting sqref="A559">
    <cfRule type="duplicateValues" dxfId="29" priority="9"/>
    <cfRule type="duplicateValues" dxfId="28" priority="10"/>
    <cfRule type="duplicateValues" dxfId="27" priority="11"/>
  </conditionalFormatting>
  <conditionalFormatting sqref="A559">
    <cfRule type="duplicateValues" dxfId="26" priority="12"/>
  </conditionalFormatting>
  <conditionalFormatting sqref="A559:A561">
    <cfRule type="duplicateValues" dxfId="25" priority="13"/>
    <cfRule type="duplicateValues" dxfId="24" priority="14"/>
  </conditionalFormatting>
  <conditionalFormatting sqref="A559:A561">
    <cfRule type="duplicateValues" dxfId="23" priority="15"/>
  </conditionalFormatting>
  <conditionalFormatting sqref="A553:A555">
    <cfRule type="duplicateValues" dxfId="22" priority="6"/>
    <cfRule type="duplicateValues" dxfId="21" priority="7"/>
  </conditionalFormatting>
  <conditionalFormatting sqref="A553:A555">
    <cfRule type="duplicateValues" dxfId="20" priority="8"/>
  </conditionalFormatting>
  <conditionalFormatting sqref="A816:A818">
    <cfRule type="duplicateValues" dxfId="19" priority="185"/>
    <cfRule type="duplicateValues" dxfId="18" priority="186"/>
    <cfRule type="duplicateValues" dxfId="17" priority="187"/>
  </conditionalFormatting>
  <conditionalFormatting sqref="A816:A818">
    <cfRule type="duplicateValues" dxfId="16" priority="188"/>
  </conditionalFormatting>
  <conditionalFormatting sqref="A816:A818">
    <cfRule type="duplicateValues" dxfId="15" priority="189"/>
    <cfRule type="duplicateValues" dxfId="14" priority="190"/>
  </conditionalFormatting>
  <conditionalFormatting sqref="A810 A808">
    <cfRule type="duplicateValues" dxfId="13" priority="191"/>
    <cfRule type="duplicateValues" dxfId="12" priority="192"/>
    <cfRule type="duplicateValues" dxfId="11" priority="193"/>
  </conditionalFormatting>
  <conditionalFormatting sqref="A810 A808">
    <cfRule type="duplicateValues" dxfId="10" priority="194"/>
  </conditionalFormatting>
  <conditionalFormatting sqref="A810 A808">
    <cfRule type="duplicateValues" dxfId="9" priority="195"/>
    <cfRule type="duplicateValues" dxfId="8" priority="196"/>
  </conditionalFormatting>
  <conditionalFormatting sqref="A800">
    <cfRule type="duplicateValues" dxfId="7" priority="4"/>
  </conditionalFormatting>
  <conditionalFormatting sqref="A800">
    <cfRule type="duplicateValues" dxfId="6" priority="5"/>
  </conditionalFormatting>
  <conditionalFormatting sqref="A775:A791">
    <cfRule type="duplicateValues" dxfId="5" priority="2"/>
  </conditionalFormatting>
  <conditionalFormatting sqref="A775:A791">
    <cfRule type="duplicateValues" dxfId="4" priority="3"/>
  </conditionalFormatting>
  <conditionalFormatting sqref="A680:A719">
    <cfRule type="duplicateValues" dxfId="3" priority="1"/>
  </conditionalFormatting>
  <conditionalFormatting sqref="A92">
    <cfRule type="duplicateValues" dxfId="2" priority="197"/>
    <cfRule type="duplicateValues" dxfId="1" priority="198"/>
  </conditionalFormatting>
  <conditionalFormatting sqref="A92">
    <cfRule type="duplicateValues" dxfId="0" priority="199"/>
  </conditionalFormatting>
  <pageMargins left="0.70866141732283472" right="0.70866141732283472" top="0.78740157480314965" bottom="0.78740157480314965" header="0.31496062992125984" footer="0.31496062992125984"/>
  <pageSetup scale="47" fitToHeight="0" orientation="portrait" r:id="rId1"/>
  <headerFooter>
    <oddHeader>&amp;C&amp;"-,Fett"&amp;16SPARE PARTS
Price List 2018</oddHead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e9ec718-9767-489a-bedd-b8a0d888e315">56VWJNN5PWJQ-7-24036</_dlc_DocId>
    <_dlc_DocIdUrl xmlns="1e9ec718-9767-489a-bedd-b8a0d888e315">
      <Url>http://gldasp06/commmgt/_layouts/DocIdRedir.aspx?ID=56VWJNN5PWJQ-7-24036</Url>
      <Description>56VWJNN5PWJQ-7-24036</Description>
    </_dlc_DocIdUrl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6FB7600ECD6439C9451C9C36A7598" ma:contentTypeVersion="1" ma:contentTypeDescription="Create a new document." ma:contentTypeScope="" ma:versionID="ec125cbed2e5fece81bb15f4bd718ad8">
  <xsd:schema xmlns:xsd="http://www.w3.org/2001/XMLSchema" xmlns:xs="http://www.w3.org/2001/XMLSchema" xmlns:p="http://schemas.microsoft.com/office/2006/metadata/properties" xmlns:ns2="1e9ec718-9767-489a-bedd-b8a0d888e315" targetNamespace="http://schemas.microsoft.com/office/2006/metadata/properties" ma:root="true" ma:fieldsID="e461e2abf6548bf9dbe78e794f3a9a1b" ns2:_="">
    <xsd:import namespace="1e9ec718-9767-489a-bedd-b8a0d888e31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c718-9767-489a-bedd-b8a0d888e31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1D7620-ED76-4755-8C07-21E76F56EDCB}"/>
</file>

<file path=customXml/itemProps2.xml><?xml version="1.0" encoding="utf-8"?>
<ds:datastoreItem xmlns:ds="http://schemas.openxmlformats.org/officeDocument/2006/customXml" ds:itemID="{C4AEB978-D21F-42D0-A88D-8A64BE364664}"/>
</file>

<file path=customXml/itemProps3.xml><?xml version="1.0" encoding="utf-8"?>
<ds:datastoreItem xmlns:ds="http://schemas.openxmlformats.org/officeDocument/2006/customXml" ds:itemID="{D53B6A1A-75B1-463E-AF90-C90E62640137}"/>
</file>

<file path=customXml/itemProps4.xml><?xml version="1.0" encoding="utf-8"?>
<ds:datastoreItem xmlns:ds="http://schemas.openxmlformats.org/officeDocument/2006/customXml" ds:itemID="{93606FBD-50F4-43ED-8B62-B1B03F67C7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BRITAX RÖMER Kindersicherheit GmbH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Jehle, Ilona</dc:creator>
  <cp:keywords/>
  <dc:description/>
  <cp:lastModifiedBy>Sarah Behrendt</cp:lastModifiedBy>
  <cp:revision/>
  <dcterms:created xsi:type="dcterms:W3CDTF">2018-02-13T11:03:19Z</dcterms:created>
  <dcterms:modified xsi:type="dcterms:W3CDTF">2020-10-12T11:07:29Z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0x010100B8A6FB7600ECD6439C9451C9C36A7598</vt:lpwstr>
  </property>
  <property fmtid="{D5CDD505-2E9C-101B-9397-08002B2CF9AE}" pid="3" name="_dlc_DocIdItemGuid">
    <vt:lpwstr>2b6f153b-7246-4ece-bb5c-0f56fc8e7b6f</vt:lpwstr>
  </property>
</Properties>
</file>