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8_{7D6FCA17-3A44-4E3F-BF28-2D748E4F0E0C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JANE 01" sheetId="2" r:id="rId1"/>
    <sheet name="MATERNAL 03" sheetId="1" r:id="rId2"/>
    <sheet name="PUERICULTURA 05" sheetId="3" r:id="rId3"/>
    <sheet name="BE COOL 06" sheetId="7" r:id="rId4"/>
  </sheets>
  <definedNames>
    <definedName name="_xlnm._FilterDatabase" localSheetId="3" hidden="1">'BE COOL 06'!$A$2:$F$58</definedName>
    <definedName name="_xlnm._FilterDatabase" localSheetId="0" hidden="1">'JANE 01'!$A$2:$F$201</definedName>
    <definedName name="_xlnm._FilterDatabase" localSheetId="2" hidden="1">'PUERICULTURA 05'!$A$3:$G$58</definedName>
  </definedNames>
  <calcPr calcId="191029"/>
</workbook>
</file>

<file path=xl/calcChain.xml><?xml version="1.0" encoding="utf-8"?>
<calcChain xmlns="http://schemas.openxmlformats.org/spreadsheetml/2006/main">
  <c r="F431" i="1" l="1"/>
  <c r="F429" i="1"/>
  <c r="F309" i="1"/>
  <c r="F275" i="1"/>
  <c r="F217" i="1"/>
  <c r="F215" i="1"/>
  <c r="F189" i="1"/>
  <c r="F149" i="1"/>
  <c r="F143" i="1"/>
  <c r="F125" i="1"/>
  <c r="F119" i="1"/>
  <c r="F117" i="1"/>
  <c r="F41" i="1"/>
  <c r="F25" i="1"/>
  <c r="F23" i="1"/>
  <c r="F19" i="1"/>
  <c r="F15" i="1"/>
  <c r="F13" i="1"/>
</calcChain>
</file>

<file path=xl/sharedStrings.xml><?xml version="1.0" encoding="utf-8"?>
<sst xmlns="http://schemas.openxmlformats.org/spreadsheetml/2006/main" count="3578" uniqueCount="1415">
  <si>
    <t>EAN</t>
  </si>
  <si>
    <t>8420421073872</t>
  </si>
  <si>
    <t>010277 T82</t>
  </si>
  <si>
    <t>DOSIFICADOR 4 CUERPOS COSMOS</t>
  </si>
  <si>
    <t>C6</t>
  </si>
  <si>
    <t>UN</t>
  </si>
  <si>
    <t>8420421076095</t>
  </si>
  <si>
    <t>010278 U05</t>
  </si>
  <si>
    <t>CONTENEDOR TÉRMICO DIM GREY</t>
  </si>
  <si>
    <t>8420421059784</t>
  </si>
  <si>
    <t>010279C01</t>
  </si>
  <si>
    <t>MARCO FOTOS CON UNA HUELLA</t>
  </si>
  <si>
    <t>C4</t>
  </si>
  <si>
    <t>8420421059791</t>
  </si>
  <si>
    <t>010280C01</t>
  </si>
  <si>
    <t>MARCO FOTOS CON DOS HUELLAS</t>
  </si>
  <si>
    <t>8420421077054</t>
  </si>
  <si>
    <t>010281 U13</t>
  </si>
  <si>
    <t>TAZA ANTIGOTEO MINT</t>
  </si>
  <si>
    <t>C8</t>
  </si>
  <si>
    <t>8420421034880</t>
  </si>
  <si>
    <t>010316C01</t>
  </si>
  <si>
    <t>COLGADOR MULTIFUNCIONES</t>
  </si>
  <si>
    <t>C12</t>
  </si>
  <si>
    <t>8420421063309</t>
  </si>
  <si>
    <t>010319C01</t>
  </si>
  <si>
    <t>MINI MOSQUETONES 2U.</t>
  </si>
  <si>
    <t>8420421029909</t>
  </si>
  <si>
    <t>010344C01</t>
  </si>
  <si>
    <t>CALIENTABIBERON CASA-COCHE</t>
  </si>
  <si>
    <t>010363C01</t>
  </si>
  <si>
    <t>GO UP PLATAFORMA SILLA I-UPPY</t>
  </si>
  <si>
    <t>C2</t>
  </si>
  <si>
    <t>8420421054864</t>
  </si>
  <si>
    <t>010370C01</t>
  </si>
  <si>
    <t>ESTERILIZADOR 6 BIBERONES</t>
  </si>
  <si>
    <t>C3</t>
  </si>
  <si>
    <t>8420421078334</t>
  </si>
  <si>
    <t>010405 U09</t>
  </si>
  <si>
    <t>CUCHARA SILICONA LARGA 3-PACK</t>
  </si>
  <si>
    <t>8420421078341</t>
  </si>
  <si>
    <t>010405 U13</t>
  </si>
  <si>
    <t>8420421104644</t>
  </si>
  <si>
    <t>010464C01</t>
  </si>
  <si>
    <t>TERMO BIB.LIQU.INOX.THERMIC LI</t>
  </si>
  <si>
    <t>8420421019986</t>
  </si>
  <si>
    <t>010491C01</t>
  </si>
  <si>
    <t>TERMO SOLID.INOX.2X500 TH.LINE</t>
  </si>
  <si>
    <t>8420421003503</t>
  </si>
  <si>
    <t>010496C01</t>
  </si>
  <si>
    <t>TERMO SOLID.1L 2 COMP.THERMIC</t>
  </si>
  <si>
    <t>8420421070987</t>
  </si>
  <si>
    <t>010497 U05</t>
  </si>
  <si>
    <t>TERMO PLÁST.SOLID 550CC D.GREY</t>
  </si>
  <si>
    <t>8420421071724</t>
  </si>
  <si>
    <t>010497 U09</t>
  </si>
  <si>
    <t>TERMO PLÁSTIC SOLID 550CC PALE</t>
  </si>
  <si>
    <t>8420421071441</t>
  </si>
  <si>
    <t>010497 U13</t>
  </si>
  <si>
    <t>TERMO PLÁSTIC SOLID 550CC MINT</t>
  </si>
  <si>
    <t>8420421041048</t>
  </si>
  <si>
    <t>010502C01</t>
  </si>
  <si>
    <t>CEPILLO LIMPIABIBERONES</t>
  </si>
  <si>
    <t>8420421071731</t>
  </si>
  <si>
    <t>010509 T82</t>
  </si>
  <si>
    <t>SET CUCHARA SILICONA COSMOS</t>
  </si>
  <si>
    <t>CB</t>
  </si>
  <si>
    <t>8420421079843</t>
  </si>
  <si>
    <t>010511 U53</t>
  </si>
  <si>
    <t>TERMO LIQUI.INOX.500ML LAZULI</t>
  </si>
  <si>
    <t>8420421071922</t>
  </si>
  <si>
    <t>010512 U13</t>
  </si>
  <si>
    <t>TERMO SÓLID.550CC C/TRAVEL BAG</t>
  </si>
  <si>
    <t>8420421071458</t>
  </si>
  <si>
    <t>010514 U09</t>
  </si>
  <si>
    <t>SNAP BABERO SOFT PALE</t>
  </si>
  <si>
    <t>8420421071700</t>
  </si>
  <si>
    <t>010514 U13</t>
  </si>
  <si>
    <t>SNAP BABERO SOFT MINT</t>
  </si>
  <si>
    <t>8420421070123</t>
  </si>
  <si>
    <t>010516 T93</t>
  </si>
  <si>
    <t>TERMO ISOTERMIC 350 ML ANTIDES</t>
  </si>
  <si>
    <t>8420421070130</t>
  </si>
  <si>
    <t>010516 T94</t>
  </si>
  <si>
    <t>8420421070109</t>
  </si>
  <si>
    <t>010517 T93</t>
  </si>
  <si>
    <t>TERMO ISOTERMIC 500 ML ANTIDES</t>
  </si>
  <si>
    <t>8420421070116</t>
  </si>
  <si>
    <t>010517 T94</t>
  </si>
  <si>
    <t>8420421074978</t>
  </si>
  <si>
    <t>010518 T82</t>
  </si>
  <si>
    <t>APILABLE BABY BOWLS COSMOS</t>
  </si>
  <si>
    <t>8420421079331</t>
  </si>
  <si>
    <t>010520 T54</t>
  </si>
  <si>
    <t>SET VAJILLA PLATO TERM.BUSYBEA</t>
  </si>
  <si>
    <t>8420421079836</t>
  </si>
  <si>
    <t>010520 U53</t>
  </si>
  <si>
    <t>SET VAJILLA PLATO TERM.LAZULI</t>
  </si>
  <si>
    <t>010617 U05</t>
  </si>
  <si>
    <t>BAMBOO MUSLINS (100x100 cm)</t>
  </si>
  <si>
    <t>010617 U07</t>
  </si>
  <si>
    <t>010617 U09</t>
  </si>
  <si>
    <t>010617 U53</t>
  </si>
  <si>
    <t>8420421071113</t>
  </si>
  <si>
    <t>020148 U09</t>
  </si>
  <si>
    <t>CAJITA PORTACHUPETES PALE</t>
  </si>
  <si>
    <t>8420421071076</t>
  </si>
  <si>
    <t>020148 U10</t>
  </si>
  <si>
    <t>CAJITA PORTACHUPETES SAND</t>
  </si>
  <si>
    <t>8420421071489</t>
  </si>
  <si>
    <t>020148 U13</t>
  </si>
  <si>
    <t>CAJITA PORTACHUPETES MINT</t>
  </si>
  <si>
    <t>8420421071564</t>
  </si>
  <si>
    <t>020149 U09</t>
  </si>
  <si>
    <t>PINZA SUJETACHUPETES PALE</t>
  </si>
  <si>
    <t>8420421071106</t>
  </si>
  <si>
    <t>020149 U10</t>
  </si>
  <si>
    <t>PINZA SUJETACHUPETES SAND</t>
  </si>
  <si>
    <t>8420421071618</t>
  </si>
  <si>
    <t>020149 U13</t>
  </si>
  <si>
    <t>PINZA SUJETACHUPETES MINT</t>
  </si>
  <si>
    <t>020205 U13</t>
  </si>
  <si>
    <t>BLEND ALIMENT.ANTIAH.SILIC.MIN</t>
  </si>
  <si>
    <t>8420421202128</t>
  </si>
  <si>
    <t>020212C01</t>
  </si>
  <si>
    <t>MORDEDOR REFR.TEL/LLAVE : -</t>
  </si>
  <si>
    <t>8420421202159</t>
  </si>
  <si>
    <t>020215C01</t>
  </si>
  <si>
    <t>MORDEDOR MANO/PIE</t>
  </si>
  <si>
    <t>8420421079508</t>
  </si>
  <si>
    <t>020224 U09</t>
  </si>
  <si>
    <t>MORDEDOR SILICONA JIRAFA</t>
  </si>
  <si>
    <t>8420421079515</t>
  </si>
  <si>
    <t>020224 U13</t>
  </si>
  <si>
    <t>8420421071960</t>
  </si>
  <si>
    <t>020302 U09</t>
  </si>
  <si>
    <t>SONAJERO CLASSIC BALLS PALE</t>
  </si>
  <si>
    <t>8420421068564</t>
  </si>
  <si>
    <t>020306 T49</t>
  </si>
  <si>
    <t>SET REGALO STAR AQUAREL BLUE</t>
  </si>
  <si>
    <t>8420421069059</t>
  </si>
  <si>
    <t>020306 T51</t>
  </si>
  <si>
    <t>SET REGALO STAR BOHO PINK</t>
  </si>
  <si>
    <t>8420421069066</t>
  </si>
  <si>
    <t>020306 T52</t>
  </si>
  <si>
    <t>SET REGALO STAR BRONZE</t>
  </si>
  <si>
    <t>8420421076156</t>
  </si>
  <si>
    <t>020307 U09</t>
  </si>
  <si>
    <t>SONAJERO CLASSIC BELLS PALE</t>
  </si>
  <si>
    <t>8420421003794</t>
  </si>
  <si>
    <t>030602C01</t>
  </si>
  <si>
    <t>DELIGHT LUZ COMPAÑ.C/SEN.STAR</t>
  </si>
  <si>
    <t>8420421042038</t>
  </si>
  <si>
    <t>030603C01</t>
  </si>
  <si>
    <t>8420421074985</t>
  </si>
  <si>
    <t>030607C01</t>
  </si>
  <si>
    <t>LED MIRROR</t>
  </si>
  <si>
    <t>8420421079522</t>
  </si>
  <si>
    <t>030608C01</t>
  </si>
  <si>
    <t>8420421085233</t>
  </si>
  <si>
    <t>030616C01</t>
  </si>
  <si>
    <t>8420421085226</t>
  </si>
  <si>
    <t>030633C01</t>
  </si>
  <si>
    <t>8420421085271</t>
  </si>
  <si>
    <t>030634C01</t>
  </si>
  <si>
    <t>FRONT MIRROR</t>
  </si>
  <si>
    <t>8420421073889</t>
  </si>
  <si>
    <t>030700 O00</t>
  </si>
  <si>
    <t>YUM BEAR</t>
  </si>
  <si>
    <t>8420421074909</t>
  </si>
  <si>
    <t>030701 O00</t>
  </si>
  <si>
    <t>YUM BEAR BIG</t>
  </si>
  <si>
    <t>8420421048306</t>
  </si>
  <si>
    <t>040106C01</t>
  </si>
  <si>
    <t>ESPONJA NATURAL (2)</t>
  </si>
  <si>
    <t>8420421048313</t>
  </si>
  <si>
    <t>040107C01</t>
  </si>
  <si>
    <t>ESPONJA HIDROFILA (2)</t>
  </si>
  <si>
    <t>8420421071588</t>
  </si>
  <si>
    <t>040211 U10</t>
  </si>
  <si>
    <t>SET CEPILLO Y PEINE SAND</t>
  </si>
  <si>
    <t>8420421402139</t>
  </si>
  <si>
    <t>040213C01</t>
  </si>
  <si>
    <t>ASPIRADOR NASAL SOFT</t>
  </si>
  <si>
    <t>8420421071427</t>
  </si>
  <si>
    <t>040218 U09</t>
  </si>
  <si>
    <t>SET NECESER HIGIENE PALE</t>
  </si>
  <si>
    <t>8420421071120</t>
  </si>
  <si>
    <t>040218 U10</t>
  </si>
  <si>
    <t>SET NECESER HIGIENE SAND</t>
  </si>
  <si>
    <t>8420421071939</t>
  </si>
  <si>
    <t>040218 U13</t>
  </si>
  <si>
    <t>SET NECESER HIGIENE MINT</t>
  </si>
  <si>
    <t>8420421071946</t>
  </si>
  <si>
    <t>040221 U10</t>
  </si>
  <si>
    <t>SET NECESER BASIC SAND</t>
  </si>
  <si>
    <t>8420421071274</t>
  </si>
  <si>
    <t>040225 U09</t>
  </si>
  <si>
    <t>TIJERAS PRECISION PALE</t>
  </si>
  <si>
    <t>8420421071212</t>
  </si>
  <si>
    <t>040225 U13</t>
  </si>
  <si>
    <t>TIJERAS PRECISION MINT</t>
  </si>
  <si>
    <t>8420421076415</t>
  </si>
  <si>
    <t>040308 T49</t>
  </si>
  <si>
    <t>REDUCTOR PLATO DUCHA 60X60 AQU</t>
  </si>
  <si>
    <t>8420421040096</t>
  </si>
  <si>
    <t>040309C01</t>
  </si>
  <si>
    <t>SMART BATH BAÑERA-PLATO DUCHA</t>
  </si>
  <si>
    <t>8420421076446</t>
  </si>
  <si>
    <t>040323 T49</t>
  </si>
  <si>
    <t>FLOTADOR PARA BEBE AQUAREL BL</t>
  </si>
  <si>
    <t>8420421076439</t>
  </si>
  <si>
    <t>040332 T49</t>
  </si>
  <si>
    <t>FLOTADOR MAMA Y BEBE AQUAREL B</t>
  </si>
  <si>
    <t>8420421071250</t>
  </si>
  <si>
    <t>040336 T49</t>
  </si>
  <si>
    <t>ORINAL 3 EN 1 CON TAPA</t>
  </si>
  <si>
    <t>8420421071137</t>
  </si>
  <si>
    <t>040341 U05</t>
  </si>
  <si>
    <t>ADAPTADOR WC BLANDO D.GREY</t>
  </si>
  <si>
    <t>8420421071762</t>
  </si>
  <si>
    <t>040343 U05</t>
  </si>
  <si>
    <t>ELEVADOR 2 PELDAÑOS DIM GREY</t>
  </si>
  <si>
    <t>8420421067055</t>
  </si>
  <si>
    <t>040344 S58</t>
  </si>
  <si>
    <t>HAMACA DE BAÑO STAR</t>
  </si>
  <si>
    <t>8420421404027</t>
  </si>
  <si>
    <t>040402C01</t>
  </si>
  <si>
    <t>BRAGUITAS DESECHAB.(T.38-40)</t>
  </si>
  <si>
    <t>8420421404034</t>
  </si>
  <si>
    <t>040403C01</t>
  </si>
  <si>
    <t>BRAGUITAS DESECH.(T.42-44)</t>
  </si>
  <si>
    <t>8420421404041</t>
  </si>
  <si>
    <t>040404C01</t>
  </si>
  <si>
    <t>BRAGUITAS DESECHAB.(T.46-48)</t>
  </si>
  <si>
    <t>8420421022788</t>
  </si>
  <si>
    <t>040408C01</t>
  </si>
  <si>
    <t>5 BRAGUITAS MALLA EXTENS. T.U.</t>
  </si>
  <si>
    <t>8420421082416</t>
  </si>
  <si>
    <t>040410C01</t>
  </si>
  <si>
    <t>DISCOS LACTANCIA REUTILIZ. (M)</t>
  </si>
  <si>
    <t>8420421082423</t>
  </si>
  <si>
    <t>040411C01</t>
  </si>
  <si>
    <t>DISCOS LACTANCIA REUTILIZ. (L)</t>
  </si>
  <si>
    <t>8420421072899</t>
  </si>
  <si>
    <t>040521 T24</t>
  </si>
  <si>
    <t>BAÑERA HINCHABLE 3 POSICIONES</t>
  </si>
  <si>
    <t>8420421076422</t>
  </si>
  <si>
    <t>040529 T49</t>
  </si>
  <si>
    <t>BAÑERA HINCHABLE 3 POS.AQUAREL</t>
  </si>
  <si>
    <t>8420421065853</t>
  </si>
  <si>
    <t>050194C01</t>
  </si>
  <si>
    <t>HUMIDIFICADOR MOON MADERA</t>
  </si>
  <si>
    <t>050204 T34</t>
  </si>
  <si>
    <t>ARNES DE SEGURIDAD EVOLUTIVO</t>
  </si>
  <si>
    <t>050206C01</t>
  </si>
  <si>
    <t>COJIN PLAGIOCEFALIA C/ALMOHADA</t>
  </si>
  <si>
    <t>8420421008997</t>
  </si>
  <si>
    <t>8420421041772</t>
  </si>
  <si>
    <t>050222C01</t>
  </si>
  <si>
    <t>MOSQUITERA COCHECITO</t>
  </si>
  <si>
    <t>8420421502303</t>
  </si>
  <si>
    <t>050230C01</t>
  </si>
  <si>
    <t>MOSQUITERA CUNA</t>
  </si>
  <si>
    <t>8420421023563</t>
  </si>
  <si>
    <t>050272C01</t>
  </si>
  <si>
    <t>BURBUJA UNIVERSAL SILLA PASEO</t>
  </si>
  <si>
    <t>8420421060773</t>
  </si>
  <si>
    <t>050278 T01</t>
  </si>
  <si>
    <t>8420421032022</t>
  </si>
  <si>
    <t>050280C01</t>
  </si>
  <si>
    <t>BURBUJA KZ UNIV CAPAZO/GRUPO 0</t>
  </si>
  <si>
    <t>8420421032053</t>
  </si>
  <si>
    <t>050282C01</t>
  </si>
  <si>
    <t>BURBUJA CAPAZO</t>
  </si>
  <si>
    <t>050289 T01</t>
  </si>
  <si>
    <t>COJIN MATER.TEJ.ELAST.STAR</t>
  </si>
  <si>
    <t>050289 U53</t>
  </si>
  <si>
    <t>COJIN MATER.TEJ.ELAST.LAZULI BLUE</t>
  </si>
  <si>
    <t>8420421076316</t>
  </si>
  <si>
    <t>050292 U09</t>
  </si>
  <si>
    <t>COJIN MATERNAL XXL PALE</t>
  </si>
  <si>
    <t>050292 T01</t>
  </si>
  <si>
    <t>COJIN MATERNAL XXL STAR</t>
  </si>
  <si>
    <t>8420421071434</t>
  </si>
  <si>
    <t>050293 U05</t>
  </si>
  <si>
    <t>PARASOL PLEGABLE DIM GREY</t>
  </si>
  <si>
    <t>8420421079829</t>
  </si>
  <si>
    <t>050294 U53</t>
  </si>
  <si>
    <t>8420421058091</t>
  </si>
  <si>
    <t>050295 S58</t>
  </si>
  <si>
    <t>050296 T01</t>
  </si>
  <si>
    <t>COJIN LACTANC.C/ALMOH.STAR</t>
  </si>
  <si>
    <t>050296 U53</t>
  </si>
  <si>
    <t>COJIN LACTANC.C/ALMOH.LAZULI BLUE</t>
  </si>
  <si>
    <t>8420421065525</t>
  </si>
  <si>
    <t>050297 T48</t>
  </si>
  <si>
    <t>CORTINA  PARASOL GREY LAND</t>
  </si>
  <si>
    <t>8420421054178</t>
  </si>
  <si>
    <t>050314C01</t>
  </si>
  <si>
    <t>PROTECTOR ASIENTO AUTO</t>
  </si>
  <si>
    <t>8420421056714</t>
  </si>
  <si>
    <t>050316C01</t>
  </si>
  <si>
    <t>FUNDA ANTITÉRMICA SILLA AUTO</t>
  </si>
  <si>
    <t>8420421073032</t>
  </si>
  <si>
    <t>050317 T34</t>
  </si>
  <si>
    <t>COJIN APOYO CERVICAL S</t>
  </si>
  <si>
    <t>8420421073049</t>
  </si>
  <si>
    <t>050317 T62</t>
  </si>
  <si>
    <t>8420421073056</t>
  </si>
  <si>
    <t>050318 T34</t>
  </si>
  <si>
    <t>COJIN APOYO CERVICAL XL</t>
  </si>
  <si>
    <t>8420421073063</t>
  </si>
  <si>
    <t>050318 T62</t>
  </si>
  <si>
    <t>8420421075005</t>
  </si>
  <si>
    <t>050319 T01</t>
  </si>
  <si>
    <t>8420421082669</t>
  </si>
  <si>
    <t>050323 U53</t>
  </si>
  <si>
    <t>PARASOL SOCK (L) LAZULI BLUE</t>
  </si>
  <si>
    <t>8420421082461</t>
  </si>
  <si>
    <t>050323C01</t>
  </si>
  <si>
    <t>PARASOL SOCK (L)</t>
  </si>
  <si>
    <t>8420421082713</t>
  </si>
  <si>
    <t>050324 U53</t>
  </si>
  <si>
    <t>PARASOL SOCK (XL) LAZULI BLUE</t>
  </si>
  <si>
    <t>8420421082478</t>
  </si>
  <si>
    <t>050324C01</t>
  </si>
  <si>
    <t>PARASOL SOCK (XL)</t>
  </si>
  <si>
    <t>050325C01</t>
  </si>
  <si>
    <t>050326C01</t>
  </si>
  <si>
    <t>050327C01</t>
  </si>
  <si>
    <t>8420421078693</t>
  </si>
  <si>
    <t>050476C01</t>
  </si>
  <si>
    <t>VIGILABEBE SINCRO SCREEN P 4,3</t>
  </si>
  <si>
    <t>8420421074268</t>
  </si>
  <si>
    <t>050477C01</t>
  </si>
  <si>
    <t>VIGILABEBE SINCRO BABYGUARD</t>
  </si>
  <si>
    <t>8420421072509</t>
  </si>
  <si>
    <t>060230 T48</t>
  </si>
  <si>
    <t>MOCHILA REVOLUTION LIGHT GREYL</t>
  </si>
  <si>
    <t>8420421072516</t>
  </si>
  <si>
    <t>060230 T80</t>
  </si>
  <si>
    <t>MOCHILA REVOLUTION LIGHT HORIZ</t>
  </si>
  <si>
    <t>8420421076453</t>
  </si>
  <si>
    <t>060231 T48</t>
  </si>
  <si>
    <t>HIP SEAT GREYLAND</t>
  </si>
  <si>
    <t>8420421076460</t>
  </si>
  <si>
    <t>060231 T80</t>
  </si>
  <si>
    <t>HIP SEAT HORIZONS</t>
  </si>
  <si>
    <t>8420421068731</t>
  </si>
  <si>
    <t>060242 T48</t>
  </si>
  <si>
    <t>MOCHILA DUAL  GREYLAND</t>
  </si>
  <si>
    <t>8420421068724</t>
  </si>
  <si>
    <t>060242 T52</t>
  </si>
  <si>
    <t>MOCHILA DUAL  BRONZE</t>
  </si>
  <si>
    <t>8420421053553</t>
  </si>
  <si>
    <t>060246 S45</t>
  </si>
  <si>
    <t>MOCHILA KANGAROO SOIL</t>
  </si>
  <si>
    <t>8420421057582</t>
  </si>
  <si>
    <t>060249 R73</t>
  </si>
  <si>
    <t>MOCHILA LIKE  STONE</t>
  </si>
  <si>
    <t>8420421063118</t>
  </si>
  <si>
    <t>060249 T63</t>
  </si>
  <si>
    <t>MOCHILA LIKE  BISON</t>
  </si>
  <si>
    <t>060250 T48</t>
  </si>
  <si>
    <t>060250 T62</t>
  </si>
  <si>
    <t>060251 T48</t>
  </si>
  <si>
    <t>COCOON BABY WRAP FULAR GREYLAND</t>
  </si>
  <si>
    <t>060251 T62</t>
  </si>
  <si>
    <t>COCOON BABY WRAP FULAR BLACK</t>
  </si>
  <si>
    <t>8420421078556</t>
  </si>
  <si>
    <t>060306 U05</t>
  </si>
  <si>
    <t>AVANT TRONA CONV.BOLSO DIM GRE</t>
  </si>
  <si>
    <t>8420421078563</t>
  </si>
  <si>
    <t>060306 U08</t>
  </si>
  <si>
    <t>AVANT TRONA CONV.BOLSO FOREST</t>
  </si>
  <si>
    <t>060307 S45</t>
  </si>
  <si>
    <t>8420421038789</t>
  </si>
  <si>
    <t>070144C01</t>
  </si>
  <si>
    <t>ESTERILIZADOR MICROONDAS ROAR</t>
  </si>
  <si>
    <t>8420421071236</t>
  </si>
  <si>
    <t>070231 U09</t>
  </si>
  <si>
    <t>VAJILLA SILICONE DINNER SET PA</t>
  </si>
  <si>
    <t>8420421074923</t>
  </si>
  <si>
    <t>070231 U13</t>
  </si>
  <si>
    <t>VAJILLA SILICONE DINNER SET MI</t>
  </si>
  <si>
    <t>8420421079119</t>
  </si>
  <si>
    <t>070232 T59</t>
  </si>
  <si>
    <t>VAJILLA MELAMINE DINNER SET.</t>
  </si>
  <si>
    <t>8420421079126</t>
  </si>
  <si>
    <t>070232C01</t>
  </si>
  <si>
    <t>8420421079485</t>
  </si>
  <si>
    <t>070233 T01</t>
  </si>
  <si>
    <t>SET VAJILLA  STAR MELAMINA</t>
  </si>
  <si>
    <t>8420421079461</t>
  </si>
  <si>
    <t>070234 U56</t>
  </si>
  <si>
    <t>SET VAJILLA  MICRO BASIC WILD</t>
  </si>
  <si>
    <t>8420421050453</t>
  </si>
  <si>
    <t>080182 S45</t>
  </si>
  <si>
    <t>MAMA BAG  SOIL</t>
  </si>
  <si>
    <t>8420421056813</t>
  </si>
  <si>
    <t>080182 T34</t>
  </si>
  <si>
    <t>MAMA BAG  JET BLACK</t>
  </si>
  <si>
    <t>8420421062982</t>
  </si>
  <si>
    <t>080182 T62</t>
  </si>
  <si>
    <t>MAMA BAG  BLACK</t>
  </si>
  <si>
    <t>8420421068694</t>
  </si>
  <si>
    <t>080191 T80</t>
  </si>
  <si>
    <t>CAMBIADOR CON ASA</t>
  </si>
  <si>
    <t>080193 U53</t>
  </si>
  <si>
    <t>8420421076354</t>
  </si>
  <si>
    <t>080258 U09</t>
  </si>
  <si>
    <t>COLCHONETA POLYEST.C/3D PALE</t>
  </si>
  <si>
    <t>8420421076347</t>
  </si>
  <si>
    <t>080258 U13</t>
  </si>
  <si>
    <t>COLCHONETA POLYEST.C/3D MINT</t>
  </si>
  <si>
    <t>8420421054079</t>
  </si>
  <si>
    <t>080260 S91</t>
  </si>
  <si>
    <t>ESPUMA CAMBIADOR PLAST.PEQUEÑA</t>
  </si>
  <si>
    <t>8420421054086</t>
  </si>
  <si>
    <t>080263 S91</t>
  </si>
  <si>
    <t>ESPUMA CAMBIADOR PLAST.GRANDE</t>
  </si>
  <si>
    <t>8420421076262</t>
  </si>
  <si>
    <t>080272 U05</t>
  </si>
  <si>
    <t>GROWING NIDO RED.BEBÉ DIM GREY</t>
  </si>
  <si>
    <t>8420421076279</t>
  </si>
  <si>
    <t>080272 U08</t>
  </si>
  <si>
    <t>GROWING NIDO RED.BEBÉ F.GREEN</t>
  </si>
  <si>
    <t>080272 T01</t>
  </si>
  <si>
    <t>8420421062821</t>
  </si>
  <si>
    <t>080274 S76</t>
  </si>
  <si>
    <t>FUNDA GRAVITY COMPLETA</t>
  </si>
  <si>
    <t>8420421062746</t>
  </si>
  <si>
    <t>080274 T11</t>
  </si>
  <si>
    <t>8420421076200</t>
  </si>
  <si>
    <t>080275 U05</t>
  </si>
  <si>
    <t>COLCH.LATERALES ALG.REV.D.GREY</t>
  </si>
  <si>
    <t>8420421076231</t>
  </si>
  <si>
    <t>080275 U09</t>
  </si>
  <si>
    <t>COLCH.LATERALES ALG.REV. PALE</t>
  </si>
  <si>
    <t>080275 U53</t>
  </si>
  <si>
    <t>080275 U65</t>
  </si>
  <si>
    <t>8420421063095</t>
  </si>
  <si>
    <t>080277 S76</t>
  </si>
  <si>
    <t>FUNDA HAMAQUIT.SILLA RIDER SKY</t>
  </si>
  <si>
    <t>8420421063286</t>
  </si>
  <si>
    <t>080279 G78</t>
  </si>
  <si>
    <t>FUNDA MANILLAR SILLA DIVISIBLE</t>
  </si>
  <si>
    <t>8420421067468</t>
  </si>
  <si>
    <t>080287 R85</t>
  </si>
  <si>
    <t>080289 T51</t>
  </si>
  <si>
    <t>8420421068823</t>
  </si>
  <si>
    <t>8420421068847</t>
  </si>
  <si>
    <t>080289 T87</t>
  </si>
  <si>
    <t>GROWING NIDO RED.BEBÉ GREY STA</t>
  </si>
  <si>
    <t>8420421070291</t>
  </si>
  <si>
    <t>080290 T34</t>
  </si>
  <si>
    <t>COJIN SEGURID.ANTIOLVIDO NEGRO</t>
  </si>
  <si>
    <t>8420421070581</t>
  </si>
  <si>
    <t>080291 T34</t>
  </si>
  <si>
    <t>LLAVERO AVISADOR ANTIOLVIDO</t>
  </si>
  <si>
    <t>8420421078051</t>
  </si>
  <si>
    <t>080292 S76</t>
  </si>
  <si>
    <t>FUNDA CAR SEAT COVER GROOWY SK</t>
  </si>
  <si>
    <t>8420421082515</t>
  </si>
  <si>
    <t>080293 T62</t>
  </si>
  <si>
    <t>WEEKEND BAG</t>
  </si>
  <si>
    <t>8420421082508</t>
  </si>
  <si>
    <t>080293 U05</t>
  </si>
  <si>
    <t>8420421083055</t>
  </si>
  <si>
    <t>080294 T34</t>
  </si>
  <si>
    <t>8420421083116</t>
  </si>
  <si>
    <t>080294 T62</t>
  </si>
  <si>
    <t>8420421085288</t>
  </si>
  <si>
    <t>080295 T01</t>
  </si>
  <si>
    <t>8420421085295</t>
  </si>
  <si>
    <t>080296 T01</t>
  </si>
  <si>
    <t>8420421085349</t>
  </si>
  <si>
    <t>080297 T01</t>
  </si>
  <si>
    <t>080299 U15</t>
  </si>
  <si>
    <t>080299 U18</t>
  </si>
  <si>
    <t>080304 U05</t>
  </si>
  <si>
    <t>SOMBRILLA ANTI-UV DIM GREY</t>
  </si>
  <si>
    <t>080304 U06</t>
  </si>
  <si>
    <t>SOMBRILLA ANTI-UV COLD BLACK</t>
  </si>
  <si>
    <t>080304 U10</t>
  </si>
  <si>
    <t>SOMBRILLA ANTI-UV SAND</t>
  </si>
  <si>
    <t>080354 T01</t>
  </si>
  <si>
    <t>080354 U53</t>
  </si>
  <si>
    <t>8420421070765</t>
  </si>
  <si>
    <t>080367 O00</t>
  </si>
  <si>
    <t>PROTECTOR COLCHON CUNA COLECHO</t>
  </si>
  <si>
    <t>8420421072257</t>
  </si>
  <si>
    <t>080368 O00</t>
  </si>
  <si>
    <t>PROTECTOR COLCHON CUNA VIAJE</t>
  </si>
  <si>
    <t>8420421078006</t>
  </si>
  <si>
    <t>080369 U05</t>
  </si>
  <si>
    <t>DOUDOU INDIVIDUAL DIM GREY</t>
  </si>
  <si>
    <t>8420421078013</t>
  </si>
  <si>
    <t>080369 U09</t>
  </si>
  <si>
    <t>DOUDOU INDIVIDUAL PALE</t>
  </si>
  <si>
    <t>080397 T34</t>
  </si>
  <si>
    <t>080397 T62</t>
  </si>
  <si>
    <t>8420421032985</t>
  </si>
  <si>
    <t>080480 G78</t>
  </si>
  <si>
    <t>FUNDA UNIVERSAL MANILLAR CERRA</t>
  </si>
  <si>
    <t>8420421061237</t>
  </si>
  <si>
    <t>080482 T34</t>
  </si>
  <si>
    <t>SACO NEST JET BLACK</t>
  </si>
  <si>
    <t>8420421061312</t>
  </si>
  <si>
    <t>080482 T53</t>
  </si>
  <si>
    <t>SACO NEST SHADOW</t>
  </si>
  <si>
    <t>8420421068557</t>
  </si>
  <si>
    <t>080482 T80</t>
  </si>
  <si>
    <t>SACO NEST HORIZONS</t>
  </si>
  <si>
    <t>8420421079362</t>
  </si>
  <si>
    <t>080482 U08</t>
  </si>
  <si>
    <t>SACO NEST FOREST GREEN</t>
  </si>
  <si>
    <t>8420421079379</t>
  </si>
  <si>
    <t>080482 U09</t>
  </si>
  <si>
    <t>SACO NEST PALE</t>
  </si>
  <si>
    <t>8420421076132</t>
  </si>
  <si>
    <t>080485SL U05</t>
  </si>
  <si>
    <t>SACO COLCHONETA.ALG..DIM GREY</t>
  </si>
  <si>
    <t>080485SL U53</t>
  </si>
  <si>
    <t>SACO COLCHONETA.ALG.LAZULI BLUE</t>
  </si>
  <si>
    <t>080485SL U65</t>
  </si>
  <si>
    <t>SACO COLCHONETA.ALG.IRIS</t>
  </si>
  <si>
    <t>8420421006818</t>
  </si>
  <si>
    <t>080486 G78</t>
  </si>
  <si>
    <t>MANOPLAS SILLA PASEO POLIPIEL</t>
  </si>
  <si>
    <t>8420421050415</t>
  </si>
  <si>
    <t>080486 S19</t>
  </si>
  <si>
    <t>8420421053485</t>
  </si>
  <si>
    <t>080486 S45</t>
  </si>
  <si>
    <t>MANOPLAS SILLA PASEO SOIL</t>
  </si>
  <si>
    <t>8420421008751</t>
  </si>
  <si>
    <t>080489 S58</t>
  </si>
  <si>
    <t>MIMS SACO ARRULLO CUCO ACOLCH.</t>
  </si>
  <si>
    <t>8420421079263</t>
  </si>
  <si>
    <t>080489 U07</t>
  </si>
  <si>
    <t>8420421079287</t>
  </si>
  <si>
    <t>080489 U09</t>
  </si>
  <si>
    <t>080489 U53</t>
  </si>
  <si>
    <t>080489 U65</t>
  </si>
  <si>
    <t>8420421079294</t>
  </si>
  <si>
    <t>080494 U05</t>
  </si>
  <si>
    <t>MIMS+ SACO G0 ARNES CREMALLERA</t>
  </si>
  <si>
    <t>8420421079324</t>
  </si>
  <si>
    <t>080494 U09</t>
  </si>
  <si>
    <t>080494 U53</t>
  </si>
  <si>
    <t>080494 U65</t>
  </si>
  <si>
    <t>8420421074954</t>
  </si>
  <si>
    <t>080498 U05</t>
  </si>
  <si>
    <t>ENVELOPE SACO DIM GREY</t>
  </si>
  <si>
    <t>8420421074947</t>
  </si>
  <si>
    <t>080498 U09</t>
  </si>
  <si>
    <t>ENVELOPE SACO PALE</t>
  </si>
  <si>
    <t>8420421079393</t>
  </si>
  <si>
    <t>080499 U05</t>
  </si>
  <si>
    <t>EVOLUTE + SACO G0 Y SILLA</t>
  </si>
  <si>
    <t>8420421079409</t>
  </si>
  <si>
    <t>080499 U06</t>
  </si>
  <si>
    <t>8420421079416</t>
  </si>
  <si>
    <t>080499 U08</t>
  </si>
  <si>
    <t>8420421079423</t>
  </si>
  <si>
    <t>080499 U09</t>
  </si>
  <si>
    <t>8420421079447</t>
  </si>
  <si>
    <t>080500 U05</t>
  </si>
  <si>
    <t>SACO SILLA KAIZEN DIM GREY</t>
  </si>
  <si>
    <t>8420421079430</t>
  </si>
  <si>
    <t>080500 U06</t>
  </si>
  <si>
    <t>SACO SILLA KAIZEN COLD BLACK</t>
  </si>
  <si>
    <t>080502 U06</t>
  </si>
  <si>
    <t>CUCO SMART COLD BLACK</t>
  </si>
  <si>
    <t>080503 U57</t>
  </si>
  <si>
    <t>SACO SILLA KAIZEN OAK MILK</t>
  </si>
  <si>
    <t>080503 U69</t>
  </si>
  <si>
    <t>SACO SILLA KAIZEN RACE CREAM</t>
  </si>
  <si>
    <t>080503 U71</t>
  </si>
  <si>
    <t>SACO SILLA KAIZEN BROKEN BLACK</t>
  </si>
  <si>
    <t>8420421056691</t>
  </si>
  <si>
    <t>4001 X09</t>
  </si>
  <si>
    <t>PORTAVASOS LIQUID CON CINTA</t>
  </si>
  <si>
    <t>2313 U05</t>
  </si>
  <si>
    <t>SILLA ROCKET PRO</t>
  </si>
  <si>
    <t>8420421079584</t>
  </si>
  <si>
    <t>2313 U06</t>
  </si>
  <si>
    <t>8420421079591</t>
  </si>
  <si>
    <t>2313 U53</t>
  </si>
  <si>
    <t>8420421079607</t>
  </si>
  <si>
    <t>2313 U57</t>
  </si>
  <si>
    <t>8420421079614</t>
  </si>
  <si>
    <t>2314 U06</t>
  </si>
  <si>
    <t>SILLA ROCKET SPORT</t>
  </si>
  <si>
    <t>8420421086483</t>
  </si>
  <si>
    <t>2315 U06</t>
  </si>
  <si>
    <t>SILLA ROCKET-2 (MK)</t>
  </si>
  <si>
    <t>8420421087657</t>
  </si>
  <si>
    <t>4303 X09</t>
  </si>
  <si>
    <t>ACOPLES ROCKET-2</t>
  </si>
  <si>
    <t>8420421074442</t>
  </si>
  <si>
    <t>4503 U50</t>
  </si>
  <si>
    <t>GROOWY + NEST</t>
  </si>
  <si>
    <t>8420421082195</t>
  </si>
  <si>
    <t>4503 U51</t>
  </si>
  <si>
    <t>8420421082201</t>
  </si>
  <si>
    <t>4503 U52</t>
  </si>
  <si>
    <t>8420421082218</t>
  </si>
  <si>
    <t>4503 U53</t>
  </si>
  <si>
    <t>8420421082225</t>
  </si>
  <si>
    <t>4503 U54</t>
  </si>
  <si>
    <t>8420421082232</t>
  </si>
  <si>
    <t>4503 U55</t>
  </si>
  <si>
    <t>8420421082249</t>
  </si>
  <si>
    <t>4504 U50</t>
  </si>
  <si>
    <t>GROOWY</t>
  </si>
  <si>
    <t>8420421082263</t>
  </si>
  <si>
    <t>4504 U51</t>
  </si>
  <si>
    <t>8420421082270</t>
  </si>
  <si>
    <t>4504 U52</t>
  </si>
  <si>
    <t>8420421082287</t>
  </si>
  <si>
    <t>4504 U53</t>
  </si>
  <si>
    <t>8420421082294</t>
  </si>
  <si>
    <t>4504 U54</t>
  </si>
  <si>
    <t>8420421082300</t>
  </si>
  <si>
    <t>4504 U55</t>
  </si>
  <si>
    <t>8420421082317</t>
  </si>
  <si>
    <t>4506 U50</t>
  </si>
  <si>
    <t>REVERSO IPLUS</t>
  </si>
  <si>
    <t>8420421081815</t>
  </si>
  <si>
    <t>4506 U51</t>
  </si>
  <si>
    <t>8420421081853</t>
  </si>
  <si>
    <t>4506 U52</t>
  </si>
  <si>
    <t>8420421081860</t>
  </si>
  <si>
    <t>4506 U53</t>
  </si>
  <si>
    <t>8420421081877</t>
  </si>
  <si>
    <t>4506 U54</t>
  </si>
  <si>
    <t>8420421081884</t>
  </si>
  <si>
    <t>4506 U55</t>
  </si>
  <si>
    <t>8420421081891</t>
  </si>
  <si>
    <t>4507 U50</t>
  </si>
  <si>
    <t>TRANSFORMER ITECH</t>
  </si>
  <si>
    <t>8420421082256</t>
  </si>
  <si>
    <t>4507 U52</t>
  </si>
  <si>
    <t>8420421081976</t>
  </si>
  <si>
    <t>4507 U53</t>
  </si>
  <si>
    <t>8420421081983</t>
  </si>
  <si>
    <t>4507 U54</t>
  </si>
  <si>
    <t>8420421081990</t>
  </si>
  <si>
    <t>4507 U55</t>
  </si>
  <si>
    <t>8420421082003</t>
  </si>
  <si>
    <t>4508 U50</t>
  </si>
  <si>
    <t>TRANSFORMER IPLUS</t>
  </si>
  <si>
    <t>8420421082010</t>
  </si>
  <si>
    <t>4508 U51</t>
  </si>
  <si>
    <t>8420421082027</t>
  </si>
  <si>
    <t>4508 U53</t>
  </si>
  <si>
    <t>8420421082041</t>
  </si>
  <si>
    <t>4508 U54</t>
  </si>
  <si>
    <t>8420421082058</t>
  </si>
  <si>
    <t>4512 U50</t>
  </si>
  <si>
    <t>IKONIC-R</t>
  </si>
  <si>
    <t>8420421082133</t>
  </si>
  <si>
    <t>4512 U51</t>
  </si>
  <si>
    <t>8420421082140</t>
  </si>
  <si>
    <t>4512 U52</t>
  </si>
  <si>
    <t>8420421082157</t>
  </si>
  <si>
    <t>4512 U53</t>
  </si>
  <si>
    <t>8420421082164</t>
  </si>
  <si>
    <t>4512 U54</t>
  </si>
  <si>
    <t>8420421082171</t>
  </si>
  <si>
    <t>4513 U50</t>
  </si>
  <si>
    <t>ITOURER</t>
  </si>
  <si>
    <t>8420421085301</t>
  </si>
  <si>
    <t>4513 U51</t>
  </si>
  <si>
    <t>8420421085356</t>
  </si>
  <si>
    <t>4523 U05</t>
  </si>
  <si>
    <t>PORTABEBE KOOS ISIZE R1</t>
  </si>
  <si>
    <t>8420421081402</t>
  </si>
  <si>
    <t>4523 U06</t>
  </si>
  <si>
    <t>8420421081419</t>
  </si>
  <si>
    <t>4523 U08</t>
  </si>
  <si>
    <t>8420421081426</t>
  </si>
  <si>
    <t>4523 U09</t>
  </si>
  <si>
    <t>8420421081433</t>
  </si>
  <si>
    <t>4523 U10</t>
  </si>
  <si>
    <t>8420421081440</t>
  </si>
  <si>
    <t>4523 U53</t>
  </si>
  <si>
    <t>8420421081457</t>
  </si>
  <si>
    <t>4523 U57</t>
  </si>
  <si>
    <t>8420421081464</t>
  </si>
  <si>
    <t>4524 U05</t>
  </si>
  <si>
    <t>PORTABEBE I-MATRIX+BASE COMFY</t>
  </si>
  <si>
    <t>8420421081471</t>
  </si>
  <si>
    <t>4524 U06</t>
  </si>
  <si>
    <t>8420421081488</t>
  </si>
  <si>
    <t>4525 U05</t>
  </si>
  <si>
    <t>PORTABEBE MATRIX LIGHT 2</t>
  </si>
  <si>
    <t>8420421081495</t>
  </si>
  <si>
    <t>4525 U06</t>
  </si>
  <si>
    <t>8420421081501</t>
  </si>
  <si>
    <t>4525 U09</t>
  </si>
  <si>
    <t>8420421081525</t>
  </si>
  <si>
    <t>4525 U10</t>
  </si>
  <si>
    <t>8420421081532</t>
  </si>
  <si>
    <t>4525 U53</t>
  </si>
  <si>
    <t>8420421081549</t>
  </si>
  <si>
    <t>4525 U57</t>
  </si>
  <si>
    <t>8420421081556</t>
  </si>
  <si>
    <t>4598 U50</t>
  </si>
  <si>
    <t>IRACER</t>
  </si>
  <si>
    <t>8420421081907</t>
  </si>
  <si>
    <t>4598 U51</t>
  </si>
  <si>
    <t>8420421081914</t>
  </si>
  <si>
    <t>4598 U52</t>
  </si>
  <si>
    <t>8420421081921</t>
  </si>
  <si>
    <t>4598 U53</t>
  </si>
  <si>
    <t>8420421081938</t>
  </si>
  <si>
    <t>4598 U54</t>
  </si>
  <si>
    <t>8420421081945</t>
  </si>
  <si>
    <t>4599 U50</t>
  </si>
  <si>
    <t>IKOAL</t>
  </si>
  <si>
    <t>8420421082324</t>
  </si>
  <si>
    <t>4599 U51</t>
  </si>
  <si>
    <t>8420421082331</t>
  </si>
  <si>
    <t>4599 U52</t>
  </si>
  <si>
    <t>8420421082348</t>
  </si>
  <si>
    <t>4599 U53</t>
  </si>
  <si>
    <t>8420421082355</t>
  </si>
  <si>
    <t>4599 U54</t>
  </si>
  <si>
    <t>8420421082362</t>
  </si>
  <si>
    <t>4599 U55</t>
  </si>
  <si>
    <t>8420421082379</t>
  </si>
  <si>
    <t>5041 U05</t>
  </si>
  <si>
    <t>CUCO MICRO PRO</t>
  </si>
  <si>
    <t>8420421079973</t>
  </si>
  <si>
    <t>5041 U06</t>
  </si>
  <si>
    <t>8420421079980</t>
  </si>
  <si>
    <t>5041 U09</t>
  </si>
  <si>
    <t>8420421080009</t>
  </si>
  <si>
    <t>5041 U10</t>
  </si>
  <si>
    <t>8420421080016</t>
  </si>
  <si>
    <t>5041 U53</t>
  </si>
  <si>
    <t>8420421080023</t>
  </si>
  <si>
    <t>5041 U57</t>
  </si>
  <si>
    <t>8420421080030</t>
  </si>
  <si>
    <t>5041SP U06</t>
  </si>
  <si>
    <t>CUCO MICRO PRO ANODIZADO MATE</t>
  </si>
  <si>
    <t>8420421083468</t>
  </si>
  <si>
    <t>5093 X09</t>
  </si>
  <si>
    <t>BASE MATRIX</t>
  </si>
  <si>
    <t>8420421018460</t>
  </si>
  <si>
    <t>5596 U05</t>
  </si>
  <si>
    <t>SILLA NEWEL</t>
  </si>
  <si>
    <t>8420421080504</t>
  </si>
  <si>
    <t>5596 U06</t>
  </si>
  <si>
    <t>8420421080511</t>
  </si>
  <si>
    <t>5596 U09</t>
  </si>
  <si>
    <t>8420421080528</t>
  </si>
  <si>
    <t>5596 U10</t>
  </si>
  <si>
    <t>8420421080535</t>
  </si>
  <si>
    <t>5596 U53</t>
  </si>
  <si>
    <t>8420421080542</t>
  </si>
  <si>
    <t>5596 U57</t>
  </si>
  <si>
    <t>8420421080559</t>
  </si>
  <si>
    <t>5596SP U06</t>
  </si>
  <si>
    <t>SILLA NEWEL ANODIZADO MATE</t>
  </si>
  <si>
    <t>8420421083079</t>
  </si>
  <si>
    <t>5597 U05</t>
  </si>
  <si>
    <t>COCHE NEWEL MICRO PRO</t>
  </si>
  <si>
    <t>8420421080566</t>
  </si>
  <si>
    <t>5597 U06</t>
  </si>
  <si>
    <t>8420421080573</t>
  </si>
  <si>
    <t>5597 U09</t>
  </si>
  <si>
    <t>8420421080580</t>
  </si>
  <si>
    <t>5597 U10</t>
  </si>
  <si>
    <t>8420421080597</t>
  </si>
  <si>
    <t>5597 U53</t>
  </si>
  <si>
    <t>8420421080603</t>
  </si>
  <si>
    <t>5597 U57</t>
  </si>
  <si>
    <t>8420421080610</t>
  </si>
  <si>
    <t>5597SP U06</t>
  </si>
  <si>
    <t>COCHE NEWEL MICRO PRO ANODIZAD</t>
  </si>
  <si>
    <t>8420421083413</t>
  </si>
  <si>
    <t>5598 U05</t>
  </si>
  <si>
    <t>NEWEL FOR.KOOS ISIZE-MICRO PRO</t>
  </si>
  <si>
    <t>8420421080627</t>
  </si>
  <si>
    <t>5598 U06</t>
  </si>
  <si>
    <t>8420421080634</t>
  </si>
  <si>
    <t>5598 U09</t>
  </si>
  <si>
    <t>8420421080641</t>
  </si>
  <si>
    <t>5598 U10</t>
  </si>
  <si>
    <t>8420421080658</t>
  </si>
  <si>
    <t>5598 U53</t>
  </si>
  <si>
    <t>8420421080665</t>
  </si>
  <si>
    <t>5598 U57</t>
  </si>
  <si>
    <t>8420421080672</t>
  </si>
  <si>
    <t>5598SP U06</t>
  </si>
  <si>
    <t>8420421083475</t>
  </si>
  <si>
    <t>5599 U05</t>
  </si>
  <si>
    <t>NEWEL MATRIX LIGHT 2</t>
  </si>
  <si>
    <t>8420421080689</t>
  </si>
  <si>
    <t>5599 U06</t>
  </si>
  <si>
    <t>8420421080696</t>
  </si>
  <si>
    <t>5599 U09</t>
  </si>
  <si>
    <t>8420421080702</t>
  </si>
  <si>
    <t>5599 U10</t>
  </si>
  <si>
    <t>8420421080719</t>
  </si>
  <si>
    <t>5599 U53</t>
  </si>
  <si>
    <t>8420421080726</t>
  </si>
  <si>
    <t>5599 U57</t>
  </si>
  <si>
    <t>8420421080733</t>
  </si>
  <si>
    <t>5599SP U06</t>
  </si>
  <si>
    <t>NEWEL MATRIX LIGHT 2 ANODIZADO</t>
  </si>
  <si>
    <t>8420421083444</t>
  </si>
  <si>
    <t>5604 U05</t>
  </si>
  <si>
    <t>SILLA CROSSLIGHT</t>
  </si>
  <si>
    <t>8420421080986</t>
  </si>
  <si>
    <t>5604 U06</t>
  </si>
  <si>
    <t>8420421080993</t>
  </si>
  <si>
    <t>5604 U08</t>
  </si>
  <si>
    <t>8420421081006</t>
  </si>
  <si>
    <t>5604 U10</t>
  </si>
  <si>
    <t>8420421081013</t>
  </si>
  <si>
    <t>5604 U57</t>
  </si>
  <si>
    <t>8420421081020</t>
  </si>
  <si>
    <t>5605 U05</t>
  </si>
  <si>
    <t>COCHE CROSSLIGHT MICRO PRO</t>
  </si>
  <si>
    <t>8420421081037</t>
  </si>
  <si>
    <t>5605 U06</t>
  </si>
  <si>
    <t>8420421081044</t>
  </si>
  <si>
    <t>5605 U08</t>
  </si>
  <si>
    <t>8420421081051</t>
  </si>
  <si>
    <t>5605 U10</t>
  </si>
  <si>
    <t>8420421081068</t>
  </si>
  <si>
    <t>5605 U57</t>
  </si>
  <si>
    <t>8420421081075</t>
  </si>
  <si>
    <t>5606 U05</t>
  </si>
  <si>
    <t>CROSSLIGHT KOOS ISIZ-MICRO PRO</t>
  </si>
  <si>
    <t>8420421081082</t>
  </si>
  <si>
    <t>5606 U06</t>
  </si>
  <si>
    <t>8420421081099</t>
  </si>
  <si>
    <t>5606 U08</t>
  </si>
  <si>
    <t>8420421081105</t>
  </si>
  <si>
    <t>5606 U10</t>
  </si>
  <si>
    <t>8420421081112</t>
  </si>
  <si>
    <t>5606 U57</t>
  </si>
  <si>
    <t>8420421081129</t>
  </si>
  <si>
    <t>5607 U05</t>
  </si>
  <si>
    <t>CROSSLIGHT MATRIX LIGHT 2</t>
  </si>
  <si>
    <t>8420421081136</t>
  </si>
  <si>
    <t>5607 U06</t>
  </si>
  <si>
    <t>8420421081143</t>
  </si>
  <si>
    <t>5607 U08</t>
  </si>
  <si>
    <t>8420421081150</t>
  </si>
  <si>
    <t>5607 U10</t>
  </si>
  <si>
    <t>8420421081167</t>
  </si>
  <si>
    <t>5607 U57</t>
  </si>
  <si>
    <t>8420421081174</t>
  </si>
  <si>
    <t>5611 U05</t>
  </si>
  <si>
    <t>CROSSWALK-R MATRIX LIGHT 2</t>
  </si>
  <si>
    <t>8420421081303</t>
  </si>
  <si>
    <t>5611 U06</t>
  </si>
  <si>
    <t>8420421081310</t>
  </si>
  <si>
    <t>5614 U06</t>
  </si>
  <si>
    <t>SILLA TWIN-LINK</t>
  </si>
  <si>
    <t>8420421081389</t>
  </si>
  <si>
    <t>5614 U53</t>
  </si>
  <si>
    <t>8420421081396</t>
  </si>
  <si>
    <t>5628 U05</t>
  </si>
  <si>
    <t>SILLA MUUM PRO-2</t>
  </si>
  <si>
    <t>8420421085660</t>
  </si>
  <si>
    <t>5629 U05</t>
  </si>
  <si>
    <t>COCHE MUUM PRO-2 MICRO PRO-2</t>
  </si>
  <si>
    <t>8420421085677</t>
  </si>
  <si>
    <t>5630 U05</t>
  </si>
  <si>
    <t>MUUM PRO-2 F.KOOS MICRO PRO-2</t>
  </si>
  <si>
    <t>8420421085684</t>
  </si>
  <si>
    <t>5631 U05</t>
  </si>
  <si>
    <t>MUUM PRO-2 MATRIX LIGHT 2</t>
  </si>
  <si>
    <t>8420421085691</t>
  </si>
  <si>
    <t>5634 U68</t>
  </si>
  <si>
    <t>SILLA NEWEL CARBONO</t>
  </si>
  <si>
    <t>8420421086100</t>
  </si>
  <si>
    <t>5634 U69</t>
  </si>
  <si>
    <t>8420421086117</t>
  </si>
  <si>
    <t>5635 U68</t>
  </si>
  <si>
    <t>COCHE NEWEL CARB. MICRO PRO-2</t>
  </si>
  <si>
    <t>8420421086131</t>
  </si>
  <si>
    <t>5635 U69</t>
  </si>
  <si>
    <t>8420421086148</t>
  </si>
  <si>
    <t>5636 U68</t>
  </si>
  <si>
    <t>NEWEL CARB.F.KOOS.MICRO PRO-2</t>
  </si>
  <si>
    <t>8420421086179</t>
  </si>
  <si>
    <t>5636 U69</t>
  </si>
  <si>
    <t>8420421086186</t>
  </si>
  <si>
    <t>5640 U05</t>
  </si>
  <si>
    <t>SILLA CROSSLIGHT PRO</t>
  </si>
  <si>
    <t>8420421085547</t>
  </si>
  <si>
    <t>5641 U05</t>
  </si>
  <si>
    <t>COCHE CROSSLIGHT PRO MIC.PRO-2</t>
  </si>
  <si>
    <t>8420421085837</t>
  </si>
  <si>
    <t>5642 U05</t>
  </si>
  <si>
    <t>CROSSLIGHT PRO KOOS MICR.PRO-2</t>
  </si>
  <si>
    <t>8420421085844</t>
  </si>
  <si>
    <t>5643 U05</t>
  </si>
  <si>
    <t>CROSSLIGHT PRO MATRIX LIGHT 2</t>
  </si>
  <si>
    <t>8420421085851</t>
  </si>
  <si>
    <t>5654 U06</t>
  </si>
  <si>
    <t>COCHE MUUM MICRO PRO (MK)</t>
  </si>
  <si>
    <t>8420421087664</t>
  </si>
  <si>
    <t>5656 U68</t>
  </si>
  <si>
    <t>SILLA CROSSLIGHT PRO CARBON</t>
  </si>
  <si>
    <t>8420421087732</t>
  </si>
  <si>
    <t>5657 U68</t>
  </si>
  <si>
    <t>COCHE CROSSLIGHT PRO C.MIC.P-2</t>
  </si>
  <si>
    <t>8420421087756</t>
  </si>
  <si>
    <t>5658 U68</t>
  </si>
  <si>
    <t>CROSSLIGHT PRO C KOOS MICR.P.2</t>
  </si>
  <si>
    <t>8420421087770</t>
  </si>
  <si>
    <t>5659 U05</t>
  </si>
  <si>
    <t>SILLA KAWAI</t>
  </si>
  <si>
    <t>8420421088005</t>
  </si>
  <si>
    <t>5660 U05</t>
  </si>
  <si>
    <t>COCHE KAWAI MICRO BB</t>
  </si>
  <si>
    <t>8420421088029</t>
  </si>
  <si>
    <t>5661 U06</t>
  </si>
  <si>
    <t>8420421088067</t>
  </si>
  <si>
    <t>5662 U06</t>
  </si>
  <si>
    <t>8420421088074</t>
  </si>
  <si>
    <t>5663 U06</t>
  </si>
  <si>
    <t>8420421088081</t>
  </si>
  <si>
    <t>5664 U06</t>
  </si>
  <si>
    <t>8420421088098</t>
  </si>
  <si>
    <t xml:space="preserve">GANDULITAS -ROCKERS </t>
  </si>
  <si>
    <t>6115 T01</t>
  </si>
  <si>
    <t>EVOLUTION</t>
  </si>
  <si>
    <t>STAR</t>
  </si>
  <si>
    <t>6115 T82</t>
  </si>
  <si>
    <t>COSMOS</t>
  </si>
  <si>
    <t>6115 U53</t>
  </si>
  <si>
    <t>LAZULI BLUE</t>
  </si>
  <si>
    <t xml:space="preserve">6115 U65 </t>
  </si>
  <si>
    <t>IRIS</t>
  </si>
  <si>
    <t>6130 T01</t>
  </si>
  <si>
    <t>FOLD</t>
  </si>
  <si>
    <t>6130 U09</t>
  </si>
  <si>
    <t>PALE</t>
  </si>
  <si>
    <t>6130 U53</t>
  </si>
  <si>
    <t>6130 U65</t>
  </si>
  <si>
    <t>6130W T58</t>
  </si>
  <si>
    <t>FOLD NATURE</t>
  </si>
  <si>
    <t>GLITTER</t>
  </si>
  <si>
    <t>6141 T01</t>
  </si>
  <si>
    <t>BALUU</t>
  </si>
  <si>
    <t>6141 T58</t>
  </si>
  <si>
    <t>6141 T82</t>
  </si>
  <si>
    <t>6141 U53</t>
  </si>
  <si>
    <t>6141 U65</t>
  </si>
  <si>
    <t xml:space="preserve">TRONAS - TABLE CHAIRS / HIGH CHAIRS </t>
  </si>
  <si>
    <t>6220 T01</t>
  </si>
  <si>
    <t>WOODDY</t>
  </si>
  <si>
    <t>6220 T82</t>
  </si>
  <si>
    <t>6220RG T97</t>
  </si>
  <si>
    <t>ORGANICS</t>
  </si>
  <si>
    <t>6237 T01</t>
  </si>
  <si>
    <t>ACTIVA EVO</t>
  </si>
  <si>
    <t>6237 T82</t>
  </si>
  <si>
    <t>6237 U53</t>
  </si>
  <si>
    <t>6291 T01</t>
  </si>
  <si>
    <t>MILA</t>
  </si>
  <si>
    <t>6291 T82</t>
  </si>
  <si>
    <t>6291 U53</t>
  </si>
  <si>
    <t>6291 U65</t>
  </si>
  <si>
    <t>6291W T58</t>
  </si>
  <si>
    <t>MILA NATURE</t>
  </si>
  <si>
    <t>6291PL S19</t>
  </si>
  <si>
    <t>MILA POLIPIEL</t>
  </si>
  <si>
    <t>CREAM</t>
  </si>
  <si>
    <t>6291PL T01</t>
  </si>
  <si>
    <t>6291PL U09</t>
  </si>
  <si>
    <t>6291PL U65</t>
  </si>
  <si>
    <t>6626 T01</t>
  </si>
  <si>
    <t>BAÑERA FLIP</t>
  </si>
  <si>
    <t>6626 T82</t>
  </si>
  <si>
    <t>6626 U53</t>
  </si>
  <si>
    <t>6626 U65</t>
  </si>
  <si>
    <t>6626W T58</t>
  </si>
  <si>
    <t>BAÑERA FLIP NATURE</t>
  </si>
  <si>
    <t>COLECHOS-BEDSIDE</t>
  </si>
  <si>
    <t>6805 T01</t>
  </si>
  <si>
    <t xml:space="preserve">BABY SIDE II </t>
  </si>
  <si>
    <t>6805 T82</t>
  </si>
  <si>
    <t>BABY SIDE II</t>
  </si>
  <si>
    <t>6805 U53</t>
  </si>
  <si>
    <t>6805 U65</t>
  </si>
  <si>
    <t>6805W T58</t>
  </si>
  <si>
    <t>BABY SIDE II NATURE</t>
  </si>
  <si>
    <t>CUNAS DE VIAJE  - TRAVEL COT</t>
  </si>
  <si>
    <t>6832 T01</t>
  </si>
  <si>
    <t>ONE LEVEL</t>
  </si>
  <si>
    <t>6832 T82</t>
  </si>
  <si>
    <t>6832 U53</t>
  </si>
  <si>
    <t>6838 T01</t>
  </si>
  <si>
    <t>DUO LEVEL TOYS</t>
  </si>
  <si>
    <t>6838 T58</t>
  </si>
  <si>
    <t>6838 T82</t>
  </si>
  <si>
    <t>6838 U53</t>
  </si>
  <si>
    <t>6838 U65</t>
  </si>
  <si>
    <t>6846 T01</t>
  </si>
  <si>
    <t xml:space="preserve">TRAVEL FUN </t>
  </si>
  <si>
    <t>6846 T82</t>
  </si>
  <si>
    <t>6846 U53</t>
  </si>
  <si>
    <t>MINI CUNAS - COTS</t>
  </si>
  <si>
    <t>6882W T58</t>
  </si>
  <si>
    <t>WOODS</t>
  </si>
  <si>
    <t>Puericultura</t>
  </si>
  <si>
    <t>8430488045002</t>
  </si>
  <si>
    <t>502 AAA</t>
  </si>
  <si>
    <t>SKATE PLATAFORMA UNIVERSAL</t>
  </si>
  <si>
    <t>8430488045439</t>
  </si>
  <si>
    <t>503 AAA</t>
  </si>
  <si>
    <t>SEAT SKATE PLATAFORMA UNIVERS.</t>
  </si>
  <si>
    <t>8420421068298</t>
  </si>
  <si>
    <t>6901 AAA</t>
  </si>
  <si>
    <t>SPACE FIT O3</t>
  </si>
  <si>
    <t>8420421083291</t>
  </si>
  <si>
    <t>6903 Y96</t>
  </si>
  <si>
    <t>SUMMER COVER JUPITER</t>
  </si>
  <si>
    <t>8420421083307</t>
  </si>
  <si>
    <t>6903 Y97</t>
  </si>
  <si>
    <t>8420421083314</t>
  </si>
  <si>
    <t>6903 Y98</t>
  </si>
  <si>
    <t>8420421083352</t>
  </si>
  <si>
    <t>6905 Y96</t>
  </si>
  <si>
    <t>SUMMER COVER ZEUS</t>
  </si>
  <si>
    <t>8420421083369</t>
  </si>
  <si>
    <t>6905 Y97</t>
  </si>
  <si>
    <t>8420421083376</t>
  </si>
  <si>
    <t>6905 Y98</t>
  </si>
  <si>
    <t>8420421075975</t>
  </si>
  <si>
    <t>7020 Y65</t>
  </si>
  <si>
    <t>ZEUS I-SIZE 40-125</t>
  </si>
  <si>
    <t>8420421075982</t>
  </si>
  <si>
    <t>7020 Y66</t>
  </si>
  <si>
    <t>8420421075999</t>
  </si>
  <si>
    <t>7020 Y67</t>
  </si>
  <si>
    <t>8420421076002</t>
  </si>
  <si>
    <t>7020 Y68</t>
  </si>
  <si>
    <t>8420421077856</t>
  </si>
  <si>
    <t>7022 Y72</t>
  </si>
  <si>
    <t>JUPITER G.0,1,2,3</t>
  </si>
  <si>
    <t>8420421077917</t>
  </si>
  <si>
    <t>7022 Y73</t>
  </si>
  <si>
    <t>8420421077924</t>
  </si>
  <si>
    <t>7022 Y74</t>
  </si>
  <si>
    <t>8420421077955</t>
  </si>
  <si>
    <t>7023 Y75</t>
  </si>
  <si>
    <t>MARS I-SIZE 100-150</t>
  </si>
  <si>
    <t>8420421077962</t>
  </si>
  <si>
    <t>7023 Y76</t>
  </si>
  <si>
    <t>8420421077979</t>
  </si>
  <si>
    <t>7023 Y77</t>
  </si>
  <si>
    <t>8420421087589</t>
  </si>
  <si>
    <t>7034 Z02</t>
  </si>
  <si>
    <t>TWISTER I-SIZE 40-150</t>
  </si>
  <si>
    <t>8420421087596</t>
  </si>
  <si>
    <t>7034 Z03</t>
  </si>
  <si>
    <t>8420421087602</t>
  </si>
  <si>
    <t>7034 Z04</t>
  </si>
  <si>
    <t>8420421087619</t>
  </si>
  <si>
    <t>7034 Z05</t>
  </si>
  <si>
    <t>8420421086469</t>
  </si>
  <si>
    <t>7035 Z06</t>
  </si>
  <si>
    <t>FOLDY I-SIZE 100-150</t>
  </si>
  <si>
    <t>8420421086476</t>
  </si>
  <si>
    <t>7035 Z07</t>
  </si>
  <si>
    <t>8420421087091</t>
  </si>
  <si>
    <t>7035 Z08</t>
  </si>
  <si>
    <t>8420421085721</t>
  </si>
  <si>
    <t>7036 Z06</t>
  </si>
  <si>
    <t>WAGON I-SIZE 40-150</t>
  </si>
  <si>
    <t>8420421085622</t>
  </si>
  <si>
    <t>7036 Z07</t>
  </si>
  <si>
    <t>8420421085738</t>
  </si>
  <si>
    <t>7036 Z08</t>
  </si>
  <si>
    <t>8420421086520</t>
  </si>
  <si>
    <t>7037 Z06</t>
  </si>
  <si>
    <t>EASY I-SIZE 40-150</t>
  </si>
  <si>
    <t>8420421086940</t>
  </si>
  <si>
    <t>7037 Z07</t>
  </si>
  <si>
    <t>8420421086957</t>
  </si>
  <si>
    <t>7037 Z08</t>
  </si>
  <si>
    <t>8420421087305</t>
  </si>
  <si>
    <t>7038 Y75</t>
  </si>
  <si>
    <t>FIT I-SIZE 40-105</t>
  </si>
  <si>
    <t>8420421087282</t>
  </si>
  <si>
    <t>7038 Y76</t>
  </si>
  <si>
    <t>8420421087299</t>
  </si>
  <si>
    <t>7038 Y77</t>
  </si>
  <si>
    <t>8420421086315</t>
  </si>
  <si>
    <t>8034 Y60</t>
  </si>
  <si>
    <t>SILLA ULTIMATE</t>
  </si>
  <si>
    <t>8420421086322</t>
  </si>
  <si>
    <t>8034 Y61</t>
  </si>
  <si>
    <t>8420421086308</t>
  </si>
  <si>
    <t>8034 Y62</t>
  </si>
  <si>
    <t>8420421082676</t>
  </si>
  <si>
    <t>8034 Y91</t>
  </si>
  <si>
    <t>8420421085578</t>
  </si>
  <si>
    <t>8080 Y60</t>
  </si>
  <si>
    <t>SILLA WALKY</t>
  </si>
  <si>
    <t>8420421085561</t>
  </si>
  <si>
    <t>8080 Y61</t>
  </si>
  <si>
    <t>8420421085585</t>
  </si>
  <si>
    <t>8080 Y62</t>
  </si>
  <si>
    <t>8420421085554</t>
  </si>
  <si>
    <t>8080 Y91</t>
  </si>
  <si>
    <t>8420421085370</t>
  </si>
  <si>
    <t>8081 Y60</t>
  </si>
  <si>
    <t>SILLA CABIN</t>
  </si>
  <si>
    <t>8420421085387</t>
  </si>
  <si>
    <t>8081 Y61</t>
  </si>
  <si>
    <t>8420421085394</t>
  </si>
  <si>
    <t>8081 Y62</t>
  </si>
  <si>
    <t>8420421082812</t>
  </si>
  <si>
    <t>8081 Y91</t>
  </si>
  <si>
    <t>8420421085110</t>
  </si>
  <si>
    <t>C8482 X09</t>
  </si>
  <si>
    <t>BOLSA DE TRANSPORTE CABIN</t>
  </si>
  <si>
    <t>8420421087107</t>
  </si>
  <si>
    <t>8420421087114</t>
  </si>
  <si>
    <t>8420421087121</t>
  </si>
  <si>
    <t>8420421087138</t>
  </si>
  <si>
    <t>8420421087404</t>
  </si>
  <si>
    <t>8420421087145</t>
  </si>
  <si>
    <t>8420421087381</t>
  </si>
  <si>
    <t>8420421087169</t>
  </si>
  <si>
    <t>8420421087398</t>
  </si>
  <si>
    <t>8420421087411</t>
  </si>
  <si>
    <t>8420421087688</t>
  </si>
  <si>
    <t>8420421087695</t>
  </si>
  <si>
    <t>8420421087701</t>
  </si>
  <si>
    <t>8420421087718</t>
  </si>
  <si>
    <t>8420421075722</t>
  </si>
  <si>
    <t>8420421070499</t>
  </si>
  <si>
    <t>8420421070758</t>
  </si>
  <si>
    <t>8420421081600</t>
  </si>
  <si>
    <t>8420421081624</t>
  </si>
  <si>
    <t>8420421081648</t>
  </si>
  <si>
    <t>8420421059647</t>
  </si>
  <si>
    <t>8420421059685</t>
  </si>
  <si>
    <t>8420421065532</t>
  </si>
  <si>
    <t>8420421072622</t>
  </si>
  <si>
    <t>8420421072080</t>
  </si>
  <si>
    <t>8420421081655</t>
  </si>
  <si>
    <t>8420421085103</t>
  </si>
  <si>
    <t>8420421085806</t>
  </si>
  <si>
    <t>8420421087480</t>
  </si>
  <si>
    <t>8420421081662</t>
  </si>
  <si>
    <t>8420421081709</t>
  </si>
  <si>
    <t>8420421081679</t>
  </si>
  <si>
    <t>8420421081693</t>
  </si>
  <si>
    <t>8420421087497</t>
  </si>
  <si>
    <t>8420421081761</t>
  </si>
  <si>
    <t>8420421081778</t>
  </si>
  <si>
    <t>8420421081792</t>
  </si>
  <si>
    <t>8420421081808</t>
  </si>
  <si>
    <t>8420421087503</t>
  </si>
  <si>
    <t>8420421078808</t>
  </si>
  <si>
    <t>8420421078815</t>
  </si>
  <si>
    <t>8420421081716</t>
  </si>
  <si>
    <t>8420421078839</t>
  </si>
  <si>
    <t>8420421078846</t>
  </si>
  <si>
    <t>8420421078853</t>
  </si>
  <si>
    <t>8420421081723</t>
  </si>
  <si>
    <t>8420421087510</t>
  </si>
  <si>
    <t>8420421078617</t>
  </si>
  <si>
    <t>8420421078631</t>
  </si>
  <si>
    <t>8420421081754</t>
  </si>
  <si>
    <t>5657 U69</t>
  </si>
  <si>
    <t>5658 U69</t>
  </si>
  <si>
    <t>5641 U06</t>
  </si>
  <si>
    <t>5641 U10</t>
  </si>
  <si>
    <t>5641 U57</t>
  </si>
  <si>
    <t>5641 U66</t>
  </si>
  <si>
    <t>5629 U06</t>
  </si>
  <si>
    <t>5629 U10</t>
  </si>
  <si>
    <t>5629 U57</t>
  </si>
  <si>
    <t>5629 U67</t>
  </si>
  <si>
    <t>5630 U06</t>
  </si>
  <si>
    <t>5630 U10</t>
  </si>
  <si>
    <t>5630 U57</t>
  </si>
  <si>
    <t>5630 U67</t>
  </si>
  <si>
    <t>5643 U06</t>
  </si>
  <si>
    <t>5643 U10</t>
  </si>
  <si>
    <t>5643 U57</t>
  </si>
  <si>
    <t>5643 U66</t>
  </si>
  <si>
    <t>5631 U06</t>
  </si>
  <si>
    <t>5631 U10</t>
  </si>
  <si>
    <t>5631 U57</t>
  </si>
  <si>
    <t>5631 U67</t>
  </si>
  <si>
    <t>5642 U06</t>
  </si>
  <si>
    <t>5642 U10</t>
  </si>
  <si>
    <t>5642 U57</t>
  </si>
  <si>
    <t>5642 U66</t>
  </si>
  <si>
    <t>4523 U66</t>
  </si>
  <si>
    <t>4523 U67</t>
  </si>
  <si>
    <t>4525 U66</t>
  </si>
  <si>
    <t>4525 U67</t>
  </si>
  <si>
    <t>5628 U06</t>
  </si>
  <si>
    <t>5628 U10</t>
  </si>
  <si>
    <t>5628 U57</t>
  </si>
  <si>
    <t>5628 U67</t>
  </si>
  <si>
    <t>8420421086544</t>
  </si>
  <si>
    <t>8420421086551</t>
  </si>
  <si>
    <t>8420421086568</t>
  </si>
  <si>
    <t>8420421086582</t>
  </si>
  <si>
    <t>8420421086599</t>
  </si>
  <si>
    <t>8420421086605</t>
  </si>
  <si>
    <t>8420421086612</t>
  </si>
  <si>
    <t>8420421086650</t>
  </si>
  <si>
    <t>8420421086667</t>
  </si>
  <si>
    <t>8420421086674</t>
  </si>
  <si>
    <t>8420421086681</t>
  </si>
  <si>
    <t>8420421086711</t>
  </si>
  <si>
    <t>8420421086728</t>
  </si>
  <si>
    <t>8420421086735</t>
  </si>
  <si>
    <t>8420421086742</t>
  </si>
  <si>
    <t>8420421085813</t>
  </si>
  <si>
    <t>8420421086964</t>
  </si>
  <si>
    <t>8420421086971</t>
  </si>
  <si>
    <t>8420421086988</t>
  </si>
  <si>
    <t>8420421086995</t>
  </si>
  <si>
    <t>8420421087008</t>
  </si>
  <si>
    <t>8420421087015</t>
  </si>
  <si>
    <t>8420421087022</t>
  </si>
  <si>
    <t>8420421087039</t>
  </si>
  <si>
    <t>8420421087046</t>
  </si>
  <si>
    <t>8420421087053</t>
  </si>
  <si>
    <t>8420421087060</t>
  </si>
  <si>
    <t>2313 U67</t>
  </si>
  <si>
    <t>2314 U66</t>
  </si>
  <si>
    <t>5042 U05</t>
  </si>
  <si>
    <t>CUCO MICRO PRO-2</t>
  </si>
  <si>
    <t>5042 U06</t>
  </si>
  <si>
    <t>5042 U10</t>
  </si>
  <si>
    <t>5042 U57</t>
  </si>
  <si>
    <t>5042 U66</t>
  </si>
  <si>
    <t>5042 U67</t>
  </si>
  <si>
    <t>5640 U06</t>
  </si>
  <si>
    <t>5640 U10</t>
  </si>
  <si>
    <t>5640 U57</t>
  </si>
  <si>
    <t>5640 U66</t>
  </si>
  <si>
    <t>DIM GREY</t>
  </si>
  <si>
    <t>COLD BLACK</t>
  </si>
  <si>
    <t>OAK MILK</t>
  </si>
  <si>
    <t>MIST</t>
  </si>
  <si>
    <t>RACER BLACK</t>
  </si>
  <si>
    <t>NEGRO</t>
  </si>
  <si>
    <t>ALGAE</t>
  </si>
  <si>
    <t>FOREST GREEN</t>
  </si>
  <si>
    <t>SAND</t>
  </si>
  <si>
    <t>RACER CREAM</t>
  </si>
  <si>
    <t>MATT BLACK</t>
  </si>
  <si>
    <t>MARS GRAY</t>
  </si>
  <si>
    <t>SPARK RED</t>
  </si>
  <si>
    <t>DARK OAK</t>
  </si>
  <si>
    <t>DARK GRASS</t>
  </si>
  <si>
    <t>8420421085615</t>
  </si>
  <si>
    <t>8420421086537</t>
  </si>
  <si>
    <t>8420421085882</t>
  </si>
  <si>
    <t>8420421086636</t>
  </si>
  <si>
    <t>8420421086643</t>
  </si>
  <si>
    <t>8420421086629</t>
  </si>
  <si>
    <t>8420421085776</t>
  </si>
  <si>
    <t>8420421085820</t>
  </si>
  <si>
    <t>8420421085790</t>
  </si>
  <si>
    <t>8420421085783</t>
  </si>
  <si>
    <t>BE SOLID-AQUAMARINE</t>
  </si>
  <si>
    <t>BE SOLID-NUT</t>
  </si>
  <si>
    <t>RED</t>
  </si>
  <si>
    <t>BE SOLID-ROSEGOLD</t>
  </si>
  <si>
    <t>BLACK</t>
  </si>
  <si>
    <t>GREY</t>
  </si>
  <si>
    <t>BE ORBIT</t>
  </si>
  <si>
    <t>CHERRY</t>
  </si>
  <si>
    <t>OVERSEA</t>
  </si>
  <si>
    <t>MARBLE</t>
  </si>
  <si>
    <t>ROAD</t>
  </si>
  <si>
    <t>FIRE</t>
  </si>
  <si>
    <t>MILLENIUM</t>
  </si>
  <si>
    <t>SCARLET</t>
  </si>
  <si>
    <t>DARK</t>
  </si>
  <si>
    <t>IRON</t>
  </si>
  <si>
    <t>CITY</t>
  </si>
  <si>
    <t>PENGUIN</t>
  </si>
  <si>
    <t>SAPPHIRE</t>
  </si>
  <si>
    <t>ORCHID</t>
  </si>
  <si>
    <t>OCEAN</t>
  </si>
  <si>
    <t>RACE</t>
  </si>
  <si>
    <t>FUEL</t>
  </si>
  <si>
    <t xml:space="preserve">COLOR ÚNICO </t>
  </si>
  <si>
    <t>SILLA CROSSLIGHT PRO- CHASIS SILVER SHADOW</t>
  </si>
  <si>
    <t>COCHE CROSSLIGHT PRO MIC.PRO-2- CHASIS SILVER SHADOW</t>
  </si>
  <si>
    <t>CROSSLIGHT PRO KOOS MICR.PRO-2- CHASIS SILVER SHADOW</t>
  </si>
  <si>
    <t>CROSSLIGHT PRO MATRIX LIGHT 2- CHASIS SILVER SHADOW</t>
  </si>
  <si>
    <t>211ACJAA1X09</t>
  </si>
  <si>
    <t>5079 X09</t>
  </si>
  <si>
    <t>I-PLATFORM COMFY</t>
  </si>
  <si>
    <t>Maternal</t>
  </si>
  <si>
    <t>22</t>
  </si>
  <si>
    <t>CC</t>
  </si>
  <si>
    <t>8420421074930</t>
  </si>
  <si>
    <t>080192 U05</t>
  </si>
  <si>
    <t>5656 U69</t>
  </si>
  <si>
    <t>4508 U52</t>
  </si>
  <si>
    <t>REFERENCE</t>
  </si>
  <si>
    <t>DESCRIPTION</t>
  </si>
  <si>
    <t>COLOUR</t>
  </si>
  <si>
    <t>LIST PRICE</t>
  </si>
  <si>
    <t>RRP</t>
  </si>
  <si>
    <t>CATALOGUE</t>
  </si>
  <si>
    <t>PACKING UNIT</t>
  </si>
  <si>
    <t>MINT</t>
  </si>
  <si>
    <t>TANGRAM</t>
  </si>
  <si>
    <t>COLOR RAIN</t>
  </si>
  <si>
    <t>PUZZLE</t>
  </si>
  <si>
    <t>BUSYBEARS</t>
  </si>
  <si>
    <t>MILD BLUE</t>
  </si>
  <si>
    <t>AQUAREL BLUE</t>
  </si>
  <si>
    <t>BOHO PINK</t>
  </si>
  <si>
    <t>BRONZE</t>
  </si>
  <si>
    <t>TABLET + SAFETY MIRROR</t>
  </si>
  <si>
    <t>SMARTPHONE HOLDER</t>
  </si>
  <si>
    <t>WHALE CUPHOLDER</t>
  </si>
  <si>
    <t>PANORAMIC MIRROR</t>
  </si>
  <si>
    <t>HOLI</t>
  </si>
  <si>
    <t>JET BLACK</t>
  </si>
  <si>
    <t>FOLDING &amp; COMPACT BED RAILS 150CM</t>
  </si>
  <si>
    <t>BED RAILS FOLDING 130CM</t>
  </si>
  <si>
    <t>FOLDING &amp; COMPACT BED RAILS 140CM</t>
  </si>
  <si>
    <t>GREYLAND</t>
  </si>
  <si>
    <t>FOLDING &amp; COMPACT BED 140CM</t>
  </si>
  <si>
    <t>BED RAILS BASIC 90CM</t>
  </si>
  <si>
    <t>BED RAILS BASIC 110CM</t>
  </si>
  <si>
    <t>BED RAILS BASIC 140CM</t>
  </si>
  <si>
    <t>HORIZONS</t>
  </si>
  <si>
    <t xml:space="preserve"> GREYLAND</t>
  </si>
  <si>
    <t>SOIL</t>
  </si>
  <si>
    <t>STONE</t>
  </si>
  <si>
    <t>BISON</t>
  </si>
  <si>
    <t>WRAP</t>
  </si>
  <si>
    <t xml:space="preserve"> BLACK</t>
  </si>
  <si>
    <t xml:space="preserve"> DIM GREY</t>
  </si>
  <si>
    <t>TRAVEL BOOSTER SEAT</t>
  </si>
  <si>
    <t xml:space="preserve"> SOIL</t>
  </si>
  <si>
    <t>POOL</t>
  </si>
  <si>
    <t>ORGANIC</t>
  </si>
  <si>
    <t>WILD ANIMAL</t>
  </si>
  <si>
    <t xml:space="preserve">BIRTH BAGS </t>
  </si>
  <si>
    <t>GROWING NIDO RED.BEBÉ</t>
  </si>
  <si>
    <t xml:space="preserve">GROWING NIDO RED.BEBÉ </t>
  </si>
  <si>
    <t>SKY</t>
  </si>
  <si>
    <t>CRATER</t>
  </si>
  <si>
    <t>COLCH.LATERALES ALG.REV.</t>
  </si>
  <si>
    <t xml:space="preserve">COLCH.LATERALES ALG.REV. </t>
  </si>
  <si>
    <t>Reversible universal mattress pad</t>
  </si>
  <si>
    <t>GROWING NIDO REDUC.BEBÉ BOHO PINK</t>
  </si>
  <si>
    <t>GREY STAR</t>
  </si>
  <si>
    <t>CROSSBAG</t>
  </si>
  <si>
    <t>MULTIPURPOSE FOAM MAT 60X120</t>
  </si>
  <si>
    <t>MULTIPURPOSE FOAM MAT 70X100</t>
  </si>
  <si>
    <t>MULTIPURPOSE FOAM MAT 90X90</t>
  </si>
  <si>
    <t>BACKPACK</t>
  </si>
  <si>
    <t>FOX</t>
  </si>
  <si>
    <t>FROG</t>
  </si>
  <si>
    <t>RECAMBIO BABYSIDE</t>
  </si>
  <si>
    <t xml:space="preserve">RECAMBIO BABYSIDE </t>
  </si>
  <si>
    <t>STROLLER ORGANIZER</t>
  </si>
  <si>
    <t xml:space="preserve"> JET BLACK</t>
  </si>
  <si>
    <t>SHADOW</t>
  </si>
  <si>
    <t xml:space="preserve"> HORIZONS</t>
  </si>
  <si>
    <t>80482 U67</t>
  </si>
  <si>
    <t>SACO NEST ALGAE</t>
  </si>
  <si>
    <t xml:space="preserve"> PALE</t>
  </si>
  <si>
    <t>CREMA</t>
  </si>
  <si>
    <t>STARS</t>
  </si>
  <si>
    <t>MID BLUE</t>
  </si>
  <si>
    <t>KAIZEN</t>
  </si>
  <si>
    <t xml:space="preserve"> OAK MILK</t>
  </si>
  <si>
    <t>BROKEN BLACK</t>
  </si>
  <si>
    <t>ART-NO.</t>
  </si>
  <si>
    <t>PU</t>
  </si>
  <si>
    <t>8420421088197</t>
  </si>
  <si>
    <t xml:space="preserve">6911 Y98                 </t>
  </si>
  <si>
    <t>SUMMER COVER FIT</t>
  </si>
  <si>
    <t xml:space="preserve">GREY                          </t>
  </si>
  <si>
    <t>8420421088203</t>
  </si>
  <si>
    <t xml:space="preserve">6910 Y98                 </t>
  </si>
  <si>
    <t xml:space="preserve">SUMMER COVER WAGON </t>
  </si>
  <si>
    <t>8420421088173</t>
  </si>
  <si>
    <t xml:space="preserve">6908 Y98                 </t>
  </si>
  <si>
    <t>SUMMER COVER TWISTER</t>
  </si>
  <si>
    <t>8420421088180</t>
  </si>
  <si>
    <t xml:space="preserve">6909 Y98                 </t>
  </si>
  <si>
    <t>SUMMER COVER FOLDY</t>
  </si>
  <si>
    <t>6906 Y96</t>
  </si>
  <si>
    <t>SUMMER COVER STAR</t>
  </si>
  <si>
    <t>6906 Y97</t>
  </si>
  <si>
    <t>6906 Y98</t>
  </si>
  <si>
    <t>8420421088210</t>
  </si>
  <si>
    <t xml:space="preserve">6912 Y98                 </t>
  </si>
  <si>
    <t>SUMMER COVER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</si>
</sst>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_€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3" tint="-0.499984740745262"/>
      <name val="Franklin Gothic Heavy"/>
      <family val="2"/>
    </font>
    <font>
      <b/>
      <sz val="10"/>
      <color indexed="8"/>
      <name val="Arial"/>
      <family val="2"/>
    </font>
    <font>
      <sz val="20"/>
      <color theme="3" tint="-0.499984740745262"/>
      <name val="Arial Black"/>
      <family val="2"/>
    </font>
    <font>
      <sz val="12"/>
      <color theme="3" tint="-0.249977111117893"/>
      <name val="Arial Black"/>
      <family val="2"/>
    </font>
    <font>
      <b/>
      <sz val="10"/>
      <color theme="0"/>
      <name val="Arial"/>
      <family val="2"/>
    </font>
    <font>
      <b/>
      <sz val="16"/>
      <color theme="0" tint="-0.499984740745262"/>
      <name val="Arial Black"/>
      <family val="2"/>
    </font>
    <font>
      <sz val="10"/>
      <color theme="1"/>
      <name val="Calibri"/>
      <family val="2"/>
      <scheme val="minor"/>
    </font>
    <font>
      <sz val="10"/>
      <color theme="3" tint="-0.249977111117893"/>
      <name val="Arial Black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  <scheme val="minor"/>
    </font>
    <font>
      <b/>
      <i/>
      <sz val="28"/>
      <color rgb="FF002060"/>
      <name val="Arial Black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187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1" fillId="3" borderId="0" xfId="0" applyFont="1" applyFill="1"/>
    <xf numFmtId="0" fontId="0" fillId="0" borderId="10" xfId="0" applyBorder="1"/>
    <xf numFmtId="0" fontId="2" fillId="0" borderId="10" xfId="0" applyFont="1" applyBorder="1"/>
    <xf numFmtId="164" fontId="4" fillId="0" borderId="0" xfId="0" applyNumberFormat="1" applyFont="1"/>
    <xf numFmtId="0" fontId="7" fillId="7" borderId="0" xfId="0" applyFont="1" applyFill="1"/>
    <xf numFmtId="164" fontId="7" fillId="7" borderId="0" xfId="0" applyNumberFormat="1" applyFont="1" applyFill="1" applyAlignment="1">
      <alignment horizontal="center"/>
    </xf>
    <xf numFmtId="0" fontId="8" fillId="0" borderId="0" xfId="0" applyFont="1"/>
    <xf numFmtId="164" fontId="2" fillId="0" borderId="0" xfId="0" applyNumberFormat="1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49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" fontId="12" fillId="0" borderId="10" xfId="0" applyNumberFormat="1" applyFont="1" applyBorder="1" applyAlignment="1">
      <alignment horizontal="left"/>
    </xf>
    <xf numFmtId="49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12" fillId="0" borderId="12" xfId="0" applyNumberFormat="1" applyFont="1" applyBorder="1" applyAlignment="1">
      <alignment horizontal="left"/>
    </xf>
    <xf numFmtId="49" fontId="12" fillId="0" borderId="12" xfId="0" applyNumberFormat="1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1" fontId="12" fillId="0" borderId="15" xfId="0" applyNumberFormat="1" applyFont="1" applyBorder="1" applyAlignment="1">
      <alignment horizontal="left"/>
    </xf>
    <xf numFmtId="49" fontId="12" fillId="0" borderId="1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" fontId="12" fillId="0" borderId="17" xfId="0" applyNumberFormat="1" applyFont="1" applyBorder="1" applyAlignment="1">
      <alignment horizontal="left"/>
    </xf>
    <xf numFmtId="49" fontId="12" fillId="0" borderId="17" xfId="0" applyNumberFormat="1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1" fontId="12" fillId="0" borderId="21" xfId="0" applyNumberFormat="1" applyFont="1" applyBorder="1" applyAlignment="1">
      <alignment horizontal="left"/>
    </xf>
    <xf numFmtId="49" fontId="12" fillId="0" borderId="21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4" fontId="13" fillId="0" borderId="0" xfId="0" applyNumberFormat="1" applyFont="1"/>
    <xf numFmtId="164" fontId="11" fillId="6" borderId="7" xfId="0" applyNumberFormat="1" applyFont="1" applyFill="1" applyBorder="1" applyAlignment="1">
      <alignment horizontal="center"/>
    </xf>
    <xf numFmtId="164" fontId="11" fillId="6" borderId="10" xfId="0" applyNumberFormat="1" applyFont="1" applyFill="1" applyBorder="1" applyAlignment="1">
      <alignment horizontal="center"/>
    </xf>
    <xf numFmtId="164" fontId="11" fillId="6" borderId="12" xfId="0" applyNumberFormat="1" applyFont="1" applyFill="1" applyBorder="1" applyAlignment="1">
      <alignment horizontal="center"/>
    </xf>
    <xf numFmtId="164" fontId="11" fillId="6" borderId="15" xfId="0" applyNumberFormat="1" applyFont="1" applyFill="1" applyBorder="1" applyAlignment="1">
      <alignment horizontal="center"/>
    </xf>
    <xf numFmtId="164" fontId="11" fillId="6" borderId="17" xfId="0" applyNumberFormat="1" applyFont="1" applyFill="1" applyBorder="1" applyAlignment="1">
      <alignment horizontal="center"/>
    </xf>
    <xf numFmtId="164" fontId="11" fillId="6" borderId="21" xfId="0" applyNumberFormat="1" applyFont="1" applyFill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164" fontId="11" fillId="0" borderId="22" xfId="0" applyNumberFormat="1" applyFont="1" applyBorder="1" applyAlignment="1">
      <alignment horizontal="center"/>
    </xf>
    <xf numFmtId="0" fontId="13" fillId="0" borderId="0" xfId="0" applyFont="1"/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49" fontId="14" fillId="0" borderId="23" xfId="0" applyNumberFormat="1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49" fontId="14" fillId="0" borderId="31" xfId="0" applyNumberFormat="1" applyFont="1" applyBorder="1" applyAlignment="1">
      <alignment horizontal="left"/>
    </xf>
    <xf numFmtId="0" fontId="9" fillId="0" borderId="14" xfId="0" applyFont="1" applyBorder="1"/>
    <xf numFmtId="0" fontId="9" fillId="0" borderId="9" xfId="0" applyFont="1" applyBorder="1"/>
    <xf numFmtId="0" fontId="9" fillId="0" borderId="20" xfId="0" applyFont="1" applyBorder="1"/>
    <xf numFmtId="49" fontId="14" fillId="0" borderId="32" xfId="0" applyNumberFormat="1" applyFont="1" applyBorder="1" applyAlignment="1">
      <alignment horizontal="left"/>
    </xf>
    <xf numFmtId="164" fontId="11" fillId="6" borderId="33" xfId="0" applyNumberFormat="1" applyFont="1" applyFill="1" applyBorder="1" applyAlignment="1">
      <alignment horizontal="center"/>
    </xf>
    <xf numFmtId="0" fontId="14" fillId="0" borderId="32" xfId="0" applyFont="1" applyBorder="1" applyAlignment="1">
      <alignment horizontal="left"/>
    </xf>
    <xf numFmtId="0" fontId="9" fillId="0" borderId="16" xfId="0" applyFont="1" applyBorder="1"/>
    <xf numFmtId="0" fontId="14" fillId="0" borderId="16" xfId="0" applyFont="1" applyBorder="1" applyAlignment="1">
      <alignment horizontal="left"/>
    </xf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0" fontId="2" fillId="0" borderId="12" xfId="0" applyFont="1" applyBorder="1"/>
    <xf numFmtId="164" fontId="1" fillId="3" borderId="0" xfId="0" applyNumberFormat="1" applyFont="1" applyFill="1" applyAlignment="1">
      <alignment horizontal="center"/>
    </xf>
    <xf numFmtId="0" fontId="6" fillId="5" borderId="0" xfId="0" applyFont="1" applyFill="1"/>
    <xf numFmtId="0" fontId="2" fillId="0" borderId="15" xfId="0" applyFont="1" applyBorder="1"/>
    <xf numFmtId="0" fontId="0" fillId="0" borderId="15" xfId="0" applyBorder="1"/>
    <xf numFmtId="164" fontId="0" fillId="0" borderId="8" xfId="0" applyNumberFormat="1" applyBorder="1"/>
    <xf numFmtId="164" fontId="0" fillId="0" borderId="11" xfId="0" applyNumberFormat="1" applyBorder="1"/>
    <xf numFmtId="0" fontId="2" fillId="0" borderId="21" xfId="0" applyFont="1" applyBorder="1"/>
    <xf numFmtId="0" fontId="0" fillId="0" borderId="21" xfId="0" applyBorder="1"/>
    <xf numFmtId="164" fontId="0" fillId="0" borderId="22" xfId="0" applyNumberFormat="1" applyBorder="1"/>
    <xf numFmtId="0" fontId="2" fillId="0" borderId="17" xfId="0" applyFont="1" applyBorder="1"/>
    <xf numFmtId="0" fontId="0" fillId="0" borderId="17" xfId="0" applyBorder="1"/>
    <xf numFmtId="164" fontId="0" fillId="0" borderId="18" xfId="0" applyNumberFormat="1" applyBorder="1"/>
    <xf numFmtId="0" fontId="2" fillId="0" borderId="2" xfId="0" applyFont="1" applyBorder="1"/>
    <xf numFmtId="0" fontId="0" fillId="0" borderId="2" xfId="0" applyBorder="1"/>
    <xf numFmtId="164" fontId="0" fillId="0" borderId="3" xfId="0" applyNumberFormat="1" applyBorder="1"/>
    <xf numFmtId="0" fontId="2" fillId="0" borderId="33" xfId="0" applyFont="1" applyBorder="1"/>
    <xf numFmtId="0" fontId="0" fillId="0" borderId="33" xfId="0" applyBorder="1"/>
    <xf numFmtId="164" fontId="0" fillId="0" borderId="37" xfId="0" applyNumberFormat="1" applyBorder="1"/>
    <xf numFmtId="164" fontId="0" fillId="0" borderId="13" xfId="0" applyNumberFormat="1" applyBorder="1"/>
    <xf numFmtId="164" fontId="0" fillId="0" borderId="19" xfId="0" applyNumberFormat="1" applyBorder="1"/>
    <xf numFmtId="1" fontId="0" fillId="0" borderId="0" xfId="0" applyNumberFormat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6" xfId="0" applyBorder="1" applyAlignment="1">
      <alignment horizontal="center"/>
    </xf>
    <xf numFmtId="0" fontId="15" fillId="8" borderId="26" xfId="0" applyFont="1" applyFill="1" applyBorder="1"/>
    <xf numFmtId="2" fontId="15" fillId="8" borderId="1" xfId="0" applyNumberFormat="1" applyFont="1" applyFill="1" applyBorder="1" applyAlignment="1">
      <alignment horizontal="left"/>
    </xf>
    <xf numFmtId="3" fontId="15" fillId="8" borderId="2" xfId="0" applyNumberFormat="1" applyFont="1" applyFill="1" applyBorder="1" applyAlignment="1">
      <alignment horizontal="center" vertical="center"/>
    </xf>
    <xf numFmtId="1" fontId="15" fillId="8" borderId="2" xfId="0" applyNumberFormat="1" applyFont="1" applyFill="1" applyBorder="1" applyAlignment="1">
      <alignment horizontal="center"/>
    </xf>
    <xf numFmtId="1" fontId="15" fillId="8" borderId="2" xfId="0" applyNumberFormat="1" applyFont="1" applyFill="1" applyBorder="1" applyAlignment="1">
      <alignment horizontal="center" vertical="center"/>
    </xf>
    <xf numFmtId="164" fontId="15" fillId="8" borderId="2" xfId="0" applyNumberFormat="1" applyFont="1" applyFill="1" applyBorder="1" applyAlignment="1">
      <alignment horizontal="center" vertical="center"/>
    </xf>
    <xf numFmtId="164" fontId="15" fillId="8" borderId="3" xfId="0" applyNumberFormat="1" applyFont="1" applyFill="1" applyBorder="1" applyAlignment="1">
      <alignment horizontal="center" vertical="center"/>
    </xf>
    <xf numFmtId="0" fontId="0" fillId="0" borderId="14" xfId="0" applyBorder="1"/>
    <xf numFmtId="164" fontId="2" fillId="0" borderId="8" xfId="0" applyNumberFormat="1" applyFont="1" applyBorder="1"/>
    <xf numFmtId="0" fontId="0" fillId="0" borderId="9" xfId="0" applyBorder="1"/>
    <xf numFmtId="164" fontId="2" fillId="0" borderId="11" xfId="0" applyNumberFormat="1" applyFont="1" applyBorder="1"/>
    <xf numFmtId="0" fontId="0" fillId="0" borderId="20" xfId="0" applyBorder="1"/>
    <xf numFmtId="164" fontId="2" fillId="0" borderId="22" xfId="0" applyNumberFormat="1" applyFont="1" applyBorder="1"/>
    <xf numFmtId="0" fontId="0" fillId="0" borderId="16" xfId="0" applyBorder="1"/>
    <xf numFmtId="164" fontId="2" fillId="0" borderId="18" xfId="0" applyNumberFormat="1" applyFont="1" applyBorder="1"/>
    <xf numFmtId="164" fontId="4" fillId="9" borderId="15" xfId="0" applyNumberFormat="1" applyFont="1" applyFill="1" applyBorder="1"/>
    <xf numFmtId="164" fontId="4" fillId="9" borderId="10" xfId="0" applyNumberFormat="1" applyFont="1" applyFill="1" applyBorder="1"/>
    <xf numFmtId="164" fontId="4" fillId="9" borderId="21" xfId="0" applyNumberFormat="1" applyFont="1" applyFill="1" applyBorder="1"/>
    <xf numFmtId="164" fontId="4" fillId="9" borderId="17" xfId="0" applyNumberFormat="1" applyFont="1" applyFill="1" applyBorder="1"/>
    <xf numFmtId="0" fontId="1" fillId="3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7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2" fillId="10" borderId="15" xfId="0" applyNumberFormat="1" applyFont="1" applyFill="1" applyBorder="1" applyAlignment="1">
      <alignment horizontal="right"/>
    </xf>
    <xf numFmtId="164" fontId="2" fillId="10" borderId="10" xfId="0" applyNumberFormat="1" applyFont="1" applyFill="1" applyBorder="1" applyAlignment="1">
      <alignment horizontal="right"/>
    </xf>
    <xf numFmtId="164" fontId="2" fillId="10" borderId="12" xfId="0" applyNumberFormat="1" applyFont="1" applyFill="1" applyBorder="1" applyAlignment="1">
      <alignment horizontal="right"/>
    </xf>
    <xf numFmtId="164" fontId="2" fillId="10" borderId="21" xfId="0" applyNumberFormat="1" applyFont="1" applyFill="1" applyBorder="1" applyAlignment="1">
      <alignment horizontal="right"/>
    </xf>
    <xf numFmtId="164" fontId="2" fillId="10" borderId="2" xfId="0" applyNumberFormat="1" applyFont="1" applyFill="1" applyBorder="1" applyAlignment="1">
      <alignment horizontal="right"/>
    </xf>
    <xf numFmtId="164" fontId="2" fillId="10" borderId="7" xfId="0" applyNumberFormat="1" applyFont="1" applyFill="1" applyBorder="1" applyAlignment="1">
      <alignment horizontal="right"/>
    </xf>
    <xf numFmtId="164" fontId="2" fillId="10" borderId="17" xfId="0" applyNumberFormat="1" applyFont="1" applyFill="1" applyBorder="1" applyAlignment="1">
      <alignment horizontal="right"/>
    </xf>
    <xf numFmtId="164" fontId="2" fillId="10" borderId="33" xfId="0" applyNumberFormat="1" applyFont="1" applyFill="1" applyBorder="1" applyAlignment="1">
      <alignment horizontal="right"/>
    </xf>
    <xf numFmtId="1" fontId="0" fillId="0" borderId="16" xfId="0" applyNumberFormat="1" applyBorder="1" applyAlignment="1">
      <alignment horizontal="center"/>
    </xf>
    <xf numFmtId="165" fontId="0" fillId="0" borderId="18" xfId="0" applyNumberFormat="1" applyBorder="1" applyAlignment="1">
      <alignment horizontal="right"/>
    </xf>
    <xf numFmtId="0" fontId="16" fillId="10" borderId="0" xfId="0" applyFont="1" applyFill="1" applyAlignment="1">
      <alignment horizontal="center"/>
    </xf>
    <xf numFmtId="0" fontId="2" fillId="2" borderId="0" xfId="0" applyFont="1" applyFill="1"/>
    <xf numFmtId="2" fontId="4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2" fillId="4" borderId="0" xfId="0" applyFont="1" applyFill="1"/>
    <xf numFmtId="164" fontId="0" fillId="4" borderId="0" xfId="0" applyNumberFormat="1" applyFill="1"/>
    <xf numFmtId="1" fontId="0" fillId="4" borderId="0" xfId="0" applyNumberFormat="1" applyFill="1" applyAlignment="1">
      <alignment horizontal="left"/>
    </xf>
    <xf numFmtId="1" fontId="0" fillId="0" borderId="39" xfId="0" applyNumberFormat="1" applyBorder="1" applyAlignment="1">
      <alignment horizontal="center"/>
    </xf>
    <xf numFmtId="0" fontId="0" fillId="5" borderId="0" xfId="0" applyFill="1"/>
    <xf numFmtId="0" fontId="13" fillId="0" borderId="0" xfId="0" applyFont="1" applyAlignment="1">
      <alignment horizontal="left"/>
    </xf>
    <xf numFmtId="1" fontId="12" fillId="0" borderId="4" xfId="0" applyNumberFormat="1" applyFont="1" applyBorder="1" applyAlignment="1">
      <alignment horizontal="left"/>
    </xf>
    <xf numFmtId="164" fontId="0" fillId="11" borderId="0" xfId="0" applyNumberFormat="1" applyFill="1"/>
    <xf numFmtId="0" fontId="0" fillId="11" borderId="0" xfId="0" applyFill="1"/>
    <xf numFmtId="0" fontId="0" fillId="0" borderId="0" xfId="0" applyAlignment="1">
      <alignment wrapText="1"/>
    </xf>
    <xf numFmtId="0" fontId="0" fillId="0" borderId="15" xfId="0" applyBorder="1" applyAlignment="1">
      <alignment horizontal="left"/>
    </xf>
    <xf numFmtId="164" fontId="4" fillId="0" borderId="15" xfId="0" applyNumberFormat="1" applyFont="1" applyBorder="1"/>
    <xf numFmtId="0" fontId="0" fillId="0" borderId="10" xfId="0" applyBorder="1" applyAlignment="1">
      <alignment horizontal="left"/>
    </xf>
    <xf numFmtId="164" fontId="4" fillId="0" borderId="10" xfId="0" applyNumberFormat="1" applyFont="1" applyBorder="1"/>
    <xf numFmtId="0" fontId="11" fillId="0" borderId="10" xfId="1" applyFont="1" applyBorder="1"/>
    <xf numFmtId="0" fontId="18" fillId="0" borderId="10" xfId="0" applyFont="1" applyBorder="1"/>
    <xf numFmtId="0" fontId="18" fillId="0" borderId="10" xfId="1" applyFont="1" applyBorder="1" applyAlignment="1">
      <alignment horizontal="left"/>
    </xf>
    <xf numFmtId="164" fontId="19" fillId="0" borderId="10" xfId="0" applyNumberFormat="1" applyFont="1" applyBorder="1"/>
    <xf numFmtId="164" fontId="20" fillId="0" borderId="11" xfId="0" applyNumberFormat="1" applyFont="1" applyBorder="1"/>
    <xf numFmtId="0" fontId="21" fillId="0" borderId="0" xfId="0" applyFont="1"/>
    <xf numFmtId="0" fontId="22" fillId="0" borderId="0" xfId="1" applyFont="1"/>
    <xf numFmtId="0" fontId="20" fillId="0" borderId="10" xfId="0" applyFont="1" applyBorder="1"/>
    <xf numFmtId="0" fontId="0" fillId="0" borderId="21" xfId="0" applyBorder="1" applyAlignment="1">
      <alignment horizontal="left"/>
    </xf>
    <xf numFmtId="164" fontId="4" fillId="0" borderId="21" xfId="0" applyNumberFormat="1" applyFont="1" applyBorder="1"/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1" fontId="12" fillId="0" borderId="10" xfId="1" applyNumberFormat="1" applyFont="1" applyBorder="1" applyAlignment="1">
      <alignment horizontal="left"/>
    </xf>
    <xf numFmtId="1" fontId="18" fillId="0" borderId="9" xfId="0" applyNumberFormat="1" applyFont="1" applyBorder="1" applyAlignment="1">
      <alignment horizontal="left"/>
    </xf>
    <xf numFmtId="0" fontId="0" fillId="0" borderId="20" xfId="0" applyBorder="1" applyAlignment="1">
      <alignment horizontal="left"/>
    </xf>
    <xf numFmtId="0" fontId="5" fillId="5" borderId="0" xfId="0" applyFont="1" applyFill="1" applyAlignment="1">
      <alignment horizontal="center"/>
    </xf>
    <xf numFmtId="2" fontId="11" fillId="4" borderId="0" xfId="0" applyNumberFormat="1" applyFont="1" applyFill="1" applyAlignment="1">
      <alignment horizontal="left"/>
    </xf>
    <xf numFmtId="2" fontId="11" fillId="4" borderId="27" xfId="0" applyNumberFormat="1" applyFont="1" applyFill="1" applyBorder="1" applyAlignment="1">
      <alignment horizontal="left"/>
    </xf>
    <xf numFmtId="2" fontId="11" fillId="4" borderId="28" xfId="0" applyNumberFormat="1" applyFont="1" applyFill="1" applyBorder="1" applyAlignment="1">
      <alignment horizontal="left"/>
    </xf>
    <xf numFmtId="2" fontId="11" fillId="4" borderId="29" xfId="0" applyNumberFormat="1" applyFont="1" applyFill="1" applyBorder="1" applyAlignment="1">
      <alignment horizontal="left"/>
    </xf>
    <xf numFmtId="2" fontId="11" fillId="4" borderId="34" xfId="0" applyNumberFormat="1" applyFont="1" applyFill="1" applyBorder="1" applyAlignment="1">
      <alignment horizontal="left"/>
    </xf>
    <xf numFmtId="2" fontId="11" fillId="4" borderId="35" xfId="0" applyNumberFormat="1" applyFont="1" applyFill="1" applyBorder="1" applyAlignment="1">
      <alignment horizontal="left"/>
    </xf>
    <xf numFmtId="2" fontId="11" fillId="4" borderId="4" xfId="0" applyNumberFormat="1" applyFont="1" applyFill="1" applyBorder="1" applyAlignment="1">
      <alignment horizontal="left"/>
    </xf>
    <xf numFmtId="2" fontId="11" fillId="4" borderId="5" xfId="0" applyNumberFormat="1" applyFont="1" applyFill="1" applyBorder="1" applyAlignment="1">
      <alignment horizontal="left"/>
    </xf>
    <xf numFmtId="2" fontId="11" fillId="4" borderId="6" xfId="0" applyNumberFormat="1" applyFont="1" applyFill="1" applyBorder="1" applyAlignment="1">
      <alignment horizontal="left"/>
    </xf>
  </cellXfs>
  <cellStyles count="2">
    <cellStyle name="Normal 2" xfId="1" xr:uid="{00000000-0005-0000-0000-000001000000}"/>
    <cellStyle name="Standard" xfId="0" builtinId="0"/>
  </cellStyles>
  <dxfs count="0"/>
  <tableStyles count="0" defaultTableStyle="TableStyleMedium2" defaultPivotStyle="PivotStyleMedium9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390525</xdr:colOff>
      <xdr:row>0</xdr:row>
      <xdr:rowOff>504824</xdr:rowOff>
    </xdr:to>
    <xdr:pic>
      <xdr:nvPicPr>
        <xdr:cNvPr id="4" name="3 Imagen" descr="Jané Worl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695450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66675</xdr:colOff>
      <xdr:row>1</xdr:row>
      <xdr:rowOff>29936</xdr:rowOff>
    </xdr:to>
    <xdr:pic>
      <xdr:nvPicPr>
        <xdr:cNvPr id="2" name="1 Imagen" descr="Jané Worl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885950" cy="54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304800</xdr:colOff>
      <xdr:row>0</xdr:row>
      <xdr:rowOff>0</xdr:rowOff>
    </xdr:from>
    <xdr:to>
      <xdr:col>2</xdr:col>
      <xdr:colOff>371475</xdr:colOff>
      <xdr:row>1</xdr:row>
      <xdr:rowOff>29936</xdr:rowOff>
    </xdr:to>
    <xdr:pic>
      <xdr:nvPicPr>
        <xdr:cNvPr id="3" name="2 Imagen" descr="Jané World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0"/>
          <a:ext cx="1885950" cy="54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819150</xdr:colOff>
      <xdr:row>0</xdr:row>
      <xdr:rowOff>591911</xdr:rowOff>
    </xdr:to>
    <xdr:pic>
      <xdr:nvPicPr>
        <xdr:cNvPr id="2" name="1 Imagen" descr="Jané World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885950" cy="54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704851</xdr:colOff>
      <xdr:row>0</xdr:row>
      <xdr:rowOff>638175</xdr:rowOff>
    </xdr:to>
    <xdr:pic>
      <xdr:nvPicPr>
        <xdr:cNvPr id="2" name="1 Imagen" descr="be coo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75260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G202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9.5703125" style="84" customWidth="1"/>
    <col min="2" max="2" width="18.5703125" style="3" customWidth="1"/>
    <col min="3" max="3" width="55.7109375" bestFit="1" customWidth="1"/>
    <col min="4" max="4" width="19" style="127" customWidth="1"/>
    <col min="5" max="5" width="16.42578125" style="131" customWidth="1"/>
    <col min="6" max="6" width="17" style="4" customWidth="1"/>
    <col min="7" max="7" width="16.7109375" bestFit="1" customWidth="1"/>
  </cols>
  <sheetData>
    <row r="1" spans="1:6" ht="49.5" customHeight="1" x14ac:dyDescent="0.6">
      <c r="B1" s="177">
        <v>2023</v>
      </c>
      <c r="C1" s="177"/>
      <c r="D1" s="177"/>
      <c r="E1" s="177"/>
      <c r="F1" s="177"/>
    </row>
    <row r="2" spans="1:6" s="3" customFormat="1" ht="15.75" thickBot="1" x14ac:dyDescent="0.3">
      <c r="A2" s="85" t="s">
        <v>0</v>
      </c>
      <c r="B2" s="5" t="s">
        <v>1318</v>
      </c>
      <c r="C2" s="5" t="s">
        <v>1319</v>
      </c>
      <c r="D2" s="118" t="s">
        <v>1320</v>
      </c>
      <c r="E2" s="130" t="s">
        <v>1321</v>
      </c>
      <c r="F2" s="64" t="s">
        <v>1322</v>
      </c>
    </row>
    <row r="3" spans="1:6" x14ac:dyDescent="0.25">
      <c r="A3" s="91" t="s">
        <v>586</v>
      </c>
      <c r="B3" s="66" t="s">
        <v>584</v>
      </c>
      <c r="C3" s="67" t="s">
        <v>585</v>
      </c>
      <c r="D3" s="119" t="s">
        <v>1255</v>
      </c>
      <c r="E3" s="132">
        <v>196</v>
      </c>
      <c r="F3" s="68">
        <v>299</v>
      </c>
    </row>
    <row r="4" spans="1:6" x14ac:dyDescent="0.25">
      <c r="A4" s="92" t="s">
        <v>588</v>
      </c>
      <c r="B4" s="7" t="s">
        <v>587</v>
      </c>
      <c r="C4" s="6" t="s">
        <v>585</v>
      </c>
      <c r="D4" s="120" t="s">
        <v>1256</v>
      </c>
      <c r="E4" s="133">
        <v>196</v>
      </c>
      <c r="F4" s="69">
        <v>299</v>
      </c>
    </row>
    <row r="5" spans="1:6" x14ac:dyDescent="0.25">
      <c r="A5" s="92" t="s">
        <v>590</v>
      </c>
      <c r="B5" s="7" t="s">
        <v>589</v>
      </c>
      <c r="C5" s="6" t="s">
        <v>585</v>
      </c>
      <c r="D5" s="120" t="s">
        <v>942</v>
      </c>
      <c r="E5" s="133">
        <v>196</v>
      </c>
      <c r="F5" s="69">
        <v>299</v>
      </c>
    </row>
    <row r="6" spans="1:6" x14ac:dyDescent="0.25">
      <c r="A6" s="92" t="s">
        <v>592</v>
      </c>
      <c r="B6" s="7" t="s">
        <v>591</v>
      </c>
      <c r="C6" s="6" t="s">
        <v>585</v>
      </c>
      <c r="D6" s="120" t="s">
        <v>1257</v>
      </c>
      <c r="E6" s="133">
        <v>196</v>
      </c>
      <c r="F6" s="69">
        <v>299</v>
      </c>
    </row>
    <row r="7" spans="1:6" x14ac:dyDescent="0.25">
      <c r="A7" s="86">
        <v>8420421086773</v>
      </c>
      <c r="B7" s="7" t="s">
        <v>1242</v>
      </c>
      <c r="C7" s="6" t="s">
        <v>585</v>
      </c>
      <c r="D7" s="120" t="s">
        <v>1258</v>
      </c>
      <c r="E7" s="133">
        <v>196</v>
      </c>
      <c r="F7" s="69">
        <v>299</v>
      </c>
    </row>
    <row r="8" spans="1:6" x14ac:dyDescent="0.25">
      <c r="A8" s="92" t="s">
        <v>595</v>
      </c>
      <c r="B8" s="7" t="s">
        <v>593</v>
      </c>
      <c r="C8" s="6" t="s">
        <v>594</v>
      </c>
      <c r="D8" s="120" t="s">
        <v>1256</v>
      </c>
      <c r="E8" s="133">
        <v>210</v>
      </c>
      <c r="F8" s="69">
        <v>319</v>
      </c>
    </row>
    <row r="9" spans="1:6" x14ac:dyDescent="0.25">
      <c r="A9" s="89">
        <v>8420421086490</v>
      </c>
      <c r="B9" s="63" t="s">
        <v>1243</v>
      </c>
      <c r="C9" s="62" t="s">
        <v>594</v>
      </c>
      <c r="D9" s="121" t="s">
        <v>1261</v>
      </c>
      <c r="E9" s="134">
        <v>210</v>
      </c>
      <c r="F9" s="82">
        <v>319</v>
      </c>
    </row>
    <row r="10" spans="1:6" ht="15.75" thickBot="1" x14ac:dyDescent="0.3">
      <c r="A10" s="93" t="s">
        <v>598</v>
      </c>
      <c r="B10" s="70" t="s">
        <v>596</v>
      </c>
      <c r="C10" s="71" t="s">
        <v>597</v>
      </c>
      <c r="D10" s="122" t="s">
        <v>1256</v>
      </c>
      <c r="E10" s="135">
        <v>165</v>
      </c>
      <c r="F10" s="72">
        <v>255</v>
      </c>
    </row>
    <row r="11" spans="1:6" ht="15.75" thickBot="1" x14ac:dyDescent="0.3">
      <c r="A11" s="94" t="s">
        <v>601</v>
      </c>
      <c r="B11" s="76" t="s">
        <v>599</v>
      </c>
      <c r="C11" s="77" t="s">
        <v>600</v>
      </c>
      <c r="D11" s="123" t="s">
        <v>1260</v>
      </c>
      <c r="E11" s="136">
        <v>19</v>
      </c>
      <c r="F11" s="78">
        <v>29</v>
      </c>
    </row>
    <row r="12" spans="1:6" x14ac:dyDescent="0.25">
      <c r="A12" s="91" t="s">
        <v>679</v>
      </c>
      <c r="B12" s="66" t="s">
        <v>677</v>
      </c>
      <c r="C12" s="67" t="s">
        <v>678</v>
      </c>
      <c r="D12" s="119" t="s">
        <v>1255</v>
      </c>
      <c r="E12" s="132">
        <v>164</v>
      </c>
      <c r="F12" s="68">
        <v>249</v>
      </c>
    </row>
    <row r="13" spans="1:6" x14ac:dyDescent="0.25">
      <c r="A13" s="92" t="s">
        <v>681</v>
      </c>
      <c r="B13" s="7" t="s">
        <v>680</v>
      </c>
      <c r="C13" s="6" t="s">
        <v>678</v>
      </c>
      <c r="D13" s="120" t="s">
        <v>1256</v>
      </c>
      <c r="E13" s="133">
        <v>164</v>
      </c>
      <c r="F13" s="69">
        <v>249</v>
      </c>
    </row>
    <row r="14" spans="1:6" x14ac:dyDescent="0.25">
      <c r="A14" s="92" t="s">
        <v>683</v>
      </c>
      <c r="B14" s="7" t="s">
        <v>682</v>
      </c>
      <c r="C14" s="6" t="s">
        <v>678</v>
      </c>
      <c r="D14" s="120" t="s">
        <v>1262</v>
      </c>
      <c r="E14" s="133">
        <v>164</v>
      </c>
      <c r="F14" s="69">
        <v>249</v>
      </c>
    </row>
    <row r="15" spans="1:6" x14ac:dyDescent="0.25">
      <c r="A15" s="92" t="s">
        <v>685</v>
      </c>
      <c r="B15" s="7" t="s">
        <v>684</v>
      </c>
      <c r="C15" s="6" t="s">
        <v>678</v>
      </c>
      <c r="D15" s="120" t="s">
        <v>948</v>
      </c>
      <c r="E15" s="133">
        <v>164</v>
      </c>
      <c r="F15" s="69">
        <v>249</v>
      </c>
    </row>
    <row r="16" spans="1:6" x14ac:dyDescent="0.25">
      <c r="A16" s="92" t="s">
        <v>687</v>
      </c>
      <c r="B16" s="7" t="s">
        <v>686</v>
      </c>
      <c r="C16" s="6" t="s">
        <v>678</v>
      </c>
      <c r="D16" s="120" t="s">
        <v>1263</v>
      </c>
      <c r="E16" s="133">
        <v>164</v>
      </c>
      <c r="F16" s="69">
        <v>249</v>
      </c>
    </row>
    <row r="17" spans="1:6" x14ac:dyDescent="0.25">
      <c r="A17" s="92" t="s">
        <v>689</v>
      </c>
      <c r="B17" s="7" t="s">
        <v>688</v>
      </c>
      <c r="C17" s="6" t="s">
        <v>678</v>
      </c>
      <c r="D17" s="120" t="s">
        <v>942</v>
      </c>
      <c r="E17" s="133">
        <v>164</v>
      </c>
      <c r="F17" s="69">
        <v>249</v>
      </c>
    </row>
    <row r="18" spans="1:6" x14ac:dyDescent="0.25">
      <c r="A18" s="92" t="s">
        <v>691</v>
      </c>
      <c r="B18" s="7" t="s">
        <v>690</v>
      </c>
      <c r="C18" s="6" t="s">
        <v>678</v>
      </c>
      <c r="D18" s="120" t="s">
        <v>1257</v>
      </c>
      <c r="E18" s="133">
        <v>164</v>
      </c>
      <c r="F18" s="69">
        <v>249</v>
      </c>
    </row>
    <row r="19" spans="1:6" x14ac:dyDescent="0.25">
      <c r="A19" s="86">
        <v>8420421086698</v>
      </c>
      <c r="B19" s="7" t="s">
        <v>1207</v>
      </c>
      <c r="C19" s="6" t="s">
        <v>678</v>
      </c>
      <c r="D19" s="120" t="s">
        <v>1261</v>
      </c>
      <c r="E19" s="133">
        <v>164</v>
      </c>
      <c r="F19" s="69">
        <v>249</v>
      </c>
    </row>
    <row r="20" spans="1:6" ht="15.75" thickBot="1" x14ac:dyDescent="0.3">
      <c r="A20" s="87">
        <v>8420421086704</v>
      </c>
      <c r="B20" s="70" t="s">
        <v>1208</v>
      </c>
      <c r="C20" s="71" t="s">
        <v>678</v>
      </c>
      <c r="D20" s="122" t="s">
        <v>1258</v>
      </c>
      <c r="E20" s="135">
        <v>164</v>
      </c>
      <c r="F20" s="72">
        <v>249</v>
      </c>
    </row>
    <row r="21" spans="1:6" x14ac:dyDescent="0.25">
      <c r="A21" s="95" t="s">
        <v>694</v>
      </c>
      <c r="B21" s="61" t="s">
        <v>692</v>
      </c>
      <c r="C21" s="60" t="s">
        <v>693</v>
      </c>
      <c r="D21" s="124" t="s">
        <v>1255</v>
      </c>
      <c r="E21" s="137">
        <v>339</v>
      </c>
      <c r="F21" s="83">
        <v>519</v>
      </c>
    </row>
    <row r="22" spans="1:6" ht="15.75" thickBot="1" x14ac:dyDescent="0.3">
      <c r="A22" s="96" t="s">
        <v>696</v>
      </c>
      <c r="B22" s="63" t="s">
        <v>695</v>
      </c>
      <c r="C22" s="62" t="s">
        <v>693</v>
      </c>
      <c r="D22" s="121" t="s">
        <v>1256</v>
      </c>
      <c r="E22" s="134">
        <v>339</v>
      </c>
      <c r="F22" s="82">
        <v>519</v>
      </c>
    </row>
    <row r="23" spans="1:6" x14ac:dyDescent="0.25">
      <c r="A23" s="91" t="s">
        <v>699</v>
      </c>
      <c r="B23" s="66" t="s">
        <v>697</v>
      </c>
      <c r="C23" s="67" t="s">
        <v>698</v>
      </c>
      <c r="D23" s="119" t="s">
        <v>1255</v>
      </c>
      <c r="E23" s="132">
        <v>236</v>
      </c>
      <c r="F23" s="68">
        <v>359</v>
      </c>
    </row>
    <row r="24" spans="1:6" x14ac:dyDescent="0.25">
      <c r="A24" s="92" t="s">
        <v>701</v>
      </c>
      <c r="B24" s="7" t="s">
        <v>700</v>
      </c>
      <c r="C24" s="6" t="s">
        <v>698</v>
      </c>
      <c r="D24" s="120" t="s">
        <v>1256</v>
      </c>
      <c r="E24" s="133">
        <v>236</v>
      </c>
      <c r="F24" s="69">
        <v>359</v>
      </c>
    </row>
    <row r="25" spans="1:6" x14ac:dyDescent="0.25">
      <c r="A25" s="92" t="s">
        <v>703</v>
      </c>
      <c r="B25" s="7" t="s">
        <v>702</v>
      </c>
      <c r="C25" s="6" t="s">
        <v>698</v>
      </c>
      <c r="D25" s="120" t="s">
        <v>948</v>
      </c>
      <c r="E25" s="133">
        <v>236</v>
      </c>
      <c r="F25" s="69">
        <v>359</v>
      </c>
    </row>
    <row r="26" spans="1:6" x14ac:dyDescent="0.25">
      <c r="A26" s="92" t="s">
        <v>705</v>
      </c>
      <c r="B26" s="7" t="s">
        <v>704</v>
      </c>
      <c r="C26" s="6" t="s">
        <v>698</v>
      </c>
      <c r="D26" s="120" t="s">
        <v>1263</v>
      </c>
      <c r="E26" s="133">
        <v>236</v>
      </c>
      <c r="F26" s="69">
        <v>359</v>
      </c>
    </row>
    <row r="27" spans="1:6" x14ac:dyDescent="0.25">
      <c r="A27" s="92" t="s">
        <v>707</v>
      </c>
      <c r="B27" s="7" t="s">
        <v>706</v>
      </c>
      <c r="C27" s="6" t="s">
        <v>698</v>
      </c>
      <c r="D27" s="120" t="s">
        <v>942</v>
      </c>
      <c r="E27" s="133">
        <v>236</v>
      </c>
      <c r="F27" s="69">
        <v>359</v>
      </c>
    </row>
    <row r="28" spans="1:6" x14ac:dyDescent="0.25">
      <c r="A28" s="92" t="s">
        <v>709</v>
      </c>
      <c r="B28" s="7" t="s">
        <v>708</v>
      </c>
      <c r="C28" s="6" t="s">
        <v>698</v>
      </c>
      <c r="D28" s="120" t="s">
        <v>1257</v>
      </c>
      <c r="E28" s="133">
        <v>236</v>
      </c>
      <c r="F28" s="69">
        <v>359</v>
      </c>
    </row>
    <row r="29" spans="1:6" x14ac:dyDescent="0.25">
      <c r="A29" s="88">
        <v>8420421086759</v>
      </c>
      <c r="B29" s="7" t="s">
        <v>1209</v>
      </c>
      <c r="C29" s="6" t="s">
        <v>698</v>
      </c>
      <c r="D29" s="120" t="s">
        <v>1261</v>
      </c>
      <c r="E29" s="133">
        <v>236</v>
      </c>
      <c r="F29" s="69">
        <v>359</v>
      </c>
    </row>
    <row r="30" spans="1:6" ht="15.75" thickBot="1" x14ac:dyDescent="0.3">
      <c r="A30" s="90">
        <v>8420421086766</v>
      </c>
      <c r="B30" s="70" t="s">
        <v>1210</v>
      </c>
      <c r="C30" s="71" t="s">
        <v>698</v>
      </c>
      <c r="D30" s="122" t="s">
        <v>1258</v>
      </c>
      <c r="E30" s="135">
        <v>236</v>
      </c>
      <c r="F30" s="72">
        <v>359</v>
      </c>
    </row>
    <row r="31" spans="1:6" x14ac:dyDescent="0.25">
      <c r="A31" s="95" t="s">
        <v>736</v>
      </c>
      <c r="B31" s="61" t="s">
        <v>734</v>
      </c>
      <c r="C31" s="60" t="s">
        <v>735</v>
      </c>
      <c r="D31" s="124" t="s">
        <v>1255</v>
      </c>
      <c r="E31" s="137">
        <v>154</v>
      </c>
      <c r="F31" s="83">
        <v>235</v>
      </c>
    </row>
    <row r="32" spans="1:6" x14ac:dyDescent="0.25">
      <c r="A32" s="92" t="s">
        <v>738</v>
      </c>
      <c r="B32" s="7" t="s">
        <v>737</v>
      </c>
      <c r="C32" s="6" t="s">
        <v>735</v>
      </c>
      <c r="D32" s="120" t="s">
        <v>1256</v>
      </c>
      <c r="E32" s="133">
        <v>154</v>
      </c>
      <c r="F32" s="69">
        <v>235</v>
      </c>
    </row>
    <row r="33" spans="1:6" x14ac:dyDescent="0.25">
      <c r="A33" s="92" t="s">
        <v>740</v>
      </c>
      <c r="B33" s="7" t="s">
        <v>739</v>
      </c>
      <c r="C33" s="6" t="s">
        <v>735</v>
      </c>
      <c r="D33" s="120" t="s">
        <v>948</v>
      </c>
      <c r="E33" s="133">
        <v>154</v>
      </c>
      <c r="F33" s="69">
        <v>235</v>
      </c>
    </row>
    <row r="34" spans="1:6" x14ac:dyDescent="0.25">
      <c r="A34" s="92" t="s">
        <v>742</v>
      </c>
      <c r="B34" s="7" t="s">
        <v>741</v>
      </c>
      <c r="C34" s="6" t="s">
        <v>735</v>
      </c>
      <c r="D34" s="120" t="s">
        <v>1263</v>
      </c>
      <c r="E34" s="133">
        <v>154</v>
      </c>
      <c r="F34" s="69">
        <v>235</v>
      </c>
    </row>
    <row r="35" spans="1:6" x14ac:dyDescent="0.25">
      <c r="A35" s="92" t="s">
        <v>744</v>
      </c>
      <c r="B35" s="7" t="s">
        <v>743</v>
      </c>
      <c r="C35" s="6" t="s">
        <v>735</v>
      </c>
      <c r="D35" s="120" t="s">
        <v>942</v>
      </c>
      <c r="E35" s="133">
        <v>154</v>
      </c>
      <c r="F35" s="69">
        <v>235</v>
      </c>
    </row>
    <row r="36" spans="1:6" x14ac:dyDescent="0.25">
      <c r="A36" s="92" t="s">
        <v>746</v>
      </c>
      <c r="B36" s="7" t="s">
        <v>745</v>
      </c>
      <c r="C36" s="6" t="s">
        <v>735</v>
      </c>
      <c r="D36" s="120" t="s">
        <v>1257</v>
      </c>
      <c r="E36" s="133">
        <v>154</v>
      </c>
      <c r="F36" s="69">
        <v>235</v>
      </c>
    </row>
    <row r="37" spans="1:6" ht="15.75" thickBot="1" x14ac:dyDescent="0.3">
      <c r="A37" s="96" t="s">
        <v>749</v>
      </c>
      <c r="B37" s="63" t="s">
        <v>747</v>
      </c>
      <c r="C37" s="62" t="s">
        <v>748</v>
      </c>
      <c r="D37" s="121" t="s">
        <v>1256</v>
      </c>
      <c r="E37" s="134">
        <v>165</v>
      </c>
      <c r="F37" s="82">
        <v>251</v>
      </c>
    </row>
    <row r="38" spans="1:6" x14ac:dyDescent="0.25">
      <c r="A38" s="91" t="s">
        <v>1270</v>
      </c>
      <c r="B38" s="66" t="s">
        <v>1244</v>
      </c>
      <c r="C38" s="67" t="s">
        <v>1245</v>
      </c>
      <c r="D38" s="119" t="s">
        <v>1255</v>
      </c>
      <c r="E38" s="132">
        <v>154</v>
      </c>
      <c r="F38" s="68">
        <v>235</v>
      </c>
    </row>
    <row r="39" spans="1:6" x14ac:dyDescent="0.25">
      <c r="A39" s="92" t="s">
        <v>1272</v>
      </c>
      <c r="B39" s="7" t="s">
        <v>1246</v>
      </c>
      <c r="C39" s="6" t="s">
        <v>1245</v>
      </c>
      <c r="D39" s="120" t="s">
        <v>1256</v>
      </c>
      <c r="E39" s="133">
        <v>154</v>
      </c>
      <c r="F39" s="69">
        <v>235</v>
      </c>
    </row>
    <row r="40" spans="1:6" x14ac:dyDescent="0.25">
      <c r="A40" s="92" t="s">
        <v>1271</v>
      </c>
      <c r="B40" s="7" t="s">
        <v>1247</v>
      </c>
      <c r="C40" s="6" t="s">
        <v>1245</v>
      </c>
      <c r="D40" s="120" t="s">
        <v>1263</v>
      </c>
      <c r="E40" s="133">
        <v>154</v>
      </c>
      <c r="F40" s="69">
        <v>235</v>
      </c>
    </row>
    <row r="41" spans="1:6" x14ac:dyDescent="0.25">
      <c r="A41" s="92" t="s">
        <v>1275</v>
      </c>
      <c r="B41" s="7" t="s">
        <v>1248</v>
      </c>
      <c r="C41" s="6" t="s">
        <v>1245</v>
      </c>
      <c r="D41" s="120" t="s">
        <v>1257</v>
      </c>
      <c r="E41" s="133">
        <v>154</v>
      </c>
      <c r="F41" s="69">
        <v>235</v>
      </c>
    </row>
    <row r="42" spans="1:6" x14ac:dyDescent="0.25">
      <c r="A42" s="92" t="s">
        <v>1273</v>
      </c>
      <c r="B42" s="7" t="s">
        <v>1249</v>
      </c>
      <c r="C42" s="6" t="s">
        <v>1245</v>
      </c>
      <c r="D42" s="120" t="s">
        <v>1261</v>
      </c>
      <c r="E42" s="133">
        <v>154</v>
      </c>
      <c r="F42" s="69">
        <v>235</v>
      </c>
    </row>
    <row r="43" spans="1:6" ht="15.75" thickBot="1" x14ac:dyDescent="0.3">
      <c r="A43" s="93" t="s">
        <v>1274</v>
      </c>
      <c r="B43" s="70" t="s">
        <v>1250</v>
      </c>
      <c r="C43" s="71" t="s">
        <v>1245</v>
      </c>
      <c r="D43" s="122" t="s">
        <v>1258</v>
      </c>
      <c r="E43" s="135">
        <v>154</v>
      </c>
      <c r="F43" s="72">
        <v>235</v>
      </c>
    </row>
    <row r="44" spans="1:6" x14ac:dyDescent="0.25">
      <c r="A44" s="95" t="s">
        <v>755</v>
      </c>
      <c r="B44" s="61" t="s">
        <v>753</v>
      </c>
      <c r="C44" s="60" t="s">
        <v>754</v>
      </c>
      <c r="D44" s="124" t="s">
        <v>1255</v>
      </c>
      <c r="E44" s="137">
        <v>352</v>
      </c>
      <c r="F44" s="83">
        <v>539</v>
      </c>
    </row>
    <row r="45" spans="1:6" x14ac:dyDescent="0.25">
      <c r="A45" s="92" t="s">
        <v>757</v>
      </c>
      <c r="B45" s="7" t="s">
        <v>756</v>
      </c>
      <c r="C45" s="6" t="s">
        <v>754</v>
      </c>
      <c r="D45" s="120" t="s">
        <v>1256</v>
      </c>
      <c r="E45" s="133">
        <v>352</v>
      </c>
      <c r="F45" s="69">
        <v>539</v>
      </c>
    </row>
    <row r="46" spans="1:6" x14ac:dyDescent="0.25">
      <c r="A46" s="92" t="s">
        <v>759</v>
      </c>
      <c r="B46" s="7" t="s">
        <v>758</v>
      </c>
      <c r="C46" s="6" t="s">
        <v>754</v>
      </c>
      <c r="D46" s="120" t="s">
        <v>948</v>
      </c>
      <c r="E46" s="133">
        <v>352</v>
      </c>
      <c r="F46" s="69">
        <v>539</v>
      </c>
    </row>
    <row r="47" spans="1:6" x14ac:dyDescent="0.25">
      <c r="A47" s="92" t="s">
        <v>761</v>
      </c>
      <c r="B47" s="7" t="s">
        <v>760</v>
      </c>
      <c r="C47" s="6" t="s">
        <v>754</v>
      </c>
      <c r="D47" s="120" t="s">
        <v>1263</v>
      </c>
      <c r="E47" s="133">
        <v>352</v>
      </c>
      <c r="F47" s="69">
        <v>539</v>
      </c>
    </row>
    <row r="48" spans="1:6" x14ac:dyDescent="0.25">
      <c r="A48" s="92" t="s">
        <v>763</v>
      </c>
      <c r="B48" s="7" t="s">
        <v>762</v>
      </c>
      <c r="C48" s="6" t="s">
        <v>754</v>
      </c>
      <c r="D48" s="120" t="s">
        <v>942</v>
      </c>
      <c r="E48" s="133">
        <v>352</v>
      </c>
      <c r="F48" s="69">
        <v>539</v>
      </c>
    </row>
    <row r="49" spans="1:6" ht="15.75" thickBot="1" x14ac:dyDescent="0.3">
      <c r="A49" s="93" t="s">
        <v>765</v>
      </c>
      <c r="B49" s="70" t="s">
        <v>764</v>
      </c>
      <c r="C49" s="71" t="s">
        <v>754</v>
      </c>
      <c r="D49" s="122" t="s">
        <v>1257</v>
      </c>
      <c r="E49" s="135">
        <v>352</v>
      </c>
      <c r="F49" s="72">
        <v>539</v>
      </c>
    </row>
    <row r="50" spans="1:6" ht="15.75" thickBot="1" x14ac:dyDescent="0.3">
      <c r="A50" s="97" t="s">
        <v>768</v>
      </c>
      <c r="B50" s="73" t="s">
        <v>766</v>
      </c>
      <c r="C50" s="74" t="s">
        <v>767</v>
      </c>
      <c r="D50" s="125" t="s">
        <v>1256</v>
      </c>
      <c r="E50" s="138">
        <v>382</v>
      </c>
      <c r="F50" s="75">
        <v>585</v>
      </c>
    </row>
    <row r="51" spans="1:6" x14ac:dyDescent="0.25">
      <c r="A51" s="95" t="s">
        <v>771</v>
      </c>
      <c r="B51" s="61" t="s">
        <v>769</v>
      </c>
      <c r="C51" s="60" t="s">
        <v>770</v>
      </c>
      <c r="D51" s="124" t="s">
        <v>1255</v>
      </c>
      <c r="E51" s="137">
        <v>475</v>
      </c>
      <c r="F51" s="83">
        <v>725</v>
      </c>
    </row>
    <row r="52" spans="1:6" x14ac:dyDescent="0.25">
      <c r="A52" s="92" t="s">
        <v>773</v>
      </c>
      <c r="B52" s="7" t="s">
        <v>772</v>
      </c>
      <c r="C52" s="6" t="s">
        <v>770</v>
      </c>
      <c r="D52" s="120" t="s">
        <v>1256</v>
      </c>
      <c r="E52" s="133">
        <v>475</v>
      </c>
      <c r="F52" s="69">
        <v>725</v>
      </c>
    </row>
    <row r="53" spans="1:6" x14ac:dyDescent="0.25">
      <c r="A53" s="92" t="s">
        <v>775</v>
      </c>
      <c r="B53" s="7" t="s">
        <v>774</v>
      </c>
      <c r="C53" s="6" t="s">
        <v>770</v>
      </c>
      <c r="D53" s="120" t="s">
        <v>948</v>
      </c>
      <c r="E53" s="133">
        <v>475</v>
      </c>
      <c r="F53" s="69">
        <v>725</v>
      </c>
    </row>
    <row r="54" spans="1:6" x14ac:dyDescent="0.25">
      <c r="A54" s="92" t="s">
        <v>777</v>
      </c>
      <c r="B54" s="7" t="s">
        <v>776</v>
      </c>
      <c r="C54" s="6" t="s">
        <v>770</v>
      </c>
      <c r="D54" s="120" t="s">
        <v>1263</v>
      </c>
      <c r="E54" s="133">
        <v>475</v>
      </c>
      <c r="F54" s="69">
        <v>725</v>
      </c>
    </row>
    <row r="55" spans="1:6" x14ac:dyDescent="0.25">
      <c r="A55" s="92" t="s">
        <v>779</v>
      </c>
      <c r="B55" s="7" t="s">
        <v>778</v>
      </c>
      <c r="C55" s="6" t="s">
        <v>770</v>
      </c>
      <c r="D55" s="120" t="s">
        <v>942</v>
      </c>
      <c r="E55" s="133">
        <v>475</v>
      </c>
      <c r="F55" s="69">
        <v>725</v>
      </c>
    </row>
    <row r="56" spans="1:6" ht="15.75" thickBot="1" x14ac:dyDescent="0.3">
      <c r="A56" s="93" t="s">
        <v>781</v>
      </c>
      <c r="B56" s="70" t="s">
        <v>780</v>
      </c>
      <c r="C56" s="71" t="s">
        <v>770</v>
      </c>
      <c r="D56" s="122" t="s">
        <v>1257</v>
      </c>
      <c r="E56" s="135">
        <v>475</v>
      </c>
      <c r="F56" s="72">
        <v>725</v>
      </c>
    </row>
    <row r="57" spans="1:6" ht="15.75" thickBot="1" x14ac:dyDescent="0.3">
      <c r="A57" s="97" t="s">
        <v>784</v>
      </c>
      <c r="B57" s="73" t="s">
        <v>782</v>
      </c>
      <c r="C57" s="74" t="s">
        <v>783</v>
      </c>
      <c r="D57" s="125" t="s">
        <v>1256</v>
      </c>
      <c r="E57" s="138">
        <v>518</v>
      </c>
      <c r="F57" s="75">
        <v>789</v>
      </c>
    </row>
    <row r="58" spans="1:6" x14ac:dyDescent="0.25">
      <c r="A58" s="91" t="s">
        <v>787</v>
      </c>
      <c r="B58" s="66" t="s">
        <v>785</v>
      </c>
      <c r="C58" s="67" t="s">
        <v>786</v>
      </c>
      <c r="D58" s="119" t="s">
        <v>1255</v>
      </c>
      <c r="E58" s="132">
        <v>570</v>
      </c>
      <c r="F58" s="68">
        <v>869</v>
      </c>
    </row>
    <row r="59" spans="1:6" x14ac:dyDescent="0.25">
      <c r="A59" s="92" t="s">
        <v>789</v>
      </c>
      <c r="B59" s="7" t="s">
        <v>788</v>
      </c>
      <c r="C59" s="6" t="s">
        <v>786</v>
      </c>
      <c r="D59" s="120" t="s">
        <v>1256</v>
      </c>
      <c r="E59" s="133">
        <v>570</v>
      </c>
      <c r="F59" s="69">
        <v>869</v>
      </c>
    </row>
    <row r="60" spans="1:6" x14ac:dyDescent="0.25">
      <c r="A60" s="92" t="s">
        <v>791</v>
      </c>
      <c r="B60" s="7" t="s">
        <v>790</v>
      </c>
      <c r="C60" s="6" t="s">
        <v>786</v>
      </c>
      <c r="D60" s="120" t="s">
        <v>948</v>
      </c>
      <c r="E60" s="133">
        <v>570</v>
      </c>
      <c r="F60" s="69">
        <v>869</v>
      </c>
    </row>
    <row r="61" spans="1:6" x14ac:dyDescent="0.25">
      <c r="A61" s="92" t="s">
        <v>793</v>
      </c>
      <c r="B61" s="7" t="s">
        <v>792</v>
      </c>
      <c r="C61" s="6" t="s">
        <v>786</v>
      </c>
      <c r="D61" s="120" t="s">
        <v>1263</v>
      </c>
      <c r="E61" s="133">
        <v>570</v>
      </c>
      <c r="F61" s="69">
        <v>869</v>
      </c>
    </row>
    <row r="62" spans="1:6" x14ac:dyDescent="0.25">
      <c r="A62" s="92" t="s">
        <v>795</v>
      </c>
      <c r="B62" s="7" t="s">
        <v>794</v>
      </c>
      <c r="C62" s="6" t="s">
        <v>786</v>
      </c>
      <c r="D62" s="120" t="s">
        <v>942</v>
      </c>
      <c r="E62" s="133">
        <v>570</v>
      </c>
      <c r="F62" s="69">
        <v>869</v>
      </c>
    </row>
    <row r="63" spans="1:6" ht="15.75" thickBot="1" x14ac:dyDescent="0.3">
      <c r="A63" s="96" t="s">
        <v>797</v>
      </c>
      <c r="B63" s="63" t="s">
        <v>796</v>
      </c>
      <c r="C63" s="62" t="s">
        <v>786</v>
      </c>
      <c r="D63" s="121" t="s">
        <v>1257</v>
      </c>
      <c r="E63" s="134">
        <v>570</v>
      </c>
      <c r="F63" s="82">
        <v>869</v>
      </c>
    </row>
    <row r="64" spans="1:6" ht="15.75" thickBot="1" x14ac:dyDescent="0.3">
      <c r="A64" s="97" t="s">
        <v>799</v>
      </c>
      <c r="B64" s="73" t="s">
        <v>798</v>
      </c>
      <c r="C64" s="74" t="s">
        <v>786</v>
      </c>
      <c r="D64" s="125" t="s">
        <v>1256</v>
      </c>
      <c r="E64" s="138">
        <v>617</v>
      </c>
      <c r="F64" s="75">
        <v>939</v>
      </c>
    </row>
    <row r="65" spans="1:6" x14ac:dyDescent="0.25">
      <c r="A65" s="91" t="s">
        <v>802</v>
      </c>
      <c r="B65" s="66" t="s">
        <v>800</v>
      </c>
      <c r="C65" s="67" t="s">
        <v>801</v>
      </c>
      <c r="D65" s="119" t="s">
        <v>1255</v>
      </c>
      <c r="E65" s="132">
        <v>535</v>
      </c>
      <c r="F65" s="68">
        <v>815</v>
      </c>
    </row>
    <row r="66" spans="1:6" x14ac:dyDescent="0.25">
      <c r="A66" s="92" t="s">
        <v>804</v>
      </c>
      <c r="B66" s="7" t="s">
        <v>803</v>
      </c>
      <c r="C66" s="6" t="s">
        <v>801</v>
      </c>
      <c r="D66" s="120" t="s">
        <v>1256</v>
      </c>
      <c r="E66" s="133">
        <v>535</v>
      </c>
      <c r="F66" s="69">
        <v>815</v>
      </c>
    </row>
    <row r="67" spans="1:6" x14ac:dyDescent="0.25">
      <c r="A67" s="92" t="s">
        <v>806</v>
      </c>
      <c r="B67" s="7" t="s">
        <v>805</v>
      </c>
      <c r="C67" s="6" t="s">
        <v>801</v>
      </c>
      <c r="D67" s="120" t="s">
        <v>948</v>
      </c>
      <c r="E67" s="133">
        <v>535</v>
      </c>
      <c r="F67" s="69">
        <v>815</v>
      </c>
    </row>
    <row r="68" spans="1:6" x14ac:dyDescent="0.25">
      <c r="A68" s="92" t="s">
        <v>808</v>
      </c>
      <c r="B68" s="7" t="s">
        <v>807</v>
      </c>
      <c r="C68" s="6" t="s">
        <v>801</v>
      </c>
      <c r="D68" s="120" t="s">
        <v>1263</v>
      </c>
      <c r="E68" s="133">
        <v>535</v>
      </c>
      <c r="F68" s="69">
        <v>815</v>
      </c>
    </row>
    <row r="69" spans="1:6" x14ac:dyDescent="0.25">
      <c r="A69" s="92" t="s">
        <v>810</v>
      </c>
      <c r="B69" s="7" t="s">
        <v>809</v>
      </c>
      <c r="C69" s="6" t="s">
        <v>801</v>
      </c>
      <c r="D69" s="120" t="s">
        <v>942</v>
      </c>
      <c r="E69" s="133">
        <v>535</v>
      </c>
      <c r="F69" s="69">
        <v>815</v>
      </c>
    </row>
    <row r="70" spans="1:6" ht="15.75" thickBot="1" x14ac:dyDescent="0.3">
      <c r="A70" s="96" t="s">
        <v>812</v>
      </c>
      <c r="B70" s="63" t="s">
        <v>811</v>
      </c>
      <c r="C70" s="62" t="s">
        <v>801</v>
      </c>
      <c r="D70" s="121" t="s">
        <v>1257</v>
      </c>
      <c r="E70" s="134">
        <v>535</v>
      </c>
      <c r="F70" s="82">
        <v>815</v>
      </c>
    </row>
    <row r="71" spans="1:6" ht="15.75" thickBot="1" x14ac:dyDescent="0.3">
      <c r="A71" s="97" t="s">
        <v>815</v>
      </c>
      <c r="B71" s="73" t="s">
        <v>813</v>
      </c>
      <c r="C71" s="74" t="s">
        <v>814</v>
      </c>
      <c r="D71" s="125" t="s">
        <v>1256</v>
      </c>
      <c r="E71" s="138">
        <v>577</v>
      </c>
      <c r="F71" s="75">
        <v>879</v>
      </c>
    </row>
    <row r="72" spans="1:6" x14ac:dyDescent="0.25">
      <c r="A72" s="95" t="s">
        <v>884</v>
      </c>
      <c r="B72" s="61" t="s">
        <v>882</v>
      </c>
      <c r="C72" s="60" t="s">
        <v>883</v>
      </c>
      <c r="D72" s="124" t="s">
        <v>1259</v>
      </c>
      <c r="E72" s="137">
        <v>653</v>
      </c>
      <c r="F72" s="83">
        <v>995</v>
      </c>
    </row>
    <row r="73" spans="1:6" x14ac:dyDescent="0.25">
      <c r="A73" s="92" t="s">
        <v>886</v>
      </c>
      <c r="B73" s="7" t="s">
        <v>885</v>
      </c>
      <c r="C73" s="6" t="s">
        <v>883</v>
      </c>
      <c r="D73" s="120" t="s">
        <v>1264</v>
      </c>
      <c r="E73" s="133">
        <v>653</v>
      </c>
      <c r="F73" s="69">
        <v>995</v>
      </c>
    </row>
    <row r="74" spans="1:6" x14ac:dyDescent="0.25">
      <c r="A74" s="92" t="s">
        <v>889</v>
      </c>
      <c r="B74" s="7" t="s">
        <v>887</v>
      </c>
      <c r="C74" s="6" t="s">
        <v>888</v>
      </c>
      <c r="D74" s="120" t="s">
        <v>1259</v>
      </c>
      <c r="E74" s="133">
        <v>916</v>
      </c>
      <c r="F74" s="69">
        <v>1395</v>
      </c>
    </row>
    <row r="75" spans="1:6" x14ac:dyDescent="0.25">
      <c r="A75" s="92" t="s">
        <v>891</v>
      </c>
      <c r="B75" s="7" t="s">
        <v>890</v>
      </c>
      <c r="C75" s="6" t="s">
        <v>888</v>
      </c>
      <c r="D75" s="120" t="s">
        <v>1264</v>
      </c>
      <c r="E75" s="133">
        <v>916</v>
      </c>
      <c r="F75" s="69">
        <v>1395</v>
      </c>
    </row>
    <row r="76" spans="1:6" x14ac:dyDescent="0.25">
      <c r="A76" s="92" t="s">
        <v>894</v>
      </c>
      <c r="B76" s="7" t="s">
        <v>892</v>
      </c>
      <c r="C76" s="6" t="s">
        <v>893</v>
      </c>
      <c r="D76" s="120" t="s">
        <v>1259</v>
      </c>
      <c r="E76" s="133">
        <v>1113</v>
      </c>
      <c r="F76" s="69">
        <v>1695</v>
      </c>
    </row>
    <row r="77" spans="1:6" ht="15.75" thickBot="1" x14ac:dyDescent="0.3">
      <c r="A77" s="93" t="s">
        <v>896</v>
      </c>
      <c r="B77" s="70" t="s">
        <v>895</v>
      </c>
      <c r="C77" s="71" t="s">
        <v>893</v>
      </c>
      <c r="D77" s="122" t="s">
        <v>1264</v>
      </c>
      <c r="E77" s="135">
        <v>1113</v>
      </c>
      <c r="F77" s="72">
        <v>1695</v>
      </c>
    </row>
    <row r="78" spans="1:6" x14ac:dyDescent="0.25">
      <c r="A78" s="95" t="s">
        <v>818</v>
      </c>
      <c r="B78" s="61" t="s">
        <v>816</v>
      </c>
      <c r="C78" s="60" t="s">
        <v>817</v>
      </c>
      <c r="D78" s="124" t="s">
        <v>1255</v>
      </c>
      <c r="E78" s="137">
        <v>391</v>
      </c>
      <c r="F78" s="83">
        <v>595</v>
      </c>
    </row>
    <row r="79" spans="1:6" x14ac:dyDescent="0.25">
      <c r="A79" s="92" t="s">
        <v>820</v>
      </c>
      <c r="B79" s="7" t="s">
        <v>819</v>
      </c>
      <c r="C79" s="6" t="s">
        <v>817</v>
      </c>
      <c r="D79" s="120" t="s">
        <v>1256</v>
      </c>
      <c r="E79" s="133">
        <v>391</v>
      </c>
      <c r="F79" s="69">
        <v>595</v>
      </c>
    </row>
    <row r="80" spans="1:6" x14ac:dyDescent="0.25">
      <c r="A80" s="92" t="s">
        <v>822</v>
      </c>
      <c r="B80" s="7" t="s">
        <v>821</v>
      </c>
      <c r="C80" s="6" t="s">
        <v>817</v>
      </c>
      <c r="D80" s="120" t="s">
        <v>1262</v>
      </c>
      <c r="E80" s="133">
        <v>391</v>
      </c>
      <c r="F80" s="69">
        <v>595</v>
      </c>
    </row>
    <row r="81" spans="1:6" x14ac:dyDescent="0.25">
      <c r="A81" s="92" t="s">
        <v>824</v>
      </c>
      <c r="B81" s="7" t="s">
        <v>823</v>
      </c>
      <c r="C81" s="6" t="s">
        <v>817</v>
      </c>
      <c r="D81" s="120" t="s">
        <v>1263</v>
      </c>
      <c r="E81" s="133">
        <v>391</v>
      </c>
      <c r="F81" s="69">
        <v>595</v>
      </c>
    </row>
    <row r="82" spans="1:6" ht="15.75" thickBot="1" x14ac:dyDescent="0.3">
      <c r="A82" s="93" t="s">
        <v>826</v>
      </c>
      <c r="B82" s="70" t="s">
        <v>825</v>
      </c>
      <c r="C82" s="71" t="s">
        <v>817</v>
      </c>
      <c r="D82" s="122" t="s">
        <v>1257</v>
      </c>
      <c r="E82" s="135">
        <v>391</v>
      </c>
      <c r="F82" s="72">
        <v>595</v>
      </c>
    </row>
    <row r="83" spans="1:6" x14ac:dyDescent="0.25">
      <c r="A83" s="91" t="s">
        <v>899</v>
      </c>
      <c r="B83" s="66" t="s">
        <v>897</v>
      </c>
      <c r="C83" s="67" t="s">
        <v>898</v>
      </c>
      <c r="D83" s="119" t="s">
        <v>1255</v>
      </c>
      <c r="E83" s="132">
        <v>391</v>
      </c>
      <c r="F83" s="68">
        <v>595</v>
      </c>
    </row>
    <row r="84" spans="1:6" x14ac:dyDescent="0.25">
      <c r="A84" s="92" t="s">
        <v>1277</v>
      </c>
      <c r="B84" s="7" t="s">
        <v>1251</v>
      </c>
      <c r="C84" s="6" t="s">
        <v>898</v>
      </c>
      <c r="D84" s="120" t="s">
        <v>1256</v>
      </c>
      <c r="E84" s="133">
        <v>391</v>
      </c>
      <c r="F84" s="69">
        <v>595</v>
      </c>
    </row>
    <row r="85" spans="1:6" x14ac:dyDescent="0.25">
      <c r="A85" s="92" t="s">
        <v>1276</v>
      </c>
      <c r="B85" s="7" t="s">
        <v>1252</v>
      </c>
      <c r="C85" s="6" t="s">
        <v>898</v>
      </c>
      <c r="D85" s="120" t="s">
        <v>1263</v>
      </c>
      <c r="E85" s="133">
        <v>391</v>
      </c>
      <c r="F85" s="69">
        <v>595</v>
      </c>
    </row>
    <row r="86" spans="1:6" x14ac:dyDescent="0.25">
      <c r="A86" s="92" t="s">
        <v>1279</v>
      </c>
      <c r="B86" s="7" t="s">
        <v>1253</v>
      </c>
      <c r="C86" s="6" t="s">
        <v>898</v>
      </c>
      <c r="D86" s="120" t="s">
        <v>1257</v>
      </c>
      <c r="E86" s="133">
        <v>391</v>
      </c>
      <c r="F86" s="69">
        <v>595</v>
      </c>
    </row>
    <row r="87" spans="1:6" x14ac:dyDescent="0.25">
      <c r="A87" s="92" t="s">
        <v>1278</v>
      </c>
      <c r="B87" s="7" t="s">
        <v>1254</v>
      </c>
      <c r="C87" s="6" t="s">
        <v>898</v>
      </c>
      <c r="D87" s="120" t="s">
        <v>1261</v>
      </c>
      <c r="E87" s="133">
        <v>391</v>
      </c>
      <c r="F87" s="69">
        <v>595</v>
      </c>
    </row>
    <row r="88" spans="1:6" ht="15.75" thickBot="1" x14ac:dyDescent="0.3">
      <c r="A88" s="93" t="s">
        <v>928</v>
      </c>
      <c r="B88" s="70" t="s">
        <v>927</v>
      </c>
      <c r="C88" s="71" t="s">
        <v>1304</v>
      </c>
      <c r="D88" s="122" t="s">
        <v>1256</v>
      </c>
      <c r="E88" s="135">
        <v>391</v>
      </c>
      <c r="F88" s="72">
        <v>595</v>
      </c>
    </row>
    <row r="89" spans="1:6" x14ac:dyDescent="0.25">
      <c r="A89" s="95" t="s">
        <v>829</v>
      </c>
      <c r="B89" s="61" t="s">
        <v>827</v>
      </c>
      <c r="C89" s="60" t="s">
        <v>828</v>
      </c>
      <c r="D89" s="124" t="s">
        <v>1255</v>
      </c>
      <c r="E89" s="137">
        <v>529</v>
      </c>
      <c r="F89" s="83">
        <v>805</v>
      </c>
    </row>
    <row r="90" spans="1:6" x14ac:dyDescent="0.25">
      <c r="A90" s="92" t="s">
        <v>831</v>
      </c>
      <c r="B90" s="7" t="s">
        <v>830</v>
      </c>
      <c r="C90" s="6" t="s">
        <v>828</v>
      </c>
      <c r="D90" s="120" t="s">
        <v>1256</v>
      </c>
      <c r="E90" s="133">
        <v>529</v>
      </c>
      <c r="F90" s="69">
        <v>805</v>
      </c>
    </row>
    <row r="91" spans="1:6" x14ac:dyDescent="0.25">
      <c r="A91" s="92" t="s">
        <v>833</v>
      </c>
      <c r="B91" s="7" t="s">
        <v>832</v>
      </c>
      <c r="C91" s="6" t="s">
        <v>828</v>
      </c>
      <c r="D91" s="120" t="s">
        <v>1262</v>
      </c>
      <c r="E91" s="133">
        <v>529</v>
      </c>
      <c r="F91" s="69">
        <v>805</v>
      </c>
    </row>
    <row r="92" spans="1:6" x14ac:dyDescent="0.25">
      <c r="A92" s="92" t="s">
        <v>835</v>
      </c>
      <c r="B92" s="7" t="s">
        <v>834</v>
      </c>
      <c r="C92" s="6" t="s">
        <v>828</v>
      </c>
      <c r="D92" s="120" t="s">
        <v>1263</v>
      </c>
      <c r="E92" s="133">
        <v>529</v>
      </c>
      <c r="F92" s="69">
        <v>805</v>
      </c>
    </row>
    <row r="93" spans="1:6" ht="15.75" thickBot="1" x14ac:dyDescent="0.3">
      <c r="A93" s="93" t="s">
        <v>837</v>
      </c>
      <c r="B93" s="70" t="s">
        <v>836</v>
      </c>
      <c r="C93" s="71" t="s">
        <v>828</v>
      </c>
      <c r="D93" s="122" t="s">
        <v>1257</v>
      </c>
      <c r="E93" s="135">
        <v>529</v>
      </c>
      <c r="F93" s="72">
        <v>805</v>
      </c>
    </row>
    <row r="94" spans="1:6" x14ac:dyDescent="0.25">
      <c r="A94" s="91" t="s">
        <v>840</v>
      </c>
      <c r="B94" s="66" t="s">
        <v>838</v>
      </c>
      <c r="C94" s="67" t="s">
        <v>839</v>
      </c>
      <c r="D94" s="119" t="s">
        <v>1255</v>
      </c>
      <c r="E94" s="132">
        <v>627</v>
      </c>
      <c r="F94" s="68">
        <v>955</v>
      </c>
    </row>
    <row r="95" spans="1:6" x14ac:dyDescent="0.25">
      <c r="A95" s="92" t="s">
        <v>842</v>
      </c>
      <c r="B95" s="7" t="s">
        <v>841</v>
      </c>
      <c r="C95" s="6" t="s">
        <v>839</v>
      </c>
      <c r="D95" s="120" t="s">
        <v>1256</v>
      </c>
      <c r="E95" s="133">
        <v>627</v>
      </c>
      <c r="F95" s="69">
        <v>955</v>
      </c>
    </row>
    <row r="96" spans="1:6" x14ac:dyDescent="0.25">
      <c r="A96" s="92" t="s">
        <v>844</v>
      </c>
      <c r="B96" s="7" t="s">
        <v>843</v>
      </c>
      <c r="C96" s="6" t="s">
        <v>839</v>
      </c>
      <c r="D96" s="120" t="s">
        <v>1262</v>
      </c>
      <c r="E96" s="133">
        <v>627</v>
      </c>
      <c r="F96" s="69">
        <v>955</v>
      </c>
    </row>
    <row r="97" spans="1:6" x14ac:dyDescent="0.25">
      <c r="A97" s="92" t="s">
        <v>846</v>
      </c>
      <c r="B97" s="7" t="s">
        <v>845</v>
      </c>
      <c r="C97" s="6" t="s">
        <v>839</v>
      </c>
      <c r="D97" s="120" t="s">
        <v>1263</v>
      </c>
      <c r="E97" s="133">
        <v>627</v>
      </c>
      <c r="F97" s="69">
        <v>955</v>
      </c>
    </row>
    <row r="98" spans="1:6" ht="15.75" thickBot="1" x14ac:dyDescent="0.3">
      <c r="A98" s="96" t="s">
        <v>848</v>
      </c>
      <c r="B98" s="63" t="s">
        <v>847</v>
      </c>
      <c r="C98" s="62" t="s">
        <v>839</v>
      </c>
      <c r="D98" s="121" t="s">
        <v>1257</v>
      </c>
      <c r="E98" s="134">
        <v>627</v>
      </c>
      <c r="F98" s="82">
        <v>955</v>
      </c>
    </row>
    <row r="99" spans="1:6" x14ac:dyDescent="0.25">
      <c r="A99" s="91" t="s">
        <v>851</v>
      </c>
      <c r="B99" s="66" t="s">
        <v>849</v>
      </c>
      <c r="C99" s="67" t="s">
        <v>850</v>
      </c>
      <c r="D99" s="119" t="s">
        <v>1255</v>
      </c>
      <c r="E99" s="132">
        <v>591</v>
      </c>
      <c r="F99" s="68">
        <v>899</v>
      </c>
    </row>
    <row r="100" spans="1:6" x14ac:dyDescent="0.25">
      <c r="A100" s="92" t="s">
        <v>853</v>
      </c>
      <c r="B100" s="7" t="s">
        <v>852</v>
      </c>
      <c r="C100" s="6" t="s">
        <v>850</v>
      </c>
      <c r="D100" s="120" t="s">
        <v>1256</v>
      </c>
      <c r="E100" s="133">
        <v>591</v>
      </c>
      <c r="F100" s="69">
        <v>899</v>
      </c>
    </row>
    <row r="101" spans="1:6" x14ac:dyDescent="0.25">
      <c r="A101" s="92" t="s">
        <v>855</v>
      </c>
      <c r="B101" s="7" t="s">
        <v>854</v>
      </c>
      <c r="C101" s="6" t="s">
        <v>850</v>
      </c>
      <c r="D101" s="120" t="s">
        <v>1262</v>
      </c>
      <c r="E101" s="133">
        <v>591</v>
      </c>
      <c r="F101" s="69">
        <v>899</v>
      </c>
    </row>
    <row r="102" spans="1:6" x14ac:dyDescent="0.25">
      <c r="A102" s="92" t="s">
        <v>857</v>
      </c>
      <c r="B102" s="7" t="s">
        <v>856</v>
      </c>
      <c r="C102" s="6" t="s">
        <v>850</v>
      </c>
      <c r="D102" s="120" t="s">
        <v>1263</v>
      </c>
      <c r="E102" s="133">
        <v>591</v>
      </c>
      <c r="F102" s="69">
        <v>899</v>
      </c>
    </row>
    <row r="103" spans="1:6" ht="15.75" thickBot="1" x14ac:dyDescent="0.3">
      <c r="A103" s="96" t="s">
        <v>859</v>
      </c>
      <c r="B103" s="63" t="s">
        <v>858</v>
      </c>
      <c r="C103" s="62" t="s">
        <v>850</v>
      </c>
      <c r="D103" s="121" t="s">
        <v>1257</v>
      </c>
      <c r="E103" s="134">
        <v>591</v>
      </c>
      <c r="F103" s="82">
        <v>899</v>
      </c>
    </row>
    <row r="104" spans="1:6" x14ac:dyDescent="0.25">
      <c r="A104" s="91" t="s">
        <v>902</v>
      </c>
      <c r="B104" s="66" t="s">
        <v>900</v>
      </c>
      <c r="C104" s="67" t="s">
        <v>901</v>
      </c>
      <c r="D104" s="119" t="s">
        <v>1255</v>
      </c>
      <c r="E104" s="132">
        <v>526</v>
      </c>
      <c r="F104" s="68">
        <v>799</v>
      </c>
    </row>
    <row r="105" spans="1:6" x14ac:dyDescent="0.25">
      <c r="A105" s="86" t="s">
        <v>1230</v>
      </c>
      <c r="B105" s="7" t="s">
        <v>1183</v>
      </c>
      <c r="C105" s="6" t="s">
        <v>901</v>
      </c>
      <c r="D105" s="120" t="s">
        <v>1256</v>
      </c>
      <c r="E105" s="133">
        <v>526</v>
      </c>
      <c r="F105" s="69">
        <v>799</v>
      </c>
    </row>
    <row r="106" spans="1:6" x14ac:dyDescent="0.25">
      <c r="A106" s="86" t="s">
        <v>1231</v>
      </c>
      <c r="B106" s="7" t="s">
        <v>1184</v>
      </c>
      <c r="C106" s="6" t="s">
        <v>901</v>
      </c>
      <c r="D106" s="120" t="s">
        <v>1263</v>
      </c>
      <c r="E106" s="133">
        <v>526</v>
      </c>
      <c r="F106" s="69">
        <v>799</v>
      </c>
    </row>
    <row r="107" spans="1:6" x14ac:dyDescent="0.25">
      <c r="A107" s="86" t="s">
        <v>1232</v>
      </c>
      <c r="B107" s="7" t="s">
        <v>1185</v>
      </c>
      <c r="C107" s="6" t="s">
        <v>901</v>
      </c>
      <c r="D107" s="120" t="s">
        <v>1257</v>
      </c>
      <c r="E107" s="133">
        <v>526</v>
      </c>
      <c r="F107" s="69">
        <v>799</v>
      </c>
    </row>
    <row r="108" spans="1:6" x14ac:dyDescent="0.25">
      <c r="A108" s="86" t="s">
        <v>1233</v>
      </c>
      <c r="B108" s="7" t="s">
        <v>1186</v>
      </c>
      <c r="C108" s="6" t="s">
        <v>901</v>
      </c>
      <c r="D108" s="120" t="s">
        <v>1261</v>
      </c>
      <c r="E108" s="133">
        <v>526</v>
      </c>
      <c r="F108" s="69">
        <v>799</v>
      </c>
    </row>
    <row r="109" spans="1:6" ht="15.75" thickBot="1" x14ac:dyDescent="0.3">
      <c r="A109" s="96" t="s">
        <v>930</v>
      </c>
      <c r="B109" s="63" t="s">
        <v>929</v>
      </c>
      <c r="C109" s="62" t="s">
        <v>1305</v>
      </c>
      <c r="D109" s="121" t="s">
        <v>1256</v>
      </c>
      <c r="E109" s="134">
        <v>526</v>
      </c>
      <c r="F109" s="82">
        <v>799</v>
      </c>
    </row>
    <row r="110" spans="1:6" x14ac:dyDescent="0.25">
      <c r="A110" s="91" t="s">
        <v>905</v>
      </c>
      <c r="B110" s="66" t="s">
        <v>903</v>
      </c>
      <c r="C110" s="67" t="s">
        <v>904</v>
      </c>
      <c r="D110" s="119" t="s">
        <v>1255</v>
      </c>
      <c r="E110" s="132">
        <v>623</v>
      </c>
      <c r="F110" s="68">
        <v>949</v>
      </c>
    </row>
    <row r="111" spans="1:6" x14ac:dyDescent="0.25">
      <c r="A111" s="86" t="s">
        <v>1234</v>
      </c>
      <c r="B111" s="7" t="s">
        <v>1203</v>
      </c>
      <c r="C111" s="6" t="s">
        <v>904</v>
      </c>
      <c r="D111" s="120" t="s">
        <v>1256</v>
      </c>
      <c r="E111" s="133">
        <v>623</v>
      </c>
      <c r="F111" s="69">
        <v>949</v>
      </c>
    </row>
    <row r="112" spans="1:6" x14ac:dyDescent="0.25">
      <c r="A112" s="86" t="s">
        <v>1235</v>
      </c>
      <c r="B112" s="7" t="s">
        <v>1204</v>
      </c>
      <c r="C112" s="6" t="s">
        <v>904</v>
      </c>
      <c r="D112" s="120" t="s">
        <v>1263</v>
      </c>
      <c r="E112" s="133">
        <v>623</v>
      </c>
      <c r="F112" s="69">
        <v>949</v>
      </c>
    </row>
    <row r="113" spans="1:6" x14ac:dyDescent="0.25">
      <c r="A113" s="86" t="s">
        <v>1236</v>
      </c>
      <c r="B113" s="7" t="s">
        <v>1205</v>
      </c>
      <c r="C113" s="6" t="s">
        <v>904</v>
      </c>
      <c r="D113" s="120" t="s">
        <v>1257</v>
      </c>
      <c r="E113" s="133">
        <v>623</v>
      </c>
      <c r="F113" s="69">
        <v>949</v>
      </c>
    </row>
    <row r="114" spans="1:6" x14ac:dyDescent="0.25">
      <c r="A114" s="86" t="s">
        <v>1237</v>
      </c>
      <c r="B114" s="7" t="s">
        <v>1206</v>
      </c>
      <c r="C114" s="6" t="s">
        <v>904</v>
      </c>
      <c r="D114" s="120" t="s">
        <v>1261</v>
      </c>
      <c r="E114" s="133">
        <v>623</v>
      </c>
      <c r="F114" s="69">
        <v>949</v>
      </c>
    </row>
    <row r="115" spans="1:6" ht="15.75" thickBot="1" x14ac:dyDescent="0.3">
      <c r="A115" s="96" t="s">
        <v>932</v>
      </c>
      <c r="B115" s="63" t="s">
        <v>931</v>
      </c>
      <c r="C115" s="62" t="s">
        <v>1306</v>
      </c>
      <c r="D115" s="121" t="s">
        <v>1256</v>
      </c>
      <c r="E115" s="134">
        <v>623</v>
      </c>
      <c r="F115" s="82">
        <v>949</v>
      </c>
    </row>
    <row r="116" spans="1:6" x14ac:dyDescent="0.25">
      <c r="A116" s="91" t="s">
        <v>908</v>
      </c>
      <c r="B116" s="66" t="s">
        <v>906</v>
      </c>
      <c r="C116" s="67" t="s">
        <v>907</v>
      </c>
      <c r="D116" s="119" t="s">
        <v>1255</v>
      </c>
      <c r="E116" s="132">
        <v>590</v>
      </c>
      <c r="F116" s="68">
        <v>899</v>
      </c>
    </row>
    <row r="117" spans="1:6" x14ac:dyDescent="0.25">
      <c r="A117" s="86" t="s">
        <v>1238</v>
      </c>
      <c r="B117" s="7" t="s">
        <v>1195</v>
      </c>
      <c r="C117" s="6" t="s">
        <v>907</v>
      </c>
      <c r="D117" s="120" t="s">
        <v>1256</v>
      </c>
      <c r="E117" s="133">
        <v>590</v>
      </c>
      <c r="F117" s="69">
        <v>899</v>
      </c>
    </row>
    <row r="118" spans="1:6" x14ac:dyDescent="0.25">
      <c r="A118" s="86" t="s">
        <v>1239</v>
      </c>
      <c r="B118" s="7" t="s">
        <v>1196</v>
      </c>
      <c r="C118" s="6" t="s">
        <v>907</v>
      </c>
      <c r="D118" s="120" t="s">
        <v>1263</v>
      </c>
      <c r="E118" s="133">
        <v>590</v>
      </c>
      <c r="F118" s="69">
        <v>899</v>
      </c>
    </row>
    <row r="119" spans="1:6" x14ac:dyDescent="0.25">
      <c r="A119" s="86" t="s">
        <v>1240</v>
      </c>
      <c r="B119" s="7" t="s">
        <v>1197</v>
      </c>
      <c r="C119" s="6" t="s">
        <v>907</v>
      </c>
      <c r="D119" s="120" t="s">
        <v>1257</v>
      </c>
      <c r="E119" s="133">
        <v>590</v>
      </c>
      <c r="F119" s="69">
        <v>899</v>
      </c>
    </row>
    <row r="120" spans="1:6" x14ac:dyDescent="0.25">
      <c r="A120" s="86" t="s">
        <v>1241</v>
      </c>
      <c r="B120" s="7" t="s">
        <v>1198</v>
      </c>
      <c r="C120" s="6" t="s">
        <v>907</v>
      </c>
      <c r="D120" s="120" t="s">
        <v>1261</v>
      </c>
      <c r="E120" s="133">
        <v>590</v>
      </c>
      <c r="F120" s="69">
        <v>899</v>
      </c>
    </row>
    <row r="121" spans="1:6" ht="15.75" thickBot="1" x14ac:dyDescent="0.3">
      <c r="A121" s="96" t="s">
        <v>934</v>
      </c>
      <c r="B121" s="63" t="s">
        <v>933</v>
      </c>
      <c r="C121" s="62" t="s">
        <v>1307</v>
      </c>
      <c r="D121" s="121" t="s">
        <v>1256</v>
      </c>
      <c r="E121" s="134">
        <v>590</v>
      </c>
      <c r="F121" s="82">
        <v>899</v>
      </c>
    </row>
    <row r="122" spans="1:6" ht="15.75" thickBot="1" x14ac:dyDescent="0.3">
      <c r="A122" s="91" t="s">
        <v>914</v>
      </c>
      <c r="B122" s="66" t="s">
        <v>912</v>
      </c>
      <c r="C122" s="67" t="s">
        <v>913</v>
      </c>
      <c r="D122" s="119" t="s">
        <v>1259</v>
      </c>
      <c r="E122" s="132">
        <v>756</v>
      </c>
      <c r="F122" s="68">
        <v>1149</v>
      </c>
    </row>
    <row r="123" spans="1:6" x14ac:dyDescent="0.25">
      <c r="A123" s="151">
        <v>8420421087749</v>
      </c>
      <c r="B123" s="61" t="s">
        <v>1316</v>
      </c>
      <c r="C123" s="67" t="s">
        <v>913</v>
      </c>
      <c r="D123" s="124" t="s">
        <v>1264</v>
      </c>
      <c r="E123" s="137">
        <v>756</v>
      </c>
      <c r="F123" s="83">
        <v>1149</v>
      </c>
    </row>
    <row r="124" spans="1:6" x14ac:dyDescent="0.25">
      <c r="A124" s="92" t="s">
        <v>917</v>
      </c>
      <c r="B124" s="7" t="s">
        <v>915</v>
      </c>
      <c r="C124" s="6" t="s">
        <v>916</v>
      </c>
      <c r="D124" s="120" t="s">
        <v>1259</v>
      </c>
      <c r="E124" s="133">
        <v>985</v>
      </c>
      <c r="F124" s="69">
        <v>1499</v>
      </c>
    </row>
    <row r="125" spans="1:6" x14ac:dyDescent="0.25">
      <c r="A125" s="86">
        <v>8420421087763</v>
      </c>
      <c r="B125" s="7" t="s">
        <v>1181</v>
      </c>
      <c r="C125" s="6" t="s">
        <v>916</v>
      </c>
      <c r="D125" s="120" t="s">
        <v>1264</v>
      </c>
      <c r="E125" s="133">
        <v>985</v>
      </c>
      <c r="F125" s="69">
        <v>1499</v>
      </c>
    </row>
    <row r="126" spans="1:6" x14ac:dyDescent="0.25">
      <c r="A126" s="92" t="s">
        <v>920</v>
      </c>
      <c r="B126" s="7" t="s">
        <v>918</v>
      </c>
      <c r="C126" s="6" t="s">
        <v>919</v>
      </c>
      <c r="D126" s="120" t="s">
        <v>1259</v>
      </c>
      <c r="E126" s="133">
        <v>1182</v>
      </c>
      <c r="F126" s="69">
        <v>1799</v>
      </c>
    </row>
    <row r="127" spans="1:6" ht="15.75" thickBot="1" x14ac:dyDescent="0.3">
      <c r="A127" s="87">
        <v>8420421087787</v>
      </c>
      <c r="B127" s="70" t="s">
        <v>1182</v>
      </c>
      <c r="C127" s="71" t="s">
        <v>919</v>
      </c>
      <c r="D127" s="122" t="s">
        <v>1264</v>
      </c>
      <c r="E127" s="135">
        <v>1182</v>
      </c>
      <c r="F127" s="72">
        <v>1799</v>
      </c>
    </row>
    <row r="128" spans="1:6" x14ac:dyDescent="0.25">
      <c r="A128" s="95" t="s">
        <v>862</v>
      </c>
      <c r="B128" s="61" t="s">
        <v>860</v>
      </c>
      <c r="C128" s="60" t="s">
        <v>861</v>
      </c>
      <c r="D128" s="124" t="s">
        <v>1255</v>
      </c>
      <c r="E128" s="137">
        <v>599</v>
      </c>
      <c r="F128" s="83">
        <v>915</v>
      </c>
    </row>
    <row r="129" spans="1:6" ht="15.75" thickBot="1" x14ac:dyDescent="0.3">
      <c r="A129" s="93" t="s">
        <v>864</v>
      </c>
      <c r="B129" s="70" t="s">
        <v>863</v>
      </c>
      <c r="C129" s="71" t="s">
        <v>861</v>
      </c>
      <c r="D129" s="122" t="s">
        <v>1256</v>
      </c>
      <c r="E129" s="135">
        <v>599</v>
      </c>
      <c r="F129" s="72">
        <v>915</v>
      </c>
    </row>
    <row r="130" spans="1:6" x14ac:dyDescent="0.25">
      <c r="A130" s="95" t="s">
        <v>867</v>
      </c>
      <c r="B130" s="61" t="s">
        <v>865</v>
      </c>
      <c r="C130" s="60" t="s">
        <v>866</v>
      </c>
      <c r="D130" s="124" t="s">
        <v>1256</v>
      </c>
      <c r="E130" s="137">
        <v>342</v>
      </c>
      <c r="F130" s="83">
        <v>520</v>
      </c>
    </row>
    <row r="131" spans="1:6" ht="15.75" thickBot="1" x14ac:dyDescent="0.3">
      <c r="A131" s="96" t="s">
        <v>869</v>
      </c>
      <c r="B131" s="63" t="s">
        <v>868</v>
      </c>
      <c r="C131" s="62" t="s">
        <v>866</v>
      </c>
      <c r="D131" s="121" t="s">
        <v>942</v>
      </c>
      <c r="E131" s="134">
        <v>342</v>
      </c>
      <c r="F131" s="82">
        <v>520</v>
      </c>
    </row>
    <row r="132" spans="1:6" x14ac:dyDescent="0.25">
      <c r="A132" s="91" t="s">
        <v>872</v>
      </c>
      <c r="B132" s="66" t="s">
        <v>870</v>
      </c>
      <c r="C132" s="67" t="s">
        <v>871</v>
      </c>
      <c r="D132" s="119" t="s">
        <v>1255</v>
      </c>
      <c r="E132" s="132">
        <v>328</v>
      </c>
      <c r="F132" s="68">
        <v>499</v>
      </c>
    </row>
    <row r="133" spans="1:6" x14ac:dyDescent="0.25">
      <c r="A133" s="88" t="s">
        <v>1215</v>
      </c>
      <c r="B133" s="7" t="s">
        <v>1211</v>
      </c>
      <c r="C133" s="6" t="s">
        <v>871</v>
      </c>
      <c r="D133" s="120" t="s">
        <v>1256</v>
      </c>
      <c r="E133" s="133">
        <v>328</v>
      </c>
      <c r="F133" s="69">
        <v>499</v>
      </c>
    </row>
    <row r="134" spans="1:6" x14ac:dyDescent="0.25">
      <c r="A134" s="86" t="s">
        <v>1216</v>
      </c>
      <c r="B134" s="7" t="s">
        <v>1212</v>
      </c>
      <c r="C134" s="6" t="s">
        <v>871</v>
      </c>
      <c r="D134" s="120" t="s">
        <v>1263</v>
      </c>
      <c r="E134" s="133">
        <v>328</v>
      </c>
      <c r="F134" s="69">
        <v>499</v>
      </c>
    </row>
    <row r="135" spans="1:6" x14ac:dyDescent="0.25">
      <c r="A135" s="86" t="s">
        <v>1217</v>
      </c>
      <c r="B135" s="7" t="s">
        <v>1213</v>
      </c>
      <c r="C135" s="6" t="s">
        <v>871</v>
      </c>
      <c r="D135" s="120" t="s">
        <v>1257</v>
      </c>
      <c r="E135" s="133">
        <v>328</v>
      </c>
      <c r="F135" s="69">
        <v>499</v>
      </c>
    </row>
    <row r="136" spans="1:6" ht="15.75" thickBot="1" x14ac:dyDescent="0.3">
      <c r="A136" s="87">
        <v>8420421086575</v>
      </c>
      <c r="B136" s="70" t="s">
        <v>1214</v>
      </c>
      <c r="C136" s="71" t="s">
        <v>871</v>
      </c>
      <c r="D136" s="122" t="s">
        <v>1258</v>
      </c>
      <c r="E136" s="135">
        <v>328</v>
      </c>
      <c r="F136" s="72">
        <v>499</v>
      </c>
    </row>
    <row r="137" spans="1:6" x14ac:dyDescent="0.25">
      <c r="A137" s="95" t="s">
        <v>875</v>
      </c>
      <c r="B137" s="61" t="s">
        <v>873</v>
      </c>
      <c r="C137" s="60" t="s">
        <v>874</v>
      </c>
      <c r="D137" s="124" t="s">
        <v>1255</v>
      </c>
      <c r="E137" s="137">
        <v>459</v>
      </c>
      <c r="F137" s="83">
        <v>699</v>
      </c>
    </row>
    <row r="138" spans="1:6" x14ac:dyDescent="0.25">
      <c r="A138" s="86" t="s">
        <v>1218</v>
      </c>
      <c r="B138" s="7" t="s">
        <v>1187</v>
      </c>
      <c r="C138" s="6" t="s">
        <v>874</v>
      </c>
      <c r="D138" s="120" t="s">
        <v>1256</v>
      </c>
      <c r="E138" s="133">
        <v>459</v>
      </c>
      <c r="F138" s="69">
        <v>699</v>
      </c>
    </row>
    <row r="139" spans="1:6" x14ac:dyDescent="0.25">
      <c r="A139" s="86" t="s">
        <v>1219</v>
      </c>
      <c r="B139" s="7" t="s">
        <v>1188</v>
      </c>
      <c r="C139" s="6" t="s">
        <v>874</v>
      </c>
      <c r="D139" s="120" t="s">
        <v>1263</v>
      </c>
      <c r="E139" s="133">
        <v>459</v>
      </c>
      <c r="F139" s="69">
        <v>699</v>
      </c>
    </row>
    <row r="140" spans="1:6" x14ac:dyDescent="0.25">
      <c r="A140" s="86" t="s">
        <v>1220</v>
      </c>
      <c r="B140" s="7" t="s">
        <v>1189</v>
      </c>
      <c r="C140" s="6" t="s">
        <v>874</v>
      </c>
      <c r="D140" s="120" t="s">
        <v>1257</v>
      </c>
      <c r="E140" s="133">
        <v>459</v>
      </c>
      <c r="F140" s="69">
        <v>699</v>
      </c>
    </row>
    <row r="141" spans="1:6" ht="15.75" thickBot="1" x14ac:dyDescent="0.3">
      <c r="A141" s="89" t="s">
        <v>1221</v>
      </c>
      <c r="B141" s="63" t="s">
        <v>1190</v>
      </c>
      <c r="C141" s="62" t="s">
        <v>874</v>
      </c>
      <c r="D141" s="121" t="s">
        <v>1258</v>
      </c>
      <c r="E141" s="134">
        <v>459</v>
      </c>
      <c r="F141" s="82">
        <v>699</v>
      </c>
    </row>
    <row r="142" spans="1:6" x14ac:dyDescent="0.25">
      <c r="A142" s="91" t="s">
        <v>878</v>
      </c>
      <c r="B142" s="66" t="s">
        <v>876</v>
      </c>
      <c r="C142" s="67" t="s">
        <v>877</v>
      </c>
      <c r="D142" s="119" t="s">
        <v>1255</v>
      </c>
      <c r="E142" s="132">
        <v>565</v>
      </c>
      <c r="F142" s="68">
        <v>859</v>
      </c>
    </row>
    <row r="143" spans="1:6" x14ac:dyDescent="0.25">
      <c r="A143" s="86" t="s">
        <v>1222</v>
      </c>
      <c r="B143" s="7" t="s">
        <v>1191</v>
      </c>
      <c r="C143" s="6" t="s">
        <v>877</v>
      </c>
      <c r="D143" s="120" t="s">
        <v>1256</v>
      </c>
      <c r="E143" s="133">
        <v>565</v>
      </c>
      <c r="F143" s="69">
        <v>859</v>
      </c>
    </row>
    <row r="144" spans="1:6" x14ac:dyDescent="0.25">
      <c r="A144" s="86" t="s">
        <v>1223</v>
      </c>
      <c r="B144" s="7" t="s">
        <v>1192</v>
      </c>
      <c r="C144" s="6" t="s">
        <v>877</v>
      </c>
      <c r="D144" s="120" t="s">
        <v>1263</v>
      </c>
      <c r="E144" s="133">
        <v>565</v>
      </c>
      <c r="F144" s="69">
        <v>859</v>
      </c>
    </row>
    <row r="145" spans="1:6" x14ac:dyDescent="0.25">
      <c r="A145" s="86" t="s">
        <v>1224</v>
      </c>
      <c r="B145" s="7" t="s">
        <v>1193</v>
      </c>
      <c r="C145" s="6" t="s">
        <v>877</v>
      </c>
      <c r="D145" s="120" t="s">
        <v>1257</v>
      </c>
      <c r="E145" s="133">
        <v>565</v>
      </c>
      <c r="F145" s="69">
        <v>859</v>
      </c>
    </row>
    <row r="146" spans="1:6" ht="15.75" thickBot="1" x14ac:dyDescent="0.3">
      <c r="A146" s="89" t="s">
        <v>1225</v>
      </c>
      <c r="B146" s="63" t="s">
        <v>1194</v>
      </c>
      <c r="C146" s="62" t="s">
        <v>877</v>
      </c>
      <c r="D146" s="121" t="s">
        <v>1258</v>
      </c>
      <c r="E146" s="134">
        <v>565</v>
      </c>
      <c r="F146" s="82">
        <v>859</v>
      </c>
    </row>
    <row r="147" spans="1:6" x14ac:dyDescent="0.25">
      <c r="A147" s="91" t="s">
        <v>881</v>
      </c>
      <c r="B147" s="66" t="s">
        <v>879</v>
      </c>
      <c r="C147" s="67" t="s">
        <v>880</v>
      </c>
      <c r="D147" s="119" t="s">
        <v>1255</v>
      </c>
      <c r="E147" s="132">
        <v>558</v>
      </c>
      <c r="F147" s="68">
        <v>849</v>
      </c>
    </row>
    <row r="148" spans="1:6" x14ac:dyDescent="0.25">
      <c r="A148" s="86" t="s">
        <v>1226</v>
      </c>
      <c r="B148" s="7" t="s">
        <v>1199</v>
      </c>
      <c r="C148" s="6" t="s">
        <v>880</v>
      </c>
      <c r="D148" s="120" t="s">
        <v>1256</v>
      </c>
      <c r="E148" s="133">
        <v>558</v>
      </c>
      <c r="F148" s="69">
        <v>849</v>
      </c>
    </row>
    <row r="149" spans="1:6" x14ac:dyDescent="0.25">
      <c r="A149" s="86" t="s">
        <v>1227</v>
      </c>
      <c r="B149" s="7" t="s">
        <v>1200</v>
      </c>
      <c r="C149" s="6" t="s">
        <v>880</v>
      </c>
      <c r="D149" s="120" t="s">
        <v>1263</v>
      </c>
      <c r="E149" s="133">
        <v>558</v>
      </c>
      <c r="F149" s="69">
        <v>849</v>
      </c>
    </row>
    <row r="150" spans="1:6" x14ac:dyDescent="0.25">
      <c r="A150" s="86" t="s">
        <v>1228</v>
      </c>
      <c r="B150" s="7" t="s">
        <v>1201</v>
      </c>
      <c r="C150" s="6" t="s">
        <v>880</v>
      </c>
      <c r="D150" s="120" t="s">
        <v>1257</v>
      </c>
      <c r="E150" s="133">
        <v>558</v>
      </c>
      <c r="F150" s="69">
        <v>849</v>
      </c>
    </row>
    <row r="151" spans="1:6" ht="15.75" thickBot="1" x14ac:dyDescent="0.3">
      <c r="A151" s="87" t="s">
        <v>1229</v>
      </c>
      <c r="B151" s="70" t="s">
        <v>1202</v>
      </c>
      <c r="C151" s="71" t="s">
        <v>880</v>
      </c>
      <c r="D151" s="122" t="s">
        <v>1258</v>
      </c>
      <c r="E151" s="135">
        <v>558</v>
      </c>
      <c r="F151" s="72">
        <v>849</v>
      </c>
    </row>
    <row r="152" spans="1:6" ht="15.75" thickBot="1" x14ac:dyDescent="0.3">
      <c r="A152" s="98" t="s">
        <v>911</v>
      </c>
      <c r="B152" s="79" t="s">
        <v>909</v>
      </c>
      <c r="C152" s="80" t="s">
        <v>910</v>
      </c>
      <c r="D152" s="126" t="s">
        <v>1256</v>
      </c>
      <c r="E152" s="139">
        <v>422</v>
      </c>
      <c r="F152" s="81">
        <v>645</v>
      </c>
    </row>
    <row r="153" spans="1:6" ht="15.75" thickBot="1" x14ac:dyDescent="0.3">
      <c r="A153" s="94" t="s">
        <v>923</v>
      </c>
      <c r="B153" s="76" t="s">
        <v>921</v>
      </c>
      <c r="C153" s="77" t="s">
        <v>922</v>
      </c>
      <c r="D153" s="123" t="s">
        <v>1255</v>
      </c>
      <c r="E153" s="136">
        <v>351</v>
      </c>
      <c r="F153" s="78">
        <v>533</v>
      </c>
    </row>
    <row r="154" spans="1:6" ht="15.75" thickBot="1" x14ac:dyDescent="0.3">
      <c r="A154" s="97" t="s">
        <v>926</v>
      </c>
      <c r="B154" s="73" t="s">
        <v>924</v>
      </c>
      <c r="C154" s="74" t="s">
        <v>925</v>
      </c>
      <c r="D154" s="125" t="s">
        <v>1255</v>
      </c>
      <c r="E154" s="138">
        <v>469</v>
      </c>
      <c r="F154" s="75">
        <v>712</v>
      </c>
    </row>
    <row r="155" spans="1:6" ht="15.75" thickBot="1" x14ac:dyDescent="0.3">
      <c r="A155" s="97" t="s">
        <v>752</v>
      </c>
      <c r="B155" s="73" t="s">
        <v>750</v>
      </c>
      <c r="C155" s="74" t="s">
        <v>751</v>
      </c>
      <c r="D155" s="125" t="s">
        <v>1260</v>
      </c>
      <c r="E155" s="138">
        <v>190</v>
      </c>
      <c r="F155" s="75">
        <v>290</v>
      </c>
    </row>
    <row r="156" spans="1:6" x14ac:dyDescent="0.25">
      <c r="A156" s="91" t="s">
        <v>604</v>
      </c>
      <c r="B156" s="66" t="s">
        <v>602</v>
      </c>
      <c r="C156" s="67" t="s">
        <v>603</v>
      </c>
      <c r="D156" s="119" t="s">
        <v>1265</v>
      </c>
      <c r="E156" s="132">
        <v>451</v>
      </c>
      <c r="F156" s="68">
        <v>689</v>
      </c>
    </row>
    <row r="157" spans="1:6" x14ac:dyDescent="0.25">
      <c r="A157" s="92" t="s">
        <v>606</v>
      </c>
      <c r="B157" s="7" t="s">
        <v>605</v>
      </c>
      <c r="C157" s="6" t="s">
        <v>603</v>
      </c>
      <c r="D157" s="120" t="s">
        <v>1266</v>
      </c>
      <c r="E157" s="133">
        <v>451</v>
      </c>
      <c r="F157" s="69">
        <v>689</v>
      </c>
    </row>
    <row r="158" spans="1:6" x14ac:dyDescent="0.25">
      <c r="A158" s="92" t="s">
        <v>608</v>
      </c>
      <c r="B158" s="7" t="s">
        <v>607</v>
      </c>
      <c r="C158" s="6" t="s">
        <v>603</v>
      </c>
      <c r="D158" s="120" t="s">
        <v>1267</v>
      </c>
      <c r="E158" s="133">
        <v>451</v>
      </c>
      <c r="F158" s="69">
        <v>689</v>
      </c>
    </row>
    <row r="159" spans="1:6" x14ac:dyDescent="0.25">
      <c r="A159" s="92" t="s">
        <v>610</v>
      </c>
      <c r="B159" s="7" t="s">
        <v>609</v>
      </c>
      <c r="C159" s="6" t="s">
        <v>603</v>
      </c>
      <c r="D159" s="120" t="s">
        <v>942</v>
      </c>
      <c r="E159" s="133">
        <v>451</v>
      </c>
      <c r="F159" s="69">
        <v>689</v>
      </c>
    </row>
    <row r="160" spans="1:6" x14ac:dyDescent="0.25">
      <c r="A160" s="92" t="s">
        <v>612</v>
      </c>
      <c r="B160" s="7" t="s">
        <v>611</v>
      </c>
      <c r="C160" s="6" t="s">
        <v>603</v>
      </c>
      <c r="D160" s="120" t="s">
        <v>1268</v>
      </c>
      <c r="E160" s="133">
        <v>451</v>
      </c>
      <c r="F160" s="69">
        <v>689</v>
      </c>
    </row>
    <row r="161" spans="1:6" ht="15.75" thickBot="1" x14ac:dyDescent="0.3">
      <c r="A161" s="93" t="s">
        <v>614</v>
      </c>
      <c r="B161" s="70" t="s">
        <v>613</v>
      </c>
      <c r="C161" s="71" t="s">
        <v>603</v>
      </c>
      <c r="D161" s="122" t="s">
        <v>1269</v>
      </c>
      <c r="E161" s="135">
        <v>451</v>
      </c>
      <c r="F161" s="72">
        <v>689</v>
      </c>
    </row>
    <row r="162" spans="1:6" x14ac:dyDescent="0.25">
      <c r="A162" s="91" t="s">
        <v>617</v>
      </c>
      <c r="B162" s="66" t="s">
        <v>615</v>
      </c>
      <c r="C162" s="67" t="s">
        <v>616</v>
      </c>
      <c r="D162" s="119" t="s">
        <v>1265</v>
      </c>
      <c r="E162" s="132">
        <v>334</v>
      </c>
      <c r="F162" s="68">
        <v>509</v>
      </c>
    </row>
    <row r="163" spans="1:6" x14ac:dyDescent="0.25">
      <c r="A163" s="92" t="s">
        <v>619</v>
      </c>
      <c r="B163" s="7" t="s">
        <v>618</v>
      </c>
      <c r="C163" s="6" t="s">
        <v>616</v>
      </c>
      <c r="D163" s="120" t="s">
        <v>1266</v>
      </c>
      <c r="E163" s="133">
        <v>334</v>
      </c>
      <c r="F163" s="69">
        <v>509</v>
      </c>
    </row>
    <row r="164" spans="1:6" x14ac:dyDescent="0.25">
      <c r="A164" s="92" t="s">
        <v>621</v>
      </c>
      <c r="B164" s="7" t="s">
        <v>620</v>
      </c>
      <c r="C164" s="6" t="s">
        <v>616</v>
      </c>
      <c r="D164" s="120" t="s">
        <v>1267</v>
      </c>
      <c r="E164" s="133">
        <v>334</v>
      </c>
      <c r="F164" s="69">
        <v>509</v>
      </c>
    </row>
    <row r="165" spans="1:6" x14ac:dyDescent="0.25">
      <c r="A165" s="92" t="s">
        <v>623</v>
      </c>
      <c r="B165" s="7" t="s">
        <v>622</v>
      </c>
      <c r="C165" s="6" t="s">
        <v>616</v>
      </c>
      <c r="D165" s="120" t="s">
        <v>942</v>
      </c>
      <c r="E165" s="133">
        <v>334</v>
      </c>
      <c r="F165" s="69">
        <v>509</v>
      </c>
    </row>
    <row r="166" spans="1:6" x14ac:dyDescent="0.25">
      <c r="A166" s="92" t="s">
        <v>625</v>
      </c>
      <c r="B166" s="7" t="s">
        <v>624</v>
      </c>
      <c r="C166" s="6" t="s">
        <v>616</v>
      </c>
      <c r="D166" s="120" t="s">
        <v>1268</v>
      </c>
      <c r="E166" s="133">
        <v>334</v>
      </c>
      <c r="F166" s="69">
        <v>509</v>
      </c>
    </row>
    <row r="167" spans="1:6" ht="15.75" thickBot="1" x14ac:dyDescent="0.3">
      <c r="A167" s="93" t="s">
        <v>627</v>
      </c>
      <c r="B167" s="70" t="s">
        <v>626</v>
      </c>
      <c r="C167" s="71" t="s">
        <v>616</v>
      </c>
      <c r="D167" s="122" t="s">
        <v>1269</v>
      </c>
      <c r="E167" s="135">
        <v>334</v>
      </c>
      <c r="F167" s="72">
        <v>509</v>
      </c>
    </row>
    <row r="168" spans="1:6" x14ac:dyDescent="0.25">
      <c r="A168" s="91" t="s">
        <v>630</v>
      </c>
      <c r="B168" s="66" t="s">
        <v>628</v>
      </c>
      <c r="C168" s="67" t="s">
        <v>629</v>
      </c>
      <c r="D168" s="119" t="s">
        <v>1265</v>
      </c>
      <c r="E168" s="132">
        <v>334</v>
      </c>
      <c r="F168" s="68">
        <v>509</v>
      </c>
    </row>
    <row r="169" spans="1:6" x14ac:dyDescent="0.25">
      <c r="A169" s="92" t="s">
        <v>632</v>
      </c>
      <c r="B169" s="7" t="s">
        <v>631</v>
      </c>
      <c r="C169" s="6" t="s">
        <v>629</v>
      </c>
      <c r="D169" s="120" t="s">
        <v>1266</v>
      </c>
      <c r="E169" s="133">
        <v>334</v>
      </c>
      <c r="F169" s="69">
        <v>509</v>
      </c>
    </row>
    <row r="170" spans="1:6" x14ac:dyDescent="0.25">
      <c r="A170" s="92" t="s">
        <v>634</v>
      </c>
      <c r="B170" s="7" t="s">
        <v>633</v>
      </c>
      <c r="C170" s="6" t="s">
        <v>629</v>
      </c>
      <c r="D170" s="120" t="s">
        <v>1267</v>
      </c>
      <c r="E170" s="133">
        <v>334</v>
      </c>
      <c r="F170" s="69">
        <v>509</v>
      </c>
    </row>
    <row r="171" spans="1:6" x14ac:dyDescent="0.25">
      <c r="A171" s="92" t="s">
        <v>636</v>
      </c>
      <c r="B171" s="7" t="s">
        <v>635</v>
      </c>
      <c r="C171" s="6" t="s">
        <v>629</v>
      </c>
      <c r="D171" s="120" t="s">
        <v>942</v>
      </c>
      <c r="E171" s="133">
        <v>334</v>
      </c>
      <c r="F171" s="69">
        <v>509</v>
      </c>
    </row>
    <row r="172" spans="1:6" x14ac:dyDescent="0.25">
      <c r="A172" s="92" t="s">
        <v>638</v>
      </c>
      <c r="B172" s="7" t="s">
        <v>637</v>
      </c>
      <c r="C172" s="6" t="s">
        <v>629</v>
      </c>
      <c r="D172" s="120" t="s">
        <v>1268</v>
      </c>
      <c r="E172" s="133">
        <v>334</v>
      </c>
      <c r="F172" s="69">
        <v>509</v>
      </c>
    </row>
    <row r="173" spans="1:6" ht="15.75" thickBot="1" x14ac:dyDescent="0.3">
      <c r="A173" s="93" t="s">
        <v>640</v>
      </c>
      <c r="B173" s="70" t="s">
        <v>639</v>
      </c>
      <c r="C173" s="71" t="s">
        <v>629</v>
      </c>
      <c r="D173" s="122" t="s">
        <v>1269</v>
      </c>
      <c r="E173" s="135">
        <v>334</v>
      </c>
      <c r="F173" s="72">
        <v>509</v>
      </c>
    </row>
    <row r="174" spans="1:6" x14ac:dyDescent="0.25">
      <c r="A174" s="91" t="s">
        <v>643</v>
      </c>
      <c r="B174" s="66" t="s">
        <v>641</v>
      </c>
      <c r="C174" s="67" t="s">
        <v>642</v>
      </c>
      <c r="D174" s="119" t="s">
        <v>1265</v>
      </c>
      <c r="E174" s="132">
        <v>171</v>
      </c>
      <c r="F174" s="68">
        <v>260</v>
      </c>
    </row>
    <row r="175" spans="1:6" x14ac:dyDescent="0.25">
      <c r="A175" s="92" t="s">
        <v>645</v>
      </c>
      <c r="B175" s="7" t="s">
        <v>644</v>
      </c>
      <c r="C175" s="6" t="s">
        <v>642</v>
      </c>
      <c r="D175" s="120" t="s">
        <v>1267</v>
      </c>
      <c r="E175" s="133">
        <v>171</v>
      </c>
      <c r="F175" s="69">
        <v>260</v>
      </c>
    </row>
    <row r="176" spans="1:6" x14ac:dyDescent="0.25">
      <c r="A176" s="92" t="s">
        <v>647</v>
      </c>
      <c r="B176" s="7" t="s">
        <v>646</v>
      </c>
      <c r="C176" s="6" t="s">
        <v>642</v>
      </c>
      <c r="D176" s="120" t="s">
        <v>942</v>
      </c>
      <c r="E176" s="133">
        <v>171</v>
      </c>
      <c r="F176" s="69">
        <v>260</v>
      </c>
    </row>
    <row r="177" spans="1:6" x14ac:dyDescent="0.25">
      <c r="A177" s="92" t="s">
        <v>649</v>
      </c>
      <c r="B177" s="7" t="s">
        <v>648</v>
      </c>
      <c r="C177" s="6" t="s">
        <v>642</v>
      </c>
      <c r="D177" s="120" t="s">
        <v>1268</v>
      </c>
      <c r="E177" s="133">
        <v>171</v>
      </c>
      <c r="F177" s="69">
        <v>260</v>
      </c>
    </row>
    <row r="178" spans="1:6" ht="15.75" thickBot="1" x14ac:dyDescent="0.3">
      <c r="A178" s="93" t="s">
        <v>651</v>
      </c>
      <c r="B178" s="70" t="s">
        <v>650</v>
      </c>
      <c r="C178" s="71" t="s">
        <v>642</v>
      </c>
      <c r="D178" s="122" t="s">
        <v>1269</v>
      </c>
      <c r="E178" s="135">
        <v>171</v>
      </c>
      <c r="F178" s="72">
        <v>260</v>
      </c>
    </row>
    <row r="179" spans="1:6" x14ac:dyDescent="0.25">
      <c r="A179" s="91" t="s">
        <v>654</v>
      </c>
      <c r="B179" s="66" t="s">
        <v>652</v>
      </c>
      <c r="C179" s="67" t="s">
        <v>653</v>
      </c>
      <c r="D179" s="119" t="s">
        <v>1265</v>
      </c>
      <c r="E179" s="132">
        <v>237</v>
      </c>
      <c r="F179" s="68">
        <v>360</v>
      </c>
    </row>
    <row r="180" spans="1:6" x14ac:dyDescent="0.25">
      <c r="A180" s="92" t="s">
        <v>656</v>
      </c>
      <c r="B180" s="7" t="s">
        <v>655</v>
      </c>
      <c r="C180" s="6" t="s">
        <v>653</v>
      </c>
      <c r="D180" s="120" t="s">
        <v>1266</v>
      </c>
      <c r="E180" s="133">
        <v>237</v>
      </c>
      <c r="F180" s="69">
        <v>360</v>
      </c>
    </row>
    <row r="181" spans="1:6" x14ac:dyDescent="0.25">
      <c r="A181" s="86">
        <v>8420421082034</v>
      </c>
      <c r="B181" s="7" t="s">
        <v>1317</v>
      </c>
      <c r="C181" s="6" t="s">
        <v>653</v>
      </c>
      <c r="D181" s="120" t="s">
        <v>1267</v>
      </c>
      <c r="E181" s="133">
        <v>237</v>
      </c>
      <c r="F181" s="69">
        <v>360</v>
      </c>
    </row>
    <row r="182" spans="1:6" x14ac:dyDescent="0.25">
      <c r="A182" s="92" t="s">
        <v>658</v>
      </c>
      <c r="B182" s="7" t="s">
        <v>657</v>
      </c>
      <c r="C182" s="6" t="s">
        <v>653</v>
      </c>
      <c r="D182" s="120" t="s">
        <v>942</v>
      </c>
      <c r="E182" s="133">
        <v>237</v>
      </c>
      <c r="F182" s="69">
        <v>360</v>
      </c>
    </row>
    <row r="183" spans="1:6" ht="15.75" thickBot="1" x14ac:dyDescent="0.3">
      <c r="A183" s="93" t="s">
        <v>660</v>
      </c>
      <c r="B183" s="70" t="s">
        <v>659</v>
      </c>
      <c r="C183" s="71" t="s">
        <v>653</v>
      </c>
      <c r="D183" s="122" t="s">
        <v>1268</v>
      </c>
      <c r="E183" s="135">
        <v>237</v>
      </c>
      <c r="F183" s="72">
        <v>360</v>
      </c>
    </row>
    <row r="184" spans="1:6" x14ac:dyDescent="0.25">
      <c r="A184" s="91" t="s">
        <v>663</v>
      </c>
      <c r="B184" s="66" t="s">
        <v>661</v>
      </c>
      <c r="C184" s="67" t="s">
        <v>662</v>
      </c>
      <c r="D184" s="119" t="s">
        <v>1265</v>
      </c>
      <c r="E184" s="132">
        <v>348</v>
      </c>
      <c r="F184" s="68">
        <v>530</v>
      </c>
    </row>
    <row r="185" spans="1:6" x14ac:dyDescent="0.25">
      <c r="A185" s="92" t="s">
        <v>665</v>
      </c>
      <c r="B185" s="7" t="s">
        <v>664</v>
      </c>
      <c r="C185" s="6" t="s">
        <v>662</v>
      </c>
      <c r="D185" s="120" t="s">
        <v>1266</v>
      </c>
      <c r="E185" s="133">
        <v>348</v>
      </c>
      <c r="F185" s="69">
        <v>530</v>
      </c>
    </row>
    <row r="186" spans="1:6" x14ac:dyDescent="0.25">
      <c r="A186" s="92" t="s">
        <v>667</v>
      </c>
      <c r="B186" s="7" t="s">
        <v>666</v>
      </c>
      <c r="C186" s="6" t="s">
        <v>662</v>
      </c>
      <c r="D186" s="120" t="s">
        <v>1267</v>
      </c>
      <c r="E186" s="133">
        <v>348</v>
      </c>
      <c r="F186" s="69">
        <v>530</v>
      </c>
    </row>
    <row r="187" spans="1:6" x14ac:dyDescent="0.25">
      <c r="A187" s="92" t="s">
        <v>669</v>
      </c>
      <c r="B187" s="7" t="s">
        <v>668</v>
      </c>
      <c r="C187" s="6" t="s">
        <v>662</v>
      </c>
      <c r="D187" s="120" t="s">
        <v>942</v>
      </c>
      <c r="E187" s="133">
        <v>348</v>
      </c>
      <c r="F187" s="69">
        <v>530</v>
      </c>
    </row>
    <row r="188" spans="1:6" ht="15.75" thickBot="1" x14ac:dyDescent="0.3">
      <c r="A188" s="93" t="s">
        <v>671</v>
      </c>
      <c r="B188" s="70" t="s">
        <v>670</v>
      </c>
      <c r="C188" s="71" t="s">
        <v>662</v>
      </c>
      <c r="D188" s="122" t="s">
        <v>1268</v>
      </c>
      <c r="E188" s="135">
        <v>348</v>
      </c>
      <c r="F188" s="72">
        <v>530</v>
      </c>
    </row>
    <row r="189" spans="1:6" x14ac:dyDescent="0.25">
      <c r="A189" s="91" t="s">
        <v>674</v>
      </c>
      <c r="B189" s="66" t="s">
        <v>672</v>
      </c>
      <c r="C189" s="67" t="s">
        <v>673</v>
      </c>
      <c r="D189" s="119" t="s">
        <v>1265</v>
      </c>
      <c r="E189" s="132">
        <v>329</v>
      </c>
      <c r="F189" s="68">
        <v>499</v>
      </c>
    </row>
    <row r="190" spans="1:6" ht="15.75" thickBot="1" x14ac:dyDescent="0.3">
      <c r="A190" s="93" t="s">
        <v>676</v>
      </c>
      <c r="B190" s="70" t="s">
        <v>675</v>
      </c>
      <c r="C190" s="71" t="s">
        <v>673</v>
      </c>
      <c r="D190" s="122" t="s">
        <v>1266</v>
      </c>
      <c r="E190" s="135">
        <v>329</v>
      </c>
      <c r="F190" s="72">
        <v>499</v>
      </c>
    </row>
    <row r="191" spans="1:6" x14ac:dyDescent="0.25">
      <c r="A191" s="91" t="s">
        <v>712</v>
      </c>
      <c r="B191" s="66" t="s">
        <v>710</v>
      </c>
      <c r="C191" s="67" t="s">
        <v>711</v>
      </c>
      <c r="D191" s="119" t="s">
        <v>1265</v>
      </c>
      <c r="E191" s="132">
        <v>139</v>
      </c>
      <c r="F191" s="68">
        <v>215</v>
      </c>
    </row>
    <row r="192" spans="1:6" x14ac:dyDescent="0.25">
      <c r="A192" s="92" t="s">
        <v>714</v>
      </c>
      <c r="B192" s="7" t="s">
        <v>713</v>
      </c>
      <c r="C192" s="6" t="s">
        <v>711</v>
      </c>
      <c r="D192" s="120" t="s">
        <v>1266</v>
      </c>
      <c r="E192" s="133">
        <v>139</v>
      </c>
      <c r="F192" s="69">
        <v>215</v>
      </c>
    </row>
    <row r="193" spans="1:7" x14ac:dyDescent="0.25">
      <c r="A193" s="92" t="s">
        <v>716</v>
      </c>
      <c r="B193" s="7" t="s">
        <v>715</v>
      </c>
      <c r="C193" s="6" t="s">
        <v>711</v>
      </c>
      <c r="D193" s="120" t="s">
        <v>1267</v>
      </c>
      <c r="E193" s="133">
        <v>139</v>
      </c>
      <c r="F193" s="69">
        <v>215</v>
      </c>
    </row>
    <row r="194" spans="1:7" x14ac:dyDescent="0.25">
      <c r="A194" s="92" t="s">
        <v>718</v>
      </c>
      <c r="B194" s="7" t="s">
        <v>717</v>
      </c>
      <c r="C194" s="6" t="s">
        <v>711</v>
      </c>
      <c r="D194" s="120" t="s">
        <v>942</v>
      </c>
      <c r="E194" s="133">
        <v>139</v>
      </c>
      <c r="F194" s="69">
        <v>215</v>
      </c>
    </row>
    <row r="195" spans="1:7" ht="15.75" thickBot="1" x14ac:dyDescent="0.3">
      <c r="A195" s="93" t="s">
        <v>720</v>
      </c>
      <c r="B195" s="70" t="s">
        <v>719</v>
      </c>
      <c r="C195" s="71" t="s">
        <v>711</v>
      </c>
      <c r="D195" s="122" t="s">
        <v>1268</v>
      </c>
      <c r="E195" s="135">
        <v>139</v>
      </c>
      <c r="F195" s="72">
        <v>215</v>
      </c>
    </row>
    <row r="196" spans="1:7" x14ac:dyDescent="0.25">
      <c r="A196" s="91" t="s">
        <v>723</v>
      </c>
      <c r="B196" s="66" t="s">
        <v>721</v>
      </c>
      <c r="C196" s="67" t="s">
        <v>722</v>
      </c>
      <c r="D196" s="119" t="s">
        <v>1265</v>
      </c>
      <c r="E196" s="132">
        <v>147</v>
      </c>
      <c r="F196" s="68">
        <v>225</v>
      </c>
    </row>
    <row r="197" spans="1:7" x14ac:dyDescent="0.25">
      <c r="A197" s="92" t="s">
        <v>725</v>
      </c>
      <c r="B197" s="7" t="s">
        <v>724</v>
      </c>
      <c r="C197" s="6" t="s">
        <v>722</v>
      </c>
      <c r="D197" s="120" t="s">
        <v>1266</v>
      </c>
      <c r="E197" s="133">
        <v>147</v>
      </c>
      <c r="F197" s="69">
        <v>225</v>
      </c>
    </row>
    <row r="198" spans="1:7" x14ac:dyDescent="0.25">
      <c r="A198" s="92" t="s">
        <v>727</v>
      </c>
      <c r="B198" s="7" t="s">
        <v>726</v>
      </c>
      <c r="C198" s="6" t="s">
        <v>722</v>
      </c>
      <c r="D198" s="120" t="s">
        <v>1267</v>
      </c>
      <c r="E198" s="133">
        <v>147</v>
      </c>
      <c r="F198" s="69">
        <v>225</v>
      </c>
    </row>
    <row r="199" spans="1:7" x14ac:dyDescent="0.25">
      <c r="A199" s="92" t="s">
        <v>729</v>
      </c>
      <c r="B199" s="7" t="s">
        <v>728</v>
      </c>
      <c r="C199" s="6" t="s">
        <v>722</v>
      </c>
      <c r="D199" s="120" t="s">
        <v>942</v>
      </c>
      <c r="E199" s="133">
        <v>147</v>
      </c>
      <c r="F199" s="69">
        <v>225</v>
      </c>
    </row>
    <row r="200" spans="1:7" x14ac:dyDescent="0.25">
      <c r="A200" s="92" t="s">
        <v>731</v>
      </c>
      <c r="B200" s="7" t="s">
        <v>730</v>
      </c>
      <c r="C200" s="6" t="s">
        <v>722</v>
      </c>
      <c r="D200" s="120" t="s">
        <v>1268</v>
      </c>
      <c r="E200" s="133">
        <v>147</v>
      </c>
      <c r="F200" s="69">
        <v>225</v>
      </c>
    </row>
    <row r="201" spans="1:7" ht="15.75" thickBot="1" x14ac:dyDescent="0.3">
      <c r="A201" s="96" t="s">
        <v>733</v>
      </c>
      <c r="B201" s="63" t="s">
        <v>732</v>
      </c>
      <c r="C201" s="62" t="s">
        <v>722</v>
      </c>
      <c r="D201" s="121" t="s">
        <v>1269</v>
      </c>
      <c r="E201" s="134">
        <v>147</v>
      </c>
      <c r="F201" s="82">
        <v>225</v>
      </c>
    </row>
    <row r="202" spans="1:7" ht="15.75" thickBot="1" x14ac:dyDescent="0.3">
      <c r="A202" s="140" t="s">
        <v>1308</v>
      </c>
      <c r="B202" s="73" t="s">
        <v>1309</v>
      </c>
      <c r="C202" s="74" t="s">
        <v>1310</v>
      </c>
      <c r="D202" s="125"/>
      <c r="E202" s="138">
        <v>140</v>
      </c>
      <c r="F202" s="141">
        <v>199</v>
      </c>
      <c r="G202" s="152"/>
    </row>
  </sheetData>
  <autoFilter ref="A2:F201" xr:uid="{00000000-0009-0000-0000-000000000000}"/>
  <mergeCells count="1">
    <mergeCell ref="B1:F1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H471"/>
  <sheetViews>
    <sheetView tabSelected="1" topLeftCell="A209" workbookViewId="0">
      <selection activeCell="C227" sqref="C227"/>
    </sheetView>
  </sheetViews>
  <sheetFormatPr baseColWidth="10" defaultColWidth="9.140625" defaultRowHeight="15" x14ac:dyDescent="0.25"/>
  <cols>
    <col min="1" max="1" width="16.5703125" customWidth="1"/>
    <col min="2" max="2" width="10.7109375" bestFit="1" customWidth="1"/>
    <col min="3" max="3" width="12.5703125" customWidth="1"/>
    <col min="4" max="4" width="35.5703125" bestFit="1" customWidth="1"/>
    <col min="5" max="5" width="17.28515625" customWidth="1"/>
    <col min="6" max="6" width="24.28515625" customWidth="1"/>
    <col min="7" max="7" width="24.5703125" customWidth="1"/>
  </cols>
  <sheetData>
    <row r="1" spans="1:8" ht="40.5" customHeight="1" x14ac:dyDescent="0.8">
      <c r="D1" s="142" t="s">
        <v>1311</v>
      </c>
      <c r="F1" s="1"/>
    </row>
    <row r="2" spans="1:8" x14ac:dyDescent="0.25">
      <c r="A2" s="143" t="s">
        <v>0</v>
      </c>
      <c r="B2" s="2" t="s">
        <v>1323</v>
      </c>
      <c r="C2" s="143" t="s">
        <v>1393</v>
      </c>
      <c r="D2" s="143" t="s">
        <v>1319</v>
      </c>
      <c r="E2" s="2" t="s">
        <v>1394</v>
      </c>
      <c r="F2" s="144" t="s">
        <v>1321</v>
      </c>
      <c r="G2" s="2" t="s">
        <v>1322</v>
      </c>
      <c r="H2" s="2" t="s">
        <v>1320</v>
      </c>
    </row>
    <row r="3" spans="1:8" x14ac:dyDescent="0.25">
      <c r="A3" t="s">
        <v>1</v>
      </c>
      <c r="B3" s="127" t="s">
        <v>1312</v>
      </c>
      <c r="C3" s="3" t="s">
        <v>2</v>
      </c>
      <c r="D3" t="s">
        <v>3</v>
      </c>
      <c r="E3" s="127" t="s">
        <v>4</v>
      </c>
      <c r="F3" s="4">
        <v>34</v>
      </c>
    </row>
    <row r="4" spans="1:8" x14ac:dyDescent="0.25">
      <c r="A4" s="146" t="s">
        <v>1</v>
      </c>
      <c r="B4" s="147" t="s">
        <v>1312</v>
      </c>
      <c r="C4" s="148" t="s">
        <v>2</v>
      </c>
      <c r="D4" s="146" t="s">
        <v>3</v>
      </c>
      <c r="E4" s="147" t="s">
        <v>5</v>
      </c>
      <c r="F4" s="149">
        <v>5.6669999999999998</v>
      </c>
      <c r="G4" s="146">
        <v>8.9499999999999993</v>
      </c>
      <c r="H4" s="146" t="s">
        <v>940</v>
      </c>
    </row>
    <row r="5" spans="1:8" x14ac:dyDescent="0.25">
      <c r="A5" t="s">
        <v>6</v>
      </c>
      <c r="B5" s="127" t="s">
        <v>1312</v>
      </c>
      <c r="C5" s="3" t="s">
        <v>7</v>
      </c>
      <c r="D5" t="s">
        <v>8</v>
      </c>
      <c r="E5" s="127" t="s">
        <v>4</v>
      </c>
      <c r="F5" s="155">
        <v>36</v>
      </c>
      <c r="G5" s="156"/>
    </row>
    <row r="6" spans="1:8" x14ac:dyDescent="0.25">
      <c r="A6" s="146" t="s">
        <v>6</v>
      </c>
      <c r="B6" s="147" t="s">
        <v>1312</v>
      </c>
      <c r="C6" s="148" t="s">
        <v>7</v>
      </c>
      <c r="D6" s="146" t="s">
        <v>8</v>
      </c>
      <c r="E6" s="147" t="s">
        <v>5</v>
      </c>
      <c r="F6" s="155">
        <v>6</v>
      </c>
      <c r="G6" s="156">
        <v>9.9499999999999993</v>
      </c>
      <c r="H6" s="146" t="s">
        <v>1255</v>
      </c>
    </row>
    <row r="7" spans="1:8" x14ac:dyDescent="0.25">
      <c r="A7" t="s">
        <v>9</v>
      </c>
      <c r="B7" s="127" t="s">
        <v>1312</v>
      </c>
      <c r="C7" s="3" t="s">
        <v>10</v>
      </c>
      <c r="D7" t="s">
        <v>11</v>
      </c>
      <c r="E7" s="127" t="s">
        <v>12</v>
      </c>
      <c r="F7" s="4">
        <v>42</v>
      </c>
    </row>
    <row r="8" spans="1:8" x14ac:dyDescent="0.25">
      <c r="A8" s="146" t="s">
        <v>9</v>
      </c>
      <c r="B8" s="147" t="s">
        <v>1312</v>
      </c>
      <c r="C8" s="148" t="s">
        <v>10</v>
      </c>
      <c r="D8" s="146" t="s">
        <v>11</v>
      </c>
      <c r="E8" s="147" t="s">
        <v>5</v>
      </c>
      <c r="F8" s="149">
        <v>10.5</v>
      </c>
      <c r="G8" s="146">
        <v>16.95</v>
      </c>
      <c r="H8" s="146"/>
    </row>
    <row r="9" spans="1:8" x14ac:dyDescent="0.25">
      <c r="A9" t="s">
        <v>13</v>
      </c>
      <c r="B9" s="127" t="s">
        <v>1312</v>
      </c>
      <c r="C9" s="3" t="s">
        <v>14</v>
      </c>
      <c r="D9" t="s">
        <v>15</v>
      </c>
      <c r="E9" s="127" t="s">
        <v>12</v>
      </c>
      <c r="F9" s="155">
        <v>50</v>
      </c>
      <c r="G9" s="156"/>
    </row>
    <row r="10" spans="1:8" x14ac:dyDescent="0.25">
      <c r="A10" s="146" t="s">
        <v>13</v>
      </c>
      <c r="B10" s="147" t="s">
        <v>1312</v>
      </c>
      <c r="C10" s="148" t="s">
        <v>14</v>
      </c>
      <c r="D10" s="146" t="s">
        <v>15</v>
      </c>
      <c r="E10" s="147" t="s">
        <v>5</v>
      </c>
      <c r="F10" s="155">
        <v>12.5</v>
      </c>
      <c r="G10" s="156">
        <v>19.95</v>
      </c>
      <c r="H10" s="146"/>
    </row>
    <row r="11" spans="1:8" x14ac:dyDescent="0.25">
      <c r="A11" t="s">
        <v>16</v>
      </c>
      <c r="B11" s="127" t="s">
        <v>1312</v>
      </c>
      <c r="C11" s="3" t="s">
        <v>17</v>
      </c>
      <c r="D11" t="s">
        <v>18</v>
      </c>
      <c r="E11" s="127" t="s">
        <v>19</v>
      </c>
      <c r="F11" s="155">
        <v>44</v>
      </c>
      <c r="G11" s="156"/>
    </row>
    <row r="12" spans="1:8" x14ac:dyDescent="0.25">
      <c r="A12" s="146" t="s">
        <v>16</v>
      </c>
      <c r="B12" s="147" t="s">
        <v>1312</v>
      </c>
      <c r="C12" s="148" t="s">
        <v>17</v>
      </c>
      <c r="D12" s="146" t="s">
        <v>18</v>
      </c>
      <c r="E12" s="147" t="s">
        <v>5</v>
      </c>
      <c r="F12" s="155">
        <v>5.5</v>
      </c>
      <c r="G12" s="156">
        <v>8.9499999999999993</v>
      </c>
      <c r="H12" s="146" t="s">
        <v>1325</v>
      </c>
    </row>
    <row r="13" spans="1:8" x14ac:dyDescent="0.25">
      <c r="A13" t="s">
        <v>20</v>
      </c>
      <c r="B13" s="127" t="s">
        <v>1312</v>
      </c>
      <c r="C13" s="3" t="s">
        <v>21</v>
      </c>
      <c r="D13" t="s">
        <v>22</v>
      </c>
      <c r="E13" s="127" t="s">
        <v>66</v>
      </c>
      <c r="F13" s="155">
        <f>F14*12</f>
        <v>51.599999999999994</v>
      </c>
      <c r="G13" s="156"/>
    </row>
    <row r="14" spans="1:8" x14ac:dyDescent="0.25">
      <c r="A14" s="146" t="s">
        <v>20</v>
      </c>
      <c r="B14" s="147" t="s">
        <v>1312</v>
      </c>
      <c r="C14" s="148" t="s">
        <v>21</v>
      </c>
      <c r="D14" s="146" t="s">
        <v>22</v>
      </c>
      <c r="E14" s="147" t="s">
        <v>5</v>
      </c>
      <c r="F14" s="155">
        <v>4.3</v>
      </c>
      <c r="G14" s="156">
        <v>6.95</v>
      </c>
      <c r="H14" s="146"/>
    </row>
    <row r="15" spans="1:8" x14ac:dyDescent="0.25">
      <c r="A15" t="s">
        <v>24</v>
      </c>
      <c r="B15" s="127" t="s">
        <v>1312</v>
      </c>
      <c r="C15" s="3" t="s">
        <v>25</v>
      </c>
      <c r="D15" t="s">
        <v>26</v>
      </c>
      <c r="E15" s="127" t="s">
        <v>66</v>
      </c>
      <c r="F15" s="155">
        <f>F16*12</f>
        <v>55.199999999999996</v>
      </c>
      <c r="G15" s="156"/>
    </row>
    <row r="16" spans="1:8" x14ac:dyDescent="0.25">
      <c r="A16" s="146" t="s">
        <v>24</v>
      </c>
      <c r="B16" s="147" t="s">
        <v>1312</v>
      </c>
      <c r="C16" s="148" t="s">
        <v>25</v>
      </c>
      <c r="D16" s="146" t="s">
        <v>26</v>
      </c>
      <c r="E16" s="147" t="s">
        <v>5</v>
      </c>
      <c r="F16" s="155">
        <v>4.5999999999999996</v>
      </c>
      <c r="G16" s="156">
        <v>7.5</v>
      </c>
      <c r="H16" s="146"/>
    </row>
    <row r="17" spans="1:8" x14ac:dyDescent="0.25">
      <c r="A17" t="s">
        <v>27</v>
      </c>
      <c r="B17" s="127" t="s">
        <v>1312</v>
      </c>
      <c r="C17" s="3" t="s">
        <v>28</v>
      </c>
      <c r="D17" t="s">
        <v>29</v>
      </c>
      <c r="E17" s="127" t="s">
        <v>12</v>
      </c>
      <c r="F17" s="4">
        <v>157</v>
      </c>
    </row>
    <row r="18" spans="1:8" x14ac:dyDescent="0.25">
      <c r="A18" s="146" t="s">
        <v>27</v>
      </c>
      <c r="B18" s="147" t="s">
        <v>1312</v>
      </c>
      <c r="C18" s="148" t="s">
        <v>28</v>
      </c>
      <c r="D18" s="146" t="s">
        <v>29</v>
      </c>
      <c r="E18" s="147" t="s">
        <v>5</v>
      </c>
      <c r="F18" s="149">
        <v>39.25</v>
      </c>
      <c r="G18" s="146">
        <v>61.95</v>
      </c>
      <c r="H18" s="146"/>
    </row>
    <row r="19" spans="1:8" x14ac:dyDescent="0.25">
      <c r="A19" s="145">
        <v>8420421086452</v>
      </c>
      <c r="B19" s="127">
        <v>23</v>
      </c>
      <c r="C19" s="3" t="s">
        <v>30</v>
      </c>
      <c r="D19" s="156" t="s">
        <v>31</v>
      </c>
      <c r="E19" s="127" t="s">
        <v>32</v>
      </c>
      <c r="F19" s="4">
        <f>F20*2</f>
        <v>108</v>
      </c>
    </row>
    <row r="20" spans="1:8" x14ac:dyDescent="0.25">
      <c r="A20" s="150">
        <v>8420421086452</v>
      </c>
      <c r="B20" s="147">
        <v>23</v>
      </c>
      <c r="C20" s="148" t="s">
        <v>30</v>
      </c>
      <c r="D20" s="146" t="s">
        <v>31</v>
      </c>
      <c r="E20" s="147" t="s">
        <v>5</v>
      </c>
      <c r="F20" s="149">
        <v>54</v>
      </c>
      <c r="G20" s="146">
        <v>84.95</v>
      </c>
      <c r="H20" s="146"/>
    </row>
    <row r="21" spans="1:8" x14ac:dyDescent="0.25">
      <c r="A21" t="s">
        <v>33</v>
      </c>
      <c r="B21" s="127" t="s">
        <v>1312</v>
      </c>
      <c r="C21" s="3" t="s">
        <v>34</v>
      </c>
      <c r="D21" t="s">
        <v>35</v>
      </c>
      <c r="E21" s="127" t="s">
        <v>36</v>
      </c>
      <c r="F21" s="4">
        <v>125</v>
      </c>
    </row>
    <row r="22" spans="1:8" x14ac:dyDescent="0.25">
      <c r="A22" s="146" t="s">
        <v>33</v>
      </c>
      <c r="B22" s="147" t="s">
        <v>1312</v>
      </c>
      <c r="C22" s="148" t="s">
        <v>34</v>
      </c>
      <c r="D22" s="146" t="s">
        <v>35</v>
      </c>
      <c r="E22" s="147" t="s">
        <v>5</v>
      </c>
      <c r="F22" s="149">
        <v>41.665999999999997</v>
      </c>
      <c r="G22" s="146">
        <v>65.95</v>
      </c>
      <c r="H22" s="146"/>
    </row>
    <row r="23" spans="1:8" x14ac:dyDescent="0.25">
      <c r="A23" t="s">
        <v>37</v>
      </c>
      <c r="B23" s="127" t="s">
        <v>1312</v>
      </c>
      <c r="C23" s="3" t="s">
        <v>38</v>
      </c>
      <c r="D23" t="s">
        <v>39</v>
      </c>
      <c r="E23" s="127" t="s">
        <v>4</v>
      </c>
      <c r="F23" s="155">
        <f>F24*6</f>
        <v>52.5</v>
      </c>
      <c r="G23" s="156"/>
    </row>
    <row r="24" spans="1:8" x14ac:dyDescent="0.25">
      <c r="A24" s="146" t="s">
        <v>37</v>
      </c>
      <c r="B24" s="147" t="s">
        <v>1312</v>
      </c>
      <c r="C24" s="148" t="s">
        <v>38</v>
      </c>
      <c r="D24" s="146" t="s">
        <v>39</v>
      </c>
      <c r="E24" s="147" t="s">
        <v>5</v>
      </c>
      <c r="F24" s="155">
        <v>8.75</v>
      </c>
      <c r="G24" s="156">
        <v>13.95</v>
      </c>
      <c r="H24" s="146" t="s">
        <v>948</v>
      </c>
    </row>
    <row r="25" spans="1:8" x14ac:dyDescent="0.25">
      <c r="A25" t="s">
        <v>40</v>
      </c>
      <c r="B25" s="127" t="s">
        <v>1312</v>
      </c>
      <c r="C25" s="3" t="s">
        <v>41</v>
      </c>
      <c r="D25" t="s">
        <v>39</v>
      </c>
      <c r="E25" s="127" t="s">
        <v>4</v>
      </c>
      <c r="F25" s="155">
        <f>F26*6</f>
        <v>52.5</v>
      </c>
      <c r="G25" s="156"/>
    </row>
    <row r="26" spans="1:8" x14ac:dyDescent="0.25">
      <c r="A26" s="146" t="s">
        <v>40</v>
      </c>
      <c r="B26" s="147" t="s">
        <v>1312</v>
      </c>
      <c r="C26" s="148" t="s">
        <v>41</v>
      </c>
      <c r="D26" s="146" t="s">
        <v>39</v>
      </c>
      <c r="E26" s="147" t="s">
        <v>5</v>
      </c>
      <c r="F26" s="155">
        <v>8.75</v>
      </c>
      <c r="G26" s="156">
        <v>13.95</v>
      </c>
      <c r="H26" s="146" t="s">
        <v>1325</v>
      </c>
    </row>
    <row r="27" spans="1:8" x14ac:dyDescent="0.25">
      <c r="A27" t="s">
        <v>42</v>
      </c>
      <c r="B27" s="127" t="s">
        <v>1312</v>
      </c>
      <c r="C27" s="3" t="s">
        <v>43</v>
      </c>
      <c r="D27" t="s">
        <v>44</v>
      </c>
      <c r="E27" s="127" t="s">
        <v>4</v>
      </c>
      <c r="F27" s="155">
        <v>82.5</v>
      </c>
      <c r="G27" s="156"/>
    </row>
    <row r="28" spans="1:8" x14ac:dyDescent="0.25">
      <c r="A28" s="146" t="s">
        <v>42</v>
      </c>
      <c r="B28" s="147" t="s">
        <v>1312</v>
      </c>
      <c r="C28" s="148" t="s">
        <v>43</v>
      </c>
      <c r="D28" s="146" t="s">
        <v>44</v>
      </c>
      <c r="E28" s="147" t="s">
        <v>5</v>
      </c>
      <c r="F28" s="155">
        <v>13.75</v>
      </c>
      <c r="G28" s="156">
        <v>21.95</v>
      </c>
      <c r="H28" s="146"/>
    </row>
    <row r="29" spans="1:8" x14ac:dyDescent="0.25">
      <c r="A29" t="s">
        <v>45</v>
      </c>
      <c r="B29" s="127" t="s">
        <v>1312</v>
      </c>
      <c r="C29" s="3" t="s">
        <v>46</v>
      </c>
      <c r="D29" t="s">
        <v>47</v>
      </c>
      <c r="E29" s="127" t="s">
        <v>12</v>
      </c>
      <c r="F29" s="155">
        <v>100</v>
      </c>
      <c r="G29" s="156"/>
    </row>
    <row r="30" spans="1:8" x14ac:dyDescent="0.25">
      <c r="A30" s="146" t="s">
        <v>45</v>
      </c>
      <c r="B30" s="147" t="s">
        <v>1312</v>
      </c>
      <c r="C30" s="148" t="s">
        <v>46</v>
      </c>
      <c r="D30" s="146" t="s">
        <v>47</v>
      </c>
      <c r="E30" s="147" t="s">
        <v>5</v>
      </c>
      <c r="F30" s="155">
        <v>25</v>
      </c>
      <c r="G30" s="156">
        <v>39.950000000000003</v>
      </c>
      <c r="H30" s="146"/>
    </row>
    <row r="31" spans="1:8" x14ac:dyDescent="0.25">
      <c r="A31" t="s">
        <v>48</v>
      </c>
      <c r="B31" s="127" t="s">
        <v>1312</v>
      </c>
      <c r="C31" s="3" t="s">
        <v>49</v>
      </c>
      <c r="D31" t="s">
        <v>50</v>
      </c>
      <c r="E31" s="127" t="s">
        <v>12</v>
      </c>
      <c r="F31" s="4">
        <v>86</v>
      </c>
    </row>
    <row r="32" spans="1:8" x14ac:dyDescent="0.25">
      <c r="A32" s="146" t="s">
        <v>48</v>
      </c>
      <c r="B32" s="147" t="s">
        <v>1312</v>
      </c>
      <c r="C32" s="148" t="s">
        <v>49</v>
      </c>
      <c r="D32" s="146" t="s">
        <v>50</v>
      </c>
      <c r="E32" s="147" t="s">
        <v>5</v>
      </c>
      <c r="F32" s="149">
        <v>21.5</v>
      </c>
      <c r="G32" s="146">
        <v>33.950000000000003</v>
      </c>
      <c r="H32" s="146"/>
    </row>
    <row r="33" spans="1:8" x14ac:dyDescent="0.25">
      <c r="A33" t="s">
        <v>51</v>
      </c>
      <c r="B33" s="127" t="s">
        <v>1312</v>
      </c>
      <c r="C33" s="3" t="s">
        <v>52</v>
      </c>
      <c r="D33" t="s">
        <v>53</v>
      </c>
      <c r="E33" s="127" t="s">
        <v>12</v>
      </c>
      <c r="F33" s="155">
        <v>24.8</v>
      </c>
      <c r="G33" s="156"/>
    </row>
    <row r="34" spans="1:8" x14ac:dyDescent="0.25">
      <c r="A34" s="146" t="s">
        <v>51</v>
      </c>
      <c r="B34" s="147" t="s">
        <v>1312</v>
      </c>
      <c r="C34" s="148" t="s">
        <v>52</v>
      </c>
      <c r="D34" s="146" t="s">
        <v>53</v>
      </c>
      <c r="E34" s="147" t="s">
        <v>5</v>
      </c>
      <c r="F34" s="155">
        <v>6.2</v>
      </c>
      <c r="G34" s="156">
        <v>9.9499999999999993</v>
      </c>
      <c r="H34" s="146" t="s">
        <v>1255</v>
      </c>
    </row>
    <row r="35" spans="1:8" x14ac:dyDescent="0.25">
      <c r="A35" t="s">
        <v>54</v>
      </c>
      <c r="B35" s="127" t="s">
        <v>1312</v>
      </c>
      <c r="C35" s="3" t="s">
        <v>55</v>
      </c>
      <c r="D35" t="s">
        <v>56</v>
      </c>
      <c r="E35" s="127" t="s">
        <v>12</v>
      </c>
      <c r="F35" s="155">
        <v>24.8</v>
      </c>
      <c r="G35" s="156"/>
    </row>
    <row r="36" spans="1:8" x14ac:dyDescent="0.25">
      <c r="A36" s="146" t="s">
        <v>54</v>
      </c>
      <c r="B36" s="147" t="s">
        <v>1312</v>
      </c>
      <c r="C36" s="148" t="s">
        <v>55</v>
      </c>
      <c r="D36" s="146" t="s">
        <v>56</v>
      </c>
      <c r="E36" s="147" t="s">
        <v>5</v>
      </c>
      <c r="F36" s="155">
        <v>6.2</v>
      </c>
      <c r="G36" s="156">
        <v>9.9499999999999993</v>
      </c>
      <c r="H36" s="146" t="s">
        <v>948</v>
      </c>
    </row>
    <row r="37" spans="1:8" x14ac:dyDescent="0.25">
      <c r="A37" t="s">
        <v>57</v>
      </c>
      <c r="B37" s="127" t="s">
        <v>1312</v>
      </c>
      <c r="C37" s="3" t="s">
        <v>58</v>
      </c>
      <c r="D37" t="s">
        <v>59</v>
      </c>
      <c r="E37" s="127" t="s">
        <v>12</v>
      </c>
      <c r="F37" s="155">
        <v>24.8</v>
      </c>
      <c r="G37" s="156"/>
    </row>
    <row r="38" spans="1:8" x14ac:dyDescent="0.25">
      <c r="A38" s="146" t="s">
        <v>57</v>
      </c>
      <c r="B38" s="147" t="s">
        <v>1312</v>
      </c>
      <c r="C38" s="148" t="s">
        <v>58</v>
      </c>
      <c r="D38" s="146" t="s">
        <v>59</v>
      </c>
      <c r="E38" s="147" t="s">
        <v>5</v>
      </c>
      <c r="F38" s="155">
        <v>6.2</v>
      </c>
      <c r="G38" s="156">
        <v>9.9499999999999993</v>
      </c>
      <c r="H38" s="146" t="s">
        <v>1325</v>
      </c>
    </row>
    <row r="39" spans="1:8" x14ac:dyDescent="0.25">
      <c r="A39" t="s">
        <v>60</v>
      </c>
      <c r="B39" s="127" t="s">
        <v>1312</v>
      </c>
      <c r="C39" s="3" t="s">
        <v>61</v>
      </c>
      <c r="D39" t="s">
        <v>62</v>
      </c>
      <c r="E39" s="127" t="s">
        <v>66</v>
      </c>
      <c r="F39" s="4">
        <v>28.2</v>
      </c>
    </row>
    <row r="40" spans="1:8" x14ac:dyDescent="0.25">
      <c r="A40" s="146" t="s">
        <v>60</v>
      </c>
      <c r="B40" s="147" t="s">
        <v>1312</v>
      </c>
      <c r="C40" s="148" t="s">
        <v>61</v>
      </c>
      <c r="D40" s="146" t="s">
        <v>62</v>
      </c>
      <c r="E40" s="147" t="s">
        <v>5</v>
      </c>
      <c r="F40" s="149">
        <v>2.35</v>
      </c>
      <c r="G40" s="146">
        <v>3.95</v>
      </c>
      <c r="H40" s="146" t="s">
        <v>1326</v>
      </c>
    </row>
    <row r="41" spans="1:8" x14ac:dyDescent="0.25">
      <c r="A41" t="s">
        <v>63</v>
      </c>
      <c r="B41" s="127" t="s">
        <v>1312</v>
      </c>
      <c r="C41" s="3" t="s">
        <v>64</v>
      </c>
      <c r="D41" t="s">
        <v>65</v>
      </c>
      <c r="E41" s="127" t="s">
        <v>23</v>
      </c>
      <c r="F41" s="4">
        <f>F42*12</f>
        <v>75</v>
      </c>
    </row>
    <row r="42" spans="1:8" x14ac:dyDescent="0.25">
      <c r="A42" s="146" t="s">
        <v>63</v>
      </c>
      <c r="B42" s="147" t="s">
        <v>1312</v>
      </c>
      <c r="C42" s="148" t="s">
        <v>64</v>
      </c>
      <c r="D42" s="146" t="s">
        <v>65</v>
      </c>
      <c r="E42" s="147" t="s">
        <v>5</v>
      </c>
      <c r="F42" s="149">
        <v>6.25</v>
      </c>
      <c r="G42" s="146">
        <v>9.9499999999999993</v>
      </c>
      <c r="H42" s="146" t="s">
        <v>940</v>
      </c>
    </row>
    <row r="43" spans="1:8" x14ac:dyDescent="0.25">
      <c r="A43" t="s">
        <v>67</v>
      </c>
      <c r="B43" s="127" t="s">
        <v>1312</v>
      </c>
      <c r="C43" s="3" t="s">
        <v>68</v>
      </c>
      <c r="D43" t="s">
        <v>69</v>
      </c>
      <c r="E43" s="127" t="s">
        <v>4</v>
      </c>
      <c r="F43" s="4">
        <v>49</v>
      </c>
    </row>
    <row r="44" spans="1:8" x14ac:dyDescent="0.25">
      <c r="A44" s="146" t="s">
        <v>67</v>
      </c>
      <c r="B44" s="147" t="s">
        <v>1312</v>
      </c>
      <c r="C44" s="148" t="s">
        <v>68</v>
      </c>
      <c r="D44" s="146" t="s">
        <v>69</v>
      </c>
      <c r="E44" s="147" t="s">
        <v>5</v>
      </c>
      <c r="F44" s="149">
        <v>8.1669999999999998</v>
      </c>
      <c r="G44" s="146">
        <v>12.95</v>
      </c>
      <c r="H44" s="146" t="s">
        <v>942</v>
      </c>
    </row>
    <row r="45" spans="1:8" x14ac:dyDescent="0.25">
      <c r="A45" t="s">
        <v>70</v>
      </c>
      <c r="B45" s="127" t="s">
        <v>1312</v>
      </c>
      <c r="C45" s="3" t="s">
        <v>71</v>
      </c>
      <c r="D45" t="s">
        <v>72</v>
      </c>
      <c r="E45" s="127" t="s">
        <v>12</v>
      </c>
      <c r="F45" s="155">
        <v>62.8</v>
      </c>
      <c r="G45" s="156"/>
    </row>
    <row r="46" spans="1:8" x14ac:dyDescent="0.25">
      <c r="A46" s="146" t="s">
        <v>70</v>
      </c>
      <c r="B46" s="147" t="s">
        <v>1312</v>
      </c>
      <c r="C46" s="148" t="s">
        <v>71</v>
      </c>
      <c r="D46" s="146" t="s">
        <v>72</v>
      </c>
      <c r="E46" s="147" t="s">
        <v>5</v>
      </c>
      <c r="F46" s="155">
        <v>15.7</v>
      </c>
      <c r="G46" s="156">
        <v>24.95</v>
      </c>
      <c r="H46" s="146" t="s">
        <v>1325</v>
      </c>
    </row>
    <row r="47" spans="1:8" x14ac:dyDescent="0.25">
      <c r="A47" t="s">
        <v>73</v>
      </c>
      <c r="B47" s="127" t="s">
        <v>1312</v>
      </c>
      <c r="C47" s="3" t="s">
        <v>74</v>
      </c>
      <c r="D47" t="s">
        <v>75</v>
      </c>
      <c r="E47" s="127" t="s">
        <v>4</v>
      </c>
      <c r="F47" s="4">
        <v>39</v>
      </c>
    </row>
    <row r="48" spans="1:8" x14ac:dyDescent="0.25">
      <c r="A48" s="146" t="s">
        <v>73</v>
      </c>
      <c r="B48" s="147" t="s">
        <v>1312</v>
      </c>
      <c r="C48" s="148" t="s">
        <v>74</v>
      </c>
      <c r="D48" s="146" t="s">
        <v>75</v>
      </c>
      <c r="E48" s="147" t="s">
        <v>5</v>
      </c>
      <c r="F48" s="149">
        <v>6.5</v>
      </c>
      <c r="G48" s="146">
        <v>9.9499999999999993</v>
      </c>
      <c r="H48" s="146" t="s">
        <v>948</v>
      </c>
    </row>
    <row r="49" spans="1:8" x14ac:dyDescent="0.25">
      <c r="A49" t="s">
        <v>76</v>
      </c>
      <c r="B49" s="127" t="s">
        <v>1312</v>
      </c>
      <c r="C49" s="3" t="s">
        <v>77</v>
      </c>
      <c r="D49" t="s">
        <v>78</v>
      </c>
      <c r="E49" s="127" t="s">
        <v>4</v>
      </c>
      <c r="F49" s="4">
        <v>39</v>
      </c>
    </row>
    <row r="50" spans="1:8" x14ac:dyDescent="0.25">
      <c r="A50" s="146" t="s">
        <v>76</v>
      </c>
      <c r="B50" s="147" t="s">
        <v>1312</v>
      </c>
      <c r="C50" s="148" t="s">
        <v>77</v>
      </c>
      <c r="D50" s="146" t="s">
        <v>78</v>
      </c>
      <c r="E50" s="147" t="s">
        <v>5</v>
      </c>
      <c r="F50" s="149">
        <v>6.5</v>
      </c>
      <c r="G50" s="146">
        <v>9.9499999999999993</v>
      </c>
      <c r="H50" s="146" t="s">
        <v>1325</v>
      </c>
    </row>
    <row r="51" spans="1:8" x14ac:dyDescent="0.25">
      <c r="A51" t="s">
        <v>79</v>
      </c>
      <c r="B51" s="127" t="s">
        <v>1312</v>
      </c>
      <c r="C51" s="3" t="s">
        <v>80</v>
      </c>
      <c r="D51" t="s">
        <v>81</v>
      </c>
      <c r="E51" s="127" t="s">
        <v>12</v>
      </c>
      <c r="F51" s="4">
        <v>45</v>
      </c>
    </row>
    <row r="52" spans="1:8" x14ac:dyDescent="0.25">
      <c r="A52" s="146" t="s">
        <v>79</v>
      </c>
      <c r="B52" s="147" t="s">
        <v>1312</v>
      </c>
      <c r="C52" s="148" t="s">
        <v>80</v>
      </c>
      <c r="D52" s="146" t="s">
        <v>81</v>
      </c>
      <c r="E52" s="147" t="s">
        <v>5</v>
      </c>
      <c r="F52" s="149">
        <v>11.25</v>
      </c>
      <c r="G52" s="146">
        <v>17.95</v>
      </c>
      <c r="H52" s="146" t="s">
        <v>1327</v>
      </c>
    </row>
    <row r="53" spans="1:8" x14ac:dyDescent="0.25">
      <c r="A53" t="s">
        <v>82</v>
      </c>
      <c r="B53" s="127" t="s">
        <v>1312</v>
      </c>
      <c r="C53" s="3" t="s">
        <v>83</v>
      </c>
      <c r="D53" t="s">
        <v>81</v>
      </c>
      <c r="E53" s="127" t="s">
        <v>12</v>
      </c>
      <c r="F53" s="4">
        <v>45</v>
      </c>
    </row>
    <row r="54" spans="1:8" x14ac:dyDescent="0.25">
      <c r="A54" s="146" t="s">
        <v>82</v>
      </c>
      <c r="B54" s="147" t="s">
        <v>1312</v>
      </c>
      <c r="C54" s="148" t="s">
        <v>83</v>
      </c>
      <c r="D54" s="146" t="s">
        <v>81</v>
      </c>
      <c r="E54" s="147" t="s">
        <v>5</v>
      </c>
      <c r="F54" s="149">
        <v>11.25</v>
      </c>
      <c r="G54" s="146">
        <v>17.95</v>
      </c>
      <c r="H54" s="146" t="s">
        <v>1328</v>
      </c>
    </row>
    <row r="55" spans="1:8" x14ac:dyDescent="0.25">
      <c r="A55" t="s">
        <v>84</v>
      </c>
      <c r="B55" s="127" t="s">
        <v>1312</v>
      </c>
      <c r="C55" s="3" t="s">
        <v>85</v>
      </c>
      <c r="D55" t="s">
        <v>86</v>
      </c>
      <c r="E55" s="127" t="s">
        <v>12</v>
      </c>
      <c r="F55" s="4">
        <v>52</v>
      </c>
    </row>
    <row r="56" spans="1:8" x14ac:dyDescent="0.25">
      <c r="A56" s="146" t="s">
        <v>84</v>
      </c>
      <c r="B56" s="147" t="s">
        <v>1312</v>
      </c>
      <c r="C56" s="148" t="s">
        <v>85</v>
      </c>
      <c r="D56" s="146" t="s">
        <v>86</v>
      </c>
      <c r="E56" s="147" t="s">
        <v>5</v>
      </c>
      <c r="F56" s="149">
        <v>13</v>
      </c>
      <c r="G56" s="146">
        <v>19.95</v>
      </c>
      <c r="H56" s="146" t="s">
        <v>1327</v>
      </c>
    </row>
    <row r="57" spans="1:8" x14ac:dyDescent="0.25">
      <c r="A57" t="s">
        <v>87</v>
      </c>
      <c r="B57" s="127" t="s">
        <v>1312</v>
      </c>
      <c r="C57" s="3" t="s">
        <v>88</v>
      </c>
      <c r="D57" t="s">
        <v>86</v>
      </c>
      <c r="E57" s="127" t="s">
        <v>12</v>
      </c>
      <c r="F57" s="4">
        <v>52</v>
      </c>
    </row>
    <row r="58" spans="1:8" x14ac:dyDescent="0.25">
      <c r="A58" s="146" t="s">
        <v>87</v>
      </c>
      <c r="B58" s="147" t="s">
        <v>1312</v>
      </c>
      <c r="C58" s="148" t="s">
        <v>88</v>
      </c>
      <c r="D58" s="146" t="s">
        <v>86</v>
      </c>
      <c r="E58" s="147" t="s">
        <v>5</v>
      </c>
      <c r="F58" s="149">
        <v>13</v>
      </c>
      <c r="G58" s="146">
        <v>19.95</v>
      </c>
      <c r="H58" s="146" t="s">
        <v>1328</v>
      </c>
    </row>
    <row r="59" spans="1:8" x14ac:dyDescent="0.25">
      <c r="A59" t="s">
        <v>89</v>
      </c>
      <c r="B59" s="127" t="s">
        <v>1312</v>
      </c>
      <c r="C59" s="3" t="s">
        <v>90</v>
      </c>
      <c r="D59" t="s">
        <v>91</v>
      </c>
      <c r="E59" s="127" t="s">
        <v>4</v>
      </c>
      <c r="F59" s="4">
        <v>36</v>
      </c>
    </row>
    <row r="60" spans="1:8" x14ac:dyDescent="0.25">
      <c r="A60" s="146" t="s">
        <v>89</v>
      </c>
      <c r="B60" s="147" t="s">
        <v>1312</v>
      </c>
      <c r="C60" s="148" t="s">
        <v>90</v>
      </c>
      <c r="D60" s="146" t="s">
        <v>91</v>
      </c>
      <c r="E60" s="147" t="s">
        <v>5</v>
      </c>
      <c r="F60" s="149">
        <v>6</v>
      </c>
      <c r="G60" s="146">
        <v>9.9499999999999993</v>
      </c>
      <c r="H60" s="146" t="s">
        <v>940</v>
      </c>
    </row>
    <row r="61" spans="1:8" x14ac:dyDescent="0.25">
      <c r="A61" t="s">
        <v>92</v>
      </c>
      <c r="B61" s="127" t="s">
        <v>1312</v>
      </c>
      <c r="C61" s="3" t="s">
        <v>93</v>
      </c>
      <c r="D61" t="s">
        <v>94</v>
      </c>
      <c r="E61" s="127" t="s">
        <v>12</v>
      </c>
      <c r="F61" s="4">
        <v>103</v>
      </c>
    </row>
    <row r="62" spans="1:8" x14ac:dyDescent="0.25">
      <c r="A62" s="146" t="s">
        <v>92</v>
      </c>
      <c r="B62" s="147" t="s">
        <v>1312</v>
      </c>
      <c r="C62" s="148" t="s">
        <v>93</v>
      </c>
      <c r="D62" s="146" t="s">
        <v>94</v>
      </c>
      <c r="E62" s="147" t="s">
        <v>5</v>
      </c>
      <c r="F62" s="149">
        <v>25.75</v>
      </c>
      <c r="G62" s="146">
        <v>39.950000000000003</v>
      </c>
      <c r="H62" s="146" t="s">
        <v>1329</v>
      </c>
    </row>
    <row r="63" spans="1:8" x14ac:dyDescent="0.25">
      <c r="A63" t="s">
        <v>95</v>
      </c>
      <c r="B63" s="127" t="s">
        <v>1312</v>
      </c>
      <c r="C63" s="3" t="s">
        <v>96</v>
      </c>
      <c r="D63" t="s">
        <v>97</v>
      </c>
      <c r="E63" s="127" t="s">
        <v>12</v>
      </c>
      <c r="F63" s="4">
        <v>95</v>
      </c>
    </row>
    <row r="64" spans="1:8" x14ac:dyDescent="0.25">
      <c r="A64" s="146" t="s">
        <v>95</v>
      </c>
      <c r="B64" s="147" t="s">
        <v>1312</v>
      </c>
      <c r="C64" s="148" t="s">
        <v>96</v>
      </c>
      <c r="D64" s="146" t="s">
        <v>97</v>
      </c>
      <c r="E64" s="147" t="s">
        <v>5</v>
      </c>
      <c r="F64" s="149">
        <v>23.75</v>
      </c>
      <c r="G64" s="146">
        <v>37.950000000000003</v>
      </c>
      <c r="H64" s="146" t="s">
        <v>942</v>
      </c>
    </row>
    <row r="65" spans="1:8" x14ac:dyDescent="0.25">
      <c r="A65" s="145">
        <v>8420421086216</v>
      </c>
      <c r="B65" s="127">
        <v>23</v>
      </c>
      <c r="C65" s="3" t="s">
        <v>98</v>
      </c>
      <c r="D65" t="s">
        <v>99</v>
      </c>
      <c r="E65" s="127" t="s">
        <v>36</v>
      </c>
      <c r="F65" s="4">
        <v>39</v>
      </c>
    </row>
    <row r="66" spans="1:8" x14ac:dyDescent="0.25">
      <c r="A66" s="150">
        <v>8420421086216</v>
      </c>
      <c r="B66" s="147">
        <v>23</v>
      </c>
      <c r="C66" s="148" t="s">
        <v>98</v>
      </c>
      <c r="D66" s="146" t="s">
        <v>99</v>
      </c>
      <c r="E66" s="147" t="s">
        <v>5</v>
      </c>
      <c r="F66" s="149">
        <v>13</v>
      </c>
      <c r="G66" s="146">
        <v>19.95</v>
      </c>
      <c r="H66" s="146" t="s">
        <v>1255</v>
      </c>
    </row>
    <row r="67" spans="1:8" x14ac:dyDescent="0.25">
      <c r="A67" s="145">
        <v>8420421086230</v>
      </c>
      <c r="B67" s="127">
        <v>23</v>
      </c>
      <c r="C67" s="3" t="s">
        <v>100</v>
      </c>
      <c r="D67" t="s">
        <v>99</v>
      </c>
      <c r="E67" s="127" t="s">
        <v>36</v>
      </c>
      <c r="F67" s="4">
        <v>39</v>
      </c>
    </row>
    <row r="68" spans="1:8" x14ac:dyDescent="0.25">
      <c r="A68" s="150">
        <v>8420421086230</v>
      </c>
      <c r="B68" s="147">
        <v>23</v>
      </c>
      <c r="C68" s="148" t="s">
        <v>100</v>
      </c>
      <c r="D68" s="146" t="s">
        <v>99</v>
      </c>
      <c r="E68" s="147" t="s">
        <v>5</v>
      </c>
      <c r="F68" s="149">
        <v>13</v>
      </c>
      <c r="G68" s="146">
        <v>19.95</v>
      </c>
      <c r="H68" s="146" t="s">
        <v>1330</v>
      </c>
    </row>
    <row r="69" spans="1:8" x14ac:dyDescent="0.25">
      <c r="A69" s="145">
        <v>8420421086223</v>
      </c>
      <c r="B69" s="127">
        <v>23</v>
      </c>
      <c r="C69" s="3" t="s">
        <v>101</v>
      </c>
      <c r="D69" t="s">
        <v>99</v>
      </c>
      <c r="E69" s="127" t="s">
        <v>36</v>
      </c>
      <c r="F69" s="4">
        <v>39</v>
      </c>
    </row>
    <row r="70" spans="1:8" x14ac:dyDescent="0.25">
      <c r="A70" s="150">
        <v>8420421086223</v>
      </c>
      <c r="B70" s="147">
        <v>23</v>
      </c>
      <c r="C70" s="148" t="s">
        <v>101</v>
      </c>
      <c r="D70" s="146" t="s">
        <v>99</v>
      </c>
      <c r="E70" s="147" t="s">
        <v>5</v>
      </c>
      <c r="F70" s="149">
        <v>13</v>
      </c>
      <c r="G70" s="146">
        <v>19.95</v>
      </c>
      <c r="H70" s="146" t="s">
        <v>948</v>
      </c>
    </row>
    <row r="71" spans="1:8" x14ac:dyDescent="0.25">
      <c r="A71" s="145">
        <v>8420421086292</v>
      </c>
      <c r="B71" s="127">
        <v>23</v>
      </c>
      <c r="C71" s="3" t="s">
        <v>102</v>
      </c>
      <c r="D71" t="s">
        <v>99</v>
      </c>
      <c r="E71" s="127" t="s">
        <v>36</v>
      </c>
      <c r="F71" s="4">
        <v>39</v>
      </c>
    </row>
    <row r="72" spans="1:8" x14ac:dyDescent="0.25">
      <c r="A72" s="150">
        <v>8420421086292</v>
      </c>
      <c r="B72" s="147">
        <v>23</v>
      </c>
      <c r="C72" s="148" t="s">
        <v>102</v>
      </c>
      <c r="D72" s="146" t="s">
        <v>99</v>
      </c>
      <c r="E72" s="147" t="s">
        <v>5</v>
      </c>
      <c r="F72" s="149">
        <v>13</v>
      </c>
      <c r="G72" s="146">
        <v>19.95</v>
      </c>
      <c r="H72" s="146" t="s">
        <v>942</v>
      </c>
    </row>
    <row r="73" spans="1:8" x14ac:dyDescent="0.25">
      <c r="A73" s="145" t="s">
        <v>103</v>
      </c>
      <c r="B73" s="127" t="s">
        <v>1312</v>
      </c>
      <c r="C73" s="3" t="s">
        <v>104</v>
      </c>
      <c r="D73" t="s">
        <v>105</v>
      </c>
      <c r="E73" s="127" t="s">
        <v>4</v>
      </c>
      <c r="F73" s="155">
        <v>18.899999999999999</v>
      </c>
      <c r="G73" s="156"/>
    </row>
    <row r="74" spans="1:8" x14ac:dyDescent="0.25">
      <c r="A74" s="150" t="s">
        <v>103</v>
      </c>
      <c r="B74" s="147" t="s">
        <v>1312</v>
      </c>
      <c r="C74" s="148" t="s">
        <v>104</v>
      </c>
      <c r="D74" s="146" t="s">
        <v>105</v>
      </c>
      <c r="E74" s="147" t="s">
        <v>5</v>
      </c>
      <c r="F74" s="155">
        <v>3.15</v>
      </c>
      <c r="G74" s="156">
        <v>4.95</v>
      </c>
      <c r="H74" s="146" t="s">
        <v>948</v>
      </c>
    </row>
    <row r="75" spans="1:8" x14ac:dyDescent="0.25">
      <c r="A75" s="145" t="s">
        <v>106</v>
      </c>
      <c r="B75" s="127" t="s">
        <v>1312</v>
      </c>
      <c r="C75" s="3" t="s">
        <v>107</v>
      </c>
      <c r="D75" t="s">
        <v>108</v>
      </c>
      <c r="E75" s="127" t="s">
        <v>4</v>
      </c>
      <c r="F75" s="155">
        <v>18.899999999999999</v>
      </c>
      <c r="G75" s="156"/>
    </row>
    <row r="76" spans="1:8" x14ac:dyDescent="0.25">
      <c r="A76" s="150" t="s">
        <v>106</v>
      </c>
      <c r="B76" s="147" t="s">
        <v>1312</v>
      </c>
      <c r="C76" s="148" t="s">
        <v>107</v>
      </c>
      <c r="D76" s="146" t="s">
        <v>108</v>
      </c>
      <c r="E76" s="147" t="s">
        <v>5</v>
      </c>
      <c r="F76" s="155">
        <v>3.15</v>
      </c>
      <c r="G76" s="156">
        <v>4.95</v>
      </c>
      <c r="H76" s="146" t="s">
        <v>1263</v>
      </c>
    </row>
    <row r="77" spans="1:8" x14ac:dyDescent="0.25">
      <c r="A77" s="145" t="s">
        <v>109</v>
      </c>
      <c r="B77" s="127" t="s">
        <v>1312</v>
      </c>
      <c r="C77" s="3" t="s">
        <v>110</v>
      </c>
      <c r="D77" t="s">
        <v>111</v>
      </c>
      <c r="E77" s="127" t="s">
        <v>4</v>
      </c>
      <c r="F77" s="155">
        <v>18.899999999999999</v>
      </c>
      <c r="G77" s="156"/>
    </row>
    <row r="78" spans="1:8" x14ac:dyDescent="0.25">
      <c r="A78" s="150" t="s">
        <v>109</v>
      </c>
      <c r="B78" s="147" t="s">
        <v>1312</v>
      </c>
      <c r="C78" s="148" t="s">
        <v>110</v>
      </c>
      <c r="D78" s="146" t="s">
        <v>111</v>
      </c>
      <c r="E78" s="147" t="s">
        <v>5</v>
      </c>
      <c r="F78" s="155">
        <v>3.15</v>
      </c>
      <c r="G78" s="156">
        <v>4.95</v>
      </c>
      <c r="H78" s="146" t="s">
        <v>1325</v>
      </c>
    </row>
    <row r="79" spans="1:8" x14ac:dyDescent="0.25">
      <c r="A79" s="145" t="s">
        <v>112</v>
      </c>
      <c r="B79" s="127" t="s">
        <v>1312</v>
      </c>
      <c r="C79" s="3" t="s">
        <v>113</v>
      </c>
      <c r="D79" t="s">
        <v>114</v>
      </c>
      <c r="E79" s="127" t="s">
        <v>4</v>
      </c>
      <c r="F79" s="155">
        <v>18.899999999999999</v>
      </c>
      <c r="G79" s="156"/>
    </row>
    <row r="80" spans="1:8" x14ac:dyDescent="0.25">
      <c r="A80" s="150" t="s">
        <v>112</v>
      </c>
      <c r="B80" s="147" t="s">
        <v>1312</v>
      </c>
      <c r="C80" s="148" t="s">
        <v>113</v>
      </c>
      <c r="D80" s="146" t="s">
        <v>114</v>
      </c>
      <c r="E80" s="147" t="s">
        <v>5</v>
      </c>
      <c r="F80" s="155">
        <v>3.15</v>
      </c>
      <c r="G80" s="156">
        <v>4.95</v>
      </c>
      <c r="H80" s="146" t="s">
        <v>948</v>
      </c>
    </row>
    <row r="81" spans="1:8" x14ac:dyDescent="0.25">
      <c r="A81" s="145" t="s">
        <v>115</v>
      </c>
      <c r="B81" s="127" t="s">
        <v>1312</v>
      </c>
      <c r="C81" s="3" t="s">
        <v>116</v>
      </c>
      <c r="D81" t="s">
        <v>117</v>
      </c>
      <c r="E81" s="127" t="s">
        <v>4</v>
      </c>
      <c r="F81" s="155">
        <v>18.899999999999999</v>
      </c>
      <c r="G81" s="156"/>
    </row>
    <row r="82" spans="1:8" x14ac:dyDescent="0.25">
      <c r="A82" s="150" t="s">
        <v>115</v>
      </c>
      <c r="B82" s="147" t="s">
        <v>1312</v>
      </c>
      <c r="C82" s="148" t="s">
        <v>116</v>
      </c>
      <c r="D82" s="146" t="s">
        <v>117</v>
      </c>
      <c r="E82" s="147" t="s">
        <v>5</v>
      </c>
      <c r="F82" s="155">
        <v>3.15</v>
      </c>
      <c r="G82" s="156">
        <v>4.95</v>
      </c>
      <c r="H82" s="146" t="s">
        <v>1263</v>
      </c>
    </row>
    <row r="83" spans="1:8" x14ac:dyDescent="0.25">
      <c r="A83" s="145" t="s">
        <v>118</v>
      </c>
      <c r="B83" s="127" t="s">
        <v>1312</v>
      </c>
      <c r="C83" s="3" t="s">
        <v>119</v>
      </c>
      <c r="D83" t="s">
        <v>120</v>
      </c>
      <c r="E83" s="127" t="s">
        <v>4</v>
      </c>
      <c r="F83" s="155">
        <v>18.899999999999999</v>
      </c>
      <c r="G83" s="156"/>
    </row>
    <row r="84" spans="1:8" x14ac:dyDescent="0.25">
      <c r="A84" s="150" t="s">
        <v>118</v>
      </c>
      <c r="B84" s="147" t="s">
        <v>1312</v>
      </c>
      <c r="C84" s="148" t="s">
        <v>119</v>
      </c>
      <c r="D84" s="146" t="s">
        <v>120</v>
      </c>
      <c r="E84" s="147" t="s">
        <v>5</v>
      </c>
      <c r="F84" s="155">
        <v>3.15</v>
      </c>
      <c r="G84" s="156">
        <v>4.95</v>
      </c>
      <c r="H84" s="146" t="s">
        <v>1325</v>
      </c>
    </row>
    <row r="85" spans="1:8" x14ac:dyDescent="0.25">
      <c r="A85" s="145">
        <v>8420421086254</v>
      </c>
      <c r="B85" s="127">
        <v>23</v>
      </c>
      <c r="C85" s="3" t="s">
        <v>121</v>
      </c>
      <c r="D85" t="s">
        <v>122</v>
      </c>
      <c r="E85" s="127" t="s">
        <v>66</v>
      </c>
      <c r="F85" s="155">
        <v>66</v>
      </c>
      <c r="G85" s="156"/>
    </row>
    <row r="86" spans="1:8" x14ac:dyDescent="0.25">
      <c r="A86" s="150">
        <v>8420421086254</v>
      </c>
      <c r="B86" s="147">
        <v>23</v>
      </c>
      <c r="C86" s="148" t="s">
        <v>121</v>
      </c>
      <c r="D86" s="146" t="s">
        <v>122</v>
      </c>
      <c r="E86" s="147" t="s">
        <v>5</v>
      </c>
      <c r="F86" s="155">
        <v>5.5</v>
      </c>
      <c r="G86" s="156">
        <v>8.9499999999999993</v>
      </c>
      <c r="H86" s="146" t="s">
        <v>1325</v>
      </c>
    </row>
    <row r="87" spans="1:8" x14ac:dyDescent="0.25">
      <c r="A87" s="145" t="s">
        <v>123</v>
      </c>
      <c r="B87" s="127" t="s">
        <v>1312</v>
      </c>
      <c r="C87" s="3" t="s">
        <v>124</v>
      </c>
      <c r="D87" t="s">
        <v>125</v>
      </c>
      <c r="E87" s="127" t="s">
        <v>66</v>
      </c>
      <c r="F87" s="4">
        <v>29</v>
      </c>
    </row>
    <row r="88" spans="1:8" x14ac:dyDescent="0.25">
      <c r="A88" s="150" t="s">
        <v>123</v>
      </c>
      <c r="B88" s="147" t="s">
        <v>1312</v>
      </c>
      <c r="C88" s="148" t="s">
        <v>124</v>
      </c>
      <c r="D88" s="146" t="s">
        <v>125</v>
      </c>
      <c r="E88" s="147" t="s">
        <v>5</v>
      </c>
      <c r="F88" s="149">
        <v>2.4169999999999998</v>
      </c>
      <c r="G88" s="146">
        <v>3.95</v>
      </c>
      <c r="H88" s="146"/>
    </row>
    <row r="89" spans="1:8" x14ac:dyDescent="0.25">
      <c r="A89" s="145" t="s">
        <v>126</v>
      </c>
      <c r="B89" s="127" t="s">
        <v>1312</v>
      </c>
      <c r="C89" s="3" t="s">
        <v>127</v>
      </c>
      <c r="D89" t="s">
        <v>128</v>
      </c>
      <c r="E89" s="127" t="s">
        <v>66</v>
      </c>
      <c r="F89" s="4">
        <v>39</v>
      </c>
    </row>
    <row r="90" spans="1:8" x14ac:dyDescent="0.25">
      <c r="A90" s="150" t="s">
        <v>126</v>
      </c>
      <c r="B90" s="147" t="s">
        <v>1312</v>
      </c>
      <c r="C90" s="148" t="s">
        <v>127</v>
      </c>
      <c r="D90" s="146" t="s">
        <v>128</v>
      </c>
      <c r="E90" s="147" t="s">
        <v>5</v>
      </c>
      <c r="F90" s="149">
        <v>3.25</v>
      </c>
      <c r="G90" s="146">
        <v>4.95</v>
      </c>
      <c r="H90" s="146"/>
    </row>
    <row r="91" spans="1:8" x14ac:dyDescent="0.25">
      <c r="A91" s="145" t="s">
        <v>129</v>
      </c>
      <c r="B91" s="127" t="s">
        <v>1312</v>
      </c>
      <c r="C91" s="3" t="s">
        <v>130</v>
      </c>
      <c r="D91" t="s">
        <v>131</v>
      </c>
      <c r="E91" s="127" t="s">
        <v>4</v>
      </c>
      <c r="F91" s="4">
        <v>42</v>
      </c>
    </row>
    <row r="92" spans="1:8" x14ac:dyDescent="0.25">
      <c r="A92" s="150" t="s">
        <v>129</v>
      </c>
      <c r="B92" s="147" t="s">
        <v>1312</v>
      </c>
      <c r="C92" s="148" t="s">
        <v>130</v>
      </c>
      <c r="D92" s="146" t="s">
        <v>131</v>
      </c>
      <c r="E92" s="147" t="s">
        <v>5</v>
      </c>
      <c r="F92" s="149">
        <v>7</v>
      </c>
      <c r="G92" s="146">
        <v>10.95</v>
      </c>
      <c r="H92" s="146" t="s">
        <v>948</v>
      </c>
    </row>
    <row r="93" spans="1:8" x14ac:dyDescent="0.25">
      <c r="A93" s="145" t="s">
        <v>132</v>
      </c>
      <c r="B93" s="127" t="s">
        <v>1312</v>
      </c>
      <c r="C93" s="3" t="s">
        <v>133</v>
      </c>
      <c r="D93" t="s">
        <v>131</v>
      </c>
      <c r="E93" s="127" t="s">
        <v>4</v>
      </c>
      <c r="F93" s="4">
        <v>42</v>
      </c>
    </row>
    <row r="94" spans="1:8" x14ac:dyDescent="0.25">
      <c r="A94" s="150" t="s">
        <v>132</v>
      </c>
      <c r="B94" s="147" t="s">
        <v>1312</v>
      </c>
      <c r="C94" s="148" t="s">
        <v>133</v>
      </c>
      <c r="D94" s="146" t="s">
        <v>131</v>
      </c>
      <c r="E94" s="147" t="s">
        <v>5</v>
      </c>
      <c r="F94" s="149">
        <v>7</v>
      </c>
      <c r="G94" s="146">
        <v>10.95</v>
      </c>
      <c r="H94" s="146" t="s">
        <v>1325</v>
      </c>
    </row>
    <row r="95" spans="1:8" x14ac:dyDescent="0.25">
      <c r="A95" s="145" t="s">
        <v>134</v>
      </c>
      <c r="B95" s="127" t="s">
        <v>1312</v>
      </c>
      <c r="C95" s="3" t="s">
        <v>135</v>
      </c>
      <c r="D95" t="s">
        <v>136</v>
      </c>
      <c r="E95" s="127" t="s">
        <v>4</v>
      </c>
      <c r="F95" s="155">
        <v>26.1</v>
      </c>
      <c r="G95" s="156"/>
    </row>
    <row r="96" spans="1:8" x14ac:dyDescent="0.25">
      <c r="A96" s="150" t="s">
        <v>134</v>
      </c>
      <c r="B96" s="147" t="s">
        <v>1312</v>
      </c>
      <c r="C96" s="148" t="s">
        <v>135</v>
      </c>
      <c r="D96" s="146" t="s">
        <v>136</v>
      </c>
      <c r="E96" s="147" t="s">
        <v>5</v>
      </c>
      <c r="F96" s="155">
        <v>4.3499999999999996</v>
      </c>
      <c r="G96" s="156">
        <v>6.95</v>
      </c>
      <c r="H96" s="146" t="s">
        <v>948</v>
      </c>
    </row>
    <row r="97" spans="1:8" x14ac:dyDescent="0.25">
      <c r="A97" s="145" t="s">
        <v>137</v>
      </c>
      <c r="B97" s="127" t="s">
        <v>1312</v>
      </c>
      <c r="C97" s="3" t="s">
        <v>138</v>
      </c>
      <c r="D97" t="s">
        <v>139</v>
      </c>
      <c r="E97" s="127" t="s">
        <v>36</v>
      </c>
      <c r="F97" s="155">
        <v>37.5</v>
      </c>
      <c r="G97" s="156"/>
    </row>
    <row r="98" spans="1:8" x14ac:dyDescent="0.25">
      <c r="A98" s="150" t="s">
        <v>137</v>
      </c>
      <c r="B98" s="147" t="s">
        <v>1312</v>
      </c>
      <c r="C98" s="148" t="s">
        <v>138</v>
      </c>
      <c r="D98" s="146" t="s">
        <v>139</v>
      </c>
      <c r="E98" s="147" t="s">
        <v>5</v>
      </c>
      <c r="F98" s="155">
        <v>12.5</v>
      </c>
      <c r="G98" s="156">
        <v>19.95</v>
      </c>
      <c r="H98" s="146" t="s">
        <v>1331</v>
      </c>
    </row>
    <row r="99" spans="1:8" x14ac:dyDescent="0.25">
      <c r="A99" s="145" t="s">
        <v>140</v>
      </c>
      <c r="B99" s="127" t="s">
        <v>1312</v>
      </c>
      <c r="C99" s="3" t="s">
        <v>141</v>
      </c>
      <c r="D99" t="s">
        <v>142</v>
      </c>
      <c r="E99" s="127" t="s">
        <v>36</v>
      </c>
      <c r="F99" s="155">
        <v>37.5</v>
      </c>
      <c r="G99" s="156"/>
    </row>
    <row r="100" spans="1:8" x14ac:dyDescent="0.25">
      <c r="A100" s="150" t="s">
        <v>140</v>
      </c>
      <c r="B100" s="147" t="s">
        <v>1312</v>
      </c>
      <c r="C100" s="148" t="s">
        <v>141</v>
      </c>
      <c r="D100" s="146" t="s">
        <v>142</v>
      </c>
      <c r="E100" s="147" t="s">
        <v>5</v>
      </c>
      <c r="F100" s="155">
        <v>12.5</v>
      </c>
      <c r="G100" s="156">
        <v>19.95</v>
      </c>
      <c r="H100" s="146" t="s">
        <v>1332</v>
      </c>
    </row>
    <row r="101" spans="1:8" x14ac:dyDescent="0.25">
      <c r="A101" s="145" t="s">
        <v>143</v>
      </c>
      <c r="B101" s="127" t="s">
        <v>1312</v>
      </c>
      <c r="C101" s="3" t="s">
        <v>144</v>
      </c>
      <c r="D101" t="s">
        <v>145</v>
      </c>
      <c r="E101" s="127" t="s">
        <v>36</v>
      </c>
      <c r="F101" s="155">
        <v>37.5</v>
      </c>
      <c r="G101" s="156"/>
    </row>
    <row r="102" spans="1:8" x14ac:dyDescent="0.25">
      <c r="A102" s="150" t="s">
        <v>143</v>
      </c>
      <c r="B102" s="147" t="s">
        <v>1312</v>
      </c>
      <c r="C102" s="148" t="s">
        <v>144</v>
      </c>
      <c r="D102" s="146" t="s">
        <v>145</v>
      </c>
      <c r="E102" s="147" t="s">
        <v>5</v>
      </c>
      <c r="F102" s="155">
        <v>12.5</v>
      </c>
      <c r="G102" s="156">
        <v>19.95</v>
      </c>
      <c r="H102" s="146" t="s">
        <v>1333</v>
      </c>
    </row>
    <row r="103" spans="1:8" x14ac:dyDescent="0.25">
      <c r="A103" s="145" t="s">
        <v>146</v>
      </c>
      <c r="B103" s="127" t="s">
        <v>1312</v>
      </c>
      <c r="C103" s="3" t="s">
        <v>147</v>
      </c>
      <c r="D103" t="s">
        <v>148</v>
      </c>
      <c r="E103" s="127" t="s">
        <v>4</v>
      </c>
      <c r="F103" s="155">
        <v>26.1</v>
      </c>
      <c r="G103" s="156"/>
    </row>
    <row r="104" spans="1:8" x14ac:dyDescent="0.25">
      <c r="A104" s="150" t="s">
        <v>146</v>
      </c>
      <c r="B104" s="147" t="s">
        <v>1312</v>
      </c>
      <c r="C104" s="148" t="s">
        <v>147</v>
      </c>
      <c r="D104" s="146" t="s">
        <v>148</v>
      </c>
      <c r="E104" s="147" t="s">
        <v>5</v>
      </c>
      <c r="F104" s="155">
        <v>4.3499999999999996</v>
      </c>
      <c r="G104" s="156">
        <v>6.95</v>
      </c>
      <c r="H104" s="146" t="s">
        <v>948</v>
      </c>
    </row>
    <row r="105" spans="1:8" x14ac:dyDescent="0.25">
      <c r="A105" s="145" t="s">
        <v>149</v>
      </c>
      <c r="B105" s="127" t="s">
        <v>1312</v>
      </c>
      <c r="C105" s="3" t="s">
        <v>150</v>
      </c>
      <c r="D105" t="s">
        <v>151</v>
      </c>
      <c r="E105" s="127" t="s">
        <v>4</v>
      </c>
      <c r="F105" s="155">
        <v>25.5</v>
      </c>
      <c r="G105" s="156"/>
    </row>
    <row r="106" spans="1:8" x14ac:dyDescent="0.25">
      <c r="A106" s="150" t="s">
        <v>149</v>
      </c>
      <c r="B106" s="147" t="s">
        <v>1312</v>
      </c>
      <c r="C106" s="148" t="s">
        <v>150</v>
      </c>
      <c r="D106" s="146" t="s">
        <v>151</v>
      </c>
      <c r="E106" s="147" t="s">
        <v>5</v>
      </c>
      <c r="F106" s="155">
        <v>4.25</v>
      </c>
      <c r="G106" s="156">
        <v>6.95</v>
      </c>
      <c r="H106" s="146"/>
    </row>
    <row r="107" spans="1:8" x14ac:dyDescent="0.25">
      <c r="A107" s="145" t="s">
        <v>152</v>
      </c>
      <c r="B107" s="127" t="s">
        <v>1312</v>
      </c>
      <c r="C107" s="3" t="s">
        <v>153</v>
      </c>
      <c r="D107" t="s">
        <v>1334</v>
      </c>
      <c r="E107" s="127" t="s">
        <v>4</v>
      </c>
      <c r="F107" s="4">
        <v>105</v>
      </c>
    </row>
    <row r="108" spans="1:8" x14ac:dyDescent="0.25">
      <c r="A108" s="150" t="s">
        <v>152</v>
      </c>
      <c r="B108" s="147" t="s">
        <v>1312</v>
      </c>
      <c r="C108" s="148" t="s">
        <v>153</v>
      </c>
      <c r="D108" s="146" t="s">
        <v>1334</v>
      </c>
      <c r="E108" s="147" t="s">
        <v>5</v>
      </c>
      <c r="F108" s="149">
        <v>17.5</v>
      </c>
      <c r="G108" s="146">
        <v>27.95</v>
      </c>
      <c r="H108" s="146"/>
    </row>
    <row r="109" spans="1:8" x14ac:dyDescent="0.25">
      <c r="A109" s="145" t="s">
        <v>154</v>
      </c>
      <c r="B109" s="127" t="s">
        <v>1312</v>
      </c>
      <c r="C109" s="3" t="s">
        <v>155</v>
      </c>
      <c r="D109" t="s">
        <v>156</v>
      </c>
      <c r="E109" s="127" t="s">
        <v>4</v>
      </c>
      <c r="F109" s="4">
        <v>106</v>
      </c>
    </row>
    <row r="110" spans="1:8" x14ac:dyDescent="0.25">
      <c r="A110" s="150" t="s">
        <v>154</v>
      </c>
      <c r="B110" s="147" t="s">
        <v>1312</v>
      </c>
      <c r="C110" s="148" t="s">
        <v>155</v>
      </c>
      <c r="D110" s="146" t="s">
        <v>156</v>
      </c>
      <c r="E110" s="147" t="s">
        <v>5</v>
      </c>
      <c r="F110" s="149">
        <v>17.667000000000002</v>
      </c>
      <c r="G110" s="146">
        <v>27.95</v>
      </c>
      <c r="H110" s="146"/>
    </row>
    <row r="111" spans="1:8" x14ac:dyDescent="0.25">
      <c r="A111" s="145" t="s">
        <v>157</v>
      </c>
      <c r="B111" s="127" t="s">
        <v>1312</v>
      </c>
      <c r="C111" s="3" t="s">
        <v>158</v>
      </c>
      <c r="D111" t="s">
        <v>1335</v>
      </c>
      <c r="E111" s="127" t="s">
        <v>4</v>
      </c>
      <c r="F111" s="155">
        <v>37.200000000000003</v>
      </c>
      <c r="G111" s="156"/>
    </row>
    <row r="112" spans="1:8" x14ac:dyDescent="0.25">
      <c r="A112" s="150" t="s">
        <v>157</v>
      </c>
      <c r="B112" s="147" t="s">
        <v>1312</v>
      </c>
      <c r="C112" s="148" t="s">
        <v>158</v>
      </c>
      <c r="D112" s="146" t="s">
        <v>1335</v>
      </c>
      <c r="E112" s="147" t="s">
        <v>5</v>
      </c>
      <c r="F112" s="155">
        <v>6.2</v>
      </c>
      <c r="G112" s="156">
        <v>9.9499999999999993</v>
      </c>
      <c r="H112" s="146"/>
    </row>
    <row r="113" spans="1:8" x14ac:dyDescent="0.25">
      <c r="A113" s="145" t="s">
        <v>159</v>
      </c>
      <c r="B113" s="127" t="s">
        <v>1312</v>
      </c>
      <c r="C113" s="3" t="s">
        <v>160</v>
      </c>
      <c r="D113" t="s">
        <v>1336</v>
      </c>
      <c r="E113" s="127" t="s">
        <v>4</v>
      </c>
      <c r="F113" s="155">
        <v>33</v>
      </c>
      <c r="G113" s="156"/>
    </row>
    <row r="114" spans="1:8" x14ac:dyDescent="0.25">
      <c r="A114" s="150" t="s">
        <v>159</v>
      </c>
      <c r="B114" s="147" t="s">
        <v>1312</v>
      </c>
      <c r="C114" s="148" t="s">
        <v>160</v>
      </c>
      <c r="D114" s="146" t="s">
        <v>1336</v>
      </c>
      <c r="E114" s="147" t="s">
        <v>5</v>
      </c>
      <c r="F114" s="155">
        <v>5.5</v>
      </c>
      <c r="G114" s="156">
        <v>8.9499999999999993</v>
      </c>
      <c r="H114" s="146"/>
    </row>
    <row r="115" spans="1:8" x14ac:dyDescent="0.25">
      <c r="A115" s="145" t="s">
        <v>161</v>
      </c>
      <c r="B115" s="127" t="s">
        <v>1312</v>
      </c>
      <c r="C115" s="3" t="s">
        <v>162</v>
      </c>
      <c r="D115" t="s">
        <v>1337</v>
      </c>
      <c r="E115" s="127" t="s">
        <v>4</v>
      </c>
      <c r="F115" s="155">
        <v>60</v>
      </c>
      <c r="G115" s="156"/>
    </row>
    <row r="116" spans="1:8" x14ac:dyDescent="0.25">
      <c r="A116" s="150" t="s">
        <v>161</v>
      </c>
      <c r="B116" s="147" t="s">
        <v>1312</v>
      </c>
      <c r="C116" s="148" t="s">
        <v>162</v>
      </c>
      <c r="D116" s="146" t="s">
        <v>1337</v>
      </c>
      <c r="E116" s="147" t="s">
        <v>5</v>
      </c>
      <c r="F116" s="155">
        <v>10</v>
      </c>
      <c r="G116" s="156">
        <v>15.95</v>
      </c>
      <c r="H116" s="146"/>
    </row>
    <row r="117" spans="1:8" x14ac:dyDescent="0.25">
      <c r="A117" s="145" t="s">
        <v>163</v>
      </c>
      <c r="B117" s="127" t="s">
        <v>1312</v>
      </c>
      <c r="C117" s="3" t="s">
        <v>164</v>
      </c>
      <c r="D117" t="s">
        <v>165</v>
      </c>
      <c r="E117" s="127" t="s">
        <v>4</v>
      </c>
      <c r="F117" s="155">
        <f>F118*6</f>
        <v>37.200000000000003</v>
      </c>
      <c r="G117" s="156"/>
    </row>
    <row r="118" spans="1:8" x14ac:dyDescent="0.25">
      <c r="A118" s="150" t="s">
        <v>163</v>
      </c>
      <c r="B118" s="147" t="s">
        <v>1312</v>
      </c>
      <c r="C118" s="148" t="s">
        <v>164</v>
      </c>
      <c r="D118" s="146" t="s">
        <v>165</v>
      </c>
      <c r="E118" s="147" t="s">
        <v>5</v>
      </c>
      <c r="F118" s="155">
        <v>6.2</v>
      </c>
      <c r="G118" s="156">
        <v>9.9499999999999993</v>
      </c>
      <c r="H118" s="146"/>
    </row>
    <row r="119" spans="1:8" x14ac:dyDescent="0.25">
      <c r="A119" s="145" t="s">
        <v>166</v>
      </c>
      <c r="B119" s="127" t="s">
        <v>1312</v>
      </c>
      <c r="C119" s="3" t="s">
        <v>167</v>
      </c>
      <c r="D119" t="s">
        <v>168</v>
      </c>
      <c r="E119" s="127" t="s">
        <v>4</v>
      </c>
      <c r="F119" s="155">
        <f>F120*6</f>
        <v>37.799999999999997</v>
      </c>
      <c r="G119" s="156"/>
    </row>
    <row r="120" spans="1:8" x14ac:dyDescent="0.25">
      <c r="A120" s="150" t="s">
        <v>166</v>
      </c>
      <c r="B120" s="147" t="s">
        <v>1312</v>
      </c>
      <c r="C120" s="148" t="s">
        <v>167</v>
      </c>
      <c r="D120" s="146" t="s">
        <v>168</v>
      </c>
      <c r="E120" s="147" t="s">
        <v>5</v>
      </c>
      <c r="F120" s="155">
        <v>6.3</v>
      </c>
      <c r="G120" s="156">
        <v>9.9499999999999993</v>
      </c>
      <c r="H120" s="146"/>
    </row>
    <row r="121" spans="1:8" x14ac:dyDescent="0.25">
      <c r="A121" s="145" t="s">
        <v>169</v>
      </c>
      <c r="B121" s="127" t="s">
        <v>1312</v>
      </c>
      <c r="C121" s="3" t="s">
        <v>170</v>
      </c>
      <c r="D121" t="s">
        <v>171</v>
      </c>
      <c r="E121" s="127" t="s">
        <v>4</v>
      </c>
      <c r="F121" s="155">
        <v>87</v>
      </c>
      <c r="G121" s="156"/>
    </row>
    <row r="122" spans="1:8" x14ac:dyDescent="0.25">
      <c r="A122" s="150" t="s">
        <v>169</v>
      </c>
      <c r="B122" s="147" t="s">
        <v>1312</v>
      </c>
      <c r="C122" s="148" t="s">
        <v>170</v>
      </c>
      <c r="D122" s="146" t="s">
        <v>171</v>
      </c>
      <c r="E122" s="147" t="s">
        <v>5</v>
      </c>
      <c r="F122" s="155">
        <v>14.5</v>
      </c>
      <c r="G122" s="156">
        <v>22.95</v>
      </c>
      <c r="H122" s="146"/>
    </row>
    <row r="123" spans="1:8" x14ac:dyDescent="0.25">
      <c r="A123" s="145" t="s">
        <v>172</v>
      </c>
      <c r="B123" s="127" t="s">
        <v>1312</v>
      </c>
      <c r="C123" s="3" t="s">
        <v>173</v>
      </c>
      <c r="D123" t="s">
        <v>174</v>
      </c>
      <c r="E123" s="127" t="s">
        <v>66</v>
      </c>
      <c r="F123" s="155">
        <v>60</v>
      </c>
      <c r="G123" s="156"/>
    </row>
    <row r="124" spans="1:8" x14ac:dyDescent="0.25">
      <c r="A124" s="150" t="s">
        <v>172</v>
      </c>
      <c r="B124" s="147" t="s">
        <v>1312</v>
      </c>
      <c r="C124" s="148" t="s">
        <v>173</v>
      </c>
      <c r="D124" s="146" t="s">
        <v>174</v>
      </c>
      <c r="E124" s="147" t="s">
        <v>5</v>
      </c>
      <c r="F124" s="155">
        <v>5</v>
      </c>
      <c r="G124" s="156">
        <v>7.95</v>
      </c>
      <c r="H124" s="146"/>
    </row>
    <row r="125" spans="1:8" x14ac:dyDescent="0.25">
      <c r="A125" s="145" t="s">
        <v>175</v>
      </c>
      <c r="B125" s="127" t="s">
        <v>1312</v>
      </c>
      <c r="C125" s="3" t="s">
        <v>176</v>
      </c>
      <c r="D125" t="s">
        <v>177</v>
      </c>
      <c r="E125" s="127" t="s">
        <v>1313</v>
      </c>
      <c r="F125" s="155">
        <f>F126*24</f>
        <v>72</v>
      </c>
      <c r="G125" s="156"/>
    </row>
    <row r="126" spans="1:8" x14ac:dyDescent="0.25">
      <c r="A126" s="150" t="s">
        <v>175</v>
      </c>
      <c r="B126" s="147" t="s">
        <v>1312</v>
      </c>
      <c r="C126" s="148" t="s">
        <v>176</v>
      </c>
      <c r="D126" s="146" t="s">
        <v>177</v>
      </c>
      <c r="E126" s="147" t="s">
        <v>5</v>
      </c>
      <c r="F126" s="155">
        <v>3</v>
      </c>
      <c r="G126" s="156">
        <v>4.95</v>
      </c>
      <c r="H126" s="146"/>
    </row>
    <row r="127" spans="1:8" x14ac:dyDescent="0.25">
      <c r="A127" s="145" t="s">
        <v>178</v>
      </c>
      <c r="B127" s="127" t="s">
        <v>1312</v>
      </c>
      <c r="C127" s="3" t="s">
        <v>179</v>
      </c>
      <c r="D127" t="s">
        <v>180</v>
      </c>
      <c r="E127" s="127" t="s">
        <v>66</v>
      </c>
      <c r="F127" s="155">
        <v>51.6</v>
      </c>
      <c r="G127" s="156"/>
    </row>
    <row r="128" spans="1:8" x14ac:dyDescent="0.25">
      <c r="A128" s="150" t="s">
        <v>178</v>
      </c>
      <c r="B128" s="147" t="s">
        <v>1312</v>
      </c>
      <c r="C128" s="148" t="s">
        <v>179</v>
      </c>
      <c r="D128" s="146" t="s">
        <v>180</v>
      </c>
      <c r="E128" s="147" t="s">
        <v>5</v>
      </c>
      <c r="F128" s="155">
        <v>4.3</v>
      </c>
      <c r="G128" s="156">
        <v>6.95</v>
      </c>
      <c r="H128" s="146" t="s">
        <v>1263</v>
      </c>
    </row>
    <row r="129" spans="1:8" x14ac:dyDescent="0.25">
      <c r="A129" s="145" t="s">
        <v>181</v>
      </c>
      <c r="B129" s="127" t="s">
        <v>1312</v>
      </c>
      <c r="C129" s="3" t="s">
        <v>182</v>
      </c>
      <c r="D129" t="s">
        <v>183</v>
      </c>
      <c r="E129" s="127" t="s">
        <v>66</v>
      </c>
      <c r="F129" s="155">
        <v>51</v>
      </c>
      <c r="G129" s="156"/>
    </row>
    <row r="130" spans="1:8" x14ac:dyDescent="0.25">
      <c r="A130" s="150" t="s">
        <v>181</v>
      </c>
      <c r="B130" s="147" t="s">
        <v>1312</v>
      </c>
      <c r="C130" s="148" t="s">
        <v>182</v>
      </c>
      <c r="D130" s="146" t="s">
        <v>183</v>
      </c>
      <c r="E130" s="147" t="s">
        <v>5</v>
      </c>
      <c r="F130" s="155">
        <v>3.75</v>
      </c>
      <c r="G130" s="156">
        <v>5.95</v>
      </c>
      <c r="H130" s="146"/>
    </row>
    <row r="131" spans="1:8" x14ac:dyDescent="0.25">
      <c r="A131" s="145" t="s">
        <v>184</v>
      </c>
      <c r="B131" s="127" t="s">
        <v>1312</v>
      </c>
      <c r="C131" s="3" t="s">
        <v>185</v>
      </c>
      <c r="D131" t="s">
        <v>186</v>
      </c>
      <c r="E131" s="127" t="s">
        <v>4</v>
      </c>
      <c r="F131" s="155">
        <v>102</v>
      </c>
      <c r="G131" s="156"/>
    </row>
    <row r="132" spans="1:8" x14ac:dyDescent="0.25">
      <c r="A132" s="150" t="s">
        <v>184</v>
      </c>
      <c r="B132" s="147" t="s">
        <v>1312</v>
      </c>
      <c r="C132" s="148" t="s">
        <v>185</v>
      </c>
      <c r="D132" s="146" t="s">
        <v>186</v>
      </c>
      <c r="E132" s="147" t="s">
        <v>5</v>
      </c>
      <c r="F132" s="155">
        <v>17</v>
      </c>
      <c r="G132" s="156">
        <v>26.95</v>
      </c>
      <c r="H132" s="146" t="s">
        <v>948</v>
      </c>
    </row>
    <row r="133" spans="1:8" x14ac:dyDescent="0.25">
      <c r="A133" s="145" t="s">
        <v>187</v>
      </c>
      <c r="B133" s="127" t="s">
        <v>1312</v>
      </c>
      <c r="C133" s="3" t="s">
        <v>188</v>
      </c>
      <c r="D133" t="s">
        <v>189</v>
      </c>
      <c r="E133" s="127" t="s">
        <v>4</v>
      </c>
      <c r="F133" s="155">
        <v>102</v>
      </c>
      <c r="G133" s="156"/>
    </row>
    <row r="134" spans="1:8" x14ac:dyDescent="0.25">
      <c r="A134" s="150" t="s">
        <v>187</v>
      </c>
      <c r="B134" s="147" t="s">
        <v>1312</v>
      </c>
      <c r="C134" s="148" t="s">
        <v>188</v>
      </c>
      <c r="D134" s="146" t="s">
        <v>189</v>
      </c>
      <c r="E134" s="147" t="s">
        <v>5</v>
      </c>
      <c r="F134" s="155">
        <v>17</v>
      </c>
      <c r="G134" s="156">
        <v>26.95</v>
      </c>
      <c r="H134" s="146" t="s">
        <v>1263</v>
      </c>
    </row>
    <row r="135" spans="1:8" x14ac:dyDescent="0.25">
      <c r="A135" s="145" t="s">
        <v>190</v>
      </c>
      <c r="B135" s="127" t="s">
        <v>1312</v>
      </c>
      <c r="C135" s="3" t="s">
        <v>191</v>
      </c>
      <c r="D135" t="s">
        <v>192</v>
      </c>
      <c r="E135" s="127" t="s">
        <v>4</v>
      </c>
      <c r="F135" s="155">
        <v>102</v>
      </c>
      <c r="G135" s="156"/>
    </row>
    <row r="136" spans="1:8" x14ac:dyDescent="0.25">
      <c r="A136" s="150" t="s">
        <v>190</v>
      </c>
      <c r="B136" s="147" t="s">
        <v>1312</v>
      </c>
      <c r="C136" s="148" t="s">
        <v>191</v>
      </c>
      <c r="D136" s="146" t="s">
        <v>192</v>
      </c>
      <c r="E136" s="147" t="s">
        <v>5</v>
      </c>
      <c r="F136" s="155">
        <v>17</v>
      </c>
      <c r="G136" s="156">
        <v>26.95</v>
      </c>
      <c r="H136" s="146" t="s">
        <v>1325</v>
      </c>
    </row>
    <row r="137" spans="1:8" x14ac:dyDescent="0.25">
      <c r="A137" s="145" t="s">
        <v>193</v>
      </c>
      <c r="B137" s="127" t="s">
        <v>1312</v>
      </c>
      <c r="C137" s="3" t="s">
        <v>194</v>
      </c>
      <c r="D137" t="s">
        <v>195</v>
      </c>
      <c r="E137" s="127" t="s">
        <v>66</v>
      </c>
      <c r="F137" s="155">
        <v>155.4</v>
      </c>
      <c r="G137" s="156"/>
    </row>
    <row r="138" spans="1:8" x14ac:dyDescent="0.25">
      <c r="A138" s="150" t="s">
        <v>193</v>
      </c>
      <c r="B138" s="147" t="s">
        <v>1312</v>
      </c>
      <c r="C138" s="148" t="s">
        <v>194</v>
      </c>
      <c r="D138" s="146" t="s">
        <v>195</v>
      </c>
      <c r="E138" s="147" t="s">
        <v>5</v>
      </c>
      <c r="F138" s="155">
        <v>12.95</v>
      </c>
      <c r="G138" s="156">
        <v>19.95</v>
      </c>
      <c r="H138" s="146" t="s">
        <v>1263</v>
      </c>
    </row>
    <row r="139" spans="1:8" x14ac:dyDescent="0.25">
      <c r="A139" s="145" t="s">
        <v>196</v>
      </c>
      <c r="B139" s="127" t="s">
        <v>1312</v>
      </c>
      <c r="C139" s="3" t="s">
        <v>197</v>
      </c>
      <c r="D139" t="s">
        <v>198</v>
      </c>
      <c r="E139" s="127" t="s">
        <v>4</v>
      </c>
      <c r="F139" s="155">
        <v>18.600000000000001</v>
      </c>
      <c r="G139" s="156"/>
    </row>
    <row r="140" spans="1:8" x14ac:dyDescent="0.25">
      <c r="A140" s="150" t="s">
        <v>196</v>
      </c>
      <c r="B140" s="147" t="s">
        <v>1312</v>
      </c>
      <c r="C140" s="148" t="s">
        <v>197</v>
      </c>
      <c r="D140" s="146" t="s">
        <v>198</v>
      </c>
      <c r="E140" s="147" t="s">
        <v>5</v>
      </c>
      <c r="F140" s="155">
        <v>3.1</v>
      </c>
      <c r="G140" s="156">
        <v>4.95</v>
      </c>
      <c r="H140" s="146" t="s">
        <v>948</v>
      </c>
    </row>
    <row r="141" spans="1:8" x14ac:dyDescent="0.25">
      <c r="A141" s="145" t="s">
        <v>199</v>
      </c>
      <c r="B141" s="127" t="s">
        <v>1312</v>
      </c>
      <c r="C141" s="3" t="s">
        <v>200</v>
      </c>
      <c r="D141" t="s">
        <v>201</v>
      </c>
      <c r="E141" s="127" t="s">
        <v>4</v>
      </c>
      <c r="F141" s="155">
        <v>18.600000000000001</v>
      </c>
      <c r="G141" s="156"/>
    </row>
    <row r="142" spans="1:8" x14ac:dyDescent="0.25">
      <c r="A142" s="150" t="s">
        <v>199</v>
      </c>
      <c r="B142" s="147" t="s">
        <v>1312</v>
      </c>
      <c r="C142" s="148" t="s">
        <v>200</v>
      </c>
      <c r="D142" s="146" t="s">
        <v>201</v>
      </c>
      <c r="E142" s="147" t="s">
        <v>5</v>
      </c>
      <c r="F142" s="155">
        <v>3.1</v>
      </c>
      <c r="G142" s="156">
        <v>4.95</v>
      </c>
      <c r="H142" s="146" t="s">
        <v>1325</v>
      </c>
    </row>
    <row r="143" spans="1:8" x14ac:dyDescent="0.25">
      <c r="A143" s="145" t="s">
        <v>202</v>
      </c>
      <c r="B143" s="127" t="s">
        <v>1312</v>
      </c>
      <c r="C143" s="3" t="s">
        <v>203</v>
      </c>
      <c r="D143" t="s">
        <v>204</v>
      </c>
      <c r="E143" s="127" t="s">
        <v>4</v>
      </c>
      <c r="F143" s="155">
        <f>F144*6</f>
        <v>190.2</v>
      </c>
      <c r="G143" s="156"/>
    </row>
    <row r="144" spans="1:8" x14ac:dyDescent="0.25">
      <c r="A144" s="150" t="s">
        <v>202</v>
      </c>
      <c r="B144" s="147" t="s">
        <v>1312</v>
      </c>
      <c r="C144" s="148" t="s">
        <v>203</v>
      </c>
      <c r="D144" s="146" t="s">
        <v>204</v>
      </c>
      <c r="E144" s="147" t="s">
        <v>5</v>
      </c>
      <c r="F144" s="155">
        <v>31.7</v>
      </c>
      <c r="G144" s="156">
        <v>49.95</v>
      </c>
      <c r="H144" s="146"/>
    </row>
    <row r="145" spans="1:8" x14ac:dyDescent="0.25">
      <c r="A145" s="145" t="s">
        <v>205</v>
      </c>
      <c r="B145" s="127" t="s">
        <v>1312</v>
      </c>
      <c r="C145" s="3" t="s">
        <v>206</v>
      </c>
      <c r="D145" t="s">
        <v>207</v>
      </c>
      <c r="E145" s="127" t="s">
        <v>32</v>
      </c>
      <c r="F145" s="4">
        <v>100</v>
      </c>
    </row>
    <row r="146" spans="1:8" x14ac:dyDescent="0.25">
      <c r="A146" s="150" t="s">
        <v>205</v>
      </c>
      <c r="B146" s="147" t="s">
        <v>1312</v>
      </c>
      <c r="C146" s="148" t="s">
        <v>206</v>
      </c>
      <c r="D146" s="146" t="s">
        <v>207</v>
      </c>
      <c r="E146" s="147" t="s">
        <v>5</v>
      </c>
      <c r="F146" s="149">
        <v>50</v>
      </c>
      <c r="G146" s="146">
        <v>78.95</v>
      </c>
      <c r="H146" s="146"/>
    </row>
    <row r="147" spans="1:8" x14ac:dyDescent="0.25">
      <c r="A147" s="145" t="s">
        <v>208</v>
      </c>
      <c r="B147" s="127" t="s">
        <v>1312</v>
      </c>
      <c r="C147" s="3" t="s">
        <v>209</v>
      </c>
      <c r="D147" t="s">
        <v>210</v>
      </c>
      <c r="E147" s="127" t="s">
        <v>4</v>
      </c>
      <c r="F147" s="4">
        <v>115</v>
      </c>
    </row>
    <row r="148" spans="1:8" x14ac:dyDescent="0.25">
      <c r="A148" s="150" t="s">
        <v>208</v>
      </c>
      <c r="B148" s="147" t="s">
        <v>1312</v>
      </c>
      <c r="C148" s="148" t="s">
        <v>209</v>
      </c>
      <c r="D148" s="146" t="s">
        <v>210</v>
      </c>
      <c r="E148" s="147" t="s">
        <v>5</v>
      </c>
      <c r="F148" s="149">
        <v>19.167000000000002</v>
      </c>
      <c r="G148" s="146">
        <v>29.95</v>
      </c>
      <c r="H148" s="146" t="s">
        <v>1331</v>
      </c>
    </row>
    <row r="149" spans="1:8" x14ac:dyDescent="0.25">
      <c r="A149" s="145" t="s">
        <v>211</v>
      </c>
      <c r="B149" s="127" t="s">
        <v>1312</v>
      </c>
      <c r="C149" s="3" t="s">
        <v>212</v>
      </c>
      <c r="D149" t="s">
        <v>213</v>
      </c>
      <c r="E149" s="127" t="s">
        <v>4</v>
      </c>
      <c r="F149" s="4">
        <f>F150*6</f>
        <v>81</v>
      </c>
    </row>
    <row r="150" spans="1:8" x14ac:dyDescent="0.25">
      <c r="A150" s="150" t="s">
        <v>211</v>
      </c>
      <c r="B150" s="147" t="s">
        <v>1312</v>
      </c>
      <c r="C150" s="148" t="s">
        <v>212</v>
      </c>
      <c r="D150" s="146" t="s">
        <v>213</v>
      </c>
      <c r="E150" s="147" t="s">
        <v>5</v>
      </c>
      <c r="F150" s="149">
        <v>13.5</v>
      </c>
      <c r="G150" s="146">
        <v>21.95</v>
      </c>
      <c r="H150" s="146" t="s">
        <v>1331</v>
      </c>
    </row>
    <row r="151" spans="1:8" x14ac:dyDescent="0.25">
      <c r="A151" s="145" t="s">
        <v>214</v>
      </c>
      <c r="B151" s="127" t="s">
        <v>1312</v>
      </c>
      <c r="C151" s="3" t="s">
        <v>215</v>
      </c>
      <c r="D151" t="s">
        <v>216</v>
      </c>
      <c r="E151" s="127" t="s">
        <v>12</v>
      </c>
      <c r="F151" s="155">
        <v>152</v>
      </c>
      <c r="G151" s="156"/>
    </row>
    <row r="152" spans="1:8" x14ac:dyDescent="0.25">
      <c r="A152" s="150" t="s">
        <v>214</v>
      </c>
      <c r="B152" s="147" t="s">
        <v>1312</v>
      </c>
      <c r="C152" s="148" t="s">
        <v>215</v>
      </c>
      <c r="D152" s="146" t="s">
        <v>216</v>
      </c>
      <c r="E152" s="147" t="s">
        <v>5</v>
      </c>
      <c r="F152" s="155">
        <v>38</v>
      </c>
      <c r="G152" s="156">
        <v>59.95</v>
      </c>
      <c r="H152" s="146" t="s">
        <v>1331</v>
      </c>
    </row>
    <row r="153" spans="1:8" x14ac:dyDescent="0.25">
      <c r="A153" s="145" t="s">
        <v>217</v>
      </c>
      <c r="B153" s="127" t="s">
        <v>1312</v>
      </c>
      <c r="C153" s="3" t="s">
        <v>218</v>
      </c>
      <c r="D153" t="s">
        <v>219</v>
      </c>
      <c r="E153" s="127" t="s">
        <v>19</v>
      </c>
      <c r="F153" s="155">
        <v>100</v>
      </c>
      <c r="G153" s="156"/>
    </row>
    <row r="154" spans="1:8" x14ac:dyDescent="0.25">
      <c r="A154" s="150" t="s">
        <v>217</v>
      </c>
      <c r="B154" s="147" t="s">
        <v>1312</v>
      </c>
      <c r="C154" s="148" t="s">
        <v>218</v>
      </c>
      <c r="D154" s="146" t="s">
        <v>219</v>
      </c>
      <c r="E154" s="147" t="s">
        <v>5</v>
      </c>
      <c r="F154" s="155">
        <v>12.5</v>
      </c>
      <c r="G154" s="156">
        <v>19.95</v>
      </c>
      <c r="H154" s="146" t="s">
        <v>1255</v>
      </c>
    </row>
    <row r="155" spans="1:8" x14ac:dyDescent="0.25">
      <c r="A155" s="145" t="s">
        <v>220</v>
      </c>
      <c r="B155" s="127" t="s">
        <v>1312</v>
      </c>
      <c r="C155" s="3" t="s">
        <v>221</v>
      </c>
      <c r="D155" t="s">
        <v>222</v>
      </c>
      <c r="E155" s="127" t="s">
        <v>4</v>
      </c>
      <c r="F155" s="4">
        <v>64</v>
      </c>
    </row>
    <row r="156" spans="1:8" x14ac:dyDescent="0.25">
      <c r="A156" s="150" t="s">
        <v>220</v>
      </c>
      <c r="B156" s="147" t="s">
        <v>1312</v>
      </c>
      <c r="C156" s="148" t="s">
        <v>221</v>
      </c>
      <c r="D156" s="146" t="s">
        <v>222</v>
      </c>
      <c r="E156" s="147" t="s">
        <v>5</v>
      </c>
      <c r="F156" s="149">
        <v>10.667</v>
      </c>
      <c r="G156" s="146">
        <v>16.95</v>
      </c>
      <c r="H156" s="146" t="s">
        <v>1255</v>
      </c>
    </row>
    <row r="157" spans="1:8" x14ac:dyDescent="0.25">
      <c r="A157" s="145" t="s">
        <v>223</v>
      </c>
      <c r="B157" s="127" t="s">
        <v>1312</v>
      </c>
      <c r="C157" s="3" t="s">
        <v>224</v>
      </c>
      <c r="D157" t="s">
        <v>225</v>
      </c>
      <c r="E157" s="127" t="s">
        <v>4</v>
      </c>
      <c r="F157" s="155">
        <v>76.5</v>
      </c>
      <c r="G157" s="156"/>
    </row>
    <row r="158" spans="1:8" x14ac:dyDescent="0.25">
      <c r="A158" s="150" t="s">
        <v>223</v>
      </c>
      <c r="B158" s="147" t="s">
        <v>1312</v>
      </c>
      <c r="C158" s="148" t="s">
        <v>224</v>
      </c>
      <c r="D158" s="146" t="s">
        <v>225</v>
      </c>
      <c r="E158" s="147" t="s">
        <v>5</v>
      </c>
      <c r="F158" s="155">
        <v>12.75</v>
      </c>
      <c r="G158" s="156">
        <v>19.95</v>
      </c>
      <c r="H158" s="146" t="s">
        <v>938</v>
      </c>
    </row>
    <row r="159" spans="1:8" x14ac:dyDescent="0.25">
      <c r="A159" s="145" t="s">
        <v>226</v>
      </c>
      <c r="B159" s="127" t="s">
        <v>1312</v>
      </c>
      <c r="C159" s="3" t="s">
        <v>227</v>
      </c>
      <c r="D159" t="s">
        <v>228</v>
      </c>
      <c r="E159" s="127" t="s">
        <v>66</v>
      </c>
      <c r="F159" s="155">
        <v>31</v>
      </c>
      <c r="G159" s="156"/>
    </row>
    <row r="160" spans="1:8" x14ac:dyDescent="0.25">
      <c r="A160" s="150" t="s">
        <v>226</v>
      </c>
      <c r="B160" s="147" t="s">
        <v>1312</v>
      </c>
      <c r="C160" s="148" t="s">
        <v>227</v>
      </c>
      <c r="D160" s="146" t="s">
        <v>228</v>
      </c>
      <c r="E160" s="147" t="s">
        <v>5</v>
      </c>
      <c r="F160" s="155">
        <v>2.58</v>
      </c>
      <c r="G160" s="156">
        <v>3.95</v>
      </c>
      <c r="H160" s="146"/>
    </row>
    <row r="161" spans="1:8" x14ac:dyDescent="0.25">
      <c r="A161" s="145" t="s">
        <v>229</v>
      </c>
      <c r="B161" s="127" t="s">
        <v>1312</v>
      </c>
      <c r="C161" s="3" t="s">
        <v>230</v>
      </c>
      <c r="D161" t="s">
        <v>231</v>
      </c>
      <c r="E161" s="127" t="s">
        <v>66</v>
      </c>
      <c r="F161" s="155">
        <v>31</v>
      </c>
      <c r="G161" s="156"/>
    </row>
    <row r="162" spans="1:8" x14ac:dyDescent="0.25">
      <c r="A162" s="150" t="s">
        <v>229</v>
      </c>
      <c r="B162" s="147" t="s">
        <v>1312</v>
      </c>
      <c r="C162" s="148" t="s">
        <v>230</v>
      </c>
      <c r="D162" s="146" t="s">
        <v>231</v>
      </c>
      <c r="E162" s="147" t="s">
        <v>5</v>
      </c>
      <c r="F162" s="155">
        <v>2.58</v>
      </c>
      <c r="G162" s="156">
        <v>3.95</v>
      </c>
      <c r="H162" s="146"/>
    </row>
    <row r="163" spans="1:8" x14ac:dyDescent="0.25">
      <c r="A163" s="145" t="s">
        <v>232</v>
      </c>
      <c r="B163" s="127" t="s">
        <v>1312</v>
      </c>
      <c r="C163" s="3" t="s">
        <v>233</v>
      </c>
      <c r="D163" t="s">
        <v>234</v>
      </c>
      <c r="E163" s="127" t="s">
        <v>66</v>
      </c>
      <c r="F163" s="155">
        <v>31</v>
      </c>
      <c r="G163" s="156"/>
    </row>
    <row r="164" spans="1:8" x14ac:dyDescent="0.25">
      <c r="A164" s="150" t="s">
        <v>232</v>
      </c>
      <c r="B164" s="147" t="s">
        <v>1312</v>
      </c>
      <c r="C164" s="148" t="s">
        <v>233</v>
      </c>
      <c r="D164" s="146" t="s">
        <v>234</v>
      </c>
      <c r="E164" s="147" t="s">
        <v>5</v>
      </c>
      <c r="F164" s="155">
        <v>2.58</v>
      </c>
      <c r="G164" s="156">
        <v>3.95</v>
      </c>
      <c r="H164" s="146"/>
    </row>
    <row r="165" spans="1:8" x14ac:dyDescent="0.25">
      <c r="A165" s="145" t="s">
        <v>235</v>
      </c>
      <c r="B165" s="127" t="s">
        <v>1312</v>
      </c>
      <c r="C165" s="3" t="s">
        <v>236</v>
      </c>
      <c r="D165" t="s">
        <v>237</v>
      </c>
      <c r="E165" s="127" t="s">
        <v>66</v>
      </c>
      <c r="F165" s="155">
        <v>51.6</v>
      </c>
      <c r="G165" s="156"/>
    </row>
    <row r="166" spans="1:8" x14ac:dyDescent="0.25">
      <c r="A166" s="150" t="s">
        <v>235</v>
      </c>
      <c r="B166" s="147" t="s">
        <v>1312</v>
      </c>
      <c r="C166" s="148" t="s">
        <v>236</v>
      </c>
      <c r="D166" s="146" t="s">
        <v>237</v>
      </c>
      <c r="E166" s="147" t="s">
        <v>5</v>
      </c>
      <c r="F166" s="155">
        <v>4.3</v>
      </c>
      <c r="G166" s="156">
        <v>6.95</v>
      </c>
      <c r="H166" s="146"/>
    </row>
    <row r="167" spans="1:8" x14ac:dyDescent="0.25">
      <c r="A167" s="145" t="s">
        <v>238</v>
      </c>
      <c r="B167" s="127" t="s">
        <v>1312</v>
      </c>
      <c r="C167" s="3" t="s">
        <v>239</v>
      </c>
      <c r="D167" t="s">
        <v>240</v>
      </c>
      <c r="E167" s="127" t="s">
        <v>66</v>
      </c>
      <c r="F167" s="155">
        <v>98.4</v>
      </c>
      <c r="G167" s="156"/>
    </row>
    <row r="168" spans="1:8" x14ac:dyDescent="0.25">
      <c r="A168" s="150" t="s">
        <v>238</v>
      </c>
      <c r="B168" s="147" t="s">
        <v>1312</v>
      </c>
      <c r="C168" s="148" t="s">
        <v>239</v>
      </c>
      <c r="D168" s="146" t="s">
        <v>240</v>
      </c>
      <c r="E168" s="147" t="s">
        <v>5</v>
      </c>
      <c r="F168" s="155">
        <v>8.1999999999999993</v>
      </c>
      <c r="G168" s="156">
        <v>12.95</v>
      </c>
      <c r="H168" s="146"/>
    </row>
    <row r="169" spans="1:8" x14ac:dyDescent="0.25">
      <c r="A169" s="145" t="s">
        <v>241</v>
      </c>
      <c r="B169" s="127" t="s">
        <v>1312</v>
      </c>
      <c r="C169" s="3" t="s">
        <v>242</v>
      </c>
      <c r="D169" t="s">
        <v>243</v>
      </c>
      <c r="E169" s="127" t="s">
        <v>66</v>
      </c>
      <c r="F169" s="155">
        <v>98.4</v>
      </c>
      <c r="G169" s="156"/>
    </row>
    <row r="170" spans="1:8" x14ac:dyDescent="0.25">
      <c r="A170" s="150" t="s">
        <v>241</v>
      </c>
      <c r="B170" s="147" t="s">
        <v>1312</v>
      </c>
      <c r="C170" s="148" t="s">
        <v>242</v>
      </c>
      <c r="D170" s="146" t="s">
        <v>243</v>
      </c>
      <c r="E170" s="147" t="s">
        <v>5</v>
      </c>
      <c r="F170" s="155">
        <v>8.1999999999999993</v>
      </c>
      <c r="G170" s="156">
        <v>12.95</v>
      </c>
      <c r="H170" s="146"/>
    </row>
    <row r="171" spans="1:8" x14ac:dyDescent="0.25">
      <c r="A171" s="145" t="s">
        <v>244</v>
      </c>
      <c r="B171" s="127" t="s">
        <v>1312</v>
      </c>
      <c r="C171" s="3" t="s">
        <v>245</v>
      </c>
      <c r="D171" t="s">
        <v>246</v>
      </c>
      <c r="E171" s="127" t="s">
        <v>4</v>
      </c>
      <c r="F171" s="4">
        <v>86</v>
      </c>
    </row>
    <row r="172" spans="1:8" x14ac:dyDescent="0.25">
      <c r="A172" s="150" t="s">
        <v>244</v>
      </c>
      <c r="B172" s="147" t="s">
        <v>1312</v>
      </c>
      <c r="C172" s="148" t="s">
        <v>245</v>
      </c>
      <c r="D172" s="146" t="s">
        <v>246</v>
      </c>
      <c r="E172" s="147" t="s">
        <v>5</v>
      </c>
      <c r="F172" s="149">
        <v>14.333</v>
      </c>
      <c r="G172" s="146">
        <v>22.95</v>
      </c>
      <c r="H172" s="146" t="s">
        <v>1338</v>
      </c>
    </row>
    <row r="173" spans="1:8" x14ac:dyDescent="0.25">
      <c r="A173" s="145" t="s">
        <v>247</v>
      </c>
      <c r="B173" s="127" t="s">
        <v>1312</v>
      </c>
      <c r="C173" s="3" t="s">
        <v>248</v>
      </c>
      <c r="D173" t="s">
        <v>249</v>
      </c>
      <c r="E173" s="127" t="s">
        <v>4</v>
      </c>
      <c r="F173" s="4">
        <v>86</v>
      </c>
    </row>
    <row r="174" spans="1:8" x14ac:dyDescent="0.25">
      <c r="A174" s="150" t="s">
        <v>247</v>
      </c>
      <c r="B174" s="147" t="s">
        <v>1312</v>
      </c>
      <c r="C174" s="148" t="s">
        <v>248</v>
      </c>
      <c r="D174" s="146" t="s">
        <v>249</v>
      </c>
      <c r="E174" s="147" t="s">
        <v>5</v>
      </c>
      <c r="F174" s="149">
        <v>14.333</v>
      </c>
      <c r="G174" s="146">
        <v>22.95</v>
      </c>
      <c r="H174" s="146" t="s">
        <v>1331</v>
      </c>
    </row>
    <row r="175" spans="1:8" x14ac:dyDescent="0.25">
      <c r="A175" s="145" t="s">
        <v>250</v>
      </c>
      <c r="B175" s="127" t="s">
        <v>1312</v>
      </c>
      <c r="C175" s="3" t="s">
        <v>251</v>
      </c>
      <c r="D175" t="s">
        <v>252</v>
      </c>
      <c r="E175" s="127" t="s">
        <v>36</v>
      </c>
      <c r="F175" s="4">
        <v>118</v>
      </c>
    </row>
    <row r="176" spans="1:8" x14ac:dyDescent="0.25">
      <c r="A176" s="150" t="s">
        <v>250</v>
      </c>
      <c r="B176" s="147" t="s">
        <v>1312</v>
      </c>
      <c r="C176" s="148" t="s">
        <v>251</v>
      </c>
      <c r="D176" s="146" t="s">
        <v>252</v>
      </c>
      <c r="E176" s="147" t="s">
        <v>5</v>
      </c>
      <c r="F176" s="149">
        <v>39.332999999999998</v>
      </c>
      <c r="G176" s="146">
        <v>61.95</v>
      </c>
      <c r="H176" s="146"/>
    </row>
    <row r="177" spans="1:8" x14ac:dyDescent="0.25">
      <c r="A177" s="145">
        <v>8420421087213</v>
      </c>
      <c r="B177" s="127">
        <v>23</v>
      </c>
      <c r="C177" s="3" t="s">
        <v>253</v>
      </c>
      <c r="D177" t="s">
        <v>254</v>
      </c>
      <c r="E177" s="127" t="s">
        <v>4</v>
      </c>
      <c r="F177" s="155">
        <v>75</v>
      </c>
      <c r="G177" s="156"/>
    </row>
    <row r="178" spans="1:8" x14ac:dyDescent="0.25">
      <c r="A178" s="150">
        <v>8420421087213</v>
      </c>
      <c r="B178" s="147">
        <v>23</v>
      </c>
      <c r="C178" s="148" t="s">
        <v>253</v>
      </c>
      <c r="D178" s="146" t="s">
        <v>254</v>
      </c>
      <c r="E178" s="147" t="s">
        <v>5</v>
      </c>
      <c r="F178" s="155">
        <v>12.5</v>
      </c>
      <c r="G178" s="156">
        <v>19.95</v>
      </c>
      <c r="H178" s="146" t="s">
        <v>1339</v>
      </c>
    </row>
    <row r="179" spans="1:8" x14ac:dyDescent="0.25">
      <c r="A179" s="145" t="s">
        <v>257</v>
      </c>
      <c r="B179" s="127" t="s">
        <v>1312</v>
      </c>
      <c r="C179" s="3" t="s">
        <v>255</v>
      </c>
      <c r="D179" t="s">
        <v>256</v>
      </c>
      <c r="E179" s="127" t="s">
        <v>4</v>
      </c>
      <c r="F179" s="155">
        <v>114</v>
      </c>
      <c r="G179" s="156"/>
    </row>
    <row r="180" spans="1:8" x14ac:dyDescent="0.25">
      <c r="A180" s="150" t="s">
        <v>257</v>
      </c>
      <c r="B180" s="147" t="s">
        <v>1312</v>
      </c>
      <c r="C180" s="148" t="s">
        <v>255</v>
      </c>
      <c r="D180" s="146" t="s">
        <v>256</v>
      </c>
      <c r="E180" s="147" t="s">
        <v>5</v>
      </c>
      <c r="F180" s="155">
        <v>19</v>
      </c>
      <c r="G180" s="156">
        <v>29.95</v>
      </c>
      <c r="H180" s="146"/>
    </row>
    <row r="181" spans="1:8" x14ac:dyDescent="0.25">
      <c r="A181" s="145" t="s">
        <v>258</v>
      </c>
      <c r="B181" s="127" t="s">
        <v>1312</v>
      </c>
      <c r="C181" s="3" t="s">
        <v>259</v>
      </c>
      <c r="D181" t="s">
        <v>260</v>
      </c>
      <c r="E181" s="127" t="s">
        <v>4</v>
      </c>
      <c r="F181" s="4">
        <v>23</v>
      </c>
    </row>
    <row r="182" spans="1:8" x14ac:dyDescent="0.25">
      <c r="A182" s="150" t="s">
        <v>258</v>
      </c>
      <c r="B182" s="147" t="s">
        <v>1312</v>
      </c>
      <c r="C182" s="148" t="s">
        <v>259</v>
      </c>
      <c r="D182" s="146" t="s">
        <v>260</v>
      </c>
      <c r="E182" s="147" t="s">
        <v>5</v>
      </c>
      <c r="F182" s="149">
        <v>3.8330000000000002</v>
      </c>
      <c r="G182" s="146">
        <v>5.95</v>
      </c>
      <c r="H182" s="146"/>
    </row>
    <row r="183" spans="1:8" x14ac:dyDescent="0.25">
      <c r="A183" s="145" t="s">
        <v>261</v>
      </c>
      <c r="B183" s="127" t="s">
        <v>1312</v>
      </c>
      <c r="C183" s="3" t="s">
        <v>262</v>
      </c>
      <c r="D183" t="s">
        <v>263</v>
      </c>
      <c r="E183" s="127" t="s">
        <v>4</v>
      </c>
      <c r="F183" s="155">
        <v>30</v>
      </c>
      <c r="G183" s="156"/>
    </row>
    <row r="184" spans="1:8" x14ac:dyDescent="0.25">
      <c r="A184" s="150" t="s">
        <v>261</v>
      </c>
      <c r="B184" s="147" t="s">
        <v>1312</v>
      </c>
      <c r="C184" s="148" t="s">
        <v>262</v>
      </c>
      <c r="D184" s="146" t="s">
        <v>263</v>
      </c>
      <c r="E184" s="147" t="s">
        <v>5</v>
      </c>
      <c r="F184" s="155">
        <v>5</v>
      </c>
      <c r="G184" s="156">
        <v>7.95</v>
      </c>
      <c r="H184" s="146"/>
    </row>
    <row r="185" spans="1:8" x14ac:dyDescent="0.25">
      <c r="A185" s="145" t="s">
        <v>264</v>
      </c>
      <c r="B185" s="127" t="s">
        <v>1312</v>
      </c>
      <c r="C185" s="3" t="s">
        <v>265</v>
      </c>
      <c r="D185" t="s">
        <v>266</v>
      </c>
      <c r="E185" s="127" t="s">
        <v>4</v>
      </c>
      <c r="F185" s="155">
        <v>102.6</v>
      </c>
      <c r="G185" s="156"/>
    </row>
    <row r="186" spans="1:8" x14ac:dyDescent="0.25">
      <c r="A186" s="150" t="s">
        <v>264</v>
      </c>
      <c r="B186" s="147" t="s">
        <v>1312</v>
      </c>
      <c r="C186" s="148" t="s">
        <v>265</v>
      </c>
      <c r="D186" s="146" t="s">
        <v>266</v>
      </c>
      <c r="E186" s="147" t="s">
        <v>5</v>
      </c>
      <c r="F186" s="155">
        <v>17.100000000000001</v>
      </c>
      <c r="G186" s="156">
        <v>26.95</v>
      </c>
      <c r="H186" s="146"/>
    </row>
    <row r="187" spans="1:8" x14ac:dyDescent="0.25">
      <c r="A187" s="145" t="s">
        <v>267</v>
      </c>
      <c r="B187" s="127" t="s">
        <v>1312</v>
      </c>
      <c r="C187" s="3" t="s">
        <v>268</v>
      </c>
      <c r="D187" t="s">
        <v>1340</v>
      </c>
      <c r="E187" s="127" t="s">
        <v>4</v>
      </c>
      <c r="F187" s="4">
        <v>192</v>
      </c>
    </row>
    <row r="188" spans="1:8" x14ac:dyDescent="0.25">
      <c r="A188" s="150" t="s">
        <v>267</v>
      </c>
      <c r="B188" s="147" t="s">
        <v>1312</v>
      </c>
      <c r="C188" s="148" t="s">
        <v>268</v>
      </c>
      <c r="D188" s="146" t="s">
        <v>1340</v>
      </c>
      <c r="E188" s="147" t="s">
        <v>5</v>
      </c>
      <c r="F188" s="149">
        <v>32</v>
      </c>
      <c r="G188" s="146">
        <v>49.95</v>
      </c>
      <c r="H188" s="146" t="s">
        <v>938</v>
      </c>
    </row>
    <row r="189" spans="1:8" x14ac:dyDescent="0.25">
      <c r="A189" s="145" t="s">
        <v>269</v>
      </c>
      <c r="B189" s="127" t="s">
        <v>1312</v>
      </c>
      <c r="C189" s="3" t="s">
        <v>270</v>
      </c>
      <c r="D189" t="s">
        <v>271</v>
      </c>
      <c r="E189" s="127" t="s">
        <v>4</v>
      </c>
      <c r="F189" s="155">
        <f>F190*6</f>
        <v>99</v>
      </c>
      <c r="G189" s="156"/>
    </row>
    <row r="190" spans="1:8" x14ac:dyDescent="0.25">
      <c r="A190" s="150" t="s">
        <v>269</v>
      </c>
      <c r="B190" s="147" t="s">
        <v>1312</v>
      </c>
      <c r="C190" s="148" t="s">
        <v>270</v>
      </c>
      <c r="D190" s="146" t="s">
        <v>271</v>
      </c>
      <c r="E190" s="147" t="s">
        <v>5</v>
      </c>
      <c r="F190" s="155">
        <v>16.5</v>
      </c>
      <c r="G190" s="156">
        <v>25.95</v>
      </c>
      <c r="H190" s="146"/>
    </row>
    <row r="191" spans="1:8" x14ac:dyDescent="0.25">
      <c r="A191" s="145" t="s">
        <v>272</v>
      </c>
      <c r="B191" s="127" t="s">
        <v>1312</v>
      </c>
      <c r="C191" s="3" t="s">
        <v>273</v>
      </c>
      <c r="D191" t="s">
        <v>274</v>
      </c>
      <c r="E191" s="127" t="s">
        <v>4</v>
      </c>
      <c r="F191" s="155">
        <v>99</v>
      </c>
      <c r="G191" s="156"/>
    </row>
    <row r="192" spans="1:8" x14ac:dyDescent="0.25">
      <c r="A192" s="150" t="s">
        <v>272</v>
      </c>
      <c r="B192" s="147" t="s">
        <v>1312</v>
      </c>
      <c r="C192" s="148" t="s">
        <v>273</v>
      </c>
      <c r="D192" s="146" t="s">
        <v>274</v>
      </c>
      <c r="E192" s="147" t="s">
        <v>5</v>
      </c>
      <c r="F192" s="155">
        <v>16.5</v>
      </c>
      <c r="G192" s="156">
        <v>25.95</v>
      </c>
      <c r="H192" s="146"/>
    </row>
    <row r="193" spans="1:8" x14ac:dyDescent="0.25">
      <c r="A193" s="145">
        <v>8420421086056</v>
      </c>
      <c r="B193" s="127">
        <v>23</v>
      </c>
      <c r="C193" s="3" t="s">
        <v>275</v>
      </c>
      <c r="D193" t="s">
        <v>276</v>
      </c>
      <c r="E193" s="127" t="s">
        <v>36</v>
      </c>
      <c r="F193" s="4">
        <v>148</v>
      </c>
    </row>
    <row r="194" spans="1:8" x14ac:dyDescent="0.25">
      <c r="A194" s="150">
        <v>8420421086056</v>
      </c>
      <c r="B194" s="147">
        <v>23</v>
      </c>
      <c r="C194" s="148" t="s">
        <v>275</v>
      </c>
      <c r="D194" s="146" t="s">
        <v>276</v>
      </c>
      <c r="E194" s="147" t="s">
        <v>5</v>
      </c>
      <c r="F194" s="149">
        <v>49.332999999999998</v>
      </c>
      <c r="G194" s="146">
        <v>77.95</v>
      </c>
      <c r="H194" s="146" t="s">
        <v>938</v>
      </c>
    </row>
    <row r="195" spans="1:8" x14ac:dyDescent="0.25">
      <c r="A195" s="145">
        <v>8420421086063</v>
      </c>
      <c r="B195" s="127">
        <v>23</v>
      </c>
      <c r="C195" s="3" t="s">
        <v>277</v>
      </c>
      <c r="D195" t="s">
        <v>278</v>
      </c>
      <c r="E195" s="127" t="s">
        <v>36</v>
      </c>
      <c r="F195" s="4">
        <v>148</v>
      </c>
    </row>
    <row r="196" spans="1:8" x14ac:dyDescent="0.25">
      <c r="A196" s="150">
        <v>8420421086063</v>
      </c>
      <c r="B196" s="147">
        <v>23</v>
      </c>
      <c r="C196" s="148" t="s">
        <v>277</v>
      </c>
      <c r="D196" s="146" t="s">
        <v>278</v>
      </c>
      <c r="E196" s="147" t="s">
        <v>5</v>
      </c>
      <c r="F196" s="149">
        <v>49.332999999999998</v>
      </c>
      <c r="G196" s="146">
        <v>77.95</v>
      </c>
      <c r="H196" s="146" t="s">
        <v>942</v>
      </c>
    </row>
    <row r="197" spans="1:8" x14ac:dyDescent="0.25">
      <c r="A197" s="145">
        <v>8420421086049</v>
      </c>
      <c r="B197" s="127">
        <v>23</v>
      </c>
      <c r="C197" s="3" t="s">
        <v>282</v>
      </c>
      <c r="D197" t="s">
        <v>283</v>
      </c>
      <c r="E197" s="127" t="s">
        <v>36</v>
      </c>
      <c r="F197" s="155">
        <v>132</v>
      </c>
      <c r="G197" s="156"/>
    </row>
    <row r="198" spans="1:8" x14ac:dyDescent="0.25">
      <c r="A198" s="150">
        <v>8420421086049</v>
      </c>
      <c r="B198" s="147">
        <v>23</v>
      </c>
      <c r="C198" s="148" t="s">
        <v>282</v>
      </c>
      <c r="D198" s="146" t="s">
        <v>283</v>
      </c>
      <c r="E198" s="147" t="s">
        <v>5</v>
      </c>
      <c r="F198" s="155">
        <v>44</v>
      </c>
      <c r="G198" s="156">
        <v>69.95</v>
      </c>
      <c r="H198" s="146" t="s">
        <v>938</v>
      </c>
    </row>
    <row r="199" spans="1:8" x14ac:dyDescent="0.25">
      <c r="A199" s="145" t="s">
        <v>279</v>
      </c>
      <c r="B199" s="127" t="s">
        <v>1312</v>
      </c>
      <c r="C199" s="3" t="s">
        <v>280</v>
      </c>
      <c r="D199" t="s">
        <v>281</v>
      </c>
      <c r="E199" s="127" t="s">
        <v>36</v>
      </c>
      <c r="F199" s="155">
        <v>132</v>
      </c>
      <c r="G199" s="156"/>
    </row>
    <row r="200" spans="1:8" x14ac:dyDescent="0.25">
      <c r="A200" s="150" t="s">
        <v>279</v>
      </c>
      <c r="B200" s="147" t="s">
        <v>1312</v>
      </c>
      <c r="C200" s="148" t="s">
        <v>280</v>
      </c>
      <c r="D200" s="146" t="s">
        <v>281</v>
      </c>
      <c r="E200" s="147" t="s">
        <v>5</v>
      </c>
      <c r="F200" s="155">
        <v>44</v>
      </c>
      <c r="G200" s="156">
        <v>69.95</v>
      </c>
      <c r="H200" s="146" t="s">
        <v>948</v>
      </c>
    </row>
    <row r="201" spans="1:8" x14ac:dyDescent="0.25">
      <c r="A201" s="145" t="s">
        <v>284</v>
      </c>
      <c r="B201" s="127" t="s">
        <v>1312</v>
      </c>
      <c r="C201" s="3" t="s">
        <v>285</v>
      </c>
      <c r="D201" t="s">
        <v>286</v>
      </c>
      <c r="E201" s="127" t="s">
        <v>66</v>
      </c>
      <c r="F201" s="155">
        <v>37.200000000000003</v>
      </c>
      <c r="G201" s="156"/>
    </row>
    <row r="202" spans="1:8" x14ac:dyDescent="0.25">
      <c r="A202" s="150" t="s">
        <v>284</v>
      </c>
      <c r="B202" s="147" t="s">
        <v>1312</v>
      </c>
      <c r="C202" s="148" t="s">
        <v>285</v>
      </c>
      <c r="D202" s="146" t="s">
        <v>286</v>
      </c>
      <c r="E202" s="147" t="s">
        <v>5</v>
      </c>
      <c r="F202" s="155">
        <v>3.1</v>
      </c>
      <c r="G202" s="156">
        <v>4.95</v>
      </c>
      <c r="H202" s="146" t="s">
        <v>1255</v>
      </c>
    </row>
    <row r="203" spans="1:8" x14ac:dyDescent="0.25">
      <c r="A203" s="145" t="s">
        <v>287</v>
      </c>
      <c r="B203" s="127" t="s">
        <v>1312</v>
      </c>
      <c r="C203" s="3" t="s">
        <v>288</v>
      </c>
      <c r="D203" t="s">
        <v>1341</v>
      </c>
      <c r="E203" s="127" t="s">
        <v>4</v>
      </c>
      <c r="F203" s="4">
        <v>162</v>
      </c>
    </row>
    <row r="204" spans="1:8" x14ac:dyDescent="0.25">
      <c r="A204" s="150" t="s">
        <v>287</v>
      </c>
      <c r="B204" s="147" t="s">
        <v>1312</v>
      </c>
      <c r="C204" s="148" t="s">
        <v>288</v>
      </c>
      <c r="D204" s="146" t="s">
        <v>1341</v>
      </c>
      <c r="E204" s="147" t="s">
        <v>5</v>
      </c>
      <c r="F204" s="149">
        <v>27</v>
      </c>
      <c r="G204" s="146">
        <v>42.95</v>
      </c>
      <c r="H204" s="146" t="s">
        <v>942</v>
      </c>
    </row>
    <row r="205" spans="1:8" x14ac:dyDescent="0.25">
      <c r="A205" s="145" t="s">
        <v>289</v>
      </c>
      <c r="B205" s="127" t="s">
        <v>1312</v>
      </c>
      <c r="C205" s="3" t="s">
        <v>290</v>
      </c>
      <c r="D205" t="s">
        <v>1342</v>
      </c>
      <c r="E205" s="127" t="s">
        <v>4</v>
      </c>
      <c r="F205" s="155">
        <v>208.8</v>
      </c>
      <c r="G205" s="156"/>
    </row>
    <row r="206" spans="1:8" x14ac:dyDescent="0.25">
      <c r="A206" s="150" t="s">
        <v>289</v>
      </c>
      <c r="B206" s="147" t="s">
        <v>1312</v>
      </c>
      <c r="C206" s="148" t="s">
        <v>290</v>
      </c>
      <c r="D206" s="146" t="s">
        <v>1342</v>
      </c>
      <c r="E206" s="147" t="s">
        <v>5</v>
      </c>
      <c r="F206" s="155">
        <v>34.799999999999997</v>
      </c>
      <c r="G206" s="156">
        <v>54.95</v>
      </c>
      <c r="H206" s="146" t="s">
        <v>938</v>
      </c>
    </row>
    <row r="207" spans="1:8" x14ac:dyDescent="0.25">
      <c r="A207" s="145">
        <v>8420421086025</v>
      </c>
      <c r="B207" s="127">
        <v>23</v>
      </c>
      <c r="C207" s="3" t="s">
        <v>291</v>
      </c>
      <c r="D207" t="s">
        <v>292</v>
      </c>
      <c r="E207" s="127" t="s">
        <v>36</v>
      </c>
      <c r="F207" s="4">
        <v>84</v>
      </c>
    </row>
    <row r="208" spans="1:8" x14ac:dyDescent="0.25">
      <c r="A208" s="150">
        <v>8420421086025</v>
      </c>
      <c r="B208" s="147">
        <v>23</v>
      </c>
      <c r="C208" s="148" t="s">
        <v>291</v>
      </c>
      <c r="D208" s="146" t="s">
        <v>292</v>
      </c>
      <c r="E208" s="147" t="s">
        <v>5</v>
      </c>
      <c r="F208" s="149">
        <v>28</v>
      </c>
      <c r="G208" s="146">
        <v>43.95</v>
      </c>
      <c r="H208" s="146" t="s">
        <v>938</v>
      </c>
    </row>
    <row r="209" spans="1:8" x14ac:dyDescent="0.25">
      <c r="A209" s="145">
        <v>8420421086032</v>
      </c>
      <c r="B209" s="127">
        <v>23</v>
      </c>
      <c r="C209" s="3" t="s">
        <v>293</v>
      </c>
      <c r="D209" t="s">
        <v>294</v>
      </c>
      <c r="E209" s="127" t="s">
        <v>36</v>
      </c>
      <c r="F209" s="4">
        <v>84</v>
      </c>
    </row>
    <row r="210" spans="1:8" x14ac:dyDescent="0.25">
      <c r="A210" s="150">
        <v>8420421086032</v>
      </c>
      <c r="B210" s="147">
        <v>23</v>
      </c>
      <c r="C210" s="148" t="s">
        <v>293</v>
      </c>
      <c r="D210" s="146" t="s">
        <v>294</v>
      </c>
      <c r="E210" s="147" t="s">
        <v>5</v>
      </c>
      <c r="F210" s="149">
        <v>28</v>
      </c>
      <c r="G210" s="146">
        <v>43.95</v>
      </c>
      <c r="H210" s="146" t="s">
        <v>942</v>
      </c>
    </row>
    <row r="211" spans="1:8" x14ac:dyDescent="0.25">
      <c r="A211" s="145" t="s">
        <v>295</v>
      </c>
      <c r="B211" s="127" t="s">
        <v>1312</v>
      </c>
      <c r="C211" s="3" t="s">
        <v>296</v>
      </c>
      <c r="D211" t="s">
        <v>297</v>
      </c>
      <c r="E211" s="127" t="s">
        <v>66</v>
      </c>
      <c r="F211" s="4">
        <v>128</v>
      </c>
    </row>
    <row r="212" spans="1:8" x14ac:dyDescent="0.25">
      <c r="A212" s="150" t="s">
        <v>295</v>
      </c>
      <c r="B212" s="147" t="s">
        <v>1312</v>
      </c>
      <c r="C212" s="148" t="s">
        <v>296</v>
      </c>
      <c r="D212" s="146" t="s">
        <v>297</v>
      </c>
      <c r="E212" s="147" t="s">
        <v>5</v>
      </c>
      <c r="F212" s="149">
        <v>10.667</v>
      </c>
      <c r="G212" s="146">
        <v>16.95</v>
      </c>
      <c r="H212" s="146" t="s">
        <v>1343</v>
      </c>
    </row>
    <row r="213" spans="1:8" x14ac:dyDescent="0.25">
      <c r="A213" s="145" t="s">
        <v>298</v>
      </c>
      <c r="B213" s="127" t="s">
        <v>1312</v>
      </c>
      <c r="C213" s="3" t="s">
        <v>299</v>
      </c>
      <c r="D213" t="s">
        <v>300</v>
      </c>
      <c r="E213" s="127" t="s">
        <v>12</v>
      </c>
      <c r="F213" s="4">
        <v>59</v>
      </c>
    </row>
    <row r="214" spans="1:8" x14ac:dyDescent="0.25">
      <c r="A214" s="150" t="s">
        <v>298</v>
      </c>
      <c r="B214" s="147" t="s">
        <v>1312</v>
      </c>
      <c r="C214" s="148" t="s">
        <v>299</v>
      </c>
      <c r="D214" s="146" t="s">
        <v>300</v>
      </c>
      <c r="E214" s="147" t="s">
        <v>5</v>
      </c>
      <c r="F214" s="149">
        <v>14.75</v>
      </c>
      <c r="G214" s="146">
        <v>23.95</v>
      </c>
      <c r="H214" s="146"/>
    </row>
    <row r="215" spans="1:8" x14ac:dyDescent="0.25">
      <c r="A215" s="145" t="s">
        <v>301</v>
      </c>
      <c r="B215" s="127" t="s">
        <v>1312</v>
      </c>
      <c r="C215" s="3" t="s">
        <v>302</v>
      </c>
      <c r="D215" t="s">
        <v>303</v>
      </c>
      <c r="E215" s="127" t="s">
        <v>4</v>
      </c>
      <c r="F215" s="155">
        <f>F216*6</f>
        <v>37.799999999999997</v>
      </c>
      <c r="G215" s="156"/>
    </row>
    <row r="216" spans="1:8" x14ac:dyDescent="0.25">
      <c r="A216" s="150" t="s">
        <v>301</v>
      </c>
      <c r="B216" s="147" t="s">
        <v>1312</v>
      </c>
      <c r="C216" s="148" t="s">
        <v>302</v>
      </c>
      <c r="D216" s="146" t="s">
        <v>303</v>
      </c>
      <c r="E216" s="147" t="s">
        <v>5</v>
      </c>
      <c r="F216" s="155">
        <v>6.3</v>
      </c>
      <c r="G216" s="156">
        <v>9.9499999999999993</v>
      </c>
      <c r="H216" s="146"/>
    </row>
    <row r="217" spans="1:8" x14ac:dyDescent="0.25">
      <c r="A217" s="145" t="s">
        <v>304</v>
      </c>
      <c r="B217" s="127" t="s">
        <v>1312</v>
      </c>
      <c r="C217" s="3" t="s">
        <v>305</v>
      </c>
      <c r="D217" t="s">
        <v>306</v>
      </c>
      <c r="E217" s="127" t="s">
        <v>12</v>
      </c>
      <c r="F217" s="155">
        <f>F218*4</f>
        <v>32.799999999999997</v>
      </c>
      <c r="G217" s="156"/>
    </row>
    <row r="218" spans="1:8" x14ac:dyDescent="0.25">
      <c r="A218" s="150" t="s">
        <v>304</v>
      </c>
      <c r="B218" s="147" t="s">
        <v>1312</v>
      </c>
      <c r="C218" s="148" t="s">
        <v>305</v>
      </c>
      <c r="D218" s="146" t="s">
        <v>306</v>
      </c>
      <c r="E218" s="147" t="s">
        <v>5</v>
      </c>
      <c r="F218" s="155">
        <v>8.1999999999999993</v>
      </c>
      <c r="G218" s="156">
        <v>12.95</v>
      </c>
      <c r="H218" s="146" t="s">
        <v>1339</v>
      </c>
    </row>
    <row r="219" spans="1:8" x14ac:dyDescent="0.25">
      <c r="A219" s="145" t="s">
        <v>307</v>
      </c>
      <c r="B219" s="127" t="s">
        <v>1312</v>
      </c>
      <c r="C219" s="3" t="s">
        <v>308</v>
      </c>
      <c r="D219" t="s">
        <v>306</v>
      </c>
      <c r="E219" s="127" t="s">
        <v>12</v>
      </c>
      <c r="F219" s="155">
        <v>32.799999999999997</v>
      </c>
      <c r="G219" s="156"/>
    </row>
    <row r="220" spans="1:8" x14ac:dyDescent="0.25">
      <c r="A220" s="150" t="s">
        <v>307</v>
      </c>
      <c r="B220" s="147" t="s">
        <v>1312</v>
      </c>
      <c r="C220" s="148" t="s">
        <v>308</v>
      </c>
      <c r="D220" s="146" t="s">
        <v>306</v>
      </c>
      <c r="E220" s="147" t="s">
        <v>5</v>
      </c>
      <c r="F220" s="155">
        <v>8.1999999999999993</v>
      </c>
      <c r="G220" s="156">
        <v>12.95</v>
      </c>
      <c r="H220" s="146" t="s">
        <v>1284</v>
      </c>
    </row>
    <row r="221" spans="1:8" x14ac:dyDescent="0.25">
      <c r="A221" s="145" t="s">
        <v>309</v>
      </c>
      <c r="B221" s="127" t="s">
        <v>1312</v>
      </c>
      <c r="C221" s="3" t="s">
        <v>310</v>
      </c>
      <c r="D221" t="s">
        <v>311</v>
      </c>
      <c r="E221" s="127" t="s">
        <v>12</v>
      </c>
      <c r="F221" s="155">
        <v>40</v>
      </c>
      <c r="G221" s="156"/>
    </row>
    <row r="222" spans="1:8" x14ac:dyDescent="0.25">
      <c r="A222" s="150" t="s">
        <v>309</v>
      </c>
      <c r="B222" s="147" t="s">
        <v>1312</v>
      </c>
      <c r="C222" s="148" t="s">
        <v>310</v>
      </c>
      <c r="D222" s="146" t="s">
        <v>311</v>
      </c>
      <c r="E222" s="147" t="s">
        <v>5</v>
      </c>
      <c r="F222" s="155">
        <v>10</v>
      </c>
      <c r="G222" s="156">
        <v>15.95</v>
      </c>
      <c r="H222" s="146" t="s">
        <v>1339</v>
      </c>
    </row>
    <row r="223" spans="1:8" x14ac:dyDescent="0.25">
      <c r="A223" s="145" t="s">
        <v>312</v>
      </c>
      <c r="B223" s="127" t="s">
        <v>1312</v>
      </c>
      <c r="C223" s="3" t="s">
        <v>313</v>
      </c>
      <c r="D223" t="s">
        <v>311</v>
      </c>
      <c r="E223" s="127" t="s">
        <v>12</v>
      </c>
      <c r="F223" s="155">
        <v>40</v>
      </c>
      <c r="G223" s="156"/>
    </row>
    <row r="224" spans="1:8" x14ac:dyDescent="0.25">
      <c r="A224" s="150" t="s">
        <v>312</v>
      </c>
      <c r="B224" s="147" t="s">
        <v>1312</v>
      </c>
      <c r="C224" s="148" t="s">
        <v>313</v>
      </c>
      <c r="D224" s="146" t="s">
        <v>311</v>
      </c>
      <c r="E224" s="147" t="s">
        <v>5</v>
      </c>
      <c r="F224" s="155">
        <v>10</v>
      </c>
      <c r="G224" s="156">
        <v>15.95</v>
      </c>
      <c r="H224" s="146" t="s">
        <v>1284</v>
      </c>
    </row>
    <row r="225" spans="1:8" x14ac:dyDescent="0.25">
      <c r="A225" s="145" t="s">
        <v>314</v>
      </c>
      <c r="B225" s="127" t="s">
        <v>1312</v>
      </c>
      <c r="C225" s="3" t="s">
        <v>315</v>
      </c>
      <c r="D225" t="s">
        <v>1344</v>
      </c>
      <c r="E225" s="127" t="s">
        <v>4</v>
      </c>
      <c r="F225" s="4">
        <v>256</v>
      </c>
    </row>
    <row r="226" spans="1:8" x14ac:dyDescent="0.25">
      <c r="A226" s="150" t="s">
        <v>314</v>
      </c>
      <c r="B226" s="147" t="s">
        <v>1312</v>
      </c>
      <c r="C226" s="148" t="s">
        <v>315</v>
      </c>
      <c r="D226" s="146" t="s">
        <v>1344</v>
      </c>
      <c r="E226" s="147" t="s">
        <v>5</v>
      </c>
      <c r="F226" s="149">
        <v>42.667000000000002</v>
      </c>
      <c r="G226" s="146">
        <v>67.95</v>
      </c>
      <c r="H226" s="146" t="s">
        <v>938</v>
      </c>
    </row>
    <row r="227" spans="1:8" x14ac:dyDescent="0.25">
      <c r="A227" s="145" t="s">
        <v>316</v>
      </c>
      <c r="B227" s="127" t="s">
        <v>1312</v>
      </c>
      <c r="C227" s="3" t="s">
        <v>317</v>
      </c>
      <c r="D227" t="s">
        <v>318</v>
      </c>
      <c r="E227" s="127" t="s">
        <v>66</v>
      </c>
      <c r="F227" s="4">
        <v>148</v>
      </c>
    </row>
    <row r="228" spans="1:8" x14ac:dyDescent="0.25">
      <c r="A228" s="150" t="s">
        <v>316</v>
      </c>
      <c r="B228" s="147" t="s">
        <v>1312</v>
      </c>
      <c r="C228" s="148" t="s">
        <v>317</v>
      </c>
      <c r="D228" s="146" t="s">
        <v>318</v>
      </c>
      <c r="E228" s="147" t="s">
        <v>5</v>
      </c>
      <c r="F228" s="149">
        <v>12.333</v>
      </c>
      <c r="G228" s="146">
        <v>19.95</v>
      </c>
      <c r="H228" s="146" t="s">
        <v>942</v>
      </c>
    </row>
    <row r="229" spans="1:8" x14ac:dyDescent="0.25">
      <c r="A229" s="145" t="s">
        <v>319</v>
      </c>
      <c r="B229" s="127" t="s">
        <v>1312</v>
      </c>
      <c r="C229" s="3" t="s">
        <v>320</v>
      </c>
      <c r="D229" t="s">
        <v>321</v>
      </c>
      <c r="E229" s="127" t="s">
        <v>66</v>
      </c>
      <c r="F229" s="4">
        <v>121</v>
      </c>
    </row>
    <row r="230" spans="1:8" x14ac:dyDescent="0.25">
      <c r="A230" s="150" t="s">
        <v>319</v>
      </c>
      <c r="B230" s="147" t="s">
        <v>1312</v>
      </c>
      <c r="C230" s="148" t="s">
        <v>320</v>
      </c>
      <c r="D230" s="146" t="s">
        <v>321</v>
      </c>
      <c r="E230" s="147" t="s">
        <v>5</v>
      </c>
      <c r="F230" s="149">
        <v>10.083</v>
      </c>
      <c r="G230" s="146">
        <v>15.95</v>
      </c>
      <c r="H230" s="146" t="s">
        <v>1284</v>
      </c>
    </row>
    <row r="231" spans="1:8" x14ac:dyDescent="0.25">
      <c r="A231" s="145" t="s">
        <v>322</v>
      </c>
      <c r="B231" s="127" t="s">
        <v>1312</v>
      </c>
      <c r="C231" s="3" t="s">
        <v>323</v>
      </c>
      <c r="D231" t="s">
        <v>324</v>
      </c>
      <c r="E231" s="127" t="s">
        <v>66</v>
      </c>
      <c r="F231" s="4">
        <v>148</v>
      </c>
    </row>
    <row r="232" spans="1:8" x14ac:dyDescent="0.25">
      <c r="A232" s="150" t="s">
        <v>322</v>
      </c>
      <c r="B232" s="147" t="s">
        <v>1312</v>
      </c>
      <c r="C232" s="148" t="s">
        <v>323</v>
      </c>
      <c r="D232" s="146" t="s">
        <v>324</v>
      </c>
      <c r="E232" s="147" t="s">
        <v>5</v>
      </c>
      <c r="F232" s="149">
        <v>12.333</v>
      </c>
      <c r="G232" s="146">
        <v>19.95</v>
      </c>
      <c r="H232" s="146" t="s">
        <v>942</v>
      </c>
    </row>
    <row r="233" spans="1:8" x14ac:dyDescent="0.25">
      <c r="A233" s="145" t="s">
        <v>325</v>
      </c>
      <c r="B233" s="127" t="s">
        <v>1312</v>
      </c>
      <c r="C233" s="3" t="s">
        <v>326</v>
      </c>
      <c r="D233" t="s">
        <v>327</v>
      </c>
      <c r="E233" s="127" t="s">
        <v>66</v>
      </c>
      <c r="F233" s="4">
        <v>121</v>
      </c>
    </row>
    <row r="234" spans="1:8" x14ac:dyDescent="0.25">
      <c r="A234" s="150" t="s">
        <v>325</v>
      </c>
      <c r="B234" s="147" t="s">
        <v>1312</v>
      </c>
      <c r="C234" s="148" t="s">
        <v>326</v>
      </c>
      <c r="D234" s="146" t="s">
        <v>327</v>
      </c>
      <c r="E234" s="147" t="s">
        <v>5</v>
      </c>
      <c r="F234" s="149">
        <v>10.083</v>
      </c>
      <c r="G234" s="146">
        <v>15.95</v>
      </c>
      <c r="H234" s="146" t="s">
        <v>1284</v>
      </c>
    </row>
    <row r="235" spans="1:8" x14ac:dyDescent="0.25">
      <c r="A235" s="145">
        <v>8420421087183</v>
      </c>
      <c r="B235" s="127">
        <v>23</v>
      </c>
      <c r="C235" s="3" t="s">
        <v>328</v>
      </c>
      <c r="D235" t="s">
        <v>1345</v>
      </c>
      <c r="E235" s="127" t="s">
        <v>4</v>
      </c>
      <c r="F235" s="155">
        <v>114</v>
      </c>
      <c r="G235" s="156"/>
    </row>
    <row r="236" spans="1:8" x14ac:dyDescent="0.25">
      <c r="A236" s="150">
        <v>8420421087183</v>
      </c>
      <c r="B236" s="147">
        <v>23</v>
      </c>
      <c r="C236" s="148" t="s">
        <v>328</v>
      </c>
      <c r="D236" s="146" t="s">
        <v>1345</v>
      </c>
      <c r="E236" s="147" t="s">
        <v>5</v>
      </c>
      <c r="F236" s="155">
        <v>19</v>
      </c>
      <c r="G236" s="156">
        <v>29.95</v>
      </c>
      <c r="H236" s="146"/>
    </row>
    <row r="237" spans="1:8" x14ac:dyDescent="0.25">
      <c r="A237" s="145">
        <v>8420421087190</v>
      </c>
      <c r="B237" s="127">
        <v>23</v>
      </c>
      <c r="C237" s="3" t="s">
        <v>329</v>
      </c>
      <c r="D237" t="s">
        <v>1346</v>
      </c>
      <c r="E237" s="127" t="s">
        <v>4</v>
      </c>
      <c r="F237" s="155">
        <v>129</v>
      </c>
      <c r="G237" s="156"/>
    </row>
    <row r="238" spans="1:8" x14ac:dyDescent="0.25">
      <c r="A238" s="150">
        <v>8420421087190</v>
      </c>
      <c r="B238" s="147">
        <v>23</v>
      </c>
      <c r="C238" s="148" t="s">
        <v>329</v>
      </c>
      <c r="D238" s="146" t="s">
        <v>1346</v>
      </c>
      <c r="E238" s="147" t="s">
        <v>5</v>
      </c>
      <c r="F238" s="155">
        <v>21.5</v>
      </c>
      <c r="G238" s="156">
        <v>33.950000000000003</v>
      </c>
      <c r="H238" s="146"/>
    </row>
    <row r="239" spans="1:8" x14ac:dyDescent="0.25">
      <c r="A239" s="145">
        <v>8420421087206</v>
      </c>
      <c r="B239" s="127">
        <v>23</v>
      </c>
      <c r="C239" s="3" t="s">
        <v>330</v>
      </c>
      <c r="D239" t="s">
        <v>1347</v>
      </c>
      <c r="E239" s="127" t="s">
        <v>4</v>
      </c>
      <c r="F239" s="4">
        <v>141</v>
      </c>
    </row>
    <row r="240" spans="1:8" x14ac:dyDescent="0.25">
      <c r="A240" s="150">
        <v>8420421087206</v>
      </c>
      <c r="B240" s="147">
        <v>23</v>
      </c>
      <c r="C240" s="148" t="s">
        <v>330</v>
      </c>
      <c r="D240" s="146" t="s">
        <v>1347</v>
      </c>
      <c r="E240" s="147" t="s">
        <v>5</v>
      </c>
      <c r="F240" s="149">
        <v>23.5</v>
      </c>
      <c r="G240" s="146">
        <v>36.950000000000003</v>
      </c>
      <c r="H240" s="146"/>
    </row>
    <row r="241" spans="1:8" x14ac:dyDescent="0.25">
      <c r="A241" s="145" t="s">
        <v>331</v>
      </c>
      <c r="B241" s="127" t="s">
        <v>1312</v>
      </c>
      <c r="C241" s="3" t="s">
        <v>332</v>
      </c>
      <c r="D241" t="s">
        <v>333</v>
      </c>
      <c r="E241" s="127" t="s">
        <v>36</v>
      </c>
      <c r="F241" s="4">
        <v>404</v>
      </c>
    </row>
    <row r="242" spans="1:8" x14ac:dyDescent="0.25">
      <c r="A242" s="150" t="s">
        <v>331</v>
      </c>
      <c r="B242" s="147" t="s">
        <v>1312</v>
      </c>
      <c r="C242" s="148" t="s">
        <v>332</v>
      </c>
      <c r="D242" s="146" t="s">
        <v>333</v>
      </c>
      <c r="E242" s="147" t="s">
        <v>5</v>
      </c>
      <c r="F242" s="149">
        <v>134.667</v>
      </c>
      <c r="G242" s="146">
        <v>211.95</v>
      </c>
      <c r="H242" s="146"/>
    </row>
    <row r="243" spans="1:8" x14ac:dyDescent="0.25">
      <c r="A243" s="145" t="s">
        <v>334</v>
      </c>
      <c r="B243" s="127" t="s">
        <v>1312</v>
      </c>
      <c r="C243" s="3" t="s">
        <v>335</v>
      </c>
      <c r="D243" t="s">
        <v>336</v>
      </c>
      <c r="E243" s="127" t="s">
        <v>32</v>
      </c>
      <c r="F243" s="4">
        <v>316</v>
      </c>
    </row>
    <row r="244" spans="1:8" x14ac:dyDescent="0.25">
      <c r="A244" s="150" t="s">
        <v>334</v>
      </c>
      <c r="B244" s="147" t="s">
        <v>1312</v>
      </c>
      <c r="C244" s="148" t="s">
        <v>335</v>
      </c>
      <c r="D244" s="146" t="s">
        <v>336</v>
      </c>
      <c r="E244" s="147" t="s">
        <v>5</v>
      </c>
      <c r="F244" s="149">
        <v>158</v>
      </c>
      <c r="G244" s="146">
        <v>248.95</v>
      </c>
      <c r="H244" s="146"/>
    </row>
    <row r="245" spans="1:8" x14ac:dyDescent="0.25">
      <c r="A245" s="145" t="s">
        <v>337</v>
      </c>
      <c r="B245" s="127" t="s">
        <v>1312</v>
      </c>
      <c r="C245" s="3" t="s">
        <v>338</v>
      </c>
      <c r="D245" t="s">
        <v>339</v>
      </c>
      <c r="E245" s="127" t="s">
        <v>36</v>
      </c>
      <c r="F245" s="4">
        <v>172</v>
      </c>
    </row>
    <row r="246" spans="1:8" x14ac:dyDescent="0.25">
      <c r="A246" s="150" t="s">
        <v>337</v>
      </c>
      <c r="B246" s="147" t="s">
        <v>1312</v>
      </c>
      <c r="C246" s="148" t="s">
        <v>338</v>
      </c>
      <c r="D246" s="146" t="s">
        <v>339</v>
      </c>
      <c r="E246" s="147" t="s">
        <v>5</v>
      </c>
      <c r="F246" s="149">
        <v>57.332999999999998</v>
      </c>
      <c r="G246" s="146">
        <v>89.95</v>
      </c>
      <c r="H246" s="146" t="s">
        <v>1343</v>
      </c>
    </row>
    <row r="247" spans="1:8" x14ac:dyDescent="0.25">
      <c r="A247" s="145" t="s">
        <v>340</v>
      </c>
      <c r="B247" s="127" t="s">
        <v>1312</v>
      </c>
      <c r="C247" s="3" t="s">
        <v>341</v>
      </c>
      <c r="D247" t="s">
        <v>342</v>
      </c>
      <c r="E247" s="127" t="s">
        <v>36</v>
      </c>
      <c r="F247" s="4">
        <v>172</v>
      </c>
    </row>
    <row r="248" spans="1:8" x14ac:dyDescent="0.25">
      <c r="A248" s="150" t="s">
        <v>340</v>
      </c>
      <c r="B248" s="147" t="s">
        <v>1312</v>
      </c>
      <c r="C248" s="148" t="s">
        <v>341</v>
      </c>
      <c r="D248" s="146" t="s">
        <v>342</v>
      </c>
      <c r="E248" s="147" t="s">
        <v>5</v>
      </c>
      <c r="F248" s="149">
        <v>57.332999999999998</v>
      </c>
      <c r="G248" s="146">
        <v>89.95</v>
      </c>
      <c r="H248" s="146" t="s">
        <v>1348</v>
      </c>
    </row>
    <row r="249" spans="1:8" x14ac:dyDescent="0.25">
      <c r="A249" s="145" t="s">
        <v>343</v>
      </c>
      <c r="B249" s="127" t="s">
        <v>1312</v>
      </c>
      <c r="C249" s="3" t="s">
        <v>344</v>
      </c>
      <c r="D249" t="s">
        <v>345</v>
      </c>
      <c r="E249" s="127" t="s">
        <v>36</v>
      </c>
      <c r="F249" s="4">
        <v>74</v>
      </c>
    </row>
    <row r="250" spans="1:8" x14ac:dyDescent="0.25">
      <c r="A250" s="150" t="s">
        <v>343</v>
      </c>
      <c r="B250" s="147" t="s">
        <v>1312</v>
      </c>
      <c r="C250" s="148" t="s">
        <v>344</v>
      </c>
      <c r="D250" s="146" t="s">
        <v>345</v>
      </c>
      <c r="E250" s="147" t="s">
        <v>5</v>
      </c>
      <c r="F250" s="149">
        <v>24.667000000000002</v>
      </c>
      <c r="G250" s="146">
        <v>38.950000000000003</v>
      </c>
      <c r="H250" s="146" t="s">
        <v>1343</v>
      </c>
    </row>
    <row r="251" spans="1:8" x14ac:dyDescent="0.25">
      <c r="A251" s="145" t="s">
        <v>346</v>
      </c>
      <c r="B251" s="127" t="s">
        <v>1312</v>
      </c>
      <c r="C251" s="3" t="s">
        <v>347</v>
      </c>
      <c r="D251" t="s">
        <v>348</v>
      </c>
      <c r="E251" s="127" t="s">
        <v>36</v>
      </c>
      <c r="F251" s="4">
        <v>74</v>
      </c>
    </row>
    <row r="252" spans="1:8" x14ac:dyDescent="0.25">
      <c r="A252" s="150" t="s">
        <v>346</v>
      </c>
      <c r="B252" s="147" t="s">
        <v>1312</v>
      </c>
      <c r="C252" s="148" t="s">
        <v>347</v>
      </c>
      <c r="D252" s="146" t="s">
        <v>348</v>
      </c>
      <c r="E252" s="147" t="s">
        <v>5</v>
      </c>
      <c r="F252" s="149">
        <v>24.667000000000002</v>
      </c>
      <c r="G252" s="146">
        <v>38.950000000000003</v>
      </c>
      <c r="H252" s="146" t="s">
        <v>1348</v>
      </c>
    </row>
    <row r="253" spans="1:8" x14ac:dyDescent="0.25">
      <c r="A253" s="145" t="s">
        <v>349</v>
      </c>
      <c r="B253" s="127" t="s">
        <v>1312</v>
      </c>
      <c r="C253" s="3" t="s">
        <v>350</v>
      </c>
      <c r="D253" t="s">
        <v>351</v>
      </c>
      <c r="E253" s="127" t="s">
        <v>12</v>
      </c>
      <c r="F253" s="155">
        <v>112</v>
      </c>
      <c r="G253" s="156"/>
    </row>
    <row r="254" spans="1:8" x14ac:dyDescent="0.25">
      <c r="A254" s="150" t="s">
        <v>349</v>
      </c>
      <c r="B254" s="147" t="s">
        <v>1312</v>
      </c>
      <c r="C254" s="148" t="s">
        <v>350</v>
      </c>
      <c r="D254" s="146" t="s">
        <v>351</v>
      </c>
      <c r="E254" s="147" t="s">
        <v>5</v>
      </c>
      <c r="F254" s="155">
        <v>28</v>
      </c>
      <c r="G254" s="156">
        <v>44.95</v>
      </c>
      <c r="H254" s="146" t="s">
        <v>1349</v>
      </c>
    </row>
    <row r="255" spans="1:8" x14ac:dyDescent="0.25">
      <c r="A255" s="145" t="s">
        <v>352</v>
      </c>
      <c r="B255" s="127" t="s">
        <v>1312</v>
      </c>
      <c r="C255" s="3" t="s">
        <v>353</v>
      </c>
      <c r="D255" t="s">
        <v>354</v>
      </c>
      <c r="E255" s="127" t="s">
        <v>12</v>
      </c>
      <c r="F255" s="155">
        <v>112</v>
      </c>
      <c r="G255" s="156"/>
    </row>
    <row r="256" spans="1:8" x14ac:dyDescent="0.25">
      <c r="A256" s="150" t="s">
        <v>352</v>
      </c>
      <c r="B256" s="147" t="s">
        <v>1312</v>
      </c>
      <c r="C256" s="148" t="s">
        <v>353</v>
      </c>
      <c r="D256" s="146" t="s">
        <v>354</v>
      </c>
      <c r="E256" s="147" t="s">
        <v>5</v>
      </c>
      <c r="F256" s="155">
        <v>28</v>
      </c>
      <c r="G256" s="156">
        <v>44.95</v>
      </c>
      <c r="H256" s="146" t="s">
        <v>1333</v>
      </c>
    </row>
    <row r="257" spans="1:8" x14ac:dyDescent="0.25">
      <c r="A257" s="145" t="s">
        <v>355</v>
      </c>
      <c r="B257" s="127" t="s">
        <v>1312</v>
      </c>
      <c r="C257" s="3" t="s">
        <v>356</v>
      </c>
      <c r="D257" t="s">
        <v>357</v>
      </c>
      <c r="E257" s="127" t="s">
        <v>36</v>
      </c>
      <c r="F257" s="4">
        <v>148</v>
      </c>
    </row>
    <row r="258" spans="1:8" x14ac:dyDescent="0.25">
      <c r="A258" s="150" t="s">
        <v>355</v>
      </c>
      <c r="B258" s="147" t="s">
        <v>1312</v>
      </c>
      <c r="C258" s="148" t="s">
        <v>356</v>
      </c>
      <c r="D258" s="146" t="s">
        <v>357</v>
      </c>
      <c r="E258" s="147" t="s">
        <v>5</v>
      </c>
      <c r="F258" s="149">
        <v>49.332999999999998</v>
      </c>
      <c r="G258" s="146">
        <v>77.95</v>
      </c>
      <c r="H258" s="146" t="s">
        <v>1350</v>
      </c>
    </row>
    <row r="259" spans="1:8" x14ac:dyDescent="0.25">
      <c r="A259" s="145" t="s">
        <v>358</v>
      </c>
      <c r="B259" s="127" t="s">
        <v>1312</v>
      </c>
      <c r="C259" s="3" t="s">
        <v>359</v>
      </c>
      <c r="D259" t="s">
        <v>360</v>
      </c>
      <c r="E259" s="127" t="s">
        <v>36</v>
      </c>
      <c r="F259" s="155">
        <v>123</v>
      </c>
      <c r="G259" s="156"/>
    </row>
    <row r="260" spans="1:8" x14ac:dyDescent="0.25">
      <c r="A260" s="150" t="s">
        <v>358</v>
      </c>
      <c r="B260" s="147" t="s">
        <v>1312</v>
      </c>
      <c r="C260" s="148" t="s">
        <v>359</v>
      </c>
      <c r="D260" s="146" t="s">
        <v>360</v>
      </c>
      <c r="E260" s="147" t="s">
        <v>5</v>
      </c>
      <c r="F260" s="155">
        <v>41</v>
      </c>
      <c r="G260" s="156">
        <v>64.95</v>
      </c>
      <c r="H260" s="146" t="s">
        <v>1351</v>
      </c>
    </row>
    <row r="261" spans="1:8" x14ac:dyDescent="0.25">
      <c r="A261" s="145" t="s">
        <v>361</v>
      </c>
      <c r="B261" s="127" t="s">
        <v>1312</v>
      </c>
      <c r="C261" s="3" t="s">
        <v>362</v>
      </c>
      <c r="D261" t="s">
        <v>363</v>
      </c>
      <c r="E261" s="127" t="s">
        <v>36</v>
      </c>
      <c r="F261" s="155">
        <v>123</v>
      </c>
      <c r="G261" s="156"/>
    </row>
    <row r="262" spans="1:8" x14ac:dyDescent="0.25">
      <c r="A262" s="150" t="s">
        <v>361</v>
      </c>
      <c r="B262" s="147" t="s">
        <v>1312</v>
      </c>
      <c r="C262" s="148" t="s">
        <v>362</v>
      </c>
      <c r="D262" s="146" t="s">
        <v>363</v>
      </c>
      <c r="E262" s="147" t="s">
        <v>5</v>
      </c>
      <c r="F262" s="155">
        <v>41</v>
      </c>
      <c r="G262" s="156">
        <v>64.95</v>
      </c>
      <c r="H262" s="146" t="s">
        <v>1352</v>
      </c>
    </row>
    <row r="263" spans="1:8" x14ac:dyDescent="0.25">
      <c r="A263" s="145">
        <v>8420421085752</v>
      </c>
      <c r="B263" s="127">
        <v>23</v>
      </c>
      <c r="C263" s="3" t="s">
        <v>364</v>
      </c>
      <c r="D263" t="s">
        <v>1353</v>
      </c>
      <c r="E263" s="127" t="s">
        <v>36</v>
      </c>
      <c r="F263" s="4">
        <v>94.5</v>
      </c>
    </row>
    <row r="264" spans="1:8" x14ac:dyDescent="0.25">
      <c r="A264" s="150">
        <v>8420421085752</v>
      </c>
      <c r="B264" s="147">
        <v>23</v>
      </c>
      <c r="C264" s="148" t="s">
        <v>364</v>
      </c>
      <c r="D264" s="146" t="s">
        <v>1353</v>
      </c>
      <c r="E264" s="147" t="s">
        <v>5</v>
      </c>
      <c r="F264" s="149">
        <v>31.5</v>
      </c>
      <c r="G264" s="146">
        <v>49.95</v>
      </c>
      <c r="H264" s="146" t="s">
        <v>1343</v>
      </c>
    </row>
    <row r="265" spans="1:8" x14ac:dyDescent="0.25">
      <c r="A265" s="145">
        <v>8420421085745</v>
      </c>
      <c r="B265" s="127">
        <v>23</v>
      </c>
      <c r="C265" s="3" t="s">
        <v>365</v>
      </c>
      <c r="D265" t="s">
        <v>1353</v>
      </c>
      <c r="E265" s="127" t="s">
        <v>36</v>
      </c>
      <c r="F265" s="4">
        <v>94.5</v>
      </c>
    </row>
    <row r="266" spans="1:8" x14ac:dyDescent="0.25">
      <c r="A266" s="150">
        <v>8420421085745</v>
      </c>
      <c r="B266" s="147">
        <v>23</v>
      </c>
      <c r="C266" s="148" t="s">
        <v>365</v>
      </c>
      <c r="D266" s="146" t="s">
        <v>1353</v>
      </c>
      <c r="E266" s="147" t="s">
        <v>5</v>
      </c>
      <c r="F266" s="149">
        <v>31.5</v>
      </c>
      <c r="G266" s="146">
        <v>49.95</v>
      </c>
      <c r="H266" s="146" t="s">
        <v>1354</v>
      </c>
    </row>
    <row r="267" spans="1:8" x14ac:dyDescent="0.25">
      <c r="A267" s="145">
        <v>8420421087428</v>
      </c>
      <c r="B267" s="127">
        <v>23</v>
      </c>
      <c r="C267" s="3" t="s">
        <v>366</v>
      </c>
      <c r="D267" t="s">
        <v>367</v>
      </c>
      <c r="E267" s="127" t="s">
        <v>36</v>
      </c>
      <c r="F267" s="4">
        <v>85.5</v>
      </c>
    </row>
    <row r="268" spans="1:8" x14ac:dyDescent="0.25">
      <c r="A268" s="150">
        <v>8420421087428</v>
      </c>
      <c r="B268" s="147">
        <v>23</v>
      </c>
      <c r="C268" s="148" t="s">
        <v>366</v>
      </c>
      <c r="D268" s="146" t="s">
        <v>367</v>
      </c>
      <c r="E268" s="147" t="s">
        <v>5</v>
      </c>
      <c r="F268" s="149">
        <v>28.5</v>
      </c>
      <c r="G268" s="146">
        <v>44.95</v>
      </c>
      <c r="H268" s="146" t="s">
        <v>1343</v>
      </c>
    </row>
    <row r="269" spans="1:8" x14ac:dyDescent="0.25">
      <c r="A269" s="145">
        <v>8420421087435</v>
      </c>
      <c r="B269" s="127">
        <v>23</v>
      </c>
      <c r="C269" s="3" t="s">
        <v>368</v>
      </c>
      <c r="D269" t="s">
        <v>369</v>
      </c>
      <c r="E269" s="127" t="s">
        <v>36</v>
      </c>
      <c r="F269" s="4">
        <v>85.5</v>
      </c>
    </row>
    <row r="270" spans="1:8" x14ac:dyDescent="0.25">
      <c r="A270" s="150">
        <v>8420421087435</v>
      </c>
      <c r="B270" s="147">
        <v>23</v>
      </c>
      <c r="C270" s="148" t="s">
        <v>368</v>
      </c>
      <c r="D270" s="146" t="s">
        <v>369</v>
      </c>
      <c r="E270" s="147" t="s">
        <v>5</v>
      </c>
      <c r="F270" s="149">
        <v>28.5</v>
      </c>
      <c r="G270" s="146">
        <v>44.95</v>
      </c>
      <c r="H270" s="146" t="s">
        <v>1354</v>
      </c>
    </row>
    <row r="271" spans="1:8" x14ac:dyDescent="0.25">
      <c r="A271" s="145" t="s">
        <v>370</v>
      </c>
      <c r="B271" s="127" t="s">
        <v>1312</v>
      </c>
      <c r="C271" s="3" t="s">
        <v>371</v>
      </c>
      <c r="D271" t="s">
        <v>372</v>
      </c>
      <c r="E271" s="127" t="s">
        <v>32</v>
      </c>
      <c r="F271" s="155">
        <v>82</v>
      </c>
      <c r="G271" s="156"/>
    </row>
    <row r="272" spans="1:8" x14ac:dyDescent="0.25">
      <c r="A272" s="150" t="s">
        <v>370</v>
      </c>
      <c r="B272" s="147" t="s">
        <v>1312</v>
      </c>
      <c r="C272" s="148" t="s">
        <v>371</v>
      </c>
      <c r="D272" s="146" t="s">
        <v>372</v>
      </c>
      <c r="E272" s="147" t="s">
        <v>5</v>
      </c>
      <c r="F272" s="155">
        <v>41</v>
      </c>
      <c r="G272" s="156">
        <v>64.95</v>
      </c>
      <c r="H272" s="146" t="s">
        <v>1355</v>
      </c>
    </row>
    <row r="273" spans="1:8" x14ac:dyDescent="0.25">
      <c r="A273" s="145" t="s">
        <v>373</v>
      </c>
      <c r="B273" s="127" t="s">
        <v>1312</v>
      </c>
      <c r="C273" s="3" t="s">
        <v>374</v>
      </c>
      <c r="D273" t="s">
        <v>375</v>
      </c>
      <c r="E273" s="127" t="s">
        <v>32</v>
      </c>
      <c r="F273" s="155">
        <v>82</v>
      </c>
      <c r="G273" s="156"/>
    </row>
    <row r="274" spans="1:8" x14ac:dyDescent="0.25">
      <c r="A274" s="150" t="s">
        <v>373</v>
      </c>
      <c r="B274" s="147" t="s">
        <v>1312</v>
      </c>
      <c r="C274" s="148" t="s">
        <v>374</v>
      </c>
      <c r="D274" s="146" t="s">
        <v>375</v>
      </c>
      <c r="E274" s="147" t="s">
        <v>5</v>
      </c>
      <c r="F274" s="155">
        <v>41</v>
      </c>
      <c r="G274" s="156">
        <v>64.95</v>
      </c>
      <c r="H274" s="146" t="s">
        <v>1262</v>
      </c>
    </row>
    <row r="275" spans="1:8" x14ac:dyDescent="0.25">
      <c r="A275" s="145">
        <v>8420421085905</v>
      </c>
      <c r="B275" s="127">
        <v>23</v>
      </c>
      <c r="C275" s="3" t="s">
        <v>376</v>
      </c>
      <c r="D275" t="s">
        <v>1356</v>
      </c>
      <c r="E275" s="127" t="s">
        <v>36</v>
      </c>
      <c r="F275" s="4">
        <f>F276*3</f>
        <v>95.4</v>
      </c>
    </row>
    <row r="276" spans="1:8" x14ac:dyDescent="0.25">
      <c r="A276" s="150">
        <v>8420421085905</v>
      </c>
      <c r="B276" s="147">
        <v>23</v>
      </c>
      <c r="C276" s="148" t="s">
        <v>376</v>
      </c>
      <c r="D276" s="146" t="s">
        <v>1356</v>
      </c>
      <c r="E276" s="147" t="s">
        <v>5</v>
      </c>
      <c r="F276" s="149">
        <v>31.8</v>
      </c>
      <c r="G276" s="146">
        <v>49.95</v>
      </c>
      <c r="H276" s="146" t="s">
        <v>1357</v>
      </c>
    </row>
    <row r="277" spans="1:8" x14ac:dyDescent="0.25">
      <c r="A277" s="145" t="s">
        <v>377</v>
      </c>
      <c r="B277" s="127" t="s">
        <v>1312</v>
      </c>
      <c r="C277" s="3" t="s">
        <v>378</v>
      </c>
      <c r="D277" t="s">
        <v>379</v>
      </c>
      <c r="E277" s="127" t="s">
        <v>12</v>
      </c>
      <c r="F277" s="4">
        <v>57</v>
      </c>
    </row>
    <row r="278" spans="1:8" x14ac:dyDescent="0.25">
      <c r="A278" s="150" t="s">
        <v>377</v>
      </c>
      <c r="B278" s="147" t="s">
        <v>1312</v>
      </c>
      <c r="C278" s="148" t="s">
        <v>378</v>
      </c>
      <c r="D278" s="146" t="s">
        <v>379</v>
      </c>
      <c r="E278" s="147" t="s">
        <v>5</v>
      </c>
      <c r="F278" s="149">
        <v>14.25</v>
      </c>
      <c r="G278" s="146">
        <v>22.95</v>
      </c>
      <c r="H278" s="146" t="s">
        <v>1326</v>
      </c>
    </row>
    <row r="279" spans="1:8" x14ac:dyDescent="0.25">
      <c r="A279" s="145" t="s">
        <v>380</v>
      </c>
      <c r="B279" s="127" t="s">
        <v>1312</v>
      </c>
      <c r="C279" s="3" t="s">
        <v>381</v>
      </c>
      <c r="D279" t="s">
        <v>382</v>
      </c>
      <c r="E279" s="127" t="s">
        <v>12</v>
      </c>
      <c r="F279" s="4">
        <v>81</v>
      </c>
    </row>
    <row r="280" spans="1:8" x14ac:dyDescent="0.25">
      <c r="A280" s="150" t="s">
        <v>380</v>
      </c>
      <c r="B280" s="147" t="s">
        <v>1312</v>
      </c>
      <c r="C280" s="148" t="s">
        <v>381</v>
      </c>
      <c r="D280" s="146" t="s">
        <v>382</v>
      </c>
      <c r="E280" s="147" t="s">
        <v>5</v>
      </c>
      <c r="F280" s="149">
        <v>20.25</v>
      </c>
      <c r="G280" s="146">
        <v>31.95</v>
      </c>
      <c r="H280" s="146" t="s">
        <v>948</v>
      </c>
    </row>
    <row r="281" spans="1:8" x14ac:dyDescent="0.25">
      <c r="A281" s="145" t="s">
        <v>383</v>
      </c>
      <c r="B281" s="127" t="s">
        <v>1312</v>
      </c>
      <c r="C281" s="3" t="s">
        <v>384</v>
      </c>
      <c r="D281" t="s">
        <v>385</v>
      </c>
      <c r="E281" s="127" t="s">
        <v>12</v>
      </c>
      <c r="F281" s="4">
        <v>81</v>
      </c>
    </row>
    <row r="282" spans="1:8" x14ac:dyDescent="0.25">
      <c r="A282" s="150" t="s">
        <v>383</v>
      </c>
      <c r="B282" s="147" t="s">
        <v>1312</v>
      </c>
      <c r="C282" s="148" t="s">
        <v>384</v>
      </c>
      <c r="D282" s="146" t="s">
        <v>385</v>
      </c>
      <c r="E282" s="147" t="s">
        <v>5</v>
      </c>
      <c r="F282" s="149">
        <v>20.25</v>
      </c>
      <c r="G282" s="146">
        <v>31.95</v>
      </c>
      <c r="H282" s="146" t="s">
        <v>1325</v>
      </c>
    </row>
    <row r="283" spans="1:8" x14ac:dyDescent="0.25">
      <c r="A283" s="145" t="s">
        <v>386</v>
      </c>
      <c r="B283" s="127" t="s">
        <v>1312</v>
      </c>
      <c r="C283" s="3" t="s">
        <v>387</v>
      </c>
      <c r="D283" t="s">
        <v>388</v>
      </c>
      <c r="E283" s="127" t="s">
        <v>12</v>
      </c>
      <c r="F283" s="155">
        <v>66</v>
      </c>
      <c r="G283" s="156"/>
    </row>
    <row r="284" spans="1:8" x14ac:dyDescent="0.25">
      <c r="A284" s="150" t="s">
        <v>386</v>
      </c>
      <c r="B284" s="147" t="s">
        <v>1312</v>
      </c>
      <c r="C284" s="148" t="s">
        <v>387</v>
      </c>
      <c r="D284" s="146" t="s">
        <v>388</v>
      </c>
      <c r="E284" s="147" t="s">
        <v>5</v>
      </c>
      <c r="F284" s="155">
        <v>16.5</v>
      </c>
      <c r="G284" s="156">
        <v>25.95</v>
      </c>
      <c r="H284" s="146" t="s">
        <v>1358</v>
      </c>
    </row>
    <row r="285" spans="1:8" x14ac:dyDescent="0.25">
      <c r="A285" s="145" t="s">
        <v>389</v>
      </c>
      <c r="B285" s="127" t="s">
        <v>1312</v>
      </c>
      <c r="C285" s="3" t="s">
        <v>390</v>
      </c>
      <c r="D285" t="s">
        <v>388</v>
      </c>
      <c r="E285" s="127" t="s">
        <v>12</v>
      </c>
      <c r="F285" s="155">
        <v>66</v>
      </c>
      <c r="G285" s="156"/>
    </row>
    <row r="286" spans="1:8" x14ac:dyDescent="0.25">
      <c r="A286" s="150" t="s">
        <v>389</v>
      </c>
      <c r="B286" s="147" t="s">
        <v>1312</v>
      </c>
      <c r="C286" s="148" t="s">
        <v>390</v>
      </c>
      <c r="D286" s="146" t="s">
        <v>388</v>
      </c>
      <c r="E286" s="147" t="s">
        <v>5</v>
      </c>
      <c r="F286" s="155">
        <v>16.5</v>
      </c>
      <c r="G286" s="156">
        <v>25.95</v>
      </c>
      <c r="H286" s="146" t="s">
        <v>1359</v>
      </c>
    </row>
    <row r="287" spans="1:8" x14ac:dyDescent="0.25">
      <c r="A287" s="145" t="s">
        <v>391</v>
      </c>
      <c r="B287" s="127" t="s">
        <v>1312</v>
      </c>
      <c r="C287" s="3" t="s">
        <v>392</v>
      </c>
      <c r="D287" t="s">
        <v>393</v>
      </c>
      <c r="E287" s="127" t="s">
        <v>12</v>
      </c>
      <c r="F287" s="4">
        <v>63</v>
      </c>
    </row>
    <row r="288" spans="1:8" x14ac:dyDescent="0.25">
      <c r="A288" s="150" t="s">
        <v>391</v>
      </c>
      <c r="B288" s="147" t="s">
        <v>1312</v>
      </c>
      <c r="C288" s="148" t="s">
        <v>392</v>
      </c>
      <c r="D288" s="146" t="s">
        <v>393</v>
      </c>
      <c r="E288" s="147" t="s">
        <v>5</v>
      </c>
      <c r="F288" s="149">
        <v>15.75</v>
      </c>
      <c r="G288" s="146">
        <v>24.95</v>
      </c>
      <c r="H288" s="146" t="s">
        <v>938</v>
      </c>
    </row>
    <row r="289" spans="1:8" x14ac:dyDescent="0.25">
      <c r="A289" s="145" t="s">
        <v>394</v>
      </c>
      <c r="B289" s="127" t="s">
        <v>1312</v>
      </c>
      <c r="C289" s="3" t="s">
        <v>395</v>
      </c>
      <c r="D289" t="s">
        <v>396</v>
      </c>
      <c r="E289" s="127" t="s">
        <v>12</v>
      </c>
      <c r="F289" s="4">
        <v>57</v>
      </c>
    </row>
    <row r="290" spans="1:8" x14ac:dyDescent="0.25">
      <c r="A290" s="150" t="s">
        <v>394</v>
      </c>
      <c r="B290" s="147" t="s">
        <v>1312</v>
      </c>
      <c r="C290" s="148" t="s">
        <v>395</v>
      </c>
      <c r="D290" s="146" t="s">
        <v>396</v>
      </c>
      <c r="E290" s="147" t="s">
        <v>5</v>
      </c>
      <c r="F290" s="149">
        <v>14.25</v>
      </c>
      <c r="G290" s="146">
        <v>22.95</v>
      </c>
      <c r="H290" s="146" t="s">
        <v>1360</v>
      </c>
    </row>
    <row r="291" spans="1:8" x14ac:dyDescent="0.25">
      <c r="A291" s="145" t="s">
        <v>397</v>
      </c>
      <c r="B291" s="127" t="s">
        <v>1312</v>
      </c>
      <c r="C291" s="3" t="s">
        <v>398</v>
      </c>
      <c r="D291" t="s">
        <v>399</v>
      </c>
      <c r="E291" s="127" t="s">
        <v>36</v>
      </c>
      <c r="F291" s="4">
        <v>103.5</v>
      </c>
    </row>
    <row r="292" spans="1:8" x14ac:dyDescent="0.25">
      <c r="A292" s="150" t="s">
        <v>397</v>
      </c>
      <c r="B292" s="147" t="s">
        <v>1312</v>
      </c>
      <c r="C292" s="148" t="s">
        <v>398</v>
      </c>
      <c r="D292" s="146" t="s">
        <v>399</v>
      </c>
      <c r="E292" s="147" t="s">
        <v>5</v>
      </c>
      <c r="F292" s="149">
        <v>34.5</v>
      </c>
      <c r="G292" s="146">
        <v>54.95</v>
      </c>
      <c r="H292" s="146" t="s">
        <v>1357</v>
      </c>
    </row>
    <row r="293" spans="1:8" x14ac:dyDescent="0.25">
      <c r="A293" s="145" t="s">
        <v>400</v>
      </c>
      <c r="B293" s="127" t="s">
        <v>1312</v>
      </c>
      <c r="C293" s="3" t="s">
        <v>401</v>
      </c>
      <c r="D293" t="s">
        <v>402</v>
      </c>
      <c r="E293" s="127" t="s">
        <v>36</v>
      </c>
      <c r="F293" s="4">
        <v>103.5</v>
      </c>
    </row>
    <row r="294" spans="1:8" x14ac:dyDescent="0.25">
      <c r="A294" s="150" t="s">
        <v>400</v>
      </c>
      <c r="B294" s="147" t="s">
        <v>1312</v>
      </c>
      <c r="C294" s="148" t="s">
        <v>401</v>
      </c>
      <c r="D294" s="146" t="s">
        <v>402</v>
      </c>
      <c r="E294" s="147" t="s">
        <v>5</v>
      </c>
      <c r="F294" s="149">
        <v>34.5</v>
      </c>
      <c r="G294" s="156">
        <v>54.95</v>
      </c>
      <c r="H294" s="146" t="s">
        <v>1339</v>
      </c>
    </row>
    <row r="295" spans="1:8" x14ac:dyDescent="0.25">
      <c r="A295" s="145" t="s">
        <v>403</v>
      </c>
      <c r="B295" s="127" t="s">
        <v>1312</v>
      </c>
      <c r="C295" s="3" t="s">
        <v>404</v>
      </c>
      <c r="D295" t="s">
        <v>405</v>
      </c>
      <c r="E295" s="127" t="s">
        <v>36</v>
      </c>
      <c r="F295" s="4">
        <v>103.5</v>
      </c>
    </row>
    <row r="296" spans="1:8" x14ac:dyDescent="0.25">
      <c r="A296" s="150" t="s">
        <v>403</v>
      </c>
      <c r="B296" s="147" t="s">
        <v>1312</v>
      </c>
      <c r="C296" s="148" t="s">
        <v>404</v>
      </c>
      <c r="D296" s="146" t="s">
        <v>405</v>
      </c>
      <c r="E296" s="147" t="s">
        <v>5</v>
      </c>
      <c r="F296" s="149">
        <v>34.5</v>
      </c>
      <c r="G296" s="156">
        <v>54.95</v>
      </c>
      <c r="H296" s="146" t="s">
        <v>1284</v>
      </c>
    </row>
    <row r="297" spans="1:8" x14ac:dyDescent="0.25">
      <c r="A297" s="145" t="s">
        <v>406</v>
      </c>
      <c r="B297" s="127" t="s">
        <v>1312</v>
      </c>
      <c r="C297" s="3" t="s">
        <v>407</v>
      </c>
      <c r="D297" t="s">
        <v>408</v>
      </c>
      <c r="E297" s="127" t="s">
        <v>36</v>
      </c>
      <c r="F297" s="155">
        <v>57</v>
      </c>
      <c r="G297" s="156"/>
    </row>
    <row r="298" spans="1:8" x14ac:dyDescent="0.25">
      <c r="A298" s="150" t="s">
        <v>406</v>
      </c>
      <c r="B298" s="147" t="s">
        <v>1312</v>
      </c>
      <c r="C298" s="148" t="s">
        <v>407</v>
      </c>
      <c r="D298" s="146" t="s">
        <v>408</v>
      </c>
      <c r="E298" s="147" t="s">
        <v>5</v>
      </c>
      <c r="F298" s="155">
        <v>19</v>
      </c>
      <c r="G298" s="156">
        <v>29.95</v>
      </c>
      <c r="H298" s="146" t="s">
        <v>1348</v>
      </c>
    </row>
    <row r="299" spans="1:8" x14ac:dyDescent="0.25">
      <c r="A299" s="145" t="s">
        <v>1314</v>
      </c>
      <c r="B299" s="127" t="s">
        <v>1312</v>
      </c>
      <c r="C299" s="3" t="s">
        <v>1315</v>
      </c>
      <c r="D299" t="s">
        <v>1361</v>
      </c>
      <c r="E299" s="127" t="s">
        <v>12</v>
      </c>
      <c r="F299" s="4">
        <v>49</v>
      </c>
    </row>
    <row r="300" spans="1:8" x14ac:dyDescent="0.25">
      <c r="A300" s="150" t="s">
        <v>1314</v>
      </c>
      <c r="B300" s="147" t="s">
        <v>1312</v>
      </c>
      <c r="C300" s="148" t="s">
        <v>1315</v>
      </c>
      <c r="D300" s="146" t="s">
        <v>1361</v>
      </c>
      <c r="E300" s="147" t="s">
        <v>5</v>
      </c>
      <c r="F300" s="149">
        <v>12.25</v>
      </c>
      <c r="G300" s="146">
        <v>19.95</v>
      </c>
      <c r="H300" s="146" t="s">
        <v>1255</v>
      </c>
    </row>
    <row r="301" spans="1:8" x14ac:dyDescent="0.25">
      <c r="A301" s="145">
        <v>8420421085936</v>
      </c>
      <c r="B301" s="127">
        <v>23</v>
      </c>
      <c r="C301" s="3" t="s">
        <v>409</v>
      </c>
      <c r="D301" t="s">
        <v>1361</v>
      </c>
      <c r="E301" s="127" t="s">
        <v>12</v>
      </c>
      <c r="F301" s="4">
        <v>56</v>
      </c>
    </row>
    <row r="302" spans="1:8" x14ac:dyDescent="0.25">
      <c r="A302" s="150">
        <v>8420421085936</v>
      </c>
      <c r="B302" s="147">
        <v>23</v>
      </c>
      <c r="C302" s="148" t="s">
        <v>409</v>
      </c>
      <c r="D302" s="146" t="s">
        <v>1361</v>
      </c>
      <c r="E302" s="147" t="s">
        <v>5</v>
      </c>
      <c r="F302" s="149">
        <v>14</v>
      </c>
      <c r="G302" s="146">
        <v>21.95</v>
      </c>
      <c r="H302" s="146" t="s">
        <v>942</v>
      </c>
    </row>
    <row r="303" spans="1:8" x14ac:dyDescent="0.25">
      <c r="A303" s="145" t="s">
        <v>410</v>
      </c>
      <c r="B303" s="127" t="s">
        <v>1312</v>
      </c>
      <c r="C303" s="3" t="s">
        <v>411</v>
      </c>
      <c r="D303" t="s">
        <v>412</v>
      </c>
      <c r="E303" s="127" t="s">
        <v>36</v>
      </c>
      <c r="F303" s="4">
        <v>63</v>
      </c>
    </row>
    <row r="304" spans="1:8" x14ac:dyDescent="0.25">
      <c r="A304" s="150" t="s">
        <v>410</v>
      </c>
      <c r="B304" s="147" t="s">
        <v>1312</v>
      </c>
      <c r="C304" s="148" t="s">
        <v>411</v>
      </c>
      <c r="D304" s="146" t="s">
        <v>412</v>
      </c>
      <c r="E304" s="147" t="s">
        <v>5</v>
      </c>
      <c r="F304" s="149">
        <v>21</v>
      </c>
      <c r="G304" s="146">
        <v>32.950000000000003</v>
      </c>
      <c r="H304" s="146" t="s">
        <v>948</v>
      </c>
    </row>
    <row r="305" spans="1:8" x14ac:dyDescent="0.25">
      <c r="A305" s="145" t="s">
        <v>413</v>
      </c>
      <c r="B305" s="127" t="s">
        <v>1312</v>
      </c>
      <c r="C305" s="3" t="s">
        <v>414</v>
      </c>
      <c r="D305" t="s">
        <v>415</v>
      </c>
      <c r="E305" s="127" t="s">
        <v>36</v>
      </c>
      <c r="F305" s="4">
        <v>63</v>
      </c>
    </row>
    <row r="306" spans="1:8" x14ac:dyDescent="0.25">
      <c r="A306" s="150" t="s">
        <v>413</v>
      </c>
      <c r="B306" s="147" t="s">
        <v>1312</v>
      </c>
      <c r="C306" s="148" t="s">
        <v>414</v>
      </c>
      <c r="D306" s="146" t="s">
        <v>415</v>
      </c>
      <c r="E306" s="147" t="s">
        <v>5</v>
      </c>
      <c r="F306" s="149">
        <v>21</v>
      </c>
      <c r="G306" s="146">
        <v>32.950000000000003</v>
      </c>
      <c r="H306" s="146" t="s">
        <v>1325</v>
      </c>
    </row>
    <row r="307" spans="1:8" x14ac:dyDescent="0.25">
      <c r="A307" s="145" t="s">
        <v>416</v>
      </c>
      <c r="B307" s="127" t="s">
        <v>1312</v>
      </c>
      <c r="C307" s="3" t="s">
        <v>417</v>
      </c>
      <c r="D307" t="s">
        <v>418</v>
      </c>
      <c r="E307" s="127" t="s">
        <v>12</v>
      </c>
      <c r="F307" s="4">
        <v>86</v>
      </c>
    </row>
    <row r="308" spans="1:8" x14ac:dyDescent="0.25">
      <c r="A308" s="150" t="s">
        <v>416</v>
      </c>
      <c r="B308" s="147" t="s">
        <v>1312</v>
      </c>
      <c r="C308" s="148" t="s">
        <v>417</v>
      </c>
      <c r="D308" s="146" t="s">
        <v>418</v>
      </c>
      <c r="E308" s="147" t="s">
        <v>5</v>
      </c>
      <c r="F308" s="149">
        <v>21.5</v>
      </c>
      <c r="G308" s="146">
        <v>33.950000000000003</v>
      </c>
      <c r="H308" s="146" t="s">
        <v>1016</v>
      </c>
    </row>
    <row r="309" spans="1:8" x14ac:dyDescent="0.25">
      <c r="A309" s="145" t="s">
        <v>419</v>
      </c>
      <c r="B309" s="127" t="s">
        <v>1312</v>
      </c>
      <c r="C309" s="3" t="s">
        <v>420</v>
      </c>
      <c r="D309" t="s">
        <v>421</v>
      </c>
      <c r="E309" s="127" t="s">
        <v>12</v>
      </c>
      <c r="F309" s="155">
        <f>F310*4</f>
        <v>96</v>
      </c>
    </row>
    <row r="310" spans="1:8" x14ac:dyDescent="0.25">
      <c r="A310" s="150" t="s">
        <v>419</v>
      </c>
      <c r="B310" s="147" t="s">
        <v>1312</v>
      </c>
      <c r="C310" s="148" t="s">
        <v>420</v>
      </c>
      <c r="D310" s="146" t="s">
        <v>421</v>
      </c>
      <c r="E310" s="147" t="s">
        <v>5</v>
      </c>
      <c r="F310" s="149">
        <v>24</v>
      </c>
      <c r="G310" s="146">
        <v>37.950000000000003</v>
      </c>
      <c r="H310" s="146" t="s">
        <v>1016</v>
      </c>
    </row>
    <row r="311" spans="1:8" x14ac:dyDescent="0.25">
      <c r="A311" s="145">
        <v>8420421084984</v>
      </c>
      <c r="B311" s="127">
        <v>23</v>
      </c>
      <c r="C311" s="3" t="s">
        <v>428</v>
      </c>
      <c r="D311" t="s">
        <v>1362</v>
      </c>
      <c r="E311" s="127" t="s">
        <v>32</v>
      </c>
      <c r="F311" s="4">
        <v>128</v>
      </c>
    </row>
    <row r="312" spans="1:8" x14ac:dyDescent="0.25">
      <c r="A312" s="150">
        <v>8420421084984</v>
      </c>
      <c r="B312" s="147">
        <v>23</v>
      </c>
      <c r="C312" s="148" t="s">
        <v>428</v>
      </c>
      <c r="D312" s="146" t="s">
        <v>1363</v>
      </c>
      <c r="E312" s="147" t="s">
        <v>5</v>
      </c>
      <c r="F312" s="149">
        <v>64</v>
      </c>
      <c r="G312" s="146">
        <v>99.95</v>
      </c>
      <c r="H312" s="146" t="s">
        <v>938</v>
      </c>
    </row>
    <row r="313" spans="1:8" x14ac:dyDescent="0.25">
      <c r="A313" s="145" t="s">
        <v>422</v>
      </c>
      <c r="B313" s="127" t="s">
        <v>1312</v>
      </c>
      <c r="C313" s="3" t="s">
        <v>423</v>
      </c>
      <c r="D313" t="s">
        <v>424</v>
      </c>
      <c r="E313" s="127" t="s">
        <v>32</v>
      </c>
      <c r="F313" s="4">
        <v>128</v>
      </c>
    </row>
    <row r="314" spans="1:8" x14ac:dyDescent="0.25">
      <c r="A314" s="150" t="s">
        <v>422</v>
      </c>
      <c r="B314" s="147" t="s">
        <v>1312</v>
      </c>
      <c r="C314" s="148" t="s">
        <v>423</v>
      </c>
      <c r="D314" s="146" t="s">
        <v>424</v>
      </c>
      <c r="E314" s="147" t="s">
        <v>5</v>
      </c>
      <c r="F314" s="149">
        <v>64</v>
      </c>
      <c r="G314" s="146">
        <v>99.95</v>
      </c>
      <c r="H314" s="146" t="s">
        <v>1255</v>
      </c>
    </row>
    <row r="315" spans="1:8" x14ac:dyDescent="0.25">
      <c r="A315" s="145" t="s">
        <v>425</v>
      </c>
      <c r="B315" s="127" t="s">
        <v>1312</v>
      </c>
      <c r="C315" s="3" t="s">
        <v>426</v>
      </c>
      <c r="D315" t="s">
        <v>427</v>
      </c>
      <c r="E315" s="127" t="s">
        <v>32</v>
      </c>
      <c r="F315" s="4">
        <v>128</v>
      </c>
    </row>
    <row r="316" spans="1:8" x14ac:dyDescent="0.25">
      <c r="A316" s="150" t="s">
        <v>425</v>
      </c>
      <c r="B316" s="147" t="s">
        <v>1312</v>
      </c>
      <c r="C316" s="148" t="s">
        <v>426</v>
      </c>
      <c r="D316" s="146" t="s">
        <v>427</v>
      </c>
      <c r="E316" s="147" t="s">
        <v>5</v>
      </c>
      <c r="F316" s="149">
        <v>64</v>
      </c>
      <c r="G316" s="146">
        <v>99.95</v>
      </c>
      <c r="H316" s="146" t="s">
        <v>1262</v>
      </c>
    </row>
    <row r="317" spans="1:8" x14ac:dyDescent="0.25">
      <c r="A317" s="145" t="s">
        <v>429</v>
      </c>
      <c r="B317" s="127" t="s">
        <v>1312</v>
      </c>
      <c r="C317" s="3" t="s">
        <v>430</v>
      </c>
      <c r="D317" t="s">
        <v>431</v>
      </c>
      <c r="E317" s="127" t="s">
        <v>32</v>
      </c>
      <c r="F317" s="155">
        <v>56</v>
      </c>
      <c r="G317" s="156"/>
    </row>
    <row r="318" spans="1:8" x14ac:dyDescent="0.25">
      <c r="A318" s="150" t="s">
        <v>429</v>
      </c>
      <c r="B318" s="147" t="s">
        <v>1312</v>
      </c>
      <c r="C318" s="148" t="s">
        <v>430</v>
      </c>
      <c r="D318" s="146" t="s">
        <v>431</v>
      </c>
      <c r="E318" s="147" t="s">
        <v>5</v>
      </c>
      <c r="F318" s="155">
        <v>28</v>
      </c>
      <c r="G318" s="156">
        <v>44.95</v>
      </c>
      <c r="H318" s="146" t="s">
        <v>1364</v>
      </c>
    </row>
    <row r="319" spans="1:8" x14ac:dyDescent="0.25">
      <c r="A319" s="145" t="s">
        <v>432</v>
      </c>
      <c r="B319" s="127" t="s">
        <v>1312</v>
      </c>
      <c r="C319" s="3" t="s">
        <v>433</v>
      </c>
      <c r="D319" t="s">
        <v>431</v>
      </c>
      <c r="E319" s="127" t="s">
        <v>32</v>
      </c>
      <c r="F319" s="155">
        <v>56</v>
      </c>
      <c r="G319" s="156"/>
    </row>
    <row r="320" spans="1:8" x14ac:dyDescent="0.25">
      <c r="A320" s="150" t="s">
        <v>432</v>
      </c>
      <c r="B320" s="147" t="s">
        <v>1312</v>
      </c>
      <c r="C320" s="148" t="s">
        <v>433</v>
      </c>
      <c r="D320" s="146" t="s">
        <v>431</v>
      </c>
      <c r="E320" s="147" t="s">
        <v>5</v>
      </c>
      <c r="F320" s="155">
        <v>28</v>
      </c>
      <c r="G320" s="156">
        <v>44.95</v>
      </c>
      <c r="H320" s="146" t="s">
        <v>1365</v>
      </c>
    </row>
    <row r="321" spans="1:8" x14ac:dyDescent="0.25">
      <c r="A321" s="145" t="s">
        <v>434</v>
      </c>
      <c r="B321" s="127" t="s">
        <v>1312</v>
      </c>
      <c r="C321" s="3" t="s">
        <v>435</v>
      </c>
      <c r="D321" t="s">
        <v>436</v>
      </c>
      <c r="E321" s="127" t="s">
        <v>36</v>
      </c>
      <c r="F321" s="4">
        <v>49</v>
      </c>
    </row>
    <row r="322" spans="1:8" x14ac:dyDescent="0.25">
      <c r="A322" s="150" t="s">
        <v>434</v>
      </c>
      <c r="B322" s="147" t="s">
        <v>1312</v>
      </c>
      <c r="C322" s="148" t="s">
        <v>435</v>
      </c>
      <c r="D322" s="146" t="s">
        <v>436</v>
      </c>
      <c r="E322" s="147" t="s">
        <v>5</v>
      </c>
      <c r="F322" s="149">
        <v>16.332999999999998</v>
      </c>
      <c r="G322" s="146">
        <v>25.95</v>
      </c>
      <c r="H322" s="146" t="s">
        <v>1255</v>
      </c>
    </row>
    <row r="323" spans="1:8" x14ac:dyDescent="0.25">
      <c r="A323" s="145" t="s">
        <v>437</v>
      </c>
      <c r="B323" s="127" t="s">
        <v>1312</v>
      </c>
      <c r="C323" s="3" t="s">
        <v>438</v>
      </c>
      <c r="D323" t="s">
        <v>439</v>
      </c>
      <c r="E323" s="127" t="s">
        <v>36</v>
      </c>
      <c r="F323" s="4">
        <v>49</v>
      </c>
    </row>
    <row r="324" spans="1:8" x14ac:dyDescent="0.25">
      <c r="A324" s="150" t="s">
        <v>437</v>
      </c>
      <c r="B324" s="147" t="s">
        <v>1312</v>
      </c>
      <c r="C324" s="148" t="s">
        <v>438</v>
      </c>
      <c r="D324" s="146" t="s">
        <v>439</v>
      </c>
      <c r="E324" s="147" t="s">
        <v>5</v>
      </c>
      <c r="F324" s="149">
        <v>16.332999999999998</v>
      </c>
      <c r="G324" s="146">
        <v>25.95</v>
      </c>
      <c r="H324" s="146" t="s">
        <v>948</v>
      </c>
    </row>
    <row r="325" spans="1:8" x14ac:dyDescent="0.25">
      <c r="A325" s="145">
        <v>8420421086094</v>
      </c>
      <c r="B325" s="127">
        <v>23</v>
      </c>
      <c r="C325" s="3" t="s">
        <v>440</v>
      </c>
      <c r="D325" t="s">
        <v>1366</v>
      </c>
      <c r="E325" s="127" t="s">
        <v>36</v>
      </c>
      <c r="F325" s="4">
        <v>49</v>
      </c>
    </row>
    <row r="326" spans="1:8" x14ac:dyDescent="0.25">
      <c r="A326" s="150">
        <v>8420421086094</v>
      </c>
      <c r="B326" s="147">
        <v>23</v>
      </c>
      <c r="C326" s="148" t="s">
        <v>440</v>
      </c>
      <c r="D326" s="146" t="s">
        <v>1367</v>
      </c>
      <c r="E326" s="147" t="s">
        <v>5</v>
      </c>
      <c r="F326" s="149">
        <v>16.332999999999998</v>
      </c>
      <c r="G326" s="146">
        <v>25.95</v>
      </c>
      <c r="H326" s="146" t="s">
        <v>942</v>
      </c>
    </row>
    <row r="327" spans="1:8" x14ac:dyDescent="0.25">
      <c r="A327" s="145">
        <v>8420421086124</v>
      </c>
      <c r="B327" s="127">
        <v>23</v>
      </c>
      <c r="C327" s="3" t="s">
        <v>441</v>
      </c>
      <c r="D327" t="s">
        <v>1366</v>
      </c>
      <c r="E327" s="127" t="s">
        <v>36</v>
      </c>
      <c r="F327" s="4">
        <v>49</v>
      </c>
    </row>
    <row r="328" spans="1:8" x14ac:dyDescent="0.25">
      <c r="A328" s="150">
        <v>8420421086124</v>
      </c>
      <c r="B328" s="147">
        <v>23</v>
      </c>
      <c r="C328" s="148" t="s">
        <v>441</v>
      </c>
      <c r="D328" s="146" t="s">
        <v>1367</v>
      </c>
      <c r="E328" s="147" t="s">
        <v>5</v>
      </c>
      <c r="F328" s="149">
        <v>16.332999999999998</v>
      </c>
      <c r="G328" s="146">
        <v>25.95</v>
      </c>
      <c r="H328" s="146" t="s">
        <v>944</v>
      </c>
    </row>
    <row r="329" spans="1:8" x14ac:dyDescent="0.25">
      <c r="A329" s="145" t="s">
        <v>442</v>
      </c>
      <c r="B329" s="127" t="s">
        <v>1312</v>
      </c>
      <c r="C329" s="3" t="s">
        <v>443</v>
      </c>
      <c r="D329" t="s">
        <v>444</v>
      </c>
      <c r="E329" s="127" t="s">
        <v>32</v>
      </c>
      <c r="F329" s="155">
        <v>63</v>
      </c>
      <c r="G329" s="156"/>
    </row>
    <row r="330" spans="1:8" x14ac:dyDescent="0.25">
      <c r="A330" s="150" t="s">
        <v>442</v>
      </c>
      <c r="B330" s="147" t="s">
        <v>1312</v>
      </c>
      <c r="C330" s="148" t="s">
        <v>443</v>
      </c>
      <c r="D330" s="146" t="s">
        <v>444</v>
      </c>
      <c r="E330" s="147" t="s">
        <v>5</v>
      </c>
      <c r="F330" s="155">
        <v>31.5</v>
      </c>
      <c r="G330" s="156">
        <v>49.95</v>
      </c>
      <c r="H330" s="146" t="s">
        <v>1364</v>
      </c>
    </row>
    <row r="331" spans="1:8" x14ac:dyDescent="0.25">
      <c r="A331" s="145" t="s">
        <v>445</v>
      </c>
      <c r="B331" s="127" t="s">
        <v>1312</v>
      </c>
      <c r="C331" s="3" t="s">
        <v>446</v>
      </c>
      <c r="D331" t="s">
        <v>447</v>
      </c>
      <c r="E331" s="127" t="s">
        <v>4</v>
      </c>
      <c r="F331" s="155">
        <v>37.799999999999997</v>
      </c>
      <c r="G331" s="156"/>
    </row>
    <row r="332" spans="1:8" x14ac:dyDescent="0.25">
      <c r="A332" s="150" t="s">
        <v>445</v>
      </c>
      <c r="B332" s="147" t="s">
        <v>1312</v>
      </c>
      <c r="C332" s="148" t="s">
        <v>446</v>
      </c>
      <c r="D332" s="146" t="s">
        <v>447</v>
      </c>
      <c r="E332" s="147" t="s">
        <v>5</v>
      </c>
      <c r="F332" s="155">
        <v>6.3</v>
      </c>
      <c r="G332" s="156">
        <v>9.9499999999999993</v>
      </c>
      <c r="H332" s="146"/>
    </row>
    <row r="333" spans="1:8" x14ac:dyDescent="0.25">
      <c r="A333" s="145" t="s">
        <v>448</v>
      </c>
      <c r="B333" s="127" t="s">
        <v>1312</v>
      </c>
      <c r="C333" s="3" t="s">
        <v>449</v>
      </c>
      <c r="D333" s="157" t="s">
        <v>1368</v>
      </c>
      <c r="E333" s="127" t="s">
        <v>36</v>
      </c>
      <c r="F333" s="4">
        <v>84</v>
      </c>
    </row>
    <row r="334" spans="1:8" x14ac:dyDescent="0.25">
      <c r="A334" s="150" t="s">
        <v>448</v>
      </c>
      <c r="B334" s="147" t="s">
        <v>1312</v>
      </c>
      <c r="C334" s="148" t="s">
        <v>449</v>
      </c>
      <c r="D334" s="146" t="s">
        <v>1368</v>
      </c>
      <c r="E334" s="147" t="s">
        <v>5</v>
      </c>
      <c r="F334" s="149">
        <v>28</v>
      </c>
      <c r="G334" s="146">
        <v>43.95</v>
      </c>
      <c r="H334" s="146"/>
    </row>
    <row r="335" spans="1:8" x14ac:dyDescent="0.25">
      <c r="A335" s="145" t="s">
        <v>451</v>
      </c>
      <c r="B335" s="127" t="s">
        <v>1312</v>
      </c>
      <c r="C335" s="3" t="s">
        <v>450</v>
      </c>
      <c r="D335" t="s">
        <v>1369</v>
      </c>
      <c r="E335" s="127" t="s">
        <v>32</v>
      </c>
      <c r="F335" s="4">
        <v>144</v>
      </c>
    </row>
    <row r="336" spans="1:8" x14ac:dyDescent="0.25">
      <c r="A336" s="150" t="s">
        <v>451</v>
      </c>
      <c r="B336" s="147" t="s">
        <v>1312</v>
      </c>
      <c r="C336" s="148" t="s">
        <v>450</v>
      </c>
      <c r="D336" s="146" t="s">
        <v>1369</v>
      </c>
      <c r="E336" s="147" t="s">
        <v>5</v>
      </c>
      <c r="F336" s="149">
        <v>72</v>
      </c>
      <c r="G336" s="146">
        <v>113.95</v>
      </c>
      <c r="H336" s="146" t="s">
        <v>1332</v>
      </c>
    </row>
    <row r="337" spans="1:8" x14ac:dyDescent="0.25">
      <c r="A337" s="145" t="s">
        <v>452</v>
      </c>
      <c r="B337" s="127" t="s">
        <v>1312</v>
      </c>
      <c r="C337" s="3" t="s">
        <v>453</v>
      </c>
      <c r="D337" t="s">
        <v>454</v>
      </c>
      <c r="E337" s="127" t="s">
        <v>32</v>
      </c>
      <c r="F337" s="4">
        <v>144</v>
      </c>
    </row>
    <row r="338" spans="1:8" x14ac:dyDescent="0.25">
      <c r="A338" s="150" t="s">
        <v>452</v>
      </c>
      <c r="B338" s="147" t="s">
        <v>1312</v>
      </c>
      <c r="C338" s="148" t="s">
        <v>453</v>
      </c>
      <c r="D338" s="146" t="s">
        <v>454</v>
      </c>
      <c r="E338" s="147" t="s">
        <v>5</v>
      </c>
      <c r="F338" s="149">
        <v>72</v>
      </c>
      <c r="G338" s="146">
        <v>113.95</v>
      </c>
      <c r="H338" s="146" t="s">
        <v>1370</v>
      </c>
    </row>
    <row r="339" spans="1:8" x14ac:dyDescent="0.25">
      <c r="A339" s="145" t="s">
        <v>455</v>
      </c>
      <c r="B339" s="127" t="s">
        <v>1312</v>
      </c>
      <c r="C339" s="3" t="s">
        <v>456</v>
      </c>
      <c r="D339" t="s">
        <v>457</v>
      </c>
      <c r="E339" s="127" t="s">
        <v>4</v>
      </c>
      <c r="F339" s="155">
        <v>267</v>
      </c>
      <c r="G339" s="156"/>
    </row>
    <row r="340" spans="1:8" x14ac:dyDescent="0.25">
      <c r="A340" s="150" t="s">
        <v>455</v>
      </c>
      <c r="B340" s="147" t="s">
        <v>1312</v>
      </c>
      <c r="C340" s="148" t="s">
        <v>456</v>
      </c>
      <c r="D340" s="146" t="s">
        <v>457</v>
      </c>
      <c r="E340" s="147" t="s">
        <v>5</v>
      </c>
      <c r="F340" s="155">
        <v>44.5</v>
      </c>
      <c r="G340" s="156">
        <v>69.95</v>
      </c>
      <c r="H340" s="146" t="s">
        <v>1339</v>
      </c>
    </row>
    <row r="341" spans="1:8" x14ac:dyDescent="0.25">
      <c r="A341" s="145" t="s">
        <v>458</v>
      </c>
      <c r="B341" s="127" t="s">
        <v>1312</v>
      </c>
      <c r="C341" s="3" t="s">
        <v>459</v>
      </c>
      <c r="D341" t="s">
        <v>460</v>
      </c>
      <c r="E341" s="127" t="s">
        <v>36</v>
      </c>
      <c r="F341" s="4">
        <v>43</v>
      </c>
    </row>
    <row r="342" spans="1:8" x14ac:dyDescent="0.25">
      <c r="A342" s="150" t="s">
        <v>458</v>
      </c>
      <c r="B342" s="147" t="s">
        <v>1312</v>
      </c>
      <c r="C342" s="148" t="s">
        <v>459</v>
      </c>
      <c r="D342" s="146" t="s">
        <v>460</v>
      </c>
      <c r="E342" s="147" t="s">
        <v>5</v>
      </c>
      <c r="F342" s="149">
        <v>14.333</v>
      </c>
      <c r="G342" s="146">
        <v>22.95</v>
      </c>
      <c r="H342" s="146" t="s">
        <v>1339</v>
      </c>
    </row>
    <row r="343" spans="1:8" x14ac:dyDescent="0.25">
      <c r="A343" s="145" t="s">
        <v>461</v>
      </c>
      <c r="B343" s="127" t="s">
        <v>1312</v>
      </c>
      <c r="C343" s="3" t="s">
        <v>462</v>
      </c>
      <c r="D343" t="s">
        <v>463</v>
      </c>
      <c r="E343" s="127" t="s">
        <v>32</v>
      </c>
      <c r="F343" s="4">
        <v>68</v>
      </c>
    </row>
    <row r="344" spans="1:8" x14ac:dyDescent="0.25">
      <c r="A344" s="150" t="s">
        <v>461</v>
      </c>
      <c r="B344" s="147" t="s">
        <v>1312</v>
      </c>
      <c r="C344" s="148" t="s">
        <v>462</v>
      </c>
      <c r="D344" s="146" t="s">
        <v>463</v>
      </c>
      <c r="E344" s="147" t="s">
        <v>5</v>
      </c>
      <c r="F344" s="149">
        <v>34</v>
      </c>
      <c r="G344" s="146">
        <v>53.95</v>
      </c>
      <c r="H344" s="146" t="s">
        <v>1364</v>
      </c>
    </row>
    <row r="345" spans="1:8" x14ac:dyDescent="0.25">
      <c r="A345" s="145" t="s">
        <v>464</v>
      </c>
      <c r="B345" s="127" t="s">
        <v>1312</v>
      </c>
      <c r="C345" s="3" t="s">
        <v>465</v>
      </c>
      <c r="D345" t="s">
        <v>466</v>
      </c>
      <c r="E345" s="127" t="s">
        <v>36</v>
      </c>
      <c r="F345" s="4">
        <v>150</v>
      </c>
    </row>
    <row r="346" spans="1:8" x14ac:dyDescent="0.25">
      <c r="A346" s="150" t="s">
        <v>464</v>
      </c>
      <c r="B346" s="147" t="s">
        <v>1312</v>
      </c>
      <c r="C346" s="148" t="s">
        <v>465</v>
      </c>
      <c r="D346" s="146" t="s">
        <v>466</v>
      </c>
      <c r="E346" s="147" t="s">
        <v>5</v>
      </c>
      <c r="F346" s="149">
        <v>50</v>
      </c>
      <c r="G346" s="146">
        <v>78.95</v>
      </c>
      <c r="H346" s="146" t="s">
        <v>1284</v>
      </c>
    </row>
    <row r="347" spans="1:8" x14ac:dyDescent="0.25">
      <c r="A347" s="145" t="s">
        <v>467</v>
      </c>
      <c r="B347" s="127" t="s">
        <v>1312</v>
      </c>
      <c r="C347" s="3" t="s">
        <v>468</v>
      </c>
      <c r="D347" t="s">
        <v>466</v>
      </c>
      <c r="E347" s="127" t="s">
        <v>36</v>
      </c>
      <c r="F347" s="4">
        <v>150</v>
      </c>
    </row>
    <row r="348" spans="1:8" x14ac:dyDescent="0.25">
      <c r="A348" s="150" t="s">
        <v>467</v>
      </c>
      <c r="B348" s="147" t="s">
        <v>1312</v>
      </c>
      <c r="C348" s="148" t="s">
        <v>468</v>
      </c>
      <c r="D348" s="146" t="s">
        <v>466</v>
      </c>
      <c r="E348" s="147" t="s">
        <v>5</v>
      </c>
      <c r="F348" s="149">
        <v>50</v>
      </c>
      <c r="G348" s="146">
        <v>78.95</v>
      </c>
      <c r="H348" s="146" t="s">
        <v>1255</v>
      </c>
    </row>
    <row r="349" spans="1:8" x14ac:dyDescent="0.25">
      <c r="A349" s="145" t="s">
        <v>469</v>
      </c>
      <c r="B349" s="127" t="s">
        <v>1312</v>
      </c>
      <c r="C349" s="3" t="s">
        <v>470</v>
      </c>
      <c r="D349" t="s">
        <v>1371</v>
      </c>
      <c r="E349" s="127" t="s">
        <v>36</v>
      </c>
      <c r="F349" s="4">
        <v>128</v>
      </c>
    </row>
    <row r="350" spans="1:8" x14ac:dyDescent="0.25">
      <c r="A350" s="150" t="s">
        <v>469</v>
      </c>
      <c r="B350" s="147" t="s">
        <v>1312</v>
      </c>
      <c r="C350" s="148" t="s">
        <v>470</v>
      </c>
      <c r="D350" s="146" t="s">
        <v>1371</v>
      </c>
      <c r="E350" s="147" t="s">
        <v>5</v>
      </c>
      <c r="F350" s="149">
        <v>42.667000000000002</v>
      </c>
      <c r="G350" s="146">
        <v>66.95</v>
      </c>
      <c r="H350" s="146" t="s">
        <v>1339</v>
      </c>
    </row>
    <row r="351" spans="1:8" x14ac:dyDescent="0.25">
      <c r="A351" s="145" t="s">
        <v>471</v>
      </c>
      <c r="B351" s="127" t="s">
        <v>1312</v>
      </c>
      <c r="C351" s="3" t="s">
        <v>472</v>
      </c>
      <c r="D351" t="s">
        <v>1371</v>
      </c>
      <c r="E351" s="127" t="s">
        <v>36</v>
      </c>
      <c r="F351" s="4">
        <v>128</v>
      </c>
    </row>
    <row r="352" spans="1:8" x14ac:dyDescent="0.25">
      <c r="A352" s="150" t="s">
        <v>471</v>
      </c>
      <c r="B352" s="147" t="s">
        <v>1312</v>
      </c>
      <c r="C352" s="148" t="s">
        <v>472</v>
      </c>
      <c r="D352" s="146" t="s">
        <v>1371</v>
      </c>
      <c r="E352" s="147" t="s">
        <v>5</v>
      </c>
      <c r="F352" s="149">
        <v>42.667000000000002</v>
      </c>
      <c r="G352" s="146">
        <v>66.95</v>
      </c>
      <c r="H352" s="146" t="s">
        <v>1284</v>
      </c>
    </row>
    <row r="353" spans="1:8" x14ac:dyDescent="0.25">
      <c r="A353" s="145" t="s">
        <v>473</v>
      </c>
      <c r="B353" s="127" t="s">
        <v>1312</v>
      </c>
      <c r="C353" s="3" t="s">
        <v>474</v>
      </c>
      <c r="D353" t="s">
        <v>1372</v>
      </c>
      <c r="E353" s="127" t="s">
        <v>36</v>
      </c>
      <c r="F353" s="4">
        <v>88</v>
      </c>
    </row>
    <row r="354" spans="1:8" x14ac:dyDescent="0.25">
      <c r="A354" s="150" t="s">
        <v>473</v>
      </c>
      <c r="B354" s="147" t="s">
        <v>1312</v>
      </c>
      <c r="C354" s="148" t="s">
        <v>474</v>
      </c>
      <c r="D354" s="146" t="s">
        <v>1372</v>
      </c>
      <c r="E354" s="147" t="s">
        <v>5</v>
      </c>
      <c r="F354" s="149">
        <v>29.332999999999998</v>
      </c>
      <c r="G354" s="146">
        <v>45.95</v>
      </c>
      <c r="H354" s="146" t="s">
        <v>938</v>
      </c>
    </row>
    <row r="355" spans="1:8" x14ac:dyDescent="0.25">
      <c r="A355" s="145" t="s">
        <v>475</v>
      </c>
      <c r="B355" s="127" t="s">
        <v>1312</v>
      </c>
      <c r="C355" s="3" t="s">
        <v>476</v>
      </c>
      <c r="D355" t="s">
        <v>1373</v>
      </c>
      <c r="E355" s="127" t="s">
        <v>36</v>
      </c>
      <c r="F355" s="4">
        <v>91</v>
      </c>
    </row>
    <row r="356" spans="1:8" x14ac:dyDescent="0.25">
      <c r="A356" s="150" t="s">
        <v>475</v>
      </c>
      <c r="B356" s="147" t="s">
        <v>1312</v>
      </c>
      <c r="C356" s="148" t="s">
        <v>476</v>
      </c>
      <c r="D356" s="146" t="s">
        <v>1373</v>
      </c>
      <c r="E356" s="147" t="s">
        <v>5</v>
      </c>
      <c r="F356" s="149">
        <v>30.332999999999998</v>
      </c>
      <c r="G356" s="146">
        <v>47.95</v>
      </c>
      <c r="H356" s="146" t="s">
        <v>938</v>
      </c>
    </row>
    <row r="357" spans="1:8" x14ac:dyDescent="0.25">
      <c r="A357" s="145" t="s">
        <v>477</v>
      </c>
      <c r="B357" s="127" t="s">
        <v>1312</v>
      </c>
      <c r="C357" s="3" t="s">
        <v>478</v>
      </c>
      <c r="D357" t="s">
        <v>1374</v>
      </c>
      <c r="E357" s="127" t="s">
        <v>36</v>
      </c>
      <c r="F357" s="4">
        <v>95</v>
      </c>
    </row>
    <row r="358" spans="1:8" x14ac:dyDescent="0.25">
      <c r="A358" s="150" t="s">
        <v>477</v>
      </c>
      <c r="B358" s="147" t="s">
        <v>1312</v>
      </c>
      <c r="C358" s="148" t="s">
        <v>478</v>
      </c>
      <c r="D358" s="146" t="s">
        <v>1374</v>
      </c>
      <c r="E358" s="147" t="s">
        <v>5</v>
      </c>
      <c r="F358" s="149">
        <v>31.667000000000002</v>
      </c>
      <c r="G358" s="146">
        <v>49.95</v>
      </c>
      <c r="H358" s="146" t="s">
        <v>938</v>
      </c>
    </row>
    <row r="359" spans="1:8" x14ac:dyDescent="0.25">
      <c r="A359" s="145">
        <v>8420421087084</v>
      </c>
      <c r="B359" s="127">
        <v>23</v>
      </c>
      <c r="C359" s="3" t="s">
        <v>479</v>
      </c>
      <c r="D359" t="s">
        <v>1375</v>
      </c>
      <c r="E359" s="127" t="s">
        <v>36</v>
      </c>
      <c r="F359" s="4">
        <v>57</v>
      </c>
    </row>
    <row r="360" spans="1:8" x14ac:dyDescent="0.25">
      <c r="A360" s="150">
        <v>8420421087084</v>
      </c>
      <c r="B360" s="147">
        <v>23</v>
      </c>
      <c r="C360" s="148" t="s">
        <v>479</v>
      </c>
      <c r="D360" s="146" t="s">
        <v>1375</v>
      </c>
      <c r="E360" s="147" t="s">
        <v>5</v>
      </c>
      <c r="F360" s="149">
        <v>19</v>
      </c>
      <c r="G360" s="146">
        <v>29.95</v>
      </c>
      <c r="H360" s="146" t="s">
        <v>1376</v>
      </c>
    </row>
    <row r="361" spans="1:8" x14ac:dyDescent="0.25">
      <c r="A361" s="145">
        <v>8420421087077</v>
      </c>
      <c r="B361" s="127">
        <v>23</v>
      </c>
      <c r="C361" s="3" t="s">
        <v>480</v>
      </c>
      <c r="D361" t="s">
        <v>1375</v>
      </c>
      <c r="E361" s="127" t="s">
        <v>36</v>
      </c>
      <c r="F361" s="4">
        <v>57</v>
      </c>
    </row>
    <row r="362" spans="1:8" x14ac:dyDescent="0.25">
      <c r="A362" s="150">
        <v>8420421087077</v>
      </c>
      <c r="B362" s="147">
        <v>23</v>
      </c>
      <c r="C362" s="148" t="s">
        <v>480</v>
      </c>
      <c r="D362" s="146" t="s">
        <v>1375</v>
      </c>
      <c r="E362" s="147" t="s">
        <v>5</v>
      </c>
      <c r="F362" s="149">
        <v>19</v>
      </c>
      <c r="G362" s="146">
        <v>29.95</v>
      </c>
      <c r="H362" s="146" t="s">
        <v>1377</v>
      </c>
    </row>
    <row r="363" spans="1:8" x14ac:dyDescent="0.25">
      <c r="A363" s="145">
        <v>8420421086384</v>
      </c>
      <c r="B363" s="127">
        <v>23</v>
      </c>
      <c r="C363" s="3" t="s">
        <v>481</v>
      </c>
      <c r="D363" t="s">
        <v>482</v>
      </c>
      <c r="E363" s="127" t="s">
        <v>36</v>
      </c>
      <c r="F363" s="155">
        <v>85.5</v>
      </c>
      <c r="G363" s="156"/>
    </row>
    <row r="364" spans="1:8" x14ac:dyDescent="0.25">
      <c r="A364" s="150">
        <v>8420421086384</v>
      </c>
      <c r="B364" s="147">
        <v>23</v>
      </c>
      <c r="C364" s="148" t="s">
        <v>481</v>
      </c>
      <c r="D364" s="146" t="s">
        <v>482</v>
      </c>
      <c r="E364" s="147" t="s">
        <v>5</v>
      </c>
      <c r="F364" s="155">
        <v>28.5</v>
      </c>
      <c r="G364" s="156">
        <v>44.95</v>
      </c>
      <c r="H364" s="146" t="s">
        <v>1255</v>
      </c>
    </row>
    <row r="365" spans="1:8" x14ac:dyDescent="0.25">
      <c r="A365" s="145">
        <v>8420421086391</v>
      </c>
      <c r="B365" s="127">
        <v>23</v>
      </c>
      <c r="C365" s="3" t="s">
        <v>483</v>
      </c>
      <c r="D365" t="s">
        <v>484</v>
      </c>
      <c r="E365" s="127" t="s">
        <v>36</v>
      </c>
      <c r="F365" s="155">
        <v>85.5</v>
      </c>
      <c r="G365" s="156"/>
    </row>
    <row r="366" spans="1:8" x14ac:dyDescent="0.25">
      <c r="A366" s="150">
        <v>8420421086391</v>
      </c>
      <c r="B366" s="147">
        <v>23</v>
      </c>
      <c r="C366" s="148" t="s">
        <v>483</v>
      </c>
      <c r="D366" s="146" t="s">
        <v>484</v>
      </c>
      <c r="E366" s="147" t="s">
        <v>5</v>
      </c>
      <c r="F366" s="155">
        <v>28.5</v>
      </c>
      <c r="G366" s="156">
        <v>44.95</v>
      </c>
      <c r="H366" s="146" t="s">
        <v>1256</v>
      </c>
    </row>
    <row r="367" spans="1:8" x14ac:dyDescent="0.25">
      <c r="A367" s="145">
        <v>8420421086407</v>
      </c>
      <c r="B367" s="127">
        <v>23</v>
      </c>
      <c r="C367" s="3" t="s">
        <v>485</v>
      </c>
      <c r="D367" t="s">
        <v>486</v>
      </c>
      <c r="E367" s="127" t="s">
        <v>36</v>
      </c>
      <c r="F367" s="155">
        <v>85.5</v>
      </c>
      <c r="G367" s="156"/>
    </row>
    <row r="368" spans="1:8" x14ac:dyDescent="0.25">
      <c r="A368" s="150">
        <v>8420421086407</v>
      </c>
      <c r="B368" s="147">
        <v>23</v>
      </c>
      <c r="C368" s="148" t="s">
        <v>485</v>
      </c>
      <c r="D368" s="146" t="s">
        <v>486</v>
      </c>
      <c r="E368" s="147" t="s">
        <v>5</v>
      </c>
      <c r="F368" s="155">
        <v>28.5</v>
      </c>
      <c r="G368" s="156">
        <v>44.95</v>
      </c>
      <c r="H368" s="146" t="s">
        <v>1263</v>
      </c>
    </row>
    <row r="369" spans="1:8" x14ac:dyDescent="0.25">
      <c r="A369" s="145">
        <v>8420421065501</v>
      </c>
      <c r="B369" s="127">
        <v>23</v>
      </c>
      <c r="C369" s="3" t="s">
        <v>487</v>
      </c>
      <c r="D369" t="s">
        <v>1378</v>
      </c>
      <c r="E369" s="127" t="s">
        <v>36</v>
      </c>
      <c r="F369" s="155">
        <v>66</v>
      </c>
      <c r="G369" s="156"/>
    </row>
    <row r="370" spans="1:8" x14ac:dyDescent="0.25">
      <c r="A370" s="150">
        <v>8420421065501</v>
      </c>
      <c r="B370" s="147">
        <v>23</v>
      </c>
      <c r="C370" s="148" t="s">
        <v>487</v>
      </c>
      <c r="D370" s="146" t="s">
        <v>1379</v>
      </c>
      <c r="E370" s="147" t="s">
        <v>5</v>
      </c>
      <c r="F370" s="155">
        <v>22</v>
      </c>
      <c r="G370" s="156">
        <v>34.950000000000003</v>
      </c>
      <c r="H370" s="146" t="s">
        <v>938</v>
      </c>
    </row>
    <row r="371" spans="1:8" x14ac:dyDescent="0.25">
      <c r="A371" s="145">
        <v>8420421086339</v>
      </c>
      <c r="B371" s="127">
        <v>23</v>
      </c>
      <c r="C371" s="3" t="s">
        <v>488</v>
      </c>
      <c r="D371" t="s">
        <v>1379</v>
      </c>
      <c r="E371" s="127" t="s">
        <v>36</v>
      </c>
      <c r="F371" s="155">
        <v>66</v>
      </c>
      <c r="G371" s="156"/>
    </row>
    <row r="372" spans="1:8" x14ac:dyDescent="0.25">
      <c r="A372" s="150">
        <v>8420421086339</v>
      </c>
      <c r="B372" s="147">
        <v>23</v>
      </c>
      <c r="C372" s="148" t="s">
        <v>488</v>
      </c>
      <c r="D372" s="146" t="s">
        <v>1379</v>
      </c>
      <c r="E372" s="147" t="s">
        <v>5</v>
      </c>
      <c r="F372" s="155">
        <v>22</v>
      </c>
      <c r="G372" s="156">
        <v>34.950000000000003</v>
      </c>
      <c r="H372" s="146" t="s">
        <v>942</v>
      </c>
    </row>
    <row r="373" spans="1:8" x14ac:dyDescent="0.25">
      <c r="A373" s="145" t="s">
        <v>489</v>
      </c>
      <c r="B373" s="127" t="s">
        <v>1312</v>
      </c>
      <c r="C373" s="3" t="s">
        <v>490</v>
      </c>
      <c r="D373" t="s">
        <v>491</v>
      </c>
      <c r="E373" s="127" t="s">
        <v>36</v>
      </c>
      <c r="F373" s="4">
        <v>27</v>
      </c>
    </row>
    <row r="374" spans="1:8" x14ac:dyDescent="0.25">
      <c r="A374" s="150" t="s">
        <v>489</v>
      </c>
      <c r="B374" s="147" t="s">
        <v>1312</v>
      </c>
      <c r="C374" s="148" t="s">
        <v>490</v>
      </c>
      <c r="D374" s="146" t="s">
        <v>491</v>
      </c>
      <c r="E374" s="147" t="s">
        <v>5</v>
      </c>
      <c r="F374" s="149">
        <v>9</v>
      </c>
      <c r="G374" s="146">
        <v>13.95</v>
      </c>
      <c r="H374" s="146"/>
    </row>
    <row r="375" spans="1:8" x14ac:dyDescent="0.25">
      <c r="A375" s="145" t="s">
        <v>492</v>
      </c>
      <c r="B375" s="127" t="s">
        <v>1312</v>
      </c>
      <c r="C375" s="3" t="s">
        <v>493</v>
      </c>
      <c r="D375" t="s">
        <v>494</v>
      </c>
      <c r="E375" s="127" t="s">
        <v>36</v>
      </c>
      <c r="F375" s="4">
        <v>37</v>
      </c>
    </row>
    <row r="376" spans="1:8" x14ac:dyDescent="0.25">
      <c r="A376" s="150" t="s">
        <v>492</v>
      </c>
      <c r="B376" s="147" t="s">
        <v>1312</v>
      </c>
      <c r="C376" s="148" t="s">
        <v>493</v>
      </c>
      <c r="D376" s="146" t="s">
        <v>494</v>
      </c>
      <c r="E376" s="147" t="s">
        <v>5</v>
      </c>
      <c r="F376" s="149">
        <v>12.333</v>
      </c>
      <c r="G376" s="146">
        <v>19.95</v>
      </c>
      <c r="H376" s="146"/>
    </row>
    <row r="377" spans="1:8" x14ac:dyDescent="0.25">
      <c r="A377" s="145" t="s">
        <v>495</v>
      </c>
      <c r="B377" s="127" t="s">
        <v>1312</v>
      </c>
      <c r="C377" s="3" t="s">
        <v>496</v>
      </c>
      <c r="D377" t="s">
        <v>497</v>
      </c>
      <c r="E377" s="127" t="s">
        <v>12</v>
      </c>
      <c r="F377" s="155">
        <v>40.4</v>
      </c>
      <c r="G377" s="156"/>
    </row>
    <row r="378" spans="1:8" x14ac:dyDescent="0.25">
      <c r="A378" s="150" t="s">
        <v>495</v>
      </c>
      <c r="B378" s="147" t="s">
        <v>1312</v>
      </c>
      <c r="C378" s="148" t="s">
        <v>496</v>
      </c>
      <c r="D378" s="146" t="s">
        <v>497</v>
      </c>
      <c r="E378" s="147" t="s">
        <v>5</v>
      </c>
      <c r="F378" s="155">
        <v>10.1</v>
      </c>
      <c r="G378" s="156">
        <v>15.95</v>
      </c>
      <c r="H378" s="146" t="s">
        <v>1355</v>
      </c>
    </row>
    <row r="379" spans="1:8" x14ac:dyDescent="0.25">
      <c r="A379" s="145" t="s">
        <v>498</v>
      </c>
      <c r="B379" s="127" t="s">
        <v>1312</v>
      </c>
      <c r="C379" s="3" t="s">
        <v>499</v>
      </c>
      <c r="D379" t="s">
        <v>500</v>
      </c>
      <c r="E379" s="127" t="s">
        <v>12</v>
      </c>
      <c r="F379" s="155">
        <v>40.4</v>
      </c>
      <c r="G379" s="156"/>
    </row>
    <row r="380" spans="1:8" x14ac:dyDescent="0.25">
      <c r="A380" s="150" t="s">
        <v>498</v>
      </c>
      <c r="B380" s="147" t="s">
        <v>1312</v>
      </c>
      <c r="C380" s="148" t="s">
        <v>499</v>
      </c>
      <c r="D380" s="146" t="s">
        <v>500</v>
      </c>
      <c r="E380" s="147" t="s">
        <v>5</v>
      </c>
      <c r="F380" s="155">
        <v>10.1</v>
      </c>
      <c r="G380" s="156">
        <v>15.95</v>
      </c>
      <c r="H380" s="146" t="s">
        <v>948</v>
      </c>
    </row>
    <row r="381" spans="1:8" x14ac:dyDescent="0.25">
      <c r="A381" s="145">
        <v>8420421085769</v>
      </c>
      <c r="B381" s="127">
        <v>23</v>
      </c>
      <c r="C381" s="3" t="s">
        <v>501</v>
      </c>
      <c r="D381" t="s">
        <v>1380</v>
      </c>
      <c r="E381" s="127" t="s">
        <v>36</v>
      </c>
      <c r="F381" s="4">
        <v>38.1</v>
      </c>
    </row>
    <row r="382" spans="1:8" x14ac:dyDescent="0.25">
      <c r="A382" s="150">
        <v>8420421085769</v>
      </c>
      <c r="B382" s="147">
        <v>23</v>
      </c>
      <c r="C382" s="148" t="s">
        <v>501</v>
      </c>
      <c r="D382" s="146" t="s">
        <v>1380</v>
      </c>
      <c r="E382" s="147" t="s">
        <v>5</v>
      </c>
      <c r="F382" s="149">
        <v>12.7</v>
      </c>
      <c r="G382" s="146">
        <v>19.95</v>
      </c>
      <c r="H382" s="146" t="s">
        <v>1339</v>
      </c>
    </row>
    <row r="383" spans="1:8" x14ac:dyDescent="0.25">
      <c r="A383" s="145">
        <v>8420421087626</v>
      </c>
      <c r="B383" s="127">
        <v>23</v>
      </c>
      <c r="C383" s="3" t="s">
        <v>502</v>
      </c>
      <c r="D383" t="s">
        <v>1380</v>
      </c>
      <c r="E383" s="127" t="s">
        <v>36</v>
      </c>
      <c r="F383" s="4">
        <v>38.1</v>
      </c>
    </row>
    <row r="384" spans="1:8" x14ac:dyDescent="0.25">
      <c r="A384" s="150">
        <v>8420421087626</v>
      </c>
      <c r="B384" s="147">
        <v>23</v>
      </c>
      <c r="C384" s="148" t="s">
        <v>502</v>
      </c>
      <c r="D384" s="146" t="s">
        <v>1380</v>
      </c>
      <c r="E384" s="147" t="s">
        <v>5</v>
      </c>
      <c r="F384" s="149">
        <v>12.7</v>
      </c>
      <c r="G384" s="146">
        <v>19.95</v>
      </c>
      <c r="H384" s="146" t="s">
        <v>1284</v>
      </c>
    </row>
    <row r="385" spans="1:8" x14ac:dyDescent="0.25">
      <c r="A385" s="145" t="s">
        <v>503</v>
      </c>
      <c r="B385" s="127" t="s">
        <v>1312</v>
      </c>
      <c r="C385" s="3" t="s">
        <v>504</v>
      </c>
      <c r="D385" t="s">
        <v>505</v>
      </c>
      <c r="E385" s="127" t="s">
        <v>4</v>
      </c>
      <c r="F385" s="155">
        <v>45</v>
      </c>
      <c r="G385" s="156"/>
    </row>
    <row r="386" spans="1:8" x14ac:dyDescent="0.25">
      <c r="A386" s="150" t="s">
        <v>503</v>
      </c>
      <c r="B386" s="147" t="s">
        <v>1312</v>
      </c>
      <c r="C386" s="148" t="s">
        <v>504</v>
      </c>
      <c r="D386" s="146" t="s">
        <v>505</v>
      </c>
      <c r="E386" s="147" t="s">
        <v>5</v>
      </c>
      <c r="F386" s="155">
        <v>7.5</v>
      </c>
      <c r="G386" s="156">
        <v>11.95</v>
      </c>
      <c r="H386" s="146"/>
    </row>
    <row r="387" spans="1:8" x14ac:dyDescent="0.25">
      <c r="A387" s="145" t="s">
        <v>506</v>
      </c>
      <c r="B387" s="127" t="s">
        <v>1312</v>
      </c>
      <c r="C387" s="3" t="s">
        <v>507</v>
      </c>
      <c r="D387" t="s">
        <v>508</v>
      </c>
      <c r="E387" s="127" t="s">
        <v>32</v>
      </c>
      <c r="F387" s="4">
        <v>86</v>
      </c>
    </row>
    <row r="388" spans="1:8" x14ac:dyDescent="0.25">
      <c r="A388" s="150" t="s">
        <v>506</v>
      </c>
      <c r="B388" s="147" t="s">
        <v>1312</v>
      </c>
      <c r="C388" s="148" t="s">
        <v>507</v>
      </c>
      <c r="D388" s="146" t="s">
        <v>508</v>
      </c>
      <c r="E388" s="147" t="s">
        <v>5</v>
      </c>
      <c r="F388" s="149">
        <v>43</v>
      </c>
      <c r="G388" s="146">
        <v>67.95</v>
      </c>
      <c r="H388" s="146" t="s">
        <v>1381</v>
      </c>
    </row>
    <row r="389" spans="1:8" x14ac:dyDescent="0.25">
      <c r="A389" s="145" t="s">
        <v>509</v>
      </c>
      <c r="B389" s="127" t="s">
        <v>1312</v>
      </c>
      <c r="C389" s="3" t="s">
        <v>510</v>
      </c>
      <c r="D389" t="s">
        <v>511</v>
      </c>
      <c r="E389" s="127" t="s">
        <v>32</v>
      </c>
      <c r="F389" s="4">
        <v>86</v>
      </c>
    </row>
    <row r="390" spans="1:8" x14ac:dyDescent="0.25">
      <c r="A390" s="150" t="s">
        <v>509</v>
      </c>
      <c r="B390" s="147" t="s">
        <v>1312</v>
      </c>
      <c r="C390" s="148" t="s">
        <v>510</v>
      </c>
      <c r="D390" s="146" t="s">
        <v>511</v>
      </c>
      <c r="E390" s="147" t="s">
        <v>5</v>
      </c>
      <c r="F390" s="149">
        <v>43</v>
      </c>
      <c r="G390" s="146">
        <v>67.95</v>
      </c>
      <c r="H390" s="146" t="s">
        <v>1382</v>
      </c>
    </row>
    <row r="391" spans="1:8" x14ac:dyDescent="0.25">
      <c r="A391" s="145" t="s">
        <v>512</v>
      </c>
      <c r="B391" s="127" t="s">
        <v>1312</v>
      </c>
      <c r="C391" s="3" t="s">
        <v>513</v>
      </c>
      <c r="D391" t="s">
        <v>514</v>
      </c>
      <c r="E391" s="127" t="s">
        <v>32</v>
      </c>
      <c r="F391" s="4">
        <v>86</v>
      </c>
    </row>
    <row r="392" spans="1:8" x14ac:dyDescent="0.25">
      <c r="A392" s="150" t="s">
        <v>512</v>
      </c>
      <c r="B392" s="147" t="s">
        <v>1312</v>
      </c>
      <c r="C392" s="148" t="s">
        <v>513</v>
      </c>
      <c r="D392" s="146" t="s">
        <v>514</v>
      </c>
      <c r="E392" s="147" t="s">
        <v>5</v>
      </c>
      <c r="F392" s="149">
        <v>43</v>
      </c>
      <c r="G392" s="146">
        <v>67.95</v>
      </c>
      <c r="H392" s="146" t="s">
        <v>1383</v>
      </c>
    </row>
    <row r="393" spans="1:8" x14ac:dyDescent="0.25">
      <c r="A393" s="145"/>
      <c r="B393" s="127">
        <v>23</v>
      </c>
      <c r="C393" s="3" t="s">
        <v>1384</v>
      </c>
      <c r="D393" t="s">
        <v>1385</v>
      </c>
      <c r="E393" s="127" t="s">
        <v>32</v>
      </c>
      <c r="F393" s="4">
        <v>86</v>
      </c>
    </row>
    <row r="394" spans="1:8" x14ac:dyDescent="0.25">
      <c r="A394" s="150"/>
      <c r="B394" s="147">
        <v>23</v>
      </c>
      <c r="C394" s="148" t="s">
        <v>1384</v>
      </c>
      <c r="D394" s="146" t="s">
        <v>1385</v>
      </c>
      <c r="E394" s="147" t="s">
        <v>5</v>
      </c>
      <c r="F394" s="149">
        <v>43</v>
      </c>
      <c r="G394" s="146">
        <v>67.95</v>
      </c>
      <c r="H394" s="146" t="s">
        <v>1261</v>
      </c>
    </row>
    <row r="395" spans="1:8" x14ac:dyDescent="0.25">
      <c r="A395" s="145" t="s">
        <v>515</v>
      </c>
      <c r="B395" s="127" t="s">
        <v>1312</v>
      </c>
      <c r="C395" s="3" t="s">
        <v>516</v>
      </c>
      <c r="D395" t="s">
        <v>517</v>
      </c>
      <c r="E395" s="127" t="s">
        <v>32</v>
      </c>
      <c r="F395" s="4">
        <v>86</v>
      </c>
    </row>
    <row r="396" spans="1:8" x14ac:dyDescent="0.25">
      <c r="A396" s="150" t="s">
        <v>515</v>
      </c>
      <c r="B396" s="147" t="s">
        <v>1312</v>
      </c>
      <c r="C396" s="148" t="s">
        <v>516</v>
      </c>
      <c r="D396" s="146" t="s">
        <v>517</v>
      </c>
      <c r="E396" s="147" t="s">
        <v>5</v>
      </c>
      <c r="F396" s="149">
        <v>43</v>
      </c>
      <c r="G396" s="146">
        <v>67.95</v>
      </c>
      <c r="H396" s="146" t="s">
        <v>1262</v>
      </c>
    </row>
    <row r="397" spans="1:8" x14ac:dyDescent="0.25">
      <c r="A397" s="145" t="s">
        <v>518</v>
      </c>
      <c r="B397" s="127" t="s">
        <v>1312</v>
      </c>
      <c r="C397" s="3" t="s">
        <v>519</v>
      </c>
      <c r="D397" t="s">
        <v>520</v>
      </c>
      <c r="E397" s="127" t="s">
        <v>32</v>
      </c>
      <c r="F397" s="4">
        <v>86</v>
      </c>
    </row>
    <row r="398" spans="1:8" x14ac:dyDescent="0.25">
      <c r="A398" s="150" t="s">
        <v>518</v>
      </c>
      <c r="B398" s="147" t="s">
        <v>1312</v>
      </c>
      <c r="C398" s="148" t="s">
        <v>519</v>
      </c>
      <c r="D398" s="146" t="s">
        <v>520</v>
      </c>
      <c r="E398" s="147" t="s">
        <v>5</v>
      </c>
      <c r="F398" s="149">
        <v>43</v>
      </c>
      <c r="G398" s="146">
        <v>67.95</v>
      </c>
      <c r="H398" s="146" t="s">
        <v>1386</v>
      </c>
    </row>
    <row r="399" spans="1:8" x14ac:dyDescent="0.25">
      <c r="A399" s="145" t="s">
        <v>521</v>
      </c>
      <c r="B399" s="127" t="s">
        <v>1312</v>
      </c>
      <c r="C399" s="3" t="s">
        <v>522</v>
      </c>
      <c r="D399" t="s">
        <v>523</v>
      </c>
      <c r="E399" s="127" t="s">
        <v>32</v>
      </c>
      <c r="F399" s="4">
        <v>88</v>
      </c>
    </row>
    <row r="400" spans="1:8" x14ac:dyDescent="0.25">
      <c r="A400" s="150" t="s">
        <v>521</v>
      </c>
      <c r="B400" s="147" t="s">
        <v>1312</v>
      </c>
      <c r="C400" s="148" t="s">
        <v>522</v>
      </c>
      <c r="D400" s="146" t="s">
        <v>523</v>
      </c>
      <c r="E400" s="147" t="s">
        <v>5</v>
      </c>
      <c r="F400" s="149">
        <v>44</v>
      </c>
      <c r="G400" s="146">
        <v>69.95</v>
      </c>
      <c r="H400" s="146" t="s">
        <v>1255</v>
      </c>
    </row>
    <row r="401" spans="1:8" x14ac:dyDescent="0.25">
      <c r="A401" s="145">
        <v>8420421085981</v>
      </c>
      <c r="B401" s="127">
        <v>23</v>
      </c>
      <c r="C401" s="3" t="s">
        <v>524</v>
      </c>
      <c r="D401" t="s">
        <v>525</v>
      </c>
      <c r="E401" s="127" t="s">
        <v>32</v>
      </c>
      <c r="F401" s="4">
        <v>88</v>
      </c>
    </row>
    <row r="402" spans="1:8" x14ac:dyDescent="0.25">
      <c r="A402" s="150">
        <v>8420421085981</v>
      </c>
      <c r="B402" s="147">
        <v>23</v>
      </c>
      <c r="C402" s="148" t="s">
        <v>524</v>
      </c>
      <c r="D402" s="146" t="s">
        <v>525</v>
      </c>
      <c r="E402" s="147" t="s">
        <v>5</v>
      </c>
      <c r="F402" s="149">
        <v>44</v>
      </c>
      <c r="G402" s="146">
        <v>69.95</v>
      </c>
      <c r="H402" s="146" t="s">
        <v>942</v>
      </c>
    </row>
    <row r="403" spans="1:8" x14ac:dyDescent="0.25">
      <c r="A403" s="145">
        <v>8420421085998</v>
      </c>
      <c r="B403" s="127">
        <v>23</v>
      </c>
      <c r="C403" s="3" t="s">
        <v>526</v>
      </c>
      <c r="D403" t="s">
        <v>527</v>
      </c>
      <c r="E403" s="127" t="s">
        <v>32</v>
      </c>
      <c r="F403" s="4">
        <v>88</v>
      </c>
    </row>
    <row r="404" spans="1:8" x14ac:dyDescent="0.25">
      <c r="A404" s="150">
        <v>8420421085998</v>
      </c>
      <c r="B404" s="147">
        <v>23</v>
      </c>
      <c r="C404" s="148" t="s">
        <v>526</v>
      </c>
      <c r="D404" s="146" t="s">
        <v>527</v>
      </c>
      <c r="E404" s="147" t="s">
        <v>5</v>
      </c>
      <c r="F404" s="149">
        <v>44</v>
      </c>
      <c r="G404" s="146">
        <v>69.95</v>
      </c>
      <c r="H404" s="146" t="s">
        <v>944</v>
      </c>
    </row>
    <row r="405" spans="1:8" x14ac:dyDescent="0.25">
      <c r="A405" s="145" t="s">
        <v>528</v>
      </c>
      <c r="B405" s="127" t="s">
        <v>1312</v>
      </c>
      <c r="C405" s="3" t="s">
        <v>529</v>
      </c>
      <c r="D405" t="s">
        <v>530</v>
      </c>
      <c r="E405" s="127" t="s">
        <v>12</v>
      </c>
      <c r="F405" s="4">
        <v>71</v>
      </c>
    </row>
    <row r="406" spans="1:8" x14ac:dyDescent="0.25">
      <c r="A406" s="150" t="s">
        <v>528</v>
      </c>
      <c r="B406" s="147" t="s">
        <v>1312</v>
      </c>
      <c r="C406" s="148" t="s">
        <v>529</v>
      </c>
      <c r="D406" s="146" t="s">
        <v>530</v>
      </c>
      <c r="E406" s="147" t="s">
        <v>5</v>
      </c>
      <c r="F406" s="149">
        <v>17.75</v>
      </c>
      <c r="G406" s="146">
        <v>27.95</v>
      </c>
      <c r="H406" s="146" t="s">
        <v>1260</v>
      </c>
    </row>
    <row r="407" spans="1:8" x14ac:dyDescent="0.25">
      <c r="A407" s="145" t="s">
        <v>531</v>
      </c>
      <c r="B407" s="127" t="s">
        <v>1312</v>
      </c>
      <c r="C407" s="3" t="s">
        <v>532</v>
      </c>
      <c r="D407" t="s">
        <v>530</v>
      </c>
      <c r="E407" s="127" t="s">
        <v>12</v>
      </c>
      <c r="F407" s="4">
        <v>71</v>
      </c>
    </row>
    <row r="408" spans="1:8" x14ac:dyDescent="0.25">
      <c r="A408" s="150" t="s">
        <v>531</v>
      </c>
      <c r="B408" s="147" t="s">
        <v>1312</v>
      </c>
      <c r="C408" s="148" t="s">
        <v>532</v>
      </c>
      <c r="D408" s="146" t="s">
        <v>530</v>
      </c>
      <c r="E408" s="147" t="s">
        <v>5</v>
      </c>
      <c r="F408" s="149">
        <v>17.75</v>
      </c>
      <c r="G408" s="146">
        <v>27.95</v>
      </c>
      <c r="H408" s="146" t="s">
        <v>1387</v>
      </c>
    </row>
    <row r="409" spans="1:8" x14ac:dyDescent="0.25">
      <c r="A409" s="145" t="s">
        <v>533</v>
      </c>
      <c r="B409" s="127" t="s">
        <v>1312</v>
      </c>
      <c r="C409" s="3" t="s">
        <v>534</v>
      </c>
      <c r="D409" t="s">
        <v>535</v>
      </c>
      <c r="E409" s="127" t="s">
        <v>12</v>
      </c>
      <c r="F409" s="4">
        <v>71</v>
      </c>
    </row>
    <row r="410" spans="1:8" x14ac:dyDescent="0.25">
      <c r="A410" s="150" t="s">
        <v>533</v>
      </c>
      <c r="B410" s="147" t="s">
        <v>1312</v>
      </c>
      <c r="C410" s="148" t="s">
        <v>534</v>
      </c>
      <c r="D410" s="146" t="s">
        <v>535</v>
      </c>
      <c r="E410" s="147" t="s">
        <v>5</v>
      </c>
      <c r="F410" s="149">
        <v>17.75</v>
      </c>
      <c r="G410" s="146">
        <v>27.95</v>
      </c>
      <c r="H410" s="146" t="s">
        <v>1350</v>
      </c>
    </row>
    <row r="411" spans="1:8" x14ac:dyDescent="0.25">
      <c r="A411" s="145" t="s">
        <v>536</v>
      </c>
      <c r="B411" s="127" t="s">
        <v>1312</v>
      </c>
      <c r="C411" s="3" t="s">
        <v>537</v>
      </c>
      <c r="D411" t="s">
        <v>538</v>
      </c>
      <c r="E411" s="127" t="s">
        <v>32</v>
      </c>
      <c r="F411" s="155">
        <v>63</v>
      </c>
      <c r="G411" s="156"/>
    </row>
    <row r="412" spans="1:8" x14ac:dyDescent="0.25">
      <c r="A412" s="150" t="s">
        <v>536</v>
      </c>
      <c r="B412" s="147" t="s">
        <v>1312</v>
      </c>
      <c r="C412" s="148" t="s">
        <v>537</v>
      </c>
      <c r="D412" s="146" t="s">
        <v>538</v>
      </c>
      <c r="E412" s="147" t="s">
        <v>5</v>
      </c>
      <c r="F412" s="155">
        <v>31.5</v>
      </c>
      <c r="G412" s="156">
        <v>49.95</v>
      </c>
      <c r="H412" s="146" t="s">
        <v>1388</v>
      </c>
    </row>
    <row r="413" spans="1:8" x14ac:dyDescent="0.25">
      <c r="A413" t="s">
        <v>539</v>
      </c>
      <c r="B413" s="127" t="s">
        <v>1312</v>
      </c>
      <c r="C413" s="3" t="s">
        <v>540</v>
      </c>
      <c r="D413" t="s">
        <v>538</v>
      </c>
      <c r="E413" s="127" t="s">
        <v>32</v>
      </c>
      <c r="F413" s="155">
        <v>63</v>
      </c>
      <c r="G413" s="156"/>
    </row>
    <row r="414" spans="1:8" x14ac:dyDescent="0.25">
      <c r="A414" s="146" t="s">
        <v>539</v>
      </c>
      <c r="B414" s="147" t="s">
        <v>1312</v>
      </c>
      <c r="C414" s="148" t="s">
        <v>540</v>
      </c>
      <c r="D414" s="146" t="s">
        <v>538</v>
      </c>
      <c r="E414" s="147" t="s">
        <v>5</v>
      </c>
      <c r="F414" s="155">
        <v>31.5</v>
      </c>
      <c r="G414" s="156">
        <v>49.95</v>
      </c>
      <c r="H414" s="146" t="s">
        <v>1389</v>
      </c>
    </row>
    <row r="415" spans="1:8" x14ac:dyDescent="0.25">
      <c r="A415" s="145" t="s">
        <v>541</v>
      </c>
      <c r="B415" s="127" t="s">
        <v>1312</v>
      </c>
      <c r="C415" s="3" t="s">
        <v>542</v>
      </c>
      <c r="D415" t="s">
        <v>538</v>
      </c>
      <c r="E415" s="127" t="s">
        <v>32</v>
      </c>
      <c r="F415" s="155">
        <v>63</v>
      </c>
      <c r="G415" s="156"/>
    </row>
    <row r="416" spans="1:8" x14ac:dyDescent="0.25">
      <c r="A416" s="150" t="s">
        <v>541</v>
      </c>
      <c r="B416" s="147" t="s">
        <v>1312</v>
      </c>
      <c r="C416" s="148" t="s">
        <v>542</v>
      </c>
      <c r="D416" s="146" t="s">
        <v>538</v>
      </c>
      <c r="E416" s="147" t="s">
        <v>5</v>
      </c>
      <c r="F416" s="155">
        <v>31.5</v>
      </c>
      <c r="G416" s="156">
        <v>49.95</v>
      </c>
      <c r="H416" s="146" t="s">
        <v>948</v>
      </c>
    </row>
    <row r="417" spans="1:8" x14ac:dyDescent="0.25">
      <c r="A417" s="145">
        <v>8420421085943</v>
      </c>
      <c r="B417" s="127">
        <v>23</v>
      </c>
      <c r="C417" s="3" t="s">
        <v>543</v>
      </c>
      <c r="D417" t="s">
        <v>538</v>
      </c>
      <c r="E417" s="127" t="s">
        <v>32</v>
      </c>
      <c r="F417" s="155">
        <v>63</v>
      </c>
      <c r="G417" s="156"/>
    </row>
    <row r="418" spans="1:8" x14ac:dyDescent="0.25">
      <c r="A418" s="150">
        <v>8420421085943</v>
      </c>
      <c r="B418" s="147">
        <v>23</v>
      </c>
      <c r="C418" s="148" t="s">
        <v>543</v>
      </c>
      <c r="D418" s="146" t="s">
        <v>538</v>
      </c>
      <c r="E418" s="147" t="s">
        <v>5</v>
      </c>
      <c r="F418" s="155">
        <v>31.5</v>
      </c>
      <c r="G418" s="156">
        <v>49.95</v>
      </c>
      <c r="H418" s="146" t="s">
        <v>942</v>
      </c>
    </row>
    <row r="419" spans="1:8" x14ac:dyDescent="0.25">
      <c r="A419" s="145">
        <v>8420421085998</v>
      </c>
      <c r="B419" s="127">
        <v>23</v>
      </c>
      <c r="C419" s="3" t="s">
        <v>544</v>
      </c>
      <c r="D419" t="s">
        <v>538</v>
      </c>
      <c r="E419" s="127" t="s">
        <v>32</v>
      </c>
      <c r="F419" s="155">
        <v>63</v>
      </c>
      <c r="G419" s="156"/>
    </row>
    <row r="420" spans="1:8" x14ac:dyDescent="0.25">
      <c r="A420" s="150">
        <v>8420421085998</v>
      </c>
      <c r="B420" s="147">
        <v>23</v>
      </c>
      <c r="C420" s="148" t="s">
        <v>544</v>
      </c>
      <c r="D420" s="146" t="s">
        <v>538</v>
      </c>
      <c r="E420" s="147" t="s">
        <v>5</v>
      </c>
      <c r="F420" s="155">
        <v>31.5</v>
      </c>
      <c r="G420" s="156">
        <v>49.95</v>
      </c>
      <c r="H420" s="146" t="s">
        <v>944</v>
      </c>
    </row>
    <row r="421" spans="1:8" x14ac:dyDescent="0.25">
      <c r="A421" s="145" t="s">
        <v>545</v>
      </c>
      <c r="B421" s="127" t="s">
        <v>1312</v>
      </c>
      <c r="C421" s="3" t="s">
        <v>546</v>
      </c>
      <c r="D421" t="s">
        <v>547</v>
      </c>
      <c r="E421" s="127" t="s">
        <v>32</v>
      </c>
      <c r="F421" s="4">
        <v>81</v>
      </c>
    </row>
    <row r="422" spans="1:8" x14ac:dyDescent="0.25">
      <c r="A422" s="150" t="s">
        <v>545</v>
      </c>
      <c r="B422" s="147" t="s">
        <v>1312</v>
      </c>
      <c r="C422" s="148" t="s">
        <v>546</v>
      </c>
      <c r="D422" s="146" t="s">
        <v>547</v>
      </c>
      <c r="E422" s="147" t="s">
        <v>5</v>
      </c>
      <c r="F422" s="149">
        <v>40.5</v>
      </c>
      <c r="G422" s="146">
        <v>63.95</v>
      </c>
      <c r="H422" s="146" t="s">
        <v>1255</v>
      </c>
    </row>
    <row r="423" spans="1:8" x14ac:dyDescent="0.25">
      <c r="A423" s="145" t="s">
        <v>548</v>
      </c>
      <c r="B423" s="127" t="s">
        <v>1312</v>
      </c>
      <c r="C423" s="3" t="s">
        <v>549</v>
      </c>
      <c r="D423" t="s">
        <v>547</v>
      </c>
      <c r="E423" s="127" t="s">
        <v>32</v>
      </c>
      <c r="F423" s="4">
        <v>81</v>
      </c>
    </row>
    <row r="424" spans="1:8" x14ac:dyDescent="0.25">
      <c r="A424" s="150" t="s">
        <v>548</v>
      </c>
      <c r="B424" s="147" t="s">
        <v>1312</v>
      </c>
      <c r="C424" s="148" t="s">
        <v>549</v>
      </c>
      <c r="D424" s="146" t="s">
        <v>547</v>
      </c>
      <c r="E424" s="147" t="s">
        <v>5</v>
      </c>
      <c r="F424" s="149">
        <v>40.5</v>
      </c>
      <c r="G424" s="146">
        <v>63.95</v>
      </c>
      <c r="H424" s="146" t="s">
        <v>948</v>
      </c>
    </row>
    <row r="425" spans="1:8" x14ac:dyDescent="0.25">
      <c r="A425" s="145">
        <v>8420421085967</v>
      </c>
      <c r="B425" s="127">
        <v>23</v>
      </c>
      <c r="C425" s="3" t="s">
        <v>550</v>
      </c>
      <c r="D425" t="s">
        <v>547</v>
      </c>
      <c r="E425" s="127" t="s">
        <v>32</v>
      </c>
      <c r="F425" s="4">
        <v>81</v>
      </c>
    </row>
    <row r="426" spans="1:8" x14ac:dyDescent="0.25">
      <c r="A426" s="150">
        <v>8420421085967</v>
      </c>
      <c r="B426" s="147">
        <v>23</v>
      </c>
      <c r="C426" s="148" t="s">
        <v>550</v>
      </c>
      <c r="D426" s="146" t="s">
        <v>547</v>
      </c>
      <c r="E426" s="147" t="s">
        <v>5</v>
      </c>
      <c r="F426" s="149">
        <v>40.5</v>
      </c>
      <c r="G426" s="146">
        <v>63.95</v>
      </c>
      <c r="H426" s="146" t="s">
        <v>942</v>
      </c>
    </row>
    <row r="427" spans="1:8" x14ac:dyDescent="0.25">
      <c r="A427" s="145">
        <v>8420421085974</v>
      </c>
      <c r="B427" s="127">
        <v>23</v>
      </c>
      <c r="C427" s="3" t="s">
        <v>551</v>
      </c>
      <c r="D427" t="s">
        <v>547</v>
      </c>
      <c r="E427" s="127" t="s">
        <v>32</v>
      </c>
      <c r="F427" s="4">
        <v>81</v>
      </c>
    </row>
    <row r="428" spans="1:8" x14ac:dyDescent="0.25">
      <c r="A428" s="150">
        <v>8420421085974</v>
      </c>
      <c r="B428" s="147">
        <v>23</v>
      </c>
      <c r="C428" s="148" t="s">
        <v>551</v>
      </c>
      <c r="D428" s="146" t="s">
        <v>547</v>
      </c>
      <c r="E428" s="147" t="s">
        <v>5</v>
      </c>
      <c r="F428" s="149">
        <v>40.5</v>
      </c>
      <c r="G428" s="146">
        <v>63.95</v>
      </c>
      <c r="H428" s="146" t="s">
        <v>944</v>
      </c>
    </row>
    <row r="429" spans="1:8" x14ac:dyDescent="0.25">
      <c r="A429" s="145" t="s">
        <v>552</v>
      </c>
      <c r="B429" s="127" t="s">
        <v>1312</v>
      </c>
      <c r="C429" s="3" t="s">
        <v>553</v>
      </c>
      <c r="D429" t="s">
        <v>554</v>
      </c>
      <c r="E429" s="127" t="s">
        <v>32</v>
      </c>
      <c r="F429" s="4">
        <f>F430*2</f>
        <v>69</v>
      </c>
    </row>
    <row r="430" spans="1:8" x14ac:dyDescent="0.25">
      <c r="A430" s="150" t="s">
        <v>552</v>
      </c>
      <c r="B430" s="147" t="s">
        <v>1312</v>
      </c>
      <c r="C430" s="148" t="s">
        <v>553</v>
      </c>
      <c r="D430" s="146" t="s">
        <v>554</v>
      </c>
      <c r="E430" s="147" t="s">
        <v>5</v>
      </c>
      <c r="F430" s="149">
        <v>34.5</v>
      </c>
      <c r="G430" s="146">
        <v>54.95</v>
      </c>
      <c r="H430" s="146" t="s">
        <v>1255</v>
      </c>
    </row>
    <row r="431" spans="1:8" x14ac:dyDescent="0.25">
      <c r="A431" s="145" t="s">
        <v>555</v>
      </c>
      <c r="B431" s="127" t="s">
        <v>1312</v>
      </c>
      <c r="C431" s="3" t="s">
        <v>556</v>
      </c>
      <c r="D431" t="s">
        <v>557</v>
      </c>
      <c r="E431" s="127" t="s">
        <v>32</v>
      </c>
      <c r="F431" s="4">
        <f>F432*2</f>
        <v>69</v>
      </c>
    </row>
    <row r="432" spans="1:8" x14ac:dyDescent="0.25">
      <c r="A432" s="150" t="s">
        <v>555</v>
      </c>
      <c r="B432" s="147" t="s">
        <v>1312</v>
      </c>
      <c r="C432" s="148" t="s">
        <v>556</v>
      </c>
      <c r="D432" s="146" t="s">
        <v>557</v>
      </c>
      <c r="E432" s="147" t="s">
        <v>5</v>
      </c>
      <c r="F432" s="149">
        <v>34.5</v>
      </c>
      <c r="G432" s="146">
        <v>54.95</v>
      </c>
      <c r="H432" s="146" t="s">
        <v>948</v>
      </c>
    </row>
    <row r="433" spans="1:8" x14ac:dyDescent="0.25">
      <c r="A433" s="145" t="s">
        <v>558</v>
      </c>
      <c r="B433" s="127" t="s">
        <v>1312</v>
      </c>
      <c r="C433" s="3" t="s">
        <v>559</v>
      </c>
      <c r="D433" t="s">
        <v>560</v>
      </c>
      <c r="E433" s="127" t="s">
        <v>32</v>
      </c>
      <c r="F433" s="155">
        <v>101</v>
      </c>
      <c r="G433" s="156"/>
    </row>
    <row r="434" spans="1:8" x14ac:dyDescent="0.25">
      <c r="A434" s="150" t="s">
        <v>558</v>
      </c>
      <c r="B434" s="147" t="s">
        <v>1312</v>
      </c>
      <c r="C434" s="148" t="s">
        <v>559</v>
      </c>
      <c r="D434" s="146" t="s">
        <v>560</v>
      </c>
      <c r="E434" s="147" t="s">
        <v>5</v>
      </c>
      <c r="F434" s="155">
        <v>50.5</v>
      </c>
      <c r="G434" s="156">
        <v>79.95</v>
      </c>
      <c r="H434" s="146" t="s">
        <v>1255</v>
      </c>
    </row>
    <row r="435" spans="1:8" x14ac:dyDescent="0.25">
      <c r="A435" s="145" t="s">
        <v>561</v>
      </c>
      <c r="B435" s="127" t="s">
        <v>1312</v>
      </c>
      <c r="C435" s="3" t="s">
        <v>562</v>
      </c>
      <c r="D435" t="s">
        <v>560</v>
      </c>
      <c r="E435" s="127" t="s">
        <v>32</v>
      </c>
      <c r="F435" s="155">
        <v>101</v>
      </c>
      <c r="G435" s="156"/>
    </row>
    <row r="436" spans="1:8" x14ac:dyDescent="0.25">
      <c r="A436" s="150" t="s">
        <v>561</v>
      </c>
      <c r="B436" s="147" t="s">
        <v>1312</v>
      </c>
      <c r="C436" s="148" t="s">
        <v>562</v>
      </c>
      <c r="D436" s="146" t="s">
        <v>560</v>
      </c>
      <c r="E436" s="147" t="s">
        <v>5</v>
      </c>
      <c r="F436" s="155">
        <v>50.5</v>
      </c>
      <c r="G436" s="156">
        <v>79.95</v>
      </c>
      <c r="H436" s="146" t="s">
        <v>1256</v>
      </c>
    </row>
    <row r="437" spans="1:8" x14ac:dyDescent="0.25">
      <c r="A437" s="145" t="s">
        <v>563</v>
      </c>
      <c r="B437" s="127" t="s">
        <v>1312</v>
      </c>
      <c r="C437" s="3" t="s">
        <v>564</v>
      </c>
      <c r="D437" t="s">
        <v>560</v>
      </c>
      <c r="E437" s="127" t="s">
        <v>32</v>
      </c>
      <c r="F437" s="155">
        <v>101</v>
      </c>
      <c r="G437" s="156"/>
    </row>
    <row r="438" spans="1:8" x14ac:dyDescent="0.25">
      <c r="A438" s="150" t="s">
        <v>563</v>
      </c>
      <c r="B438" s="147" t="s">
        <v>1312</v>
      </c>
      <c r="C438" s="148" t="s">
        <v>564</v>
      </c>
      <c r="D438" s="146" t="s">
        <v>560</v>
      </c>
      <c r="E438" s="147" t="s">
        <v>5</v>
      </c>
      <c r="F438" s="155">
        <v>50.5</v>
      </c>
      <c r="G438" s="156">
        <v>79.95</v>
      </c>
      <c r="H438" s="146" t="s">
        <v>1262</v>
      </c>
    </row>
    <row r="439" spans="1:8" x14ac:dyDescent="0.25">
      <c r="A439" s="145" t="s">
        <v>565</v>
      </c>
      <c r="B439" s="127" t="s">
        <v>1312</v>
      </c>
      <c r="C439" s="3" t="s">
        <v>566</v>
      </c>
      <c r="D439" t="s">
        <v>560</v>
      </c>
      <c r="E439" s="127" t="s">
        <v>32</v>
      </c>
      <c r="F439" s="155">
        <v>101</v>
      </c>
      <c r="G439" s="156"/>
    </row>
    <row r="440" spans="1:8" x14ac:dyDescent="0.25">
      <c r="A440" s="150" t="s">
        <v>565</v>
      </c>
      <c r="B440" s="147" t="s">
        <v>1312</v>
      </c>
      <c r="C440" s="148" t="s">
        <v>566</v>
      </c>
      <c r="D440" s="146" t="s">
        <v>560</v>
      </c>
      <c r="E440" s="147" t="s">
        <v>5</v>
      </c>
      <c r="F440" s="155">
        <v>50.5</v>
      </c>
      <c r="G440" s="156">
        <v>79.95</v>
      </c>
      <c r="H440" s="146" t="s">
        <v>948</v>
      </c>
    </row>
    <row r="441" spans="1:8" x14ac:dyDescent="0.25">
      <c r="A441" s="145" t="s">
        <v>567</v>
      </c>
      <c r="B441" s="127" t="s">
        <v>1312</v>
      </c>
      <c r="C441" s="3" t="s">
        <v>568</v>
      </c>
      <c r="D441" t="s">
        <v>1390</v>
      </c>
      <c r="E441" s="127" t="s">
        <v>32</v>
      </c>
      <c r="F441" s="4">
        <v>114</v>
      </c>
    </row>
    <row r="442" spans="1:8" x14ac:dyDescent="0.25">
      <c r="A442" s="150" t="s">
        <v>567</v>
      </c>
      <c r="B442" s="147" t="s">
        <v>1312</v>
      </c>
      <c r="C442" s="148" t="s">
        <v>568</v>
      </c>
      <c r="D442" s="146" t="s">
        <v>1390</v>
      </c>
      <c r="E442" s="147" t="s">
        <v>5</v>
      </c>
      <c r="F442" s="149">
        <v>57</v>
      </c>
      <c r="G442" s="146">
        <v>89.95</v>
      </c>
      <c r="H442" s="146" t="s">
        <v>1255</v>
      </c>
    </row>
    <row r="443" spans="1:8" x14ac:dyDescent="0.25">
      <c r="A443" s="145" t="s">
        <v>570</v>
      </c>
      <c r="B443" s="127" t="s">
        <v>1312</v>
      </c>
      <c r="C443" s="3" t="s">
        <v>571</v>
      </c>
      <c r="D443" t="s">
        <v>1390</v>
      </c>
      <c r="E443" s="127" t="s">
        <v>32</v>
      </c>
      <c r="F443" s="4">
        <v>114</v>
      </c>
    </row>
    <row r="444" spans="1:8" x14ac:dyDescent="0.25">
      <c r="A444" s="150" t="s">
        <v>570</v>
      </c>
      <c r="B444" s="147" t="s">
        <v>1312</v>
      </c>
      <c r="C444" s="148" t="s">
        <v>571</v>
      </c>
      <c r="D444" s="146" t="s">
        <v>1390</v>
      </c>
      <c r="E444" s="147" t="s">
        <v>5</v>
      </c>
      <c r="F444" s="149">
        <v>57</v>
      </c>
      <c r="G444" s="146">
        <v>89.95</v>
      </c>
      <c r="H444" s="146" t="s">
        <v>1256</v>
      </c>
    </row>
    <row r="445" spans="1:8" x14ac:dyDescent="0.25">
      <c r="A445" s="145">
        <v>8420421087220</v>
      </c>
      <c r="B445" s="127">
        <v>23</v>
      </c>
      <c r="C445" s="3" t="s">
        <v>575</v>
      </c>
      <c r="D445" t="s">
        <v>1390</v>
      </c>
      <c r="E445" s="127" t="s">
        <v>32</v>
      </c>
      <c r="F445" s="4">
        <v>114</v>
      </c>
    </row>
    <row r="446" spans="1:8" x14ac:dyDescent="0.25">
      <c r="A446" s="150">
        <v>8420421087220</v>
      </c>
      <c r="B446" s="147">
        <v>23</v>
      </c>
      <c r="C446" s="148" t="s">
        <v>575</v>
      </c>
      <c r="D446" s="146" t="s">
        <v>1390</v>
      </c>
      <c r="E446" s="147" t="s">
        <v>5</v>
      </c>
      <c r="F446" s="149">
        <v>57</v>
      </c>
      <c r="G446" s="146">
        <v>89.95</v>
      </c>
      <c r="H446" s="146" t="s">
        <v>1391</v>
      </c>
    </row>
    <row r="447" spans="1:8" x14ac:dyDescent="0.25">
      <c r="A447" s="145">
        <v>8420421086346</v>
      </c>
      <c r="B447" s="127">
        <v>23</v>
      </c>
      <c r="C447" s="3" t="s">
        <v>577</v>
      </c>
      <c r="D447" t="s">
        <v>1390</v>
      </c>
      <c r="E447" s="127" t="s">
        <v>32</v>
      </c>
      <c r="F447" s="4">
        <v>114</v>
      </c>
    </row>
    <row r="448" spans="1:8" x14ac:dyDescent="0.25">
      <c r="A448" s="150">
        <v>8420421086346</v>
      </c>
      <c r="B448" s="147">
        <v>23</v>
      </c>
      <c r="C448" s="148" t="s">
        <v>577</v>
      </c>
      <c r="D448" s="146" t="s">
        <v>1390</v>
      </c>
      <c r="E448" s="147" t="s">
        <v>5</v>
      </c>
      <c r="F448" s="149">
        <v>57</v>
      </c>
      <c r="G448" s="146">
        <v>89.95</v>
      </c>
      <c r="H448" s="146" t="s">
        <v>1264</v>
      </c>
    </row>
    <row r="449" spans="1:8" x14ac:dyDescent="0.25">
      <c r="A449" s="145">
        <v>8420421086353</v>
      </c>
      <c r="B449" s="127">
        <v>23</v>
      </c>
      <c r="C449" s="3" t="s">
        <v>579</v>
      </c>
      <c r="D449" t="s">
        <v>1390</v>
      </c>
      <c r="E449" s="127" t="s">
        <v>32</v>
      </c>
      <c r="F449" s="4">
        <v>114</v>
      </c>
    </row>
    <row r="450" spans="1:8" x14ac:dyDescent="0.25">
      <c r="A450" s="150">
        <v>8420421086353</v>
      </c>
      <c r="B450" s="147">
        <v>23</v>
      </c>
      <c r="C450" s="148" t="s">
        <v>579</v>
      </c>
      <c r="D450" s="146" t="s">
        <v>1390</v>
      </c>
      <c r="E450" s="147" t="s">
        <v>5</v>
      </c>
      <c r="F450" s="149">
        <v>57</v>
      </c>
      <c r="G450" s="146">
        <v>89.95</v>
      </c>
      <c r="H450" s="146" t="s">
        <v>1392</v>
      </c>
    </row>
    <row r="451" spans="1:8" x14ac:dyDescent="0.25">
      <c r="A451" s="145" t="s">
        <v>581</v>
      </c>
      <c r="B451" s="127" t="s">
        <v>1312</v>
      </c>
      <c r="C451" s="3" t="s">
        <v>582</v>
      </c>
      <c r="D451" t="s">
        <v>583</v>
      </c>
      <c r="E451" s="127" t="s">
        <v>4</v>
      </c>
      <c r="F451" s="155">
        <v>33.9</v>
      </c>
      <c r="G451" s="156"/>
    </row>
    <row r="452" spans="1:8" x14ac:dyDescent="0.25">
      <c r="A452" s="150" t="s">
        <v>581</v>
      </c>
      <c r="B452" s="147" t="s">
        <v>1312</v>
      </c>
      <c r="C452" s="148" t="s">
        <v>582</v>
      </c>
      <c r="D452" s="146" t="s">
        <v>583</v>
      </c>
      <c r="E452" s="147" t="s">
        <v>5</v>
      </c>
      <c r="F452" s="155">
        <v>5.65</v>
      </c>
      <c r="G452" s="156">
        <v>8.9499999999999993</v>
      </c>
      <c r="H452" s="146"/>
    </row>
    <row r="453" spans="1:8" x14ac:dyDescent="0.25">
      <c r="A453" s="145" t="s">
        <v>601</v>
      </c>
      <c r="B453" s="127"/>
      <c r="C453" s="3" t="s">
        <v>599</v>
      </c>
      <c r="D453" t="s">
        <v>600</v>
      </c>
      <c r="E453" s="127"/>
      <c r="F453" s="4">
        <v>19</v>
      </c>
      <c r="G453">
        <v>29</v>
      </c>
      <c r="H453" t="s">
        <v>1260</v>
      </c>
    </row>
    <row r="454" spans="1:8" x14ac:dyDescent="0.25">
      <c r="A454" s="150" t="s">
        <v>561</v>
      </c>
      <c r="B454" s="147" t="s">
        <v>1312</v>
      </c>
      <c r="C454" s="148" t="s">
        <v>562</v>
      </c>
      <c r="D454" s="146" t="s">
        <v>560</v>
      </c>
      <c r="E454" s="147" t="s">
        <v>5</v>
      </c>
      <c r="F454" s="149">
        <v>55</v>
      </c>
      <c r="G454" s="146">
        <v>86.95</v>
      </c>
    </row>
    <row r="455" spans="1:8" x14ac:dyDescent="0.25">
      <c r="A455" s="145" t="s">
        <v>563</v>
      </c>
      <c r="B455" s="127" t="s">
        <v>1312</v>
      </c>
      <c r="C455" s="3" t="s">
        <v>564</v>
      </c>
      <c r="D455" t="s">
        <v>560</v>
      </c>
      <c r="E455" s="127" t="s">
        <v>32</v>
      </c>
      <c r="F455" s="4">
        <v>110</v>
      </c>
    </row>
    <row r="456" spans="1:8" x14ac:dyDescent="0.25">
      <c r="A456" s="150" t="s">
        <v>563</v>
      </c>
      <c r="B456" s="147" t="s">
        <v>1312</v>
      </c>
      <c r="C456" s="148" t="s">
        <v>564</v>
      </c>
      <c r="D456" s="146" t="s">
        <v>560</v>
      </c>
      <c r="E456" s="147" t="s">
        <v>5</v>
      </c>
      <c r="F456" s="149">
        <v>55</v>
      </c>
      <c r="G456" s="146">
        <v>86.95</v>
      </c>
    </row>
    <row r="457" spans="1:8" x14ac:dyDescent="0.25">
      <c r="A457" s="145" t="s">
        <v>565</v>
      </c>
      <c r="B457" s="127" t="s">
        <v>1312</v>
      </c>
      <c r="C457" s="3" t="s">
        <v>566</v>
      </c>
      <c r="D457" t="s">
        <v>560</v>
      </c>
      <c r="E457" s="127" t="s">
        <v>32</v>
      </c>
      <c r="F457" s="4">
        <v>110</v>
      </c>
    </row>
    <row r="458" spans="1:8" x14ac:dyDescent="0.25">
      <c r="A458" s="150" t="s">
        <v>565</v>
      </c>
      <c r="B458" s="147" t="s">
        <v>1312</v>
      </c>
      <c r="C458" s="148" t="s">
        <v>566</v>
      </c>
      <c r="D458" s="146" t="s">
        <v>560</v>
      </c>
      <c r="E458" s="147" t="s">
        <v>5</v>
      </c>
      <c r="F458" s="149">
        <v>55</v>
      </c>
      <c r="G458" s="146">
        <v>86.95</v>
      </c>
    </row>
    <row r="459" spans="1:8" x14ac:dyDescent="0.25">
      <c r="A459" s="145" t="s">
        <v>567</v>
      </c>
      <c r="B459" s="127" t="s">
        <v>1312</v>
      </c>
      <c r="C459" s="3" t="s">
        <v>568</v>
      </c>
      <c r="D459" t="s">
        <v>569</v>
      </c>
      <c r="E459" s="127" t="s">
        <v>32</v>
      </c>
      <c r="F459" s="4">
        <v>114</v>
      </c>
    </row>
    <row r="460" spans="1:8" x14ac:dyDescent="0.25">
      <c r="A460" s="150" t="s">
        <v>567</v>
      </c>
      <c r="B460" s="147" t="s">
        <v>1312</v>
      </c>
      <c r="C460" s="148" t="s">
        <v>568</v>
      </c>
      <c r="D460" s="146" t="s">
        <v>569</v>
      </c>
      <c r="E460" s="147" t="s">
        <v>5</v>
      </c>
      <c r="F460" s="149">
        <v>57</v>
      </c>
      <c r="G460" s="146">
        <v>89.95</v>
      </c>
    </row>
    <row r="461" spans="1:8" x14ac:dyDescent="0.25">
      <c r="A461" s="145" t="s">
        <v>570</v>
      </c>
      <c r="B461" s="127" t="s">
        <v>1312</v>
      </c>
      <c r="C461" s="3" t="s">
        <v>571</v>
      </c>
      <c r="D461" t="s">
        <v>572</v>
      </c>
      <c r="E461" s="127" t="s">
        <v>32</v>
      </c>
      <c r="F461" s="4">
        <v>114</v>
      </c>
    </row>
    <row r="462" spans="1:8" x14ac:dyDescent="0.25">
      <c r="A462" s="150" t="s">
        <v>570</v>
      </c>
      <c r="B462" s="147" t="s">
        <v>1312</v>
      </c>
      <c r="C462" s="148" t="s">
        <v>571</v>
      </c>
      <c r="D462" s="146" t="s">
        <v>572</v>
      </c>
      <c r="E462" s="147" t="s">
        <v>5</v>
      </c>
      <c r="F462" s="149">
        <v>57</v>
      </c>
      <c r="G462" s="146">
        <v>89.95</v>
      </c>
    </row>
    <row r="463" spans="1:8" x14ac:dyDescent="0.25">
      <c r="A463" s="150">
        <v>8420421085929</v>
      </c>
      <c r="B463" s="147" t="s">
        <v>1312</v>
      </c>
      <c r="C463" s="148" t="s">
        <v>573</v>
      </c>
      <c r="D463" s="146" t="s">
        <v>574</v>
      </c>
      <c r="E463" s="147" t="s">
        <v>5</v>
      </c>
      <c r="F463" s="149">
        <v>72</v>
      </c>
      <c r="G463" s="146">
        <v>113.95</v>
      </c>
    </row>
    <row r="464" spans="1:8" x14ac:dyDescent="0.25">
      <c r="A464" s="145">
        <v>8420421087220</v>
      </c>
      <c r="B464" s="127">
        <v>23</v>
      </c>
      <c r="C464" s="3" t="s">
        <v>575</v>
      </c>
      <c r="D464" t="s">
        <v>576</v>
      </c>
      <c r="E464" s="127" t="s">
        <v>32</v>
      </c>
      <c r="F464" s="4">
        <v>114</v>
      </c>
    </row>
    <row r="465" spans="1:7" x14ac:dyDescent="0.25">
      <c r="A465" s="150">
        <v>8420421087220</v>
      </c>
      <c r="B465" s="147">
        <v>23</v>
      </c>
      <c r="C465" s="148" t="s">
        <v>575</v>
      </c>
      <c r="D465" s="146" t="s">
        <v>576</v>
      </c>
      <c r="E465" s="147" t="s">
        <v>5</v>
      </c>
      <c r="F465" s="149">
        <v>57</v>
      </c>
      <c r="G465" s="146">
        <v>89.95</v>
      </c>
    </row>
    <row r="466" spans="1:7" x14ac:dyDescent="0.25">
      <c r="A466" s="145">
        <v>8420421086346</v>
      </c>
      <c r="B466" s="127">
        <v>23</v>
      </c>
      <c r="C466" s="3" t="s">
        <v>577</v>
      </c>
      <c r="D466" t="s">
        <v>578</v>
      </c>
      <c r="E466" s="127" t="s">
        <v>32</v>
      </c>
      <c r="F466" s="4">
        <v>114</v>
      </c>
    </row>
    <row r="467" spans="1:7" x14ac:dyDescent="0.25">
      <c r="A467" s="150">
        <v>8420421086346</v>
      </c>
      <c r="B467" s="147">
        <v>23</v>
      </c>
      <c r="C467" s="148" t="s">
        <v>577</v>
      </c>
      <c r="D467" s="146" t="s">
        <v>578</v>
      </c>
      <c r="E467" s="147" t="s">
        <v>5</v>
      </c>
      <c r="F467" s="149">
        <v>57</v>
      </c>
      <c r="G467" s="146">
        <v>89.95</v>
      </c>
    </row>
    <row r="468" spans="1:7" x14ac:dyDescent="0.25">
      <c r="A468" s="145">
        <v>8420421086353</v>
      </c>
      <c r="B468" s="127">
        <v>23</v>
      </c>
      <c r="C468" s="3" t="s">
        <v>579</v>
      </c>
      <c r="D468" t="s">
        <v>580</v>
      </c>
      <c r="E468" s="127" t="s">
        <v>32</v>
      </c>
      <c r="F468" s="4">
        <v>114</v>
      </c>
    </row>
    <row r="469" spans="1:7" x14ac:dyDescent="0.25">
      <c r="A469" s="150">
        <v>8420421086353</v>
      </c>
      <c r="B469" s="147">
        <v>23</v>
      </c>
      <c r="C469" s="148" t="s">
        <v>579</v>
      </c>
      <c r="D469" s="146" t="s">
        <v>580</v>
      </c>
      <c r="E469" s="147" t="s">
        <v>5</v>
      </c>
      <c r="F469" s="149">
        <v>57</v>
      </c>
      <c r="G469" s="146">
        <v>89.95</v>
      </c>
    </row>
    <row r="470" spans="1:7" x14ac:dyDescent="0.25">
      <c r="A470" s="145" t="s">
        <v>581</v>
      </c>
      <c r="B470" s="127" t="s">
        <v>1312</v>
      </c>
      <c r="C470" s="3" t="s">
        <v>582</v>
      </c>
      <c r="D470" t="s">
        <v>583</v>
      </c>
      <c r="E470" s="127" t="s">
        <v>4</v>
      </c>
      <c r="F470" s="4">
        <v>38</v>
      </c>
    </row>
    <row r="471" spans="1:7" x14ac:dyDescent="0.25">
      <c r="A471" s="150" t="s">
        <v>581</v>
      </c>
      <c r="B471" s="147" t="s">
        <v>1312</v>
      </c>
      <c r="C471" s="148" t="s">
        <v>582</v>
      </c>
      <c r="D471" s="146" t="s">
        <v>583</v>
      </c>
      <c r="E471" s="147" t="s">
        <v>5</v>
      </c>
      <c r="F471" s="149">
        <v>6.3330000000000002</v>
      </c>
      <c r="G471" s="146">
        <v>9.9499999999999993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-0.249977111117893"/>
  </sheetPr>
  <dimension ref="A1:G62"/>
  <sheetViews>
    <sheetView workbookViewId="0">
      <selection activeCell="B63" sqref="B63"/>
    </sheetView>
  </sheetViews>
  <sheetFormatPr baseColWidth="10" defaultColWidth="9.140625" defaultRowHeight="12.75" x14ac:dyDescent="0.2"/>
  <cols>
    <col min="1" max="1" width="16" style="13" customWidth="1"/>
    <col min="2" max="2" width="32.140625" style="46" bestFit="1" customWidth="1"/>
    <col min="3" max="3" width="17.140625" style="13" bestFit="1" customWidth="1"/>
    <col min="4" max="4" width="17" style="13" bestFit="1" customWidth="1"/>
    <col min="5" max="5" width="15.28515625" style="13" bestFit="1" customWidth="1"/>
    <col min="6" max="6" width="10.42578125" style="33" customWidth="1"/>
    <col min="7" max="7" width="12" style="33" customWidth="1"/>
    <col min="8" max="16384" width="9.140625" style="13"/>
  </cols>
  <sheetData>
    <row r="1" spans="1:7" ht="48" customHeight="1" thickBot="1" x14ac:dyDescent="0.45">
      <c r="C1" s="65" t="s">
        <v>1017</v>
      </c>
      <c r="D1" s="14">
        <v>2023</v>
      </c>
    </row>
    <row r="2" spans="1:7" s="15" customFormat="1" ht="13.5" thickBot="1" x14ac:dyDescent="0.25">
      <c r="A2" s="99" t="s">
        <v>0</v>
      </c>
      <c r="B2" s="100" t="s">
        <v>1318</v>
      </c>
      <c r="C2" s="101" t="s">
        <v>1319</v>
      </c>
      <c r="D2" s="102" t="s">
        <v>1320</v>
      </c>
      <c r="E2" s="103" t="s">
        <v>1324</v>
      </c>
      <c r="F2" s="104" t="s">
        <v>1321</v>
      </c>
      <c r="G2" s="105" t="s">
        <v>1322</v>
      </c>
    </row>
    <row r="3" spans="1:7" ht="15.75" customHeight="1" thickBot="1" x14ac:dyDescent="0.25">
      <c r="A3" s="180" t="s">
        <v>935</v>
      </c>
      <c r="B3" s="180"/>
      <c r="C3" s="180"/>
      <c r="D3" s="180"/>
      <c r="E3" s="180"/>
      <c r="F3" s="180"/>
      <c r="G3" s="181"/>
    </row>
    <row r="4" spans="1:7" x14ac:dyDescent="0.2">
      <c r="A4" s="52" t="s">
        <v>1131</v>
      </c>
      <c r="B4" s="50" t="s">
        <v>936</v>
      </c>
      <c r="C4" s="24" t="s">
        <v>937</v>
      </c>
      <c r="D4" s="25" t="s">
        <v>938</v>
      </c>
      <c r="E4" s="26">
        <v>2</v>
      </c>
      <c r="F4" s="37">
        <v>75.5</v>
      </c>
      <c r="G4" s="40">
        <v>119</v>
      </c>
    </row>
    <row r="5" spans="1:7" x14ac:dyDescent="0.2">
      <c r="A5" s="53" t="s">
        <v>1132</v>
      </c>
      <c r="B5" s="48" t="s">
        <v>939</v>
      </c>
      <c r="C5" s="18" t="s">
        <v>937</v>
      </c>
      <c r="D5" s="19" t="s">
        <v>940</v>
      </c>
      <c r="E5" s="20">
        <v>2</v>
      </c>
      <c r="F5" s="35">
        <v>75.5</v>
      </c>
      <c r="G5" s="41">
        <v>119</v>
      </c>
    </row>
    <row r="6" spans="1:7" x14ac:dyDescent="0.2">
      <c r="A6" s="53" t="s">
        <v>1133</v>
      </c>
      <c r="B6" s="48" t="s">
        <v>941</v>
      </c>
      <c r="C6" s="18" t="s">
        <v>937</v>
      </c>
      <c r="D6" s="19" t="s">
        <v>942</v>
      </c>
      <c r="E6" s="20">
        <v>2</v>
      </c>
      <c r="F6" s="35">
        <v>75.5</v>
      </c>
      <c r="G6" s="41">
        <v>119</v>
      </c>
    </row>
    <row r="7" spans="1:7" ht="13.5" thickBot="1" x14ac:dyDescent="0.25">
      <c r="A7" s="54" t="s">
        <v>1134</v>
      </c>
      <c r="B7" s="55" t="s">
        <v>943</v>
      </c>
      <c r="C7" s="30" t="s">
        <v>937</v>
      </c>
      <c r="D7" s="31" t="s">
        <v>944</v>
      </c>
      <c r="E7" s="32">
        <v>2</v>
      </c>
      <c r="F7" s="39">
        <v>75.5</v>
      </c>
      <c r="G7" s="45">
        <v>119</v>
      </c>
    </row>
    <row r="8" spans="1:7" x14ac:dyDescent="0.2">
      <c r="A8" s="52" t="s">
        <v>1136</v>
      </c>
      <c r="B8" s="50" t="s">
        <v>945</v>
      </c>
      <c r="C8" s="24" t="s">
        <v>946</v>
      </c>
      <c r="D8" s="25" t="s">
        <v>938</v>
      </c>
      <c r="E8" s="26">
        <v>2</v>
      </c>
      <c r="F8" s="37">
        <v>82</v>
      </c>
      <c r="G8" s="40">
        <v>129</v>
      </c>
    </row>
    <row r="9" spans="1:7" x14ac:dyDescent="0.2">
      <c r="A9" s="53" t="s">
        <v>1137</v>
      </c>
      <c r="B9" s="48" t="s">
        <v>947</v>
      </c>
      <c r="C9" s="18" t="s">
        <v>946</v>
      </c>
      <c r="D9" s="19" t="s">
        <v>948</v>
      </c>
      <c r="E9" s="20">
        <v>2</v>
      </c>
      <c r="F9" s="35">
        <v>82</v>
      </c>
      <c r="G9" s="41">
        <v>129</v>
      </c>
    </row>
    <row r="10" spans="1:7" x14ac:dyDescent="0.2">
      <c r="A10" s="53" t="s">
        <v>1138</v>
      </c>
      <c r="B10" s="48" t="s">
        <v>949</v>
      </c>
      <c r="C10" s="18" t="s">
        <v>946</v>
      </c>
      <c r="D10" s="19" t="s">
        <v>942</v>
      </c>
      <c r="E10" s="20">
        <v>2</v>
      </c>
      <c r="F10" s="35">
        <v>82</v>
      </c>
      <c r="G10" s="41">
        <v>129</v>
      </c>
    </row>
    <row r="11" spans="1:7" ht="13.5" thickBot="1" x14ac:dyDescent="0.25">
      <c r="A11" s="54" t="s">
        <v>1139</v>
      </c>
      <c r="B11" s="57" t="s">
        <v>950</v>
      </c>
      <c r="C11" s="30" t="s">
        <v>946</v>
      </c>
      <c r="D11" s="31" t="s">
        <v>944</v>
      </c>
      <c r="E11" s="32">
        <v>2</v>
      </c>
      <c r="F11" s="39">
        <v>82</v>
      </c>
      <c r="G11" s="45">
        <v>129</v>
      </c>
    </row>
    <row r="12" spans="1:7" ht="13.5" thickBot="1" x14ac:dyDescent="0.25">
      <c r="A12" s="58" t="s">
        <v>1135</v>
      </c>
      <c r="B12" s="51" t="s">
        <v>951</v>
      </c>
      <c r="C12" s="27" t="s">
        <v>952</v>
      </c>
      <c r="D12" s="28" t="s">
        <v>953</v>
      </c>
      <c r="E12" s="29">
        <v>2</v>
      </c>
      <c r="F12" s="38">
        <v>88</v>
      </c>
      <c r="G12" s="43">
        <v>139</v>
      </c>
    </row>
    <row r="13" spans="1:7" x14ac:dyDescent="0.2">
      <c r="A13" s="52" t="s">
        <v>1140</v>
      </c>
      <c r="B13" s="50" t="s">
        <v>954</v>
      </c>
      <c r="C13" s="24" t="s">
        <v>955</v>
      </c>
      <c r="D13" s="25" t="s">
        <v>938</v>
      </c>
      <c r="E13" s="26">
        <v>2</v>
      </c>
      <c r="F13" s="37">
        <v>82</v>
      </c>
      <c r="G13" s="40">
        <v>129</v>
      </c>
    </row>
    <row r="14" spans="1:7" x14ac:dyDescent="0.2">
      <c r="A14" s="53" t="s">
        <v>1141</v>
      </c>
      <c r="B14" s="47" t="s">
        <v>956</v>
      </c>
      <c r="C14" s="18" t="s">
        <v>955</v>
      </c>
      <c r="D14" s="16" t="s">
        <v>953</v>
      </c>
      <c r="E14" s="17">
        <v>2</v>
      </c>
      <c r="F14" s="34">
        <v>82</v>
      </c>
      <c r="G14" s="44">
        <v>129</v>
      </c>
    </row>
    <row r="15" spans="1:7" x14ac:dyDescent="0.2">
      <c r="A15" s="53" t="s">
        <v>1142</v>
      </c>
      <c r="B15" s="48" t="s">
        <v>957</v>
      </c>
      <c r="C15" s="18" t="s">
        <v>955</v>
      </c>
      <c r="D15" s="19" t="s">
        <v>940</v>
      </c>
      <c r="E15" s="20">
        <v>2</v>
      </c>
      <c r="F15" s="34">
        <v>82</v>
      </c>
      <c r="G15" s="41">
        <v>129</v>
      </c>
    </row>
    <row r="16" spans="1:7" x14ac:dyDescent="0.2">
      <c r="A16" s="53" t="s">
        <v>1143</v>
      </c>
      <c r="B16" s="48" t="s">
        <v>958</v>
      </c>
      <c r="C16" s="18" t="s">
        <v>955</v>
      </c>
      <c r="D16" s="19" t="s">
        <v>942</v>
      </c>
      <c r="E16" s="20">
        <v>2</v>
      </c>
      <c r="F16" s="34">
        <v>82</v>
      </c>
      <c r="G16" s="41">
        <v>129</v>
      </c>
    </row>
    <row r="17" spans="1:7" ht="13.5" thickBot="1" x14ac:dyDescent="0.25">
      <c r="A17" s="54" t="s">
        <v>1144</v>
      </c>
      <c r="B17" s="57" t="s">
        <v>959</v>
      </c>
      <c r="C17" s="30" t="s">
        <v>955</v>
      </c>
      <c r="D17" s="31" t="s">
        <v>944</v>
      </c>
      <c r="E17" s="32">
        <v>2</v>
      </c>
      <c r="F17" s="56">
        <v>82</v>
      </c>
      <c r="G17" s="45">
        <v>129</v>
      </c>
    </row>
    <row r="18" spans="1:7" ht="15.75" customHeight="1" thickBot="1" x14ac:dyDescent="0.25">
      <c r="A18" s="182" t="s">
        <v>960</v>
      </c>
      <c r="B18" s="180"/>
      <c r="C18" s="180"/>
      <c r="D18" s="180"/>
      <c r="E18" s="180"/>
      <c r="F18" s="180"/>
      <c r="G18" s="181"/>
    </row>
    <row r="19" spans="1:7" x14ac:dyDescent="0.2">
      <c r="A19" s="52" t="s">
        <v>1146</v>
      </c>
      <c r="B19" s="50" t="s">
        <v>961</v>
      </c>
      <c r="C19" s="24" t="s">
        <v>962</v>
      </c>
      <c r="D19" s="25" t="s">
        <v>938</v>
      </c>
      <c r="E19" s="26">
        <v>1</v>
      </c>
      <c r="F19" s="37">
        <v>107</v>
      </c>
      <c r="G19" s="40">
        <v>169</v>
      </c>
    </row>
    <row r="20" spans="1:7" x14ac:dyDescent="0.2">
      <c r="A20" s="53" t="s">
        <v>1147</v>
      </c>
      <c r="B20" s="48" t="s">
        <v>963</v>
      </c>
      <c r="C20" s="18" t="s">
        <v>962</v>
      </c>
      <c r="D20" s="19" t="s">
        <v>940</v>
      </c>
      <c r="E20" s="20">
        <v>1</v>
      </c>
      <c r="F20" s="35">
        <v>107</v>
      </c>
      <c r="G20" s="41">
        <v>169</v>
      </c>
    </row>
    <row r="21" spans="1:7" ht="13.5" thickBot="1" x14ac:dyDescent="0.25">
      <c r="A21" s="54" t="s">
        <v>1145</v>
      </c>
      <c r="B21" s="57" t="s">
        <v>964</v>
      </c>
      <c r="C21" s="30" t="s">
        <v>962</v>
      </c>
      <c r="D21" s="31" t="s">
        <v>965</v>
      </c>
      <c r="E21" s="32">
        <v>1</v>
      </c>
      <c r="F21" s="39">
        <v>114</v>
      </c>
      <c r="G21" s="45">
        <v>179</v>
      </c>
    </row>
    <row r="22" spans="1:7" x14ac:dyDescent="0.2">
      <c r="A22" s="52" t="s">
        <v>1148</v>
      </c>
      <c r="B22" s="50" t="s">
        <v>966</v>
      </c>
      <c r="C22" s="24" t="s">
        <v>967</v>
      </c>
      <c r="D22" s="25" t="s">
        <v>938</v>
      </c>
      <c r="E22" s="26">
        <v>1</v>
      </c>
      <c r="F22" s="37">
        <v>120</v>
      </c>
      <c r="G22" s="40">
        <v>189</v>
      </c>
    </row>
    <row r="23" spans="1:7" x14ac:dyDescent="0.2">
      <c r="A23" s="53" t="s">
        <v>1149</v>
      </c>
      <c r="B23" s="48" t="s">
        <v>968</v>
      </c>
      <c r="C23" s="18" t="s">
        <v>967</v>
      </c>
      <c r="D23" s="19" t="s">
        <v>940</v>
      </c>
      <c r="E23" s="20">
        <v>1</v>
      </c>
      <c r="F23" s="35">
        <v>120</v>
      </c>
      <c r="G23" s="41">
        <v>189</v>
      </c>
    </row>
    <row r="24" spans="1:7" ht="13.5" thickBot="1" x14ac:dyDescent="0.25">
      <c r="A24" s="54" t="s">
        <v>1150</v>
      </c>
      <c r="B24" s="57" t="s">
        <v>969</v>
      </c>
      <c r="C24" s="30" t="s">
        <v>967</v>
      </c>
      <c r="D24" s="31" t="s">
        <v>942</v>
      </c>
      <c r="E24" s="32">
        <v>1</v>
      </c>
      <c r="F24" s="39">
        <v>120</v>
      </c>
      <c r="G24" s="45">
        <v>189</v>
      </c>
    </row>
    <row r="25" spans="1:7" x14ac:dyDescent="0.2">
      <c r="A25" s="52" t="s">
        <v>1151</v>
      </c>
      <c r="B25" s="50" t="s">
        <v>970</v>
      </c>
      <c r="C25" s="24" t="s">
        <v>971</v>
      </c>
      <c r="D25" s="25" t="s">
        <v>938</v>
      </c>
      <c r="E25" s="26">
        <v>1</v>
      </c>
      <c r="F25" s="37">
        <v>120</v>
      </c>
      <c r="G25" s="40">
        <v>189</v>
      </c>
    </row>
    <row r="26" spans="1:7" x14ac:dyDescent="0.2">
      <c r="A26" s="53" t="s">
        <v>1154</v>
      </c>
      <c r="B26" s="48" t="s">
        <v>972</v>
      </c>
      <c r="C26" s="18" t="s">
        <v>971</v>
      </c>
      <c r="D26" s="19" t="s">
        <v>940</v>
      </c>
      <c r="E26" s="20">
        <v>1</v>
      </c>
      <c r="F26" s="35">
        <v>120</v>
      </c>
      <c r="G26" s="41">
        <v>189</v>
      </c>
    </row>
    <row r="27" spans="1:7" x14ac:dyDescent="0.2">
      <c r="A27" s="53" t="s">
        <v>1156</v>
      </c>
      <c r="B27" s="48" t="s">
        <v>973</v>
      </c>
      <c r="C27" s="18" t="s">
        <v>971</v>
      </c>
      <c r="D27" s="19" t="s">
        <v>942</v>
      </c>
      <c r="E27" s="20">
        <v>1</v>
      </c>
      <c r="F27" s="35">
        <v>120</v>
      </c>
      <c r="G27" s="41">
        <v>189</v>
      </c>
    </row>
    <row r="28" spans="1:7" ht="13.5" thickBot="1" x14ac:dyDescent="0.25">
      <c r="A28" s="54" t="s">
        <v>1159</v>
      </c>
      <c r="B28" s="57" t="s">
        <v>974</v>
      </c>
      <c r="C28" s="30" t="s">
        <v>971</v>
      </c>
      <c r="D28" s="31" t="s">
        <v>944</v>
      </c>
      <c r="E28" s="32">
        <v>1</v>
      </c>
      <c r="F28" s="39">
        <v>120</v>
      </c>
      <c r="G28" s="45">
        <v>189</v>
      </c>
    </row>
    <row r="29" spans="1:7" ht="13.5" thickBot="1" x14ac:dyDescent="0.25">
      <c r="A29" s="58" t="s">
        <v>1153</v>
      </c>
      <c r="B29" s="51" t="s">
        <v>975</v>
      </c>
      <c r="C29" s="27" t="s">
        <v>976</v>
      </c>
      <c r="D29" s="28" t="s">
        <v>953</v>
      </c>
      <c r="E29" s="29">
        <v>1</v>
      </c>
      <c r="F29" s="38">
        <v>126</v>
      </c>
      <c r="G29" s="43">
        <v>199</v>
      </c>
    </row>
    <row r="30" spans="1:7" x14ac:dyDescent="0.2">
      <c r="A30" s="52" t="s">
        <v>1152</v>
      </c>
      <c r="B30" s="50" t="s">
        <v>977</v>
      </c>
      <c r="C30" s="24" t="s">
        <v>978</v>
      </c>
      <c r="D30" s="25" t="s">
        <v>979</v>
      </c>
      <c r="E30" s="26">
        <v>1</v>
      </c>
      <c r="F30" s="37">
        <v>120</v>
      </c>
      <c r="G30" s="40">
        <v>189</v>
      </c>
    </row>
    <row r="31" spans="1:7" x14ac:dyDescent="0.2">
      <c r="A31" s="53" t="s">
        <v>1157</v>
      </c>
      <c r="B31" s="48" t="s">
        <v>980</v>
      </c>
      <c r="C31" s="18" t="s">
        <v>978</v>
      </c>
      <c r="D31" s="19" t="s">
        <v>938</v>
      </c>
      <c r="E31" s="20">
        <v>1</v>
      </c>
      <c r="F31" s="35">
        <v>120</v>
      </c>
      <c r="G31" s="41">
        <v>189</v>
      </c>
    </row>
    <row r="32" spans="1:7" x14ac:dyDescent="0.2">
      <c r="A32" s="53" t="s">
        <v>1155</v>
      </c>
      <c r="B32" s="48" t="s">
        <v>981</v>
      </c>
      <c r="C32" s="18" t="s">
        <v>978</v>
      </c>
      <c r="D32" s="19" t="s">
        <v>948</v>
      </c>
      <c r="E32" s="20">
        <v>1</v>
      </c>
      <c r="F32" s="35">
        <v>120</v>
      </c>
      <c r="G32" s="41">
        <v>189</v>
      </c>
    </row>
    <row r="33" spans="1:7" ht="13.5" thickBot="1" x14ac:dyDescent="0.25">
      <c r="A33" s="54" t="s">
        <v>1158</v>
      </c>
      <c r="B33" s="57" t="s">
        <v>982</v>
      </c>
      <c r="C33" s="30" t="s">
        <v>978</v>
      </c>
      <c r="D33" s="31" t="s">
        <v>944</v>
      </c>
      <c r="E33" s="32">
        <v>1</v>
      </c>
      <c r="F33" s="39">
        <v>120</v>
      </c>
      <c r="G33" s="45">
        <v>189</v>
      </c>
    </row>
    <row r="34" spans="1:7" x14ac:dyDescent="0.2">
      <c r="A34" s="52" t="s">
        <v>1160</v>
      </c>
      <c r="B34" s="50" t="s">
        <v>983</v>
      </c>
      <c r="C34" s="24" t="s">
        <v>984</v>
      </c>
      <c r="D34" s="25" t="s">
        <v>938</v>
      </c>
      <c r="E34" s="26">
        <v>1</v>
      </c>
      <c r="F34" s="37">
        <v>140</v>
      </c>
      <c r="G34" s="40">
        <v>199</v>
      </c>
    </row>
    <row r="35" spans="1:7" x14ac:dyDescent="0.2">
      <c r="A35" s="53" t="s">
        <v>1162</v>
      </c>
      <c r="B35" s="48" t="s">
        <v>985</v>
      </c>
      <c r="C35" s="18" t="s">
        <v>984</v>
      </c>
      <c r="D35" s="19" t="s">
        <v>940</v>
      </c>
      <c r="E35" s="20">
        <v>1</v>
      </c>
      <c r="F35" s="35">
        <v>140</v>
      </c>
      <c r="G35" s="41">
        <v>199</v>
      </c>
    </row>
    <row r="36" spans="1:7" x14ac:dyDescent="0.2">
      <c r="A36" s="53" t="s">
        <v>1163</v>
      </c>
      <c r="B36" s="48" t="s">
        <v>986</v>
      </c>
      <c r="C36" s="18" t="s">
        <v>984</v>
      </c>
      <c r="D36" s="19" t="s">
        <v>942</v>
      </c>
      <c r="E36" s="20">
        <v>1</v>
      </c>
      <c r="F36" s="35">
        <v>140</v>
      </c>
      <c r="G36" s="41">
        <v>199</v>
      </c>
    </row>
    <row r="37" spans="1:7" ht="13.5" thickBot="1" x14ac:dyDescent="0.25">
      <c r="A37" s="54" t="s">
        <v>1164</v>
      </c>
      <c r="B37" s="57" t="s">
        <v>987</v>
      </c>
      <c r="C37" s="30" t="s">
        <v>984</v>
      </c>
      <c r="D37" s="31" t="s">
        <v>944</v>
      </c>
      <c r="E37" s="32">
        <v>1</v>
      </c>
      <c r="F37" s="39">
        <v>140</v>
      </c>
      <c r="G37" s="45">
        <v>199</v>
      </c>
    </row>
    <row r="38" spans="1:7" ht="13.5" thickBot="1" x14ac:dyDescent="0.25">
      <c r="A38" s="58" t="s">
        <v>1161</v>
      </c>
      <c r="B38" s="51" t="s">
        <v>988</v>
      </c>
      <c r="C38" s="27" t="s">
        <v>989</v>
      </c>
      <c r="D38" s="28" t="s">
        <v>953</v>
      </c>
      <c r="E38" s="29">
        <v>1</v>
      </c>
      <c r="F38" s="38">
        <v>153</v>
      </c>
      <c r="G38" s="43">
        <v>219</v>
      </c>
    </row>
    <row r="39" spans="1:7" ht="15.75" customHeight="1" thickBot="1" x14ac:dyDescent="0.25">
      <c r="A39" s="183" t="s">
        <v>990</v>
      </c>
      <c r="B39" s="180"/>
      <c r="C39" s="180"/>
      <c r="D39" s="180"/>
      <c r="E39" s="180"/>
      <c r="F39" s="180"/>
      <c r="G39" s="181"/>
    </row>
    <row r="40" spans="1:7" x14ac:dyDescent="0.2">
      <c r="A40" s="52" t="s">
        <v>1165</v>
      </c>
      <c r="B40" s="50" t="s">
        <v>991</v>
      </c>
      <c r="C40" s="24" t="s">
        <v>992</v>
      </c>
      <c r="D40" s="25" t="s">
        <v>938</v>
      </c>
      <c r="E40" s="26">
        <v>1</v>
      </c>
      <c r="F40" s="37">
        <v>158</v>
      </c>
      <c r="G40" s="40">
        <v>249</v>
      </c>
    </row>
    <row r="41" spans="1:7" x14ac:dyDescent="0.2">
      <c r="A41" s="53" t="s">
        <v>1166</v>
      </c>
      <c r="B41" s="48" t="s">
        <v>993</v>
      </c>
      <c r="C41" s="18" t="s">
        <v>994</v>
      </c>
      <c r="D41" s="19" t="s">
        <v>940</v>
      </c>
      <c r="E41" s="20">
        <v>1</v>
      </c>
      <c r="F41" s="35">
        <v>158</v>
      </c>
      <c r="G41" s="41">
        <v>249</v>
      </c>
    </row>
    <row r="42" spans="1:7" x14ac:dyDescent="0.2">
      <c r="A42" s="53" t="s">
        <v>1167</v>
      </c>
      <c r="B42" s="48" t="s">
        <v>995</v>
      </c>
      <c r="C42" s="18" t="s">
        <v>994</v>
      </c>
      <c r="D42" s="19" t="s">
        <v>942</v>
      </c>
      <c r="E42" s="20">
        <v>1</v>
      </c>
      <c r="F42" s="35">
        <v>158</v>
      </c>
      <c r="G42" s="41">
        <v>249</v>
      </c>
    </row>
    <row r="43" spans="1:7" ht="13.5" thickBot="1" x14ac:dyDescent="0.25">
      <c r="A43" s="54" t="s">
        <v>1169</v>
      </c>
      <c r="B43" s="57" t="s">
        <v>996</v>
      </c>
      <c r="C43" s="30" t="s">
        <v>994</v>
      </c>
      <c r="D43" s="31" t="s">
        <v>944</v>
      </c>
      <c r="E43" s="32">
        <v>1</v>
      </c>
      <c r="F43" s="39">
        <v>158</v>
      </c>
      <c r="G43" s="45">
        <v>249</v>
      </c>
    </row>
    <row r="44" spans="1:7" ht="13.5" thickBot="1" x14ac:dyDescent="0.25">
      <c r="A44" s="58" t="s">
        <v>1168</v>
      </c>
      <c r="B44" s="51" t="s">
        <v>997</v>
      </c>
      <c r="C44" s="27" t="s">
        <v>998</v>
      </c>
      <c r="D44" s="28" t="s">
        <v>953</v>
      </c>
      <c r="E44" s="29">
        <v>1</v>
      </c>
      <c r="F44" s="38">
        <v>171</v>
      </c>
      <c r="G44" s="43">
        <v>269</v>
      </c>
    </row>
    <row r="45" spans="1:7" ht="15.75" customHeight="1" thickBot="1" x14ac:dyDescent="0.25">
      <c r="A45" s="184" t="s">
        <v>999</v>
      </c>
      <c r="B45" s="185"/>
      <c r="C45" s="185"/>
      <c r="D45" s="185"/>
      <c r="E45" s="185"/>
      <c r="F45" s="185"/>
      <c r="G45" s="186"/>
    </row>
    <row r="46" spans="1:7" x14ac:dyDescent="0.2">
      <c r="A46" s="52" t="s">
        <v>1170</v>
      </c>
      <c r="B46" s="50" t="s">
        <v>1000</v>
      </c>
      <c r="C46" s="24" t="s">
        <v>1001</v>
      </c>
      <c r="D46" s="25" t="s">
        <v>938</v>
      </c>
      <c r="E46" s="26">
        <v>2</v>
      </c>
      <c r="F46" s="37">
        <v>60</v>
      </c>
      <c r="G46" s="40">
        <v>95</v>
      </c>
    </row>
    <row r="47" spans="1:7" x14ac:dyDescent="0.2">
      <c r="A47" s="53" t="s">
        <v>1171</v>
      </c>
      <c r="B47" s="48" t="s">
        <v>1002</v>
      </c>
      <c r="C47" s="18" t="s">
        <v>1001</v>
      </c>
      <c r="D47" s="19" t="s">
        <v>940</v>
      </c>
      <c r="E47" s="20">
        <v>2</v>
      </c>
      <c r="F47" s="35">
        <v>60</v>
      </c>
      <c r="G47" s="41">
        <v>95</v>
      </c>
    </row>
    <row r="48" spans="1:7" ht="13.5" thickBot="1" x14ac:dyDescent="0.25">
      <c r="A48" s="54" t="s">
        <v>1172</v>
      </c>
      <c r="B48" s="57" t="s">
        <v>1003</v>
      </c>
      <c r="C48" s="30" t="s">
        <v>1001</v>
      </c>
      <c r="D48" s="31" t="s">
        <v>942</v>
      </c>
      <c r="E48" s="32">
        <v>2</v>
      </c>
      <c r="F48" s="39">
        <v>60</v>
      </c>
      <c r="G48" s="45">
        <v>95</v>
      </c>
    </row>
    <row r="49" spans="1:7" x14ac:dyDescent="0.2">
      <c r="A49" s="52" t="s">
        <v>1173</v>
      </c>
      <c r="B49" s="50" t="s">
        <v>1004</v>
      </c>
      <c r="C49" s="24" t="s">
        <v>1005</v>
      </c>
      <c r="D49" s="25" t="s">
        <v>938</v>
      </c>
      <c r="E49" s="26">
        <v>2</v>
      </c>
      <c r="F49" s="37">
        <v>75.5</v>
      </c>
      <c r="G49" s="40">
        <v>119</v>
      </c>
    </row>
    <row r="50" spans="1:7" x14ac:dyDescent="0.2">
      <c r="A50" s="53" t="s">
        <v>1174</v>
      </c>
      <c r="B50" s="48" t="s">
        <v>1006</v>
      </c>
      <c r="C50" s="18" t="s">
        <v>1005</v>
      </c>
      <c r="D50" s="19" t="s">
        <v>953</v>
      </c>
      <c r="E50" s="20">
        <v>2</v>
      </c>
      <c r="F50" s="35">
        <v>75.5</v>
      </c>
      <c r="G50" s="41">
        <v>119</v>
      </c>
    </row>
    <row r="51" spans="1:7" x14ac:dyDescent="0.2">
      <c r="A51" s="53" t="s">
        <v>1175</v>
      </c>
      <c r="B51" s="48" t="s">
        <v>1007</v>
      </c>
      <c r="C51" s="18" t="s">
        <v>1005</v>
      </c>
      <c r="D51" s="19" t="s">
        <v>940</v>
      </c>
      <c r="E51" s="20">
        <v>2</v>
      </c>
      <c r="F51" s="35">
        <v>75.5</v>
      </c>
      <c r="G51" s="41">
        <v>119</v>
      </c>
    </row>
    <row r="52" spans="1:7" x14ac:dyDescent="0.2">
      <c r="A52" s="53" t="s">
        <v>1176</v>
      </c>
      <c r="B52" s="49" t="s">
        <v>1008</v>
      </c>
      <c r="C52" s="21" t="s">
        <v>1005</v>
      </c>
      <c r="D52" s="22" t="s">
        <v>942</v>
      </c>
      <c r="E52" s="23">
        <v>2</v>
      </c>
      <c r="F52" s="36">
        <v>75.5</v>
      </c>
      <c r="G52" s="42">
        <v>119</v>
      </c>
    </row>
    <row r="53" spans="1:7" ht="13.5" thickBot="1" x14ac:dyDescent="0.25">
      <c r="A53" s="54" t="s">
        <v>1177</v>
      </c>
      <c r="B53" s="55" t="s">
        <v>1009</v>
      </c>
      <c r="C53" s="30" t="s">
        <v>1005</v>
      </c>
      <c r="D53" s="31" t="s">
        <v>944</v>
      </c>
      <c r="E53" s="32">
        <v>2</v>
      </c>
      <c r="F53" s="39">
        <v>75.5</v>
      </c>
      <c r="G53" s="45">
        <v>119</v>
      </c>
    </row>
    <row r="54" spans="1:7" x14ac:dyDescent="0.2">
      <c r="A54" s="52" t="s">
        <v>1178</v>
      </c>
      <c r="B54" s="50" t="s">
        <v>1010</v>
      </c>
      <c r="C54" s="24" t="s">
        <v>1011</v>
      </c>
      <c r="D54" s="25" t="s">
        <v>938</v>
      </c>
      <c r="E54" s="26">
        <v>2</v>
      </c>
      <c r="F54" s="37">
        <v>75.5</v>
      </c>
      <c r="G54" s="40">
        <v>119</v>
      </c>
    </row>
    <row r="55" spans="1:7" x14ac:dyDescent="0.2">
      <c r="A55" s="53" t="s">
        <v>1179</v>
      </c>
      <c r="B55" s="48" t="s">
        <v>1012</v>
      </c>
      <c r="C55" s="18" t="s">
        <v>1011</v>
      </c>
      <c r="D55" s="19" t="s">
        <v>940</v>
      </c>
      <c r="E55" s="20">
        <v>2</v>
      </c>
      <c r="F55" s="35">
        <v>75.5</v>
      </c>
      <c r="G55" s="41">
        <v>119</v>
      </c>
    </row>
    <row r="56" spans="1:7" ht="13.5" thickBot="1" x14ac:dyDescent="0.25">
      <c r="A56" s="54" t="s">
        <v>1180</v>
      </c>
      <c r="B56" s="57" t="s">
        <v>1013</v>
      </c>
      <c r="C56" s="30" t="s">
        <v>1011</v>
      </c>
      <c r="D56" s="31" t="s">
        <v>942</v>
      </c>
      <c r="E56" s="32">
        <v>2</v>
      </c>
      <c r="F56" s="39">
        <v>75.5</v>
      </c>
      <c r="G56" s="45">
        <v>119</v>
      </c>
    </row>
    <row r="57" spans="1:7" ht="15.75" customHeight="1" thickBot="1" x14ac:dyDescent="0.25">
      <c r="A57" s="178" t="s">
        <v>1014</v>
      </c>
      <c r="B57" s="178"/>
      <c r="C57" s="178"/>
      <c r="D57" s="178"/>
      <c r="E57" s="178"/>
      <c r="F57" s="178"/>
      <c r="G57" s="179"/>
    </row>
    <row r="58" spans="1:7" ht="13.5" thickBot="1" x14ac:dyDescent="0.25">
      <c r="A58" s="154">
        <v>8420421088166</v>
      </c>
      <c r="B58" s="59" t="s">
        <v>1015</v>
      </c>
      <c r="C58" s="27" t="s">
        <v>1016</v>
      </c>
      <c r="D58" s="28" t="s">
        <v>953</v>
      </c>
      <c r="E58" s="29">
        <v>1</v>
      </c>
      <c r="F58" s="38">
        <v>92</v>
      </c>
      <c r="G58" s="43">
        <v>145</v>
      </c>
    </row>
    <row r="62" spans="1:7" x14ac:dyDescent="0.2">
      <c r="B62" s="153"/>
    </row>
  </sheetData>
  <mergeCells count="5">
    <mergeCell ref="A57:G57"/>
    <mergeCell ref="A3:G3"/>
    <mergeCell ref="A18:G18"/>
    <mergeCell ref="A39:G39"/>
    <mergeCell ref="A45:G45"/>
  </mergeCells>
  <pageMargins left="0.7" right="0.7" top="0.75" bottom="0.75" header="0.3" footer="0.3"/>
  <pageSetup paperSize="9" orientation="portrait" r:id="rId1"/>
  <ignoredErrors>
    <ignoredError sqref="A19 A4:A6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J58"/>
  <sheetViews>
    <sheetView workbookViewId="0">
      <selection activeCell="D24" sqref="D24"/>
    </sheetView>
  </sheetViews>
  <sheetFormatPr baseColWidth="10" defaultRowHeight="15" x14ac:dyDescent="0.25"/>
  <cols>
    <col min="1" max="1" width="15.7109375" customWidth="1"/>
    <col min="2" max="2" width="12.5703125" style="3" bestFit="1" customWidth="1"/>
    <col min="3" max="3" width="33" bestFit="1" customWidth="1"/>
    <col min="4" max="4" width="22.140625" style="127" bestFit="1" customWidth="1"/>
    <col min="5" max="5" width="17.140625" style="8" customWidth="1"/>
    <col min="6" max="6" width="13" style="12" customWidth="1"/>
  </cols>
  <sheetData>
    <row r="1" spans="1:6" ht="54" customHeight="1" x14ac:dyDescent="0.5">
      <c r="C1" s="11">
        <v>2023</v>
      </c>
      <c r="D1" s="128"/>
    </row>
    <row r="2" spans="1:6" ht="15.75" thickBot="1" x14ac:dyDescent="0.3">
      <c r="A2" s="9" t="s">
        <v>0</v>
      </c>
      <c r="B2" s="9" t="s">
        <v>1318</v>
      </c>
      <c r="C2" s="9" t="s">
        <v>1319</v>
      </c>
      <c r="D2" s="129" t="s">
        <v>1320</v>
      </c>
      <c r="E2" s="10" t="s">
        <v>1321</v>
      </c>
      <c r="F2" s="10" t="s">
        <v>1322</v>
      </c>
    </row>
    <row r="3" spans="1:6" x14ac:dyDescent="0.25">
      <c r="A3" s="106" t="s">
        <v>1101</v>
      </c>
      <c r="B3" s="66" t="s">
        <v>1102</v>
      </c>
      <c r="C3" s="67" t="s">
        <v>1103</v>
      </c>
      <c r="D3" s="119" t="s">
        <v>1280</v>
      </c>
      <c r="E3" s="114">
        <v>189</v>
      </c>
      <c r="F3" s="107">
        <v>299</v>
      </c>
    </row>
    <row r="4" spans="1:6" x14ac:dyDescent="0.25">
      <c r="A4" s="108" t="s">
        <v>1104</v>
      </c>
      <c r="B4" s="7" t="s">
        <v>1105</v>
      </c>
      <c r="C4" s="6" t="s">
        <v>1103</v>
      </c>
      <c r="D4" s="120" t="s">
        <v>1281</v>
      </c>
      <c r="E4" s="115">
        <v>189</v>
      </c>
      <c r="F4" s="109">
        <v>299</v>
      </c>
    </row>
    <row r="5" spans="1:6" x14ac:dyDescent="0.25">
      <c r="A5" s="108" t="s">
        <v>1106</v>
      </c>
      <c r="B5" s="7" t="s">
        <v>1107</v>
      </c>
      <c r="C5" s="6" t="s">
        <v>1103</v>
      </c>
      <c r="D5" s="120" t="s">
        <v>1283</v>
      </c>
      <c r="E5" s="115">
        <v>189</v>
      </c>
      <c r="F5" s="109">
        <v>299</v>
      </c>
    </row>
    <row r="6" spans="1:6" ht="15.75" thickBot="1" x14ac:dyDescent="0.3">
      <c r="A6" s="110" t="s">
        <v>1108</v>
      </c>
      <c r="B6" s="70" t="s">
        <v>1109</v>
      </c>
      <c r="C6" s="71" t="s">
        <v>1103</v>
      </c>
      <c r="D6" s="122" t="s">
        <v>1286</v>
      </c>
      <c r="E6" s="116">
        <v>189</v>
      </c>
      <c r="F6" s="111">
        <v>299</v>
      </c>
    </row>
    <row r="7" spans="1:6" x14ac:dyDescent="0.25">
      <c r="A7" s="106" t="s">
        <v>1110</v>
      </c>
      <c r="B7" s="66" t="s">
        <v>1111</v>
      </c>
      <c r="C7" s="67" t="s">
        <v>1112</v>
      </c>
      <c r="D7" s="119" t="s">
        <v>1280</v>
      </c>
      <c r="E7" s="114">
        <v>179</v>
      </c>
      <c r="F7" s="107">
        <v>279</v>
      </c>
    </row>
    <row r="8" spans="1:6" x14ac:dyDescent="0.25">
      <c r="A8" s="108" t="s">
        <v>1113</v>
      </c>
      <c r="B8" s="7" t="s">
        <v>1114</v>
      </c>
      <c r="C8" s="6" t="s">
        <v>1112</v>
      </c>
      <c r="D8" s="120" t="s">
        <v>1281</v>
      </c>
      <c r="E8" s="115">
        <v>179</v>
      </c>
      <c r="F8" s="109">
        <v>279</v>
      </c>
    </row>
    <row r="9" spans="1:6" x14ac:dyDescent="0.25">
      <c r="A9" s="108" t="s">
        <v>1115</v>
      </c>
      <c r="B9" s="7" t="s">
        <v>1116</v>
      </c>
      <c r="C9" s="6" t="s">
        <v>1112</v>
      </c>
      <c r="D9" s="120" t="s">
        <v>1283</v>
      </c>
      <c r="E9" s="115">
        <v>179</v>
      </c>
      <c r="F9" s="109">
        <v>279</v>
      </c>
    </row>
    <row r="10" spans="1:6" ht="15.75" thickBot="1" x14ac:dyDescent="0.3">
      <c r="A10" s="110" t="s">
        <v>1117</v>
      </c>
      <c r="B10" s="70" t="s">
        <v>1118</v>
      </c>
      <c r="C10" s="71" t="s">
        <v>1112</v>
      </c>
      <c r="D10" s="122" t="s">
        <v>1286</v>
      </c>
      <c r="E10" s="116">
        <v>179</v>
      </c>
      <c r="F10" s="111">
        <v>279</v>
      </c>
    </row>
    <row r="11" spans="1:6" x14ac:dyDescent="0.25">
      <c r="A11" s="106" t="s">
        <v>1119</v>
      </c>
      <c r="B11" s="66" t="s">
        <v>1120</v>
      </c>
      <c r="C11" s="67" t="s">
        <v>1121</v>
      </c>
      <c r="D11" s="119" t="s">
        <v>1280</v>
      </c>
      <c r="E11" s="114">
        <v>148</v>
      </c>
      <c r="F11" s="107">
        <v>235</v>
      </c>
    </row>
    <row r="12" spans="1:6" x14ac:dyDescent="0.25">
      <c r="A12" s="108" t="s">
        <v>1122</v>
      </c>
      <c r="B12" s="7" t="s">
        <v>1123</v>
      </c>
      <c r="C12" s="6" t="s">
        <v>1121</v>
      </c>
      <c r="D12" s="120" t="s">
        <v>1281</v>
      </c>
      <c r="E12" s="115">
        <v>148</v>
      </c>
      <c r="F12" s="109">
        <v>235</v>
      </c>
    </row>
    <row r="13" spans="1:6" x14ac:dyDescent="0.25">
      <c r="A13" s="108" t="s">
        <v>1124</v>
      </c>
      <c r="B13" s="7" t="s">
        <v>1125</v>
      </c>
      <c r="C13" s="6" t="s">
        <v>1121</v>
      </c>
      <c r="D13" s="120" t="s">
        <v>1283</v>
      </c>
      <c r="E13" s="115">
        <v>148</v>
      </c>
      <c r="F13" s="109">
        <v>235</v>
      </c>
    </row>
    <row r="14" spans="1:6" ht="15.75" thickBot="1" x14ac:dyDescent="0.3">
      <c r="A14" s="110" t="s">
        <v>1126</v>
      </c>
      <c r="B14" s="70" t="s">
        <v>1127</v>
      </c>
      <c r="C14" s="71" t="s">
        <v>1121</v>
      </c>
      <c r="D14" s="122" t="s">
        <v>1286</v>
      </c>
      <c r="E14" s="116">
        <v>148</v>
      </c>
      <c r="F14" s="111">
        <v>235</v>
      </c>
    </row>
    <row r="15" spans="1:6" ht="15.75" thickBot="1" x14ac:dyDescent="0.3">
      <c r="A15" s="112" t="s">
        <v>1128</v>
      </c>
      <c r="B15" s="73" t="s">
        <v>1129</v>
      </c>
      <c r="C15" s="74" t="s">
        <v>1130</v>
      </c>
      <c r="D15" s="125" t="s">
        <v>1260</v>
      </c>
      <c r="E15" s="117">
        <v>19</v>
      </c>
      <c r="F15" s="113">
        <v>29</v>
      </c>
    </row>
    <row r="16" spans="1:6" ht="15.75" thickBot="1" x14ac:dyDescent="0.3">
      <c r="A16" s="106" t="s">
        <v>1018</v>
      </c>
      <c r="B16" s="66" t="s">
        <v>1019</v>
      </c>
      <c r="C16" s="67" t="s">
        <v>1020</v>
      </c>
      <c r="D16" s="119" t="s">
        <v>1303</v>
      </c>
      <c r="E16" s="114">
        <v>63</v>
      </c>
      <c r="F16" s="107">
        <v>99</v>
      </c>
    </row>
    <row r="17" spans="1:10" ht="15.75" thickBot="1" x14ac:dyDescent="0.3">
      <c r="A17" s="110" t="s">
        <v>1021</v>
      </c>
      <c r="B17" s="70" t="s">
        <v>1022</v>
      </c>
      <c r="C17" s="71" t="s">
        <v>1023</v>
      </c>
      <c r="D17" s="119" t="s">
        <v>1303</v>
      </c>
      <c r="E17" s="116">
        <v>31</v>
      </c>
      <c r="F17" s="111">
        <v>49</v>
      </c>
    </row>
    <row r="18" spans="1:10" ht="15.75" thickBot="1" x14ac:dyDescent="0.3">
      <c r="A18" s="112" t="s">
        <v>1024</v>
      </c>
      <c r="B18" s="73" t="s">
        <v>1025</v>
      </c>
      <c r="C18" s="74" t="s">
        <v>1026</v>
      </c>
      <c r="D18" s="119" t="s">
        <v>1303</v>
      </c>
      <c r="E18" s="117">
        <v>13</v>
      </c>
      <c r="F18" s="113">
        <v>19</v>
      </c>
    </row>
    <row r="19" spans="1:10" x14ac:dyDescent="0.25">
      <c r="A19" s="172" t="s">
        <v>1027</v>
      </c>
      <c r="B19" s="66" t="s">
        <v>1028</v>
      </c>
      <c r="C19" s="67" t="s">
        <v>1029</v>
      </c>
      <c r="D19" s="158" t="s">
        <v>1282</v>
      </c>
      <c r="E19" s="159">
        <v>26</v>
      </c>
      <c r="F19" s="107">
        <v>39</v>
      </c>
    </row>
    <row r="20" spans="1:10" x14ac:dyDescent="0.25">
      <c r="A20" s="173" t="s">
        <v>1030</v>
      </c>
      <c r="B20" s="7" t="s">
        <v>1031</v>
      </c>
      <c r="C20" s="6" t="s">
        <v>1029</v>
      </c>
      <c r="D20" s="160" t="s">
        <v>1284</v>
      </c>
      <c r="E20" s="161">
        <v>26</v>
      </c>
      <c r="F20" s="109">
        <v>39</v>
      </c>
    </row>
    <row r="21" spans="1:10" x14ac:dyDescent="0.25">
      <c r="A21" s="173" t="s">
        <v>1032</v>
      </c>
      <c r="B21" s="7" t="s">
        <v>1033</v>
      </c>
      <c r="C21" s="6" t="s">
        <v>1029</v>
      </c>
      <c r="D21" s="160" t="s">
        <v>1285</v>
      </c>
      <c r="E21" s="161">
        <v>26</v>
      </c>
      <c r="F21" s="109">
        <v>39</v>
      </c>
    </row>
    <row r="22" spans="1:10" s="167" customFormat="1" x14ac:dyDescent="0.25">
      <c r="A22" s="174" t="s">
        <v>1395</v>
      </c>
      <c r="B22" s="162" t="s">
        <v>1396</v>
      </c>
      <c r="C22" s="163" t="s">
        <v>1397</v>
      </c>
      <c r="D22" s="164" t="s">
        <v>1398</v>
      </c>
      <c r="E22" s="165">
        <v>20</v>
      </c>
      <c r="F22" s="166">
        <v>29</v>
      </c>
    </row>
    <row r="23" spans="1:10" s="167" customFormat="1" x14ac:dyDescent="0.25">
      <c r="A23" s="174" t="s">
        <v>1399</v>
      </c>
      <c r="B23" s="162" t="s">
        <v>1400</v>
      </c>
      <c r="C23" s="163" t="s">
        <v>1401</v>
      </c>
      <c r="D23" s="164" t="s">
        <v>1398</v>
      </c>
      <c r="E23" s="165">
        <v>20</v>
      </c>
      <c r="F23" s="166">
        <v>29</v>
      </c>
      <c r="J23" s="168"/>
    </row>
    <row r="24" spans="1:10" s="167" customFormat="1" x14ac:dyDescent="0.25">
      <c r="A24" s="174" t="s">
        <v>1402</v>
      </c>
      <c r="B24" s="162" t="s">
        <v>1403</v>
      </c>
      <c r="C24" s="163" t="s">
        <v>1404</v>
      </c>
      <c r="D24" s="164" t="s">
        <v>1398</v>
      </c>
      <c r="E24" s="165">
        <v>20</v>
      </c>
      <c r="F24" s="166">
        <v>29</v>
      </c>
      <c r="I24" s="168"/>
    </row>
    <row r="25" spans="1:10" s="167" customFormat="1" x14ac:dyDescent="0.25">
      <c r="A25" s="174" t="s">
        <v>1405</v>
      </c>
      <c r="B25" s="162" t="s">
        <v>1406</v>
      </c>
      <c r="C25" s="163" t="s">
        <v>1407</v>
      </c>
      <c r="D25" s="164" t="s">
        <v>1398</v>
      </c>
      <c r="E25" s="165">
        <v>20</v>
      </c>
      <c r="F25" s="166">
        <v>29</v>
      </c>
    </row>
    <row r="26" spans="1:10" s="167" customFormat="1" x14ac:dyDescent="0.25">
      <c r="A26" s="175">
        <v>8420421083383</v>
      </c>
      <c r="B26" s="169" t="s">
        <v>1408</v>
      </c>
      <c r="C26" s="163" t="s">
        <v>1409</v>
      </c>
      <c r="D26" s="164" t="s">
        <v>1282</v>
      </c>
      <c r="E26" s="165">
        <v>20</v>
      </c>
      <c r="F26" s="166">
        <v>29</v>
      </c>
      <c r="J26" s="168"/>
    </row>
    <row r="27" spans="1:10" s="167" customFormat="1" x14ac:dyDescent="0.25">
      <c r="A27" s="175">
        <v>8420421083390</v>
      </c>
      <c r="B27" s="169" t="s">
        <v>1410</v>
      </c>
      <c r="C27" s="163" t="s">
        <v>1409</v>
      </c>
      <c r="D27" s="164" t="s">
        <v>1284</v>
      </c>
      <c r="E27" s="165">
        <v>20</v>
      </c>
      <c r="F27" s="166">
        <v>29</v>
      </c>
    </row>
    <row r="28" spans="1:10" s="167" customFormat="1" x14ac:dyDescent="0.25">
      <c r="A28" s="175">
        <v>8420421083406</v>
      </c>
      <c r="B28" s="169" t="s">
        <v>1411</v>
      </c>
      <c r="C28" s="163" t="s">
        <v>1409</v>
      </c>
      <c r="D28" s="164" t="s">
        <v>1398</v>
      </c>
      <c r="E28" s="165">
        <v>20</v>
      </c>
      <c r="F28" s="166">
        <v>29</v>
      </c>
    </row>
    <row r="29" spans="1:10" s="167" customFormat="1" x14ac:dyDescent="0.25">
      <c r="A29" s="174" t="s">
        <v>1412</v>
      </c>
      <c r="B29" s="162" t="s">
        <v>1413</v>
      </c>
      <c r="C29" s="163" t="s">
        <v>1414</v>
      </c>
      <c r="D29" s="164" t="s">
        <v>1398</v>
      </c>
      <c r="E29" s="165">
        <v>20</v>
      </c>
      <c r="F29" s="166">
        <v>29</v>
      </c>
    </row>
    <row r="30" spans="1:10" x14ac:dyDescent="0.25">
      <c r="A30" s="173" t="s">
        <v>1034</v>
      </c>
      <c r="B30" s="7" t="s">
        <v>1035</v>
      </c>
      <c r="C30" s="6" t="s">
        <v>1036</v>
      </c>
      <c r="D30" s="160" t="s">
        <v>1282</v>
      </c>
      <c r="E30" s="161">
        <v>20</v>
      </c>
      <c r="F30" s="109">
        <v>29</v>
      </c>
    </row>
    <row r="31" spans="1:10" x14ac:dyDescent="0.25">
      <c r="A31" s="173" t="s">
        <v>1037</v>
      </c>
      <c r="B31" s="7" t="s">
        <v>1038</v>
      </c>
      <c r="C31" s="6" t="s">
        <v>1036</v>
      </c>
      <c r="D31" s="160" t="s">
        <v>1284</v>
      </c>
      <c r="E31" s="161">
        <v>20</v>
      </c>
      <c r="F31" s="109">
        <v>29</v>
      </c>
    </row>
    <row r="32" spans="1:10" ht="15.75" thickBot="1" x14ac:dyDescent="0.3">
      <c r="A32" s="176" t="s">
        <v>1039</v>
      </c>
      <c r="B32" s="70" t="s">
        <v>1040</v>
      </c>
      <c r="C32" s="71" t="s">
        <v>1036</v>
      </c>
      <c r="D32" s="170" t="s">
        <v>1285</v>
      </c>
      <c r="E32" s="171">
        <v>20</v>
      </c>
      <c r="F32" s="111">
        <v>29</v>
      </c>
    </row>
    <row r="33" spans="1:6" x14ac:dyDescent="0.25">
      <c r="A33" s="106" t="s">
        <v>1041</v>
      </c>
      <c r="B33" s="66" t="s">
        <v>1042</v>
      </c>
      <c r="C33" s="67" t="s">
        <v>1043</v>
      </c>
      <c r="D33" s="119" t="s">
        <v>1287</v>
      </c>
      <c r="E33" s="114">
        <v>265</v>
      </c>
      <c r="F33" s="107">
        <v>419</v>
      </c>
    </row>
    <row r="34" spans="1:6" x14ac:dyDescent="0.25">
      <c r="A34" s="108" t="s">
        <v>1044</v>
      </c>
      <c r="B34" s="7" t="s">
        <v>1045</v>
      </c>
      <c r="C34" s="6" t="s">
        <v>1043</v>
      </c>
      <c r="D34" s="120" t="s">
        <v>1288</v>
      </c>
      <c r="E34" s="115">
        <v>265</v>
      </c>
      <c r="F34" s="109">
        <v>419</v>
      </c>
    </row>
    <row r="35" spans="1:6" x14ac:dyDescent="0.25">
      <c r="A35" s="108" t="s">
        <v>1046</v>
      </c>
      <c r="B35" s="7" t="s">
        <v>1047</v>
      </c>
      <c r="C35" s="6" t="s">
        <v>1043</v>
      </c>
      <c r="D35" s="120" t="s">
        <v>1289</v>
      </c>
      <c r="E35" s="115">
        <v>265</v>
      </c>
      <c r="F35" s="109">
        <v>419</v>
      </c>
    </row>
    <row r="36" spans="1:6" ht="15.75" thickBot="1" x14ac:dyDescent="0.3">
      <c r="A36" s="110" t="s">
        <v>1048</v>
      </c>
      <c r="B36" s="70" t="s">
        <v>1049</v>
      </c>
      <c r="C36" s="71" t="s">
        <v>1043</v>
      </c>
      <c r="D36" s="122" t="s">
        <v>1290</v>
      </c>
      <c r="E36" s="116">
        <v>265</v>
      </c>
      <c r="F36" s="111">
        <v>419</v>
      </c>
    </row>
    <row r="37" spans="1:6" x14ac:dyDescent="0.25">
      <c r="A37" s="106" t="s">
        <v>1050</v>
      </c>
      <c r="B37" s="66" t="s">
        <v>1051</v>
      </c>
      <c r="C37" s="67" t="s">
        <v>1052</v>
      </c>
      <c r="D37" s="119" t="s">
        <v>1291</v>
      </c>
      <c r="E37" s="114">
        <v>211</v>
      </c>
      <c r="F37" s="107">
        <v>329</v>
      </c>
    </row>
    <row r="38" spans="1:6" x14ac:dyDescent="0.25">
      <c r="A38" s="108" t="s">
        <v>1053</v>
      </c>
      <c r="B38" s="7" t="s">
        <v>1054</v>
      </c>
      <c r="C38" s="6" t="s">
        <v>1052</v>
      </c>
      <c r="D38" s="120" t="s">
        <v>1292</v>
      </c>
      <c r="E38" s="115">
        <v>211</v>
      </c>
      <c r="F38" s="109">
        <v>329</v>
      </c>
    </row>
    <row r="39" spans="1:6" ht="15.75" thickBot="1" x14ac:dyDescent="0.3">
      <c r="A39" s="110" t="s">
        <v>1055</v>
      </c>
      <c r="B39" s="70" t="s">
        <v>1056</v>
      </c>
      <c r="C39" s="71" t="s">
        <v>1052</v>
      </c>
      <c r="D39" s="122" t="s">
        <v>938</v>
      </c>
      <c r="E39" s="116">
        <v>211</v>
      </c>
      <c r="F39" s="111">
        <v>329</v>
      </c>
    </row>
    <row r="40" spans="1:6" x14ac:dyDescent="0.25">
      <c r="A40" s="106" t="s">
        <v>1057</v>
      </c>
      <c r="B40" s="66" t="s">
        <v>1058</v>
      </c>
      <c r="C40" s="67" t="s">
        <v>1059</v>
      </c>
      <c r="D40" s="119" t="s">
        <v>1293</v>
      </c>
      <c r="E40" s="114">
        <v>114</v>
      </c>
      <c r="F40" s="107">
        <v>179</v>
      </c>
    </row>
    <row r="41" spans="1:6" x14ac:dyDescent="0.25">
      <c r="A41" s="108" t="s">
        <v>1060</v>
      </c>
      <c r="B41" s="7" t="s">
        <v>1061</v>
      </c>
      <c r="C41" s="6" t="s">
        <v>1059</v>
      </c>
      <c r="D41" s="120" t="s">
        <v>1294</v>
      </c>
      <c r="E41" s="115">
        <v>114</v>
      </c>
      <c r="F41" s="109">
        <v>179</v>
      </c>
    </row>
    <row r="42" spans="1:6" ht="15.75" thickBot="1" x14ac:dyDescent="0.3">
      <c r="A42" s="110" t="s">
        <v>1062</v>
      </c>
      <c r="B42" s="70" t="s">
        <v>1063</v>
      </c>
      <c r="C42" s="71" t="s">
        <v>1059</v>
      </c>
      <c r="D42" s="122" t="s">
        <v>1295</v>
      </c>
      <c r="E42" s="116">
        <v>114</v>
      </c>
      <c r="F42" s="111">
        <v>179</v>
      </c>
    </row>
    <row r="43" spans="1:6" x14ac:dyDescent="0.25">
      <c r="A43" s="106" t="s">
        <v>1064</v>
      </c>
      <c r="B43" s="66" t="s">
        <v>1065</v>
      </c>
      <c r="C43" s="67" t="s">
        <v>1066</v>
      </c>
      <c r="D43" s="119" t="s">
        <v>1296</v>
      </c>
      <c r="E43" s="114">
        <v>229</v>
      </c>
      <c r="F43" s="107">
        <v>359</v>
      </c>
    </row>
    <row r="44" spans="1:6" x14ac:dyDescent="0.25">
      <c r="A44" s="108" t="s">
        <v>1067</v>
      </c>
      <c r="B44" s="7" t="s">
        <v>1068</v>
      </c>
      <c r="C44" s="6" t="s">
        <v>1066</v>
      </c>
      <c r="D44" s="120" t="s">
        <v>1297</v>
      </c>
      <c r="E44" s="115">
        <v>229</v>
      </c>
      <c r="F44" s="109">
        <v>359</v>
      </c>
    </row>
    <row r="45" spans="1:6" x14ac:dyDescent="0.25">
      <c r="A45" s="108" t="s">
        <v>1069</v>
      </c>
      <c r="B45" s="7" t="s">
        <v>1070</v>
      </c>
      <c r="C45" s="6" t="s">
        <v>1066</v>
      </c>
      <c r="D45" s="120" t="s">
        <v>1298</v>
      </c>
      <c r="E45" s="115">
        <v>229</v>
      </c>
      <c r="F45" s="109">
        <v>359</v>
      </c>
    </row>
    <row r="46" spans="1:6" ht="15.75" thickBot="1" x14ac:dyDescent="0.3">
      <c r="A46" s="110" t="s">
        <v>1071</v>
      </c>
      <c r="B46" s="70" t="s">
        <v>1072</v>
      </c>
      <c r="C46" s="71" t="s">
        <v>1066</v>
      </c>
      <c r="D46" s="122" t="s">
        <v>1299</v>
      </c>
      <c r="E46" s="116">
        <v>229</v>
      </c>
      <c r="F46" s="111">
        <v>359</v>
      </c>
    </row>
    <row r="47" spans="1:6" x14ac:dyDescent="0.25">
      <c r="A47" s="106" t="s">
        <v>1073</v>
      </c>
      <c r="B47" s="66" t="s">
        <v>1074</v>
      </c>
      <c r="C47" s="67" t="s">
        <v>1075</v>
      </c>
      <c r="D47" s="119" t="s">
        <v>1300</v>
      </c>
      <c r="E47" s="114">
        <v>115</v>
      </c>
      <c r="F47" s="107">
        <v>179</v>
      </c>
    </row>
    <row r="48" spans="1:6" x14ac:dyDescent="0.25">
      <c r="A48" s="108" t="s">
        <v>1076</v>
      </c>
      <c r="B48" s="7" t="s">
        <v>1077</v>
      </c>
      <c r="C48" s="6" t="s">
        <v>1075</v>
      </c>
      <c r="D48" s="120" t="s">
        <v>1301</v>
      </c>
      <c r="E48" s="115">
        <v>115</v>
      </c>
      <c r="F48" s="109">
        <v>179</v>
      </c>
    </row>
    <row r="49" spans="1:6" ht="15.75" thickBot="1" x14ac:dyDescent="0.3">
      <c r="A49" s="110" t="s">
        <v>1078</v>
      </c>
      <c r="B49" s="70" t="s">
        <v>1079</v>
      </c>
      <c r="C49" s="71" t="s">
        <v>1075</v>
      </c>
      <c r="D49" s="122" t="s">
        <v>1302</v>
      </c>
      <c r="E49" s="116">
        <v>115</v>
      </c>
      <c r="F49" s="111">
        <v>179</v>
      </c>
    </row>
    <row r="50" spans="1:6" x14ac:dyDescent="0.25">
      <c r="A50" s="106" t="s">
        <v>1080</v>
      </c>
      <c r="B50" s="66" t="s">
        <v>1081</v>
      </c>
      <c r="C50" s="67" t="s">
        <v>1082</v>
      </c>
      <c r="D50" s="119" t="s">
        <v>1300</v>
      </c>
      <c r="E50" s="114">
        <v>252</v>
      </c>
      <c r="F50" s="107">
        <v>399</v>
      </c>
    </row>
    <row r="51" spans="1:6" x14ac:dyDescent="0.25">
      <c r="A51" s="108" t="s">
        <v>1083</v>
      </c>
      <c r="B51" s="7" t="s">
        <v>1084</v>
      </c>
      <c r="C51" s="6" t="s">
        <v>1082</v>
      </c>
      <c r="D51" s="120" t="s">
        <v>1301</v>
      </c>
      <c r="E51" s="115">
        <v>252</v>
      </c>
      <c r="F51" s="109">
        <v>399</v>
      </c>
    </row>
    <row r="52" spans="1:6" ht="15.75" thickBot="1" x14ac:dyDescent="0.3">
      <c r="A52" s="110" t="s">
        <v>1085</v>
      </c>
      <c r="B52" s="70" t="s">
        <v>1086</v>
      </c>
      <c r="C52" s="71" t="s">
        <v>1082</v>
      </c>
      <c r="D52" s="122" t="s">
        <v>1302</v>
      </c>
      <c r="E52" s="116">
        <v>252</v>
      </c>
      <c r="F52" s="111">
        <v>399</v>
      </c>
    </row>
    <row r="53" spans="1:6" x14ac:dyDescent="0.25">
      <c r="A53" s="106" t="s">
        <v>1087</v>
      </c>
      <c r="B53" s="66" t="s">
        <v>1088</v>
      </c>
      <c r="C53" s="67" t="s">
        <v>1089</v>
      </c>
      <c r="D53" s="119" t="s">
        <v>1300</v>
      </c>
      <c r="E53" s="114">
        <v>178</v>
      </c>
      <c r="F53" s="107">
        <v>279</v>
      </c>
    </row>
    <row r="54" spans="1:6" x14ac:dyDescent="0.25">
      <c r="A54" s="108" t="s">
        <v>1090</v>
      </c>
      <c r="B54" s="7" t="s">
        <v>1091</v>
      </c>
      <c r="C54" s="6" t="s">
        <v>1089</v>
      </c>
      <c r="D54" s="120" t="s">
        <v>1301</v>
      </c>
      <c r="E54" s="115">
        <v>178</v>
      </c>
      <c r="F54" s="109">
        <v>279</v>
      </c>
    </row>
    <row r="55" spans="1:6" ht="15.75" thickBot="1" x14ac:dyDescent="0.3">
      <c r="A55" s="110" t="s">
        <v>1092</v>
      </c>
      <c r="B55" s="70" t="s">
        <v>1093</v>
      </c>
      <c r="C55" s="71" t="s">
        <v>1089</v>
      </c>
      <c r="D55" s="122" t="s">
        <v>1302</v>
      </c>
      <c r="E55" s="116">
        <v>178</v>
      </c>
      <c r="F55" s="111">
        <v>279</v>
      </c>
    </row>
    <row r="56" spans="1:6" x14ac:dyDescent="0.25">
      <c r="A56" s="106" t="s">
        <v>1094</v>
      </c>
      <c r="B56" s="66" t="s">
        <v>1095</v>
      </c>
      <c r="C56" s="67" t="s">
        <v>1096</v>
      </c>
      <c r="D56" s="119" t="s">
        <v>1293</v>
      </c>
      <c r="E56" s="114">
        <v>229</v>
      </c>
      <c r="F56" s="107">
        <v>359</v>
      </c>
    </row>
    <row r="57" spans="1:6" x14ac:dyDescent="0.25">
      <c r="A57" s="108" t="s">
        <v>1097</v>
      </c>
      <c r="B57" s="7" t="s">
        <v>1098</v>
      </c>
      <c r="C57" s="6" t="s">
        <v>1096</v>
      </c>
      <c r="D57" s="120" t="s">
        <v>1294</v>
      </c>
      <c r="E57" s="115">
        <v>229</v>
      </c>
      <c r="F57" s="109">
        <v>359</v>
      </c>
    </row>
    <row r="58" spans="1:6" ht="15.75" thickBot="1" x14ac:dyDescent="0.3">
      <c r="A58" s="110" t="s">
        <v>1099</v>
      </c>
      <c r="B58" s="70" t="s">
        <v>1100</v>
      </c>
      <c r="C58" s="71" t="s">
        <v>1096</v>
      </c>
      <c r="D58" s="122" t="s">
        <v>1295</v>
      </c>
      <c r="E58" s="116">
        <v>229</v>
      </c>
      <c r="F58" s="111">
        <v>359</v>
      </c>
    </row>
  </sheetData>
  <autoFilter ref="A2:F58" xr:uid="{00000000-0009-0000-0000-000003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JANE 01</vt:lpstr>
      <vt:lpstr>MATERNAL 03</vt:lpstr>
      <vt:lpstr>PUERICULTURA 05</vt:lpstr>
      <vt:lpstr>BE COOL 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2023-01-18T10:02:37Z</dcterms:modified>
</cp:coreProperties>
</file>