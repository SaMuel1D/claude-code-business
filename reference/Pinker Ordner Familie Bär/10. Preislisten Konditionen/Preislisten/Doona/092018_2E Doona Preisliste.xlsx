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autoCompressPictures="0"/>
  <mc:AlternateContent xmlns:mc="http://schemas.openxmlformats.org/markup-compatibility/2006">
    <mc:Choice Requires="x15">
      <x15ac:absPath xmlns:x15ac="http://schemas.microsoft.com/office/spreadsheetml/2010/11/ac" url="X:\A_Doona\02_Listen\Preislisten\2018 (neue Kollektion)\"/>
    </mc:Choice>
  </mc:AlternateContent>
  <xr:revisionPtr revIDLastSave="0" documentId="13_ncr:1_{6A078F56-CDB7-49EF-B4B5-BE9E7901B2DF}" xr6:coauthVersionLast="34" xr6:coauthVersionMax="34" xr10:uidLastSave="{00000000-0000-0000-0000-000000000000}"/>
  <bookViews>
    <workbookView xWindow="5325" yWindow="465" windowWidth="33075" windowHeight="21600" xr2:uid="{00000000-000D-0000-FFFF-FFFF00000000}"/>
  </bookViews>
  <sheets>
    <sheet name="Sheet1" sheetId="1" r:id="rId1"/>
  </sheets>
  <definedNames>
    <definedName name="_xlnm.Print_Area" localSheetId="0">Sheet1!$B$1:$I$57</definedName>
  </definedNames>
  <calcPr calcId="17902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30" i="1" l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0" i="1"/>
  <c r="I11" i="1"/>
  <c r="I12" i="1"/>
  <c r="I13" i="1"/>
  <c r="I14" i="1"/>
  <c r="I15" i="1"/>
  <c r="I32" i="1"/>
</calcChain>
</file>

<file path=xl/sharedStrings.xml><?xml version="1.0" encoding="utf-8"?>
<sst xmlns="http://schemas.openxmlformats.org/spreadsheetml/2006/main" count="91" uniqueCount="73">
  <si>
    <t>Farbe</t>
  </si>
  <si>
    <t>Doona Essentials Tasche / Doona Essentials Bag</t>
  </si>
  <si>
    <t>Doona Regenschutz / Doona Rain Cover</t>
  </si>
  <si>
    <t>Doona Sonnenschutz / Doona Sunshade Extension</t>
  </si>
  <si>
    <t>Doona Insektenschutz / Doona Insect Net</t>
  </si>
  <si>
    <t>Doona Reisetasche / Doona Travel Bag</t>
  </si>
  <si>
    <t>Doona Snap on Tasche / Doona Snap on Storage</t>
  </si>
  <si>
    <t>Doona Radhüllen / Doona Wheel Covers</t>
  </si>
  <si>
    <t>UVP brutto</t>
  </si>
  <si>
    <t>SP110-99-001-099</t>
  </si>
  <si>
    <t>SP108-99-001-099</t>
  </si>
  <si>
    <t>SP109-99-001-099</t>
  </si>
  <si>
    <t>SP111-99-001-099</t>
  </si>
  <si>
    <t>SP106-99-001-099</t>
  </si>
  <si>
    <t>SP112-99-001-099</t>
  </si>
  <si>
    <t>Artikelnummer</t>
  </si>
  <si>
    <t>Bestellmenge</t>
  </si>
  <si>
    <t>Summe netto:</t>
  </si>
  <si>
    <t xml:space="preserve"> Zahlungskonditionen:</t>
  </si>
  <si>
    <t xml:space="preserve"> Lieferbedingungen:</t>
  </si>
  <si>
    <t>2% Skonto bei SEPA-Lastschrift 10 Tage, 30 Tage netto</t>
  </si>
  <si>
    <t>Preis</t>
  </si>
  <si>
    <t>Ort und Datum:</t>
  </si>
  <si>
    <t>Unterschrift:</t>
  </si>
  <si>
    <t>Artikelname</t>
  </si>
  <si>
    <t>Außendienst:</t>
  </si>
  <si>
    <t>Händlername/Kundennummer:</t>
  </si>
  <si>
    <t>Name Besteller:</t>
  </si>
  <si>
    <t>Doona ISOFIX Basis / Doona ISOFIX Base</t>
  </si>
  <si>
    <t>SP102-20-001-005</t>
  </si>
  <si>
    <t>EK netto</t>
  </si>
  <si>
    <t xml:space="preserve"> Alle Einkaufspreise verstehen sich zuzüglich der gesetzlichen Mehrwertsteuer in Höhe von 19%.</t>
  </si>
  <si>
    <t>Frachtfrei innerhalb Deutschlands ab 175 € netto Warenwert, darunter fällt</t>
  </si>
  <si>
    <t>Warenwert, darunter fällt eine Versandkostenpauschale von 10 € an.</t>
  </si>
  <si>
    <t>SP107-99-001-099</t>
  </si>
  <si>
    <t>Doona Autoschutz / Doona Vehicle Seat Protector*</t>
  </si>
  <si>
    <t>* bei jedem Doona+ Kindersitz im Lieferumfang enthalten</t>
  </si>
  <si>
    <t>Doona by Simple Parenting Preisliste/Bestellformular</t>
  </si>
  <si>
    <t>360° Sonnen- und Insektenschutz / 360° Protection</t>
  </si>
  <si>
    <t>2E Vertriebs-GmbH, Christophstr. 19, 50670 Köln, E-Mail: bestellung@2e-vertrieb.de</t>
  </si>
  <si>
    <t>SP119-99-000-099</t>
  </si>
  <si>
    <t>SP144-99-001-000</t>
  </si>
  <si>
    <t>Doona gepolsterte Reisetasche / Doona Padded Travel Bag</t>
  </si>
  <si>
    <t>EAN</t>
  </si>
  <si>
    <t>Doona+ Kindersitz / Doona+ Infant Car Seat</t>
  </si>
  <si>
    <t>Grey Hound / grau</t>
  </si>
  <si>
    <t>SP150-20-030-005</t>
  </si>
  <si>
    <t>Flame Red / rot</t>
  </si>
  <si>
    <t>SP150-20-031-005</t>
  </si>
  <si>
    <t>Racing Green / grün</t>
  </si>
  <si>
    <t>SP150-20-032-005</t>
  </si>
  <si>
    <t>Nitro Black / schwarz</t>
  </si>
  <si>
    <t>SP150-20-033-005</t>
  </si>
  <si>
    <t>Royal Blue / dunkelblau</t>
  </si>
  <si>
    <t>SP150-20-034-005</t>
  </si>
  <si>
    <t>Blush Pink / rosé</t>
  </si>
  <si>
    <t>SP150-20-035-005</t>
  </si>
  <si>
    <t>universell</t>
  </si>
  <si>
    <t>Doona All-Day Tasche / Doona All-Day Bag</t>
  </si>
  <si>
    <t>SP104-99-033-099</t>
  </si>
  <si>
    <t>SP105-99-033-099</t>
  </si>
  <si>
    <t>Doona Radset / Doona Wheel Set (2 Tools)*</t>
  </si>
  <si>
    <t>SP283-99-000-099</t>
  </si>
  <si>
    <t>Doona Kopfstütze / Doona Head Support*</t>
  </si>
  <si>
    <t>SP289-99-036-000</t>
  </si>
  <si>
    <t>Doona Neugeboreneneinlage / Doona Infant Insert*</t>
  </si>
  <si>
    <t>SP290-99-036-000</t>
  </si>
  <si>
    <t>Außen schwarz, innen gelb</t>
  </si>
  <si>
    <t>Doona Endkundenfl yer (VE 50 Stk.)</t>
  </si>
  <si>
    <t>SP002-99-001-005</t>
  </si>
  <si>
    <t>kostenfrei</t>
  </si>
  <si>
    <t>Hiermit bestelle ich verbindlich die oben aufgeführten Artikel und erkenne die Allgemeinen Geschäftsbedingungen der 2E Vertriebs-GmbH als Grundlage meiner Bestellung an.</t>
  </si>
  <si>
    <t>eine Versandkostenpauschale von 6 € an. Frachtfrei nach Österreich ab 500 €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</si>
</sst>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(&quot;$&quot;* #,##0.00_);_(&quot;$&quot;* \(#,##0.00\);_(&quot;$&quot;* &quot;-&quot;??_);_(@_)"/>
    <numFmt numFmtId="165" formatCode="#,##0_ ;\-#,##0\ 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mbria"/>
    </font>
    <font>
      <u/>
      <sz val="11"/>
      <color theme="10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</font>
    <font>
      <i/>
      <sz val="12"/>
      <color theme="1"/>
      <name val="Century Gothic"/>
    </font>
    <font>
      <b/>
      <sz val="18"/>
      <color theme="1"/>
      <name val="Century Gothic"/>
    </font>
    <font>
      <b/>
      <sz val="14"/>
      <color theme="1"/>
      <name val="Century Gothic"/>
    </font>
    <font>
      <b/>
      <i/>
      <sz val="12"/>
      <color theme="1"/>
      <name val="Century Gothic"/>
    </font>
    <font>
      <b/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b/>
      <sz val="12"/>
      <color theme="0"/>
      <name val="Century Gothic"/>
      <family val="2"/>
    </font>
    <font>
      <b/>
      <i/>
      <sz val="12"/>
      <color theme="1"/>
      <name val="Century Gothic"/>
      <family val="2"/>
    </font>
    <font>
      <sz val="1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</font>
    <font>
      <sz val="18"/>
      <color theme="1"/>
      <name val="Cambria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6" fillId="0" borderId="0" xfId="0" applyFont="1" applyFill="1" applyBorder="1" applyAlignment="1">
      <alignment vertical="center"/>
    </xf>
    <xf numFmtId="0" fontId="8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/>
    <xf numFmtId="0" fontId="10" fillId="0" borderId="0" xfId="0" applyFont="1" applyFill="1" applyBorder="1"/>
    <xf numFmtId="0" fontId="11" fillId="0" borderId="0" xfId="0" applyFont="1" applyFill="1" applyBorder="1"/>
    <xf numFmtId="0" fontId="10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Fill="1" applyBorder="1"/>
    <xf numFmtId="0" fontId="9" fillId="0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3" fillId="2" borderId="0" xfId="0" applyFont="1" applyFill="1" applyBorder="1"/>
    <xf numFmtId="0" fontId="18" fillId="0" borderId="1" xfId="1" applyNumberFormat="1" applyFont="1" applyFill="1" applyBorder="1" applyAlignment="1" applyProtection="1">
      <alignment vertical="center"/>
      <protection locked="0"/>
    </xf>
    <xf numFmtId="44" fontId="19" fillId="0" borderId="1" xfId="4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19" fillId="0" borderId="0" xfId="0" applyFont="1" applyFill="1" applyBorder="1"/>
    <xf numFmtId="0" fontId="20" fillId="0" borderId="0" xfId="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44" fontId="19" fillId="0" borderId="4" xfId="0" applyNumberFormat="1" applyFont="1" applyFill="1" applyBorder="1" applyAlignment="1">
      <alignment vertical="center"/>
    </xf>
    <xf numFmtId="0" fontId="16" fillId="2" borderId="5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0" fontId="18" fillId="0" borderId="8" xfId="1" applyNumberFormat="1" applyFont="1" applyFill="1" applyBorder="1" applyAlignment="1" applyProtection="1">
      <alignment vertical="center" wrapText="1"/>
      <protection locked="0"/>
    </xf>
    <xf numFmtId="44" fontId="19" fillId="0" borderId="9" xfId="0" applyNumberFormat="1" applyFont="1" applyFill="1" applyBorder="1" applyAlignment="1">
      <alignment vertical="center"/>
    </xf>
    <xf numFmtId="0" fontId="18" fillId="0" borderId="8" xfId="1" applyNumberFormat="1" applyFont="1" applyFill="1" applyBorder="1" applyAlignment="1" applyProtection="1">
      <alignment vertical="center"/>
      <protection locked="0"/>
    </xf>
    <xf numFmtId="0" fontId="19" fillId="0" borderId="8" xfId="0" applyFont="1" applyFill="1" applyBorder="1" applyAlignment="1">
      <alignment horizontal="justify" vertical="center"/>
    </xf>
    <xf numFmtId="165" fontId="19" fillId="3" borderId="1" xfId="0" applyNumberFormat="1" applyFont="1" applyFill="1" applyBorder="1" applyAlignment="1" applyProtection="1">
      <alignment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/>
    </xf>
    <xf numFmtId="44" fontId="17" fillId="0" borderId="0" xfId="0" applyNumberFormat="1" applyFont="1" applyFill="1" applyBorder="1" applyAlignment="1">
      <alignment horizontal="left" vertical="center" wrapText="1"/>
    </xf>
    <xf numFmtId="44" fontId="13" fillId="0" borderId="0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2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center"/>
    </xf>
    <xf numFmtId="0" fontId="15" fillId="0" borderId="3" xfId="0" applyFont="1" applyFill="1" applyBorder="1" applyAlignment="1" applyProtection="1">
      <protection locked="0"/>
    </xf>
    <xf numFmtId="0" fontId="14" fillId="0" borderId="3" xfId="0" applyFont="1" applyBorder="1" applyAlignment="1" applyProtection="1">
      <protection locked="0"/>
    </xf>
    <xf numFmtId="0" fontId="21" fillId="0" borderId="2" xfId="0" applyFont="1" applyFill="1" applyBorder="1" applyAlignment="1" applyProtection="1">
      <alignment vertical="center"/>
      <protection locked="0"/>
    </xf>
    <xf numFmtId="0" fontId="22" fillId="0" borderId="2" xfId="0" applyFont="1" applyBorder="1" applyAlignment="1" applyProtection="1">
      <protection locked="0"/>
    </xf>
    <xf numFmtId="0" fontId="21" fillId="0" borderId="2" xfId="0" applyFont="1" applyFill="1" applyBorder="1" applyAlignment="1" applyProtection="1">
      <alignment horizontal="center" vertical="center"/>
      <protection locked="0"/>
    </xf>
    <xf numFmtId="0" fontId="6" fillId="0" borderId="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left" vertical="center"/>
    </xf>
    <xf numFmtId="44" fontId="19" fillId="0" borderId="1" xfId="4" applyFont="1" applyFill="1" applyBorder="1" applyAlignment="1">
      <alignment horizontal="right" vertical="center"/>
    </xf>
  </cellXfs>
  <cellStyles count="71">
    <cellStyle name="Besuchter Hyperlink" xfId="3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4" builtinId="9" hidden="1"/>
    <cellStyle name="Besuchter Hyperlink" xfId="36" builtinId="9" hidden="1"/>
    <cellStyle name="Besuchter Hyperlink" xfId="38" builtinId="9" hidden="1"/>
    <cellStyle name="Besuchter Hyperlink" xfId="40" builtinId="9" hidden="1"/>
    <cellStyle name="Besuchter Hyperlink" xfId="42" builtinId="9" hidden="1"/>
    <cellStyle name="Besuchter Hyperlink" xfId="44" builtinId="9" hidden="1"/>
    <cellStyle name="Besuchter Hyperlink" xfId="46" builtinId="9" hidden="1"/>
    <cellStyle name="Besuchter Hyperlink" xfId="48" builtinId="9" hidden="1"/>
    <cellStyle name="Besuchter Hyperlink" xfId="50" builtinId="9" hidden="1"/>
    <cellStyle name="Besuchter Hyperlink" xfId="52" builtinId="9" hidden="1"/>
    <cellStyle name="Besuchter Hyperlink" xfId="54" builtinId="9" hidden="1"/>
    <cellStyle name="Besuchter Hyperlink" xfId="56" builtinId="9" hidden="1"/>
    <cellStyle name="Besuchter Hyperlink" xfId="58" builtinId="9" hidden="1"/>
    <cellStyle name="Besuchter Hyperlink" xfId="60" builtinId="9" hidden="1"/>
    <cellStyle name="Besuchter Hyperlink" xfId="62" builtinId="9" hidden="1"/>
    <cellStyle name="Besuchter Hyperlink" xfId="64" builtinId="9" hidden="1"/>
    <cellStyle name="Besuchter Hyperlink" xfId="66" builtinId="9" hidden="1"/>
    <cellStyle name="Besuchter Hyperlink" xfId="68" builtinId="9" hidden="1"/>
    <cellStyle name="Besuchter Hyperlink" xfId="70" builtinId="9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Link" xfId="43" builtinId="8" hidden="1"/>
    <cellStyle name="Link" xfId="45" builtinId="8" hidden="1"/>
    <cellStyle name="Link" xfId="47" builtinId="8" hidden="1"/>
    <cellStyle name="Link" xfId="49" builtinId="8" hidden="1"/>
    <cellStyle name="Link" xfId="51" builtinId="8" hidden="1"/>
    <cellStyle name="Link" xfId="53" builtinId="8" hidden="1"/>
    <cellStyle name="Link" xfId="55" builtinId="8" hidden="1"/>
    <cellStyle name="Link" xfId="57" builtinId="8" hidden="1"/>
    <cellStyle name="Link" xfId="59" builtinId="8" hidden="1"/>
    <cellStyle name="Link" xfId="61" builtinId="8" hidden="1"/>
    <cellStyle name="Link" xfId="63" builtinId="8" hidden="1"/>
    <cellStyle name="Link" xfId="65" builtinId="8" hidden="1"/>
    <cellStyle name="Link" xfId="67" builtinId="8" hidden="1"/>
    <cellStyle name="Link" xfId="69" builtinId="8" hidden="1"/>
    <cellStyle name="Standard" xfId="0" builtinId="0"/>
    <cellStyle name="Währung" xfId="4" builtinId="4"/>
    <cellStyle name="常规_PO" xfId="1" xr:uid="{00000000-0005-0000-0000-000045000000}"/>
    <cellStyle name="货币_PO" xfId="2" xr:uid="{00000000-0005-0000-0000-00004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577148</xdr:colOff>
      <xdr:row>2</xdr:row>
      <xdr:rowOff>65513</xdr:rowOff>
    </xdr:from>
    <xdr:to>
      <xdr:col>8</xdr:col>
      <xdr:colOff>729547</xdr:colOff>
      <xdr:row>4</xdr:row>
      <xdr:rowOff>242488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4148" y="531180"/>
          <a:ext cx="2621843" cy="7131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75"/>
  <sheetViews>
    <sheetView tabSelected="1" view="pageBreakPreview" topLeftCell="B1" zoomScale="90" zoomScaleNormal="70" zoomScaleSheetLayoutView="90" zoomScalePageLayoutView="70" workbookViewId="0">
      <selection activeCell="G30" sqref="G30"/>
    </sheetView>
  </sheetViews>
  <sheetFormatPr baseColWidth="10" defaultColWidth="8.7109375" defaultRowHeight="17.25" x14ac:dyDescent="0.3"/>
  <cols>
    <col min="1" max="1" width="8.7109375" style="2" hidden="1" customWidth="1"/>
    <col min="2" max="2" width="64.140625" style="2" customWidth="1"/>
    <col min="3" max="3" width="55.28515625" style="2" customWidth="1"/>
    <col min="4" max="5" width="20.7109375" style="2" customWidth="1"/>
    <col min="6" max="7" width="15" style="2" customWidth="1"/>
    <col min="8" max="8" width="17.7109375" style="2" bestFit="1" customWidth="1"/>
    <col min="9" max="9" width="15" style="2" customWidth="1"/>
    <col min="10" max="10" width="10.28515625" style="2" bestFit="1" customWidth="1"/>
    <col min="11" max="11" width="15.140625" style="2" bestFit="1" customWidth="1"/>
    <col min="12" max="12" width="10.28515625" style="2" bestFit="1" customWidth="1"/>
    <col min="13" max="13" width="10.140625" style="2" bestFit="1" customWidth="1"/>
    <col min="14" max="14" width="13.28515625" style="2" customWidth="1"/>
    <col min="15" max="15" width="10.140625" style="2" customWidth="1"/>
    <col min="16" max="16384" width="8.7109375" style="2"/>
  </cols>
  <sheetData>
    <row r="2" spans="2:11" s="7" customFormat="1" ht="21" customHeight="1" x14ac:dyDescent="0.3">
      <c r="B2" s="35" t="s">
        <v>37</v>
      </c>
      <c r="C2" s="35"/>
      <c r="D2" s="35"/>
      <c r="E2" s="35"/>
      <c r="F2" s="35"/>
      <c r="G2" s="35"/>
      <c r="H2" s="35"/>
      <c r="I2" s="35"/>
    </row>
    <row r="3" spans="2:11" s="7" customFormat="1" ht="21" customHeight="1" x14ac:dyDescent="0.3">
      <c r="G3" s="35"/>
      <c r="H3" s="35"/>
      <c r="I3" s="35"/>
    </row>
    <row r="4" spans="2:11" s="7" customFormat="1" ht="21" customHeight="1" x14ac:dyDescent="0.3">
      <c r="B4" s="34" t="s">
        <v>39</v>
      </c>
      <c r="C4" s="34"/>
      <c r="D4" s="34"/>
      <c r="E4" s="34"/>
      <c r="F4" s="34"/>
      <c r="G4" s="35"/>
      <c r="H4" s="35"/>
      <c r="I4" s="35"/>
    </row>
    <row r="5" spans="2:11" s="7" customFormat="1" ht="21" customHeight="1" x14ac:dyDescent="0.3">
      <c r="G5" s="35"/>
      <c r="H5" s="35"/>
      <c r="I5" s="35"/>
    </row>
    <row r="6" spans="2:11" ht="33.950000000000003" customHeight="1" x14ac:dyDescent="0.3">
      <c r="B6" s="36" t="s">
        <v>25</v>
      </c>
      <c r="C6" s="37"/>
    </row>
    <row r="7" spans="2:11" s="5" customFormat="1" ht="15.75" x14ac:dyDescent="0.25">
      <c r="J7"/>
    </row>
    <row r="8" spans="2:11" ht="18" thickBot="1" x14ac:dyDescent="0.35">
      <c r="J8"/>
      <c r="K8"/>
    </row>
    <row r="9" spans="2:11" ht="18.95" customHeight="1" x14ac:dyDescent="0.3">
      <c r="B9" s="21" t="s">
        <v>24</v>
      </c>
      <c r="C9" s="22" t="s">
        <v>0</v>
      </c>
      <c r="D9" s="22" t="s">
        <v>15</v>
      </c>
      <c r="E9" s="22" t="s">
        <v>43</v>
      </c>
      <c r="F9" s="22" t="s">
        <v>8</v>
      </c>
      <c r="G9" s="22" t="s">
        <v>30</v>
      </c>
      <c r="H9" s="22" t="s">
        <v>16</v>
      </c>
      <c r="I9" s="23" t="s">
        <v>21</v>
      </c>
      <c r="J9"/>
      <c r="K9"/>
    </row>
    <row r="10" spans="2:11" s="4" customFormat="1" ht="29.1" customHeight="1" x14ac:dyDescent="0.25">
      <c r="B10" s="24" t="s">
        <v>44</v>
      </c>
      <c r="C10" s="14" t="s">
        <v>45</v>
      </c>
      <c r="D10" s="19" t="s">
        <v>46</v>
      </c>
      <c r="E10" s="29">
        <v>4897055668578</v>
      </c>
      <c r="F10" s="15">
        <v>399.9</v>
      </c>
      <c r="G10" s="15">
        <v>239.95</v>
      </c>
      <c r="H10" s="28"/>
      <c r="I10" s="25">
        <f>SUM(G10*H10)</f>
        <v>0</v>
      </c>
      <c r="J10" s="9"/>
    </row>
    <row r="11" spans="2:11" s="4" customFormat="1" ht="29.1" customHeight="1" x14ac:dyDescent="0.25">
      <c r="B11" s="24" t="s">
        <v>44</v>
      </c>
      <c r="C11" s="14" t="s">
        <v>47</v>
      </c>
      <c r="D11" s="19" t="s">
        <v>48</v>
      </c>
      <c r="E11" s="29">
        <v>4897055668561</v>
      </c>
      <c r="F11" s="15">
        <v>399.9</v>
      </c>
      <c r="G11" s="15">
        <v>239.95</v>
      </c>
      <c r="H11" s="28"/>
      <c r="I11" s="25">
        <f t="shared" ref="I11:I14" si="0">SUM(G11*H11)</f>
        <v>0</v>
      </c>
      <c r="J11" s="9"/>
    </row>
    <row r="12" spans="2:11" s="4" customFormat="1" ht="29.1" customHeight="1" x14ac:dyDescent="0.25">
      <c r="B12" s="24" t="s">
        <v>44</v>
      </c>
      <c r="C12" s="14" t="s">
        <v>49</v>
      </c>
      <c r="D12" s="19" t="s">
        <v>50</v>
      </c>
      <c r="E12" s="29">
        <v>4897055668554</v>
      </c>
      <c r="F12" s="15">
        <v>399.9</v>
      </c>
      <c r="G12" s="15">
        <v>239.95</v>
      </c>
      <c r="H12" s="28"/>
      <c r="I12" s="25">
        <f t="shared" si="0"/>
        <v>0</v>
      </c>
      <c r="J12" s="9"/>
    </row>
    <row r="13" spans="2:11" s="4" customFormat="1" ht="29.1" customHeight="1" x14ac:dyDescent="0.25">
      <c r="B13" s="24" t="s">
        <v>44</v>
      </c>
      <c r="C13" s="14" t="s">
        <v>51</v>
      </c>
      <c r="D13" s="19" t="s">
        <v>52</v>
      </c>
      <c r="E13" s="29">
        <v>4897055668547</v>
      </c>
      <c r="F13" s="15">
        <v>399.9</v>
      </c>
      <c r="G13" s="15">
        <v>239.95</v>
      </c>
      <c r="H13" s="28"/>
      <c r="I13" s="25">
        <f t="shared" si="0"/>
        <v>0</v>
      </c>
      <c r="J13" s="9"/>
    </row>
    <row r="14" spans="2:11" s="4" customFormat="1" ht="29.1" customHeight="1" x14ac:dyDescent="0.25">
      <c r="B14" s="24" t="s">
        <v>44</v>
      </c>
      <c r="C14" s="14" t="s">
        <v>53</v>
      </c>
      <c r="D14" s="19" t="s">
        <v>54</v>
      </c>
      <c r="E14" s="29">
        <v>4897055668530</v>
      </c>
      <c r="F14" s="15">
        <v>399.9</v>
      </c>
      <c r="G14" s="15">
        <v>239.95</v>
      </c>
      <c r="H14" s="28"/>
      <c r="I14" s="25">
        <f t="shared" si="0"/>
        <v>0</v>
      </c>
      <c r="J14" s="9"/>
    </row>
    <row r="15" spans="2:11" s="4" customFormat="1" ht="29.1" customHeight="1" x14ac:dyDescent="0.25">
      <c r="B15" s="24" t="s">
        <v>44</v>
      </c>
      <c r="C15" s="14" t="s">
        <v>55</v>
      </c>
      <c r="D15" s="19" t="s">
        <v>56</v>
      </c>
      <c r="E15" s="29">
        <v>4897055668523</v>
      </c>
      <c r="F15" s="15">
        <v>399.9</v>
      </c>
      <c r="G15" s="15">
        <v>239.95</v>
      </c>
      <c r="H15" s="28"/>
      <c r="I15" s="25">
        <f t="shared" ref="I15:I31" si="1">SUM(G15*H15)</f>
        <v>0</v>
      </c>
      <c r="J15" s="9"/>
    </row>
    <row r="16" spans="2:11" s="4" customFormat="1" ht="29.1" customHeight="1" x14ac:dyDescent="0.25">
      <c r="B16" s="24" t="s">
        <v>28</v>
      </c>
      <c r="C16" s="14" t="s">
        <v>57</v>
      </c>
      <c r="D16" s="19" t="s">
        <v>29</v>
      </c>
      <c r="E16" s="29">
        <v>4897055660558</v>
      </c>
      <c r="F16" s="15">
        <v>149.9</v>
      </c>
      <c r="G16" s="15">
        <v>89.94</v>
      </c>
      <c r="H16" s="28"/>
      <c r="I16" s="25">
        <f t="shared" si="1"/>
        <v>0</v>
      </c>
      <c r="J16" s="9"/>
    </row>
    <row r="17" spans="2:13" s="4" customFormat="1" ht="29.1" customHeight="1" x14ac:dyDescent="0.25">
      <c r="B17" s="24" t="s">
        <v>58</v>
      </c>
      <c r="C17" s="14" t="s">
        <v>51</v>
      </c>
      <c r="D17" s="19" t="s">
        <v>59</v>
      </c>
      <c r="E17" s="29">
        <v>4897055668141</v>
      </c>
      <c r="F17" s="15">
        <v>69.900000000000006</v>
      </c>
      <c r="G17" s="15">
        <v>41.940000000000005</v>
      </c>
      <c r="H17" s="28"/>
      <c r="I17" s="25">
        <f t="shared" si="1"/>
        <v>0</v>
      </c>
      <c r="J17" s="9"/>
    </row>
    <row r="18" spans="2:13" s="4" customFormat="1" ht="29.1" customHeight="1" x14ac:dyDescent="0.25">
      <c r="B18" s="26" t="s">
        <v>1</v>
      </c>
      <c r="C18" s="14" t="s">
        <v>51</v>
      </c>
      <c r="D18" s="19" t="s">
        <v>60</v>
      </c>
      <c r="E18" s="29">
        <v>4897055668158</v>
      </c>
      <c r="F18" s="15">
        <v>49.9</v>
      </c>
      <c r="G18" s="15">
        <v>29.939999999999998</v>
      </c>
      <c r="H18" s="28"/>
      <c r="I18" s="25">
        <f t="shared" si="1"/>
        <v>0</v>
      </c>
      <c r="J18" s="9"/>
    </row>
    <row r="19" spans="2:13" s="4" customFormat="1" ht="29.1" customHeight="1" x14ac:dyDescent="0.25">
      <c r="B19" s="27" t="s">
        <v>6</v>
      </c>
      <c r="C19" s="14" t="s">
        <v>57</v>
      </c>
      <c r="D19" s="19" t="s">
        <v>13</v>
      </c>
      <c r="E19" s="29">
        <v>4897055660329</v>
      </c>
      <c r="F19" s="15">
        <v>24.9</v>
      </c>
      <c r="G19" s="15">
        <v>14.939999999999998</v>
      </c>
      <c r="H19" s="28"/>
      <c r="I19" s="25">
        <f t="shared" si="1"/>
        <v>0</v>
      </c>
      <c r="J19" s="9"/>
    </row>
    <row r="20" spans="2:13" s="4" customFormat="1" ht="29.1" customHeight="1" x14ac:dyDescent="0.25">
      <c r="B20" s="27" t="s">
        <v>5</v>
      </c>
      <c r="C20" s="14" t="s">
        <v>57</v>
      </c>
      <c r="D20" s="19" t="s">
        <v>34</v>
      </c>
      <c r="E20" s="29">
        <v>4897055660701</v>
      </c>
      <c r="F20" s="15">
        <v>39.9</v>
      </c>
      <c r="G20" s="15">
        <v>23.939999999999998</v>
      </c>
      <c r="H20" s="28"/>
      <c r="I20" s="25">
        <f t="shared" si="1"/>
        <v>0</v>
      </c>
      <c r="J20" s="9"/>
    </row>
    <row r="21" spans="2:13" s="4" customFormat="1" ht="29.1" customHeight="1" x14ac:dyDescent="0.25">
      <c r="B21" s="27" t="s">
        <v>2</v>
      </c>
      <c r="C21" s="14" t="s">
        <v>57</v>
      </c>
      <c r="D21" s="19" t="s">
        <v>10</v>
      </c>
      <c r="E21" s="29">
        <v>4897055660237</v>
      </c>
      <c r="F21" s="15">
        <v>24.9</v>
      </c>
      <c r="G21" s="15">
        <v>14.939999999999998</v>
      </c>
      <c r="H21" s="28"/>
      <c r="I21" s="25">
        <f t="shared" si="1"/>
        <v>0</v>
      </c>
      <c r="J21" s="9"/>
    </row>
    <row r="22" spans="2:13" s="4" customFormat="1" ht="29.1" customHeight="1" x14ac:dyDescent="0.25">
      <c r="B22" s="27" t="s">
        <v>3</v>
      </c>
      <c r="C22" s="14" t="s">
        <v>57</v>
      </c>
      <c r="D22" s="19" t="s">
        <v>11</v>
      </c>
      <c r="E22" s="29">
        <v>4897055660220</v>
      </c>
      <c r="F22" s="15">
        <v>24.9</v>
      </c>
      <c r="G22" s="15">
        <v>14.939999999999998</v>
      </c>
      <c r="H22" s="28"/>
      <c r="I22" s="25">
        <f t="shared" si="1"/>
        <v>0</v>
      </c>
      <c r="J22" s="9"/>
    </row>
    <row r="23" spans="2:13" s="4" customFormat="1" ht="29.1" customHeight="1" x14ac:dyDescent="0.25">
      <c r="B23" s="27" t="s">
        <v>4</v>
      </c>
      <c r="C23" s="14" t="s">
        <v>57</v>
      </c>
      <c r="D23" s="19" t="s">
        <v>9</v>
      </c>
      <c r="E23" s="29">
        <v>4897055660213</v>
      </c>
      <c r="F23" s="15">
        <v>19.899999999999999</v>
      </c>
      <c r="G23" s="15">
        <v>11.94</v>
      </c>
      <c r="H23" s="28"/>
      <c r="I23" s="25">
        <f t="shared" si="1"/>
        <v>0</v>
      </c>
      <c r="J23" s="9"/>
    </row>
    <row r="24" spans="2:13" s="4" customFormat="1" ht="29.1" customHeight="1" x14ac:dyDescent="0.25">
      <c r="B24" s="27" t="s">
        <v>35</v>
      </c>
      <c r="C24" s="14" t="s">
        <v>57</v>
      </c>
      <c r="D24" s="19" t="s">
        <v>12</v>
      </c>
      <c r="E24" s="29">
        <v>4897055660268</v>
      </c>
      <c r="F24" s="15">
        <v>14.9</v>
      </c>
      <c r="G24" s="15">
        <v>8.94</v>
      </c>
      <c r="H24" s="28"/>
      <c r="I24" s="25">
        <f t="shared" si="1"/>
        <v>0</v>
      </c>
      <c r="J24" s="9"/>
    </row>
    <row r="25" spans="2:13" s="4" customFormat="1" ht="29.1" customHeight="1" x14ac:dyDescent="0.25">
      <c r="B25" s="27" t="s">
        <v>61</v>
      </c>
      <c r="C25" s="14" t="s">
        <v>57</v>
      </c>
      <c r="D25" s="19" t="s">
        <v>62</v>
      </c>
      <c r="E25" s="29">
        <v>4897055663139</v>
      </c>
      <c r="F25" s="15">
        <v>54.9</v>
      </c>
      <c r="G25" s="15">
        <v>32.94</v>
      </c>
      <c r="H25" s="28"/>
      <c r="I25" s="25">
        <f t="shared" si="1"/>
        <v>0</v>
      </c>
      <c r="J25" s="9"/>
    </row>
    <row r="26" spans="2:13" s="4" customFormat="1" ht="29.1" customHeight="1" x14ac:dyDescent="0.25">
      <c r="B26" s="27" t="s">
        <v>63</v>
      </c>
      <c r="C26" s="14" t="s">
        <v>57</v>
      </c>
      <c r="D26" s="19" t="s">
        <v>64</v>
      </c>
      <c r="E26" s="29">
        <v>4897055670083</v>
      </c>
      <c r="F26" s="15">
        <v>18.899999999999999</v>
      </c>
      <c r="G26" s="15">
        <v>11.339999999999998</v>
      </c>
      <c r="H26" s="28"/>
      <c r="I26" s="25">
        <f t="shared" si="1"/>
        <v>0</v>
      </c>
      <c r="J26" s="9"/>
    </row>
    <row r="27" spans="2:13" s="4" customFormat="1" ht="29.1" customHeight="1" x14ac:dyDescent="0.25">
      <c r="B27" s="27" t="s">
        <v>65</v>
      </c>
      <c r="C27" s="14" t="s">
        <v>57</v>
      </c>
      <c r="D27" s="19" t="s">
        <v>66</v>
      </c>
      <c r="E27" s="29">
        <v>4897055670076</v>
      </c>
      <c r="F27" s="15">
        <v>19.899999999999999</v>
      </c>
      <c r="G27" s="15">
        <v>11.94</v>
      </c>
      <c r="H27" s="28"/>
      <c r="I27" s="25">
        <f t="shared" si="1"/>
        <v>0</v>
      </c>
      <c r="J27" s="9"/>
    </row>
    <row r="28" spans="2:13" s="4" customFormat="1" ht="29.1" customHeight="1" x14ac:dyDescent="0.25">
      <c r="B28" s="27" t="s">
        <v>7</v>
      </c>
      <c r="C28" s="14" t="s">
        <v>57</v>
      </c>
      <c r="D28" s="19" t="s">
        <v>14</v>
      </c>
      <c r="E28" s="29">
        <v>4897055660244</v>
      </c>
      <c r="F28" s="15">
        <v>14.9</v>
      </c>
      <c r="G28" s="15">
        <v>8.94</v>
      </c>
      <c r="H28" s="28"/>
      <c r="I28" s="25">
        <f t="shared" si="1"/>
        <v>0</v>
      </c>
      <c r="J28" s="9"/>
    </row>
    <row r="29" spans="2:13" s="4" customFormat="1" ht="29.1" customHeight="1" x14ac:dyDescent="0.25">
      <c r="B29" s="27" t="s">
        <v>38</v>
      </c>
      <c r="C29" s="14" t="s">
        <v>57</v>
      </c>
      <c r="D29" s="19" t="s">
        <v>41</v>
      </c>
      <c r="E29" s="29">
        <v>4897055663146</v>
      </c>
      <c r="F29" s="15">
        <v>34.9</v>
      </c>
      <c r="G29" s="15">
        <v>21.54</v>
      </c>
      <c r="H29" s="28"/>
      <c r="I29" s="25">
        <f t="shared" si="1"/>
        <v>0</v>
      </c>
      <c r="J29" s="9"/>
    </row>
    <row r="30" spans="2:13" s="4" customFormat="1" ht="29.1" customHeight="1" x14ac:dyDescent="0.25">
      <c r="B30" s="27" t="s">
        <v>42</v>
      </c>
      <c r="C30" s="14" t="s">
        <v>67</v>
      </c>
      <c r="D30" s="19" t="s">
        <v>40</v>
      </c>
      <c r="E30" s="29">
        <v>4897055663153</v>
      </c>
      <c r="F30" s="15">
        <v>89.9</v>
      </c>
      <c r="G30" s="15">
        <v>53.940000000000005</v>
      </c>
      <c r="H30" s="28"/>
      <c r="I30" s="25">
        <f t="shared" si="1"/>
        <v>0</v>
      </c>
      <c r="J30" s="9"/>
    </row>
    <row r="31" spans="2:13" s="4" customFormat="1" ht="29.1" customHeight="1" x14ac:dyDescent="0.25">
      <c r="B31" s="27" t="s">
        <v>68</v>
      </c>
      <c r="C31" s="14"/>
      <c r="D31" s="19" t="s">
        <v>69</v>
      </c>
      <c r="E31" s="29"/>
      <c r="F31" s="44" t="s">
        <v>70</v>
      </c>
      <c r="G31" s="15"/>
      <c r="H31" s="28"/>
      <c r="I31" s="25"/>
      <c r="J31" s="9"/>
      <c r="K31" s="8"/>
    </row>
    <row r="32" spans="2:13" ht="29.1" customHeight="1" thickBot="1" x14ac:dyDescent="0.35">
      <c r="B32" s="16"/>
      <c r="C32" s="16"/>
      <c r="D32" s="17"/>
      <c r="E32" s="17"/>
      <c r="F32" s="17"/>
      <c r="G32" s="17"/>
      <c r="H32" s="18" t="s">
        <v>17</v>
      </c>
      <c r="I32" s="20">
        <f>SUM(I10:I31)</f>
        <v>0</v>
      </c>
      <c r="J32"/>
      <c r="K32"/>
      <c r="L32" s="6"/>
      <c r="M32" s="6"/>
    </row>
    <row r="33" spans="2:16" x14ac:dyDescent="0.3">
      <c r="B33" s="8" t="s">
        <v>36</v>
      </c>
      <c r="C33" s="4"/>
      <c r="J33"/>
      <c r="K33"/>
      <c r="L33" s="6"/>
      <c r="M33" s="6"/>
    </row>
    <row r="34" spans="2:16" x14ac:dyDescent="0.3">
      <c r="B34" s="4"/>
      <c r="C34" s="4"/>
      <c r="J34"/>
      <c r="K34"/>
      <c r="L34" s="6"/>
      <c r="M34" s="6"/>
    </row>
    <row r="35" spans="2:16" x14ac:dyDescent="0.3">
      <c r="B35" s="4"/>
      <c r="C35" s="4"/>
      <c r="J35"/>
      <c r="K35"/>
      <c r="L35" s="6"/>
      <c r="M35" s="6"/>
    </row>
    <row r="36" spans="2:16" x14ac:dyDescent="0.3">
      <c r="B36" s="30" t="s">
        <v>31</v>
      </c>
      <c r="C36" s="30"/>
      <c r="D36" s="30"/>
      <c r="E36" s="30"/>
      <c r="F36" s="30"/>
      <c r="G36" s="5"/>
      <c r="K36"/>
      <c r="L36"/>
      <c r="M36" s="6"/>
      <c r="N36" s="6"/>
      <c r="O36" s="6"/>
      <c r="P36" s="6"/>
    </row>
    <row r="37" spans="2:16" x14ac:dyDescent="0.3">
      <c r="B37" s="10"/>
      <c r="C37" s="11"/>
      <c r="D37" s="5"/>
      <c r="E37" s="5"/>
      <c r="F37" s="5"/>
      <c r="G37" s="5"/>
      <c r="K37"/>
      <c r="L37"/>
      <c r="M37" s="6"/>
      <c r="N37" s="6"/>
      <c r="O37" s="6"/>
      <c r="P37" s="6"/>
    </row>
    <row r="38" spans="2:16" x14ac:dyDescent="0.3">
      <c r="B38" s="10"/>
      <c r="C38" s="11"/>
      <c r="D38" s="5"/>
      <c r="E38" s="5"/>
      <c r="F38" s="5"/>
      <c r="G38" s="5"/>
      <c r="K38"/>
      <c r="L38"/>
      <c r="M38" s="6"/>
      <c r="N38" s="6"/>
      <c r="O38" s="6"/>
      <c r="P38" s="6"/>
    </row>
    <row r="39" spans="2:16" s="6" customFormat="1" x14ac:dyDescent="0.25">
      <c r="B39" s="12" t="s">
        <v>18</v>
      </c>
      <c r="C39" s="42" t="s">
        <v>20</v>
      </c>
      <c r="D39" s="42"/>
      <c r="E39" s="42"/>
      <c r="F39" s="42"/>
      <c r="G39" s="42"/>
      <c r="K39"/>
      <c r="L39"/>
    </row>
    <row r="40" spans="2:16" s="6" customFormat="1" x14ac:dyDescent="0.3">
      <c r="B40" s="12"/>
      <c r="C40" s="12"/>
      <c r="D40" s="13"/>
      <c r="E40" s="13"/>
      <c r="F40" s="13"/>
      <c r="G40" s="13"/>
    </row>
    <row r="41" spans="2:16" s="6" customFormat="1" x14ac:dyDescent="0.2">
      <c r="B41" s="12" t="s">
        <v>19</v>
      </c>
      <c r="C41" s="42" t="s">
        <v>32</v>
      </c>
      <c r="D41" s="42"/>
      <c r="E41" s="42"/>
      <c r="F41" s="42"/>
      <c r="G41" s="42"/>
    </row>
    <row r="42" spans="2:16" s="6" customFormat="1" x14ac:dyDescent="0.2">
      <c r="B42" s="12"/>
      <c r="C42" s="42" t="s">
        <v>72</v>
      </c>
      <c r="D42" s="42"/>
      <c r="E42" s="42"/>
      <c r="F42" s="42"/>
      <c r="G42" s="42"/>
    </row>
    <row r="43" spans="2:16" s="6" customFormat="1" x14ac:dyDescent="0.3">
      <c r="B43" s="12"/>
      <c r="C43" s="12" t="s">
        <v>33</v>
      </c>
      <c r="D43" s="13"/>
      <c r="E43" s="13"/>
      <c r="F43" s="13"/>
      <c r="G43" s="13"/>
    </row>
    <row r="44" spans="2:16" s="6" customFormat="1" x14ac:dyDescent="0.3">
      <c r="B44" s="12"/>
      <c r="C44" s="43"/>
      <c r="D44" s="43"/>
      <c r="E44" s="43"/>
      <c r="F44" s="43"/>
      <c r="G44" s="43"/>
      <c r="K44" s="2"/>
      <c r="L44" s="2"/>
      <c r="M44" s="2"/>
      <c r="N44" s="2"/>
    </row>
    <row r="45" spans="2:16" s="6" customFormat="1" x14ac:dyDescent="0.3">
      <c r="B45" s="8"/>
      <c r="C45" s="8"/>
      <c r="K45" s="2"/>
      <c r="L45" s="2"/>
      <c r="M45" s="2"/>
      <c r="N45" s="2"/>
    </row>
    <row r="46" spans="2:16" x14ac:dyDescent="0.3">
      <c r="B46" s="8"/>
      <c r="C46" s="1"/>
    </row>
    <row r="47" spans="2:16" x14ac:dyDescent="0.3">
      <c r="B47" s="6"/>
      <c r="C47" s="1"/>
    </row>
    <row r="48" spans="2:16" x14ac:dyDescent="0.3">
      <c r="B48" s="31" t="s">
        <v>71</v>
      </c>
      <c r="C48" s="32"/>
      <c r="D48" s="32"/>
      <c r="E48" s="32"/>
      <c r="F48" s="32"/>
      <c r="G48" s="32"/>
      <c r="H48" s="32"/>
      <c r="I48" s="32"/>
    </row>
    <row r="49" spans="2:9" x14ac:dyDescent="0.3">
      <c r="B49" s="33"/>
      <c r="C49" s="33"/>
      <c r="D49" s="33"/>
      <c r="E49" s="33"/>
      <c r="F49" s="33"/>
      <c r="G49" s="33"/>
      <c r="H49" s="33"/>
      <c r="I49" s="33"/>
    </row>
    <row r="50" spans="2:9" x14ac:dyDescent="0.3">
      <c r="B50" s="1"/>
      <c r="C50" s="1"/>
    </row>
    <row r="51" spans="2:9" x14ac:dyDescent="0.3">
      <c r="B51" s="1"/>
      <c r="C51" s="1"/>
    </row>
    <row r="52" spans="2:9" ht="33.950000000000003" customHeight="1" thickBot="1" x14ac:dyDescent="0.4">
      <c r="B52" s="38"/>
      <c r="C52" s="39"/>
      <c r="F52" s="40"/>
      <c r="G52" s="40"/>
      <c r="H52" s="40"/>
      <c r="I52" s="40"/>
    </row>
    <row r="53" spans="2:9" x14ac:dyDescent="0.3">
      <c r="B53" s="8" t="s">
        <v>26</v>
      </c>
      <c r="F53" s="8" t="s">
        <v>27</v>
      </c>
    </row>
    <row r="56" spans="2:9" ht="33.950000000000003" customHeight="1" thickBot="1" x14ac:dyDescent="0.35">
      <c r="B56" s="40"/>
      <c r="C56" s="40"/>
      <c r="F56" s="41"/>
      <c r="G56" s="41"/>
      <c r="H56" s="41"/>
      <c r="I56" s="41"/>
    </row>
    <row r="57" spans="2:9" x14ac:dyDescent="0.3">
      <c r="B57" s="6" t="s">
        <v>22</v>
      </c>
      <c r="F57" s="8" t="s">
        <v>23</v>
      </c>
    </row>
    <row r="58" spans="2:9" x14ac:dyDescent="0.3">
      <c r="B58" s="8"/>
      <c r="C58" s="1"/>
    </row>
    <row r="59" spans="2:9" x14ac:dyDescent="0.3">
      <c r="B59" s="8"/>
      <c r="C59" s="1"/>
    </row>
    <row r="61" spans="2:9" x14ac:dyDescent="0.3">
      <c r="B61" s="8"/>
    </row>
    <row r="63" spans="2:9" x14ac:dyDescent="0.3">
      <c r="B63" s="8"/>
      <c r="C63" s="1"/>
    </row>
    <row r="64" spans="2:9" x14ac:dyDescent="0.3">
      <c r="B64" s="1"/>
      <c r="C64" s="1"/>
    </row>
    <row r="65" spans="2:3" x14ac:dyDescent="0.3">
      <c r="B65" s="1"/>
      <c r="C65" s="1"/>
    </row>
    <row r="66" spans="2:3" x14ac:dyDescent="0.3">
      <c r="B66" s="1"/>
      <c r="C66" s="1"/>
    </row>
    <row r="67" spans="2:3" x14ac:dyDescent="0.3">
      <c r="B67" s="1"/>
      <c r="C67" s="1"/>
    </row>
    <row r="68" spans="2:3" x14ac:dyDescent="0.3">
      <c r="B68" s="1"/>
      <c r="C68" s="1"/>
    </row>
    <row r="69" spans="2:3" x14ac:dyDescent="0.3">
      <c r="B69" s="1"/>
      <c r="C69" s="1"/>
    </row>
    <row r="70" spans="2:3" x14ac:dyDescent="0.3">
      <c r="B70" s="3"/>
      <c r="C70" s="3"/>
    </row>
    <row r="71" spans="2:3" x14ac:dyDescent="0.3">
      <c r="B71" s="1"/>
      <c r="C71" s="1"/>
    </row>
    <row r="72" spans="2:3" x14ac:dyDescent="0.3">
      <c r="B72" s="1"/>
      <c r="C72" s="1"/>
    </row>
    <row r="73" spans="2:3" x14ac:dyDescent="0.3">
      <c r="B73" s="1"/>
      <c r="C73" s="1"/>
    </row>
    <row r="74" spans="2:3" x14ac:dyDescent="0.3">
      <c r="B74" s="1"/>
      <c r="C74" s="1"/>
    </row>
    <row r="75" spans="2:3" x14ac:dyDescent="0.3">
      <c r="B75" s="1"/>
      <c r="C75" s="1"/>
    </row>
  </sheetData>
  <mergeCells count="14">
    <mergeCell ref="B52:C52"/>
    <mergeCell ref="F52:I52"/>
    <mergeCell ref="F56:I56"/>
    <mergeCell ref="B56:C56"/>
    <mergeCell ref="C39:G39"/>
    <mergeCell ref="C41:G41"/>
    <mergeCell ref="C42:G42"/>
    <mergeCell ref="C44:G44"/>
    <mergeCell ref="B36:F36"/>
    <mergeCell ref="B48:I49"/>
    <mergeCell ref="B4:F4"/>
    <mergeCell ref="B2:I2"/>
    <mergeCell ref="B6:C6"/>
    <mergeCell ref="G3:I5"/>
  </mergeCells>
  <phoneticPr fontId="4" type="noConversion"/>
  <pageMargins left="0.70000000000000007" right="0.70000000000000007" top="0.75000000000000011" bottom="0.75000000000000011" header="0.30000000000000004" footer="0.30000000000000004"/>
  <pageSetup paperSize="9" scale="39" orientation="portrait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Sheet1</vt:lpstr>
      <vt:lpstr>Sheet1!Druckbereich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Amiad Raviv</dc:creator>
  <cp:lastModifiedBy>Kelly Teunissen</cp:lastModifiedBy>
  <cp:lastPrinted>2014-09-19T12:59:57Z</cp:lastPrinted>
  <dcterms:created xsi:type="dcterms:W3CDTF">2014-05-28T09:02:08Z</dcterms:created>
  <dcterms:modified xsi:type="dcterms:W3CDTF">2018-08-23T14:16:48Z</dcterms:modified>
</cp:coreProperties>
</file>