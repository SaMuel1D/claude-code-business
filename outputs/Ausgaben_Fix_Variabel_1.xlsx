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785e24dc64e526d1/Ladenlokal 2026/Ausgaben Fixkosten/"/>
    </mc:Choice>
  </mc:AlternateContent>
  <xr:revisionPtr revIDLastSave="68" documentId="11_D5AF84B240BE6E04A7AA634FA87BCBF56DEE48A8" xr6:coauthVersionLast="47" xr6:coauthVersionMax="47" xr10:uidLastSave="{48A69DB5-236C-DB4A-A5FA-76454E0A8681}"/>
  <bookViews>
    <workbookView xWindow="0" yWindow="760" windowWidth="29400" windowHeight="17220" tabRatio="500" activeTab="1" xr2:uid="{00000000-000D-0000-FFFF-FFFF00000000}"/>
  </bookViews>
  <sheets>
    <sheet name="Fixkosten-Variable Kosten" sheetId="1" r:id="rId1"/>
    <sheet name="Zahltag-Übersich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1" i="1" l="1"/>
  <c r="AA41" i="1"/>
  <c r="Z41" i="1"/>
  <c r="V41" i="1"/>
  <c r="M41" i="1"/>
  <c r="I41" i="1"/>
  <c r="H41" i="1"/>
  <c r="G41" i="1"/>
  <c r="D41" i="1"/>
  <c r="D40" i="1"/>
  <c r="D42" i="1" s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E35" i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E33" i="1"/>
  <c r="G32" i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E32" i="1"/>
  <c r="N31" i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L31" i="1"/>
  <c r="M31" i="1" s="1"/>
  <c r="E31" i="1"/>
  <c r="F31" i="1" s="1"/>
  <c r="G31" i="1" s="1"/>
  <c r="H31" i="1" s="1"/>
  <c r="I31" i="1" s="1"/>
  <c r="J31" i="1" s="1"/>
  <c r="K31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R29" i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Q29" i="1"/>
  <c r="N29" i="1"/>
  <c r="O29" i="1" s="1"/>
  <c r="P29" i="1" s="1"/>
  <c r="F29" i="1"/>
  <c r="G29" i="1" s="1"/>
  <c r="H29" i="1" s="1"/>
  <c r="I29" i="1" s="1"/>
  <c r="J29" i="1" s="1"/>
  <c r="K29" i="1" s="1"/>
  <c r="L29" i="1" s="1"/>
  <c r="E29" i="1"/>
  <c r="AK28" i="1"/>
  <c r="AJ28" i="1"/>
  <c r="AI28" i="1"/>
  <c r="AH28" i="1"/>
  <c r="AG28" i="1"/>
  <c r="AF28" i="1"/>
  <c r="AE28" i="1"/>
  <c r="AD28" i="1"/>
  <c r="AC28" i="1"/>
  <c r="AC41" i="1" s="1"/>
  <c r="AB28" i="1"/>
  <c r="AA28" i="1"/>
  <c r="Z28" i="1"/>
  <c r="Y28" i="1"/>
  <c r="X28" i="1"/>
  <c r="W28" i="1"/>
  <c r="V28" i="1"/>
  <c r="U28" i="1"/>
  <c r="T28" i="1"/>
  <c r="S28" i="1"/>
  <c r="S41" i="1" s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G22" i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E22" i="1"/>
  <c r="F22" i="1" s="1"/>
  <c r="AK21" i="1"/>
  <c r="AJ21" i="1"/>
  <c r="AI21" i="1"/>
  <c r="AH21" i="1"/>
  <c r="AG21" i="1"/>
  <c r="AF21" i="1"/>
  <c r="AF41" i="1" s="1"/>
  <c r="AE21" i="1"/>
  <c r="AD21" i="1"/>
  <c r="AC21" i="1"/>
  <c r="AB21" i="1"/>
  <c r="AA21" i="1"/>
  <c r="Z21" i="1"/>
  <c r="Y21" i="1"/>
  <c r="X21" i="1"/>
  <c r="W21" i="1"/>
  <c r="W41" i="1" s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G20" i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E20" i="1"/>
  <c r="AK19" i="1"/>
  <c r="AK41" i="1" s="1"/>
  <c r="AJ19" i="1"/>
  <c r="AJ41" i="1" s="1"/>
  <c r="AI19" i="1"/>
  <c r="AI41" i="1" s="1"/>
  <c r="AH19" i="1"/>
  <c r="AH41" i="1" s="1"/>
  <c r="AG19" i="1"/>
  <c r="AF19" i="1"/>
  <c r="AE19" i="1"/>
  <c r="AD19" i="1"/>
  <c r="AC19" i="1"/>
  <c r="AB19" i="1"/>
  <c r="AB41" i="1" s="1"/>
  <c r="AA19" i="1"/>
  <c r="Z19" i="1"/>
  <c r="Y19" i="1"/>
  <c r="Y41" i="1" s="1"/>
  <c r="X19" i="1"/>
  <c r="X41" i="1" s="1"/>
  <c r="W19" i="1"/>
  <c r="V19" i="1"/>
  <c r="U19" i="1"/>
  <c r="T19" i="1"/>
  <c r="S19" i="1"/>
  <c r="R19" i="1"/>
  <c r="R41" i="1" s="1"/>
  <c r="Q19" i="1"/>
  <c r="Q41" i="1" s="1"/>
  <c r="P19" i="1"/>
  <c r="P41" i="1" s="1"/>
  <c r="O19" i="1"/>
  <c r="O41" i="1" s="1"/>
  <c r="N19" i="1"/>
  <c r="N41" i="1" s="1"/>
  <c r="M19" i="1"/>
  <c r="L19" i="1"/>
  <c r="K19" i="1"/>
  <c r="J19" i="1"/>
  <c r="I19" i="1"/>
  <c r="H19" i="1"/>
  <c r="G19" i="1"/>
  <c r="F19" i="1"/>
  <c r="F41" i="1" s="1"/>
  <c r="E19" i="1"/>
  <c r="E41" i="1" s="1"/>
  <c r="N18" i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J18" i="1"/>
  <c r="K18" i="1" s="1"/>
  <c r="L18" i="1" s="1"/>
  <c r="M18" i="1" s="1"/>
  <c r="E18" i="1"/>
  <c r="F18" i="1" s="1"/>
  <c r="G18" i="1" s="1"/>
  <c r="H18" i="1" s="1"/>
  <c r="I18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J16" i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G16" i="1"/>
  <c r="H16" i="1" s="1"/>
  <c r="I16" i="1" s="1"/>
  <c r="E16" i="1"/>
  <c r="F16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H14" i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G14" i="1"/>
  <c r="F14" i="1"/>
  <c r="E14" i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E9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E5" i="1"/>
  <c r="E79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5" i="2"/>
  <c r="B55" i="2"/>
  <c r="A55" i="2"/>
  <c r="C54" i="2"/>
  <c r="B54" i="2"/>
  <c r="A54" i="2"/>
  <c r="C53" i="2"/>
  <c r="B53" i="2"/>
  <c r="A53" i="2"/>
  <c r="C50" i="2"/>
  <c r="B50" i="2"/>
  <c r="A50" i="2"/>
  <c r="C44" i="2"/>
  <c r="B44" i="2"/>
  <c r="A44" i="2"/>
  <c r="C43" i="2"/>
  <c r="B43" i="2"/>
  <c r="A43" i="2"/>
  <c r="C40" i="2"/>
  <c r="B40" i="2"/>
  <c r="A40" i="2"/>
  <c r="C39" i="2"/>
  <c r="B39" i="2"/>
  <c r="A39" i="2"/>
  <c r="C38" i="2"/>
  <c r="B38" i="2"/>
  <c r="A38" i="2"/>
  <c r="C37" i="2"/>
  <c r="B37" i="2"/>
  <c r="A37" i="2"/>
  <c r="C34" i="2"/>
  <c r="B34" i="2"/>
  <c r="A34" i="2"/>
  <c r="C31" i="2"/>
  <c r="B31" i="2"/>
  <c r="A31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1" i="2"/>
  <c r="B21" i="2"/>
  <c r="A21" i="2"/>
  <c r="C20" i="2"/>
  <c r="B20" i="2"/>
  <c r="A20" i="2"/>
  <c r="C17" i="2"/>
  <c r="B17" i="2"/>
  <c r="A17" i="2"/>
  <c r="C14" i="2"/>
  <c r="B14" i="2"/>
  <c r="A14" i="2"/>
  <c r="C13" i="2"/>
  <c r="B13" i="2"/>
  <c r="A13" i="2"/>
  <c r="C10" i="2"/>
  <c r="B10" i="2"/>
  <c r="A10" i="2"/>
  <c r="C9" i="2"/>
  <c r="C78" i="2" s="1"/>
  <c r="B9" i="2"/>
  <c r="A9" i="2"/>
  <c r="C6" i="2"/>
  <c r="B6" i="2"/>
  <c r="A6" i="2"/>
  <c r="E3" i="2"/>
  <c r="F80" i="2" l="1"/>
  <c r="AE41" i="1"/>
  <c r="K41" i="1"/>
  <c r="L41" i="1"/>
  <c r="U41" i="1"/>
  <c r="J41" i="1"/>
  <c r="T41" i="1"/>
  <c r="AD41" i="1"/>
  <c r="E40" i="1"/>
  <c r="E42" i="1" s="1"/>
  <c r="F5" i="1"/>
  <c r="G5" i="1" l="1"/>
  <c r="F40" i="1"/>
  <c r="F42" i="1" s="1"/>
  <c r="G40" i="1" l="1"/>
  <c r="G42" i="1" s="1"/>
  <c r="H5" i="1"/>
  <c r="H40" i="1" l="1"/>
  <c r="H42" i="1" s="1"/>
  <c r="I5" i="1"/>
  <c r="I40" i="1" l="1"/>
  <c r="I42" i="1" s="1"/>
  <c r="J5" i="1"/>
  <c r="J40" i="1" l="1"/>
  <c r="J42" i="1" s="1"/>
  <c r="K5" i="1"/>
  <c r="L5" i="1" l="1"/>
  <c r="K40" i="1"/>
  <c r="K42" i="1" s="1"/>
  <c r="M5" i="1" l="1"/>
  <c r="L40" i="1"/>
  <c r="L42" i="1" s="1"/>
  <c r="M40" i="1" l="1"/>
  <c r="M42" i="1" s="1"/>
  <c r="N5" i="1"/>
  <c r="N40" i="1" l="1"/>
  <c r="N42" i="1" s="1"/>
  <c r="O5" i="1"/>
  <c r="O40" i="1" l="1"/>
  <c r="O42" i="1" s="1"/>
  <c r="P5" i="1"/>
  <c r="Q5" i="1" l="1"/>
  <c r="P40" i="1"/>
  <c r="P42" i="1" s="1"/>
  <c r="Q40" i="1" l="1"/>
  <c r="Q42" i="1" s="1"/>
  <c r="R5" i="1"/>
  <c r="R40" i="1" l="1"/>
  <c r="R42" i="1" s="1"/>
  <c r="S5" i="1"/>
  <c r="S40" i="1" l="1"/>
  <c r="S42" i="1" s="1"/>
  <c r="T5" i="1"/>
  <c r="T40" i="1" l="1"/>
  <c r="T42" i="1" s="1"/>
  <c r="U5" i="1"/>
  <c r="U40" i="1" l="1"/>
  <c r="U42" i="1" s="1"/>
  <c r="V5" i="1"/>
  <c r="W5" i="1" l="1"/>
  <c r="V40" i="1"/>
  <c r="V42" i="1" s="1"/>
  <c r="W40" i="1" l="1"/>
  <c r="W42" i="1" s="1"/>
  <c r="X5" i="1"/>
  <c r="X40" i="1" l="1"/>
  <c r="X42" i="1" s="1"/>
  <c r="Y5" i="1"/>
  <c r="Y40" i="1" l="1"/>
  <c r="Y42" i="1" s="1"/>
  <c r="Z5" i="1"/>
  <c r="AA5" i="1" l="1"/>
  <c r="Z40" i="1"/>
  <c r="Z42" i="1" s="1"/>
  <c r="AA40" i="1" l="1"/>
  <c r="AA42" i="1" s="1"/>
  <c r="AB5" i="1"/>
  <c r="AB40" i="1" l="1"/>
  <c r="AB42" i="1" s="1"/>
  <c r="AC5" i="1"/>
  <c r="AC40" i="1" l="1"/>
  <c r="AC42" i="1" s="1"/>
  <c r="AD5" i="1"/>
  <c r="AD40" i="1" l="1"/>
  <c r="AD42" i="1" s="1"/>
  <c r="AE5" i="1"/>
  <c r="AE40" i="1" l="1"/>
  <c r="AE42" i="1" s="1"/>
  <c r="AF5" i="1"/>
  <c r="AF40" i="1" l="1"/>
  <c r="AF42" i="1" s="1"/>
  <c r="AG5" i="1"/>
  <c r="AG40" i="1" l="1"/>
  <c r="AG42" i="1" s="1"/>
  <c r="AH5" i="1"/>
  <c r="AH40" i="1" l="1"/>
  <c r="AH42" i="1" s="1"/>
  <c r="AI5" i="1"/>
  <c r="AI40" i="1" l="1"/>
  <c r="AI42" i="1" s="1"/>
  <c r="AJ5" i="1"/>
  <c r="AK5" i="1" l="1"/>
  <c r="AK40" i="1" s="1"/>
  <c r="AK42" i="1" s="1"/>
  <c r="AJ40" i="1"/>
  <c r="AJ42" i="1" s="1"/>
</calcChain>
</file>

<file path=xl/sharedStrings.xml><?xml version="1.0" encoding="utf-8"?>
<sst xmlns="http://schemas.openxmlformats.org/spreadsheetml/2006/main" count="235" uniqueCount="116">
  <si>
    <t>Zahltag-Übersicht: Fixkosten &amp; Ausgaben nebeneinander</t>
  </si>
  <si>
    <t>Fixkosten werden automatisch übernommen (Monat oben einstellen). Trage bei 'Ausgaben' Name + Betrag ein. Um einen Ausgaben-Posten zu entfernen ohne ihn zu löschen: Spalte 'Ausgabe zählt?' auf 'Nein' setzen — der Posten wird durchgestrichen dargestellt und aus der Summe unten herausgerechnet.</t>
  </si>
  <si>
    <t>Aktueller Monat (Nummer, 1-34):</t>
  </si>
  <si>
    <t>Tag</t>
  </si>
  <si>
    <t>Name (Fix)</t>
  </si>
  <si>
    <t>Fix (€)</t>
  </si>
  <si>
    <t>Name (Ausgaben)</t>
  </si>
  <si>
    <t>Ausgaben (€)</t>
  </si>
  <si>
    <t>Ausgabe zählt?</t>
  </si>
  <si>
    <t>Ja</t>
  </si>
  <si>
    <t>Fixkosten &amp; Variable Kosten – Monatsübersicht</t>
  </si>
  <si>
    <t>Zahltag = Tag im Monat (z.B. 1, 5, 28). Fixkosten: Betrag nur im ersten Monat eintragen – läuft automatisch weiter, bis du ihn überschreibst. Variable Kosten: jeden Monat manuell eintragen.</t>
  </si>
  <si>
    <t>Juli</t>
  </si>
  <si>
    <t>August</t>
  </si>
  <si>
    <t>Janaur 2027</t>
  </si>
  <si>
    <t>März</t>
  </si>
  <si>
    <t>Zahltag</t>
  </si>
  <si>
    <t>Ausgabe</t>
  </si>
  <si>
    <t>Typ</t>
  </si>
  <si>
    <t>Monat 1</t>
  </si>
  <si>
    <t>Monat 2</t>
  </si>
  <si>
    <t>Monat 3</t>
  </si>
  <si>
    <t>Monat 4</t>
  </si>
  <si>
    <t>Monat 5</t>
  </si>
  <si>
    <t>Monat 6</t>
  </si>
  <si>
    <t>Monat 7</t>
  </si>
  <si>
    <t>Monat 8</t>
  </si>
  <si>
    <t>Monat 9</t>
  </si>
  <si>
    <t>Monat 10</t>
  </si>
  <si>
    <t>Monat 11</t>
  </si>
  <si>
    <t>Monat 12</t>
  </si>
  <si>
    <t>Monat 13</t>
  </si>
  <si>
    <t>Monat 14</t>
  </si>
  <si>
    <t>Monat 15</t>
  </si>
  <si>
    <t>Monat 16</t>
  </si>
  <si>
    <t>Monat 17</t>
  </si>
  <si>
    <t>Monat 18</t>
  </si>
  <si>
    <t>Monat 19</t>
  </si>
  <si>
    <t>Monat 20</t>
  </si>
  <si>
    <t>Monat 21</t>
  </si>
  <si>
    <t>Monat 22</t>
  </si>
  <si>
    <t>Monat 23</t>
  </si>
  <si>
    <t>Monat 24</t>
  </si>
  <si>
    <t>Monat 25</t>
  </si>
  <si>
    <t>Monat 26</t>
  </si>
  <si>
    <t>Monat 27</t>
  </si>
  <si>
    <t>Monat 28</t>
  </si>
  <si>
    <t>Monat 29</t>
  </si>
  <si>
    <t>Monat 30</t>
  </si>
  <si>
    <t>Monat 31</t>
  </si>
  <si>
    <t>Monat 32</t>
  </si>
  <si>
    <t>Monat 33</t>
  </si>
  <si>
    <t>Monat 34</t>
  </si>
  <si>
    <t>1.</t>
  </si>
  <si>
    <t>Claude Code</t>
  </si>
  <si>
    <t>Fix</t>
  </si>
  <si>
    <t xml:space="preserve">2. </t>
  </si>
  <si>
    <t>Rechtsschutz</t>
  </si>
  <si>
    <t>2.</t>
  </si>
  <si>
    <t>Grover</t>
  </si>
  <si>
    <t>3.</t>
  </si>
  <si>
    <t>Vers. Leasing</t>
  </si>
  <si>
    <t xml:space="preserve"> Taxi Werbung</t>
  </si>
  <si>
    <t>4.</t>
  </si>
  <si>
    <t>IT Recht</t>
  </si>
  <si>
    <t>5.</t>
  </si>
  <si>
    <t>Apple Cloud</t>
  </si>
  <si>
    <t>SPK Kontoführung</t>
  </si>
  <si>
    <t xml:space="preserve">6. </t>
  </si>
  <si>
    <t>Impuls Coach</t>
  </si>
  <si>
    <t>Strom</t>
  </si>
  <si>
    <t>6.</t>
  </si>
  <si>
    <t>Lexoffice</t>
  </si>
  <si>
    <t>Website</t>
  </si>
  <si>
    <t>Auto Leasing</t>
  </si>
  <si>
    <t>11.</t>
  </si>
  <si>
    <t>Versicherung Laden</t>
  </si>
  <si>
    <t>EC Gebühren</t>
  </si>
  <si>
    <t>Variabel</t>
  </si>
  <si>
    <t>14.</t>
  </si>
  <si>
    <t>Identity Shift</t>
  </si>
  <si>
    <t xml:space="preserve">14. </t>
  </si>
  <si>
    <t>Steuer Umsatz</t>
  </si>
  <si>
    <t>15.</t>
  </si>
  <si>
    <t>SenVend</t>
  </si>
  <si>
    <t>Terminland</t>
  </si>
  <si>
    <t>Miete Automat</t>
  </si>
  <si>
    <t>Steuerberater</t>
  </si>
  <si>
    <t>17.</t>
  </si>
  <si>
    <t>Social Media Club</t>
  </si>
  <si>
    <t>Marketing Masterclass</t>
  </si>
  <si>
    <t>18.</t>
  </si>
  <si>
    <t>Tele 1&amp;1</t>
  </si>
  <si>
    <t>28.</t>
  </si>
  <si>
    <t>LEADY</t>
  </si>
  <si>
    <t xml:space="preserve">Apple </t>
  </si>
  <si>
    <t>25.</t>
  </si>
  <si>
    <t>Grover gesamt</t>
  </si>
  <si>
    <t>Claude Masterclass</t>
  </si>
  <si>
    <t>30.</t>
  </si>
  <si>
    <t>SPK Kredit</t>
  </si>
  <si>
    <t>Mitarbeiter Minijob</t>
  </si>
  <si>
    <t>Sozialabgabe MA</t>
  </si>
  <si>
    <t>Miete Querweg</t>
  </si>
  <si>
    <t xml:space="preserve">30. </t>
  </si>
  <si>
    <t>Miete Lager Widukindstr.</t>
  </si>
  <si>
    <t>Summe Fixkosten</t>
  </si>
  <si>
    <t>Summe Variable Kosten</t>
  </si>
  <si>
    <t>Gesamtsumme</t>
  </si>
  <si>
    <t>Umsatzsteuer</t>
  </si>
  <si>
    <t>DHL</t>
  </si>
  <si>
    <t>Prisma</t>
  </si>
  <si>
    <t>Swandoo</t>
  </si>
  <si>
    <t>Avio</t>
  </si>
  <si>
    <t>minime</t>
  </si>
  <si>
    <t>Joie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</si>
</sst>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FFF2A8"/>
      </patternFill>
    </fill>
    <fill>
      <patternFill patternType="solid">
        <fgColor rgb="FFA9D08E"/>
        <bgColor rgb="FFBFBFBF"/>
      </patternFill>
    </fill>
    <fill>
      <patternFill patternType="solid">
        <fgColor rgb="FF1F386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7" fillId="0" borderId="1" xfId="0" applyNumberFormat="1" applyFont="1" applyBorder="1"/>
    <xf numFmtId="164" fontId="8" fillId="4" borderId="1" xfId="0" applyNumberFormat="1" applyFont="1" applyFill="1" applyBorder="1"/>
    <xf numFmtId="164" fontId="8" fillId="5" borderId="1" xfId="0" applyNumberFormat="1" applyFont="1" applyFill="1" applyBorder="1"/>
    <xf numFmtId="164" fontId="8" fillId="6" borderId="1" xfId="0" applyNumberFormat="1" applyFont="1" applyFill="1" applyBorder="1"/>
    <xf numFmtId="0" fontId="1" fillId="0" borderId="1" xfId="0" applyFont="1" applyBorder="1"/>
    <xf numFmtId="164" fontId="5" fillId="0" borderId="0" xfId="0" applyNumberFormat="1" applyFont="1"/>
    <xf numFmtId="0" fontId="12" fillId="0" borderId="0" xfId="0" applyFont="1" applyAlignment="1">
      <alignment horizontal="center"/>
    </xf>
    <xf numFmtId="0" fontId="13" fillId="7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5" fillId="0" borderId="0" xfId="0" applyFont="1"/>
    <xf numFmtId="164" fontId="15" fillId="0" borderId="0" xfId="0" applyNumberFormat="1" applyFont="1"/>
    <xf numFmtId="0" fontId="14" fillId="0" borderId="0" xfId="0" applyFont="1" applyAlignment="1">
      <alignment horizontal="center"/>
    </xf>
    <xf numFmtId="0" fontId="11" fillId="8" borderId="0" xfId="0" applyFont="1" applyFill="1"/>
    <xf numFmtId="164" fontId="11" fillId="8" borderId="0" xfId="0" applyNumberFormat="1" applyFont="1" applyFill="1"/>
    <xf numFmtId="0" fontId="10" fillId="0" borderId="0" xfId="0" applyFont="1" applyAlignment="1">
      <alignment vertical="top" wrapText="1"/>
    </xf>
    <xf numFmtId="0" fontId="0" fillId="0" borderId="0" xfId="0"/>
    <xf numFmtId="0" fontId="11" fillId="8" borderId="0" xfId="0" applyFont="1" applyFill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8" fillId="6" borderId="1" xfId="0" applyFont="1" applyFill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8" fillId="5" borderId="1" xfId="0" applyFont="1" applyFill="1" applyBorder="1"/>
    <xf numFmtId="0" fontId="2" fillId="0" borderId="0" xfId="0" applyFont="1"/>
    <xf numFmtId="0" fontId="8" fillId="4" borderId="1" xfId="0" applyFont="1" applyFill="1" applyBorder="1"/>
    <xf numFmtId="0" fontId="1" fillId="0" borderId="0" xfId="0" applyFont="1"/>
    <xf numFmtId="0" fontId="5" fillId="0" borderId="0" xfId="0" applyFont="1"/>
  </cellXfs>
  <cellStyles count="1">
    <cellStyle name="Standard" xfId="0" builtinId="0"/>
  </cellStyles>
  <dxfs count="4">
    <dxf>
      <font>
        <strike/>
        <sz val="10"/>
        <color rgb="FF0000FF"/>
        <name val="Arial"/>
      </font>
    </dxf>
    <dxf>
      <fill>
        <patternFill>
          <bgColor rgb="FFFCE4D6"/>
        </patternFill>
      </fill>
    </dxf>
    <dxf>
      <fill>
        <patternFill>
          <bgColor rgb="FFD9E1F2"/>
        </patternFill>
      </fill>
    </dxf>
    <dxf>
      <fill>
        <patternFill>
          <bgColor rgb="FFFFF2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"/>
  <sheetViews>
    <sheetView zoomScaleNormal="10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A44" sqref="A44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7" width="11" customWidth="1"/>
    <col min="38" max="38" width="13" hidden="1" customWidth="1"/>
  </cols>
  <sheetData>
    <row r="1" spans="1:37" ht="20" customHeight="1" x14ac:dyDescent="0.2">
      <c r="A1" s="34" t="s">
        <v>10</v>
      </c>
      <c r="B1" s="24"/>
      <c r="C1" s="24"/>
      <c r="D1" s="24"/>
      <c r="E1" s="24"/>
      <c r="F1" s="24"/>
    </row>
    <row r="2" spans="1:37" x14ac:dyDescent="0.2">
      <c r="A2" s="32" t="s">
        <v>11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37" x14ac:dyDescent="0.2">
      <c r="C3">
        <v>2026</v>
      </c>
      <c r="D3" t="s">
        <v>12</v>
      </c>
      <c r="E3" t="s">
        <v>13</v>
      </c>
      <c r="J3" t="s">
        <v>14</v>
      </c>
      <c r="L3" t="s">
        <v>15</v>
      </c>
    </row>
    <row r="4" spans="1:37" ht="19.5" customHeight="1" x14ac:dyDescent="0.2">
      <c r="A4" s="1" t="s">
        <v>16</v>
      </c>
      <c r="B4" s="1" t="s">
        <v>17</v>
      </c>
      <c r="C4" s="1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2" t="s">
        <v>32</v>
      </c>
      <c r="R4" s="2" t="s">
        <v>33</v>
      </c>
      <c r="S4" s="2" t="s">
        <v>34</v>
      </c>
      <c r="T4" s="2" t="s">
        <v>35</v>
      </c>
      <c r="U4" s="2" t="s">
        <v>36</v>
      </c>
      <c r="V4" s="2" t="s">
        <v>37</v>
      </c>
      <c r="W4" s="2" t="s">
        <v>38</v>
      </c>
      <c r="X4" s="2" t="s">
        <v>39</v>
      </c>
      <c r="Y4" s="2" t="s">
        <v>40</v>
      </c>
      <c r="Z4" s="2" t="s">
        <v>41</v>
      </c>
      <c r="AA4" s="2" t="s">
        <v>42</v>
      </c>
      <c r="AB4" s="2" t="s">
        <v>43</v>
      </c>
      <c r="AC4" s="2" t="s">
        <v>44</v>
      </c>
      <c r="AD4" s="2" t="s">
        <v>45</v>
      </c>
      <c r="AE4" s="2" t="s">
        <v>46</v>
      </c>
      <c r="AF4" s="2" t="s">
        <v>47</v>
      </c>
      <c r="AG4" s="2" t="s">
        <v>48</v>
      </c>
      <c r="AH4" s="2" t="s">
        <v>49</v>
      </c>
      <c r="AI4" s="2" t="s">
        <v>50</v>
      </c>
      <c r="AJ4" s="2" t="s">
        <v>51</v>
      </c>
      <c r="AK4" s="2" t="s">
        <v>52</v>
      </c>
    </row>
    <row r="5" spans="1:37" x14ac:dyDescent="0.2">
      <c r="A5" s="3" t="s">
        <v>53</v>
      </c>
      <c r="B5" s="11" t="s">
        <v>54</v>
      </c>
      <c r="C5" s="5" t="s">
        <v>55</v>
      </c>
      <c r="D5" s="6">
        <v>17.989999999999998</v>
      </c>
      <c r="E5" s="7">
        <f t="shared" ref="E5:E39" si="0">IF(C5="Fix",D5,"")</f>
        <v>17.989999999999998</v>
      </c>
      <c r="F5" s="7">
        <f t="shared" ref="F5:F19" si="1">IF(C5="Fix",E5,"")</f>
        <v>17.989999999999998</v>
      </c>
      <c r="G5" s="7">
        <f t="shared" ref="G5:G39" si="2">IF(C5="Fix",F5,"")</f>
        <v>17.989999999999998</v>
      </c>
      <c r="H5" s="7">
        <f t="shared" ref="H5:H39" si="3">IF(C5="Fix",G5,"")</f>
        <v>17.989999999999998</v>
      </c>
      <c r="I5" s="7">
        <f t="shared" ref="I5:I39" si="4">IF(C5="Fix",H5,"")</f>
        <v>17.989999999999998</v>
      </c>
      <c r="J5" s="7">
        <f t="shared" ref="J5:J39" si="5">IF(C5="Fix",I5,"")</f>
        <v>17.989999999999998</v>
      </c>
      <c r="K5" s="7">
        <f t="shared" ref="K5:K39" si="6">IF(C5="Fix",J5,"")</f>
        <v>17.989999999999998</v>
      </c>
      <c r="L5" s="7">
        <f t="shared" ref="L5:L39" si="7">IF(C5="Fix",K5,"")</f>
        <v>17.989999999999998</v>
      </c>
      <c r="M5" s="7">
        <f t="shared" ref="M5:M28" si="8">IF(C5="Fix",L5,"")</f>
        <v>17.989999999999998</v>
      </c>
      <c r="N5" s="7">
        <f t="shared" ref="N5:N39" si="9">IF(C5="Fix",M5,"")</f>
        <v>17.989999999999998</v>
      </c>
      <c r="O5" s="7">
        <f t="shared" ref="O5:O39" si="10">IF(C5="Fix",N5,"")</f>
        <v>17.989999999999998</v>
      </c>
      <c r="P5" s="7">
        <f t="shared" ref="P5:P39" si="11">IF(C5="Fix",O5,"")</f>
        <v>17.989999999999998</v>
      </c>
      <c r="Q5" s="7">
        <f t="shared" ref="Q5:Q39" si="12">IF(C5="Fix",P5,"")</f>
        <v>17.989999999999998</v>
      </c>
      <c r="R5" s="7">
        <f t="shared" ref="R5:R39" si="13">IF(C5="Fix",Q5,"")</f>
        <v>17.989999999999998</v>
      </c>
      <c r="S5" s="7">
        <f t="shared" ref="S5:S39" si="14">IF(C5="Fix",R5,"")</f>
        <v>17.989999999999998</v>
      </c>
      <c r="T5" s="7">
        <f t="shared" ref="T5:T39" si="15">IF(C5="Fix",S5,"")</f>
        <v>17.989999999999998</v>
      </c>
      <c r="U5" s="7">
        <f t="shared" ref="U5:U39" si="16">IF(C5="Fix",T5,"")</f>
        <v>17.989999999999998</v>
      </c>
      <c r="V5" s="7">
        <f t="shared" ref="V5:V38" si="17">IF(C5="Fix",U5,"")</f>
        <v>17.989999999999998</v>
      </c>
      <c r="W5" s="7">
        <f t="shared" ref="W5:W38" si="18">IF(C5="Fix",V5,"")</f>
        <v>17.989999999999998</v>
      </c>
      <c r="X5" s="7">
        <f t="shared" ref="X5:X38" si="19">IF(C5="Fix",W5,"")</f>
        <v>17.989999999999998</v>
      </c>
      <c r="Y5" s="7">
        <f t="shared" ref="Y5:Y38" si="20">IF(C5="Fix",X5,"")</f>
        <v>17.989999999999998</v>
      </c>
      <c r="Z5" s="7">
        <f t="shared" ref="Z5:Z38" si="21">IF(C5="Fix",Y5,"")</f>
        <v>17.989999999999998</v>
      </c>
      <c r="AA5" s="7">
        <f t="shared" ref="AA5:AA38" si="22">IF(C5="Fix",Z5,"")</f>
        <v>17.989999999999998</v>
      </c>
      <c r="AB5" s="7">
        <f t="shared" ref="AB5:AB38" si="23">IF(C5="Fix",AA5,"")</f>
        <v>17.989999999999998</v>
      </c>
      <c r="AC5" s="7">
        <f t="shared" ref="AC5:AC38" si="24">IF(C5="Fix",AB5,"")</f>
        <v>17.989999999999998</v>
      </c>
      <c r="AD5" s="7">
        <f t="shared" ref="AD5:AD38" si="25">IF(C5="Fix",AC5,"")</f>
        <v>17.989999999999998</v>
      </c>
      <c r="AE5" s="7">
        <f t="shared" ref="AE5:AE38" si="26">IF(C5="Fix",AD5,"")</f>
        <v>17.989999999999998</v>
      </c>
      <c r="AF5" s="7">
        <f t="shared" ref="AF5:AF38" si="27">IF(C5="Fix",AE5,"")</f>
        <v>17.989999999999998</v>
      </c>
      <c r="AG5" s="7">
        <f t="shared" ref="AG5:AG38" si="28">IF(C5="Fix",AF5,"")</f>
        <v>17.989999999999998</v>
      </c>
      <c r="AH5" s="7">
        <f t="shared" ref="AH5:AH38" si="29">IF(C5="Fix",AG5,"")</f>
        <v>17.989999999999998</v>
      </c>
      <c r="AI5" s="7">
        <f t="shared" ref="AI5:AI38" si="30">IF(C5="Fix",AH5,"")</f>
        <v>17.989999999999998</v>
      </c>
      <c r="AJ5" s="7">
        <f t="shared" ref="AJ5:AJ38" si="31">IF(C5="Fix",AI5,"")</f>
        <v>17.989999999999998</v>
      </c>
      <c r="AK5" s="7">
        <f t="shared" ref="AK5:AK38" si="32">IF(C5="Fix",AJ5,"")</f>
        <v>17.989999999999998</v>
      </c>
    </row>
    <row r="6" spans="1:37" x14ac:dyDescent="0.2">
      <c r="A6" s="3" t="s">
        <v>56</v>
      </c>
      <c r="B6" s="11" t="s">
        <v>57</v>
      </c>
      <c r="C6" s="5" t="s">
        <v>55</v>
      </c>
      <c r="D6" s="6">
        <v>68.650000000000006</v>
      </c>
      <c r="E6" s="7">
        <f t="shared" si="0"/>
        <v>68.650000000000006</v>
      </c>
      <c r="F6" s="7">
        <f t="shared" si="1"/>
        <v>68.650000000000006</v>
      </c>
      <c r="G6" s="7">
        <f t="shared" si="2"/>
        <v>68.650000000000006</v>
      </c>
      <c r="H6" s="7">
        <f t="shared" si="3"/>
        <v>68.650000000000006</v>
      </c>
      <c r="I6" s="7">
        <f t="shared" si="4"/>
        <v>68.650000000000006</v>
      </c>
      <c r="J6" s="7">
        <f t="shared" si="5"/>
        <v>68.650000000000006</v>
      </c>
      <c r="K6" s="7">
        <f t="shared" si="6"/>
        <v>68.650000000000006</v>
      </c>
      <c r="L6" s="7">
        <f t="shared" si="7"/>
        <v>68.650000000000006</v>
      </c>
      <c r="M6" s="7">
        <f t="shared" si="8"/>
        <v>68.650000000000006</v>
      </c>
      <c r="N6" s="7">
        <f t="shared" si="9"/>
        <v>68.650000000000006</v>
      </c>
      <c r="O6" s="7">
        <f t="shared" si="10"/>
        <v>68.650000000000006</v>
      </c>
      <c r="P6" s="7">
        <f t="shared" si="11"/>
        <v>68.650000000000006</v>
      </c>
      <c r="Q6" s="7">
        <f t="shared" si="12"/>
        <v>68.650000000000006</v>
      </c>
      <c r="R6" s="7">
        <f t="shared" si="13"/>
        <v>68.650000000000006</v>
      </c>
      <c r="S6" s="7">
        <f t="shared" si="14"/>
        <v>68.650000000000006</v>
      </c>
      <c r="T6" s="7">
        <f t="shared" si="15"/>
        <v>68.650000000000006</v>
      </c>
      <c r="U6" s="7">
        <f t="shared" si="16"/>
        <v>68.650000000000006</v>
      </c>
      <c r="V6" s="7">
        <f t="shared" si="17"/>
        <v>68.650000000000006</v>
      </c>
      <c r="W6" s="7">
        <f t="shared" si="18"/>
        <v>68.650000000000006</v>
      </c>
      <c r="X6" s="7">
        <f t="shared" si="19"/>
        <v>68.650000000000006</v>
      </c>
      <c r="Y6" s="7">
        <f t="shared" si="20"/>
        <v>68.650000000000006</v>
      </c>
      <c r="Z6" s="7">
        <f t="shared" si="21"/>
        <v>68.650000000000006</v>
      </c>
      <c r="AA6" s="7">
        <f t="shared" si="22"/>
        <v>68.650000000000006</v>
      </c>
      <c r="AB6" s="7">
        <f t="shared" si="23"/>
        <v>68.650000000000006</v>
      </c>
      <c r="AC6" s="7">
        <f t="shared" si="24"/>
        <v>68.650000000000006</v>
      </c>
      <c r="AD6" s="7">
        <f t="shared" si="25"/>
        <v>68.650000000000006</v>
      </c>
      <c r="AE6" s="7">
        <f t="shared" si="26"/>
        <v>68.650000000000006</v>
      </c>
      <c r="AF6" s="7">
        <f t="shared" si="27"/>
        <v>68.650000000000006</v>
      </c>
      <c r="AG6" s="7">
        <f t="shared" si="28"/>
        <v>68.650000000000006</v>
      </c>
      <c r="AH6" s="7">
        <f t="shared" si="29"/>
        <v>68.650000000000006</v>
      </c>
      <c r="AI6" s="7">
        <f t="shared" si="30"/>
        <v>68.650000000000006</v>
      </c>
      <c r="AJ6" s="7">
        <f t="shared" si="31"/>
        <v>68.650000000000006</v>
      </c>
      <c r="AK6" s="7">
        <f t="shared" si="32"/>
        <v>68.650000000000006</v>
      </c>
    </row>
    <row r="7" spans="1:37" x14ac:dyDescent="0.2">
      <c r="A7" s="3" t="s">
        <v>58</v>
      </c>
      <c r="B7" s="11" t="s">
        <v>59</v>
      </c>
      <c r="C7" s="5" t="s">
        <v>55</v>
      </c>
      <c r="D7" s="6">
        <v>24.9</v>
      </c>
      <c r="E7" s="7">
        <f t="shared" si="0"/>
        <v>24.9</v>
      </c>
      <c r="F7" s="7">
        <f t="shared" si="1"/>
        <v>24.9</v>
      </c>
      <c r="G7" s="7">
        <f t="shared" si="2"/>
        <v>24.9</v>
      </c>
      <c r="H7" s="7">
        <f t="shared" si="3"/>
        <v>24.9</v>
      </c>
      <c r="I7" s="7">
        <f t="shared" si="4"/>
        <v>24.9</v>
      </c>
      <c r="J7" s="7">
        <f t="shared" si="5"/>
        <v>24.9</v>
      </c>
      <c r="K7" s="7">
        <f t="shared" si="6"/>
        <v>24.9</v>
      </c>
      <c r="L7" s="7">
        <f t="shared" si="7"/>
        <v>24.9</v>
      </c>
      <c r="M7" s="7">
        <f t="shared" si="8"/>
        <v>24.9</v>
      </c>
      <c r="N7" s="7">
        <f t="shared" si="9"/>
        <v>24.9</v>
      </c>
      <c r="O7" s="7">
        <f t="shared" si="10"/>
        <v>24.9</v>
      </c>
      <c r="P7" s="7">
        <f t="shared" si="11"/>
        <v>24.9</v>
      </c>
      <c r="Q7" s="7">
        <f t="shared" si="12"/>
        <v>24.9</v>
      </c>
      <c r="R7" s="7">
        <f t="shared" si="13"/>
        <v>24.9</v>
      </c>
      <c r="S7" s="7">
        <f t="shared" si="14"/>
        <v>24.9</v>
      </c>
      <c r="T7" s="7">
        <f t="shared" si="15"/>
        <v>24.9</v>
      </c>
      <c r="U7" s="7">
        <f t="shared" si="16"/>
        <v>24.9</v>
      </c>
      <c r="V7" s="7">
        <f t="shared" si="17"/>
        <v>24.9</v>
      </c>
      <c r="W7" s="7">
        <f t="shared" si="18"/>
        <v>24.9</v>
      </c>
      <c r="X7" s="7">
        <f t="shared" si="19"/>
        <v>24.9</v>
      </c>
      <c r="Y7" s="7">
        <f t="shared" si="20"/>
        <v>24.9</v>
      </c>
      <c r="Z7" s="7">
        <f t="shared" si="21"/>
        <v>24.9</v>
      </c>
      <c r="AA7" s="7">
        <f t="shared" si="22"/>
        <v>24.9</v>
      </c>
      <c r="AB7" s="7">
        <f t="shared" si="23"/>
        <v>24.9</v>
      </c>
      <c r="AC7" s="7">
        <f t="shared" si="24"/>
        <v>24.9</v>
      </c>
      <c r="AD7" s="7">
        <f t="shared" si="25"/>
        <v>24.9</v>
      </c>
      <c r="AE7" s="7">
        <f t="shared" si="26"/>
        <v>24.9</v>
      </c>
      <c r="AF7" s="7">
        <f t="shared" si="27"/>
        <v>24.9</v>
      </c>
      <c r="AG7" s="7">
        <f t="shared" si="28"/>
        <v>24.9</v>
      </c>
      <c r="AH7" s="7">
        <f t="shared" si="29"/>
        <v>24.9</v>
      </c>
      <c r="AI7" s="7">
        <f t="shared" si="30"/>
        <v>24.9</v>
      </c>
      <c r="AJ7" s="7">
        <f t="shared" si="31"/>
        <v>24.9</v>
      </c>
      <c r="AK7" s="7">
        <f t="shared" si="32"/>
        <v>24.9</v>
      </c>
    </row>
    <row r="8" spans="1:37" x14ac:dyDescent="0.2">
      <c r="A8" s="3" t="s">
        <v>60</v>
      </c>
      <c r="B8" s="11" t="s">
        <v>61</v>
      </c>
      <c r="C8" s="5" t="s">
        <v>55</v>
      </c>
      <c r="D8" s="6">
        <v>24.9</v>
      </c>
      <c r="E8" s="7">
        <f t="shared" si="0"/>
        <v>24.9</v>
      </c>
      <c r="F8" s="7">
        <f t="shared" si="1"/>
        <v>24.9</v>
      </c>
      <c r="G8" s="7">
        <f t="shared" si="2"/>
        <v>24.9</v>
      </c>
      <c r="H8" s="7">
        <f t="shared" si="3"/>
        <v>24.9</v>
      </c>
      <c r="I8" s="7">
        <f t="shared" si="4"/>
        <v>24.9</v>
      </c>
      <c r="J8" s="7">
        <f t="shared" si="5"/>
        <v>24.9</v>
      </c>
      <c r="K8" s="7">
        <f t="shared" si="6"/>
        <v>24.9</v>
      </c>
      <c r="L8" s="7">
        <f t="shared" si="7"/>
        <v>24.9</v>
      </c>
      <c r="M8" s="7">
        <f t="shared" si="8"/>
        <v>24.9</v>
      </c>
      <c r="N8" s="7">
        <f t="shared" si="9"/>
        <v>24.9</v>
      </c>
      <c r="O8" s="7">
        <f t="shared" si="10"/>
        <v>24.9</v>
      </c>
      <c r="P8" s="7">
        <f t="shared" si="11"/>
        <v>24.9</v>
      </c>
      <c r="Q8" s="7">
        <f t="shared" si="12"/>
        <v>24.9</v>
      </c>
      <c r="R8" s="7">
        <f t="shared" si="13"/>
        <v>24.9</v>
      </c>
      <c r="S8" s="7">
        <f t="shared" si="14"/>
        <v>24.9</v>
      </c>
      <c r="T8" s="7">
        <f t="shared" si="15"/>
        <v>24.9</v>
      </c>
      <c r="U8" s="7">
        <f t="shared" si="16"/>
        <v>24.9</v>
      </c>
      <c r="V8" s="7">
        <f t="shared" si="17"/>
        <v>24.9</v>
      </c>
      <c r="W8" s="7">
        <f t="shared" si="18"/>
        <v>24.9</v>
      </c>
      <c r="X8" s="7">
        <f t="shared" si="19"/>
        <v>24.9</v>
      </c>
      <c r="Y8" s="7">
        <f t="shared" si="20"/>
        <v>24.9</v>
      </c>
      <c r="Z8" s="7">
        <f t="shared" si="21"/>
        <v>24.9</v>
      </c>
      <c r="AA8" s="7">
        <f t="shared" si="22"/>
        <v>24.9</v>
      </c>
      <c r="AB8" s="7">
        <f t="shared" si="23"/>
        <v>24.9</v>
      </c>
      <c r="AC8" s="7">
        <f t="shared" si="24"/>
        <v>24.9</v>
      </c>
      <c r="AD8" s="7">
        <f t="shared" si="25"/>
        <v>24.9</v>
      </c>
      <c r="AE8" s="7">
        <f t="shared" si="26"/>
        <v>24.9</v>
      </c>
      <c r="AF8" s="7">
        <f t="shared" si="27"/>
        <v>24.9</v>
      </c>
      <c r="AG8" s="7">
        <f t="shared" si="28"/>
        <v>24.9</v>
      </c>
      <c r="AH8" s="7">
        <f t="shared" si="29"/>
        <v>24.9</v>
      </c>
      <c r="AI8" s="7">
        <f t="shared" si="30"/>
        <v>24.9</v>
      </c>
      <c r="AJ8" s="7">
        <f t="shared" si="31"/>
        <v>24.9</v>
      </c>
      <c r="AK8" s="7">
        <f t="shared" si="32"/>
        <v>24.9</v>
      </c>
    </row>
    <row r="9" spans="1:37" x14ac:dyDescent="0.2">
      <c r="A9" s="3" t="s">
        <v>60</v>
      </c>
      <c r="B9" s="11" t="s">
        <v>62</v>
      </c>
      <c r="C9" s="5" t="s">
        <v>55</v>
      </c>
      <c r="D9" s="6">
        <v>202.42</v>
      </c>
      <c r="E9" s="7">
        <f t="shared" si="0"/>
        <v>202.42</v>
      </c>
      <c r="F9" s="7">
        <f t="shared" si="1"/>
        <v>202.42</v>
      </c>
      <c r="G9" s="7">
        <f t="shared" si="2"/>
        <v>202.42</v>
      </c>
      <c r="H9" s="7">
        <f t="shared" si="3"/>
        <v>202.42</v>
      </c>
      <c r="I9" s="7">
        <f t="shared" si="4"/>
        <v>202.42</v>
      </c>
      <c r="J9" s="7">
        <f t="shared" si="5"/>
        <v>202.42</v>
      </c>
      <c r="K9" s="7">
        <f t="shared" si="6"/>
        <v>202.42</v>
      </c>
      <c r="L9" s="7">
        <f t="shared" si="7"/>
        <v>202.42</v>
      </c>
      <c r="M9" s="7">
        <f t="shared" si="8"/>
        <v>202.42</v>
      </c>
      <c r="N9" s="7">
        <f t="shared" si="9"/>
        <v>202.42</v>
      </c>
      <c r="O9" s="7">
        <f t="shared" si="10"/>
        <v>202.42</v>
      </c>
      <c r="P9" s="7">
        <f t="shared" si="11"/>
        <v>202.42</v>
      </c>
      <c r="Q9" s="7">
        <f t="shared" si="12"/>
        <v>202.42</v>
      </c>
      <c r="R9" s="7">
        <f t="shared" si="13"/>
        <v>202.42</v>
      </c>
      <c r="S9" s="7">
        <f t="shared" si="14"/>
        <v>202.42</v>
      </c>
      <c r="T9" s="7">
        <f t="shared" si="15"/>
        <v>202.42</v>
      </c>
      <c r="U9" s="7">
        <f t="shared" si="16"/>
        <v>202.42</v>
      </c>
      <c r="V9" s="7">
        <f t="shared" si="17"/>
        <v>202.42</v>
      </c>
      <c r="W9" s="7">
        <f t="shared" si="18"/>
        <v>202.42</v>
      </c>
      <c r="X9" s="7">
        <f t="shared" si="19"/>
        <v>202.42</v>
      </c>
      <c r="Y9" s="7">
        <f t="shared" si="20"/>
        <v>202.42</v>
      </c>
      <c r="Z9" s="7">
        <f t="shared" si="21"/>
        <v>202.42</v>
      </c>
      <c r="AA9" s="7">
        <f t="shared" si="22"/>
        <v>202.42</v>
      </c>
      <c r="AB9" s="7">
        <f t="shared" si="23"/>
        <v>202.42</v>
      </c>
      <c r="AC9" s="7">
        <f t="shared" si="24"/>
        <v>202.42</v>
      </c>
      <c r="AD9" s="7">
        <f t="shared" si="25"/>
        <v>202.42</v>
      </c>
      <c r="AE9" s="7">
        <f t="shared" si="26"/>
        <v>202.42</v>
      </c>
      <c r="AF9" s="7">
        <f t="shared" si="27"/>
        <v>202.42</v>
      </c>
      <c r="AG9" s="7">
        <f t="shared" si="28"/>
        <v>202.42</v>
      </c>
      <c r="AH9" s="7">
        <f t="shared" si="29"/>
        <v>202.42</v>
      </c>
      <c r="AI9" s="7">
        <f t="shared" si="30"/>
        <v>202.42</v>
      </c>
      <c r="AJ9" s="7">
        <f t="shared" si="31"/>
        <v>202.42</v>
      </c>
      <c r="AK9" s="7">
        <f t="shared" si="32"/>
        <v>202.42</v>
      </c>
    </row>
    <row r="10" spans="1:37" x14ac:dyDescent="0.2">
      <c r="A10" s="3" t="s">
        <v>63</v>
      </c>
      <c r="B10" s="11" t="s">
        <v>64</v>
      </c>
      <c r="C10" s="5" t="s">
        <v>55</v>
      </c>
      <c r="D10" s="6">
        <v>11.78</v>
      </c>
      <c r="E10" s="7">
        <f t="shared" si="0"/>
        <v>11.78</v>
      </c>
      <c r="F10" s="7">
        <f t="shared" si="1"/>
        <v>11.78</v>
      </c>
      <c r="G10" s="7">
        <f t="shared" si="2"/>
        <v>11.78</v>
      </c>
      <c r="H10" s="7">
        <f t="shared" si="3"/>
        <v>11.78</v>
      </c>
      <c r="I10" s="7">
        <f t="shared" si="4"/>
        <v>11.78</v>
      </c>
      <c r="J10" s="7">
        <f t="shared" si="5"/>
        <v>11.78</v>
      </c>
      <c r="K10" s="7">
        <f t="shared" si="6"/>
        <v>11.78</v>
      </c>
      <c r="L10" s="7">
        <f t="shared" si="7"/>
        <v>11.78</v>
      </c>
      <c r="M10" s="7">
        <f t="shared" si="8"/>
        <v>11.78</v>
      </c>
      <c r="N10" s="7">
        <f t="shared" si="9"/>
        <v>11.78</v>
      </c>
      <c r="O10" s="7">
        <f t="shared" si="10"/>
        <v>11.78</v>
      </c>
      <c r="P10" s="7">
        <f t="shared" si="11"/>
        <v>11.78</v>
      </c>
      <c r="Q10" s="7">
        <f t="shared" si="12"/>
        <v>11.78</v>
      </c>
      <c r="R10" s="7">
        <f t="shared" si="13"/>
        <v>11.78</v>
      </c>
      <c r="S10" s="7">
        <f t="shared" si="14"/>
        <v>11.78</v>
      </c>
      <c r="T10" s="7">
        <f t="shared" si="15"/>
        <v>11.78</v>
      </c>
      <c r="U10" s="7">
        <f t="shared" si="16"/>
        <v>11.78</v>
      </c>
      <c r="V10" s="7">
        <f t="shared" si="17"/>
        <v>11.78</v>
      </c>
      <c r="W10" s="7">
        <f t="shared" si="18"/>
        <v>11.78</v>
      </c>
      <c r="X10" s="7">
        <f t="shared" si="19"/>
        <v>11.78</v>
      </c>
      <c r="Y10" s="7">
        <f t="shared" si="20"/>
        <v>11.78</v>
      </c>
      <c r="Z10" s="7">
        <f t="shared" si="21"/>
        <v>11.78</v>
      </c>
      <c r="AA10" s="7">
        <f t="shared" si="22"/>
        <v>11.78</v>
      </c>
      <c r="AB10" s="7">
        <f t="shared" si="23"/>
        <v>11.78</v>
      </c>
      <c r="AC10" s="7">
        <f t="shared" si="24"/>
        <v>11.78</v>
      </c>
      <c r="AD10" s="7">
        <f t="shared" si="25"/>
        <v>11.78</v>
      </c>
      <c r="AE10" s="7">
        <f t="shared" si="26"/>
        <v>11.78</v>
      </c>
      <c r="AF10" s="7">
        <f t="shared" si="27"/>
        <v>11.78</v>
      </c>
      <c r="AG10" s="7">
        <f t="shared" si="28"/>
        <v>11.78</v>
      </c>
      <c r="AH10" s="7">
        <f t="shared" si="29"/>
        <v>11.78</v>
      </c>
      <c r="AI10" s="7">
        <f t="shared" si="30"/>
        <v>11.78</v>
      </c>
      <c r="AJ10" s="7">
        <f t="shared" si="31"/>
        <v>11.78</v>
      </c>
      <c r="AK10" s="7">
        <f t="shared" si="32"/>
        <v>11.78</v>
      </c>
    </row>
    <row r="11" spans="1:37" x14ac:dyDescent="0.2">
      <c r="A11" s="3" t="s">
        <v>65</v>
      </c>
      <c r="B11" s="11" t="s">
        <v>66</v>
      </c>
      <c r="C11" s="5" t="s">
        <v>55</v>
      </c>
      <c r="D11" s="6">
        <v>19.989999999999998</v>
      </c>
      <c r="E11" s="7">
        <f t="shared" si="0"/>
        <v>19.989999999999998</v>
      </c>
      <c r="F11" s="7">
        <f t="shared" si="1"/>
        <v>19.989999999999998</v>
      </c>
      <c r="G11" s="7">
        <f t="shared" si="2"/>
        <v>19.989999999999998</v>
      </c>
      <c r="H11" s="7">
        <f t="shared" si="3"/>
        <v>19.989999999999998</v>
      </c>
      <c r="I11" s="7">
        <f t="shared" si="4"/>
        <v>19.989999999999998</v>
      </c>
      <c r="J11" s="7">
        <f t="shared" si="5"/>
        <v>19.989999999999998</v>
      </c>
      <c r="K11" s="7">
        <f t="shared" si="6"/>
        <v>19.989999999999998</v>
      </c>
      <c r="L11" s="7">
        <f t="shared" si="7"/>
        <v>19.989999999999998</v>
      </c>
      <c r="M11" s="7">
        <f t="shared" si="8"/>
        <v>19.989999999999998</v>
      </c>
      <c r="N11" s="7">
        <f t="shared" si="9"/>
        <v>19.989999999999998</v>
      </c>
      <c r="O11" s="7">
        <f t="shared" si="10"/>
        <v>19.989999999999998</v>
      </c>
      <c r="P11" s="7">
        <f t="shared" si="11"/>
        <v>19.989999999999998</v>
      </c>
      <c r="Q11" s="7">
        <f t="shared" si="12"/>
        <v>19.989999999999998</v>
      </c>
      <c r="R11" s="7">
        <f t="shared" si="13"/>
        <v>19.989999999999998</v>
      </c>
      <c r="S11" s="7">
        <f t="shared" si="14"/>
        <v>19.989999999999998</v>
      </c>
      <c r="T11" s="7">
        <f t="shared" si="15"/>
        <v>19.989999999999998</v>
      </c>
      <c r="U11" s="7">
        <f t="shared" si="16"/>
        <v>19.989999999999998</v>
      </c>
      <c r="V11" s="7">
        <f t="shared" si="17"/>
        <v>19.989999999999998</v>
      </c>
      <c r="W11" s="7">
        <f t="shared" si="18"/>
        <v>19.989999999999998</v>
      </c>
      <c r="X11" s="7">
        <f t="shared" si="19"/>
        <v>19.989999999999998</v>
      </c>
      <c r="Y11" s="7">
        <f t="shared" si="20"/>
        <v>19.989999999999998</v>
      </c>
      <c r="Z11" s="7">
        <f t="shared" si="21"/>
        <v>19.989999999999998</v>
      </c>
      <c r="AA11" s="7">
        <f t="shared" si="22"/>
        <v>19.989999999999998</v>
      </c>
      <c r="AB11" s="7">
        <f t="shared" si="23"/>
        <v>19.989999999999998</v>
      </c>
      <c r="AC11" s="7">
        <f t="shared" si="24"/>
        <v>19.989999999999998</v>
      </c>
      <c r="AD11" s="7">
        <f t="shared" si="25"/>
        <v>19.989999999999998</v>
      </c>
      <c r="AE11" s="7">
        <f t="shared" si="26"/>
        <v>19.989999999999998</v>
      </c>
      <c r="AF11" s="7">
        <f t="shared" si="27"/>
        <v>19.989999999999998</v>
      </c>
      <c r="AG11" s="7">
        <f t="shared" si="28"/>
        <v>19.989999999999998</v>
      </c>
      <c r="AH11" s="7">
        <f t="shared" si="29"/>
        <v>19.989999999999998</v>
      </c>
      <c r="AI11" s="7">
        <f t="shared" si="30"/>
        <v>19.989999999999998</v>
      </c>
      <c r="AJ11" s="7">
        <f t="shared" si="31"/>
        <v>19.989999999999998</v>
      </c>
      <c r="AK11" s="7">
        <f t="shared" si="32"/>
        <v>19.989999999999998</v>
      </c>
    </row>
    <row r="12" spans="1:37" x14ac:dyDescent="0.2">
      <c r="A12" s="3" t="s">
        <v>65</v>
      </c>
      <c r="B12" s="11" t="s">
        <v>67</v>
      </c>
      <c r="C12" s="5" t="s">
        <v>55</v>
      </c>
      <c r="D12" s="6">
        <v>70</v>
      </c>
      <c r="E12" s="7">
        <f t="shared" si="0"/>
        <v>70</v>
      </c>
      <c r="F12" s="7">
        <f t="shared" si="1"/>
        <v>70</v>
      </c>
      <c r="G12" s="7">
        <f t="shared" si="2"/>
        <v>70</v>
      </c>
      <c r="H12" s="7">
        <f t="shared" si="3"/>
        <v>70</v>
      </c>
      <c r="I12" s="7">
        <f t="shared" si="4"/>
        <v>70</v>
      </c>
      <c r="J12" s="7">
        <f t="shared" si="5"/>
        <v>70</v>
      </c>
      <c r="K12" s="7">
        <f t="shared" si="6"/>
        <v>70</v>
      </c>
      <c r="L12" s="7">
        <f t="shared" si="7"/>
        <v>70</v>
      </c>
      <c r="M12" s="7">
        <f t="shared" si="8"/>
        <v>70</v>
      </c>
      <c r="N12" s="7">
        <f t="shared" si="9"/>
        <v>70</v>
      </c>
      <c r="O12" s="7">
        <f t="shared" si="10"/>
        <v>70</v>
      </c>
      <c r="P12" s="7">
        <f t="shared" si="11"/>
        <v>70</v>
      </c>
      <c r="Q12" s="7">
        <f t="shared" si="12"/>
        <v>70</v>
      </c>
      <c r="R12" s="7">
        <f t="shared" si="13"/>
        <v>70</v>
      </c>
      <c r="S12" s="7">
        <f t="shared" si="14"/>
        <v>70</v>
      </c>
      <c r="T12" s="7">
        <f t="shared" si="15"/>
        <v>70</v>
      </c>
      <c r="U12" s="7">
        <f t="shared" si="16"/>
        <v>70</v>
      </c>
      <c r="V12" s="7">
        <f t="shared" si="17"/>
        <v>70</v>
      </c>
      <c r="W12" s="7">
        <f t="shared" si="18"/>
        <v>70</v>
      </c>
      <c r="X12" s="7">
        <f t="shared" si="19"/>
        <v>70</v>
      </c>
      <c r="Y12" s="7">
        <f t="shared" si="20"/>
        <v>70</v>
      </c>
      <c r="Z12" s="7">
        <f t="shared" si="21"/>
        <v>70</v>
      </c>
      <c r="AA12" s="7">
        <f t="shared" si="22"/>
        <v>70</v>
      </c>
      <c r="AB12" s="7">
        <f t="shared" si="23"/>
        <v>70</v>
      </c>
      <c r="AC12" s="7">
        <f t="shared" si="24"/>
        <v>70</v>
      </c>
      <c r="AD12" s="7">
        <f t="shared" si="25"/>
        <v>70</v>
      </c>
      <c r="AE12" s="7">
        <f t="shared" si="26"/>
        <v>70</v>
      </c>
      <c r="AF12" s="7">
        <f t="shared" si="27"/>
        <v>70</v>
      </c>
      <c r="AG12" s="7">
        <f t="shared" si="28"/>
        <v>70</v>
      </c>
      <c r="AH12" s="7">
        <f t="shared" si="29"/>
        <v>70</v>
      </c>
      <c r="AI12" s="7">
        <f t="shared" si="30"/>
        <v>70</v>
      </c>
      <c r="AJ12" s="7">
        <f t="shared" si="31"/>
        <v>70</v>
      </c>
      <c r="AK12" s="7">
        <f t="shared" si="32"/>
        <v>70</v>
      </c>
    </row>
    <row r="13" spans="1:37" x14ac:dyDescent="0.2">
      <c r="A13" s="3" t="s">
        <v>68</v>
      </c>
      <c r="B13" s="11" t="s">
        <v>69</v>
      </c>
      <c r="C13" s="5" t="s">
        <v>55</v>
      </c>
      <c r="D13" s="6">
        <v>250</v>
      </c>
      <c r="E13" s="7">
        <f t="shared" si="0"/>
        <v>250</v>
      </c>
      <c r="F13" s="7">
        <f t="shared" si="1"/>
        <v>250</v>
      </c>
      <c r="G13" s="7">
        <f t="shared" si="2"/>
        <v>250</v>
      </c>
      <c r="H13" s="7">
        <f t="shared" si="3"/>
        <v>250</v>
      </c>
      <c r="I13" s="7">
        <f t="shared" si="4"/>
        <v>250</v>
      </c>
      <c r="J13" s="7">
        <f t="shared" si="5"/>
        <v>250</v>
      </c>
      <c r="K13" s="7">
        <f t="shared" si="6"/>
        <v>250</v>
      </c>
      <c r="L13" s="7">
        <f t="shared" si="7"/>
        <v>250</v>
      </c>
      <c r="M13" s="7">
        <f t="shared" si="8"/>
        <v>250</v>
      </c>
      <c r="N13" s="7">
        <f t="shared" si="9"/>
        <v>250</v>
      </c>
      <c r="O13" s="7">
        <f t="shared" si="10"/>
        <v>250</v>
      </c>
      <c r="P13" s="7">
        <f t="shared" si="11"/>
        <v>250</v>
      </c>
      <c r="Q13" s="7">
        <f t="shared" si="12"/>
        <v>250</v>
      </c>
      <c r="R13" s="7">
        <f t="shared" si="13"/>
        <v>250</v>
      </c>
      <c r="S13" s="7">
        <f t="shared" si="14"/>
        <v>250</v>
      </c>
      <c r="T13" s="7">
        <f t="shared" si="15"/>
        <v>250</v>
      </c>
      <c r="U13" s="7">
        <f t="shared" si="16"/>
        <v>250</v>
      </c>
      <c r="V13" s="7">
        <f t="shared" si="17"/>
        <v>250</v>
      </c>
      <c r="W13" s="7">
        <f t="shared" si="18"/>
        <v>250</v>
      </c>
      <c r="X13" s="7">
        <f t="shared" si="19"/>
        <v>250</v>
      </c>
      <c r="Y13" s="7">
        <f t="shared" si="20"/>
        <v>250</v>
      </c>
      <c r="Z13" s="7">
        <f t="shared" si="21"/>
        <v>250</v>
      </c>
      <c r="AA13" s="7">
        <f t="shared" si="22"/>
        <v>250</v>
      </c>
      <c r="AB13" s="7">
        <f t="shared" si="23"/>
        <v>250</v>
      </c>
      <c r="AC13" s="7">
        <f t="shared" si="24"/>
        <v>250</v>
      </c>
      <c r="AD13" s="7">
        <f t="shared" si="25"/>
        <v>250</v>
      </c>
      <c r="AE13" s="7">
        <f t="shared" si="26"/>
        <v>250</v>
      </c>
      <c r="AF13" s="7">
        <f t="shared" si="27"/>
        <v>250</v>
      </c>
      <c r="AG13" s="7">
        <f t="shared" si="28"/>
        <v>250</v>
      </c>
      <c r="AH13" s="7">
        <f t="shared" si="29"/>
        <v>250</v>
      </c>
      <c r="AI13" s="7">
        <f t="shared" si="30"/>
        <v>250</v>
      </c>
      <c r="AJ13" s="7">
        <f t="shared" si="31"/>
        <v>250</v>
      </c>
      <c r="AK13" s="7">
        <f t="shared" si="32"/>
        <v>250</v>
      </c>
    </row>
    <row r="14" spans="1:37" x14ac:dyDescent="0.2">
      <c r="A14" s="3" t="s">
        <v>68</v>
      </c>
      <c r="B14" s="11" t="s">
        <v>70</v>
      </c>
      <c r="C14" s="5" t="s">
        <v>55</v>
      </c>
      <c r="D14" s="6">
        <v>47</v>
      </c>
      <c r="E14" s="7">
        <f t="shared" si="0"/>
        <v>47</v>
      </c>
      <c r="F14" s="7">
        <f t="shared" si="1"/>
        <v>47</v>
      </c>
      <c r="G14" s="7">
        <f t="shared" si="2"/>
        <v>47</v>
      </c>
      <c r="H14" s="7">
        <f t="shared" si="3"/>
        <v>47</v>
      </c>
      <c r="I14" s="7">
        <f t="shared" si="4"/>
        <v>47</v>
      </c>
      <c r="J14" s="7">
        <f t="shared" si="5"/>
        <v>47</v>
      </c>
      <c r="K14" s="7">
        <f t="shared" si="6"/>
        <v>47</v>
      </c>
      <c r="L14" s="7">
        <f t="shared" si="7"/>
        <v>47</v>
      </c>
      <c r="M14" s="7">
        <f t="shared" si="8"/>
        <v>47</v>
      </c>
      <c r="N14" s="7">
        <f t="shared" si="9"/>
        <v>47</v>
      </c>
      <c r="O14" s="7">
        <f t="shared" si="10"/>
        <v>47</v>
      </c>
      <c r="P14" s="7">
        <f t="shared" si="11"/>
        <v>47</v>
      </c>
      <c r="Q14" s="7">
        <f t="shared" si="12"/>
        <v>47</v>
      </c>
      <c r="R14" s="7">
        <f t="shared" si="13"/>
        <v>47</v>
      </c>
      <c r="S14" s="7">
        <f t="shared" si="14"/>
        <v>47</v>
      </c>
      <c r="T14" s="7">
        <f t="shared" si="15"/>
        <v>47</v>
      </c>
      <c r="U14" s="7">
        <f t="shared" si="16"/>
        <v>47</v>
      </c>
      <c r="V14" s="7">
        <f t="shared" si="17"/>
        <v>47</v>
      </c>
      <c r="W14" s="7">
        <f t="shared" si="18"/>
        <v>47</v>
      </c>
      <c r="X14" s="7">
        <f t="shared" si="19"/>
        <v>47</v>
      </c>
      <c r="Y14" s="7">
        <f t="shared" si="20"/>
        <v>47</v>
      </c>
      <c r="Z14" s="7">
        <f t="shared" si="21"/>
        <v>47</v>
      </c>
      <c r="AA14" s="7">
        <f t="shared" si="22"/>
        <v>47</v>
      </c>
      <c r="AB14" s="7">
        <f t="shared" si="23"/>
        <v>47</v>
      </c>
      <c r="AC14" s="7">
        <f t="shared" si="24"/>
        <v>47</v>
      </c>
      <c r="AD14" s="7">
        <f t="shared" si="25"/>
        <v>47</v>
      </c>
      <c r="AE14" s="7">
        <f t="shared" si="26"/>
        <v>47</v>
      </c>
      <c r="AF14" s="7">
        <f t="shared" si="27"/>
        <v>47</v>
      </c>
      <c r="AG14" s="7">
        <f t="shared" si="28"/>
        <v>47</v>
      </c>
      <c r="AH14" s="7">
        <f t="shared" si="29"/>
        <v>47</v>
      </c>
      <c r="AI14" s="7">
        <f t="shared" si="30"/>
        <v>47</v>
      </c>
      <c r="AJ14" s="7">
        <f t="shared" si="31"/>
        <v>47</v>
      </c>
      <c r="AK14" s="7">
        <f t="shared" si="32"/>
        <v>47</v>
      </c>
    </row>
    <row r="15" spans="1:37" x14ac:dyDescent="0.2">
      <c r="A15" s="3" t="s">
        <v>71</v>
      </c>
      <c r="B15" s="11" t="s">
        <v>72</v>
      </c>
      <c r="C15" s="5" t="s">
        <v>55</v>
      </c>
      <c r="D15" s="6">
        <v>14.16</v>
      </c>
      <c r="E15" s="7">
        <f t="shared" si="0"/>
        <v>14.16</v>
      </c>
      <c r="F15" s="7">
        <f t="shared" si="1"/>
        <v>14.16</v>
      </c>
      <c r="G15" s="7">
        <f t="shared" si="2"/>
        <v>14.16</v>
      </c>
      <c r="H15" s="7">
        <f t="shared" si="3"/>
        <v>14.16</v>
      </c>
      <c r="I15" s="7">
        <f t="shared" si="4"/>
        <v>14.16</v>
      </c>
      <c r="J15" s="7">
        <f t="shared" si="5"/>
        <v>14.16</v>
      </c>
      <c r="K15" s="7">
        <f t="shared" si="6"/>
        <v>14.16</v>
      </c>
      <c r="L15" s="7">
        <f t="shared" si="7"/>
        <v>14.16</v>
      </c>
      <c r="M15" s="7">
        <f t="shared" si="8"/>
        <v>14.16</v>
      </c>
      <c r="N15" s="7">
        <f t="shared" si="9"/>
        <v>14.16</v>
      </c>
      <c r="O15" s="7">
        <f t="shared" si="10"/>
        <v>14.16</v>
      </c>
      <c r="P15" s="7">
        <f t="shared" si="11"/>
        <v>14.16</v>
      </c>
      <c r="Q15" s="7">
        <f t="shared" si="12"/>
        <v>14.16</v>
      </c>
      <c r="R15" s="7">
        <f t="shared" si="13"/>
        <v>14.16</v>
      </c>
      <c r="S15" s="7">
        <f t="shared" si="14"/>
        <v>14.16</v>
      </c>
      <c r="T15" s="7">
        <f t="shared" si="15"/>
        <v>14.16</v>
      </c>
      <c r="U15" s="7">
        <f t="shared" si="16"/>
        <v>14.16</v>
      </c>
      <c r="V15" s="7">
        <f t="shared" si="17"/>
        <v>14.16</v>
      </c>
      <c r="W15" s="7">
        <f t="shared" si="18"/>
        <v>14.16</v>
      </c>
      <c r="X15" s="7">
        <f t="shared" si="19"/>
        <v>14.16</v>
      </c>
      <c r="Y15" s="7">
        <f t="shared" si="20"/>
        <v>14.16</v>
      </c>
      <c r="Z15" s="7">
        <f t="shared" si="21"/>
        <v>14.16</v>
      </c>
      <c r="AA15" s="7">
        <f t="shared" si="22"/>
        <v>14.16</v>
      </c>
      <c r="AB15" s="7">
        <f t="shared" si="23"/>
        <v>14.16</v>
      </c>
      <c r="AC15" s="7">
        <f t="shared" si="24"/>
        <v>14.16</v>
      </c>
      <c r="AD15" s="7">
        <f t="shared" si="25"/>
        <v>14.16</v>
      </c>
      <c r="AE15" s="7">
        <f t="shared" si="26"/>
        <v>14.16</v>
      </c>
      <c r="AF15" s="7">
        <f t="shared" si="27"/>
        <v>14.16</v>
      </c>
      <c r="AG15" s="7">
        <f t="shared" si="28"/>
        <v>14.16</v>
      </c>
      <c r="AH15" s="7">
        <f t="shared" si="29"/>
        <v>14.16</v>
      </c>
      <c r="AI15" s="7">
        <f t="shared" si="30"/>
        <v>14.16</v>
      </c>
      <c r="AJ15" s="7">
        <f t="shared" si="31"/>
        <v>14.16</v>
      </c>
      <c r="AK15" s="7">
        <f t="shared" si="32"/>
        <v>14.16</v>
      </c>
    </row>
    <row r="16" spans="1:37" x14ac:dyDescent="0.2">
      <c r="A16" s="3" t="s">
        <v>71</v>
      </c>
      <c r="B16" s="11" t="s">
        <v>73</v>
      </c>
      <c r="C16" s="5" t="s">
        <v>55</v>
      </c>
      <c r="D16" s="6">
        <v>629.51</v>
      </c>
      <c r="E16" s="7">
        <f t="shared" si="0"/>
        <v>629.51</v>
      </c>
      <c r="F16" s="7">
        <f t="shared" si="1"/>
        <v>629.51</v>
      </c>
      <c r="G16" s="7">
        <f t="shared" si="2"/>
        <v>629.51</v>
      </c>
      <c r="H16" s="7">
        <f t="shared" si="3"/>
        <v>629.51</v>
      </c>
      <c r="I16" s="7">
        <f t="shared" si="4"/>
        <v>629.51</v>
      </c>
      <c r="J16" s="7">
        <f t="shared" si="5"/>
        <v>629.51</v>
      </c>
      <c r="K16" s="7">
        <f t="shared" si="6"/>
        <v>629.51</v>
      </c>
      <c r="L16" s="7">
        <f t="shared" si="7"/>
        <v>629.51</v>
      </c>
      <c r="M16" s="7">
        <f t="shared" si="8"/>
        <v>629.51</v>
      </c>
      <c r="N16" s="7">
        <f t="shared" si="9"/>
        <v>629.51</v>
      </c>
      <c r="O16" s="7">
        <f t="shared" si="10"/>
        <v>629.51</v>
      </c>
      <c r="P16" s="7">
        <f t="shared" si="11"/>
        <v>629.51</v>
      </c>
      <c r="Q16" s="7">
        <f t="shared" si="12"/>
        <v>629.51</v>
      </c>
      <c r="R16" s="7">
        <f t="shared" si="13"/>
        <v>629.51</v>
      </c>
      <c r="S16" s="7">
        <f t="shared" si="14"/>
        <v>629.51</v>
      </c>
      <c r="T16" s="7">
        <f t="shared" si="15"/>
        <v>629.51</v>
      </c>
      <c r="U16" s="7">
        <f t="shared" si="16"/>
        <v>629.51</v>
      </c>
      <c r="V16" s="7">
        <f t="shared" si="17"/>
        <v>629.51</v>
      </c>
      <c r="W16" s="7">
        <f t="shared" si="18"/>
        <v>629.51</v>
      </c>
      <c r="X16" s="7">
        <f t="shared" si="19"/>
        <v>629.51</v>
      </c>
      <c r="Y16" s="7">
        <f t="shared" si="20"/>
        <v>629.51</v>
      </c>
      <c r="Z16" s="7">
        <f t="shared" si="21"/>
        <v>629.51</v>
      </c>
      <c r="AA16" s="7">
        <f t="shared" si="22"/>
        <v>629.51</v>
      </c>
      <c r="AB16" s="7">
        <f t="shared" si="23"/>
        <v>629.51</v>
      </c>
      <c r="AC16" s="7">
        <f t="shared" si="24"/>
        <v>629.51</v>
      </c>
      <c r="AD16" s="7">
        <f t="shared" si="25"/>
        <v>629.51</v>
      </c>
      <c r="AE16" s="7">
        <f t="shared" si="26"/>
        <v>629.51</v>
      </c>
      <c r="AF16" s="7">
        <f t="shared" si="27"/>
        <v>629.51</v>
      </c>
      <c r="AG16" s="7">
        <f t="shared" si="28"/>
        <v>629.51</v>
      </c>
      <c r="AH16" s="7">
        <f t="shared" si="29"/>
        <v>629.51</v>
      </c>
      <c r="AI16" s="7">
        <f t="shared" si="30"/>
        <v>629.51</v>
      </c>
      <c r="AJ16" s="7">
        <f t="shared" si="31"/>
        <v>629.51</v>
      </c>
      <c r="AK16" s="7">
        <f t="shared" si="32"/>
        <v>629.51</v>
      </c>
    </row>
    <row r="17" spans="1:37" x14ac:dyDescent="0.2">
      <c r="A17" s="3" t="s">
        <v>71</v>
      </c>
      <c r="B17" s="11" t="s">
        <v>74</v>
      </c>
      <c r="C17" s="5" t="s">
        <v>55</v>
      </c>
      <c r="D17" s="6">
        <v>453.15</v>
      </c>
      <c r="E17" s="7">
        <f t="shared" si="0"/>
        <v>453.15</v>
      </c>
      <c r="F17" s="7">
        <f t="shared" si="1"/>
        <v>453.15</v>
      </c>
      <c r="G17" s="7">
        <f t="shared" si="2"/>
        <v>453.15</v>
      </c>
      <c r="H17" s="7">
        <f t="shared" si="3"/>
        <v>453.15</v>
      </c>
      <c r="I17" s="7">
        <f t="shared" si="4"/>
        <v>453.15</v>
      </c>
      <c r="J17" s="7">
        <f t="shared" si="5"/>
        <v>453.15</v>
      </c>
      <c r="K17" s="7">
        <f t="shared" si="6"/>
        <v>453.15</v>
      </c>
      <c r="L17" s="7">
        <f t="shared" si="7"/>
        <v>453.15</v>
      </c>
      <c r="M17" s="7">
        <f t="shared" si="8"/>
        <v>453.15</v>
      </c>
      <c r="N17" s="7">
        <f t="shared" si="9"/>
        <v>453.15</v>
      </c>
      <c r="O17" s="7">
        <f t="shared" si="10"/>
        <v>453.15</v>
      </c>
      <c r="P17" s="7">
        <f t="shared" si="11"/>
        <v>453.15</v>
      </c>
      <c r="Q17" s="7">
        <f t="shared" si="12"/>
        <v>453.15</v>
      </c>
      <c r="R17" s="7">
        <f t="shared" si="13"/>
        <v>453.15</v>
      </c>
      <c r="S17" s="7">
        <f t="shared" si="14"/>
        <v>453.15</v>
      </c>
      <c r="T17" s="7">
        <f t="shared" si="15"/>
        <v>453.15</v>
      </c>
      <c r="U17" s="7">
        <f t="shared" si="16"/>
        <v>453.15</v>
      </c>
      <c r="V17" s="7">
        <f t="shared" si="17"/>
        <v>453.15</v>
      </c>
      <c r="W17" s="7">
        <f t="shared" si="18"/>
        <v>453.15</v>
      </c>
      <c r="X17" s="7">
        <f t="shared" si="19"/>
        <v>453.15</v>
      </c>
      <c r="Y17" s="7">
        <f t="shared" si="20"/>
        <v>453.15</v>
      </c>
      <c r="Z17" s="7">
        <f t="shared" si="21"/>
        <v>453.15</v>
      </c>
      <c r="AA17" s="7">
        <f t="shared" si="22"/>
        <v>453.15</v>
      </c>
      <c r="AB17" s="7">
        <f t="shared" si="23"/>
        <v>453.15</v>
      </c>
      <c r="AC17" s="7">
        <f t="shared" si="24"/>
        <v>453.15</v>
      </c>
      <c r="AD17" s="7">
        <f t="shared" si="25"/>
        <v>453.15</v>
      </c>
      <c r="AE17" s="7">
        <f t="shared" si="26"/>
        <v>453.15</v>
      </c>
      <c r="AF17" s="7">
        <f t="shared" si="27"/>
        <v>453.15</v>
      </c>
      <c r="AG17" s="7">
        <f t="shared" si="28"/>
        <v>453.15</v>
      </c>
      <c r="AH17" s="7">
        <f t="shared" si="29"/>
        <v>453.15</v>
      </c>
      <c r="AI17" s="7">
        <f t="shared" si="30"/>
        <v>453.15</v>
      </c>
      <c r="AJ17" s="7">
        <f t="shared" si="31"/>
        <v>453.15</v>
      </c>
      <c r="AK17" s="7">
        <f t="shared" si="32"/>
        <v>453.15</v>
      </c>
    </row>
    <row r="18" spans="1:37" x14ac:dyDescent="0.2">
      <c r="A18" s="3" t="s">
        <v>75</v>
      </c>
      <c r="B18" s="11" t="s">
        <v>76</v>
      </c>
      <c r="C18" s="5" t="s">
        <v>55</v>
      </c>
      <c r="D18" s="6">
        <v>51.67</v>
      </c>
      <c r="E18" s="7">
        <f t="shared" si="0"/>
        <v>51.67</v>
      </c>
      <c r="F18" s="7">
        <f t="shared" si="1"/>
        <v>51.67</v>
      </c>
      <c r="G18" s="7">
        <f t="shared" si="2"/>
        <v>51.67</v>
      </c>
      <c r="H18" s="7">
        <f t="shared" si="3"/>
        <v>51.67</v>
      </c>
      <c r="I18" s="7">
        <f t="shared" si="4"/>
        <v>51.67</v>
      </c>
      <c r="J18" s="7">
        <f t="shared" si="5"/>
        <v>51.67</v>
      </c>
      <c r="K18" s="7">
        <f t="shared" si="6"/>
        <v>51.67</v>
      </c>
      <c r="L18" s="7">
        <f t="shared" si="7"/>
        <v>51.67</v>
      </c>
      <c r="M18" s="7">
        <f t="shared" si="8"/>
        <v>51.67</v>
      </c>
      <c r="N18" s="7">
        <f t="shared" si="9"/>
        <v>51.67</v>
      </c>
      <c r="O18" s="7">
        <f t="shared" si="10"/>
        <v>51.67</v>
      </c>
      <c r="P18" s="7">
        <f t="shared" si="11"/>
        <v>51.67</v>
      </c>
      <c r="Q18" s="7">
        <f t="shared" si="12"/>
        <v>51.67</v>
      </c>
      <c r="R18" s="7">
        <f t="shared" si="13"/>
        <v>51.67</v>
      </c>
      <c r="S18" s="7">
        <f t="shared" si="14"/>
        <v>51.67</v>
      </c>
      <c r="T18" s="7">
        <f t="shared" si="15"/>
        <v>51.67</v>
      </c>
      <c r="U18" s="7">
        <f t="shared" si="16"/>
        <v>51.67</v>
      </c>
      <c r="V18" s="7">
        <f t="shared" si="17"/>
        <v>51.67</v>
      </c>
      <c r="W18" s="7">
        <f t="shared" si="18"/>
        <v>51.67</v>
      </c>
      <c r="X18" s="7">
        <f t="shared" si="19"/>
        <v>51.67</v>
      </c>
      <c r="Y18" s="7">
        <f t="shared" si="20"/>
        <v>51.67</v>
      </c>
      <c r="Z18" s="7">
        <f t="shared" si="21"/>
        <v>51.67</v>
      </c>
      <c r="AA18" s="7">
        <f t="shared" si="22"/>
        <v>51.67</v>
      </c>
      <c r="AB18" s="7">
        <f t="shared" si="23"/>
        <v>51.67</v>
      </c>
      <c r="AC18" s="7">
        <f t="shared" si="24"/>
        <v>51.67</v>
      </c>
      <c r="AD18" s="7">
        <f t="shared" si="25"/>
        <v>51.67</v>
      </c>
      <c r="AE18" s="7">
        <f t="shared" si="26"/>
        <v>51.67</v>
      </c>
      <c r="AF18" s="7">
        <f t="shared" si="27"/>
        <v>51.67</v>
      </c>
      <c r="AG18" s="7">
        <f t="shared" si="28"/>
        <v>51.67</v>
      </c>
      <c r="AH18" s="7">
        <f t="shared" si="29"/>
        <v>51.67</v>
      </c>
      <c r="AI18" s="7">
        <f t="shared" si="30"/>
        <v>51.67</v>
      </c>
      <c r="AJ18" s="7">
        <f t="shared" si="31"/>
        <v>51.67</v>
      </c>
      <c r="AK18" s="7">
        <f t="shared" si="32"/>
        <v>51.67</v>
      </c>
    </row>
    <row r="19" spans="1:37" x14ac:dyDescent="0.2">
      <c r="A19" s="3" t="s">
        <v>75</v>
      </c>
      <c r="B19" s="11" t="s">
        <v>77</v>
      </c>
      <c r="C19" s="5" t="s">
        <v>78</v>
      </c>
      <c r="D19" s="6">
        <v>120</v>
      </c>
      <c r="E19" s="7" t="str">
        <f t="shared" si="0"/>
        <v/>
      </c>
      <c r="F19" s="7" t="str">
        <f t="shared" si="1"/>
        <v/>
      </c>
      <c r="G19" s="7" t="str">
        <f t="shared" si="2"/>
        <v/>
      </c>
      <c r="H19" s="7" t="str">
        <f t="shared" si="3"/>
        <v/>
      </c>
      <c r="I19" s="7" t="str">
        <f t="shared" si="4"/>
        <v/>
      </c>
      <c r="J19" s="7" t="str">
        <f t="shared" si="5"/>
        <v/>
      </c>
      <c r="K19" s="7" t="str">
        <f t="shared" si="6"/>
        <v/>
      </c>
      <c r="L19" s="7" t="str">
        <f t="shared" si="7"/>
        <v/>
      </c>
      <c r="M19" s="7" t="str">
        <f t="shared" si="8"/>
        <v/>
      </c>
      <c r="N19" s="7" t="str">
        <f t="shared" si="9"/>
        <v/>
      </c>
      <c r="O19" s="7" t="str">
        <f t="shared" si="10"/>
        <v/>
      </c>
      <c r="P19" s="7" t="str">
        <f t="shared" si="11"/>
        <v/>
      </c>
      <c r="Q19" s="7" t="str">
        <f t="shared" si="12"/>
        <v/>
      </c>
      <c r="R19" s="7" t="str">
        <f t="shared" si="13"/>
        <v/>
      </c>
      <c r="S19" s="7" t="str">
        <f t="shared" si="14"/>
        <v/>
      </c>
      <c r="T19" s="7" t="str">
        <f t="shared" si="15"/>
        <v/>
      </c>
      <c r="U19" s="7" t="str">
        <f t="shared" si="16"/>
        <v/>
      </c>
      <c r="V19" s="7" t="str">
        <f t="shared" si="17"/>
        <v/>
      </c>
      <c r="W19" s="7" t="str">
        <f t="shared" si="18"/>
        <v/>
      </c>
      <c r="X19" s="7" t="str">
        <f t="shared" si="19"/>
        <v/>
      </c>
      <c r="Y19" s="7" t="str">
        <f t="shared" si="20"/>
        <v/>
      </c>
      <c r="Z19" s="7" t="str">
        <f t="shared" si="21"/>
        <v/>
      </c>
      <c r="AA19" s="7" t="str">
        <f t="shared" si="22"/>
        <v/>
      </c>
      <c r="AB19" s="7" t="str">
        <f t="shared" si="23"/>
        <v/>
      </c>
      <c r="AC19" s="7" t="str">
        <f t="shared" si="24"/>
        <v/>
      </c>
      <c r="AD19" s="7" t="str">
        <f t="shared" si="25"/>
        <v/>
      </c>
      <c r="AE19" s="7" t="str">
        <f t="shared" si="26"/>
        <v/>
      </c>
      <c r="AF19" s="7" t="str">
        <f t="shared" si="27"/>
        <v/>
      </c>
      <c r="AG19" s="7" t="str">
        <f t="shared" si="28"/>
        <v/>
      </c>
      <c r="AH19" s="7" t="str">
        <f t="shared" si="29"/>
        <v/>
      </c>
      <c r="AI19" s="7" t="str">
        <f t="shared" si="30"/>
        <v/>
      </c>
      <c r="AJ19" s="7" t="str">
        <f t="shared" si="31"/>
        <v/>
      </c>
      <c r="AK19" s="7" t="str">
        <f t="shared" si="32"/>
        <v/>
      </c>
    </row>
    <row r="20" spans="1:37" x14ac:dyDescent="0.2">
      <c r="A20" s="3" t="s">
        <v>79</v>
      </c>
      <c r="B20" s="11" t="s">
        <v>80</v>
      </c>
      <c r="C20" s="5" t="s">
        <v>55</v>
      </c>
      <c r="D20" s="6">
        <v>270</v>
      </c>
      <c r="E20" s="7">
        <f t="shared" si="0"/>
        <v>270</v>
      </c>
      <c r="F20" s="7"/>
      <c r="G20" s="7">
        <f t="shared" si="2"/>
        <v>0</v>
      </c>
      <c r="H20" s="7">
        <f t="shared" si="3"/>
        <v>0</v>
      </c>
      <c r="I20" s="7">
        <f t="shared" si="4"/>
        <v>0</v>
      </c>
      <c r="J20" s="7">
        <f t="shared" si="5"/>
        <v>0</v>
      </c>
      <c r="K20" s="7">
        <f t="shared" si="6"/>
        <v>0</v>
      </c>
      <c r="L20" s="7">
        <f t="shared" si="7"/>
        <v>0</v>
      </c>
      <c r="M20" s="7">
        <f t="shared" si="8"/>
        <v>0</v>
      </c>
      <c r="N20" s="7">
        <f t="shared" si="9"/>
        <v>0</v>
      </c>
      <c r="O20" s="7">
        <f t="shared" si="10"/>
        <v>0</v>
      </c>
      <c r="P20" s="7">
        <f t="shared" si="11"/>
        <v>0</v>
      </c>
      <c r="Q20" s="7">
        <f t="shared" si="12"/>
        <v>0</v>
      </c>
      <c r="R20" s="7">
        <f t="shared" si="13"/>
        <v>0</v>
      </c>
      <c r="S20" s="7">
        <f t="shared" si="14"/>
        <v>0</v>
      </c>
      <c r="T20" s="7">
        <f t="shared" si="15"/>
        <v>0</v>
      </c>
      <c r="U20" s="7">
        <f t="shared" si="16"/>
        <v>0</v>
      </c>
      <c r="V20" s="7">
        <f t="shared" si="17"/>
        <v>0</v>
      </c>
      <c r="W20" s="7">
        <f t="shared" si="18"/>
        <v>0</v>
      </c>
      <c r="X20" s="7">
        <f t="shared" si="19"/>
        <v>0</v>
      </c>
      <c r="Y20" s="7">
        <f t="shared" si="20"/>
        <v>0</v>
      </c>
      <c r="Z20" s="7">
        <f t="shared" si="21"/>
        <v>0</v>
      </c>
      <c r="AA20" s="7">
        <f t="shared" si="22"/>
        <v>0</v>
      </c>
      <c r="AB20" s="7">
        <f t="shared" si="23"/>
        <v>0</v>
      </c>
      <c r="AC20" s="7">
        <f t="shared" si="24"/>
        <v>0</v>
      </c>
      <c r="AD20" s="7">
        <f t="shared" si="25"/>
        <v>0</v>
      </c>
      <c r="AE20" s="7">
        <f t="shared" si="26"/>
        <v>0</v>
      </c>
      <c r="AF20" s="7">
        <f t="shared" si="27"/>
        <v>0</v>
      </c>
      <c r="AG20" s="7">
        <f t="shared" si="28"/>
        <v>0</v>
      </c>
      <c r="AH20" s="7">
        <f t="shared" si="29"/>
        <v>0</v>
      </c>
      <c r="AI20" s="7">
        <f t="shared" si="30"/>
        <v>0</v>
      </c>
      <c r="AJ20" s="7">
        <f t="shared" si="31"/>
        <v>0</v>
      </c>
      <c r="AK20" s="7">
        <f t="shared" si="32"/>
        <v>0</v>
      </c>
    </row>
    <row r="21" spans="1:37" x14ac:dyDescent="0.2">
      <c r="A21" s="3" t="s">
        <v>81</v>
      </c>
      <c r="B21" s="11" t="s">
        <v>82</v>
      </c>
      <c r="C21" s="5" t="s">
        <v>78</v>
      </c>
      <c r="D21" s="6">
        <v>2200</v>
      </c>
      <c r="E21" s="7" t="str">
        <f t="shared" si="0"/>
        <v/>
      </c>
      <c r="F21" s="7" t="str">
        <f t="shared" ref="F21:F31" si="33">IF(C21="Fix",E21,"")</f>
        <v/>
      </c>
      <c r="G21" s="7" t="str">
        <f t="shared" si="2"/>
        <v/>
      </c>
      <c r="H21" s="7" t="str">
        <f t="shared" si="3"/>
        <v/>
      </c>
      <c r="I21" s="7" t="str">
        <f t="shared" si="4"/>
        <v/>
      </c>
      <c r="J21" s="7" t="str">
        <f t="shared" si="5"/>
        <v/>
      </c>
      <c r="K21" s="7" t="str">
        <f t="shared" si="6"/>
        <v/>
      </c>
      <c r="L21" s="7" t="str">
        <f t="shared" si="7"/>
        <v/>
      </c>
      <c r="M21" s="7" t="str">
        <f t="shared" si="8"/>
        <v/>
      </c>
      <c r="N21" s="7" t="str">
        <f t="shared" si="9"/>
        <v/>
      </c>
      <c r="O21" s="7" t="str">
        <f t="shared" si="10"/>
        <v/>
      </c>
      <c r="P21" s="7" t="str">
        <f t="shared" si="11"/>
        <v/>
      </c>
      <c r="Q21" s="7" t="str">
        <f t="shared" si="12"/>
        <v/>
      </c>
      <c r="R21" s="7" t="str">
        <f t="shared" si="13"/>
        <v/>
      </c>
      <c r="S21" s="7" t="str">
        <f t="shared" si="14"/>
        <v/>
      </c>
      <c r="T21" s="7" t="str">
        <f t="shared" si="15"/>
        <v/>
      </c>
      <c r="U21" s="7" t="str">
        <f t="shared" si="16"/>
        <v/>
      </c>
      <c r="V21" s="7" t="str">
        <f t="shared" si="17"/>
        <v/>
      </c>
      <c r="W21" s="7" t="str">
        <f t="shared" si="18"/>
        <v/>
      </c>
      <c r="X21" s="7" t="str">
        <f t="shared" si="19"/>
        <v/>
      </c>
      <c r="Y21" s="7" t="str">
        <f t="shared" si="20"/>
        <v/>
      </c>
      <c r="Z21" s="7" t="str">
        <f t="shared" si="21"/>
        <v/>
      </c>
      <c r="AA21" s="7" t="str">
        <f t="shared" si="22"/>
        <v/>
      </c>
      <c r="AB21" s="7" t="str">
        <f t="shared" si="23"/>
        <v/>
      </c>
      <c r="AC21" s="7" t="str">
        <f t="shared" si="24"/>
        <v/>
      </c>
      <c r="AD21" s="7" t="str">
        <f t="shared" si="25"/>
        <v/>
      </c>
      <c r="AE21" s="7" t="str">
        <f t="shared" si="26"/>
        <v/>
      </c>
      <c r="AF21" s="7" t="str">
        <f t="shared" si="27"/>
        <v/>
      </c>
      <c r="AG21" s="7" t="str">
        <f t="shared" si="28"/>
        <v/>
      </c>
      <c r="AH21" s="7" t="str">
        <f t="shared" si="29"/>
        <v/>
      </c>
      <c r="AI21" s="7" t="str">
        <f t="shared" si="30"/>
        <v/>
      </c>
      <c r="AJ21" s="7" t="str">
        <f t="shared" si="31"/>
        <v/>
      </c>
      <c r="AK21" s="7" t="str">
        <f t="shared" si="32"/>
        <v/>
      </c>
    </row>
    <row r="22" spans="1:37" x14ac:dyDescent="0.2">
      <c r="A22" s="3" t="s">
        <v>83</v>
      </c>
      <c r="B22" s="11" t="s">
        <v>84</v>
      </c>
      <c r="C22" s="5" t="s">
        <v>55</v>
      </c>
      <c r="D22" s="6">
        <v>16.36</v>
      </c>
      <c r="E22" s="7">
        <f t="shared" si="0"/>
        <v>16.36</v>
      </c>
      <c r="F22" s="7">
        <f t="shared" si="33"/>
        <v>16.36</v>
      </c>
      <c r="G22" s="7">
        <f t="shared" si="2"/>
        <v>16.36</v>
      </c>
      <c r="H22" s="7">
        <f t="shared" si="3"/>
        <v>16.36</v>
      </c>
      <c r="I22" s="7">
        <f t="shared" si="4"/>
        <v>16.36</v>
      </c>
      <c r="J22" s="7">
        <f t="shared" si="5"/>
        <v>16.36</v>
      </c>
      <c r="K22" s="7">
        <f t="shared" si="6"/>
        <v>16.36</v>
      </c>
      <c r="L22" s="7">
        <f t="shared" si="7"/>
        <v>16.36</v>
      </c>
      <c r="M22" s="7">
        <f t="shared" si="8"/>
        <v>16.36</v>
      </c>
      <c r="N22" s="7">
        <f t="shared" si="9"/>
        <v>16.36</v>
      </c>
      <c r="O22" s="7">
        <f t="shared" si="10"/>
        <v>16.36</v>
      </c>
      <c r="P22" s="7">
        <f t="shared" si="11"/>
        <v>16.36</v>
      </c>
      <c r="Q22" s="7">
        <f t="shared" si="12"/>
        <v>16.36</v>
      </c>
      <c r="R22" s="7">
        <f t="shared" si="13"/>
        <v>16.36</v>
      </c>
      <c r="S22" s="7">
        <f t="shared" si="14"/>
        <v>16.36</v>
      </c>
      <c r="T22" s="7">
        <f t="shared" si="15"/>
        <v>16.36</v>
      </c>
      <c r="U22" s="7">
        <f t="shared" si="16"/>
        <v>16.36</v>
      </c>
      <c r="V22" s="7">
        <f t="shared" si="17"/>
        <v>16.36</v>
      </c>
      <c r="W22" s="7">
        <f t="shared" si="18"/>
        <v>16.36</v>
      </c>
      <c r="X22" s="7">
        <f t="shared" si="19"/>
        <v>16.36</v>
      </c>
      <c r="Y22" s="7">
        <f t="shared" si="20"/>
        <v>16.36</v>
      </c>
      <c r="Z22" s="7">
        <f t="shared" si="21"/>
        <v>16.36</v>
      </c>
      <c r="AA22" s="7">
        <f t="shared" si="22"/>
        <v>16.36</v>
      </c>
      <c r="AB22" s="7">
        <f t="shared" si="23"/>
        <v>16.36</v>
      </c>
      <c r="AC22" s="7">
        <f t="shared" si="24"/>
        <v>16.36</v>
      </c>
      <c r="AD22" s="7">
        <f t="shared" si="25"/>
        <v>16.36</v>
      </c>
      <c r="AE22" s="7">
        <f t="shared" si="26"/>
        <v>16.36</v>
      </c>
      <c r="AF22" s="7">
        <f t="shared" si="27"/>
        <v>16.36</v>
      </c>
      <c r="AG22" s="7">
        <f t="shared" si="28"/>
        <v>16.36</v>
      </c>
      <c r="AH22" s="7">
        <f t="shared" si="29"/>
        <v>16.36</v>
      </c>
      <c r="AI22" s="7">
        <f t="shared" si="30"/>
        <v>16.36</v>
      </c>
      <c r="AJ22" s="7">
        <f t="shared" si="31"/>
        <v>16.36</v>
      </c>
      <c r="AK22" s="7">
        <f t="shared" si="32"/>
        <v>16.36</v>
      </c>
    </row>
    <row r="23" spans="1:37" x14ac:dyDescent="0.2">
      <c r="A23" s="3" t="s">
        <v>83</v>
      </c>
      <c r="B23" s="11" t="s">
        <v>85</v>
      </c>
      <c r="C23" s="5" t="s">
        <v>55</v>
      </c>
      <c r="D23" s="6">
        <v>19.989999999999998</v>
      </c>
      <c r="E23" s="7">
        <f t="shared" si="0"/>
        <v>19.989999999999998</v>
      </c>
      <c r="F23" s="7">
        <f t="shared" si="33"/>
        <v>19.989999999999998</v>
      </c>
      <c r="G23" s="7">
        <f t="shared" si="2"/>
        <v>19.989999999999998</v>
      </c>
      <c r="H23" s="7">
        <f t="shared" si="3"/>
        <v>19.989999999999998</v>
      </c>
      <c r="I23" s="7">
        <f t="shared" si="4"/>
        <v>19.989999999999998</v>
      </c>
      <c r="J23" s="7">
        <f t="shared" si="5"/>
        <v>19.989999999999998</v>
      </c>
      <c r="K23" s="7">
        <f t="shared" si="6"/>
        <v>19.989999999999998</v>
      </c>
      <c r="L23" s="7">
        <f t="shared" si="7"/>
        <v>19.989999999999998</v>
      </c>
      <c r="M23" s="7">
        <f t="shared" si="8"/>
        <v>19.989999999999998</v>
      </c>
      <c r="N23" s="7">
        <f t="shared" si="9"/>
        <v>19.989999999999998</v>
      </c>
      <c r="O23" s="7">
        <f t="shared" si="10"/>
        <v>19.989999999999998</v>
      </c>
      <c r="P23" s="7">
        <f t="shared" si="11"/>
        <v>19.989999999999998</v>
      </c>
      <c r="Q23" s="7">
        <f t="shared" si="12"/>
        <v>19.989999999999998</v>
      </c>
      <c r="R23" s="7">
        <f t="shared" si="13"/>
        <v>19.989999999999998</v>
      </c>
      <c r="S23" s="7">
        <f t="shared" si="14"/>
        <v>19.989999999999998</v>
      </c>
      <c r="T23" s="7">
        <f t="shared" si="15"/>
        <v>19.989999999999998</v>
      </c>
      <c r="U23" s="7">
        <f t="shared" si="16"/>
        <v>19.989999999999998</v>
      </c>
      <c r="V23" s="7">
        <f t="shared" si="17"/>
        <v>19.989999999999998</v>
      </c>
      <c r="W23" s="7">
        <f t="shared" si="18"/>
        <v>19.989999999999998</v>
      </c>
      <c r="X23" s="7">
        <f t="shared" si="19"/>
        <v>19.989999999999998</v>
      </c>
      <c r="Y23" s="7">
        <f t="shared" si="20"/>
        <v>19.989999999999998</v>
      </c>
      <c r="Z23" s="7">
        <f t="shared" si="21"/>
        <v>19.989999999999998</v>
      </c>
      <c r="AA23" s="7">
        <f t="shared" si="22"/>
        <v>19.989999999999998</v>
      </c>
      <c r="AB23" s="7">
        <f t="shared" si="23"/>
        <v>19.989999999999998</v>
      </c>
      <c r="AC23" s="7">
        <f t="shared" si="24"/>
        <v>19.989999999999998</v>
      </c>
      <c r="AD23" s="7">
        <f t="shared" si="25"/>
        <v>19.989999999999998</v>
      </c>
      <c r="AE23" s="7">
        <f t="shared" si="26"/>
        <v>19.989999999999998</v>
      </c>
      <c r="AF23" s="7">
        <f t="shared" si="27"/>
        <v>19.989999999999998</v>
      </c>
      <c r="AG23" s="7">
        <f t="shared" si="28"/>
        <v>19.989999999999998</v>
      </c>
      <c r="AH23" s="7">
        <f t="shared" si="29"/>
        <v>19.989999999999998</v>
      </c>
      <c r="AI23" s="7">
        <f t="shared" si="30"/>
        <v>19.989999999999998</v>
      </c>
      <c r="AJ23" s="7">
        <f t="shared" si="31"/>
        <v>19.989999999999998</v>
      </c>
      <c r="AK23" s="7">
        <f t="shared" si="32"/>
        <v>19.989999999999998</v>
      </c>
    </row>
    <row r="24" spans="1:37" x14ac:dyDescent="0.2">
      <c r="A24" s="3" t="s">
        <v>83</v>
      </c>
      <c r="B24" s="11" t="s">
        <v>86</v>
      </c>
      <c r="C24" s="5" t="s">
        <v>55</v>
      </c>
      <c r="D24" s="6">
        <v>70</v>
      </c>
      <c r="E24" s="7">
        <f t="shared" si="0"/>
        <v>70</v>
      </c>
      <c r="F24" s="7">
        <f t="shared" si="33"/>
        <v>70</v>
      </c>
      <c r="G24" s="7">
        <f t="shared" si="2"/>
        <v>70</v>
      </c>
      <c r="H24" s="7">
        <f t="shared" si="3"/>
        <v>70</v>
      </c>
      <c r="I24" s="7">
        <f t="shared" si="4"/>
        <v>70</v>
      </c>
      <c r="J24" s="7">
        <f t="shared" si="5"/>
        <v>70</v>
      </c>
      <c r="K24" s="7">
        <f t="shared" si="6"/>
        <v>70</v>
      </c>
      <c r="L24" s="7">
        <f t="shared" si="7"/>
        <v>70</v>
      </c>
      <c r="M24" s="7">
        <f t="shared" si="8"/>
        <v>70</v>
      </c>
      <c r="N24" s="7">
        <f t="shared" si="9"/>
        <v>70</v>
      </c>
      <c r="O24" s="7">
        <f t="shared" si="10"/>
        <v>70</v>
      </c>
      <c r="P24" s="7">
        <f t="shared" si="11"/>
        <v>70</v>
      </c>
      <c r="Q24" s="7">
        <f t="shared" si="12"/>
        <v>70</v>
      </c>
      <c r="R24" s="7">
        <f t="shared" si="13"/>
        <v>70</v>
      </c>
      <c r="S24" s="7">
        <f t="shared" si="14"/>
        <v>70</v>
      </c>
      <c r="T24" s="7">
        <f t="shared" si="15"/>
        <v>70</v>
      </c>
      <c r="U24" s="7">
        <f t="shared" si="16"/>
        <v>70</v>
      </c>
      <c r="V24" s="7">
        <f t="shared" si="17"/>
        <v>70</v>
      </c>
      <c r="W24" s="7">
        <f t="shared" si="18"/>
        <v>70</v>
      </c>
      <c r="X24" s="7">
        <f t="shared" si="19"/>
        <v>70</v>
      </c>
      <c r="Y24" s="7">
        <f t="shared" si="20"/>
        <v>70</v>
      </c>
      <c r="Z24" s="7">
        <f t="shared" si="21"/>
        <v>70</v>
      </c>
      <c r="AA24" s="7">
        <f t="shared" si="22"/>
        <v>70</v>
      </c>
      <c r="AB24" s="7">
        <f t="shared" si="23"/>
        <v>70</v>
      </c>
      <c r="AC24" s="7">
        <f t="shared" si="24"/>
        <v>70</v>
      </c>
      <c r="AD24" s="7">
        <f t="shared" si="25"/>
        <v>70</v>
      </c>
      <c r="AE24" s="7">
        <f t="shared" si="26"/>
        <v>70</v>
      </c>
      <c r="AF24" s="7">
        <f t="shared" si="27"/>
        <v>70</v>
      </c>
      <c r="AG24" s="7">
        <f t="shared" si="28"/>
        <v>70</v>
      </c>
      <c r="AH24" s="7">
        <f t="shared" si="29"/>
        <v>70</v>
      </c>
      <c r="AI24" s="7">
        <f t="shared" si="30"/>
        <v>70</v>
      </c>
      <c r="AJ24" s="7">
        <f t="shared" si="31"/>
        <v>70</v>
      </c>
      <c r="AK24" s="7">
        <f t="shared" si="32"/>
        <v>70</v>
      </c>
    </row>
    <row r="25" spans="1:37" x14ac:dyDescent="0.2">
      <c r="A25" s="3" t="s">
        <v>83</v>
      </c>
      <c r="B25" s="11" t="s">
        <v>87</v>
      </c>
      <c r="C25" s="5" t="s">
        <v>55</v>
      </c>
      <c r="D25" s="6">
        <v>119</v>
      </c>
      <c r="E25" s="7">
        <f t="shared" si="0"/>
        <v>119</v>
      </c>
      <c r="F25" s="7">
        <f t="shared" si="33"/>
        <v>119</v>
      </c>
      <c r="G25" s="7">
        <f t="shared" si="2"/>
        <v>119</v>
      </c>
      <c r="H25" s="7">
        <f t="shared" si="3"/>
        <v>119</v>
      </c>
      <c r="I25" s="7">
        <f t="shared" si="4"/>
        <v>119</v>
      </c>
      <c r="J25" s="7">
        <f t="shared" si="5"/>
        <v>119</v>
      </c>
      <c r="K25" s="7">
        <f t="shared" si="6"/>
        <v>119</v>
      </c>
      <c r="L25" s="7">
        <f t="shared" si="7"/>
        <v>119</v>
      </c>
      <c r="M25" s="7">
        <f t="shared" si="8"/>
        <v>119</v>
      </c>
      <c r="N25" s="7">
        <f t="shared" si="9"/>
        <v>119</v>
      </c>
      <c r="O25" s="7">
        <f t="shared" si="10"/>
        <v>119</v>
      </c>
      <c r="P25" s="7">
        <f t="shared" si="11"/>
        <v>119</v>
      </c>
      <c r="Q25" s="7">
        <f t="shared" si="12"/>
        <v>119</v>
      </c>
      <c r="R25" s="7">
        <f t="shared" si="13"/>
        <v>119</v>
      </c>
      <c r="S25" s="7">
        <f t="shared" si="14"/>
        <v>119</v>
      </c>
      <c r="T25" s="7">
        <f t="shared" si="15"/>
        <v>119</v>
      </c>
      <c r="U25" s="7">
        <f t="shared" si="16"/>
        <v>119</v>
      </c>
      <c r="V25" s="7">
        <f t="shared" si="17"/>
        <v>119</v>
      </c>
      <c r="W25" s="7">
        <f t="shared" si="18"/>
        <v>119</v>
      </c>
      <c r="X25" s="7">
        <f t="shared" si="19"/>
        <v>119</v>
      </c>
      <c r="Y25" s="7">
        <f t="shared" si="20"/>
        <v>119</v>
      </c>
      <c r="Z25" s="7">
        <f t="shared" si="21"/>
        <v>119</v>
      </c>
      <c r="AA25" s="7">
        <f t="shared" si="22"/>
        <v>119</v>
      </c>
      <c r="AB25" s="7">
        <f t="shared" si="23"/>
        <v>119</v>
      </c>
      <c r="AC25" s="7">
        <f t="shared" si="24"/>
        <v>119</v>
      </c>
      <c r="AD25" s="7">
        <f t="shared" si="25"/>
        <v>119</v>
      </c>
      <c r="AE25" s="7">
        <f t="shared" si="26"/>
        <v>119</v>
      </c>
      <c r="AF25" s="7">
        <f t="shared" si="27"/>
        <v>119</v>
      </c>
      <c r="AG25" s="7">
        <f t="shared" si="28"/>
        <v>119</v>
      </c>
      <c r="AH25" s="7">
        <f t="shared" si="29"/>
        <v>119</v>
      </c>
      <c r="AI25" s="7">
        <f t="shared" si="30"/>
        <v>119</v>
      </c>
      <c r="AJ25" s="7">
        <f t="shared" si="31"/>
        <v>119</v>
      </c>
      <c r="AK25" s="7">
        <f t="shared" si="32"/>
        <v>119</v>
      </c>
    </row>
    <row r="26" spans="1:37" x14ac:dyDescent="0.2">
      <c r="A26" s="3" t="s">
        <v>88</v>
      </c>
      <c r="B26" s="11" t="s">
        <v>89</v>
      </c>
      <c r="C26" s="5" t="s">
        <v>55</v>
      </c>
      <c r="D26" s="6">
        <v>37</v>
      </c>
      <c r="E26" s="7">
        <f t="shared" si="0"/>
        <v>37</v>
      </c>
      <c r="F26" s="7">
        <f t="shared" si="33"/>
        <v>37</v>
      </c>
      <c r="G26" s="7">
        <f t="shared" si="2"/>
        <v>37</v>
      </c>
      <c r="H26" s="7">
        <f t="shared" si="3"/>
        <v>37</v>
      </c>
      <c r="I26" s="7">
        <f t="shared" si="4"/>
        <v>37</v>
      </c>
      <c r="J26" s="7">
        <f t="shared" si="5"/>
        <v>37</v>
      </c>
      <c r="K26" s="7">
        <f t="shared" si="6"/>
        <v>37</v>
      </c>
      <c r="L26" s="7">
        <f t="shared" si="7"/>
        <v>37</v>
      </c>
      <c r="M26" s="7">
        <f t="shared" si="8"/>
        <v>37</v>
      </c>
      <c r="N26" s="7">
        <f t="shared" si="9"/>
        <v>37</v>
      </c>
      <c r="O26" s="7">
        <f t="shared" si="10"/>
        <v>37</v>
      </c>
      <c r="P26" s="7">
        <f t="shared" si="11"/>
        <v>37</v>
      </c>
      <c r="Q26" s="7">
        <f t="shared" si="12"/>
        <v>37</v>
      </c>
      <c r="R26" s="7">
        <f t="shared" si="13"/>
        <v>37</v>
      </c>
      <c r="S26" s="7">
        <f t="shared" si="14"/>
        <v>37</v>
      </c>
      <c r="T26" s="7">
        <f t="shared" si="15"/>
        <v>37</v>
      </c>
      <c r="U26" s="7">
        <f t="shared" si="16"/>
        <v>37</v>
      </c>
      <c r="V26" s="7">
        <f t="shared" si="17"/>
        <v>37</v>
      </c>
      <c r="W26" s="7">
        <f t="shared" si="18"/>
        <v>37</v>
      </c>
      <c r="X26" s="7">
        <f t="shared" si="19"/>
        <v>37</v>
      </c>
      <c r="Y26" s="7">
        <f t="shared" si="20"/>
        <v>37</v>
      </c>
      <c r="Z26" s="7">
        <f t="shared" si="21"/>
        <v>37</v>
      </c>
      <c r="AA26" s="7">
        <f t="shared" si="22"/>
        <v>37</v>
      </c>
      <c r="AB26" s="7">
        <f t="shared" si="23"/>
        <v>37</v>
      </c>
      <c r="AC26" s="7">
        <f t="shared" si="24"/>
        <v>37</v>
      </c>
      <c r="AD26" s="7">
        <f t="shared" si="25"/>
        <v>37</v>
      </c>
      <c r="AE26" s="7">
        <f t="shared" si="26"/>
        <v>37</v>
      </c>
      <c r="AF26" s="7">
        <f t="shared" si="27"/>
        <v>37</v>
      </c>
      <c r="AG26" s="7">
        <f t="shared" si="28"/>
        <v>37</v>
      </c>
      <c r="AH26" s="7">
        <f t="shared" si="29"/>
        <v>37</v>
      </c>
      <c r="AI26" s="7">
        <f t="shared" si="30"/>
        <v>37</v>
      </c>
      <c r="AJ26" s="7">
        <f t="shared" si="31"/>
        <v>37</v>
      </c>
      <c r="AK26" s="7">
        <f t="shared" si="32"/>
        <v>37</v>
      </c>
    </row>
    <row r="27" spans="1:37" x14ac:dyDescent="0.2">
      <c r="A27" s="3" t="s">
        <v>88</v>
      </c>
      <c r="B27" s="11" t="s">
        <v>90</v>
      </c>
      <c r="C27" s="5" t="s">
        <v>55</v>
      </c>
      <c r="D27" s="6">
        <v>250</v>
      </c>
      <c r="E27" s="7">
        <f t="shared" si="0"/>
        <v>250</v>
      </c>
      <c r="F27" s="7">
        <f t="shared" si="33"/>
        <v>250</v>
      </c>
      <c r="G27" s="7">
        <f t="shared" si="2"/>
        <v>250</v>
      </c>
      <c r="H27" s="7">
        <f t="shared" si="3"/>
        <v>250</v>
      </c>
      <c r="I27" s="7">
        <f t="shared" si="4"/>
        <v>250</v>
      </c>
      <c r="J27" s="7">
        <f t="shared" si="5"/>
        <v>250</v>
      </c>
      <c r="K27" s="7">
        <f t="shared" si="6"/>
        <v>250</v>
      </c>
      <c r="L27" s="7">
        <f t="shared" si="7"/>
        <v>250</v>
      </c>
      <c r="M27" s="7">
        <f t="shared" si="8"/>
        <v>250</v>
      </c>
      <c r="N27" s="7">
        <f t="shared" si="9"/>
        <v>250</v>
      </c>
      <c r="O27" s="7">
        <f t="shared" si="10"/>
        <v>250</v>
      </c>
      <c r="P27" s="7">
        <f t="shared" si="11"/>
        <v>250</v>
      </c>
      <c r="Q27" s="7">
        <f t="shared" si="12"/>
        <v>250</v>
      </c>
      <c r="R27" s="7">
        <f t="shared" si="13"/>
        <v>250</v>
      </c>
      <c r="S27" s="7">
        <f t="shared" si="14"/>
        <v>250</v>
      </c>
      <c r="T27" s="7">
        <f t="shared" si="15"/>
        <v>250</v>
      </c>
      <c r="U27" s="7">
        <f t="shared" si="16"/>
        <v>250</v>
      </c>
      <c r="V27" s="7">
        <f t="shared" si="17"/>
        <v>250</v>
      </c>
      <c r="W27" s="7">
        <f t="shared" si="18"/>
        <v>250</v>
      </c>
      <c r="X27" s="7">
        <f t="shared" si="19"/>
        <v>250</v>
      </c>
      <c r="Y27" s="7">
        <f t="shared" si="20"/>
        <v>250</v>
      </c>
      <c r="Z27" s="7">
        <f t="shared" si="21"/>
        <v>250</v>
      </c>
      <c r="AA27" s="7">
        <f t="shared" si="22"/>
        <v>250</v>
      </c>
      <c r="AB27" s="7">
        <f t="shared" si="23"/>
        <v>250</v>
      </c>
      <c r="AC27" s="7">
        <f t="shared" si="24"/>
        <v>250</v>
      </c>
      <c r="AD27" s="7">
        <f t="shared" si="25"/>
        <v>250</v>
      </c>
      <c r="AE27" s="7">
        <f t="shared" si="26"/>
        <v>250</v>
      </c>
      <c r="AF27" s="7">
        <f t="shared" si="27"/>
        <v>250</v>
      </c>
      <c r="AG27" s="7">
        <f t="shared" si="28"/>
        <v>250</v>
      </c>
      <c r="AH27" s="7">
        <f t="shared" si="29"/>
        <v>250</v>
      </c>
      <c r="AI27" s="7">
        <f t="shared" si="30"/>
        <v>250</v>
      </c>
      <c r="AJ27" s="7">
        <f t="shared" si="31"/>
        <v>250</v>
      </c>
      <c r="AK27" s="7">
        <f t="shared" si="32"/>
        <v>250</v>
      </c>
    </row>
    <row r="28" spans="1:37" x14ac:dyDescent="0.2">
      <c r="A28" s="3" t="s">
        <v>91</v>
      </c>
      <c r="B28" s="11" t="s">
        <v>92</v>
      </c>
      <c r="C28" s="5" t="s">
        <v>78</v>
      </c>
      <c r="D28" s="6">
        <v>45</v>
      </c>
      <c r="E28" s="7" t="str">
        <f t="shared" si="0"/>
        <v/>
      </c>
      <c r="F28" s="7" t="str">
        <f t="shared" si="33"/>
        <v/>
      </c>
      <c r="G28" s="7" t="str">
        <f t="shared" si="2"/>
        <v/>
      </c>
      <c r="H28" s="7" t="str">
        <f t="shared" si="3"/>
        <v/>
      </c>
      <c r="I28" s="7" t="str">
        <f t="shared" si="4"/>
        <v/>
      </c>
      <c r="J28" s="7" t="str">
        <f t="shared" si="5"/>
        <v/>
      </c>
      <c r="K28" s="7" t="str">
        <f t="shared" si="6"/>
        <v/>
      </c>
      <c r="L28" s="7" t="str">
        <f t="shared" si="7"/>
        <v/>
      </c>
      <c r="M28" s="7" t="str">
        <f t="shared" si="8"/>
        <v/>
      </c>
      <c r="N28" s="7" t="str">
        <f t="shared" si="9"/>
        <v/>
      </c>
      <c r="O28" s="7" t="str">
        <f t="shared" si="10"/>
        <v/>
      </c>
      <c r="P28" s="7" t="str">
        <f t="shared" si="11"/>
        <v/>
      </c>
      <c r="Q28" s="7" t="str">
        <f t="shared" si="12"/>
        <v/>
      </c>
      <c r="R28" s="7" t="str">
        <f t="shared" si="13"/>
        <v/>
      </c>
      <c r="S28" s="7" t="str">
        <f t="shared" si="14"/>
        <v/>
      </c>
      <c r="T28" s="7" t="str">
        <f t="shared" si="15"/>
        <v/>
      </c>
      <c r="U28" s="7" t="str">
        <f t="shared" si="16"/>
        <v/>
      </c>
      <c r="V28" s="7" t="str">
        <f t="shared" si="17"/>
        <v/>
      </c>
      <c r="W28" s="7" t="str">
        <f t="shared" si="18"/>
        <v/>
      </c>
      <c r="X28" s="7" t="str">
        <f t="shared" si="19"/>
        <v/>
      </c>
      <c r="Y28" s="7" t="str">
        <f t="shared" si="20"/>
        <v/>
      </c>
      <c r="Z28" s="7" t="str">
        <f t="shared" si="21"/>
        <v/>
      </c>
      <c r="AA28" s="7" t="str">
        <f t="shared" si="22"/>
        <v/>
      </c>
      <c r="AB28" s="7" t="str">
        <f t="shared" si="23"/>
        <v/>
      </c>
      <c r="AC28" s="7" t="str">
        <f t="shared" si="24"/>
        <v/>
      </c>
      <c r="AD28" s="7" t="str">
        <f t="shared" si="25"/>
        <v/>
      </c>
      <c r="AE28" s="7" t="str">
        <f t="shared" si="26"/>
        <v/>
      </c>
      <c r="AF28" s="7" t="str">
        <f t="shared" si="27"/>
        <v/>
      </c>
      <c r="AG28" s="7" t="str">
        <f t="shared" si="28"/>
        <v/>
      </c>
      <c r="AH28" s="7" t="str">
        <f t="shared" si="29"/>
        <v/>
      </c>
      <c r="AI28" s="7" t="str">
        <f t="shared" si="30"/>
        <v/>
      </c>
      <c r="AJ28" s="7" t="str">
        <f t="shared" si="31"/>
        <v/>
      </c>
      <c r="AK28" s="7" t="str">
        <f t="shared" si="32"/>
        <v/>
      </c>
    </row>
    <row r="29" spans="1:37" x14ac:dyDescent="0.2">
      <c r="A29" s="3" t="s">
        <v>93</v>
      </c>
      <c r="B29" s="11" t="s">
        <v>94</v>
      </c>
      <c r="C29" s="5" t="s">
        <v>55</v>
      </c>
      <c r="D29" s="6">
        <v>630</v>
      </c>
      <c r="E29" s="7">
        <f t="shared" si="0"/>
        <v>630</v>
      </c>
      <c r="F29" s="7">
        <f t="shared" si="33"/>
        <v>630</v>
      </c>
      <c r="G29" s="7">
        <f t="shared" si="2"/>
        <v>630</v>
      </c>
      <c r="H29" s="7">
        <f t="shared" si="3"/>
        <v>630</v>
      </c>
      <c r="I29" s="7">
        <f t="shared" si="4"/>
        <v>630</v>
      </c>
      <c r="J29" s="7">
        <f t="shared" si="5"/>
        <v>630</v>
      </c>
      <c r="K29" s="7">
        <f t="shared" si="6"/>
        <v>630</v>
      </c>
      <c r="L29" s="7">
        <f t="shared" si="7"/>
        <v>630</v>
      </c>
      <c r="M29" s="7"/>
      <c r="N29" s="7">
        <f t="shared" si="9"/>
        <v>0</v>
      </c>
      <c r="O29" s="7">
        <f t="shared" si="10"/>
        <v>0</v>
      </c>
      <c r="P29" s="7">
        <f t="shared" si="11"/>
        <v>0</v>
      </c>
      <c r="Q29" s="7">
        <f t="shared" si="12"/>
        <v>0</v>
      </c>
      <c r="R29" s="7">
        <f t="shared" si="13"/>
        <v>0</v>
      </c>
      <c r="S29" s="7">
        <f t="shared" si="14"/>
        <v>0</v>
      </c>
      <c r="T29" s="7">
        <f t="shared" si="15"/>
        <v>0</v>
      </c>
      <c r="U29" s="7">
        <f t="shared" si="16"/>
        <v>0</v>
      </c>
      <c r="V29" s="7">
        <f t="shared" si="17"/>
        <v>0</v>
      </c>
      <c r="W29" s="7">
        <f t="shared" si="18"/>
        <v>0</v>
      </c>
      <c r="X29" s="7">
        <f t="shared" si="19"/>
        <v>0</v>
      </c>
      <c r="Y29" s="7">
        <f t="shared" si="20"/>
        <v>0</v>
      </c>
      <c r="Z29" s="7">
        <f t="shared" si="21"/>
        <v>0</v>
      </c>
      <c r="AA29" s="7">
        <f t="shared" si="22"/>
        <v>0</v>
      </c>
      <c r="AB29" s="7">
        <f t="shared" si="23"/>
        <v>0</v>
      </c>
      <c r="AC29" s="7">
        <f t="shared" si="24"/>
        <v>0</v>
      </c>
      <c r="AD29" s="7">
        <f t="shared" si="25"/>
        <v>0</v>
      </c>
      <c r="AE29" s="7">
        <f t="shared" si="26"/>
        <v>0</v>
      </c>
      <c r="AF29" s="7">
        <f t="shared" si="27"/>
        <v>0</v>
      </c>
      <c r="AG29" s="7">
        <f t="shared" si="28"/>
        <v>0</v>
      </c>
      <c r="AH29" s="7">
        <f t="shared" si="29"/>
        <v>0</v>
      </c>
      <c r="AI29" s="7">
        <f t="shared" si="30"/>
        <v>0</v>
      </c>
      <c r="AJ29" s="7">
        <f t="shared" si="31"/>
        <v>0</v>
      </c>
      <c r="AK29" s="7">
        <f t="shared" si="32"/>
        <v>0</v>
      </c>
    </row>
    <row r="30" spans="1:37" x14ac:dyDescent="0.2">
      <c r="A30" s="3" t="s">
        <v>93</v>
      </c>
      <c r="B30" s="11" t="s">
        <v>95</v>
      </c>
      <c r="C30" s="5" t="s">
        <v>55</v>
      </c>
      <c r="D30" s="6">
        <v>10.9</v>
      </c>
      <c r="E30" s="7">
        <f t="shared" si="0"/>
        <v>10.9</v>
      </c>
      <c r="F30" s="7">
        <f t="shared" si="33"/>
        <v>10.9</v>
      </c>
      <c r="G30" s="7">
        <f t="shared" si="2"/>
        <v>10.9</v>
      </c>
      <c r="H30" s="7">
        <f t="shared" si="3"/>
        <v>10.9</v>
      </c>
      <c r="I30" s="7">
        <f t="shared" si="4"/>
        <v>10.9</v>
      </c>
      <c r="J30" s="7">
        <f t="shared" si="5"/>
        <v>10.9</v>
      </c>
      <c r="K30" s="7">
        <f t="shared" si="6"/>
        <v>10.9</v>
      </c>
      <c r="L30" s="7">
        <f t="shared" si="7"/>
        <v>10.9</v>
      </c>
      <c r="M30" s="7">
        <f t="shared" ref="M30:M39" si="34">IF(C30="Fix",L30,"")</f>
        <v>10.9</v>
      </c>
      <c r="N30" s="7">
        <f t="shared" si="9"/>
        <v>10.9</v>
      </c>
      <c r="O30" s="7">
        <f t="shared" si="10"/>
        <v>10.9</v>
      </c>
      <c r="P30" s="7">
        <f t="shared" si="11"/>
        <v>10.9</v>
      </c>
      <c r="Q30" s="7">
        <f t="shared" si="12"/>
        <v>10.9</v>
      </c>
      <c r="R30" s="7">
        <f t="shared" si="13"/>
        <v>10.9</v>
      </c>
      <c r="S30" s="7">
        <f t="shared" si="14"/>
        <v>10.9</v>
      </c>
      <c r="T30" s="7">
        <f t="shared" si="15"/>
        <v>10.9</v>
      </c>
      <c r="U30" s="7">
        <f t="shared" si="16"/>
        <v>10.9</v>
      </c>
      <c r="V30" s="7">
        <f t="shared" si="17"/>
        <v>10.9</v>
      </c>
      <c r="W30" s="7">
        <f t="shared" si="18"/>
        <v>10.9</v>
      </c>
      <c r="X30" s="7">
        <f t="shared" si="19"/>
        <v>10.9</v>
      </c>
      <c r="Y30" s="7">
        <f t="shared" si="20"/>
        <v>10.9</v>
      </c>
      <c r="Z30" s="7">
        <f t="shared" si="21"/>
        <v>10.9</v>
      </c>
      <c r="AA30" s="7">
        <f t="shared" si="22"/>
        <v>10.9</v>
      </c>
      <c r="AB30" s="7">
        <f t="shared" si="23"/>
        <v>10.9</v>
      </c>
      <c r="AC30" s="7">
        <f t="shared" si="24"/>
        <v>10.9</v>
      </c>
      <c r="AD30" s="7">
        <f t="shared" si="25"/>
        <v>10.9</v>
      </c>
      <c r="AE30" s="7">
        <f t="shared" si="26"/>
        <v>10.9</v>
      </c>
      <c r="AF30" s="7">
        <f t="shared" si="27"/>
        <v>10.9</v>
      </c>
      <c r="AG30" s="7">
        <f t="shared" si="28"/>
        <v>10.9</v>
      </c>
      <c r="AH30" s="7">
        <f t="shared" si="29"/>
        <v>10.9</v>
      </c>
      <c r="AI30" s="7">
        <f t="shared" si="30"/>
        <v>10.9</v>
      </c>
      <c r="AJ30" s="7">
        <f t="shared" si="31"/>
        <v>10.9</v>
      </c>
      <c r="AK30" s="7">
        <f t="shared" si="32"/>
        <v>10.9</v>
      </c>
    </row>
    <row r="31" spans="1:37" x14ac:dyDescent="0.2">
      <c r="A31" s="3" t="s">
        <v>96</v>
      </c>
      <c r="B31" s="11" t="s">
        <v>97</v>
      </c>
      <c r="C31" s="5" t="s">
        <v>55</v>
      </c>
      <c r="D31" s="6">
        <v>94.34</v>
      </c>
      <c r="E31" s="7">
        <f t="shared" si="0"/>
        <v>94.34</v>
      </c>
      <c r="F31" s="7">
        <f t="shared" si="33"/>
        <v>94.34</v>
      </c>
      <c r="G31" s="7">
        <f t="shared" si="2"/>
        <v>94.34</v>
      </c>
      <c r="H31" s="7">
        <f t="shared" si="3"/>
        <v>94.34</v>
      </c>
      <c r="I31" s="7">
        <f t="shared" si="4"/>
        <v>94.34</v>
      </c>
      <c r="J31" s="7">
        <f t="shared" si="5"/>
        <v>94.34</v>
      </c>
      <c r="K31" s="7">
        <f t="shared" si="6"/>
        <v>94.34</v>
      </c>
      <c r="L31" s="7">
        <f t="shared" si="7"/>
        <v>94.34</v>
      </c>
      <c r="M31" s="7">
        <f t="shared" si="34"/>
        <v>94.34</v>
      </c>
      <c r="N31" s="7">
        <f t="shared" si="9"/>
        <v>94.34</v>
      </c>
      <c r="O31" s="7">
        <f t="shared" si="10"/>
        <v>94.34</v>
      </c>
      <c r="P31" s="7">
        <f t="shared" si="11"/>
        <v>94.34</v>
      </c>
      <c r="Q31" s="7">
        <f t="shared" si="12"/>
        <v>94.34</v>
      </c>
      <c r="R31" s="7">
        <f t="shared" si="13"/>
        <v>94.34</v>
      </c>
      <c r="S31" s="7">
        <f t="shared" si="14"/>
        <v>94.34</v>
      </c>
      <c r="T31" s="7">
        <f t="shared" si="15"/>
        <v>94.34</v>
      </c>
      <c r="U31" s="7">
        <f t="shared" si="16"/>
        <v>94.34</v>
      </c>
      <c r="V31" s="7">
        <f t="shared" si="17"/>
        <v>94.34</v>
      </c>
      <c r="W31" s="7">
        <f t="shared" si="18"/>
        <v>94.34</v>
      </c>
      <c r="X31" s="7">
        <f t="shared" si="19"/>
        <v>94.34</v>
      </c>
      <c r="Y31" s="7">
        <f t="shared" si="20"/>
        <v>94.34</v>
      </c>
      <c r="Z31" s="7">
        <f t="shared" si="21"/>
        <v>94.34</v>
      </c>
      <c r="AA31" s="7">
        <f t="shared" si="22"/>
        <v>94.34</v>
      </c>
      <c r="AB31" s="7">
        <f t="shared" si="23"/>
        <v>94.34</v>
      </c>
      <c r="AC31" s="7">
        <f t="shared" si="24"/>
        <v>94.34</v>
      </c>
      <c r="AD31" s="7">
        <f t="shared" si="25"/>
        <v>94.34</v>
      </c>
      <c r="AE31" s="7">
        <f t="shared" si="26"/>
        <v>94.34</v>
      </c>
      <c r="AF31" s="7">
        <f t="shared" si="27"/>
        <v>94.34</v>
      </c>
      <c r="AG31" s="7">
        <f t="shared" si="28"/>
        <v>94.34</v>
      </c>
      <c r="AH31" s="7">
        <f t="shared" si="29"/>
        <v>94.34</v>
      </c>
      <c r="AI31" s="7">
        <f t="shared" si="30"/>
        <v>94.34</v>
      </c>
      <c r="AJ31" s="7">
        <f t="shared" si="31"/>
        <v>94.34</v>
      </c>
      <c r="AK31" s="7">
        <f t="shared" si="32"/>
        <v>94.34</v>
      </c>
    </row>
    <row r="32" spans="1:37" x14ac:dyDescent="0.2">
      <c r="A32" s="3" t="s">
        <v>93</v>
      </c>
      <c r="B32" s="11" t="s">
        <v>98</v>
      </c>
      <c r="C32" s="5" t="s">
        <v>55</v>
      </c>
      <c r="D32" s="6">
        <v>200</v>
      </c>
      <c r="E32" s="7">
        <f t="shared" si="0"/>
        <v>200</v>
      </c>
      <c r="F32" s="7"/>
      <c r="G32" s="7">
        <f t="shared" si="2"/>
        <v>0</v>
      </c>
      <c r="H32" s="7">
        <f t="shared" si="3"/>
        <v>0</v>
      </c>
      <c r="I32" s="7">
        <f t="shared" si="4"/>
        <v>0</v>
      </c>
      <c r="J32" s="7">
        <f t="shared" si="5"/>
        <v>0</v>
      </c>
      <c r="K32" s="7">
        <f t="shared" si="6"/>
        <v>0</v>
      </c>
      <c r="L32" s="7">
        <f t="shared" si="7"/>
        <v>0</v>
      </c>
      <c r="M32" s="7">
        <f t="shared" si="34"/>
        <v>0</v>
      </c>
      <c r="N32" s="7">
        <f t="shared" si="9"/>
        <v>0</v>
      </c>
      <c r="O32" s="7">
        <f t="shared" si="10"/>
        <v>0</v>
      </c>
      <c r="P32" s="7">
        <f t="shared" si="11"/>
        <v>0</v>
      </c>
      <c r="Q32" s="7">
        <f t="shared" si="12"/>
        <v>0</v>
      </c>
      <c r="R32" s="7">
        <f t="shared" si="13"/>
        <v>0</v>
      </c>
      <c r="S32" s="7">
        <f t="shared" si="14"/>
        <v>0</v>
      </c>
      <c r="T32" s="7">
        <f t="shared" si="15"/>
        <v>0</v>
      </c>
      <c r="U32" s="7">
        <f t="shared" si="16"/>
        <v>0</v>
      </c>
      <c r="V32" s="7">
        <f t="shared" si="17"/>
        <v>0</v>
      </c>
      <c r="W32" s="7">
        <f t="shared" si="18"/>
        <v>0</v>
      </c>
      <c r="X32" s="7">
        <f t="shared" si="19"/>
        <v>0</v>
      </c>
      <c r="Y32" s="7">
        <f t="shared" si="20"/>
        <v>0</v>
      </c>
      <c r="Z32" s="7">
        <f t="shared" si="21"/>
        <v>0</v>
      </c>
      <c r="AA32" s="7">
        <f t="shared" si="22"/>
        <v>0</v>
      </c>
      <c r="AB32" s="7">
        <f t="shared" si="23"/>
        <v>0</v>
      </c>
      <c r="AC32" s="7">
        <f t="shared" si="24"/>
        <v>0</v>
      </c>
      <c r="AD32" s="7">
        <f t="shared" si="25"/>
        <v>0</v>
      </c>
      <c r="AE32" s="7">
        <f t="shared" si="26"/>
        <v>0</v>
      </c>
      <c r="AF32" s="7">
        <f t="shared" si="27"/>
        <v>0</v>
      </c>
      <c r="AG32" s="7">
        <f t="shared" si="28"/>
        <v>0</v>
      </c>
      <c r="AH32" s="7">
        <f t="shared" si="29"/>
        <v>0</v>
      </c>
      <c r="AI32" s="7">
        <f t="shared" si="30"/>
        <v>0</v>
      </c>
      <c r="AJ32" s="7">
        <f t="shared" si="31"/>
        <v>0</v>
      </c>
      <c r="AK32" s="7">
        <f t="shared" si="32"/>
        <v>0</v>
      </c>
    </row>
    <row r="33" spans="1:37" x14ac:dyDescent="0.2">
      <c r="A33" s="3" t="s">
        <v>99</v>
      </c>
      <c r="B33" s="11" t="s">
        <v>100</v>
      </c>
      <c r="C33" s="5" t="s">
        <v>55</v>
      </c>
      <c r="D33" s="6">
        <v>525</v>
      </c>
      <c r="E33" s="7">
        <f t="shared" si="0"/>
        <v>525</v>
      </c>
      <c r="F33" s="7">
        <f t="shared" ref="F33:F39" si="35">IF(C33="Fix",E33,"")</f>
        <v>525</v>
      </c>
      <c r="G33" s="7">
        <f t="shared" si="2"/>
        <v>525</v>
      </c>
      <c r="H33" s="7">
        <f t="shared" si="3"/>
        <v>525</v>
      </c>
      <c r="I33" s="7">
        <f t="shared" si="4"/>
        <v>525</v>
      </c>
      <c r="J33" s="7">
        <f t="shared" si="5"/>
        <v>525</v>
      </c>
      <c r="K33" s="7">
        <f t="shared" si="6"/>
        <v>525</v>
      </c>
      <c r="L33" s="7">
        <f t="shared" si="7"/>
        <v>525</v>
      </c>
      <c r="M33" s="7">
        <f t="shared" si="34"/>
        <v>525</v>
      </c>
      <c r="N33" s="7">
        <f t="shared" si="9"/>
        <v>525</v>
      </c>
      <c r="O33" s="7">
        <f t="shared" si="10"/>
        <v>525</v>
      </c>
      <c r="P33" s="7">
        <f t="shared" si="11"/>
        <v>525</v>
      </c>
      <c r="Q33" s="7">
        <f t="shared" si="12"/>
        <v>525</v>
      </c>
      <c r="R33" s="7">
        <f t="shared" si="13"/>
        <v>525</v>
      </c>
      <c r="S33" s="7">
        <f t="shared" si="14"/>
        <v>525</v>
      </c>
      <c r="T33" s="7">
        <f t="shared" si="15"/>
        <v>525</v>
      </c>
      <c r="U33" s="7">
        <f t="shared" si="16"/>
        <v>525</v>
      </c>
      <c r="V33" s="7">
        <f t="shared" si="17"/>
        <v>525</v>
      </c>
      <c r="W33" s="7">
        <f t="shared" si="18"/>
        <v>525</v>
      </c>
      <c r="X33" s="7">
        <f t="shared" si="19"/>
        <v>525</v>
      </c>
      <c r="Y33" s="7">
        <f t="shared" si="20"/>
        <v>525</v>
      </c>
      <c r="Z33" s="7">
        <f t="shared" si="21"/>
        <v>525</v>
      </c>
      <c r="AA33" s="7">
        <f t="shared" si="22"/>
        <v>525</v>
      </c>
      <c r="AB33" s="7">
        <f t="shared" si="23"/>
        <v>525</v>
      </c>
      <c r="AC33" s="7">
        <f t="shared" si="24"/>
        <v>525</v>
      </c>
      <c r="AD33" s="7">
        <f t="shared" si="25"/>
        <v>525</v>
      </c>
      <c r="AE33" s="7">
        <f t="shared" si="26"/>
        <v>525</v>
      </c>
      <c r="AF33" s="7">
        <f t="shared" si="27"/>
        <v>525</v>
      </c>
      <c r="AG33" s="7">
        <f t="shared" si="28"/>
        <v>525</v>
      </c>
      <c r="AH33" s="7">
        <f t="shared" si="29"/>
        <v>525</v>
      </c>
      <c r="AI33" s="7">
        <f t="shared" si="30"/>
        <v>525</v>
      </c>
      <c r="AJ33" s="7">
        <f t="shared" si="31"/>
        <v>525</v>
      </c>
      <c r="AK33" s="7">
        <f t="shared" si="32"/>
        <v>525</v>
      </c>
    </row>
    <row r="34" spans="1:37" x14ac:dyDescent="0.2">
      <c r="A34" s="3" t="s">
        <v>99</v>
      </c>
      <c r="B34" s="11" t="s">
        <v>101</v>
      </c>
      <c r="C34" s="5" t="s">
        <v>55</v>
      </c>
      <c r="D34" s="6">
        <v>581.29</v>
      </c>
      <c r="E34" s="7">
        <f t="shared" si="0"/>
        <v>581.29</v>
      </c>
      <c r="F34" s="7">
        <f t="shared" si="35"/>
        <v>581.29</v>
      </c>
      <c r="G34" s="7">
        <f t="shared" si="2"/>
        <v>581.29</v>
      </c>
      <c r="H34" s="7">
        <f t="shared" si="3"/>
        <v>581.29</v>
      </c>
      <c r="I34" s="7">
        <f t="shared" si="4"/>
        <v>581.29</v>
      </c>
      <c r="J34" s="7">
        <f t="shared" si="5"/>
        <v>581.29</v>
      </c>
      <c r="K34" s="7">
        <f t="shared" si="6"/>
        <v>581.29</v>
      </c>
      <c r="L34" s="7">
        <f t="shared" si="7"/>
        <v>581.29</v>
      </c>
      <c r="M34" s="7">
        <f t="shared" si="34"/>
        <v>581.29</v>
      </c>
      <c r="N34" s="7">
        <f t="shared" si="9"/>
        <v>581.29</v>
      </c>
      <c r="O34" s="7">
        <f t="shared" si="10"/>
        <v>581.29</v>
      </c>
      <c r="P34" s="7">
        <f t="shared" si="11"/>
        <v>581.29</v>
      </c>
      <c r="Q34" s="7">
        <f t="shared" si="12"/>
        <v>581.29</v>
      </c>
      <c r="R34" s="7">
        <f t="shared" si="13"/>
        <v>581.29</v>
      </c>
      <c r="S34" s="7">
        <f t="shared" si="14"/>
        <v>581.29</v>
      </c>
      <c r="T34" s="7">
        <f t="shared" si="15"/>
        <v>581.29</v>
      </c>
      <c r="U34" s="7">
        <f t="shared" si="16"/>
        <v>581.29</v>
      </c>
      <c r="V34" s="7">
        <f t="shared" si="17"/>
        <v>581.29</v>
      </c>
      <c r="W34" s="7">
        <f t="shared" si="18"/>
        <v>581.29</v>
      </c>
      <c r="X34" s="7">
        <f t="shared" si="19"/>
        <v>581.29</v>
      </c>
      <c r="Y34" s="7">
        <f t="shared" si="20"/>
        <v>581.29</v>
      </c>
      <c r="Z34" s="7">
        <f t="shared" si="21"/>
        <v>581.29</v>
      </c>
      <c r="AA34" s="7">
        <f t="shared" si="22"/>
        <v>581.29</v>
      </c>
      <c r="AB34" s="7">
        <f t="shared" si="23"/>
        <v>581.29</v>
      </c>
      <c r="AC34" s="7">
        <f t="shared" si="24"/>
        <v>581.29</v>
      </c>
      <c r="AD34" s="7">
        <f t="shared" si="25"/>
        <v>581.29</v>
      </c>
      <c r="AE34" s="7">
        <f t="shared" si="26"/>
        <v>581.29</v>
      </c>
      <c r="AF34" s="7">
        <f t="shared" si="27"/>
        <v>581.29</v>
      </c>
      <c r="AG34" s="7">
        <f t="shared" si="28"/>
        <v>581.29</v>
      </c>
      <c r="AH34" s="7">
        <f t="shared" si="29"/>
        <v>581.29</v>
      </c>
      <c r="AI34" s="7">
        <f t="shared" si="30"/>
        <v>581.29</v>
      </c>
      <c r="AJ34" s="7">
        <f t="shared" si="31"/>
        <v>581.29</v>
      </c>
      <c r="AK34" s="7">
        <f t="shared" si="32"/>
        <v>581.29</v>
      </c>
    </row>
    <row r="35" spans="1:37" x14ac:dyDescent="0.2">
      <c r="A35" s="3" t="s">
        <v>99</v>
      </c>
      <c r="B35" s="11" t="s">
        <v>102</v>
      </c>
      <c r="C35" s="5" t="s">
        <v>55</v>
      </c>
      <c r="D35" s="6">
        <v>211.6</v>
      </c>
      <c r="E35" s="7">
        <f t="shared" si="0"/>
        <v>211.6</v>
      </c>
      <c r="F35" s="7">
        <f t="shared" si="35"/>
        <v>211.6</v>
      </c>
      <c r="G35" s="7">
        <f t="shared" si="2"/>
        <v>211.6</v>
      </c>
      <c r="H35" s="7">
        <f t="shared" si="3"/>
        <v>211.6</v>
      </c>
      <c r="I35" s="7">
        <f t="shared" si="4"/>
        <v>211.6</v>
      </c>
      <c r="J35" s="7">
        <f t="shared" si="5"/>
        <v>211.6</v>
      </c>
      <c r="K35" s="7">
        <f t="shared" si="6"/>
        <v>211.6</v>
      </c>
      <c r="L35" s="7">
        <f t="shared" si="7"/>
        <v>211.6</v>
      </c>
      <c r="M35" s="7">
        <f t="shared" si="34"/>
        <v>211.6</v>
      </c>
      <c r="N35" s="7">
        <f t="shared" si="9"/>
        <v>211.6</v>
      </c>
      <c r="O35" s="7">
        <f t="shared" si="10"/>
        <v>211.6</v>
      </c>
      <c r="P35" s="7">
        <f t="shared" si="11"/>
        <v>211.6</v>
      </c>
      <c r="Q35" s="7">
        <f t="shared" si="12"/>
        <v>211.6</v>
      </c>
      <c r="R35" s="7">
        <f t="shared" si="13"/>
        <v>211.6</v>
      </c>
      <c r="S35" s="7">
        <f t="shared" si="14"/>
        <v>211.6</v>
      </c>
      <c r="T35" s="7">
        <f t="shared" si="15"/>
        <v>211.6</v>
      </c>
      <c r="U35" s="7">
        <f t="shared" si="16"/>
        <v>211.6</v>
      </c>
      <c r="V35" s="7">
        <f t="shared" si="17"/>
        <v>211.6</v>
      </c>
      <c r="W35" s="7">
        <f t="shared" si="18"/>
        <v>211.6</v>
      </c>
      <c r="X35" s="7">
        <f t="shared" si="19"/>
        <v>211.6</v>
      </c>
      <c r="Y35" s="7">
        <f t="shared" si="20"/>
        <v>211.6</v>
      </c>
      <c r="Z35" s="7">
        <f t="shared" si="21"/>
        <v>211.6</v>
      </c>
      <c r="AA35" s="7">
        <f t="shared" si="22"/>
        <v>211.6</v>
      </c>
      <c r="AB35" s="7">
        <f t="shared" si="23"/>
        <v>211.6</v>
      </c>
      <c r="AC35" s="7">
        <f t="shared" si="24"/>
        <v>211.6</v>
      </c>
      <c r="AD35" s="7">
        <f t="shared" si="25"/>
        <v>211.6</v>
      </c>
      <c r="AE35" s="7">
        <f t="shared" si="26"/>
        <v>211.6</v>
      </c>
      <c r="AF35" s="7">
        <f t="shared" si="27"/>
        <v>211.6</v>
      </c>
      <c r="AG35" s="7">
        <f t="shared" si="28"/>
        <v>211.6</v>
      </c>
      <c r="AH35" s="7">
        <f t="shared" si="29"/>
        <v>211.6</v>
      </c>
      <c r="AI35" s="7">
        <f t="shared" si="30"/>
        <v>211.6</v>
      </c>
      <c r="AJ35" s="7">
        <f t="shared" si="31"/>
        <v>211.6</v>
      </c>
      <c r="AK35" s="7">
        <f t="shared" si="32"/>
        <v>211.6</v>
      </c>
    </row>
    <row r="36" spans="1:37" x14ac:dyDescent="0.2">
      <c r="A36" s="3" t="s">
        <v>99</v>
      </c>
      <c r="B36" s="11" t="s">
        <v>103</v>
      </c>
      <c r="C36" s="5" t="s">
        <v>55</v>
      </c>
      <c r="D36" s="6">
        <v>690</v>
      </c>
      <c r="E36" s="7">
        <f t="shared" si="0"/>
        <v>690</v>
      </c>
      <c r="F36" s="7">
        <f t="shared" si="35"/>
        <v>690</v>
      </c>
      <c r="G36" s="7">
        <f t="shared" si="2"/>
        <v>690</v>
      </c>
      <c r="H36" s="7">
        <f t="shared" si="3"/>
        <v>690</v>
      </c>
      <c r="I36" s="7">
        <f t="shared" si="4"/>
        <v>690</v>
      </c>
      <c r="J36" s="7">
        <f t="shared" si="5"/>
        <v>690</v>
      </c>
      <c r="K36" s="7">
        <f t="shared" si="6"/>
        <v>690</v>
      </c>
      <c r="L36" s="7">
        <f t="shared" si="7"/>
        <v>690</v>
      </c>
      <c r="M36" s="7">
        <f t="shared" si="34"/>
        <v>690</v>
      </c>
      <c r="N36" s="7">
        <f t="shared" si="9"/>
        <v>690</v>
      </c>
      <c r="O36" s="7">
        <f t="shared" si="10"/>
        <v>690</v>
      </c>
      <c r="P36" s="7">
        <f t="shared" si="11"/>
        <v>690</v>
      </c>
      <c r="Q36" s="7">
        <f t="shared" si="12"/>
        <v>690</v>
      </c>
      <c r="R36" s="7">
        <f t="shared" si="13"/>
        <v>690</v>
      </c>
      <c r="S36" s="7">
        <f t="shared" si="14"/>
        <v>690</v>
      </c>
      <c r="T36" s="7">
        <f t="shared" si="15"/>
        <v>690</v>
      </c>
      <c r="U36" s="7">
        <f t="shared" si="16"/>
        <v>690</v>
      </c>
      <c r="V36" s="7">
        <f t="shared" si="17"/>
        <v>690</v>
      </c>
      <c r="W36" s="7">
        <f t="shared" si="18"/>
        <v>690</v>
      </c>
      <c r="X36" s="7">
        <f t="shared" si="19"/>
        <v>690</v>
      </c>
      <c r="Y36" s="7">
        <f t="shared" si="20"/>
        <v>690</v>
      </c>
      <c r="Z36" s="7">
        <f t="shared" si="21"/>
        <v>690</v>
      </c>
      <c r="AA36" s="7">
        <f t="shared" si="22"/>
        <v>690</v>
      </c>
      <c r="AB36" s="7">
        <f t="shared" si="23"/>
        <v>690</v>
      </c>
      <c r="AC36" s="7">
        <f t="shared" si="24"/>
        <v>690</v>
      </c>
      <c r="AD36" s="7">
        <f t="shared" si="25"/>
        <v>690</v>
      </c>
      <c r="AE36" s="7">
        <f t="shared" si="26"/>
        <v>690</v>
      </c>
      <c r="AF36" s="7">
        <f t="shared" si="27"/>
        <v>690</v>
      </c>
      <c r="AG36" s="7">
        <f t="shared" si="28"/>
        <v>690</v>
      </c>
      <c r="AH36" s="7">
        <f t="shared" si="29"/>
        <v>690</v>
      </c>
      <c r="AI36" s="7">
        <f t="shared" si="30"/>
        <v>690</v>
      </c>
      <c r="AJ36" s="7">
        <f t="shared" si="31"/>
        <v>690</v>
      </c>
      <c r="AK36" s="7">
        <f t="shared" si="32"/>
        <v>690</v>
      </c>
    </row>
    <row r="37" spans="1:37" x14ac:dyDescent="0.2">
      <c r="A37" s="3" t="s">
        <v>104</v>
      </c>
      <c r="B37" s="11" t="s">
        <v>105</v>
      </c>
      <c r="C37" s="5" t="s">
        <v>55</v>
      </c>
      <c r="D37" s="6">
        <v>455.28</v>
      </c>
      <c r="E37" s="7">
        <f t="shared" si="0"/>
        <v>455.28</v>
      </c>
      <c r="F37" s="7">
        <f t="shared" si="35"/>
        <v>455.28</v>
      </c>
      <c r="G37" s="7">
        <f t="shared" si="2"/>
        <v>455.28</v>
      </c>
      <c r="H37" s="7">
        <f t="shared" si="3"/>
        <v>455.28</v>
      </c>
      <c r="I37" s="7">
        <f t="shared" si="4"/>
        <v>455.28</v>
      </c>
      <c r="J37" s="7">
        <f t="shared" si="5"/>
        <v>455.28</v>
      </c>
      <c r="K37" s="7">
        <f t="shared" si="6"/>
        <v>455.28</v>
      </c>
      <c r="L37" s="7">
        <f t="shared" si="7"/>
        <v>455.28</v>
      </c>
      <c r="M37" s="7">
        <f t="shared" si="34"/>
        <v>455.28</v>
      </c>
      <c r="N37" s="7">
        <f t="shared" si="9"/>
        <v>455.28</v>
      </c>
      <c r="O37" s="7">
        <f t="shared" si="10"/>
        <v>455.28</v>
      </c>
      <c r="P37" s="7">
        <f t="shared" si="11"/>
        <v>455.28</v>
      </c>
      <c r="Q37" s="7">
        <f t="shared" si="12"/>
        <v>455.28</v>
      </c>
      <c r="R37" s="7">
        <f t="shared" si="13"/>
        <v>455.28</v>
      </c>
      <c r="S37" s="7">
        <f t="shared" si="14"/>
        <v>455.28</v>
      </c>
      <c r="T37" s="7">
        <f t="shared" si="15"/>
        <v>455.28</v>
      </c>
      <c r="U37" s="7">
        <f t="shared" si="16"/>
        <v>455.28</v>
      </c>
      <c r="V37" s="7">
        <f t="shared" si="17"/>
        <v>455.28</v>
      </c>
      <c r="W37" s="7">
        <f t="shared" si="18"/>
        <v>455.28</v>
      </c>
      <c r="X37" s="7">
        <f t="shared" si="19"/>
        <v>455.28</v>
      </c>
      <c r="Y37" s="7">
        <f t="shared" si="20"/>
        <v>455.28</v>
      </c>
      <c r="Z37" s="7">
        <f t="shared" si="21"/>
        <v>455.28</v>
      </c>
      <c r="AA37" s="7">
        <f t="shared" si="22"/>
        <v>455.28</v>
      </c>
      <c r="AB37" s="7">
        <f t="shared" si="23"/>
        <v>455.28</v>
      </c>
      <c r="AC37" s="7">
        <f t="shared" si="24"/>
        <v>455.28</v>
      </c>
      <c r="AD37" s="7">
        <f t="shared" si="25"/>
        <v>455.28</v>
      </c>
      <c r="AE37" s="7">
        <f t="shared" si="26"/>
        <v>455.28</v>
      </c>
      <c r="AF37" s="7">
        <f t="shared" si="27"/>
        <v>455.28</v>
      </c>
      <c r="AG37" s="7">
        <f t="shared" si="28"/>
        <v>455.28</v>
      </c>
      <c r="AH37" s="7">
        <f t="shared" si="29"/>
        <v>455.28</v>
      </c>
      <c r="AI37" s="7">
        <f t="shared" si="30"/>
        <v>455.28</v>
      </c>
      <c r="AJ37" s="7">
        <f t="shared" si="31"/>
        <v>455.28</v>
      </c>
      <c r="AK37" s="7">
        <f t="shared" si="32"/>
        <v>455.28</v>
      </c>
    </row>
    <row r="38" spans="1:37" x14ac:dyDescent="0.2">
      <c r="A38" s="3"/>
      <c r="B38" s="4"/>
      <c r="C38" s="5"/>
      <c r="D38" s="6"/>
      <c r="E38" s="7" t="str">
        <f t="shared" si="0"/>
        <v/>
      </c>
      <c r="F38" s="7" t="str">
        <f t="shared" si="35"/>
        <v/>
      </c>
      <c r="G38" s="7" t="str">
        <f t="shared" si="2"/>
        <v/>
      </c>
      <c r="H38" s="7" t="str">
        <f t="shared" si="3"/>
        <v/>
      </c>
      <c r="I38" s="7" t="str">
        <f t="shared" si="4"/>
        <v/>
      </c>
      <c r="J38" s="7" t="str">
        <f t="shared" si="5"/>
        <v/>
      </c>
      <c r="K38" s="7" t="str">
        <f t="shared" si="6"/>
        <v/>
      </c>
      <c r="L38" s="7" t="str">
        <f t="shared" si="7"/>
        <v/>
      </c>
      <c r="M38" s="7" t="str">
        <f t="shared" si="34"/>
        <v/>
      </c>
      <c r="N38" s="7" t="str">
        <f t="shared" si="9"/>
        <v/>
      </c>
      <c r="O38" s="7" t="str">
        <f t="shared" si="10"/>
        <v/>
      </c>
      <c r="P38" s="7" t="str">
        <f t="shared" si="11"/>
        <v/>
      </c>
      <c r="Q38" s="7" t="str">
        <f t="shared" si="12"/>
        <v/>
      </c>
      <c r="R38" s="7" t="str">
        <f t="shared" si="13"/>
        <v/>
      </c>
      <c r="S38" s="7" t="str">
        <f t="shared" si="14"/>
        <v/>
      </c>
      <c r="T38" s="7" t="str">
        <f t="shared" si="15"/>
        <v/>
      </c>
      <c r="U38" s="7" t="str">
        <f t="shared" si="16"/>
        <v/>
      </c>
      <c r="V38" s="7" t="str">
        <f t="shared" si="17"/>
        <v/>
      </c>
      <c r="W38" s="7" t="str">
        <f t="shared" si="18"/>
        <v/>
      </c>
      <c r="X38" s="7" t="str">
        <f t="shared" si="19"/>
        <v/>
      </c>
      <c r="Y38" s="7" t="str">
        <f t="shared" si="20"/>
        <v/>
      </c>
      <c r="Z38" s="7" t="str">
        <f t="shared" si="21"/>
        <v/>
      </c>
      <c r="AA38" s="7" t="str">
        <f t="shared" si="22"/>
        <v/>
      </c>
      <c r="AB38" s="7" t="str">
        <f t="shared" si="23"/>
        <v/>
      </c>
      <c r="AC38" s="7" t="str">
        <f t="shared" si="24"/>
        <v/>
      </c>
      <c r="AD38" s="7" t="str">
        <f t="shared" si="25"/>
        <v/>
      </c>
      <c r="AE38" s="7" t="str">
        <f t="shared" si="26"/>
        <v/>
      </c>
      <c r="AF38" s="7" t="str">
        <f t="shared" si="27"/>
        <v/>
      </c>
      <c r="AG38" s="7" t="str">
        <f t="shared" si="28"/>
        <v/>
      </c>
      <c r="AH38" s="7" t="str">
        <f t="shared" si="29"/>
        <v/>
      </c>
      <c r="AI38" s="7" t="str">
        <f t="shared" si="30"/>
        <v/>
      </c>
      <c r="AJ38" s="7" t="str">
        <f t="shared" si="31"/>
        <v/>
      </c>
      <c r="AK38" s="7" t="str">
        <f t="shared" si="32"/>
        <v/>
      </c>
    </row>
    <row r="39" spans="1:37" x14ac:dyDescent="0.2">
      <c r="A39" s="3"/>
      <c r="B39" s="4"/>
      <c r="C39" s="5"/>
      <c r="D39" s="6"/>
      <c r="E39" s="7" t="str">
        <f t="shared" si="0"/>
        <v/>
      </c>
      <c r="F39" s="7" t="str">
        <f t="shared" si="35"/>
        <v/>
      </c>
      <c r="G39" s="7" t="str">
        <f t="shared" si="2"/>
        <v/>
      </c>
      <c r="H39" s="7" t="str">
        <f t="shared" si="3"/>
        <v/>
      </c>
      <c r="I39" s="7" t="str">
        <f t="shared" si="4"/>
        <v/>
      </c>
      <c r="J39" s="7" t="str">
        <f t="shared" si="5"/>
        <v/>
      </c>
      <c r="K39" s="7" t="str">
        <f t="shared" si="6"/>
        <v/>
      </c>
      <c r="L39" s="7" t="str">
        <f t="shared" si="7"/>
        <v/>
      </c>
      <c r="M39" s="7" t="str">
        <f t="shared" si="34"/>
        <v/>
      </c>
      <c r="N39" s="7" t="str">
        <f t="shared" si="9"/>
        <v/>
      </c>
      <c r="O39" s="7" t="str">
        <f t="shared" si="10"/>
        <v/>
      </c>
      <c r="P39" s="7" t="str">
        <f t="shared" si="11"/>
        <v/>
      </c>
      <c r="Q39" s="7" t="str">
        <f t="shared" si="12"/>
        <v/>
      </c>
      <c r="R39" s="7" t="str">
        <f t="shared" si="13"/>
        <v/>
      </c>
      <c r="S39" s="7" t="str">
        <f t="shared" si="14"/>
        <v/>
      </c>
      <c r="T39" s="7" t="str">
        <f t="shared" si="15"/>
        <v/>
      </c>
      <c r="U39" s="7" t="str">
        <f t="shared" si="16"/>
        <v/>
      </c>
    </row>
    <row r="40" spans="1:37" x14ac:dyDescent="0.2">
      <c r="A40" s="35" t="s">
        <v>106</v>
      </c>
      <c r="B40" s="30"/>
      <c r="C40" s="31"/>
      <c r="D40" s="8">
        <f>SUMIF(C5:C38,"Fix",D5:D38)</f>
        <v>6066.88</v>
      </c>
      <c r="E40" s="8">
        <f>SUMIF(C5:C38,"Fix",E5:E38)</f>
        <v>6066.88</v>
      </c>
      <c r="F40" s="8">
        <f>SUMIF(C5:C38,"Fix",F5:F38)</f>
        <v>5596.88</v>
      </c>
      <c r="G40" s="8">
        <f>SUMIF(C5:C38,"Fix",G5:G38)</f>
        <v>5596.88</v>
      </c>
      <c r="H40" s="8">
        <f>SUMIF(C5:C38,"Fix",H5:H38)</f>
        <v>5596.88</v>
      </c>
      <c r="I40" s="8">
        <f>SUMIF(C5:C38,"Fix",I5:I38)</f>
        <v>5596.88</v>
      </c>
      <c r="J40" s="8">
        <f>SUMIF(C5:C38,"Fix",J5:J38)</f>
        <v>5596.88</v>
      </c>
      <c r="K40" s="8">
        <f>SUMIF(C5:C38,"Fix",K5:K38)</f>
        <v>5596.88</v>
      </c>
      <c r="L40" s="8">
        <f>SUMIF(C5:C38,"Fix",L5:L38)</f>
        <v>5596.88</v>
      </c>
      <c r="M40" s="8">
        <f>SUMIF(C5:C38,"Fix",M5:M38)</f>
        <v>4966.88</v>
      </c>
      <c r="N40" s="8">
        <f>SUMIF(C5:C38,"Fix",N5:N38)</f>
        <v>4966.88</v>
      </c>
      <c r="O40" s="8">
        <f>SUMIF(C5:C38,"Fix",O5:O38)</f>
        <v>4966.88</v>
      </c>
      <c r="P40" s="8">
        <f>SUMIF(C5:C38,"Fix",P5:P38)</f>
        <v>4966.88</v>
      </c>
      <c r="Q40" s="8">
        <f>SUMIF(C5:C38,"Fix",Q5:Q38)</f>
        <v>4966.88</v>
      </c>
      <c r="R40" s="8">
        <f>SUMIF(C5:C38,"Fix",R5:R38)</f>
        <v>4966.88</v>
      </c>
      <c r="S40" s="8">
        <f>SUMIF(C5:C38,"Fix",S5:S38)</f>
        <v>4966.88</v>
      </c>
      <c r="T40" s="8">
        <f>SUMIF(C5:C38,"Fix",T5:T38)</f>
        <v>4966.88</v>
      </c>
      <c r="U40" s="8">
        <f>SUMIF(C5:C38,"Fix",U5:U38)</f>
        <v>4966.88</v>
      </c>
      <c r="V40" s="8">
        <f>SUMIF(C5:C38,"Fix",V5:V38)</f>
        <v>4966.88</v>
      </c>
      <c r="W40" s="8">
        <f>SUMIF(C5:C38,"Fix",W5:W38)</f>
        <v>4966.88</v>
      </c>
      <c r="X40" s="8">
        <f>SUMIF(C5:C38,"Fix",X5:X38)</f>
        <v>4966.88</v>
      </c>
      <c r="Y40" s="8">
        <f>SUMIF(C5:C38,"Fix",Y5:Y38)</f>
        <v>4966.88</v>
      </c>
      <c r="Z40" s="8">
        <f>SUMIF(C5:C38,"Fix",Z5:Z38)</f>
        <v>4966.88</v>
      </c>
      <c r="AA40" s="8">
        <f>SUMIF(C5:C38,"Fix",AA5:AA38)</f>
        <v>4966.88</v>
      </c>
      <c r="AB40" s="8">
        <f>SUMIF(C5:C38,"Fix",AB5:AB38)</f>
        <v>4966.88</v>
      </c>
      <c r="AC40" s="8">
        <f>SUMIF(C5:C38,"Fix",AC5:AC38)</f>
        <v>4966.88</v>
      </c>
      <c r="AD40" s="8">
        <f>SUMIF(C5:C38,"Fix",AD5:AD38)</f>
        <v>4966.88</v>
      </c>
      <c r="AE40" s="8">
        <f>SUMIF(C5:C38,"Fix",AE5:AE38)</f>
        <v>4966.88</v>
      </c>
      <c r="AF40" s="8">
        <f>SUMIF(C5:C38,"Fix",AF5:AF38)</f>
        <v>4966.88</v>
      </c>
      <c r="AG40" s="8">
        <f>SUMIF(C5:C38,"Fix",AG5:AG38)</f>
        <v>4966.88</v>
      </c>
      <c r="AH40" s="8">
        <f>SUMIF(C5:C38,"Fix",AH5:AH38)</f>
        <v>4966.88</v>
      </c>
      <c r="AI40" s="8">
        <f>SUMIF(C5:C38,"Fix",AI5:AI38)</f>
        <v>4966.88</v>
      </c>
      <c r="AJ40" s="8">
        <f>SUMIF(C5:C38,"Fix",AJ5:AJ38)</f>
        <v>4966.88</v>
      </c>
      <c r="AK40" s="8">
        <f>SUMIF(C5:C38,"Fix",AK5:AK38)</f>
        <v>4966.88</v>
      </c>
    </row>
    <row r="41" spans="1:37" x14ac:dyDescent="0.2">
      <c r="A41" s="33" t="s">
        <v>107</v>
      </c>
      <c r="B41" s="30"/>
      <c r="C41" s="31"/>
      <c r="D41" s="9">
        <f>SUMIF(C5:C38,"Variabel",D5:D38)</f>
        <v>2365</v>
      </c>
      <c r="E41" s="9">
        <f>SUMIF(C5:C38,"Variabel",E5:E38)</f>
        <v>0</v>
      </c>
      <c r="F41" s="9">
        <f>SUMIF(C5:C38,"Variabel",F5:F38)</f>
        <v>0</v>
      </c>
      <c r="G41" s="9">
        <f>SUMIF(C5:C38,"Variabel",G5:G38)</f>
        <v>0</v>
      </c>
      <c r="H41" s="9">
        <f>SUMIF(C5:C38,"Variabel",H5:H38)</f>
        <v>0</v>
      </c>
      <c r="I41" s="9">
        <f>SUMIF(C5:C38,"Variabel",I5:I38)</f>
        <v>0</v>
      </c>
      <c r="J41" s="9">
        <f>SUMIF(C5:C38,"Variabel",J5:J38)</f>
        <v>0</v>
      </c>
      <c r="K41" s="9">
        <f>SUMIF(C5:C38,"Variabel",K5:K38)</f>
        <v>0</v>
      </c>
      <c r="L41" s="9">
        <f>SUMIF(C5:C38,"Variabel",L5:L38)</f>
        <v>0</v>
      </c>
      <c r="M41" s="9">
        <f>SUMIF(C5:C38,"Variabel",M5:M38)</f>
        <v>0</v>
      </c>
      <c r="N41" s="9">
        <f>SUMIF(C5:C38,"Variabel",N5:N38)</f>
        <v>0</v>
      </c>
      <c r="O41" s="9">
        <f>SUMIF(C5:C38,"Variabel",O5:O38)</f>
        <v>0</v>
      </c>
      <c r="P41" s="9">
        <f>SUMIF(C5:C38,"Variabel",P5:P38)</f>
        <v>0</v>
      </c>
      <c r="Q41" s="9">
        <f>SUMIF(C5:C38,"Variabel",Q5:Q38)</f>
        <v>0</v>
      </c>
      <c r="R41" s="9">
        <f>SUMIF(C5:C38,"Variabel",R5:R38)</f>
        <v>0</v>
      </c>
      <c r="S41" s="9">
        <f>SUMIF(C5:C38,"Variabel",S5:S38)</f>
        <v>0</v>
      </c>
      <c r="T41" s="9">
        <f>SUMIF(C5:C38,"Variabel",T5:T38)</f>
        <v>0</v>
      </c>
      <c r="U41" s="9">
        <f>SUMIF(C5:C38,"Variabel",U5:U38)</f>
        <v>0</v>
      </c>
      <c r="V41" s="9">
        <f>SUMIF(C5:C38,"Variabel",V5:V38)</f>
        <v>0</v>
      </c>
      <c r="W41" s="9">
        <f>SUMIF(C5:C38,"Variabel",W5:W38)</f>
        <v>0</v>
      </c>
      <c r="X41" s="9">
        <f>SUMIF(C5:C38,"Variabel",X5:X38)</f>
        <v>0</v>
      </c>
      <c r="Y41" s="9">
        <f>SUMIF(C5:C38,"Variabel",Y5:Y38)</f>
        <v>0</v>
      </c>
      <c r="Z41" s="9">
        <f>SUMIF(C5:C38,"Variabel",Z5:Z38)</f>
        <v>0</v>
      </c>
      <c r="AA41" s="9">
        <f>SUMIF(C5:C38,"Variabel",AA5:AA38)</f>
        <v>0</v>
      </c>
      <c r="AB41" s="9">
        <f>SUMIF(C5:C38,"Variabel",AB5:AB38)</f>
        <v>0</v>
      </c>
      <c r="AC41" s="9">
        <f>SUMIF(C5:C38,"Variabel",AC5:AC38)</f>
        <v>0</v>
      </c>
      <c r="AD41" s="9">
        <f>SUMIF(C5:C38,"Variabel",AD5:AD38)</f>
        <v>0</v>
      </c>
      <c r="AE41" s="9">
        <f>SUMIF(C5:C38,"Variabel",AE5:AE38)</f>
        <v>0</v>
      </c>
      <c r="AF41" s="9">
        <f>SUMIF(C5:C38,"Variabel",AF5:AF38)</f>
        <v>0</v>
      </c>
      <c r="AG41" s="9">
        <f>SUMIF(C5:C38,"Variabel",AG5:AG38)</f>
        <v>0</v>
      </c>
      <c r="AH41" s="9">
        <f>SUMIF(C5:C38,"Variabel",AH5:AH38)</f>
        <v>0</v>
      </c>
      <c r="AI41" s="9">
        <f>SUMIF(C5:C38,"Variabel",AI5:AI38)</f>
        <v>0</v>
      </c>
      <c r="AJ41" s="9">
        <f>SUMIF(C5:C38,"Variabel",AJ5:AJ38)</f>
        <v>0</v>
      </c>
      <c r="AK41" s="9">
        <f>SUMIF(C5:C38,"Variabel",AK5:AK38)</f>
        <v>0</v>
      </c>
    </row>
    <row r="42" spans="1:37" x14ac:dyDescent="0.2">
      <c r="A42" s="29" t="s">
        <v>108</v>
      </c>
      <c r="B42" s="30"/>
      <c r="C42" s="31"/>
      <c r="D42" s="10">
        <f t="shared" ref="D42:AK42" si="36">D40+D41</f>
        <v>8431.880000000001</v>
      </c>
      <c r="E42" s="10">
        <f t="shared" si="36"/>
        <v>6066.88</v>
      </c>
      <c r="F42" s="10">
        <f t="shared" si="36"/>
        <v>5596.88</v>
      </c>
      <c r="G42" s="10">
        <f t="shared" si="36"/>
        <v>5596.88</v>
      </c>
      <c r="H42" s="10">
        <f t="shared" si="36"/>
        <v>5596.88</v>
      </c>
      <c r="I42" s="10">
        <f t="shared" si="36"/>
        <v>5596.88</v>
      </c>
      <c r="J42" s="10">
        <f t="shared" si="36"/>
        <v>5596.88</v>
      </c>
      <c r="K42" s="10">
        <f t="shared" si="36"/>
        <v>5596.88</v>
      </c>
      <c r="L42" s="10">
        <f t="shared" si="36"/>
        <v>5596.88</v>
      </c>
      <c r="M42" s="10">
        <f t="shared" si="36"/>
        <v>4966.88</v>
      </c>
      <c r="N42" s="10">
        <f t="shared" si="36"/>
        <v>4966.88</v>
      </c>
      <c r="O42" s="10">
        <f t="shared" si="36"/>
        <v>4966.88</v>
      </c>
      <c r="P42" s="10">
        <f t="shared" si="36"/>
        <v>4966.88</v>
      </c>
      <c r="Q42" s="10">
        <f t="shared" si="36"/>
        <v>4966.88</v>
      </c>
      <c r="R42" s="10">
        <f t="shared" si="36"/>
        <v>4966.88</v>
      </c>
      <c r="S42" s="10">
        <f t="shared" si="36"/>
        <v>4966.88</v>
      </c>
      <c r="T42" s="10">
        <f t="shared" si="36"/>
        <v>4966.88</v>
      </c>
      <c r="U42" s="10">
        <f t="shared" si="36"/>
        <v>4966.88</v>
      </c>
      <c r="V42" s="10">
        <f t="shared" si="36"/>
        <v>4966.88</v>
      </c>
      <c r="W42" s="10">
        <f t="shared" si="36"/>
        <v>4966.88</v>
      </c>
      <c r="X42" s="10">
        <f t="shared" si="36"/>
        <v>4966.88</v>
      </c>
      <c r="Y42" s="10">
        <f t="shared" si="36"/>
        <v>4966.88</v>
      </c>
      <c r="Z42" s="10">
        <f t="shared" si="36"/>
        <v>4966.88</v>
      </c>
      <c r="AA42" s="10">
        <f t="shared" si="36"/>
        <v>4966.88</v>
      </c>
      <c r="AB42" s="10">
        <f t="shared" si="36"/>
        <v>4966.88</v>
      </c>
      <c r="AC42" s="10">
        <f t="shared" si="36"/>
        <v>4966.88</v>
      </c>
      <c r="AD42" s="10">
        <f t="shared" si="36"/>
        <v>4966.88</v>
      </c>
      <c r="AE42" s="10">
        <f t="shared" si="36"/>
        <v>4966.88</v>
      </c>
      <c r="AF42" s="10">
        <f t="shared" si="36"/>
        <v>4966.88</v>
      </c>
      <c r="AG42" s="10">
        <f t="shared" si="36"/>
        <v>4966.88</v>
      </c>
      <c r="AH42" s="10">
        <f t="shared" si="36"/>
        <v>4966.88</v>
      </c>
      <c r="AI42" s="10">
        <f t="shared" si="36"/>
        <v>4966.88</v>
      </c>
      <c r="AJ42" s="10">
        <f t="shared" si="36"/>
        <v>4966.88</v>
      </c>
      <c r="AK42" s="10">
        <f t="shared" si="36"/>
        <v>4966.88</v>
      </c>
    </row>
  </sheetData>
  <mergeCells count="5">
    <mergeCell ref="A42:C42"/>
    <mergeCell ref="A2:L2"/>
    <mergeCell ref="A41:C41"/>
    <mergeCell ref="A1:F1"/>
    <mergeCell ref="A40:C40"/>
  </mergeCells>
  <conditionalFormatting sqref="A5:C39">
    <cfRule type="expression" dxfId="3" priority="1">
      <formula>AND($A5&lt;&gt;"",COUNTIF($A$5:$A$38,$A5)&gt;1)</formula>
    </cfRule>
  </conditionalFormatting>
  <conditionalFormatting sqref="C5:C39">
    <cfRule type="cellIs" dxfId="2" priority="4" operator="equal">
      <formula>"Fix"</formula>
    </cfRule>
    <cfRule type="cellIs" dxfId="1" priority="5" operator="equal">
      <formula>"Variabel"</formula>
    </cfRule>
  </conditionalFormatting>
  <dataValidations count="1">
    <dataValidation type="list" allowBlank="1" sqref="C5:C39" xr:uid="{00000000-0002-0000-0000-000000000000}">
      <formula1>"Fix,Variabel"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tabSelected="1" workbookViewId="0">
      <pane ySplit="5" topLeftCell="A27" activePane="bottomLeft" state="frozen"/>
      <selection pane="bottomLeft" activeCell="G31" sqref="G31"/>
    </sheetView>
  </sheetViews>
  <sheetFormatPr baseColWidth="10" defaultColWidth="8.83203125" defaultRowHeight="15" x14ac:dyDescent="0.2"/>
  <cols>
    <col min="1" max="1" width="8" customWidth="1"/>
    <col min="2" max="2" width="26" customWidth="1"/>
    <col min="3" max="3" width="13" customWidth="1"/>
    <col min="4" max="4" width="26" customWidth="1"/>
    <col min="5" max="5" width="13" customWidth="1"/>
    <col min="6" max="6" width="15" customWidth="1"/>
  </cols>
  <sheetData>
    <row r="1" spans="1:7" ht="20" x14ac:dyDescent="0.2">
      <c r="A1" s="26" t="s">
        <v>0</v>
      </c>
      <c r="B1" s="24"/>
      <c r="C1" s="24"/>
      <c r="D1" s="24"/>
      <c r="E1" s="24"/>
      <c r="F1" s="24"/>
    </row>
    <row r="2" spans="1:7" ht="42" customHeight="1" x14ac:dyDescent="0.2">
      <c r="A2" s="23" t="s">
        <v>1</v>
      </c>
      <c r="B2" s="24"/>
      <c r="C2" s="24"/>
      <c r="D2" s="24"/>
      <c r="E2" s="24"/>
      <c r="F2" s="24"/>
    </row>
    <row r="3" spans="1:7" x14ac:dyDescent="0.2">
      <c r="A3" s="27" t="s">
        <v>2</v>
      </c>
      <c r="B3" s="24"/>
      <c r="C3" s="24"/>
      <c r="D3" s="13">
        <v>1</v>
      </c>
      <c r="E3" s="28" t="str">
        <f>"→ "&amp;INDEX('Fixkosten-Variable Kosten'!$D$4:$AK$4,1,$D$3)</f>
        <v>→ Monat 1</v>
      </c>
      <c r="F3" s="24"/>
      <c r="G3" t="s">
        <v>20</v>
      </c>
    </row>
    <row r="5" spans="1:7" x14ac:dyDescent="0.2">
      <c r="A5" s="14" t="s">
        <v>3</v>
      </c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</row>
    <row r="6" spans="1:7" x14ac:dyDescent="0.2">
      <c r="A6" s="15">
        <f>VALUE(SUBSTITUTE(TRIM('Fixkosten-Variable Kosten'!A5),".",""))</f>
        <v>1</v>
      </c>
      <c r="B6" s="16" t="str">
        <f>'Fixkosten-Variable Kosten'!B5</f>
        <v>Claude Code</v>
      </c>
      <c r="C6" s="17">
        <f>INDEX('Fixkosten-Variable Kosten'!$D5:$AK5,1,$D$3)</f>
        <v>17.989999999999998</v>
      </c>
      <c r="D6" s="37" t="s">
        <v>110</v>
      </c>
      <c r="E6" s="19">
        <v>7.83</v>
      </c>
      <c r="F6" s="20"/>
    </row>
    <row r="7" spans="1:7" x14ac:dyDescent="0.2">
      <c r="A7" s="15">
        <v>1</v>
      </c>
      <c r="B7" s="16"/>
      <c r="C7" s="17"/>
      <c r="D7" s="37" t="s">
        <v>110</v>
      </c>
      <c r="E7" s="19">
        <v>9.4600000000000009</v>
      </c>
      <c r="F7" s="20"/>
    </row>
    <row r="8" spans="1:7" x14ac:dyDescent="0.2">
      <c r="A8" s="15">
        <v>1</v>
      </c>
      <c r="B8" s="16"/>
      <c r="C8" s="17"/>
      <c r="D8" s="37" t="s">
        <v>111</v>
      </c>
      <c r="E8" s="19">
        <v>1040.6099999999999</v>
      </c>
      <c r="F8" s="20"/>
    </row>
    <row r="9" spans="1:7" x14ac:dyDescent="0.2">
      <c r="A9" s="15">
        <f>VALUE(SUBSTITUTE(TRIM('Fixkosten-Variable Kosten'!A6),".",""))</f>
        <v>2</v>
      </c>
      <c r="B9" s="16" t="str">
        <f>'Fixkosten-Variable Kosten'!B6</f>
        <v>Rechtsschutz</v>
      </c>
      <c r="C9" s="17">
        <f>INDEX('Fixkosten-Variable Kosten'!$D6:$AK6,1,$D$3)</f>
        <v>68.650000000000006</v>
      </c>
      <c r="D9" s="37" t="s">
        <v>112</v>
      </c>
      <c r="E9" s="19">
        <v>307.62</v>
      </c>
      <c r="F9" s="20"/>
    </row>
    <row r="10" spans="1:7" x14ac:dyDescent="0.2">
      <c r="A10" s="15">
        <f>VALUE(SUBSTITUTE(TRIM('Fixkosten-Variable Kosten'!A7),".",""))</f>
        <v>2</v>
      </c>
      <c r="B10" s="16" t="str">
        <f>'Fixkosten-Variable Kosten'!B7</f>
        <v>Grover</v>
      </c>
      <c r="C10" s="17">
        <f>INDEX('Fixkosten-Variable Kosten'!$D7:$AK7,1,$D$3)</f>
        <v>24.9</v>
      </c>
      <c r="D10" s="37" t="s">
        <v>113</v>
      </c>
      <c r="E10" s="19">
        <v>997.84</v>
      </c>
      <c r="F10" s="20"/>
    </row>
    <row r="11" spans="1:7" x14ac:dyDescent="0.2">
      <c r="A11" s="15">
        <v>2</v>
      </c>
      <c r="B11" s="16"/>
      <c r="C11" s="17"/>
      <c r="D11" s="37" t="s">
        <v>114</v>
      </c>
      <c r="E11" s="19">
        <v>371.88</v>
      </c>
      <c r="F11" s="20"/>
    </row>
    <row r="12" spans="1:7" x14ac:dyDescent="0.2">
      <c r="A12" s="15">
        <v>2</v>
      </c>
      <c r="B12" s="16"/>
      <c r="C12" s="17"/>
      <c r="D12" s="18"/>
      <c r="E12" s="19"/>
      <c r="F12" s="20" t="s">
        <v>9</v>
      </c>
    </row>
    <row r="13" spans="1:7" x14ac:dyDescent="0.2">
      <c r="A13" s="15">
        <f>VALUE(SUBSTITUTE(TRIM('Fixkosten-Variable Kosten'!A8),".",""))</f>
        <v>3</v>
      </c>
      <c r="B13" s="16" t="str">
        <f>'Fixkosten-Variable Kosten'!B8</f>
        <v>Vers. Leasing</v>
      </c>
      <c r="C13" s="17">
        <f>INDEX('Fixkosten-Variable Kosten'!$D8:$AK8,1,$D$3)</f>
        <v>24.9</v>
      </c>
      <c r="D13" s="18"/>
      <c r="E13" s="19"/>
      <c r="F13" s="20" t="s">
        <v>9</v>
      </c>
    </row>
    <row r="14" spans="1:7" x14ac:dyDescent="0.2">
      <c r="A14" s="15">
        <f>VALUE(SUBSTITUTE(TRIM('Fixkosten-Variable Kosten'!A9),".",""))</f>
        <v>3</v>
      </c>
      <c r="B14" s="16" t="str">
        <f>'Fixkosten-Variable Kosten'!B9</f>
        <v xml:space="preserve"> Taxi Werbung</v>
      </c>
      <c r="C14" s="17">
        <f>INDEX('Fixkosten-Variable Kosten'!$D9:$AK9,1,$D$3)</f>
        <v>202.42</v>
      </c>
      <c r="D14" s="18"/>
      <c r="E14" s="19"/>
      <c r="F14" s="20" t="s">
        <v>9</v>
      </c>
    </row>
    <row r="15" spans="1:7" x14ac:dyDescent="0.2">
      <c r="A15" s="15">
        <v>3</v>
      </c>
      <c r="B15" s="16"/>
      <c r="C15" s="17"/>
      <c r="D15" s="18"/>
      <c r="E15" s="19"/>
      <c r="F15" s="20" t="s">
        <v>9</v>
      </c>
    </row>
    <row r="16" spans="1:7" x14ac:dyDescent="0.2">
      <c r="A16" s="15">
        <v>3</v>
      </c>
      <c r="B16" s="16"/>
      <c r="C16" s="17"/>
      <c r="D16" s="18"/>
      <c r="E16" s="19"/>
      <c r="F16" s="20" t="s">
        <v>9</v>
      </c>
    </row>
    <row r="17" spans="1:6" x14ac:dyDescent="0.2">
      <c r="A17" s="15">
        <f>VALUE(SUBSTITUTE(TRIM('Fixkosten-Variable Kosten'!A10),".",""))</f>
        <v>4</v>
      </c>
      <c r="B17" s="16" t="str">
        <f>'Fixkosten-Variable Kosten'!B10</f>
        <v>IT Recht</v>
      </c>
      <c r="C17" s="17">
        <f>INDEX('Fixkosten-Variable Kosten'!$D10:$AK10,1,$D$3)</f>
        <v>11.78</v>
      </c>
      <c r="D17" s="18"/>
      <c r="E17" s="19"/>
      <c r="F17" s="20" t="s">
        <v>9</v>
      </c>
    </row>
    <row r="18" spans="1:6" x14ac:dyDescent="0.2">
      <c r="A18" s="15">
        <v>4</v>
      </c>
      <c r="B18" s="16"/>
      <c r="C18" s="17"/>
      <c r="D18" s="18"/>
      <c r="E18" s="19"/>
      <c r="F18" s="20" t="s">
        <v>9</v>
      </c>
    </row>
    <row r="19" spans="1:6" x14ac:dyDescent="0.2">
      <c r="A19" s="15">
        <v>4</v>
      </c>
      <c r="B19" s="16"/>
      <c r="C19" s="17"/>
      <c r="D19" s="18"/>
      <c r="E19" s="19"/>
      <c r="F19" s="20" t="s">
        <v>9</v>
      </c>
    </row>
    <row r="20" spans="1:6" x14ac:dyDescent="0.2">
      <c r="A20" s="15">
        <f>VALUE(SUBSTITUTE(TRIM('Fixkosten-Variable Kosten'!A11),".",""))</f>
        <v>5</v>
      </c>
      <c r="B20" s="16" t="str">
        <f>'Fixkosten-Variable Kosten'!B11</f>
        <v>Apple Cloud</v>
      </c>
      <c r="C20" s="17">
        <f>INDEX('Fixkosten-Variable Kosten'!$D11:$AK11,1,$D$3)</f>
        <v>19.989999999999998</v>
      </c>
      <c r="D20" s="18"/>
      <c r="E20" s="19"/>
      <c r="F20" s="20" t="s">
        <v>9</v>
      </c>
    </row>
    <row r="21" spans="1:6" x14ac:dyDescent="0.2">
      <c r="A21" s="15">
        <f>VALUE(SUBSTITUTE(TRIM('Fixkosten-Variable Kosten'!A12),".",""))</f>
        <v>5</v>
      </c>
      <c r="B21" s="16" t="str">
        <f>'Fixkosten-Variable Kosten'!B12</f>
        <v>SPK Kontoführung</v>
      </c>
      <c r="C21" s="17">
        <f>INDEX('Fixkosten-Variable Kosten'!$D12:$AK12,1,$D$3)</f>
        <v>70</v>
      </c>
      <c r="D21" s="18"/>
      <c r="E21" s="19"/>
      <c r="F21" s="20" t="s">
        <v>9</v>
      </c>
    </row>
    <row r="22" spans="1:6" x14ac:dyDescent="0.2">
      <c r="A22" s="15">
        <v>5</v>
      </c>
      <c r="B22" s="16"/>
      <c r="C22" s="17"/>
      <c r="D22" s="18"/>
      <c r="E22" s="19"/>
      <c r="F22" s="20" t="s">
        <v>9</v>
      </c>
    </row>
    <row r="23" spans="1:6" x14ac:dyDescent="0.2">
      <c r="A23" s="15">
        <v>5</v>
      </c>
      <c r="B23" s="16"/>
      <c r="C23" s="17"/>
      <c r="D23" s="18"/>
      <c r="E23" s="19"/>
      <c r="F23" s="20" t="s">
        <v>9</v>
      </c>
    </row>
    <row r="24" spans="1:6" x14ac:dyDescent="0.2">
      <c r="A24" s="15">
        <f>VALUE(SUBSTITUTE(TRIM('Fixkosten-Variable Kosten'!A13),".",""))</f>
        <v>6</v>
      </c>
      <c r="B24" s="16" t="str">
        <f>'Fixkosten-Variable Kosten'!B13</f>
        <v>Impuls Coach</v>
      </c>
      <c r="C24" s="17">
        <f>INDEX('Fixkosten-Variable Kosten'!$D13:$AK13,1,$D$3)</f>
        <v>250</v>
      </c>
      <c r="D24" s="18"/>
      <c r="E24" s="19"/>
      <c r="F24" s="20" t="s">
        <v>9</v>
      </c>
    </row>
    <row r="25" spans="1:6" x14ac:dyDescent="0.2">
      <c r="A25" s="15">
        <f>VALUE(SUBSTITUTE(TRIM('Fixkosten-Variable Kosten'!A14),".",""))</f>
        <v>6</v>
      </c>
      <c r="B25" s="16" t="str">
        <f>'Fixkosten-Variable Kosten'!B14</f>
        <v>Strom</v>
      </c>
      <c r="C25" s="17">
        <f>INDEX('Fixkosten-Variable Kosten'!$D14:$AK14,1,$D$3)</f>
        <v>47</v>
      </c>
      <c r="D25" s="18"/>
      <c r="E25" s="19"/>
      <c r="F25" s="20" t="s">
        <v>9</v>
      </c>
    </row>
    <row r="26" spans="1:6" x14ac:dyDescent="0.2">
      <c r="A26" s="15">
        <f>VALUE(SUBSTITUTE(TRIM('Fixkosten-Variable Kosten'!A15),".",""))</f>
        <v>6</v>
      </c>
      <c r="B26" s="16" t="str">
        <f>'Fixkosten-Variable Kosten'!B15</f>
        <v>Lexoffice</v>
      </c>
      <c r="C26" s="17">
        <f>INDEX('Fixkosten-Variable Kosten'!$D15:$AK15,1,$D$3)</f>
        <v>14.16</v>
      </c>
      <c r="D26" s="18"/>
      <c r="E26" s="19"/>
      <c r="F26" s="20" t="s">
        <v>9</v>
      </c>
    </row>
    <row r="27" spans="1:6" x14ac:dyDescent="0.2">
      <c r="A27" s="15">
        <f>VALUE(SUBSTITUTE(TRIM('Fixkosten-Variable Kosten'!A16),".",""))</f>
        <v>6</v>
      </c>
      <c r="B27" s="16" t="str">
        <f>'Fixkosten-Variable Kosten'!B16</f>
        <v>Website</v>
      </c>
      <c r="C27" s="17">
        <f>INDEX('Fixkosten-Variable Kosten'!$D16:$AK16,1,$D$3)</f>
        <v>629.51</v>
      </c>
      <c r="D27" s="18"/>
      <c r="E27" s="19"/>
      <c r="F27" s="20" t="s">
        <v>9</v>
      </c>
    </row>
    <row r="28" spans="1:6" x14ac:dyDescent="0.2">
      <c r="A28" s="15">
        <f>VALUE(SUBSTITUTE(TRIM('Fixkosten-Variable Kosten'!A17),".",""))</f>
        <v>6</v>
      </c>
      <c r="B28" s="16" t="str">
        <f>'Fixkosten-Variable Kosten'!B17</f>
        <v>Auto Leasing</v>
      </c>
      <c r="C28" s="17">
        <f>INDEX('Fixkosten-Variable Kosten'!$D17:$AK17,1,$D$3)</f>
        <v>453.15</v>
      </c>
      <c r="D28" s="18"/>
      <c r="E28" s="19"/>
      <c r="F28" s="20" t="s">
        <v>9</v>
      </c>
    </row>
    <row r="29" spans="1:6" x14ac:dyDescent="0.2">
      <c r="A29" s="15">
        <v>6</v>
      </c>
      <c r="B29" s="16"/>
      <c r="C29" s="17"/>
      <c r="D29" s="18"/>
      <c r="E29" s="19"/>
      <c r="F29" s="20" t="s">
        <v>9</v>
      </c>
    </row>
    <row r="30" spans="1:6" x14ac:dyDescent="0.2">
      <c r="A30" s="15">
        <v>6</v>
      </c>
      <c r="B30" s="16"/>
      <c r="C30" s="17"/>
      <c r="D30" s="18"/>
      <c r="E30" s="19"/>
      <c r="F30" s="20" t="s">
        <v>9</v>
      </c>
    </row>
    <row r="31" spans="1:6" x14ac:dyDescent="0.2">
      <c r="A31" s="15">
        <f>VALUE(SUBSTITUTE(TRIM('Fixkosten-Variable Kosten'!A18),".",""))</f>
        <v>11</v>
      </c>
      <c r="B31" s="16" t="str">
        <f>'Fixkosten-Variable Kosten'!B18</f>
        <v>Versicherung Laden</v>
      </c>
      <c r="C31" s="17">
        <f>INDEX('Fixkosten-Variable Kosten'!$D18:$AK18,1,$D$3)</f>
        <v>51.67</v>
      </c>
      <c r="D31" s="37" t="s">
        <v>115</v>
      </c>
      <c r="E31" s="19">
        <v>301.5</v>
      </c>
      <c r="F31" s="20"/>
    </row>
    <row r="32" spans="1:6" x14ac:dyDescent="0.2">
      <c r="A32" s="15">
        <v>11</v>
      </c>
      <c r="B32" s="36" t="s">
        <v>77</v>
      </c>
      <c r="C32" s="17">
        <v>120</v>
      </c>
      <c r="D32" s="37" t="s">
        <v>113</v>
      </c>
      <c r="E32" s="19">
        <v>272.24</v>
      </c>
      <c r="F32" s="20"/>
    </row>
    <row r="33" spans="1:6" x14ac:dyDescent="0.2">
      <c r="A33" s="15">
        <v>11</v>
      </c>
      <c r="B33" s="16"/>
      <c r="C33" s="17"/>
      <c r="D33" s="37" t="s">
        <v>113</v>
      </c>
      <c r="E33" s="19">
        <v>878.4</v>
      </c>
      <c r="F33" s="20" t="s">
        <v>9</v>
      </c>
    </row>
    <row r="34" spans="1:6" x14ac:dyDescent="0.2">
      <c r="A34" s="15">
        <f>VALUE(SUBSTITUTE(TRIM('Fixkosten-Variable Kosten'!A20),".",""))</f>
        <v>14</v>
      </c>
      <c r="B34" s="16" t="str">
        <f>'Fixkosten-Variable Kosten'!B20</f>
        <v>Identity Shift</v>
      </c>
      <c r="C34" s="17">
        <f>INDEX('Fixkosten-Variable Kosten'!$D20:$AK20,1,$D$3)</f>
        <v>270</v>
      </c>
      <c r="D34" s="37" t="s">
        <v>115</v>
      </c>
      <c r="E34" s="19">
        <v>539.97</v>
      </c>
      <c r="F34" s="20" t="s">
        <v>9</v>
      </c>
    </row>
    <row r="35" spans="1:6" x14ac:dyDescent="0.2">
      <c r="A35" s="15">
        <v>14</v>
      </c>
      <c r="B35" s="36" t="s">
        <v>109</v>
      </c>
      <c r="C35" s="17">
        <v>802.91</v>
      </c>
      <c r="D35" s="37" t="s">
        <v>115</v>
      </c>
      <c r="E35" s="19">
        <v>301.5</v>
      </c>
      <c r="F35" s="20" t="s">
        <v>9</v>
      </c>
    </row>
    <row r="36" spans="1:6" x14ac:dyDescent="0.2">
      <c r="A36" s="15">
        <v>14</v>
      </c>
      <c r="B36" s="16"/>
      <c r="C36" s="17"/>
      <c r="D36" s="18"/>
      <c r="E36" s="19"/>
      <c r="F36" s="20" t="s">
        <v>9</v>
      </c>
    </row>
    <row r="37" spans="1:6" x14ac:dyDescent="0.2">
      <c r="A37" s="15">
        <f>VALUE(SUBSTITUTE(TRIM('Fixkosten-Variable Kosten'!A22),".",""))</f>
        <v>15</v>
      </c>
      <c r="B37" s="16" t="str">
        <f>'Fixkosten-Variable Kosten'!B22</f>
        <v>SenVend</v>
      </c>
      <c r="C37" s="17">
        <f>INDEX('Fixkosten-Variable Kosten'!$D22:$AK22,1,$D$3)</f>
        <v>16.36</v>
      </c>
      <c r="D37" s="18"/>
      <c r="E37" s="19"/>
      <c r="F37" s="20" t="s">
        <v>9</v>
      </c>
    </row>
    <row r="38" spans="1:6" x14ac:dyDescent="0.2">
      <c r="A38" s="15">
        <f>VALUE(SUBSTITUTE(TRIM('Fixkosten-Variable Kosten'!A23),".",""))</f>
        <v>15</v>
      </c>
      <c r="B38" s="16" t="str">
        <f>'Fixkosten-Variable Kosten'!B23</f>
        <v>Terminland</v>
      </c>
      <c r="C38" s="17">
        <f>INDEX('Fixkosten-Variable Kosten'!$D23:$AK23,1,$D$3)</f>
        <v>19.989999999999998</v>
      </c>
      <c r="D38" s="18"/>
      <c r="E38" s="19"/>
      <c r="F38" s="20" t="s">
        <v>9</v>
      </c>
    </row>
    <row r="39" spans="1:6" x14ac:dyDescent="0.2">
      <c r="A39" s="15">
        <f>VALUE(SUBSTITUTE(TRIM('Fixkosten-Variable Kosten'!A24),".",""))</f>
        <v>15</v>
      </c>
      <c r="B39" s="16" t="str">
        <f>'Fixkosten-Variable Kosten'!B24</f>
        <v>Miete Automat</v>
      </c>
      <c r="C39" s="17">
        <f>INDEX('Fixkosten-Variable Kosten'!$D24:$AK24,1,$D$3)</f>
        <v>70</v>
      </c>
      <c r="D39" s="18"/>
      <c r="E39" s="19"/>
      <c r="F39" s="20" t="s">
        <v>9</v>
      </c>
    </row>
    <row r="40" spans="1:6" x14ac:dyDescent="0.2">
      <c r="A40" s="15">
        <f>VALUE(SUBSTITUTE(TRIM('Fixkosten-Variable Kosten'!A25),".",""))</f>
        <v>15</v>
      </c>
      <c r="B40" s="16" t="str">
        <f>'Fixkosten-Variable Kosten'!B25</f>
        <v>Steuerberater</v>
      </c>
      <c r="C40" s="17">
        <f>INDEX('Fixkosten-Variable Kosten'!$D25:$AK25,1,$D$3)</f>
        <v>119</v>
      </c>
      <c r="D40" s="18"/>
      <c r="E40" s="19"/>
      <c r="F40" s="20" t="s">
        <v>9</v>
      </c>
    </row>
    <row r="41" spans="1:6" x14ac:dyDescent="0.2">
      <c r="A41" s="15">
        <v>15</v>
      </c>
      <c r="B41" s="16"/>
      <c r="C41" s="17"/>
      <c r="D41" s="18"/>
      <c r="E41" s="19"/>
      <c r="F41" s="20" t="s">
        <v>9</v>
      </c>
    </row>
    <row r="42" spans="1:6" x14ac:dyDescent="0.2">
      <c r="A42" s="15">
        <v>15</v>
      </c>
      <c r="B42" s="16"/>
      <c r="C42" s="17"/>
      <c r="D42" s="18"/>
      <c r="E42" s="19"/>
      <c r="F42" s="20" t="s">
        <v>9</v>
      </c>
    </row>
    <row r="43" spans="1:6" x14ac:dyDescent="0.2">
      <c r="A43" s="15">
        <f>VALUE(SUBSTITUTE(TRIM('Fixkosten-Variable Kosten'!A26),".",""))</f>
        <v>17</v>
      </c>
      <c r="B43" s="16" t="str">
        <f>'Fixkosten-Variable Kosten'!B26</f>
        <v>Social Media Club</v>
      </c>
      <c r="C43" s="17">
        <f>INDEX('Fixkosten-Variable Kosten'!$D26:$AK26,1,$D$3)</f>
        <v>37</v>
      </c>
      <c r="D43" s="18"/>
      <c r="E43" s="19"/>
      <c r="F43" s="20" t="s">
        <v>9</v>
      </c>
    </row>
    <row r="44" spans="1:6" x14ac:dyDescent="0.2">
      <c r="A44" s="15">
        <f>VALUE(SUBSTITUTE(TRIM('Fixkosten-Variable Kosten'!A27),".",""))</f>
        <v>17</v>
      </c>
      <c r="B44" s="16" t="str">
        <f>'Fixkosten-Variable Kosten'!B27</f>
        <v>Marketing Masterclass</v>
      </c>
      <c r="C44" s="17">
        <f>INDEX('Fixkosten-Variable Kosten'!$D27:$AK27,1,$D$3)</f>
        <v>250</v>
      </c>
      <c r="D44" s="18"/>
      <c r="E44" s="19"/>
      <c r="F44" s="20" t="s">
        <v>9</v>
      </c>
    </row>
    <row r="45" spans="1:6" x14ac:dyDescent="0.2">
      <c r="A45" s="15">
        <v>17</v>
      </c>
      <c r="B45" s="16"/>
      <c r="C45" s="17"/>
      <c r="D45" s="18"/>
      <c r="E45" s="19"/>
      <c r="F45" s="20" t="s">
        <v>9</v>
      </c>
    </row>
    <row r="46" spans="1:6" x14ac:dyDescent="0.2">
      <c r="A46" s="15">
        <v>17</v>
      </c>
      <c r="B46" s="16"/>
      <c r="C46" s="17"/>
      <c r="D46" s="18"/>
      <c r="E46" s="19"/>
      <c r="F46" s="20" t="s">
        <v>9</v>
      </c>
    </row>
    <row r="47" spans="1:6" x14ac:dyDescent="0.2">
      <c r="A47" s="15">
        <v>18</v>
      </c>
      <c r="B47" s="36" t="s">
        <v>92</v>
      </c>
      <c r="C47" s="17">
        <v>45</v>
      </c>
      <c r="D47" s="18"/>
      <c r="E47" s="19"/>
      <c r="F47" s="20" t="s">
        <v>9</v>
      </c>
    </row>
    <row r="48" spans="1:6" x14ac:dyDescent="0.2">
      <c r="A48" s="15">
        <v>18</v>
      </c>
      <c r="B48" s="16"/>
      <c r="C48" s="17"/>
      <c r="D48" s="18"/>
      <c r="E48" s="19"/>
      <c r="F48" s="20" t="s">
        <v>9</v>
      </c>
    </row>
    <row r="49" spans="1:6" x14ac:dyDescent="0.2">
      <c r="A49" s="15">
        <v>18</v>
      </c>
      <c r="B49" s="16"/>
      <c r="C49" s="17"/>
      <c r="D49" s="18"/>
      <c r="E49" s="19"/>
      <c r="F49" s="20" t="s">
        <v>9</v>
      </c>
    </row>
    <row r="50" spans="1:6" x14ac:dyDescent="0.2">
      <c r="A50" s="15">
        <f>VALUE(SUBSTITUTE(TRIM('Fixkosten-Variable Kosten'!A31),".",""))</f>
        <v>25</v>
      </c>
      <c r="B50" s="16" t="str">
        <f>'Fixkosten-Variable Kosten'!B31</f>
        <v>Grover gesamt</v>
      </c>
      <c r="C50" s="17">
        <f>INDEX('Fixkosten-Variable Kosten'!$D31:$AK31,1,$D$3)</f>
        <v>94.34</v>
      </c>
      <c r="D50" s="18"/>
      <c r="E50" s="19"/>
      <c r="F50" s="20" t="s">
        <v>9</v>
      </c>
    </row>
    <row r="51" spans="1:6" x14ac:dyDescent="0.2">
      <c r="A51" s="15">
        <v>25</v>
      </c>
      <c r="B51" s="16"/>
      <c r="C51" s="17"/>
      <c r="D51" s="18"/>
      <c r="E51" s="19"/>
      <c r="F51" s="20" t="s">
        <v>9</v>
      </c>
    </row>
    <row r="52" spans="1:6" x14ac:dyDescent="0.2">
      <c r="A52" s="15">
        <v>25</v>
      </c>
      <c r="B52" s="16"/>
      <c r="C52" s="17"/>
      <c r="D52" s="37" t="s">
        <v>112</v>
      </c>
      <c r="E52" s="19">
        <v>153.81</v>
      </c>
      <c r="F52" s="20" t="s">
        <v>9</v>
      </c>
    </row>
    <row r="53" spans="1:6" x14ac:dyDescent="0.2">
      <c r="A53" s="15">
        <f>VALUE(SUBSTITUTE(TRIM('Fixkosten-Variable Kosten'!A29),".",""))</f>
        <v>28</v>
      </c>
      <c r="B53" s="16" t="str">
        <f>'Fixkosten-Variable Kosten'!B29</f>
        <v>LEADY</v>
      </c>
      <c r="C53" s="17">
        <f>INDEX('Fixkosten-Variable Kosten'!$D29:$AK29,1,$D$3)</f>
        <v>630</v>
      </c>
      <c r="D53" s="18"/>
      <c r="E53" s="19"/>
      <c r="F53" s="20" t="s">
        <v>9</v>
      </c>
    </row>
    <row r="54" spans="1:6" x14ac:dyDescent="0.2">
      <c r="A54" s="15">
        <f>VALUE(SUBSTITUTE(TRIM('Fixkosten-Variable Kosten'!A30),".",""))</f>
        <v>28</v>
      </c>
      <c r="B54" s="16" t="str">
        <f>'Fixkosten-Variable Kosten'!B30</f>
        <v xml:space="preserve">Apple </v>
      </c>
      <c r="C54" s="17">
        <f>INDEX('Fixkosten-Variable Kosten'!$D30:$AK30,1,$D$3)</f>
        <v>10.9</v>
      </c>
      <c r="D54" s="18"/>
      <c r="E54" s="19"/>
      <c r="F54" s="20" t="s">
        <v>9</v>
      </c>
    </row>
    <row r="55" spans="1:6" x14ac:dyDescent="0.2">
      <c r="A55" s="15">
        <f>VALUE(SUBSTITUTE(TRIM('Fixkosten-Variable Kosten'!A32),".",""))</f>
        <v>28</v>
      </c>
      <c r="B55" s="16" t="str">
        <f>'Fixkosten-Variable Kosten'!B32</f>
        <v>Claude Masterclass</v>
      </c>
      <c r="C55" s="17">
        <f>INDEX('Fixkosten-Variable Kosten'!$D32:$AK32,1,$D$3)</f>
        <v>200</v>
      </c>
      <c r="D55" s="18"/>
      <c r="E55" s="19"/>
      <c r="F55" s="20" t="s">
        <v>9</v>
      </c>
    </row>
    <row r="56" spans="1:6" x14ac:dyDescent="0.2">
      <c r="A56" s="15">
        <v>28</v>
      </c>
      <c r="B56" s="16"/>
      <c r="C56" s="17"/>
      <c r="D56" s="18"/>
      <c r="E56" s="19"/>
      <c r="F56" s="20" t="s">
        <v>9</v>
      </c>
    </row>
    <row r="57" spans="1:6" x14ac:dyDescent="0.2">
      <c r="A57" s="15">
        <v>28</v>
      </c>
      <c r="B57" s="16"/>
      <c r="C57" s="17"/>
      <c r="D57" s="18"/>
      <c r="E57" s="19"/>
      <c r="F57" s="20" t="s">
        <v>9</v>
      </c>
    </row>
    <row r="58" spans="1:6" x14ac:dyDescent="0.2">
      <c r="A58" s="15">
        <f>VALUE(SUBSTITUTE(TRIM('Fixkosten-Variable Kosten'!A33),".",""))</f>
        <v>30</v>
      </c>
      <c r="B58" s="16" t="str">
        <f>'Fixkosten-Variable Kosten'!B33</f>
        <v>SPK Kredit</v>
      </c>
      <c r="C58" s="17">
        <f>INDEX('Fixkosten-Variable Kosten'!$D33:$AK33,1,$D$3)</f>
        <v>525</v>
      </c>
      <c r="D58" s="37" t="s">
        <v>115</v>
      </c>
      <c r="E58" s="19">
        <v>301.5</v>
      </c>
      <c r="F58" s="20" t="s">
        <v>9</v>
      </c>
    </row>
    <row r="59" spans="1:6" x14ac:dyDescent="0.2">
      <c r="A59" s="15">
        <f>VALUE(SUBSTITUTE(TRIM('Fixkosten-Variable Kosten'!A34),".",""))</f>
        <v>30</v>
      </c>
      <c r="B59" s="16" t="str">
        <f>'Fixkosten-Variable Kosten'!B34</f>
        <v>Mitarbeiter Minijob</v>
      </c>
      <c r="C59" s="17">
        <f>INDEX('Fixkosten-Variable Kosten'!$D34:$AK34,1,$D$3)</f>
        <v>581.29</v>
      </c>
      <c r="D59" s="37" t="s">
        <v>113</v>
      </c>
      <c r="E59" s="19">
        <v>493.92</v>
      </c>
      <c r="F59" s="20" t="s">
        <v>9</v>
      </c>
    </row>
    <row r="60" spans="1:6" x14ac:dyDescent="0.2">
      <c r="A60" s="15">
        <f>VALUE(SUBSTITUTE(TRIM('Fixkosten-Variable Kosten'!A35),".",""))</f>
        <v>30</v>
      </c>
      <c r="B60" s="16" t="str">
        <f>'Fixkosten-Variable Kosten'!B35</f>
        <v>Sozialabgabe MA</v>
      </c>
      <c r="C60" s="17">
        <f>INDEX('Fixkosten-Variable Kosten'!$D35:$AK35,1,$D$3)</f>
        <v>211.6</v>
      </c>
      <c r="D60" s="18"/>
      <c r="E60" s="19"/>
      <c r="F60" s="20" t="s">
        <v>9</v>
      </c>
    </row>
    <row r="61" spans="1:6" x14ac:dyDescent="0.2">
      <c r="A61" s="15">
        <f>VALUE(SUBSTITUTE(TRIM('Fixkosten-Variable Kosten'!A36),".",""))</f>
        <v>30</v>
      </c>
      <c r="B61" s="16" t="str">
        <f>'Fixkosten-Variable Kosten'!B36</f>
        <v>Miete Querweg</v>
      </c>
      <c r="C61" s="17">
        <f>INDEX('Fixkosten-Variable Kosten'!$D36:$AK36,1,$D$3)</f>
        <v>690</v>
      </c>
      <c r="D61" s="18"/>
      <c r="E61" s="19"/>
      <c r="F61" s="20" t="s">
        <v>9</v>
      </c>
    </row>
    <row r="62" spans="1:6" x14ac:dyDescent="0.2">
      <c r="A62" s="15">
        <f>VALUE(SUBSTITUTE(TRIM('Fixkosten-Variable Kosten'!A37),".",""))</f>
        <v>30</v>
      </c>
      <c r="B62" s="16" t="str">
        <f>'Fixkosten-Variable Kosten'!B37</f>
        <v>Miete Lager Widukindstr.</v>
      </c>
      <c r="C62" s="17">
        <f>INDEX('Fixkosten-Variable Kosten'!$D37:$AK37,1,$D$3)</f>
        <v>455.28</v>
      </c>
      <c r="D62" s="18"/>
      <c r="E62" s="19"/>
      <c r="F62" s="20" t="s">
        <v>9</v>
      </c>
    </row>
    <row r="63" spans="1:6" x14ac:dyDescent="0.2">
      <c r="A63" s="15">
        <v>30</v>
      </c>
      <c r="B63" s="16"/>
      <c r="C63" s="17"/>
      <c r="D63" s="18"/>
      <c r="E63" s="19"/>
      <c r="F63" s="20" t="s">
        <v>9</v>
      </c>
    </row>
    <row r="64" spans="1:6" x14ac:dyDescent="0.2">
      <c r="A64" s="15">
        <v>30</v>
      </c>
      <c r="B64" s="16"/>
      <c r="C64" s="17"/>
      <c r="D64" s="18"/>
      <c r="E64" s="19"/>
      <c r="F64" s="20" t="s">
        <v>9</v>
      </c>
    </row>
    <row r="65" spans="1:6" x14ac:dyDescent="0.2">
      <c r="A65" s="15"/>
      <c r="B65" s="16"/>
      <c r="C65" s="17"/>
      <c r="D65" s="37"/>
      <c r="E65" s="12"/>
      <c r="F65" s="20" t="s">
        <v>9</v>
      </c>
    </row>
    <row r="66" spans="1:6" x14ac:dyDescent="0.2">
      <c r="A66" s="15"/>
      <c r="B66" s="16"/>
      <c r="C66" s="17"/>
      <c r="D66" s="18"/>
      <c r="E66" s="19"/>
      <c r="F66" s="20" t="s">
        <v>9</v>
      </c>
    </row>
    <row r="67" spans="1:6" x14ac:dyDescent="0.2">
      <c r="A67" s="15"/>
      <c r="B67" s="16"/>
      <c r="C67" s="17"/>
      <c r="D67" s="18"/>
      <c r="E67" s="19"/>
      <c r="F67" s="20" t="s">
        <v>9</v>
      </c>
    </row>
    <row r="68" spans="1:6" x14ac:dyDescent="0.2">
      <c r="A68" s="15"/>
      <c r="B68" s="16"/>
      <c r="C68" s="17"/>
      <c r="D68" s="18"/>
      <c r="E68" s="19"/>
      <c r="F68" s="20" t="s">
        <v>9</v>
      </c>
    </row>
    <row r="69" spans="1:6" x14ac:dyDescent="0.2">
      <c r="A69" s="15"/>
      <c r="B69" s="16"/>
      <c r="C69" s="17"/>
      <c r="D69" s="18"/>
      <c r="E69" s="19"/>
      <c r="F69" s="20" t="s">
        <v>9</v>
      </c>
    </row>
    <row r="70" spans="1:6" x14ac:dyDescent="0.2">
      <c r="A70" s="15"/>
      <c r="B70" s="16"/>
      <c r="C70" s="17"/>
      <c r="D70" s="18"/>
      <c r="E70" s="19"/>
      <c r="F70" s="20" t="s">
        <v>9</v>
      </c>
    </row>
    <row r="71" spans="1:6" x14ac:dyDescent="0.2">
      <c r="A71" s="15"/>
      <c r="B71" s="16"/>
      <c r="C71" s="17"/>
      <c r="D71" s="18"/>
      <c r="E71" s="19"/>
      <c r="F71" s="20" t="s">
        <v>9</v>
      </c>
    </row>
    <row r="72" spans="1:6" x14ac:dyDescent="0.2">
      <c r="A72" s="15"/>
      <c r="B72" s="16"/>
      <c r="C72" s="17"/>
      <c r="D72" s="18"/>
      <c r="E72" s="19"/>
      <c r="F72" s="20" t="s">
        <v>9</v>
      </c>
    </row>
    <row r="73" spans="1:6" x14ac:dyDescent="0.2">
      <c r="A73" s="15"/>
      <c r="B73" s="16"/>
      <c r="C73" s="17"/>
      <c r="D73" s="18"/>
      <c r="E73" s="19"/>
      <c r="F73" s="20" t="s">
        <v>9</v>
      </c>
    </row>
    <row r="74" spans="1:6" x14ac:dyDescent="0.2">
      <c r="A74" s="15"/>
      <c r="B74" s="16"/>
      <c r="C74" s="17"/>
      <c r="D74" s="18"/>
      <c r="E74" s="19"/>
      <c r="F74" s="20" t="s">
        <v>9</v>
      </c>
    </row>
    <row r="75" spans="1:6" x14ac:dyDescent="0.2">
      <c r="A75" s="15"/>
      <c r="B75" s="16"/>
      <c r="C75" s="17"/>
      <c r="D75" s="18"/>
      <c r="E75" s="19"/>
      <c r="F75" s="20" t="s">
        <v>9</v>
      </c>
    </row>
    <row r="76" spans="1:6" x14ac:dyDescent="0.2">
      <c r="A76" s="15"/>
      <c r="B76" s="16"/>
      <c r="C76" s="17"/>
      <c r="D76" s="18"/>
      <c r="E76" s="19"/>
      <c r="F76" s="20" t="s">
        <v>9</v>
      </c>
    </row>
    <row r="78" spans="1:6" x14ac:dyDescent="0.2">
      <c r="A78" s="25"/>
      <c r="B78" s="25"/>
      <c r="C78" s="22">
        <f>SUM(C6:C76)</f>
        <v>7034.7899999999991</v>
      </c>
      <c r="D78" s="21"/>
      <c r="E78" s="22"/>
      <c r="F78" s="22"/>
    </row>
    <row r="79" spans="1:6" x14ac:dyDescent="0.2">
      <c r="A79" s="25"/>
      <c r="B79" s="25"/>
      <c r="C79" s="22"/>
      <c r="D79" s="21"/>
      <c r="E79" s="22">
        <f>SUMIFS(E6:E76,F6:F76,"Ja")</f>
        <v>2669.1</v>
      </c>
      <c r="F79" s="22"/>
    </row>
    <row r="80" spans="1:6" x14ac:dyDescent="0.2">
      <c r="A80" s="25"/>
      <c r="B80" s="25"/>
      <c r="C80" s="22"/>
      <c r="D80" s="21"/>
      <c r="E80" s="22"/>
      <c r="F80" s="22">
        <f>C78+E79</f>
        <v>9703.89</v>
      </c>
    </row>
  </sheetData>
  <mergeCells count="7">
    <mergeCell ref="A2:F2"/>
    <mergeCell ref="A78:B78"/>
    <mergeCell ref="A1:F1"/>
    <mergeCell ref="A3:C3"/>
    <mergeCell ref="A80:B80"/>
    <mergeCell ref="A79:B79"/>
    <mergeCell ref="E3:F3"/>
  </mergeCells>
  <conditionalFormatting sqref="D6:E76">
    <cfRule type="expression" dxfId="0" priority="1">
      <formula>$F6="Nein"</formula>
    </cfRule>
  </conditionalFormatting>
  <dataValidations count="1">
    <dataValidation type="list" allowBlank="1" sqref="F6:F76" xr:uid="{00000000-0002-0000-0100-000000000000}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Fixkosten-Variable Kosten</vt:lpstr>
      <vt:lpstr>Zahltag-Übersicht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Müller-Leschner</cp:lastModifiedBy>
  <cp:revision>0</cp:revision>
  <dcterms:created xsi:type="dcterms:W3CDTF">2026-07-05T12:07:57Z</dcterms:created>
  <dcterms:modified xsi:type="dcterms:W3CDTF">2026-07-08T18:42:24Z</dcterms:modified>
  <dc:language>en-US</dc:language>
</cp:coreProperties>
</file>